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628" codeName="{DD97A8EA-9A9A-E61F-A557-7D5A7D7259CE}"/>
  <workbookPr codeName="ThisWorkbook"/>
  <mc:AlternateContent xmlns:mc="http://schemas.openxmlformats.org/markup-compatibility/2006">
    <mc:Choice Requires="x15">
      <x15ac:absPath xmlns:x15ac="http://schemas.microsoft.com/office/spreadsheetml/2010/11/ac" url="C:\DOCUMENTI\2025\Articles\Blade Runner e le derivate\"/>
    </mc:Choice>
  </mc:AlternateContent>
  <xr:revisionPtr revIDLastSave="0" documentId="13_ncr:1_{2854EA3B-2925-4C86-BB0D-D496299183A8}" xr6:coauthVersionLast="47" xr6:coauthVersionMax="47" xr10:uidLastSave="{00000000-0000-0000-0000-000000000000}"/>
  <bookViews>
    <workbookView xWindow="-108" yWindow="-108" windowWidth="23256" windowHeight="12456" xr2:uid="{00000000-000D-0000-FFFF-FFFF00000000}"/>
  </bookViews>
  <sheets>
    <sheet name="Model Training" sheetId="3" r:id="rId1"/>
    <sheet name="Sheet1" sheetId="4" r:id="rId2"/>
  </sheets>
  <definedNames>
    <definedName name="_xleta.ABS" hidden="1" xlm="1">#NAME?</definedName>
    <definedName name="_xleta.AVERAGE" hidden="1" xlm="1">#NAME?</definedName>
    <definedName name="_xleta.CORREL" hidden="1" xlm="1">#NAME?</definedName>
    <definedName name="_xleta.INDEX" hidden="1" xlm="1">#NAME?</definedName>
    <definedName name="AVG_X">'Model Training'!$A$6</definedName>
    <definedName name="current_a">'Model Training'!$G$5</definedName>
    <definedName name="current_b">'Model Training'!$H$5</definedName>
    <definedName name="current_c">'Model Training'!$I$5</definedName>
    <definedName name="current_d">'Model Training'!$J$5</definedName>
    <definedName name="current_e">'Model Training'!$K$5</definedName>
    <definedName name="current_Grad_a">'Model Training'!$N$5</definedName>
    <definedName name="current_Grad_b">'Model Training'!$O$5</definedName>
    <definedName name="current_Grad_c">'Model Training'!$P$5</definedName>
    <definedName name="current_Grad_d">'Model Training'!$Q$5</definedName>
    <definedName name="current_Grad_e">'Model Training'!$R$5</definedName>
    <definedName name="current_step">'Model Training'!$F$5</definedName>
    <definedName name="current_Total_Loss">'Model Training'!$L$5</definedName>
    <definedName name="initial_a">'Model Training'!$G$1</definedName>
    <definedName name="initial_b">'Model Training'!$I$1</definedName>
    <definedName name="initial_c">'Model Training'!$K$1</definedName>
    <definedName name="initial_d">'Model Training'!$M$1</definedName>
    <definedName name="initial_e">'Model Training'!$O$1</definedName>
    <definedName name="MAE">'Model Training'!$F$12</definedName>
    <definedName name="MAPE">'Model Training'!$F$13</definedName>
    <definedName name="MAX_iterations">'Model Training'!$F$9</definedName>
    <definedName name="R_Squared">'Model Training'!$F$11</definedName>
    <definedName name="STD_X">'Model Training'!$A$7</definedName>
  </definedNames>
  <calcPr calcId="191029" iterate="1" iterateCount="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B28" i="3" l="1"/>
  <c r="AB29" i="3"/>
  <c r="AB30" i="3"/>
  <c r="AB31" i="3"/>
  <c r="AB32" i="3"/>
  <c r="AB33" i="3"/>
  <c r="AB34" i="3"/>
  <c r="AB35" i="3"/>
  <c r="AB36" i="3"/>
  <c r="AB37" i="3"/>
  <c r="AB38" i="3"/>
  <c r="E7" i="4"/>
  <c r="E8" i="4" s="1"/>
  <c r="E9" i="4" s="1"/>
  <c r="E10" i="4" s="1"/>
  <c r="E11" i="4" s="1"/>
  <c r="E12" i="4" s="1"/>
  <c r="E13" i="4" s="1"/>
  <c r="E14" i="4" s="1"/>
  <c r="E15" i="4" s="1"/>
  <c r="E16" i="4" s="1"/>
  <c r="E17" i="4" s="1"/>
  <c r="E18" i="4" s="1"/>
  <c r="E19" i="4" s="1"/>
  <c r="E20" i="4" s="1"/>
  <c r="E21" i="4" s="1"/>
  <c r="E22" i="4" s="1"/>
  <c r="E23" i="4" s="1"/>
  <c r="E24" i="4" s="1"/>
  <c r="E25" i="4" s="1"/>
  <c r="E26" i="4" s="1"/>
  <c r="E27" i="4" s="1"/>
  <c r="E28" i="4" s="1"/>
  <c r="E29" i="4" s="1"/>
  <c r="E30" i="4" s="1"/>
  <c r="E31" i="4" s="1"/>
  <c r="E33" i="4" s="1"/>
  <c r="E34" i="4" s="1"/>
  <c r="E35" i="4" s="1"/>
  <c r="E36" i="4" s="1"/>
  <c r="E37" i="4" s="1"/>
  <c r="E38" i="4" s="1"/>
  <c r="E39" i="4" s="1"/>
  <c r="E40" i="4" s="1"/>
  <c r="E41" i="4" s="1"/>
  <c r="E42" i="4" s="1"/>
  <c r="E43" i="4" s="1"/>
  <c r="E44" i="4" s="1"/>
  <c r="E45" i="4" s="1"/>
  <c r="E46" i="4" s="1"/>
  <c r="E47" i="4" s="1"/>
  <c r="E48" i="4" s="1"/>
  <c r="E49" i="4" s="1"/>
  <c r="E50" i="4" s="1"/>
  <c r="E51" i="4" s="1"/>
  <c r="E52" i="4" s="1"/>
  <c r="E53" i="4" s="1"/>
  <c r="E54" i="4" s="1"/>
  <c r="E55" i="4" s="1"/>
  <c r="E56" i="4" s="1"/>
  <c r="E57" i="4" s="1"/>
  <c r="E58" i="4" s="1"/>
  <c r="E59" i="4" s="1"/>
  <c r="E60" i="4" s="1"/>
  <c r="E61" i="4" s="1"/>
  <c r="E62" i="4" s="1"/>
  <c r="E63" i="4" s="1"/>
  <c r="E64" i="4" s="1"/>
  <c r="E65" i="4" s="1"/>
  <c r="E66" i="4" s="1"/>
  <c r="E67" i="4" s="1"/>
  <c r="E68" i="4" s="1"/>
  <c r="E69" i="4" s="1"/>
  <c r="E70" i="4" s="1"/>
  <c r="E71" i="4" s="1"/>
  <c r="E72" i="4" s="1"/>
  <c r="E73" i="4" s="1"/>
  <c r="E74" i="4" s="1"/>
  <c r="E75" i="4" s="1"/>
  <c r="E76" i="4" s="1"/>
  <c r="E77" i="4" s="1"/>
  <c r="E78" i="4" s="1"/>
  <c r="E79" i="4" s="1"/>
  <c r="E80" i="4" s="1"/>
  <c r="E81" i="4" s="1"/>
  <c r="E82" i="4" s="1"/>
  <c r="E83" i="4" s="1"/>
  <c r="E84" i="4" s="1"/>
  <c r="E85" i="4" s="1"/>
  <c r="E86" i="4" s="1"/>
  <c r="E87" i="4" s="1"/>
  <c r="E88" i="4" s="1"/>
  <c r="E89" i="4" s="1"/>
  <c r="E90" i="4" s="1"/>
  <c r="E91" i="4" s="1"/>
  <c r="E92" i="4" s="1"/>
  <c r="E93" i="4" s="1"/>
  <c r="E94" i="4" s="1"/>
  <c r="E95" i="4" s="1"/>
  <c r="E96" i="4" s="1"/>
  <c r="E97" i="4" s="1"/>
  <c r="E98" i="4" s="1"/>
  <c r="E99" i="4" s="1"/>
  <c r="E100" i="4" s="1"/>
  <c r="E101" i="4" s="1"/>
  <c r="E102" i="4" s="1"/>
  <c r="E103" i="4" s="1"/>
  <c r="E104" i="4" s="1"/>
  <c r="E105" i="4" s="1"/>
  <c r="E106" i="4" s="1"/>
  <c r="E107" i="4" s="1"/>
  <c r="E108" i="4" s="1"/>
  <c r="E109" i="4" s="1"/>
  <c r="E110" i="4" s="1"/>
  <c r="E111" i="4" s="1"/>
  <c r="E112" i="4" s="1"/>
  <c r="E113" i="4" s="1"/>
  <c r="E114" i="4" s="1"/>
  <c r="E115" i="4" s="1"/>
  <c r="E116" i="4" s="1"/>
  <c r="E117" i="4" s="1"/>
  <c r="E118" i="4" s="1"/>
  <c r="E119" i="4" s="1"/>
  <c r="E120" i="4" s="1"/>
  <c r="E121" i="4" s="1"/>
  <c r="E122" i="4" s="1"/>
  <c r="A11" i="4"/>
  <c r="A12" i="4" s="1"/>
  <c r="A13" i="4" s="1"/>
  <c r="A14" i="4" s="1"/>
  <c r="A15" i="4" s="1"/>
  <c r="A16" i="4" s="1"/>
  <c r="A17" i="4" s="1"/>
  <c r="A18" i="4" s="1"/>
  <c r="A19" i="4" s="1"/>
  <c r="A20" i="4" s="1"/>
  <c r="A21" i="4" s="1"/>
  <c r="A22" i="4" s="1"/>
  <c r="A23" i="4" s="1"/>
  <c r="A24" i="4" s="1"/>
  <c r="F18" i="3"/>
  <c r="F19" i="3" s="1"/>
  <c r="F20" i="3" s="1"/>
  <c r="F21" i="3" s="1"/>
  <c r="F22" i="3" s="1"/>
  <c r="F23" i="3" s="1"/>
  <c r="F24" i="3" s="1"/>
  <c r="F25" i="3" s="1"/>
  <c r="F26" i="3" s="1"/>
  <c r="F27" i="3" s="1"/>
  <c r="F28" i="3" s="1"/>
  <c r="F29" i="3" s="1"/>
  <c r="F30" i="3" s="1"/>
  <c r="F31" i="3" s="1"/>
  <c r="F32" i="3" s="1"/>
  <c r="F33" i="3" s="1"/>
  <c r="F34" i="3" s="1"/>
  <c r="F35" i="3" s="1"/>
  <c r="F36" i="3" s="1"/>
  <c r="F37" i="3" s="1"/>
  <c r="F38" i="3" s="1"/>
  <c r="F39" i="3" s="1"/>
  <c r="F40" i="3" s="1"/>
  <c r="F41" i="3" s="1"/>
  <c r="F42" i="3" s="1"/>
  <c r="F43" i="3" s="1"/>
  <c r="F44" i="3" s="1"/>
  <c r="F45" i="3" s="1"/>
  <c r="F46" i="3" s="1"/>
  <c r="F47" i="3" s="1"/>
  <c r="F48" i="3" s="1"/>
  <c r="F49" i="3" s="1"/>
  <c r="F50" i="3" s="1"/>
  <c r="F51" i="3" s="1"/>
  <c r="F52" i="3" s="1"/>
  <c r="F53" i="3" s="1"/>
  <c r="F54" i="3" s="1"/>
  <c r="F55" i="3" s="1"/>
  <c r="F56" i="3" s="1"/>
  <c r="F57" i="3" s="1"/>
  <c r="F58" i="3" s="1"/>
  <c r="F59" i="3" s="1"/>
  <c r="F60" i="3" s="1"/>
  <c r="F61" i="3" s="1"/>
  <c r="F62" i="3" s="1"/>
  <c r="F63" i="3" s="1"/>
  <c r="F64" i="3" s="1"/>
  <c r="F65" i="3" s="1"/>
  <c r="F66" i="3" s="1"/>
  <c r="F67" i="3" s="1"/>
  <c r="F68" i="3" s="1"/>
  <c r="F69" i="3" s="1"/>
  <c r="A17" i="3"/>
  <c r="A18" i="3" l="1"/>
  <c r="F70" i="3"/>
  <c r="A19" i="3" l="1"/>
  <c r="F71" i="3"/>
  <c r="A20" i="3" l="1"/>
  <c r="F72" i="3"/>
  <c r="A21" i="3" l="1"/>
  <c r="F73" i="3"/>
  <c r="A22" i="3" l="1"/>
  <c r="F74" i="3"/>
  <c r="A23" i="3" l="1"/>
  <c r="F75" i="3"/>
  <c r="A24" i="3" l="1"/>
  <c r="F76" i="3"/>
  <c r="A25" i="3" l="1"/>
  <c r="F77" i="3"/>
  <c r="A26" i="3" l="1"/>
  <c r="F78" i="3"/>
  <c r="A27" i="3" l="1"/>
  <c r="F79" i="3"/>
  <c r="A28" i="3" l="1"/>
  <c r="F80" i="3"/>
  <c r="A29" i="3" l="1"/>
  <c r="F81" i="3"/>
  <c r="A30" i="3" l="1"/>
  <c r="A7" i="3" s="1"/>
  <c r="F82" i="3"/>
  <c r="A8" i="3" l="1"/>
  <c r="A6" i="3"/>
  <c r="F83" i="3"/>
  <c r="D12" i="3" l="1"/>
  <c r="C12" i="3" s="1"/>
  <c r="D11" i="3"/>
  <c r="C11" i="3" s="1"/>
  <c r="D10" i="3"/>
  <c r="C10" i="3" s="1"/>
  <c r="D38" i="3"/>
  <c r="C38" i="3" s="1"/>
  <c r="D36" i="3"/>
  <c r="C36" i="3" s="1"/>
  <c r="D37" i="3"/>
  <c r="C37" i="3" s="1"/>
  <c r="D34" i="3"/>
  <c r="C34" i="3" s="1"/>
  <c r="D35" i="3"/>
  <c r="C35" i="3" s="1"/>
  <c r="D32" i="3"/>
  <c r="C32" i="3" s="1"/>
  <c r="D33" i="3"/>
  <c r="C33" i="3" s="1"/>
  <c r="D31" i="3"/>
  <c r="C31" i="3" s="1"/>
  <c r="F7" i="4"/>
  <c r="G7" i="4" s="1"/>
  <c r="F8" i="4"/>
  <c r="G8" i="4" s="1"/>
  <c r="F9" i="4"/>
  <c r="G9" i="4" s="1"/>
  <c r="F10" i="4"/>
  <c r="G10" i="4" s="1"/>
  <c r="F11" i="4"/>
  <c r="G11" i="4" s="1"/>
  <c r="F12" i="4"/>
  <c r="G12" i="4" s="1"/>
  <c r="F13" i="4"/>
  <c r="G13" i="4" s="1"/>
  <c r="F14" i="4"/>
  <c r="G14" i="4" s="1"/>
  <c r="F15" i="4"/>
  <c r="G15" i="4" s="1"/>
  <c r="F16" i="4"/>
  <c r="G16" i="4" s="1"/>
  <c r="F17" i="4"/>
  <c r="G17" i="4" s="1"/>
  <c r="F18" i="4"/>
  <c r="G18" i="4" s="1"/>
  <c r="F19" i="4"/>
  <c r="G19" i="4" s="1"/>
  <c r="F20" i="4"/>
  <c r="G20" i="4" s="1"/>
  <c r="F21" i="4"/>
  <c r="G21" i="4" s="1"/>
  <c r="D13" i="3"/>
  <c r="C13" i="3" s="1"/>
  <c r="D14" i="3"/>
  <c r="C14" i="3" s="1"/>
  <c r="D15" i="3"/>
  <c r="C15" i="3" s="1"/>
  <c r="D16" i="3"/>
  <c r="C16" i="3" s="1"/>
  <c r="D17" i="3"/>
  <c r="C17" i="3" s="1"/>
  <c r="D18" i="3"/>
  <c r="C18" i="3" s="1"/>
  <c r="D19" i="3"/>
  <c r="C19" i="3" s="1"/>
  <c r="D20" i="3"/>
  <c r="C20" i="3" s="1"/>
  <c r="D21" i="3"/>
  <c r="C21" i="3" s="1"/>
  <c r="D22" i="3"/>
  <c r="C22" i="3" s="1"/>
  <c r="D23" i="3"/>
  <c r="C23" i="3" s="1"/>
  <c r="D24" i="3"/>
  <c r="C24" i="3" s="1"/>
  <c r="D25" i="3"/>
  <c r="C25" i="3" s="1"/>
  <c r="D26" i="3"/>
  <c r="C26" i="3" s="1"/>
  <c r="D27" i="3"/>
  <c r="C27" i="3" s="1"/>
  <c r="D28" i="3"/>
  <c r="C28" i="3" s="1"/>
  <c r="AB25" i="3" s="1"/>
  <c r="D29" i="3"/>
  <c r="C29" i="3" s="1"/>
  <c r="D30" i="3"/>
  <c r="C30" i="3" s="1"/>
  <c r="AB27" i="3" s="1"/>
  <c r="F84" i="3"/>
  <c r="AB26" i="3" l="1"/>
  <c r="AB12" i="3"/>
  <c r="AB23" i="3"/>
  <c r="AB24" i="3"/>
  <c r="F22" i="4"/>
  <c r="G22" i="4" s="1"/>
  <c r="AB20" i="3"/>
  <c r="AB18" i="3"/>
  <c r="AB15" i="3"/>
  <c r="AB21" i="3"/>
  <c r="AB16" i="3"/>
  <c r="AB22" i="3"/>
  <c r="AB19" i="3"/>
  <c r="AB17" i="3"/>
  <c r="AB14" i="3"/>
  <c r="AB13" i="3"/>
  <c r="AB11" i="3"/>
  <c r="AB10" i="3"/>
  <c r="F85" i="3"/>
  <c r="F23" i="4" l="1"/>
  <c r="G23" i="4" s="1"/>
  <c r="F86" i="3"/>
  <c r="F24" i="4" l="1"/>
  <c r="G24" i="4" s="1"/>
  <c r="F87" i="3"/>
  <c r="F25" i="4" l="1"/>
  <c r="G25" i="4" s="1"/>
  <c r="F88" i="3"/>
  <c r="F26" i="4" l="1"/>
  <c r="G26" i="4" s="1"/>
  <c r="F89" i="3"/>
  <c r="F27" i="4" l="1"/>
  <c r="G27" i="4" s="1"/>
  <c r="F90" i="3"/>
  <c r="F28" i="4" l="1"/>
  <c r="G28" i="4" s="1"/>
  <c r="F91" i="3"/>
  <c r="F29" i="4" l="1"/>
  <c r="G29" i="4" s="1"/>
  <c r="F92" i="3"/>
  <c r="F30" i="4" l="1"/>
  <c r="G30" i="4" s="1"/>
  <c r="F93" i="3"/>
  <c r="F31" i="4" l="1"/>
  <c r="G31" i="4" s="1"/>
  <c r="F94" i="3"/>
  <c r="F32" i="4" l="1"/>
  <c r="G32" i="4" s="1"/>
  <c r="F95" i="3"/>
  <c r="F33" i="4" l="1"/>
  <c r="G33" i="4" s="1"/>
  <c r="F96" i="3"/>
  <c r="F34" i="4" l="1"/>
  <c r="G34" i="4" s="1"/>
  <c r="F97" i="3"/>
  <c r="F35" i="4" l="1"/>
  <c r="G35" i="4" s="1"/>
  <c r="F98" i="3"/>
  <c r="F36" i="4" l="1"/>
  <c r="G36" i="4" s="1"/>
  <c r="F99" i="3"/>
  <c r="F37" i="4" l="1"/>
  <c r="G37" i="4" s="1"/>
  <c r="F100" i="3"/>
  <c r="F38" i="4" l="1"/>
  <c r="G38" i="4" s="1"/>
  <c r="F101" i="3"/>
  <c r="F39" i="4" l="1"/>
  <c r="G39" i="4" s="1"/>
  <c r="F102" i="3"/>
  <c r="F40" i="4" l="1"/>
  <c r="G40" i="4" s="1"/>
  <c r="F103" i="3"/>
  <c r="F41" i="4" l="1"/>
  <c r="G41" i="4" s="1"/>
  <c r="F104" i="3"/>
  <c r="F42" i="4" l="1"/>
  <c r="G42" i="4" s="1"/>
  <c r="F105" i="3"/>
  <c r="F43" i="4" l="1"/>
  <c r="G43" i="4" s="1"/>
  <c r="F106" i="3"/>
  <c r="F44" i="4" l="1"/>
  <c r="G44" i="4" s="1"/>
  <c r="F107" i="3"/>
  <c r="F45" i="4" l="1"/>
  <c r="G45" i="4" s="1"/>
  <c r="F108" i="3"/>
  <c r="F46" i="4" l="1"/>
  <c r="G46" i="4" s="1"/>
  <c r="F109" i="3"/>
  <c r="F47" i="4" l="1"/>
  <c r="G47" i="4" s="1"/>
  <c r="F110" i="3"/>
  <c r="F48" i="4" l="1"/>
  <c r="G48" i="4" s="1"/>
  <c r="F111" i="3"/>
  <c r="F49" i="4" l="1"/>
  <c r="G49" i="4" s="1"/>
  <c r="F112" i="3"/>
  <c r="F50" i="4" l="1"/>
  <c r="G50" i="4" s="1"/>
  <c r="F113" i="3"/>
  <c r="F51" i="4" l="1"/>
  <c r="G51" i="4" s="1"/>
  <c r="F114" i="3"/>
  <c r="F52" i="4" l="1"/>
  <c r="G52" i="4" s="1"/>
  <c r="F115" i="3"/>
  <c r="F53" i="4" l="1"/>
  <c r="G53" i="4" s="1"/>
  <c r="F116" i="3"/>
  <c r="F54" i="4" l="1"/>
  <c r="G54" i="4" s="1"/>
  <c r="F117" i="3"/>
  <c r="F55" i="4" l="1"/>
  <c r="G55" i="4" s="1"/>
  <c r="F118" i="3"/>
  <c r="F56" i="4" l="1"/>
  <c r="G56" i="4" s="1"/>
  <c r="F119" i="3"/>
  <c r="F57" i="4" l="1"/>
  <c r="G57" i="4" s="1"/>
  <c r="F120" i="3"/>
  <c r="F58" i="4" l="1"/>
  <c r="G58" i="4" s="1"/>
  <c r="F121" i="3"/>
  <c r="F59" i="4" l="1"/>
  <c r="G59" i="4" s="1"/>
  <c r="F122" i="3"/>
  <c r="F60" i="4" l="1"/>
  <c r="G60" i="4" s="1"/>
  <c r="F123" i="3"/>
  <c r="F61" i="4" l="1"/>
  <c r="G61" i="4" s="1"/>
  <c r="F124" i="3"/>
  <c r="F62" i="4" l="1"/>
  <c r="G62" i="4" s="1"/>
  <c r="F125" i="3"/>
  <c r="F63" i="4" l="1"/>
  <c r="G63" i="4" s="1"/>
  <c r="F126" i="3"/>
  <c r="F64" i="4" l="1"/>
  <c r="G64" i="4" s="1"/>
  <c r="F127" i="3"/>
  <c r="F65" i="4" l="1"/>
  <c r="G65" i="4" s="1"/>
  <c r="F128" i="3"/>
  <c r="F66" i="4" l="1"/>
  <c r="G66" i="4" s="1"/>
  <c r="F129" i="3"/>
  <c r="F67" i="4" l="1"/>
  <c r="G67" i="4" s="1"/>
  <c r="F130" i="3"/>
  <c r="F68" i="4" l="1"/>
  <c r="G68" i="4" s="1"/>
  <c r="F131" i="3"/>
  <c r="F69" i="4" l="1"/>
  <c r="G69" i="4" s="1"/>
  <c r="F132" i="3"/>
  <c r="F70" i="4" l="1"/>
  <c r="G70" i="4" s="1"/>
  <c r="F133" i="3"/>
  <c r="F71" i="4" l="1"/>
  <c r="G71" i="4" s="1"/>
  <c r="F134" i="3"/>
  <c r="F72" i="4" l="1"/>
  <c r="G72" i="4" s="1"/>
  <c r="F135" i="3"/>
  <c r="F73" i="4" l="1"/>
  <c r="G73" i="4" s="1"/>
  <c r="F136" i="3"/>
  <c r="F74" i="4" l="1"/>
  <c r="G74" i="4" s="1"/>
  <c r="F137" i="3"/>
  <c r="F75" i="4" l="1"/>
  <c r="G75" i="4" s="1"/>
  <c r="F138" i="3"/>
  <c r="F76" i="4" l="1"/>
  <c r="G76" i="4" s="1"/>
  <c r="F139" i="3"/>
  <c r="F77" i="4" l="1"/>
  <c r="G77" i="4" s="1"/>
  <c r="F140" i="3"/>
  <c r="F78" i="4" l="1"/>
  <c r="G78" i="4" s="1"/>
  <c r="F141" i="3"/>
  <c r="F79" i="4" l="1"/>
  <c r="G79" i="4" s="1"/>
  <c r="F142" i="3"/>
  <c r="F80" i="4" l="1"/>
  <c r="G80" i="4" s="1"/>
  <c r="F143" i="3"/>
  <c r="F81" i="4" l="1"/>
  <c r="G81" i="4" s="1"/>
  <c r="F144" i="3"/>
  <c r="F82" i="4" l="1"/>
  <c r="G82" i="4" s="1"/>
  <c r="F145" i="3"/>
  <c r="F83" i="4" l="1"/>
  <c r="G83" i="4" s="1"/>
  <c r="F146" i="3"/>
  <c r="F84" i="4" l="1"/>
  <c r="G84" i="4" s="1"/>
  <c r="F147" i="3"/>
  <c r="F85" i="4" l="1"/>
  <c r="G85" i="4" s="1"/>
  <c r="F148" i="3"/>
  <c r="F86" i="4" l="1"/>
  <c r="G86" i="4" s="1"/>
  <c r="F149" i="3"/>
  <c r="F87" i="4" l="1"/>
  <c r="G87" i="4" s="1"/>
  <c r="F150" i="3"/>
  <c r="F88" i="4" l="1"/>
  <c r="G88" i="4" s="1"/>
  <c r="F151" i="3"/>
  <c r="F89" i="4" l="1"/>
  <c r="G89" i="4" s="1"/>
  <c r="F152" i="3"/>
  <c r="F90" i="4" l="1"/>
  <c r="G90" i="4" s="1"/>
  <c r="F153" i="3"/>
  <c r="F91" i="4" l="1"/>
  <c r="G91" i="4" s="1"/>
  <c r="F154" i="3"/>
  <c r="F92" i="4" l="1"/>
  <c r="G92" i="4" s="1"/>
  <c r="F155" i="3"/>
  <c r="F93" i="4" l="1"/>
  <c r="G93" i="4" s="1"/>
  <c r="F156" i="3"/>
  <c r="F94" i="4" l="1"/>
  <c r="G94" i="4" s="1"/>
  <c r="F157" i="3"/>
  <c r="F95" i="4" l="1"/>
  <c r="G95" i="4" s="1"/>
  <c r="F158" i="3"/>
  <c r="F96" i="4" l="1"/>
  <c r="G96" i="4" s="1"/>
  <c r="F159" i="3"/>
  <c r="F97" i="4" l="1"/>
  <c r="G97" i="4" s="1"/>
  <c r="F160" i="3"/>
  <c r="F98" i="4" l="1"/>
  <c r="G98" i="4" s="1"/>
  <c r="F161" i="3"/>
  <c r="F99" i="4" l="1"/>
  <c r="G99" i="4" s="1"/>
  <c r="F162" i="3"/>
  <c r="F100" i="4" l="1"/>
  <c r="G100" i="4" s="1"/>
  <c r="F163" i="3"/>
  <c r="F101" i="4" l="1"/>
  <c r="G101" i="4" s="1"/>
  <c r="F164" i="3"/>
  <c r="F102" i="4" l="1"/>
  <c r="G102" i="4" s="1"/>
  <c r="F165" i="3"/>
  <c r="F103" i="4" l="1"/>
  <c r="G103" i="4" s="1"/>
  <c r="F166" i="3"/>
  <c r="F104" i="4" l="1"/>
  <c r="G104" i="4" s="1"/>
  <c r="F167" i="3"/>
  <c r="F105" i="4" l="1"/>
  <c r="G105" i="4" s="1"/>
  <c r="F168" i="3"/>
  <c r="F106" i="4" l="1"/>
  <c r="G106" i="4" s="1"/>
  <c r="F169" i="3"/>
  <c r="F107" i="4" l="1"/>
  <c r="G107" i="4" s="1"/>
  <c r="F170" i="3"/>
  <c r="F108" i="4" l="1"/>
  <c r="G108" i="4" s="1"/>
  <c r="F171" i="3"/>
  <c r="F109" i="4" l="1"/>
  <c r="G109" i="4" s="1"/>
  <c r="F172" i="3"/>
  <c r="F110" i="4" l="1"/>
  <c r="G110" i="4" s="1"/>
  <c r="F173" i="3"/>
  <c r="F111" i="4" l="1"/>
  <c r="G111" i="4" s="1"/>
  <c r="F174" i="3"/>
  <c r="F112" i="4" l="1"/>
  <c r="G112" i="4" s="1"/>
  <c r="F175" i="3"/>
  <c r="F113" i="4" l="1"/>
  <c r="G113" i="4" s="1"/>
  <c r="F176" i="3"/>
  <c r="F114" i="4" l="1"/>
  <c r="G114" i="4" s="1"/>
  <c r="F177" i="3"/>
  <c r="F115" i="4" l="1"/>
  <c r="G115" i="4" s="1"/>
  <c r="F178" i="3"/>
  <c r="F116" i="4" l="1"/>
  <c r="G116" i="4" s="1"/>
  <c r="F179" i="3"/>
  <c r="F117" i="4" l="1"/>
  <c r="G117" i="4" s="1"/>
  <c r="F180" i="3"/>
  <c r="F118" i="4" l="1"/>
  <c r="G118" i="4" s="1"/>
  <c r="F181" i="3"/>
  <c r="F119" i="4" l="1"/>
  <c r="G119" i="4" s="1"/>
  <c r="F182" i="3"/>
  <c r="F120" i="4" l="1"/>
  <c r="G120" i="4" s="1"/>
  <c r="F183" i="3"/>
  <c r="F121" i="4" l="1"/>
  <c r="G121" i="4" s="1"/>
  <c r="F184" i="3"/>
  <c r="F122" i="4" l="1"/>
  <c r="G122" i="4" s="1"/>
  <c r="F185" i="3"/>
  <c r="F186" i="3" l="1"/>
  <c r="F187" i="3" l="1"/>
  <c r="F188" i="3" l="1"/>
  <c r="F189" i="3" l="1"/>
  <c r="F190" i="3" l="1"/>
  <c r="F191" i="3" l="1"/>
  <c r="F192" i="3" l="1"/>
  <c r="F193" i="3" l="1"/>
  <c r="F194" i="3" l="1"/>
  <c r="F195" i="3" l="1"/>
  <c r="F196" i="3" l="1"/>
  <c r="F197" i="3" l="1"/>
  <c r="F198" i="3" l="1"/>
  <c r="F199" i="3" l="1"/>
  <c r="F200" i="3" l="1"/>
  <c r="F201" i="3" l="1"/>
  <c r="F202" i="3" l="1"/>
  <c r="F203" i="3" l="1"/>
  <c r="F204" i="3" l="1"/>
  <c r="F205" i="3" l="1"/>
  <c r="F206" i="3" l="1"/>
  <c r="F207" i="3" l="1"/>
  <c r="F208" i="3" l="1"/>
  <c r="F209" i="3" l="1"/>
  <c r="F210" i="3" l="1"/>
  <c r="F211" i="3" l="1"/>
  <c r="F212" i="3" l="1"/>
  <c r="F213" i="3" l="1"/>
  <c r="F214" i="3" l="1"/>
  <c r="F215" i="3" l="1"/>
  <c r="F216" i="3" l="1"/>
  <c r="F217" i="3" l="1"/>
  <c r="F218" i="3" l="1"/>
  <c r="F219" i="3" l="1"/>
  <c r="F220" i="3" l="1"/>
  <c r="F221" i="3" l="1"/>
  <c r="F222" i="3" l="1"/>
  <c r="F223" i="3" l="1"/>
  <c r="F224" i="3" l="1"/>
  <c r="F225" i="3" l="1"/>
  <c r="F226" i="3" l="1"/>
  <c r="F227" i="3" l="1"/>
  <c r="F228" i="3" l="1"/>
  <c r="F229" i="3" l="1"/>
  <c r="F230" i="3" l="1"/>
  <c r="F231" i="3" l="1"/>
  <c r="F232" i="3" l="1"/>
  <c r="F233" i="3" l="1"/>
  <c r="F234" i="3" l="1"/>
  <c r="F235" i="3" l="1"/>
  <c r="F236" i="3" l="1"/>
  <c r="F237" i="3" l="1"/>
  <c r="F238" i="3" l="1"/>
  <c r="F239" i="3" l="1"/>
  <c r="F240" i="3" l="1"/>
  <c r="F241" i="3" l="1"/>
  <c r="F242" i="3" l="1"/>
  <c r="F243" i="3" l="1"/>
  <c r="F244" i="3" l="1"/>
  <c r="F245" i="3" l="1"/>
  <c r="F246" i="3" l="1"/>
  <c r="F247" i="3" l="1"/>
  <c r="F248" i="3" l="1"/>
  <c r="F249" i="3" l="1"/>
  <c r="F250" i="3" l="1"/>
  <c r="F251" i="3" l="1"/>
  <c r="F252" i="3" l="1"/>
  <c r="F253" i="3" l="1"/>
  <c r="F254" i="3" l="1"/>
  <c r="F255" i="3" l="1"/>
  <c r="F256" i="3" l="1"/>
  <c r="F257" i="3" l="1"/>
  <c r="F258" i="3" l="1"/>
  <c r="F259" i="3" l="1"/>
  <c r="F260" i="3" l="1"/>
  <c r="F261" i="3" l="1"/>
  <c r="F262" i="3" l="1"/>
  <c r="F263" i="3" l="1"/>
  <c r="F264" i="3" l="1"/>
  <c r="F265" i="3" l="1"/>
  <c r="F266" i="3" l="1"/>
  <c r="F267" i="3" l="1"/>
  <c r="F268" i="3" l="1"/>
  <c r="F269" i="3" l="1"/>
  <c r="F270" i="3" l="1"/>
  <c r="F271" i="3" l="1"/>
  <c r="F272" i="3" l="1"/>
  <c r="F273" i="3" l="1"/>
  <c r="F274" i="3" l="1"/>
  <c r="F275" i="3" l="1"/>
  <c r="F276" i="3" l="1"/>
  <c r="F277" i="3" l="1"/>
  <c r="F278" i="3" l="1"/>
  <c r="F279" i="3" l="1"/>
  <c r="F280" i="3" l="1"/>
  <c r="F281" i="3" l="1"/>
  <c r="F282" i="3" l="1"/>
  <c r="F283" i="3" l="1"/>
  <c r="F284" i="3" l="1"/>
  <c r="F285" i="3" l="1"/>
  <c r="F286" i="3" l="1"/>
  <c r="F287" i="3" l="1"/>
  <c r="F288" i="3" l="1"/>
  <c r="F289" i="3" l="1"/>
  <c r="F290" i="3" l="1"/>
  <c r="F291" i="3" l="1"/>
  <c r="F292" i="3" l="1"/>
  <c r="F293" i="3" l="1"/>
  <c r="F294" i="3" l="1"/>
  <c r="F295" i="3" l="1"/>
  <c r="F296" i="3" l="1"/>
  <c r="F297" i="3" l="1"/>
  <c r="F298" i="3" l="1"/>
  <c r="F299" i="3" l="1"/>
  <c r="F300" i="3" l="1"/>
  <c r="F301" i="3" l="1"/>
  <c r="F302" i="3" l="1"/>
  <c r="F303" i="3" l="1"/>
  <c r="F304" i="3" l="1"/>
  <c r="F305" i="3" l="1"/>
  <c r="F306" i="3" l="1"/>
  <c r="F307" i="3" l="1"/>
  <c r="F308" i="3" l="1"/>
  <c r="F309" i="3" l="1"/>
  <c r="F310" i="3" l="1"/>
  <c r="F311" i="3" l="1"/>
  <c r="F312" i="3" l="1"/>
  <c r="F313" i="3" l="1"/>
  <c r="F314" i="3" l="1"/>
  <c r="F315" i="3" l="1"/>
  <c r="F316" i="3" l="1"/>
  <c r="F317" i="3" l="1"/>
  <c r="F318" i="3" l="1"/>
  <c r="F319" i="3" l="1"/>
  <c r="F320" i="3" l="1"/>
  <c r="F321" i="3" l="1"/>
  <c r="F322" i="3" l="1"/>
  <c r="F323" i="3" l="1"/>
  <c r="F324" i="3" l="1"/>
  <c r="F325" i="3" l="1"/>
  <c r="F326" i="3" l="1"/>
  <c r="F327" i="3" l="1"/>
  <c r="F328" i="3" l="1"/>
  <c r="F329" i="3" l="1"/>
  <c r="F330" i="3" l="1"/>
  <c r="F331" i="3" l="1"/>
  <c r="F332" i="3" l="1"/>
  <c r="F333" i="3" l="1"/>
  <c r="F334" i="3" l="1"/>
  <c r="F335" i="3" l="1"/>
  <c r="F336" i="3" l="1"/>
  <c r="F337" i="3" l="1"/>
  <c r="F338" i="3" l="1"/>
  <c r="F339" i="3" l="1"/>
  <c r="F340" i="3" l="1"/>
  <c r="F341" i="3" l="1"/>
  <c r="F342" i="3" l="1"/>
  <c r="F343" i="3" l="1"/>
  <c r="F344" i="3" l="1"/>
  <c r="F345" i="3" l="1"/>
  <c r="F346" i="3" l="1"/>
  <c r="F347" i="3" l="1"/>
  <c r="F348" i="3" l="1"/>
  <c r="F349" i="3" l="1"/>
  <c r="F350" i="3" l="1"/>
  <c r="F351" i="3" l="1"/>
  <c r="F352" i="3" l="1"/>
  <c r="F353" i="3" l="1"/>
  <c r="F354" i="3" l="1"/>
  <c r="F355" i="3" l="1"/>
  <c r="F356" i="3" l="1"/>
  <c r="F357" i="3" l="1"/>
  <c r="F358" i="3" l="1"/>
  <c r="F359" i="3" l="1"/>
  <c r="F360" i="3" l="1"/>
  <c r="F361" i="3" l="1"/>
  <c r="F362" i="3" l="1"/>
  <c r="F363" i="3" l="1"/>
  <c r="F364" i="3" l="1"/>
  <c r="F365" i="3" l="1"/>
  <c r="F366" i="3" l="1"/>
  <c r="F367" i="3" l="1"/>
  <c r="F368" i="3" l="1"/>
  <c r="F369" i="3" l="1"/>
  <c r="F370" i="3" l="1"/>
  <c r="F371" i="3" l="1"/>
  <c r="F372" i="3" l="1"/>
  <c r="F373" i="3" l="1"/>
  <c r="F374" i="3" l="1"/>
  <c r="F375" i="3" l="1"/>
  <c r="F376" i="3" l="1"/>
  <c r="F377" i="3" l="1"/>
  <c r="F378" i="3" l="1"/>
  <c r="F379" i="3" l="1"/>
  <c r="F380" i="3" l="1"/>
  <c r="F381" i="3" l="1"/>
  <c r="F382" i="3" l="1"/>
  <c r="F383" i="3" l="1"/>
  <c r="F384" i="3" l="1"/>
  <c r="F385" i="3" l="1"/>
  <c r="F386" i="3" l="1"/>
  <c r="F387" i="3" l="1"/>
  <c r="F388" i="3" l="1"/>
  <c r="F389" i="3" l="1"/>
  <c r="F390" i="3" l="1"/>
  <c r="F391" i="3" l="1"/>
  <c r="F392" i="3" l="1"/>
  <c r="F393" i="3" l="1"/>
  <c r="F394" i="3" l="1"/>
  <c r="F395" i="3" l="1"/>
  <c r="F396" i="3" l="1"/>
  <c r="F397" i="3" l="1"/>
  <c r="F398" i="3" l="1"/>
  <c r="F399" i="3" l="1"/>
  <c r="F400" i="3" l="1"/>
  <c r="F401" i="3" l="1"/>
  <c r="F402" i="3" l="1"/>
  <c r="F403" i="3" l="1"/>
  <c r="F404" i="3" l="1"/>
  <c r="F405" i="3" l="1"/>
  <c r="F406" i="3" l="1"/>
  <c r="F407" i="3" l="1"/>
  <c r="F408" i="3" l="1"/>
  <c r="F409" i="3" l="1"/>
  <c r="F410" i="3" l="1"/>
  <c r="F411" i="3" l="1"/>
  <c r="F412" i="3" l="1"/>
  <c r="F413" i="3" l="1"/>
  <c r="F414" i="3" l="1"/>
  <c r="F415" i="3" l="1"/>
  <c r="F416" i="3" l="1"/>
  <c r="F417" i="3" l="1"/>
  <c r="F418" i="3" l="1"/>
  <c r="F419" i="3" l="1"/>
  <c r="F420" i="3" l="1"/>
  <c r="F421" i="3" l="1"/>
  <c r="F422" i="3" l="1"/>
  <c r="F423" i="3" l="1"/>
  <c r="F424" i="3" l="1"/>
  <c r="F425" i="3" l="1"/>
  <c r="F426" i="3" l="1"/>
  <c r="F427" i="3" l="1"/>
  <c r="F428" i="3" l="1"/>
  <c r="F429" i="3" l="1"/>
  <c r="F430" i="3" l="1"/>
  <c r="F431" i="3" l="1"/>
  <c r="F432" i="3" l="1"/>
  <c r="F433" i="3" l="1"/>
  <c r="F434" i="3" l="1"/>
  <c r="F435" i="3" l="1"/>
  <c r="F436" i="3" l="1"/>
  <c r="F437" i="3" l="1"/>
  <c r="F438" i="3" l="1"/>
  <c r="F439" i="3" l="1"/>
  <c r="F440" i="3" l="1"/>
  <c r="F441" i="3" l="1"/>
  <c r="F442" i="3" l="1"/>
  <c r="F443" i="3" l="1"/>
  <c r="F444" i="3" l="1"/>
  <c r="F445" i="3" l="1"/>
  <c r="F446" i="3" l="1"/>
  <c r="F447" i="3" l="1"/>
  <c r="F448" i="3" l="1"/>
  <c r="F449" i="3" l="1"/>
  <c r="F450" i="3" l="1"/>
  <c r="F451" i="3" l="1"/>
  <c r="F452" i="3" l="1"/>
  <c r="F453" i="3" l="1"/>
  <c r="F454" i="3" l="1"/>
  <c r="F455" i="3" l="1"/>
  <c r="F456" i="3" l="1"/>
  <c r="F457" i="3" l="1"/>
  <c r="F458" i="3" l="1"/>
  <c r="F459" i="3" l="1"/>
  <c r="F460" i="3" l="1"/>
  <c r="F461" i="3" l="1"/>
  <c r="F462" i="3" l="1"/>
  <c r="F463" i="3" l="1"/>
  <c r="F464" i="3" l="1"/>
  <c r="F465" i="3" l="1"/>
  <c r="F466" i="3" l="1"/>
  <c r="F467" i="3" l="1"/>
  <c r="F468" i="3" l="1"/>
  <c r="F469" i="3" l="1"/>
  <c r="F470" i="3" l="1"/>
  <c r="F471" i="3" l="1"/>
  <c r="F472" i="3" l="1"/>
  <c r="F473" i="3" l="1"/>
  <c r="F474" i="3" l="1"/>
  <c r="F475" i="3" l="1"/>
  <c r="F476" i="3" l="1"/>
  <c r="F477" i="3" l="1"/>
  <c r="F478" i="3" l="1"/>
  <c r="F479" i="3" l="1"/>
  <c r="F480" i="3" l="1"/>
  <c r="F481" i="3" l="1"/>
  <c r="F482" i="3" l="1"/>
  <c r="F483" i="3" l="1"/>
  <c r="F484" i="3" l="1"/>
  <c r="F485" i="3" l="1"/>
  <c r="F486" i="3" l="1"/>
  <c r="F487" i="3" l="1"/>
  <c r="F488" i="3" l="1"/>
  <c r="F489" i="3" l="1"/>
  <c r="F490" i="3" l="1"/>
  <c r="F491" i="3" l="1"/>
  <c r="F492" i="3" l="1"/>
  <c r="F493" i="3" l="1"/>
  <c r="F494" i="3" l="1"/>
  <c r="F495" i="3" l="1"/>
  <c r="F496" i="3" l="1"/>
  <c r="F497" i="3" l="1"/>
  <c r="F498" i="3" l="1"/>
  <c r="F499" i="3" l="1"/>
  <c r="F500" i="3" l="1"/>
  <c r="F501" i="3" l="1"/>
  <c r="F502" i="3" l="1"/>
  <c r="F503" i="3" l="1"/>
  <c r="F504" i="3" l="1"/>
  <c r="F505" i="3" l="1"/>
  <c r="F506" i="3" l="1"/>
  <c r="F507" i="3" l="1"/>
  <c r="F508" i="3" l="1"/>
  <c r="F509" i="3" l="1"/>
  <c r="F510" i="3" l="1"/>
  <c r="F511" i="3" l="1"/>
  <c r="F512" i="3" l="1"/>
  <c r="F513" i="3" l="1"/>
  <c r="F514" i="3" l="1"/>
  <c r="F515" i="3" l="1"/>
  <c r="F516" i="3" l="1"/>
  <c r="F517" i="3" l="1"/>
  <c r="F518" i="3" l="1"/>
  <c r="F519" i="3" l="1"/>
  <c r="F520" i="3" l="1"/>
  <c r="F521" i="3" l="1"/>
  <c r="F522" i="3" l="1"/>
  <c r="F523" i="3" l="1"/>
  <c r="F524" i="3" l="1"/>
  <c r="F525" i="3" l="1"/>
  <c r="F526" i="3" l="1"/>
  <c r="F527" i="3" l="1"/>
  <c r="F528" i="3" l="1"/>
  <c r="F529" i="3" l="1"/>
  <c r="F530" i="3" l="1"/>
  <c r="F531" i="3" l="1"/>
  <c r="F532" i="3" l="1"/>
  <c r="F533" i="3" l="1"/>
  <c r="F534" i="3" l="1"/>
  <c r="F535" i="3" l="1"/>
  <c r="F536" i="3" l="1"/>
  <c r="F537" i="3" l="1"/>
  <c r="F538" i="3" l="1"/>
  <c r="F539" i="3" l="1"/>
  <c r="F540" i="3" l="1"/>
  <c r="F541" i="3" l="1"/>
  <c r="F542" i="3" l="1"/>
  <c r="F543" i="3" l="1"/>
  <c r="F544" i="3" l="1"/>
  <c r="F545" i="3" l="1"/>
  <c r="F546" i="3" l="1"/>
  <c r="F547" i="3" l="1"/>
  <c r="F548" i="3" l="1"/>
  <c r="F549" i="3" l="1"/>
  <c r="F550" i="3" l="1"/>
  <c r="F551" i="3" l="1"/>
  <c r="F552" i="3" l="1"/>
  <c r="F553" i="3" l="1"/>
  <c r="F554" i="3" l="1"/>
  <c r="F555" i="3" l="1"/>
  <c r="F556" i="3" l="1"/>
  <c r="F557" i="3" l="1"/>
  <c r="F558" i="3" l="1"/>
  <c r="F559" i="3" l="1"/>
  <c r="F560" i="3" l="1"/>
  <c r="F561" i="3" l="1"/>
  <c r="F562" i="3" l="1"/>
  <c r="F563" i="3" l="1"/>
  <c r="F564" i="3" l="1"/>
  <c r="F565" i="3" l="1"/>
  <c r="F566" i="3" l="1"/>
  <c r="F567" i="3" l="1"/>
  <c r="F568" i="3" l="1"/>
  <c r="F569" i="3" l="1"/>
  <c r="F570" i="3" l="1"/>
  <c r="F571" i="3" l="1"/>
  <c r="F572" i="3" l="1"/>
  <c r="F573" i="3" l="1"/>
  <c r="F574" i="3" l="1"/>
  <c r="F575" i="3" l="1"/>
  <c r="F576" i="3" l="1"/>
  <c r="F577" i="3" l="1"/>
  <c r="F578" i="3" l="1"/>
  <c r="F579" i="3" l="1"/>
  <c r="F580" i="3" l="1"/>
  <c r="F581" i="3" l="1"/>
  <c r="F582" i="3" l="1"/>
  <c r="F583" i="3" l="1"/>
  <c r="F584" i="3" l="1"/>
  <c r="F585" i="3" l="1"/>
  <c r="F586" i="3" l="1"/>
  <c r="F587" i="3" l="1"/>
  <c r="F588" i="3" l="1"/>
  <c r="F589" i="3" l="1"/>
  <c r="F590" i="3" l="1"/>
  <c r="F591" i="3" l="1"/>
  <c r="F592" i="3" l="1"/>
  <c r="F593" i="3" l="1"/>
  <c r="F594" i="3" l="1"/>
  <c r="F595" i="3" l="1"/>
  <c r="F596" i="3" l="1"/>
  <c r="F597" i="3" l="1"/>
  <c r="F598" i="3" l="1"/>
  <c r="F599" i="3" l="1"/>
  <c r="F600" i="3" l="1"/>
  <c r="F601" i="3" l="1"/>
  <c r="F602" i="3" l="1"/>
  <c r="F603" i="3" l="1"/>
  <c r="F604" i="3" l="1"/>
  <c r="F605" i="3" l="1"/>
  <c r="F606" i="3" l="1"/>
  <c r="F607" i="3" l="1"/>
  <c r="F608" i="3" l="1"/>
  <c r="F609" i="3" l="1"/>
  <c r="F610" i="3" l="1"/>
  <c r="F611" i="3" l="1"/>
  <c r="F612" i="3" l="1"/>
  <c r="F613" i="3" l="1"/>
  <c r="F614" i="3" l="1"/>
  <c r="F615" i="3" l="1"/>
  <c r="F616" i="3" l="1"/>
  <c r="F617" i="3" l="1"/>
  <c r="F618" i="3" l="1"/>
  <c r="F619" i="3" l="1"/>
  <c r="F620" i="3" l="1"/>
  <c r="F621" i="3" l="1"/>
  <c r="F622" i="3" l="1"/>
  <c r="F623" i="3" l="1"/>
  <c r="F624" i="3" l="1"/>
  <c r="F625" i="3" l="1"/>
  <c r="F626" i="3" l="1"/>
  <c r="F627" i="3" l="1"/>
  <c r="F628" i="3" l="1"/>
  <c r="F629" i="3" l="1"/>
  <c r="F630" i="3" l="1"/>
  <c r="F631" i="3" l="1"/>
  <c r="F632" i="3" l="1"/>
  <c r="F633" i="3" l="1"/>
  <c r="F634" i="3" l="1"/>
  <c r="F635" i="3" l="1"/>
  <c r="F636" i="3" l="1"/>
  <c r="F637" i="3" l="1"/>
  <c r="F638" i="3" l="1"/>
  <c r="F639" i="3" l="1"/>
  <c r="F640" i="3" l="1"/>
  <c r="F641" i="3" l="1"/>
  <c r="F642" i="3" l="1"/>
  <c r="F643" i="3" l="1"/>
  <c r="F644" i="3" l="1"/>
  <c r="F645" i="3" l="1"/>
  <c r="F646" i="3" l="1"/>
  <c r="F647" i="3" l="1"/>
  <c r="F648" i="3" l="1"/>
  <c r="F649" i="3" l="1"/>
  <c r="F650" i="3" l="1"/>
  <c r="F651" i="3" l="1"/>
  <c r="F652" i="3" l="1"/>
  <c r="F653" i="3" l="1"/>
  <c r="F654" i="3" l="1"/>
  <c r="F655" i="3" l="1"/>
  <c r="F656" i="3" l="1"/>
  <c r="F657" i="3" l="1"/>
  <c r="F658" i="3" l="1"/>
  <c r="F659" i="3" l="1"/>
  <c r="F660" i="3" l="1"/>
  <c r="F661" i="3" l="1"/>
  <c r="F662" i="3" l="1"/>
  <c r="F663" i="3" l="1"/>
  <c r="F664" i="3" l="1"/>
  <c r="F665" i="3" l="1"/>
  <c r="F666" i="3" l="1"/>
  <c r="F667" i="3" l="1"/>
  <c r="F668" i="3" l="1"/>
  <c r="F669" i="3" l="1"/>
  <c r="F670" i="3" l="1"/>
  <c r="F671" i="3" l="1"/>
  <c r="F672" i="3" l="1"/>
  <c r="F673" i="3" l="1"/>
  <c r="F674" i="3" l="1"/>
  <c r="F675" i="3" l="1"/>
  <c r="F676" i="3" l="1"/>
  <c r="F677" i="3" l="1"/>
  <c r="F678" i="3" l="1"/>
  <c r="F679" i="3" l="1"/>
  <c r="F680" i="3" l="1"/>
  <c r="F681" i="3" l="1"/>
  <c r="F682" i="3" l="1"/>
  <c r="F683" i="3" l="1"/>
  <c r="F684" i="3" l="1"/>
  <c r="F685" i="3" l="1"/>
  <c r="F686" i="3" l="1"/>
  <c r="F687" i="3" l="1"/>
  <c r="F688" i="3" l="1"/>
  <c r="F689" i="3" l="1"/>
  <c r="F690" i="3" l="1"/>
  <c r="F691" i="3" l="1"/>
  <c r="F692" i="3" l="1"/>
  <c r="F693" i="3" l="1"/>
  <c r="F694" i="3" l="1"/>
  <c r="F695" i="3" l="1"/>
  <c r="F696" i="3" l="1"/>
  <c r="F697" i="3" l="1"/>
  <c r="F698" i="3" l="1"/>
  <c r="F699" i="3" l="1"/>
  <c r="F700" i="3" l="1"/>
  <c r="F701" i="3" l="1"/>
  <c r="F702" i="3" l="1"/>
  <c r="F703" i="3" l="1"/>
  <c r="F704" i="3" l="1"/>
  <c r="F705" i="3" l="1"/>
  <c r="F706" i="3" l="1"/>
  <c r="F707" i="3" l="1"/>
  <c r="F708" i="3" l="1"/>
  <c r="F709" i="3" l="1"/>
  <c r="F710" i="3" l="1"/>
  <c r="F711" i="3" l="1"/>
  <c r="F712" i="3" l="1"/>
  <c r="F713" i="3" l="1"/>
  <c r="F714" i="3" l="1"/>
  <c r="F715" i="3" l="1"/>
  <c r="F716" i="3" l="1"/>
  <c r="F717" i="3" l="1"/>
  <c r="F718" i="3" l="1"/>
  <c r="F719" i="3" l="1"/>
  <c r="F720" i="3" l="1"/>
  <c r="F721" i="3" l="1"/>
  <c r="F722" i="3" l="1"/>
  <c r="F723" i="3" l="1"/>
  <c r="F724" i="3" l="1"/>
  <c r="F725" i="3" l="1"/>
  <c r="F726" i="3" l="1"/>
  <c r="F727" i="3" l="1"/>
  <c r="F728" i="3" l="1"/>
  <c r="F729" i="3" l="1"/>
  <c r="F730" i="3" l="1"/>
  <c r="F731" i="3" l="1"/>
  <c r="F732" i="3" l="1"/>
  <c r="F733" i="3" l="1"/>
  <c r="F734" i="3" l="1"/>
  <c r="F735" i="3" l="1"/>
  <c r="F736" i="3" l="1"/>
  <c r="F737" i="3" l="1"/>
  <c r="F738" i="3" l="1"/>
  <c r="F739" i="3" l="1"/>
  <c r="F740" i="3" l="1"/>
  <c r="F741" i="3" l="1"/>
  <c r="F742" i="3" l="1"/>
  <c r="F743" i="3" l="1"/>
  <c r="F744" i="3" l="1"/>
  <c r="F745" i="3" l="1"/>
  <c r="F746" i="3" l="1"/>
  <c r="F747" i="3" l="1"/>
  <c r="F748" i="3" l="1"/>
  <c r="F749" i="3" l="1"/>
  <c r="F750" i="3" l="1"/>
  <c r="F751" i="3" l="1"/>
  <c r="F752" i="3" l="1"/>
  <c r="F753" i="3" l="1"/>
  <c r="F754" i="3" l="1"/>
  <c r="F755" i="3" l="1"/>
  <c r="F756" i="3" l="1"/>
  <c r="F757" i="3" l="1"/>
  <c r="F758" i="3" l="1"/>
  <c r="F759" i="3" l="1"/>
  <c r="F760" i="3" l="1"/>
  <c r="F761" i="3" l="1"/>
  <c r="F762" i="3" l="1"/>
  <c r="F763" i="3" l="1"/>
  <c r="F764" i="3" l="1"/>
  <c r="F765" i="3" l="1"/>
  <c r="F766" i="3" l="1"/>
  <c r="F767" i="3" l="1"/>
  <c r="F768" i="3" l="1"/>
  <c r="F769" i="3" l="1"/>
  <c r="F770" i="3" l="1"/>
  <c r="F771" i="3" l="1"/>
  <c r="F772" i="3" l="1"/>
  <c r="F773" i="3" l="1"/>
  <c r="F774" i="3" l="1"/>
  <c r="F775" i="3" l="1"/>
  <c r="F776" i="3" l="1"/>
  <c r="F777" i="3" l="1"/>
  <c r="F778" i="3" l="1"/>
  <c r="F779" i="3" l="1"/>
  <c r="F780" i="3" l="1"/>
  <c r="F781" i="3" l="1"/>
  <c r="F782" i="3" l="1"/>
  <c r="F783" i="3" l="1"/>
  <c r="F784" i="3" l="1"/>
  <c r="F785" i="3" l="1"/>
  <c r="F786" i="3" l="1"/>
  <c r="F787" i="3" l="1"/>
  <c r="F788" i="3" l="1"/>
  <c r="F789" i="3" l="1"/>
  <c r="F790" i="3" l="1"/>
  <c r="F791" i="3" l="1"/>
  <c r="F792" i="3" l="1"/>
  <c r="F793" i="3" l="1"/>
  <c r="F794" i="3" l="1"/>
  <c r="F795" i="3" l="1"/>
  <c r="F796" i="3" l="1"/>
  <c r="F797" i="3" l="1"/>
  <c r="F798" i="3" l="1"/>
  <c r="F799" i="3" l="1"/>
  <c r="F800" i="3" l="1"/>
  <c r="F801" i="3" l="1"/>
  <c r="F802" i="3" l="1"/>
  <c r="F803" i="3" l="1"/>
  <c r="F804" i="3" l="1"/>
  <c r="F805" i="3" l="1"/>
  <c r="F806" i="3" l="1"/>
  <c r="F807" i="3" l="1"/>
  <c r="F808" i="3" l="1"/>
  <c r="F809" i="3" l="1"/>
  <c r="F810" i="3" l="1"/>
  <c r="F811" i="3" l="1"/>
  <c r="F812" i="3" l="1"/>
  <c r="F813" i="3" l="1"/>
  <c r="F814" i="3" l="1"/>
  <c r="F815" i="3" l="1"/>
  <c r="F816" i="3" l="1"/>
  <c r="F817" i="3" l="1"/>
  <c r="F818" i="3" l="1"/>
  <c r="F819" i="3" l="1"/>
  <c r="F820" i="3" l="1"/>
  <c r="F821" i="3" l="1"/>
  <c r="F822" i="3" l="1"/>
  <c r="F823" i="3" l="1"/>
  <c r="F824" i="3" l="1"/>
  <c r="F825" i="3" l="1"/>
  <c r="F826" i="3" l="1"/>
  <c r="F827" i="3" l="1"/>
  <c r="F828" i="3" l="1"/>
  <c r="F829" i="3" l="1"/>
  <c r="F830" i="3" l="1"/>
  <c r="F831" i="3" l="1"/>
  <c r="F832" i="3" l="1"/>
  <c r="F833" i="3" l="1"/>
  <c r="F834" i="3" l="1"/>
  <c r="F835" i="3" l="1"/>
  <c r="F836" i="3" l="1"/>
  <c r="F837" i="3" l="1"/>
  <c r="F838" i="3" l="1"/>
  <c r="F839" i="3" l="1"/>
  <c r="F840" i="3" l="1"/>
  <c r="F841" i="3" l="1"/>
  <c r="F842" i="3" l="1"/>
  <c r="F843" i="3" l="1"/>
  <c r="F844" i="3" l="1"/>
  <c r="F845" i="3" l="1"/>
  <c r="F846" i="3" l="1"/>
  <c r="F847" i="3" l="1"/>
  <c r="F848" i="3" l="1"/>
  <c r="F849" i="3" l="1"/>
  <c r="F850" i="3" l="1"/>
  <c r="F851" i="3" l="1"/>
  <c r="F852" i="3" l="1"/>
  <c r="F853" i="3" l="1"/>
  <c r="F854" i="3" l="1"/>
  <c r="F855" i="3" l="1"/>
  <c r="F856" i="3" l="1"/>
  <c r="F857" i="3" l="1"/>
  <c r="F858" i="3" l="1"/>
  <c r="F859" i="3" l="1"/>
  <c r="F860" i="3" l="1"/>
  <c r="F861" i="3" l="1"/>
  <c r="F862" i="3" l="1"/>
  <c r="F863" i="3" l="1"/>
  <c r="F864" i="3" l="1"/>
  <c r="F865" i="3" l="1"/>
  <c r="F866" i="3" l="1"/>
  <c r="F867" i="3" l="1"/>
  <c r="F868" i="3" l="1"/>
  <c r="F869" i="3" l="1"/>
  <c r="F870" i="3" l="1"/>
  <c r="F871" i="3" l="1"/>
  <c r="F872" i="3" l="1"/>
  <c r="F873" i="3" l="1"/>
  <c r="F874" i="3" l="1"/>
  <c r="F875" i="3" l="1"/>
  <c r="F876" i="3" l="1"/>
  <c r="F877" i="3" l="1"/>
  <c r="F878" i="3" l="1"/>
  <c r="F879" i="3" l="1"/>
  <c r="F880" i="3" l="1"/>
  <c r="F881" i="3" l="1"/>
  <c r="F882" i="3" l="1"/>
  <c r="F883" i="3" l="1"/>
  <c r="F884" i="3" l="1"/>
  <c r="F885" i="3" l="1"/>
  <c r="F886" i="3" l="1"/>
  <c r="F887" i="3" l="1"/>
  <c r="F888" i="3" l="1"/>
  <c r="F889" i="3" l="1"/>
  <c r="F890" i="3" l="1"/>
  <c r="F891" i="3" l="1"/>
  <c r="F892" i="3" l="1"/>
  <c r="F893" i="3" l="1"/>
  <c r="F894" i="3" l="1"/>
  <c r="F895" i="3" l="1"/>
  <c r="F896" i="3" l="1"/>
  <c r="F897" i="3" l="1"/>
  <c r="F898" i="3" l="1"/>
  <c r="F899" i="3" l="1"/>
  <c r="F900" i="3" l="1"/>
  <c r="F901" i="3" l="1"/>
  <c r="F902" i="3" l="1"/>
  <c r="F903" i="3" l="1"/>
  <c r="F904" i="3" l="1"/>
  <c r="F905" i="3" l="1"/>
  <c r="F906" i="3" l="1"/>
  <c r="F907" i="3" l="1"/>
  <c r="F908" i="3" l="1"/>
  <c r="F909" i="3" l="1"/>
  <c r="F910" i="3" l="1"/>
  <c r="F911" i="3" l="1"/>
  <c r="F912" i="3" l="1"/>
  <c r="F913" i="3" l="1"/>
  <c r="F914" i="3" l="1"/>
  <c r="F915" i="3" l="1"/>
  <c r="F916" i="3" l="1"/>
  <c r="F917" i="3" l="1"/>
  <c r="F918" i="3" l="1"/>
  <c r="F919" i="3" l="1"/>
  <c r="F920" i="3" l="1"/>
  <c r="F921" i="3" l="1"/>
  <c r="F922" i="3" l="1"/>
  <c r="F923" i="3" l="1"/>
  <c r="F924" i="3" l="1"/>
  <c r="F925" i="3" l="1"/>
  <c r="F926" i="3" l="1"/>
  <c r="F927" i="3" l="1"/>
  <c r="F928" i="3" l="1"/>
  <c r="F929" i="3" l="1"/>
  <c r="F930" i="3" l="1"/>
  <c r="F931" i="3" l="1"/>
  <c r="F932" i="3" l="1"/>
  <c r="F933" i="3" l="1"/>
  <c r="F934" i="3" l="1"/>
  <c r="F935" i="3" l="1"/>
  <c r="F936" i="3" l="1"/>
  <c r="F937" i="3" l="1"/>
  <c r="F938" i="3" l="1"/>
  <c r="F939" i="3" l="1"/>
  <c r="F940" i="3" l="1"/>
  <c r="F941" i="3" l="1"/>
  <c r="F942" i="3" l="1"/>
  <c r="F943" i="3" l="1"/>
  <c r="F944" i="3" l="1"/>
  <c r="F945" i="3" l="1"/>
  <c r="F946" i="3" l="1"/>
  <c r="F947" i="3" l="1"/>
  <c r="F948" i="3" l="1"/>
  <c r="F949" i="3" l="1"/>
  <c r="F950" i="3" l="1"/>
  <c r="F951" i="3" l="1"/>
  <c r="F952" i="3" l="1"/>
  <c r="F953" i="3" l="1"/>
  <c r="F954" i="3" l="1"/>
  <c r="F955" i="3" l="1"/>
  <c r="F956" i="3" l="1"/>
  <c r="F957" i="3" l="1"/>
  <c r="F958" i="3" l="1"/>
  <c r="F959" i="3" l="1"/>
  <c r="F960" i="3" l="1"/>
  <c r="F961" i="3" l="1"/>
  <c r="F962" i="3" l="1"/>
  <c r="F963" i="3" l="1"/>
  <c r="F964" i="3" l="1"/>
  <c r="F965" i="3" l="1"/>
  <c r="F966" i="3" l="1"/>
  <c r="F967" i="3" l="1"/>
  <c r="F968" i="3" l="1"/>
  <c r="F969" i="3" l="1"/>
  <c r="F970" i="3" l="1"/>
  <c r="F971" i="3" l="1"/>
  <c r="F972" i="3" l="1"/>
  <c r="F973" i="3" l="1"/>
  <c r="F974" i="3" l="1"/>
  <c r="F975" i="3" l="1"/>
  <c r="F976" i="3" l="1"/>
  <c r="F977" i="3" l="1"/>
  <c r="F978" i="3" l="1"/>
  <c r="F979" i="3" l="1"/>
  <c r="F980" i="3" l="1"/>
  <c r="F981" i="3" l="1"/>
  <c r="F982" i="3" l="1"/>
  <c r="F983" i="3" l="1"/>
  <c r="F984" i="3" l="1"/>
  <c r="F985" i="3" l="1"/>
  <c r="F986" i="3" l="1"/>
  <c r="F987" i="3" l="1"/>
  <c r="F988" i="3" l="1"/>
  <c r="F989" i="3" l="1"/>
  <c r="F990" i="3" l="1"/>
  <c r="F991" i="3" l="1"/>
  <c r="F992" i="3" l="1"/>
  <c r="F993" i="3" l="1"/>
  <c r="F994" i="3" l="1"/>
  <c r="F995" i="3" l="1"/>
  <c r="F996" i="3" l="1"/>
  <c r="F997" i="3" l="1"/>
  <c r="F998" i="3" l="1"/>
  <c r="F999" i="3" l="1"/>
  <c r="F1000" i="3" l="1"/>
  <c r="F1001" i="3" l="1"/>
  <c r="F1002" i="3" l="1"/>
  <c r="F1003" i="3" l="1"/>
  <c r="F1004" i="3" l="1"/>
  <c r="F1005" i="3" l="1"/>
  <c r="F1006" i="3" l="1"/>
  <c r="F1007" i="3" l="1"/>
  <c r="F1008" i="3" l="1"/>
  <c r="F1009" i="3" l="1"/>
  <c r="F1010" i="3" l="1"/>
  <c r="F1011" i="3" l="1"/>
  <c r="F1012" i="3" l="1"/>
  <c r="F1013" i="3" l="1"/>
  <c r="F1014" i="3" l="1"/>
  <c r="F1015" i="3" l="1"/>
  <c r="F1016" i="3" l="1"/>
  <c r="F1017" i="3" s="1"/>
  <c r="F1018" i="3" s="1"/>
  <c r="G1018" i="3" l="1"/>
  <c r="K1018" i="3"/>
  <c r="F1019" i="3"/>
  <c r="I1018" i="3"/>
  <c r="J1018" i="3"/>
  <c r="R1018" i="3"/>
  <c r="H1018" i="3"/>
  <c r="P1018" i="3"/>
  <c r="L1018" i="3"/>
  <c r="Q1018" i="3"/>
  <c r="N1018" i="3"/>
  <c r="O1018" i="3"/>
  <c r="G1019" i="3" l="1"/>
  <c r="J1019" i="3"/>
  <c r="K1019" i="3"/>
  <c r="P1019" i="3"/>
  <c r="H1019" i="3"/>
  <c r="I1019" i="3"/>
  <c r="F1020" i="3"/>
  <c r="L1019" i="3"/>
  <c r="N1019" i="3"/>
  <c r="Q1019" i="3"/>
  <c r="R1019" i="3"/>
  <c r="O1019" i="3"/>
  <c r="F1021" i="3" l="1"/>
  <c r="K1020" i="3"/>
  <c r="O1020" i="3"/>
  <c r="P1020" i="3"/>
  <c r="J1020" i="3"/>
  <c r="L1020" i="3"/>
  <c r="H1020" i="3"/>
  <c r="I1020" i="3"/>
  <c r="G1020" i="3"/>
  <c r="N1020" i="3"/>
  <c r="Q1020" i="3"/>
  <c r="R1020" i="3"/>
  <c r="F1022" i="3" l="1"/>
  <c r="Q1021" i="3"/>
  <c r="H1021" i="3"/>
  <c r="P1021" i="3"/>
  <c r="K1021" i="3"/>
  <c r="L1021" i="3"/>
  <c r="N1021" i="3"/>
  <c r="O1021" i="3"/>
  <c r="R1021" i="3"/>
  <c r="J1021" i="3"/>
  <c r="G1021" i="3"/>
  <c r="I1021" i="3"/>
  <c r="F1023" i="3" l="1"/>
  <c r="H1022" i="3"/>
  <c r="I1022" i="3"/>
  <c r="N1022" i="3"/>
  <c r="L1022" i="3"/>
  <c r="O1022" i="3"/>
  <c r="G1022" i="3"/>
  <c r="J1022" i="3"/>
  <c r="K1022" i="3"/>
  <c r="P1022" i="3"/>
  <c r="Q1022" i="3"/>
  <c r="R1022" i="3"/>
  <c r="G1017" i="3"/>
  <c r="H1017" i="3"/>
  <c r="I1017" i="3"/>
  <c r="J1017" i="3"/>
  <c r="K1017" i="3"/>
  <c r="L1017" i="3"/>
  <c r="N1017" i="3"/>
  <c r="O1017" i="3"/>
  <c r="P1017" i="3"/>
  <c r="Q1017" i="3"/>
  <c r="R1017" i="3"/>
  <c r="F1024" i="3" l="1"/>
  <c r="J1023" i="3"/>
  <c r="N1023" i="3"/>
  <c r="O1023" i="3"/>
  <c r="I1023" i="3"/>
  <c r="L1023" i="3"/>
  <c r="P1023" i="3"/>
  <c r="R1023" i="3"/>
  <c r="K1023" i="3"/>
  <c r="Q1023" i="3"/>
  <c r="G1023" i="3"/>
  <c r="H1023" i="3"/>
  <c r="F1025" i="3" l="1"/>
  <c r="P1024" i="3"/>
  <c r="G1024" i="3"/>
  <c r="O1024" i="3"/>
  <c r="J1024" i="3"/>
  <c r="H1024" i="3"/>
  <c r="I1024" i="3"/>
  <c r="L1024" i="3"/>
  <c r="N1024" i="3"/>
  <c r="K1024" i="3"/>
  <c r="Q1024" i="3"/>
  <c r="R1024" i="3"/>
  <c r="F1026" i="3" l="1"/>
  <c r="G1025" i="3"/>
  <c r="H1025" i="3"/>
  <c r="L1025" i="3"/>
  <c r="O1025" i="3"/>
  <c r="Q1025" i="3"/>
  <c r="P1025" i="3"/>
  <c r="R1025" i="3"/>
  <c r="N1025" i="3"/>
  <c r="J1025" i="3"/>
  <c r="I1025" i="3"/>
  <c r="K1025" i="3"/>
  <c r="F1027" i="3" l="1"/>
  <c r="I1026" i="3"/>
  <c r="L1026" i="3"/>
  <c r="N1026" i="3"/>
  <c r="R1026" i="3"/>
  <c r="H1026" i="3"/>
  <c r="J1026" i="3"/>
  <c r="K1026" i="3"/>
  <c r="G1026" i="3"/>
  <c r="P1026" i="3"/>
  <c r="Q1026" i="3"/>
  <c r="O1026" i="3"/>
  <c r="F1028" i="3" l="1"/>
  <c r="O1027" i="3"/>
  <c r="R1027" i="3"/>
  <c r="N1027" i="3"/>
  <c r="P1027" i="3"/>
  <c r="Q1027" i="3"/>
  <c r="L1027" i="3"/>
  <c r="H1027" i="3"/>
  <c r="I1027" i="3"/>
  <c r="J1027" i="3"/>
  <c r="G1027" i="3"/>
  <c r="K1027" i="3"/>
  <c r="F1029" i="3" l="1"/>
  <c r="G1028" i="3"/>
  <c r="K1028" i="3"/>
  <c r="N1028" i="3"/>
  <c r="H1028" i="3"/>
  <c r="J1028" i="3"/>
  <c r="L1028" i="3"/>
  <c r="P1028" i="3"/>
  <c r="Q1028" i="3"/>
  <c r="I1028" i="3"/>
  <c r="O1028" i="3"/>
  <c r="R1028" i="3"/>
  <c r="J1029" i="3" l="1"/>
  <c r="F1030" i="3"/>
  <c r="H1029" i="3"/>
  <c r="N1029" i="3"/>
  <c r="K1029" i="3"/>
  <c r="Q1029" i="3"/>
  <c r="G1029" i="3"/>
  <c r="L1029" i="3"/>
  <c r="O1029" i="3"/>
  <c r="R1029" i="3"/>
  <c r="P1029" i="3"/>
  <c r="I1029" i="3"/>
  <c r="F1031" i="3" l="1"/>
  <c r="O1030" i="3"/>
  <c r="P1030" i="3"/>
  <c r="L1030" i="3"/>
  <c r="H1030" i="3"/>
  <c r="Q1030" i="3"/>
  <c r="R1030" i="3"/>
  <c r="N1030" i="3"/>
  <c r="G1030" i="3"/>
  <c r="I1030" i="3"/>
  <c r="J1030" i="3"/>
  <c r="K1030" i="3"/>
  <c r="F1032" i="3" l="1"/>
  <c r="L1031" i="3"/>
  <c r="H1031" i="3"/>
  <c r="I1031" i="3"/>
  <c r="O1031" i="3"/>
  <c r="K1031" i="3"/>
  <c r="P1031" i="3"/>
  <c r="G1031" i="3"/>
  <c r="N1031" i="3"/>
  <c r="R1031" i="3"/>
  <c r="J1031" i="3"/>
  <c r="Q1031" i="3"/>
  <c r="F1033" i="3" l="1"/>
  <c r="H1032" i="3"/>
  <c r="K1032" i="3"/>
  <c r="P1032" i="3"/>
  <c r="L1032" i="3"/>
  <c r="J1032" i="3"/>
  <c r="I1032" i="3"/>
  <c r="R1032" i="3"/>
  <c r="G1032" i="3"/>
  <c r="Q1032" i="3"/>
  <c r="O1032" i="3"/>
  <c r="N1032" i="3"/>
  <c r="F1034" i="3" l="1"/>
  <c r="N1033" i="3"/>
  <c r="G1033" i="3"/>
  <c r="H1033" i="3"/>
  <c r="L1033" i="3"/>
  <c r="P1033" i="3"/>
  <c r="R1033" i="3"/>
  <c r="O1033" i="3"/>
  <c r="Q1033" i="3"/>
  <c r="K1033" i="3"/>
  <c r="I1033" i="3"/>
  <c r="J1033" i="3"/>
  <c r="F1035" i="3" l="1"/>
  <c r="N1034" i="3"/>
  <c r="G1034" i="3"/>
  <c r="K1034" i="3"/>
  <c r="R1034" i="3"/>
  <c r="J1034" i="3"/>
  <c r="P1034" i="3"/>
  <c r="H1034" i="3"/>
  <c r="L1034" i="3"/>
  <c r="Q1034" i="3"/>
  <c r="O1034" i="3"/>
  <c r="I1034" i="3"/>
  <c r="F1036" i="3" l="1"/>
  <c r="G1035" i="3"/>
  <c r="O1035" i="3"/>
  <c r="K1035" i="3"/>
  <c r="R1035" i="3"/>
  <c r="I1035" i="3"/>
  <c r="H1035" i="3"/>
  <c r="J1035" i="3"/>
  <c r="Q1035" i="3"/>
  <c r="N1035" i="3"/>
  <c r="L1035" i="3"/>
  <c r="P1035" i="3"/>
  <c r="F1037" i="3" l="1"/>
  <c r="L1036" i="3"/>
  <c r="H1036" i="3"/>
  <c r="G1036" i="3"/>
  <c r="Q1036" i="3"/>
  <c r="J1036" i="3"/>
  <c r="K1036" i="3"/>
  <c r="O1036" i="3"/>
  <c r="P1036" i="3"/>
  <c r="R1036" i="3"/>
  <c r="N1036" i="3"/>
  <c r="I1036" i="3"/>
  <c r="F1038" i="3" l="1"/>
  <c r="R1037" i="3"/>
  <c r="O1037" i="3"/>
  <c r="J1037" i="3"/>
  <c r="P1037" i="3"/>
  <c r="I1037" i="3"/>
  <c r="G1037" i="3"/>
  <c r="K1037" i="3"/>
  <c r="N1037" i="3"/>
  <c r="H1037" i="3"/>
  <c r="L1037" i="3"/>
  <c r="Q1037" i="3"/>
  <c r="F1039" i="3" l="1"/>
  <c r="R1038" i="3"/>
  <c r="O1038" i="3"/>
  <c r="I1038" i="3"/>
  <c r="K1038" i="3"/>
  <c r="N1038" i="3"/>
  <c r="G1038" i="3"/>
  <c r="J1038" i="3"/>
  <c r="L1038" i="3"/>
  <c r="Q1038" i="3"/>
  <c r="H1038" i="3"/>
  <c r="P1038" i="3"/>
  <c r="F1040" i="3" l="1"/>
  <c r="I1039" i="3"/>
  <c r="K1039" i="3"/>
  <c r="H1039" i="3"/>
  <c r="R1039" i="3"/>
  <c r="L1039" i="3"/>
  <c r="N1039" i="3"/>
  <c r="O1039" i="3"/>
  <c r="P1039" i="3"/>
  <c r="J1039" i="3"/>
  <c r="Q1039" i="3"/>
  <c r="G1039" i="3"/>
  <c r="F1041" i="3" l="1"/>
  <c r="O1040" i="3"/>
  <c r="L1040" i="3"/>
  <c r="R1040" i="3"/>
  <c r="K1040" i="3"/>
  <c r="N1040" i="3"/>
  <c r="Q1040" i="3"/>
  <c r="G1040" i="3"/>
  <c r="I1040" i="3"/>
  <c r="P1040" i="3"/>
  <c r="H1040" i="3"/>
  <c r="J1040" i="3"/>
  <c r="F1042" i="3" l="1"/>
  <c r="G1041" i="3"/>
  <c r="O1041" i="3"/>
  <c r="L1041" i="3"/>
  <c r="R1041" i="3"/>
  <c r="Q1041" i="3"/>
  <c r="N1041" i="3"/>
  <c r="I1041" i="3"/>
  <c r="J1041" i="3"/>
  <c r="H1041" i="3"/>
  <c r="K1041" i="3"/>
  <c r="P1041" i="3"/>
  <c r="F1043" i="3" l="1"/>
  <c r="H1042" i="3"/>
  <c r="G1042" i="3"/>
  <c r="L1042" i="3"/>
  <c r="J1042" i="3"/>
  <c r="P1042" i="3"/>
  <c r="Q1042" i="3"/>
  <c r="I1042" i="3"/>
  <c r="K1042" i="3"/>
  <c r="O1042" i="3"/>
  <c r="R1042" i="3"/>
  <c r="N1042" i="3"/>
  <c r="F1044" i="3" l="1"/>
  <c r="N1043" i="3"/>
  <c r="O1043" i="3"/>
  <c r="K1043" i="3"/>
  <c r="G1043" i="3"/>
  <c r="P1043" i="3"/>
  <c r="H1043" i="3"/>
  <c r="J1043" i="3"/>
  <c r="I1043" i="3"/>
  <c r="L1043" i="3"/>
  <c r="Q1043" i="3"/>
  <c r="R1043" i="3"/>
  <c r="F1045" i="3" l="1"/>
  <c r="G1044" i="3"/>
  <c r="H1044" i="3"/>
  <c r="L1044" i="3"/>
  <c r="Q1044" i="3"/>
  <c r="O1044" i="3"/>
  <c r="P1044" i="3"/>
  <c r="R1044" i="3"/>
  <c r="N1044" i="3"/>
  <c r="J1044" i="3"/>
  <c r="I1044" i="3"/>
  <c r="K1044" i="3"/>
  <c r="F1046" i="3" l="1"/>
  <c r="G1045" i="3"/>
  <c r="I1045" i="3"/>
  <c r="N1045" i="3"/>
  <c r="Q1045" i="3"/>
  <c r="J1045" i="3"/>
  <c r="H1045" i="3"/>
  <c r="R1045" i="3"/>
  <c r="L1045" i="3"/>
  <c r="P1045" i="3"/>
  <c r="K1045" i="3"/>
  <c r="O1045" i="3"/>
  <c r="F1047" i="3" l="1"/>
  <c r="L1046" i="3"/>
  <c r="P1046" i="3"/>
  <c r="I1046" i="3"/>
  <c r="H1046" i="3"/>
  <c r="N1046" i="3"/>
  <c r="J1046" i="3"/>
  <c r="K1046" i="3"/>
  <c r="Q1046" i="3"/>
  <c r="R1046" i="3"/>
  <c r="G1046" i="3"/>
  <c r="O1046" i="3"/>
  <c r="F1048" i="3" l="1"/>
  <c r="R1047" i="3"/>
  <c r="H1047" i="3"/>
  <c r="N1047" i="3"/>
  <c r="G1047" i="3"/>
  <c r="I1047" i="3"/>
  <c r="K1047" i="3"/>
  <c r="L1047" i="3"/>
  <c r="O1047" i="3"/>
  <c r="P1047" i="3"/>
  <c r="J1047" i="3"/>
  <c r="Q1047" i="3"/>
  <c r="F1049" i="3" l="1"/>
  <c r="J1048" i="3"/>
  <c r="O1048" i="3"/>
  <c r="G1048" i="3"/>
  <c r="Q1048" i="3"/>
  <c r="H1048" i="3"/>
  <c r="I1048" i="3"/>
  <c r="L1048" i="3"/>
  <c r="P1048" i="3"/>
  <c r="K1048" i="3"/>
  <c r="N1048" i="3"/>
  <c r="R1048" i="3"/>
  <c r="F1050" i="3" l="1"/>
  <c r="K1049" i="3"/>
  <c r="Q1049" i="3"/>
  <c r="J1049" i="3"/>
  <c r="P1049" i="3"/>
  <c r="I1049" i="3"/>
  <c r="N1049" i="3"/>
  <c r="H1049" i="3"/>
  <c r="L1049" i="3"/>
  <c r="R1049" i="3"/>
  <c r="O1049" i="3"/>
  <c r="G1049" i="3"/>
  <c r="F1051" i="3" l="1"/>
  <c r="Q1050" i="3"/>
  <c r="I1050" i="3"/>
  <c r="N1050" i="3"/>
  <c r="J1050" i="3"/>
  <c r="H1050" i="3"/>
  <c r="K1050" i="3"/>
  <c r="L1050" i="3"/>
  <c r="P1050" i="3"/>
  <c r="G1050" i="3"/>
  <c r="O1050" i="3"/>
  <c r="R1050" i="3"/>
  <c r="F1052" i="3" l="1"/>
  <c r="K1051" i="3"/>
  <c r="P1051" i="3"/>
  <c r="H1051" i="3"/>
  <c r="N1051" i="3"/>
  <c r="L1051" i="3"/>
  <c r="Q1051" i="3"/>
  <c r="G1051" i="3"/>
  <c r="J1051" i="3"/>
  <c r="O1051" i="3"/>
  <c r="R1051" i="3"/>
  <c r="I1051" i="3"/>
  <c r="F1053" i="3" l="1"/>
  <c r="J1052" i="3"/>
  <c r="R1052" i="3"/>
  <c r="Q1052" i="3"/>
  <c r="K1052" i="3"/>
  <c r="L1052" i="3"/>
  <c r="P1052" i="3"/>
  <c r="O1052" i="3"/>
  <c r="I1052" i="3"/>
  <c r="N1052" i="3"/>
  <c r="H1052" i="3"/>
  <c r="G1052" i="3"/>
  <c r="F1054" i="3" l="1"/>
  <c r="J1053" i="3"/>
  <c r="K1053" i="3"/>
  <c r="O1053" i="3"/>
  <c r="Q1053" i="3"/>
  <c r="G1053" i="3"/>
  <c r="H1053" i="3"/>
  <c r="L1053" i="3"/>
  <c r="P1053" i="3"/>
  <c r="I1053" i="3"/>
  <c r="R1053" i="3"/>
  <c r="N1053" i="3"/>
  <c r="F1055" i="3" l="1"/>
  <c r="K1054" i="3"/>
  <c r="P1054" i="3"/>
  <c r="N1054" i="3"/>
  <c r="G1054" i="3"/>
  <c r="L1054" i="3"/>
  <c r="H1054" i="3"/>
  <c r="I1054" i="3"/>
  <c r="J1054" i="3"/>
  <c r="O1054" i="3"/>
  <c r="Q1054" i="3"/>
  <c r="R1054" i="3"/>
  <c r="F1056" i="3" l="1"/>
  <c r="Q1055" i="3"/>
  <c r="G1055" i="3"/>
  <c r="O1055" i="3"/>
  <c r="N1055" i="3"/>
  <c r="R1055" i="3"/>
  <c r="J1055" i="3"/>
  <c r="K1055" i="3"/>
  <c r="L1055" i="3"/>
  <c r="I1055" i="3"/>
  <c r="H1055" i="3"/>
  <c r="P1055" i="3"/>
  <c r="F1057" i="3" l="1"/>
  <c r="I1056" i="3"/>
  <c r="J1056" i="3"/>
  <c r="O1056" i="3"/>
  <c r="G1056" i="3"/>
  <c r="K1056" i="3"/>
  <c r="N1056" i="3"/>
  <c r="R1056" i="3"/>
  <c r="H1056" i="3"/>
  <c r="Q1056" i="3"/>
  <c r="P1056" i="3"/>
  <c r="L1056" i="3"/>
  <c r="F1058" i="3" l="1"/>
  <c r="J1057" i="3"/>
  <c r="O1057" i="3"/>
  <c r="R1057" i="3"/>
  <c r="K1057" i="3"/>
  <c r="P1057" i="3"/>
  <c r="N1057" i="3"/>
  <c r="Q1057" i="3"/>
  <c r="L1057" i="3"/>
  <c r="G1057" i="3"/>
  <c r="H1057" i="3"/>
  <c r="I1057" i="3"/>
  <c r="F1059" i="3" l="1"/>
  <c r="P1058" i="3"/>
  <c r="J1058" i="3"/>
  <c r="G1058" i="3"/>
  <c r="H1058" i="3"/>
  <c r="K1058" i="3"/>
  <c r="N1058" i="3"/>
  <c r="Q1058" i="3"/>
  <c r="L1058" i="3"/>
  <c r="O1058" i="3"/>
  <c r="R1058" i="3"/>
  <c r="I1058" i="3"/>
  <c r="F1060" i="3" l="1"/>
  <c r="H1059" i="3"/>
  <c r="N1059" i="3"/>
  <c r="R1059" i="3"/>
  <c r="G1059" i="3"/>
  <c r="P1059" i="3"/>
  <c r="Q1059" i="3"/>
  <c r="O1059" i="3"/>
  <c r="J1059" i="3"/>
  <c r="K1059" i="3"/>
  <c r="L1059" i="3"/>
  <c r="I1059" i="3"/>
  <c r="F1061" i="3" l="1"/>
  <c r="I1060" i="3"/>
  <c r="N1060" i="3"/>
  <c r="P1060" i="3"/>
  <c r="G1060" i="3"/>
  <c r="H1060" i="3"/>
  <c r="J1060" i="3"/>
  <c r="K1060" i="3"/>
  <c r="O1060" i="3"/>
  <c r="R1060" i="3"/>
  <c r="L1060" i="3"/>
  <c r="Q1060" i="3"/>
  <c r="F1062" i="3" l="1"/>
  <c r="O1061" i="3"/>
  <c r="I1061" i="3"/>
  <c r="N1061" i="3"/>
  <c r="Q1061" i="3"/>
  <c r="H1061" i="3"/>
  <c r="J1061" i="3"/>
  <c r="K1061" i="3"/>
  <c r="G1061" i="3"/>
  <c r="P1061" i="3"/>
  <c r="R1061" i="3"/>
  <c r="L1061" i="3"/>
  <c r="F1063" i="3" l="1"/>
  <c r="P1062" i="3"/>
  <c r="J1062" i="3"/>
  <c r="G1062" i="3"/>
  <c r="K1062" i="3"/>
  <c r="L1062" i="3"/>
  <c r="N1062" i="3"/>
  <c r="Q1062" i="3"/>
  <c r="I1062" i="3"/>
  <c r="H1062" i="3"/>
  <c r="R1062" i="3"/>
  <c r="O1062" i="3"/>
  <c r="F1064" i="3" l="1"/>
  <c r="H1063" i="3"/>
  <c r="I1063" i="3"/>
  <c r="Q1063" i="3"/>
  <c r="O1063" i="3"/>
  <c r="R1063" i="3"/>
  <c r="G1063" i="3"/>
  <c r="K1063" i="3"/>
  <c r="N1063" i="3"/>
  <c r="P1063" i="3"/>
  <c r="L1063" i="3"/>
  <c r="J1063" i="3"/>
  <c r="F1065" i="3" l="1"/>
  <c r="N1064" i="3"/>
  <c r="J1064" i="3"/>
  <c r="P1064" i="3"/>
  <c r="L1064" i="3"/>
  <c r="O1064" i="3"/>
  <c r="Q1064" i="3"/>
  <c r="K1064" i="3"/>
  <c r="G1064" i="3"/>
  <c r="I1064" i="3"/>
  <c r="R1064" i="3"/>
  <c r="H1064" i="3"/>
  <c r="F1066" i="3" l="1"/>
  <c r="Q1065" i="3"/>
  <c r="K1065" i="3"/>
  <c r="N1065" i="3"/>
  <c r="P1065" i="3"/>
  <c r="G1065" i="3"/>
  <c r="I1065" i="3"/>
  <c r="L1065" i="3"/>
  <c r="H1065" i="3"/>
  <c r="J1065" i="3"/>
  <c r="O1065" i="3"/>
  <c r="R1065" i="3"/>
  <c r="F1067" i="3" l="1"/>
  <c r="G1066" i="3"/>
  <c r="J1066" i="3"/>
  <c r="R1066" i="3"/>
  <c r="O1066" i="3"/>
  <c r="P1066" i="3"/>
  <c r="Q1066" i="3"/>
  <c r="N1066" i="3"/>
  <c r="I1066" i="3"/>
  <c r="K1066" i="3"/>
  <c r="H1066" i="3"/>
  <c r="L1066" i="3"/>
  <c r="F1068" i="3" l="1"/>
  <c r="L1067" i="3"/>
  <c r="K1067" i="3"/>
  <c r="Q1067" i="3"/>
  <c r="N1067" i="3"/>
  <c r="P1067" i="3"/>
  <c r="H1067" i="3"/>
  <c r="J1067" i="3"/>
  <c r="R1067" i="3"/>
  <c r="O1067" i="3"/>
  <c r="G1067" i="3"/>
  <c r="I1067" i="3"/>
  <c r="F1069" i="3" l="1"/>
  <c r="R1068" i="3"/>
  <c r="L1068" i="3"/>
  <c r="P1068" i="3"/>
  <c r="Q1068" i="3"/>
  <c r="O1068" i="3"/>
  <c r="N1068" i="3"/>
  <c r="H1068" i="3"/>
  <c r="K1068" i="3"/>
  <c r="J1068" i="3"/>
  <c r="G1068" i="3"/>
  <c r="I1068" i="3"/>
  <c r="F1070" i="3" l="1"/>
  <c r="G1069" i="3"/>
  <c r="K1069" i="3"/>
  <c r="L1069" i="3"/>
  <c r="O1069" i="3"/>
  <c r="H1069" i="3"/>
  <c r="J1069" i="3"/>
  <c r="P1069" i="3"/>
  <c r="R1069" i="3"/>
  <c r="I1069" i="3"/>
  <c r="N1069" i="3"/>
  <c r="Q1069" i="3"/>
  <c r="F1071" i="3" l="1"/>
  <c r="K1070" i="3"/>
  <c r="N1070" i="3"/>
  <c r="R1070" i="3"/>
  <c r="G1070" i="3"/>
  <c r="Q1070" i="3"/>
  <c r="I1070" i="3"/>
  <c r="H1070" i="3"/>
  <c r="J1070" i="3"/>
  <c r="L1070" i="3"/>
  <c r="O1070" i="3"/>
  <c r="P1070" i="3"/>
  <c r="F1072" i="3" l="1"/>
  <c r="Q1071" i="3"/>
  <c r="N1071" i="3"/>
  <c r="J1071" i="3"/>
  <c r="L1071" i="3"/>
  <c r="G1071" i="3"/>
  <c r="H1071" i="3"/>
  <c r="I1071" i="3"/>
  <c r="O1071" i="3"/>
  <c r="R1071" i="3"/>
  <c r="K1071" i="3"/>
  <c r="P1071" i="3"/>
  <c r="F1073" i="3" l="1"/>
  <c r="H1072" i="3"/>
  <c r="L1072" i="3"/>
  <c r="I1072" i="3"/>
  <c r="R1072" i="3"/>
  <c r="O1072" i="3"/>
  <c r="P1072" i="3"/>
  <c r="G1072" i="3"/>
  <c r="K1072" i="3"/>
  <c r="Q1072" i="3"/>
  <c r="J1072" i="3"/>
  <c r="N1072" i="3"/>
  <c r="F1074" i="3" l="1"/>
  <c r="J1073" i="3"/>
  <c r="O1073" i="3"/>
  <c r="H1073" i="3"/>
  <c r="I1073" i="3"/>
  <c r="L1073" i="3"/>
  <c r="G1073" i="3"/>
  <c r="K1073" i="3"/>
  <c r="N1073" i="3"/>
  <c r="Q1073" i="3"/>
  <c r="R1073" i="3"/>
  <c r="P1073" i="3"/>
  <c r="F1075" i="3" l="1"/>
  <c r="P1074" i="3"/>
  <c r="G1074" i="3"/>
  <c r="O1074" i="3"/>
  <c r="H1074" i="3"/>
  <c r="J1074" i="3"/>
  <c r="I1074" i="3"/>
  <c r="K1074" i="3"/>
  <c r="L1074" i="3"/>
  <c r="Q1074" i="3"/>
  <c r="R1074" i="3"/>
  <c r="N1074" i="3"/>
  <c r="F1076" i="3" l="1"/>
  <c r="I1075" i="3"/>
  <c r="N1075" i="3"/>
  <c r="H1075" i="3"/>
  <c r="K1075" i="3"/>
  <c r="L1075" i="3"/>
  <c r="O1075" i="3"/>
  <c r="P1075" i="3"/>
  <c r="R1075" i="3"/>
  <c r="J1075" i="3"/>
  <c r="Q1075" i="3"/>
  <c r="G1075" i="3"/>
  <c r="F1077" i="3" l="1"/>
  <c r="I1076" i="3"/>
  <c r="P1076" i="3"/>
  <c r="J1076" i="3"/>
  <c r="H1076" i="3"/>
  <c r="L1076" i="3"/>
  <c r="O1076" i="3"/>
  <c r="Q1076" i="3"/>
  <c r="N1076" i="3"/>
  <c r="K1076" i="3"/>
  <c r="G1076" i="3"/>
  <c r="R1076" i="3"/>
  <c r="F1078" i="3" l="1"/>
  <c r="O1077" i="3"/>
  <c r="H1077" i="3"/>
  <c r="Q1077" i="3"/>
  <c r="G1077" i="3"/>
  <c r="J1077" i="3"/>
  <c r="N1077" i="3"/>
  <c r="P1077" i="3"/>
  <c r="R1077" i="3"/>
  <c r="L1077" i="3"/>
  <c r="I1077" i="3"/>
  <c r="K1077" i="3"/>
  <c r="F1079" i="3" l="1"/>
  <c r="J1078" i="3"/>
  <c r="O1078" i="3"/>
  <c r="R1078" i="3"/>
  <c r="H1078" i="3"/>
  <c r="K1078" i="3"/>
  <c r="N1078" i="3"/>
  <c r="G1078" i="3"/>
  <c r="Q1078" i="3"/>
  <c r="I1078" i="3"/>
  <c r="L1078" i="3"/>
  <c r="P1078" i="3"/>
  <c r="F1080" i="3" l="1"/>
  <c r="H1079" i="3"/>
  <c r="Q1079" i="3"/>
  <c r="K1079" i="3"/>
  <c r="I1079" i="3"/>
  <c r="P1079" i="3"/>
  <c r="R1079" i="3"/>
  <c r="O1079" i="3"/>
  <c r="L1079" i="3"/>
  <c r="G1079" i="3"/>
  <c r="J1079" i="3"/>
  <c r="N1079" i="3"/>
  <c r="F1081" i="3" l="1"/>
  <c r="N1080" i="3"/>
  <c r="I1080" i="3"/>
  <c r="R1080" i="3"/>
  <c r="Q1080" i="3"/>
  <c r="G1080" i="3"/>
  <c r="J1080" i="3"/>
  <c r="L1080" i="3"/>
  <c r="P1080" i="3"/>
  <c r="O1080" i="3"/>
  <c r="H1080" i="3"/>
  <c r="K1080" i="3"/>
  <c r="F1082" i="3" l="1"/>
  <c r="K1081" i="3"/>
  <c r="P1081" i="3"/>
  <c r="H1081" i="3"/>
  <c r="R1081" i="3"/>
  <c r="Q1081" i="3"/>
  <c r="G1081" i="3"/>
  <c r="N1081" i="3"/>
  <c r="O1081" i="3"/>
  <c r="J1081" i="3"/>
  <c r="I1081" i="3"/>
  <c r="L1081" i="3"/>
  <c r="F1083" i="3" l="1"/>
  <c r="G1082" i="3"/>
  <c r="R1082" i="3"/>
  <c r="L1082" i="3"/>
  <c r="P1082" i="3"/>
  <c r="H1082" i="3"/>
  <c r="I1082" i="3"/>
  <c r="K1082" i="3"/>
  <c r="O1082" i="3"/>
  <c r="J1082" i="3"/>
  <c r="N1082" i="3"/>
  <c r="Q1082" i="3"/>
  <c r="F1084" i="3" l="1"/>
  <c r="L1083" i="3"/>
  <c r="J1083" i="3"/>
  <c r="G1083" i="3"/>
  <c r="H1083" i="3"/>
  <c r="R1083" i="3"/>
  <c r="N1083" i="3"/>
  <c r="Q1083" i="3"/>
  <c r="P1083" i="3"/>
  <c r="O1083" i="3"/>
  <c r="K1083" i="3"/>
  <c r="I1083" i="3"/>
  <c r="F1085" i="3" l="1"/>
  <c r="R1084" i="3"/>
  <c r="L1084" i="3"/>
  <c r="Q1084" i="3"/>
  <c r="G1084" i="3"/>
  <c r="O1084" i="3"/>
  <c r="H1084" i="3"/>
  <c r="I1084" i="3"/>
  <c r="J1084" i="3"/>
  <c r="N1084" i="3"/>
  <c r="K1084" i="3"/>
  <c r="P1084" i="3"/>
  <c r="F1086" i="3" l="1"/>
  <c r="N1085" i="3"/>
  <c r="G1085" i="3"/>
  <c r="J1085" i="3"/>
  <c r="L1085" i="3"/>
  <c r="H1085" i="3"/>
  <c r="K1085" i="3"/>
  <c r="O1085" i="3"/>
  <c r="R1085" i="3"/>
  <c r="I1085" i="3"/>
  <c r="P1085" i="3"/>
  <c r="Q1085" i="3"/>
  <c r="F1087" i="3" l="1"/>
  <c r="K1086" i="3"/>
  <c r="G1086" i="3"/>
  <c r="L1086" i="3"/>
  <c r="O1086" i="3"/>
  <c r="Q1086" i="3"/>
  <c r="I1086" i="3"/>
  <c r="J1086" i="3"/>
  <c r="N1086" i="3"/>
  <c r="R1086" i="3"/>
  <c r="H1086" i="3"/>
  <c r="P1086" i="3"/>
  <c r="F1088" i="3" l="1"/>
  <c r="Q1087" i="3"/>
  <c r="N1087" i="3"/>
  <c r="H1087" i="3"/>
  <c r="K1087" i="3"/>
  <c r="P1087" i="3"/>
  <c r="R1087" i="3"/>
  <c r="I1087" i="3"/>
  <c r="G1087" i="3"/>
  <c r="J1087" i="3"/>
  <c r="L1087" i="3"/>
  <c r="O1087" i="3"/>
  <c r="F1089" i="3" l="1"/>
  <c r="G1088" i="3"/>
  <c r="O1088" i="3"/>
  <c r="L1088" i="3"/>
  <c r="P1088" i="3"/>
  <c r="K1088" i="3"/>
  <c r="N1088" i="3"/>
  <c r="Q1088" i="3"/>
  <c r="J1088" i="3"/>
  <c r="R1088" i="3"/>
  <c r="H1088" i="3"/>
  <c r="I1088" i="3"/>
  <c r="F1090" i="3" l="1"/>
  <c r="J1089" i="3"/>
  <c r="H1089" i="3"/>
  <c r="N1089" i="3"/>
  <c r="G1089" i="3"/>
  <c r="O1089" i="3"/>
  <c r="I1089" i="3"/>
  <c r="K1089" i="3"/>
  <c r="L1089" i="3"/>
  <c r="Q1089" i="3"/>
  <c r="R1089" i="3"/>
  <c r="P1089" i="3"/>
  <c r="F1091" i="3" l="1"/>
  <c r="P1090" i="3"/>
  <c r="O1090" i="3"/>
  <c r="J1090" i="3"/>
  <c r="L1090" i="3"/>
  <c r="N1090" i="3"/>
  <c r="Q1090" i="3"/>
  <c r="R1090" i="3"/>
  <c r="K1090" i="3"/>
  <c r="H1090" i="3"/>
  <c r="G1090" i="3"/>
  <c r="I1090" i="3"/>
  <c r="F1092" i="3" l="1"/>
  <c r="R1091" i="3"/>
  <c r="H1091" i="3"/>
  <c r="L1091" i="3"/>
  <c r="J1091" i="3"/>
  <c r="K1091" i="3"/>
  <c r="Q1091" i="3"/>
  <c r="I1091" i="3"/>
  <c r="O1091" i="3"/>
  <c r="G1091" i="3"/>
  <c r="P1091" i="3"/>
  <c r="N1091" i="3"/>
  <c r="F1093" i="3" l="1"/>
  <c r="I1092" i="3"/>
  <c r="J1092" i="3"/>
  <c r="H1092" i="3"/>
  <c r="N1092" i="3"/>
  <c r="O1092" i="3"/>
  <c r="P1092" i="3"/>
  <c r="R1092" i="3"/>
  <c r="L1092" i="3"/>
  <c r="Q1092" i="3"/>
  <c r="G1092" i="3"/>
  <c r="K1092" i="3"/>
  <c r="F1094" i="3" l="1"/>
  <c r="O1093" i="3"/>
  <c r="Q1093" i="3"/>
  <c r="N1093" i="3"/>
  <c r="R1093" i="3"/>
  <c r="J1093" i="3"/>
  <c r="K1093" i="3"/>
  <c r="H1093" i="3"/>
  <c r="I1093" i="3"/>
  <c r="P1093" i="3"/>
  <c r="G1093" i="3"/>
  <c r="L1093" i="3"/>
  <c r="F1095" i="3" l="1"/>
  <c r="K1094" i="3"/>
  <c r="L1094" i="3"/>
  <c r="N1094" i="3"/>
  <c r="P1094" i="3"/>
  <c r="J1094" i="3"/>
  <c r="H1094" i="3"/>
  <c r="I1094" i="3"/>
  <c r="G1094" i="3"/>
  <c r="Q1094" i="3"/>
  <c r="R1094" i="3"/>
  <c r="O1094" i="3"/>
  <c r="F1096" i="3" l="1"/>
  <c r="H1095" i="3"/>
  <c r="K1095" i="3"/>
  <c r="J1095" i="3"/>
  <c r="N1095" i="3"/>
  <c r="I1095" i="3"/>
  <c r="G1095" i="3"/>
  <c r="L1095" i="3"/>
  <c r="O1095" i="3"/>
  <c r="P1095" i="3"/>
  <c r="Q1095" i="3"/>
  <c r="R1095" i="3"/>
  <c r="F1097" i="3" l="1"/>
  <c r="N1096" i="3"/>
  <c r="R1096" i="3"/>
  <c r="I1096" i="3"/>
  <c r="J1096" i="3"/>
  <c r="K1096" i="3"/>
  <c r="O1096" i="3"/>
  <c r="H1096" i="3"/>
  <c r="L1096" i="3"/>
  <c r="Q1096" i="3"/>
  <c r="G1096" i="3"/>
  <c r="P1096" i="3"/>
  <c r="F1098" i="3" l="1"/>
  <c r="G1097" i="3"/>
  <c r="I1097" i="3"/>
  <c r="J1097" i="3"/>
  <c r="R1097" i="3"/>
  <c r="K1097" i="3"/>
  <c r="L1097" i="3"/>
  <c r="Q1097" i="3"/>
  <c r="H1097" i="3"/>
  <c r="N1097" i="3"/>
  <c r="P1097" i="3"/>
  <c r="O1097" i="3"/>
  <c r="F1099" i="3" l="1"/>
  <c r="G1098" i="3"/>
  <c r="L1098" i="3"/>
  <c r="O1098" i="3"/>
  <c r="Q1098" i="3"/>
  <c r="H1098" i="3"/>
  <c r="I1098" i="3"/>
  <c r="J1098" i="3"/>
  <c r="N1098" i="3"/>
  <c r="K1098" i="3"/>
  <c r="P1098" i="3"/>
  <c r="R1098" i="3"/>
  <c r="F1100" i="3" l="1"/>
  <c r="L1099" i="3"/>
  <c r="R1099" i="3"/>
  <c r="H1099" i="3"/>
  <c r="Q1099" i="3"/>
  <c r="K1099" i="3"/>
  <c r="I1099" i="3"/>
  <c r="N1099" i="3"/>
  <c r="O1099" i="3"/>
  <c r="G1099" i="3"/>
  <c r="J1099" i="3"/>
  <c r="P1099" i="3"/>
  <c r="F1101" i="3" l="1"/>
  <c r="R1100" i="3"/>
  <c r="G1100" i="3"/>
  <c r="J1100" i="3"/>
  <c r="L1100" i="3"/>
  <c r="H1100" i="3"/>
  <c r="I1100" i="3"/>
  <c r="N1100" i="3"/>
  <c r="K1100" i="3"/>
  <c r="O1100" i="3"/>
  <c r="P1100" i="3"/>
  <c r="Q1100" i="3"/>
  <c r="F1102" i="3" l="1"/>
  <c r="N1101" i="3"/>
  <c r="R1101" i="3"/>
  <c r="Q1101" i="3"/>
  <c r="G1101" i="3"/>
  <c r="P1101" i="3"/>
  <c r="I1101" i="3"/>
  <c r="J1101" i="3"/>
  <c r="K1101" i="3"/>
  <c r="O1101" i="3"/>
  <c r="H1101" i="3"/>
  <c r="L1101" i="3"/>
  <c r="F1103" i="3" l="1"/>
  <c r="K1102" i="3"/>
  <c r="H1102" i="3"/>
  <c r="G1102" i="3"/>
  <c r="I1102" i="3"/>
  <c r="L1102" i="3"/>
  <c r="Q1102" i="3"/>
  <c r="O1102" i="3"/>
  <c r="J1102" i="3"/>
  <c r="R1102" i="3"/>
  <c r="P1102" i="3"/>
  <c r="N1102" i="3"/>
  <c r="F1104" i="3" l="1"/>
  <c r="Q1103" i="3"/>
  <c r="H1103" i="3"/>
  <c r="N1103" i="3"/>
  <c r="P1103" i="3"/>
  <c r="R1103" i="3"/>
  <c r="O1103" i="3"/>
  <c r="I1103" i="3"/>
  <c r="J1103" i="3"/>
  <c r="G1103" i="3"/>
  <c r="K1103" i="3"/>
  <c r="L1103" i="3"/>
  <c r="F1105" i="3" l="1"/>
  <c r="O1104" i="3"/>
  <c r="G1104" i="3"/>
  <c r="H1104" i="3"/>
  <c r="J1104" i="3"/>
  <c r="P1104" i="3"/>
  <c r="K1104" i="3"/>
  <c r="R1104" i="3"/>
  <c r="L1104" i="3"/>
  <c r="I1104" i="3"/>
  <c r="N1104" i="3"/>
  <c r="Q1104" i="3"/>
  <c r="F1106" i="3" l="1"/>
  <c r="J1105" i="3"/>
  <c r="I1105" i="3"/>
  <c r="L1105" i="3"/>
  <c r="P1105" i="3"/>
  <c r="Q1105" i="3"/>
  <c r="R1105" i="3"/>
  <c r="O1105" i="3"/>
  <c r="K1105" i="3"/>
  <c r="G1105" i="3"/>
  <c r="H1105" i="3"/>
  <c r="N1105" i="3"/>
  <c r="F1107" i="3" l="1"/>
  <c r="P1106" i="3"/>
  <c r="I1106" i="3"/>
  <c r="R1106" i="3"/>
  <c r="H1106" i="3"/>
  <c r="N1106" i="3"/>
  <c r="K1106" i="3"/>
  <c r="L1106" i="3"/>
  <c r="G1106" i="3"/>
  <c r="J1106" i="3"/>
  <c r="O1106" i="3"/>
  <c r="Q1106" i="3"/>
  <c r="F1108" i="3" l="1"/>
  <c r="P1107" i="3"/>
  <c r="H1107" i="3"/>
  <c r="N1107" i="3"/>
  <c r="O1107" i="3"/>
  <c r="Q1107" i="3"/>
  <c r="L1107" i="3"/>
  <c r="I1107" i="3"/>
  <c r="J1107" i="3"/>
  <c r="K1107" i="3"/>
  <c r="R1107" i="3"/>
  <c r="G1107" i="3"/>
  <c r="F1109" i="3" l="1"/>
  <c r="I1108" i="3"/>
  <c r="N1108" i="3"/>
  <c r="P1108" i="3"/>
  <c r="G1108" i="3"/>
  <c r="L1108" i="3"/>
  <c r="O1108" i="3"/>
  <c r="R1108" i="3"/>
  <c r="H1108" i="3"/>
  <c r="J1108" i="3"/>
  <c r="Q1108" i="3"/>
  <c r="K1108" i="3"/>
  <c r="F1110" i="3" l="1"/>
  <c r="O1109" i="3"/>
  <c r="J1109" i="3"/>
  <c r="L1109" i="3"/>
  <c r="N1109" i="3"/>
  <c r="P1109" i="3"/>
  <c r="R1109" i="3"/>
  <c r="K1109" i="3"/>
  <c r="H1109" i="3"/>
  <c r="I1109" i="3"/>
  <c r="G1109" i="3"/>
  <c r="Q1109" i="3"/>
  <c r="F1111" i="3" l="1"/>
  <c r="Q1110" i="3"/>
  <c r="I1110" i="3"/>
  <c r="K1110" i="3"/>
  <c r="L1110" i="3"/>
  <c r="J1110" i="3"/>
  <c r="H1110" i="3"/>
  <c r="N1110" i="3"/>
  <c r="R1110" i="3"/>
  <c r="P1110" i="3"/>
  <c r="G1110" i="3"/>
  <c r="O1110" i="3"/>
  <c r="F1112" i="3" l="1"/>
  <c r="H1111" i="3"/>
  <c r="Q1111" i="3"/>
  <c r="K1111" i="3"/>
  <c r="L1111" i="3"/>
  <c r="N1111" i="3"/>
  <c r="P1111" i="3"/>
  <c r="J1111" i="3"/>
  <c r="O1111" i="3"/>
  <c r="G1111" i="3"/>
  <c r="I1111" i="3"/>
  <c r="R1111" i="3"/>
  <c r="F1113" i="3" l="1"/>
  <c r="N1112" i="3"/>
  <c r="K1112" i="3"/>
  <c r="G1112" i="3"/>
  <c r="J1112" i="3"/>
  <c r="L1112" i="3"/>
  <c r="R1112" i="3"/>
  <c r="Q1112" i="3"/>
  <c r="I1112" i="3"/>
  <c r="O1112" i="3"/>
  <c r="H1112" i="3"/>
  <c r="P1112" i="3"/>
  <c r="F1114" i="3" l="1"/>
  <c r="R1113" i="3"/>
  <c r="L1113" i="3"/>
  <c r="O1113" i="3"/>
  <c r="I1113" i="3"/>
  <c r="J1113" i="3"/>
  <c r="K1113" i="3"/>
  <c r="P1113" i="3"/>
  <c r="G1113" i="3"/>
  <c r="H1113" i="3"/>
  <c r="Q1113" i="3"/>
  <c r="N1113" i="3"/>
  <c r="F1115" i="3" l="1"/>
  <c r="G1114" i="3"/>
  <c r="O1114" i="3"/>
  <c r="P1114" i="3"/>
  <c r="J1114" i="3"/>
  <c r="H1114" i="3"/>
  <c r="N1114" i="3"/>
  <c r="K1114" i="3"/>
  <c r="I1114" i="3"/>
  <c r="R1114" i="3"/>
  <c r="Q1114" i="3"/>
  <c r="L1114" i="3"/>
  <c r="F1116" i="3" l="1"/>
  <c r="L1115" i="3"/>
  <c r="N1115" i="3"/>
  <c r="H1115" i="3"/>
  <c r="J1115" i="3"/>
  <c r="G1115" i="3"/>
  <c r="I1115" i="3"/>
  <c r="K1115" i="3"/>
  <c r="P1115" i="3"/>
  <c r="Q1115" i="3"/>
  <c r="O1115" i="3"/>
  <c r="R1115" i="3"/>
  <c r="F1117" i="3" l="1"/>
  <c r="R1116" i="3"/>
  <c r="Q1116" i="3"/>
  <c r="L1116" i="3"/>
  <c r="J1116" i="3"/>
  <c r="K1116" i="3"/>
  <c r="O1116" i="3"/>
  <c r="P1116" i="3"/>
  <c r="I1116" i="3"/>
  <c r="H1116" i="3"/>
  <c r="G1116" i="3"/>
  <c r="N1116" i="3"/>
  <c r="F1118" i="3" l="1"/>
  <c r="H1117" i="3"/>
  <c r="G1117" i="3"/>
  <c r="I1117" i="3"/>
  <c r="J1117" i="3"/>
  <c r="L1117" i="3"/>
  <c r="K1117" i="3"/>
  <c r="N1117" i="3"/>
  <c r="R1117" i="3"/>
  <c r="Q1117" i="3"/>
  <c r="O1117" i="3"/>
  <c r="P1117" i="3"/>
  <c r="F1119" i="3" l="1"/>
  <c r="K1118" i="3"/>
  <c r="O1118" i="3"/>
  <c r="P1118" i="3"/>
  <c r="Q1118" i="3"/>
  <c r="R1118" i="3"/>
  <c r="G1118" i="3"/>
  <c r="H1118" i="3"/>
  <c r="N1118" i="3"/>
  <c r="J1118" i="3"/>
  <c r="L1118" i="3"/>
  <c r="I1118" i="3"/>
  <c r="F1120" i="3" l="1"/>
  <c r="Q1119" i="3"/>
  <c r="G1119" i="3"/>
  <c r="I1119" i="3"/>
  <c r="N1119" i="3"/>
  <c r="O1119" i="3"/>
  <c r="H1119" i="3"/>
  <c r="L1119" i="3"/>
  <c r="P1119" i="3"/>
  <c r="K1119" i="3"/>
  <c r="J1119" i="3"/>
  <c r="R1119" i="3"/>
  <c r="F1121" i="3" l="1"/>
  <c r="I1120" i="3"/>
  <c r="K1120" i="3"/>
  <c r="N1120" i="3"/>
  <c r="O1120" i="3"/>
  <c r="P1120" i="3"/>
  <c r="R1120" i="3"/>
  <c r="H1120" i="3"/>
  <c r="G1120" i="3"/>
  <c r="J1120" i="3"/>
  <c r="L1120" i="3"/>
  <c r="Q1120" i="3"/>
  <c r="F1122" i="3" l="1"/>
  <c r="J1121" i="3"/>
  <c r="P1121" i="3"/>
  <c r="Q1121" i="3"/>
  <c r="R1121" i="3"/>
  <c r="K1121" i="3"/>
  <c r="H1121" i="3"/>
  <c r="L1121" i="3"/>
  <c r="N1121" i="3"/>
  <c r="G1121" i="3"/>
  <c r="I1121" i="3"/>
  <c r="O1121" i="3"/>
  <c r="F1123" i="3" l="1"/>
  <c r="P1122" i="3"/>
  <c r="G1122" i="3"/>
  <c r="J1122" i="3"/>
  <c r="K1122" i="3"/>
  <c r="L1122" i="3"/>
  <c r="O1122" i="3"/>
  <c r="Q1122" i="3"/>
  <c r="R1122" i="3"/>
  <c r="N1122" i="3"/>
  <c r="I1122" i="3"/>
  <c r="H1122" i="3"/>
  <c r="F1124" i="3" l="1"/>
  <c r="J1123" i="3"/>
  <c r="O1123" i="3"/>
  <c r="N1123" i="3"/>
  <c r="G1123" i="3"/>
  <c r="I1123" i="3"/>
  <c r="K1123" i="3"/>
  <c r="R1123" i="3"/>
  <c r="H1123" i="3"/>
  <c r="P1123" i="3"/>
  <c r="Q1123" i="3"/>
  <c r="L1123" i="3"/>
  <c r="F1125" i="3" l="1"/>
  <c r="I1124" i="3"/>
  <c r="Q1124" i="3"/>
  <c r="G1124" i="3"/>
  <c r="H1124" i="3"/>
  <c r="J1124" i="3"/>
  <c r="L1124" i="3"/>
  <c r="K1124" i="3"/>
  <c r="N1124" i="3"/>
  <c r="O1124" i="3"/>
  <c r="R1124" i="3"/>
  <c r="P1124" i="3"/>
  <c r="F1126" i="3" l="1"/>
  <c r="O1125" i="3"/>
  <c r="J1125" i="3"/>
  <c r="Q1125" i="3"/>
  <c r="R1125" i="3"/>
  <c r="G1125" i="3"/>
  <c r="P1125" i="3"/>
  <c r="L1125" i="3"/>
  <c r="H1125" i="3"/>
  <c r="I1125" i="3"/>
  <c r="K1125" i="3"/>
  <c r="N1125" i="3"/>
  <c r="F1127" i="3" l="1"/>
  <c r="K1126" i="3"/>
  <c r="R1126" i="3"/>
  <c r="G1126" i="3"/>
  <c r="I1126" i="3"/>
  <c r="O1126" i="3"/>
  <c r="P1126" i="3"/>
  <c r="H1126" i="3"/>
  <c r="L1126" i="3"/>
  <c r="N1126" i="3"/>
  <c r="J1126" i="3"/>
  <c r="Q1126" i="3"/>
  <c r="F1128" i="3" l="1"/>
  <c r="H1127" i="3"/>
  <c r="R1127" i="3"/>
  <c r="N1127" i="3"/>
  <c r="O1127" i="3"/>
  <c r="P1127" i="3"/>
  <c r="J1127" i="3"/>
  <c r="K1127" i="3"/>
  <c r="L1127" i="3"/>
  <c r="Q1127" i="3"/>
  <c r="G1127" i="3"/>
  <c r="I1127" i="3"/>
  <c r="F1129" i="3" l="1"/>
  <c r="N1128" i="3"/>
  <c r="O1128" i="3"/>
  <c r="G1128" i="3"/>
  <c r="R1128" i="3"/>
  <c r="K1128" i="3"/>
  <c r="P1128" i="3"/>
  <c r="L1128" i="3"/>
  <c r="I1128" i="3"/>
  <c r="J1128" i="3"/>
  <c r="Q1128" i="3"/>
  <c r="H1128" i="3"/>
  <c r="F1130" i="3" l="1"/>
  <c r="L1129" i="3"/>
  <c r="J1129" i="3"/>
  <c r="K1129" i="3"/>
  <c r="N1129" i="3"/>
  <c r="P1129" i="3"/>
  <c r="G1129" i="3"/>
  <c r="Q1129" i="3"/>
  <c r="H1129" i="3"/>
  <c r="O1129" i="3"/>
  <c r="R1129" i="3"/>
  <c r="I1129" i="3"/>
  <c r="F1131" i="3" l="1"/>
  <c r="G1130" i="3"/>
  <c r="J1130" i="3"/>
  <c r="O1130" i="3"/>
  <c r="L1130" i="3"/>
  <c r="P1130" i="3"/>
  <c r="Q1130" i="3"/>
  <c r="R1130" i="3"/>
  <c r="N1130" i="3"/>
  <c r="H1130" i="3"/>
  <c r="I1130" i="3"/>
  <c r="K1130" i="3"/>
  <c r="F1132" i="3" l="1"/>
  <c r="L1131" i="3"/>
  <c r="G1131" i="3"/>
  <c r="R1131" i="3"/>
  <c r="H1131" i="3"/>
  <c r="I1131" i="3"/>
  <c r="J1131" i="3"/>
  <c r="N1131" i="3"/>
  <c r="K1131" i="3"/>
  <c r="O1131" i="3"/>
  <c r="Q1131" i="3"/>
  <c r="P1131" i="3"/>
  <c r="F1133" i="3" l="1"/>
  <c r="R1132" i="3"/>
  <c r="N1132" i="3"/>
  <c r="Q1132" i="3"/>
  <c r="H1132" i="3"/>
  <c r="J1132" i="3"/>
  <c r="L1132" i="3"/>
  <c r="O1132" i="3"/>
  <c r="G1132" i="3"/>
  <c r="I1132" i="3"/>
  <c r="K1132" i="3"/>
  <c r="P1132" i="3"/>
  <c r="F1134" i="3" l="1"/>
  <c r="N1133" i="3"/>
  <c r="G1133" i="3"/>
  <c r="H1133" i="3"/>
  <c r="J1133" i="3"/>
  <c r="P1133" i="3"/>
  <c r="Q1133" i="3"/>
  <c r="I1133" i="3"/>
  <c r="O1133" i="3"/>
  <c r="L1133" i="3"/>
  <c r="K1133" i="3"/>
  <c r="R1133" i="3"/>
  <c r="F1135" i="3" l="1"/>
  <c r="K1134" i="3"/>
  <c r="H1134" i="3"/>
  <c r="O1134" i="3"/>
  <c r="P1134" i="3"/>
  <c r="Q1134" i="3"/>
  <c r="J1134" i="3"/>
  <c r="I1134" i="3"/>
  <c r="G1134" i="3"/>
  <c r="L1134" i="3"/>
  <c r="N1134" i="3"/>
  <c r="R1134" i="3"/>
  <c r="F1136" i="3" l="1"/>
  <c r="Q1135" i="3"/>
  <c r="O1135" i="3"/>
  <c r="I1135" i="3"/>
  <c r="G1135" i="3"/>
  <c r="L1135" i="3"/>
  <c r="K1135" i="3"/>
  <c r="P1135" i="3"/>
  <c r="R1135" i="3"/>
  <c r="H1135" i="3"/>
  <c r="J1135" i="3"/>
  <c r="N1135" i="3"/>
  <c r="F1137" i="3" l="1"/>
  <c r="Q1136" i="3"/>
  <c r="K1136" i="3"/>
  <c r="L1136" i="3"/>
  <c r="N1136" i="3"/>
  <c r="P1136" i="3"/>
  <c r="G1136" i="3"/>
  <c r="H1136" i="3"/>
  <c r="R1136" i="3"/>
  <c r="O1136" i="3"/>
  <c r="I1136" i="3"/>
  <c r="J1136" i="3"/>
  <c r="F1138" i="3" l="1"/>
  <c r="J1137" i="3"/>
  <c r="I1137" i="3"/>
  <c r="P1137" i="3"/>
  <c r="G1137" i="3"/>
  <c r="R1137" i="3"/>
  <c r="H1137" i="3"/>
  <c r="O1137" i="3"/>
  <c r="L1137" i="3"/>
  <c r="N1137" i="3"/>
  <c r="Q1137" i="3"/>
  <c r="K1137" i="3"/>
  <c r="F1139" i="3" l="1"/>
  <c r="P1138" i="3"/>
  <c r="Q1138" i="3"/>
  <c r="L1138" i="3"/>
  <c r="H1138" i="3"/>
  <c r="I1138" i="3"/>
  <c r="J1138" i="3"/>
  <c r="N1138" i="3"/>
  <c r="K1138" i="3"/>
  <c r="O1138" i="3"/>
  <c r="R1138" i="3"/>
  <c r="G1138" i="3"/>
  <c r="F1140" i="3" l="1"/>
  <c r="Q1139" i="3"/>
  <c r="R1139" i="3"/>
  <c r="I1139" i="3"/>
  <c r="H1139" i="3"/>
  <c r="J1139" i="3"/>
  <c r="O1139" i="3"/>
  <c r="P1139" i="3"/>
  <c r="G1139" i="3"/>
  <c r="K1139" i="3"/>
  <c r="N1139" i="3"/>
  <c r="L1139" i="3"/>
  <c r="F1141" i="3" l="1"/>
  <c r="I1140" i="3"/>
  <c r="K1140" i="3"/>
  <c r="H1140" i="3"/>
  <c r="G1140" i="3"/>
  <c r="L1140" i="3"/>
  <c r="Q1140" i="3"/>
  <c r="R1140" i="3"/>
  <c r="J1140" i="3"/>
  <c r="N1140" i="3"/>
  <c r="O1140" i="3"/>
  <c r="P1140" i="3"/>
  <c r="F1142" i="3" l="1"/>
  <c r="O1141" i="3"/>
  <c r="R1141" i="3"/>
  <c r="Q1141" i="3"/>
  <c r="N1141" i="3"/>
  <c r="P1141" i="3"/>
  <c r="J1141" i="3"/>
  <c r="L1141" i="3"/>
  <c r="I1141" i="3"/>
  <c r="G1141" i="3"/>
  <c r="H1141" i="3"/>
  <c r="K1141" i="3"/>
  <c r="F1143" i="3" l="1"/>
  <c r="G1142" i="3"/>
  <c r="I1142" i="3"/>
  <c r="R1142" i="3"/>
  <c r="N1142" i="3"/>
  <c r="J1142" i="3"/>
  <c r="K1142" i="3"/>
  <c r="Q1142" i="3"/>
  <c r="O1142" i="3"/>
  <c r="H1142" i="3"/>
  <c r="L1142" i="3"/>
  <c r="P1142" i="3"/>
  <c r="F1144" i="3" l="1"/>
  <c r="H1143" i="3"/>
  <c r="L1143" i="3"/>
  <c r="K1143" i="3"/>
  <c r="N1143" i="3"/>
  <c r="O1143" i="3"/>
  <c r="Q1143" i="3"/>
  <c r="G1143" i="3"/>
  <c r="R1143" i="3"/>
  <c r="J1143" i="3"/>
  <c r="P1143" i="3"/>
  <c r="I1143" i="3"/>
  <c r="F1145" i="3" l="1"/>
  <c r="N1144" i="3"/>
  <c r="O1144" i="3"/>
  <c r="L1144" i="3"/>
  <c r="Q1144" i="3"/>
  <c r="R1144" i="3"/>
  <c r="J1144" i="3"/>
  <c r="I1144" i="3"/>
  <c r="G1144" i="3"/>
  <c r="H1144" i="3"/>
  <c r="K1144" i="3"/>
  <c r="P1144" i="3"/>
  <c r="F1146" i="3" l="1"/>
  <c r="G1145" i="3"/>
  <c r="H1145" i="3"/>
  <c r="I1145" i="3"/>
  <c r="L1145" i="3"/>
  <c r="J1145" i="3"/>
  <c r="K1145" i="3"/>
  <c r="Q1145" i="3"/>
  <c r="R1145" i="3"/>
  <c r="O1145" i="3"/>
  <c r="P1145" i="3"/>
  <c r="N1145" i="3"/>
  <c r="F1147" i="3" l="1"/>
  <c r="G1146" i="3"/>
  <c r="N1146" i="3"/>
  <c r="P1146" i="3"/>
  <c r="Q1146" i="3"/>
  <c r="O1146" i="3"/>
  <c r="K1146" i="3"/>
  <c r="I1146" i="3"/>
  <c r="H1146" i="3"/>
  <c r="J1146" i="3"/>
  <c r="L1146" i="3"/>
  <c r="R1146" i="3"/>
  <c r="F1148" i="3" l="1"/>
  <c r="L1147" i="3"/>
  <c r="H1147" i="3"/>
  <c r="J1147" i="3"/>
  <c r="K1147" i="3"/>
  <c r="Q1147" i="3"/>
  <c r="N1147" i="3"/>
  <c r="P1147" i="3"/>
  <c r="R1147" i="3"/>
  <c r="G1147" i="3"/>
  <c r="I1147" i="3"/>
  <c r="O1147" i="3"/>
  <c r="F1149" i="3" l="1"/>
  <c r="R1148" i="3"/>
  <c r="H1148" i="3"/>
  <c r="K1148" i="3"/>
  <c r="L1148" i="3"/>
  <c r="P1148" i="3"/>
  <c r="Q1148" i="3"/>
  <c r="N1148" i="3"/>
  <c r="J1148" i="3"/>
  <c r="O1148" i="3"/>
  <c r="I1148" i="3"/>
  <c r="G1148" i="3"/>
  <c r="F1150" i="3" l="1"/>
  <c r="O1149" i="3"/>
  <c r="J1149" i="3"/>
  <c r="K1149" i="3"/>
  <c r="Q1149" i="3"/>
  <c r="P1149" i="3"/>
  <c r="I1149" i="3"/>
  <c r="L1149" i="3"/>
  <c r="G1149" i="3"/>
  <c r="H1149" i="3"/>
  <c r="N1149" i="3"/>
  <c r="R1149" i="3"/>
  <c r="F1151" i="3" l="1"/>
  <c r="K1150" i="3"/>
  <c r="H1150" i="3"/>
  <c r="L1150" i="3"/>
  <c r="P1150" i="3"/>
  <c r="G1150" i="3"/>
  <c r="J1150" i="3"/>
  <c r="N1150" i="3"/>
  <c r="O1150" i="3"/>
  <c r="I1150" i="3"/>
  <c r="R1150" i="3"/>
  <c r="Q1150" i="3"/>
  <c r="F1152" i="3" l="1"/>
  <c r="Q1151" i="3"/>
  <c r="I1151" i="3"/>
  <c r="P1151" i="3"/>
  <c r="H1151" i="3"/>
  <c r="J1151" i="3"/>
  <c r="O1151" i="3"/>
  <c r="G1151" i="3"/>
  <c r="K1151" i="3"/>
  <c r="L1151" i="3"/>
  <c r="N1151" i="3"/>
  <c r="R1151" i="3"/>
  <c r="F1153" i="3" l="1"/>
  <c r="P1152" i="3"/>
  <c r="H1152" i="3"/>
  <c r="N1152" i="3"/>
  <c r="L1152" i="3"/>
  <c r="Q1152" i="3"/>
  <c r="J1152" i="3"/>
  <c r="R1152" i="3"/>
  <c r="G1152" i="3"/>
  <c r="I1152" i="3"/>
  <c r="K1152" i="3"/>
  <c r="O1152" i="3"/>
  <c r="F1154" i="3" l="1"/>
  <c r="J1153" i="3"/>
  <c r="L1153" i="3"/>
  <c r="P1153" i="3"/>
  <c r="G1153" i="3"/>
  <c r="H1153" i="3"/>
  <c r="O1153" i="3"/>
  <c r="Q1153" i="3"/>
  <c r="I1153" i="3"/>
  <c r="N1153" i="3"/>
  <c r="R1153" i="3"/>
  <c r="K1153" i="3"/>
  <c r="F1155" i="3" l="1"/>
  <c r="P1154" i="3"/>
  <c r="J1154" i="3"/>
  <c r="R1154" i="3"/>
  <c r="L1154" i="3"/>
  <c r="O1154" i="3"/>
  <c r="G1154" i="3"/>
  <c r="H1154" i="3"/>
  <c r="I1154" i="3"/>
  <c r="K1154" i="3"/>
  <c r="N1154" i="3"/>
  <c r="Q1154" i="3"/>
  <c r="F1156" i="3" l="1"/>
  <c r="Q1155" i="3"/>
  <c r="H1155" i="3"/>
  <c r="K1155" i="3"/>
  <c r="G1155" i="3"/>
  <c r="N1155" i="3"/>
  <c r="I1155" i="3"/>
  <c r="L1155" i="3"/>
  <c r="O1155" i="3"/>
  <c r="P1155" i="3"/>
  <c r="J1155" i="3"/>
  <c r="R1155" i="3"/>
  <c r="F1157" i="3" l="1"/>
  <c r="I1156" i="3"/>
  <c r="P1156" i="3"/>
  <c r="Q1156" i="3"/>
  <c r="R1156" i="3"/>
  <c r="K1156" i="3"/>
  <c r="H1156" i="3"/>
  <c r="J1156" i="3"/>
  <c r="L1156" i="3"/>
  <c r="G1156" i="3"/>
  <c r="N1156" i="3"/>
  <c r="O1156" i="3"/>
  <c r="F1158" i="3" l="1"/>
  <c r="O1157" i="3"/>
  <c r="K1157" i="3"/>
  <c r="G1157" i="3"/>
  <c r="L1157" i="3"/>
  <c r="P1157" i="3"/>
  <c r="R1157" i="3"/>
  <c r="J1157" i="3"/>
  <c r="I1157" i="3"/>
  <c r="Q1157" i="3"/>
  <c r="H1157" i="3"/>
  <c r="N1157" i="3"/>
  <c r="F1159" i="3" l="1"/>
  <c r="R1158" i="3"/>
  <c r="K1158" i="3"/>
  <c r="O1158" i="3"/>
  <c r="P1158" i="3"/>
  <c r="Q1158" i="3"/>
  <c r="I1158" i="3"/>
  <c r="N1158" i="3"/>
  <c r="G1158" i="3"/>
  <c r="H1158" i="3"/>
  <c r="J1158" i="3"/>
  <c r="L1158" i="3"/>
  <c r="F1160" i="3" l="1"/>
  <c r="H1159" i="3"/>
  <c r="K1159" i="3"/>
  <c r="R1159" i="3"/>
  <c r="P1159" i="3"/>
  <c r="N1159" i="3"/>
  <c r="O1159" i="3"/>
  <c r="G1159" i="3"/>
  <c r="I1159" i="3"/>
  <c r="J1159" i="3"/>
  <c r="Q1159" i="3"/>
  <c r="L1159" i="3"/>
  <c r="F1161" i="3" l="1"/>
  <c r="N1160" i="3"/>
  <c r="L1160" i="3"/>
  <c r="G1160" i="3"/>
  <c r="J1160" i="3"/>
  <c r="P1160" i="3"/>
  <c r="Q1160" i="3"/>
  <c r="H1160" i="3"/>
  <c r="K1160" i="3"/>
  <c r="R1160" i="3"/>
  <c r="I1160" i="3"/>
  <c r="O1160" i="3"/>
  <c r="F1162" i="3" l="1"/>
  <c r="O1161" i="3"/>
  <c r="R1161" i="3"/>
  <c r="I1161" i="3"/>
  <c r="J1161" i="3"/>
  <c r="Q1161" i="3"/>
  <c r="P1161" i="3"/>
  <c r="G1161" i="3"/>
  <c r="H1161" i="3"/>
  <c r="K1161" i="3"/>
  <c r="L1161" i="3"/>
  <c r="N1161" i="3"/>
  <c r="F1163" i="3" l="1"/>
  <c r="G1162" i="3"/>
  <c r="H1162" i="3"/>
  <c r="N1162" i="3"/>
  <c r="O1162" i="3"/>
  <c r="I1162" i="3"/>
  <c r="P1162" i="3"/>
  <c r="R1162" i="3"/>
  <c r="K1162" i="3"/>
  <c r="J1162" i="3"/>
  <c r="L1162" i="3"/>
  <c r="Q1162" i="3"/>
  <c r="F1164" i="3" l="1"/>
  <c r="L1163" i="3"/>
  <c r="O1163" i="3"/>
  <c r="J1163" i="3"/>
  <c r="P1163" i="3"/>
  <c r="G1163" i="3"/>
  <c r="Q1163" i="3"/>
  <c r="H1163" i="3"/>
  <c r="I1163" i="3"/>
  <c r="K1163" i="3"/>
  <c r="R1163" i="3"/>
  <c r="N1163" i="3"/>
  <c r="F1165" i="3" l="1"/>
  <c r="R1164" i="3"/>
  <c r="K1164" i="3"/>
  <c r="L1164" i="3"/>
  <c r="Q1164" i="3"/>
  <c r="G1164" i="3"/>
  <c r="P1164" i="3"/>
  <c r="H1164" i="3"/>
  <c r="N1164" i="3"/>
  <c r="J1164" i="3"/>
  <c r="I1164" i="3"/>
  <c r="O1164" i="3"/>
  <c r="F1166" i="3" l="1"/>
  <c r="I1165" i="3"/>
  <c r="G1165" i="3"/>
  <c r="K1165" i="3"/>
  <c r="Q1165" i="3"/>
  <c r="J1165" i="3"/>
  <c r="N1165" i="3"/>
  <c r="O1165" i="3"/>
  <c r="H1165" i="3"/>
  <c r="L1165" i="3"/>
  <c r="P1165" i="3"/>
  <c r="R1165" i="3"/>
  <c r="F1167" i="3" l="1"/>
  <c r="K1166" i="3"/>
  <c r="P1166" i="3"/>
  <c r="O1166" i="3"/>
  <c r="I1166" i="3"/>
  <c r="J1166" i="3"/>
  <c r="R1166" i="3"/>
  <c r="H1166" i="3"/>
  <c r="L1166" i="3"/>
  <c r="N1166" i="3"/>
  <c r="Q1166" i="3"/>
  <c r="G1166" i="3"/>
  <c r="F1168" i="3" l="1"/>
  <c r="Q1167" i="3"/>
  <c r="G1167" i="3"/>
  <c r="O1167" i="3"/>
  <c r="N1167" i="3"/>
  <c r="R1167" i="3"/>
  <c r="K1167" i="3"/>
  <c r="J1167" i="3"/>
  <c r="H1167" i="3"/>
  <c r="I1167" i="3"/>
  <c r="L1167" i="3"/>
  <c r="P1167" i="3"/>
  <c r="F1169" i="3" l="1"/>
  <c r="J1168" i="3"/>
  <c r="K1168" i="3"/>
  <c r="H1168" i="3"/>
  <c r="I1168" i="3"/>
  <c r="P1168" i="3"/>
  <c r="Q1168" i="3"/>
  <c r="R1168" i="3"/>
  <c r="G1168" i="3"/>
  <c r="L1168" i="3"/>
  <c r="O1168" i="3"/>
  <c r="N1168" i="3"/>
  <c r="F1170" i="3" l="1"/>
  <c r="J1169" i="3"/>
  <c r="Q1169" i="3"/>
  <c r="R1169" i="3"/>
  <c r="L1169" i="3"/>
  <c r="O1169" i="3"/>
  <c r="K1169" i="3"/>
  <c r="N1169" i="3"/>
  <c r="G1169" i="3"/>
  <c r="H1169" i="3"/>
  <c r="P1169" i="3"/>
  <c r="I1169" i="3"/>
  <c r="F1171" i="3" l="1"/>
  <c r="P1170" i="3"/>
  <c r="G1170" i="3"/>
  <c r="H1170" i="3"/>
  <c r="L1170" i="3"/>
  <c r="I1170" i="3"/>
  <c r="K1170" i="3"/>
  <c r="O1170" i="3"/>
  <c r="R1170" i="3"/>
  <c r="J1170" i="3"/>
  <c r="N1170" i="3"/>
  <c r="Q1170" i="3"/>
  <c r="F1172" i="3" l="1"/>
  <c r="K1171" i="3"/>
  <c r="O1171" i="3"/>
  <c r="P1171" i="3"/>
  <c r="Q1171" i="3"/>
  <c r="I1171" i="3"/>
  <c r="G1171" i="3"/>
  <c r="R1171" i="3"/>
  <c r="H1171" i="3"/>
  <c r="J1171" i="3"/>
  <c r="L1171" i="3"/>
  <c r="N1171" i="3"/>
  <c r="F1173" i="3" l="1"/>
  <c r="I1172" i="3"/>
  <c r="R1172" i="3"/>
  <c r="J1172" i="3"/>
  <c r="L1172" i="3"/>
  <c r="O1172" i="3"/>
  <c r="H1172" i="3"/>
  <c r="P1172" i="3"/>
  <c r="Q1172" i="3"/>
  <c r="G1172" i="3"/>
  <c r="K1172" i="3"/>
  <c r="N1172" i="3"/>
  <c r="F1174" i="3" l="1"/>
  <c r="O1173" i="3"/>
  <c r="J1173" i="3"/>
  <c r="L1173" i="3"/>
  <c r="N1173" i="3"/>
  <c r="G1173" i="3"/>
  <c r="K1173" i="3"/>
  <c r="Q1173" i="3"/>
  <c r="I1173" i="3"/>
  <c r="H1173" i="3"/>
  <c r="P1173" i="3"/>
  <c r="R1173" i="3"/>
  <c r="F1175" i="3" l="1"/>
  <c r="L1174" i="3"/>
  <c r="R1174" i="3"/>
  <c r="G1174" i="3"/>
  <c r="P1174" i="3"/>
  <c r="O1174" i="3"/>
  <c r="K1174" i="3"/>
  <c r="Q1174" i="3"/>
  <c r="H1174" i="3"/>
  <c r="J1174" i="3"/>
  <c r="I1174" i="3"/>
  <c r="N1174" i="3"/>
  <c r="F1176" i="3" l="1"/>
  <c r="H1175" i="3"/>
  <c r="J1175" i="3"/>
  <c r="K1175" i="3"/>
  <c r="P1175" i="3"/>
  <c r="G1175" i="3"/>
  <c r="Q1175" i="3"/>
  <c r="R1175" i="3"/>
  <c r="I1175" i="3"/>
  <c r="L1175" i="3"/>
  <c r="N1175" i="3"/>
  <c r="O1175" i="3"/>
  <c r="F1177" i="3" l="1"/>
  <c r="N1176" i="3"/>
  <c r="G1176" i="3"/>
  <c r="O1176" i="3"/>
  <c r="L1176" i="3"/>
  <c r="Q1176" i="3"/>
  <c r="H1176" i="3"/>
  <c r="P1176" i="3"/>
  <c r="I1176" i="3"/>
  <c r="J1176" i="3"/>
  <c r="K1176" i="3"/>
  <c r="R1176" i="3"/>
  <c r="F1178" i="3" l="1"/>
  <c r="N1177" i="3"/>
  <c r="G1177" i="3"/>
  <c r="H1177" i="3"/>
  <c r="L1177" i="3"/>
  <c r="I1177" i="3"/>
  <c r="K1177" i="3"/>
  <c r="O1177" i="3"/>
  <c r="P1177" i="3"/>
  <c r="Q1177" i="3"/>
  <c r="R1177" i="3"/>
  <c r="J1177" i="3"/>
  <c r="F1179" i="3" l="1"/>
  <c r="G1178" i="3"/>
  <c r="J1178" i="3"/>
  <c r="P1178" i="3"/>
  <c r="Q1178" i="3"/>
  <c r="K1178" i="3"/>
  <c r="H1178" i="3"/>
  <c r="R1178" i="3"/>
  <c r="I1178" i="3"/>
  <c r="L1178" i="3"/>
  <c r="N1178" i="3"/>
  <c r="O1178" i="3"/>
  <c r="F1180" i="3" l="1"/>
  <c r="L1179" i="3"/>
  <c r="H1179" i="3"/>
  <c r="R1179" i="3"/>
  <c r="J1179" i="3"/>
  <c r="N1179" i="3"/>
  <c r="P1179" i="3"/>
  <c r="I1179" i="3"/>
  <c r="G1179" i="3"/>
  <c r="O1179" i="3"/>
  <c r="Q1179" i="3"/>
  <c r="K1179" i="3"/>
  <c r="F1181" i="3" l="1"/>
  <c r="R1180" i="3"/>
  <c r="O1180" i="3"/>
  <c r="L1180" i="3"/>
  <c r="N1180" i="3"/>
  <c r="H1180" i="3"/>
  <c r="K1180" i="3"/>
  <c r="G1180" i="3"/>
  <c r="I1180" i="3"/>
  <c r="J1180" i="3"/>
  <c r="Q1180" i="3"/>
  <c r="P1180" i="3"/>
  <c r="F1182" i="3" l="1"/>
  <c r="N1181" i="3"/>
  <c r="H1181" i="3"/>
  <c r="Q1181" i="3"/>
  <c r="P1181" i="3"/>
  <c r="L1181" i="3"/>
  <c r="J1181" i="3"/>
  <c r="K1181" i="3"/>
  <c r="G1181" i="3"/>
  <c r="O1181" i="3"/>
  <c r="R1181" i="3"/>
  <c r="I1181" i="3"/>
  <c r="F1183" i="3" l="1"/>
  <c r="K1182" i="3"/>
  <c r="I1182" i="3"/>
  <c r="J1182" i="3"/>
  <c r="L1182" i="3"/>
  <c r="Q1182" i="3"/>
  <c r="G1182" i="3"/>
  <c r="R1182" i="3"/>
  <c r="H1182" i="3"/>
  <c r="N1182" i="3"/>
  <c r="O1182" i="3"/>
  <c r="P1182" i="3"/>
  <c r="F1184" i="3" l="1"/>
  <c r="Q1183" i="3"/>
  <c r="P1183" i="3"/>
  <c r="I1183" i="3"/>
  <c r="N1183" i="3"/>
  <c r="R1183" i="3"/>
  <c r="H1183" i="3"/>
  <c r="L1183" i="3"/>
  <c r="O1183" i="3"/>
  <c r="K1183" i="3"/>
  <c r="J1183" i="3"/>
  <c r="G1183" i="3"/>
  <c r="F1185" i="3" l="1"/>
  <c r="Q1184" i="3"/>
  <c r="H1184" i="3"/>
  <c r="I1184" i="3"/>
  <c r="N1184" i="3"/>
  <c r="J1184" i="3"/>
  <c r="L1184" i="3"/>
  <c r="O1184" i="3"/>
  <c r="G1184" i="3"/>
  <c r="K1184" i="3"/>
  <c r="P1184" i="3"/>
  <c r="R1184" i="3"/>
  <c r="F1186" i="3" l="1"/>
  <c r="J1185" i="3"/>
  <c r="K1185" i="3"/>
  <c r="Q1185" i="3"/>
  <c r="R1185" i="3"/>
  <c r="L1185" i="3"/>
  <c r="H1185" i="3"/>
  <c r="I1185" i="3"/>
  <c r="N1185" i="3"/>
  <c r="P1185" i="3"/>
  <c r="O1185" i="3"/>
  <c r="G1185" i="3"/>
  <c r="F1187" i="3" l="1"/>
  <c r="P1186" i="3"/>
  <c r="R1186" i="3"/>
  <c r="L1186" i="3"/>
  <c r="J1186" i="3"/>
  <c r="N1186" i="3"/>
  <c r="Q1186" i="3"/>
  <c r="I1186" i="3"/>
  <c r="H1186" i="3"/>
  <c r="G1186" i="3"/>
  <c r="K1186" i="3"/>
  <c r="O1186" i="3"/>
  <c r="F1188" i="3" l="1"/>
  <c r="N1187" i="3"/>
  <c r="O1187" i="3"/>
  <c r="I1187" i="3"/>
  <c r="L1187" i="3"/>
  <c r="P1187" i="3"/>
  <c r="Q1187" i="3"/>
  <c r="R1187" i="3"/>
  <c r="K1187" i="3"/>
  <c r="G1187" i="3"/>
  <c r="H1187" i="3"/>
  <c r="J1187" i="3"/>
  <c r="F1189" i="3" l="1"/>
  <c r="I1188" i="3"/>
  <c r="L1188" i="3"/>
  <c r="H1188" i="3"/>
  <c r="G1188" i="3"/>
  <c r="R1188" i="3"/>
  <c r="Q1188" i="3"/>
  <c r="O1188" i="3"/>
  <c r="K1188" i="3"/>
  <c r="N1188" i="3"/>
  <c r="J1188" i="3"/>
  <c r="P1188" i="3"/>
  <c r="F1190" i="3" l="1"/>
  <c r="O1189" i="3"/>
  <c r="Q1189" i="3"/>
  <c r="J1189" i="3"/>
  <c r="K1189" i="3"/>
  <c r="R1189" i="3"/>
  <c r="H1189" i="3"/>
  <c r="L1189" i="3"/>
  <c r="G1189" i="3"/>
  <c r="I1189" i="3"/>
  <c r="P1189" i="3"/>
  <c r="N1189" i="3"/>
  <c r="F1191" i="3" l="1"/>
  <c r="G1190" i="3"/>
  <c r="O1190" i="3"/>
  <c r="H1190" i="3"/>
  <c r="Q1190" i="3"/>
  <c r="N1190" i="3"/>
  <c r="I1190" i="3"/>
  <c r="J1190" i="3"/>
  <c r="K1190" i="3"/>
  <c r="L1190" i="3"/>
  <c r="R1190" i="3"/>
  <c r="P1190" i="3"/>
  <c r="F1192" i="3" l="1"/>
  <c r="H1191" i="3"/>
  <c r="N1191" i="3"/>
  <c r="L1191" i="3"/>
  <c r="G1191" i="3"/>
  <c r="I1191" i="3"/>
  <c r="P1191" i="3"/>
  <c r="J1191" i="3"/>
  <c r="O1191" i="3"/>
  <c r="Q1191" i="3"/>
  <c r="R1191" i="3"/>
  <c r="K1191" i="3"/>
  <c r="F1193" i="3" l="1"/>
  <c r="N1192" i="3"/>
  <c r="Q1192" i="3"/>
  <c r="R1192" i="3"/>
  <c r="K1192" i="3"/>
  <c r="I1192" i="3"/>
  <c r="L1192" i="3"/>
  <c r="H1192" i="3"/>
  <c r="J1192" i="3"/>
  <c r="O1192" i="3"/>
  <c r="P1192" i="3"/>
  <c r="G1192" i="3"/>
  <c r="F1194" i="3" l="1"/>
  <c r="H1193" i="3"/>
  <c r="I1193" i="3"/>
  <c r="L1193" i="3"/>
  <c r="O1193" i="3"/>
  <c r="Q1193" i="3"/>
  <c r="K1193" i="3"/>
  <c r="R1193" i="3"/>
  <c r="G1193" i="3"/>
  <c r="J1193" i="3"/>
  <c r="P1193" i="3"/>
  <c r="N1193" i="3"/>
  <c r="F1195" i="3" l="1"/>
  <c r="G1194" i="3"/>
  <c r="O1194" i="3"/>
  <c r="Q1194" i="3"/>
  <c r="N1194" i="3"/>
  <c r="P1194" i="3"/>
  <c r="I1194" i="3"/>
  <c r="L1194" i="3"/>
  <c r="R1194" i="3"/>
  <c r="H1194" i="3"/>
  <c r="J1194" i="3"/>
  <c r="K1194" i="3"/>
  <c r="F1196" i="3" l="1"/>
  <c r="I1195" i="3"/>
  <c r="Q1195" i="3"/>
  <c r="P1195" i="3"/>
  <c r="N1195" i="3"/>
  <c r="G1195" i="3"/>
  <c r="L1195" i="3"/>
  <c r="R1195" i="3"/>
  <c r="H1195" i="3"/>
  <c r="J1195" i="3"/>
  <c r="K1195" i="3"/>
  <c r="O1195" i="3"/>
  <c r="F1197" i="3" l="1"/>
  <c r="H1196" i="3"/>
  <c r="K1196" i="3"/>
  <c r="J1196" i="3"/>
  <c r="L1196" i="3"/>
  <c r="Q1196" i="3"/>
  <c r="G1196" i="3"/>
  <c r="R1196" i="3"/>
  <c r="I1196" i="3"/>
  <c r="N1196" i="3"/>
  <c r="O1196" i="3"/>
  <c r="P1196" i="3"/>
  <c r="F1198" i="3" l="1"/>
  <c r="N1197" i="3"/>
  <c r="R1197" i="3"/>
  <c r="L1197" i="3"/>
  <c r="P1197" i="3"/>
  <c r="K1197" i="3"/>
  <c r="O1197" i="3"/>
  <c r="G1197" i="3"/>
  <c r="H1197" i="3"/>
  <c r="I1197" i="3"/>
  <c r="Q1197" i="3"/>
  <c r="J1197" i="3"/>
  <c r="F1199" i="3" l="1"/>
  <c r="G1198" i="3"/>
  <c r="H1198" i="3"/>
  <c r="L1198" i="3"/>
  <c r="I1198" i="3"/>
  <c r="K1198" i="3"/>
  <c r="R1198" i="3"/>
  <c r="O1198" i="3"/>
  <c r="J1198" i="3"/>
  <c r="N1198" i="3"/>
  <c r="P1198" i="3"/>
  <c r="Q1198" i="3"/>
  <c r="F1200" i="3" l="1"/>
  <c r="G1199" i="3"/>
  <c r="L1199" i="3"/>
  <c r="O1199" i="3"/>
  <c r="P1199" i="3"/>
  <c r="I1199" i="3"/>
  <c r="Q1199" i="3"/>
  <c r="R1199" i="3"/>
  <c r="N1199" i="3"/>
  <c r="K1199" i="3"/>
  <c r="H1199" i="3"/>
  <c r="J1199" i="3"/>
  <c r="F1201" i="3" l="1"/>
  <c r="L1200" i="3"/>
  <c r="H1200" i="3"/>
  <c r="Q1200" i="3"/>
  <c r="J1200" i="3"/>
  <c r="N1200" i="3"/>
  <c r="G1200" i="3"/>
  <c r="O1200" i="3"/>
  <c r="P1200" i="3"/>
  <c r="I1200" i="3"/>
  <c r="K1200" i="3"/>
  <c r="R1200" i="3"/>
  <c r="F1202" i="3" l="1"/>
  <c r="R1201" i="3"/>
  <c r="G1201" i="3"/>
  <c r="J1201" i="3"/>
  <c r="K1201" i="3"/>
  <c r="P1201" i="3"/>
  <c r="I1201" i="3"/>
  <c r="N1201" i="3"/>
  <c r="L1201" i="3"/>
  <c r="H1201" i="3"/>
  <c r="Q1201" i="3"/>
  <c r="O1201" i="3"/>
  <c r="F1203" i="3" l="1"/>
  <c r="N1202" i="3"/>
  <c r="R1202" i="3"/>
  <c r="L1202" i="3"/>
  <c r="K1202" i="3"/>
  <c r="P1202" i="3"/>
  <c r="I1202" i="3"/>
  <c r="Q1202" i="3"/>
  <c r="G1202" i="3"/>
  <c r="H1202" i="3"/>
  <c r="J1202" i="3"/>
  <c r="O1202" i="3"/>
  <c r="F1204" i="3" l="1"/>
  <c r="K1203" i="3"/>
  <c r="G1203" i="3"/>
  <c r="L1203" i="3"/>
  <c r="N1203" i="3"/>
  <c r="O1203" i="3"/>
  <c r="P1203" i="3"/>
  <c r="R1203" i="3"/>
  <c r="Q1203" i="3"/>
  <c r="H1203" i="3"/>
  <c r="I1203" i="3"/>
  <c r="J1203" i="3"/>
  <c r="F1205" i="3" l="1"/>
  <c r="Q1204" i="3"/>
  <c r="L1204" i="3"/>
  <c r="N1204" i="3"/>
  <c r="K1204" i="3"/>
  <c r="P1204" i="3"/>
  <c r="I1204" i="3"/>
  <c r="H1204" i="3"/>
  <c r="G1204" i="3"/>
  <c r="J1204" i="3"/>
  <c r="O1204" i="3"/>
  <c r="R1204" i="3"/>
  <c r="F1206" i="3" l="1"/>
  <c r="J1205" i="3"/>
  <c r="R1205" i="3"/>
  <c r="P1205" i="3"/>
  <c r="Q1205" i="3"/>
  <c r="K1205" i="3"/>
  <c r="G1205" i="3"/>
  <c r="L1205" i="3"/>
  <c r="H1205" i="3"/>
  <c r="I1205" i="3"/>
  <c r="N1205" i="3"/>
  <c r="O1205" i="3"/>
  <c r="F1207" i="3" l="1"/>
  <c r="J1206" i="3"/>
  <c r="G1206" i="3"/>
  <c r="H1206" i="3"/>
  <c r="K1206" i="3"/>
  <c r="N1206" i="3"/>
  <c r="P1206" i="3"/>
  <c r="R1206" i="3"/>
  <c r="L1206" i="3"/>
  <c r="I1206" i="3"/>
  <c r="O1206" i="3"/>
  <c r="Q1206" i="3"/>
  <c r="F1208" i="3" l="1"/>
  <c r="P1207" i="3"/>
  <c r="N1207" i="3"/>
  <c r="O1207" i="3"/>
  <c r="G1207" i="3"/>
  <c r="R1207" i="3"/>
  <c r="L1207" i="3"/>
  <c r="H1207" i="3"/>
  <c r="I1207" i="3"/>
  <c r="J1207" i="3"/>
  <c r="K1207" i="3"/>
  <c r="Q1207" i="3"/>
  <c r="F1209" i="3" l="1"/>
  <c r="H1208" i="3"/>
  <c r="J1208" i="3"/>
  <c r="P1208" i="3"/>
  <c r="K1208" i="3"/>
  <c r="L1208" i="3"/>
  <c r="R1208" i="3"/>
  <c r="G1208" i="3"/>
  <c r="O1208" i="3"/>
  <c r="Q1208" i="3"/>
  <c r="N1208" i="3"/>
  <c r="I1208" i="3"/>
  <c r="F1210" i="3" l="1"/>
  <c r="I1209" i="3"/>
  <c r="H1209" i="3"/>
  <c r="J1209" i="3"/>
  <c r="Q1209" i="3"/>
  <c r="O1209" i="3"/>
  <c r="R1209" i="3"/>
  <c r="G1209" i="3"/>
  <c r="K1209" i="3"/>
  <c r="L1209" i="3"/>
  <c r="N1209" i="3"/>
  <c r="P1209" i="3"/>
  <c r="F1211" i="3" l="1"/>
  <c r="O1210" i="3"/>
  <c r="P1210" i="3"/>
  <c r="G1210" i="3"/>
  <c r="L1210" i="3"/>
  <c r="N1210" i="3"/>
  <c r="Q1210" i="3"/>
  <c r="H1210" i="3"/>
  <c r="I1210" i="3"/>
  <c r="J1210" i="3"/>
  <c r="K1210" i="3"/>
  <c r="R1210" i="3"/>
  <c r="F1212" i="3" l="1"/>
  <c r="L1211" i="3"/>
  <c r="O1211" i="3"/>
  <c r="J1211" i="3"/>
  <c r="I1211" i="3"/>
  <c r="G1211" i="3"/>
  <c r="H1211" i="3"/>
  <c r="P1211" i="3"/>
  <c r="N1211" i="3"/>
  <c r="K1211" i="3"/>
  <c r="Q1211" i="3"/>
  <c r="R1211" i="3"/>
  <c r="F1213" i="3" l="1"/>
  <c r="H1212" i="3"/>
  <c r="I1212" i="3"/>
  <c r="J1212" i="3"/>
  <c r="R1212" i="3"/>
  <c r="P1212" i="3"/>
  <c r="Q1212" i="3"/>
  <c r="K1212" i="3"/>
  <c r="G1212" i="3"/>
  <c r="L1212" i="3"/>
  <c r="O1212" i="3"/>
  <c r="N1212" i="3"/>
  <c r="F1214" i="3" l="1"/>
  <c r="N1213" i="3"/>
  <c r="O1213" i="3"/>
  <c r="H1213" i="3"/>
  <c r="J1213" i="3"/>
  <c r="R1213" i="3"/>
  <c r="L1213" i="3"/>
  <c r="I1213" i="3"/>
  <c r="K1213" i="3"/>
  <c r="P1213" i="3"/>
  <c r="Q1213" i="3"/>
  <c r="G1213" i="3"/>
  <c r="F1215" i="3" l="1"/>
  <c r="P1214" i="3"/>
  <c r="R1214" i="3"/>
  <c r="N1214" i="3"/>
  <c r="K1214" i="3"/>
  <c r="G1214" i="3"/>
  <c r="H1214" i="3"/>
  <c r="L1214" i="3"/>
  <c r="O1214" i="3"/>
  <c r="Q1214" i="3"/>
  <c r="J1214" i="3"/>
  <c r="I1214" i="3"/>
  <c r="F1216" i="3" l="1"/>
  <c r="G1215" i="3"/>
  <c r="H1215" i="3"/>
  <c r="N1215" i="3"/>
  <c r="I1215" i="3"/>
  <c r="J1215" i="3"/>
  <c r="P1215" i="3"/>
  <c r="R1215" i="3"/>
  <c r="K1215" i="3"/>
  <c r="L1215" i="3"/>
  <c r="O1215" i="3"/>
  <c r="Q1215" i="3"/>
  <c r="F1217" i="3" l="1"/>
  <c r="L1216" i="3"/>
  <c r="N1216" i="3"/>
  <c r="K1216" i="3"/>
  <c r="P1216" i="3"/>
  <c r="I1216" i="3"/>
  <c r="Q1216" i="3"/>
  <c r="G1216" i="3"/>
  <c r="H1216" i="3"/>
  <c r="J1216" i="3"/>
  <c r="O1216" i="3"/>
  <c r="R1216" i="3"/>
  <c r="F1218" i="3" l="1"/>
  <c r="R1217" i="3"/>
  <c r="I1217" i="3"/>
  <c r="Q1217" i="3"/>
  <c r="J1217" i="3"/>
  <c r="K1217" i="3"/>
  <c r="P1217" i="3"/>
  <c r="G1217" i="3"/>
  <c r="N1217" i="3"/>
  <c r="H1217" i="3"/>
  <c r="L1217" i="3"/>
  <c r="O1217" i="3"/>
  <c r="F1219" i="3" l="1"/>
  <c r="G1218" i="3"/>
  <c r="I1218" i="3"/>
  <c r="K1218" i="3"/>
  <c r="Q1218" i="3"/>
  <c r="R1218" i="3"/>
  <c r="P1218" i="3"/>
  <c r="H1218" i="3"/>
  <c r="J1218" i="3"/>
  <c r="L1218" i="3"/>
  <c r="N1218" i="3"/>
  <c r="O1218" i="3"/>
  <c r="F1220" i="3" l="1"/>
  <c r="K1219" i="3"/>
  <c r="L1219" i="3"/>
  <c r="Q1219" i="3"/>
  <c r="O1219" i="3"/>
  <c r="J1219" i="3"/>
  <c r="N1219" i="3"/>
  <c r="G1219" i="3"/>
  <c r="H1219" i="3"/>
  <c r="I1219" i="3"/>
  <c r="P1219" i="3"/>
  <c r="R1219" i="3"/>
  <c r="F1221" i="3" l="1"/>
  <c r="Q1220" i="3"/>
  <c r="R1220" i="3"/>
  <c r="G1220" i="3"/>
  <c r="L1220" i="3"/>
  <c r="I1220" i="3"/>
  <c r="H1220" i="3"/>
  <c r="N1220" i="3"/>
  <c r="O1220" i="3"/>
  <c r="P1220" i="3"/>
  <c r="K1220" i="3"/>
  <c r="J1220" i="3"/>
  <c r="F1222" i="3" l="1"/>
  <c r="L1221" i="3"/>
  <c r="O1221" i="3"/>
  <c r="J1221" i="3"/>
  <c r="P1221" i="3"/>
  <c r="Q1221" i="3"/>
  <c r="H1221" i="3"/>
  <c r="R1221" i="3"/>
  <c r="G1221" i="3"/>
  <c r="I1221" i="3"/>
  <c r="K1221" i="3"/>
  <c r="N1221" i="3"/>
  <c r="F1223" i="3" l="1"/>
  <c r="J1222" i="3"/>
  <c r="K1222" i="3"/>
  <c r="H1222" i="3"/>
  <c r="R1222" i="3"/>
  <c r="L1222" i="3"/>
  <c r="G1222" i="3"/>
  <c r="I1222" i="3"/>
  <c r="N1222" i="3"/>
  <c r="O1222" i="3"/>
  <c r="P1222" i="3"/>
  <c r="Q1222" i="3"/>
  <c r="F1224" i="3" l="1"/>
  <c r="P1223" i="3"/>
  <c r="Q1223" i="3"/>
  <c r="H1223" i="3"/>
  <c r="J1223" i="3"/>
  <c r="R1223" i="3"/>
  <c r="K1223" i="3"/>
  <c r="L1223" i="3"/>
  <c r="I1223" i="3"/>
  <c r="G1223" i="3"/>
  <c r="N1223" i="3"/>
  <c r="O1223" i="3"/>
  <c r="F1225" i="3" l="1"/>
  <c r="P1224" i="3"/>
  <c r="R1224" i="3"/>
  <c r="N1224" i="3"/>
  <c r="G1224" i="3"/>
  <c r="H1224" i="3"/>
  <c r="L1224" i="3"/>
  <c r="Q1224" i="3"/>
  <c r="I1224" i="3"/>
  <c r="J1224" i="3"/>
  <c r="K1224" i="3"/>
  <c r="O1224" i="3"/>
  <c r="F1226" i="3" l="1"/>
  <c r="I1225" i="3"/>
  <c r="J1225" i="3"/>
  <c r="N1225" i="3"/>
  <c r="O1225" i="3"/>
  <c r="G1225" i="3"/>
  <c r="H1225" i="3"/>
  <c r="K1225" i="3"/>
  <c r="L1225" i="3"/>
  <c r="Q1225" i="3"/>
  <c r="P1225" i="3"/>
  <c r="R1225" i="3"/>
  <c r="F1227" i="3" l="1"/>
  <c r="O1226" i="3"/>
  <c r="P1226" i="3"/>
  <c r="K1226" i="3"/>
  <c r="N1226" i="3"/>
  <c r="I1226" i="3"/>
  <c r="G1226" i="3"/>
  <c r="H1226" i="3"/>
  <c r="R1226" i="3"/>
  <c r="L1226" i="3"/>
  <c r="Q1226" i="3"/>
  <c r="J1226" i="3"/>
  <c r="F1228" i="3" l="1"/>
  <c r="I1227" i="3"/>
  <c r="Q1227" i="3"/>
  <c r="O1227" i="3"/>
  <c r="P1227" i="3"/>
  <c r="R1227" i="3"/>
  <c r="N1227" i="3"/>
  <c r="H1227" i="3"/>
  <c r="G1227" i="3"/>
  <c r="J1227" i="3"/>
  <c r="K1227" i="3"/>
  <c r="L1227" i="3"/>
  <c r="F1229" i="3" l="1"/>
  <c r="H1228" i="3"/>
  <c r="I1228" i="3"/>
  <c r="G1228" i="3"/>
  <c r="K1228" i="3"/>
  <c r="Q1228" i="3"/>
  <c r="L1228" i="3"/>
  <c r="N1228" i="3"/>
  <c r="J1228" i="3"/>
  <c r="O1228" i="3"/>
  <c r="P1228" i="3"/>
  <c r="R1228" i="3"/>
  <c r="F1230" i="3" l="1"/>
  <c r="N1229" i="3"/>
  <c r="O1229" i="3"/>
  <c r="Q1229" i="3"/>
  <c r="L1229" i="3"/>
  <c r="G1229" i="3"/>
  <c r="J1229" i="3"/>
  <c r="I1229" i="3"/>
  <c r="H1229" i="3"/>
  <c r="K1229" i="3"/>
  <c r="P1229" i="3"/>
  <c r="R1229" i="3"/>
  <c r="F1231" i="3" l="1"/>
  <c r="G1230" i="3"/>
  <c r="L1230" i="3"/>
  <c r="N1230" i="3"/>
  <c r="O1230" i="3"/>
  <c r="H1230" i="3"/>
  <c r="Q1230" i="3"/>
  <c r="R1230" i="3"/>
  <c r="P1230" i="3"/>
  <c r="K1230" i="3"/>
  <c r="I1230" i="3"/>
  <c r="J1230" i="3"/>
  <c r="F1232" i="3" l="1"/>
  <c r="G1231" i="3"/>
  <c r="H1231" i="3"/>
  <c r="L1231" i="3"/>
  <c r="O1231" i="3"/>
  <c r="J1231" i="3"/>
  <c r="I1231" i="3"/>
  <c r="K1231" i="3"/>
  <c r="N1231" i="3"/>
  <c r="P1231" i="3"/>
  <c r="Q1231" i="3"/>
  <c r="R1231" i="3"/>
  <c r="F1233" i="3" l="1"/>
  <c r="L1232" i="3"/>
  <c r="N1232" i="3"/>
  <c r="H1232" i="3"/>
  <c r="R1232" i="3"/>
  <c r="P1232" i="3"/>
  <c r="Q1232" i="3"/>
  <c r="I1232" i="3"/>
  <c r="J1232" i="3"/>
  <c r="K1232" i="3"/>
  <c r="O1232" i="3"/>
  <c r="G1232" i="3"/>
  <c r="F1234" i="3" l="1"/>
  <c r="R1233" i="3"/>
  <c r="H1233" i="3"/>
  <c r="J1233" i="3"/>
  <c r="P1233" i="3"/>
  <c r="L1233" i="3"/>
  <c r="Q1233" i="3"/>
  <c r="O1233" i="3"/>
  <c r="G1233" i="3"/>
  <c r="I1233" i="3"/>
  <c r="K1233" i="3"/>
  <c r="N1233" i="3"/>
  <c r="F1235" i="3" l="1"/>
  <c r="G1234" i="3"/>
  <c r="P1234" i="3"/>
  <c r="R1234" i="3"/>
  <c r="N1234" i="3"/>
  <c r="K1234" i="3"/>
  <c r="H1234" i="3"/>
  <c r="I1234" i="3"/>
  <c r="J1234" i="3"/>
  <c r="L1234" i="3"/>
  <c r="O1234" i="3"/>
  <c r="Q1234" i="3"/>
  <c r="F1236" i="3" l="1"/>
  <c r="K1235" i="3"/>
  <c r="L1235" i="3"/>
  <c r="N1235" i="3"/>
  <c r="G1235" i="3"/>
  <c r="H1235" i="3"/>
  <c r="P1235" i="3"/>
  <c r="J1235" i="3"/>
  <c r="I1235" i="3"/>
  <c r="O1235" i="3"/>
  <c r="Q1235" i="3"/>
  <c r="R1235" i="3"/>
  <c r="F1237" i="3" l="1"/>
  <c r="Q1236" i="3"/>
  <c r="R1236" i="3"/>
  <c r="K1236" i="3"/>
  <c r="N1236" i="3"/>
  <c r="I1236" i="3"/>
  <c r="O1236" i="3"/>
  <c r="P1236" i="3"/>
  <c r="L1236" i="3"/>
  <c r="G1236" i="3"/>
  <c r="H1236" i="3"/>
  <c r="J1236" i="3"/>
  <c r="F1238" i="3" l="1"/>
  <c r="I1237" i="3"/>
  <c r="Q1237" i="3"/>
  <c r="J1237" i="3"/>
  <c r="K1237" i="3"/>
  <c r="P1237" i="3"/>
  <c r="G1237" i="3"/>
  <c r="H1237" i="3"/>
  <c r="L1237" i="3"/>
  <c r="N1237" i="3"/>
  <c r="O1237" i="3"/>
  <c r="R1237" i="3"/>
  <c r="F1239" i="3" l="1"/>
  <c r="J1238" i="3"/>
  <c r="K1238" i="3"/>
  <c r="G1238" i="3"/>
  <c r="I1238" i="3"/>
  <c r="Q1238" i="3"/>
  <c r="R1238" i="3"/>
  <c r="L1238" i="3"/>
  <c r="N1238" i="3"/>
  <c r="O1238" i="3"/>
  <c r="P1238" i="3"/>
  <c r="H1238" i="3"/>
  <c r="F1240" i="3" l="1"/>
  <c r="P1239" i="3"/>
  <c r="Q1239" i="3"/>
  <c r="O1239" i="3"/>
  <c r="L1239" i="3"/>
  <c r="J1239" i="3"/>
  <c r="K1239" i="3"/>
  <c r="R1239" i="3"/>
  <c r="N1239" i="3"/>
  <c r="G1239" i="3"/>
  <c r="H1239" i="3"/>
  <c r="I1239" i="3"/>
  <c r="F1241" i="3" l="1"/>
  <c r="G1240" i="3"/>
  <c r="L1240" i="3"/>
  <c r="I1240" i="3"/>
  <c r="R1240" i="3"/>
  <c r="H1240" i="3"/>
  <c r="J1240" i="3"/>
  <c r="K1240" i="3"/>
  <c r="N1240" i="3"/>
  <c r="O1240" i="3"/>
  <c r="Q1240" i="3"/>
  <c r="P1240" i="3"/>
  <c r="F1242" i="3" l="1"/>
  <c r="I1241" i="3"/>
  <c r="J1241" i="3"/>
  <c r="L1241" i="3"/>
  <c r="O1241" i="3"/>
  <c r="H1241" i="3"/>
  <c r="P1241" i="3"/>
  <c r="Q1241" i="3"/>
  <c r="G1241" i="3"/>
  <c r="K1241" i="3"/>
  <c r="N1241" i="3"/>
  <c r="R1241" i="3"/>
  <c r="F1243" i="3" l="1"/>
  <c r="O1242" i="3"/>
  <c r="P1242" i="3"/>
  <c r="H1242" i="3"/>
  <c r="R1242" i="3"/>
  <c r="J1242" i="3"/>
  <c r="N1242" i="3"/>
  <c r="Q1242" i="3"/>
  <c r="L1242" i="3"/>
  <c r="G1242" i="3"/>
  <c r="I1242" i="3"/>
  <c r="K1242" i="3"/>
  <c r="F1244" i="3" l="1"/>
  <c r="H1243" i="3"/>
  <c r="J1243" i="3"/>
  <c r="P1243" i="3"/>
  <c r="Q1243" i="3"/>
  <c r="R1243" i="3"/>
  <c r="K1243" i="3"/>
  <c r="G1243" i="3"/>
  <c r="I1243" i="3"/>
  <c r="L1243" i="3"/>
  <c r="N1243" i="3"/>
  <c r="O1243" i="3"/>
  <c r="F1245" i="3" l="1"/>
  <c r="H1244" i="3"/>
  <c r="I1244" i="3"/>
  <c r="P1244" i="3"/>
  <c r="R1244" i="3"/>
  <c r="N1244" i="3"/>
  <c r="L1244" i="3"/>
  <c r="J1244" i="3"/>
  <c r="K1244" i="3"/>
  <c r="Q1244" i="3"/>
  <c r="O1244" i="3"/>
  <c r="G1244" i="3"/>
  <c r="F1246" i="3" l="1"/>
  <c r="N1245" i="3"/>
  <c r="O1245" i="3"/>
  <c r="K1245" i="3"/>
  <c r="L1245" i="3"/>
  <c r="P1245" i="3"/>
  <c r="Q1245" i="3"/>
  <c r="R1245" i="3"/>
  <c r="J1245" i="3"/>
  <c r="G1245" i="3"/>
  <c r="H1245" i="3"/>
  <c r="I1245" i="3"/>
  <c r="F1247" i="3" l="1"/>
  <c r="K1246" i="3"/>
  <c r="N1246" i="3"/>
  <c r="I1246" i="3"/>
  <c r="G1246" i="3"/>
  <c r="H1246" i="3"/>
  <c r="P1246" i="3"/>
  <c r="J1246" i="3"/>
  <c r="L1246" i="3"/>
  <c r="O1246" i="3"/>
  <c r="Q1246" i="3"/>
  <c r="R1246" i="3"/>
  <c r="F1248" i="3" l="1"/>
  <c r="G1247" i="3"/>
  <c r="H1247" i="3"/>
  <c r="I1247" i="3"/>
  <c r="Q1247" i="3"/>
  <c r="O1247" i="3"/>
  <c r="J1247" i="3"/>
  <c r="K1247" i="3"/>
  <c r="L1247" i="3"/>
  <c r="R1247" i="3"/>
  <c r="N1247" i="3"/>
  <c r="P1247" i="3"/>
  <c r="F1249" i="3" l="1"/>
  <c r="L1248" i="3"/>
  <c r="N1248" i="3"/>
  <c r="G1248" i="3"/>
  <c r="I1248" i="3"/>
  <c r="Q1248" i="3"/>
  <c r="J1248" i="3"/>
  <c r="K1248" i="3"/>
  <c r="P1248" i="3"/>
  <c r="R1248" i="3"/>
  <c r="O1248" i="3"/>
  <c r="H1248" i="3"/>
  <c r="F1250" i="3" l="1"/>
  <c r="O1249" i="3"/>
  <c r="Q1249" i="3"/>
  <c r="L1249" i="3"/>
  <c r="G1249" i="3"/>
  <c r="R1249" i="3"/>
  <c r="H1249" i="3"/>
  <c r="I1249" i="3"/>
  <c r="J1249" i="3"/>
  <c r="K1249" i="3"/>
  <c r="P1249" i="3"/>
  <c r="N1249" i="3"/>
  <c r="F1251" i="3" l="1"/>
  <c r="J1250" i="3"/>
  <c r="R1250" i="3"/>
  <c r="K1250" i="3"/>
  <c r="L1250" i="3"/>
  <c r="Q1250" i="3"/>
  <c r="G1250" i="3"/>
  <c r="H1250" i="3"/>
  <c r="I1250" i="3"/>
  <c r="N1250" i="3"/>
  <c r="O1250" i="3"/>
  <c r="P1250" i="3"/>
  <c r="F1252" i="3" l="1"/>
  <c r="H1251" i="3"/>
  <c r="J1251" i="3"/>
  <c r="P1251" i="3"/>
  <c r="Q1251" i="3"/>
  <c r="K1251" i="3"/>
  <c r="L1251" i="3"/>
  <c r="N1251" i="3"/>
  <c r="O1251" i="3"/>
  <c r="R1251" i="3"/>
  <c r="I1251" i="3"/>
  <c r="G1251" i="3"/>
  <c r="F1253" i="3" l="1"/>
  <c r="N1252" i="3"/>
  <c r="P1252" i="3"/>
  <c r="K1252" i="3"/>
  <c r="I1252" i="3"/>
  <c r="J1252" i="3"/>
  <c r="R1252" i="3"/>
  <c r="G1252" i="3"/>
  <c r="O1252" i="3"/>
  <c r="H1252" i="3"/>
  <c r="L1252" i="3"/>
  <c r="Q1252" i="3"/>
  <c r="F1254" i="3" l="1"/>
  <c r="I1253" i="3"/>
  <c r="Q1253" i="3"/>
  <c r="O1253" i="3"/>
  <c r="P1253" i="3"/>
  <c r="R1253" i="3"/>
  <c r="N1253" i="3"/>
  <c r="G1253" i="3"/>
  <c r="K1253" i="3"/>
  <c r="L1253" i="3"/>
  <c r="H1253" i="3"/>
  <c r="J1253" i="3"/>
  <c r="F1255" i="3" l="1"/>
  <c r="G1254" i="3"/>
  <c r="I1254" i="3"/>
  <c r="O1254" i="3"/>
  <c r="J1254" i="3"/>
  <c r="K1254" i="3"/>
  <c r="Q1254" i="3"/>
  <c r="H1254" i="3"/>
  <c r="L1254" i="3"/>
  <c r="N1254" i="3"/>
  <c r="P1254" i="3"/>
  <c r="R1254" i="3"/>
  <c r="F1256" i="3" l="1"/>
  <c r="L1255" i="3"/>
  <c r="O1255" i="3"/>
  <c r="J1255" i="3"/>
  <c r="P1255" i="3"/>
  <c r="H1255" i="3"/>
  <c r="I1255" i="3"/>
  <c r="N1255" i="3"/>
  <c r="K1255" i="3"/>
  <c r="Q1255" i="3"/>
  <c r="R1255" i="3"/>
  <c r="G1255" i="3"/>
  <c r="F1257" i="3" l="1"/>
  <c r="R1256" i="3"/>
  <c r="H1256" i="3"/>
  <c r="P1256" i="3"/>
  <c r="I1256" i="3"/>
  <c r="J1256" i="3"/>
  <c r="O1256" i="3"/>
  <c r="L1256" i="3"/>
  <c r="N1256" i="3"/>
  <c r="Q1256" i="3"/>
  <c r="K1256" i="3"/>
  <c r="G1256" i="3"/>
  <c r="F1258" i="3" l="1"/>
  <c r="H1257" i="3"/>
  <c r="N1257" i="3"/>
  <c r="O1257" i="3"/>
  <c r="G1257" i="3"/>
  <c r="I1257" i="3"/>
  <c r="J1257" i="3"/>
  <c r="P1257" i="3"/>
  <c r="L1257" i="3"/>
  <c r="K1257" i="3"/>
  <c r="Q1257" i="3"/>
  <c r="R1257" i="3"/>
  <c r="F1259" i="3" l="1"/>
  <c r="K1258" i="3"/>
  <c r="N1258" i="3"/>
  <c r="I1258" i="3"/>
  <c r="G1258" i="3"/>
  <c r="H1258" i="3"/>
  <c r="P1258" i="3"/>
  <c r="R1258" i="3"/>
  <c r="Q1258" i="3"/>
  <c r="L1258" i="3"/>
  <c r="J1258" i="3"/>
  <c r="O1258" i="3"/>
  <c r="F1260" i="3" l="1"/>
  <c r="Q1259" i="3"/>
  <c r="G1259" i="3"/>
  <c r="O1259" i="3"/>
  <c r="L1259" i="3"/>
  <c r="H1259" i="3"/>
  <c r="I1259" i="3"/>
  <c r="J1259" i="3"/>
  <c r="K1259" i="3"/>
  <c r="N1259" i="3"/>
  <c r="P1259" i="3"/>
  <c r="R1259" i="3"/>
  <c r="F1261" i="3" l="1"/>
  <c r="G1260" i="3"/>
  <c r="L1260" i="3"/>
  <c r="H1260" i="3"/>
  <c r="I1260" i="3"/>
  <c r="O1260" i="3"/>
  <c r="K1260" i="3"/>
  <c r="N1260" i="3"/>
  <c r="P1260" i="3"/>
  <c r="Q1260" i="3"/>
  <c r="R1260" i="3"/>
  <c r="J1260" i="3"/>
  <c r="F1262" i="3" l="1"/>
  <c r="J1261" i="3"/>
  <c r="L1261" i="3"/>
  <c r="R1261" i="3"/>
  <c r="H1261" i="3"/>
  <c r="N1261" i="3"/>
  <c r="O1261" i="3"/>
  <c r="P1261" i="3"/>
  <c r="Q1261" i="3"/>
  <c r="K1261" i="3"/>
  <c r="G1261" i="3"/>
  <c r="I1261" i="3"/>
  <c r="F1263" i="3" l="1"/>
  <c r="P1262" i="3"/>
  <c r="R1262" i="3"/>
  <c r="N1262" i="3"/>
  <c r="G1262" i="3"/>
  <c r="H1262" i="3"/>
  <c r="L1262" i="3"/>
  <c r="I1262" i="3"/>
  <c r="J1262" i="3"/>
  <c r="K1262" i="3"/>
  <c r="O1262" i="3"/>
  <c r="Q1262" i="3"/>
  <c r="F1264" i="3" l="1"/>
  <c r="K1263" i="3"/>
  <c r="Q1263" i="3"/>
  <c r="R1263" i="3"/>
  <c r="L1263" i="3"/>
  <c r="G1263" i="3"/>
  <c r="H1263" i="3"/>
  <c r="I1263" i="3"/>
  <c r="O1263" i="3"/>
  <c r="P1263" i="3"/>
  <c r="J1263" i="3"/>
  <c r="N1263" i="3"/>
  <c r="F1265" i="3" l="1"/>
  <c r="I1264" i="3"/>
  <c r="K1264" i="3"/>
  <c r="Q1264" i="3"/>
  <c r="G1264" i="3"/>
  <c r="N1264" i="3"/>
  <c r="J1264" i="3"/>
  <c r="L1264" i="3"/>
  <c r="O1264" i="3"/>
  <c r="P1264" i="3"/>
  <c r="R1264" i="3"/>
  <c r="H1264" i="3"/>
  <c r="F1266" i="3" l="1"/>
  <c r="O1265" i="3"/>
  <c r="Q1265" i="3"/>
  <c r="L1265" i="3"/>
  <c r="R1265" i="3"/>
  <c r="J1265" i="3"/>
  <c r="G1265" i="3"/>
  <c r="K1265" i="3"/>
  <c r="N1265" i="3"/>
  <c r="P1265" i="3"/>
  <c r="I1265" i="3"/>
  <c r="H1265" i="3"/>
  <c r="F1267" i="3" l="1"/>
  <c r="J1266" i="3"/>
  <c r="R1266" i="3"/>
  <c r="G1266" i="3"/>
  <c r="L1266" i="3"/>
  <c r="P1266" i="3"/>
  <c r="Q1266" i="3"/>
  <c r="O1266" i="3"/>
  <c r="H1266" i="3"/>
  <c r="I1266" i="3"/>
  <c r="K1266" i="3"/>
  <c r="N1266" i="3"/>
  <c r="F1268" i="3" l="1"/>
  <c r="H1267" i="3"/>
  <c r="J1267" i="3"/>
  <c r="P1267" i="3"/>
  <c r="Q1267" i="3"/>
  <c r="R1267" i="3"/>
  <c r="K1267" i="3"/>
  <c r="G1267" i="3"/>
  <c r="I1267" i="3"/>
  <c r="N1267" i="3"/>
  <c r="L1267" i="3"/>
  <c r="O1267" i="3"/>
  <c r="F1269" i="3" l="1"/>
  <c r="N1268" i="3"/>
  <c r="P1268" i="3"/>
  <c r="K1268" i="3"/>
  <c r="J1268" i="3"/>
  <c r="H1268" i="3"/>
  <c r="G1268" i="3"/>
  <c r="I1268" i="3"/>
  <c r="L1268" i="3"/>
  <c r="Q1268" i="3"/>
  <c r="O1268" i="3"/>
  <c r="R1268" i="3"/>
  <c r="F1270" i="3" l="1"/>
  <c r="I1269" i="3"/>
  <c r="Q1269" i="3"/>
  <c r="O1269" i="3"/>
  <c r="P1269" i="3"/>
  <c r="J1269" i="3"/>
  <c r="K1269" i="3"/>
  <c r="L1269" i="3"/>
  <c r="N1269" i="3"/>
  <c r="R1269" i="3"/>
  <c r="H1269" i="3"/>
  <c r="G1269" i="3"/>
  <c r="F1271" i="3" l="1"/>
  <c r="G1270" i="3"/>
  <c r="I1270" i="3"/>
  <c r="O1270" i="3"/>
  <c r="K1270" i="3"/>
  <c r="H1270" i="3"/>
  <c r="J1270" i="3"/>
  <c r="P1270" i="3"/>
  <c r="Q1270" i="3"/>
  <c r="R1270" i="3"/>
  <c r="N1270" i="3"/>
  <c r="L1270" i="3"/>
  <c r="F1272" i="3" l="1"/>
  <c r="L1271" i="3"/>
  <c r="O1271" i="3"/>
  <c r="J1271" i="3"/>
  <c r="P1271" i="3"/>
  <c r="Q1271" i="3"/>
  <c r="H1271" i="3"/>
  <c r="R1271" i="3"/>
  <c r="G1271" i="3"/>
  <c r="I1271" i="3"/>
  <c r="K1271" i="3"/>
  <c r="N1271" i="3"/>
  <c r="F1273" i="3" l="1"/>
  <c r="R1272" i="3"/>
  <c r="H1272" i="3"/>
  <c r="P1272" i="3"/>
  <c r="J1272" i="3"/>
  <c r="G1272" i="3"/>
  <c r="I1272" i="3"/>
  <c r="K1272" i="3"/>
  <c r="L1272" i="3"/>
  <c r="N1272" i="3"/>
  <c r="O1272" i="3"/>
  <c r="Q1272" i="3"/>
  <c r="F1274" i="3" l="1"/>
  <c r="H1273" i="3"/>
  <c r="N1273" i="3"/>
  <c r="O1273" i="3"/>
  <c r="P1273" i="3"/>
  <c r="I1273" i="3"/>
  <c r="J1273" i="3"/>
  <c r="G1273" i="3"/>
  <c r="K1273" i="3"/>
  <c r="L1273" i="3"/>
  <c r="Q1273" i="3"/>
  <c r="R1273" i="3"/>
  <c r="F1275" i="3" l="1"/>
  <c r="K1274" i="3"/>
  <c r="N1274" i="3"/>
  <c r="I1274" i="3"/>
  <c r="H1274" i="3"/>
  <c r="O1274" i="3"/>
  <c r="P1274" i="3"/>
  <c r="Q1274" i="3"/>
  <c r="R1274" i="3"/>
  <c r="L1274" i="3"/>
  <c r="J1274" i="3"/>
  <c r="G1274" i="3"/>
  <c r="F1276" i="3" l="1"/>
  <c r="Q1275" i="3"/>
  <c r="G1275" i="3"/>
  <c r="O1275" i="3"/>
  <c r="L1275" i="3"/>
  <c r="N1275" i="3"/>
  <c r="H1275" i="3"/>
  <c r="I1275" i="3"/>
  <c r="J1275" i="3"/>
  <c r="R1275" i="3"/>
  <c r="P1275" i="3"/>
  <c r="K1275" i="3"/>
  <c r="F1277" i="3" l="1"/>
  <c r="G1276" i="3"/>
  <c r="L1276" i="3"/>
  <c r="I1276" i="3"/>
  <c r="R1276" i="3"/>
  <c r="Q1276" i="3"/>
  <c r="H1276" i="3"/>
  <c r="K1276" i="3"/>
  <c r="J1276" i="3"/>
  <c r="N1276" i="3"/>
  <c r="O1276" i="3"/>
  <c r="P1276" i="3"/>
  <c r="F1278" i="3" l="1"/>
  <c r="J1277" i="3"/>
  <c r="L1277" i="3"/>
  <c r="R1277" i="3"/>
  <c r="H1277" i="3"/>
  <c r="N1277" i="3"/>
  <c r="O1277" i="3"/>
  <c r="G1277" i="3"/>
  <c r="I1277" i="3"/>
  <c r="K1277" i="3"/>
  <c r="P1277" i="3"/>
  <c r="Q1277" i="3"/>
  <c r="F1279" i="3" l="1"/>
  <c r="P1278" i="3"/>
  <c r="R1278" i="3"/>
  <c r="N1278" i="3"/>
  <c r="H1278" i="3"/>
  <c r="G1278" i="3"/>
  <c r="K1278" i="3"/>
  <c r="J1278" i="3"/>
  <c r="L1278" i="3"/>
  <c r="O1278" i="3"/>
  <c r="I1278" i="3"/>
  <c r="Q1278" i="3"/>
  <c r="F1280" i="3" l="1"/>
  <c r="K1279" i="3"/>
  <c r="L1279" i="3"/>
  <c r="N1279" i="3"/>
  <c r="R1279" i="3"/>
  <c r="G1279" i="3"/>
  <c r="P1279" i="3"/>
  <c r="Q1279" i="3"/>
  <c r="O1279" i="3"/>
  <c r="J1279" i="3"/>
  <c r="H1279" i="3"/>
  <c r="I1279" i="3"/>
  <c r="F1281" i="3" l="1"/>
  <c r="I1280" i="3"/>
  <c r="K1280" i="3"/>
  <c r="Q1280" i="3"/>
  <c r="G1280" i="3"/>
  <c r="R1280" i="3"/>
  <c r="H1280" i="3"/>
  <c r="J1280" i="3"/>
  <c r="L1280" i="3"/>
  <c r="N1280" i="3"/>
  <c r="P1280" i="3"/>
  <c r="O1280" i="3"/>
  <c r="F1282" i="3" l="1"/>
  <c r="O1281" i="3"/>
  <c r="Q1281" i="3"/>
  <c r="L1281" i="3"/>
  <c r="J1281" i="3"/>
  <c r="K1281" i="3"/>
  <c r="G1281" i="3"/>
  <c r="H1281" i="3"/>
  <c r="I1281" i="3"/>
  <c r="N1281" i="3"/>
  <c r="P1281" i="3"/>
  <c r="R1281" i="3"/>
  <c r="F1283" i="3" l="1"/>
  <c r="J1282" i="3"/>
  <c r="R1282" i="3"/>
  <c r="G1282" i="3"/>
  <c r="P1282" i="3"/>
  <c r="K1282" i="3"/>
  <c r="L1282" i="3"/>
  <c r="N1282" i="3"/>
  <c r="O1282" i="3"/>
  <c r="Q1282" i="3"/>
  <c r="I1282" i="3"/>
  <c r="H1282" i="3"/>
  <c r="F1284" i="3" l="1"/>
  <c r="H1283" i="3"/>
  <c r="J1283" i="3"/>
  <c r="P1283" i="3"/>
  <c r="K1283" i="3"/>
  <c r="L1283" i="3"/>
  <c r="R1283" i="3"/>
  <c r="G1283" i="3"/>
  <c r="O1283" i="3"/>
  <c r="N1283" i="3"/>
  <c r="I1283" i="3"/>
  <c r="Q1283" i="3"/>
  <c r="F1285" i="3" l="1"/>
  <c r="N1284" i="3"/>
  <c r="P1284" i="3"/>
  <c r="K1284" i="3"/>
  <c r="Q1284" i="3"/>
  <c r="R1284" i="3"/>
  <c r="O1284" i="3"/>
  <c r="G1284" i="3"/>
  <c r="H1284" i="3"/>
  <c r="I1284" i="3"/>
  <c r="L1284" i="3"/>
  <c r="J1284" i="3"/>
  <c r="F1286" i="3" l="1"/>
  <c r="I1285" i="3"/>
  <c r="J1285" i="3"/>
  <c r="K1285" i="3"/>
  <c r="P1285" i="3"/>
  <c r="G1285" i="3"/>
  <c r="H1285" i="3"/>
  <c r="L1285" i="3"/>
  <c r="O1285" i="3"/>
  <c r="N1285" i="3"/>
  <c r="R1285" i="3"/>
  <c r="Q1285" i="3"/>
  <c r="F1287" i="3" l="1"/>
  <c r="G1286" i="3"/>
  <c r="I1286" i="3"/>
  <c r="O1286" i="3"/>
  <c r="N1286" i="3"/>
  <c r="H1286" i="3"/>
  <c r="J1286" i="3"/>
  <c r="K1286" i="3"/>
  <c r="L1286" i="3"/>
  <c r="P1286" i="3"/>
  <c r="Q1286" i="3"/>
  <c r="R1286" i="3"/>
  <c r="F1288" i="3" l="1"/>
  <c r="L1287" i="3"/>
  <c r="O1287" i="3"/>
  <c r="G1287" i="3"/>
  <c r="H1287" i="3"/>
  <c r="N1287" i="3"/>
  <c r="J1287" i="3"/>
  <c r="K1287" i="3"/>
  <c r="P1287" i="3"/>
  <c r="Q1287" i="3"/>
  <c r="R1287" i="3"/>
  <c r="I1287" i="3"/>
  <c r="F1289" i="3" l="1"/>
  <c r="R1288" i="3"/>
  <c r="H1288" i="3"/>
  <c r="P1288" i="3"/>
  <c r="Q1288" i="3"/>
  <c r="K1288" i="3"/>
  <c r="G1288" i="3"/>
  <c r="L1288" i="3"/>
  <c r="I1288" i="3"/>
  <c r="J1288" i="3"/>
  <c r="N1288" i="3"/>
  <c r="O1288" i="3"/>
  <c r="F1290" i="3" l="1"/>
  <c r="H1289" i="3"/>
  <c r="N1289" i="3"/>
  <c r="K1289" i="3"/>
  <c r="P1289" i="3"/>
  <c r="Q1289" i="3"/>
  <c r="R1289" i="3"/>
  <c r="O1289" i="3"/>
  <c r="G1289" i="3"/>
  <c r="I1289" i="3"/>
  <c r="J1289" i="3"/>
  <c r="L1289" i="3"/>
  <c r="F1291" i="3" l="1"/>
  <c r="K1290" i="3"/>
  <c r="N1290" i="3"/>
  <c r="O1290" i="3"/>
  <c r="P1290" i="3"/>
  <c r="H1290" i="3"/>
  <c r="G1290" i="3"/>
  <c r="J1290" i="3"/>
  <c r="I1290" i="3"/>
  <c r="R1290" i="3"/>
  <c r="Q1290" i="3"/>
  <c r="L1290" i="3"/>
  <c r="F1292" i="3" l="1"/>
  <c r="Q1291" i="3"/>
  <c r="G1291" i="3"/>
  <c r="I1291" i="3"/>
  <c r="R1291" i="3"/>
  <c r="P1291" i="3"/>
  <c r="H1291" i="3"/>
  <c r="K1291" i="3"/>
  <c r="J1291" i="3"/>
  <c r="L1291" i="3"/>
  <c r="N1291" i="3"/>
  <c r="O1291" i="3"/>
  <c r="F1293" i="3" l="1"/>
  <c r="G1292" i="3"/>
  <c r="L1292" i="3"/>
  <c r="K1292" i="3"/>
  <c r="N1292" i="3"/>
  <c r="R1292" i="3"/>
  <c r="H1292" i="3"/>
  <c r="I1292" i="3"/>
  <c r="J1292" i="3"/>
  <c r="O1292" i="3"/>
  <c r="P1292" i="3"/>
  <c r="Q1292" i="3"/>
  <c r="F1294" i="3" l="1"/>
  <c r="J1293" i="3"/>
  <c r="L1293" i="3"/>
  <c r="R1293" i="3"/>
  <c r="P1293" i="3"/>
  <c r="I1293" i="3"/>
  <c r="G1293" i="3"/>
  <c r="H1293" i="3"/>
  <c r="K1293" i="3"/>
  <c r="N1293" i="3"/>
  <c r="O1293" i="3"/>
  <c r="Q1293" i="3"/>
  <c r="F1295" i="3" l="1"/>
  <c r="P1294" i="3"/>
  <c r="R1294" i="3"/>
  <c r="I1294" i="3"/>
  <c r="J1294" i="3"/>
  <c r="O1294" i="3"/>
  <c r="L1294" i="3"/>
  <c r="N1294" i="3"/>
  <c r="Q1294" i="3"/>
  <c r="K1294" i="3"/>
  <c r="G1294" i="3"/>
  <c r="H1294" i="3"/>
  <c r="F1296" i="3" l="1"/>
  <c r="K1295" i="3"/>
  <c r="R1295" i="3"/>
  <c r="N1295" i="3"/>
  <c r="G1295" i="3"/>
  <c r="I1295" i="3"/>
  <c r="H1295" i="3"/>
  <c r="O1295" i="3"/>
  <c r="P1295" i="3"/>
  <c r="Q1295" i="3"/>
  <c r="L1295" i="3"/>
  <c r="J1295" i="3"/>
  <c r="F1297" i="3" l="1"/>
  <c r="I1296" i="3"/>
  <c r="K1296" i="3"/>
  <c r="Q1296" i="3"/>
  <c r="G1296" i="3"/>
  <c r="N1296" i="3"/>
  <c r="R1296" i="3"/>
  <c r="P1296" i="3"/>
  <c r="H1296" i="3"/>
  <c r="J1296" i="3"/>
  <c r="L1296" i="3"/>
  <c r="O1296" i="3"/>
  <c r="F1298" i="3" l="1"/>
  <c r="O1297" i="3"/>
  <c r="Q1297" i="3"/>
  <c r="P1297" i="3"/>
  <c r="R1297" i="3"/>
  <c r="J1297" i="3"/>
  <c r="G1297" i="3"/>
  <c r="H1297" i="3"/>
  <c r="I1297" i="3"/>
  <c r="K1297" i="3"/>
  <c r="L1297" i="3"/>
  <c r="N1297" i="3"/>
  <c r="F1299" i="3" l="1"/>
  <c r="J1298" i="3"/>
  <c r="R1298" i="3"/>
  <c r="H1298" i="3"/>
  <c r="Q1298" i="3"/>
  <c r="G1298" i="3"/>
  <c r="I1298" i="3"/>
  <c r="K1298" i="3"/>
  <c r="L1298" i="3"/>
  <c r="O1298" i="3"/>
  <c r="P1298" i="3"/>
  <c r="N1298" i="3"/>
  <c r="F1300" i="3" l="1"/>
  <c r="H1299" i="3"/>
  <c r="J1299" i="3"/>
  <c r="L1299" i="3"/>
  <c r="N1299" i="3"/>
  <c r="R1299" i="3"/>
  <c r="G1299" i="3"/>
  <c r="I1299" i="3"/>
  <c r="K1299" i="3"/>
  <c r="O1299" i="3"/>
  <c r="Q1299" i="3"/>
  <c r="P1299" i="3"/>
  <c r="F1301" i="3" l="1"/>
  <c r="N1300" i="3"/>
  <c r="P1300" i="3"/>
  <c r="O1300" i="3"/>
  <c r="I1300" i="3"/>
  <c r="J1300" i="3"/>
  <c r="L1300" i="3"/>
  <c r="K1300" i="3"/>
  <c r="Q1300" i="3"/>
  <c r="R1300" i="3"/>
  <c r="H1300" i="3"/>
  <c r="G1300" i="3"/>
  <c r="F1302" i="3" l="1"/>
  <c r="H1301" i="3"/>
  <c r="I1301" i="3"/>
  <c r="N1301" i="3"/>
  <c r="K1301" i="3"/>
  <c r="L1301" i="3"/>
  <c r="O1301" i="3"/>
  <c r="P1301" i="3"/>
  <c r="Q1301" i="3"/>
  <c r="R1301" i="3"/>
  <c r="J1301" i="3"/>
  <c r="G1301" i="3"/>
  <c r="F1303" i="3" l="1"/>
  <c r="G1302" i="3"/>
  <c r="I1302" i="3"/>
  <c r="P1302" i="3"/>
  <c r="Q1302" i="3"/>
  <c r="K1302" i="3"/>
  <c r="L1302" i="3"/>
  <c r="H1302" i="3"/>
  <c r="N1302" i="3"/>
  <c r="O1302" i="3"/>
  <c r="J1302" i="3"/>
  <c r="R1302" i="3"/>
  <c r="F1304" i="3" l="1"/>
  <c r="L1303" i="3"/>
  <c r="O1303" i="3"/>
  <c r="I1303" i="3"/>
  <c r="N1303" i="3"/>
  <c r="P1303" i="3"/>
  <c r="Q1303" i="3"/>
  <c r="R1303" i="3"/>
  <c r="K1303" i="3"/>
  <c r="G1303" i="3"/>
  <c r="H1303" i="3"/>
  <c r="J1303" i="3"/>
  <c r="F1305" i="3" l="1"/>
  <c r="R1304" i="3"/>
  <c r="K1304" i="3"/>
  <c r="L1304" i="3"/>
  <c r="Q1304" i="3"/>
  <c r="G1304" i="3"/>
  <c r="I1304" i="3"/>
  <c r="H1304" i="3"/>
  <c r="O1304" i="3"/>
  <c r="P1304" i="3"/>
  <c r="N1304" i="3"/>
  <c r="J1304" i="3"/>
  <c r="F1306" i="3" l="1"/>
  <c r="H1305" i="3"/>
  <c r="O1305" i="3"/>
  <c r="P1305" i="3"/>
  <c r="Q1305" i="3"/>
  <c r="R1305" i="3"/>
  <c r="N1305" i="3"/>
  <c r="G1305" i="3"/>
  <c r="I1305" i="3"/>
  <c r="J1305" i="3"/>
  <c r="K1305" i="3"/>
  <c r="L1305" i="3"/>
  <c r="F1307" i="3" l="1"/>
  <c r="K1306" i="3"/>
  <c r="N1306" i="3"/>
  <c r="G1306" i="3"/>
  <c r="H1306" i="3"/>
  <c r="O1306" i="3"/>
  <c r="I1306" i="3"/>
  <c r="J1306" i="3"/>
  <c r="L1306" i="3"/>
  <c r="R1306" i="3"/>
  <c r="P1306" i="3"/>
  <c r="Q1306" i="3"/>
  <c r="F1308" i="3" l="1"/>
  <c r="Q1307" i="3"/>
  <c r="O1307" i="3"/>
  <c r="P1307" i="3"/>
  <c r="J1307" i="3"/>
  <c r="R1307" i="3"/>
  <c r="G1307" i="3"/>
  <c r="H1307" i="3"/>
  <c r="L1307" i="3"/>
  <c r="K1307" i="3"/>
  <c r="I1307" i="3"/>
  <c r="N1307" i="3"/>
  <c r="F1309" i="3" l="1"/>
  <c r="G1308" i="3"/>
  <c r="J1308" i="3"/>
  <c r="R1308" i="3"/>
  <c r="H1308" i="3"/>
  <c r="I1308" i="3"/>
  <c r="K1308" i="3"/>
  <c r="L1308" i="3"/>
  <c r="N1308" i="3"/>
  <c r="O1308" i="3"/>
  <c r="Q1308" i="3"/>
  <c r="P1308" i="3"/>
  <c r="F1310" i="3" l="1"/>
  <c r="J1309" i="3"/>
  <c r="L1309" i="3"/>
  <c r="K1309" i="3"/>
  <c r="N1309" i="3"/>
  <c r="R1309" i="3"/>
  <c r="G1309" i="3"/>
  <c r="H1309" i="3"/>
  <c r="O1309" i="3"/>
  <c r="I1309" i="3"/>
  <c r="P1309" i="3"/>
  <c r="Q1309" i="3"/>
  <c r="F1311" i="3" l="1"/>
  <c r="P1310" i="3"/>
  <c r="R1310" i="3"/>
  <c r="N1310" i="3"/>
  <c r="I1310" i="3"/>
  <c r="J1310" i="3"/>
  <c r="K1310" i="3"/>
  <c r="L1310" i="3"/>
  <c r="O1310" i="3"/>
  <c r="Q1310" i="3"/>
  <c r="H1310" i="3"/>
  <c r="G1310" i="3"/>
  <c r="F1312" i="3" l="1"/>
  <c r="H1311" i="3"/>
  <c r="I1311" i="3"/>
  <c r="N1311" i="3"/>
  <c r="K1311" i="3"/>
  <c r="J1311" i="3"/>
  <c r="G1311" i="3"/>
  <c r="L1311" i="3"/>
  <c r="O1311" i="3"/>
  <c r="P1311" i="3"/>
  <c r="R1311" i="3"/>
  <c r="Q1311" i="3"/>
  <c r="F1313" i="3" l="1"/>
  <c r="I1312" i="3"/>
  <c r="K1312" i="3"/>
  <c r="P1312" i="3"/>
  <c r="Q1312" i="3"/>
  <c r="J1312" i="3"/>
  <c r="L1312" i="3"/>
  <c r="N1312" i="3"/>
  <c r="O1312" i="3"/>
  <c r="R1312" i="3"/>
  <c r="H1312" i="3"/>
  <c r="G1312" i="3"/>
  <c r="F1314" i="3" l="1"/>
  <c r="O1313" i="3"/>
  <c r="Q1313" i="3"/>
  <c r="I1313" i="3"/>
  <c r="G1313" i="3"/>
  <c r="H1313" i="3"/>
  <c r="L1313" i="3"/>
  <c r="N1313" i="3"/>
  <c r="P1313" i="3"/>
  <c r="R1313" i="3"/>
  <c r="K1313" i="3"/>
  <c r="J1313" i="3"/>
  <c r="F1315" i="3" l="1"/>
  <c r="K1314" i="3"/>
  <c r="L1314" i="3"/>
  <c r="Q1314" i="3"/>
  <c r="G1314" i="3"/>
  <c r="O1314" i="3"/>
  <c r="P1314" i="3"/>
  <c r="R1314" i="3"/>
  <c r="N1314" i="3"/>
  <c r="H1314" i="3"/>
  <c r="I1314" i="3"/>
  <c r="J1314" i="3"/>
  <c r="F1316" i="3" l="1"/>
  <c r="H1315" i="3"/>
  <c r="J1315" i="3"/>
  <c r="O1315" i="3"/>
  <c r="G1315" i="3"/>
  <c r="K1315" i="3"/>
  <c r="I1315" i="3"/>
  <c r="P1315" i="3"/>
  <c r="L1315" i="3"/>
  <c r="N1315" i="3"/>
  <c r="Q1315" i="3"/>
  <c r="R1315" i="3"/>
  <c r="F1317" i="3" l="1"/>
  <c r="N1316" i="3"/>
  <c r="P1316" i="3"/>
  <c r="G1316" i="3"/>
  <c r="H1316" i="3"/>
  <c r="L1316" i="3"/>
  <c r="R1316" i="3"/>
  <c r="Q1316" i="3"/>
  <c r="J1316" i="3"/>
  <c r="K1316" i="3"/>
  <c r="O1316" i="3"/>
  <c r="I1316" i="3"/>
  <c r="F1318" i="3" l="1"/>
  <c r="O1317" i="3"/>
  <c r="P1317" i="3"/>
  <c r="J1317" i="3"/>
  <c r="G1317" i="3"/>
  <c r="H1317" i="3"/>
  <c r="I1317" i="3"/>
  <c r="K1317" i="3"/>
  <c r="L1317" i="3"/>
  <c r="R1317" i="3"/>
  <c r="Q1317" i="3"/>
  <c r="N1317" i="3"/>
  <c r="F1319" i="3" l="1"/>
  <c r="G1318" i="3"/>
  <c r="I1318" i="3"/>
  <c r="J1318" i="3"/>
  <c r="R1318" i="3"/>
  <c r="Q1318" i="3"/>
  <c r="H1318" i="3"/>
  <c r="L1318" i="3"/>
  <c r="K1318" i="3"/>
  <c r="N1318" i="3"/>
  <c r="O1318" i="3"/>
  <c r="P1318" i="3"/>
  <c r="F1320" i="3" l="1"/>
  <c r="L1319" i="3"/>
  <c r="O1319" i="3"/>
  <c r="J1319" i="3"/>
  <c r="K1319" i="3"/>
  <c r="R1319" i="3"/>
  <c r="G1319" i="3"/>
  <c r="H1319" i="3"/>
  <c r="I1319" i="3"/>
  <c r="N1319" i="3"/>
  <c r="P1319" i="3"/>
  <c r="Q1319" i="3"/>
  <c r="F1321" i="3" l="1"/>
  <c r="R1320" i="3"/>
  <c r="N1320" i="3"/>
  <c r="I1320" i="3"/>
  <c r="H1320" i="3"/>
  <c r="G1320" i="3"/>
  <c r="J1320" i="3"/>
  <c r="K1320" i="3"/>
  <c r="O1320" i="3"/>
  <c r="P1320" i="3"/>
  <c r="L1320" i="3"/>
  <c r="Q1320" i="3"/>
  <c r="F1322" i="3" l="1"/>
  <c r="H1321" i="3"/>
  <c r="G1321" i="3"/>
  <c r="I1321" i="3"/>
  <c r="N1321" i="3"/>
  <c r="K1321" i="3"/>
  <c r="L1321" i="3"/>
  <c r="O1321" i="3"/>
  <c r="P1321" i="3"/>
  <c r="Q1321" i="3"/>
  <c r="R1321" i="3"/>
  <c r="J1321" i="3"/>
  <c r="F1323" i="3" l="1"/>
  <c r="K1322" i="3"/>
  <c r="N1322" i="3"/>
  <c r="P1322" i="3"/>
  <c r="Q1322" i="3"/>
  <c r="I1322" i="3"/>
  <c r="J1322" i="3"/>
  <c r="L1322" i="3"/>
  <c r="O1322" i="3"/>
  <c r="R1322" i="3"/>
  <c r="H1322" i="3"/>
  <c r="G1322" i="3"/>
  <c r="F1324" i="3" l="1"/>
  <c r="Q1323" i="3"/>
  <c r="I1323" i="3"/>
  <c r="R1323" i="3"/>
  <c r="L1323" i="3"/>
  <c r="N1323" i="3"/>
  <c r="O1323" i="3"/>
  <c r="P1323" i="3"/>
  <c r="K1323" i="3"/>
  <c r="G1323" i="3"/>
  <c r="H1323" i="3"/>
  <c r="J1323" i="3"/>
  <c r="F1325" i="3" l="1"/>
  <c r="G1324" i="3"/>
  <c r="K1324" i="3"/>
  <c r="L1324" i="3"/>
  <c r="Q1324" i="3"/>
  <c r="I1324" i="3"/>
  <c r="H1324" i="3"/>
  <c r="O1324" i="3"/>
  <c r="J1324" i="3"/>
  <c r="P1324" i="3"/>
  <c r="R1324" i="3"/>
  <c r="N1324" i="3"/>
  <c r="F1326" i="3" l="1"/>
  <c r="J1325" i="3"/>
  <c r="L1325" i="3"/>
  <c r="O1325" i="3"/>
  <c r="P1325" i="3"/>
  <c r="Q1325" i="3"/>
  <c r="R1325" i="3"/>
  <c r="N1325" i="3"/>
  <c r="I1325" i="3"/>
  <c r="K1325" i="3"/>
  <c r="G1325" i="3"/>
  <c r="H1325" i="3"/>
  <c r="F1327" i="3" l="1"/>
  <c r="P1326" i="3"/>
  <c r="R1326" i="3"/>
  <c r="G1326" i="3"/>
  <c r="H1326" i="3"/>
  <c r="L1326" i="3"/>
  <c r="I1326" i="3"/>
  <c r="J1326" i="3"/>
  <c r="K1326" i="3"/>
  <c r="Q1326" i="3"/>
  <c r="O1326" i="3"/>
  <c r="N1326" i="3"/>
  <c r="F1328" i="3" l="1"/>
  <c r="O1327" i="3"/>
  <c r="P1327" i="3"/>
  <c r="J1327" i="3"/>
  <c r="R1327" i="3"/>
  <c r="Q1327" i="3"/>
  <c r="G1327" i="3"/>
  <c r="H1327" i="3"/>
  <c r="I1327" i="3"/>
  <c r="K1327" i="3"/>
  <c r="L1327" i="3"/>
  <c r="N1327" i="3"/>
  <c r="F1329" i="3" l="1"/>
  <c r="I1328" i="3"/>
  <c r="K1328" i="3"/>
  <c r="H1328" i="3"/>
  <c r="R1328" i="3"/>
  <c r="G1328" i="3"/>
  <c r="J1328" i="3"/>
  <c r="L1328" i="3"/>
  <c r="O1328" i="3"/>
  <c r="N1328" i="3"/>
  <c r="P1328" i="3"/>
  <c r="Q1328" i="3"/>
  <c r="F1330" i="3" l="1"/>
  <c r="O1329" i="3"/>
  <c r="Q1329" i="3"/>
  <c r="J1329" i="3"/>
  <c r="K1329" i="3"/>
  <c r="R1329" i="3"/>
  <c r="G1329" i="3"/>
  <c r="H1329" i="3"/>
  <c r="I1329" i="3"/>
  <c r="N1329" i="3"/>
  <c r="P1329" i="3"/>
  <c r="L1329" i="3"/>
  <c r="F1331" i="3" l="1"/>
  <c r="R1330" i="3"/>
  <c r="N1330" i="3"/>
  <c r="I1330" i="3"/>
  <c r="J1330" i="3"/>
  <c r="K1330" i="3"/>
  <c r="L1330" i="3"/>
  <c r="O1330" i="3"/>
  <c r="P1330" i="3"/>
  <c r="H1330" i="3"/>
  <c r="G1330" i="3"/>
  <c r="Q1330" i="3"/>
  <c r="F1332" i="3" l="1"/>
  <c r="H1331" i="3"/>
  <c r="J1331" i="3"/>
  <c r="G1331" i="3"/>
  <c r="N1331" i="3"/>
  <c r="K1331" i="3"/>
  <c r="L1331" i="3"/>
  <c r="P1331" i="3"/>
  <c r="O1331" i="3"/>
  <c r="Q1331" i="3"/>
  <c r="R1331" i="3"/>
  <c r="I1331" i="3"/>
  <c r="F1333" i="3" l="1"/>
  <c r="N1332" i="3"/>
  <c r="P1332" i="3"/>
  <c r="O1332" i="3"/>
  <c r="Q1332" i="3"/>
  <c r="I1332" i="3"/>
  <c r="J1332" i="3"/>
  <c r="K1332" i="3"/>
  <c r="L1332" i="3"/>
  <c r="R1332" i="3"/>
  <c r="H1332" i="3"/>
  <c r="G1332" i="3"/>
  <c r="F1334" i="3" l="1"/>
  <c r="I1333" i="3"/>
  <c r="Q1333" i="3"/>
  <c r="H1333" i="3"/>
  <c r="G1333" i="3"/>
  <c r="L1333" i="3"/>
  <c r="K1333" i="3"/>
  <c r="J1333" i="3"/>
  <c r="N1333" i="3"/>
  <c r="O1333" i="3"/>
  <c r="R1333" i="3"/>
  <c r="P1333" i="3"/>
  <c r="F1335" i="3" l="1"/>
  <c r="G1334" i="3"/>
  <c r="I1334" i="3"/>
  <c r="K1334" i="3"/>
  <c r="L1334" i="3"/>
  <c r="Q1334" i="3"/>
  <c r="O1334" i="3"/>
  <c r="P1334" i="3"/>
  <c r="R1334" i="3"/>
  <c r="N1334" i="3"/>
  <c r="H1334" i="3"/>
  <c r="J1334" i="3"/>
  <c r="F1336" i="3" l="1"/>
  <c r="L1335" i="3"/>
  <c r="O1335" i="3"/>
  <c r="N1335" i="3"/>
  <c r="G1335" i="3"/>
  <c r="I1335" i="3"/>
  <c r="H1335" i="3"/>
  <c r="P1335" i="3"/>
  <c r="Q1335" i="3"/>
  <c r="R1335" i="3"/>
  <c r="K1335" i="3"/>
  <c r="J1335" i="3"/>
  <c r="F1337" i="3" l="1"/>
  <c r="R1336" i="3"/>
  <c r="G1336" i="3"/>
  <c r="H1336" i="3"/>
  <c r="L1336" i="3"/>
  <c r="P1336" i="3"/>
  <c r="Q1336" i="3"/>
  <c r="O1336" i="3"/>
  <c r="I1336" i="3"/>
  <c r="J1336" i="3"/>
  <c r="K1336" i="3"/>
  <c r="N1336" i="3"/>
  <c r="F1338" i="3" l="1"/>
  <c r="H1337" i="3"/>
  <c r="O1337" i="3"/>
  <c r="P1337" i="3"/>
  <c r="J1337" i="3"/>
  <c r="G1337" i="3"/>
  <c r="I1337" i="3"/>
  <c r="K1337" i="3"/>
  <c r="L1337" i="3"/>
  <c r="R1337" i="3"/>
  <c r="Q1337" i="3"/>
  <c r="N1337" i="3"/>
  <c r="F1339" i="3" l="1"/>
  <c r="K1338" i="3"/>
  <c r="N1338" i="3"/>
  <c r="H1338" i="3"/>
  <c r="R1338" i="3"/>
  <c r="Q1338" i="3"/>
  <c r="G1338" i="3"/>
  <c r="I1338" i="3"/>
  <c r="L1338" i="3"/>
  <c r="O1338" i="3"/>
  <c r="P1338" i="3"/>
  <c r="J1338" i="3"/>
  <c r="F1340" i="3" l="1"/>
  <c r="Q1339" i="3"/>
  <c r="J1339" i="3"/>
  <c r="K1339" i="3"/>
  <c r="P1339" i="3"/>
  <c r="G1339" i="3"/>
  <c r="H1339" i="3"/>
  <c r="I1339" i="3"/>
  <c r="L1339" i="3"/>
  <c r="N1339" i="3"/>
  <c r="O1339" i="3"/>
  <c r="R1339" i="3"/>
  <c r="F1341" i="3" l="1"/>
  <c r="G1340" i="3"/>
  <c r="R1340" i="3"/>
  <c r="N1340" i="3"/>
  <c r="I1340" i="3"/>
  <c r="J1340" i="3"/>
  <c r="L1340" i="3"/>
  <c r="K1340" i="3"/>
  <c r="O1340" i="3"/>
  <c r="P1340" i="3"/>
  <c r="Q1340" i="3"/>
  <c r="H1340" i="3"/>
  <c r="F1342" i="3" l="1"/>
  <c r="J1341" i="3"/>
  <c r="L1341" i="3"/>
  <c r="G1341" i="3"/>
  <c r="N1341" i="3"/>
  <c r="I1341" i="3"/>
  <c r="K1341" i="3"/>
  <c r="O1341" i="3"/>
  <c r="P1341" i="3"/>
  <c r="R1341" i="3"/>
  <c r="Q1341" i="3"/>
  <c r="H1341" i="3"/>
  <c r="F1343" i="3" l="1"/>
  <c r="P1342" i="3"/>
  <c r="R1342" i="3"/>
  <c r="N1342" i="3"/>
  <c r="O1342" i="3"/>
  <c r="I1342" i="3"/>
  <c r="J1342" i="3"/>
  <c r="G1342" i="3"/>
  <c r="K1342" i="3"/>
  <c r="L1342" i="3"/>
  <c r="H1342" i="3"/>
  <c r="Q1342" i="3"/>
  <c r="F1344" i="3" l="1"/>
  <c r="I1343" i="3"/>
  <c r="Q1343" i="3"/>
  <c r="L1343" i="3"/>
  <c r="N1343" i="3"/>
  <c r="O1343" i="3"/>
  <c r="P1343" i="3"/>
  <c r="R1343" i="3"/>
  <c r="K1343" i="3"/>
  <c r="G1343" i="3"/>
  <c r="H1343" i="3"/>
  <c r="J1343" i="3"/>
  <c r="F1345" i="3" l="1"/>
  <c r="I1344" i="3"/>
  <c r="K1344" i="3"/>
  <c r="J1344" i="3"/>
  <c r="L1344" i="3"/>
  <c r="Q1344" i="3"/>
  <c r="G1344" i="3"/>
  <c r="O1344" i="3"/>
  <c r="P1344" i="3"/>
  <c r="R1344" i="3"/>
  <c r="N1344" i="3"/>
  <c r="H1344" i="3"/>
  <c r="F1346" i="3" l="1"/>
  <c r="O1345" i="3"/>
  <c r="Q1345" i="3"/>
  <c r="L1345" i="3"/>
  <c r="N1345" i="3"/>
  <c r="P1345" i="3"/>
  <c r="R1345" i="3"/>
  <c r="K1345" i="3"/>
  <c r="H1345" i="3"/>
  <c r="I1345" i="3"/>
  <c r="J1345" i="3"/>
  <c r="G1345" i="3"/>
  <c r="F1347" i="3" l="1"/>
  <c r="G1346" i="3"/>
  <c r="H1346" i="3"/>
  <c r="L1346" i="3"/>
  <c r="I1346" i="3"/>
  <c r="J1346" i="3"/>
  <c r="K1346" i="3"/>
  <c r="P1346" i="3"/>
  <c r="Q1346" i="3"/>
  <c r="R1346" i="3"/>
  <c r="N1346" i="3"/>
  <c r="O1346" i="3"/>
  <c r="F1348" i="3" l="1"/>
  <c r="H1347" i="3"/>
  <c r="J1347" i="3"/>
  <c r="O1347" i="3"/>
  <c r="P1347" i="3"/>
  <c r="Q1347" i="3"/>
  <c r="R1347" i="3"/>
  <c r="N1347" i="3"/>
  <c r="I1347" i="3"/>
  <c r="K1347" i="3"/>
  <c r="G1347" i="3"/>
  <c r="L1347" i="3"/>
  <c r="F1349" i="3" l="1"/>
  <c r="N1348" i="3"/>
  <c r="P1348" i="3"/>
  <c r="H1348" i="3"/>
  <c r="G1348" i="3"/>
  <c r="I1348" i="3"/>
  <c r="K1348" i="3"/>
  <c r="J1348" i="3"/>
  <c r="Q1348" i="3"/>
  <c r="R1348" i="3"/>
  <c r="O1348" i="3"/>
  <c r="L1348" i="3"/>
  <c r="F1350" i="3" l="1"/>
  <c r="J1349" i="3"/>
  <c r="K1349" i="3"/>
  <c r="P1349" i="3"/>
  <c r="Q1349" i="3"/>
  <c r="R1349" i="3"/>
  <c r="O1349" i="3"/>
  <c r="G1349" i="3"/>
  <c r="H1349" i="3"/>
  <c r="I1349" i="3"/>
  <c r="L1349" i="3"/>
  <c r="N1349" i="3"/>
  <c r="F1351" i="3" l="1"/>
  <c r="G1350" i="3"/>
  <c r="I1350" i="3"/>
  <c r="R1350" i="3"/>
  <c r="H1350" i="3"/>
  <c r="J1350" i="3"/>
  <c r="K1350" i="3"/>
  <c r="L1350" i="3"/>
  <c r="P1350" i="3"/>
  <c r="N1350" i="3"/>
  <c r="Q1350" i="3"/>
  <c r="O1350" i="3"/>
  <c r="F1352" i="3" l="1"/>
  <c r="L1351" i="3"/>
  <c r="O1351" i="3"/>
  <c r="G1351" i="3"/>
  <c r="K1351" i="3"/>
  <c r="R1351" i="3"/>
  <c r="Q1351" i="3"/>
  <c r="H1351" i="3"/>
  <c r="I1351" i="3"/>
  <c r="P1351" i="3"/>
  <c r="J1351" i="3"/>
  <c r="N1351" i="3"/>
  <c r="F1353" i="3" l="1"/>
  <c r="R1352" i="3"/>
  <c r="N1352" i="3"/>
  <c r="O1352" i="3"/>
  <c r="G1352" i="3"/>
  <c r="H1352" i="3"/>
  <c r="I1352" i="3"/>
  <c r="J1352" i="3"/>
  <c r="K1352" i="3"/>
  <c r="Q1352" i="3"/>
  <c r="P1352" i="3"/>
  <c r="L1352" i="3"/>
  <c r="F1354" i="3" l="1"/>
  <c r="H1353" i="3"/>
  <c r="I1353" i="3"/>
  <c r="Q1353" i="3"/>
  <c r="R1353" i="3"/>
  <c r="P1353" i="3"/>
  <c r="G1353" i="3"/>
  <c r="K1353" i="3"/>
  <c r="J1353" i="3"/>
  <c r="L1353" i="3"/>
  <c r="N1353" i="3"/>
  <c r="O1353" i="3"/>
  <c r="F1355" i="3" l="1"/>
  <c r="K1354" i="3"/>
  <c r="N1354" i="3"/>
  <c r="I1354" i="3"/>
  <c r="J1354" i="3"/>
  <c r="G1354" i="3"/>
  <c r="H1354" i="3"/>
  <c r="O1354" i="3"/>
  <c r="L1354" i="3"/>
  <c r="R1354" i="3"/>
  <c r="P1354" i="3"/>
  <c r="Q1354" i="3"/>
  <c r="F1356" i="3" l="1"/>
  <c r="Q1355" i="3"/>
  <c r="R1355" i="3"/>
  <c r="O1355" i="3"/>
  <c r="P1355" i="3"/>
  <c r="N1355" i="3"/>
  <c r="G1355" i="3"/>
  <c r="H1355" i="3"/>
  <c r="L1355" i="3"/>
  <c r="I1355" i="3"/>
  <c r="J1355" i="3"/>
  <c r="K1355" i="3"/>
  <c r="F1357" i="3" l="1"/>
  <c r="G1356" i="3"/>
  <c r="H1356" i="3"/>
  <c r="I1356" i="3"/>
  <c r="J1356" i="3"/>
  <c r="K1356" i="3"/>
  <c r="L1356" i="3"/>
  <c r="P1356" i="3"/>
  <c r="Q1356" i="3"/>
  <c r="R1356" i="3"/>
  <c r="O1356" i="3"/>
  <c r="N1356" i="3"/>
  <c r="F1358" i="3" l="1"/>
  <c r="J1357" i="3"/>
  <c r="L1357" i="3"/>
  <c r="O1357" i="3"/>
  <c r="P1357" i="3"/>
  <c r="Q1357" i="3"/>
  <c r="R1357" i="3"/>
  <c r="N1357" i="3"/>
  <c r="G1357" i="3"/>
  <c r="H1357" i="3"/>
  <c r="I1357" i="3"/>
  <c r="K1357" i="3"/>
  <c r="F1359" i="3" l="1"/>
  <c r="R1358" i="3"/>
  <c r="G1358" i="3"/>
  <c r="H1358" i="3"/>
  <c r="I1358" i="3"/>
  <c r="J1358" i="3"/>
  <c r="N1358" i="3"/>
  <c r="K1358" i="3"/>
  <c r="O1358" i="3"/>
  <c r="P1358" i="3"/>
  <c r="L1358" i="3"/>
  <c r="Q1358" i="3"/>
  <c r="F1360" i="3" l="1"/>
  <c r="I1359" i="3"/>
  <c r="J1359" i="3"/>
  <c r="N1359" i="3"/>
  <c r="O1359" i="3"/>
  <c r="P1359" i="3"/>
  <c r="Q1359" i="3"/>
  <c r="R1359" i="3"/>
  <c r="L1359" i="3"/>
  <c r="K1359" i="3"/>
  <c r="G1359" i="3"/>
  <c r="H1359" i="3"/>
  <c r="F1361" i="3" l="1"/>
  <c r="K1360" i="3"/>
  <c r="P1360" i="3"/>
  <c r="Q1360" i="3"/>
  <c r="G1360" i="3"/>
  <c r="J1360" i="3"/>
  <c r="L1360" i="3"/>
  <c r="O1360" i="3"/>
  <c r="N1360" i="3"/>
  <c r="R1360" i="3"/>
  <c r="I1360" i="3"/>
  <c r="H1360" i="3"/>
  <c r="F1362" i="3" l="1"/>
  <c r="Q1361" i="3"/>
  <c r="J1361" i="3"/>
  <c r="K1361" i="3"/>
  <c r="L1361" i="3"/>
  <c r="N1361" i="3"/>
  <c r="O1361" i="3"/>
  <c r="P1361" i="3"/>
  <c r="I1361" i="3"/>
  <c r="R1361" i="3"/>
  <c r="G1361" i="3"/>
  <c r="H1361" i="3"/>
  <c r="F1363" i="3" l="1"/>
  <c r="J1362" i="3"/>
  <c r="K1362" i="3"/>
  <c r="H1362" i="3"/>
  <c r="R1362" i="3"/>
  <c r="I1362" i="3"/>
  <c r="L1362" i="3"/>
  <c r="Q1362" i="3"/>
  <c r="N1362" i="3"/>
  <c r="O1362" i="3"/>
  <c r="G1362" i="3"/>
  <c r="P1362" i="3"/>
  <c r="F1364" i="3" l="1"/>
  <c r="J1363" i="3"/>
  <c r="Q1363" i="3"/>
  <c r="R1363" i="3"/>
  <c r="G1363" i="3"/>
  <c r="H1363" i="3"/>
  <c r="I1363" i="3"/>
  <c r="K1363" i="3"/>
  <c r="N1363" i="3"/>
  <c r="L1363" i="3"/>
  <c r="P1363" i="3"/>
  <c r="O1363" i="3"/>
  <c r="F1365" i="3" l="1"/>
  <c r="P1364" i="3"/>
  <c r="Q1364" i="3"/>
  <c r="R1364" i="3"/>
  <c r="G1364" i="3"/>
  <c r="O1364" i="3"/>
  <c r="H1364" i="3"/>
  <c r="I1364" i="3"/>
  <c r="J1364" i="3"/>
  <c r="K1364" i="3"/>
  <c r="L1364" i="3"/>
  <c r="N1364" i="3"/>
  <c r="F1366" i="3" l="1"/>
  <c r="K1365" i="3"/>
  <c r="L1365" i="3"/>
  <c r="G1365" i="3"/>
  <c r="H1365" i="3"/>
  <c r="I1365" i="3"/>
  <c r="J1365" i="3"/>
  <c r="P1365" i="3"/>
  <c r="N1365" i="3"/>
  <c r="Q1365" i="3"/>
  <c r="R1365" i="3"/>
  <c r="O1365" i="3"/>
  <c r="F1367" i="3" l="1"/>
  <c r="Q1366" i="3"/>
  <c r="R1366" i="3"/>
  <c r="L1366" i="3"/>
  <c r="N1366" i="3"/>
  <c r="O1366" i="3"/>
  <c r="P1366" i="3"/>
  <c r="K1366" i="3"/>
  <c r="G1366" i="3"/>
  <c r="I1366" i="3"/>
  <c r="H1366" i="3"/>
  <c r="J1366" i="3"/>
  <c r="F1368" i="3" l="1"/>
  <c r="H1367" i="3"/>
  <c r="G1367" i="3"/>
  <c r="K1367" i="3"/>
  <c r="L1367" i="3"/>
  <c r="O1367" i="3"/>
  <c r="N1367" i="3"/>
  <c r="P1367" i="3"/>
  <c r="Q1367" i="3"/>
  <c r="R1367" i="3"/>
  <c r="J1367" i="3"/>
  <c r="I1367" i="3"/>
  <c r="F1369" i="3" l="1"/>
  <c r="J1368" i="3"/>
  <c r="K1368" i="3"/>
  <c r="H1368" i="3"/>
  <c r="I1368" i="3"/>
  <c r="L1368" i="3"/>
  <c r="N1368" i="3"/>
  <c r="O1368" i="3"/>
  <c r="P1368" i="3"/>
  <c r="G1368" i="3"/>
  <c r="Q1368" i="3"/>
  <c r="R1368" i="3"/>
  <c r="F1370" i="3" l="1"/>
  <c r="P1369" i="3"/>
  <c r="Q1369" i="3"/>
  <c r="R1369" i="3"/>
  <c r="G1369" i="3"/>
  <c r="O1369" i="3"/>
  <c r="H1369" i="3"/>
  <c r="I1369" i="3"/>
  <c r="L1369" i="3"/>
  <c r="N1369" i="3"/>
  <c r="K1369" i="3"/>
  <c r="J1369" i="3"/>
  <c r="F1371" i="3" l="1"/>
  <c r="G1370" i="3"/>
  <c r="H1370" i="3"/>
  <c r="I1370" i="3"/>
  <c r="K1370" i="3"/>
  <c r="J1370" i="3"/>
  <c r="O1370" i="3"/>
  <c r="P1370" i="3"/>
  <c r="Q1370" i="3"/>
  <c r="R1370" i="3"/>
  <c r="N1370" i="3"/>
  <c r="L1370" i="3"/>
  <c r="F1372" i="3" l="1"/>
  <c r="I1371" i="3"/>
  <c r="J1371" i="3"/>
  <c r="N1371" i="3"/>
  <c r="O1371" i="3"/>
  <c r="P1371" i="3"/>
  <c r="Q1371" i="3"/>
  <c r="R1371" i="3"/>
  <c r="L1371" i="3"/>
  <c r="G1371" i="3"/>
  <c r="H1371" i="3"/>
  <c r="K1371" i="3"/>
  <c r="F1373" i="3" l="1"/>
  <c r="O1372" i="3"/>
  <c r="P1372" i="3"/>
  <c r="G1372" i="3"/>
  <c r="J1372" i="3"/>
  <c r="H1372" i="3"/>
  <c r="K1372" i="3"/>
  <c r="L1372" i="3"/>
  <c r="Q1372" i="3"/>
  <c r="R1372" i="3"/>
  <c r="I1372" i="3"/>
  <c r="N1372" i="3"/>
  <c r="F1374" i="3" l="1"/>
  <c r="I1373" i="3"/>
  <c r="J1373" i="3"/>
  <c r="K1373" i="3"/>
  <c r="L1373" i="3"/>
  <c r="O1373" i="3"/>
  <c r="N1373" i="3"/>
  <c r="R1373" i="3"/>
  <c r="H1373" i="3"/>
  <c r="Q1373" i="3"/>
  <c r="G1373" i="3"/>
  <c r="P1373" i="3"/>
  <c r="F1375" i="3" l="1"/>
  <c r="H1374" i="3"/>
  <c r="I1374" i="3"/>
  <c r="Q1374" i="3"/>
  <c r="R1374" i="3"/>
  <c r="P1374" i="3"/>
  <c r="G1374" i="3"/>
  <c r="K1374" i="3"/>
  <c r="J1374" i="3"/>
  <c r="L1374" i="3"/>
  <c r="N1374" i="3"/>
  <c r="O1374" i="3"/>
  <c r="F1376" i="3" l="1"/>
  <c r="N1375" i="3"/>
  <c r="O1375" i="3"/>
  <c r="G1375" i="3"/>
  <c r="H1375" i="3"/>
  <c r="I1375" i="3"/>
  <c r="J1375" i="3"/>
  <c r="P1375" i="3"/>
  <c r="K1375" i="3"/>
  <c r="Q1375" i="3"/>
  <c r="R1375" i="3"/>
  <c r="L1375" i="3"/>
  <c r="F1377" i="3" l="1"/>
  <c r="L1376" i="3"/>
  <c r="O1376" i="3"/>
  <c r="P1376" i="3"/>
  <c r="Q1376" i="3"/>
  <c r="R1376" i="3"/>
  <c r="K1376" i="3"/>
  <c r="N1376" i="3"/>
  <c r="I1376" i="3"/>
  <c r="H1376" i="3"/>
  <c r="J1376" i="3"/>
  <c r="G1376" i="3"/>
  <c r="F1378" i="3" l="1"/>
  <c r="G1377" i="3"/>
  <c r="H1377" i="3"/>
  <c r="K1377" i="3"/>
  <c r="L1377" i="3"/>
  <c r="O1377" i="3"/>
  <c r="N1377" i="3"/>
  <c r="P1377" i="3"/>
  <c r="Q1377" i="3"/>
  <c r="R1377" i="3"/>
  <c r="J1377" i="3"/>
  <c r="I1377" i="3"/>
  <c r="F1379" i="3" l="1"/>
  <c r="L1378" i="3"/>
  <c r="N1378" i="3"/>
  <c r="H1378" i="3"/>
  <c r="I1378" i="3"/>
  <c r="J1378" i="3"/>
  <c r="K1378" i="3"/>
  <c r="O1378" i="3"/>
  <c r="P1378" i="3"/>
  <c r="G1378" i="3"/>
  <c r="Q1378" i="3"/>
  <c r="R1378" i="3"/>
  <c r="F1380" i="3" l="1"/>
  <c r="R1379" i="3"/>
  <c r="P1379" i="3"/>
  <c r="Q1379" i="3"/>
  <c r="G1379" i="3"/>
  <c r="O1379" i="3"/>
  <c r="H1379" i="3"/>
  <c r="I1379" i="3"/>
  <c r="K1379" i="3"/>
  <c r="L1379" i="3"/>
  <c r="J1379" i="3"/>
  <c r="N1379" i="3"/>
  <c r="F1381" i="3" l="1"/>
  <c r="G1380" i="3"/>
  <c r="H1380" i="3"/>
  <c r="I1380" i="3"/>
  <c r="J1380" i="3"/>
  <c r="K1380" i="3"/>
  <c r="O1380" i="3"/>
  <c r="P1380" i="3"/>
  <c r="Q1380" i="3"/>
  <c r="R1380" i="3"/>
  <c r="N1380" i="3"/>
  <c r="L1380" i="3"/>
  <c r="F1382" i="3" l="1"/>
  <c r="K1381" i="3"/>
  <c r="L1381" i="3"/>
  <c r="N1381" i="3"/>
  <c r="O1381" i="3"/>
  <c r="P1381" i="3"/>
  <c r="Q1381" i="3"/>
  <c r="R1381" i="3"/>
  <c r="J1381" i="3"/>
  <c r="G1381" i="3"/>
  <c r="H1381" i="3"/>
  <c r="I1381" i="3"/>
  <c r="F1383" i="3" l="1"/>
  <c r="Q1382" i="3"/>
  <c r="R1382" i="3"/>
  <c r="G1382" i="3"/>
  <c r="J1382" i="3"/>
  <c r="H1382" i="3"/>
  <c r="K1382" i="3"/>
  <c r="L1382" i="3"/>
  <c r="I1382" i="3"/>
  <c r="N1382" i="3"/>
  <c r="O1382" i="3"/>
  <c r="P1382" i="3"/>
  <c r="F1384" i="3" l="1"/>
  <c r="I1383" i="3"/>
  <c r="J1383" i="3"/>
  <c r="K1383" i="3"/>
  <c r="L1383" i="3"/>
  <c r="N1383" i="3"/>
  <c r="O1383" i="3"/>
  <c r="R1383" i="3"/>
  <c r="H1383" i="3"/>
  <c r="Q1383" i="3"/>
  <c r="P1383" i="3"/>
  <c r="G1383" i="3"/>
  <c r="F1385" i="3" l="1"/>
  <c r="J1384" i="3"/>
  <c r="K1384" i="3"/>
  <c r="Q1384" i="3"/>
  <c r="R1384" i="3"/>
  <c r="P1384" i="3"/>
  <c r="G1384" i="3"/>
  <c r="I1384" i="3"/>
  <c r="H1384" i="3"/>
  <c r="L1384" i="3"/>
  <c r="N1384" i="3"/>
  <c r="O1384" i="3"/>
  <c r="F1386" i="3" l="1"/>
  <c r="P1385" i="3"/>
  <c r="Q1385" i="3"/>
  <c r="G1385" i="3"/>
  <c r="H1385" i="3"/>
  <c r="I1385" i="3"/>
  <c r="J1385" i="3"/>
  <c r="N1385" i="3"/>
  <c r="K1385" i="3"/>
  <c r="O1385" i="3"/>
  <c r="R1385" i="3"/>
  <c r="L1385" i="3"/>
  <c r="F1387" i="3" l="1"/>
  <c r="L1386" i="3"/>
  <c r="N1386" i="3"/>
  <c r="O1386" i="3"/>
  <c r="P1386" i="3"/>
  <c r="Q1386" i="3"/>
  <c r="K1386" i="3"/>
  <c r="J1386" i="3"/>
  <c r="G1386" i="3"/>
  <c r="R1386" i="3"/>
  <c r="H1386" i="3"/>
  <c r="I1386" i="3"/>
  <c r="F1388" i="3" l="1"/>
  <c r="I1387" i="3"/>
  <c r="J1387" i="3"/>
  <c r="K1387" i="3"/>
  <c r="H1387" i="3"/>
  <c r="N1387" i="3"/>
  <c r="R1387" i="3"/>
  <c r="L1387" i="3"/>
  <c r="P1387" i="3"/>
  <c r="Q1387" i="3"/>
  <c r="G1387" i="3"/>
  <c r="O1387" i="3"/>
  <c r="F1389" i="3" l="1"/>
  <c r="O1388" i="3"/>
  <c r="P1388" i="3"/>
  <c r="H1388" i="3"/>
  <c r="I1388" i="3"/>
  <c r="J1388" i="3"/>
  <c r="K1388" i="3"/>
  <c r="L1388" i="3"/>
  <c r="G1388" i="3"/>
  <c r="Q1388" i="3"/>
  <c r="R1388" i="3"/>
  <c r="N1388" i="3"/>
  <c r="F1390" i="3" l="1"/>
  <c r="P1389" i="3"/>
  <c r="Q1389" i="3"/>
  <c r="R1389" i="3"/>
  <c r="G1389" i="3"/>
  <c r="O1389" i="3"/>
  <c r="N1389" i="3"/>
  <c r="K1389" i="3"/>
  <c r="H1389" i="3"/>
  <c r="L1389" i="3"/>
  <c r="I1389" i="3"/>
  <c r="J1389" i="3"/>
  <c r="F1391" i="3" l="1"/>
  <c r="H1390" i="3"/>
  <c r="I1390" i="3"/>
  <c r="G1390" i="3"/>
  <c r="J1390" i="3"/>
  <c r="O1390" i="3"/>
  <c r="K1390" i="3"/>
  <c r="L1390" i="3"/>
  <c r="N1390" i="3"/>
  <c r="P1390" i="3"/>
  <c r="Q1390" i="3"/>
  <c r="R1390" i="3"/>
  <c r="F1392" i="3" l="1"/>
  <c r="N1391" i="3"/>
  <c r="O1391" i="3"/>
  <c r="K1391" i="3"/>
  <c r="L1391" i="3"/>
  <c r="P1391" i="3"/>
  <c r="Q1391" i="3"/>
  <c r="R1391" i="3"/>
  <c r="J1391" i="3"/>
  <c r="G1391" i="3"/>
  <c r="I1391" i="3"/>
  <c r="H1391" i="3"/>
  <c r="F1393" i="3" l="1"/>
  <c r="J1392" i="3"/>
  <c r="R1392" i="3"/>
  <c r="P1392" i="3"/>
  <c r="Q1392" i="3"/>
  <c r="G1392" i="3"/>
  <c r="O1392" i="3"/>
  <c r="H1392" i="3"/>
  <c r="I1392" i="3"/>
  <c r="K1392" i="3"/>
  <c r="N1392" i="3"/>
  <c r="L1392" i="3"/>
  <c r="F1394" i="3" l="1"/>
  <c r="G1393" i="3"/>
  <c r="H1393" i="3"/>
  <c r="I1393" i="3"/>
  <c r="J1393" i="3"/>
  <c r="K1393" i="3"/>
  <c r="L1393" i="3"/>
  <c r="N1393" i="3"/>
  <c r="R1393" i="3"/>
  <c r="O1393" i="3"/>
  <c r="P1393" i="3"/>
  <c r="Q1393" i="3"/>
  <c r="F1395" i="3" l="1"/>
  <c r="L1394" i="3"/>
  <c r="N1394" i="3"/>
  <c r="Q1394" i="3"/>
  <c r="R1394" i="3"/>
  <c r="P1394" i="3"/>
  <c r="G1394" i="3"/>
  <c r="J1394" i="3"/>
  <c r="K1394" i="3"/>
  <c r="H1394" i="3"/>
  <c r="I1394" i="3"/>
  <c r="O1394" i="3"/>
  <c r="F1396" i="3" l="1"/>
  <c r="R1395" i="3"/>
  <c r="G1395" i="3"/>
  <c r="H1395" i="3"/>
  <c r="I1395" i="3"/>
  <c r="N1395" i="3"/>
  <c r="Q1395" i="3"/>
  <c r="P1395" i="3"/>
  <c r="L1395" i="3"/>
  <c r="O1395" i="3"/>
  <c r="K1395" i="3"/>
  <c r="J1395" i="3"/>
  <c r="F1397" i="3" l="1"/>
  <c r="G1396" i="3"/>
  <c r="L1396" i="3"/>
  <c r="N1396" i="3"/>
  <c r="O1396" i="3"/>
  <c r="P1396" i="3"/>
  <c r="Q1396" i="3"/>
  <c r="K1396" i="3"/>
  <c r="I1396" i="3"/>
  <c r="H1396" i="3"/>
  <c r="J1396" i="3"/>
  <c r="R1396" i="3"/>
  <c r="F1398" i="3" l="1"/>
  <c r="K1397" i="3"/>
  <c r="L1397" i="3"/>
  <c r="I1397" i="3"/>
  <c r="G1397" i="3"/>
  <c r="H1397" i="3"/>
  <c r="N1397" i="3"/>
  <c r="O1397" i="3"/>
  <c r="Q1397" i="3"/>
  <c r="R1397" i="3"/>
  <c r="J1397" i="3"/>
  <c r="P1397" i="3"/>
  <c r="F1399" i="3" l="1"/>
  <c r="Q1398" i="3"/>
  <c r="R1398" i="3"/>
  <c r="H1398" i="3"/>
  <c r="I1398" i="3"/>
  <c r="J1398" i="3"/>
  <c r="K1398" i="3"/>
  <c r="L1398" i="3"/>
  <c r="G1398" i="3"/>
  <c r="P1398" i="3"/>
  <c r="N1398" i="3"/>
  <c r="O1398" i="3"/>
  <c r="F1400" i="3" l="1"/>
  <c r="P1399" i="3"/>
  <c r="Q1399" i="3"/>
  <c r="R1399" i="3"/>
  <c r="G1399" i="3"/>
  <c r="O1399" i="3"/>
  <c r="H1399" i="3"/>
  <c r="I1399" i="3"/>
  <c r="J1399" i="3"/>
  <c r="K1399" i="3"/>
  <c r="L1399" i="3"/>
  <c r="N1399" i="3"/>
  <c r="F1401" i="3" l="1"/>
  <c r="J1400" i="3"/>
  <c r="K1400" i="3"/>
  <c r="G1400" i="3"/>
  <c r="H1400" i="3"/>
  <c r="O1400" i="3"/>
  <c r="I1400" i="3"/>
  <c r="N1400" i="3"/>
  <c r="P1400" i="3"/>
  <c r="Q1400" i="3"/>
  <c r="R1400" i="3"/>
  <c r="L1400" i="3"/>
  <c r="F1402" i="3" l="1"/>
  <c r="P1401" i="3"/>
  <c r="Q1401" i="3"/>
  <c r="K1401" i="3"/>
  <c r="L1401" i="3"/>
  <c r="N1401" i="3"/>
  <c r="O1401" i="3"/>
  <c r="R1401" i="3"/>
  <c r="J1401" i="3"/>
  <c r="G1401" i="3"/>
  <c r="H1401" i="3"/>
  <c r="I1401" i="3"/>
  <c r="F1403" i="3" l="1"/>
  <c r="J1402" i="3"/>
  <c r="R1402" i="3"/>
  <c r="H1402" i="3"/>
  <c r="K1402" i="3"/>
  <c r="I1402" i="3"/>
  <c r="L1402" i="3"/>
  <c r="P1402" i="3"/>
  <c r="N1402" i="3"/>
  <c r="O1402" i="3"/>
  <c r="G1402" i="3"/>
  <c r="Q1402" i="3"/>
  <c r="F1404" i="3" l="1"/>
  <c r="I1403" i="3"/>
  <c r="J1403" i="3"/>
  <c r="G1403" i="3"/>
  <c r="H1403" i="3"/>
  <c r="K1403" i="3"/>
  <c r="L1403" i="3"/>
  <c r="N1403" i="3"/>
  <c r="R1403" i="3"/>
  <c r="O1403" i="3"/>
  <c r="P1403" i="3"/>
  <c r="Q1403" i="3"/>
  <c r="F1405" i="3" l="1"/>
  <c r="O1404" i="3"/>
  <c r="P1404" i="3"/>
  <c r="Q1404" i="3"/>
  <c r="R1404" i="3"/>
  <c r="N1404" i="3"/>
  <c r="L1404" i="3"/>
  <c r="K1404" i="3"/>
  <c r="I1404" i="3"/>
  <c r="G1404" i="3"/>
  <c r="H1404" i="3"/>
  <c r="J1404" i="3"/>
  <c r="F1406" i="3" l="1"/>
  <c r="G1405" i="3"/>
  <c r="H1405" i="3"/>
  <c r="I1405" i="3"/>
  <c r="N1405" i="3"/>
  <c r="J1405" i="3"/>
  <c r="Q1405" i="3"/>
  <c r="K1405" i="3"/>
  <c r="L1405" i="3"/>
  <c r="O1405" i="3"/>
  <c r="P1405" i="3"/>
  <c r="R1405" i="3"/>
  <c r="F1407" i="3" l="1"/>
  <c r="H1406" i="3"/>
  <c r="I1406" i="3"/>
  <c r="L1406" i="3"/>
  <c r="N1406" i="3"/>
  <c r="O1406" i="3"/>
  <c r="P1406" i="3"/>
  <c r="Q1406" i="3"/>
  <c r="K1406" i="3"/>
  <c r="G1406" i="3"/>
  <c r="J1406" i="3"/>
  <c r="R1406" i="3"/>
  <c r="F1408" i="3" l="1"/>
  <c r="N1407" i="3"/>
  <c r="O1407" i="3"/>
  <c r="I1407" i="3"/>
  <c r="P1407" i="3"/>
  <c r="R1407" i="3"/>
  <c r="Q1407" i="3"/>
  <c r="L1407" i="3"/>
  <c r="J1407" i="3"/>
  <c r="G1407" i="3"/>
  <c r="K1407" i="3"/>
  <c r="H1407" i="3"/>
  <c r="F1409" i="3" l="1"/>
  <c r="H1408" i="3"/>
  <c r="I1408" i="3"/>
  <c r="J1408" i="3"/>
  <c r="K1408" i="3"/>
  <c r="L1408" i="3"/>
  <c r="Q1408" i="3"/>
  <c r="G1408" i="3"/>
  <c r="R1408" i="3"/>
  <c r="N1408" i="3"/>
  <c r="O1408" i="3"/>
  <c r="P1408" i="3"/>
  <c r="F1410" i="3" l="1"/>
  <c r="G1409" i="3"/>
  <c r="H1409" i="3"/>
  <c r="P1409" i="3"/>
  <c r="Q1409" i="3"/>
  <c r="R1409" i="3"/>
  <c r="O1409" i="3"/>
  <c r="J1409" i="3"/>
  <c r="K1409" i="3"/>
  <c r="L1409" i="3"/>
  <c r="I1409" i="3"/>
  <c r="N1409" i="3"/>
  <c r="F1411" i="3" l="1"/>
  <c r="L1410" i="3"/>
  <c r="N1410" i="3"/>
  <c r="G1410" i="3"/>
  <c r="H1410" i="3"/>
  <c r="O1410" i="3"/>
  <c r="Q1410" i="3"/>
  <c r="R1410" i="3"/>
  <c r="P1410" i="3"/>
  <c r="K1410" i="3"/>
  <c r="J1410" i="3"/>
  <c r="I1410" i="3"/>
  <c r="F1412" i="3" l="1"/>
  <c r="R1411" i="3"/>
  <c r="K1411" i="3"/>
  <c r="N1411" i="3"/>
  <c r="O1411" i="3"/>
  <c r="P1411" i="3"/>
  <c r="J1411" i="3"/>
  <c r="L1411" i="3"/>
  <c r="G1411" i="3"/>
  <c r="H1411" i="3"/>
  <c r="I1411" i="3"/>
  <c r="Q1411" i="3"/>
  <c r="F1413" i="3" l="1"/>
  <c r="G1412" i="3"/>
  <c r="J1412" i="3"/>
  <c r="R1412" i="3"/>
  <c r="H1412" i="3"/>
  <c r="K1412" i="3"/>
  <c r="L1412" i="3"/>
  <c r="Q1412" i="3"/>
  <c r="I1412" i="3"/>
  <c r="O1412" i="3"/>
  <c r="N1412" i="3"/>
  <c r="P1412" i="3"/>
  <c r="F1414" i="3" l="1"/>
  <c r="K1413" i="3"/>
  <c r="L1413" i="3"/>
  <c r="G1413" i="3"/>
  <c r="H1413" i="3"/>
  <c r="I1413" i="3"/>
  <c r="J1413" i="3"/>
  <c r="N1413" i="3"/>
  <c r="R1413" i="3"/>
  <c r="Q1413" i="3"/>
  <c r="P1413" i="3"/>
  <c r="O1413" i="3"/>
  <c r="F1415" i="3" l="1"/>
  <c r="Q1414" i="3"/>
  <c r="R1414" i="3"/>
  <c r="O1414" i="3"/>
  <c r="P1414" i="3"/>
  <c r="N1414" i="3"/>
  <c r="H1414" i="3"/>
  <c r="G1414" i="3"/>
  <c r="J1414" i="3"/>
  <c r="K1414" i="3"/>
  <c r="L1414" i="3"/>
  <c r="I1414" i="3"/>
  <c r="F1416" i="3" l="1"/>
  <c r="G1415" i="3"/>
  <c r="H1415" i="3"/>
  <c r="I1415" i="3"/>
  <c r="N1415" i="3"/>
  <c r="K1415" i="3"/>
  <c r="L1415" i="3"/>
  <c r="Q1415" i="3"/>
  <c r="J1415" i="3"/>
  <c r="O1415" i="3"/>
  <c r="R1415" i="3"/>
  <c r="P1415" i="3"/>
  <c r="F1417" i="3" l="1"/>
  <c r="K1416" i="3"/>
  <c r="J1416" i="3"/>
  <c r="L1416" i="3"/>
  <c r="N1416" i="3"/>
  <c r="O1416" i="3"/>
  <c r="P1416" i="3"/>
  <c r="I1416" i="3"/>
  <c r="Q1416" i="3"/>
  <c r="R1416" i="3"/>
  <c r="H1416" i="3"/>
  <c r="G1416" i="3"/>
  <c r="F1418" i="3" l="1"/>
  <c r="Q1417" i="3"/>
  <c r="R1417" i="3"/>
  <c r="H1417" i="3"/>
  <c r="P1417" i="3"/>
  <c r="L1417" i="3"/>
  <c r="I1417" i="3"/>
  <c r="J1417" i="3"/>
  <c r="K1417" i="3"/>
  <c r="O1417" i="3"/>
  <c r="G1417" i="3"/>
  <c r="N1417" i="3"/>
  <c r="F1419" i="3" l="1"/>
  <c r="G1418" i="3"/>
  <c r="H1418" i="3"/>
  <c r="I1418" i="3"/>
  <c r="J1418" i="3"/>
  <c r="O1418" i="3"/>
  <c r="K1418" i="3"/>
  <c r="R1418" i="3"/>
  <c r="Q1418" i="3"/>
  <c r="N1418" i="3"/>
  <c r="P1418" i="3"/>
  <c r="L1418" i="3"/>
  <c r="F1420" i="3" l="1"/>
  <c r="J1419" i="3"/>
  <c r="L1419" i="3"/>
  <c r="N1419" i="3"/>
  <c r="O1419" i="3"/>
  <c r="P1419" i="3"/>
  <c r="Q1419" i="3"/>
  <c r="K1419" i="3"/>
  <c r="H1419" i="3"/>
  <c r="R1419" i="3"/>
  <c r="I1419" i="3"/>
  <c r="G1419" i="3"/>
  <c r="F1421" i="3" l="1"/>
  <c r="P1420" i="3"/>
  <c r="I1420" i="3"/>
  <c r="R1420" i="3"/>
  <c r="K1420" i="3"/>
  <c r="G1420" i="3"/>
  <c r="H1420" i="3"/>
  <c r="J1420" i="3"/>
  <c r="N1420" i="3"/>
  <c r="O1420" i="3"/>
  <c r="L1420" i="3"/>
  <c r="Q1420" i="3"/>
  <c r="F1422" i="3" l="1"/>
  <c r="G1421" i="3"/>
  <c r="H1421" i="3"/>
  <c r="I1421" i="3"/>
  <c r="J1421" i="3"/>
  <c r="K1421" i="3"/>
  <c r="P1421" i="3"/>
  <c r="R1421" i="3"/>
  <c r="L1421" i="3"/>
  <c r="N1421" i="3"/>
  <c r="O1421" i="3"/>
  <c r="Q1421" i="3"/>
  <c r="F1423" i="3" l="1"/>
  <c r="I1422" i="3"/>
  <c r="N1422" i="3"/>
  <c r="O1422" i="3"/>
  <c r="P1422" i="3"/>
  <c r="Q1422" i="3"/>
  <c r="R1422" i="3"/>
  <c r="L1422" i="3"/>
  <c r="G1422" i="3"/>
  <c r="H1422" i="3"/>
  <c r="J1422" i="3"/>
  <c r="K1422" i="3"/>
  <c r="F1424" i="3" l="1"/>
  <c r="O1423" i="3"/>
  <c r="J1423" i="3"/>
  <c r="I1423" i="3"/>
  <c r="G1423" i="3"/>
  <c r="H1423" i="3"/>
  <c r="L1423" i="3"/>
  <c r="N1423" i="3"/>
  <c r="K1423" i="3"/>
  <c r="Q1423" i="3"/>
  <c r="P1423" i="3"/>
  <c r="R1423" i="3"/>
  <c r="F1425" i="3" l="1"/>
  <c r="H1424" i="3"/>
  <c r="I1424" i="3"/>
  <c r="J1424" i="3"/>
  <c r="K1424" i="3"/>
  <c r="L1424" i="3"/>
  <c r="Q1424" i="3"/>
  <c r="G1424" i="3"/>
  <c r="R1424" i="3"/>
  <c r="P1424" i="3"/>
  <c r="N1424" i="3"/>
  <c r="O1424" i="3"/>
  <c r="F1426" i="3" l="1"/>
  <c r="N1425" i="3"/>
  <c r="P1425" i="3"/>
  <c r="Q1425" i="3"/>
  <c r="R1425" i="3"/>
  <c r="L1425" i="3"/>
  <c r="O1425" i="3"/>
  <c r="H1425" i="3"/>
  <c r="G1425" i="3"/>
  <c r="I1425" i="3"/>
  <c r="J1425" i="3"/>
  <c r="K1425" i="3"/>
  <c r="F1427" i="3" l="1"/>
  <c r="J1426" i="3"/>
  <c r="R1426" i="3"/>
  <c r="I1426" i="3"/>
  <c r="K1426" i="3"/>
  <c r="G1426" i="3"/>
  <c r="P1426" i="3"/>
  <c r="H1426" i="3"/>
  <c r="O1426" i="3"/>
  <c r="N1426" i="3"/>
  <c r="Q1426" i="3"/>
  <c r="L1426" i="3"/>
  <c r="F1428" i="3" l="1"/>
  <c r="G1427" i="3"/>
  <c r="H1427" i="3"/>
  <c r="I1427" i="3"/>
  <c r="J1427" i="3"/>
  <c r="K1427" i="3"/>
  <c r="P1427" i="3"/>
  <c r="N1427" i="3"/>
  <c r="Q1427" i="3"/>
  <c r="O1427" i="3"/>
  <c r="R1427" i="3"/>
  <c r="L1427" i="3"/>
  <c r="F1429" i="3" l="1"/>
  <c r="L1428" i="3"/>
  <c r="N1428" i="3"/>
  <c r="O1428" i="3"/>
  <c r="P1428" i="3"/>
  <c r="Q1428" i="3"/>
  <c r="K1428" i="3"/>
  <c r="I1428" i="3"/>
  <c r="G1428" i="3"/>
  <c r="H1428" i="3"/>
  <c r="R1428" i="3"/>
  <c r="J1428" i="3"/>
  <c r="F1430" i="3" l="1"/>
  <c r="R1429" i="3"/>
  <c r="I1429" i="3"/>
  <c r="Q1429" i="3"/>
  <c r="P1429" i="3"/>
  <c r="G1429" i="3"/>
  <c r="O1429" i="3"/>
  <c r="H1429" i="3"/>
  <c r="N1429" i="3"/>
  <c r="J1429" i="3"/>
  <c r="K1429" i="3"/>
  <c r="L1429" i="3"/>
  <c r="F1431" i="3" l="1"/>
  <c r="H1430" i="3"/>
  <c r="I1430" i="3"/>
  <c r="J1430" i="3"/>
  <c r="O1430" i="3"/>
  <c r="G1430" i="3"/>
  <c r="R1430" i="3"/>
  <c r="K1430" i="3"/>
  <c r="L1430" i="3"/>
  <c r="P1430" i="3"/>
  <c r="Q1430" i="3"/>
  <c r="N1430" i="3"/>
  <c r="F1432" i="3" l="1"/>
  <c r="K1431" i="3"/>
  <c r="L1431" i="3"/>
  <c r="N1431" i="3"/>
  <c r="O1431" i="3"/>
  <c r="P1431" i="3"/>
  <c r="J1431" i="3"/>
  <c r="H1431" i="3"/>
  <c r="I1431" i="3"/>
  <c r="G1431" i="3"/>
  <c r="R1431" i="3"/>
  <c r="Q1431" i="3"/>
  <c r="F1433" i="3" l="1"/>
  <c r="Q1432" i="3"/>
  <c r="R1432" i="3"/>
  <c r="H1432" i="3"/>
  <c r="P1432" i="3"/>
  <c r="L1432" i="3"/>
  <c r="O1432" i="3"/>
  <c r="N1432" i="3"/>
  <c r="K1432" i="3"/>
  <c r="I1432" i="3"/>
  <c r="J1432" i="3"/>
  <c r="G1432" i="3"/>
  <c r="F1434" i="3" l="1"/>
  <c r="G1433" i="3"/>
  <c r="H1433" i="3"/>
  <c r="I1433" i="3"/>
  <c r="N1433" i="3"/>
  <c r="J1433" i="3"/>
  <c r="O1433" i="3"/>
  <c r="K1433" i="3"/>
  <c r="L1433" i="3"/>
  <c r="Q1433" i="3"/>
  <c r="R1433" i="3"/>
  <c r="P1433" i="3"/>
  <c r="F1435" i="3" l="1"/>
  <c r="J1434" i="3"/>
  <c r="L1434" i="3"/>
  <c r="N1434" i="3"/>
  <c r="O1434" i="3"/>
  <c r="I1434" i="3"/>
  <c r="K1434" i="3"/>
  <c r="Q1434" i="3"/>
  <c r="R1434" i="3"/>
  <c r="G1434" i="3"/>
  <c r="P1434" i="3"/>
  <c r="H1434" i="3"/>
  <c r="F1436" i="3" l="1"/>
  <c r="P1435" i="3"/>
  <c r="Q1435" i="3"/>
  <c r="R1435" i="3"/>
  <c r="G1435" i="3"/>
  <c r="O1435" i="3"/>
  <c r="I1435" i="3"/>
  <c r="J1435" i="3"/>
  <c r="K1435" i="3"/>
  <c r="L1435" i="3"/>
  <c r="N1435" i="3"/>
  <c r="H1435" i="3"/>
  <c r="F1437" i="3" l="1"/>
  <c r="G1436" i="3"/>
  <c r="H1436" i="3"/>
  <c r="L1436" i="3"/>
  <c r="I1436" i="3"/>
  <c r="J1436" i="3"/>
  <c r="N1436" i="3"/>
  <c r="O1436" i="3"/>
  <c r="P1436" i="3"/>
  <c r="Q1436" i="3"/>
  <c r="K1436" i="3"/>
  <c r="R1436" i="3"/>
  <c r="F1438" i="3" l="1"/>
  <c r="I1437" i="3"/>
  <c r="K1437" i="3"/>
  <c r="L1437" i="3"/>
  <c r="N1437" i="3"/>
  <c r="R1437" i="3"/>
  <c r="H1437" i="3"/>
  <c r="J1437" i="3"/>
  <c r="Q1437" i="3"/>
  <c r="P1437" i="3"/>
  <c r="O1437" i="3"/>
  <c r="G1437" i="3"/>
  <c r="F1439" i="3" l="1"/>
  <c r="O1438" i="3"/>
  <c r="Q1438" i="3"/>
  <c r="R1438" i="3"/>
  <c r="N1438" i="3"/>
  <c r="P1438" i="3"/>
  <c r="H1438" i="3"/>
  <c r="L1438" i="3"/>
  <c r="G1438" i="3"/>
  <c r="I1438" i="3"/>
  <c r="J1438" i="3"/>
  <c r="K1438" i="3"/>
  <c r="F1440" i="3" l="1"/>
  <c r="G1439" i="3"/>
  <c r="K1439" i="3"/>
  <c r="I1439" i="3"/>
  <c r="J1439" i="3"/>
  <c r="R1439" i="3"/>
  <c r="N1439" i="3"/>
  <c r="Q1439" i="3"/>
  <c r="O1439" i="3"/>
  <c r="P1439" i="3"/>
  <c r="H1439" i="3"/>
  <c r="L1439" i="3"/>
  <c r="F1441" i="3" l="1"/>
  <c r="H1440" i="3"/>
  <c r="I1440" i="3"/>
  <c r="J1440" i="3"/>
  <c r="K1440" i="3"/>
  <c r="L1440" i="3"/>
  <c r="Q1440" i="3"/>
  <c r="G1440" i="3"/>
  <c r="N1440" i="3"/>
  <c r="O1440" i="3"/>
  <c r="P1440" i="3"/>
  <c r="R1440" i="3"/>
  <c r="F1442" i="3" l="1"/>
  <c r="N1441" i="3"/>
  <c r="P1441" i="3"/>
  <c r="Q1441" i="3"/>
  <c r="R1441" i="3"/>
  <c r="L1441" i="3"/>
  <c r="O1441" i="3"/>
  <c r="I1441" i="3"/>
  <c r="G1441" i="3"/>
  <c r="H1441" i="3"/>
  <c r="K1441" i="3"/>
  <c r="J1441" i="3"/>
  <c r="F1443" i="3" l="1"/>
  <c r="J1442" i="3"/>
  <c r="R1442" i="3"/>
  <c r="P1442" i="3"/>
  <c r="Q1442" i="3"/>
  <c r="G1442" i="3"/>
  <c r="O1442" i="3"/>
  <c r="I1442" i="3"/>
  <c r="K1442" i="3"/>
  <c r="N1442" i="3"/>
  <c r="L1442" i="3"/>
  <c r="H1442" i="3"/>
  <c r="F1444" i="3" l="1"/>
  <c r="G1443" i="3"/>
  <c r="H1443" i="3"/>
  <c r="I1443" i="3"/>
  <c r="J1443" i="3"/>
  <c r="K1443" i="3"/>
  <c r="P1443" i="3"/>
  <c r="L1443" i="3"/>
  <c r="R1443" i="3"/>
  <c r="N1443" i="3"/>
  <c r="O1443" i="3"/>
  <c r="Q1443" i="3"/>
  <c r="F1445" i="3" l="1"/>
  <c r="L1444" i="3"/>
  <c r="O1444" i="3"/>
  <c r="P1444" i="3"/>
  <c r="Q1444" i="3"/>
  <c r="K1444" i="3"/>
  <c r="N1444" i="3"/>
  <c r="H1444" i="3"/>
  <c r="I1444" i="3"/>
  <c r="J1444" i="3"/>
  <c r="R1444" i="3"/>
  <c r="G1444" i="3"/>
  <c r="F1446" i="3" l="1"/>
  <c r="R1445" i="3"/>
  <c r="I1445" i="3"/>
  <c r="Q1445" i="3"/>
  <c r="L1445" i="3"/>
  <c r="O1445" i="3"/>
  <c r="N1445" i="3"/>
  <c r="P1445" i="3"/>
  <c r="K1445" i="3"/>
  <c r="G1445" i="3"/>
  <c r="H1445" i="3"/>
  <c r="J1445" i="3"/>
  <c r="F1447" i="3" l="1"/>
  <c r="G1446" i="3"/>
  <c r="H1446" i="3"/>
  <c r="I1446" i="3"/>
  <c r="J1446" i="3"/>
  <c r="O1446" i="3"/>
  <c r="N1446" i="3"/>
  <c r="K1446" i="3"/>
  <c r="L1446" i="3"/>
  <c r="Q1446" i="3"/>
  <c r="R1446" i="3"/>
  <c r="P1446" i="3"/>
  <c r="F1448" i="3" l="1"/>
  <c r="K1447" i="3"/>
  <c r="N1447" i="3"/>
  <c r="O1447" i="3"/>
  <c r="P1447" i="3"/>
  <c r="J1447" i="3"/>
  <c r="L1447" i="3"/>
  <c r="G1447" i="3"/>
  <c r="Q1447" i="3"/>
  <c r="I1447" i="3"/>
  <c r="R1447" i="3"/>
  <c r="H1447" i="3"/>
  <c r="F1449" i="3" l="1"/>
  <c r="Q1448" i="3"/>
  <c r="R1448" i="3"/>
  <c r="H1448" i="3"/>
  <c r="P1448" i="3"/>
  <c r="I1448" i="3"/>
  <c r="J1448" i="3"/>
  <c r="K1448" i="3"/>
  <c r="L1448" i="3"/>
  <c r="N1448" i="3"/>
  <c r="O1448" i="3"/>
  <c r="G1448" i="3"/>
  <c r="F1450" i="3" l="1"/>
  <c r="O1449" i="3"/>
  <c r="H1449" i="3"/>
  <c r="L1449" i="3"/>
  <c r="I1449" i="3"/>
  <c r="P1449" i="3"/>
  <c r="G1449" i="3"/>
  <c r="Q1449" i="3"/>
  <c r="K1449" i="3"/>
  <c r="R1449" i="3"/>
  <c r="N1449" i="3"/>
  <c r="J1449" i="3"/>
  <c r="F1451" i="3" l="1"/>
  <c r="K1450" i="3"/>
  <c r="P1450" i="3"/>
  <c r="I1450" i="3"/>
  <c r="O1450" i="3"/>
  <c r="N1450" i="3"/>
  <c r="H1450" i="3"/>
  <c r="L1450" i="3"/>
  <c r="G1450" i="3"/>
  <c r="J1450" i="3"/>
  <c r="Q1450" i="3"/>
  <c r="R1450" i="3"/>
  <c r="F1452" i="3" l="1"/>
  <c r="H1451" i="3"/>
  <c r="R1451" i="3"/>
  <c r="I1451" i="3"/>
  <c r="Q1451" i="3"/>
  <c r="J1451" i="3"/>
  <c r="O1451" i="3"/>
  <c r="L1451" i="3"/>
  <c r="G1451" i="3"/>
  <c r="P1451" i="3"/>
  <c r="K1451" i="3"/>
  <c r="N1451" i="3"/>
  <c r="F1453" i="3" l="1"/>
  <c r="N1452" i="3"/>
  <c r="K1452" i="3"/>
  <c r="Q1452" i="3"/>
  <c r="H1452" i="3"/>
  <c r="J1452" i="3"/>
  <c r="O1452" i="3"/>
  <c r="G1452" i="3"/>
  <c r="L1452" i="3"/>
  <c r="P1452" i="3"/>
  <c r="R1452" i="3"/>
  <c r="I1452" i="3"/>
  <c r="F1454" i="3" l="1"/>
  <c r="L1453" i="3"/>
  <c r="N1453" i="3"/>
  <c r="I1453" i="3"/>
  <c r="P1453" i="3"/>
  <c r="Q1453" i="3"/>
  <c r="G1453" i="3"/>
  <c r="K1453" i="3"/>
  <c r="J1453" i="3"/>
  <c r="R1453" i="3"/>
  <c r="H1453" i="3"/>
  <c r="O1453" i="3"/>
  <c r="F1455" i="3" l="1"/>
  <c r="G1454" i="3"/>
  <c r="H1454" i="3"/>
  <c r="L1454" i="3"/>
  <c r="K1454" i="3"/>
  <c r="R1454" i="3"/>
  <c r="P1454" i="3"/>
  <c r="J1454" i="3"/>
  <c r="Q1454" i="3"/>
  <c r="N1454" i="3"/>
  <c r="O1454" i="3"/>
  <c r="I1454" i="3"/>
  <c r="F1456" i="3" l="1"/>
  <c r="L1455" i="3"/>
  <c r="G1455" i="3"/>
  <c r="P1455" i="3"/>
  <c r="I1455" i="3"/>
  <c r="O1455" i="3"/>
  <c r="J1455" i="3"/>
  <c r="K1455" i="3"/>
  <c r="R1455" i="3"/>
  <c r="N1455" i="3"/>
  <c r="Q1455" i="3"/>
  <c r="H1455" i="3"/>
  <c r="F1457" i="3" l="1"/>
  <c r="R1456" i="3"/>
  <c r="N1456" i="3"/>
  <c r="H1456" i="3"/>
  <c r="G1456" i="3"/>
  <c r="L1456" i="3"/>
  <c r="J1456" i="3"/>
  <c r="I1456" i="3"/>
  <c r="K1456" i="3"/>
  <c r="O1456" i="3"/>
  <c r="Q1456" i="3"/>
  <c r="P1456" i="3"/>
  <c r="F1458" i="3" l="1"/>
  <c r="K1457" i="3"/>
  <c r="P1457" i="3"/>
  <c r="H1457" i="3"/>
  <c r="N1457" i="3"/>
  <c r="L1457" i="3"/>
  <c r="Q1457" i="3"/>
  <c r="J1457" i="3"/>
  <c r="I1457" i="3"/>
  <c r="R1457" i="3"/>
  <c r="G1457" i="3"/>
  <c r="O1457" i="3"/>
  <c r="F1459" i="3" l="1"/>
  <c r="K1458" i="3"/>
  <c r="H1458" i="3"/>
  <c r="R1458" i="3"/>
  <c r="I1458" i="3"/>
  <c r="O1458" i="3"/>
  <c r="G1458" i="3"/>
  <c r="Q1458" i="3"/>
  <c r="J1458" i="3"/>
  <c r="L1458" i="3"/>
  <c r="P1458" i="3"/>
  <c r="N1458" i="3"/>
  <c r="F1460" i="3" l="1"/>
  <c r="Q1459" i="3"/>
  <c r="O1459" i="3"/>
  <c r="G1459" i="3"/>
  <c r="K1459" i="3"/>
  <c r="L1459" i="3"/>
  <c r="P1459" i="3"/>
  <c r="N1459" i="3"/>
  <c r="R1459" i="3"/>
  <c r="J1459" i="3"/>
  <c r="H1459" i="3"/>
  <c r="I1459" i="3"/>
  <c r="F1461" i="3" l="1"/>
  <c r="O1460" i="3"/>
  <c r="Q1460" i="3"/>
  <c r="J1460" i="3"/>
  <c r="P1460" i="3"/>
  <c r="K1460" i="3"/>
  <c r="N1460" i="3"/>
  <c r="H1460" i="3"/>
  <c r="G1460" i="3"/>
  <c r="L1460" i="3"/>
  <c r="R1460" i="3"/>
  <c r="I1460" i="3"/>
  <c r="F1462" i="3" l="1"/>
  <c r="J1461" i="3"/>
  <c r="I1461" i="3"/>
  <c r="G1461" i="3"/>
  <c r="L1461" i="3"/>
  <c r="Q1461" i="3"/>
  <c r="O1461" i="3"/>
  <c r="H1461" i="3"/>
  <c r="N1461" i="3"/>
  <c r="R1461" i="3"/>
  <c r="P1461" i="3"/>
  <c r="K1461" i="3"/>
  <c r="F1463" i="3" l="1"/>
  <c r="P1462" i="3"/>
  <c r="Q1462" i="3"/>
  <c r="J1462" i="3"/>
  <c r="O1462" i="3"/>
  <c r="R1462" i="3"/>
  <c r="K1462" i="3"/>
  <c r="N1462" i="3"/>
  <c r="G1462" i="3"/>
  <c r="H1462" i="3"/>
  <c r="I1462" i="3"/>
  <c r="L1462" i="3"/>
  <c r="F1464" i="3" l="1"/>
  <c r="R1463" i="3"/>
  <c r="J1463" i="3"/>
  <c r="H1463" i="3"/>
  <c r="Q1463" i="3"/>
  <c r="I1463" i="3"/>
  <c r="L1463" i="3"/>
  <c r="K1463" i="3"/>
  <c r="N1463" i="3"/>
  <c r="O1463" i="3"/>
  <c r="G1463" i="3"/>
  <c r="P1463" i="3"/>
  <c r="F1465" i="3" l="1"/>
  <c r="I1464" i="3"/>
  <c r="K1464" i="3"/>
  <c r="L1464" i="3"/>
  <c r="P1464" i="3"/>
  <c r="O1464" i="3"/>
  <c r="H1464" i="3"/>
  <c r="G1464" i="3"/>
  <c r="N1464" i="3"/>
  <c r="R1464" i="3"/>
  <c r="J1464" i="3"/>
  <c r="Q1464" i="3"/>
  <c r="F1466" i="3" l="1"/>
  <c r="O1465" i="3"/>
  <c r="R1465" i="3"/>
  <c r="N1465" i="3"/>
  <c r="H1465" i="3"/>
  <c r="I1465" i="3"/>
  <c r="P1465" i="3"/>
  <c r="K1465" i="3"/>
  <c r="Q1465" i="3"/>
  <c r="L1465" i="3"/>
  <c r="G1465" i="3"/>
  <c r="J1465" i="3"/>
  <c r="F1467" i="3" l="1"/>
  <c r="H1466" i="3"/>
  <c r="N1466" i="3"/>
  <c r="R1466" i="3"/>
  <c r="P1466" i="3"/>
  <c r="I1466" i="3"/>
  <c r="G1466" i="3"/>
  <c r="Q1466" i="3"/>
  <c r="O1466" i="3"/>
  <c r="L1466" i="3"/>
  <c r="K1466" i="3"/>
  <c r="J1466" i="3"/>
  <c r="F1468" i="3" l="1"/>
  <c r="H1467" i="3"/>
  <c r="L1467" i="3"/>
  <c r="J1467" i="3"/>
  <c r="P1467" i="3"/>
  <c r="K1467" i="3"/>
  <c r="G1467" i="3"/>
  <c r="I1467" i="3"/>
  <c r="O1467" i="3"/>
  <c r="R1467" i="3"/>
  <c r="N1467" i="3"/>
  <c r="Q1467" i="3"/>
  <c r="F1469" i="3" l="1"/>
  <c r="N1468" i="3"/>
  <c r="R1468" i="3"/>
  <c r="K1468" i="3"/>
  <c r="Q1468" i="3"/>
  <c r="I1468" i="3"/>
  <c r="J1468" i="3"/>
  <c r="O1468" i="3"/>
  <c r="G1468" i="3"/>
  <c r="L1468" i="3"/>
  <c r="P1468" i="3"/>
  <c r="H1468" i="3"/>
  <c r="F1470" i="3" l="1"/>
  <c r="G1469" i="3"/>
  <c r="K1469" i="3"/>
  <c r="H1469" i="3"/>
  <c r="N1469" i="3"/>
  <c r="O1469" i="3"/>
  <c r="R1469" i="3"/>
  <c r="I1469" i="3"/>
  <c r="Q1469" i="3"/>
  <c r="P1469" i="3"/>
  <c r="L1469" i="3"/>
  <c r="J1469" i="3"/>
  <c r="F1471" i="3" l="1"/>
  <c r="G1470" i="3"/>
  <c r="N1470" i="3"/>
  <c r="O1470" i="3"/>
  <c r="J1470" i="3"/>
  <c r="Q1470" i="3"/>
  <c r="K1470" i="3"/>
  <c r="P1470" i="3"/>
  <c r="H1470" i="3"/>
  <c r="I1470" i="3"/>
  <c r="L1470" i="3"/>
  <c r="R1470" i="3"/>
  <c r="F1472" i="3" l="1"/>
  <c r="L1471" i="3"/>
  <c r="G1471" i="3"/>
  <c r="I1471" i="3"/>
  <c r="O1471" i="3"/>
  <c r="H1471" i="3"/>
  <c r="K1471" i="3"/>
  <c r="J1471" i="3"/>
  <c r="P1471" i="3"/>
  <c r="R1471" i="3"/>
  <c r="N1471" i="3"/>
  <c r="Q1471" i="3"/>
  <c r="F1473" i="3" l="1"/>
  <c r="R1472" i="3"/>
  <c r="H1472" i="3"/>
  <c r="J1472" i="3"/>
  <c r="O1472" i="3"/>
  <c r="I1472" i="3"/>
  <c r="P1472" i="3"/>
  <c r="N1472" i="3"/>
  <c r="G1472" i="3"/>
  <c r="K1472" i="3"/>
  <c r="L1472" i="3"/>
  <c r="Q1472" i="3"/>
  <c r="F1474" i="3" l="1"/>
  <c r="O1473" i="3"/>
  <c r="R1473" i="3"/>
  <c r="J1473" i="3"/>
  <c r="P1473" i="3"/>
  <c r="N1473" i="3"/>
  <c r="K1473" i="3"/>
  <c r="Q1473" i="3"/>
  <c r="L1473" i="3"/>
  <c r="G1473" i="3"/>
  <c r="H1473" i="3"/>
  <c r="I1473" i="3"/>
  <c r="F1475" i="3" l="1"/>
  <c r="K1474" i="3"/>
  <c r="J1474" i="3"/>
  <c r="H1474" i="3"/>
  <c r="O1474" i="3"/>
  <c r="Q1474" i="3"/>
  <c r="G1474" i="3"/>
  <c r="R1474" i="3"/>
  <c r="I1474" i="3"/>
  <c r="L1474" i="3"/>
  <c r="P1474" i="3"/>
  <c r="N1474" i="3"/>
  <c r="F1476" i="3" l="1"/>
  <c r="Q1475" i="3"/>
  <c r="I1475" i="3"/>
  <c r="N1475" i="3"/>
  <c r="K1475" i="3"/>
  <c r="R1475" i="3"/>
  <c r="H1475" i="3"/>
  <c r="L1475" i="3"/>
  <c r="G1475" i="3"/>
  <c r="J1475" i="3"/>
  <c r="O1475" i="3"/>
  <c r="P1475" i="3"/>
  <c r="F1477" i="3" l="1"/>
  <c r="P1476" i="3"/>
  <c r="G1476" i="3"/>
  <c r="K1476" i="3"/>
  <c r="Q1476" i="3"/>
  <c r="J1476" i="3"/>
  <c r="N1476" i="3"/>
  <c r="R1476" i="3"/>
  <c r="I1476" i="3"/>
  <c r="H1476" i="3"/>
  <c r="L1476" i="3"/>
  <c r="O1476" i="3"/>
  <c r="F1478" i="3" l="1"/>
  <c r="J1477" i="3"/>
  <c r="I1477" i="3"/>
  <c r="P1477" i="3"/>
  <c r="L1477" i="3"/>
  <c r="R1477" i="3"/>
  <c r="K1477" i="3"/>
  <c r="G1477" i="3"/>
  <c r="H1477" i="3"/>
  <c r="N1477" i="3"/>
  <c r="Q1477" i="3"/>
  <c r="O1477" i="3"/>
  <c r="F1479" i="3" l="1"/>
  <c r="P1478" i="3"/>
  <c r="J1478" i="3"/>
  <c r="R1478" i="3"/>
  <c r="H1478" i="3"/>
  <c r="Q1478" i="3"/>
  <c r="O1478" i="3"/>
  <c r="I1478" i="3"/>
  <c r="L1478" i="3"/>
  <c r="K1478" i="3"/>
  <c r="N1478" i="3"/>
  <c r="G1478" i="3"/>
  <c r="Q1479" i="3" l="1"/>
  <c r="L1479" i="3"/>
  <c r="R1479" i="3"/>
  <c r="K1479" i="3"/>
  <c r="H1479" i="3"/>
  <c r="P1479" i="3"/>
  <c r="O1479" i="3"/>
  <c r="G1479" i="3"/>
  <c r="J1479" i="3"/>
  <c r="N1479" i="3"/>
  <c r="I1479" i="3"/>
  <c r="F1480" i="3"/>
  <c r="I1480" i="3" l="1"/>
  <c r="N1480" i="3"/>
  <c r="G1480" i="3"/>
  <c r="Q1480" i="3"/>
  <c r="J1480" i="3"/>
  <c r="K1480" i="3"/>
  <c r="L1480" i="3"/>
  <c r="P1480" i="3"/>
  <c r="H1480" i="3"/>
  <c r="O1480" i="3"/>
  <c r="R1480" i="3"/>
  <c r="F1481" i="3"/>
  <c r="I1481" i="3" l="1"/>
  <c r="N1481" i="3"/>
  <c r="R1481" i="3"/>
  <c r="J1481" i="3"/>
  <c r="O1481" i="3"/>
  <c r="P1481" i="3"/>
  <c r="H1481" i="3"/>
  <c r="K1481" i="3"/>
  <c r="Q1481" i="3"/>
  <c r="L1481" i="3"/>
  <c r="F1482" i="3"/>
  <c r="G1481" i="3"/>
  <c r="F1483" i="3" l="1"/>
  <c r="N1482" i="3"/>
  <c r="R1482" i="3"/>
  <c r="H1482" i="3"/>
  <c r="I1482" i="3"/>
  <c r="O1482" i="3"/>
  <c r="G1482" i="3"/>
  <c r="K1482" i="3"/>
  <c r="P1482" i="3"/>
  <c r="Q1482" i="3"/>
  <c r="J1482" i="3"/>
  <c r="L1482" i="3"/>
  <c r="F1484" i="3" l="1"/>
  <c r="J1483" i="3"/>
  <c r="K1483" i="3"/>
  <c r="P1483" i="3"/>
  <c r="N1483" i="3"/>
  <c r="H1483" i="3"/>
  <c r="Q1483" i="3"/>
  <c r="I1483" i="3"/>
  <c r="G1483" i="3"/>
  <c r="L1483" i="3"/>
  <c r="O1483" i="3"/>
  <c r="R1483" i="3"/>
  <c r="F1485" i="3" l="1"/>
  <c r="G1484" i="3"/>
  <c r="K1484" i="3"/>
  <c r="R1484" i="3"/>
  <c r="I1484" i="3"/>
  <c r="O1484" i="3"/>
  <c r="J1484" i="3"/>
  <c r="Q1484" i="3"/>
  <c r="H1484" i="3"/>
  <c r="N1484" i="3"/>
  <c r="L1484" i="3"/>
  <c r="P1484" i="3"/>
  <c r="F1486" i="3" l="1"/>
  <c r="L1485" i="3"/>
  <c r="Q1485" i="3"/>
  <c r="G1485" i="3"/>
  <c r="K1485" i="3"/>
  <c r="O1485" i="3"/>
  <c r="J1485" i="3"/>
  <c r="H1485" i="3"/>
  <c r="N1485" i="3"/>
  <c r="I1485" i="3"/>
  <c r="R1485" i="3"/>
  <c r="P1485" i="3"/>
  <c r="F1487" i="3" l="1"/>
  <c r="R1486" i="3"/>
  <c r="N1486" i="3"/>
  <c r="O1486" i="3"/>
  <c r="I1486" i="3"/>
  <c r="P1486" i="3"/>
  <c r="Q1486" i="3"/>
  <c r="L1486" i="3"/>
  <c r="H1486" i="3"/>
  <c r="K1486" i="3"/>
  <c r="G1486" i="3"/>
  <c r="J1486" i="3"/>
  <c r="F1488" i="3" l="1"/>
  <c r="J1487" i="3"/>
  <c r="H1487" i="3"/>
  <c r="O1487" i="3"/>
  <c r="L1487" i="3"/>
  <c r="I1487" i="3"/>
  <c r="K1487" i="3"/>
  <c r="R1487" i="3"/>
  <c r="Q1487" i="3"/>
  <c r="G1487" i="3"/>
  <c r="N1487" i="3"/>
  <c r="P1487" i="3"/>
  <c r="F1489" i="3" l="1"/>
  <c r="K1488" i="3"/>
  <c r="P1488" i="3"/>
  <c r="I1488" i="3"/>
  <c r="J1488" i="3"/>
  <c r="Q1488" i="3"/>
  <c r="H1488" i="3"/>
  <c r="R1488" i="3"/>
  <c r="L1488" i="3"/>
  <c r="G1488" i="3"/>
  <c r="N1488" i="3"/>
  <c r="O1488" i="3"/>
  <c r="F1490" i="3" l="1"/>
  <c r="Q1489" i="3"/>
  <c r="R1489" i="3"/>
  <c r="N1489" i="3"/>
  <c r="J1489" i="3"/>
  <c r="P1489" i="3"/>
  <c r="I1489" i="3"/>
  <c r="K1489" i="3"/>
  <c r="H1489" i="3"/>
  <c r="O1489" i="3"/>
  <c r="G1489" i="3"/>
  <c r="L1489" i="3"/>
  <c r="F1491" i="3" l="1"/>
  <c r="I1490" i="3"/>
  <c r="G1490" i="3"/>
  <c r="L1490" i="3"/>
  <c r="K1490" i="3"/>
  <c r="Q1490" i="3"/>
  <c r="J1490" i="3"/>
  <c r="O1490" i="3"/>
  <c r="R1490" i="3"/>
  <c r="H1490" i="3"/>
  <c r="P1490" i="3"/>
  <c r="N1490" i="3"/>
  <c r="F1492" i="3" l="1"/>
  <c r="J1491" i="3"/>
  <c r="O1491" i="3"/>
  <c r="N1491" i="3"/>
  <c r="P1491" i="3"/>
  <c r="Q1491" i="3"/>
  <c r="R1491" i="3"/>
  <c r="L1491" i="3"/>
  <c r="I1491" i="3"/>
  <c r="K1491" i="3"/>
  <c r="G1491" i="3"/>
  <c r="H1491" i="3"/>
  <c r="F1493" i="3" l="1"/>
  <c r="P1492" i="3"/>
  <c r="H1492" i="3"/>
  <c r="K1492" i="3"/>
  <c r="Q1492" i="3"/>
  <c r="L1492" i="3"/>
  <c r="N1492" i="3"/>
  <c r="I1492" i="3"/>
  <c r="R1492" i="3"/>
  <c r="J1492" i="3"/>
  <c r="G1492" i="3"/>
  <c r="O1492" i="3"/>
  <c r="F1494" i="3" l="1"/>
  <c r="H1493" i="3"/>
  <c r="J1493" i="3"/>
  <c r="K1493" i="3"/>
  <c r="P1493" i="3"/>
  <c r="Q1493" i="3"/>
  <c r="I1493" i="3"/>
  <c r="O1493" i="3"/>
  <c r="G1493" i="3"/>
  <c r="L1493" i="3"/>
  <c r="N1493" i="3"/>
  <c r="R1493" i="3"/>
  <c r="F1495" i="3" l="1"/>
  <c r="I1494" i="3"/>
  <c r="N1494" i="3"/>
  <c r="R1494" i="3"/>
  <c r="K1494" i="3"/>
  <c r="Q1494" i="3"/>
  <c r="J1494" i="3"/>
  <c r="H1494" i="3"/>
  <c r="O1494" i="3"/>
  <c r="G1494" i="3"/>
  <c r="P1494" i="3"/>
  <c r="L1494" i="3"/>
  <c r="F1496" i="3" l="1"/>
  <c r="O1495" i="3"/>
  <c r="G1495" i="3"/>
  <c r="K1495" i="3"/>
  <c r="Q1495" i="3"/>
  <c r="H1495" i="3"/>
  <c r="N1495" i="3"/>
  <c r="R1495" i="3"/>
  <c r="J1495" i="3"/>
  <c r="P1495" i="3"/>
  <c r="L1495" i="3"/>
  <c r="I1495" i="3"/>
  <c r="F1497" i="3" l="1"/>
  <c r="G1496" i="3"/>
  <c r="N1496" i="3"/>
  <c r="O1496" i="3"/>
  <c r="K1496" i="3"/>
  <c r="R1496" i="3"/>
  <c r="Q1496" i="3"/>
  <c r="P1496" i="3"/>
  <c r="I1496" i="3"/>
  <c r="H1496" i="3"/>
  <c r="L1496" i="3"/>
  <c r="J1496" i="3"/>
  <c r="F1498" i="3" l="1"/>
  <c r="H1497" i="3"/>
  <c r="L1497" i="3"/>
  <c r="G1497" i="3"/>
  <c r="Q1497" i="3"/>
  <c r="N1497" i="3"/>
  <c r="P1497" i="3"/>
  <c r="O1497" i="3"/>
  <c r="R1497" i="3"/>
  <c r="J1497" i="3"/>
  <c r="K1497" i="3"/>
  <c r="I1497" i="3"/>
  <c r="F1499" i="3" l="1"/>
  <c r="N1498" i="3"/>
  <c r="R1498" i="3"/>
  <c r="I1498" i="3"/>
  <c r="J1498" i="3"/>
  <c r="P1498" i="3"/>
  <c r="L1498" i="3"/>
  <c r="O1498" i="3"/>
  <c r="G1498" i="3"/>
  <c r="K1498" i="3"/>
  <c r="H1498" i="3"/>
  <c r="Q1498" i="3"/>
  <c r="F1500" i="3" l="1"/>
  <c r="Q1499" i="3"/>
  <c r="R1499" i="3"/>
  <c r="H1499" i="3"/>
  <c r="P1499" i="3"/>
  <c r="K1499" i="3"/>
  <c r="J1499" i="3"/>
  <c r="L1499" i="3"/>
  <c r="O1499" i="3"/>
  <c r="G1499" i="3"/>
  <c r="N1499" i="3"/>
  <c r="I1499" i="3"/>
  <c r="F1501" i="3" l="1"/>
  <c r="G1500" i="3"/>
  <c r="K1500" i="3"/>
  <c r="L1500" i="3"/>
  <c r="O1500" i="3"/>
  <c r="H1500" i="3"/>
  <c r="Q1500" i="3"/>
  <c r="J1500" i="3"/>
  <c r="P1500" i="3"/>
  <c r="I1500" i="3"/>
  <c r="R1500" i="3"/>
  <c r="N1500" i="3"/>
  <c r="F1502" i="3" l="1"/>
  <c r="L1501" i="3"/>
  <c r="Q1501" i="3"/>
  <c r="N1501" i="3"/>
  <c r="O1501" i="3"/>
  <c r="G1501" i="3"/>
  <c r="R1501" i="3"/>
  <c r="P1501" i="3"/>
  <c r="K1501" i="3"/>
  <c r="I1501" i="3"/>
  <c r="J1501" i="3"/>
  <c r="H1501" i="3"/>
  <c r="F1503" i="3" l="1"/>
  <c r="R1502" i="3"/>
  <c r="L1502" i="3"/>
  <c r="Q1502" i="3"/>
  <c r="G1502" i="3"/>
  <c r="K1502" i="3"/>
  <c r="N1502" i="3"/>
  <c r="H1502" i="3"/>
  <c r="J1502" i="3"/>
  <c r="O1502" i="3"/>
  <c r="I1502" i="3"/>
  <c r="P1502" i="3"/>
  <c r="F1504" i="3" l="1"/>
  <c r="J1503" i="3"/>
  <c r="I1503" i="3"/>
  <c r="K1503" i="3"/>
  <c r="Q1503" i="3"/>
  <c r="O1503" i="3"/>
  <c r="L1503" i="3"/>
  <c r="H1503" i="3"/>
  <c r="N1503" i="3"/>
  <c r="P1503" i="3"/>
  <c r="G1503" i="3"/>
  <c r="R1503" i="3"/>
  <c r="F1505" i="3" l="1"/>
  <c r="K1504" i="3"/>
  <c r="P1504" i="3"/>
  <c r="R1504" i="3"/>
  <c r="J1504" i="3"/>
  <c r="Q1504" i="3"/>
  <c r="H1504" i="3"/>
  <c r="O1504" i="3"/>
  <c r="G1504" i="3"/>
  <c r="N1504" i="3"/>
  <c r="I1504" i="3"/>
  <c r="L1504" i="3"/>
  <c r="F1506" i="3" l="1"/>
  <c r="Q1505" i="3"/>
  <c r="G1505" i="3"/>
  <c r="O1505" i="3"/>
  <c r="K1505" i="3"/>
  <c r="L1505" i="3"/>
  <c r="P1505" i="3"/>
  <c r="I1505" i="3"/>
  <c r="H1505" i="3"/>
  <c r="N1505" i="3"/>
  <c r="R1505" i="3"/>
  <c r="J1505" i="3"/>
  <c r="F1507" i="3" l="1"/>
  <c r="I1506" i="3"/>
  <c r="N1506" i="3"/>
  <c r="O1506" i="3"/>
  <c r="J1506" i="3"/>
  <c r="Q1506" i="3"/>
  <c r="L1506" i="3"/>
  <c r="K1506" i="3"/>
  <c r="P1506" i="3"/>
  <c r="H1506" i="3"/>
  <c r="G1506" i="3"/>
  <c r="R1506" i="3"/>
  <c r="F1508" i="3" l="1"/>
  <c r="J1507" i="3"/>
  <c r="O1507" i="3"/>
  <c r="N1507" i="3"/>
  <c r="H1507" i="3"/>
  <c r="L1507" i="3"/>
  <c r="G1507" i="3"/>
  <c r="Q1507" i="3"/>
  <c r="R1507" i="3"/>
  <c r="P1507" i="3"/>
  <c r="K1507" i="3"/>
  <c r="I1507" i="3"/>
  <c r="F1509" i="3" l="1"/>
  <c r="P1508" i="3"/>
  <c r="I1508" i="3"/>
  <c r="J1508" i="3"/>
  <c r="H1508" i="3"/>
  <c r="O1508" i="3"/>
  <c r="R1508" i="3"/>
  <c r="Q1508" i="3"/>
  <c r="G1508" i="3"/>
  <c r="L1508" i="3"/>
  <c r="K1508" i="3"/>
  <c r="N1508" i="3"/>
  <c r="F1510" i="3" l="1"/>
  <c r="H1509" i="3"/>
  <c r="Q1509" i="3"/>
  <c r="R1509" i="3"/>
  <c r="L1509" i="3"/>
  <c r="K1509" i="3"/>
  <c r="N1509" i="3"/>
  <c r="G1509" i="3"/>
  <c r="J1509" i="3"/>
  <c r="I1509" i="3"/>
  <c r="P1509" i="3"/>
  <c r="O1509" i="3"/>
  <c r="F1511" i="3" l="1"/>
  <c r="I1510" i="3"/>
  <c r="H1510" i="3"/>
  <c r="N1510" i="3"/>
  <c r="R1510" i="3"/>
  <c r="K1510" i="3"/>
  <c r="Q1510" i="3"/>
  <c r="L1510" i="3"/>
  <c r="J1510" i="3"/>
  <c r="O1510" i="3"/>
  <c r="P1510" i="3"/>
  <c r="G1510" i="3"/>
  <c r="F1512" i="3" l="1"/>
  <c r="O1511" i="3"/>
  <c r="K1511" i="3"/>
  <c r="L1511" i="3"/>
  <c r="R1511" i="3"/>
  <c r="I1511" i="3"/>
  <c r="G1511" i="3"/>
  <c r="P1511" i="3"/>
  <c r="H1511" i="3"/>
  <c r="N1511" i="3"/>
  <c r="Q1511" i="3"/>
  <c r="J1511" i="3"/>
  <c r="F1513" i="3" l="1"/>
  <c r="R1512" i="3"/>
  <c r="J1512" i="3"/>
  <c r="P1512" i="3"/>
  <c r="I1512" i="3"/>
  <c r="K1512" i="3"/>
  <c r="N1512" i="3"/>
  <c r="G1512" i="3"/>
  <c r="L1512" i="3"/>
  <c r="O1512" i="3"/>
  <c r="Q1512" i="3"/>
  <c r="H1512" i="3"/>
  <c r="F1514" i="3" l="1"/>
  <c r="H1513" i="3"/>
  <c r="G1513" i="3"/>
  <c r="O1513" i="3"/>
  <c r="I1513" i="3"/>
  <c r="K1513" i="3"/>
  <c r="Q1513" i="3"/>
  <c r="J1513" i="3"/>
  <c r="P1513" i="3"/>
  <c r="R1513" i="3"/>
  <c r="N1513" i="3"/>
  <c r="L1513" i="3"/>
  <c r="F1515" i="3" l="1"/>
  <c r="N1514" i="3"/>
  <c r="L1514" i="3"/>
  <c r="O1514" i="3"/>
  <c r="G1514" i="3"/>
  <c r="R1514" i="3"/>
  <c r="Q1514" i="3"/>
  <c r="I1514" i="3"/>
  <c r="K1514" i="3"/>
  <c r="P1514" i="3"/>
  <c r="H1514" i="3"/>
  <c r="J1514" i="3"/>
  <c r="F1516" i="3" l="1"/>
  <c r="K1515" i="3"/>
  <c r="P1515" i="3"/>
  <c r="L1515" i="3"/>
  <c r="R1515" i="3"/>
  <c r="J1515" i="3"/>
  <c r="O1515" i="3"/>
  <c r="N1515" i="3"/>
  <c r="H1515" i="3"/>
  <c r="G1515" i="3"/>
  <c r="I1515" i="3"/>
  <c r="Q1515" i="3"/>
  <c r="F1517" i="3" l="1"/>
  <c r="G1516" i="3"/>
  <c r="H1516" i="3"/>
  <c r="I1516" i="3"/>
  <c r="O1516" i="3"/>
  <c r="L1516" i="3"/>
  <c r="J1516" i="3"/>
  <c r="R1516" i="3"/>
  <c r="Q1516" i="3"/>
  <c r="P1516" i="3"/>
  <c r="K1516" i="3"/>
  <c r="N1516" i="3"/>
  <c r="F1518" i="3" l="1"/>
  <c r="L1517" i="3"/>
  <c r="O1517" i="3"/>
  <c r="P1517" i="3"/>
  <c r="H1517" i="3"/>
  <c r="N1517" i="3"/>
  <c r="Q1517" i="3"/>
  <c r="K1517" i="3"/>
  <c r="J1517" i="3"/>
  <c r="G1517" i="3"/>
  <c r="I1517" i="3"/>
  <c r="R1517" i="3"/>
  <c r="F1519" i="3" l="1"/>
  <c r="R1518" i="3"/>
  <c r="Q1518" i="3"/>
  <c r="K1518" i="3"/>
  <c r="I1518" i="3"/>
  <c r="L1518" i="3"/>
  <c r="P1518" i="3"/>
  <c r="N1518" i="3"/>
  <c r="G1518" i="3"/>
  <c r="J1518" i="3"/>
  <c r="H1518" i="3"/>
  <c r="O1518" i="3"/>
  <c r="F1520" i="3" l="1"/>
  <c r="I1519" i="3"/>
  <c r="J1519" i="3"/>
  <c r="L1519" i="3"/>
  <c r="Q1519" i="3"/>
  <c r="P1519" i="3"/>
  <c r="G1519" i="3"/>
  <c r="K1519" i="3"/>
  <c r="H1519" i="3"/>
  <c r="N1519" i="3"/>
  <c r="R1519" i="3"/>
  <c r="O1519" i="3"/>
  <c r="F1521" i="3" l="1"/>
  <c r="K1520" i="3"/>
  <c r="P1520" i="3"/>
  <c r="Q1520" i="3"/>
  <c r="O1520" i="3"/>
  <c r="H1520" i="3"/>
  <c r="J1520" i="3"/>
  <c r="I1520" i="3"/>
  <c r="L1520" i="3"/>
  <c r="G1520" i="3"/>
  <c r="N1520" i="3"/>
  <c r="R1520" i="3"/>
  <c r="F1522" i="3" l="1"/>
  <c r="Q1521" i="3"/>
  <c r="I1521" i="3"/>
  <c r="R1521" i="3"/>
  <c r="P1521" i="3"/>
  <c r="H1521" i="3"/>
  <c r="N1521" i="3"/>
  <c r="O1521" i="3"/>
  <c r="J1521" i="3"/>
  <c r="K1521" i="3"/>
  <c r="L1521" i="3"/>
  <c r="G1521" i="3"/>
  <c r="F1523" i="3" l="1"/>
  <c r="J1522" i="3"/>
  <c r="K1522" i="3"/>
  <c r="N1522" i="3"/>
  <c r="R1522" i="3"/>
  <c r="G1522" i="3"/>
  <c r="O1522" i="3"/>
  <c r="I1522" i="3"/>
  <c r="P1522" i="3"/>
  <c r="L1522" i="3"/>
  <c r="Q1522" i="3"/>
  <c r="H1522" i="3"/>
  <c r="F1524" i="3" l="1"/>
  <c r="J1523" i="3"/>
  <c r="Q1523" i="3"/>
  <c r="R1523" i="3"/>
  <c r="O1523" i="3"/>
  <c r="N1523" i="3"/>
  <c r="G1523" i="3"/>
  <c r="L1523" i="3"/>
  <c r="H1523" i="3"/>
  <c r="K1523" i="3"/>
  <c r="I1523" i="3"/>
  <c r="P1523" i="3"/>
  <c r="F1525" i="3" l="1"/>
  <c r="P1524" i="3"/>
  <c r="J1524" i="3"/>
  <c r="O1524" i="3"/>
  <c r="I1524" i="3"/>
  <c r="Q1524" i="3"/>
  <c r="H1524" i="3"/>
  <c r="L1524" i="3"/>
  <c r="K1524" i="3"/>
  <c r="N1524" i="3"/>
  <c r="R1524" i="3"/>
  <c r="G1524" i="3"/>
  <c r="F1526" i="3" l="1"/>
  <c r="K1525" i="3"/>
  <c r="L1525" i="3"/>
  <c r="N1525" i="3"/>
  <c r="O1525" i="3"/>
  <c r="J1525" i="3"/>
  <c r="Q1525" i="3"/>
  <c r="H1525" i="3"/>
  <c r="P1525" i="3"/>
  <c r="R1525" i="3"/>
  <c r="I1525" i="3"/>
  <c r="G1525" i="3"/>
  <c r="F1527" i="3" l="1"/>
  <c r="I1526" i="3"/>
  <c r="R1526" i="3"/>
  <c r="G1526" i="3"/>
  <c r="L1526" i="3"/>
  <c r="K1526" i="3"/>
  <c r="Q1526" i="3"/>
  <c r="J1526" i="3"/>
  <c r="N1526" i="3"/>
  <c r="H1526" i="3"/>
  <c r="P1526" i="3"/>
  <c r="O1526" i="3"/>
  <c r="F1528" i="3" l="1"/>
  <c r="O1527" i="3"/>
  <c r="G1527" i="3"/>
  <c r="Q1527" i="3"/>
  <c r="J1527" i="3"/>
  <c r="I1527" i="3"/>
  <c r="H1527" i="3"/>
  <c r="L1527" i="3"/>
  <c r="P1527" i="3"/>
  <c r="K1527" i="3"/>
  <c r="R1527" i="3"/>
  <c r="N1527" i="3"/>
  <c r="F1529" i="3" l="1"/>
  <c r="L1528" i="3"/>
  <c r="N1528" i="3"/>
  <c r="I1528" i="3"/>
  <c r="O1528" i="3"/>
  <c r="K1528" i="3"/>
  <c r="H1528" i="3"/>
  <c r="Q1528" i="3"/>
  <c r="J1528" i="3"/>
  <c r="G1528" i="3"/>
  <c r="P1528" i="3"/>
  <c r="R1528" i="3"/>
  <c r="F1530" i="3" l="1"/>
  <c r="H1529" i="3"/>
  <c r="N1529" i="3"/>
  <c r="R1529" i="3"/>
  <c r="G1529" i="3"/>
  <c r="I1529" i="3"/>
  <c r="J1529" i="3"/>
  <c r="P1529" i="3"/>
  <c r="K1529" i="3"/>
  <c r="Q1529" i="3"/>
  <c r="O1529" i="3"/>
  <c r="L1529" i="3"/>
  <c r="F1531" i="3" l="1"/>
  <c r="N1530" i="3"/>
  <c r="G1530" i="3"/>
  <c r="H1530" i="3"/>
  <c r="Q1530" i="3"/>
  <c r="P1530" i="3"/>
  <c r="O1530" i="3"/>
  <c r="J1530" i="3"/>
  <c r="I1530" i="3"/>
  <c r="K1530" i="3"/>
  <c r="L1530" i="3"/>
  <c r="R1530" i="3"/>
  <c r="F1532" i="3" l="1"/>
  <c r="N1531" i="3"/>
  <c r="O1531" i="3"/>
  <c r="J1531" i="3"/>
  <c r="Q1531" i="3"/>
  <c r="I1531" i="3"/>
  <c r="R1531" i="3"/>
  <c r="G1531" i="3"/>
  <c r="P1531" i="3"/>
  <c r="H1531" i="3"/>
  <c r="L1531" i="3"/>
  <c r="K1531" i="3"/>
  <c r="F1533" i="3" l="1"/>
  <c r="G1532" i="3"/>
  <c r="N1532" i="3"/>
  <c r="Q1532" i="3"/>
  <c r="P1532" i="3"/>
  <c r="K1532" i="3"/>
  <c r="I1532" i="3"/>
  <c r="L1532" i="3"/>
  <c r="J1532" i="3"/>
  <c r="R1532" i="3"/>
  <c r="H1532" i="3"/>
  <c r="O1532" i="3"/>
  <c r="F1534" i="3" l="1"/>
  <c r="L1533" i="3"/>
  <c r="H1533" i="3"/>
  <c r="I1533" i="3"/>
  <c r="G1533" i="3"/>
  <c r="O1533" i="3"/>
  <c r="N1533" i="3"/>
  <c r="Q1533" i="3"/>
  <c r="P1533" i="3"/>
  <c r="K1533" i="3"/>
  <c r="J1533" i="3"/>
  <c r="R1533" i="3"/>
  <c r="F1535" i="3" l="1"/>
  <c r="R1534" i="3"/>
  <c r="O1534" i="3"/>
  <c r="P1534" i="3"/>
  <c r="J1534" i="3"/>
  <c r="K1534" i="3"/>
  <c r="Q1534" i="3"/>
  <c r="I1534" i="3"/>
  <c r="L1534" i="3"/>
  <c r="N1534" i="3"/>
  <c r="H1534" i="3"/>
  <c r="G1534" i="3"/>
  <c r="F1536" i="3" l="1"/>
  <c r="G1535" i="3"/>
  <c r="K1535" i="3"/>
  <c r="I1535" i="3"/>
  <c r="O1535" i="3"/>
  <c r="H1535" i="3"/>
  <c r="J1535" i="3"/>
  <c r="N1535" i="3"/>
  <c r="Q1535" i="3"/>
  <c r="P1535" i="3"/>
  <c r="R1535" i="3"/>
  <c r="L1535" i="3"/>
  <c r="F1537" i="3" l="1"/>
  <c r="K1536" i="3"/>
  <c r="I1536" i="3"/>
  <c r="J1536" i="3"/>
  <c r="P1536" i="3"/>
  <c r="G1536" i="3"/>
  <c r="L1536" i="3"/>
  <c r="Q1536" i="3"/>
  <c r="H1536" i="3"/>
  <c r="O1536" i="3"/>
  <c r="N1536" i="3"/>
  <c r="R1536" i="3"/>
  <c r="F1538" i="3" l="1"/>
  <c r="Q1537" i="3"/>
  <c r="P1537" i="3"/>
  <c r="R1537" i="3"/>
  <c r="H1537" i="3"/>
  <c r="J1537" i="3"/>
  <c r="O1537" i="3"/>
  <c r="I1537" i="3"/>
  <c r="G1537" i="3"/>
  <c r="N1537" i="3"/>
  <c r="K1537" i="3"/>
  <c r="L1537" i="3"/>
  <c r="F1539" i="3" l="1"/>
  <c r="L1538" i="3"/>
  <c r="Q1538" i="3"/>
  <c r="G1538" i="3"/>
  <c r="H1538" i="3"/>
  <c r="R1538" i="3"/>
  <c r="O1538" i="3"/>
  <c r="K1538" i="3"/>
  <c r="P1538" i="3"/>
  <c r="N1538" i="3"/>
  <c r="I1538" i="3"/>
  <c r="J1538" i="3"/>
  <c r="F1540" i="3" l="1"/>
  <c r="J1539" i="3"/>
  <c r="K1539" i="3"/>
  <c r="L1539" i="3"/>
  <c r="P1539" i="3"/>
  <c r="N1539" i="3"/>
  <c r="Q1539" i="3"/>
  <c r="G1539" i="3"/>
  <c r="H1539" i="3"/>
  <c r="I1539" i="3"/>
  <c r="R1539" i="3"/>
  <c r="O1539" i="3"/>
  <c r="F1541" i="3" l="1"/>
  <c r="P1540" i="3"/>
  <c r="R1540" i="3"/>
  <c r="I1540" i="3"/>
  <c r="N1540" i="3"/>
  <c r="G1540" i="3"/>
  <c r="K1540" i="3"/>
  <c r="H1540" i="3"/>
  <c r="L1540" i="3"/>
  <c r="Q1540" i="3"/>
  <c r="J1540" i="3"/>
  <c r="O1540" i="3"/>
  <c r="F1542" i="3" l="1"/>
  <c r="G1541" i="3"/>
  <c r="R1541" i="3"/>
  <c r="L1541" i="3"/>
  <c r="O1541" i="3"/>
  <c r="K1541" i="3"/>
  <c r="P1541" i="3"/>
  <c r="J1541" i="3"/>
  <c r="Q1541" i="3"/>
  <c r="I1541" i="3"/>
  <c r="N1541" i="3"/>
  <c r="H1541" i="3"/>
  <c r="F1543" i="3" l="1"/>
  <c r="I1542" i="3"/>
  <c r="L1542" i="3"/>
  <c r="N1542" i="3"/>
  <c r="K1542" i="3"/>
  <c r="H1542" i="3"/>
  <c r="J1542" i="3"/>
  <c r="R1542" i="3"/>
  <c r="G1542" i="3"/>
  <c r="Q1542" i="3"/>
  <c r="P1542" i="3"/>
  <c r="O1542" i="3"/>
  <c r="F1544" i="3" l="1"/>
  <c r="O1543" i="3"/>
  <c r="P1543" i="3"/>
  <c r="I1543" i="3"/>
  <c r="Q1543" i="3"/>
  <c r="R1543" i="3"/>
  <c r="H1543" i="3"/>
  <c r="G1543" i="3"/>
  <c r="J1543" i="3"/>
  <c r="K1543" i="3"/>
  <c r="N1543" i="3"/>
  <c r="L1543" i="3"/>
  <c r="F1545" i="3" l="1"/>
  <c r="G1544" i="3"/>
  <c r="H1544" i="3"/>
  <c r="J1544" i="3"/>
  <c r="R1544" i="3"/>
  <c r="L1544" i="3"/>
  <c r="P1544" i="3"/>
  <c r="Q1544" i="3"/>
  <c r="N1544" i="3"/>
  <c r="K1544" i="3"/>
  <c r="O1544" i="3"/>
  <c r="I1544" i="3"/>
  <c r="F1546" i="3" l="1"/>
  <c r="H1545" i="3"/>
  <c r="N1545" i="3"/>
  <c r="O1545" i="3"/>
  <c r="L1545" i="3"/>
  <c r="J1545" i="3"/>
  <c r="I1545" i="3"/>
  <c r="G1545" i="3"/>
  <c r="P1545" i="3"/>
  <c r="K1545" i="3"/>
  <c r="Q1545" i="3"/>
  <c r="R1545" i="3"/>
  <c r="F1547" i="3" l="1"/>
  <c r="N1546" i="3"/>
  <c r="G1546" i="3"/>
  <c r="P1546" i="3"/>
  <c r="H1546" i="3"/>
  <c r="L1546" i="3"/>
  <c r="K1546" i="3"/>
  <c r="I1546" i="3"/>
  <c r="R1546" i="3"/>
  <c r="Q1546" i="3"/>
  <c r="J1546" i="3"/>
  <c r="O1546" i="3"/>
  <c r="F1548" i="3" l="1"/>
  <c r="H1547" i="3"/>
  <c r="I1547" i="3"/>
  <c r="K1547" i="3"/>
  <c r="P1547" i="3"/>
  <c r="J1547" i="3"/>
  <c r="Q1547" i="3"/>
  <c r="R1547" i="3"/>
  <c r="N1547" i="3"/>
  <c r="G1547" i="3"/>
  <c r="L1547" i="3"/>
  <c r="O1547" i="3"/>
  <c r="F1549" i="3" l="1"/>
  <c r="G1548" i="3"/>
  <c r="O1548" i="3"/>
  <c r="P1548" i="3"/>
  <c r="L1548" i="3"/>
  <c r="I1548" i="3"/>
  <c r="Q1548" i="3"/>
  <c r="J1548" i="3"/>
  <c r="H1548" i="3"/>
  <c r="N1548" i="3"/>
  <c r="R1548" i="3"/>
  <c r="K1548" i="3"/>
  <c r="F1550" i="3" l="1"/>
  <c r="L1549" i="3"/>
  <c r="H1549" i="3"/>
  <c r="N1549" i="3"/>
  <c r="P1549" i="3"/>
  <c r="G1549" i="3"/>
  <c r="J1549" i="3"/>
  <c r="I1549" i="3"/>
  <c r="O1549" i="3"/>
  <c r="R1549" i="3"/>
  <c r="Q1549" i="3"/>
  <c r="K1549" i="3"/>
  <c r="F1551" i="3" l="1"/>
  <c r="R1550" i="3"/>
  <c r="I1550" i="3"/>
  <c r="J1550" i="3"/>
  <c r="Q1550" i="3"/>
  <c r="K1550" i="3"/>
  <c r="L1550" i="3"/>
  <c r="H1550" i="3"/>
  <c r="O1550" i="3"/>
  <c r="P1550" i="3"/>
  <c r="G1550" i="3"/>
  <c r="N1550" i="3"/>
  <c r="F1552" i="3" l="1"/>
  <c r="P1551" i="3"/>
  <c r="Q1551" i="3"/>
  <c r="J1551" i="3"/>
  <c r="G1551" i="3"/>
  <c r="L1551" i="3"/>
  <c r="H1551" i="3"/>
  <c r="K1551" i="3"/>
  <c r="I1551" i="3"/>
  <c r="N1551" i="3"/>
  <c r="O1551" i="3"/>
  <c r="R1551" i="3"/>
  <c r="F1553" i="3" l="1"/>
  <c r="K1552" i="3"/>
  <c r="O1552" i="3"/>
  <c r="H1552" i="3"/>
  <c r="N1552" i="3"/>
  <c r="I1552" i="3"/>
  <c r="Q1552" i="3"/>
  <c r="J1552" i="3"/>
  <c r="G1552" i="3"/>
  <c r="P1552" i="3"/>
  <c r="R1552" i="3"/>
  <c r="L1552" i="3"/>
  <c r="F1554" i="3" l="1"/>
  <c r="Q1553" i="3"/>
  <c r="J1553" i="3"/>
  <c r="K1553" i="3"/>
  <c r="G1553" i="3"/>
  <c r="R1553" i="3"/>
  <c r="H1553" i="3"/>
  <c r="O1553" i="3"/>
  <c r="I1553" i="3"/>
  <c r="N1553" i="3"/>
  <c r="P1553" i="3"/>
  <c r="L1553" i="3"/>
  <c r="F1555" i="3" l="1"/>
  <c r="Q1554" i="3"/>
  <c r="R1554" i="3"/>
  <c r="K1554" i="3"/>
  <c r="P1554" i="3"/>
  <c r="O1554" i="3"/>
  <c r="N1554" i="3"/>
  <c r="G1554" i="3"/>
  <c r="H1554" i="3"/>
  <c r="J1554" i="3"/>
  <c r="L1554" i="3"/>
  <c r="I1554" i="3"/>
  <c r="F1556" i="3" l="1"/>
  <c r="J1555" i="3"/>
  <c r="O1555" i="3"/>
  <c r="K1555" i="3"/>
  <c r="L1555" i="3"/>
  <c r="N1555" i="3"/>
  <c r="I1555" i="3"/>
  <c r="P1555" i="3"/>
  <c r="Q1555" i="3"/>
  <c r="H1555" i="3"/>
  <c r="R1555" i="3"/>
  <c r="G1555" i="3"/>
  <c r="F1557" i="3" l="1"/>
  <c r="P1556" i="3"/>
  <c r="K1556" i="3"/>
  <c r="L1556" i="3"/>
  <c r="H1556" i="3"/>
  <c r="O1556" i="3"/>
  <c r="J1556" i="3"/>
  <c r="Q1556" i="3"/>
  <c r="G1556" i="3"/>
  <c r="N1556" i="3"/>
  <c r="R1556" i="3"/>
  <c r="I1556" i="3"/>
  <c r="F1558" i="3" l="1"/>
  <c r="R1557" i="3"/>
  <c r="Q1557" i="3"/>
  <c r="K1557" i="3"/>
  <c r="G1557" i="3"/>
  <c r="L1557" i="3"/>
  <c r="I1557" i="3"/>
  <c r="P1557" i="3"/>
  <c r="H1557" i="3"/>
  <c r="N1557" i="3"/>
  <c r="J1557" i="3"/>
  <c r="O1557" i="3"/>
  <c r="F1559" i="3" l="1"/>
  <c r="I1558" i="3"/>
  <c r="G1558" i="3"/>
  <c r="L1558" i="3"/>
  <c r="Q1558" i="3"/>
  <c r="N1558" i="3"/>
  <c r="R1558" i="3"/>
  <c r="H1558" i="3"/>
  <c r="J1558" i="3"/>
  <c r="K1558" i="3"/>
  <c r="O1558" i="3"/>
  <c r="P1558" i="3"/>
  <c r="F1560" i="3" l="1"/>
  <c r="O1559" i="3"/>
  <c r="L1559" i="3"/>
  <c r="N1559" i="3"/>
  <c r="Q1559" i="3"/>
  <c r="H1559" i="3"/>
  <c r="G1559" i="3"/>
  <c r="P1559" i="3"/>
  <c r="R1559" i="3"/>
  <c r="I1559" i="3"/>
  <c r="J1559" i="3"/>
  <c r="K1559" i="3"/>
  <c r="F1561" i="3" l="1"/>
  <c r="I1560" i="3"/>
  <c r="Q1560" i="3"/>
  <c r="K1560" i="3"/>
  <c r="J1560" i="3"/>
  <c r="N1560" i="3"/>
  <c r="G1560" i="3"/>
  <c r="L1560" i="3"/>
  <c r="P1560" i="3"/>
  <c r="H1560" i="3"/>
  <c r="R1560" i="3"/>
  <c r="O1560" i="3"/>
  <c r="F1562" i="3" l="1"/>
  <c r="H1561" i="3"/>
  <c r="G1561" i="3"/>
  <c r="I1561" i="3"/>
  <c r="N1561" i="3"/>
  <c r="R1561" i="3"/>
  <c r="K1561" i="3"/>
  <c r="Q1561" i="3"/>
  <c r="L1561" i="3"/>
  <c r="O1561" i="3"/>
  <c r="J1561" i="3"/>
  <c r="P1561" i="3"/>
  <c r="F1563" i="3" l="1"/>
  <c r="N1562" i="3"/>
  <c r="O1562" i="3"/>
  <c r="P1562" i="3"/>
  <c r="Q1562" i="3"/>
  <c r="I1562" i="3"/>
  <c r="R1562" i="3"/>
  <c r="K1562" i="3"/>
  <c r="J1562" i="3"/>
  <c r="G1562" i="3"/>
  <c r="H1562" i="3"/>
  <c r="L1562" i="3"/>
  <c r="F1564" i="3" l="1"/>
  <c r="J1563" i="3"/>
  <c r="O1563" i="3"/>
  <c r="L1563" i="3"/>
  <c r="R1563" i="3"/>
  <c r="Q1563" i="3"/>
  <c r="I1563" i="3"/>
  <c r="N1563" i="3"/>
  <c r="G1563" i="3"/>
  <c r="K1563" i="3"/>
  <c r="P1563" i="3"/>
  <c r="H1563" i="3"/>
  <c r="F1565" i="3" l="1"/>
  <c r="G1564" i="3"/>
  <c r="I1564" i="3"/>
  <c r="J1564" i="3"/>
  <c r="N1564" i="3"/>
  <c r="P1564" i="3"/>
  <c r="O1564" i="3"/>
  <c r="H1564" i="3"/>
  <c r="L1564" i="3"/>
  <c r="R1564" i="3"/>
  <c r="K1564" i="3"/>
  <c r="Q1564" i="3"/>
  <c r="F1566" i="3" l="1"/>
  <c r="L1565" i="3"/>
  <c r="P1565" i="3"/>
  <c r="Q1565" i="3"/>
  <c r="G1565" i="3"/>
  <c r="K1565" i="3"/>
  <c r="O1565" i="3"/>
  <c r="I1565" i="3"/>
  <c r="J1565" i="3"/>
  <c r="H1565" i="3"/>
  <c r="N1565" i="3"/>
  <c r="R1565" i="3"/>
  <c r="F1567" i="3" l="1"/>
  <c r="R1566" i="3"/>
  <c r="P1566" i="3"/>
  <c r="J1566" i="3"/>
  <c r="I1566" i="3"/>
  <c r="L1566" i="3"/>
  <c r="K1566" i="3"/>
  <c r="O1566" i="3"/>
  <c r="G1566" i="3"/>
  <c r="Q1566" i="3"/>
  <c r="H1566" i="3"/>
  <c r="N1566" i="3"/>
  <c r="F1568" i="3" l="1"/>
  <c r="J1567" i="3"/>
  <c r="K1567" i="3"/>
  <c r="I1567" i="3"/>
  <c r="Q1567" i="3"/>
  <c r="H1567" i="3"/>
  <c r="P1567" i="3"/>
  <c r="O1567" i="3"/>
  <c r="N1567" i="3"/>
  <c r="R1567" i="3"/>
  <c r="L1567" i="3"/>
  <c r="G1567" i="3"/>
  <c r="F1569" i="3" l="1"/>
  <c r="K1568" i="3"/>
  <c r="Q1568" i="3"/>
  <c r="R1568" i="3"/>
  <c r="N1568" i="3"/>
  <c r="G1568" i="3"/>
  <c r="J1568" i="3"/>
  <c r="H1568" i="3"/>
  <c r="L1568" i="3"/>
  <c r="P1568" i="3"/>
  <c r="I1568" i="3"/>
  <c r="O1568" i="3"/>
  <c r="F1570" i="3" l="1"/>
  <c r="Q1569" i="3"/>
  <c r="H1569" i="3"/>
  <c r="P1569" i="3"/>
  <c r="N1569" i="3"/>
  <c r="G1569" i="3"/>
  <c r="K1569" i="3"/>
  <c r="O1569" i="3"/>
  <c r="I1569" i="3"/>
  <c r="L1569" i="3"/>
  <c r="R1569" i="3"/>
  <c r="J1569" i="3"/>
  <c r="F1571" i="3" l="1"/>
  <c r="K1570" i="3"/>
  <c r="L1570" i="3"/>
  <c r="J1570" i="3"/>
  <c r="Q1570" i="3"/>
  <c r="G1570" i="3"/>
  <c r="O1570" i="3"/>
  <c r="I1570" i="3"/>
  <c r="R1570" i="3"/>
  <c r="N1570" i="3"/>
  <c r="P1570" i="3"/>
  <c r="H1570" i="3"/>
  <c r="J1571" i="3" l="1"/>
  <c r="R1571" i="3"/>
  <c r="N1571" i="3"/>
  <c r="K1571" i="3"/>
  <c r="Q1571" i="3"/>
  <c r="L1571" i="3"/>
  <c r="O1571" i="3"/>
  <c r="P1571" i="3"/>
  <c r="I1571" i="3"/>
  <c r="G1571" i="3"/>
  <c r="H1571" i="3"/>
  <c r="G566" i="3" l="1"/>
  <c r="H566" i="3"/>
  <c r="I566" i="3"/>
  <c r="J566" i="3"/>
  <c r="K566" i="3"/>
  <c r="L566" i="3"/>
  <c r="N566" i="3"/>
  <c r="O566" i="3"/>
  <c r="P566" i="3"/>
  <c r="Q566" i="3"/>
  <c r="R566" i="3"/>
  <c r="G567" i="3"/>
  <c r="H567" i="3"/>
  <c r="I567" i="3"/>
  <c r="J567" i="3"/>
  <c r="K567" i="3"/>
  <c r="L567" i="3"/>
  <c r="N567" i="3"/>
  <c r="O567" i="3"/>
  <c r="P567" i="3"/>
  <c r="Q567" i="3"/>
  <c r="R567" i="3"/>
  <c r="G568" i="3"/>
  <c r="H568" i="3"/>
  <c r="I568" i="3"/>
  <c r="J568" i="3"/>
  <c r="K568" i="3"/>
  <c r="L568" i="3"/>
  <c r="N568" i="3"/>
  <c r="O568" i="3"/>
  <c r="P568" i="3"/>
  <c r="Q568" i="3"/>
  <c r="R568" i="3"/>
  <c r="G569" i="3"/>
  <c r="H569" i="3"/>
  <c r="I569" i="3"/>
  <c r="J569" i="3"/>
  <c r="K569" i="3"/>
  <c r="L569" i="3"/>
  <c r="N569" i="3"/>
  <c r="O569" i="3"/>
  <c r="P569" i="3"/>
  <c r="Q569" i="3"/>
  <c r="R569" i="3"/>
  <c r="G570" i="3"/>
  <c r="H570" i="3"/>
  <c r="I570" i="3"/>
  <c r="J570" i="3"/>
  <c r="K570" i="3"/>
  <c r="L570" i="3"/>
  <c r="N570" i="3"/>
  <c r="O570" i="3"/>
  <c r="P570" i="3"/>
  <c r="Q570" i="3"/>
  <c r="R570" i="3"/>
  <c r="G571" i="3"/>
  <c r="H571" i="3"/>
  <c r="I571" i="3"/>
  <c r="J571" i="3"/>
  <c r="K571" i="3"/>
  <c r="L571" i="3"/>
  <c r="N571" i="3"/>
  <c r="O571" i="3"/>
  <c r="P571" i="3"/>
  <c r="Q571" i="3"/>
  <c r="R571" i="3"/>
  <c r="G572" i="3"/>
  <c r="H572" i="3"/>
  <c r="I572" i="3"/>
  <c r="J572" i="3"/>
  <c r="K572" i="3"/>
  <c r="L572" i="3"/>
  <c r="N572" i="3"/>
  <c r="O572" i="3"/>
  <c r="P572" i="3"/>
  <c r="Q572" i="3"/>
  <c r="R572" i="3"/>
  <c r="G573" i="3"/>
  <c r="H573" i="3"/>
  <c r="I573" i="3"/>
  <c r="J573" i="3"/>
  <c r="K573" i="3"/>
  <c r="L573" i="3"/>
  <c r="N573" i="3"/>
  <c r="O573" i="3"/>
  <c r="P573" i="3"/>
  <c r="Q573" i="3"/>
  <c r="R573" i="3"/>
  <c r="G574" i="3"/>
  <c r="H574" i="3"/>
  <c r="I574" i="3"/>
  <c r="J574" i="3"/>
  <c r="K574" i="3"/>
  <c r="L574" i="3"/>
  <c r="N574" i="3"/>
  <c r="O574" i="3"/>
  <c r="P574" i="3"/>
  <c r="Q574" i="3"/>
  <c r="R574" i="3"/>
  <c r="G575" i="3"/>
  <c r="H575" i="3"/>
  <c r="I575" i="3"/>
  <c r="J575" i="3"/>
  <c r="K575" i="3"/>
  <c r="L575" i="3"/>
  <c r="N575" i="3"/>
  <c r="O575" i="3"/>
  <c r="P575" i="3"/>
  <c r="Q575" i="3"/>
  <c r="R575" i="3"/>
  <c r="G576" i="3"/>
  <c r="H576" i="3"/>
  <c r="I576" i="3"/>
  <c r="J576" i="3"/>
  <c r="K576" i="3"/>
  <c r="L576" i="3"/>
  <c r="N576" i="3"/>
  <c r="O576" i="3"/>
  <c r="P576" i="3"/>
  <c r="Q576" i="3"/>
  <c r="R576" i="3"/>
  <c r="G577" i="3"/>
  <c r="H577" i="3"/>
  <c r="I577" i="3"/>
  <c r="J577" i="3"/>
  <c r="K577" i="3"/>
  <c r="L577" i="3"/>
  <c r="N577" i="3"/>
  <c r="O577" i="3"/>
  <c r="P577" i="3"/>
  <c r="Q577" i="3"/>
  <c r="R577" i="3"/>
  <c r="G578" i="3"/>
  <c r="H578" i="3"/>
  <c r="I578" i="3"/>
  <c r="J578" i="3"/>
  <c r="K578" i="3"/>
  <c r="L578" i="3"/>
  <c r="N578" i="3"/>
  <c r="O578" i="3"/>
  <c r="P578" i="3"/>
  <c r="Q578" i="3"/>
  <c r="R578" i="3"/>
  <c r="G579" i="3"/>
  <c r="H579" i="3"/>
  <c r="I579" i="3"/>
  <c r="J579" i="3"/>
  <c r="K579" i="3"/>
  <c r="L579" i="3"/>
  <c r="N579" i="3"/>
  <c r="O579" i="3"/>
  <c r="P579" i="3"/>
  <c r="Q579" i="3"/>
  <c r="R579" i="3"/>
  <c r="G580" i="3"/>
  <c r="H580" i="3"/>
  <c r="I580" i="3"/>
  <c r="J580" i="3"/>
  <c r="K580" i="3"/>
  <c r="L580" i="3"/>
  <c r="N580" i="3"/>
  <c r="O580" i="3"/>
  <c r="P580" i="3"/>
  <c r="Q580" i="3"/>
  <c r="R580" i="3"/>
  <c r="G581" i="3"/>
  <c r="H581" i="3"/>
  <c r="I581" i="3"/>
  <c r="J581" i="3"/>
  <c r="K581" i="3"/>
  <c r="L581" i="3"/>
  <c r="N581" i="3"/>
  <c r="O581" i="3"/>
  <c r="P581" i="3"/>
  <c r="Q581" i="3"/>
  <c r="R581" i="3"/>
  <c r="G582" i="3"/>
  <c r="H582" i="3"/>
  <c r="I582" i="3"/>
  <c r="J582" i="3"/>
  <c r="K582" i="3"/>
  <c r="L582" i="3"/>
  <c r="N582" i="3"/>
  <c r="O582" i="3"/>
  <c r="P582" i="3"/>
  <c r="Q582" i="3"/>
  <c r="R582" i="3"/>
  <c r="G583" i="3"/>
  <c r="H583" i="3"/>
  <c r="I583" i="3"/>
  <c r="J583" i="3"/>
  <c r="K583" i="3"/>
  <c r="L583" i="3"/>
  <c r="N583" i="3"/>
  <c r="O583" i="3"/>
  <c r="P583" i="3"/>
  <c r="Q583" i="3"/>
  <c r="R583" i="3"/>
  <c r="G584" i="3"/>
  <c r="H584" i="3"/>
  <c r="I584" i="3"/>
  <c r="J584" i="3"/>
  <c r="K584" i="3"/>
  <c r="L584" i="3"/>
  <c r="N584" i="3"/>
  <c r="O584" i="3"/>
  <c r="P584" i="3"/>
  <c r="Q584" i="3"/>
  <c r="R584" i="3"/>
  <c r="G585" i="3"/>
  <c r="H585" i="3"/>
  <c r="I585" i="3"/>
  <c r="J585" i="3"/>
  <c r="K585" i="3"/>
  <c r="L585" i="3"/>
  <c r="N585" i="3"/>
  <c r="O585" i="3"/>
  <c r="P585" i="3"/>
  <c r="Q585" i="3"/>
  <c r="R585" i="3"/>
  <c r="G586" i="3"/>
  <c r="H586" i="3"/>
  <c r="I586" i="3"/>
  <c r="J586" i="3"/>
  <c r="K586" i="3"/>
  <c r="L586" i="3"/>
  <c r="N586" i="3"/>
  <c r="O586" i="3"/>
  <c r="P586" i="3"/>
  <c r="Q586" i="3"/>
  <c r="R586" i="3"/>
  <c r="G587" i="3"/>
  <c r="H587" i="3"/>
  <c r="I587" i="3"/>
  <c r="J587" i="3"/>
  <c r="K587" i="3"/>
  <c r="L587" i="3"/>
  <c r="N587" i="3"/>
  <c r="O587" i="3"/>
  <c r="P587" i="3"/>
  <c r="Q587" i="3"/>
  <c r="R587" i="3"/>
  <c r="G588" i="3"/>
  <c r="H588" i="3"/>
  <c r="I588" i="3"/>
  <c r="J588" i="3"/>
  <c r="K588" i="3"/>
  <c r="L588" i="3"/>
  <c r="N588" i="3"/>
  <c r="O588" i="3"/>
  <c r="P588" i="3"/>
  <c r="Q588" i="3"/>
  <c r="R588" i="3"/>
  <c r="G589" i="3"/>
  <c r="H589" i="3"/>
  <c r="I589" i="3"/>
  <c r="J589" i="3"/>
  <c r="K589" i="3"/>
  <c r="L589" i="3"/>
  <c r="N589" i="3"/>
  <c r="O589" i="3"/>
  <c r="P589" i="3"/>
  <c r="Q589" i="3"/>
  <c r="R589" i="3"/>
  <c r="G590" i="3"/>
  <c r="H590" i="3"/>
  <c r="I590" i="3"/>
  <c r="J590" i="3"/>
  <c r="K590" i="3"/>
  <c r="L590" i="3"/>
  <c r="N590" i="3"/>
  <c r="O590" i="3"/>
  <c r="P590" i="3"/>
  <c r="Q590" i="3"/>
  <c r="R590" i="3"/>
  <c r="G591" i="3"/>
  <c r="H591" i="3"/>
  <c r="I591" i="3"/>
  <c r="J591" i="3"/>
  <c r="K591" i="3"/>
  <c r="L591" i="3"/>
  <c r="N591" i="3"/>
  <c r="O591" i="3"/>
  <c r="P591" i="3"/>
  <c r="Q591" i="3"/>
  <c r="R591" i="3"/>
  <c r="G592" i="3"/>
  <c r="H592" i="3"/>
  <c r="I592" i="3"/>
  <c r="J592" i="3"/>
  <c r="K592" i="3"/>
  <c r="L592" i="3"/>
  <c r="N592" i="3"/>
  <c r="O592" i="3"/>
  <c r="P592" i="3"/>
  <c r="Q592" i="3"/>
  <c r="R592" i="3"/>
  <c r="G593" i="3"/>
  <c r="H593" i="3"/>
  <c r="I593" i="3"/>
  <c r="J593" i="3"/>
  <c r="K593" i="3"/>
  <c r="L593" i="3"/>
  <c r="N593" i="3"/>
  <c r="O593" i="3"/>
  <c r="P593" i="3"/>
  <c r="Q593" i="3"/>
  <c r="R593" i="3"/>
  <c r="G594" i="3"/>
  <c r="H594" i="3"/>
  <c r="I594" i="3"/>
  <c r="J594" i="3"/>
  <c r="K594" i="3"/>
  <c r="L594" i="3"/>
  <c r="N594" i="3"/>
  <c r="O594" i="3"/>
  <c r="P594" i="3"/>
  <c r="Q594" i="3"/>
  <c r="R594" i="3"/>
  <c r="G595" i="3"/>
  <c r="H595" i="3"/>
  <c r="I595" i="3"/>
  <c r="J595" i="3"/>
  <c r="K595" i="3"/>
  <c r="L595" i="3"/>
  <c r="N595" i="3"/>
  <c r="O595" i="3"/>
  <c r="P595" i="3"/>
  <c r="Q595" i="3"/>
  <c r="R595" i="3"/>
  <c r="G596" i="3"/>
  <c r="H596" i="3"/>
  <c r="I596" i="3"/>
  <c r="J596" i="3"/>
  <c r="K596" i="3"/>
  <c r="L596" i="3"/>
  <c r="N596" i="3"/>
  <c r="O596" i="3"/>
  <c r="P596" i="3"/>
  <c r="Q596" i="3"/>
  <c r="R596" i="3"/>
  <c r="G597" i="3"/>
  <c r="H597" i="3"/>
  <c r="I597" i="3"/>
  <c r="J597" i="3"/>
  <c r="K597" i="3"/>
  <c r="L597" i="3"/>
  <c r="N597" i="3"/>
  <c r="O597" i="3"/>
  <c r="P597" i="3"/>
  <c r="Q597" i="3"/>
  <c r="R597" i="3"/>
  <c r="G598" i="3"/>
  <c r="H598" i="3"/>
  <c r="I598" i="3"/>
  <c r="J598" i="3"/>
  <c r="K598" i="3"/>
  <c r="L598" i="3"/>
  <c r="N598" i="3"/>
  <c r="O598" i="3"/>
  <c r="P598" i="3"/>
  <c r="Q598" i="3"/>
  <c r="R598" i="3"/>
  <c r="G599" i="3"/>
  <c r="H599" i="3"/>
  <c r="I599" i="3"/>
  <c r="J599" i="3"/>
  <c r="K599" i="3"/>
  <c r="L599" i="3"/>
  <c r="N599" i="3"/>
  <c r="O599" i="3"/>
  <c r="P599" i="3"/>
  <c r="Q599" i="3"/>
  <c r="R599" i="3"/>
  <c r="G600" i="3"/>
  <c r="H600" i="3"/>
  <c r="I600" i="3"/>
  <c r="J600" i="3"/>
  <c r="K600" i="3"/>
  <c r="L600" i="3"/>
  <c r="N600" i="3"/>
  <c r="O600" i="3"/>
  <c r="P600" i="3"/>
  <c r="Q600" i="3"/>
  <c r="R600" i="3"/>
  <c r="G601" i="3"/>
  <c r="H601" i="3"/>
  <c r="I601" i="3"/>
  <c r="J601" i="3"/>
  <c r="K601" i="3"/>
  <c r="L601" i="3"/>
  <c r="N601" i="3"/>
  <c r="O601" i="3"/>
  <c r="P601" i="3"/>
  <c r="Q601" i="3"/>
  <c r="R601" i="3"/>
  <c r="G602" i="3"/>
  <c r="H602" i="3"/>
  <c r="I602" i="3"/>
  <c r="J602" i="3"/>
  <c r="K602" i="3"/>
  <c r="L602" i="3"/>
  <c r="N602" i="3"/>
  <c r="O602" i="3"/>
  <c r="P602" i="3"/>
  <c r="Q602" i="3"/>
  <c r="R602" i="3"/>
  <c r="G603" i="3"/>
  <c r="H603" i="3"/>
  <c r="I603" i="3"/>
  <c r="J603" i="3"/>
  <c r="K603" i="3"/>
  <c r="L603" i="3"/>
  <c r="N603" i="3"/>
  <c r="O603" i="3"/>
  <c r="P603" i="3"/>
  <c r="Q603" i="3"/>
  <c r="R603" i="3"/>
  <c r="G604" i="3"/>
  <c r="H604" i="3"/>
  <c r="I604" i="3"/>
  <c r="J604" i="3"/>
  <c r="K604" i="3"/>
  <c r="L604" i="3"/>
  <c r="N604" i="3"/>
  <c r="O604" i="3"/>
  <c r="P604" i="3"/>
  <c r="Q604" i="3"/>
  <c r="R604" i="3"/>
  <c r="G605" i="3"/>
  <c r="H605" i="3"/>
  <c r="I605" i="3"/>
  <c r="J605" i="3"/>
  <c r="K605" i="3"/>
  <c r="L605" i="3"/>
  <c r="N605" i="3"/>
  <c r="O605" i="3"/>
  <c r="P605" i="3"/>
  <c r="Q605" i="3"/>
  <c r="R605" i="3"/>
  <c r="G606" i="3"/>
  <c r="H606" i="3"/>
  <c r="I606" i="3"/>
  <c r="J606" i="3"/>
  <c r="K606" i="3"/>
  <c r="L606" i="3"/>
  <c r="N606" i="3"/>
  <c r="O606" i="3"/>
  <c r="P606" i="3"/>
  <c r="Q606" i="3"/>
  <c r="R606" i="3"/>
  <c r="G607" i="3"/>
  <c r="H607" i="3"/>
  <c r="I607" i="3"/>
  <c r="J607" i="3"/>
  <c r="K607" i="3"/>
  <c r="L607" i="3"/>
  <c r="N607" i="3"/>
  <c r="O607" i="3"/>
  <c r="P607" i="3"/>
  <c r="Q607" i="3"/>
  <c r="R607" i="3"/>
  <c r="G608" i="3"/>
  <c r="H608" i="3"/>
  <c r="I608" i="3"/>
  <c r="J608" i="3"/>
  <c r="K608" i="3"/>
  <c r="L608" i="3"/>
  <c r="N608" i="3"/>
  <c r="O608" i="3"/>
  <c r="P608" i="3"/>
  <c r="Q608" i="3"/>
  <c r="R608" i="3"/>
  <c r="G609" i="3"/>
  <c r="H609" i="3"/>
  <c r="I609" i="3"/>
  <c r="J609" i="3"/>
  <c r="K609" i="3"/>
  <c r="L609" i="3"/>
  <c r="N609" i="3"/>
  <c r="O609" i="3"/>
  <c r="P609" i="3"/>
  <c r="Q609" i="3"/>
  <c r="R609" i="3"/>
  <c r="G610" i="3"/>
  <c r="H610" i="3"/>
  <c r="I610" i="3"/>
  <c r="J610" i="3"/>
  <c r="K610" i="3"/>
  <c r="L610" i="3"/>
  <c r="N610" i="3"/>
  <c r="O610" i="3"/>
  <c r="P610" i="3"/>
  <c r="Q610" i="3"/>
  <c r="R610" i="3"/>
  <c r="G611" i="3"/>
  <c r="H611" i="3"/>
  <c r="I611" i="3"/>
  <c r="J611" i="3"/>
  <c r="K611" i="3"/>
  <c r="L611" i="3"/>
  <c r="N611" i="3"/>
  <c r="O611" i="3"/>
  <c r="P611" i="3"/>
  <c r="Q611" i="3"/>
  <c r="R611" i="3"/>
  <c r="G612" i="3"/>
  <c r="H612" i="3"/>
  <c r="I612" i="3"/>
  <c r="J612" i="3"/>
  <c r="K612" i="3"/>
  <c r="L612" i="3"/>
  <c r="N612" i="3"/>
  <c r="O612" i="3"/>
  <c r="P612" i="3"/>
  <c r="Q612" i="3"/>
  <c r="R612" i="3"/>
  <c r="G613" i="3"/>
  <c r="H613" i="3"/>
  <c r="I613" i="3"/>
  <c r="J613" i="3"/>
  <c r="K613" i="3"/>
  <c r="L613" i="3"/>
  <c r="N613" i="3"/>
  <c r="O613" i="3"/>
  <c r="P613" i="3"/>
  <c r="Q613" i="3"/>
  <c r="R613" i="3"/>
  <c r="G614" i="3"/>
  <c r="H614" i="3"/>
  <c r="I614" i="3"/>
  <c r="J614" i="3"/>
  <c r="K614" i="3"/>
  <c r="L614" i="3"/>
  <c r="N614" i="3"/>
  <c r="O614" i="3"/>
  <c r="P614" i="3"/>
  <c r="Q614" i="3"/>
  <c r="R614" i="3"/>
  <c r="G615" i="3"/>
  <c r="H615" i="3"/>
  <c r="I615" i="3"/>
  <c r="J615" i="3"/>
  <c r="K615" i="3"/>
  <c r="L615" i="3"/>
  <c r="N615" i="3"/>
  <c r="O615" i="3"/>
  <c r="P615" i="3"/>
  <c r="Q615" i="3"/>
  <c r="R615" i="3"/>
  <c r="G616" i="3"/>
  <c r="H616" i="3"/>
  <c r="I616" i="3"/>
  <c r="J616" i="3"/>
  <c r="K616" i="3"/>
  <c r="L616" i="3"/>
  <c r="N616" i="3"/>
  <c r="O616" i="3"/>
  <c r="P616" i="3"/>
  <c r="Q616" i="3"/>
  <c r="R616" i="3"/>
  <c r="G617" i="3"/>
  <c r="H617" i="3"/>
  <c r="I617" i="3"/>
  <c r="J617" i="3"/>
  <c r="K617" i="3"/>
  <c r="L617" i="3"/>
  <c r="N617" i="3"/>
  <c r="O617" i="3"/>
  <c r="P617" i="3"/>
  <c r="Q617" i="3"/>
  <c r="R617" i="3"/>
  <c r="G618" i="3"/>
  <c r="H618" i="3"/>
  <c r="I618" i="3"/>
  <c r="J618" i="3"/>
  <c r="K618" i="3"/>
  <c r="L618" i="3"/>
  <c r="N618" i="3"/>
  <c r="O618" i="3"/>
  <c r="P618" i="3"/>
  <c r="Q618" i="3"/>
  <c r="R618" i="3"/>
  <c r="G619" i="3"/>
  <c r="H619" i="3"/>
  <c r="I619" i="3"/>
  <c r="J619" i="3"/>
  <c r="K619" i="3"/>
  <c r="L619" i="3"/>
  <c r="N619" i="3"/>
  <c r="O619" i="3"/>
  <c r="P619" i="3"/>
  <c r="Q619" i="3"/>
  <c r="R619" i="3"/>
  <c r="G620" i="3"/>
  <c r="H620" i="3"/>
  <c r="I620" i="3"/>
  <c r="J620" i="3"/>
  <c r="K620" i="3"/>
  <c r="L620" i="3"/>
  <c r="N620" i="3"/>
  <c r="O620" i="3"/>
  <c r="P620" i="3"/>
  <c r="Q620" i="3"/>
  <c r="R620" i="3"/>
  <c r="G621" i="3"/>
  <c r="H621" i="3"/>
  <c r="I621" i="3"/>
  <c r="J621" i="3"/>
  <c r="K621" i="3"/>
  <c r="L621" i="3"/>
  <c r="N621" i="3"/>
  <c r="O621" i="3"/>
  <c r="P621" i="3"/>
  <c r="Q621" i="3"/>
  <c r="R621" i="3"/>
  <c r="G622" i="3"/>
  <c r="H622" i="3"/>
  <c r="I622" i="3"/>
  <c r="J622" i="3"/>
  <c r="K622" i="3"/>
  <c r="L622" i="3"/>
  <c r="N622" i="3"/>
  <c r="O622" i="3"/>
  <c r="P622" i="3"/>
  <c r="Q622" i="3"/>
  <c r="R622" i="3"/>
  <c r="G623" i="3"/>
  <c r="H623" i="3"/>
  <c r="I623" i="3"/>
  <c r="J623" i="3"/>
  <c r="K623" i="3"/>
  <c r="L623" i="3"/>
  <c r="N623" i="3"/>
  <c r="O623" i="3"/>
  <c r="P623" i="3"/>
  <c r="Q623" i="3"/>
  <c r="R623" i="3"/>
  <c r="G624" i="3"/>
  <c r="H624" i="3"/>
  <c r="I624" i="3"/>
  <c r="J624" i="3"/>
  <c r="K624" i="3"/>
  <c r="L624" i="3"/>
  <c r="N624" i="3"/>
  <c r="O624" i="3"/>
  <c r="P624" i="3"/>
  <c r="Q624" i="3"/>
  <c r="R624" i="3"/>
  <c r="G625" i="3"/>
  <c r="H625" i="3"/>
  <c r="I625" i="3"/>
  <c r="J625" i="3"/>
  <c r="K625" i="3"/>
  <c r="L625" i="3"/>
  <c r="N625" i="3"/>
  <c r="O625" i="3"/>
  <c r="P625" i="3"/>
  <c r="Q625" i="3"/>
  <c r="R625" i="3"/>
  <c r="G626" i="3"/>
  <c r="H626" i="3"/>
  <c r="I626" i="3"/>
  <c r="J626" i="3"/>
  <c r="K626" i="3"/>
  <c r="L626" i="3"/>
  <c r="N626" i="3"/>
  <c r="O626" i="3"/>
  <c r="P626" i="3"/>
  <c r="Q626" i="3"/>
  <c r="R626" i="3"/>
  <c r="G627" i="3"/>
  <c r="H627" i="3"/>
  <c r="I627" i="3"/>
  <c r="J627" i="3"/>
  <c r="K627" i="3"/>
  <c r="L627" i="3"/>
  <c r="N627" i="3"/>
  <c r="O627" i="3"/>
  <c r="P627" i="3"/>
  <c r="Q627" i="3"/>
  <c r="R627" i="3"/>
  <c r="G628" i="3"/>
  <c r="H628" i="3"/>
  <c r="I628" i="3"/>
  <c r="J628" i="3"/>
  <c r="K628" i="3"/>
  <c r="L628" i="3"/>
  <c r="N628" i="3"/>
  <c r="O628" i="3"/>
  <c r="P628" i="3"/>
  <c r="Q628" i="3"/>
  <c r="R628" i="3"/>
  <c r="G629" i="3"/>
  <c r="H629" i="3"/>
  <c r="I629" i="3"/>
  <c r="J629" i="3"/>
  <c r="K629" i="3"/>
  <c r="L629" i="3"/>
  <c r="N629" i="3"/>
  <c r="O629" i="3"/>
  <c r="P629" i="3"/>
  <c r="Q629" i="3"/>
  <c r="R629" i="3"/>
  <c r="G630" i="3"/>
  <c r="H630" i="3"/>
  <c r="I630" i="3"/>
  <c r="J630" i="3"/>
  <c r="K630" i="3"/>
  <c r="L630" i="3"/>
  <c r="N630" i="3"/>
  <c r="O630" i="3"/>
  <c r="P630" i="3"/>
  <c r="Q630" i="3"/>
  <c r="R630" i="3"/>
  <c r="G631" i="3"/>
  <c r="H631" i="3"/>
  <c r="I631" i="3"/>
  <c r="J631" i="3"/>
  <c r="K631" i="3"/>
  <c r="L631" i="3"/>
  <c r="N631" i="3"/>
  <c r="O631" i="3"/>
  <c r="P631" i="3"/>
  <c r="Q631" i="3"/>
  <c r="R631" i="3"/>
  <c r="G632" i="3"/>
  <c r="H632" i="3"/>
  <c r="I632" i="3"/>
  <c r="J632" i="3"/>
  <c r="K632" i="3"/>
  <c r="L632" i="3"/>
  <c r="N632" i="3"/>
  <c r="O632" i="3"/>
  <c r="P632" i="3"/>
  <c r="Q632" i="3"/>
  <c r="R632" i="3"/>
  <c r="G633" i="3"/>
  <c r="H633" i="3"/>
  <c r="I633" i="3"/>
  <c r="J633" i="3"/>
  <c r="K633" i="3"/>
  <c r="L633" i="3"/>
  <c r="N633" i="3"/>
  <c r="O633" i="3"/>
  <c r="P633" i="3"/>
  <c r="Q633" i="3"/>
  <c r="R633" i="3"/>
  <c r="G634" i="3"/>
  <c r="H634" i="3"/>
  <c r="I634" i="3"/>
  <c r="J634" i="3"/>
  <c r="K634" i="3"/>
  <c r="L634" i="3"/>
  <c r="N634" i="3"/>
  <c r="O634" i="3"/>
  <c r="P634" i="3"/>
  <c r="Q634" i="3"/>
  <c r="R634" i="3"/>
  <c r="G635" i="3"/>
  <c r="H635" i="3"/>
  <c r="I635" i="3"/>
  <c r="J635" i="3"/>
  <c r="K635" i="3"/>
  <c r="L635" i="3"/>
  <c r="N635" i="3"/>
  <c r="O635" i="3"/>
  <c r="P635" i="3"/>
  <c r="Q635" i="3"/>
  <c r="R635" i="3"/>
  <c r="G636" i="3"/>
  <c r="H636" i="3"/>
  <c r="I636" i="3"/>
  <c r="J636" i="3"/>
  <c r="K636" i="3"/>
  <c r="L636" i="3"/>
  <c r="N636" i="3"/>
  <c r="O636" i="3"/>
  <c r="P636" i="3"/>
  <c r="Q636" i="3"/>
  <c r="R636" i="3"/>
  <c r="G637" i="3"/>
  <c r="H637" i="3"/>
  <c r="I637" i="3"/>
  <c r="J637" i="3"/>
  <c r="K637" i="3"/>
  <c r="L637" i="3"/>
  <c r="N637" i="3"/>
  <c r="O637" i="3"/>
  <c r="P637" i="3"/>
  <c r="Q637" i="3"/>
  <c r="R637" i="3"/>
  <c r="G638" i="3"/>
  <c r="H638" i="3"/>
  <c r="I638" i="3"/>
  <c r="J638" i="3"/>
  <c r="K638" i="3"/>
  <c r="L638" i="3"/>
  <c r="N638" i="3"/>
  <c r="O638" i="3"/>
  <c r="P638" i="3"/>
  <c r="Q638" i="3"/>
  <c r="R638" i="3"/>
  <c r="G639" i="3"/>
  <c r="H639" i="3"/>
  <c r="I639" i="3"/>
  <c r="J639" i="3"/>
  <c r="K639" i="3"/>
  <c r="L639" i="3"/>
  <c r="N639" i="3"/>
  <c r="O639" i="3"/>
  <c r="P639" i="3"/>
  <c r="Q639" i="3"/>
  <c r="R639" i="3"/>
  <c r="G640" i="3"/>
  <c r="H640" i="3"/>
  <c r="I640" i="3"/>
  <c r="J640" i="3"/>
  <c r="K640" i="3"/>
  <c r="L640" i="3"/>
  <c r="N640" i="3"/>
  <c r="O640" i="3"/>
  <c r="P640" i="3"/>
  <c r="Q640" i="3"/>
  <c r="R640" i="3"/>
  <c r="G641" i="3"/>
  <c r="H641" i="3"/>
  <c r="I641" i="3"/>
  <c r="J641" i="3"/>
  <c r="K641" i="3"/>
  <c r="L641" i="3"/>
  <c r="N641" i="3"/>
  <c r="O641" i="3"/>
  <c r="P641" i="3"/>
  <c r="Q641" i="3"/>
  <c r="R641" i="3"/>
  <c r="G642" i="3"/>
  <c r="H642" i="3"/>
  <c r="I642" i="3"/>
  <c r="J642" i="3"/>
  <c r="K642" i="3"/>
  <c r="L642" i="3"/>
  <c r="N642" i="3"/>
  <c r="O642" i="3"/>
  <c r="P642" i="3"/>
  <c r="Q642" i="3"/>
  <c r="R642" i="3"/>
  <c r="G643" i="3"/>
  <c r="H643" i="3"/>
  <c r="I643" i="3"/>
  <c r="J643" i="3"/>
  <c r="K643" i="3"/>
  <c r="L643" i="3"/>
  <c r="N643" i="3"/>
  <c r="O643" i="3"/>
  <c r="P643" i="3"/>
  <c r="Q643" i="3"/>
  <c r="R643" i="3"/>
  <c r="G644" i="3"/>
  <c r="H644" i="3"/>
  <c r="I644" i="3"/>
  <c r="J644" i="3"/>
  <c r="K644" i="3"/>
  <c r="L644" i="3"/>
  <c r="N644" i="3"/>
  <c r="O644" i="3"/>
  <c r="P644" i="3"/>
  <c r="Q644" i="3"/>
  <c r="R644" i="3"/>
  <c r="G645" i="3"/>
  <c r="H645" i="3"/>
  <c r="I645" i="3"/>
  <c r="J645" i="3"/>
  <c r="K645" i="3"/>
  <c r="L645" i="3"/>
  <c r="N645" i="3"/>
  <c r="O645" i="3"/>
  <c r="P645" i="3"/>
  <c r="Q645" i="3"/>
  <c r="R645" i="3"/>
  <c r="G646" i="3"/>
  <c r="H646" i="3"/>
  <c r="I646" i="3"/>
  <c r="J646" i="3"/>
  <c r="K646" i="3"/>
  <c r="L646" i="3"/>
  <c r="N646" i="3"/>
  <c r="O646" i="3"/>
  <c r="P646" i="3"/>
  <c r="Q646" i="3"/>
  <c r="R646" i="3"/>
  <c r="G647" i="3"/>
  <c r="H647" i="3"/>
  <c r="I647" i="3"/>
  <c r="J647" i="3"/>
  <c r="K647" i="3"/>
  <c r="L647" i="3"/>
  <c r="N647" i="3"/>
  <c r="O647" i="3"/>
  <c r="P647" i="3"/>
  <c r="Q647" i="3"/>
  <c r="R647" i="3"/>
  <c r="G648" i="3"/>
  <c r="H648" i="3"/>
  <c r="I648" i="3"/>
  <c r="J648" i="3"/>
  <c r="K648" i="3"/>
  <c r="L648" i="3"/>
  <c r="N648" i="3"/>
  <c r="O648" i="3"/>
  <c r="P648" i="3"/>
  <c r="Q648" i="3"/>
  <c r="R648" i="3"/>
  <c r="G649" i="3"/>
  <c r="H649" i="3"/>
  <c r="I649" i="3"/>
  <c r="J649" i="3"/>
  <c r="K649" i="3"/>
  <c r="L649" i="3"/>
  <c r="N649" i="3"/>
  <c r="O649" i="3"/>
  <c r="P649" i="3"/>
  <c r="Q649" i="3"/>
  <c r="R649" i="3"/>
  <c r="G650" i="3"/>
  <c r="H650" i="3"/>
  <c r="I650" i="3"/>
  <c r="J650" i="3"/>
  <c r="K650" i="3"/>
  <c r="L650" i="3"/>
  <c r="N650" i="3"/>
  <c r="O650" i="3"/>
  <c r="P650" i="3"/>
  <c r="Q650" i="3"/>
  <c r="R650" i="3"/>
  <c r="G651" i="3"/>
  <c r="H651" i="3"/>
  <c r="I651" i="3"/>
  <c r="J651" i="3"/>
  <c r="K651" i="3"/>
  <c r="L651" i="3"/>
  <c r="N651" i="3"/>
  <c r="O651" i="3"/>
  <c r="P651" i="3"/>
  <c r="Q651" i="3"/>
  <c r="R651" i="3"/>
  <c r="G652" i="3"/>
  <c r="H652" i="3"/>
  <c r="I652" i="3"/>
  <c r="J652" i="3"/>
  <c r="K652" i="3"/>
  <c r="L652" i="3"/>
  <c r="N652" i="3"/>
  <c r="O652" i="3"/>
  <c r="P652" i="3"/>
  <c r="Q652" i="3"/>
  <c r="R652" i="3"/>
  <c r="G653" i="3"/>
  <c r="H653" i="3"/>
  <c r="I653" i="3"/>
  <c r="J653" i="3"/>
  <c r="K653" i="3"/>
  <c r="L653" i="3"/>
  <c r="N653" i="3"/>
  <c r="O653" i="3"/>
  <c r="P653" i="3"/>
  <c r="Q653" i="3"/>
  <c r="R653" i="3"/>
  <c r="G654" i="3"/>
  <c r="H654" i="3"/>
  <c r="I654" i="3"/>
  <c r="J654" i="3"/>
  <c r="K654" i="3"/>
  <c r="L654" i="3"/>
  <c r="N654" i="3"/>
  <c r="O654" i="3"/>
  <c r="P654" i="3"/>
  <c r="Q654" i="3"/>
  <c r="R654" i="3"/>
  <c r="G655" i="3"/>
  <c r="H655" i="3"/>
  <c r="I655" i="3"/>
  <c r="J655" i="3"/>
  <c r="K655" i="3"/>
  <c r="L655" i="3"/>
  <c r="N655" i="3"/>
  <c r="O655" i="3"/>
  <c r="P655" i="3"/>
  <c r="Q655" i="3"/>
  <c r="R655" i="3"/>
  <c r="G656" i="3"/>
  <c r="H656" i="3"/>
  <c r="I656" i="3"/>
  <c r="J656" i="3"/>
  <c r="K656" i="3"/>
  <c r="L656" i="3"/>
  <c r="N656" i="3"/>
  <c r="O656" i="3"/>
  <c r="P656" i="3"/>
  <c r="Q656" i="3"/>
  <c r="R656" i="3"/>
  <c r="G657" i="3"/>
  <c r="H657" i="3"/>
  <c r="I657" i="3"/>
  <c r="J657" i="3"/>
  <c r="K657" i="3"/>
  <c r="L657" i="3"/>
  <c r="N657" i="3"/>
  <c r="O657" i="3"/>
  <c r="P657" i="3"/>
  <c r="Q657" i="3"/>
  <c r="R657" i="3"/>
  <c r="G658" i="3"/>
  <c r="H658" i="3"/>
  <c r="I658" i="3"/>
  <c r="J658" i="3"/>
  <c r="K658" i="3"/>
  <c r="L658" i="3"/>
  <c r="N658" i="3"/>
  <c r="O658" i="3"/>
  <c r="P658" i="3"/>
  <c r="Q658" i="3"/>
  <c r="R658" i="3"/>
  <c r="G659" i="3"/>
  <c r="H659" i="3"/>
  <c r="I659" i="3"/>
  <c r="J659" i="3"/>
  <c r="K659" i="3"/>
  <c r="L659" i="3"/>
  <c r="N659" i="3"/>
  <c r="O659" i="3"/>
  <c r="P659" i="3"/>
  <c r="Q659" i="3"/>
  <c r="R659" i="3"/>
  <c r="G660" i="3"/>
  <c r="H660" i="3"/>
  <c r="I660" i="3"/>
  <c r="J660" i="3"/>
  <c r="K660" i="3"/>
  <c r="L660" i="3"/>
  <c r="N660" i="3"/>
  <c r="O660" i="3"/>
  <c r="P660" i="3"/>
  <c r="Q660" i="3"/>
  <c r="R660" i="3"/>
  <c r="G661" i="3"/>
  <c r="H661" i="3"/>
  <c r="I661" i="3"/>
  <c r="J661" i="3"/>
  <c r="K661" i="3"/>
  <c r="L661" i="3"/>
  <c r="N661" i="3"/>
  <c r="O661" i="3"/>
  <c r="P661" i="3"/>
  <c r="Q661" i="3"/>
  <c r="R661" i="3"/>
  <c r="G662" i="3"/>
  <c r="H662" i="3"/>
  <c r="I662" i="3"/>
  <c r="J662" i="3"/>
  <c r="K662" i="3"/>
  <c r="L662" i="3"/>
  <c r="N662" i="3"/>
  <c r="O662" i="3"/>
  <c r="P662" i="3"/>
  <c r="Q662" i="3"/>
  <c r="R662" i="3"/>
  <c r="G663" i="3"/>
  <c r="H663" i="3"/>
  <c r="I663" i="3"/>
  <c r="J663" i="3"/>
  <c r="K663" i="3"/>
  <c r="L663" i="3"/>
  <c r="N663" i="3"/>
  <c r="O663" i="3"/>
  <c r="P663" i="3"/>
  <c r="Q663" i="3"/>
  <c r="R663" i="3"/>
  <c r="G664" i="3"/>
  <c r="H664" i="3"/>
  <c r="I664" i="3"/>
  <c r="J664" i="3"/>
  <c r="K664" i="3"/>
  <c r="L664" i="3"/>
  <c r="N664" i="3"/>
  <c r="O664" i="3"/>
  <c r="P664" i="3"/>
  <c r="Q664" i="3"/>
  <c r="R664" i="3"/>
  <c r="G665" i="3"/>
  <c r="H665" i="3"/>
  <c r="I665" i="3"/>
  <c r="J665" i="3"/>
  <c r="K665" i="3"/>
  <c r="L665" i="3"/>
  <c r="N665" i="3"/>
  <c r="O665" i="3"/>
  <c r="P665" i="3"/>
  <c r="Q665" i="3"/>
  <c r="R665" i="3"/>
  <c r="G666" i="3"/>
  <c r="H666" i="3"/>
  <c r="I666" i="3"/>
  <c r="J666" i="3"/>
  <c r="K666" i="3"/>
  <c r="L666" i="3"/>
  <c r="N666" i="3"/>
  <c r="O666" i="3"/>
  <c r="P666" i="3"/>
  <c r="Q666" i="3"/>
  <c r="R666" i="3"/>
  <c r="G667" i="3"/>
  <c r="H667" i="3"/>
  <c r="I667" i="3"/>
  <c r="J667" i="3"/>
  <c r="K667" i="3"/>
  <c r="L667" i="3"/>
  <c r="N667" i="3"/>
  <c r="O667" i="3"/>
  <c r="P667" i="3"/>
  <c r="Q667" i="3"/>
  <c r="R667" i="3"/>
  <c r="G668" i="3"/>
  <c r="H668" i="3"/>
  <c r="I668" i="3"/>
  <c r="J668" i="3"/>
  <c r="K668" i="3"/>
  <c r="L668" i="3"/>
  <c r="N668" i="3"/>
  <c r="O668" i="3"/>
  <c r="P668" i="3"/>
  <c r="Q668" i="3"/>
  <c r="R668" i="3"/>
  <c r="G669" i="3"/>
  <c r="H669" i="3"/>
  <c r="I669" i="3"/>
  <c r="J669" i="3"/>
  <c r="K669" i="3"/>
  <c r="L669" i="3"/>
  <c r="N669" i="3"/>
  <c r="O669" i="3"/>
  <c r="P669" i="3"/>
  <c r="Q669" i="3"/>
  <c r="R669" i="3"/>
  <c r="G670" i="3"/>
  <c r="H670" i="3"/>
  <c r="I670" i="3"/>
  <c r="J670" i="3"/>
  <c r="K670" i="3"/>
  <c r="L670" i="3"/>
  <c r="N670" i="3"/>
  <c r="O670" i="3"/>
  <c r="P670" i="3"/>
  <c r="Q670" i="3"/>
  <c r="R670" i="3"/>
  <c r="G671" i="3"/>
  <c r="H671" i="3"/>
  <c r="I671" i="3"/>
  <c r="J671" i="3"/>
  <c r="K671" i="3"/>
  <c r="L671" i="3"/>
  <c r="N671" i="3"/>
  <c r="O671" i="3"/>
  <c r="P671" i="3"/>
  <c r="Q671" i="3"/>
  <c r="R671" i="3"/>
  <c r="G672" i="3"/>
  <c r="H672" i="3"/>
  <c r="I672" i="3"/>
  <c r="J672" i="3"/>
  <c r="K672" i="3"/>
  <c r="L672" i="3"/>
  <c r="N672" i="3"/>
  <c r="O672" i="3"/>
  <c r="P672" i="3"/>
  <c r="Q672" i="3"/>
  <c r="R672" i="3"/>
  <c r="G673" i="3"/>
  <c r="H673" i="3"/>
  <c r="I673" i="3"/>
  <c r="J673" i="3"/>
  <c r="K673" i="3"/>
  <c r="L673" i="3"/>
  <c r="N673" i="3"/>
  <c r="O673" i="3"/>
  <c r="P673" i="3"/>
  <c r="Q673" i="3"/>
  <c r="R673" i="3"/>
  <c r="G674" i="3"/>
  <c r="H674" i="3"/>
  <c r="I674" i="3"/>
  <c r="J674" i="3"/>
  <c r="K674" i="3"/>
  <c r="L674" i="3"/>
  <c r="N674" i="3"/>
  <c r="O674" i="3"/>
  <c r="P674" i="3"/>
  <c r="Q674" i="3"/>
  <c r="R674" i="3"/>
  <c r="G675" i="3"/>
  <c r="H675" i="3"/>
  <c r="I675" i="3"/>
  <c r="J675" i="3"/>
  <c r="K675" i="3"/>
  <c r="L675" i="3"/>
  <c r="N675" i="3"/>
  <c r="O675" i="3"/>
  <c r="P675" i="3"/>
  <c r="Q675" i="3"/>
  <c r="R675" i="3"/>
  <c r="G676" i="3"/>
  <c r="H676" i="3"/>
  <c r="I676" i="3"/>
  <c r="J676" i="3"/>
  <c r="K676" i="3"/>
  <c r="L676" i="3"/>
  <c r="N676" i="3"/>
  <c r="O676" i="3"/>
  <c r="P676" i="3"/>
  <c r="Q676" i="3"/>
  <c r="R676" i="3"/>
  <c r="G677" i="3"/>
  <c r="H677" i="3"/>
  <c r="I677" i="3"/>
  <c r="J677" i="3"/>
  <c r="K677" i="3"/>
  <c r="L677" i="3"/>
  <c r="N677" i="3"/>
  <c r="O677" i="3"/>
  <c r="P677" i="3"/>
  <c r="Q677" i="3"/>
  <c r="R677" i="3"/>
  <c r="G678" i="3"/>
  <c r="H678" i="3"/>
  <c r="I678" i="3"/>
  <c r="J678" i="3"/>
  <c r="K678" i="3"/>
  <c r="L678" i="3"/>
  <c r="N678" i="3"/>
  <c r="O678" i="3"/>
  <c r="P678" i="3"/>
  <c r="Q678" i="3"/>
  <c r="R678" i="3"/>
  <c r="G679" i="3"/>
  <c r="H679" i="3"/>
  <c r="I679" i="3"/>
  <c r="J679" i="3"/>
  <c r="K679" i="3"/>
  <c r="L679" i="3"/>
  <c r="N679" i="3"/>
  <c r="O679" i="3"/>
  <c r="P679" i="3"/>
  <c r="Q679" i="3"/>
  <c r="R679" i="3"/>
  <c r="G680" i="3"/>
  <c r="H680" i="3"/>
  <c r="I680" i="3"/>
  <c r="J680" i="3"/>
  <c r="K680" i="3"/>
  <c r="L680" i="3"/>
  <c r="N680" i="3"/>
  <c r="O680" i="3"/>
  <c r="P680" i="3"/>
  <c r="Q680" i="3"/>
  <c r="R680" i="3"/>
  <c r="G681" i="3"/>
  <c r="H681" i="3"/>
  <c r="I681" i="3"/>
  <c r="J681" i="3"/>
  <c r="K681" i="3"/>
  <c r="L681" i="3"/>
  <c r="N681" i="3"/>
  <c r="O681" i="3"/>
  <c r="P681" i="3"/>
  <c r="Q681" i="3"/>
  <c r="R681" i="3"/>
  <c r="G682" i="3"/>
  <c r="H682" i="3"/>
  <c r="I682" i="3"/>
  <c r="J682" i="3"/>
  <c r="K682" i="3"/>
  <c r="L682" i="3"/>
  <c r="N682" i="3"/>
  <c r="O682" i="3"/>
  <c r="P682" i="3"/>
  <c r="Q682" i="3"/>
  <c r="R682" i="3"/>
  <c r="G683" i="3"/>
  <c r="H683" i="3"/>
  <c r="I683" i="3"/>
  <c r="J683" i="3"/>
  <c r="K683" i="3"/>
  <c r="L683" i="3"/>
  <c r="N683" i="3"/>
  <c r="O683" i="3"/>
  <c r="P683" i="3"/>
  <c r="Q683" i="3"/>
  <c r="R683" i="3"/>
  <c r="G684" i="3"/>
  <c r="H684" i="3"/>
  <c r="I684" i="3"/>
  <c r="J684" i="3"/>
  <c r="K684" i="3"/>
  <c r="L684" i="3"/>
  <c r="N684" i="3"/>
  <c r="O684" i="3"/>
  <c r="P684" i="3"/>
  <c r="Q684" i="3"/>
  <c r="R684" i="3"/>
  <c r="G685" i="3"/>
  <c r="H685" i="3"/>
  <c r="I685" i="3"/>
  <c r="J685" i="3"/>
  <c r="K685" i="3"/>
  <c r="L685" i="3"/>
  <c r="N685" i="3"/>
  <c r="O685" i="3"/>
  <c r="P685" i="3"/>
  <c r="Q685" i="3"/>
  <c r="R685" i="3"/>
  <c r="G686" i="3"/>
  <c r="H686" i="3"/>
  <c r="I686" i="3"/>
  <c r="J686" i="3"/>
  <c r="K686" i="3"/>
  <c r="L686" i="3"/>
  <c r="N686" i="3"/>
  <c r="O686" i="3"/>
  <c r="P686" i="3"/>
  <c r="Q686" i="3"/>
  <c r="R686" i="3"/>
  <c r="G687" i="3"/>
  <c r="H687" i="3"/>
  <c r="I687" i="3"/>
  <c r="J687" i="3"/>
  <c r="K687" i="3"/>
  <c r="L687" i="3"/>
  <c r="N687" i="3"/>
  <c r="O687" i="3"/>
  <c r="P687" i="3"/>
  <c r="Q687" i="3"/>
  <c r="R687" i="3"/>
  <c r="G688" i="3"/>
  <c r="H688" i="3"/>
  <c r="I688" i="3"/>
  <c r="J688" i="3"/>
  <c r="K688" i="3"/>
  <c r="L688" i="3"/>
  <c r="N688" i="3"/>
  <c r="O688" i="3"/>
  <c r="P688" i="3"/>
  <c r="Q688" i="3"/>
  <c r="R688" i="3"/>
  <c r="G689" i="3"/>
  <c r="H689" i="3"/>
  <c r="I689" i="3"/>
  <c r="J689" i="3"/>
  <c r="K689" i="3"/>
  <c r="L689" i="3"/>
  <c r="N689" i="3"/>
  <c r="O689" i="3"/>
  <c r="P689" i="3"/>
  <c r="Q689" i="3"/>
  <c r="R689" i="3"/>
  <c r="G690" i="3"/>
  <c r="H690" i="3"/>
  <c r="I690" i="3"/>
  <c r="J690" i="3"/>
  <c r="K690" i="3"/>
  <c r="L690" i="3"/>
  <c r="N690" i="3"/>
  <c r="O690" i="3"/>
  <c r="P690" i="3"/>
  <c r="Q690" i="3"/>
  <c r="R690" i="3"/>
  <c r="G691" i="3"/>
  <c r="H691" i="3"/>
  <c r="I691" i="3"/>
  <c r="J691" i="3"/>
  <c r="K691" i="3"/>
  <c r="L691" i="3"/>
  <c r="N691" i="3"/>
  <c r="O691" i="3"/>
  <c r="P691" i="3"/>
  <c r="Q691" i="3"/>
  <c r="R691" i="3"/>
  <c r="G692" i="3"/>
  <c r="H692" i="3"/>
  <c r="I692" i="3"/>
  <c r="J692" i="3"/>
  <c r="K692" i="3"/>
  <c r="L692" i="3"/>
  <c r="N692" i="3"/>
  <c r="O692" i="3"/>
  <c r="P692" i="3"/>
  <c r="Q692" i="3"/>
  <c r="R692" i="3"/>
  <c r="G693" i="3"/>
  <c r="H693" i="3"/>
  <c r="I693" i="3"/>
  <c r="J693" i="3"/>
  <c r="K693" i="3"/>
  <c r="L693" i="3"/>
  <c r="N693" i="3"/>
  <c r="O693" i="3"/>
  <c r="P693" i="3"/>
  <c r="Q693" i="3"/>
  <c r="R693" i="3"/>
  <c r="G694" i="3"/>
  <c r="H694" i="3"/>
  <c r="I694" i="3"/>
  <c r="J694" i="3"/>
  <c r="K694" i="3"/>
  <c r="L694" i="3"/>
  <c r="N694" i="3"/>
  <c r="O694" i="3"/>
  <c r="P694" i="3"/>
  <c r="Q694" i="3"/>
  <c r="R694" i="3"/>
  <c r="G695" i="3"/>
  <c r="H695" i="3"/>
  <c r="I695" i="3"/>
  <c r="J695" i="3"/>
  <c r="K695" i="3"/>
  <c r="L695" i="3"/>
  <c r="N695" i="3"/>
  <c r="O695" i="3"/>
  <c r="P695" i="3"/>
  <c r="Q695" i="3"/>
  <c r="R695" i="3"/>
  <c r="G696" i="3"/>
  <c r="H696" i="3"/>
  <c r="I696" i="3"/>
  <c r="J696" i="3"/>
  <c r="K696" i="3"/>
  <c r="L696" i="3"/>
  <c r="N696" i="3"/>
  <c r="O696" i="3"/>
  <c r="P696" i="3"/>
  <c r="Q696" i="3"/>
  <c r="R696" i="3"/>
  <c r="G697" i="3"/>
  <c r="H697" i="3"/>
  <c r="I697" i="3"/>
  <c r="J697" i="3"/>
  <c r="K697" i="3"/>
  <c r="L697" i="3"/>
  <c r="N697" i="3"/>
  <c r="O697" i="3"/>
  <c r="P697" i="3"/>
  <c r="Q697" i="3"/>
  <c r="R697" i="3"/>
  <c r="G698" i="3"/>
  <c r="H698" i="3"/>
  <c r="I698" i="3"/>
  <c r="J698" i="3"/>
  <c r="K698" i="3"/>
  <c r="L698" i="3"/>
  <c r="N698" i="3"/>
  <c r="O698" i="3"/>
  <c r="P698" i="3"/>
  <c r="Q698" i="3"/>
  <c r="R698" i="3"/>
  <c r="G699" i="3"/>
  <c r="H699" i="3"/>
  <c r="I699" i="3"/>
  <c r="J699" i="3"/>
  <c r="K699" i="3"/>
  <c r="L699" i="3"/>
  <c r="N699" i="3"/>
  <c r="O699" i="3"/>
  <c r="P699" i="3"/>
  <c r="Q699" i="3"/>
  <c r="R699" i="3"/>
  <c r="G700" i="3"/>
  <c r="H700" i="3"/>
  <c r="I700" i="3"/>
  <c r="J700" i="3"/>
  <c r="K700" i="3"/>
  <c r="L700" i="3"/>
  <c r="N700" i="3"/>
  <c r="O700" i="3"/>
  <c r="P700" i="3"/>
  <c r="Q700" i="3"/>
  <c r="R700" i="3"/>
  <c r="G701" i="3"/>
  <c r="H701" i="3"/>
  <c r="I701" i="3"/>
  <c r="J701" i="3"/>
  <c r="K701" i="3"/>
  <c r="L701" i="3"/>
  <c r="N701" i="3"/>
  <c r="O701" i="3"/>
  <c r="P701" i="3"/>
  <c r="Q701" i="3"/>
  <c r="R701" i="3"/>
  <c r="G702" i="3"/>
  <c r="H702" i="3"/>
  <c r="I702" i="3"/>
  <c r="J702" i="3"/>
  <c r="K702" i="3"/>
  <c r="L702" i="3"/>
  <c r="N702" i="3"/>
  <c r="O702" i="3"/>
  <c r="P702" i="3"/>
  <c r="Q702" i="3"/>
  <c r="R702" i="3"/>
  <c r="G703" i="3"/>
  <c r="H703" i="3"/>
  <c r="I703" i="3"/>
  <c r="J703" i="3"/>
  <c r="K703" i="3"/>
  <c r="L703" i="3"/>
  <c r="N703" i="3"/>
  <c r="O703" i="3"/>
  <c r="P703" i="3"/>
  <c r="Q703" i="3"/>
  <c r="R703" i="3"/>
  <c r="G704" i="3"/>
  <c r="H704" i="3"/>
  <c r="I704" i="3"/>
  <c r="J704" i="3"/>
  <c r="K704" i="3"/>
  <c r="L704" i="3"/>
  <c r="N704" i="3"/>
  <c r="O704" i="3"/>
  <c r="P704" i="3"/>
  <c r="Q704" i="3"/>
  <c r="R704" i="3"/>
  <c r="G705" i="3"/>
  <c r="H705" i="3"/>
  <c r="I705" i="3"/>
  <c r="J705" i="3"/>
  <c r="K705" i="3"/>
  <c r="L705" i="3"/>
  <c r="N705" i="3"/>
  <c r="O705" i="3"/>
  <c r="P705" i="3"/>
  <c r="Q705" i="3"/>
  <c r="R705" i="3"/>
  <c r="G706" i="3"/>
  <c r="H706" i="3"/>
  <c r="I706" i="3"/>
  <c r="J706" i="3"/>
  <c r="K706" i="3"/>
  <c r="L706" i="3"/>
  <c r="N706" i="3"/>
  <c r="O706" i="3"/>
  <c r="P706" i="3"/>
  <c r="Q706" i="3"/>
  <c r="R706" i="3"/>
  <c r="G707" i="3"/>
  <c r="H707" i="3"/>
  <c r="I707" i="3"/>
  <c r="J707" i="3"/>
  <c r="K707" i="3"/>
  <c r="L707" i="3"/>
  <c r="N707" i="3"/>
  <c r="O707" i="3"/>
  <c r="P707" i="3"/>
  <c r="Q707" i="3"/>
  <c r="R707" i="3"/>
  <c r="G708" i="3"/>
  <c r="H708" i="3"/>
  <c r="I708" i="3"/>
  <c r="J708" i="3"/>
  <c r="K708" i="3"/>
  <c r="L708" i="3"/>
  <c r="N708" i="3"/>
  <c r="O708" i="3"/>
  <c r="P708" i="3"/>
  <c r="Q708" i="3"/>
  <c r="R708" i="3"/>
  <c r="G709" i="3"/>
  <c r="H709" i="3"/>
  <c r="I709" i="3"/>
  <c r="J709" i="3"/>
  <c r="K709" i="3"/>
  <c r="L709" i="3"/>
  <c r="N709" i="3"/>
  <c r="O709" i="3"/>
  <c r="P709" i="3"/>
  <c r="Q709" i="3"/>
  <c r="R709" i="3"/>
  <c r="G710" i="3"/>
  <c r="H710" i="3"/>
  <c r="I710" i="3"/>
  <c r="J710" i="3"/>
  <c r="K710" i="3"/>
  <c r="L710" i="3"/>
  <c r="N710" i="3"/>
  <c r="O710" i="3"/>
  <c r="P710" i="3"/>
  <c r="Q710" i="3"/>
  <c r="R710" i="3"/>
  <c r="G711" i="3"/>
  <c r="H711" i="3"/>
  <c r="I711" i="3"/>
  <c r="J711" i="3"/>
  <c r="K711" i="3"/>
  <c r="L711" i="3"/>
  <c r="N711" i="3"/>
  <c r="O711" i="3"/>
  <c r="P711" i="3"/>
  <c r="Q711" i="3"/>
  <c r="R711" i="3"/>
  <c r="G712" i="3"/>
  <c r="H712" i="3"/>
  <c r="I712" i="3"/>
  <c r="J712" i="3"/>
  <c r="K712" i="3"/>
  <c r="L712" i="3"/>
  <c r="N712" i="3"/>
  <c r="O712" i="3"/>
  <c r="P712" i="3"/>
  <c r="Q712" i="3"/>
  <c r="R712" i="3"/>
  <c r="G713" i="3"/>
  <c r="H713" i="3"/>
  <c r="I713" i="3"/>
  <c r="J713" i="3"/>
  <c r="K713" i="3"/>
  <c r="L713" i="3"/>
  <c r="N713" i="3"/>
  <c r="O713" i="3"/>
  <c r="P713" i="3"/>
  <c r="Q713" i="3"/>
  <c r="R713" i="3"/>
  <c r="G714" i="3"/>
  <c r="H714" i="3"/>
  <c r="I714" i="3"/>
  <c r="J714" i="3"/>
  <c r="K714" i="3"/>
  <c r="L714" i="3"/>
  <c r="N714" i="3"/>
  <c r="O714" i="3"/>
  <c r="P714" i="3"/>
  <c r="Q714" i="3"/>
  <c r="R714" i="3"/>
  <c r="G715" i="3"/>
  <c r="H715" i="3"/>
  <c r="I715" i="3"/>
  <c r="J715" i="3"/>
  <c r="K715" i="3"/>
  <c r="L715" i="3"/>
  <c r="N715" i="3"/>
  <c r="O715" i="3"/>
  <c r="P715" i="3"/>
  <c r="Q715" i="3"/>
  <c r="R715" i="3"/>
  <c r="G716" i="3"/>
  <c r="H716" i="3"/>
  <c r="I716" i="3"/>
  <c r="J716" i="3"/>
  <c r="K716" i="3"/>
  <c r="L716" i="3"/>
  <c r="N716" i="3"/>
  <c r="O716" i="3"/>
  <c r="P716" i="3"/>
  <c r="Q716" i="3"/>
  <c r="R716" i="3"/>
  <c r="G717" i="3"/>
  <c r="H717" i="3"/>
  <c r="I717" i="3"/>
  <c r="J717" i="3"/>
  <c r="K717" i="3"/>
  <c r="L717" i="3"/>
  <c r="N717" i="3"/>
  <c r="O717" i="3"/>
  <c r="P717" i="3"/>
  <c r="Q717" i="3"/>
  <c r="R717" i="3"/>
  <c r="G718" i="3"/>
  <c r="H718" i="3"/>
  <c r="I718" i="3"/>
  <c r="J718" i="3"/>
  <c r="K718" i="3"/>
  <c r="L718" i="3"/>
  <c r="N718" i="3"/>
  <c r="O718" i="3"/>
  <c r="P718" i="3"/>
  <c r="Q718" i="3"/>
  <c r="R718" i="3"/>
  <c r="G719" i="3"/>
  <c r="H719" i="3"/>
  <c r="I719" i="3"/>
  <c r="J719" i="3"/>
  <c r="K719" i="3"/>
  <c r="L719" i="3"/>
  <c r="N719" i="3"/>
  <c r="O719" i="3"/>
  <c r="P719" i="3"/>
  <c r="Q719" i="3"/>
  <c r="R719" i="3"/>
  <c r="G720" i="3"/>
  <c r="H720" i="3"/>
  <c r="I720" i="3"/>
  <c r="J720" i="3"/>
  <c r="K720" i="3"/>
  <c r="L720" i="3"/>
  <c r="N720" i="3"/>
  <c r="O720" i="3"/>
  <c r="P720" i="3"/>
  <c r="Q720" i="3"/>
  <c r="R720" i="3"/>
  <c r="G721" i="3"/>
  <c r="H721" i="3"/>
  <c r="I721" i="3"/>
  <c r="J721" i="3"/>
  <c r="K721" i="3"/>
  <c r="L721" i="3"/>
  <c r="N721" i="3"/>
  <c r="O721" i="3"/>
  <c r="P721" i="3"/>
  <c r="Q721" i="3"/>
  <c r="R721" i="3"/>
  <c r="G722" i="3"/>
  <c r="H722" i="3"/>
  <c r="I722" i="3"/>
  <c r="J722" i="3"/>
  <c r="K722" i="3"/>
  <c r="L722" i="3"/>
  <c r="N722" i="3"/>
  <c r="O722" i="3"/>
  <c r="P722" i="3"/>
  <c r="Q722" i="3"/>
  <c r="R722" i="3"/>
  <c r="G723" i="3"/>
  <c r="H723" i="3"/>
  <c r="I723" i="3"/>
  <c r="J723" i="3"/>
  <c r="K723" i="3"/>
  <c r="L723" i="3"/>
  <c r="N723" i="3"/>
  <c r="O723" i="3"/>
  <c r="P723" i="3"/>
  <c r="Q723" i="3"/>
  <c r="R723" i="3"/>
  <c r="G724" i="3"/>
  <c r="H724" i="3"/>
  <c r="I724" i="3"/>
  <c r="J724" i="3"/>
  <c r="K724" i="3"/>
  <c r="L724" i="3"/>
  <c r="N724" i="3"/>
  <c r="O724" i="3"/>
  <c r="P724" i="3"/>
  <c r="Q724" i="3"/>
  <c r="R724" i="3"/>
  <c r="G725" i="3"/>
  <c r="H725" i="3"/>
  <c r="I725" i="3"/>
  <c r="J725" i="3"/>
  <c r="K725" i="3"/>
  <c r="L725" i="3"/>
  <c r="N725" i="3"/>
  <c r="O725" i="3"/>
  <c r="P725" i="3"/>
  <c r="Q725" i="3"/>
  <c r="R725" i="3"/>
  <c r="G726" i="3"/>
  <c r="H726" i="3"/>
  <c r="I726" i="3"/>
  <c r="J726" i="3"/>
  <c r="K726" i="3"/>
  <c r="L726" i="3"/>
  <c r="N726" i="3"/>
  <c r="O726" i="3"/>
  <c r="P726" i="3"/>
  <c r="Q726" i="3"/>
  <c r="R726" i="3"/>
  <c r="G727" i="3"/>
  <c r="H727" i="3"/>
  <c r="I727" i="3"/>
  <c r="J727" i="3"/>
  <c r="K727" i="3"/>
  <c r="L727" i="3"/>
  <c r="N727" i="3"/>
  <c r="O727" i="3"/>
  <c r="P727" i="3"/>
  <c r="Q727" i="3"/>
  <c r="R727" i="3"/>
  <c r="G728" i="3"/>
  <c r="H728" i="3"/>
  <c r="I728" i="3"/>
  <c r="J728" i="3"/>
  <c r="K728" i="3"/>
  <c r="L728" i="3"/>
  <c r="N728" i="3"/>
  <c r="O728" i="3"/>
  <c r="P728" i="3"/>
  <c r="Q728" i="3"/>
  <c r="R728" i="3"/>
  <c r="G729" i="3"/>
  <c r="H729" i="3"/>
  <c r="I729" i="3"/>
  <c r="J729" i="3"/>
  <c r="K729" i="3"/>
  <c r="L729" i="3"/>
  <c r="N729" i="3"/>
  <c r="O729" i="3"/>
  <c r="P729" i="3"/>
  <c r="Q729" i="3"/>
  <c r="R729" i="3"/>
  <c r="G730" i="3"/>
  <c r="H730" i="3"/>
  <c r="I730" i="3"/>
  <c r="J730" i="3"/>
  <c r="K730" i="3"/>
  <c r="L730" i="3"/>
  <c r="N730" i="3"/>
  <c r="O730" i="3"/>
  <c r="P730" i="3"/>
  <c r="Q730" i="3"/>
  <c r="R730" i="3"/>
  <c r="G731" i="3"/>
  <c r="H731" i="3"/>
  <c r="I731" i="3"/>
  <c r="J731" i="3"/>
  <c r="K731" i="3"/>
  <c r="L731" i="3"/>
  <c r="N731" i="3"/>
  <c r="O731" i="3"/>
  <c r="P731" i="3"/>
  <c r="Q731" i="3"/>
  <c r="R731" i="3"/>
  <c r="G732" i="3"/>
  <c r="H732" i="3"/>
  <c r="I732" i="3"/>
  <c r="J732" i="3"/>
  <c r="K732" i="3"/>
  <c r="L732" i="3"/>
  <c r="N732" i="3"/>
  <c r="O732" i="3"/>
  <c r="P732" i="3"/>
  <c r="Q732" i="3"/>
  <c r="R732" i="3"/>
  <c r="G733" i="3"/>
  <c r="H733" i="3"/>
  <c r="I733" i="3"/>
  <c r="J733" i="3"/>
  <c r="K733" i="3"/>
  <c r="L733" i="3"/>
  <c r="N733" i="3"/>
  <c r="O733" i="3"/>
  <c r="P733" i="3"/>
  <c r="Q733" i="3"/>
  <c r="R733" i="3"/>
  <c r="G734" i="3"/>
  <c r="H734" i="3"/>
  <c r="I734" i="3"/>
  <c r="J734" i="3"/>
  <c r="K734" i="3"/>
  <c r="L734" i="3"/>
  <c r="N734" i="3"/>
  <c r="O734" i="3"/>
  <c r="P734" i="3"/>
  <c r="Q734" i="3"/>
  <c r="R734" i="3"/>
  <c r="G735" i="3"/>
  <c r="H735" i="3"/>
  <c r="I735" i="3"/>
  <c r="J735" i="3"/>
  <c r="K735" i="3"/>
  <c r="L735" i="3"/>
  <c r="N735" i="3"/>
  <c r="O735" i="3"/>
  <c r="P735" i="3"/>
  <c r="Q735" i="3"/>
  <c r="R735" i="3"/>
  <c r="G736" i="3"/>
  <c r="H736" i="3"/>
  <c r="I736" i="3"/>
  <c r="J736" i="3"/>
  <c r="K736" i="3"/>
  <c r="L736" i="3"/>
  <c r="N736" i="3"/>
  <c r="O736" i="3"/>
  <c r="P736" i="3"/>
  <c r="Q736" i="3"/>
  <c r="R736" i="3"/>
  <c r="G737" i="3"/>
  <c r="H737" i="3"/>
  <c r="I737" i="3"/>
  <c r="J737" i="3"/>
  <c r="K737" i="3"/>
  <c r="L737" i="3"/>
  <c r="N737" i="3"/>
  <c r="O737" i="3"/>
  <c r="P737" i="3"/>
  <c r="Q737" i="3"/>
  <c r="R737" i="3"/>
  <c r="G738" i="3"/>
  <c r="H738" i="3"/>
  <c r="I738" i="3"/>
  <c r="J738" i="3"/>
  <c r="K738" i="3"/>
  <c r="L738" i="3"/>
  <c r="N738" i="3"/>
  <c r="O738" i="3"/>
  <c r="P738" i="3"/>
  <c r="Q738" i="3"/>
  <c r="R738" i="3"/>
  <c r="G739" i="3"/>
  <c r="H739" i="3"/>
  <c r="I739" i="3"/>
  <c r="J739" i="3"/>
  <c r="K739" i="3"/>
  <c r="L739" i="3"/>
  <c r="N739" i="3"/>
  <c r="O739" i="3"/>
  <c r="P739" i="3"/>
  <c r="Q739" i="3"/>
  <c r="R739" i="3"/>
  <c r="G740" i="3"/>
  <c r="H740" i="3"/>
  <c r="I740" i="3"/>
  <c r="J740" i="3"/>
  <c r="K740" i="3"/>
  <c r="L740" i="3"/>
  <c r="N740" i="3"/>
  <c r="O740" i="3"/>
  <c r="P740" i="3"/>
  <c r="Q740" i="3"/>
  <c r="R740" i="3"/>
  <c r="G741" i="3"/>
  <c r="H741" i="3"/>
  <c r="I741" i="3"/>
  <c r="J741" i="3"/>
  <c r="K741" i="3"/>
  <c r="L741" i="3"/>
  <c r="N741" i="3"/>
  <c r="O741" i="3"/>
  <c r="P741" i="3"/>
  <c r="Q741" i="3"/>
  <c r="R741" i="3"/>
  <c r="G742" i="3"/>
  <c r="H742" i="3"/>
  <c r="I742" i="3"/>
  <c r="J742" i="3"/>
  <c r="K742" i="3"/>
  <c r="L742" i="3"/>
  <c r="N742" i="3"/>
  <c r="O742" i="3"/>
  <c r="P742" i="3"/>
  <c r="Q742" i="3"/>
  <c r="R742" i="3"/>
  <c r="G743" i="3"/>
  <c r="H743" i="3"/>
  <c r="I743" i="3"/>
  <c r="J743" i="3"/>
  <c r="K743" i="3"/>
  <c r="L743" i="3"/>
  <c r="N743" i="3"/>
  <c r="O743" i="3"/>
  <c r="P743" i="3"/>
  <c r="Q743" i="3"/>
  <c r="R743" i="3"/>
  <c r="G744" i="3"/>
  <c r="H744" i="3"/>
  <c r="I744" i="3"/>
  <c r="J744" i="3"/>
  <c r="K744" i="3"/>
  <c r="L744" i="3"/>
  <c r="N744" i="3"/>
  <c r="O744" i="3"/>
  <c r="P744" i="3"/>
  <c r="Q744" i="3"/>
  <c r="R744" i="3"/>
  <c r="G745" i="3"/>
  <c r="H745" i="3"/>
  <c r="I745" i="3"/>
  <c r="J745" i="3"/>
  <c r="K745" i="3"/>
  <c r="L745" i="3"/>
  <c r="N745" i="3"/>
  <c r="O745" i="3"/>
  <c r="P745" i="3"/>
  <c r="Q745" i="3"/>
  <c r="R745" i="3"/>
  <c r="G746" i="3"/>
  <c r="H746" i="3"/>
  <c r="I746" i="3"/>
  <c r="J746" i="3"/>
  <c r="K746" i="3"/>
  <c r="L746" i="3"/>
  <c r="N746" i="3"/>
  <c r="O746" i="3"/>
  <c r="P746" i="3"/>
  <c r="Q746" i="3"/>
  <c r="R746" i="3"/>
  <c r="G747" i="3"/>
  <c r="H747" i="3"/>
  <c r="I747" i="3"/>
  <c r="J747" i="3"/>
  <c r="K747" i="3"/>
  <c r="L747" i="3"/>
  <c r="N747" i="3"/>
  <c r="O747" i="3"/>
  <c r="P747" i="3"/>
  <c r="Q747" i="3"/>
  <c r="R747" i="3"/>
  <c r="G748" i="3"/>
  <c r="H748" i="3"/>
  <c r="I748" i="3"/>
  <c r="J748" i="3"/>
  <c r="K748" i="3"/>
  <c r="L748" i="3"/>
  <c r="N748" i="3"/>
  <c r="O748" i="3"/>
  <c r="P748" i="3"/>
  <c r="Q748" i="3"/>
  <c r="R748" i="3"/>
  <c r="G749" i="3"/>
  <c r="H749" i="3"/>
  <c r="I749" i="3"/>
  <c r="J749" i="3"/>
  <c r="K749" i="3"/>
  <c r="L749" i="3"/>
  <c r="N749" i="3"/>
  <c r="O749" i="3"/>
  <c r="P749" i="3"/>
  <c r="Q749" i="3"/>
  <c r="R749" i="3"/>
  <c r="G750" i="3"/>
  <c r="H750" i="3"/>
  <c r="I750" i="3"/>
  <c r="J750" i="3"/>
  <c r="K750" i="3"/>
  <c r="L750" i="3"/>
  <c r="N750" i="3"/>
  <c r="O750" i="3"/>
  <c r="P750" i="3"/>
  <c r="Q750" i="3"/>
  <c r="R750" i="3"/>
  <c r="G751" i="3"/>
  <c r="H751" i="3"/>
  <c r="I751" i="3"/>
  <c r="J751" i="3"/>
  <c r="K751" i="3"/>
  <c r="L751" i="3"/>
  <c r="N751" i="3"/>
  <c r="O751" i="3"/>
  <c r="P751" i="3"/>
  <c r="Q751" i="3"/>
  <c r="R751" i="3"/>
  <c r="G752" i="3"/>
  <c r="H752" i="3"/>
  <c r="I752" i="3"/>
  <c r="J752" i="3"/>
  <c r="K752" i="3"/>
  <c r="L752" i="3"/>
  <c r="N752" i="3"/>
  <c r="O752" i="3"/>
  <c r="P752" i="3"/>
  <c r="Q752" i="3"/>
  <c r="R752" i="3"/>
  <c r="G753" i="3"/>
  <c r="H753" i="3"/>
  <c r="I753" i="3"/>
  <c r="J753" i="3"/>
  <c r="K753" i="3"/>
  <c r="L753" i="3"/>
  <c r="N753" i="3"/>
  <c r="O753" i="3"/>
  <c r="P753" i="3"/>
  <c r="Q753" i="3"/>
  <c r="R753" i="3"/>
  <c r="G754" i="3"/>
  <c r="H754" i="3"/>
  <c r="I754" i="3"/>
  <c r="J754" i="3"/>
  <c r="K754" i="3"/>
  <c r="L754" i="3"/>
  <c r="N754" i="3"/>
  <c r="O754" i="3"/>
  <c r="P754" i="3"/>
  <c r="Q754" i="3"/>
  <c r="R754" i="3"/>
  <c r="G755" i="3"/>
  <c r="H755" i="3"/>
  <c r="I755" i="3"/>
  <c r="J755" i="3"/>
  <c r="K755" i="3"/>
  <c r="L755" i="3"/>
  <c r="N755" i="3"/>
  <c r="O755" i="3"/>
  <c r="P755" i="3"/>
  <c r="Q755" i="3"/>
  <c r="R755" i="3"/>
  <c r="G756" i="3"/>
  <c r="H756" i="3"/>
  <c r="I756" i="3"/>
  <c r="J756" i="3"/>
  <c r="K756" i="3"/>
  <c r="L756" i="3"/>
  <c r="N756" i="3"/>
  <c r="O756" i="3"/>
  <c r="P756" i="3"/>
  <c r="Q756" i="3"/>
  <c r="R756" i="3"/>
  <c r="G757" i="3"/>
  <c r="H757" i="3"/>
  <c r="I757" i="3"/>
  <c r="J757" i="3"/>
  <c r="K757" i="3"/>
  <c r="L757" i="3"/>
  <c r="N757" i="3"/>
  <c r="O757" i="3"/>
  <c r="P757" i="3"/>
  <c r="Q757" i="3"/>
  <c r="R757" i="3"/>
  <c r="G758" i="3"/>
  <c r="H758" i="3"/>
  <c r="I758" i="3"/>
  <c r="J758" i="3"/>
  <c r="K758" i="3"/>
  <c r="L758" i="3"/>
  <c r="N758" i="3"/>
  <c r="O758" i="3"/>
  <c r="P758" i="3"/>
  <c r="Q758" i="3"/>
  <c r="R758" i="3"/>
  <c r="G759" i="3"/>
  <c r="H759" i="3"/>
  <c r="I759" i="3"/>
  <c r="J759" i="3"/>
  <c r="K759" i="3"/>
  <c r="L759" i="3"/>
  <c r="N759" i="3"/>
  <c r="O759" i="3"/>
  <c r="P759" i="3"/>
  <c r="Q759" i="3"/>
  <c r="R759" i="3"/>
  <c r="G760" i="3"/>
  <c r="H760" i="3"/>
  <c r="I760" i="3"/>
  <c r="J760" i="3"/>
  <c r="K760" i="3"/>
  <c r="L760" i="3"/>
  <c r="N760" i="3"/>
  <c r="O760" i="3"/>
  <c r="P760" i="3"/>
  <c r="Q760" i="3"/>
  <c r="R760" i="3"/>
  <c r="G761" i="3"/>
  <c r="H761" i="3"/>
  <c r="I761" i="3"/>
  <c r="J761" i="3"/>
  <c r="K761" i="3"/>
  <c r="L761" i="3"/>
  <c r="N761" i="3"/>
  <c r="O761" i="3"/>
  <c r="P761" i="3"/>
  <c r="Q761" i="3"/>
  <c r="R761" i="3"/>
  <c r="G762" i="3"/>
  <c r="H762" i="3"/>
  <c r="I762" i="3"/>
  <c r="J762" i="3"/>
  <c r="K762" i="3"/>
  <c r="L762" i="3"/>
  <c r="N762" i="3"/>
  <c r="O762" i="3"/>
  <c r="P762" i="3"/>
  <c r="Q762" i="3"/>
  <c r="R762" i="3"/>
  <c r="G763" i="3"/>
  <c r="H763" i="3"/>
  <c r="I763" i="3"/>
  <c r="J763" i="3"/>
  <c r="K763" i="3"/>
  <c r="L763" i="3"/>
  <c r="N763" i="3"/>
  <c r="O763" i="3"/>
  <c r="P763" i="3"/>
  <c r="Q763" i="3"/>
  <c r="R763" i="3"/>
  <c r="G764" i="3"/>
  <c r="H764" i="3"/>
  <c r="I764" i="3"/>
  <c r="J764" i="3"/>
  <c r="K764" i="3"/>
  <c r="L764" i="3"/>
  <c r="N764" i="3"/>
  <c r="O764" i="3"/>
  <c r="P764" i="3"/>
  <c r="Q764" i="3"/>
  <c r="R764" i="3"/>
  <c r="G765" i="3"/>
  <c r="H765" i="3"/>
  <c r="I765" i="3"/>
  <c r="J765" i="3"/>
  <c r="K765" i="3"/>
  <c r="L765" i="3"/>
  <c r="N765" i="3"/>
  <c r="O765" i="3"/>
  <c r="P765" i="3"/>
  <c r="Q765" i="3"/>
  <c r="R765" i="3"/>
  <c r="G766" i="3"/>
  <c r="H766" i="3"/>
  <c r="I766" i="3"/>
  <c r="J766" i="3"/>
  <c r="K766" i="3"/>
  <c r="L766" i="3"/>
  <c r="N766" i="3"/>
  <c r="O766" i="3"/>
  <c r="P766" i="3"/>
  <c r="Q766" i="3"/>
  <c r="R766" i="3"/>
  <c r="G767" i="3"/>
  <c r="H767" i="3"/>
  <c r="I767" i="3"/>
  <c r="J767" i="3"/>
  <c r="K767" i="3"/>
  <c r="L767" i="3"/>
  <c r="N767" i="3"/>
  <c r="O767" i="3"/>
  <c r="P767" i="3"/>
  <c r="Q767" i="3"/>
  <c r="R767" i="3"/>
  <c r="G768" i="3"/>
  <c r="H768" i="3"/>
  <c r="I768" i="3"/>
  <c r="J768" i="3"/>
  <c r="K768" i="3"/>
  <c r="L768" i="3"/>
  <c r="N768" i="3"/>
  <c r="O768" i="3"/>
  <c r="P768" i="3"/>
  <c r="Q768" i="3"/>
  <c r="R768" i="3"/>
  <c r="G769" i="3"/>
  <c r="H769" i="3"/>
  <c r="I769" i="3"/>
  <c r="J769" i="3"/>
  <c r="K769" i="3"/>
  <c r="L769" i="3"/>
  <c r="N769" i="3"/>
  <c r="O769" i="3"/>
  <c r="P769" i="3"/>
  <c r="Q769" i="3"/>
  <c r="R769" i="3"/>
  <c r="G770" i="3"/>
  <c r="H770" i="3"/>
  <c r="I770" i="3"/>
  <c r="J770" i="3"/>
  <c r="K770" i="3"/>
  <c r="L770" i="3"/>
  <c r="N770" i="3"/>
  <c r="O770" i="3"/>
  <c r="P770" i="3"/>
  <c r="Q770" i="3"/>
  <c r="R770" i="3"/>
  <c r="G771" i="3"/>
  <c r="H771" i="3"/>
  <c r="I771" i="3"/>
  <c r="J771" i="3"/>
  <c r="K771" i="3"/>
  <c r="L771" i="3"/>
  <c r="N771" i="3"/>
  <c r="O771" i="3"/>
  <c r="P771" i="3"/>
  <c r="Q771" i="3"/>
  <c r="R771" i="3"/>
  <c r="G772" i="3"/>
  <c r="H772" i="3"/>
  <c r="I772" i="3"/>
  <c r="J772" i="3"/>
  <c r="K772" i="3"/>
  <c r="L772" i="3"/>
  <c r="N772" i="3"/>
  <c r="O772" i="3"/>
  <c r="P772" i="3"/>
  <c r="Q772" i="3"/>
  <c r="R772" i="3"/>
  <c r="G773" i="3"/>
  <c r="H773" i="3"/>
  <c r="I773" i="3"/>
  <c r="J773" i="3"/>
  <c r="K773" i="3"/>
  <c r="L773" i="3"/>
  <c r="N773" i="3"/>
  <c r="O773" i="3"/>
  <c r="P773" i="3"/>
  <c r="Q773" i="3"/>
  <c r="R773" i="3"/>
  <c r="G774" i="3"/>
  <c r="H774" i="3"/>
  <c r="I774" i="3"/>
  <c r="J774" i="3"/>
  <c r="K774" i="3"/>
  <c r="L774" i="3"/>
  <c r="N774" i="3"/>
  <c r="O774" i="3"/>
  <c r="P774" i="3"/>
  <c r="Q774" i="3"/>
  <c r="R774" i="3"/>
  <c r="G775" i="3"/>
  <c r="H775" i="3"/>
  <c r="I775" i="3"/>
  <c r="J775" i="3"/>
  <c r="K775" i="3"/>
  <c r="L775" i="3"/>
  <c r="N775" i="3"/>
  <c r="O775" i="3"/>
  <c r="P775" i="3"/>
  <c r="Q775" i="3"/>
  <c r="R775" i="3"/>
  <c r="G776" i="3"/>
  <c r="H776" i="3"/>
  <c r="I776" i="3"/>
  <c r="J776" i="3"/>
  <c r="K776" i="3"/>
  <c r="L776" i="3"/>
  <c r="N776" i="3"/>
  <c r="O776" i="3"/>
  <c r="P776" i="3"/>
  <c r="Q776" i="3"/>
  <c r="R776" i="3"/>
  <c r="G777" i="3"/>
  <c r="H777" i="3"/>
  <c r="I777" i="3"/>
  <c r="J777" i="3"/>
  <c r="K777" i="3"/>
  <c r="L777" i="3"/>
  <c r="N777" i="3"/>
  <c r="O777" i="3"/>
  <c r="P777" i="3"/>
  <c r="Q777" i="3"/>
  <c r="R777" i="3"/>
  <c r="G778" i="3"/>
  <c r="H778" i="3"/>
  <c r="I778" i="3"/>
  <c r="J778" i="3"/>
  <c r="K778" i="3"/>
  <c r="L778" i="3"/>
  <c r="N778" i="3"/>
  <c r="O778" i="3"/>
  <c r="P778" i="3"/>
  <c r="Q778" i="3"/>
  <c r="R778" i="3"/>
  <c r="G779" i="3"/>
  <c r="H779" i="3"/>
  <c r="I779" i="3"/>
  <c r="J779" i="3"/>
  <c r="K779" i="3"/>
  <c r="L779" i="3"/>
  <c r="N779" i="3"/>
  <c r="O779" i="3"/>
  <c r="P779" i="3"/>
  <c r="Q779" i="3"/>
  <c r="R779" i="3"/>
  <c r="G780" i="3"/>
  <c r="H780" i="3"/>
  <c r="I780" i="3"/>
  <c r="J780" i="3"/>
  <c r="K780" i="3"/>
  <c r="L780" i="3"/>
  <c r="N780" i="3"/>
  <c r="O780" i="3"/>
  <c r="P780" i="3"/>
  <c r="Q780" i="3"/>
  <c r="R780" i="3"/>
  <c r="G781" i="3"/>
  <c r="H781" i="3"/>
  <c r="I781" i="3"/>
  <c r="J781" i="3"/>
  <c r="K781" i="3"/>
  <c r="L781" i="3"/>
  <c r="N781" i="3"/>
  <c r="O781" i="3"/>
  <c r="P781" i="3"/>
  <c r="Q781" i="3"/>
  <c r="R781" i="3"/>
  <c r="G782" i="3"/>
  <c r="H782" i="3"/>
  <c r="I782" i="3"/>
  <c r="J782" i="3"/>
  <c r="K782" i="3"/>
  <c r="L782" i="3"/>
  <c r="N782" i="3"/>
  <c r="O782" i="3"/>
  <c r="P782" i="3"/>
  <c r="Q782" i="3"/>
  <c r="R782" i="3"/>
  <c r="G783" i="3"/>
  <c r="H783" i="3"/>
  <c r="I783" i="3"/>
  <c r="J783" i="3"/>
  <c r="K783" i="3"/>
  <c r="L783" i="3"/>
  <c r="N783" i="3"/>
  <c r="O783" i="3"/>
  <c r="P783" i="3"/>
  <c r="Q783" i="3"/>
  <c r="R783" i="3"/>
  <c r="G784" i="3"/>
  <c r="H784" i="3"/>
  <c r="I784" i="3"/>
  <c r="J784" i="3"/>
  <c r="K784" i="3"/>
  <c r="L784" i="3"/>
  <c r="N784" i="3"/>
  <c r="O784" i="3"/>
  <c r="P784" i="3"/>
  <c r="Q784" i="3"/>
  <c r="R784" i="3"/>
  <c r="G785" i="3"/>
  <c r="H785" i="3"/>
  <c r="I785" i="3"/>
  <c r="J785" i="3"/>
  <c r="K785" i="3"/>
  <c r="L785" i="3"/>
  <c r="N785" i="3"/>
  <c r="O785" i="3"/>
  <c r="P785" i="3"/>
  <c r="Q785" i="3"/>
  <c r="R785" i="3"/>
  <c r="G786" i="3"/>
  <c r="H786" i="3"/>
  <c r="I786" i="3"/>
  <c r="J786" i="3"/>
  <c r="K786" i="3"/>
  <c r="L786" i="3"/>
  <c r="N786" i="3"/>
  <c r="O786" i="3"/>
  <c r="P786" i="3"/>
  <c r="Q786" i="3"/>
  <c r="R786" i="3"/>
  <c r="G787" i="3"/>
  <c r="H787" i="3"/>
  <c r="I787" i="3"/>
  <c r="J787" i="3"/>
  <c r="K787" i="3"/>
  <c r="L787" i="3"/>
  <c r="N787" i="3"/>
  <c r="O787" i="3"/>
  <c r="P787" i="3"/>
  <c r="Q787" i="3"/>
  <c r="R787" i="3"/>
  <c r="G788" i="3"/>
  <c r="H788" i="3"/>
  <c r="I788" i="3"/>
  <c r="J788" i="3"/>
  <c r="K788" i="3"/>
  <c r="L788" i="3"/>
  <c r="N788" i="3"/>
  <c r="O788" i="3"/>
  <c r="P788" i="3"/>
  <c r="Q788" i="3"/>
  <c r="R788" i="3"/>
  <c r="G789" i="3"/>
  <c r="H789" i="3"/>
  <c r="I789" i="3"/>
  <c r="J789" i="3"/>
  <c r="K789" i="3"/>
  <c r="L789" i="3"/>
  <c r="N789" i="3"/>
  <c r="O789" i="3"/>
  <c r="P789" i="3"/>
  <c r="Q789" i="3"/>
  <c r="R789" i="3"/>
  <c r="G790" i="3"/>
  <c r="H790" i="3"/>
  <c r="I790" i="3"/>
  <c r="J790" i="3"/>
  <c r="K790" i="3"/>
  <c r="L790" i="3"/>
  <c r="N790" i="3"/>
  <c r="O790" i="3"/>
  <c r="P790" i="3"/>
  <c r="Q790" i="3"/>
  <c r="R790" i="3"/>
  <c r="G791" i="3"/>
  <c r="H791" i="3"/>
  <c r="I791" i="3"/>
  <c r="J791" i="3"/>
  <c r="K791" i="3"/>
  <c r="L791" i="3"/>
  <c r="N791" i="3"/>
  <c r="O791" i="3"/>
  <c r="P791" i="3"/>
  <c r="Q791" i="3"/>
  <c r="R791" i="3"/>
  <c r="G792" i="3"/>
  <c r="H792" i="3"/>
  <c r="I792" i="3"/>
  <c r="J792" i="3"/>
  <c r="K792" i="3"/>
  <c r="L792" i="3"/>
  <c r="N792" i="3"/>
  <c r="O792" i="3"/>
  <c r="P792" i="3"/>
  <c r="Q792" i="3"/>
  <c r="R792" i="3"/>
  <c r="G793" i="3"/>
  <c r="H793" i="3"/>
  <c r="I793" i="3"/>
  <c r="J793" i="3"/>
  <c r="K793" i="3"/>
  <c r="L793" i="3"/>
  <c r="N793" i="3"/>
  <c r="O793" i="3"/>
  <c r="P793" i="3"/>
  <c r="Q793" i="3"/>
  <c r="R793" i="3"/>
  <c r="G794" i="3"/>
  <c r="H794" i="3"/>
  <c r="I794" i="3"/>
  <c r="J794" i="3"/>
  <c r="K794" i="3"/>
  <c r="L794" i="3"/>
  <c r="N794" i="3"/>
  <c r="O794" i="3"/>
  <c r="P794" i="3"/>
  <c r="Q794" i="3"/>
  <c r="R794" i="3"/>
  <c r="G795" i="3"/>
  <c r="H795" i="3"/>
  <c r="I795" i="3"/>
  <c r="J795" i="3"/>
  <c r="K795" i="3"/>
  <c r="L795" i="3"/>
  <c r="N795" i="3"/>
  <c r="O795" i="3"/>
  <c r="P795" i="3"/>
  <c r="Q795" i="3"/>
  <c r="R795" i="3"/>
  <c r="G796" i="3"/>
  <c r="H796" i="3"/>
  <c r="I796" i="3"/>
  <c r="J796" i="3"/>
  <c r="K796" i="3"/>
  <c r="L796" i="3"/>
  <c r="N796" i="3"/>
  <c r="O796" i="3"/>
  <c r="P796" i="3"/>
  <c r="Q796" i="3"/>
  <c r="R796" i="3"/>
  <c r="G797" i="3"/>
  <c r="H797" i="3"/>
  <c r="I797" i="3"/>
  <c r="J797" i="3"/>
  <c r="K797" i="3"/>
  <c r="L797" i="3"/>
  <c r="N797" i="3"/>
  <c r="O797" i="3"/>
  <c r="P797" i="3"/>
  <c r="Q797" i="3"/>
  <c r="R797" i="3"/>
  <c r="G798" i="3"/>
  <c r="H798" i="3"/>
  <c r="I798" i="3"/>
  <c r="J798" i="3"/>
  <c r="K798" i="3"/>
  <c r="L798" i="3"/>
  <c r="N798" i="3"/>
  <c r="O798" i="3"/>
  <c r="P798" i="3"/>
  <c r="Q798" i="3"/>
  <c r="R798" i="3"/>
  <c r="G799" i="3"/>
  <c r="H799" i="3"/>
  <c r="I799" i="3"/>
  <c r="J799" i="3"/>
  <c r="K799" i="3"/>
  <c r="L799" i="3"/>
  <c r="N799" i="3"/>
  <c r="O799" i="3"/>
  <c r="P799" i="3"/>
  <c r="Q799" i="3"/>
  <c r="R799" i="3"/>
  <c r="G800" i="3"/>
  <c r="H800" i="3"/>
  <c r="I800" i="3"/>
  <c r="J800" i="3"/>
  <c r="K800" i="3"/>
  <c r="L800" i="3"/>
  <c r="N800" i="3"/>
  <c r="O800" i="3"/>
  <c r="P800" i="3"/>
  <c r="Q800" i="3"/>
  <c r="R800" i="3"/>
  <c r="G801" i="3"/>
  <c r="H801" i="3"/>
  <c r="I801" i="3"/>
  <c r="J801" i="3"/>
  <c r="K801" i="3"/>
  <c r="L801" i="3"/>
  <c r="N801" i="3"/>
  <c r="O801" i="3"/>
  <c r="P801" i="3"/>
  <c r="Q801" i="3"/>
  <c r="R801" i="3"/>
  <c r="G802" i="3"/>
  <c r="H802" i="3"/>
  <c r="I802" i="3"/>
  <c r="J802" i="3"/>
  <c r="K802" i="3"/>
  <c r="L802" i="3"/>
  <c r="N802" i="3"/>
  <c r="O802" i="3"/>
  <c r="P802" i="3"/>
  <c r="Q802" i="3"/>
  <c r="R802" i="3"/>
  <c r="G803" i="3"/>
  <c r="H803" i="3"/>
  <c r="I803" i="3"/>
  <c r="J803" i="3"/>
  <c r="K803" i="3"/>
  <c r="L803" i="3"/>
  <c r="N803" i="3"/>
  <c r="O803" i="3"/>
  <c r="P803" i="3"/>
  <c r="Q803" i="3"/>
  <c r="R803" i="3"/>
  <c r="G804" i="3"/>
  <c r="H804" i="3"/>
  <c r="I804" i="3"/>
  <c r="J804" i="3"/>
  <c r="K804" i="3"/>
  <c r="L804" i="3"/>
  <c r="N804" i="3"/>
  <c r="O804" i="3"/>
  <c r="P804" i="3"/>
  <c r="Q804" i="3"/>
  <c r="R804" i="3"/>
  <c r="G805" i="3"/>
  <c r="H805" i="3"/>
  <c r="I805" i="3"/>
  <c r="J805" i="3"/>
  <c r="K805" i="3"/>
  <c r="L805" i="3"/>
  <c r="N805" i="3"/>
  <c r="O805" i="3"/>
  <c r="P805" i="3"/>
  <c r="Q805" i="3"/>
  <c r="R805" i="3"/>
  <c r="G806" i="3"/>
  <c r="H806" i="3"/>
  <c r="I806" i="3"/>
  <c r="J806" i="3"/>
  <c r="K806" i="3"/>
  <c r="L806" i="3"/>
  <c r="N806" i="3"/>
  <c r="O806" i="3"/>
  <c r="P806" i="3"/>
  <c r="Q806" i="3"/>
  <c r="R806" i="3"/>
  <c r="G807" i="3"/>
  <c r="H807" i="3"/>
  <c r="I807" i="3"/>
  <c r="J807" i="3"/>
  <c r="K807" i="3"/>
  <c r="L807" i="3"/>
  <c r="N807" i="3"/>
  <c r="O807" i="3"/>
  <c r="P807" i="3"/>
  <c r="Q807" i="3"/>
  <c r="R807" i="3"/>
  <c r="G808" i="3"/>
  <c r="H808" i="3"/>
  <c r="I808" i="3"/>
  <c r="J808" i="3"/>
  <c r="K808" i="3"/>
  <c r="L808" i="3"/>
  <c r="N808" i="3"/>
  <c r="O808" i="3"/>
  <c r="P808" i="3"/>
  <c r="Q808" i="3"/>
  <c r="R808" i="3"/>
  <c r="G809" i="3"/>
  <c r="H809" i="3"/>
  <c r="I809" i="3"/>
  <c r="J809" i="3"/>
  <c r="K809" i="3"/>
  <c r="L809" i="3"/>
  <c r="N809" i="3"/>
  <c r="O809" i="3"/>
  <c r="P809" i="3"/>
  <c r="Q809" i="3"/>
  <c r="R809" i="3"/>
  <c r="G810" i="3"/>
  <c r="H810" i="3"/>
  <c r="I810" i="3"/>
  <c r="J810" i="3"/>
  <c r="K810" i="3"/>
  <c r="L810" i="3"/>
  <c r="N810" i="3"/>
  <c r="O810" i="3"/>
  <c r="P810" i="3"/>
  <c r="Q810" i="3"/>
  <c r="R810" i="3"/>
  <c r="G811" i="3"/>
  <c r="H811" i="3"/>
  <c r="I811" i="3"/>
  <c r="J811" i="3"/>
  <c r="K811" i="3"/>
  <c r="L811" i="3"/>
  <c r="N811" i="3"/>
  <c r="O811" i="3"/>
  <c r="P811" i="3"/>
  <c r="Q811" i="3"/>
  <c r="R811" i="3"/>
  <c r="G812" i="3"/>
  <c r="H812" i="3"/>
  <c r="I812" i="3"/>
  <c r="J812" i="3"/>
  <c r="K812" i="3"/>
  <c r="L812" i="3"/>
  <c r="N812" i="3"/>
  <c r="O812" i="3"/>
  <c r="P812" i="3"/>
  <c r="Q812" i="3"/>
  <c r="R812" i="3"/>
  <c r="G813" i="3"/>
  <c r="H813" i="3"/>
  <c r="I813" i="3"/>
  <c r="J813" i="3"/>
  <c r="K813" i="3"/>
  <c r="L813" i="3"/>
  <c r="N813" i="3"/>
  <c r="O813" i="3"/>
  <c r="P813" i="3"/>
  <c r="Q813" i="3"/>
  <c r="R813" i="3"/>
  <c r="G814" i="3"/>
  <c r="H814" i="3"/>
  <c r="I814" i="3"/>
  <c r="J814" i="3"/>
  <c r="K814" i="3"/>
  <c r="L814" i="3"/>
  <c r="N814" i="3"/>
  <c r="O814" i="3"/>
  <c r="P814" i="3"/>
  <c r="Q814" i="3"/>
  <c r="R814" i="3"/>
  <c r="G815" i="3"/>
  <c r="H815" i="3"/>
  <c r="I815" i="3"/>
  <c r="J815" i="3"/>
  <c r="K815" i="3"/>
  <c r="L815" i="3"/>
  <c r="N815" i="3"/>
  <c r="O815" i="3"/>
  <c r="P815" i="3"/>
  <c r="Q815" i="3"/>
  <c r="R815" i="3"/>
  <c r="G816" i="3"/>
  <c r="H816" i="3"/>
  <c r="I816" i="3"/>
  <c r="J816" i="3"/>
  <c r="K816" i="3"/>
  <c r="L816" i="3"/>
  <c r="N816" i="3"/>
  <c r="O816" i="3"/>
  <c r="P816" i="3"/>
  <c r="Q816" i="3"/>
  <c r="R816" i="3"/>
  <c r="G817" i="3"/>
  <c r="H817" i="3"/>
  <c r="I817" i="3"/>
  <c r="J817" i="3"/>
  <c r="K817" i="3"/>
  <c r="L817" i="3"/>
  <c r="N817" i="3"/>
  <c r="O817" i="3"/>
  <c r="P817" i="3"/>
  <c r="Q817" i="3"/>
  <c r="R817" i="3"/>
  <c r="G818" i="3"/>
  <c r="H818" i="3"/>
  <c r="I818" i="3"/>
  <c r="J818" i="3"/>
  <c r="K818" i="3"/>
  <c r="L818" i="3"/>
  <c r="N818" i="3"/>
  <c r="O818" i="3"/>
  <c r="P818" i="3"/>
  <c r="Q818" i="3"/>
  <c r="R818" i="3"/>
  <c r="G819" i="3"/>
  <c r="H819" i="3"/>
  <c r="I819" i="3"/>
  <c r="J819" i="3"/>
  <c r="K819" i="3"/>
  <c r="L819" i="3"/>
  <c r="N819" i="3"/>
  <c r="O819" i="3"/>
  <c r="P819" i="3"/>
  <c r="Q819" i="3"/>
  <c r="R819" i="3"/>
  <c r="G820" i="3"/>
  <c r="H820" i="3"/>
  <c r="I820" i="3"/>
  <c r="J820" i="3"/>
  <c r="K820" i="3"/>
  <c r="L820" i="3"/>
  <c r="N820" i="3"/>
  <c r="O820" i="3"/>
  <c r="P820" i="3"/>
  <c r="Q820" i="3"/>
  <c r="R820" i="3"/>
  <c r="G821" i="3"/>
  <c r="H821" i="3"/>
  <c r="I821" i="3"/>
  <c r="J821" i="3"/>
  <c r="K821" i="3"/>
  <c r="L821" i="3"/>
  <c r="N821" i="3"/>
  <c r="O821" i="3"/>
  <c r="P821" i="3"/>
  <c r="Q821" i="3"/>
  <c r="R821" i="3"/>
  <c r="G822" i="3"/>
  <c r="H822" i="3"/>
  <c r="I822" i="3"/>
  <c r="J822" i="3"/>
  <c r="K822" i="3"/>
  <c r="L822" i="3"/>
  <c r="N822" i="3"/>
  <c r="O822" i="3"/>
  <c r="P822" i="3"/>
  <c r="Q822" i="3"/>
  <c r="R822" i="3"/>
  <c r="G823" i="3"/>
  <c r="H823" i="3"/>
  <c r="I823" i="3"/>
  <c r="J823" i="3"/>
  <c r="K823" i="3"/>
  <c r="L823" i="3"/>
  <c r="N823" i="3"/>
  <c r="O823" i="3"/>
  <c r="P823" i="3"/>
  <c r="Q823" i="3"/>
  <c r="R823" i="3"/>
  <c r="G824" i="3"/>
  <c r="H824" i="3"/>
  <c r="I824" i="3"/>
  <c r="J824" i="3"/>
  <c r="K824" i="3"/>
  <c r="L824" i="3"/>
  <c r="N824" i="3"/>
  <c r="O824" i="3"/>
  <c r="P824" i="3"/>
  <c r="Q824" i="3"/>
  <c r="R824" i="3"/>
  <c r="G825" i="3"/>
  <c r="H825" i="3"/>
  <c r="I825" i="3"/>
  <c r="J825" i="3"/>
  <c r="K825" i="3"/>
  <c r="L825" i="3"/>
  <c r="N825" i="3"/>
  <c r="O825" i="3"/>
  <c r="P825" i="3"/>
  <c r="Q825" i="3"/>
  <c r="R825" i="3"/>
  <c r="G826" i="3"/>
  <c r="H826" i="3"/>
  <c r="I826" i="3"/>
  <c r="J826" i="3"/>
  <c r="K826" i="3"/>
  <c r="L826" i="3"/>
  <c r="N826" i="3"/>
  <c r="O826" i="3"/>
  <c r="P826" i="3"/>
  <c r="Q826" i="3"/>
  <c r="R826" i="3"/>
  <c r="G827" i="3"/>
  <c r="H827" i="3"/>
  <c r="I827" i="3"/>
  <c r="J827" i="3"/>
  <c r="K827" i="3"/>
  <c r="L827" i="3"/>
  <c r="N827" i="3"/>
  <c r="O827" i="3"/>
  <c r="P827" i="3"/>
  <c r="Q827" i="3"/>
  <c r="R827" i="3"/>
  <c r="G828" i="3"/>
  <c r="H828" i="3"/>
  <c r="I828" i="3"/>
  <c r="J828" i="3"/>
  <c r="K828" i="3"/>
  <c r="L828" i="3"/>
  <c r="N828" i="3"/>
  <c r="O828" i="3"/>
  <c r="P828" i="3"/>
  <c r="Q828" i="3"/>
  <c r="R828" i="3"/>
  <c r="G829" i="3"/>
  <c r="H829" i="3"/>
  <c r="I829" i="3"/>
  <c r="J829" i="3"/>
  <c r="K829" i="3"/>
  <c r="L829" i="3"/>
  <c r="N829" i="3"/>
  <c r="O829" i="3"/>
  <c r="P829" i="3"/>
  <c r="Q829" i="3"/>
  <c r="R829" i="3"/>
  <c r="G830" i="3"/>
  <c r="H830" i="3"/>
  <c r="I830" i="3"/>
  <c r="J830" i="3"/>
  <c r="K830" i="3"/>
  <c r="L830" i="3"/>
  <c r="N830" i="3"/>
  <c r="O830" i="3"/>
  <c r="P830" i="3"/>
  <c r="Q830" i="3"/>
  <c r="R830" i="3"/>
  <c r="G831" i="3"/>
  <c r="H831" i="3"/>
  <c r="I831" i="3"/>
  <c r="J831" i="3"/>
  <c r="K831" i="3"/>
  <c r="L831" i="3"/>
  <c r="N831" i="3"/>
  <c r="O831" i="3"/>
  <c r="P831" i="3"/>
  <c r="Q831" i="3"/>
  <c r="R831" i="3"/>
  <c r="G832" i="3"/>
  <c r="H832" i="3"/>
  <c r="I832" i="3"/>
  <c r="J832" i="3"/>
  <c r="K832" i="3"/>
  <c r="L832" i="3"/>
  <c r="N832" i="3"/>
  <c r="O832" i="3"/>
  <c r="P832" i="3"/>
  <c r="Q832" i="3"/>
  <c r="R832" i="3"/>
  <c r="G833" i="3"/>
  <c r="H833" i="3"/>
  <c r="I833" i="3"/>
  <c r="J833" i="3"/>
  <c r="K833" i="3"/>
  <c r="L833" i="3"/>
  <c r="N833" i="3"/>
  <c r="O833" i="3"/>
  <c r="P833" i="3"/>
  <c r="Q833" i="3"/>
  <c r="R833" i="3"/>
  <c r="G834" i="3"/>
  <c r="H834" i="3"/>
  <c r="I834" i="3"/>
  <c r="J834" i="3"/>
  <c r="K834" i="3"/>
  <c r="L834" i="3"/>
  <c r="N834" i="3"/>
  <c r="O834" i="3"/>
  <c r="P834" i="3"/>
  <c r="Q834" i="3"/>
  <c r="R834" i="3"/>
  <c r="G835" i="3"/>
  <c r="H835" i="3"/>
  <c r="I835" i="3"/>
  <c r="J835" i="3"/>
  <c r="K835" i="3"/>
  <c r="L835" i="3"/>
  <c r="N835" i="3"/>
  <c r="O835" i="3"/>
  <c r="P835" i="3"/>
  <c r="Q835" i="3"/>
  <c r="R835" i="3"/>
  <c r="G836" i="3"/>
  <c r="H836" i="3"/>
  <c r="I836" i="3"/>
  <c r="J836" i="3"/>
  <c r="K836" i="3"/>
  <c r="L836" i="3"/>
  <c r="N836" i="3"/>
  <c r="O836" i="3"/>
  <c r="P836" i="3"/>
  <c r="Q836" i="3"/>
  <c r="R836" i="3"/>
  <c r="G837" i="3"/>
  <c r="H837" i="3"/>
  <c r="I837" i="3"/>
  <c r="J837" i="3"/>
  <c r="K837" i="3"/>
  <c r="L837" i="3"/>
  <c r="N837" i="3"/>
  <c r="O837" i="3"/>
  <c r="P837" i="3"/>
  <c r="Q837" i="3"/>
  <c r="R837" i="3"/>
  <c r="G838" i="3"/>
  <c r="H838" i="3"/>
  <c r="I838" i="3"/>
  <c r="J838" i="3"/>
  <c r="K838" i="3"/>
  <c r="L838" i="3"/>
  <c r="N838" i="3"/>
  <c r="O838" i="3"/>
  <c r="P838" i="3"/>
  <c r="Q838" i="3"/>
  <c r="R838" i="3"/>
  <c r="G839" i="3"/>
  <c r="H839" i="3"/>
  <c r="I839" i="3"/>
  <c r="J839" i="3"/>
  <c r="K839" i="3"/>
  <c r="L839" i="3"/>
  <c r="N839" i="3"/>
  <c r="O839" i="3"/>
  <c r="P839" i="3"/>
  <c r="Q839" i="3"/>
  <c r="R839" i="3"/>
  <c r="G840" i="3"/>
  <c r="H840" i="3"/>
  <c r="I840" i="3"/>
  <c r="J840" i="3"/>
  <c r="K840" i="3"/>
  <c r="L840" i="3"/>
  <c r="N840" i="3"/>
  <c r="O840" i="3"/>
  <c r="P840" i="3"/>
  <c r="Q840" i="3"/>
  <c r="R840" i="3"/>
  <c r="G841" i="3"/>
  <c r="H841" i="3"/>
  <c r="I841" i="3"/>
  <c r="J841" i="3"/>
  <c r="K841" i="3"/>
  <c r="L841" i="3"/>
  <c r="N841" i="3"/>
  <c r="O841" i="3"/>
  <c r="P841" i="3"/>
  <c r="Q841" i="3"/>
  <c r="R841" i="3"/>
  <c r="G842" i="3"/>
  <c r="H842" i="3"/>
  <c r="I842" i="3"/>
  <c r="J842" i="3"/>
  <c r="K842" i="3"/>
  <c r="L842" i="3"/>
  <c r="N842" i="3"/>
  <c r="O842" i="3"/>
  <c r="P842" i="3"/>
  <c r="Q842" i="3"/>
  <c r="R842" i="3"/>
  <c r="G843" i="3"/>
  <c r="H843" i="3"/>
  <c r="I843" i="3"/>
  <c r="J843" i="3"/>
  <c r="K843" i="3"/>
  <c r="L843" i="3"/>
  <c r="N843" i="3"/>
  <c r="O843" i="3"/>
  <c r="P843" i="3"/>
  <c r="Q843" i="3"/>
  <c r="R843" i="3"/>
  <c r="G844" i="3"/>
  <c r="H844" i="3"/>
  <c r="I844" i="3"/>
  <c r="J844" i="3"/>
  <c r="K844" i="3"/>
  <c r="L844" i="3"/>
  <c r="N844" i="3"/>
  <c r="O844" i="3"/>
  <c r="P844" i="3"/>
  <c r="Q844" i="3"/>
  <c r="R844" i="3"/>
  <c r="G845" i="3"/>
  <c r="H845" i="3"/>
  <c r="I845" i="3"/>
  <c r="J845" i="3"/>
  <c r="K845" i="3"/>
  <c r="L845" i="3"/>
  <c r="N845" i="3"/>
  <c r="O845" i="3"/>
  <c r="P845" i="3"/>
  <c r="Q845" i="3"/>
  <c r="R845" i="3"/>
  <c r="G846" i="3"/>
  <c r="H846" i="3"/>
  <c r="I846" i="3"/>
  <c r="J846" i="3"/>
  <c r="K846" i="3"/>
  <c r="L846" i="3"/>
  <c r="N846" i="3"/>
  <c r="O846" i="3"/>
  <c r="P846" i="3"/>
  <c r="Q846" i="3"/>
  <c r="R846" i="3"/>
  <c r="G847" i="3"/>
  <c r="H847" i="3"/>
  <c r="I847" i="3"/>
  <c r="J847" i="3"/>
  <c r="K847" i="3"/>
  <c r="L847" i="3"/>
  <c r="N847" i="3"/>
  <c r="O847" i="3"/>
  <c r="P847" i="3"/>
  <c r="Q847" i="3"/>
  <c r="R847" i="3"/>
  <c r="G848" i="3"/>
  <c r="H848" i="3"/>
  <c r="I848" i="3"/>
  <c r="J848" i="3"/>
  <c r="K848" i="3"/>
  <c r="L848" i="3"/>
  <c r="N848" i="3"/>
  <c r="O848" i="3"/>
  <c r="P848" i="3"/>
  <c r="Q848" i="3"/>
  <c r="R848" i="3"/>
  <c r="G849" i="3"/>
  <c r="H849" i="3"/>
  <c r="I849" i="3"/>
  <c r="J849" i="3"/>
  <c r="K849" i="3"/>
  <c r="L849" i="3"/>
  <c r="N849" i="3"/>
  <c r="O849" i="3"/>
  <c r="P849" i="3"/>
  <c r="Q849" i="3"/>
  <c r="R849" i="3"/>
  <c r="G850" i="3"/>
  <c r="H850" i="3"/>
  <c r="I850" i="3"/>
  <c r="J850" i="3"/>
  <c r="K850" i="3"/>
  <c r="L850" i="3"/>
  <c r="N850" i="3"/>
  <c r="O850" i="3"/>
  <c r="P850" i="3"/>
  <c r="Q850" i="3"/>
  <c r="R850" i="3"/>
  <c r="G851" i="3"/>
  <c r="H851" i="3"/>
  <c r="I851" i="3"/>
  <c r="J851" i="3"/>
  <c r="K851" i="3"/>
  <c r="L851" i="3"/>
  <c r="N851" i="3"/>
  <c r="O851" i="3"/>
  <c r="P851" i="3"/>
  <c r="Q851" i="3"/>
  <c r="R851" i="3"/>
  <c r="G852" i="3"/>
  <c r="H852" i="3"/>
  <c r="I852" i="3"/>
  <c r="J852" i="3"/>
  <c r="K852" i="3"/>
  <c r="L852" i="3"/>
  <c r="N852" i="3"/>
  <c r="O852" i="3"/>
  <c r="P852" i="3"/>
  <c r="Q852" i="3"/>
  <c r="R852" i="3"/>
  <c r="G853" i="3"/>
  <c r="H853" i="3"/>
  <c r="I853" i="3"/>
  <c r="J853" i="3"/>
  <c r="K853" i="3"/>
  <c r="L853" i="3"/>
  <c r="N853" i="3"/>
  <c r="O853" i="3"/>
  <c r="P853" i="3"/>
  <c r="Q853" i="3"/>
  <c r="R853" i="3"/>
  <c r="G854" i="3"/>
  <c r="H854" i="3"/>
  <c r="I854" i="3"/>
  <c r="J854" i="3"/>
  <c r="K854" i="3"/>
  <c r="L854" i="3"/>
  <c r="N854" i="3"/>
  <c r="O854" i="3"/>
  <c r="P854" i="3"/>
  <c r="Q854" i="3"/>
  <c r="R854" i="3"/>
  <c r="G855" i="3"/>
  <c r="H855" i="3"/>
  <c r="I855" i="3"/>
  <c r="J855" i="3"/>
  <c r="K855" i="3"/>
  <c r="L855" i="3"/>
  <c r="N855" i="3"/>
  <c r="O855" i="3"/>
  <c r="P855" i="3"/>
  <c r="Q855" i="3"/>
  <c r="R855" i="3"/>
  <c r="G856" i="3"/>
  <c r="H856" i="3"/>
  <c r="I856" i="3"/>
  <c r="J856" i="3"/>
  <c r="K856" i="3"/>
  <c r="L856" i="3"/>
  <c r="N856" i="3"/>
  <c r="O856" i="3"/>
  <c r="P856" i="3"/>
  <c r="Q856" i="3"/>
  <c r="R856" i="3"/>
  <c r="G857" i="3"/>
  <c r="H857" i="3"/>
  <c r="I857" i="3"/>
  <c r="J857" i="3"/>
  <c r="K857" i="3"/>
  <c r="L857" i="3"/>
  <c r="N857" i="3"/>
  <c r="O857" i="3"/>
  <c r="P857" i="3"/>
  <c r="Q857" i="3"/>
  <c r="R857" i="3"/>
  <c r="G858" i="3"/>
  <c r="H858" i="3"/>
  <c r="I858" i="3"/>
  <c r="J858" i="3"/>
  <c r="K858" i="3"/>
  <c r="L858" i="3"/>
  <c r="N858" i="3"/>
  <c r="O858" i="3"/>
  <c r="P858" i="3"/>
  <c r="Q858" i="3"/>
  <c r="R858" i="3"/>
  <c r="G859" i="3"/>
  <c r="H859" i="3"/>
  <c r="I859" i="3"/>
  <c r="J859" i="3"/>
  <c r="K859" i="3"/>
  <c r="L859" i="3"/>
  <c r="N859" i="3"/>
  <c r="O859" i="3"/>
  <c r="P859" i="3"/>
  <c r="Q859" i="3"/>
  <c r="R859" i="3"/>
  <c r="G860" i="3"/>
  <c r="H860" i="3"/>
  <c r="I860" i="3"/>
  <c r="J860" i="3"/>
  <c r="K860" i="3"/>
  <c r="L860" i="3"/>
  <c r="N860" i="3"/>
  <c r="O860" i="3"/>
  <c r="P860" i="3"/>
  <c r="Q860" i="3"/>
  <c r="R860" i="3"/>
  <c r="G861" i="3"/>
  <c r="H861" i="3"/>
  <c r="I861" i="3"/>
  <c r="J861" i="3"/>
  <c r="K861" i="3"/>
  <c r="L861" i="3"/>
  <c r="N861" i="3"/>
  <c r="O861" i="3"/>
  <c r="P861" i="3"/>
  <c r="Q861" i="3"/>
  <c r="R861" i="3"/>
  <c r="G862" i="3"/>
  <c r="H862" i="3"/>
  <c r="I862" i="3"/>
  <c r="J862" i="3"/>
  <c r="K862" i="3"/>
  <c r="L862" i="3"/>
  <c r="N862" i="3"/>
  <c r="O862" i="3"/>
  <c r="P862" i="3"/>
  <c r="Q862" i="3"/>
  <c r="R862" i="3"/>
  <c r="G863" i="3"/>
  <c r="H863" i="3"/>
  <c r="I863" i="3"/>
  <c r="J863" i="3"/>
  <c r="K863" i="3"/>
  <c r="L863" i="3"/>
  <c r="N863" i="3"/>
  <c r="O863" i="3"/>
  <c r="P863" i="3"/>
  <c r="Q863" i="3"/>
  <c r="R863" i="3"/>
  <c r="G864" i="3"/>
  <c r="H864" i="3"/>
  <c r="I864" i="3"/>
  <c r="J864" i="3"/>
  <c r="K864" i="3"/>
  <c r="L864" i="3"/>
  <c r="N864" i="3"/>
  <c r="O864" i="3"/>
  <c r="P864" i="3"/>
  <c r="Q864" i="3"/>
  <c r="R864" i="3"/>
  <c r="G865" i="3"/>
  <c r="H865" i="3"/>
  <c r="I865" i="3"/>
  <c r="J865" i="3"/>
  <c r="K865" i="3"/>
  <c r="L865" i="3"/>
  <c r="N865" i="3"/>
  <c r="O865" i="3"/>
  <c r="P865" i="3"/>
  <c r="Q865" i="3"/>
  <c r="R865" i="3"/>
  <c r="G866" i="3"/>
  <c r="H866" i="3"/>
  <c r="I866" i="3"/>
  <c r="J866" i="3"/>
  <c r="K866" i="3"/>
  <c r="L866" i="3"/>
  <c r="N866" i="3"/>
  <c r="O866" i="3"/>
  <c r="P866" i="3"/>
  <c r="Q866" i="3"/>
  <c r="R866" i="3"/>
  <c r="G867" i="3"/>
  <c r="H867" i="3"/>
  <c r="I867" i="3"/>
  <c r="J867" i="3"/>
  <c r="K867" i="3"/>
  <c r="L867" i="3"/>
  <c r="N867" i="3"/>
  <c r="O867" i="3"/>
  <c r="P867" i="3"/>
  <c r="Q867" i="3"/>
  <c r="R867" i="3"/>
  <c r="G868" i="3"/>
  <c r="H868" i="3"/>
  <c r="I868" i="3"/>
  <c r="J868" i="3"/>
  <c r="K868" i="3"/>
  <c r="L868" i="3"/>
  <c r="N868" i="3"/>
  <c r="O868" i="3"/>
  <c r="P868" i="3"/>
  <c r="Q868" i="3"/>
  <c r="R868" i="3"/>
  <c r="G869" i="3"/>
  <c r="H869" i="3"/>
  <c r="I869" i="3"/>
  <c r="J869" i="3"/>
  <c r="K869" i="3"/>
  <c r="L869" i="3"/>
  <c r="N869" i="3"/>
  <c r="O869" i="3"/>
  <c r="P869" i="3"/>
  <c r="Q869" i="3"/>
  <c r="R869" i="3"/>
  <c r="G870" i="3"/>
  <c r="H870" i="3"/>
  <c r="I870" i="3"/>
  <c r="J870" i="3"/>
  <c r="K870" i="3"/>
  <c r="L870" i="3"/>
  <c r="N870" i="3"/>
  <c r="O870" i="3"/>
  <c r="P870" i="3"/>
  <c r="Q870" i="3"/>
  <c r="R870" i="3"/>
  <c r="G871" i="3"/>
  <c r="H871" i="3"/>
  <c r="I871" i="3"/>
  <c r="J871" i="3"/>
  <c r="K871" i="3"/>
  <c r="L871" i="3"/>
  <c r="N871" i="3"/>
  <c r="O871" i="3"/>
  <c r="P871" i="3"/>
  <c r="Q871" i="3"/>
  <c r="R871" i="3"/>
  <c r="G872" i="3"/>
  <c r="H872" i="3"/>
  <c r="I872" i="3"/>
  <c r="J872" i="3"/>
  <c r="K872" i="3"/>
  <c r="L872" i="3"/>
  <c r="N872" i="3"/>
  <c r="O872" i="3"/>
  <c r="P872" i="3"/>
  <c r="Q872" i="3"/>
  <c r="R872" i="3"/>
  <c r="G873" i="3"/>
  <c r="H873" i="3"/>
  <c r="I873" i="3"/>
  <c r="J873" i="3"/>
  <c r="K873" i="3"/>
  <c r="L873" i="3"/>
  <c r="N873" i="3"/>
  <c r="O873" i="3"/>
  <c r="P873" i="3"/>
  <c r="Q873" i="3"/>
  <c r="R873" i="3"/>
  <c r="G874" i="3"/>
  <c r="H874" i="3"/>
  <c r="I874" i="3"/>
  <c r="J874" i="3"/>
  <c r="K874" i="3"/>
  <c r="L874" i="3"/>
  <c r="N874" i="3"/>
  <c r="O874" i="3"/>
  <c r="P874" i="3"/>
  <c r="Q874" i="3"/>
  <c r="R874" i="3"/>
  <c r="G875" i="3"/>
  <c r="H875" i="3"/>
  <c r="I875" i="3"/>
  <c r="J875" i="3"/>
  <c r="K875" i="3"/>
  <c r="L875" i="3"/>
  <c r="N875" i="3"/>
  <c r="O875" i="3"/>
  <c r="P875" i="3"/>
  <c r="Q875" i="3"/>
  <c r="R875" i="3"/>
  <c r="G876" i="3"/>
  <c r="H876" i="3"/>
  <c r="I876" i="3"/>
  <c r="J876" i="3"/>
  <c r="K876" i="3"/>
  <c r="L876" i="3"/>
  <c r="N876" i="3"/>
  <c r="O876" i="3"/>
  <c r="P876" i="3"/>
  <c r="Q876" i="3"/>
  <c r="R876" i="3"/>
  <c r="G877" i="3"/>
  <c r="H877" i="3"/>
  <c r="I877" i="3"/>
  <c r="J877" i="3"/>
  <c r="K877" i="3"/>
  <c r="L877" i="3"/>
  <c r="N877" i="3"/>
  <c r="O877" i="3"/>
  <c r="P877" i="3"/>
  <c r="Q877" i="3"/>
  <c r="R877" i="3"/>
  <c r="G878" i="3"/>
  <c r="H878" i="3"/>
  <c r="I878" i="3"/>
  <c r="J878" i="3"/>
  <c r="K878" i="3"/>
  <c r="L878" i="3"/>
  <c r="N878" i="3"/>
  <c r="O878" i="3"/>
  <c r="P878" i="3"/>
  <c r="Q878" i="3"/>
  <c r="R878" i="3"/>
  <c r="G879" i="3"/>
  <c r="H879" i="3"/>
  <c r="I879" i="3"/>
  <c r="J879" i="3"/>
  <c r="K879" i="3"/>
  <c r="L879" i="3"/>
  <c r="N879" i="3"/>
  <c r="O879" i="3"/>
  <c r="P879" i="3"/>
  <c r="Q879" i="3"/>
  <c r="R879" i="3"/>
  <c r="G880" i="3"/>
  <c r="H880" i="3"/>
  <c r="I880" i="3"/>
  <c r="J880" i="3"/>
  <c r="K880" i="3"/>
  <c r="L880" i="3"/>
  <c r="N880" i="3"/>
  <c r="O880" i="3"/>
  <c r="P880" i="3"/>
  <c r="Q880" i="3"/>
  <c r="R880" i="3"/>
  <c r="G881" i="3"/>
  <c r="H881" i="3"/>
  <c r="I881" i="3"/>
  <c r="J881" i="3"/>
  <c r="K881" i="3"/>
  <c r="L881" i="3"/>
  <c r="N881" i="3"/>
  <c r="O881" i="3"/>
  <c r="P881" i="3"/>
  <c r="Q881" i="3"/>
  <c r="R881" i="3"/>
  <c r="G882" i="3"/>
  <c r="H882" i="3"/>
  <c r="I882" i="3"/>
  <c r="J882" i="3"/>
  <c r="K882" i="3"/>
  <c r="L882" i="3"/>
  <c r="N882" i="3"/>
  <c r="O882" i="3"/>
  <c r="P882" i="3"/>
  <c r="Q882" i="3"/>
  <c r="R882" i="3"/>
  <c r="G883" i="3"/>
  <c r="H883" i="3"/>
  <c r="I883" i="3"/>
  <c r="J883" i="3"/>
  <c r="K883" i="3"/>
  <c r="L883" i="3"/>
  <c r="N883" i="3"/>
  <c r="O883" i="3"/>
  <c r="P883" i="3"/>
  <c r="Q883" i="3"/>
  <c r="R883" i="3"/>
  <c r="G884" i="3"/>
  <c r="H884" i="3"/>
  <c r="I884" i="3"/>
  <c r="J884" i="3"/>
  <c r="K884" i="3"/>
  <c r="L884" i="3"/>
  <c r="N884" i="3"/>
  <c r="O884" i="3"/>
  <c r="P884" i="3"/>
  <c r="Q884" i="3"/>
  <c r="R884" i="3"/>
  <c r="G885" i="3"/>
  <c r="H885" i="3"/>
  <c r="I885" i="3"/>
  <c r="J885" i="3"/>
  <c r="K885" i="3"/>
  <c r="L885" i="3"/>
  <c r="N885" i="3"/>
  <c r="O885" i="3"/>
  <c r="P885" i="3"/>
  <c r="Q885" i="3"/>
  <c r="R885" i="3"/>
  <c r="G886" i="3"/>
  <c r="H886" i="3"/>
  <c r="I886" i="3"/>
  <c r="J886" i="3"/>
  <c r="K886" i="3"/>
  <c r="L886" i="3"/>
  <c r="N886" i="3"/>
  <c r="O886" i="3"/>
  <c r="P886" i="3"/>
  <c r="Q886" i="3"/>
  <c r="R886" i="3"/>
  <c r="G887" i="3"/>
  <c r="H887" i="3"/>
  <c r="I887" i="3"/>
  <c r="J887" i="3"/>
  <c r="K887" i="3"/>
  <c r="L887" i="3"/>
  <c r="N887" i="3"/>
  <c r="O887" i="3"/>
  <c r="P887" i="3"/>
  <c r="Q887" i="3"/>
  <c r="R887" i="3"/>
  <c r="G888" i="3"/>
  <c r="H888" i="3"/>
  <c r="I888" i="3"/>
  <c r="J888" i="3"/>
  <c r="K888" i="3"/>
  <c r="L888" i="3"/>
  <c r="N888" i="3"/>
  <c r="O888" i="3"/>
  <c r="P888" i="3"/>
  <c r="Q888" i="3"/>
  <c r="R888" i="3"/>
  <c r="G889" i="3"/>
  <c r="H889" i="3"/>
  <c r="I889" i="3"/>
  <c r="J889" i="3"/>
  <c r="K889" i="3"/>
  <c r="L889" i="3"/>
  <c r="N889" i="3"/>
  <c r="O889" i="3"/>
  <c r="P889" i="3"/>
  <c r="Q889" i="3"/>
  <c r="R889" i="3"/>
  <c r="G890" i="3"/>
  <c r="H890" i="3"/>
  <c r="I890" i="3"/>
  <c r="J890" i="3"/>
  <c r="K890" i="3"/>
  <c r="L890" i="3"/>
  <c r="N890" i="3"/>
  <c r="O890" i="3"/>
  <c r="P890" i="3"/>
  <c r="Q890" i="3"/>
  <c r="R890" i="3"/>
  <c r="G891" i="3"/>
  <c r="H891" i="3"/>
  <c r="I891" i="3"/>
  <c r="J891" i="3"/>
  <c r="K891" i="3"/>
  <c r="L891" i="3"/>
  <c r="N891" i="3"/>
  <c r="O891" i="3"/>
  <c r="P891" i="3"/>
  <c r="Q891" i="3"/>
  <c r="R891" i="3"/>
  <c r="G892" i="3"/>
  <c r="H892" i="3"/>
  <c r="I892" i="3"/>
  <c r="J892" i="3"/>
  <c r="K892" i="3"/>
  <c r="L892" i="3"/>
  <c r="N892" i="3"/>
  <c r="O892" i="3"/>
  <c r="P892" i="3"/>
  <c r="Q892" i="3"/>
  <c r="R892" i="3"/>
  <c r="G893" i="3"/>
  <c r="H893" i="3"/>
  <c r="I893" i="3"/>
  <c r="J893" i="3"/>
  <c r="K893" i="3"/>
  <c r="L893" i="3"/>
  <c r="N893" i="3"/>
  <c r="O893" i="3"/>
  <c r="P893" i="3"/>
  <c r="Q893" i="3"/>
  <c r="R893" i="3"/>
  <c r="G894" i="3"/>
  <c r="H894" i="3"/>
  <c r="I894" i="3"/>
  <c r="J894" i="3"/>
  <c r="K894" i="3"/>
  <c r="L894" i="3"/>
  <c r="N894" i="3"/>
  <c r="O894" i="3"/>
  <c r="P894" i="3"/>
  <c r="Q894" i="3"/>
  <c r="R894" i="3"/>
  <c r="G895" i="3"/>
  <c r="H895" i="3"/>
  <c r="I895" i="3"/>
  <c r="J895" i="3"/>
  <c r="K895" i="3"/>
  <c r="L895" i="3"/>
  <c r="N895" i="3"/>
  <c r="O895" i="3"/>
  <c r="P895" i="3"/>
  <c r="Q895" i="3"/>
  <c r="R895" i="3"/>
  <c r="G896" i="3"/>
  <c r="H896" i="3"/>
  <c r="I896" i="3"/>
  <c r="J896" i="3"/>
  <c r="K896" i="3"/>
  <c r="L896" i="3"/>
  <c r="N896" i="3"/>
  <c r="O896" i="3"/>
  <c r="P896" i="3"/>
  <c r="Q896" i="3"/>
  <c r="R896" i="3"/>
  <c r="G897" i="3"/>
  <c r="H897" i="3"/>
  <c r="I897" i="3"/>
  <c r="J897" i="3"/>
  <c r="K897" i="3"/>
  <c r="L897" i="3"/>
  <c r="N897" i="3"/>
  <c r="O897" i="3"/>
  <c r="P897" i="3"/>
  <c r="Q897" i="3"/>
  <c r="R897" i="3"/>
  <c r="G898" i="3"/>
  <c r="H898" i="3"/>
  <c r="I898" i="3"/>
  <c r="J898" i="3"/>
  <c r="K898" i="3"/>
  <c r="L898" i="3"/>
  <c r="N898" i="3"/>
  <c r="O898" i="3"/>
  <c r="P898" i="3"/>
  <c r="Q898" i="3"/>
  <c r="R898" i="3"/>
  <c r="G899" i="3"/>
  <c r="H899" i="3"/>
  <c r="I899" i="3"/>
  <c r="J899" i="3"/>
  <c r="K899" i="3"/>
  <c r="L899" i="3"/>
  <c r="N899" i="3"/>
  <c r="O899" i="3"/>
  <c r="P899" i="3"/>
  <c r="Q899" i="3"/>
  <c r="R899" i="3"/>
  <c r="G900" i="3"/>
  <c r="H900" i="3"/>
  <c r="I900" i="3"/>
  <c r="J900" i="3"/>
  <c r="K900" i="3"/>
  <c r="L900" i="3"/>
  <c r="N900" i="3"/>
  <c r="O900" i="3"/>
  <c r="P900" i="3"/>
  <c r="Q900" i="3"/>
  <c r="R900" i="3"/>
  <c r="G901" i="3"/>
  <c r="H901" i="3"/>
  <c r="I901" i="3"/>
  <c r="J901" i="3"/>
  <c r="K901" i="3"/>
  <c r="L901" i="3"/>
  <c r="N901" i="3"/>
  <c r="O901" i="3"/>
  <c r="P901" i="3"/>
  <c r="Q901" i="3"/>
  <c r="R901" i="3"/>
  <c r="G902" i="3"/>
  <c r="H902" i="3"/>
  <c r="I902" i="3"/>
  <c r="J902" i="3"/>
  <c r="K902" i="3"/>
  <c r="L902" i="3"/>
  <c r="N902" i="3"/>
  <c r="O902" i="3"/>
  <c r="P902" i="3"/>
  <c r="Q902" i="3"/>
  <c r="R902" i="3"/>
  <c r="G903" i="3"/>
  <c r="H903" i="3"/>
  <c r="I903" i="3"/>
  <c r="J903" i="3"/>
  <c r="K903" i="3"/>
  <c r="L903" i="3"/>
  <c r="N903" i="3"/>
  <c r="O903" i="3"/>
  <c r="P903" i="3"/>
  <c r="Q903" i="3"/>
  <c r="R903" i="3"/>
  <c r="G904" i="3"/>
  <c r="H904" i="3"/>
  <c r="I904" i="3"/>
  <c r="J904" i="3"/>
  <c r="K904" i="3"/>
  <c r="L904" i="3"/>
  <c r="N904" i="3"/>
  <c r="O904" i="3"/>
  <c r="P904" i="3"/>
  <c r="Q904" i="3"/>
  <c r="R904" i="3"/>
  <c r="G905" i="3"/>
  <c r="H905" i="3"/>
  <c r="I905" i="3"/>
  <c r="J905" i="3"/>
  <c r="K905" i="3"/>
  <c r="L905" i="3"/>
  <c r="N905" i="3"/>
  <c r="O905" i="3"/>
  <c r="P905" i="3"/>
  <c r="Q905" i="3"/>
  <c r="R905" i="3"/>
  <c r="G906" i="3"/>
  <c r="H906" i="3"/>
  <c r="I906" i="3"/>
  <c r="J906" i="3"/>
  <c r="K906" i="3"/>
  <c r="L906" i="3"/>
  <c r="N906" i="3"/>
  <c r="O906" i="3"/>
  <c r="P906" i="3"/>
  <c r="Q906" i="3"/>
  <c r="R906" i="3"/>
  <c r="G907" i="3"/>
  <c r="H907" i="3"/>
  <c r="I907" i="3"/>
  <c r="J907" i="3"/>
  <c r="K907" i="3"/>
  <c r="L907" i="3"/>
  <c r="N907" i="3"/>
  <c r="O907" i="3"/>
  <c r="P907" i="3"/>
  <c r="Q907" i="3"/>
  <c r="R907" i="3"/>
  <c r="G908" i="3"/>
  <c r="H908" i="3"/>
  <c r="I908" i="3"/>
  <c r="J908" i="3"/>
  <c r="K908" i="3"/>
  <c r="L908" i="3"/>
  <c r="N908" i="3"/>
  <c r="O908" i="3"/>
  <c r="P908" i="3"/>
  <c r="Q908" i="3"/>
  <c r="R908" i="3"/>
  <c r="G909" i="3"/>
  <c r="H909" i="3"/>
  <c r="I909" i="3"/>
  <c r="J909" i="3"/>
  <c r="K909" i="3"/>
  <c r="L909" i="3"/>
  <c r="N909" i="3"/>
  <c r="O909" i="3"/>
  <c r="P909" i="3"/>
  <c r="Q909" i="3"/>
  <c r="R909" i="3"/>
  <c r="G910" i="3"/>
  <c r="H910" i="3"/>
  <c r="I910" i="3"/>
  <c r="J910" i="3"/>
  <c r="K910" i="3"/>
  <c r="L910" i="3"/>
  <c r="N910" i="3"/>
  <c r="O910" i="3"/>
  <c r="P910" i="3"/>
  <c r="Q910" i="3"/>
  <c r="R910" i="3"/>
  <c r="G911" i="3"/>
  <c r="H911" i="3"/>
  <c r="I911" i="3"/>
  <c r="J911" i="3"/>
  <c r="K911" i="3"/>
  <c r="L911" i="3"/>
  <c r="N911" i="3"/>
  <c r="O911" i="3"/>
  <c r="P911" i="3"/>
  <c r="Q911" i="3"/>
  <c r="R911" i="3"/>
  <c r="G912" i="3"/>
  <c r="H912" i="3"/>
  <c r="I912" i="3"/>
  <c r="J912" i="3"/>
  <c r="K912" i="3"/>
  <c r="L912" i="3"/>
  <c r="N912" i="3"/>
  <c r="O912" i="3"/>
  <c r="P912" i="3"/>
  <c r="Q912" i="3"/>
  <c r="R912" i="3"/>
  <c r="G913" i="3"/>
  <c r="H913" i="3"/>
  <c r="I913" i="3"/>
  <c r="J913" i="3"/>
  <c r="K913" i="3"/>
  <c r="L913" i="3"/>
  <c r="N913" i="3"/>
  <c r="O913" i="3"/>
  <c r="P913" i="3"/>
  <c r="Q913" i="3"/>
  <c r="R913" i="3"/>
  <c r="G914" i="3"/>
  <c r="H914" i="3"/>
  <c r="I914" i="3"/>
  <c r="J914" i="3"/>
  <c r="K914" i="3"/>
  <c r="L914" i="3"/>
  <c r="N914" i="3"/>
  <c r="O914" i="3"/>
  <c r="P914" i="3"/>
  <c r="Q914" i="3"/>
  <c r="R914" i="3"/>
  <c r="G915" i="3"/>
  <c r="H915" i="3"/>
  <c r="I915" i="3"/>
  <c r="J915" i="3"/>
  <c r="K915" i="3"/>
  <c r="L915" i="3"/>
  <c r="N915" i="3"/>
  <c r="O915" i="3"/>
  <c r="P915" i="3"/>
  <c r="Q915" i="3"/>
  <c r="R915" i="3"/>
  <c r="G916" i="3"/>
  <c r="H916" i="3"/>
  <c r="I916" i="3"/>
  <c r="J916" i="3"/>
  <c r="K916" i="3"/>
  <c r="L916" i="3"/>
  <c r="N916" i="3"/>
  <c r="O916" i="3"/>
  <c r="P916" i="3"/>
  <c r="Q916" i="3"/>
  <c r="R916" i="3"/>
  <c r="G917" i="3"/>
  <c r="H917" i="3"/>
  <c r="I917" i="3"/>
  <c r="J917" i="3"/>
  <c r="K917" i="3"/>
  <c r="L917" i="3"/>
  <c r="N917" i="3"/>
  <c r="O917" i="3"/>
  <c r="P917" i="3"/>
  <c r="Q917" i="3"/>
  <c r="R917" i="3"/>
  <c r="G918" i="3"/>
  <c r="H918" i="3"/>
  <c r="I918" i="3"/>
  <c r="J918" i="3"/>
  <c r="K918" i="3"/>
  <c r="L918" i="3"/>
  <c r="N918" i="3"/>
  <c r="O918" i="3"/>
  <c r="P918" i="3"/>
  <c r="Q918" i="3"/>
  <c r="R918" i="3"/>
  <c r="G919" i="3"/>
  <c r="H919" i="3"/>
  <c r="I919" i="3"/>
  <c r="J919" i="3"/>
  <c r="K919" i="3"/>
  <c r="L919" i="3"/>
  <c r="N919" i="3"/>
  <c r="O919" i="3"/>
  <c r="P919" i="3"/>
  <c r="Q919" i="3"/>
  <c r="R919" i="3"/>
  <c r="G920" i="3"/>
  <c r="H920" i="3"/>
  <c r="I920" i="3"/>
  <c r="J920" i="3"/>
  <c r="K920" i="3"/>
  <c r="L920" i="3"/>
  <c r="N920" i="3"/>
  <c r="O920" i="3"/>
  <c r="P920" i="3"/>
  <c r="Q920" i="3"/>
  <c r="R920" i="3"/>
  <c r="G921" i="3"/>
  <c r="H921" i="3"/>
  <c r="I921" i="3"/>
  <c r="J921" i="3"/>
  <c r="K921" i="3"/>
  <c r="L921" i="3"/>
  <c r="N921" i="3"/>
  <c r="O921" i="3"/>
  <c r="P921" i="3"/>
  <c r="Q921" i="3"/>
  <c r="R921" i="3"/>
  <c r="G922" i="3"/>
  <c r="H922" i="3"/>
  <c r="I922" i="3"/>
  <c r="J922" i="3"/>
  <c r="K922" i="3"/>
  <c r="L922" i="3"/>
  <c r="N922" i="3"/>
  <c r="O922" i="3"/>
  <c r="P922" i="3"/>
  <c r="Q922" i="3"/>
  <c r="R922" i="3"/>
  <c r="G923" i="3"/>
  <c r="H923" i="3"/>
  <c r="I923" i="3"/>
  <c r="J923" i="3"/>
  <c r="K923" i="3"/>
  <c r="L923" i="3"/>
  <c r="N923" i="3"/>
  <c r="O923" i="3"/>
  <c r="P923" i="3"/>
  <c r="Q923" i="3"/>
  <c r="R923" i="3"/>
  <c r="G924" i="3"/>
  <c r="H924" i="3"/>
  <c r="I924" i="3"/>
  <c r="J924" i="3"/>
  <c r="K924" i="3"/>
  <c r="L924" i="3"/>
  <c r="N924" i="3"/>
  <c r="O924" i="3"/>
  <c r="P924" i="3"/>
  <c r="Q924" i="3"/>
  <c r="R924" i="3"/>
  <c r="G925" i="3"/>
  <c r="H925" i="3"/>
  <c r="I925" i="3"/>
  <c r="J925" i="3"/>
  <c r="K925" i="3"/>
  <c r="L925" i="3"/>
  <c r="N925" i="3"/>
  <c r="O925" i="3"/>
  <c r="P925" i="3"/>
  <c r="Q925" i="3"/>
  <c r="R925" i="3"/>
  <c r="G926" i="3"/>
  <c r="H926" i="3"/>
  <c r="I926" i="3"/>
  <c r="J926" i="3"/>
  <c r="K926" i="3"/>
  <c r="L926" i="3"/>
  <c r="N926" i="3"/>
  <c r="O926" i="3"/>
  <c r="P926" i="3"/>
  <c r="Q926" i="3"/>
  <c r="R926" i="3"/>
  <c r="G927" i="3"/>
  <c r="H927" i="3"/>
  <c r="I927" i="3"/>
  <c r="J927" i="3"/>
  <c r="K927" i="3"/>
  <c r="L927" i="3"/>
  <c r="N927" i="3"/>
  <c r="O927" i="3"/>
  <c r="P927" i="3"/>
  <c r="Q927" i="3"/>
  <c r="R927" i="3"/>
  <c r="G928" i="3"/>
  <c r="H928" i="3"/>
  <c r="I928" i="3"/>
  <c r="J928" i="3"/>
  <c r="K928" i="3"/>
  <c r="L928" i="3"/>
  <c r="N928" i="3"/>
  <c r="O928" i="3"/>
  <c r="P928" i="3"/>
  <c r="Q928" i="3"/>
  <c r="R928" i="3"/>
  <c r="G929" i="3"/>
  <c r="H929" i="3"/>
  <c r="I929" i="3"/>
  <c r="J929" i="3"/>
  <c r="K929" i="3"/>
  <c r="L929" i="3"/>
  <c r="N929" i="3"/>
  <c r="O929" i="3"/>
  <c r="P929" i="3"/>
  <c r="Q929" i="3"/>
  <c r="R929" i="3"/>
  <c r="G930" i="3"/>
  <c r="H930" i="3"/>
  <c r="I930" i="3"/>
  <c r="J930" i="3"/>
  <c r="K930" i="3"/>
  <c r="L930" i="3"/>
  <c r="N930" i="3"/>
  <c r="O930" i="3"/>
  <c r="P930" i="3"/>
  <c r="Q930" i="3"/>
  <c r="R930" i="3"/>
  <c r="G931" i="3"/>
  <c r="H931" i="3"/>
  <c r="I931" i="3"/>
  <c r="J931" i="3"/>
  <c r="K931" i="3"/>
  <c r="L931" i="3"/>
  <c r="N931" i="3"/>
  <c r="O931" i="3"/>
  <c r="P931" i="3"/>
  <c r="Q931" i="3"/>
  <c r="R931" i="3"/>
  <c r="G932" i="3"/>
  <c r="H932" i="3"/>
  <c r="I932" i="3"/>
  <c r="J932" i="3"/>
  <c r="K932" i="3"/>
  <c r="L932" i="3"/>
  <c r="N932" i="3"/>
  <c r="O932" i="3"/>
  <c r="P932" i="3"/>
  <c r="Q932" i="3"/>
  <c r="R932" i="3"/>
  <c r="G933" i="3"/>
  <c r="H933" i="3"/>
  <c r="I933" i="3"/>
  <c r="J933" i="3"/>
  <c r="K933" i="3"/>
  <c r="L933" i="3"/>
  <c r="N933" i="3"/>
  <c r="O933" i="3"/>
  <c r="P933" i="3"/>
  <c r="Q933" i="3"/>
  <c r="R933" i="3"/>
  <c r="G934" i="3"/>
  <c r="H934" i="3"/>
  <c r="I934" i="3"/>
  <c r="J934" i="3"/>
  <c r="K934" i="3"/>
  <c r="L934" i="3"/>
  <c r="N934" i="3"/>
  <c r="O934" i="3"/>
  <c r="P934" i="3"/>
  <c r="Q934" i="3"/>
  <c r="R934" i="3"/>
  <c r="G935" i="3"/>
  <c r="H935" i="3"/>
  <c r="I935" i="3"/>
  <c r="J935" i="3"/>
  <c r="K935" i="3"/>
  <c r="L935" i="3"/>
  <c r="N935" i="3"/>
  <c r="O935" i="3"/>
  <c r="P935" i="3"/>
  <c r="Q935" i="3"/>
  <c r="R935" i="3"/>
  <c r="G936" i="3"/>
  <c r="H936" i="3"/>
  <c r="I936" i="3"/>
  <c r="J936" i="3"/>
  <c r="K936" i="3"/>
  <c r="L936" i="3"/>
  <c r="N936" i="3"/>
  <c r="O936" i="3"/>
  <c r="P936" i="3"/>
  <c r="Q936" i="3"/>
  <c r="R936" i="3"/>
  <c r="G937" i="3"/>
  <c r="H937" i="3"/>
  <c r="I937" i="3"/>
  <c r="J937" i="3"/>
  <c r="K937" i="3"/>
  <c r="L937" i="3"/>
  <c r="N937" i="3"/>
  <c r="O937" i="3"/>
  <c r="P937" i="3"/>
  <c r="Q937" i="3"/>
  <c r="R937" i="3"/>
  <c r="G938" i="3"/>
  <c r="H938" i="3"/>
  <c r="I938" i="3"/>
  <c r="J938" i="3"/>
  <c r="K938" i="3"/>
  <c r="L938" i="3"/>
  <c r="N938" i="3"/>
  <c r="O938" i="3"/>
  <c r="P938" i="3"/>
  <c r="Q938" i="3"/>
  <c r="R938" i="3"/>
  <c r="G939" i="3"/>
  <c r="H939" i="3"/>
  <c r="I939" i="3"/>
  <c r="J939" i="3"/>
  <c r="K939" i="3"/>
  <c r="L939" i="3"/>
  <c r="N939" i="3"/>
  <c r="O939" i="3"/>
  <c r="P939" i="3"/>
  <c r="Q939" i="3"/>
  <c r="R939" i="3"/>
  <c r="G940" i="3"/>
  <c r="H940" i="3"/>
  <c r="I940" i="3"/>
  <c r="J940" i="3"/>
  <c r="K940" i="3"/>
  <c r="L940" i="3"/>
  <c r="N940" i="3"/>
  <c r="O940" i="3"/>
  <c r="P940" i="3"/>
  <c r="Q940" i="3"/>
  <c r="R940" i="3"/>
  <c r="G941" i="3"/>
  <c r="H941" i="3"/>
  <c r="I941" i="3"/>
  <c r="J941" i="3"/>
  <c r="K941" i="3"/>
  <c r="L941" i="3"/>
  <c r="N941" i="3"/>
  <c r="O941" i="3"/>
  <c r="P941" i="3"/>
  <c r="Q941" i="3"/>
  <c r="R941" i="3"/>
  <c r="G942" i="3"/>
  <c r="H942" i="3"/>
  <c r="I942" i="3"/>
  <c r="J942" i="3"/>
  <c r="K942" i="3"/>
  <c r="L942" i="3"/>
  <c r="N942" i="3"/>
  <c r="O942" i="3"/>
  <c r="P942" i="3"/>
  <c r="Q942" i="3"/>
  <c r="R942" i="3"/>
  <c r="G943" i="3"/>
  <c r="H943" i="3"/>
  <c r="I943" i="3"/>
  <c r="J943" i="3"/>
  <c r="K943" i="3"/>
  <c r="L943" i="3"/>
  <c r="N943" i="3"/>
  <c r="O943" i="3"/>
  <c r="P943" i="3"/>
  <c r="Q943" i="3"/>
  <c r="R943" i="3"/>
  <c r="G944" i="3"/>
  <c r="H944" i="3"/>
  <c r="I944" i="3"/>
  <c r="J944" i="3"/>
  <c r="K944" i="3"/>
  <c r="L944" i="3"/>
  <c r="N944" i="3"/>
  <c r="O944" i="3"/>
  <c r="P944" i="3"/>
  <c r="Q944" i="3"/>
  <c r="R944" i="3"/>
  <c r="G945" i="3"/>
  <c r="H945" i="3"/>
  <c r="I945" i="3"/>
  <c r="J945" i="3"/>
  <c r="K945" i="3"/>
  <c r="L945" i="3"/>
  <c r="N945" i="3"/>
  <c r="O945" i="3"/>
  <c r="P945" i="3"/>
  <c r="Q945" i="3"/>
  <c r="R945" i="3"/>
  <c r="G946" i="3"/>
  <c r="H946" i="3"/>
  <c r="I946" i="3"/>
  <c r="J946" i="3"/>
  <c r="K946" i="3"/>
  <c r="L946" i="3"/>
  <c r="N946" i="3"/>
  <c r="O946" i="3"/>
  <c r="P946" i="3"/>
  <c r="Q946" i="3"/>
  <c r="R946" i="3"/>
  <c r="G947" i="3"/>
  <c r="H947" i="3"/>
  <c r="I947" i="3"/>
  <c r="J947" i="3"/>
  <c r="K947" i="3"/>
  <c r="L947" i="3"/>
  <c r="N947" i="3"/>
  <c r="O947" i="3"/>
  <c r="P947" i="3"/>
  <c r="Q947" i="3"/>
  <c r="R947" i="3"/>
  <c r="G948" i="3"/>
  <c r="H948" i="3"/>
  <c r="I948" i="3"/>
  <c r="J948" i="3"/>
  <c r="K948" i="3"/>
  <c r="L948" i="3"/>
  <c r="N948" i="3"/>
  <c r="O948" i="3"/>
  <c r="P948" i="3"/>
  <c r="Q948" i="3"/>
  <c r="R948" i="3"/>
  <c r="G949" i="3"/>
  <c r="H949" i="3"/>
  <c r="I949" i="3"/>
  <c r="J949" i="3"/>
  <c r="K949" i="3"/>
  <c r="L949" i="3"/>
  <c r="N949" i="3"/>
  <c r="O949" i="3"/>
  <c r="P949" i="3"/>
  <c r="Q949" i="3"/>
  <c r="R949" i="3"/>
  <c r="G950" i="3"/>
  <c r="H950" i="3"/>
  <c r="I950" i="3"/>
  <c r="J950" i="3"/>
  <c r="K950" i="3"/>
  <c r="L950" i="3"/>
  <c r="N950" i="3"/>
  <c r="O950" i="3"/>
  <c r="P950" i="3"/>
  <c r="Q950" i="3"/>
  <c r="R950" i="3"/>
  <c r="G951" i="3"/>
  <c r="H951" i="3"/>
  <c r="I951" i="3"/>
  <c r="J951" i="3"/>
  <c r="K951" i="3"/>
  <c r="L951" i="3"/>
  <c r="N951" i="3"/>
  <c r="O951" i="3"/>
  <c r="P951" i="3"/>
  <c r="Q951" i="3"/>
  <c r="R951" i="3"/>
  <c r="G952" i="3"/>
  <c r="H952" i="3"/>
  <c r="I952" i="3"/>
  <c r="J952" i="3"/>
  <c r="K952" i="3"/>
  <c r="L952" i="3"/>
  <c r="N952" i="3"/>
  <c r="O952" i="3"/>
  <c r="P952" i="3"/>
  <c r="Q952" i="3"/>
  <c r="R952" i="3"/>
  <c r="G953" i="3"/>
  <c r="H953" i="3"/>
  <c r="I953" i="3"/>
  <c r="J953" i="3"/>
  <c r="K953" i="3"/>
  <c r="L953" i="3"/>
  <c r="N953" i="3"/>
  <c r="O953" i="3"/>
  <c r="P953" i="3"/>
  <c r="Q953" i="3"/>
  <c r="R953" i="3"/>
  <c r="G954" i="3"/>
  <c r="H954" i="3"/>
  <c r="I954" i="3"/>
  <c r="J954" i="3"/>
  <c r="K954" i="3"/>
  <c r="L954" i="3"/>
  <c r="N954" i="3"/>
  <c r="O954" i="3"/>
  <c r="P954" i="3"/>
  <c r="Q954" i="3"/>
  <c r="R954" i="3"/>
  <c r="G955" i="3"/>
  <c r="H955" i="3"/>
  <c r="I955" i="3"/>
  <c r="J955" i="3"/>
  <c r="K955" i="3"/>
  <c r="L955" i="3"/>
  <c r="N955" i="3"/>
  <c r="O955" i="3"/>
  <c r="P955" i="3"/>
  <c r="Q955" i="3"/>
  <c r="R955" i="3"/>
  <c r="G956" i="3"/>
  <c r="H956" i="3"/>
  <c r="I956" i="3"/>
  <c r="J956" i="3"/>
  <c r="K956" i="3"/>
  <c r="L956" i="3"/>
  <c r="N956" i="3"/>
  <c r="O956" i="3"/>
  <c r="P956" i="3"/>
  <c r="Q956" i="3"/>
  <c r="R956" i="3"/>
  <c r="G957" i="3"/>
  <c r="H957" i="3"/>
  <c r="I957" i="3"/>
  <c r="J957" i="3"/>
  <c r="K957" i="3"/>
  <c r="L957" i="3"/>
  <c r="N957" i="3"/>
  <c r="O957" i="3"/>
  <c r="P957" i="3"/>
  <c r="Q957" i="3"/>
  <c r="R957" i="3"/>
  <c r="G958" i="3"/>
  <c r="H958" i="3"/>
  <c r="I958" i="3"/>
  <c r="J958" i="3"/>
  <c r="K958" i="3"/>
  <c r="L958" i="3"/>
  <c r="N958" i="3"/>
  <c r="O958" i="3"/>
  <c r="P958" i="3"/>
  <c r="Q958" i="3"/>
  <c r="R958" i="3"/>
  <c r="G959" i="3"/>
  <c r="H959" i="3"/>
  <c r="I959" i="3"/>
  <c r="J959" i="3"/>
  <c r="K959" i="3"/>
  <c r="L959" i="3"/>
  <c r="N959" i="3"/>
  <c r="O959" i="3"/>
  <c r="P959" i="3"/>
  <c r="Q959" i="3"/>
  <c r="R959" i="3"/>
  <c r="G960" i="3"/>
  <c r="H960" i="3"/>
  <c r="I960" i="3"/>
  <c r="J960" i="3"/>
  <c r="K960" i="3"/>
  <c r="L960" i="3"/>
  <c r="N960" i="3"/>
  <c r="O960" i="3"/>
  <c r="P960" i="3"/>
  <c r="Q960" i="3"/>
  <c r="R960" i="3"/>
  <c r="G961" i="3"/>
  <c r="H961" i="3"/>
  <c r="I961" i="3"/>
  <c r="J961" i="3"/>
  <c r="K961" i="3"/>
  <c r="L961" i="3"/>
  <c r="N961" i="3"/>
  <c r="O961" i="3"/>
  <c r="P961" i="3"/>
  <c r="Q961" i="3"/>
  <c r="R961" i="3"/>
  <c r="G962" i="3"/>
  <c r="H962" i="3"/>
  <c r="I962" i="3"/>
  <c r="J962" i="3"/>
  <c r="K962" i="3"/>
  <c r="L962" i="3"/>
  <c r="N962" i="3"/>
  <c r="O962" i="3"/>
  <c r="P962" i="3"/>
  <c r="Q962" i="3"/>
  <c r="R962" i="3"/>
  <c r="G963" i="3"/>
  <c r="H963" i="3"/>
  <c r="I963" i="3"/>
  <c r="J963" i="3"/>
  <c r="K963" i="3"/>
  <c r="L963" i="3"/>
  <c r="N963" i="3"/>
  <c r="O963" i="3"/>
  <c r="P963" i="3"/>
  <c r="Q963" i="3"/>
  <c r="R963" i="3"/>
  <c r="G964" i="3"/>
  <c r="H964" i="3"/>
  <c r="I964" i="3"/>
  <c r="J964" i="3"/>
  <c r="K964" i="3"/>
  <c r="L964" i="3"/>
  <c r="N964" i="3"/>
  <c r="O964" i="3"/>
  <c r="P964" i="3"/>
  <c r="Q964" i="3"/>
  <c r="R964" i="3"/>
  <c r="G965" i="3"/>
  <c r="H965" i="3"/>
  <c r="I965" i="3"/>
  <c r="J965" i="3"/>
  <c r="K965" i="3"/>
  <c r="L965" i="3"/>
  <c r="N965" i="3"/>
  <c r="O965" i="3"/>
  <c r="P965" i="3"/>
  <c r="Q965" i="3"/>
  <c r="R965" i="3"/>
  <c r="G966" i="3"/>
  <c r="H966" i="3"/>
  <c r="I966" i="3"/>
  <c r="J966" i="3"/>
  <c r="K966" i="3"/>
  <c r="L966" i="3"/>
  <c r="N966" i="3"/>
  <c r="O966" i="3"/>
  <c r="P966" i="3"/>
  <c r="Q966" i="3"/>
  <c r="R966" i="3"/>
  <c r="G967" i="3"/>
  <c r="H967" i="3"/>
  <c r="I967" i="3"/>
  <c r="J967" i="3"/>
  <c r="K967" i="3"/>
  <c r="L967" i="3"/>
  <c r="N967" i="3"/>
  <c r="O967" i="3"/>
  <c r="P967" i="3"/>
  <c r="Q967" i="3"/>
  <c r="R967" i="3"/>
  <c r="G968" i="3"/>
  <c r="H968" i="3"/>
  <c r="I968" i="3"/>
  <c r="J968" i="3"/>
  <c r="K968" i="3"/>
  <c r="L968" i="3"/>
  <c r="N968" i="3"/>
  <c r="O968" i="3"/>
  <c r="P968" i="3"/>
  <c r="Q968" i="3"/>
  <c r="R968" i="3"/>
  <c r="G969" i="3"/>
  <c r="H969" i="3"/>
  <c r="I969" i="3"/>
  <c r="J969" i="3"/>
  <c r="K969" i="3"/>
  <c r="L969" i="3"/>
  <c r="N969" i="3"/>
  <c r="O969" i="3"/>
  <c r="P969" i="3"/>
  <c r="Q969" i="3"/>
  <c r="R969" i="3"/>
  <c r="G970" i="3"/>
  <c r="H970" i="3"/>
  <c r="I970" i="3"/>
  <c r="J970" i="3"/>
  <c r="K970" i="3"/>
  <c r="L970" i="3"/>
  <c r="N970" i="3"/>
  <c r="O970" i="3"/>
  <c r="P970" i="3"/>
  <c r="Q970" i="3"/>
  <c r="R970" i="3"/>
  <c r="G971" i="3"/>
  <c r="H971" i="3"/>
  <c r="I971" i="3"/>
  <c r="J971" i="3"/>
  <c r="K971" i="3"/>
  <c r="L971" i="3"/>
  <c r="N971" i="3"/>
  <c r="O971" i="3"/>
  <c r="P971" i="3"/>
  <c r="Q971" i="3"/>
  <c r="R971" i="3"/>
  <c r="G972" i="3"/>
  <c r="H972" i="3"/>
  <c r="I972" i="3"/>
  <c r="J972" i="3"/>
  <c r="K972" i="3"/>
  <c r="L972" i="3"/>
  <c r="N972" i="3"/>
  <c r="O972" i="3"/>
  <c r="P972" i="3"/>
  <c r="Q972" i="3"/>
  <c r="R972" i="3"/>
  <c r="G973" i="3"/>
  <c r="H973" i="3"/>
  <c r="I973" i="3"/>
  <c r="J973" i="3"/>
  <c r="K973" i="3"/>
  <c r="L973" i="3"/>
  <c r="N973" i="3"/>
  <c r="O973" i="3"/>
  <c r="P973" i="3"/>
  <c r="Q973" i="3"/>
  <c r="R973" i="3"/>
  <c r="G974" i="3"/>
  <c r="H974" i="3"/>
  <c r="I974" i="3"/>
  <c r="J974" i="3"/>
  <c r="K974" i="3"/>
  <c r="L974" i="3"/>
  <c r="N974" i="3"/>
  <c r="O974" i="3"/>
  <c r="P974" i="3"/>
  <c r="Q974" i="3"/>
  <c r="R974" i="3"/>
  <c r="G975" i="3"/>
  <c r="H975" i="3"/>
  <c r="I975" i="3"/>
  <c r="J975" i="3"/>
  <c r="K975" i="3"/>
  <c r="L975" i="3"/>
  <c r="N975" i="3"/>
  <c r="O975" i="3"/>
  <c r="P975" i="3"/>
  <c r="Q975" i="3"/>
  <c r="R975" i="3"/>
  <c r="G976" i="3"/>
  <c r="H976" i="3"/>
  <c r="I976" i="3"/>
  <c r="J976" i="3"/>
  <c r="K976" i="3"/>
  <c r="L976" i="3"/>
  <c r="N976" i="3"/>
  <c r="O976" i="3"/>
  <c r="P976" i="3"/>
  <c r="Q976" i="3"/>
  <c r="R976" i="3"/>
  <c r="G977" i="3"/>
  <c r="H977" i="3"/>
  <c r="I977" i="3"/>
  <c r="J977" i="3"/>
  <c r="K977" i="3"/>
  <c r="L977" i="3"/>
  <c r="N977" i="3"/>
  <c r="O977" i="3"/>
  <c r="P977" i="3"/>
  <c r="Q977" i="3"/>
  <c r="R977" i="3"/>
  <c r="G978" i="3"/>
  <c r="H978" i="3"/>
  <c r="I978" i="3"/>
  <c r="J978" i="3"/>
  <c r="K978" i="3"/>
  <c r="L978" i="3"/>
  <c r="N978" i="3"/>
  <c r="O978" i="3"/>
  <c r="P978" i="3"/>
  <c r="Q978" i="3"/>
  <c r="R978" i="3"/>
  <c r="G979" i="3"/>
  <c r="H979" i="3"/>
  <c r="I979" i="3"/>
  <c r="J979" i="3"/>
  <c r="K979" i="3"/>
  <c r="L979" i="3"/>
  <c r="N979" i="3"/>
  <c r="O979" i="3"/>
  <c r="P979" i="3"/>
  <c r="Q979" i="3"/>
  <c r="R979" i="3"/>
  <c r="G980" i="3"/>
  <c r="H980" i="3"/>
  <c r="I980" i="3"/>
  <c r="J980" i="3"/>
  <c r="K980" i="3"/>
  <c r="L980" i="3"/>
  <c r="N980" i="3"/>
  <c r="O980" i="3"/>
  <c r="P980" i="3"/>
  <c r="Q980" i="3"/>
  <c r="R980" i="3"/>
  <c r="G981" i="3"/>
  <c r="H981" i="3"/>
  <c r="I981" i="3"/>
  <c r="J981" i="3"/>
  <c r="K981" i="3"/>
  <c r="L981" i="3"/>
  <c r="N981" i="3"/>
  <c r="O981" i="3"/>
  <c r="P981" i="3"/>
  <c r="Q981" i="3"/>
  <c r="R981" i="3"/>
  <c r="G982" i="3"/>
  <c r="H982" i="3"/>
  <c r="I982" i="3"/>
  <c r="J982" i="3"/>
  <c r="K982" i="3"/>
  <c r="L982" i="3"/>
  <c r="N982" i="3"/>
  <c r="O982" i="3"/>
  <c r="P982" i="3"/>
  <c r="Q982" i="3"/>
  <c r="R982" i="3"/>
  <c r="G983" i="3"/>
  <c r="H983" i="3"/>
  <c r="I983" i="3"/>
  <c r="J983" i="3"/>
  <c r="K983" i="3"/>
  <c r="L983" i="3"/>
  <c r="N983" i="3"/>
  <c r="O983" i="3"/>
  <c r="P983" i="3"/>
  <c r="Q983" i="3"/>
  <c r="R983" i="3"/>
  <c r="G984" i="3"/>
  <c r="H984" i="3"/>
  <c r="I984" i="3"/>
  <c r="J984" i="3"/>
  <c r="K984" i="3"/>
  <c r="L984" i="3"/>
  <c r="N984" i="3"/>
  <c r="O984" i="3"/>
  <c r="P984" i="3"/>
  <c r="Q984" i="3"/>
  <c r="R984" i="3"/>
  <c r="G985" i="3"/>
  <c r="H985" i="3"/>
  <c r="I985" i="3"/>
  <c r="J985" i="3"/>
  <c r="K985" i="3"/>
  <c r="L985" i="3"/>
  <c r="N985" i="3"/>
  <c r="O985" i="3"/>
  <c r="P985" i="3"/>
  <c r="Q985" i="3"/>
  <c r="R985" i="3"/>
  <c r="G986" i="3"/>
  <c r="H986" i="3"/>
  <c r="I986" i="3"/>
  <c r="J986" i="3"/>
  <c r="K986" i="3"/>
  <c r="L986" i="3"/>
  <c r="N986" i="3"/>
  <c r="O986" i="3"/>
  <c r="P986" i="3"/>
  <c r="Q986" i="3"/>
  <c r="R986" i="3"/>
  <c r="G987" i="3"/>
  <c r="H987" i="3"/>
  <c r="I987" i="3"/>
  <c r="J987" i="3"/>
  <c r="K987" i="3"/>
  <c r="L987" i="3"/>
  <c r="N987" i="3"/>
  <c r="O987" i="3"/>
  <c r="P987" i="3"/>
  <c r="Q987" i="3"/>
  <c r="R987" i="3"/>
  <c r="G988" i="3"/>
  <c r="H988" i="3"/>
  <c r="I988" i="3"/>
  <c r="J988" i="3"/>
  <c r="K988" i="3"/>
  <c r="L988" i="3"/>
  <c r="N988" i="3"/>
  <c r="O988" i="3"/>
  <c r="P988" i="3"/>
  <c r="Q988" i="3"/>
  <c r="R988" i="3"/>
  <c r="G989" i="3"/>
  <c r="H989" i="3"/>
  <c r="I989" i="3"/>
  <c r="J989" i="3"/>
  <c r="K989" i="3"/>
  <c r="L989" i="3"/>
  <c r="N989" i="3"/>
  <c r="O989" i="3"/>
  <c r="P989" i="3"/>
  <c r="Q989" i="3"/>
  <c r="R989" i="3"/>
  <c r="G990" i="3"/>
  <c r="H990" i="3"/>
  <c r="I990" i="3"/>
  <c r="J990" i="3"/>
  <c r="K990" i="3"/>
  <c r="L990" i="3"/>
  <c r="N990" i="3"/>
  <c r="O990" i="3"/>
  <c r="P990" i="3"/>
  <c r="Q990" i="3"/>
  <c r="R990" i="3"/>
  <c r="G991" i="3"/>
  <c r="H991" i="3"/>
  <c r="I991" i="3"/>
  <c r="J991" i="3"/>
  <c r="K991" i="3"/>
  <c r="L991" i="3"/>
  <c r="N991" i="3"/>
  <c r="O991" i="3"/>
  <c r="P991" i="3"/>
  <c r="Q991" i="3"/>
  <c r="R991" i="3"/>
  <c r="G992" i="3"/>
  <c r="H992" i="3"/>
  <c r="I992" i="3"/>
  <c r="J992" i="3"/>
  <c r="K992" i="3"/>
  <c r="L992" i="3"/>
  <c r="N992" i="3"/>
  <c r="O992" i="3"/>
  <c r="P992" i="3"/>
  <c r="Q992" i="3"/>
  <c r="R992" i="3"/>
  <c r="G993" i="3"/>
  <c r="H993" i="3"/>
  <c r="I993" i="3"/>
  <c r="J993" i="3"/>
  <c r="K993" i="3"/>
  <c r="L993" i="3"/>
  <c r="N993" i="3"/>
  <c r="O993" i="3"/>
  <c r="P993" i="3"/>
  <c r="Q993" i="3"/>
  <c r="R993" i="3"/>
  <c r="G994" i="3"/>
  <c r="H994" i="3"/>
  <c r="I994" i="3"/>
  <c r="J994" i="3"/>
  <c r="K994" i="3"/>
  <c r="L994" i="3"/>
  <c r="N994" i="3"/>
  <c r="O994" i="3"/>
  <c r="P994" i="3"/>
  <c r="Q994" i="3"/>
  <c r="R994" i="3"/>
  <c r="G995" i="3"/>
  <c r="H995" i="3"/>
  <c r="I995" i="3"/>
  <c r="J995" i="3"/>
  <c r="K995" i="3"/>
  <c r="L995" i="3"/>
  <c r="N995" i="3"/>
  <c r="O995" i="3"/>
  <c r="P995" i="3"/>
  <c r="Q995" i="3"/>
  <c r="R995" i="3"/>
  <c r="G996" i="3"/>
  <c r="H996" i="3"/>
  <c r="I996" i="3"/>
  <c r="J996" i="3"/>
  <c r="K996" i="3"/>
  <c r="L996" i="3"/>
  <c r="N996" i="3"/>
  <c r="O996" i="3"/>
  <c r="P996" i="3"/>
  <c r="Q996" i="3"/>
  <c r="R996" i="3"/>
  <c r="G997" i="3"/>
  <c r="H997" i="3"/>
  <c r="I997" i="3"/>
  <c r="J997" i="3"/>
  <c r="K997" i="3"/>
  <c r="L997" i="3"/>
  <c r="N997" i="3"/>
  <c r="O997" i="3"/>
  <c r="P997" i="3"/>
  <c r="Q997" i="3"/>
  <c r="R997" i="3"/>
  <c r="G998" i="3"/>
  <c r="H998" i="3"/>
  <c r="I998" i="3"/>
  <c r="J998" i="3"/>
  <c r="K998" i="3"/>
  <c r="L998" i="3"/>
  <c r="N998" i="3"/>
  <c r="O998" i="3"/>
  <c r="P998" i="3"/>
  <c r="Q998" i="3"/>
  <c r="R998" i="3"/>
  <c r="G999" i="3"/>
  <c r="H999" i="3"/>
  <c r="I999" i="3"/>
  <c r="J999" i="3"/>
  <c r="K999" i="3"/>
  <c r="L999" i="3"/>
  <c r="N999" i="3"/>
  <c r="O999" i="3"/>
  <c r="P999" i="3"/>
  <c r="Q999" i="3"/>
  <c r="R999" i="3"/>
  <c r="G1000" i="3"/>
  <c r="H1000" i="3"/>
  <c r="I1000" i="3"/>
  <c r="J1000" i="3"/>
  <c r="K1000" i="3"/>
  <c r="L1000" i="3"/>
  <c r="N1000" i="3"/>
  <c r="O1000" i="3"/>
  <c r="P1000" i="3"/>
  <c r="Q1000" i="3"/>
  <c r="R1000" i="3"/>
  <c r="G1001" i="3"/>
  <c r="H1001" i="3"/>
  <c r="I1001" i="3"/>
  <c r="J1001" i="3"/>
  <c r="K1001" i="3"/>
  <c r="L1001" i="3"/>
  <c r="N1001" i="3"/>
  <c r="O1001" i="3"/>
  <c r="P1001" i="3"/>
  <c r="Q1001" i="3"/>
  <c r="R1001" i="3"/>
  <c r="G1002" i="3"/>
  <c r="H1002" i="3"/>
  <c r="I1002" i="3"/>
  <c r="J1002" i="3"/>
  <c r="K1002" i="3"/>
  <c r="L1002" i="3"/>
  <c r="N1002" i="3"/>
  <c r="O1002" i="3"/>
  <c r="P1002" i="3"/>
  <c r="Q1002" i="3"/>
  <c r="R1002" i="3"/>
  <c r="G1003" i="3"/>
  <c r="H1003" i="3"/>
  <c r="I1003" i="3"/>
  <c r="J1003" i="3"/>
  <c r="K1003" i="3"/>
  <c r="L1003" i="3"/>
  <c r="N1003" i="3"/>
  <c r="O1003" i="3"/>
  <c r="P1003" i="3"/>
  <c r="Q1003" i="3"/>
  <c r="R1003" i="3"/>
  <c r="G1004" i="3"/>
  <c r="H1004" i="3"/>
  <c r="I1004" i="3"/>
  <c r="J1004" i="3"/>
  <c r="K1004" i="3"/>
  <c r="L1004" i="3"/>
  <c r="N1004" i="3"/>
  <c r="O1004" i="3"/>
  <c r="P1004" i="3"/>
  <c r="Q1004" i="3"/>
  <c r="R1004" i="3"/>
  <c r="G1005" i="3"/>
  <c r="H1005" i="3"/>
  <c r="I1005" i="3"/>
  <c r="J1005" i="3"/>
  <c r="K1005" i="3"/>
  <c r="L1005" i="3"/>
  <c r="N1005" i="3"/>
  <c r="O1005" i="3"/>
  <c r="P1005" i="3"/>
  <c r="Q1005" i="3"/>
  <c r="R1005" i="3"/>
  <c r="G1006" i="3"/>
  <c r="H1006" i="3"/>
  <c r="I1006" i="3"/>
  <c r="J1006" i="3"/>
  <c r="K1006" i="3"/>
  <c r="L1006" i="3"/>
  <c r="N1006" i="3"/>
  <c r="O1006" i="3"/>
  <c r="P1006" i="3"/>
  <c r="Q1006" i="3"/>
  <c r="R1006" i="3"/>
  <c r="G1007" i="3"/>
  <c r="H1007" i="3"/>
  <c r="I1007" i="3"/>
  <c r="J1007" i="3"/>
  <c r="K1007" i="3"/>
  <c r="L1007" i="3"/>
  <c r="N1007" i="3"/>
  <c r="O1007" i="3"/>
  <c r="P1007" i="3"/>
  <c r="Q1007" i="3"/>
  <c r="R1007" i="3"/>
  <c r="G1008" i="3"/>
  <c r="H1008" i="3"/>
  <c r="I1008" i="3"/>
  <c r="J1008" i="3"/>
  <c r="K1008" i="3"/>
  <c r="L1008" i="3"/>
  <c r="N1008" i="3"/>
  <c r="O1008" i="3"/>
  <c r="P1008" i="3"/>
  <c r="Q1008" i="3"/>
  <c r="R1008" i="3"/>
  <c r="G1009" i="3"/>
  <c r="H1009" i="3"/>
  <c r="I1009" i="3"/>
  <c r="J1009" i="3"/>
  <c r="K1009" i="3"/>
  <c r="L1009" i="3"/>
  <c r="N1009" i="3"/>
  <c r="O1009" i="3"/>
  <c r="P1009" i="3"/>
  <c r="Q1009" i="3"/>
  <c r="R1009" i="3"/>
  <c r="G1010" i="3"/>
  <c r="H1010" i="3"/>
  <c r="I1010" i="3"/>
  <c r="J1010" i="3"/>
  <c r="K1010" i="3"/>
  <c r="L1010" i="3"/>
  <c r="N1010" i="3"/>
  <c r="O1010" i="3"/>
  <c r="P1010" i="3"/>
  <c r="Q1010" i="3"/>
  <c r="R1010" i="3"/>
  <c r="G1011" i="3"/>
  <c r="H1011" i="3"/>
  <c r="I1011" i="3"/>
  <c r="J1011" i="3"/>
  <c r="K1011" i="3"/>
  <c r="L1011" i="3"/>
  <c r="N1011" i="3"/>
  <c r="O1011" i="3"/>
  <c r="P1011" i="3"/>
  <c r="Q1011" i="3"/>
  <c r="R1011" i="3"/>
  <c r="G1012" i="3"/>
  <c r="H1012" i="3"/>
  <c r="I1012" i="3"/>
  <c r="J1012" i="3"/>
  <c r="K1012" i="3"/>
  <c r="L1012" i="3"/>
  <c r="N1012" i="3"/>
  <c r="O1012" i="3"/>
  <c r="P1012" i="3"/>
  <c r="Q1012" i="3"/>
  <c r="R1012" i="3"/>
  <c r="G1013" i="3"/>
  <c r="H1013" i="3"/>
  <c r="I1013" i="3"/>
  <c r="J1013" i="3"/>
  <c r="K1013" i="3"/>
  <c r="L1013" i="3"/>
  <c r="N1013" i="3"/>
  <c r="O1013" i="3"/>
  <c r="P1013" i="3"/>
  <c r="Q1013" i="3"/>
  <c r="R1013" i="3"/>
  <c r="G1014" i="3"/>
  <c r="H1014" i="3"/>
  <c r="I1014" i="3"/>
  <c r="J1014" i="3"/>
  <c r="K1014" i="3"/>
  <c r="L1014" i="3"/>
  <c r="N1014" i="3"/>
  <c r="O1014" i="3"/>
  <c r="P1014" i="3"/>
  <c r="Q1014" i="3"/>
  <c r="R1014" i="3"/>
  <c r="G1015" i="3"/>
  <c r="H1015" i="3"/>
  <c r="I1015" i="3"/>
  <c r="J1015" i="3"/>
  <c r="K1015" i="3"/>
  <c r="L1015" i="3"/>
  <c r="N1015" i="3"/>
  <c r="O1015" i="3"/>
  <c r="P1015" i="3"/>
  <c r="Q1015" i="3"/>
  <c r="R1015" i="3"/>
  <c r="G1016" i="3"/>
  <c r="H1016" i="3"/>
  <c r="I1016" i="3"/>
  <c r="J1016" i="3"/>
  <c r="K1016" i="3"/>
  <c r="L1016" i="3"/>
  <c r="N1016" i="3"/>
  <c r="O1016" i="3"/>
  <c r="P1016" i="3"/>
  <c r="Q1016" i="3"/>
  <c r="R1016" i="3"/>
  <c r="G5" i="3" a="1"/>
  <c r="G5" i="3"/>
  <c r="T12" i="3" s="1"/>
  <c r="U12" i="3" s="1"/>
  <c r="H5" i="3" a="1"/>
  <c r="H5" i="3"/>
  <c r="T13" i="3" s="1"/>
  <c r="U13" i="3" s="1"/>
  <c r="I5" i="3" a="1"/>
  <c r="I5" i="3"/>
  <c r="AC28" i="3" s="1"/>
  <c r="J5" i="3" a="1"/>
  <c r="J5" i="3" s="1"/>
  <c r="K5" i="3" a="1"/>
  <c r="K5" i="3" s="1"/>
  <c r="K17" i="3" s="1"/>
  <c r="G18" i="3"/>
  <c r="H18" i="3"/>
  <c r="I18" i="3"/>
  <c r="J18" i="3"/>
  <c r="K18" i="3"/>
  <c r="L18" i="3"/>
  <c r="N18" i="3"/>
  <c r="O18" i="3"/>
  <c r="P18" i="3"/>
  <c r="Q18" i="3"/>
  <c r="R18" i="3"/>
  <c r="G19" i="3"/>
  <c r="H19" i="3"/>
  <c r="I19" i="3"/>
  <c r="J19" i="3"/>
  <c r="K19" i="3"/>
  <c r="L19" i="3"/>
  <c r="N19" i="3"/>
  <c r="O19" i="3"/>
  <c r="P19" i="3"/>
  <c r="Q19" i="3"/>
  <c r="R19" i="3"/>
  <c r="G20" i="3"/>
  <c r="H20" i="3"/>
  <c r="I20" i="3"/>
  <c r="J20" i="3"/>
  <c r="K20" i="3"/>
  <c r="L20" i="3"/>
  <c r="N20" i="3"/>
  <c r="O20" i="3"/>
  <c r="P20" i="3"/>
  <c r="Q20" i="3"/>
  <c r="R20" i="3"/>
  <c r="G21" i="3"/>
  <c r="H21" i="3"/>
  <c r="I21" i="3"/>
  <c r="J21" i="3"/>
  <c r="K21" i="3"/>
  <c r="L21" i="3"/>
  <c r="N21" i="3"/>
  <c r="O21" i="3"/>
  <c r="P21" i="3"/>
  <c r="Q21" i="3"/>
  <c r="R21" i="3"/>
  <c r="G22" i="3"/>
  <c r="H22" i="3"/>
  <c r="I22" i="3"/>
  <c r="J22" i="3"/>
  <c r="K22" i="3"/>
  <c r="L22" i="3"/>
  <c r="N22" i="3"/>
  <c r="O22" i="3"/>
  <c r="P22" i="3"/>
  <c r="Q22" i="3"/>
  <c r="R22" i="3"/>
  <c r="G23" i="3"/>
  <c r="H23" i="3"/>
  <c r="I23" i="3"/>
  <c r="J23" i="3"/>
  <c r="K23" i="3"/>
  <c r="L23" i="3"/>
  <c r="N23" i="3"/>
  <c r="O23" i="3"/>
  <c r="P23" i="3"/>
  <c r="Q23" i="3"/>
  <c r="R23" i="3"/>
  <c r="G24" i="3"/>
  <c r="H24" i="3"/>
  <c r="I24" i="3"/>
  <c r="J24" i="3"/>
  <c r="K24" i="3"/>
  <c r="L24" i="3"/>
  <c r="N24" i="3"/>
  <c r="O24" i="3"/>
  <c r="P24" i="3"/>
  <c r="Q24" i="3"/>
  <c r="R24" i="3"/>
  <c r="G25" i="3"/>
  <c r="H25" i="3"/>
  <c r="I25" i="3"/>
  <c r="J25" i="3"/>
  <c r="K25" i="3"/>
  <c r="L25" i="3"/>
  <c r="N25" i="3"/>
  <c r="O25" i="3"/>
  <c r="P25" i="3"/>
  <c r="Q25" i="3"/>
  <c r="R25" i="3"/>
  <c r="G26" i="3"/>
  <c r="H26" i="3"/>
  <c r="I26" i="3"/>
  <c r="J26" i="3"/>
  <c r="K26" i="3"/>
  <c r="L26" i="3"/>
  <c r="N26" i="3"/>
  <c r="O26" i="3"/>
  <c r="P26" i="3"/>
  <c r="Q26" i="3"/>
  <c r="R26" i="3"/>
  <c r="G27" i="3"/>
  <c r="H27" i="3"/>
  <c r="I27" i="3"/>
  <c r="J27" i="3"/>
  <c r="K27" i="3"/>
  <c r="L27" i="3"/>
  <c r="N27" i="3"/>
  <c r="O27" i="3"/>
  <c r="P27" i="3"/>
  <c r="Q27" i="3"/>
  <c r="R27" i="3"/>
  <c r="G28" i="3"/>
  <c r="H28" i="3"/>
  <c r="I28" i="3"/>
  <c r="J28" i="3"/>
  <c r="K28" i="3"/>
  <c r="L28" i="3"/>
  <c r="N28" i="3"/>
  <c r="O28" i="3"/>
  <c r="P28" i="3"/>
  <c r="Q28" i="3"/>
  <c r="R28" i="3"/>
  <c r="G29" i="3"/>
  <c r="H29" i="3"/>
  <c r="I29" i="3"/>
  <c r="J29" i="3"/>
  <c r="K29" i="3"/>
  <c r="L29" i="3"/>
  <c r="N29" i="3"/>
  <c r="O29" i="3"/>
  <c r="P29" i="3"/>
  <c r="Q29" i="3"/>
  <c r="R29" i="3"/>
  <c r="G30" i="3"/>
  <c r="H30" i="3"/>
  <c r="I30" i="3"/>
  <c r="J30" i="3"/>
  <c r="K30" i="3"/>
  <c r="L30" i="3"/>
  <c r="N30" i="3"/>
  <c r="O30" i="3"/>
  <c r="P30" i="3"/>
  <c r="Q30" i="3"/>
  <c r="R30" i="3"/>
  <c r="G31" i="3"/>
  <c r="H31" i="3"/>
  <c r="I31" i="3"/>
  <c r="J31" i="3"/>
  <c r="K31" i="3"/>
  <c r="L31" i="3"/>
  <c r="N31" i="3"/>
  <c r="O31" i="3"/>
  <c r="P31" i="3"/>
  <c r="Q31" i="3"/>
  <c r="R31" i="3"/>
  <c r="G32" i="3"/>
  <c r="H32" i="3"/>
  <c r="I32" i="3"/>
  <c r="J32" i="3"/>
  <c r="K32" i="3"/>
  <c r="L32" i="3"/>
  <c r="N32" i="3"/>
  <c r="O32" i="3"/>
  <c r="P32" i="3"/>
  <c r="Q32" i="3"/>
  <c r="R32" i="3"/>
  <c r="G33" i="3"/>
  <c r="H33" i="3"/>
  <c r="I33" i="3"/>
  <c r="J33" i="3"/>
  <c r="K33" i="3"/>
  <c r="L33" i="3"/>
  <c r="N33" i="3"/>
  <c r="O33" i="3"/>
  <c r="P33" i="3"/>
  <c r="Q33" i="3"/>
  <c r="R33" i="3"/>
  <c r="G34" i="3"/>
  <c r="H34" i="3"/>
  <c r="I34" i="3"/>
  <c r="J34" i="3"/>
  <c r="K34" i="3"/>
  <c r="L34" i="3"/>
  <c r="N34" i="3"/>
  <c r="O34" i="3"/>
  <c r="P34" i="3"/>
  <c r="Q34" i="3"/>
  <c r="R34" i="3"/>
  <c r="G35" i="3"/>
  <c r="H35" i="3"/>
  <c r="I35" i="3"/>
  <c r="J35" i="3"/>
  <c r="K35" i="3"/>
  <c r="L35" i="3"/>
  <c r="N35" i="3"/>
  <c r="O35" i="3"/>
  <c r="P35" i="3"/>
  <c r="Q35" i="3"/>
  <c r="R35" i="3"/>
  <c r="G36" i="3"/>
  <c r="H36" i="3"/>
  <c r="I36" i="3"/>
  <c r="J36" i="3"/>
  <c r="K36" i="3"/>
  <c r="L36" i="3"/>
  <c r="N36" i="3"/>
  <c r="O36" i="3"/>
  <c r="P36" i="3"/>
  <c r="Q36" i="3"/>
  <c r="R36" i="3"/>
  <c r="G37" i="3"/>
  <c r="H37" i="3"/>
  <c r="I37" i="3"/>
  <c r="J37" i="3"/>
  <c r="K37" i="3"/>
  <c r="L37" i="3"/>
  <c r="N37" i="3"/>
  <c r="O37" i="3"/>
  <c r="P37" i="3"/>
  <c r="Q37" i="3"/>
  <c r="R37" i="3"/>
  <c r="G38" i="3"/>
  <c r="H38" i="3"/>
  <c r="I38" i="3"/>
  <c r="J38" i="3"/>
  <c r="K38" i="3"/>
  <c r="L38" i="3"/>
  <c r="N38" i="3"/>
  <c r="O38" i="3"/>
  <c r="P38" i="3"/>
  <c r="Q38" i="3"/>
  <c r="R38" i="3"/>
  <c r="G39" i="3"/>
  <c r="H39" i="3"/>
  <c r="I39" i="3"/>
  <c r="J39" i="3"/>
  <c r="K39" i="3"/>
  <c r="L39" i="3"/>
  <c r="N39" i="3"/>
  <c r="O39" i="3"/>
  <c r="P39" i="3"/>
  <c r="Q39" i="3"/>
  <c r="R39" i="3"/>
  <c r="G40" i="3"/>
  <c r="H40" i="3"/>
  <c r="I40" i="3"/>
  <c r="J40" i="3"/>
  <c r="K40" i="3"/>
  <c r="L40" i="3"/>
  <c r="N40" i="3"/>
  <c r="O40" i="3"/>
  <c r="P40" i="3"/>
  <c r="Q40" i="3"/>
  <c r="R40" i="3"/>
  <c r="G41" i="3"/>
  <c r="H41" i="3"/>
  <c r="I41" i="3"/>
  <c r="J41" i="3"/>
  <c r="K41" i="3"/>
  <c r="L41" i="3"/>
  <c r="N41" i="3"/>
  <c r="O41" i="3"/>
  <c r="P41" i="3"/>
  <c r="Q41" i="3"/>
  <c r="R41" i="3"/>
  <c r="G42" i="3"/>
  <c r="H42" i="3"/>
  <c r="I42" i="3"/>
  <c r="J42" i="3"/>
  <c r="K42" i="3"/>
  <c r="L42" i="3"/>
  <c r="N42" i="3"/>
  <c r="O42" i="3"/>
  <c r="P42" i="3"/>
  <c r="Q42" i="3"/>
  <c r="R42" i="3"/>
  <c r="G43" i="3"/>
  <c r="H43" i="3"/>
  <c r="I43" i="3"/>
  <c r="J43" i="3"/>
  <c r="K43" i="3"/>
  <c r="L43" i="3"/>
  <c r="N43" i="3"/>
  <c r="O43" i="3"/>
  <c r="P43" i="3"/>
  <c r="Q43" i="3"/>
  <c r="R43" i="3"/>
  <c r="G44" i="3"/>
  <c r="H44" i="3"/>
  <c r="I44" i="3"/>
  <c r="J44" i="3"/>
  <c r="K44" i="3"/>
  <c r="L44" i="3"/>
  <c r="N44" i="3"/>
  <c r="O44" i="3"/>
  <c r="P44" i="3"/>
  <c r="Q44" i="3"/>
  <c r="R44" i="3"/>
  <c r="G45" i="3"/>
  <c r="H45" i="3"/>
  <c r="I45" i="3"/>
  <c r="J45" i="3"/>
  <c r="K45" i="3"/>
  <c r="L45" i="3"/>
  <c r="N45" i="3"/>
  <c r="O45" i="3"/>
  <c r="P45" i="3"/>
  <c r="Q45" i="3"/>
  <c r="R45" i="3"/>
  <c r="G46" i="3"/>
  <c r="H46" i="3"/>
  <c r="I46" i="3"/>
  <c r="J46" i="3"/>
  <c r="K46" i="3"/>
  <c r="L46" i="3"/>
  <c r="N46" i="3"/>
  <c r="O46" i="3"/>
  <c r="P46" i="3"/>
  <c r="Q46" i="3"/>
  <c r="R46" i="3"/>
  <c r="G47" i="3"/>
  <c r="H47" i="3"/>
  <c r="I47" i="3"/>
  <c r="J47" i="3"/>
  <c r="K47" i="3"/>
  <c r="L47" i="3"/>
  <c r="N47" i="3"/>
  <c r="O47" i="3"/>
  <c r="P47" i="3"/>
  <c r="Q47" i="3"/>
  <c r="R47" i="3"/>
  <c r="G48" i="3"/>
  <c r="H48" i="3"/>
  <c r="I48" i="3"/>
  <c r="J48" i="3"/>
  <c r="K48" i="3"/>
  <c r="L48" i="3"/>
  <c r="N48" i="3"/>
  <c r="O48" i="3"/>
  <c r="P48" i="3"/>
  <c r="Q48" i="3"/>
  <c r="R48" i="3"/>
  <c r="G49" i="3"/>
  <c r="H49" i="3"/>
  <c r="I49" i="3"/>
  <c r="J49" i="3"/>
  <c r="K49" i="3"/>
  <c r="L49" i="3"/>
  <c r="N49" i="3"/>
  <c r="O49" i="3"/>
  <c r="P49" i="3"/>
  <c r="Q49" i="3"/>
  <c r="R49" i="3"/>
  <c r="G50" i="3"/>
  <c r="H50" i="3"/>
  <c r="I50" i="3"/>
  <c r="J50" i="3"/>
  <c r="K50" i="3"/>
  <c r="L50" i="3"/>
  <c r="N50" i="3"/>
  <c r="O50" i="3"/>
  <c r="P50" i="3"/>
  <c r="Q50" i="3"/>
  <c r="R50" i="3"/>
  <c r="G51" i="3"/>
  <c r="H51" i="3"/>
  <c r="I51" i="3"/>
  <c r="J51" i="3"/>
  <c r="K51" i="3"/>
  <c r="L51" i="3"/>
  <c r="N51" i="3"/>
  <c r="O51" i="3"/>
  <c r="P51" i="3"/>
  <c r="Q51" i="3"/>
  <c r="R51" i="3"/>
  <c r="G52" i="3"/>
  <c r="H52" i="3"/>
  <c r="I52" i="3"/>
  <c r="J52" i="3"/>
  <c r="K52" i="3"/>
  <c r="L52" i="3"/>
  <c r="N52" i="3"/>
  <c r="O52" i="3"/>
  <c r="P52" i="3"/>
  <c r="Q52" i="3"/>
  <c r="R52" i="3"/>
  <c r="G53" i="3"/>
  <c r="H53" i="3"/>
  <c r="I53" i="3"/>
  <c r="J53" i="3"/>
  <c r="K53" i="3"/>
  <c r="L53" i="3"/>
  <c r="N53" i="3"/>
  <c r="O53" i="3"/>
  <c r="P53" i="3"/>
  <c r="Q53" i="3"/>
  <c r="R53" i="3"/>
  <c r="G54" i="3"/>
  <c r="H54" i="3"/>
  <c r="I54" i="3"/>
  <c r="J54" i="3"/>
  <c r="K54" i="3"/>
  <c r="L54" i="3"/>
  <c r="N54" i="3"/>
  <c r="O54" i="3"/>
  <c r="P54" i="3"/>
  <c r="Q54" i="3"/>
  <c r="R54" i="3"/>
  <c r="G55" i="3"/>
  <c r="H55" i="3"/>
  <c r="I55" i="3"/>
  <c r="J55" i="3"/>
  <c r="K55" i="3"/>
  <c r="L55" i="3"/>
  <c r="N55" i="3"/>
  <c r="O55" i="3"/>
  <c r="P55" i="3"/>
  <c r="Q55" i="3"/>
  <c r="R55" i="3"/>
  <c r="G56" i="3"/>
  <c r="H56" i="3"/>
  <c r="I56" i="3"/>
  <c r="J56" i="3"/>
  <c r="K56" i="3"/>
  <c r="L56" i="3"/>
  <c r="N56" i="3"/>
  <c r="O56" i="3"/>
  <c r="P56" i="3"/>
  <c r="Q56" i="3"/>
  <c r="R56" i="3"/>
  <c r="G57" i="3"/>
  <c r="H57" i="3"/>
  <c r="I57" i="3"/>
  <c r="J57" i="3"/>
  <c r="K57" i="3"/>
  <c r="L57" i="3"/>
  <c r="N57" i="3"/>
  <c r="O57" i="3"/>
  <c r="P57" i="3"/>
  <c r="Q57" i="3"/>
  <c r="R57" i="3"/>
  <c r="G58" i="3"/>
  <c r="H58" i="3"/>
  <c r="I58" i="3"/>
  <c r="J58" i="3"/>
  <c r="K58" i="3"/>
  <c r="L58" i="3"/>
  <c r="N58" i="3"/>
  <c r="O58" i="3"/>
  <c r="P58" i="3"/>
  <c r="Q58" i="3"/>
  <c r="R58" i="3"/>
  <c r="G59" i="3"/>
  <c r="H59" i="3"/>
  <c r="I59" i="3"/>
  <c r="J59" i="3"/>
  <c r="K59" i="3"/>
  <c r="L59" i="3"/>
  <c r="N59" i="3"/>
  <c r="O59" i="3"/>
  <c r="P59" i="3"/>
  <c r="Q59" i="3"/>
  <c r="R59" i="3"/>
  <c r="G60" i="3"/>
  <c r="H60" i="3"/>
  <c r="I60" i="3"/>
  <c r="J60" i="3"/>
  <c r="K60" i="3"/>
  <c r="L60" i="3"/>
  <c r="N60" i="3"/>
  <c r="O60" i="3"/>
  <c r="P60" i="3"/>
  <c r="Q60" i="3"/>
  <c r="R60" i="3"/>
  <c r="G61" i="3"/>
  <c r="H61" i="3"/>
  <c r="I61" i="3"/>
  <c r="J61" i="3"/>
  <c r="K61" i="3"/>
  <c r="L61" i="3"/>
  <c r="N61" i="3"/>
  <c r="O61" i="3"/>
  <c r="P61" i="3"/>
  <c r="Q61" i="3"/>
  <c r="R61" i="3"/>
  <c r="G62" i="3"/>
  <c r="H62" i="3"/>
  <c r="I62" i="3"/>
  <c r="J62" i="3"/>
  <c r="K62" i="3"/>
  <c r="L62" i="3"/>
  <c r="N62" i="3"/>
  <c r="O62" i="3"/>
  <c r="P62" i="3"/>
  <c r="Q62" i="3"/>
  <c r="R62" i="3"/>
  <c r="G63" i="3"/>
  <c r="H63" i="3"/>
  <c r="I63" i="3"/>
  <c r="J63" i="3"/>
  <c r="K63" i="3"/>
  <c r="L63" i="3"/>
  <c r="N63" i="3"/>
  <c r="O63" i="3"/>
  <c r="P63" i="3"/>
  <c r="Q63" i="3"/>
  <c r="R63" i="3"/>
  <c r="G64" i="3"/>
  <c r="H64" i="3"/>
  <c r="I64" i="3"/>
  <c r="J64" i="3"/>
  <c r="K64" i="3"/>
  <c r="L64" i="3"/>
  <c r="N64" i="3"/>
  <c r="O64" i="3"/>
  <c r="P64" i="3"/>
  <c r="Q64" i="3"/>
  <c r="R64" i="3"/>
  <c r="G65" i="3"/>
  <c r="H65" i="3"/>
  <c r="I65" i="3"/>
  <c r="J65" i="3"/>
  <c r="K65" i="3"/>
  <c r="L65" i="3"/>
  <c r="N65" i="3"/>
  <c r="O65" i="3"/>
  <c r="P65" i="3"/>
  <c r="Q65" i="3"/>
  <c r="R65" i="3"/>
  <c r="G66" i="3"/>
  <c r="H66" i="3"/>
  <c r="I66" i="3"/>
  <c r="J66" i="3"/>
  <c r="K66" i="3"/>
  <c r="L66" i="3"/>
  <c r="N66" i="3"/>
  <c r="O66" i="3"/>
  <c r="P66" i="3"/>
  <c r="Q66" i="3"/>
  <c r="R66" i="3"/>
  <c r="G67" i="3"/>
  <c r="H67" i="3"/>
  <c r="I67" i="3"/>
  <c r="J67" i="3"/>
  <c r="K67" i="3"/>
  <c r="L67" i="3"/>
  <c r="N67" i="3"/>
  <c r="O67" i="3"/>
  <c r="P67" i="3"/>
  <c r="Q67" i="3"/>
  <c r="R67" i="3"/>
  <c r="G68" i="3"/>
  <c r="H68" i="3"/>
  <c r="I68" i="3"/>
  <c r="J68" i="3"/>
  <c r="K68" i="3"/>
  <c r="L68" i="3"/>
  <c r="N68" i="3"/>
  <c r="O68" i="3"/>
  <c r="P68" i="3"/>
  <c r="Q68" i="3"/>
  <c r="R68" i="3"/>
  <c r="G69" i="3"/>
  <c r="H69" i="3"/>
  <c r="I69" i="3"/>
  <c r="J69" i="3"/>
  <c r="K69" i="3"/>
  <c r="L69" i="3"/>
  <c r="N69" i="3"/>
  <c r="O69" i="3"/>
  <c r="P69" i="3"/>
  <c r="Q69" i="3"/>
  <c r="R69" i="3"/>
  <c r="G70" i="3"/>
  <c r="H70" i="3"/>
  <c r="I70" i="3"/>
  <c r="J70" i="3"/>
  <c r="K70" i="3"/>
  <c r="L70" i="3"/>
  <c r="N70" i="3"/>
  <c r="O70" i="3"/>
  <c r="P70" i="3"/>
  <c r="Q70" i="3"/>
  <c r="R70" i="3"/>
  <c r="G71" i="3"/>
  <c r="H71" i="3"/>
  <c r="I71" i="3"/>
  <c r="J71" i="3"/>
  <c r="K71" i="3"/>
  <c r="L71" i="3"/>
  <c r="N71" i="3"/>
  <c r="O71" i="3"/>
  <c r="P71" i="3"/>
  <c r="Q71" i="3"/>
  <c r="R71" i="3"/>
  <c r="G72" i="3"/>
  <c r="H72" i="3"/>
  <c r="I72" i="3"/>
  <c r="J72" i="3"/>
  <c r="K72" i="3"/>
  <c r="L72" i="3"/>
  <c r="N72" i="3"/>
  <c r="O72" i="3"/>
  <c r="P72" i="3"/>
  <c r="Q72" i="3"/>
  <c r="R72" i="3"/>
  <c r="G73" i="3"/>
  <c r="H73" i="3"/>
  <c r="I73" i="3"/>
  <c r="J73" i="3"/>
  <c r="K73" i="3"/>
  <c r="L73" i="3"/>
  <c r="N73" i="3"/>
  <c r="O73" i="3"/>
  <c r="P73" i="3"/>
  <c r="Q73" i="3"/>
  <c r="R73" i="3"/>
  <c r="G74" i="3"/>
  <c r="H74" i="3"/>
  <c r="I74" i="3"/>
  <c r="J74" i="3"/>
  <c r="K74" i="3"/>
  <c r="L74" i="3"/>
  <c r="N74" i="3"/>
  <c r="O74" i="3"/>
  <c r="P74" i="3"/>
  <c r="Q74" i="3"/>
  <c r="R74" i="3"/>
  <c r="G75" i="3"/>
  <c r="H75" i="3"/>
  <c r="I75" i="3"/>
  <c r="J75" i="3"/>
  <c r="K75" i="3"/>
  <c r="L75" i="3"/>
  <c r="N75" i="3"/>
  <c r="O75" i="3"/>
  <c r="P75" i="3"/>
  <c r="Q75" i="3"/>
  <c r="R75" i="3"/>
  <c r="G76" i="3"/>
  <c r="H76" i="3"/>
  <c r="I76" i="3"/>
  <c r="J76" i="3"/>
  <c r="K76" i="3"/>
  <c r="L76" i="3"/>
  <c r="N76" i="3"/>
  <c r="O76" i="3"/>
  <c r="P76" i="3"/>
  <c r="Q76" i="3"/>
  <c r="R76" i="3"/>
  <c r="G77" i="3"/>
  <c r="H77" i="3"/>
  <c r="I77" i="3"/>
  <c r="J77" i="3"/>
  <c r="K77" i="3"/>
  <c r="L77" i="3"/>
  <c r="N77" i="3"/>
  <c r="O77" i="3"/>
  <c r="P77" i="3"/>
  <c r="Q77" i="3"/>
  <c r="R77" i="3"/>
  <c r="G78" i="3"/>
  <c r="H78" i="3"/>
  <c r="I78" i="3"/>
  <c r="J78" i="3"/>
  <c r="K78" i="3"/>
  <c r="L78" i="3"/>
  <c r="N78" i="3"/>
  <c r="O78" i="3"/>
  <c r="P78" i="3"/>
  <c r="Q78" i="3"/>
  <c r="R78" i="3"/>
  <c r="G79" i="3"/>
  <c r="H79" i="3"/>
  <c r="I79" i="3"/>
  <c r="J79" i="3"/>
  <c r="K79" i="3"/>
  <c r="L79" i="3"/>
  <c r="N79" i="3"/>
  <c r="O79" i="3"/>
  <c r="P79" i="3"/>
  <c r="Q79" i="3"/>
  <c r="R79" i="3"/>
  <c r="G80" i="3"/>
  <c r="H80" i="3"/>
  <c r="I80" i="3"/>
  <c r="J80" i="3"/>
  <c r="K80" i="3"/>
  <c r="L80" i="3"/>
  <c r="N80" i="3"/>
  <c r="O80" i="3"/>
  <c r="P80" i="3"/>
  <c r="Q80" i="3"/>
  <c r="R80" i="3"/>
  <c r="G81" i="3"/>
  <c r="H81" i="3"/>
  <c r="I81" i="3"/>
  <c r="J81" i="3"/>
  <c r="K81" i="3"/>
  <c r="L81" i="3"/>
  <c r="N81" i="3"/>
  <c r="O81" i="3"/>
  <c r="P81" i="3"/>
  <c r="Q81" i="3"/>
  <c r="R81" i="3"/>
  <c r="G82" i="3"/>
  <c r="H82" i="3"/>
  <c r="I82" i="3"/>
  <c r="J82" i="3"/>
  <c r="K82" i="3"/>
  <c r="L82" i="3"/>
  <c r="N82" i="3"/>
  <c r="O82" i="3"/>
  <c r="P82" i="3"/>
  <c r="Q82" i="3"/>
  <c r="R82" i="3"/>
  <c r="G83" i="3"/>
  <c r="H83" i="3"/>
  <c r="I83" i="3"/>
  <c r="J83" i="3"/>
  <c r="K83" i="3"/>
  <c r="L83" i="3"/>
  <c r="N83" i="3"/>
  <c r="O83" i="3"/>
  <c r="P83" i="3"/>
  <c r="Q83" i="3"/>
  <c r="R83" i="3"/>
  <c r="G84" i="3"/>
  <c r="H84" i="3"/>
  <c r="I84" i="3"/>
  <c r="J84" i="3"/>
  <c r="K84" i="3"/>
  <c r="L84" i="3"/>
  <c r="N84" i="3"/>
  <c r="O84" i="3"/>
  <c r="P84" i="3"/>
  <c r="Q84" i="3"/>
  <c r="R84" i="3"/>
  <c r="G85" i="3"/>
  <c r="H85" i="3"/>
  <c r="I85" i="3"/>
  <c r="J85" i="3"/>
  <c r="K85" i="3"/>
  <c r="L85" i="3"/>
  <c r="N85" i="3"/>
  <c r="O85" i="3"/>
  <c r="P85" i="3"/>
  <c r="Q85" i="3"/>
  <c r="R85" i="3"/>
  <c r="G86" i="3"/>
  <c r="H86" i="3"/>
  <c r="I86" i="3"/>
  <c r="J86" i="3"/>
  <c r="K86" i="3"/>
  <c r="L86" i="3"/>
  <c r="N86" i="3"/>
  <c r="O86" i="3"/>
  <c r="P86" i="3"/>
  <c r="Q86" i="3"/>
  <c r="R86" i="3"/>
  <c r="G87" i="3"/>
  <c r="H87" i="3"/>
  <c r="I87" i="3"/>
  <c r="J87" i="3"/>
  <c r="K87" i="3"/>
  <c r="L87" i="3"/>
  <c r="N87" i="3"/>
  <c r="O87" i="3"/>
  <c r="P87" i="3"/>
  <c r="Q87" i="3"/>
  <c r="R87" i="3"/>
  <c r="G88" i="3"/>
  <c r="H88" i="3"/>
  <c r="I88" i="3"/>
  <c r="J88" i="3"/>
  <c r="K88" i="3"/>
  <c r="L88" i="3"/>
  <c r="N88" i="3"/>
  <c r="O88" i="3"/>
  <c r="P88" i="3"/>
  <c r="Q88" i="3"/>
  <c r="R88" i="3"/>
  <c r="G89" i="3"/>
  <c r="H89" i="3"/>
  <c r="I89" i="3"/>
  <c r="J89" i="3"/>
  <c r="K89" i="3"/>
  <c r="L89" i="3"/>
  <c r="N89" i="3"/>
  <c r="O89" i="3"/>
  <c r="P89" i="3"/>
  <c r="Q89" i="3"/>
  <c r="R89" i="3"/>
  <c r="G90" i="3"/>
  <c r="H90" i="3"/>
  <c r="I90" i="3"/>
  <c r="J90" i="3"/>
  <c r="K90" i="3"/>
  <c r="L90" i="3"/>
  <c r="N90" i="3"/>
  <c r="O90" i="3"/>
  <c r="P90" i="3"/>
  <c r="Q90" i="3"/>
  <c r="R90" i="3"/>
  <c r="G91" i="3"/>
  <c r="H91" i="3"/>
  <c r="I91" i="3"/>
  <c r="J91" i="3"/>
  <c r="K91" i="3"/>
  <c r="L91" i="3"/>
  <c r="N91" i="3"/>
  <c r="O91" i="3"/>
  <c r="P91" i="3"/>
  <c r="Q91" i="3"/>
  <c r="R91" i="3"/>
  <c r="G92" i="3"/>
  <c r="H92" i="3"/>
  <c r="I92" i="3"/>
  <c r="J92" i="3"/>
  <c r="K92" i="3"/>
  <c r="L92" i="3"/>
  <c r="N92" i="3"/>
  <c r="O92" i="3"/>
  <c r="P92" i="3"/>
  <c r="Q92" i="3"/>
  <c r="R92" i="3"/>
  <c r="G93" i="3"/>
  <c r="H93" i="3"/>
  <c r="I93" i="3"/>
  <c r="J93" i="3"/>
  <c r="K93" i="3"/>
  <c r="L93" i="3"/>
  <c r="N93" i="3"/>
  <c r="O93" i="3"/>
  <c r="P93" i="3"/>
  <c r="Q93" i="3"/>
  <c r="R93" i="3"/>
  <c r="G94" i="3"/>
  <c r="H94" i="3"/>
  <c r="I94" i="3"/>
  <c r="J94" i="3"/>
  <c r="K94" i="3"/>
  <c r="L94" i="3"/>
  <c r="N94" i="3"/>
  <c r="O94" i="3"/>
  <c r="P94" i="3"/>
  <c r="Q94" i="3"/>
  <c r="R94" i="3"/>
  <c r="G95" i="3"/>
  <c r="H95" i="3"/>
  <c r="I95" i="3"/>
  <c r="J95" i="3"/>
  <c r="K95" i="3"/>
  <c r="L95" i="3"/>
  <c r="N95" i="3"/>
  <c r="O95" i="3"/>
  <c r="P95" i="3"/>
  <c r="Q95" i="3"/>
  <c r="R95" i="3"/>
  <c r="G96" i="3"/>
  <c r="H96" i="3"/>
  <c r="I96" i="3"/>
  <c r="J96" i="3"/>
  <c r="K96" i="3"/>
  <c r="L96" i="3"/>
  <c r="N96" i="3"/>
  <c r="O96" i="3"/>
  <c r="P96" i="3"/>
  <c r="Q96" i="3"/>
  <c r="R96" i="3"/>
  <c r="G97" i="3"/>
  <c r="H97" i="3"/>
  <c r="I97" i="3"/>
  <c r="J97" i="3"/>
  <c r="K97" i="3"/>
  <c r="L97" i="3"/>
  <c r="N97" i="3"/>
  <c r="O97" i="3"/>
  <c r="P97" i="3"/>
  <c r="Q97" i="3"/>
  <c r="R97" i="3"/>
  <c r="G98" i="3"/>
  <c r="H98" i="3"/>
  <c r="I98" i="3"/>
  <c r="J98" i="3"/>
  <c r="K98" i="3"/>
  <c r="L98" i="3"/>
  <c r="N98" i="3"/>
  <c r="O98" i="3"/>
  <c r="P98" i="3"/>
  <c r="Q98" i="3"/>
  <c r="R98" i="3"/>
  <c r="G99" i="3"/>
  <c r="H99" i="3"/>
  <c r="I99" i="3"/>
  <c r="J99" i="3"/>
  <c r="K99" i="3"/>
  <c r="L99" i="3"/>
  <c r="N99" i="3"/>
  <c r="O99" i="3"/>
  <c r="P99" i="3"/>
  <c r="Q99" i="3"/>
  <c r="R99" i="3"/>
  <c r="G100" i="3"/>
  <c r="H100" i="3"/>
  <c r="I100" i="3"/>
  <c r="J100" i="3"/>
  <c r="K100" i="3"/>
  <c r="L100" i="3"/>
  <c r="N100" i="3"/>
  <c r="O100" i="3"/>
  <c r="P100" i="3"/>
  <c r="Q100" i="3"/>
  <c r="R100" i="3"/>
  <c r="G101" i="3"/>
  <c r="H101" i="3"/>
  <c r="I101" i="3"/>
  <c r="J101" i="3"/>
  <c r="K101" i="3"/>
  <c r="L101" i="3"/>
  <c r="N101" i="3"/>
  <c r="O101" i="3"/>
  <c r="P101" i="3"/>
  <c r="Q101" i="3"/>
  <c r="R101" i="3"/>
  <c r="G102" i="3"/>
  <c r="H102" i="3"/>
  <c r="I102" i="3"/>
  <c r="J102" i="3"/>
  <c r="K102" i="3"/>
  <c r="L102" i="3"/>
  <c r="N102" i="3"/>
  <c r="O102" i="3"/>
  <c r="P102" i="3"/>
  <c r="Q102" i="3"/>
  <c r="R102" i="3"/>
  <c r="G103" i="3"/>
  <c r="H103" i="3"/>
  <c r="I103" i="3"/>
  <c r="J103" i="3"/>
  <c r="K103" i="3"/>
  <c r="L103" i="3"/>
  <c r="N103" i="3"/>
  <c r="O103" i="3"/>
  <c r="P103" i="3"/>
  <c r="Q103" i="3"/>
  <c r="R103" i="3"/>
  <c r="G104" i="3"/>
  <c r="H104" i="3"/>
  <c r="I104" i="3"/>
  <c r="J104" i="3"/>
  <c r="K104" i="3"/>
  <c r="L104" i="3"/>
  <c r="N104" i="3"/>
  <c r="O104" i="3"/>
  <c r="P104" i="3"/>
  <c r="Q104" i="3"/>
  <c r="R104" i="3"/>
  <c r="G105" i="3"/>
  <c r="H105" i="3"/>
  <c r="I105" i="3"/>
  <c r="J105" i="3"/>
  <c r="K105" i="3"/>
  <c r="L105" i="3"/>
  <c r="N105" i="3"/>
  <c r="O105" i="3"/>
  <c r="P105" i="3"/>
  <c r="Q105" i="3"/>
  <c r="R105" i="3"/>
  <c r="G106" i="3"/>
  <c r="H106" i="3"/>
  <c r="I106" i="3"/>
  <c r="J106" i="3"/>
  <c r="K106" i="3"/>
  <c r="L106" i="3"/>
  <c r="N106" i="3"/>
  <c r="O106" i="3"/>
  <c r="P106" i="3"/>
  <c r="Q106" i="3"/>
  <c r="R106" i="3"/>
  <c r="G107" i="3"/>
  <c r="H107" i="3"/>
  <c r="I107" i="3"/>
  <c r="J107" i="3"/>
  <c r="K107" i="3"/>
  <c r="L107" i="3"/>
  <c r="N107" i="3"/>
  <c r="O107" i="3"/>
  <c r="P107" i="3"/>
  <c r="Q107" i="3"/>
  <c r="R107" i="3"/>
  <c r="G108" i="3"/>
  <c r="H108" i="3"/>
  <c r="I108" i="3"/>
  <c r="J108" i="3"/>
  <c r="K108" i="3"/>
  <c r="L108" i="3"/>
  <c r="N108" i="3"/>
  <c r="O108" i="3"/>
  <c r="P108" i="3"/>
  <c r="Q108" i="3"/>
  <c r="R108" i="3"/>
  <c r="G109" i="3"/>
  <c r="H109" i="3"/>
  <c r="I109" i="3"/>
  <c r="J109" i="3"/>
  <c r="K109" i="3"/>
  <c r="L109" i="3"/>
  <c r="N109" i="3"/>
  <c r="O109" i="3"/>
  <c r="P109" i="3"/>
  <c r="Q109" i="3"/>
  <c r="R109" i="3"/>
  <c r="G110" i="3"/>
  <c r="H110" i="3"/>
  <c r="I110" i="3"/>
  <c r="J110" i="3"/>
  <c r="K110" i="3"/>
  <c r="L110" i="3"/>
  <c r="N110" i="3"/>
  <c r="O110" i="3"/>
  <c r="P110" i="3"/>
  <c r="Q110" i="3"/>
  <c r="R110" i="3"/>
  <c r="G111" i="3"/>
  <c r="H111" i="3"/>
  <c r="I111" i="3"/>
  <c r="J111" i="3"/>
  <c r="K111" i="3"/>
  <c r="L111" i="3"/>
  <c r="N111" i="3"/>
  <c r="O111" i="3"/>
  <c r="P111" i="3"/>
  <c r="Q111" i="3"/>
  <c r="R111" i="3"/>
  <c r="G112" i="3"/>
  <c r="H112" i="3"/>
  <c r="I112" i="3"/>
  <c r="J112" i="3"/>
  <c r="K112" i="3"/>
  <c r="L112" i="3"/>
  <c r="N112" i="3"/>
  <c r="O112" i="3"/>
  <c r="P112" i="3"/>
  <c r="Q112" i="3"/>
  <c r="R112" i="3"/>
  <c r="G113" i="3"/>
  <c r="H113" i="3"/>
  <c r="I113" i="3"/>
  <c r="J113" i="3"/>
  <c r="K113" i="3"/>
  <c r="L113" i="3"/>
  <c r="N113" i="3"/>
  <c r="O113" i="3"/>
  <c r="P113" i="3"/>
  <c r="Q113" i="3"/>
  <c r="R113" i="3"/>
  <c r="G114" i="3"/>
  <c r="H114" i="3"/>
  <c r="I114" i="3"/>
  <c r="J114" i="3"/>
  <c r="K114" i="3"/>
  <c r="L114" i="3"/>
  <c r="N114" i="3"/>
  <c r="O114" i="3"/>
  <c r="P114" i="3"/>
  <c r="Q114" i="3"/>
  <c r="R114" i="3"/>
  <c r="G115" i="3"/>
  <c r="H115" i="3"/>
  <c r="I115" i="3"/>
  <c r="J115" i="3"/>
  <c r="K115" i="3"/>
  <c r="L115" i="3"/>
  <c r="N115" i="3"/>
  <c r="O115" i="3"/>
  <c r="P115" i="3"/>
  <c r="Q115" i="3"/>
  <c r="R115" i="3"/>
  <c r="G116" i="3"/>
  <c r="H116" i="3"/>
  <c r="I116" i="3"/>
  <c r="J116" i="3"/>
  <c r="K116" i="3"/>
  <c r="L116" i="3"/>
  <c r="N116" i="3"/>
  <c r="O116" i="3"/>
  <c r="P116" i="3"/>
  <c r="Q116" i="3"/>
  <c r="R116" i="3"/>
  <c r="G117" i="3"/>
  <c r="H117" i="3"/>
  <c r="I117" i="3"/>
  <c r="J117" i="3"/>
  <c r="K117" i="3"/>
  <c r="L117" i="3"/>
  <c r="N117" i="3"/>
  <c r="O117" i="3"/>
  <c r="P117" i="3"/>
  <c r="Q117" i="3"/>
  <c r="R117" i="3"/>
  <c r="G118" i="3"/>
  <c r="H118" i="3"/>
  <c r="I118" i="3"/>
  <c r="J118" i="3"/>
  <c r="K118" i="3"/>
  <c r="L118" i="3"/>
  <c r="N118" i="3"/>
  <c r="O118" i="3"/>
  <c r="P118" i="3"/>
  <c r="Q118" i="3"/>
  <c r="R118" i="3"/>
  <c r="G119" i="3"/>
  <c r="H119" i="3"/>
  <c r="I119" i="3"/>
  <c r="J119" i="3"/>
  <c r="K119" i="3"/>
  <c r="L119" i="3"/>
  <c r="N119" i="3"/>
  <c r="O119" i="3"/>
  <c r="P119" i="3"/>
  <c r="Q119" i="3"/>
  <c r="R119" i="3"/>
  <c r="G120" i="3"/>
  <c r="H120" i="3"/>
  <c r="I120" i="3"/>
  <c r="J120" i="3"/>
  <c r="K120" i="3"/>
  <c r="L120" i="3"/>
  <c r="N120" i="3"/>
  <c r="O120" i="3"/>
  <c r="P120" i="3"/>
  <c r="Q120" i="3"/>
  <c r="R120" i="3"/>
  <c r="G121" i="3"/>
  <c r="H121" i="3"/>
  <c r="I121" i="3"/>
  <c r="J121" i="3"/>
  <c r="K121" i="3"/>
  <c r="L121" i="3"/>
  <c r="N121" i="3"/>
  <c r="O121" i="3"/>
  <c r="P121" i="3"/>
  <c r="Q121" i="3"/>
  <c r="R121" i="3"/>
  <c r="G122" i="3"/>
  <c r="H122" i="3"/>
  <c r="I122" i="3"/>
  <c r="J122" i="3"/>
  <c r="K122" i="3"/>
  <c r="L122" i="3"/>
  <c r="N122" i="3"/>
  <c r="O122" i="3"/>
  <c r="P122" i="3"/>
  <c r="Q122" i="3"/>
  <c r="R122" i="3"/>
  <c r="G123" i="3"/>
  <c r="H123" i="3"/>
  <c r="I123" i="3"/>
  <c r="J123" i="3"/>
  <c r="K123" i="3"/>
  <c r="L123" i="3"/>
  <c r="N123" i="3"/>
  <c r="O123" i="3"/>
  <c r="P123" i="3"/>
  <c r="Q123" i="3"/>
  <c r="R123" i="3"/>
  <c r="G124" i="3"/>
  <c r="H124" i="3"/>
  <c r="I124" i="3"/>
  <c r="J124" i="3"/>
  <c r="K124" i="3"/>
  <c r="L124" i="3"/>
  <c r="N124" i="3"/>
  <c r="O124" i="3"/>
  <c r="P124" i="3"/>
  <c r="Q124" i="3"/>
  <c r="R124" i="3"/>
  <c r="G125" i="3"/>
  <c r="H125" i="3"/>
  <c r="I125" i="3"/>
  <c r="J125" i="3"/>
  <c r="K125" i="3"/>
  <c r="L125" i="3"/>
  <c r="N125" i="3"/>
  <c r="O125" i="3"/>
  <c r="P125" i="3"/>
  <c r="Q125" i="3"/>
  <c r="R125" i="3"/>
  <c r="G126" i="3"/>
  <c r="H126" i="3"/>
  <c r="I126" i="3"/>
  <c r="J126" i="3"/>
  <c r="K126" i="3"/>
  <c r="L126" i="3"/>
  <c r="N126" i="3"/>
  <c r="O126" i="3"/>
  <c r="P126" i="3"/>
  <c r="Q126" i="3"/>
  <c r="R126" i="3"/>
  <c r="G127" i="3"/>
  <c r="H127" i="3"/>
  <c r="I127" i="3"/>
  <c r="J127" i="3"/>
  <c r="K127" i="3"/>
  <c r="L127" i="3"/>
  <c r="N127" i="3"/>
  <c r="O127" i="3"/>
  <c r="P127" i="3"/>
  <c r="Q127" i="3"/>
  <c r="R127" i="3"/>
  <c r="G128" i="3"/>
  <c r="H128" i="3"/>
  <c r="I128" i="3"/>
  <c r="J128" i="3"/>
  <c r="K128" i="3"/>
  <c r="L128" i="3"/>
  <c r="N128" i="3"/>
  <c r="O128" i="3"/>
  <c r="P128" i="3"/>
  <c r="Q128" i="3"/>
  <c r="R128" i="3"/>
  <c r="G129" i="3"/>
  <c r="H129" i="3"/>
  <c r="I129" i="3"/>
  <c r="J129" i="3"/>
  <c r="K129" i="3"/>
  <c r="L129" i="3"/>
  <c r="N129" i="3"/>
  <c r="O129" i="3"/>
  <c r="P129" i="3"/>
  <c r="Q129" i="3"/>
  <c r="R129" i="3"/>
  <c r="G130" i="3"/>
  <c r="H130" i="3"/>
  <c r="I130" i="3"/>
  <c r="J130" i="3"/>
  <c r="K130" i="3"/>
  <c r="L130" i="3"/>
  <c r="N130" i="3"/>
  <c r="O130" i="3"/>
  <c r="P130" i="3"/>
  <c r="Q130" i="3"/>
  <c r="R130" i="3"/>
  <c r="G131" i="3"/>
  <c r="H131" i="3"/>
  <c r="I131" i="3"/>
  <c r="J131" i="3"/>
  <c r="K131" i="3"/>
  <c r="L131" i="3"/>
  <c r="N131" i="3"/>
  <c r="O131" i="3"/>
  <c r="P131" i="3"/>
  <c r="Q131" i="3"/>
  <c r="R131" i="3"/>
  <c r="G132" i="3"/>
  <c r="H132" i="3"/>
  <c r="I132" i="3"/>
  <c r="J132" i="3"/>
  <c r="K132" i="3"/>
  <c r="L132" i="3"/>
  <c r="N132" i="3"/>
  <c r="O132" i="3"/>
  <c r="P132" i="3"/>
  <c r="Q132" i="3"/>
  <c r="R132" i="3"/>
  <c r="G133" i="3"/>
  <c r="H133" i="3"/>
  <c r="I133" i="3"/>
  <c r="J133" i="3"/>
  <c r="K133" i="3"/>
  <c r="L133" i="3"/>
  <c r="N133" i="3"/>
  <c r="O133" i="3"/>
  <c r="P133" i="3"/>
  <c r="Q133" i="3"/>
  <c r="R133" i="3"/>
  <c r="G134" i="3"/>
  <c r="H134" i="3"/>
  <c r="I134" i="3"/>
  <c r="J134" i="3"/>
  <c r="K134" i="3"/>
  <c r="L134" i="3"/>
  <c r="N134" i="3"/>
  <c r="O134" i="3"/>
  <c r="P134" i="3"/>
  <c r="Q134" i="3"/>
  <c r="R134" i="3"/>
  <c r="G135" i="3"/>
  <c r="H135" i="3"/>
  <c r="I135" i="3"/>
  <c r="J135" i="3"/>
  <c r="K135" i="3"/>
  <c r="L135" i="3"/>
  <c r="N135" i="3"/>
  <c r="O135" i="3"/>
  <c r="P135" i="3"/>
  <c r="Q135" i="3"/>
  <c r="R135" i="3"/>
  <c r="G136" i="3"/>
  <c r="H136" i="3"/>
  <c r="I136" i="3"/>
  <c r="J136" i="3"/>
  <c r="K136" i="3"/>
  <c r="L136" i="3"/>
  <c r="N136" i="3"/>
  <c r="O136" i="3"/>
  <c r="P136" i="3"/>
  <c r="Q136" i="3"/>
  <c r="R136" i="3"/>
  <c r="G137" i="3"/>
  <c r="H137" i="3"/>
  <c r="I137" i="3"/>
  <c r="J137" i="3"/>
  <c r="K137" i="3"/>
  <c r="L137" i="3"/>
  <c r="N137" i="3"/>
  <c r="O137" i="3"/>
  <c r="P137" i="3"/>
  <c r="Q137" i="3"/>
  <c r="R137" i="3"/>
  <c r="G138" i="3"/>
  <c r="H138" i="3"/>
  <c r="I138" i="3"/>
  <c r="J138" i="3"/>
  <c r="K138" i="3"/>
  <c r="L138" i="3"/>
  <c r="N138" i="3"/>
  <c r="O138" i="3"/>
  <c r="P138" i="3"/>
  <c r="Q138" i="3"/>
  <c r="R138" i="3"/>
  <c r="G139" i="3"/>
  <c r="H139" i="3"/>
  <c r="I139" i="3"/>
  <c r="J139" i="3"/>
  <c r="K139" i="3"/>
  <c r="L139" i="3"/>
  <c r="N139" i="3"/>
  <c r="O139" i="3"/>
  <c r="P139" i="3"/>
  <c r="Q139" i="3"/>
  <c r="R139" i="3"/>
  <c r="G140" i="3"/>
  <c r="H140" i="3"/>
  <c r="I140" i="3"/>
  <c r="J140" i="3"/>
  <c r="K140" i="3"/>
  <c r="L140" i="3"/>
  <c r="N140" i="3"/>
  <c r="O140" i="3"/>
  <c r="P140" i="3"/>
  <c r="Q140" i="3"/>
  <c r="R140" i="3"/>
  <c r="G141" i="3"/>
  <c r="H141" i="3"/>
  <c r="I141" i="3"/>
  <c r="J141" i="3"/>
  <c r="K141" i="3"/>
  <c r="L141" i="3"/>
  <c r="N141" i="3"/>
  <c r="O141" i="3"/>
  <c r="P141" i="3"/>
  <c r="Q141" i="3"/>
  <c r="R141" i="3"/>
  <c r="G142" i="3"/>
  <c r="H142" i="3"/>
  <c r="I142" i="3"/>
  <c r="J142" i="3"/>
  <c r="K142" i="3"/>
  <c r="L142" i="3"/>
  <c r="N142" i="3"/>
  <c r="O142" i="3"/>
  <c r="P142" i="3"/>
  <c r="Q142" i="3"/>
  <c r="R142" i="3"/>
  <c r="G143" i="3"/>
  <c r="H143" i="3"/>
  <c r="I143" i="3"/>
  <c r="J143" i="3"/>
  <c r="K143" i="3"/>
  <c r="L143" i="3"/>
  <c r="N143" i="3"/>
  <c r="O143" i="3"/>
  <c r="P143" i="3"/>
  <c r="Q143" i="3"/>
  <c r="R143" i="3"/>
  <c r="G144" i="3"/>
  <c r="H144" i="3"/>
  <c r="I144" i="3"/>
  <c r="J144" i="3"/>
  <c r="K144" i="3"/>
  <c r="L144" i="3"/>
  <c r="N144" i="3"/>
  <c r="O144" i="3"/>
  <c r="P144" i="3"/>
  <c r="Q144" i="3"/>
  <c r="R144" i="3"/>
  <c r="G145" i="3"/>
  <c r="H145" i="3"/>
  <c r="I145" i="3"/>
  <c r="J145" i="3"/>
  <c r="K145" i="3"/>
  <c r="L145" i="3"/>
  <c r="N145" i="3"/>
  <c r="O145" i="3"/>
  <c r="P145" i="3"/>
  <c r="Q145" i="3"/>
  <c r="R145" i="3"/>
  <c r="G146" i="3"/>
  <c r="H146" i="3"/>
  <c r="I146" i="3"/>
  <c r="J146" i="3"/>
  <c r="K146" i="3"/>
  <c r="L146" i="3"/>
  <c r="N146" i="3"/>
  <c r="O146" i="3"/>
  <c r="P146" i="3"/>
  <c r="Q146" i="3"/>
  <c r="R146" i="3"/>
  <c r="G147" i="3"/>
  <c r="H147" i="3"/>
  <c r="I147" i="3"/>
  <c r="J147" i="3"/>
  <c r="K147" i="3"/>
  <c r="L147" i="3"/>
  <c r="N147" i="3"/>
  <c r="O147" i="3"/>
  <c r="P147" i="3"/>
  <c r="Q147" i="3"/>
  <c r="R147" i="3"/>
  <c r="G148" i="3"/>
  <c r="H148" i="3"/>
  <c r="I148" i="3"/>
  <c r="J148" i="3"/>
  <c r="K148" i="3"/>
  <c r="L148" i="3"/>
  <c r="N148" i="3"/>
  <c r="O148" i="3"/>
  <c r="P148" i="3"/>
  <c r="Q148" i="3"/>
  <c r="R148" i="3"/>
  <c r="G149" i="3"/>
  <c r="H149" i="3"/>
  <c r="I149" i="3"/>
  <c r="J149" i="3"/>
  <c r="K149" i="3"/>
  <c r="L149" i="3"/>
  <c r="N149" i="3"/>
  <c r="O149" i="3"/>
  <c r="P149" i="3"/>
  <c r="Q149" i="3"/>
  <c r="R149" i="3"/>
  <c r="G150" i="3"/>
  <c r="H150" i="3"/>
  <c r="I150" i="3"/>
  <c r="J150" i="3"/>
  <c r="K150" i="3"/>
  <c r="L150" i="3"/>
  <c r="N150" i="3"/>
  <c r="O150" i="3"/>
  <c r="P150" i="3"/>
  <c r="Q150" i="3"/>
  <c r="R150" i="3"/>
  <c r="G151" i="3"/>
  <c r="H151" i="3"/>
  <c r="I151" i="3"/>
  <c r="J151" i="3"/>
  <c r="K151" i="3"/>
  <c r="L151" i="3"/>
  <c r="N151" i="3"/>
  <c r="O151" i="3"/>
  <c r="P151" i="3"/>
  <c r="Q151" i="3"/>
  <c r="R151" i="3"/>
  <c r="G152" i="3"/>
  <c r="H152" i="3"/>
  <c r="I152" i="3"/>
  <c r="J152" i="3"/>
  <c r="K152" i="3"/>
  <c r="L152" i="3"/>
  <c r="N152" i="3"/>
  <c r="O152" i="3"/>
  <c r="P152" i="3"/>
  <c r="Q152" i="3"/>
  <c r="R152" i="3"/>
  <c r="G153" i="3"/>
  <c r="H153" i="3"/>
  <c r="I153" i="3"/>
  <c r="J153" i="3"/>
  <c r="K153" i="3"/>
  <c r="L153" i="3"/>
  <c r="N153" i="3"/>
  <c r="O153" i="3"/>
  <c r="P153" i="3"/>
  <c r="Q153" i="3"/>
  <c r="R153" i="3"/>
  <c r="G154" i="3"/>
  <c r="H154" i="3"/>
  <c r="I154" i="3"/>
  <c r="J154" i="3"/>
  <c r="K154" i="3"/>
  <c r="L154" i="3"/>
  <c r="N154" i="3"/>
  <c r="O154" i="3"/>
  <c r="P154" i="3"/>
  <c r="Q154" i="3"/>
  <c r="R154" i="3"/>
  <c r="G155" i="3"/>
  <c r="H155" i="3"/>
  <c r="I155" i="3"/>
  <c r="J155" i="3"/>
  <c r="K155" i="3"/>
  <c r="L155" i="3"/>
  <c r="N155" i="3"/>
  <c r="O155" i="3"/>
  <c r="P155" i="3"/>
  <c r="Q155" i="3"/>
  <c r="R155" i="3"/>
  <c r="G156" i="3"/>
  <c r="H156" i="3"/>
  <c r="I156" i="3"/>
  <c r="J156" i="3"/>
  <c r="K156" i="3"/>
  <c r="L156" i="3"/>
  <c r="N156" i="3"/>
  <c r="O156" i="3"/>
  <c r="P156" i="3"/>
  <c r="Q156" i="3"/>
  <c r="R156" i="3"/>
  <c r="G157" i="3"/>
  <c r="H157" i="3"/>
  <c r="I157" i="3"/>
  <c r="J157" i="3"/>
  <c r="K157" i="3"/>
  <c r="L157" i="3"/>
  <c r="N157" i="3"/>
  <c r="O157" i="3"/>
  <c r="P157" i="3"/>
  <c r="Q157" i="3"/>
  <c r="R157" i="3"/>
  <c r="G158" i="3"/>
  <c r="H158" i="3"/>
  <c r="I158" i="3"/>
  <c r="J158" i="3"/>
  <c r="K158" i="3"/>
  <c r="L158" i="3"/>
  <c r="N158" i="3"/>
  <c r="O158" i="3"/>
  <c r="P158" i="3"/>
  <c r="Q158" i="3"/>
  <c r="R158" i="3"/>
  <c r="G159" i="3"/>
  <c r="H159" i="3"/>
  <c r="I159" i="3"/>
  <c r="J159" i="3"/>
  <c r="K159" i="3"/>
  <c r="L159" i="3"/>
  <c r="N159" i="3"/>
  <c r="O159" i="3"/>
  <c r="P159" i="3"/>
  <c r="Q159" i="3"/>
  <c r="R159" i="3"/>
  <c r="G160" i="3"/>
  <c r="H160" i="3"/>
  <c r="I160" i="3"/>
  <c r="J160" i="3"/>
  <c r="K160" i="3"/>
  <c r="L160" i="3"/>
  <c r="N160" i="3"/>
  <c r="O160" i="3"/>
  <c r="P160" i="3"/>
  <c r="Q160" i="3"/>
  <c r="R160" i="3"/>
  <c r="G161" i="3"/>
  <c r="H161" i="3"/>
  <c r="I161" i="3"/>
  <c r="J161" i="3"/>
  <c r="K161" i="3"/>
  <c r="L161" i="3"/>
  <c r="N161" i="3"/>
  <c r="O161" i="3"/>
  <c r="P161" i="3"/>
  <c r="Q161" i="3"/>
  <c r="R161" i="3"/>
  <c r="G162" i="3"/>
  <c r="H162" i="3"/>
  <c r="I162" i="3"/>
  <c r="J162" i="3"/>
  <c r="K162" i="3"/>
  <c r="L162" i="3"/>
  <c r="N162" i="3"/>
  <c r="O162" i="3"/>
  <c r="P162" i="3"/>
  <c r="Q162" i="3"/>
  <c r="R162" i="3"/>
  <c r="G163" i="3"/>
  <c r="H163" i="3"/>
  <c r="I163" i="3"/>
  <c r="J163" i="3"/>
  <c r="K163" i="3"/>
  <c r="L163" i="3"/>
  <c r="N163" i="3"/>
  <c r="O163" i="3"/>
  <c r="P163" i="3"/>
  <c r="Q163" i="3"/>
  <c r="R163" i="3"/>
  <c r="G164" i="3"/>
  <c r="H164" i="3"/>
  <c r="I164" i="3"/>
  <c r="J164" i="3"/>
  <c r="K164" i="3"/>
  <c r="L164" i="3"/>
  <c r="N164" i="3"/>
  <c r="O164" i="3"/>
  <c r="P164" i="3"/>
  <c r="Q164" i="3"/>
  <c r="R164" i="3"/>
  <c r="G165" i="3"/>
  <c r="H165" i="3"/>
  <c r="I165" i="3"/>
  <c r="J165" i="3"/>
  <c r="K165" i="3"/>
  <c r="L165" i="3"/>
  <c r="N165" i="3"/>
  <c r="O165" i="3"/>
  <c r="P165" i="3"/>
  <c r="Q165" i="3"/>
  <c r="R165" i="3"/>
  <c r="G166" i="3"/>
  <c r="H166" i="3"/>
  <c r="I166" i="3"/>
  <c r="J166" i="3"/>
  <c r="K166" i="3"/>
  <c r="L166" i="3"/>
  <c r="N166" i="3"/>
  <c r="O166" i="3"/>
  <c r="P166" i="3"/>
  <c r="Q166" i="3"/>
  <c r="R166" i="3"/>
  <c r="G167" i="3"/>
  <c r="H167" i="3"/>
  <c r="I167" i="3"/>
  <c r="J167" i="3"/>
  <c r="K167" i="3"/>
  <c r="L167" i="3"/>
  <c r="N167" i="3"/>
  <c r="O167" i="3"/>
  <c r="P167" i="3"/>
  <c r="Q167" i="3"/>
  <c r="R167" i="3"/>
  <c r="G168" i="3"/>
  <c r="H168" i="3"/>
  <c r="I168" i="3"/>
  <c r="J168" i="3"/>
  <c r="K168" i="3"/>
  <c r="L168" i="3"/>
  <c r="N168" i="3"/>
  <c r="O168" i="3"/>
  <c r="P168" i="3"/>
  <c r="Q168" i="3"/>
  <c r="R168" i="3"/>
  <c r="G169" i="3"/>
  <c r="H169" i="3"/>
  <c r="I169" i="3"/>
  <c r="J169" i="3"/>
  <c r="K169" i="3"/>
  <c r="L169" i="3"/>
  <c r="N169" i="3"/>
  <c r="O169" i="3"/>
  <c r="P169" i="3"/>
  <c r="Q169" i="3"/>
  <c r="R169" i="3"/>
  <c r="G170" i="3"/>
  <c r="H170" i="3"/>
  <c r="I170" i="3"/>
  <c r="J170" i="3"/>
  <c r="K170" i="3"/>
  <c r="L170" i="3"/>
  <c r="N170" i="3"/>
  <c r="O170" i="3"/>
  <c r="P170" i="3"/>
  <c r="Q170" i="3"/>
  <c r="R170" i="3"/>
  <c r="G171" i="3"/>
  <c r="H171" i="3"/>
  <c r="I171" i="3"/>
  <c r="J171" i="3"/>
  <c r="K171" i="3"/>
  <c r="L171" i="3"/>
  <c r="N171" i="3"/>
  <c r="O171" i="3"/>
  <c r="P171" i="3"/>
  <c r="Q171" i="3"/>
  <c r="R171" i="3"/>
  <c r="G172" i="3"/>
  <c r="H172" i="3"/>
  <c r="I172" i="3"/>
  <c r="J172" i="3"/>
  <c r="K172" i="3"/>
  <c r="L172" i="3"/>
  <c r="N172" i="3"/>
  <c r="O172" i="3"/>
  <c r="P172" i="3"/>
  <c r="Q172" i="3"/>
  <c r="R172" i="3"/>
  <c r="G173" i="3"/>
  <c r="H173" i="3"/>
  <c r="I173" i="3"/>
  <c r="J173" i="3"/>
  <c r="K173" i="3"/>
  <c r="L173" i="3"/>
  <c r="N173" i="3"/>
  <c r="O173" i="3"/>
  <c r="P173" i="3"/>
  <c r="Q173" i="3"/>
  <c r="R173" i="3"/>
  <c r="G174" i="3"/>
  <c r="H174" i="3"/>
  <c r="I174" i="3"/>
  <c r="J174" i="3"/>
  <c r="K174" i="3"/>
  <c r="L174" i="3"/>
  <c r="N174" i="3"/>
  <c r="O174" i="3"/>
  <c r="P174" i="3"/>
  <c r="Q174" i="3"/>
  <c r="R174" i="3"/>
  <c r="G175" i="3"/>
  <c r="H175" i="3"/>
  <c r="I175" i="3"/>
  <c r="J175" i="3"/>
  <c r="K175" i="3"/>
  <c r="L175" i="3"/>
  <c r="N175" i="3"/>
  <c r="O175" i="3"/>
  <c r="P175" i="3"/>
  <c r="Q175" i="3"/>
  <c r="R175" i="3"/>
  <c r="G176" i="3"/>
  <c r="H176" i="3"/>
  <c r="I176" i="3"/>
  <c r="J176" i="3"/>
  <c r="K176" i="3"/>
  <c r="L176" i="3"/>
  <c r="N176" i="3"/>
  <c r="O176" i="3"/>
  <c r="P176" i="3"/>
  <c r="Q176" i="3"/>
  <c r="R176" i="3"/>
  <c r="G177" i="3"/>
  <c r="H177" i="3"/>
  <c r="I177" i="3"/>
  <c r="J177" i="3"/>
  <c r="K177" i="3"/>
  <c r="L177" i="3"/>
  <c r="N177" i="3"/>
  <c r="O177" i="3"/>
  <c r="P177" i="3"/>
  <c r="Q177" i="3"/>
  <c r="R177" i="3"/>
  <c r="G178" i="3"/>
  <c r="H178" i="3"/>
  <c r="I178" i="3"/>
  <c r="J178" i="3"/>
  <c r="K178" i="3"/>
  <c r="L178" i="3"/>
  <c r="N178" i="3"/>
  <c r="O178" i="3"/>
  <c r="P178" i="3"/>
  <c r="Q178" i="3"/>
  <c r="R178" i="3"/>
  <c r="G179" i="3"/>
  <c r="H179" i="3"/>
  <c r="I179" i="3"/>
  <c r="J179" i="3"/>
  <c r="K179" i="3"/>
  <c r="L179" i="3"/>
  <c r="N179" i="3"/>
  <c r="O179" i="3"/>
  <c r="P179" i="3"/>
  <c r="Q179" i="3"/>
  <c r="R179" i="3"/>
  <c r="G180" i="3"/>
  <c r="H180" i="3"/>
  <c r="I180" i="3"/>
  <c r="J180" i="3"/>
  <c r="K180" i="3"/>
  <c r="L180" i="3"/>
  <c r="N180" i="3"/>
  <c r="O180" i="3"/>
  <c r="P180" i="3"/>
  <c r="Q180" i="3"/>
  <c r="R180" i="3"/>
  <c r="G181" i="3"/>
  <c r="H181" i="3"/>
  <c r="I181" i="3"/>
  <c r="J181" i="3"/>
  <c r="K181" i="3"/>
  <c r="L181" i="3"/>
  <c r="N181" i="3"/>
  <c r="O181" i="3"/>
  <c r="P181" i="3"/>
  <c r="Q181" i="3"/>
  <c r="R181" i="3"/>
  <c r="G182" i="3"/>
  <c r="H182" i="3"/>
  <c r="I182" i="3"/>
  <c r="J182" i="3"/>
  <c r="K182" i="3"/>
  <c r="L182" i="3"/>
  <c r="N182" i="3"/>
  <c r="O182" i="3"/>
  <c r="P182" i="3"/>
  <c r="Q182" i="3"/>
  <c r="R182" i="3"/>
  <c r="G183" i="3"/>
  <c r="H183" i="3"/>
  <c r="I183" i="3"/>
  <c r="J183" i="3"/>
  <c r="K183" i="3"/>
  <c r="L183" i="3"/>
  <c r="N183" i="3"/>
  <c r="O183" i="3"/>
  <c r="P183" i="3"/>
  <c r="Q183" i="3"/>
  <c r="R183" i="3"/>
  <c r="G184" i="3"/>
  <c r="H184" i="3"/>
  <c r="I184" i="3"/>
  <c r="J184" i="3"/>
  <c r="K184" i="3"/>
  <c r="L184" i="3"/>
  <c r="N184" i="3"/>
  <c r="O184" i="3"/>
  <c r="P184" i="3"/>
  <c r="Q184" i="3"/>
  <c r="R184" i="3"/>
  <c r="G185" i="3"/>
  <c r="H185" i="3"/>
  <c r="I185" i="3"/>
  <c r="J185" i="3"/>
  <c r="K185" i="3"/>
  <c r="L185" i="3"/>
  <c r="N185" i="3"/>
  <c r="O185" i="3"/>
  <c r="P185" i="3"/>
  <c r="Q185" i="3"/>
  <c r="R185" i="3"/>
  <c r="G186" i="3"/>
  <c r="H186" i="3"/>
  <c r="I186" i="3"/>
  <c r="J186" i="3"/>
  <c r="K186" i="3"/>
  <c r="L186" i="3"/>
  <c r="N186" i="3"/>
  <c r="O186" i="3"/>
  <c r="P186" i="3"/>
  <c r="Q186" i="3"/>
  <c r="R186" i="3"/>
  <c r="G187" i="3"/>
  <c r="H187" i="3"/>
  <c r="I187" i="3"/>
  <c r="J187" i="3"/>
  <c r="K187" i="3"/>
  <c r="L187" i="3"/>
  <c r="N187" i="3"/>
  <c r="O187" i="3"/>
  <c r="P187" i="3"/>
  <c r="Q187" i="3"/>
  <c r="R187" i="3"/>
  <c r="G188" i="3"/>
  <c r="H188" i="3"/>
  <c r="I188" i="3"/>
  <c r="J188" i="3"/>
  <c r="K188" i="3"/>
  <c r="L188" i="3"/>
  <c r="N188" i="3"/>
  <c r="O188" i="3"/>
  <c r="P188" i="3"/>
  <c r="Q188" i="3"/>
  <c r="R188" i="3"/>
  <c r="G189" i="3"/>
  <c r="H189" i="3"/>
  <c r="I189" i="3"/>
  <c r="J189" i="3"/>
  <c r="K189" i="3"/>
  <c r="L189" i="3"/>
  <c r="N189" i="3"/>
  <c r="O189" i="3"/>
  <c r="P189" i="3"/>
  <c r="Q189" i="3"/>
  <c r="R189" i="3"/>
  <c r="G190" i="3"/>
  <c r="H190" i="3"/>
  <c r="I190" i="3"/>
  <c r="J190" i="3"/>
  <c r="K190" i="3"/>
  <c r="L190" i="3"/>
  <c r="N190" i="3"/>
  <c r="O190" i="3"/>
  <c r="P190" i="3"/>
  <c r="Q190" i="3"/>
  <c r="R190" i="3"/>
  <c r="G191" i="3"/>
  <c r="H191" i="3"/>
  <c r="I191" i="3"/>
  <c r="J191" i="3"/>
  <c r="K191" i="3"/>
  <c r="L191" i="3"/>
  <c r="N191" i="3"/>
  <c r="O191" i="3"/>
  <c r="P191" i="3"/>
  <c r="Q191" i="3"/>
  <c r="R191" i="3"/>
  <c r="G192" i="3"/>
  <c r="H192" i="3"/>
  <c r="I192" i="3"/>
  <c r="J192" i="3"/>
  <c r="K192" i="3"/>
  <c r="L192" i="3"/>
  <c r="N192" i="3"/>
  <c r="O192" i="3"/>
  <c r="P192" i="3"/>
  <c r="Q192" i="3"/>
  <c r="R192" i="3"/>
  <c r="G193" i="3"/>
  <c r="H193" i="3"/>
  <c r="I193" i="3"/>
  <c r="J193" i="3"/>
  <c r="K193" i="3"/>
  <c r="L193" i="3"/>
  <c r="N193" i="3"/>
  <c r="O193" i="3"/>
  <c r="P193" i="3"/>
  <c r="Q193" i="3"/>
  <c r="R193" i="3"/>
  <c r="G194" i="3"/>
  <c r="H194" i="3"/>
  <c r="I194" i="3"/>
  <c r="J194" i="3"/>
  <c r="K194" i="3"/>
  <c r="L194" i="3"/>
  <c r="N194" i="3"/>
  <c r="O194" i="3"/>
  <c r="P194" i="3"/>
  <c r="Q194" i="3"/>
  <c r="R194" i="3"/>
  <c r="G195" i="3"/>
  <c r="H195" i="3"/>
  <c r="I195" i="3"/>
  <c r="J195" i="3"/>
  <c r="K195" i="3"/>
  <c r="L195" i="3"/>
  <c r="N195" i="3"/>
  <c r="O195" i="3"/>
  <c r="P195" i="3"/>
  <c r="Q195" i="3"/>
  <c r="R195" i="3"/>
  <c r="G196" i="3"/>
  <c r="H196" i="3"/>
  <c r="I196" i="3"/>
  <c r="J196" i="3"/>
  <c r="K196" i="3"/>
  <c r="L196" i="3"/>
  <c r="N196" i="3"/>
  <c r="O196" i="3"/>
  <c r="P196" i="3"/>
  <c r="Q196" i="3"/>
  <c r="R196" i="3"/>
  <c r="G197" i="3"/>
  <c r="H197" i="3"/>
  <c r="I197" i="3"/>
  <c r="J197" i="3"/>
  <c r="K197" i="3"/>
  <c r="L197" i="3"/>
  <c r="N197" i="3"/>
  <c r="O197" i="3"/>
  <c r="P197" i="3"/>
  <c r="Q197" i="3"/>
  <c r="R197" i="3"/>
  <c r="G198" i="3"/>
  <c r="H198" i="3"/>
  <c r="I198" i="3"/>
  <c r="J198" i="3"/>
  <c r="K198" i="3"/>
  <c r="L198" i="3"/>
  <c r="N198" i="3"/>
  <c r="O198" i="3"/>
  <c r="P198" i="3"/>
  <c r="Q198" i="3"/>
  <c r="R198" i="3"/>
  <c r="G199" i="3"/>
  <c r="H199" i="3"/>
  <c r="I199" i="3"/>
  <c r="J199" i="3"/>
  <c r="K199" i="3"/>
  <c r="L199" i="3"/>
  <c r="N199" i="3"/>
  <c r="O199" i="3"/>
  <c r="P199" i="3"/>
  <c r="Q199" i="3"/>
  <c r="R199" i="3"/>
  <c r="G200" i="3"/>
  <c r="H200" i="3"/>
  <c r="I200" i="3"/>
  <c r="J200" i="3"/>
  <c r="K200" i="3"/>
  <c r="L200" i="3"/>
  <c r="N200" i="3"/>
  <c r="O200" i="3"/>
  <c r="P200" i="3"/>
  <c r="Q200" i="3"/>
  <c r="R200" i="3"/>
  <c r="G201" i="3"/>
  <c r="H201" i="3"/>
  <c r="I201" i="3"/>
  <c r="J201" i="3"/>
  <c r="K201" i="3"/>
  <c r="L201" i="3"/>
  <c r="N201" i="3"/>
  <c r="O201" i="3"/>
  <c r="P201" i="3"/>
  <c r="Q201" i="3"/>
  <c r="R201" i="3"/>
  <c r="G202" i="3"/>
  <c r="H202" i="3"/>
  <c r="I202" i="3"/>
  <c r="J202" i="3"/>
  <c r="K202" i="3"/>
  <c r="L202" i="3"/>
  <c r="N202" i="3"/>
  <c r="O202" i="3"/>
  <c r="P202" i="3"/>
  <c r="Q202" i="3"/>
  <c r="R202" i="3"/>
  <c r="G203" i="3"/>
  <c r="H203" i="3"/>
  <c r="I203" i="3"/>
  <c r="J203" i="3"/>
  <c r="K203" i="3"/>
  <c r="L203" i="3"/>
  <c r="N203" i="3"/>
  <c r="O203" i="3"/>
  <c r="P203" i="3"/>
  <c r="Q203" i="3"/>
  <c r="R203" i="3"/>
  <c r="G204" i="3"/>
  <c r="H204" i="3"/>
  <c r="I204" i="3"/>
  <c r="J204" i="3"/>
  <c r="K204" i="3"/>
  <c r="L204" i="3"/>
  <c r="N204" i="3"/>
  <c r="O204" i="3"/>
  <c r="P204" i="3"/>
  <c r="Q204" i="3"/>
  <c r="R204" i="3"/>
  <c r="G205" i="3"/>
  <c r="H205" i="3"/>
  <c r="I205" i="3"/>
  <c r="J205" i="3"/>
  <c r="K205" i="3"/>
  <c r="L205" i="3"/>
  <c r="N205" i="3"/>
  <c r="O205" i="3"/>
  <c r="P205" i="3"/>
  <c r="Q205" i="3"/>
  <c r="R205" i="3"/>
  <c r="G206" i="3"/>
  <c r="H206" i="3"/>
  <c r="I206" i="3"/>
  <c r="J206" i="3"/>
  <c r="K206" i="3"/>
  <c r="L206" i="3"/>
  <c r="N206" i="3"/>
  <c r="O206" i="3"/>
  <c r="P206" i="3"/>
  <c r="Q206" i="3"/>
  <c r="R206" i="3"/>
  <c r="G207" i="3"/>
  <c r="H207" i="3"/>
  <c r="I207" i="3"/>
  <c r="J207" i="3"/>
  <c r="K207" i="3"/>
  <c r="L207" i="3"/>
  <c r="N207" i="3"/>
  <c r="O207" i="3"/>
  <c r="P207" i="3"/>
  <c r="Q207" i="3"/>
  <c r="R207" i="3"/>
  <c r="G208" i="3"/>
  <c r="H208" i="3"/>
  <c r="I208" i="3"/>
  <c r="J208" i="3"/>
  <c r="K208" i="3"/>
  <c r="L208" i="3"/>
  <c r="N208" i="3"/>
  <c r="O208" i="3"/>
  <c r="P208" i="3"/>
  <c r="Q208" i="3"/>
  <c r="R208" i="3"/>
  <c r="G209" i="3"/>
  <c r="H209" i="3"/>
  <c r="I209" i="3"/>
  <c r="J209" i="3"/>
  <c r="K209" i="3"/>
  <c r="L209" i="3"/>
  <c r="N209" i="3"/>
  <c r="O209" i="3"/>
  <c r="P209" i="3"/>
  <c r="Q209" i="3"/>
  <c r="R209" i="3"/>
  <c r="G210" i="3"/>
  <c r="H210" i="3"/>
  <c r="I210" i="3"/>
  <c r="J210" i="3"/>
  <c r="K210" i="3"/>
  <c r="L210" i="3"/>
  <c r="N210" i="3"/>
  <c r="O210" i="3"/>
  <c r="P210" i="3"/>
  <c r="Q210" i="3"/>
  <c r="R210" i="3"/>
  <c r="G211" i="3"/>
  <c r="H211" i="3"/>
  <c r="I211" i="3"/>
  <c r="J211" i="3"/>
  <c r="K211" i="3"/>
  <c r="L211" i="3"/>
  <c r="N211" i="3"/>
  <c r="O211" i="3"/>
  <c r="P211" i="3"/>
  <c r="Q211" i="3"/>
  <c r="R211" i="3"/>
  <c r="G212" i="3"/>
  <c r="H212" i="3"/>
  <c r="I212" i="3"/>
  <c r="J212" i="3"/>
  <c r="K212" i="3"/>
  <c r="L212" i="3"/>
  <c r="N212" i="3"/>
  <c r="O212" i="3"/>
  <c r="P212" i="3"/>
  <c r="Q212" i="3"/>
  <c r="R212" i="3"/>
  <c r="G213" i="3"/>
  <c r="H213" i="3"/>
  <c r="I213" i="3"/>
  <c r="J213" i="3"/>
  <c r="K213" i="3"/>
  <c r="L213" i="3"/>
  <c r="N213" i="3"/>
  <c r="O213" i="3"/>
  <c r="P213" i="3"/>
  <c r="Q213" i="3"/>
  <c r="R213" i="3"/>
  <c r="G214" i="3"/>
  <c r="H214" i="3"/>
  <c r="I214" i="3"/>
  <c r="J214" i="3"/>
  <c r="K214" i="3"/>
  <c r="L214" i="3"/>
  <c r="N214" i="3"/>
  <c r="O214" i="3"/>
  <c r="P214" i="3"/>
  <c r="Q214" i="3"/>
  <c r="R214" i="3"/>
  <c r="G215" i="3"/>
  <c r="H215" i="3"/>
  <c r="I215" i="3"/>
  <c r="J215" i="3"/>
  <c r="K215" i="3"/>
  <c r="L215" i="3"/>
  <c r="N215" i="3"/>
  <c r="O215" i="3"/>
  <c r="P215" i="3"/>
  <c r="Q215" i="3"/>
  <c r="R215" i="3"/>
  <c r="G216" i="3"/>
  <c r="H216" i="3"/>
  <c r="I216" i="3"/>
  <c r="J216" i="3"/>
  <c r="K216" i="3"/>
  <c r="L216" i="3"/>
  <c r="N216" i="3"/>
  <c r="O216" i="3"/>
  <c r="P216" i="3"/>
  <c r="Q216" i="3"/>
  <c r="R216" i="3"/>
  <c r="G217" i="3"/>
  <c r="H217" i="3"/>
  <c r="I217" i="3"/>
  <c r="J217" i="3"/>
  <c r="K217" i="3"/>
  <c r="L217" i="3"/>
  <c r="N217" i="3"/>
  <c r="O217" i="3"/>
  <c r="P217" i="3"/>
  <c r="Q217" i="3"/>
  <c r="R217" i="3"/>
  <c r="G218" i="3"/>
  <c r="H218" i="3"/>
  <c r="I218" i="3"/>
  <c r="J218" i="3"/>
  <c r="K218" i="3"/>
  <c r="L218" i="3"/>
  <c r="N218" i="3"/>
  <c r="O218" i="3"/>
  <c r="P218" i="3"/>
  <c r="Q218" i="3"/>
  <c r="R218" i="3"/>
  <c r="G219" i="3"/>
  <c r="H219" i="3"/>
  <c r="I219" i="3"/>
  <c r="J219" i="3"/>
  <c r="K219" i="3"/>
  <c r="L219" i="3"/>
  <c r="N219" i="3"/>
  <c r="O219" i="3"/>
  <c r="P219" i="3"/>
  <c r="Q219" i="3"/>
  <c r="R219" i="3"/>
  <c r="G220" i="3"/>
  <c r="H220" i="3"/>
  <c r="I220" i="3"/>
  <c r="J220" i="3"/>
  <c r="K220" i="3"/>
  <c r="L220" i="3"/>
  <c r="N220" i="3"/>
  <c r="O220" i="3"/>
  <c r="P220" i="3"/>
  <c r="Q220" i="3"/>
  <c r="R220" i="3"/>
  <c r="G221" i="3"/>
  <c r="H221" i="3"/>
  <c r="I221" i="3"/>
  <c r="J221" i="3"/>
  <c r="K221" i="3"/>
  <c r="L221" i="3"/>
  <c r="N221" i="3"/>
  <c r="O221" i="3"/>
  <c r="P221" i="3"/>
  <c r="Q221" i="3"/>
  <c r="R221" i="3"/>
  <c r="G222" i="3"/>
  <c r="H222" i="3"/>
  <c r="I222" i="3"/>
  <c r="J222" i="3"/>
  <c r="K222" i="3"/>
  <c r="L222" i="3"/>
  <c r="N222" i="3"/>
  <c r="O222" i="3"/>
  <c r="P222" i="3"/>
  <c r="Q222" i="3"/>
  <c r="R222" i="3"/>
  <c r="G223" i="3"/>
  <c r="H223" i="3"/>
  <c r="I223" i="3"/>
  <c r="J223" i="3"/>
  <c r="K223" i="3"/>
  <c r="L223" i="3"/>
  <c r="N223" i="3"/>
  <c r="O223" i="3"/>
  <c r="P223" i="3"/>
  <c r="Q223" i="3"/>
  <c r="R223" i="3"/>
  <c r="G224" i="3"/>
  <c r="H224" i="3"/>
  <c r="I224" i="3"/>
  <c r="J224" i="3"/>
  <c r="K224" i="3"/>
  <c r="L224" i="3"/>
  <c r="N224" i="3"/>
  <c r="O224" i="3"/>
  <c r="P224" i="3"/>
  <c r="Q224" i="3"/>
  <c r="R224" i="3"/>
  <c r="G225" i="3"/>
  <c r="H225" i="3"/>
  <c r="I225" i="3"/>
  <c r="J225" i="3"/>
  <c r="K225" i="3"/>
  <c r="L225" i="3"/>
  <c r="N225" i="3"/>
  <c r="O225" i="3"/>
  <c r="P225" i="3"/>
  <c r="Q225" i="3"/>
  <c r="R225" i="3"/>
  <c r="G226" i="3"/>
  <c r="H226" i="3"/>
  <c r="I226" i="3"/>
  <c r="J226" i="3"/>
  <c r="K226" i="3"/>
  <c r="L226" i="3"/>
  <c r="N226" i="3"/>
  <c r="O226" i="3"/>
  <c r="P226" i="3"/>
  <c r="Q226" i="3"/>
  <c r="R226" i="3"/>
  <c r="G227" i="3"/>
  <c r="H227" i="3"/>
  <c r="I227" i="3"/>
  <c r="J227" i="3"/>
  <c r="K227" i="3"/>
  <c r="L227" i="3"/>
  <c r="N227" i="3"/>
  <c r="O227" i="3"/>
  <c r="P227" i="3"/>
  <c r="Q227" i="3"/>
  <c r="R227" i="3"/>
  <c r="G228" i="3"/>
  <c r="H228" i="3"/>
  <c r="I228" i="3"/>
  <c r="J228" i="3"/>
  <c r="K228" i="3"/>
  <c r="L228" i="3"/>
  <c r="N228" i="3"/>
  <c r="O228" i="3"/>
  <c r="P228" i="3"/>
  <c r="Q228" i="3"/>
  <c r="R228" i="3"/>
  <c r="G229" i="3"/>
  <c r="H229" i="3"/>
  <c r="I229" i="3"/>
  <c r="J229" i="3"/>
  <c r="K229" i="3"/>
  <c r="L229" i="3"/>
  <c r="N229" i="3"/>
  <c r="O229" i="3"/>
  <c r="P229" i="3"/>
  <c r="Q229" i="3"/>
  <c r="R229" i="3"/>
  <c r="G230" i="3"/>
  <c r="H230" i="3"/>
  <c r="I230" i="3"/>
  <c r="J230" i="3"/>
  <c r="K230" i="3"/>
  <c r="L230" i="3"/>
  <c r="N230" i="3"/>
  <c r="O230" i="3"/>
  <c r="P230" i="3"/>
  <c r="Q230" i="3"/>
  <c r="R230" i="3"/>
  <c r="G231" i="3"/>
  <c r="H231" i="3"/>
  <c r="I231" i="3"/>
  <c r="J231" i="3"/>
  <c r="K231" i="3"/>
  <c r="L231" i="3"/>
  <c r="N231" i="3"/>
  <c r="O231" i="3"/>
  <c r="P231" i="3"/>
  <c r="Q231" i="3"/>
  <c r="R231" i="3"/>
  <c r="G232" i="3"/>
  <c r="H232" i="3"/>
  <c r="I232" i="3"/>
  <c r="J232" i="3"/>
  <c r="K232" i="3"/>
  <c r="L232" i="3"/>
  <c r="N232" i="3"/>
  <c r="O232" i="3"/>
  <c r="P232" i="3"/>
  <c r="Q232" i="3"/>
  <c r="R232" i="3"/>
  <c r="G233" i="3"/>
  <c r="H233" i="3"/>
  <c r="I233" i="3"/>
  <c r="J233" i="3"/>
  <c r="K233" i="3"/>
  <c r="L233" i="3"/>
  <c r="N233" i="3"/>
  <c r="O233" i="3"/>
  <c r="P233" i="3"/>
  <c r="Q233" i="3"/>
  <c r="R233" i="3"/>
  <c r="G234" i="3"/>
  <c r="H234" i="3"/>
  <c r="I234" i="3"/>
  <c r="J234" i="3"/>
  <c r="K234" i="3"/>
  <c r="L234" i="3"/>
  <c r="N234" i="3"/>
  <c r="O234" i="3"/>
  <c r="P234" i="3"/>
  <c r="Q234" i="3"/>
  <c r="R234" i="3"/>
  <c r="G235" i="3"/>
  <c r="H235" i="3"/>
  <c r="I235" i="3"/>
  <c r="J235" i="3"/>
  <c r="K235" i="3"/>
  <c r="L235" i="3"/>
  <c r="N235" i="3"/>
  <c r="O235" i="3"/>
  <c r="P235" i="3"/>
  <c r="Q235" i="3"/>
  <c r="R235" i="3"/>
  <c r="G236" i="3"/>
  <c r="H236" i="3"/>
  <c r="I236" i="3"/>
  <c r="J236" i="3"/>
  <c r="K236" i="3"/>
  <c r="L236" i="3"/>
  <c r="N236" i="3"/>
  <c r="O236" i="3"/>
  <c r="P236" i="3"/>
  <c r="Q236" i="3"/>
  <c r="R236" i="3"/>
  <c r="G237" i="3"/>
  <c r="H237" i="3"/>
  <c r="I237" i="3"/>
  <c r="J237" i="3"/>
  <c r="K237" i="3"/>
  <c r="L237" i="3"/>
  <c r="N237" i="3"/>
  <c r="O237" i="3"/>
  <c r="P237" i="3"/>
  <c r="Q237" i="3"/>
  <c r="R237" i="3"/>
  <c r="G238" i="3"/>
  <c r="H238" i="3"/>
  <c r="I238" i="3"/>
  <c r="J238" i="3"/>
  <c r="K238" i="3"/>
  <c r="L238" i="3"/>
  <c r="N238" i="3"/>
  <c r="O238" i="3"/>
  <c r="P238" i="3"/>
  <c r="Q238" i="3"/>
  <c r="R238" i="3"/>
  <c r="G239" i="3"/>
  <c r="H239" i="3"/>
  <c r="I239" i="3"/>
  <c r="J239" i="3"/>
  <c r="K239" i="3"/>
  <c r="L239" i="3"/>
  <c r="N239" i="3"/>
  <c r="O239" i="3"/>
  <c r="P239" i="3"/>
  <c r="Q239" i="3"/>
  <c r="R239" i="3"/>
  <c r="G240" i="3"/>
  <c r="H240" i="3"/>
  <c r="I240" i="3"/>
  <c r="J240" i="3"/>
  <c r="K240" i="3"/>
  <c r="L240" i="3"/>
  <c r="N240" i="3"/>
  <c r="O240" i="3"/>
  <c r="P240" i="3"/>
  <c r="Q240" i="3"/>
  <c r="R240" i="3"/>
  <c r="G241" i="3"/>
  <c r="H241" i="3"/>
  <c r="I241" i="3"/>
  <c r="J241" i="3"/>
  <c r="K241" i="3"/>
  <c r="L241" i="3"/>
  <c r="N241" i="3"/>
  <c r="O241" i="3"/>
  <c r="P241" i="3"/>
  <c r="Q241" i="3"/>
  <c r="R241" i="3"/>
  <c r="G242" i="3"/>
  <c r="H242" i="3"/>
  <c r="I242" i="3"/>
  <c r="J242" i="3"/>
  <c r="K242" i="3"/>
  <c r="L242" i="3"/>
  <c r="N242" i="3"/>
  <c r="O242" i="3"/>
  <c r="P242" i="3"/>
  <c r="Q242" i="3"/>
  <c r="R242" i="3"/>
  <c r="G243" i="3"/>
  <c r="H243" i="3"/>
  <c r="I243" i="3"/>
  <c r="J243" i="3"/>
  <c r="K243" i="3"/>
  <c r="L243" i="3"/>
  <c r="N243" i="3"/>
  <c r="O243" i="3"/>
  <c r="P243" i="3"/>
  <c r="Q243" i="3"/>
  <c r="R243" i="3"/>
  <c r="G244" i="3"/>
  <c r="H244" i="3"/>
  <c r="I244" i="3"/>
  <c r="J244" i="3"/>
  <c r="K244" i="3"/>
  <c r="L244" i="3"/>
  <c r="N244" i="3"/>
  <c r="O244" i="3"/>
  <c r="P244" i="3"/>
  <c r="Q244" i="3"/>
  <c r="R244" i="3"/>
  <c r="G245" i="3"/>
  <c r="H245" i="3"/>
  <c r="I245" i="3"/>
  <c r="J245" i="3"/>
  <c r="K245" i="3"/>
  <c r="L245" i="3"/>
  <c r="N245" i="3"/>
  <c r="O245" i="3"/>
  <c r="P245" i="3"/>
  <c r="Q245" i="3"/>
  <c r="R245" i="3"/>
  <c r="G246" i="3"/>
  <c r="H246" i="3"/>
  <c r="I246" i="3"/>
  <c r="J246" i="3"/>
  <c r="K246" i="3"/>
  <c r="L246" i="3"/>
  <c r="N246" i="3"/>
  <c r="O246" i="3"/>
  <c r="P246" i="3"/>
  <c r="Q246" i="3"/>
  <c r="R246" i="3"/>
  <c r="G247" i="3"/>
  <c r="H247" i="3"/>
  <c r="I247" i="3"/>
  <c r="J247" i="3"/>
  <c r="K247" i="3"/>
  <c r="L247" i="3"/>
  <c r="N247" i="3"/>
  <c r="O247" i="3"/>
  <c r="P247" i="3"/>
  <c r="Q247" i="3"/>
  <c r="R247" i="3"/>
  <c r="G248" i="3"/>
  <c r="H248" i="3"/>
  <c r="I248" i="3"/>
  <c r="J248" i="3"/>
  <c r="K248" i="3"/>
  <c r="L248" i="3"/>
  <c r="N248" i="3"/>
  <c r="O248" i="3"/>
  <c r="P248" i="3"/>
  <c r="Q248" i="3"/>
  <c r="R248" i="3"/>
  <c r="G249" i="3"/>
  <c r="H249" i="3"/>
  <c r="I249" i="3"/>
  <c r="J249" i="3"/>
  <c r="K249" i="3"/>
  <c r="L249" i="3"/>
  <c r="N249" i="3"/>
  <c r="O249" i="3"/>
  <c r="P249" i="3"/>
  <c r="Q249" i="3"/>
  <c r="R249" i="3"/>
  <c r="G250" i="3"/>
  <c r="H250" i="3"/>
  <c r="I250" i="3"/>
  <c r="J250" i="3"/>
  <c r="K250" i="3"/>
  <c r="L250" i="3"/>
  <c r="N250" i="3"/>
  <c r="O250" i="3"/>
  <c r="P250" i="3"/>
  <c r="Q250" i="3"/>
  <c r="R250" i="3"/>
  <c r="G251" i="3"/>
  <c r="H251" i="3"/>
  <c r="I251" i="3"/>
  <c r="J251" i="3"/>
  <c r="K251" i="3"/>
  <c r="L251" i="3"/>
  <c r="N251" i="3"/>
  <c r="O251" i="3"/>
  <c r="P251" i="3"/>
  <c r="Q251" i="3"/>
  <c r="R251" i="3"/>
  <c r="G252" i="3"/>
  <c r="H252" i="3"/>
  <c r="I252" i="3"/>
  <c r="J252" i="3"/>
  <c r="K252" i="3"/>
  <c r="L252" i="3"/>
  <c r="N252" i="3"/>
  <c r="O252" i="3"/>
  <c r="P252" i="3"/>
  <c r="Q252" i="3"/>
  <c r="R252" i="3"/>
  <c r="G253" i="3"/>
  <c r="H253" i="3"/>
  <c r="I253" i="3"/>
  <c r="J253" i="3"/>
  <c r="K253" i="3"/>
  <c r="L253" i="3"/>
  <c r="N253" i="3"/>
  <c r="O253" i="3"/>
  <c r="P253" i="3"/>
  <c r="Q253" i="3"/>
  <c r="R253" i="3"/>
  <c r="G254" i="3"/>
  <c r="H254" i="3"/>
  <c r="I254" i="3"/>
  <c r="J254" i="3"/>
  <c r="K254" i="3"/>
  <c r="L254" i="3"/>
  <c r="N254" i="3"/>
  <c r="O254" i="3"/>
  <c r="P254" i="3"/>
  <c r="Q254" i="3"/>
  <c r="R254" i="3"/>
  <c r="G255" i="3"/>
  <c r="H255" i="3"/>
  <c r="I255" i="3"/>
  <c r="J255" i="3"/>
  <c r="K255" i="3"/>
  <c r="L255" i="3"/>
  <c r="N255" i="3"/>
  <c r="O255" i="3"/>
  <c r="P255" i="3"/>
  <c r="Q255" i="3"/>
  <c r="R255" i="3"/>
  <c r="G256" i="3"/>
  <c r="H256" i="3"/>
  <c r="I256" i="3"/>
  <c r="J256" i="3"/>
  <c r="K256" i="3"/>
  <c r="L256" i="3"/>
  <c r="N256" i="3"/>
  <c r="O256" i="3"/>
  <c r="P256" i="3"/>
  <c r="Q256" i="3"/>
  <c r="R256" i="3"/>
  <c r="G257" i="3"/>
  <c r="H257" i="3"/>
  <c r="I257" i="3"/>
  <c r="J257" i="3"/>
  <c r="K257" i="3"/>
  <c r="L257" i="3"/>
  <c r="N257" i="3"/>
  <c r="O257" i="3"/>
  <c r="P257" i="3"/>
  <c r="Q257" i="3"/>
  <c r="R257" i="3"/>
  <c r="G258" i="3"/>
  <c r="H258" i="3"/>
  <c r="I258" i="3"/>
  <c r="J258" i="3"/>
  <c r="K258" i="3"/>
  <c r="L258" i="3"/>
  <c r="N258" i="3"/>
  <c r="O258" i="3"/>
  <c r="P258" i="3"/>
  <c r="Q258" i="3"/>
  <c r="R258" i="3"/>
  <c r="G259" i="3"/>
  <c r="H259" i="3"/>
  <c r="I259" i="3"/>
  <c r="J259" i="3"/>
  <c r="K259" i="3"/>
  <c r="L259" i="3"/>
  <c r="N259" i="3"/>
  <c r="O259" i="3"/>
  <c r="P259" i="3"/>
  <c r="Q259" i="3"/>
  <c r="R259" i="3"/>
  <c r="G260" i="3"/>
  <c r="H260" i="3"/>
  <c r="I260" i="3"/>
  <c r="J260" i="3"/>
  <c r="K260" i="3"/>
  <c r="L260" i="3"/>
  <c r="N260" i="3"/>
  <c r="O260" i="3"/>
  <c r="P260" i="3"/>
  <c r="Q260" i="3"/>
  <c r="R260" i="3"/>
  <c r="G261" i="3"/>
  <c r="H261" i="3"/>
  <c r="I261" i="3"/>
  <c r="J261" i="3"/>
  <c r="K261" i="3"/>
  <c r="L261" i="3"/>
  <c r="N261" i="3"/>
  <c r="O261" i="3"/>
  <c r="P261" i="3"/>
  <c r="Q261" i="3"/>
  <c r="R261" i="3"/>
  <c r="G262" i="3"/>
  <c r="H262" i="3"/>
  <c r="I262" i="3"/>
  <c r="J262" i="3"/>
  <c r="K262" i="3"/>
  <c r="L262" i="3"/>
  <c r="N262" i="3"/>
  <c r="O262" i="3"/>
  <c r="P262" i="3"/>
  <c r="Q262" i="3"/>
  <c r="R262" i="3"/>
  <c r="G263" i="3"/>
  <c r="H263" i="3"/>
  <c r="I263" i="3"/>
  <c r="J263" i="3"/>
  <c r="K263" i="3"/>
  <c r="L263" i="3"/>
  <c r="N263" i="3"/>
  <c r="O263" i="3"/>
  <c r="P263" i="3"/>
  <c r="Q263" i="3"/>
  <c r="R263" i="3"/>
  <c r="G264" i="3"/>
  <c r="H264" i="3"/>
  <c r="I264" i="3"/>
  <c r="J264" i="3"/>
  <c r="K264" i="3"/>
  <c r="L264" i="3"/>
  <c r="N264" i="3"/>
  <c r="O264" i="3"/>
  <c r="P264" i="3"/>
  <c r="Q264" i="3"/>
  <c r="R264" i="3"/>
  <c r="G265" i="3"/>
  <c r="H265" i="3"/>
  <c r="I265" i="3"/>
  <c r="J265" i="3"/>
  <c r="K265" i="3"/>
  <c r="L265" i="3"/>
  <c r="N265" i="3"/>
  <c r="O265" i="3"/>
  <c r="P265" i="3"/>
  <c r="Q265" i="3"/>
  <c r="R265" i="3"/>
  <c r="G266" i="3"/>
  <c r="H266" i="3"/>
  <c r="I266" i="3"/>
  <c r="J266" i="3"/>
  <c r="K266" i="3"/>
  <c r="L266" i="3"/>
  <c r="N266" i="3"/>
  <c r="O266" i="3"/>
  <c r="P266" i="3"/>
  <c r="Q266" i="3"/>
  <c r="R266" i="3"/>
  <c r="G267" i="3"/>
  <c r="H267" i="3"/>
  <c r="I267" i="3"/>
  <c r="J267" i="3"/>
  <c r="K267" i="3"/>
  <c r="L267" i="3"/>
  <c r="N267" i="3"/>
  <c r="O267" i="3"/>
  <c r="P267" i="3"/>
  <c r="Q267" i="3"/>
  <c r="R267" i="3"/>
  <c r="G268" i="3"/>
  <c r="H268" i="3"/>
  <c r="I268" i="3"/>
  <c r="J268" i="3"/>
  <c r="K268" i="3"/>
  <c r="L268" i="3"/>
  <c r="N268" i="3"/>
  <c r="O268" i="3"/>
  <c r="P268" i="3"/>
  <c r="Q268" i="3"/>
  <c r="R268" i="3"/>
  <c r="G269" i="3"/>
  <c r="H269" i="3"/>
  <c r="I269" i="3"/>
  <c r="J269" i="3"/>
  <c r="K269" i="3"/>
  <c r="L269" i="3"/>
  <c r="N269" i="3"/>
  <c r="O269" i="3"/>
  <c r="P269" i="3"/>
  <c r="Q269" i="3"/>
  <c r="R269" i="3"/>
  <c r="G270" i="3"/>
  <c r="H270" i="3"/>
  <c r="I270" i="3"/>
  <c r="J270" i="3"/>
  <c r="K270" i="3"/>
  <c r="L270" i="3"/>
  <c r="N270" i="3"/>
  <c r="O270" i="3"/>
  <c r="P270" i="3"/>
  <c r="Q270" i="3"/>
  <c r="R270" i="3"/>
  <c r="G271" i="3"/>
  <c r="H271" i="3"/>
  <c r="I271" i="3"/>
  <c r="J271" i="3"/>
  <c r="K271" i="3"/>
  <c r="L271" i="3"/>
  <c r="N271" i="3"/>
  <c r="O271" i="3"/>
  <c r="P271" i="3"/>
  <c r="Q271" i="3"/>
  <c r="R271" i="3"/>
  <c r="G272" i="3"/>
  <c r="H272" i="3"/>
  <c r="I272" i="3"/>
  <c r="J272" i="3"/>
  <c r="K272" i="3"/>
  <c r="L272" i="3"/>
  <c r="N272" i="3"/>
  <c r="O272" i="3"/>
  <c r="P272" i="3"/>
  <c r="Q272" i="3"/>
  <c r="R272" i="3"/>
  <c r="G273" i="3"/>
  <c r="H273" i="3"/>
  <c r="I273" i="3"/>
  <c r="J273" i="3"/>
  <c r="K273" i="3"/>
  <c r="L273" i="3"/>
  <c r="N273" i="3"/>
  <c r="O273" i="3"/>
  <c r="P273" i="3"/>
  <c r="Q273" i="3"/>
  <c r="R273" i="3"/>
  <c r="G274" i="3"/>
  <c r="H274" i="3"/>
  <c r="I274" i="3"/>
  <c r="J274" i="3"/>
  <c r="K274" i="3"/>
  <c r="L274" i="3"/>
  <c r="N274" i="3"/>
  <c r="O274" i="3"/>
  <c r="P274" i="3"/>
  <c r="Q274" i="3"/>
  <c r="R274" i="3"/>
  <c r="G275" i="3"/>
  <c r="H275" i="3"/>
  <c r="I275" i="3"/>
  <c r="J275" i="3"/>
  <c r="K275" i="3"/>
  <c r="L275" i="3"/>
  <c r="N275" i="3"/>
  <c r="O275" i="3"/>
  <c r="P275" i="3"/>
  <c r="Q275" i="3"/>
  <c r="R275" i="3"/>
  <c r="G276" i="3"/>
  <c r="H276" i="3"/>
  <c r="I276" i="3"/>
  <c r="J276" i="3"/>
  <c r="K276" i="3"/>
  <c r="L276" i="3"/>
  <c r="N276" i="3"/>
  <c r="O276" i="3"/>
  <c r="P276" i="3"/>
  <c r="Q276" i="3"/>
  <c r="R276" i="3"/>
  <c r="G277" i="3"/>
  <c r="H277" i="3"/>
  <c r="I277" i="3"/>
  <c r="J277" i="3"/>
  <c r="K277" i="3"/>
  <c r="L277" i="3"/>
  <c r="N277" i="3"/>
  <c r="O277" i="3"/>
  <c r="P277" i="3"/>
  <c r="Q277" i="3"/>
  <c r="R277" i="3"/>
  <c r="G278" i="3"/>
  <c r="H278" i="3"/>
  <c r="I278" i="3"/>
  <c r="J278" i="3"/>
  <c r="K278" i="3"/>
  <c r="L278" i="3"/>
  <c r="N278" i="3"/>
  <c r="O278" i="3"/>
  <c r="P278" i="3"/>
  <c r="Q278" i="3"/>
  <c r="R278" i="3"/>
  <c r="G279" i="3"/>
  <c r="H279" i="3"/>
  <c r="I279" i="3"/>
  <c r="J279" i="3"/>
  <c r="K279" i="3"/>
  <c r="L279" i="3"/>
  <c r="N279" i="3"/>
  <c r="O279" i="3"/>
  <c r="P279" i="3"/>
  <c r="Q279" i="3"/>
  <c r="R279" i="3"/>
  <c r="G280" i="3"/>
  <c r="H280" i="3"/>
  <c r="I280" i="3"/>
  <c r="J280" i="3"/>
  <c r="K280" i="3"/>
  <c r="L280" i="3"/>
  <c r="N280" i="3"/>
  <c r="O280" i="3"/>
  <c r="P280" i="3"/>
  <c r="Q280" i="3"/>
  <c r="R280" i="3"/>
  <c r="G281" i="3"/>
  <c r="H281" i="3"/>
  <c r="I281" i="3"/>
  <c r="J281" i="3"/>
  <c r="K281" i="3"/>
  <c r="L281" i="3"/>
  <c r="N281" i="3"/>
  <c r="O281" i="3"/>
  <c r="P281" i="3"/>
  <c r="Q281" i="3"/>
  <c r="R281" i="3"/>
  <c r="G282" i="3"/>
  <c r="H282" i="3"/>
  <c r="I282" i="3"/>
  <c r="J282" i="3"/>
  <c r="K282" i="3"/>
  <c r="L282" i="3"/>
  <c r="N282" i="3"/>
  <c r="O282" i="3"/>
  <c r="P282" i="3"/>
  <c r="Q282" i="3"/>
  <c r="R282" i="3"/>
  <c r="G283" i="3"/>
  <c r="H283" i="3"/>
  <c r="I283" i="3"/>
  <c r="J283" i="3"/>
  <c r="K283" i="3"/>
  <c r="L283" i="3"/>
  <c r="N283" i="3"/>
  <c r="O283" i="3"/>
  <c r="P283" i="3"/>
  <c r="Q283" i="3"/>
  <c r="R283" i="3"/>
  <c r="G284" i="3"/>
  <c r="H284" i="3"/>
  <c r="I284" i="3"/>
  <c r="J284" i="3"/>
  <c r="K284" i="3"/>
  <c r="L284" i="3"/>
  <c r="N284" i="3"/>
  <c r="O284" i="3"/>
  <c r="P284" i="3"/>
  <c r="Q284" i="3"/>
  <c r="R284" i="3"/>
  <c r="G285" i="3"/>
  <c r="H285" i="3"/>
  <c r="I285" i="3"/>
  <c r="J285" i="3"/>
  <c r="K285" i="3"/>
  <c r="L285" i="3"/>
  <c r="N285" i="3"/>
  <c r="O285" i="3"/>
  <c r="P285" i="3"/>
  <c r="Q285" i="3"/>
  <c r="R285" i="3"/>
  <c r="G286" i="3"/>
  <c r="H286" i="3"/>
  <c r="I286" i="3"/>
  <c r="J286" i="3"/>
  <c r="K286" i="3"/>
  <c r="L286" i="3"/>
  <c r="N286" i="3"/>
  <c r="O286" i="3"/>
  <c r="P286" i="3"/>
  <c r="Q286" i="3"/>
  <c r="R286" i="3"/>
  <c r="G287" i="3"/>
  <c r="H287" i="3"/>
  <c r="I287" i="3"/>
  <c r="J287" i="3"/>
  <c r="K287" i="3"/>
  <c r="L287" i="3"/>
  <c r="N287" i="3"/>
  <c r="O287" i="3"/>
  <c r="P287" i="3"/>
  <c r="Q287" i="3"/>
  <c r="R287" i="3"/>
  <c r="G288" i="3"/>
  <c r="H288" i="3"/>
  <c r="I288" i="3"/>
  <c r="J288" i="3"/>
  <c r="K288" i="3"/>
  <c r="L288" i="3"/>
  <c r="N288" i="3"/>
  <c r="O288" i="3"/>
  <c r="P288" i="3"/>
  <c r="Q288" i="3"/>
  <c r="R288" i="3"/>
  <c r="G289" i="3"/>
  <c r="H289" i="3"/>
  <c r="I289" i="3"/>
  <c r="J289" i="3"/>
  <c r="K289" i="3"/>
  <c r="L289" i="3"/>
  <c r="N289" i="3"/>
  <c r="O289" i="3"/>
  <c r="P289" i="3"/>
  <c r="Q289" i="3"/>
  <c r="R289" i="3"/>
  <c r="G290" i="3"/>
  <c r="H290" i="3"/>
  <c r="I290" i="3"/>
  <c r="J290" i="3"/>
  <c r="K290" i="3"/>
  <c r="L290" i="3"/>
  <c r="N290" i="3"/>
  <c r="O290" i="3"/>
  <c r="P290" i="3"/>
  <c r="Q290" i="3"/>
  <c r="R290" i="3"/>
  <c r="G291" i="3"/>
  <c r="H291" i="3"/>
  <c r="I291" i="3"/>
  <c r="J291" i="3"/>
  <c r="K291" i="3"/>
  <c r="L291" i="3"/>
  <c r="N291" i="3"/>
  <c r="O291" i="3"/>
  <c r="P291" i="3"/>
  <c r="Q291" i="3"/>
  <c r="R291" i="3"/>
  <c r="G292" i="3"/>
  <c r="H292" i="3"/>
  <c r="I292" i="3"/>
  <c r="J292" i="3"/>
  <c r="K292" i="3"/>
  <c r="L292" i="3"/>
  <c r="N292" i="3"/>
  <c r="O292" i="3"/>
  <c r="P292" i="3"/>
  <c r="Q292" i="3"/>
  <c r="R292" i="3"/>
  <c r="G293" i="3"/>
  <c r="H293" i="3"/>
  <c r="I293" i="3"/>
  <c r="J293" i="3"/>
  <c r="K293" i="3"/>
  <c r="L293" i="3"/>
  <c r="N293" i="3"/>
  <c r="O293" i="3"/>
  <c r="P293" i="3"/>
  <c r="Q293" i="3"/>
  <c r="R293" i="3"/>
  <c r="G294" i="3"/>
  <c r="H294" i="3"/>
  <c r="I294" i="3"/>
  <c r="J294" i="3"/>
  <c r="K294" i="3"/>
  <c r="L294" i="3"/>
  <c r="N294" i="3"/>
  <c r="O294" i="3"/>
  <c r="P294" i="3"/>
  <c r="Q294" i="3"/>
  <c r="R294" i="3"/>
  <c r="G295" i="3"/>
  <c r="H295" i="3"/>
  <c r="I295" i="3"/>
  <c r="J295" i="3"/>
  <c r="K295" i="3"/>
  <c r="L295" i="3"/>
  <c r="N295" i="3"/>
  <c r="O295" i="3"/>
  <c r="P295" i="3"/>
  <c r="Q295" i="3"/>
  <c r="R295" i="3"/>
  <c r="G296" i="3"/>
  <c r="H296" i="3"/>
  <c r="I296" i="3"/>
  <c r="J296" i="3"/>
  <c r="K296" i="3"/>
  <c r="L296" i="3"/>
  <c r="N296" i="3"/>
  <c r="O296" i="3"/>
  <c r="P296" i="3"/>
  <c r="Q296" i="3"/>
  <c r="R296" i="3"/>
  <c r="G297" i="3"/>
  <c r="H297" i="3"/>
  <c r="I297" i="3"/>
  <c r="J297" i="3"/>
  <c r="K297" i="3"/>
  <c r="L297" i="3"/>
  <c r="N297" i="3"/>
  <c r="O297" i="3"/>
  <c r="P297" i="3"/>
  <c r="Q297" i="3"/>
  <c r="R297" i="3"/>
  <c r="G298" i="3"/>
  <c r="H298" i="3"/>
  <c r="I298" i="3"/>
  <c r="J298" i="3"/>
  <c r="K298" i="3"/>
  <c r="L298" i="3"/>
  <c r="N298" i="3"/>
  <c r="O298" i="3"/>
  <c r="P298" i="3"/>
  <c r="Q298" i="3"/>
  <c r="R298" i="3"/>
  <c r="G299" i="3"/>
  <c r="H299" i="3"/>
  <c r="I299" i="3"/>
  <c r="J299" i="3"/>
  <c r="K299" i="3"/>
  <c r="L299" i="3"/>
  <c r="N299" i="3"/>
  <c r="O299" i="3"/>
  <c r="P299" i="3"/>
  <c r="Q299" i="3"/>
  <c r="R299" i="3"/>
  <c r="G300" i="3"/>
  <c r="H300" i="3"/>
  <c r="I300" i="3"/>
  <c r="J300" i="3"/>
  <c r="K300" i="3"/>
  <c r="L300" i="3"/>
  <c r="N300" i="3"/>
  <c r="O300" i="3"/>
  <c r="P300" i="3"/>
  <c r="Q300" i="3"/>
  <c r="R300" i="3"/>
  <c r="G301" i="3"/>
  <c r="H301" i="3"/>
  <c r="I301" i="3"/>
  <c r="J301" i="3"/>
  <c r="K301" i="3"/>
  <c r="L301" i="3"/>
  <c r="N301" i="3"/>
  <c r="O301" i="3"/>
  <c r="P301" i="3"/>
  <c r="Q301" i="3"/>
  <c r="R301" i="3"/>
  <c r="G302" i="3"/>
  <c r="H302" i="3"/>
  <c r="I302" i="3"/>
  <c r="J302" i="3"/>
  <c r="K302" i="3"/>
  <c r="L302" i="3"/>
  <c r="N302" i="3"/>
  <c r="O302" i="3"/>
  <c r="P302" i="3"/>
  <c r="Q302" i="3"/>
  <c r="R302" i="3"/>
  <c r="G303" i="3"/>
  <c r="H303" i="3"/>
  <c r="I303" i="3"/>
  <c r="J303" i="3"/>
  <c r="K303" i="3"/>
  <c r="L303" i="3"/>
  <c r="N303" i="3"/>
  <c r="O303" i="3"/>
  <c r="P303" i="3"/>
  <c r="Q303" i="3"/>
  <c r="R303" i="3"/>
  <c r="G304" i="3"/>
  <c r="H304" i="3"/>
  <c r="I304" i="3"/>
  <c r="J304" i="3"/>
  <c r="K304" i="3"/>
  <c r="L304" i="3"/>
  <c r="N304" i="3"/>
  <c r="O304" i="3"/>
  <c r="P304" i="3"/>
  <c r="Q304" i="3"/>
  <c r="R304" i="3"/>
  <c r="G305" i="3"/>
  <c r="H305" i="3"/>
  <c r="I305" i="3"/>
  <c r="J305" i="3"/>
  <c r="K305" i="3"/>
  <c r="L305" i="3"/>
  <c r="N305" i="3"/>
  <c r="O305" i="3"/>
  <c r="P305" i="3"/>
  <c r="Q305" i="3"/>
  <c r="R305" i="3"/>
  <c r="G306" i="3"/>
  <c r="H306" i="3"/>
  <c r="I306" i="3"/>
  <c r="J306" i="3"/>
  <c r="K306" i="3"/>
  <c r="L306" i="3"/>
  <c r="N306" i="3"/>
  <c r="O306" i="3"/>
  <c r="P306" i="3"/>
  <c r="Q306" i="3"/>
  <c r="R306" i="3"/>
  <c r="G307" i="3"/>
  <c r="H307" i="3"/>
  <c r="I307" i="3"/>
  <c r="J307" i="3"/>
  <c r="K307" i="3"/>
  <c r="L307" i="3"/>
  <c r="N307" i="3"/>
  <c r="O307" i="3"/>
  <c r="P307" i="3"/>
  <c r="Q307" i="3"/>
  <c r="R307" i="3"/>
  <c r="G308" i="3"/>
  <c r="H308" i="3"/>
  <c r="I308" i="3"/>
  <c r="J308" i="3"/>
  <c r="K308" i="3"/>
  <c r="L308" i="3"/>
  <c r="N308" i="3"/>
  <c r="O308" i="3"/>
  <c r="P308" i="3"/>
  <c r="Q308" i="3"/>
  <c r="R308" i="3"/>
  <c r="G309" i="3"/>
  <c r="H309" i="3"/>
  <c r="I309" i="3"/>
  <c r="J309" i="3"/>
  <c r="K309" i="3"/>
  <c r="L309" i="3"/>
  <c r="N309" i="3"/>
  <c r="O309" i="3"/>
  <c r="P309" i="3"/>
  <c r="Q309" i="3"/>
  <c r="R309" i="3"/>
  <c r="G310" i="3"/>
  <c r="H310" i="3"/>
  <c r="I310" i="3"/>
  <c r="J310" i="3"/>
  <c r="K310" i="3"/>
  <c r="L310" i="3"/>
  <c r="N310" i="3"/>
  <c r="O310" i="3"/>
  <c r="P310" i="3"/>
  <c r="Q310" i="3"/>
  <c r="R310" i="3"/>
  <c r="G311" i="3"/>
  <c r="H311" i="3"/>
  <c r="I311" i="3"/>
  <c r="J311" i="3"/>
  <c r="K311" i="3"/>
  <c r="L311" i="3"/>
  <c r="N311" i="3"/>
  <c r="O311" i="3"/>
  <c r="P311" i="3"/>
  <c r="Q311" i="3"/>
  <c r="R311" i="3"/>
  <c r="G312" i="3"/>
  <c r="H312" i="3"/>
  <c r="I312" i="3"/>
  <c r="J312" i="3"/>
  <c r="K312" i="3"/>
  <c r="L312" i="3"/>
  <c r="N312" i="3"/>
  <c r="O312" i="3"/>
  <c r="P312" i="3"/>
  <c r="Q312" i="3"/>
  <c r="R312" i="3"/>
  <c r="G313" i="3"/>
  <c r="H313" i="3"/>
  <c r="I313" i="3"/>
  <c r="J313" i="3"/>
  <c r="K313" i="3"/>
  <c r="L313" i="3"/>
  <c r="N313" i="3"/>
  <c r="O313" i="3"/>
  <c r="P313" i="3"/>
  <c r="Q313" i="3"/>
  <c r="R313" i="3"/>
  <c r="G314" i="3"/>
  <c r="H314" i="3"/>
  <c r="I314" i="3"/>
  <c r="J314" i="3"/>
  <c r="K314" i="3"/>
  <c r="L314" i="3"/>
  <c r="N314" i="3"/>
  <c r="O314" i="3"/>
  <c r="P314" i="3"/>
  <c r="Q314" i="3"/>
  <c r="R314" i="3"/>
  <c r="G315" i="3"/>
  <c r="H315" i="3"/>
  <c r="I315" i="3"/>
  <c r="J315" i="3"/>
  <c r="K315" i="3"/>
  <c r="L315" i="3"/>
  <c r="N315" i="3"/>
  <c r="O315" i="3"/>
  <c r="P315" i="3"/>
  <c r="Q315" i="3"/>
  <c r="R315" i="3"/>
  <c r="G316" i="3"/>
  <c r="H316" i="3"/>
  <c r="I316" i="3"/>
  <c r="J316" i="3"/>
  <c r="K316" i="3"/>
  <c r="L316" i="3"/>
  <c r="N316" i="3"/>
  <c r="O316" i="3"/>
  <c r="P316" i="3"/>
  <c r="Q316" i="3"/>
  <c r="R316" i="3"/>
  <c r="G317" i="3"/>
  <c r="H317" i="3"/>
  <c r="I317" i="3"/>
  <c r="J317" i="3"/>
  <c r="K317" i="3"/>
  <c r="L317" i="3"/>
  <c r="N317" i="3"/>
  <c r="O317" i="3"/>
  <c r="P317" i="3"/>
  <c r="Q317" i="3"/>
  <c r="R317" i="3"/>
  <c r="G318" i="3"/>
  <c r="H318" i="3"/>
  <c r="I318" i="3"/>
  <c r="J318" i="3"/>
  <c r="K318" i="3"/>
  <c r="L318" i="3"/>
  <c r="N318" i="3"/>
  <c r="O318" i="3"/>
  <c r="P318" i="3"/>
  <c r="Q318" i="3"/>
  <c r="R318" i="3"/>
  <c r="G319" i="3"/>
  <c r="H319" i="3"/>
  <c r="I319" i="3"/>
  <c r="J319" i="3"/>
  <c r="K319" i="3"/>
  <c r="L319" i="3"/>
  <c r="N319" i="3"/>
  <c r="O319" i="3"/>
  <c r="P319" i="3"/>
  <c r="Q319" i="3"/>
  <c r="R319" i="3"/>
  <c r="G320" i="3"/>
  <c r="H320" i="3"/>
  <c r="I320" i="3"/>
  <c r="J320" i="3"/>
  <c r="K320" i="3"/>
  <c r="L320" i="3"/>
  <c r="N320" i="3"/>
  <c r="O320" i="3"/>
  <c r="P320" i="3"/>
  <c r="Q320" i="3"/>
  <c r="R320" i="3"/>
  <c r="G321" i="3"/>
  <c r="H321" i="3"/>
  <c r="I321" i="3"/>
  <c r="J321" i="3"/>
  <c r="K321" i="3"/>
  <c r="L321" i="3"/>
  <c r="N321" i="3"/>
  <c r="O321" i="3"/>
  <c r="P321" i="3"/>
  <c r="Q321" i="3"/>
  <c r="R321" i="3"/>
  <c r="G322" i="3"/>
  <c r="H322" i="3"/>
  <c r="I322" i="3"/>
  <c r="J322" i="3"/>
  <c r="K322" i="3"/>
  <c r="L322" i="3"/>
  <c r="N322" i="3"/>
  <c r="O322" i="3"/>
  <c r="P322" i="3"/>
  <c r="Q322" i="3"/>
  <c r="R322" i="3"/>
  <c r="G323" i="3"/>
  <c r="H323" i="3"/>
  <c r="I323" i="3"/>
  <c r="J323" i="3"/>
  <c r="K323" i="3"/>
  <c r="L323" i="3"/>
  <c r="N323" i="3"/>
  <c r="O323" i="3"/>
  <c r="P323" i="3"/>
  <c r="Q323" i="3"/>
  <c r="R323" i="3"/>
  <c r="G324" i="3"/>
  <c r="H324" i="3"/>
  <c r="I324" i="3"/>
  <c r="J324" i="3"/>
  <c r="K324" i="3"/>
  <c r="L324" i="3"/>
  <c r="N324" i="3"/>
  <c r="O324" i="3"/>
  <c r="P324" i="3"/>
  <c r="Q324" i="3"/>
  <c r="R324" i="3"/>
  <c r="G325" i="3"/>
  <c r="H325" i="3"/>
  <c r="I325" i="3"/>
  <c r="J325" i="3"/>
  <c r="K325" i="3"/>
  <c r="L325" i="3"/>
  <c r="N325" i="3"/>
  <c r="O325" i="3"/>
  <c r="P325" i="3"/>
  <c r="Q325" i="3"/>
  <c r="R325" i="3"/>
  <c r="G326" i="3"/>
  <c r="H326" i="3"/>
  <c r="I326" i="3"/>
  <c r="J326" i="3"/>
  <c r="K326" i="3"/>
  <c r="L326" i="3"/>
  <c r="N326" i="3"/>
  <c r="O326" i="3"/>
  <c r="P326" i="3"/>
  <c r="Q326" i="3"/>
  <c r="R326" i="3"/>
  <c r="G327" i="3"/>
  <c r="H327" i="3"/>
  <c r="I327" i="3"/>
  <c r="J327" i="3"/>
  <c r="K327" i="3"/>
  <c r="L327" i="3"/>
  <c r="N327" i="3"/>
  <c r="O327" i="3"/>
  <c r="P327" i="3"/>
  <c r="Q327" i="3"/>
  <c r="R327" i="3"/>
  <c r="G328" i="3"/>
  <c r="H328" i="3"/>
  <c r="I328" i="3"/>
  <c r="J328" i="3"/>
  <c r="K328" i="3"/>
  <c r="L328" i="3"/>
  <c r="N328" i="3"/>
  <c r="O328" i="3"/>
  <c r="P328" i="3"/>
  <c r="Q328" i="3"/>
  <c r="R328" i="3"/>
  <c r="G329" i="3"/>
  <c r="H329" i="3"/>
  <c r="I329" i="3"/>
  <c r="J329" i="3"/>
  <c r="K329" i="3"/>
  <c r="L329" i="3"/>
  <c r="N329" i="3"/>
  <c r="O329" i="3"/>
  <c r="P329" i="3"/>
  <c r="Q329" i="3"/>
  <c r="R329" i="3"/>
  <c r="G330" i="3"/>
  <c r="H330" i="3"/>
  <c r="I330" i="3"/>
  <c r="J330" i="3"/>
  <c r="K330" i="3"/>
  <c r="L330" i="3"/>
  <c r="N330" i="3"/>
  <c r="O330" i="3"/>
  <c r="P330" i="3"/>
  <c r="Q330" i="3"/>
  <c r="R330" i="3"/>
  <c r="G331" i="3"/>
  <c r="H331" i="3"/>
  <c r="I331" i="3"/>
  <c r="J331" i="3"/>
  <c r="K331" i="3"/>
  <c r="L331" i="3"/>
  <c r="N331" i="3"/>
  <c r="O331" i="3"/>
  <c r="P331" i="3"/>
  <c r="Q331" i="3"/>
  <c r="R331" i="3"/>
  <c r="G332" i="3"/>
  <c r="H332" i="3"/>
  <c r="I332" i="3"/>
  <c r="J332" i="3"/>
  <c r="K332" i="3"/>
  <c r="L332" i="3"/>
  <c r="N332" i="3"/>
  <c r="O332" i="3"/>
  <c r="P332" i="3"/>
  <c r="Q332" i="3"/>
  <c r="R332" i="3"/>
  <c r="G333" i="3"/>
  <c r="H333" i="3"/>
  <c r="I333" i="3"/>
  <c r="J333" i="3"/>
  <c r="K333" i="3"/>
  <c r="L333" i="3"/>
  <c r="N333" i="3"/>
  <c r="O333" i="3"/>
  <c r="P333" i="3"/>
  <c r="Q333" i="3"/>
  <c r="R333" i="3"/>
  <c r="G334" i="3"/>
  <c r="H334" i="3"/>
  <c r="I334" i="3"/>
  <c r="J334" i="3"/>
  <c r="K334" i="3"/>
  <c r="L334" i="3"/>
  <c r="N334" i="3"/>
  <c r="O334" i="3"/>
  <c r="P334" i="3"/>
  <c r="Q334" i="3"/>
  <c r="R334" i="3"/>
  <c r="G335" i="3"/>
  <c r="H335" i="3"/>
  <c r="I335" i="3"/>
  <c r="J335" i="3"/>
  <c r="K335" i="3"/>
  <c r="L335" i="3"/>
  <c r="N335" i="3"/>
  <c r="O335" i="3"/>
  <c r="P335" i="3"/>
  <c r="Q335" i="3"/>
  <c r="R335" i="3"/>
  <c r="G336" i="3"/>
  <c r="H336" i="3"/>
  <c r="I336" i="3"/>
  <c r="J336" i="3"/>
  <c r="K336" i="3"/>
  <c r="L336" i="3"/>
  <c r="N336" i="3"/>
  <c r="O336" i="3"/>
  <c r="P336" i="3"/>
  <c r="Q336" i="3"/>
  <c r="R336" i="3"/>
  <c r="G337" i="3"/>
  <c r="H337" i="3"/>
  <c r="I337" i="3"/>
  <c r="J337" i="3"/>
  <c r="K337" i="3"/>
  <c r="L337" i="3"/>
  <c r="N337" i="3"/>
  <c r="O337" i="3"/>
  <c r="P337" i="3"/>
  <c r="Q337" i="3"/>
  <c r="R337" i="3"/>
  <c r="G338" i="3"/>
  <c r="H338" i="3"/>
  <c r="I338" i="3"/>
  <c r="J338" i="3"/>
  <c r="K338" i="3"/>
  <c r="L338" i="3"/>
  <c r="N338" i="3"/>
  <c r="O338" i="3"/>
  <c r="P338" i="3"/>
  <c r="Q338" i="3"/>
  <c r="R338" i="3"/>
  <c r="G339" i="3"/>
  <c r="H339" i="3"/>
  <c r="I339" i="3"/>
  <c r="J339" i="3"/>
  <c r="K339" i="3"/>
  <c r="L339" i="3"/>
  <c r="N339" i="3"/>
  <c r="O339" i="3"/>
  <c r="P339" i="3"/>
  <c r="Q339" i="3"/>
  <c r="R339" i="3"/>
  <c r="G340" i="3"/>
  <c r="H340" i="3"/>
  <c r="I340" i="3"/>
  <c r="J340" i="3"/>
  <c r="K340" i="3"/>
  <c r="L340" i="3"/>
  <c r="N340" i="3"/>
  <c r="O340" i="3"/>
  <c r="P340" i="3"/>
  <c r="Q340" i="3"/>
  <c r="R340" i="3"/>
  <c r="G341" i="3"/>
  <c r="H341" i="3"/>
  <c r="I341" i="3"/>
  <c r="J341" i="3"/>
  <c r="K341" i="3"/>
  <c r="L341" i="3"/>
  <c r="N341" i="3"/>
  <c r="O341" i="3"/>
  <c r="P341" i="3"/>
  <c r="Q341" i="3"/>
  <c r="R341" i="3"/>
  <c r="G342" i="3"/>
  <c r="H342" i="3"/>
  <c r="I342" i="3"/>
  <c r="J342" i="3"/>
  <c r="K342" i="3"/>
  <c r="L342" i="3"/>
  <c r="N342" i="3"/>
  <c r="O342" i="3"/>
  <c r="P342" i="3"/>
  <c r="Q342" i="3"/>
  <c r="R342" i="3"/>
  <c r="G343" i="3"/>
  <c r="H343" i="3"/>
  <c r="I343" i="3"/>
  <c r="J343" i="3"/>
  <c r="K343" i="3"/>
  <c r="L343" i="3"/>
  <c r="N343" i="3"/>
  <c r="O343" i="3"/>
  <c r="P343" i="3"/>
  <c r="Q343" i="3"/>
  <c r="R343" i="3"/>
  <c r="G344" i="3"/>
  <c r="H344" i="3"/>
  <c r="I344" i="3"/>
  <c r="J344" i="3"/>
  <c r="K344" i="3"/>
  <c r="L344" i="3"/>
  <c r="N344" i="3"/>
  <c r="O344" i="3"/>
  <c r="P344" i="3"/>
  <c r="Q344" i="3"/>
  <c r="R344" i="3"/>
  <c r="G345" i="3"/>
  <c r="H345" i="3"/>
  <c r="I345" i="3"/>
  <c r="J345" i="3"/>
  <c r="K345" i="3"/>
  <c r="L345" i="3"/>
  <c r="N345" i="3"/>
  <c r="O345" i="3"/>
  <c r="P345" i="3"/>
  <c r="Q345" i="3"/>
  <c r="R345" i="3"/>
  <c r="G346" i="3"/>
  <c r="H346" i="3"/>
  <c r="I346" i="3"/>
  <c r="J346" i="3"/>
  <c r="K346" i="3"/>
  <c r="L346" i="3"/>
  <c r="N346" i="3"/>
  <c r="O346" i="3"/>
  <c r="P346" i="3"/>
  <c r="Q346" i="3"/>
  <c r="R346" i="3"/>
  <c r="G347" i="3"/>
  <c r="H347" i="3"/>
  <c r="I347" i="3"/>
  <c r="J347" i="3"/>
  <c r="K347" i="3"/>
  <c r="L347" i="3"/>
  <c r="N347" i="3"/>
  <c r="O347" i="3"/>
  <c r="P347" i="3"/>
  <c r="Q347" i="3"/>
  <c r="R347" i="3"/>
  <c r="G348" i="3"/>
  <c r="H348" i="3"/>
  <c r="I348" i="3"/>
  <c r="J348" i="3"/>
  <c r="K348" i="3"/>
  <c r="L348" i="3"/>
  <c r="N348" i="3"/>
  <c r="O348" i="3"/>
  <c r="P348" i="3"/>
  <c r="Q348" i="3"/>
  <c r="R348" i="3"/>
  <c r="G349" i="3"/>
  <c r="H349" i="3"/>
  <c r="I349" i="3"/>
  <c r="J349" i="3"/>
  <c r="K349" i="3"/>
  <c r="L349" i="3"/>
  <c r="N349" i="3"/>
  <c r="O349" i="3"/>
  <c r="P349" i="3"/>
  <c r="Q349" i="3"/>
  <c r="R349" i="3"/>
  <c r="G350" i="3"/>
  <c r="H350" i="3"/>
  <c r="I350" i="3"/>
  <c r="J350" i="3"/>
  <c r="K350" i="3"/>
  <c r="L350" i="3"/>
  <c r="N350" i="3"/>
  <c r="O350" i="3"/>
  <c r="P350" i="3"/>
  <c r="Q350" i="3"/>
  <c r="R350" i="3"/>
  <c r="G351" i="3"/>
  <c r="H351" i="3"/>
  <c r="I351" i="3"/>
  <c r="J351" i="3"/>
  <c r="K351" i="3"/>
  <c r="L351" i="3"/>
  <c r="N351" i="3"/>
  <c r="O351" i="3"/>
  <c r="P351" i="3"/>
  <c r="Q351" i="3"/>
  <c r="R351" i="3"/>
  <c r="G352" i="3"/>
  <c r="H352" i="3"/>
  <c r="I352" i="3"/>
  <c r="J352" i="3"/>
  <c r="K352" i="3"/>
  <c r="L352" i="3"/>
  <c r="N352" i="3"/>
  <c r="O352" i="3"/>
  <c r="P352" i="3"/>
  <c r="Q352" i="3"/>
  <c r="R352" i="3"/>
  <c r="G353" i="3"/>
  <c r="H353" i="3"/>
  <c r="I353" i="3"/>
  <c r="J353" i="3"/>
  <c r="K353" i="3"/>
  <c r="L353" i="3"/>
  <c r="N353" i="3"/>
  <c r="O353" i="3"/>
  <c r="P353" i="3"/>
  <c r="Q353" i="3"/>
  <c r="R353" i="3"/>
  <c r="G354" i="3"/>
  <c r="H354" i="3"/>
  <c r="I354" i="3"/>
  <c r="J354" i="3"/>
  <c r="K354" i="3"/>
  <c r="L354" i="3"/>
  <c r="N354" i="3"/>
  <c r="O354" i="3"/>
  <c r="P354" i="3"/>
  <c r="Q354" i="3"/>
  <c r="R354" i="3"/>
  <c r="G355" i="3"/>
  <c r="H355" i="3"/>
  <c r="I355" i="3"/>
  <c r="J355" i="3"/>
  <c r="K355" i="3"/>
  <c r="L355" i="3"/>
  <c r="N355" i="3"/>
  <c r="O355" i="3"/>
  <c r="P355" i="3"/>
  <c r="Q355" i="3"/>
  <c r="R355" i="3"/>
  <c r="G356" i="3"/>
  <c r="H356" i="3"/>
  <c r="I356" i="3"/>
  <c r="J356" i="3"/>
  <c r="K356" i="3"/>
  <c r="L356" i="3"/>
  <c r="N356" i="3"/>
  <c r="O356" i="3"/>
  <c r="P356" i="3"/>
  <c r="Q356" i="3"/>
  <c r="R356" i="3"/>
  <c r="G357" i="3"/>
  <c r="H357" i="3"/>
  <c r="I357" i="3"/>
  <c r="J357" i="3"/>
  <c r="K357" i="3"/>
  <c r="L357" i="3"/>
  <c r="N357" i="3"/>
  <c r="O357" i="3"/>
  <c r="P357" i="3"/>
  <c r="Q357" i="3"/>
  <c r="R357" i="3"/>
  <c r="G358" i="3"/>
  <c r="H358" i="3"/>
  <c r="I358" i="3"/>
  <c r="J358" i="3"/>
  <c r="K358" i="3"/>
  <c r="L358" i="3"/>
  <c r="N358" i="3"/>
  <c r="O358" i="3"/>
  <c r="P358" i="3"/>
  <c r="Q358" i="3"/>
  <c r="R358" i="3"/>
  <c r="G359" i="3"/>
  <c r="H359" i="3"/>
  <c r="I359" i="3"/>
  <c r="J359" i="3"/>
  <c r="K359" i="3"/>
  <c r="L359" i="3"/>
  <c r="N359" i="3"/>
  <c r="O359" i="3"/>
  <c r="P359" i="3"/>
  <c r="Q359" i="3"/>
  <c r="R359" i="3"/>
  <c r="G360" i="3"/>
  <c r="H360" i="3"/>
  <c r="I360" i="3"/>
  <c r="J360" i="3"/>
  <c r="K360" i="3"/>
  <c r="L360" i="3"/>
  <c r="N360" i="3"/>
  <c r="O360" i="3"/>
  <c r="P360" i="3"/>
  <c r="Q360" i="3"/>
  <c r="R360" i="3"/>
  <c r="G361" i="3"/>
  <c r="H361" i="3"/>
  <c r="I361" i="3"/>
  <c r="J361" i="3"/>
  <c r="K361" i="3"/>
  <c r="L361" i="3"/>
  <c r="N361" i="3"/>
  <c r="O361" i="3"/>
  <c r="P361" i="3"/>
  <c r="Q361" i="3"/>
  <c r="R361" i="3"/>
  <c r="G362" i="3"/>
  <c r="H362" i="3"/>
  <c r="I362" i="3"/>
  <c r="J362" i="3"/>
  <c r="K362" i="3"/>
  <c r="L362" i="3"/>
  <c r="N362" i="3"/>
  <c r="O362" i="3"/>
  <c r="P362" i="3"/>
  <c r="Q362" i="3"/>
  <c r="R362" i="3"/>
  <c r="G363" i="3"/>
  <c r="H363" i="3"/>
  <c r="I363" i="3"/>
  <c r="J363" i="3"/>
  <c r="K363" i="3"/>
  <c r="L363" i="3"/>
  <c r="N363" i="3"/>
  <c r="O363" i="3"/>
  <c r="P363" i="3"/>
  <c r="Q363" i="3"/>
  <c r="R363" i="3"/>
  <c r="G364" i="3"/>
  <c r="H364" i="3"/>
  <c r="I364" i="3"/>
  <c r="J364" i="3"/>
  <c r="K364" i="3"/>
  <c r="L364" i="3"/>
  <c r="N364" i="3"/>
  <c r="O364" i="3"/>
  <c r="P364" i="3"/>
  <c r="Q364" i="3"/>
  <c r="R364" i="3"/>
  <c r="G365" i="3"/>
  <c r="H365" i="3"/>
  <c r="I365" i="3"/>
  <c r="J365" i="3"/>
  <c r="K365" i="3"/>
  <c r="L365" i="3"/>
  <c r="N365" i="3"/>
  <c r="O365" i="3"/>
  <c r="P365" i="3"/>
  <c r="Q365" i="3"/>
  <c r="R365" i="3"/>
  <c r="G366" i="3"/>
  <c r="H366" i="3"/>
  <c r="I366" i="3"/>
  <c r="J366" i="3"/>
  <c r="K366" i="3"/>
  <c r="L366" i="3"/>
  <c r="N366" i="3"/>
  <c r="O366" i="3"/>
  <c r="P366" i="3"/>
  <c r="Q366" i="3"/>
  <c r="R366" i="3"/>
  <c r="G367" i="3"/>
  <c r="H367" i="3"/>
  <c r="I367" i="3"/>
  <c r="J367" i="3"/>
  <c r="K367" i="3"/>
  <c r="L367" i="3"/>
  <c r="N367" i="3"/>
  <c r="O367" i="3"/>
  <c r="P367" i="3"/>
  <c r="Q367" i="3"/>
  <c r="R367" i="3"/>
  <c r="G368" i="3"/>
  <c r="H368" i="3"/>
  <c r="I368" i="3"/>
  <c r="J368" i="3"/>
  <c r="K368" i="3"/>
  <c r="L368" i="3"/>
  <c r="N368" i="3"/>
  <c r="O368" i="3"/>
  <c r="P368" i="3"/>
  <c r="Q368" i="3"/>
  <c r="R368" i="3"/>
  <c r="G369" i="3"/>
  <c r="H369" i="3"/>
  <c r="I369" i="3"/>
  <c r="J369" i="3"/>
  <c r="K369" i="3"/>
  <c r="L369" i="3"/>
  <c r="N369" i="3"/>
  <c r="O369" i="3"/>
  <c r="P369" i="3"/>
  <c r="Q369" i="3"/>
  <c r="R369" i="3"/>
  <c r="G370" i="3"/>
  <c r="H370" i="3"/>
  <c r="I370" i="3"/>
  <c r="J370" i="3"/>
  <c r="K370" i="3"/>
  <c r="L370" i="3"/>
  <c r="N370" i="3"/>
  <c r="O370" i="3"/>
  <c r="P370" i="3"/>
  <c r="Q370" i="3"/>
  <c r="R370" i="3"/>
  <c r="G371" i="3"/>
  <c r="H371" i="3"/>
  <c r="I371" i="3"/>
  <c r="J371" i="3"/>
  <c r="K371" i="3"/>
  <c r="L371" i="3"/>
  <c r="N371" i="3"/>
  <c r="O371" i="3"/>
  <c r="P371" i="3"/>
  <c r="Q371" i="3"/>
  <c r="R371" i="3"/>
  <c r="G372" i="3"/>
  <c r="H372" i="3"/>
  <c r="I372" i="3"/>
  <c r="J372" i="3"/>
  <c r="K372" i="3"/>
  <c r="L372" i="3"/>
  <c r="N372" i="3"/>
  <c r="O372" i="3"/>
  <c r="P372" i="3"/>
  <c r="Q372" i="3"/>
  <c r="R372" i="3"/>
  <c r="G373" i="3"/>
  <c r="H373" i="3"/>
  <c r="I373" i="3"/>
  <c r="J373" i="3"/>
  <c r="K373" i="3"/>
  <c r="L373" i="3"/>
  <c r="N373" i="3"/>
  <c r="O373" i="3"/>
  <c r="P373" i="3"/>
  <c r="Q373" i="3"/>
  <c r="R373" i="3"/>
  <c r="G374" i="3"/>
  <c r="H374" i="3"/>
  <c r="I374" i="3"/>
  <c r="J374" i="3"/>
  <c r="K374" i="3"/>
  <c r="L374" i="3"/>
  <c r="N374" i="3"/>
  <c r="O374" i="3"/>
  <c r="P374" i="3"/>
  <c r="Q374" i="3"/>
  <c r="R374" i="3"/>
  <c r="G375" i="3"/>
  <c r="H375" i="3"/>
  <c r="I375" i="3"/>
  <c r="J375" i="3"/>
  <c r="K375" i="3"/>
  <c r="L375" i="3"/>
  <c r="N375" i="3"/>
  <c r="O375" i="3"/>
  <c r="P375" i="3"/>
  <c r="Q375" i="3"/>
  <c r="R375" i="3"/>
  <c r="G376" i="3"/>
  <c r="H376" i="3"/>
  <c r="I376" i="3"/>
  <c r="J376" i="3"/>
  <c r="K376" i="3"/>
  <c r="L376" i="3"/>
  <c r="N376" i="3"/>
  <c r="O376" i="3"/>
  <c r="P376" i="3"/>
  <c r="Q376" i="3"/>
  <c r="R376" i="3"/>
  <c r="G377" i="3"/>
  <c r="H377" i="3"/>
  <c r="I377" i="3"/>
  <c r="J377" i="3"/>
  <c r="K377" i="3"/>
  <c r="L377" i="3"/>
  <c r="N377" i="3"/>
  <c r="O377" i="3"/>
  <c r="P377" i="3"/>
  <c r="Q377" i="3"/>
  <c r="R377" i="3"/>
  <c r="G378" i="3"/>
  <c r="H378" i="3"/>
  <c r="I378" i="3"/>
  <c r="J378" i="3"/>
  <c r="K378" i="3"/>
  <c r="L378" i="3"/>
  <c r="N378" i="3"/>
  <c r="O378" i="3"/>
  <c r="P378" i="3"/>
  <c r="Q378" i="3"/>
  <c r="R378" i="3"/>
  <c r="G379" i="3"/>
  <c r="H379" i="3"/>
  <c r="I379" i="3"/>
  <c r="J379" i="3"/>
  <c r="K379" i="3"/>
  <c r="L379" i="3"/>
  <c r="N379" i="3"/>
  <c r="O379" i="3"/>
  <c r="P379" i="3"/>
  <c r="Q379" i="3"/>
  <c r="R379" i="3"/>
  <c r="G380" i="3"/>
  <c r="H380" i="3"/>
  <c r="I380" i="3"/>
  <c r="J380" i="3"/>
  <c r="K380" i="3"/>
  <c r="L380" i="3"/>
  <c r="N380" i="3"/>
  <c r="O380" i="3"/>
  <c r="P380" i="3"/>
  <c r="Q380" i="3"/>
  <c r="R380" i="3"/>
  <c r="G381" i="3"/>
  <c r="H381" i="3"/>
  <c r="I381" i="3"/>
  <c r="J381" i="3"/>
  <c r="K381" i="3"/>
  <c r="L381" i="3"/>
  <c r="N381" i="3"/>
  <c r="O381" i="3"/>
  <c r="P381" i="3"/>
  <c r="Q381" i="3"/>
  <c r="R381" i="3"/>
  <c r="G382" i="3"/>
  <c r="H382" i="3"/>
  <c r="I382" i="3"/>
  <c r="J382" i="3"/>
  <c r="K382" i="3"/>
  <c r="L382" i="3"/>
  <c r="N382" i="3"/>
  <c r="O382" i="3"/>
  <c r="P382" i="3"/>
  <c r="Q382" i="3"/>
  <c r="R382" i="3"/>
  <c r="G383" i="3"/>
  <c r="H383" i="3"/>
  <c r="I383" i="3"/>
  <c r="J383" i="3"/>
  <c r="K383" i="3"/>
  <c r="L383" i="3"/>
  <c r="N383" i="3"/>
  <c r="O383" i="3"/>
  <c r="P383" i="3"/>
  <c r="Q383" i="3"/>
  <c r="R383" i="3"/>
  <c r="G384" i="3"/>
  <c r="H384" i="3"/>
  <c r="I384" i="3"/>
  <c r="J384" i="3"/>
  <c r="K384" i="3"/>
  <c r="L384" i="3"/>
  <c r="N384" i="3"/>
  <c r="O384" i="3"/>
  <c r="P384" i="3"/>
  <c r="Q384" i="3"/>
  <c r="R384" i="3"/>
  <c r="G385" i="3"/>
  <c r="H385" i="3"/>
  <c r="I385" i="3"/>
  <c r="J385" i="3"/>
  <c r="K385" i="3"/>
  <c r="L385" i="3"/>
  <c r="N385" i="3"/>
  <c r="O385" i="3"/>
  <c r="P385" i="3"/>
  <c r="Q385" i="3"/>
  <c r="R385" i="3"/>
  <c r="G386" i="3"/>
  <c r="H386" i="3"/>
  <c r="I386" i="3"/>
  <c r="J386" i="3"/>
  <c r="K386" i="3"/>
  <c r="L386" i="3"/>
  <c r="N386" i="3"/>
  <c r="O386" i="3"/>
  <c r="P386" i="3"/>
  <c r="Q386" i="3"/>
  <c r="R386" i="3"/>
  <c r="G387" i="3"/>
  <c r="H387" i="3"/>
  <c r="I387" i="3"/>
  <c r="J387" i="3"/>
  <c r="K387" i="3"/>
  <c r="L387" i="3"/>
  <c r="N387" i="3"/>
  <c r="O387" i="3"/>
  <c r="P387" i="3"/>
  <c r="Q387" i="3"/>
  <c r="R387" i="3"/>
  <c r="G388" i="3"/>
  <c r="H388" i="3"/>
  <c r="I388" i="3"/>
  <c r="J388" i="3"/>
  <c r="K388" i="3"/>
  <c r="L388" i="3"/>
  <c r="N388" i="3"/>
  <c r="O388" i="3"/>
  <c r="P388" i="3"/>
  <c r="Q388" i="3"/>
  <c r="R388" i="3"/>
  <c r="G389" i="3"/>
  <c r="H389" i="3"/>
  <c r="I389" i="3"/>
  <c r="J389" i="3"/>
  <c r="K389" i="3"/>
  <c r="L389" i="3"/>
  <c r="N389" i="3"/>
  <c r="O389" i="3"/>
  <c r="P389" i="3"/>
  <c r="Q389" i="3"/>
  <c r="R389" i="3"/>
  <c r="G390" i="3"/>
  <c r="H390" i="3"/>
  <c r="I390" i="3"/>
  <c r="J390" i="3"/>
  <c r="K390" i="3"/>
  <c r="L390" i="3"/>
  <c r="N390" i="3"/>
  <c r="O390" i="3"/>
  <c r="P390" i="3"/>
  <c r="Q390" i="3"/>
  <c r="R390" i="3"/>
  <c r="G391" i="3"/>
  <c r="H391" i="3"/>
  <c r="I391" i="3"/>
  <c r="J391" i="3"/>
  <c r="K391" i="3"/>
  <c r="L391" i="3"/>
  <c r="N391" i="3"/>
  <c r="O391" i="3"/>
  <c r="P391" i="3"/>
  <c r="Q391" i="3"/>
  <c r="R391" i="3"/>
  <c r="G392" i="3"/>
  <c r="H392" i="3"/>
  <c r="I392" i="3"/>
  <c r="J392" i="3"/>
  <c r="K392" i="3"/>
  <c r="L392" i="3"/>
  <c r="N392" i="3"/>
  <c r="O392" i="3"/>
  <c r="P392" i="3"/>
  <c r="Q392" i="3"/>
  <c r="R392" i="3"/>
  <c r="G393" i="3"/>
  <c r="H393" i="3"/>
  <c r="I393" i="3"/>
  <c r="J393" i="3"/>
  <c r="K393" i="3"/>
  <c r="L393" i="3"/>
  <c r="N393" i="3"/>
  <c r="O393" i="3"/>
  <c r="P393" i="3"/>
  <c r="Q393" i="3"/>
  <c r="R393" i="3"/>
  <c r="G394" i="3"/>
  <c r="H394" i="3"/>
  <c r="I394" i="3"/>
  <c r="J394" i="3"/>
  <c r="K394" i="3"/>
  <c r="L394" i="3"/>
  <c r="N394" i="3"/>
  <c r="O394" i="3"/>
  <c r="P394" i="3"/>
  <c r="Q394" i="3"/>
  <c r="R394" i="3"/>
  <c r="G395" i="3"/>
  <c r="H395" i="3"/>
  <c r="I395" i="3"/>
  <c r="J395" i="3"/>
  <c r="K395" i="3"/>
  <c r="L395" i="3"/>
  <c r="N395" i="3"/>
  <c r="O395" i="3"/>
  <c r="P395" i="3"/>
  <c r="Q395" i="3"/>
  <c r="R395" i="3"/>
  <c r="G396" i="3"/>
  <c r="H396" i="3"/>
  <c r="I396" i="3"/>
  <c r="J396" i="3"/>
  <c r="K396" i="3"/>
  <c r="L396" i="3"/>
  <c r="N396" i="3"/>
  <c r="O396" i="3"/>
  <c r="P396" i="3"/>
  <c r="Q396" i="3"/>
  <c r="R396" i="3"/>
  <c r="G397" i="3"/>
  <c r="H397" i="3"/>
  <c r="I397" i="3"/>
  <c r="J397" i="3"/>
  <c r="K397" i="3"/>
  <c r="L397" i="3"/>
  <c r="N397" i="3"/>
  <c r="O397" i="3"/>
  <c r="P397" i="3"/>
  <c r="Q397" i="3"/>
  <c r="R397" i="3"/>
  <c r="G398" i="3"/>
  <c r="H398" i="3"/>
  <c r="I398" i="3"/>
  <c r="J398" i="3"/>
  <c r="K398" i="3"/>
  <c r="L398" i="3"/>
  <c r="N398" i="3"/>
  <c r="O398" i="3"/>
  <c r="P398" i="3"/>
  <c r="Q398" i="3"/>
  <c r="R398" i="3"/>
  <c r="G399" i="3"/>
  <c r="H399" i="3"/>
  <c r="I399" i="3"/>
  <c r="J399" i="3"/>
  <c r="K399" i="3"/>
  <c r="L399" i="3"/>
  <c r="N399" i="3"/>
  <c r="O399" i="3"/>
  <c r="P399" i="3"/>
  <c r="Q399" i="3"/>
  <c r="R399" i="3"/>
  <c r="G400" i="3"/>
  <c r="H400" i="3"/>
  <c r="I400" i="3"/>
  <c r="J400" i="3"/>
  <c r="K400" i="3"/>
  <c r="L400" i="3"/>
  <c r="N400" i="3"/>
  <c r="O400" i="3"/>
  <c r="P400" i="3"/>
  <c r="Q400" i="3"/>
  <c r="R400" i="3"/>
  <c r="G401" i="3"/>
  <c r="H401" i="3"/>
  <c r="I401" i="3"/>
  <c r="J401" i="3"/>
  <c r="K401" i="3"/>
  <c r="L401" i="3"/>
  <c r="N401" i="3"/>
  <c r="O401" i="3"/>
  <c r="P401" i="3"/>
  <c r="Q401" i="3"/>
  <c r="R401" i="3"/>
  <c r="G402" i="3"/>
  <c r="H402" i="3"/>
  <c r="I402" i="3"/>
  <c r="J402" i="3"/>
  <c r="K402" i="3"/>
  <c r="L402" i="3"/>
  <c r="N402" i="3"/>
  <c r="O402" i="3"/>
  <c r="P402" i="3"/>
  <c r="Q402" i="3"/>
  <c r="R402" i="3"/>
  <c r="G403" i="3"/>
  <c r="H403" i="3"/>
  <c r="I403" i="3"/>
  <c r="J403" i="3"/>
  <c r="K403" i="3"/>
  <c r="L403" i="3"/>
  <c r="N403" i="3"/>
  <c r="O403" i="3"/>
  <c r="P403" i="3"/>
  <c r="Q403" i="3"/>
  <c r="R403" i="3"/>
  <c r="G404" i="3"/>
  <c r="H404" i="3"/>
  <c r="I404" i="3"/>
  <c r="J404" i="3"/>
  <c r="K404" i="3"/>
  <c r="L404" i="3"/>
  <c r="N404" i="3"/>
  <c r="O404" i="3"/>
  <c r="P404" i="3"/>
  <c r="Q404" i="3"/>
  <c r="R404" i="3"/>
  <c r="G405" i="3"/>
  <c r="H405" i="3"/>
  <c r="I405" i="3"/>
  <c r="J405" i="3"/>
  <c r="K405" i="3"/>
  <c r="L405" i="3"/>
  <c r="N405" i="3"/>
  <c r="O405" i="3"/>
  <c r="P405" i="3"/>
  <c r="Q405" i="3"/>
  <c r="R405" i="3"/>
  <c r="G406" i="3"/>
  <c r="H406" i="3"/>
  <c r="I406" i="3"/>
  <c r="J406" i="3"/>
  <c r="K406" i="3"/>
  <c r="L406" i="3"/>
  <c r="N406" i="3"/>
  <c r="O406" i="3"/>
  <c r="P406" i="3"/>
  <c r="Q406" i="3"/>
  <c r="R406" i="3"/>
  <c r="G407" i="3"/>
  <c r="H407" i="3"/>
  <c r="I407" i="3"/>
  <c r="J407" i="3"/>
  <c r="K407" i="3"/>
  <c r="L407" i="3"/>
  <c r="N407" i="3"/>
  <c r="O407" i="3"/>
  <c r="P407" i="3"/>
  <c r="Q407" i="3"/>
  <c r="R407" i="3"/>
  <c r="G408" i="3"/>
  <c r="H408" i="3"/>
  <c r="I408" i="3"/>
  <c r="J408" i="3"/>
  <c r="K408" i="3"/>
  <c r="L408" i="3"/>
  <c r="N408" i="3"/>
  <c r="O408" i="3"/>
  <c r="P408" i="3"/>
  <c r="Q408" i="3"/>
  <c r="R408" i="3"/>
  <c r="G409" i="3"/>
  <c r="H409" i="3"/>
  <c r="I409" i="3"/>
  <c r="J409" i="3"/>
  <c r="K409" i="3"/>
  <c r="L409" i="3"/>
  <c r="N409" i="3"/>
  <c r="O409" i="3"/>
  <c r="P409" i="3"/>
  <c r="Q409" i="3"/>
  <c r="R409" i="3"/>
  <c r="G410" i="3"/>
  <c r="H410" i="3"/>
  <c r="I410" i="3"/>
  <c r="J410" i="3"/>
  <c r="K410" i="3"/>
  <c r="L410" i="3"/>
  <c r="N410" i="3"/>
  <c r="O410" i="3"/>
  <c r="P410" i="3"/>
  <c r="Q410" i="3"/>
  <c r="R410" i="3"/>
  <c r="G411" i="3"/>
  <c r="H411" i="3"/>
  <c r="I411" i="3"/>
  <c r="J411" i="3"/>
  <c r="K411" i="3"/>
  <c r="L411" i="3"/>
  <c r="N411" i="3"/>
  <c r="O411" i="3"/>
  <c r="P411" i="3"/>
  <c r="Q411" i="3"/>
  <c r="R411" i="3"/>
  <c r="G412" i="3"/>
  <c r="H412" i="3"/>
  <c r="I412" i="3"/>
  <c r="J412" i="3"/>
  <c r="K412" i="3"/>
  <c r="L412" i="3"/>
  <c r="N412" i="3"/>
  <c r="O412" i="3"/>
  <c r="P412" i="3"/>
  <c r="Q412" i="3"/>
  <c r="R412" i="3"/>
  <c r="G413" i="3"/>
  <c r="H413" i="3"/>
  <c r="I413" i="3"/>
  <c r="J413" i="3"/>
  <c r="K413" i="3"/>
  <c r="L413" i="3"/>
  <c r="N413" i="3"/>
  <c r="O413" i="3"/>
  <c r="P413" i="3"/>
  <c r="Q413" i="3"/>
  <c r="R413" i="3"/>
  <c r="G414" i="3"/>
  <c r="H414" i="3"/>
  <c r="I414" i="3"/>
  <c r="J414" i="3"/>
  <c r="K414" i="3"/>
  <c r="L414" i="3"/>
  <c r="N414" i="3"/>
  <c r="O414" i="3"/>
  <c r="P414" i="3"/>
  <c r="Q414" i="3"/>
  <c r="R414" i="3"/>
  <c r="G415" i="3"/>
  <c r="H415" i="3"/>
  <c r="I415" i="3"/>
  <c r="J415" i="3"/>
  <c r="K415" i="3"/>
  <c r="L415" i="3"/>
  <c r="N415" i="3"/>
  <c r="O415" i="3"/>
  <c r="P415" i="3"/>
  <c r="Q415" i="3"/>
  <c r="R415" i="3"/>
  <c r="G416" i="3"/>
  <c r="H416" i="3"/>
  <c r="I416" i="3"/>
  <c r="J416" i="3"/>
  <c r="K416" i="3"/>
  <c r="L416" i="3"/>
  <c r="N416" i="3"/>
  <c r="O416" i="3"/>
  <c r="P416" i="3"/>
  <c r="Q416" i="3"/>
  <c r="R416" i="3"/>
  <c r="G417" i="3"/>
  <c r="H417" i="3"/>
  <c r="I417" i="3"/>
  <c r="J417" i="3"/>
  <c r="K417" i="3"/>
  <c r="L417" i="3"/>
  <c r="N417" i="3"/>
  <c r="O417" i="3"/>
  <c r="P417" i="3"/>
  <c r="Q417" i="3"/>
  <c r="R417" i="3"/>
  <c r="G418" i="3"/>
  <c r="H418" i="3"/>
  <c r="I418" i="3"/>
  <c r="J418" i="3"/>
  <c r="K418" i="3"/>
  <c r="L418" i="3"/>
  <c r="N418" i="3"/>
  <c r="O418" i="3"/>
  <c r="P418" i="3"/>
  <c r="Q418" i="3"/>
  <c r="R418" i="3"/>
  <c r="G419" i="3"/>
  <c r="H419" i="3"/>
  <c r="I419" i="3"/>
  <c r="J419" i="3"/>
  <c r="K419" i="3"/>
  <c r="L419" i="3"/>
  <c r="N419" i="3"/>
  <c r="O419" i="3"/>
  <c r="P419" i="3"/>
  <c r="Q419" i="3"/>
  <c r="R419" i="3"/>
  <c r="G420" i="3"/>
  <c r="H420" i="3"/>
  <c r="I420" i="3"/>
  <c r="J420" i="3"/>
  <c r="K420" i="3"/>
  <c r="L420" i="3"/>
  <c r="N420" i="3"/>
  <c r="O420" i="3"/>
  <c r="P420" i="3"/>
  <c r="Q420" i="3"/>
  <c r="R420" i="3"/>
  <c r="G421" i="3"/>
  <c r="H421" i="3"/>
  <c r="I421" i="3"/>
  <c r="J421" i="3"/>
  <c r="K421" i="3"/>
  <c r="L421" i="3"/>
  <c r="N421" i="3"/>
  <c r="O421" i="3"/>
  <c r="P421" i="3"/>
  <c r="Q421" i="3"/>
  <c r="R421" i="3"/>
  <c r="G422" i="3"/>
  <c r="H422" i="3"/>
  <c r="I422" i="3"/>
  <c r="J422" i="3"/>
  <c r="K422" i="3"/>
  <c r="L422" i="3"/>
  <c r="N422" i="3"/>
  <c r="O422" i="3"/>
  <c r="P422" i="3"/>
  <c r="Q422" i="3"/>
  <c r="R422" i="3"/>
  <c r="G423" i="3"/>
  <c r="H423" i="3"/>
  <c r="I423" i="3"/>
  <c r="J423" i="3"/>
  <c r="K423" i="3"/>
  <c r="L423" i="3"/>
  <c r="N423" i="3"/>
  <c r="O423" i="3"/>
  <c r="P423" i="3"/>
  <c r="Q423" i="3"/>
  <c r="R423" i="3"/>
  <c r="G424" i="3"/>
  <c r="H424" i="3"/>
  <c r="I424" i="3"/>
  <c r="J424" i="3"/>
  <c r="K424" i="3"/>
  <c r="L424" i="3"/>
  <c r="N424" i="3"/>
  <c r="O424" i="3"/>
  <c r="P424" i="3"/>
  <c r="Q424" i="3"/>
  <c r="R424" i="3"/>
  <c r="G425" i="3"/>
  <c r="H425" i="3"/>
  <c r="I425" i="3"/>
  <c r="J425" i="3"/>
  <c r="K425" i="3"/>
  <c r="L425" i="3"/>
  <c r="N425" i="3"/>
  <c r="O425" i="3"/>
  <c r="P425" i="3"/>
  <c r="Q425" i="3"/>
  <c r="R425" i="3"/>
  <c r="G426" i="3"/>
  <c r="H426" i="3"/>
  <c r="I426" i="3"/>
  <c r="J426" i="3"/>
  <c r="K426" i="3"/>
  <c r="L426" i="3"/>
  <c r="N426" i="3"/>
  <c r="O426" i="3"/>
  <c r="P426" i="3"/>
  <c r="Q426" i="3"/>
  <c r="R426" i="3"/>
  <c r="G427" i="3"/>
  <c r="H427" i="3"/>
  <c r="I427" i="3"/>
  <c r="J427" i="3"/>
  <c r="K427" i="3"/>
  <c r="L427" i="3"/>
  <c r="N427" i="3"/>
  <c r="O427" i="3"/>
  <c r="P427" i="3"/>
  <c r="Q427" i="3"/>
  <c r="R427" i="3"/>
  <c r="G428" i="3"/>
  <c r="H428" i="3"/>
  <c r="I428" i="3"/>
  <c r="J428" i="3"/>
  <c r="K428" i="3"/>
  <c r="L428" i="3"/>
  <c r="N428" i="3"/>
  <c r="O428" i="3"/>
  <c r="P428" i="3"/>
  <c r="Q428" i="3"/>
  <c r="R428" i="3"/>
  <c r="G429" i="3"/>
  <c r="H429" i="3"/>
  <c r="I429" i="3"/>
  <c r="J429" i="3"/>
  <c r="K429" i="3"/>
  <c r="L429" i="3"/>
  <c r="N429" i="3"/>
  <c r="O429" i="3"/>
  <c r="P429" i="3"/>
  <c r="Q429" i="3"/>
  <c r="R429" i="3"/>
  <c r="G430" i="3"/>
  <c r="H430" i="3"/>
  <c r="I430" i="3"/>
  <c r="J430" i="3"/>
  <c r="K430" i="3"/>
  <c r="L430" i="3"/>
  <c r="N430" i="3"/>
  <c r="O430" i="3"/>
  <c r="P430" i="3"/>
  <c r="Q430" i="3"/>
  <c r="R430" i="3"/>
  <c r="G431" i="3"/>
  <c r="H431" i="3"/>
  <c r="I431" i="3"/>
  <c r="J431" i="3"/>
  <c r="K431" i="3"/>
  <c r="L431" i="3"/>
  <c r="N431" i="3"/>
  <c r="O431" i="3"/>
  <c r="P431" i="3"/>
  <c r="Q431" i="3"/>
  <c r="R431" i="3"/>
  <c r="G432" i="3"/>
  <c r="H432" i="3"/>
  <c r="I432" i="3"/>
  <c r="J432" i="3"/>
  <c r="K432" i="3"/>
  <c r="L432" i="3"/>
  <c r="N432" i="3"/>
  <c r="O432" i="3"/>
  <c r="P432" i="3"/>
  <c r="Q432" i="3"/>
  <c r="R432" i="3"/>
  <c r="G433" i="3"/>
  <c r="H433" i="3"/>
  <c r="I433" i="3"/>
  <c r="J433" i="3"/>
  <c r="K433" i="3"/>
  <c r="L433" i="3"/>
  <c r="N433" i="3"/>
  <c r="O433" i="3"/>
  <c r="P433" i="3"/>
  <c r="Q433" i="3"/>
  <c r="R433" i="3"/>
  <c r="G434" i="3"/>
  <c r="H434" i="3"/>
  <c r="I434" i="3"/>
  <c r="J434" i="3"/>
  <c r="K434" i="3"/>
  <c r="L434" i="3"/>
  <c r="N434" i="3"/>
  <c r="O434" i="3"/>
  <c r="P434" i="3"/>
  <c r="Q434" i="3"/>
  <c r="R434" i="3"/>
  <c r="G435" i="3"/>
  <c r="H435" i="3"/>
  <c r="I435" i="3"/>
  <c r="J435" i="3"/>
  <c r="K435" i="3"/>
  <c r="L435" i="3"/>
  <c r="N435" i="3"/>
  <c r="O435" i="3"/>
  <c r="P435" i="3"/>
  <c r="Q435" i="3"/>
  <c r="R435" i="3"/>
  <c r="G436" i="3"/>
  <c r="H436" i="3"/>
  <c r="I436" i="3"/>
  <c r="J436" i="3"/>
  <c r="K436" i="3"/>
  <c r="L436" i="3"/>
  <c r="N436" i="3"/>
  <c r="O436" i="3"/>
  <c r="P436" i="3"/>
  <c r="Q436" i="3"/>
  <c r="R436" i="3"/>
  <c r="G437" i="3"/>
  <c r="H437" i="3"/>
  <c r="I437" i="3"/>
  <c r="J437" i="3"/>
  <c r="K437" i="3"/>
  <c r="L437" i="3"/>
  <c r="N437" i="3"/>
  <c r="O437" i="3"/>
  <c r="P437" i="3"/>
  <c r="Q437" i="3"/>
  <c r="R437" i="3"/>
  <c r="G438" i="3"/>
  <c r="H438" i="3"/>
  <c r="I438" i="3"/>
  <c r="J438" i="3"/>
  <c r="K438" i="3"/>
  <c r="L438" i="3"/>
  <c r="N438" i="3"/>
  <c r="O438" i="3"/>
  <c r="P438" i="3"/>
  <c r="Q438" i="3"/>
  <c r="R438" i="3"/>
  <c r="G439" i="3"/>
  <c r="H439" i="3"/>
  <c r="I439" i="3"/>
  <c r="J439" i="3"/>
  <c r="K439" i="3"/>
  <c r="L439" i="3"/>
  <c r="N439" i="3"/>
  <c r="O439" i="3"/>
  <c r="P439" i="3"/>
  <c r="Q439" i="3"/>
  <c r="R439" i="3"/>
  <c r="G440" i="3"/>
  <c r="H440" i="3"/>
  <c r="I440" i="3"/>
  <c r="J440" i="3"/>
  <c r="K440" i="3"/>
  <c r="L440" i="3"/>
  <c r="N440" i="3"/>
  <c r="O440" i="3"/>
  <c r="P440" i="3"/>
  <c r="Q440" i="3"/>
  <c r="R440" i="3"/>
  <c r="G441" i="3"/>
  <c r="H441" i="3"/>
  <c r="I441" i="3"/>
  <c r="J441" i="3"/>
  <c r="K441" i="3"/>
  <c r="L441" i="3"/>
  <c r="N441" i="3"/>
  <c r="O441" i="3"/>
  <c r="P441" i="3"/>
  <c r="Q441" i="3"/>
  <c r="R441" i="3"/>
  <c r="G442" i="3"/>
  <c r="H442" i="3"/>
  <c r="I442" i="3"/>
  <c r="J442" i="3"/>
  <c r="K442" i="3"/>
  <c r="L442" i="3"/>
  <c r="N442" i="3"/>
  <c r="O442" i="3"/>
  <c r="P442" i="3"/>
  <c r="Q442" i="3"/>
  <c r="R442" i="3"/>
  <c r="G443" i="3"/>
  <c r="H443" i="3"/>
  <c r="I443" i="3"/>
  <c r="J443" i="3"/>
  <c r="K443" i="3"/>
  <c r="L443" i="3"/>
  <c r="N443" i="3"/>
  <c r="O443" i="3"/>
  <c r="P443" i="3"/>
  <c r="Q443" i="3"/>
  <c r="R443" i="3"/>
  <c r="G444" i="3"/>
  <c r="H444" i="3"/>
  <c r="I444" i="3"/>
  <c r="J444" i="3"/>
  <c r="K444" i="3"/>
  <c r="L444" i="3"/>
  <c r="N444" i="3"/>
  <c r="O444" i="3"/>
  <c r="P444" i="3"/>
  <c r="Q444" i="3"/>
  <c r="R444" i="3"/>
  <c r="G445" i="3"/>
  <c r="H445" i="3"/>
  <c r="I445" i="3"/>
  <c r="J445" i="3"/>
  <c r="K445" i="3"/>
  <c r="L445" i="3"/>
  <c r="N445" i="3"/>
  <c r="O445" i="3"/>
  <c r="P445" i="3"/>
  <c r="Q445" i="3"/>
  <c r="R445" i="3"/>
  <c r="G446" i="3"/>
  <c r="H446" i="3"/>
  <c r="I446" i="3"/>
  <c r="J446" i="3"/>
  <c r="K446" i="3"/>
  <c r="L446" i="3"/>
  <c r="N446" i="3"/>
  <c r="O446" i="3"/>
  <c r="P446" i="3"/>
  <c r="Q446" i="3"/>
  <c r="R446" i="3"/>
  <c r="G447" i="3"/>
  <c r="H447" i="3"/>
  <c r="I447" i="3"/>
  <c r="J447" i="3"/>
  <c r="K447" i="3"/>
  <c r="L447" i="3"/>
  <c r="N447" i="3"/>
  <c r="O447" i="3"/>
  <c r="P447" i="3"/>
  <c r="Q447" i="3"/>
  <c r="R447" i="3"/>
  <c r="G448" i="3"/>
  <c r="H448" i="3"/>
  <c r="I448" i="3"/>
  <c r="J448" i="3"/>
  <c r="K448" i="3"/>
  <c r="L448" i="3"/>
  <c r="N448" i="3"/>
  <c r="O448" i="3"/>
  <c r="P448" i="3"/>
  <c r="Q448" i="3"/>
  <c r="R448" i="3"/>
  <c r="G449" i="3"/>
  <c r="H449" i="3"/>
  <c r="I449" i="3"/>
  <c r="J449" i="3"/>
  <c r="K449" i="3"/>
  <c r="L449" i="3"/>
  <c r="N449" i="3"/>
  <c r="O449" i="3"/>
  <c r="P449" i="3"/>
  <c r="Q449" i="3"/>
  <c r="R449" i="3"/>
  <c r="G450" i="3"/>
  <c r="H450" i="3"/>
  <c r="I450" i="3"/>
  <c r="J450" i="3"/>
  <c r="K450" i="3"/>
  <c r="L450" i="3"/>
  <c r="N450" i="3"/>
  <c r="O450" i="3"/>
  <c r="P450" i="3"/>
  <c r="Q450" i="3"/>
  <c r="R450" i="3"/>
  <c r="G451" i="3"/>
  <c r="H451" i="3"/>
  <c r="I451" i="3"/>
  <c r="J451" i="3"/>
  <c r="K451" i="3"/>
  <c r="L451" i="3"/>
  <c r="N451" i="3"/>
  <c r="O451" i="3"/>
  <c r="P451" i="3"/>
  <c r="Q451" i="3"/>
  <c r="R451" i="3"/>
  <c r="G452" i="3"/>
  <c r="H452" i="3"/>
  <c r="I452" i="3"/>
  <c r="J452" i="3"/>
  <c r="K452" i="3"/>
  <c r="L452" i="3"/>
  <c r="N452" i="3"/>
  <c r="O452" i="3"/>
  <c r="P452" i="3"/>
  <c r="Q452" i="3"/>
  <c r="R452" i="3"/>
  <c r="G453" i="3"/>
  <c r="H453" i="3"/>
  <c r="I453" i="3"/>
  <c r="J453" i="3"/>
  <c r="K453" i="3"/>
  <c r="L453" i="3"/>
  <c r="N453" i="3"/>
  <c r="O453" i="3"/>
  <c r="P453" i="3"/>
  <c r="Q453" i="3"/>
  <c r="R453" i="3"/>
  <c r="G454" i="3"/>
  <c r="H454" i="3"/>
  <c r="I454" i="3"/>
  <c r="J454" i="3"/>
  <c r="K454" i="3"/>
  <c r="L454" i="3"/>
  <c r="N454" i="3"/>
  <c r="O454" i="3"/>
  <c r="P454" i="3"/>
  <c r="Q454" i="3"/>
  <c r="R454" i="3"/>
  <c r="G455" i="3"/>
  <c r="H455" i="3"/>
  <c r="I455" i="3"/>
  <c r="J455" i="3"/>
  <c r="K455" i="3"/>
  <c r="L455" i="3"/>
  <c r="N455" i="3"/>
  <c r="O455" i="3"/>
  <c r="P455" i="3"/>
  <c r="Q455" i="3"/>
  <c r="R455" i="3"/>
  <c r="G456" i="3"/>
  <c r="H456" i="3"/>
  <c r="I456" i="3"/>
  <c r="J456" i="3"/>
  <c r="K456" i="3"/>
  <c r="L456" i="3"/>
  <c r="N456" i="3"/>
  <c r="O456" i="3"/>
  <c r="P456" i="3"/>
  <c r="Q456" i="3"/>
  <c r="R456" i="3"/>
  <c r="G457" i="3"/>
  <c r="H457" i="3"/>
  <c r="I457" i="3"/>
  <c r="J457" i="3"/>
  <c r="K457" i="3"/>
  <c r="L457" i="3"/>
  <c r="N457" i="3"/>
  <c r="O457" i="3"/>
  <c r="P457" i="3"/>
  <c r="Q457" i="3"/>
  <c r="R457" i="3"/>
  <c r="G458" i="3"/>
  <c r="H458" i="3"/>
  <c r="I458" i="3"/>
  <c r="J458" i="3"/>
  <c r="K458" i="3"/>
  <c r="L458" i="3"/>
  <c r="N458" i="3"/>
  <c r="O458" i="3"/>
  <c r="P458" i="3"/>
  <c r="Q458" i="3"/>
  <c r="R458" i="3"/>
  <c r="G459" i="3"/>
  <c r="H459" i="3"/>
  <c r="I459" i="3"/>
  <c r="J459" i="3"/>
  <c r="K459" i="3"/>
  <c r="L459" i="3"/>
  <c r="N459" i="3"/>
  <c r="O459" i="3"/>
  <c r="P459" i="3"/>
  <c r="Q459" i="3"/>
  <c r="R459" i="3"/>
  <c r="G460" i="3"/>
  <c r="H460" i="3"/>
  <c r="I460" i="3"/>
  <c r="J460" i="3"/>
  <c r="K460" i="3"/>
  <c r="L460" i="3"/>
  <c r="N460" i="3"/>
  <c r="O460" i="3"/>
  <c r="P460" i="3"/>
  <c r="Q460" i="3"/>
  <c r="R460" i="3"/>
  <c r="G461" i="3"/>
  <c r="H461" i="3"/>
  <c r="I461" i="3"/>
  <c r="J461" i="3"/>
  <c r="K461" i="3"/>
  <c r="L461" i="3"/>
  <c r="N461" i="3"/>
  <c r="O461" i="3"/>
  <c r="P461" i="3"/>
  <c r="Q461" i="3"/>
  <c r="R461" i="3"/>
  <c r="G462" i="3"/>
  <c r="H462" i="3"/>
  <c r="I462" i="3"/>
  <c r="J462" i="3"/>
  <c r="K462" i="3"/>
  <c r="L462" i="3"/>
  <c r="N462" i="3"/>
  <c r="O462" i="3"/>
  <c r="P462" i="3"/>
  <c r="Q462" i="3"/>
  <c r="R462" i="3"/>
  <c r="G463" i="3"/>
  <c r="H463" i="3"/>
  <c r="I463" i="3"/>
  <c r="J463" i="3"/>
  <c r="K463" i="3"/>
  <c r="L463" i="3"/>
  <c r="N463" i="3"/>
  <c r="O463" i="3"/>
  <c r="P463" i="3"/>
  <c r="Q463" i="3"/>
  <c r="R463" i="3"/>
  <c r="G464" i="3"/>
  <c r="H464" i="3"/>
  <c r="I464" i="3"/>
  <c r="J464" i="3"/>
  <c r="K464" i="3"/>
  <c r="L464" i="3"/>
  <c r="N464" i="3"/>
  <c r="O464" i="3"/>
  <c r="P464" i="3"/>
  <c r="Q464" i="3"/>
  <c r="R464" i="3"/>
  <c r="G465" i="3"/>
  <c r="H465" i="3"/>
  <c r="I465" i="3"/>
  <c r="J465" i="3"/>
  <c r="K465" i="3"/>
  <c r="L465" i="3"/>
  <c r="N465" i="3"/>
  <c r="O465" i="3"/>
  <c r="P465" i="3"/>
  <c r="Q465" i="3"/>
  <c r="R465" i="3"/>
  <c r="G466" i="3"/>
  <c r="H466" i="3"/>
  <c r="I466" i="3"/>
  <c r="J466" i="3"/>
  <c r="K466" i="3"/>
  <c r="L466" i="3"/>
  <c r="N466" i="3"/>
  <c r="O466" i="3"/>
  <c r="P466" i="3"/>
  <c r="Q466" i="3"/>
  <c r="R466" i="3"/>
  <c r="G467" i="3"/>
  <c r="H467" i="3"/>
  <c r="I467" i="3"/>
  <c r="J467" i="3"/>
  <c r="K467" i="3"/>
  <c r="L467" i="3"/>
  <c r="N467" i="3"/>
  <c r="O467" i="3"/>
  <c r="P467" i="3"/>
  <c r="Q467" i="3"/>
  <c r="R467" i="3"/>
  <c r="G468" i="3"/>
  <c r="H468" i="3"/>
  <c r="I468" i="3"/>
  <c r="J468" i="3"/>
  <c r="K468" i="3"/>
  <c r="L468" i="3"/>
  <c r="N468" i="3"/>
  <c r="O468" i="3"/>
  <c r="P468" i="3"/>
  <c r="Q468" i="3"/>
  <c r="R468" i="3"/>
  <c r="G469" i="3"/>
  <c r="H469" i="3"/>
  <c r="I469" i="3"/>
  <c r="J469" i="3"/>
  <c r="K469" i="3"/>
  <c r="L469" i="3"/>
  <c r="N469" i="3"/>
  <c r="O469" i="3"/>
  <c r="P469" i="3"/>
  <c r="Q469" i="3"/>
  <c r="R469" i="3"/>
  <c r="G470" i="3"/>
  <c r="H470" i="3"/>
  <c r="I470" i="3"/>
  <c r="J470" i="3"/>
  <c r="K470" i="3"/>
  <c r="L470" i="3"/>
  <c r="N470" i="3"/>
  <c r="O470" i="3"/>
  <c r="P470" i="3"/>
  <c r="Q470" i="3"/>
  <c r="R470" i="3"/>
  <c r="G471" i="3"/>
  <c r="H471" i="3"/>
  <c r="I471" i="3"/>
  <c r="J471" i="3"/>
  <c r="K471" i="3"/>
  <c r="L471" i="3"/>
  <c r="N471" i="3"/>
  <c r="O471" i="3"/>
  <c r="P471" i="3"/>
  <c r="Q471" i="3"/>
  <c r="R471" i="3"/>
  <c r="G472" i="3"/>
  <c r="H472" i="3"/>
  <c r="I472" i="3"/>
  <c r="J472" i="3"/>
  <c r="K472" i="3"/>
  <c r="L472" i="3"/>
  <c r="N472" i="3"/>
  <c r="O472" i="3"/>
  <c r="P472" i="3"/>
  <c r="Q472" i="3"/>
  <c r="R472" i="3"/>
  <c r="G473" i="3"/>
  <c r="H473" i="3"/>
  <c r="I473" i="3"/>
  <c r="J473" i="3"/>
  <c r="K473" i="3"/>
  <c r="L473" i="3"/>
  <c r="N473" i="3"/>
  <c r="O473" i="3"/>
  <c r="P473" i="3"/>
  <c r="Q473" i="3"/>
  <c r="R473" i="3"/>
  <c r="G474" i="3"/>
  <c r="H474" i="3"/>
  <c r="I474" i="3"/>
  <c r="J474" i="3"/>
  <c r="K474" i="3"/>
  <c r="L474" i="3"/>
  <c r="N474" i="3"/>
  <c r="O474" i="3"/>
  <c r="P474" i="3"/>
  <c r="Q474" i="3"/>
  <c r="R474" i="3"/>
  <c r="G475" i="3"/>
  <c r="H475" i="3"/>
  <c r="I475" i="3"/>
  <c r="J475" i="3"/>
  <c r="K475" i="3"/>
  <c r="L475" i="3"/>
  <c r="N475" i="3"/>
  <c r="O475" i="3"/>
  <c r="P475" i="3"/>
  <c r="Q475" i="3"/>
  <c r="R475" i="3"/>
  <c r="G476" i="3"/>
  <c r="H476" i="3"/>
  <c r="I476" i="3"/>
  <c r="J476" i="3"/>
  <c r="K476" i="3"/>
  <c r="L476" i="3"/>
  <c r="N476" i="3"/>
  <c r="O476" i="3"/>
  <c r="P476" i="3"/>
  <c r="Q476" i="3"/>
  <c r="R476" i="3"/>
  <c r="G477" i="3"/>
  <c r="H477" i="3"/>
  <c r="I477" i="3"/>
  <c r="J477" i="3"/>
  <c r="K477" i="3"/>
  <c r="L477" i="3"/>
  <c r="N477" i="3"/>
  <c r="O477" i="3"/>
  <c r="P477" i="3"/>
  <c r="Q477" i="3"/>
  <c r="R477" i="3"/>
  <c r="G478" i="3"/>
  <c r="H478" i="3"/>
  <c r="I478" i="3"/>
  <c r="J478" i="3"/>
  <c r="K478" i="3"/>
  <c r="L478" i="3"/>
  <c r="N478" i="3"/>
  <c r="O478" i="3"/>
  <c r="P478" i="3"/>
  <c r="Q478" i="3"/>
  <c r="R478" i="3"/>
  <c r="G479" i="3"/>
  <c r="H479" i="3"/>
  <c r="I479" i="3"/>
  <c r="J479" i="3"/>
  <c r="K479" i="3"/>
  <c r="L479" i="3"/>
  <c r="N479" i="3"/>
  <c r="O479" i="3"/>
  <c r="P479" i="3"/>
  <c r="Q479" i="3"/>
  <c r="R479" i="3"/>
  <c r="G480" i="3"/>
  <c r="H480" i="3"/>
  <c r="I480" i="3"/>
  <c r="J480" i="3"/>
  <c r="K480" i="3"/>
  <c r="L480" i="3"/>
  <c r="N480" i="3"/>
  <c r="O480" i="3"/>
  <c r="P480" i="3"/>
  <c r="Q480" i="3"/>
  <c r="R480" i="3"/>
  <c r="G481" i="3"/>
  <c r="H481" i="3"/>
  <c r="I481" i="3"/>
  <c r="J481" i="3"/>
  <c r="K481" i="3"/>
  <c r="L481" i="3"/>
  <c r="N481" i="3"/>
  <c r="O481" i="3"/>
  <c r="P481" i="3"/>
  <c r="Q481" i="3"/>
  <c r="R481" i="3"/>
  <c r="G482" i="3"/>
  <c r="H482" i="3"/>
  <c r="I482" i="3"/>
  <c r="J482" i="3"/>
  <c r="K482" i="3"/>
  <c r="L482" i="3"/>
  <c r="N482" i="3"/>
  <c r="O482" i="3"/>
  <c r="P482" i="3"/>
  <c r="Q482" i="3"/>
  <c r="R482" i="3"/>
  <c r="G483" i="3"/>
  <c r="H483" i="3"/>
  <c r="I483" i="3"/>
  <c r="J483" i="3"/>
  <c r="K483" i="3"/>
  <c r="L483" i="3"/>
  <c r="N483" i="3"/>
  <c r="O483" i="3"/>
  <c r="P483" i="3"/>
  <c r="Q483" i="3"/>
  <c r="R483" i="3"/>
  <c r="G484" i="3"/>
  <c r="H484" i="3"/>
  <c r="I484" i="3"/>
  <c r="J484" i="3"/>
  <c r="K484" i="3"/>
  <c r="L484" i="3"/>
  <c r="N484" i="3"/>
  <c r="O484" i="3"/>
  <c r="P484" i="3"/>
  <c r="Q484" i="3"/>
  <c r="R484" i="3"/>
  <c r="G485" i="3"/>
  <c r="H485" i="3"/>
  <c r="I485" i="3"/>
  <c r="J485" i="3"/>
  <c r="K485" i="3"/>
  <c r="L485" i="3"/>
  <c r="N485" i="3"/>
  <c r="O485" i="3"/>
  <c r="P485" i="3"/>
  <c r="Q485" i="3"/>
  <c r="R485" i="3"/>
  <c r="G486" i="3"/>
  <c r="H486" i="3"/>
  <c r="I486" i="3"/>
  <c r="J486" i="3"/>
  <c r="K486" i="3"/>
  <c r="L486" i="3"/>
  <c r="N486" i="3"/>
  <c r="O486" i="3"/>
  <c r="P486" i="3"/>
  <c r="Q486" i="3"/>
  <c r="R486" i="3"/>
  <c r="G487" i="3"/>
  <c r="H487" i="3"/>
  <c r="I487" i="3"/>
  <c r="J487" i="3"/>
  <c r="K487" i="3"/>
  <c r="L487" i="3"/>
  <c r="N487" i="3"/>
  <c r="O487" i="3"/>
  <c r="P487" i="3"/>
  <c r="Q487" i="3"/>
  <c r="R487" i="3"/>
  <c r="G488" i="3"/>
  <c r="H488" i="3"/>
  <c r="I488" i="3"/>
  <c r="J488" i="3"/>
  <c r="K488" i="3"/>
  <c r="L488" i="3"/>
  <c r="N488" i="3"/>
  <c r="O488" i="3"/>
  <c r="P488" i="3"/>
  <c r="Q488" i="3"/>
  <c r="R488" i="3"/>
  <c r="G489" i="3"/>
  <c r="H489" i="3"/>
  <c r="I489" i="3"/>
  <c r="J489" i="3"/>
  <c r="K489" i="3"/>
  <c r="L489" i="3"/>
  <c r="N489" i="3"/>
  <c r="O489" i="3"/>
  <c r="P489" i="3"/>
  <c r="Q489" i="3"/>
  <c r="R489" i="3"/>
  <c r="G490" i="3"/>
  <c r="H490" i="3"/>
  <c r="I490" i="3"/>
  <c r="J490" i="3"/>
  <c r="K490" i="3"/>
  <c r="L490" i="3"/>
  <c r="N490" i="3"/>
  <c r="O490" i="3"/>
  <c r="P490" i="3"/>
  <c r="Q490" i="3"/>
  <c r="R490" i="3"/>
  <c r="G491" i="3"/>
  <c r="H491" i="3"/>
  <c r="I491" i="3"/>
  <c r="J491" i="3"/>
  <c r="K491" i="3"/>
  <c r="L491" i="3"/>
  <c r="N491" i="3"/>
  <c r="O491" i="3"/>
  <c r="P491" i="3"/>
  <c r="Q491" i="3"/>
  <c r="R491" i="3"/>
  <c r="G492" i="3"/>
  <c r="H492" i="3"/>
  <c r="I492" i="3"/>
  <c r="J492" i="3"/>
  <c r="K492" i="3"/>
  <c r="L492" i="3"/>
  <c r="N492" i="3"/>
  <c r="O492" i="3"/>
  <c r="P492" i="3"/>
  <c r="Q492" i="3"/>
  <c r="R492" i="3"/>
  <c r="G493" i="3"/>
  <c r="H493" i="3"/>
  <c r="I493" i="3"/>
  <c r="J493" i="3"/>
  <c r="K493" i="3"/>
  <c r="L493" i="3"/>
  <c r="N493" i="3"/>
  <c r="O493" i="3"/>
  <c r="P493" i="3"/>
  <c r="Q493" i="3"/>
  <c r="R493" i="3"/>
  <c r="G494" i="3"/>
  <c r="H494" i="3"/>
  <c r="I494" i="3"/>
  <c r="J494" i="3"/>
  <c r="K494" i="3"/>
  <c r="L494" i="3"/>
  <c r="N494" i="3"/>
  <c r="O494" i="3"/>
  <c r="P494" i="3"/>
  <c r="Q494" i="3"/>
  <c r="R494" i="3"/>
  <c r="G495" i="3"/>
  <c r="H495" i="3"/>
  <c r="I495" i="3"/>
  <c r="J495" i="3"/>
  <c r="K495" i="3"/>
  <c r="L495" i="3"/>
  <c r="N495" i="3"/>
  <c r="O495" i="3"/>
  <c r="P495" i="3"/>
  <c r="Q495" i="3"/>
  <c r="R495" i="3"/>
  <c r="G496" i="3"/>
  <c r="H496" i="3"/>
  <c r="I496" i="3"/>
  <c r="J496" i="3"/>
  <c r="K496" i="3"/>
  <c r="L496" i="3"/>
  <c r="N496" i="3"/>
  <c r="O496" i="3"/>
  <c r="P496" i="3"/>
  <c r="Q496" i="3"/>
  <c r="R496" i="3"/>
  <c r="G497" i="3"/>
  <c r="H497" i="3"/>
  <c r="I497" i="3"/>
  <c r="J497" i="3"/>
  <c r="K497" i="3"/>
  <c r="L497" i="3"/>
  <c r="N497" i="3"/>
  <c r="O497" i="3"/>
  <c r="P497" i="3"/>
  <c r="Q497" i="3"/>
  <c r="R497" i="3"/>
  <c r="G498" i="3"/>
  <c r="H498" i="3"/>
  <c r="I498" i="3"/>
  <c r="J498" i="3"/>
  <c r="K498" i="3"/>
  <c r="L498" i="3"/>
  <c r="N498" i="3"/>
  <c r="O498" i="3"/>
  <c r="P498" i="3"/>
  <c r="Q498" i="3"/>
  <c r="R498" i="3"/>
  <c r="G499" i="3"/>
  <c r="H499" i="3"/>
  <c r="I499" i="3"/>
  <c r="J499" i="3"/>
  <c r="K499" i="3"/>
  <c r="L499" i="3"/>
  <c r="N499" i="3"/>
  <c r="O499" i="3"/>
  <c r="P499" i="3"/>
  <c r="Q499" i="3"/>
  <c r="R499" i="3"/>
  <c r="G500" i="3"/>
  <c r="H500" i="3"/>
  <c r="I500" i="3"/>
  <c r="J500" i="3"/>
  <c r="K500" i="3"/>
  <c r="L500" i="3"/>
  <c r="N500" i="3"/>
  <c r="O500" i="3"/>
  <c r="P500" i="3"/>
  <c r="Q500" i="3"/>
  <c r="R500" i="3"/>
  <c r="G501" i="3"/>
  <c r="H501" i="3"/>
  <c r="I501" i="3"/>
  <c r="J501" i="3"/>
  <c r="K501" i="3"/>
  <c r="L501" i="3"/>
  <c r="N501" i="3"/>
  <c r="O501" i="3"/>
  <c r="P501" i="3"/>
  <c r="Q501" i="3"/>
  <c r="R501" i="3"/>
  <c r="G502" i="3"/>
  <c r="H502" i="3"/>
  <c r="I502" i="3"/>
  <c r="J502" i="3"/>
  <c r="K502" i="3"/>
  <c r="L502" i="3"/>
  <c r="N502" i="3"/>
  <c r="O502" i="3"/>
  <c r="P502" i="3"/>
  <c r="Q502" i="3"/>
  <c r="R502" i="3"/>
  <c r="G503" i="3"/>
  <c r="H503" i="3"/>
  <c r="I503" i="3"/>
  <c r="J503" i="3"/>
  <c r="K503" i="3"/>
  <c r="L503" i="3"/>
  <c r="N503" i="3"/>
  <c r="O503" i="3"/>
  <c r="P503" i="3"/>
  <c r="Q503" i="3"/>
  <c r="R503" i="3"/>
  <c r="G504" i="3"/>
  <c r="H504" i="3"/>
  <c r="I504" i="3"/>
  <c r="J504" i="3"/>
  <c r="K504" i="3"/>
  <c r="L504" i="3"/>
  <c r="N504" i="3"/>
  <c r="O504" i="3"/>
  <c r="P504" i="3"/>
  <c r="Q504" i="3"/>
  <c r="R504" i="3"/>
  <c r="G505" i="3"/>
  <c r="H505" i="3"/>
  <c r="I505" i="3"/>
  <c r="J505" i="3"/>
  <c r="K505" i="3"/>
  <c r="L505" i="3"/>
  <c r="N505" i="3"/>
  <c r="O505" i="3"/>
  <c r="P505" i="3"/>
  <c r="Q505" i="3"/>
  <c r="R505" i="3"/>
  <c r="G506" i="3"/>
  <c r="H506" i="3"/>
  <c r="I506" i="3"/>
  <c r="J506" i="3"/>
  <c r="K506" i="3"/>
  <c r="L506" i="3"/>
  <c r="N506" i="3"/>
  <c r="O506" i="3"/>
  <c r="P506" i="3"/>
  <c r="Q506" i="3"/>
  <c r="R506" i="3"/>
  <c r="G507" i="3"/>
  <c r="H507" i="3"/>
  <c r="I507" i="3"/>
  <c r="J507" i="3"/>
  <c r="K507" i="3"/>
  <c r="L507" i="3"/>
  <c r="N507" i="3"/>
  <c r="O507" i="3"/>
  <c r="P507" i="3"/>
  <c r="Q507" i="3"/>
  <c r="R507" i="3"/>
  <c r="G508" i="3"/>
  <c r="H508" i="3"/>
  <c r="I508" i="3"/>
  <c r="J508" i="3"/>
  <c r="K508" i="3"/>
  <c r="L508" i="3"/>
  <c r="N508" i="3"/>
  <c r="O508" i="3"/>
  <c r="P508" i="3"/>
  <c r="Q508" i="3"/>
  <c r="R508" i="3"/>
  <c r="G509" i="3"/>
  <c r="H509" i="3"/>
  <c r="I509" i="3"/>
  <c r="J509" i="3"/>
  <c r="K509" i="3"/>
  <c r="L509" i="3"/>
  <c r="N509" i="3"/>
  <c r="O509" i="3"/>
  <c r="P509" i="3"/>
  <c r="Q509" i="3"/>
  <c r="R509" i="3"/>
  <c r="G510" i="3"/>
  <c r="H510" i="3"/>
  <c r="I510" i="3"/>
  <c r="J510" i="3"/>
  <c r="K510" i="3"/>
  <c r="L510" i="3"/>
  <c r="N510" i="3"/>
  <c r="O510" i="3"/>
  <c r="P510" i="3"/>
  <c r="Q510" i="3"/>
  <c r="R510" i="3"/>
  <c r="G511" i="3"/>
  <c r="H511" i="3"/>
  <c r="I511" i="3"/>
  <c r="J511" i="3"/>
  <c r="K511" i="3"/>
  <c r="L511" i="3"/>
  <c r="N511" i="3"/>
  <c r="O511" i="3"/>
  <c r="P511" i="3"/>
  <c r="Q511" i="3"/>
  <c r="R511" i="3"/>
  <c r="G512" i="3"/>
  <c r="H512" i="3"/>
  <c r="I512" i="3"/>
  <c r="J512" i="3"/>
  <c r="K512" i="3"/>
  <c r="L512" i="3"/>
  <c r="N512" i="3"/>
  <c r="O512" i="3"/>
  <c r="P512" i="3"/>
  <c r="Q512" i="3"/>
  <c r="R512" i="3"/>
  <c r="G513" i="3"/>
  <c r="H513" i="3"/>
  <c r="I513" i="3"/>
  <c r="J513" i="3"/>
  <c r="K513" i="3"/>
  <c r="L513" i="3"/>
  <c r="N513" i="3"/>
  <c r="O513" i="3"/>
  <c r="P513" i="3"/>
  <c r="Q513" i="3"/>
  <c r="R513" i="3"/>
  <c r="G514" i="3"/>
  <c r="H514" i="3"/>
  <c r="I514" i="3"/>
  <c r="J514" i="3"/>
  <c r="K514" i="3"/>
  <c r="L514" i="3"/>
  <c r="N514" i="3"/>
  <c r="O514" i="3"/>
  <c r="P514" i="3"/>
  <c r="Q514" i="3"/>
  <c r="R514" i="3"/>
  <c r="G515" i="3"/>
  <c r="H515" i="3"/>
  <c r="I515" i="3"/>
  <c r="J515" i="3"/>
  <c r="K515" i="3"/>
  <c r="L515" i="3"/>
  <c r="N515" i="3"/>
  <c r="O515" i="3"/>
  <c r="P515" i="3"/>
  <c r="Q515" i="3"/>
  <c r="R515" i="3"/>
  <c r="G516" i="3"/>
  <c r="H516" i="3"/>
  <c r="I516" i="3"/>
  <c r="J516" i="3"/>
  <c r="K516" i="3"/>
  <c r="L516" i="3"/>
  <c r="N516" i="3"/>
  <c r="O516" i="3"/>
  <c r="P516" i="3"/>
  <c r="Q516" i="3"/>
  <c r="R516" i="3"/>
  <c r="G517" i="3"/>
  <c r="H517" i="3"/>
  <c r="I517" i="3"/>
  <c r="J517" i="3"/>
  <c r="K517" i="3"/>
  <c r="L517" i="3"/>
  <c r="N517" i="3"/>
  <c r="O517" i="3"/>
  <c r="P517" i="3"/>
  <c r="Q517" i="3"/>
  <c r="R517" i="3"/>
  <c r="G518" i="3"/>
  <c r="H518" i="3"/>
  <c r="I518" i="3"/>
  <c r="J518" i="3"/>
  <c r="K518" i="3"/>
  <c r="L518" i="3"/>
  <c r="N518" i="3"/>
  <c r="O518" i="3"/>
  <c r="P518" i="3"/>
  <c r="Q518" i="3"/>
  <c r="R518" i="3"/>
  <c r="G519" i="3"/>
  <c r="H519" i="3"/>
  <c r="I519" i="3"/>
  <c r="J519" i="3"/>
  <c r="K519" i="3"/>
  <c r="L519" i="3"/>
  <c r="N519" i="3"/>
  <c r="O519" i="3"/>
  <c r="P519" i="3"/>
  <c r="Q519" i="3"/>
  <c r="R519" i="3"/>
  <c r="G520" i="3"/>
  <c r="H520" i="3"/>
  <c r="I520" i="3"/>
  <c r="J520" i="3"/>
  <c r="K520" i="3"/>
  <c r="L520" i="3"/>
  <c r="N520" i="3"/>
  <c r="O520" i="3"/>
  <c r="P520" i="3"/>
  <c r="Q520" i="3"/>
  <c r="R520" i="3"/>
  <c r="G521" i="3"/>
  <c r="H521" i="3"/>
  <c r="I521" i="3"/>
  <c r="J521" i="3"/>
  <c r="K521" i="3"/>
  <c r="L521" i="3"/>
  <c r="N521" i="3"/>
  <c r="O521" i="3"/>
  <c r="P521" i="3"/>
  <c r="Q521" i="3"/>
  <c r="R521" i="3"/>
  <c r="G522" i="3"/>
  <c r="H522" i="3"/>
  <c r="I522" i="3"/>
  <c r="J522" i="3"/>
  <c r="K522" i="3"/>
  <c r="L522" i="3"/>
  <c r="N522" i="3"/>
  <c r="O522" i="3"/>
  <c r="P522" i="3"/>
  <c r="Q522" i="3"/>
  <c r="R522" i="3"/>
  <c r="G523" i="3"/>
  <c r="H523" i="3"/>
  <c r="I523" i="3"/>
  <c r="J523" i="3"/>
  <c r="K523" i="3"/>
  <c r="L523" i="3"/>
  <c r="N523" i="3"/>
  <c r="O523" i="3"/>
  <c r="P523" i="3"/>
  <c r="Q523" i="3"/>
  <c r="R523" i="3"/>
  <c r="G524" i="3"/>
  <c r="H524" i="3"/>
  <c r="I524" i="3"/>
  <c r="J524" i="3"/>
  <c r="K524" i="3"/>
  <c r="L524" i="3"/>
  <c r="N524" i="3"/>
  <c r="O524" i="3"/>
  <c r="P524" i="3"/>
  <c r="Q524" i="3"/>
  <c r="R524" i="3"/>
  <c r="G525" i="3"/>
  <c r="H525" i="3"/>
  <c r="I525" i="3"/>
  <c r="J525" i="3"/>
  <c r="K525" i="3"/>
  <c r="L525" i="3"/>
  <c r="N525" i="3"/>
  <c r="O525" i="3"/>
  <c r="P525" i="3"/>
  <c r="Q525" i="3"/>
  <c r="R525" i="3"/>
  <c r="G526" i="3"/>
  <c r="H526" i="3"/>
  <c r="I526" i="3"/>
  <c r="J526" i="3"/>
  <c r="K526" i="3"/>
  <c r="L526" i="3"/>
  <c r="N526" i="3"/>
  <c r="O526" i="3"/>
  <c r="P526" i="3"/>
  <c r="Q526" i="3"/>
  <c r="R526" i="3"/>
  <c r="G527" i="3"/>
  <c r="H527" i="3"/>
  <c r="I527" i="3"/>
  <c r="J527" i="3"/>
  <c r="K527" i="3"/>
  <c r="L527" i="3"/>
  <c r="N527" i="3"/>
  <c r="O527" i="3"/>
  <c r="P527" i="3"/>
  <c r="Q527" i="3"/>
  <c r="R527" i="3"/>
  <c r="G528" i="3"/>
  <c r="H528" i="3"/>
  <c r="I528" i="3"/>
  <c r="J528" i="3"/>
  <c r="K528" i="3"/>
  <c r="L528" i="3"/>
  <c r="N528" i="3"/>
  <c r="O528" i="3"/>
  <c r="P528" i="3"/>
  <c r="Q528" i="3"/>
  <c r="R528" i="3"/>
  <c r="G529" i="3"/>
  <c r="H529" i="3"/>
  <c r="I529" i="3"/>
  <c r="J529" i="3"/>
  <c r="K529" i="3"/>
  <c r="L529" i="3"/>
  <c r="N529" i="3"/>
  <c r="O529" i="3"/>
  <c r="P529" i="3"/>
  <c r="Q529" i="3"/>
  <c r="R529" i="3"/>
  <c r="G530" i="3"/>
  <c r="H530" i="3"/>
  <c r="I530" i="3"/>
  <c r="J530" i="3"/>
  <c r="K530" i="3"/>
  <c r="L530" i="3"/>
  <c r="N530" i="3"/>
  <c r="O530" i="3"/>
  <c r="P530" i="3"/>
  <c r="Q530" i="3"/>
  <c r="R530" i="3"/>
  <c r="G531" i="3"/>
  <c r="H531" i="3"/>
  <c r="I531" i="3"/>
  <c r="J531" i="3"/>
  <c r="K531" i="3"/>
  <c r="L531" i="3"/>
  <c r="N531" i="3"/>
  <c r="O531" i="3"/>
  <c r="P531" i="3"/>
  <c r="Q531" i="3"/>
  <c r="R531" i="3"/>
  <c r="G532" i="3"/>
  <c r="H532" i="3"/>
  <c r="I532" i="3"/>
  <c r="J532" i="3"/>
  <c r="K532" i="3"/>
  <c r="L532" i="3"/>
  <c r="N532" i="3"/>
  <c r="O532" i="3"/>
  <c r="P532" i="3"/>
  <c r="Q532" i="3"/>
  <c r="R532" i="3"/>
  <c r="G533" i="3"/>
  <c r="H533" i="3"/>
  <c r="I533" i="3"/>
  <c r="J533" i="3"/>
  <c r="K533" i="3"/>
  <c r="L533" i="3"/>
  <c r="N533" i="3"/>
  <c r="O533" i="3"/>
  <c r="P533" i="3"/>
  <c r="Q533" i="3"/>
  <c r="R533" i="3"/>
  <c r="G534" i="3"/>
  <c r="H534" i="3"/>
  <c r="I534" i="3"/>
  <c r="J534" i="3"/>
  <c r="K534" i="3"/>
  <c r="L534" i="3"/>
  <c r="N534" i="3"/>
  <c r="O534" i="3"/>
  <c r="P534" i="3"/>
  <c r="Q534" i="3"/>
  <c r="R534" i="3"/>
  <c r="G535" i="3"/>
  <c r="H535" i="3"/>
  <c r="I535" i="3"/>
  <c r="J535" i="3"/>
  <c r="K535" i="3"/>
  <c r="L535" i="3"/>
  <c r="N535" i="3"/>
  <c r="O535" i="3"/>
  <c r="P535" i="3"/>
  <c r="Q535" i="3"/>
  <c r="R535" i="3"/>
  <c r="G536" i="3"/>
  <c r="H536" i="3"/>
  <c r="I536" i="3"/>
  <c r="J536" i="3"/>
  <c r="K536" i="3"/>
  <c r="L536" i="3"/>
  <c r="N536" i="3"/>
  <c r="O536" i="3"/>
  <c r="P536" i="3"/>
  <c r="Q536" i="3"/>
  <c r="R536" i="3"/>
  <c r="G537" i="3"/>
  <c r="H537" i="3"/>
  <c r="I537" i="3"/>
  <c r="J537" i="3"/>
  <c r="K537" i="3"/>
  <c r="L537" i="3"/>
  <c r="N537" i="3"/>
  <c r="O537" i="3"/>
  <c r="P537" i="3"/>
  <c r="Q537" i="3"/>
  <c r="R537" i="3"/>
  <c r="G538" i="3"/>
  <c r="H538" i="3"/>
  <c r="I538" i="3"/>
  <c r="J538" i="3"/>
  <c r="K538" i="3"/>
  <c r="L538" i="3"/>
  <c r="N538" i="3"/>
  <c r="O538" i="3"/>
  <c r="P538" i="3"/>
  <c r="Q538" i="3"/>
  <c r="R538" i="3"/>
  <c r="G539" i="3"/>
  <c r="H539" i="3"/>
  <c r="I539" i="3"/>
  <c r="J539" i="3"/>
  <c r="K539" i="3"/>
  <c r="L539" i="3"/>
  <c r="N539" i="3"/>
  <c r="O539" i="3"/>
  <c r="P539" i="3"/>
  <c r="Q539" i="3"/>
  <c r="R539" i="3"/>
  <c r="G540" i="3"/>
  <c r="H540" i="3"/>
  <c r="I540" i="3"/>
  <c r="J540" i="3"/>
  <c r="K540" i="3"/>
  <c r="L540" i="3"/>
  <c r="N540" i="3"/>
  <c r="O540" i="3"/>
  <c r="P540" i="3"/>
  <c r="Q540" i="3"/>
  <c r="R540" i="3"/>
  <c r="G541" i="3"/>
  <c r="H541" i="3"/>
  <c r="I541" i="3"/>
  <c r="J541" i="3"/>
  <c r="K541" i="3"/>
  <c r="L541" i="3"/>
  <c r="N541" i="3"/>
  <c r="O541" i="3"/>
  <c r="P541" i="3"/>
  <c r="Q541" i="3"/>
  <c r="R541" i="3"/>
  <c r="G542" i="3"/>
  <c r="H542" i="3"/>
  <c r="I542" i="3"/>
  <c r="J542" i="3"/>
  <c r="K542" i="3"/>
  <c r="L542" i="3"/>
  <c r="N542" i="3"/>
  <c r="O542" i="3"/>
  <c r="P542" i="3"/>
  <c r="Q542" i="3"/>
  <c r="R542" i="3"/>
  <c r="G543" i="3"/>
  <c r="H543" i="3"/>
  <c r="I543" i="3"/>
  <c r="J543" i="3"/>
  <c r="K543" i="3"/>
  <c r="L543" i="3"/>
  <c r="N543" i="3"/>
  <c r="O543" i="3"/>
  <c r="P543" i="3"/>
  <c r="Q543" i="3"/>
  <c r="R543" i="3"/>
  <c r="G544" i="3"/>
  <c r="H544" i="3"/>
  <c r="I544" i="3"/>
  <c r="J544" i="3"/>
  <c r="K544" i="3"/>
  <c r="L544" i="3"/>
  <c r="N544" i="3"/>
  <c r="O544" i="3"/>
  <c r="P544" i="3"/>
  <c r="Q544" i="3"/>
  <c r="R544" i="3"/>
  <c r="G545" i="3"/>
  <c r="H545" i="3"/>
  <c r="I545" i="3"/>
  <c r="J545" i="3"/>
  <c r="K545" i="3"/>
  <c r="L545" i="3"/>
  <c r="N545" i="3"/>
  <c r="O545" i="3"/>
  <c r="P545" i="3"/>
  <c r="Q545" i="3"/>
  <c r="R545" i="3"/>
  <c r="G546" i="3"/>
  <c r="H546" i="3"/>
  <c r="I546" i="3"/>
  <c r="J546" i="3"/>
  <c r="K546" i="3"/>
  <c r="L546" i="3"/>
  <c r="N546" i="3"/>
  <c r="O546" i="3"/>
  <c r="P546" i="3"/>
  <c r="Q546" i="3"/>
  <c r="R546" i="3"/>
  <c r="G547" i="3"/>
  <c r="H547" i="3"/>
  <c r="I547" i="3"/>
  <c r="J547" i="3"/>
  <c r="K547" i="3"/>
  <c r="L547" i="3"/>
  <c r="N547" i="3"/>
  <c r="O547" i="3"/>
  <c r="P547" i="3"/>
  <c r="Q547" i="3"/>
  <c r="R547" i="3"/>
  <c r="G548" i="3"/>
  <c r="H548" i="3"/>
  <c r="I548" i="3"/>
  <c r="J548" i="3"/>
  <c r="K548" i="3"/>
  <c r="L548" i="3"/>
  <c r="N548" i="3"/>
  <c r="O548" i="3"/>
  <c r="P548" i="3"/>
  <c r="Q548" i="3"/>
  <c r="R548" i="3"/>
  <c r="G549" i="3"/>
  <c r="H549" i="3"/>
  <c r="I549" i="3"/>
  <c r="J549" i="3"/>
  <c r="K549" i="3"/>
  <c r="L549" i="3"/>
  <c r="N549" i="3"/>
  <c r="O549" i="3"/>
  <c r="P549" i="3"/>
  <c r="Q549" i="3"/>
  <c r="R549" i="3"/>
  <c r="G550" i="3"/>
  <c r="H550" i="3"/>
  <c r="I550" i="3"/>
  <c r="J550" i="3"/>
  <c r="K550" i="3"/>
  <c r="L550" i="3"/>
  <c r="N550" i="3"/>
  <c r="O550" i="3"/>
  <c r="P550" i="3"/>
  <c r="Q550" i="3"/>
  <c r="R550" i="3"/>
  <c r="G551" i="3"/>
  <c r="H551" i="3"/>
  <c r="I551" i="3"/>
  <c r="J551" i="3"/>
  <c r="K551" i="3"/>
  <c r="L551" i="3"/>
  <c r="N551" i="3"/>
  <c r="O551" i="3"/>
  <c r="P551" i="3"/>
  <c r="Q551" i="3"/>
  <c r="R551" i="3"/>
  <c r="G552" i="3"/>
  <c r="H552" i="3"/>
  <c r="I552" i="3"/>
  <c r="J552" i="3"/>
  <c r="K552" i="3"/>
  <c r="L552" i="3"/>
  <c r="N552" i="3"/>
  <c r="O552" i="3"/>
  <c r="P552" i="3"/>
  <c r="Q552" i="3"/>
  <c r="R552" i="3"/>
  <c r="G553" i="3"/>
  <c r="H553" i="3"/>
  <c r="I553" i="3"/>
  <c r="J553" i="3"/>
  <c r="K553" i="3"/>
  <c r="L553" i="3"/>
  <c r="N553" i="3"/>
  <c r="O553" i="3"/>
  <c r="P553" i="3"/>
  <c r="Q553" i="3"/>
  <c r="R553" i="3"/>
  <c r="G554" i="3"/>
  <c r="H554" i="3"/>
  <c r="I554" i="3"/>
  <c r="J554" i="3"/>
  <c r="K554" i="3"/>
  <c r="L554" i="3"/>
  <c r="N554" i="3"/>
  <c r="O554" i="3"/>
  <c r="P554" i="3"/>
  <c r="Q554" i="3"/>
  <c r="R554" i="3"/>
  <c r="G555" i="3"/>
  <c r="H555" i="3"/>
  <c r="I555" i="3"/>
  <c r="J555" i="3"/>
  <c r="K555" i="3"/>
  <c r="L555" i="3"/>
  <c r="N555" i="3"/>
  <c r="O555" i="3"/>
  <c r="P555" i="3"/>
  <c r="Q555" i="3"/>
  <c r="R555" i="3"/>
  <c r="G556" i="3"/>
  <c r="H556" i="3"/>
  <c r="I556" i="3"/>
  <c r="J556" i="3"/>
  <c r="K556" i="3"/>
  <c r="L556" i="3"/>
  <c r="N556" i="3"/>
  <c r="O556" i="3"/>
  <c r="P556" i="3"/>
  <c r="Q556" i="3"/>
  <c r="R556" i="3"/>
  <c r="G557" i="3"/>
  <c r="H557" i="3"/>
  <c r="I557" i="3"/>
  <c r="J557" i="3"/>
  <c r="K557" i="3"/>
  <c r="L557" i="3"/>
  <c r="N557" i="3"/>
  <c r="O557" i="3"/>
  <c r="P557" i="3"/>
  <c r="Q557" i="3"/>
  <c r="R557" i="3"/>
  <c r="G558" i="3"/>
  <c r="H558" i="3"/>
  <c r="I558" i="3"/>
  <c r="J558" i="3"/>
  <c r="K558" i="3"/>
  <c r="L558" i="3"/>
  <c r="N558" i="3"/>
  <c r="O558" i="3"/>
  <c r="P558" i="3"/>
  <c r="Q558" i="3"/>
  <c r="R558" i="3"/>
  <c r="G559" i="3"/>
  <c r="H559" i="3"/>
  <c r="I559" i="3"/>
  <c r="J559" i="3"/>
  <c r="K559" i="3"/>
  <c r="L559" i="3"/>
  <c r="N559" i="3"/>
  <c r="O559" i="3"/>
  <c r="P559" i="3"/>
  <c r="Q559" i="3"/>
  <c r="R559" i="3"/>
  <c r="G560" i="3"/>
  <c r="H560" i="3"/>
  <c r="I560" i="3"/>
  <c r="J560" i="3"/>
  <c r="K560" i="3"/>
  <c r="L560" i="3"/>
  <c r="N560" i="3"/>
  <c r="O560" i="3"/>
  <c r="P560" i="3"/>
  <c r="Q560" i="3"/>
  <c r="R560" i="3"/>
  <c r="G561" i="3"/>
  <c r="H561" i="3"/>
  <c r="I561" i="3"/>
  <c r="J561" i="3"/>
  <c r="K561" i="3"/>
  <c r="L561" i="3"/>
  <c r="N561" i="3"/>
  <c r="O561" i="3"/>
  <c r="P561" i="3"/>
  <c r="Q561" i="3"/>
  <c r="R561" i="3"/>
  <c r="G562" i="3"/>
  <c r="H562" i="3"/>
  <c r="I562" i="3"/>
  <c r="J562" i="3"/>
  <c r="K562" i="3"/>
  <c r="L562" i="3"/>
  <c r="N562" i="3"/>
  <c r="O562" i="3"/>
  <c r="P562" i="3"/>
  <c r="Q562" i="3"/>
  <c r="R562" i="3"/>
  <c r="G563" i="3"/>
  <c r="H563" i="3"/>
  <c r="I563" i="3"/>
  <c r="J563" i="3"/>
  <c r="K563" i="3"/>
  <c r="L563" i="3"/>
  <c r="N563" i="3"/>
  <c r="O563" i="3"/>
  <c r="P563" i="3"/>
  <c r="Q563" i="3"/>
  <c r="R563" i="3"/>
  <c r="G564" i="3"/>
  <c r="H564" i="3"/>
  <c r="I564" i="3"/>
  <c r="J564" i="3"/>
  <c r="K564" i="3"/>
  <c r="L564" i="3"/>
  <c r="N564" i="3"/>
  <c r="O564" i="3"/>
  <c r="P564" i="3"/>
  <c r="Q564" i="3"/>
  <c r="R564" i="3"/>
  <c r="G565" i="3"/>
  <c r="H565" i="3"/>
  <c r="I565" i="3"/>
  <c r="J565" i="3"/>
  <c r="K565" i="3"/>
  <c r="L565" i="3"/>
  <c r="N565" i="3"/>
  <c r="O565" i="3"/>
  <c r="P565" i="3"/>
  <c r="Q565" i="3"/>
  <c r="R565" i="3"/>
  <c r="X13" i="3" l="1"/>
  <c r="V13" i="3"/>
  <c r="Y13" i="3"/>
  <c r="Z13" i="3"/>
  <c r="W13" i="3"/>
  <c r="AA13" i="3"/>
  <c r="AD13" i="3"/>
  <c r="AA12" i="3"/>
  <c r="V12" i="3"/>
  <c r="W12" i="3"/>
  <c r="X12" i="3"/>
  <c r="Y12" i="3"/>
  <c r="Z12" i="3"/>
  <c r="AD12" i="3"/>
  <c r="J17" i="3"/>
  <c r="T33" i="3"/>
  <c r="U33" i="3" s="1"/>
  <c r="AC25" i="3"/>
  <c r="T17" i="3"/>
  <c r="U17" i="3" s="1"/>
  <c r="T23" i="3"/>
  <c r="U23" i="3" s="1"/>
  <c r="AC34" i="3"/>
  <c r="T26" i="3"/>
  <c r="U26" i="3" s="1"/>
  <c r="AC18" i="3"/>
  <c r="AC37" i="3"/>
  <c r="T29" i="3"/>
  <c r="U29" i="3" s="1"/>
  <c r="AC21" i="3"/>
  <c r="T32" i="3"/>
  <c r="U32" i="3" s="1"/>
  <c r="AC24" i="3"/>
  <c r="T16" i="3"/>
  <c r="U16" i="3" s="1"/>
  <c r="T10" i="3"/>
  <c r="U10" i="3" s="1"/>
  <c r="T35" i="3"/>
  <c r="U35" i="3" s="1"/>
  <c r="AC27" i="3"/>
  <c r="T19" i="3"/>
  <c r="U19" i="3" s="1"/>
  <c r="T20" i="3"/>
  <c r="U20" i="3" s="1"/>
  <c r="AC33" i="3"/>
  <c r="AC36" i="3"/>
  <c r="T28" i="3"/>
  <c r="U28" i="3" s="1"/>
  <c r="AC20" i="3"/>
  <c r="I17" i="3"/>
  <c r="T14" i="3"/>
  <c r="U14" i="3" s="1"/>
  <c r="AC17" i="3"/>
  <c r="T31" i="3"/>
  <c r="U31" i="3" s="1"/>
  <c r="AC23" i="3"/>
  <c r="H17" i="3"/>
  <c r="T11" i="3"/>
  <c r="U11" i="3" s="1"/>
  <c r="AC31" i="3"/>
  <c r="AC11" i="3"/>
  <c r="T34" i="3"/>
  <c r="U34" i="3" s="1"/>
  <c r="AC26" i="3"/>
  <c r="T18" i="3"/>
  <c r="U18" i="3" s="1"/>
  <c r="G17" i="3"/>
  <c r="AC13" i="3"/>
  <c r="AC14" i="3"/>
  <c r="T22" i="3"/>
  <c r="U22" i="3" s="1"/>
  <c r="AC12" i="3"/>
  <c r="T37" i="3"/>
  <c r="U37" i="3" s="1"/>
  <c r="AC29" i="3"/>
  <c r="T21" i="3"/>
  <c r="U21" i="3" s="1"/>
  <c r="T38" i="3"/>
  <c r="U38" i="3" s="1"/>
  <c r="T25" i="3"/>
  <c r="U25" i="3" s="1"/>
  <c r="AC32" i="3"/>
  <c r="T24" i="3"/>
  <c r="U24" i="3" s="1"/>
  <c r="AC16" i="3"/>
  <c r="AC10" i="3"/>
  <c r="F11" i="3" s="1"/>
  <c r="AC30" i="3"/>
  <c r="AC35" i="3"/>
  <c r="T27" i="3"/>
  <c r="U27" i="3" s="1"/>
  <c r="AC19" i="3"/>
  <c r="T36" i="3"/>
  <c r="U36" i="3" s="1"/>
  <c r="AC15" i="3"/>
  <c r="AC38" i="3"/>
  <c r="T30" i="3"/>
  <c r="U30" i="3" s="1"/>
  <c r="AC22" i="3"/>
  <c r="T15" i="3"/>
  <c r="U15" i="3" s="1"/>
  <c r="AA19" i="3" l="1"/>
  <c r="X19" i="3"/>
  <c r="AD19" i="3"/>
  <c r="Z19" i="3"/>
  <c r="W19" i="3"/>
  <c r="Y19" i="3"/>
  <c r="V19" i="3"/>
  <c r="Y24" i="3"/>
  <c r="Z24" i="3"/>
  <c r="V24" i="3"/>
  <c r="W24" i="3"/>
  <c r="X24" i="3"/>
  <c r="AA24" i="3"/>
  <c r="AD24" i="3"/>
  <c r="AA35" i="3"/>
  <c r="Z35" i="3"/>
  <c r="X35" i="3"/>
  <c r="AD35" i="3"/>
  <c r="Y35" i="3"/>
  <c r="W35" i="3"/>
  <c r="V35" i="3"/>
  <c r="V30" i="3"/>
  <c r="W30" i="3"/>
  <c r="X30" i="3"/>
  <c r="Y30" i="3"/>
  <c r="AA30" i="3"/>
  <c r="Z30" i="3"/>
  <c r="AD30" i="3"/>
  <c r="Z32" i="3"/>
  <c r="AA32" i="3"/>
  <c r="V32" i="3"/>
  <c r="Y32" i="3"/>
  <c r="AD32" i="3"/>
  <c r="W32" i="3"/>
  <c r="X32" i="3"/>
  <c r="Z10" i="3"/>
  <c r="AA10" i="3"/>
  <c r="X10" i="3"/>
  <c r="AD10" i="3"/>
  <c r="Y10" i="3"/>
  <c r="V10" i="3"/>
  <c r="F13" i="3" a="1"/>
  <c r="F13" i="3" s="1"/>
  <c r="W10" i="3"/>
  <c r="Y29" i="3"/>
  <c r="Z29" i="3"/>
  <c r="AA29" i="3"/>
  <c r="V29" i="3"/>
  <c r="AD29" i="3"/>
  <c r="W29" i="3"/>
  <c r="X29" i="3"/>
  <c r="AD25" i="3"/>
  <c r="AA25" i="3"/>
  <c r="Z25" i="3"/>
  <c r="Y25" i="3"/>
  <c r="V25" i="3"/>
  <c r="W25" i="3"/>
  <c r="X25" i="3"/>
  <c r="V31" i="3"/>
  <c r="AD31" i="3"/>
  <c r="W31" i="3"/>
  <c r="AA31" i="3"/>
  <c r="X31" i="3"/>
  <c r="Y31" i="3"/>
  <c r="Z31" i="3"/>
  <c r="X37" i="3"/>
  <c r="Y37" i="3"/>
  <c r="V37" i="3"/>
  <c r="W37" i="3"/>
  <c r="AD37" i="3"/>
  <c r="Z37" i="3"/>
  <c r="AA37" i="3"/>
  <c r="AA22" i="3"/>
  <c r="AD22" i="3"/>
  <c r="Z22" i="3"/>
  <c r="Y22" i="3"/>
  <c r="X22" i="3"/>
  <c r="V22" i="3"/>
  <c r="W22" i="3"/>
  <c r="AD28" i="3"/>
  <c r="AA28" i="3"/>
  <c r="Z28" i="3"/>
  <c r="V28" i="3"/>
  <c r="W28" i="3"/>
  <c r="X28" i="3"/>
  <c r="Y28" i="3"/>
  <c r="AD34" i="3"/>
  <c r="W34" i="3"/>
  <c r="X34" i="3"/>
  <c r="V34" i="3"/>
  <c r="Y34" i="3"/>
  <c r="Z34" i="3"/>
  <c r="AA34" i="3"/>
  <c r="AD38" i="3"/>
  <c r="Y38" i="3"/>
  <c r="X38" i="3"/>
  <c r="Z38" i="3"/>
  <c r="V38" i="3"/>
  <c r="W38" i="3"/>
  <c r="AA38" i="3"/>
  <c r="W23" i="3"/>
  <c r="X23" i="3"/>
  <c r="Y23" i="3"/>
  <c r="Z23" i="3"/>
  <c r="V23" i="3"/>
  <c r="AA23" i="3"/>
  <c r="AD23" i="3"/>
  <c r="W11" i="3"/>
  <c r="Z11" i="3"/>
  <c r="V11" i="3"/>
  <c r="AD11" i="3"/>
  <c r="X11" i="3"/>
  <c r="Y11" i="3"/>
  <c r="AA11" i="3"/>
  <c r="X21" i="3"/>
  <c r="AD21" i="3"/>
  <c r="V21" i="3"/>
  <c r="Y21" i="3"/>
  <c r="W21" i="3"/>
  <c r="Z21" i="3"/>
  <c r="AA21" i="3"/>
  <c r="AA14" i="3"/>
  <c r="Z14" i="3"/>
  <c r="V14" i="3"/>
  <c r="W14" i="3"/>
  <c r="X14" i="3"/>
  <c r="Y14" i="3"/>
  <c r="AD14" i="3"/>
  <c r="V36" i="3"/>
  <c r="W36" i="3"/>
  <c r="X36" i="3"/>
  <c r="Y36" i="3"/>
  <c r="Z36" i="3"/>
  <c r="AA36" i="3"/>
  <c r="AD36" i="3"/>
  <c r="V27" i="3"/>
  <c r="AA27" i="3"/>
  <c r="W27" i="3"/>
  <c r="Z27" i="3"/>
  <c r="X27" i="3"/>
  <c r="Y27" i="3"/>
  <c r="AD27" i="3"/>
  <c r="V17" i="3"/>
  <c r="W17" i="3"/>
  <c r="AD17" i="3"/>
  <c r="X17" i="3"/>
  <c r="Y17" i="3"/>
  <c r="Z17" i="3"/>
  <c r="AA17" i="3"/>
  <c r="AD33" i="3"/>
  <c r="V33" i="3"/>
  <c r="W33" i="3"/>
  <c r="X33" i="3"/>
  <c r="Y33" i="3"/>
  <c r="Z33" i="3"/>
  <c r="AA33" i="3"/>
  <c r="Z16" i="3"/>
  <c r="Y16" i="3"/>
  <c r="AA16" i="3"/>
  <c r="AD16" i="3"/>
  <c r="V16" i="3"/>
  <c r="X16" i="3"/>
  <c r="W16" i="3"/>
  <c r="V15" i="3"/>
  <c r="W15" i="3"/>
  <c r="X15" i="3"/>
  <c r="AA15" i="3"/>
  <c r="Y15" i="3"/>
  <c r="Z15" i="3"/>
  <c r="AD15" i="3"/>
  <c r="X26" i="3"/>
  <c r="Y26" i="3"/>
  <c r="Z26" i="3"/>
  <c r="AA26" i="3"/>
  <c r="W26" i="3"/>
  <c r="AD26" i="3"/>
  <c r="V26" i="3"/>
  <c r="X18" i="3"/>
  <c r="AD18" i="3"/>
  <c r="V18" i="3"/>
  <c r="W18" i="3"/>
  <c r="Y18" i="3"/>
  <c r="Z18" i="3"/>
  <c r="AA18" i="3"/>
  <c r="V20" i="3"/>
  <c r="W20" i="3"/>
  <c r="X20" i="3"/>
  <c r="Y20" i="3"/>
  <c r="Z20" i="3"/>
  <c r="AD20" i="3"/>
  <c r="AA20" i="3"/>
  <c r="O5" i="3" l="1"/>
  <c r="O17" i="3" s="1"/>
  <c r="F12" i="3"/>
  <c r="Q5" i="3"/>
  <c r="Q17" i="3" s="1"/>
  <c r="R5" i="3"/>
  <c r="R17" i="3" s="1"/>
  <c r="P5" i="3"/>
  <c r="P17" i="3" s="1"/>
  <c r="N5" i="3"/>
  <c r="N17" i="3" s="1"/>
  <c r="L5" i="3"/>
  <c r="L17"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S1" authorId="0" shapeId="0" xr:uid="{6F7C0682-C1C2-44FC-8E78-2ADE659EE4B9}">
      <text>
        <r>
          <rPr>
            <b/>
            <sz val="12"/>
            <color indexed="81"/>
            <rFont val="Tahoma"/>
            <family val="2"/>
          </rPr>
          <t>Learning Rate Scheduler</t>
        </r>
        <r>
          <rPr>
            <sz val="12"/>
            <color indexed="81"/>
            <rFont val="Tahoma"/>
            <family val="2"/>
          </rPr>
          <t xml:space="preserve">:  "From Step /To Step / use this LR" table says </t>
        </r>
        <r>
          <rPr>
            <b/>
            <sz val="12"/>
            <color indexed="81"/>
            <rFont val="Tahoma"/>
            <family val="2"/>
          </rPr>
          <t>how much</t>
        </r>
        <r>
          <rPr>
            <sz val="12"/>
            <color indexed="81"/>
            <rFont val="Tahoma"/>
            <family val="2"/>
          </rPr>
          <t xml:space="preserve"> </t>
        </r>
        <r>
          <rPr>
            <b/>
            <sz val="12"/>
            <color indexed="81"/>
            <rFont val="Tahoma"/>
            <family val="2"/>
          </rPr>
          <t>to change the weights</t>
        </r>
        <r>
          <rPr>
            <sz val="12"/>
            <color indexed="81"/>
            <rFont val="Tahoma"/>
            <family val="2"/>
          </rPr>
          <t xml:space="preserve"> </t>
        </r>
        <r>
          <rPr>
            <i/>
            <sz val="12"/>
            <color indexed="81"/>
            <rFont val="Tahoma"/>
            <family val="2"/>
          </rPr>
          <t>a</t>
        </r>
        <r>
          <rPr>
            <sz val="12"/>
            <color indexed="81"/>
            <rFont val="Tahoma"/>
            <family val="2"/>
          </rPr>
          <t xml:space="preserve">, </t>
        </r>
        <r>
          <rPr>
            <i/>
            <sz val="12"/>
            <color indexed="81"/>
            <rFont val="Tahoma"/>
            <family val="2"/>
          </rPr>
          <t>b</t>
        </r>
        <r>
          <rPr>
            <sz val="12"/>
            <color indexed="81"/>
            <rFont val="Tahoma"/>
            <family val="2"/>
          </rPr>
          <t xml:space="preserve">, </t>
        </r>
        <r>
          <rPr>
            <i/>
            <sz val="12"/>
            <color indexed="81"/>
            <rFont val="Tahoma"/>
            <family val="2"/>
          </rPr>
          <t>c</t>
        </r>
        <r>
          <rPr>
            <sz val="12"/>
            <color indexed="81"/>
            <rFont val="Tahoma"/>
            <family val="2"/>
          </rPr>
          <t xml:space="preserve">, </t>
        </r>
        <r>
          <rPr>
            <i/>
            <sz val="12"/>
            <color indexed="81"/>
            <rFont val="Tahoma"/>
            <family val="2"/>
          </rPr>
          <t>d</t>
        </r>
        <r>
          <rPr>
            <sz val="12"/>
            <color indexed="81"/>
            <rFont val="Tahoma"/>
            <family val="2"/>
          </rPr>
          <t xml:space="preserve">, and </t>
        </r>
        <r>
          <rPr>
            <i/>
            <sz val="12"/>
            <color indexed="81"/>
            <rFont val="Tahoma"/>
            <family val="2"/>
          </rPr>
          <t>e</t>
        </r>
        <r>
          <rPr>
            <sz val="12"/>
            <color indexed="81"/>
            <rFont val="Tahoma"/>
            <family val="2"/>
          </rPr>
          <t xml:space="preserve"> in the opposite direction of the gradient of each weight. The  step i - Epoch -  will  use the LR value of its range.</t>
        </r>
      </text>
    </comment>
    <comment ref="AE1" authorId="0" shapeId="0" xr:uid="{8D1EC882-4F34-4A3E-9D87-F7FB607FBBB4}">
      <text>
        <r>
          <rPr>
            <b/>
            <sz val="12"/>
            <color indexed="81"/>
            <rFont val="Tahoma"/>
            <family val="2"/>
          </rPr>
          <t>Learning Rate Scheduler</t>
        </r>
        <r>
          <rPr>
            <sz val="12"/>
            <color indexed="81"/>
            <rFont val="Tahoma"/>
            <family val="2"/>
          </rPr>
          <t xml:space="preserve">:  "From Step /To Step / use this LR" table says </t>
        </r>
        <r>
          <rPr>
            <b/>
            <sz val="12"/>
            <color indexed="81"/>
            <rFont val="Tahoma"/>
            <family val="2"/>
          </rPr>
          <t>how much</t>
        </r>
        <r>
          <rPr>
            <sz val="12"/>
            <color indexed="81"/>
            <rFont val="Tahoma"/>
            <family val="2"/>
          </rPr>
          <t xml:space="preserve"> </t>
        </r>
        <r>
          <rPr>
            <b/>
            <sz val="12"/>
            <color indexed="81"/>
            <rFont val="Tahoma"/>
            <family val="2"/>
          </rPr>
          <t>to change the weights</t>
        </r>
        <r>
          <rPr>
            <sz val="12"/>
            <color indexed="81"/>
            <rFont val="Tahoma"/>
            <family val="2"/>
          </rPr>
          <t xml:space="preserve"> </t>
        </r>
        <r>
          <rPr>
            <i/>
            <sz val="12"/>
            <color indexed="81"/>
            <rFont val="Tahoma"/>
            <family val="2"/>
          </rPr>
          <t>a</t>
        </r>
        <r>
          <rPr>
            <sz val="12"/>
            <color indexed="81"/>
            <rFont val="Tahoma"/>
            <family val="2"/>
          </rPr>
          <t xml:space="preserve">, </t>
        </r>
        <r>
          <rPr>
            <i/>
            <sz val="12"/>
            <color indexed="81"/>
            <rFont val="Tahoma"/>
            <family val="2"/>
          </rPr>
          <t>b</t>
        </r>
        <r>
          <rPr>
            <sz val="12"/>
            <color indexed="81"/>
            <rFont val="Tahoma"/>
            <family val="2"/>
          </rPr>
          <t xml:space="preserve">, </t>
        </r>
        <r>
          <rPr>
            <i/>
            <sz val="12"/>
            <color indexed="81"/>
            <rFont val="Tahoma"/>
            <family val="2"/>
          </rPr>
          <t>c</t>
        </r>
        <r>
          <rPr>
            <sz val="12"/>
            <color indexed="81"/>
            <rFont val="Tahoma"/>
            <family val="2"/>
          </rPr>
          <t xml:space="preserve">, </t>
        </r>
        <r>
          <rPr>
            <i/>
            <sz val="12"/>
            <color indexed="81"/>
            <rFont val="Tahoma"/>
            <family val="2"/>
          </rPr>
          <t>d</t>
        </r>
        <r>
          <rPr>
            <sz val="12"/>
            <color indexed="81"/>
            <rFont val="Tahoma"/>
            <family val="2"/>
          </rPr>
          <t xml:space="preserve">, and </t>
        </r>
        <r>
          <rPr>
            <i/>
            <sz val="12"/>
            <color indexed="81"/>
            <rFont val="Tahoma"/>
            <family val="2"/>
          </rPr>
          <t>e</t>
        </r>
        <r>
          <rPr>
            <sz val="12"/>
            <color indexed="81"/>
            <rFont val="Tahoma"/>
            <family val="2"/>
          </rPr>
          <t xml:space="preserve"> in the opposite direction of the gradient of each weight. The  step i - Epoch -  will  use the LR value of its range.</t>
        </r>
      </text>
    </comment>
    <comment ref="G4" authorId="0" shapeId="0" xr:uid="{0E85A6E3-6717-4AC7-8693-34D3C8694C51}">
      <text>
        <r>
          <rPr>
            <sz val="12"/>
            <color indexed="81"/>
            <rFont val="Tahoma"/>
            <family val="2"/>
          </rPr>
          <t xml:space="preserve">Compute the new value for a used for iteration (current step) computing the new Total Loss in the expectation that the error will decrease. 
Trick: the formula in cell is </t>
        </r>
        <r>
          <rPr>
            <b/>
            <sz val="12"/>
            <color indexed="81"/>
            <rFont val="Tahoma"/>
            <family val="2"/>
          </rPr>
          <t>recursive</t>
        </r>
        <r>
          <rPr>
            <sz val="12"/>
            <color indexed="81"/>
            <rFont val="Tahoma"/>
            <family val="2"/>
          </rPr>
          <t xml:space="preserve">, or </t>
        </r>
        <r>
          <rPr>
            <b/>
            <sz val="12"/>
            <color indexed="81"/>
            <rFont val="Tahoma"/>
            <family val="2"/>
          </rPr>
          <t>iterative</t>
        </r>
        <r>
          <rPr>
            <sz val="12"/>
            <color indexed="81"/>
            <rFont val="Tahoma"/>
            <family val="2"/>
          </rPr>
          <t>,</t>
        </r>
        <r>
          <rPr>
            <b/>
            <sz val="12"/>
            <color indexed="81"/>
            <rFont val="Tahoma"/>
            <family val="2"/>
          </rPr>
          <t xml:space="preserve"> </t>
        </r>
        <r>
          <rPr>
            <sz val="12"/>
            <color indexed="81"/>
            <rFont val="Tahoma"/>
            <family val="2"/>
          </rPr>
          <t>because id defined as the cell itself less the related gradient multiplied by LR(current step).</t>
        </r>
      </text>
    </comment>
    <comment ref="L4" authorId="0" shapeId="0" xr:uid="{7AFA01C4-90F3-412F-8277-FA4F85A98BC4}">
      <text>
        <r>
          <rPr>
            <sz val="12"/>
            <color indexed="81"/>
            <rFont val="Tahoma"/>
            <family val="2"/>
          </rPr>
          <t xml:space="preserve">The goal of the model is </t>
        </r>
        <r>
          <rPr>
            <b/>
            <sz val="12"/>
            <color indexed="81"/>
            <rFont val="Tahoma"/>
            <family val="2"/>
          </rPr>
          <t xml:space="preserve">to find </t>
        </r>
        <r>
          <rPr>
            <sz val="12"/>
            <color indexed="81"/>
            <rFont val="Tahoma"/>
            <family val="2"/>
          </rPr>
          <t xml:space="preserve">the parameters (or </t>
        </r>
        <r>
          <rPr>
            <b/>
            <sz val="12"/>
            <color indexed="81"/>
            <rFont val="Tahoma"/>
            <family val="2"/>
          </rPr>
          <t>weights</t>
        </r>
        <r>
          <rPr>
            <sz val="12"/>
            <color indexed="81"/>
            <rFont val="Tahoma"/>
            <family val="2"/>
          </rPr>
          <t>)</t>
        </r>
        <r>
          <rPr>
            <b/>
            <sz val="12"/>
            <color indexed="81"/>
            <rFont val="Tahoma"/>
            <family val="2"/>
          </rPr>
          <t xml:space="preserve"> </t>
        </r>
        <r>
          <rPr>
            <sz val="12"/>
            <color indexed="81"/>
            <rFont val="Tahoma"/>
            <family val="2"/>
          </rPr>
          <t xml:space="preserve">a, b, c, d and e </t>
        </r>
        <r>
          <rPr>
            <b/>
            <sz val="12"/>
            <color indexed="81"/>
            <rFont val="Tahoma"/>
            <family val="2"/>
          </rPr>
          <t>that minimize</t>
        </r>
        <r>
          <rPr>
            <sz val="12"/>
            <color indexed="81"/>
            <rFont val="Tahoma"/>
            <family val="2"/>
          </rPr>
          <t xml:space="preserve"> the error - </t>
        </r>
        <r>
          <rPr>
            <b/>
            <sz val="12"/>
            <color indexed="81"/>
            <rFont val="Tahoma"/>
            <family val="2"/>
          </rPr>
          <t>Total Loss</t>
        </r>
        <r>
          <rPr>
            <sz val="12"/>
            <color indexed="81"/>
            <rFont val="Tahoma"/>
            <family val="2"/>
          </rPr>
          <t xml:space="preserve"> - computed as Sum of Squared Errors - </t>
        </r>
        <r>
          <rPr>
            <b/>
            <sz val="12"/>
            <color indexed="81"/>
            <rFont val="Tahoma"/>
            <family val="2"/>
          </rPr>
          <t>SSE -</t>
        </r>
      </text>
    </comment>
    <comment ref="N4" authorId="0" shapeId="0" xr:uid="{2F96B9E5-3847-4440-B1AF-F03EFFE29A38}">
      <text>
        <r>
          <rPr>
            <b/>
            <sz val="12"/>
            <color indexed="81"/>
            <rFont val="Tahoma"/>
            <family val="2"/>
          </rPr>
          <t>Batch Gradient Descent</t>
        </r>
        <r>
          <rPr>
            <sz val="12"/>
            <color indexed="81"/>
            <rFont val="Tahoma"/>
            <family val="2"/>
          </rPr>
          <t xml:space="preserve">: The gradient of each weight (a, b, c, d) is computed as the average of the gradient of all points. Every point votes how to change the curve in order to "touch it" (go up or down): it is a compromise that satisfies all points (15 point in our simple example) at the same time and minimize the noise caused by outliers as the point with x = 2 in our example.
While the </t>
        </r>
        <r>
          <rPr>
            <b/>
            <sz val="12"/>
            <color indexed="81"/>
            <rFont val="Tahoma"/>
            <family val="2"/>
          </rPr>
          <t>Stochastic Gradient Descent</t>
        </r>
        <r>
          <rPr>
            <sz val="12"/>
            <color indexed="81"/>
            <rFont val="Tahoma"/>
            <family val="2"/>
          </rPr>
          <t xml:space="preserve"> uses one point at time, the Batch Gradient Descent observes all the data in same time and completes an </t>
        </r>
        <r>
          <rPr>
            <b/>
            <sz val="12"/>
            <color indexed="81"/>
            <rFont val="Tahoma"/>
            <family val="2"/>
          </rPr>
          <t xml:space="preserve">Epoch: </t>
        </r>
        <r>
          <rPr>
            <sz val="12"/>
            <color indexed="81"/>
            <rFont val="Tahoma"/>
            <family val="2"/>
          </rPr>
          <t xml:space="preserve">each time our &lt;current_step&gt; increases by 1, we have completed an epoch.
</t>
        </r>
      </text>
    </comment>
    <comment ref="V8" authorId="0" shapeId="0" xr:uid="{FF50A7EF-90D9-4D6A-BC18-5100A5B94E72}">
      <text>
        <r>
          <rPr>
            <b/>
            <sz val="12"/>
            <color indexed="81"/>
            <rFont val="Tahoma"/>
            <family val="2"/>
          </rPr>
          <t>Gradient</t>
        </r>
        <r>
          <rPr>
            <sz val="12"/>
            <color indexed="81"/>
            <rFont val="Tahoma"/>
            <family val="2"/>
          </rPr>
          <t xml:space="preserve"> computation: I trust the formula Gemini provided me and I have copied in the cell. 
The gradient says how the weights (parameters a, b, c, ...)  contribute to the error (y^ - y): changing the weights in the opposite direction of the related gradient then the Total Loss should decrease.
The process that "propagates" the error backward from "y" to weights a, b, c, and d is called </t>
        </r>
        <r>
          <rPr>
            <b/>
            <sz val="12"/>
            <color indexed="81"/>
            <rFont val="Tahoma"/>
            <family val="2"/>
          </rPr>
          <t>backpropagation</t>
        </r>
        <r>
          <rPr>
            <sz val="12"/>
            <color indexed="81"/>
            <rFont val="Tahoma"/>
            <family val="2"/>
          </rPr>
          <t xml:space="preserve">. See https://youtu.be/SmZmBKc7Lrs?si=pj_KpEU2GtxYdmXC to have a simple explanation of this algorithm 
</t>
        </r>
      </text>
    </comment>
    <comment ref="G11" authorId="0" shapeId="0" xr:uid="{FEA67A8E-1ABF-4073-AB39-8E5788C4E303}">
      <text>
        <r>
          <rPr>
            <b/>
            <sz val="9"/>
            <color indexed="81"/>
            <rFont val="Tahoma"/>
            <family val="2"/>
          </rPr>
          <t xml:space="preserve">The 4th degree polynomial explains R^2% of the cases of the observed phenomenon
R^2 &gt; 0.9: Excellent
R^2 &lt; 0.50: week
</t>
        </r>
      </text>
    </comment>
    <comment ref="G12" authorId="0" shapeId="0" xr:uid="{3F3E5DE9-472E-486E-A6DB-87654063D50F}">
      <text>
        <r>
          <rPr>
            <b/>
            <sz val="9"/>
            <color indexed="81"/>
            <rFont val="Tahoma"/>
            <family val="2"/>
          </rPr>
          <t>It means that on average, your predictions are off by MAE units</t>
        </r>
      </text>
    </comment>
    <comment ref="G13" authorId="0" shapeId="0" xr:uid="{9CC45E56-51C6-4B7B-8E5A-F0E36C5E2A1F}">
      <text>
        <r>
          <rPr>
            <b/>
            <sz val="9"/>
            <color indexed="81"/>
            <rFont val="Tahoma"/>
            <family val="2"/>
          </rPr>
          <t>Values under 10% indicate excellent model performance in most fields</t>
        </r>
        <r>
          <rPr>
            <sz val="9"/>
            <color indexed="81"/>
            <rFont val="Tahoma"/>
            <family val="2"/>
          </rPr>
          <t xml:space="preserv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<sst xmlns="http://schemas.openxmlformats.org/spreadsheetml/2006/main" count="1643" uniqueCount="70">
  <si>
    <t>d</t>
  </si>
  <si>
    <t>y</t>
  </si>
  <si>
    <t>X</t>
  </si>
  <si>
    <t xml:space="preserve">y_hat </t>
  </si>
  <si>
    <t>Grad_a</t>
  </si>
  <si>
    <t>2 (y_hat - y) *  x^3</t>
  </si>
  <si>
    <t>2 (y_hat - y) *  x^2</t>
  </si>
  <si>
    <t xml:space="preserve">2 (y_hat - y) </t>
  </si>
  <si>
    <t>a</t>
  </si>
  <si>
    <t>+</t>
  </si>
  <si>
    <t>x</t>
  </si>
  <si>
    <t>Squared Error</t>
  </si>
  <si>
    <t>Grad_b</t>
  </si>
  <si>
    <t>Grad_c</t>
  </si>
  <si>
    <t>Grad_d</t>
  </si>
  <si>
    <t>Step</t>
  </si>
  <si>
    <t>Current
Step</t>
  </si>
  <si>
    <t>Current 
a</t>
  </si>
  <si>
    <t>b</t>
  </si>
  <si>
    <t>c</t>
  </si>
  <si>
    <t>Total Loss</t>
  </si>
  <si>
    <t>Total Loss
(SSE)</t>
  </si>
  <si>
    <t>Current 
b</t>
  </si>
  <si>
    <t>Current 
c</t>
  </si>
  <si>
    <t>Current 
d</t>
  </si>
  <si>
    <t>y^</t>
  </si>
  <si>
    <t>(y ^- y)</t>
  </si>
  <si>
    <t>==&gt;</t>
  </si>
  <si>
    <t>Current 
Grad_a</t>
  </si>
  <si>
    <t>Current 
Grad_b</t>
  </si>
  <si>
    <t>Current 
Grad_c</t>
  </si>
  <si>
    <t>Current 
Grad_d</t>
  </si>
  <si>
    <t>(y_hat - y) ^2</t>
  </si>
  <si>
    <t>&lt;- MAX iterations</t>
  </si>
  <si>
    <t>LR</t>
  </si>
  <si>
    <t>FromStep</t>
  </si>
  <si>
    <t>ToStep</t>
  </si>
  <si>
    <t>y_prediction</t>
  </si>
  <si>
    <t>e =</t>
  </si>
  <si>
    <t>a =</t>
  </si>
  <si>
    <t>b =</t>
  </si>
  <si>
    <t>c =</t>
  </si>
  <si>
    <t>d =</t>
  </si>
  <si>
    <t>e</t>
  </si>
  <si>
    <t>Current 
e</t>
  </si>
  <si>
    <t>Grad_e</t>
  </si>
  <si>
    <t>2 (y_hat - y) *  x^4</t>
  </si>
  <si>
    <t>2 (y_hat - y)  * x</t>
  </si>
  <si>
    <t>Current 
Grad_e</t>
  </si>
  <si>
    <t>&gt;&gt;&gt;&gt;&gt;&gt;2</t>
  </si>
  <si>
    <t>&lt;-- Corr(x,y)</t>
  </si>
  <si>
    <t>&lt;-- x  Avg</t>
  </si>
  <si>
    <t>&lt;-- x StdDev</t>
  </si>
  <si>
    <t>x_input</t>
  </si>
  <si>
    <t>Real Data x,y</t>
  </si>
  <si>
    <t>y=</t>
  </si>
  <si>
    <t>Err</t>
  </si>
  <si>
    <t>ABS_ERR</t>
  </si>
  <si>
    <t>x_scaled= (x - Avg(x) ) / 
StdDev(x)</t>
  </si>
  <si>
    <t>x_scaled</t>
  </si>
  <si>
    <r>
      <rPr>
        <b/>
        <sz val="22"/>
        <color theme="1"/>
        <rFont val="Arial"/>
        <family val="2"/>
      </rPr>
      <t>a</t>
    </r>
    <r>
      <rPr>
        <b/>
        <sz val="11"/>
        <color theme="1"/>
        <rFont val="Arial"/>
        <family val="2"/>
      </rPr>
      <t xml:space="preserve"> * x^4</t>
    </r>
  </si>
  <si>
    <r>
      <rPr>
        <b/>
        <sz val="22"/>
        <color theme="1"/>
        <rFont val="Arial"/>
        <family val="2"/>
      </rPr>
      <t>b</t>
    </r>
    <r>
      <rPr>
        <b/>
        <sz val="11"/>
        <color theme="1"/>
        <rFont val="Arial"/>
        <family val="2"/>
      </rPr>
      <t xml:space="preserve"> * x^3</t>
    </r>
  </si>
  <si>
    <r>
      <rPr>
        <b/>
        <sz val="22"/>
        <color theme="1"/>
        <rFont val="Arial"/>
        <family val="2"/>
      </rPr>
      <t>c</t>
    </r>
    <r>
      <rPr>
        <b/>
        <sz val="11"/>
        <color theme="1"/>
        <rFont val="Arial"/>
        <family val="2"/>
      </rPr>
      <t xml:space="preserve"> * x^2</t>
    </r>
  </si>
  <si>
    <r>
      <rPr>
        <b/>
        <sz val="22"/>
        <color theme="1"/>
        <rFont val="Arial"/>
        <family val="2"/>
      </rPr>
      <t>d</t>
    </r>
    <r>
      <rPr>
        <b/>
        <sz val="16"/>
        <color theme="1"/>
        <rFont val="Arial"/>
        <family val="2"/>
      </rPr>
      <t xml:space="preserve"> * x</t>
    </r>
  </si>
  <si>
    <t>&lt;-- MAPE - Mean Abs Perc. Error</t>
  </si>
  <si>
    <t>&lt;-- MAE - Mean Absolute Error</t>
  </si>
  <si>
    <t xml:space="preserve">&lt;-- R^2 - R-Squared </t>
  </si>
  <si>
    <t>Model Performance Metrics</t>
  </si>
  <si>
    <t>X_NORM</t>
  </si>
  <si>
    <t>Y_PREDICT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</si>
</sst>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x14ac:knownFonts="1">
    <font>
      <sz val="11"/>
      <color theme="1"/>
      <name val="Calibri"/>
      <family val="2"/>
      <scheme val="minor"/>
    </font>
    <font>
      <b/>
      <sz val="11"/>
      <color theme="0"/>
      <name val="Calibri"/>
      <family val="2"/>
      <scheme val="minor"/>
    </font>
    <font>
      <sz val="11"/>
      <color theme="0"/>
      <name val="Calibri"/>
      <family val="2"/>
      <scheme val="minor"/>
    </font>
    <font>
      <b/>
      <sz val="12"/>
      <color theme="1"/>
      <name val="Calibri"/>
      <family val="2"/>
      <scheme val="minor"/>
    </font>
    <font>
      <b/>
      <sz val="11"/>
      <color theme="1"/>
      <name val="Arial"/>
      <family val="2"/>
    </font>
    <font>
      <sz val="8"/>
      <name val="Calibri"/>
      <family val="2"/>
      <scheme val="minor"/>
    </font>
    <font>
      <b/>
      <sz val="14"/>
      <color theme="0"/>
      <name val="Calibri"/>
      <family val="2"/>
      <scheme val="minor"/>
    </font>
    <font>
      <sz val="11"/>
      <color rgb="FF00133A"/>
      <name val="Calibri"/>
      <family val="2"/>
      <scheme val="minor"/>
    </font>
    <font>
      <b/>
      <sz val="16"/>
      <color theme="1"/>
      <name val="Arial"/>
      <family val="2"/>
    </font>
    <font>
      <b/>
      <sz val="16"/>
      <color theme="1"/>
      <name val="Calibri"/>
      <family val="2"/>
      <scheme val="minor"/>
    </font>
    <font>
      <b/>
      <sz val="18"/>
      <color theme="0"/>
      <name val="Calibri"/>
      <family val="2"/>
      <scheme val="minor"/>
    </font>
    <font>
      <sz val="12"/>
      <color indexed="81"/>
      <name val="Tahoma"/>
      <family val="2"/>
    </font>
    <font>
      <b/>
      <sz val="12"/>
      <color indexed="81"/>
      <name val="Tahoma"/>
      <family val="2"/>
    </font>
    <font>
      <i/>
      <sz val="12"/>
      <color indexed="81"/>
      <name val="Tahoma"/>
      <family val="2"/>
    </font>
    <font>
      <sz val="11"/>
      <color theme="1"/>
      <name val="Calibri"/>
      <family val="2"/>
      <scheme val="minor"/>
    </font>
    <font>
      <b/>
      <sz val="22"/>
      <color theme="1"/>
      <name val="Arial"/>
      <family val="2"/>
    </font>
    <font>
      <sz val="9"/>
      <color indexed="81"/>
      <name val="Tahoma"/>
      <family val="2"/>
    </font>
    <font>
      <b/>
      <sz val="9"/>
      <color indexed="81"/>
      <name val="Tahoma"/>
      <family val="2"/>
    </font>
    <font>
      <b/>
      <sz val="11"/>
      <color theme="0"/>
      <name val="Arial"/>
      <family val="2"/>
    </font>
    <font>
      <b/>
      <sz val="14"/>
      <color theme="0"/>
      <name val="Arial"/>
      <family val="2"/>
    </font>
  </fonts>
  <fills count="10">
    <fill>
      <patternFill patternType="none"/>
    </fill>
    <fill>
      <patternFill patternType="gray125"/>
    </fill>
    <fill>
      <patternFill patternType="solid">
        <fgColor rgb="FFA5A5A5"/>
      </patternFill>
    </fill>
    <fill>
      <patternFill patternType="solid">
        <fgColor theme="8"/>
      </patternFill>
    </fill>
    <fill>
      <patternFill patternType="solid">
        <fgColor theme="4"/>
        <bgColor theme="4"/>
      </patternFill>
    </fill>
    <fill>
      <patternFill patternType="solid">
        <fgColor theme="6"/>
        <bgColor indexed="64"/>
      </patternFill>
    </fill>
    <fill>
      <patternFill patternType="solid">
        <fgColor theme="0" tint="-0.24994659260841701"/>
        <bgColor indexed="64"/>
      </patternFill>
    </fill>
    <fill>
      <patternFill patternType="solid">
        <fgColor theme="4" tint="0.79998168889431442"/>
        <bgColor theme="4" tint="0.79998168889431442"/>
      </patternFill>
    </fill>
    <fill>
      <patternFill patternType="solid">
        <fgColor theme="4"/>
        <bgColor indexed="64"/>
      </patternFill>
    </fill>
    <fill>
      <patternFill patternType="solid">
        <fgColor theme="9" tint="0.39997558519241921"/>
        <bgColor indexed="64"/>
      </patternFill>
    </fill>
  </fills>
  <borders count="8">
    <border>
      <left/>
      <right/>
      <top/>
      <bottom/>
      <diagonal/>
    </border>
    <border>
      <left style="double">
        <color rgb="FF3F3F3F"/>
      </left>
      <right style="double">
        <color rgb="FF3F3F3F"/>
      </right>
      <top style="double">
        <color rgb="FF3F3F3F"/>
      </top>
      <bottom style="double">
        <color rgb="FF3F3F3F"/>
      </bottom>
      <diagonal/>
    </border>
    <border>
      <left style="thin">
        <color theme="6"/>
      </left>
      <right style="thin">
        <color theme="6"/>
      </right>
      <top style="thin">
        <color theme="6"/>
      </top>
      <bottom/>
      <diagonal/>
    </border>
    <border>
      <left style="thin">
        <color theme="6"/>
      </left>
      <right style="thin">
        <color theme="6"/>
      </right>
      <top/>
      <bottom style="thin">
        <color theme="6"/>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double">
        <color rgb="FF3F3F3F"/>
      </right>
      <top style="double">
        <color rgb="FF3F3F3F"/>
      </top>
      <bottom style="double">
        <color rgb="FF3F3F3F"/>
      </bottom>
      <diagonal/>
    </border>
    <border>
      <left style="double">
        <color rgb="FF3F3F3F"/>
      </left>
      <right/>
      <top style="double">
        <color rgb="FF3F3F3F"/>
      </top>
      <bottom style="double">
        <color rgb="FF3F3F3F"/>
      </bottom>
      <diagonal/>
    </border>
  </borders>
  <cellStyleXfs count="4">
    <xf numFmtId="0" fontId="0" fillId="0" borderId="0"/>
    <xf numFmtId="0" fontId="1" fillId="2" borderId="1" applyNumberFormat="0" applyAlignment="0" applyProtection="0"/>
    <xf numFmtId="0" fontId="2" fillId="3" borderId="0" applyNumberFormat="0" applyBorder="0" applyAlignment="0" applyProtection="0"/>
    <xf numFmtId="9" fontId="14" fillId="0" borderId="0" applyFont="0" applyFill="0" applyBorder="0" applyAlignment="0" applyProtection="0"/>
  </cellStyleXfs>
  <cellXfs count="42">
    <xf numFmtId="0" fontId="0" fillId="0" borderId="0" xfId="0"/>
    <xf numFmtId="0" fontId="0" fillId="0" borderId="0" xfId="0" applyAlignment="1">
      <alignment horizontal="center"/>
    </xf>
    <xf numFmtId="0" fontId="0" fillId="0" borderId="0" xfId="0" applyAlignment="1">
      <alignment horizontal="center" vertical="center" wrapText="1"/>
    </xf>
    <xf numFmtId="0" fontId="4" fillId="0" borderId="0" xfId="0" applyFont="1" applyAlignment="1">
      <alignment horizontal="center"/>
    </xf>
    <xf numFmtId="0" fontId="0" fillId="0" borderId="0" xfId="0" applyAlignment="1">
      <alignment horizontal="center" vertical="center"/>
    </xf>
    <xf numFmtId="0" fontId="1" fillId="2" borderId="1" xfId="1" applyAlignment="1">
      <alignment horizontal="center" vertical="center" wrapText="1"/>
    </xf>
    <xf numFmtId="0" fontId="7" fillId="5" borderId="0" xfId="2" quotePrefix="1" applyFont="1" applyFill="1" applyAlignment="1">
      <alignment horizontal="center" vertical="center" wrapText="1"/>
    </xf>
    <xf numFmtId="0" fontId="1" fillId="2" borderId="1" xfId="1" quotePrefix="1" applyAlignment="1">
      <alignment horizontal="center" vertical="center" wrapText="1"/>
    </xf>
    <xf numFmtId="0" fontId="0" fillId="0" borderId="0" xfId="0" applyAlignment="1">
      <alignment horizontal="left" vertical="center"/>
    </xf>
    <xf numFmtId="0" fontId="0" fillId="0" borderId="0" xfId="0" quotePrefix="1" applyAlignment="1">
      <alignment horizontal="left" vertical="center"/>
    </xf>
    <xf numFmtId="0" fontId="6" fillId="4" borderId="2" xfId="0" applyFont="1" applyFill="1" applyBorder="1" applyAlignment="1">
      <alignment horizontal="center" vertical="center" wrapText="1"/>
    </xf>
    <xf numFmtId="0" fontId="0" fillId="0" borderId="3" xfId="0" applyBorder="1" applyAlignment="1">
      <alignment horizontal="center" vertical="center" wrapText="1"/>
    </xf>
    <xf numFmtId="0" fontId="0" fillId="0" borderId="3" xfId="0" quotePrefix="1" applyBorder="1" applyAlignment="1">
      <alignment horizontal="center" vertical="center" wrapText="1"/>
    </xf>
    <xf numFmtId="0" fontId="8" fillId="0" borderId="0" xfId="0" applyFont="1" applyAlignment="1">
      <alignment horizontal="center"/>
    </xf>
    <xf numFmtId="0" fontId="9" fillId="0" borderId="0" xfId="0" applyFont="1" applyAlignment="1">
      <alignment horizontal="center"/>
    </xf>
    <xf numFmtId="0" fontId="10" fillId="2" borderId="1" xfId="1" applyFont="1" applyAlignment="1">
      <alignment horizontal="center"/>
    </xf>
    <xf numFmtId="0" fontId="3" fillId="0" borderId="0" xfId="0" quotePrefix="1" applyFont="1"/>
    <xf numFmtId="0" fontId="0" fillId="0" borderId="0" xfId="0" applyAlignment="1">
      <alignment horizontal="right" vertical="center" wrapText="1"/>
    </xf>
    <xf numFmtId="0" fontId="10" fillId="2" borderId="1" xfId="1" applyFont="1" applyAlignment="1"/>
    <xf numFmtId="0" fontId="4" fillId="6" borderId="0" xfId="0" applyFont="1" applyFill="1" applyAlignment="1">
      <alignment horizontal="center"/>
    </xf>
    <xf numFmtId="0" fontId="4" fillId="6" borderId="0" xfId="0" applyFont="1" applyFill="1" applyAlignment="1">
      <alignment horizontal="right"/>
    </xf>
    <xf numFmtId="0" fontId="0" fillId="6" borderId="0" xfId="0" applyFill="1"/>
    <xf numFmtId="0" fontId="0" fillId="6" borderId="0" xfId="0" applyFill="1" applyAlignment="1">
      <alignment horizontal="center" vertical="center" wrapText="1"/>
    </xf>
    <xf numFmtId="0" fontId="0" fillId="7" borderId="4" xfId="0" applyFill="1" applyBorder="1"/>
    <xf numFmtId="0" fontId="0" fillId="7" borderId="5" xfId="0" applyFill="1" applyBorder="1"/>
    <xf numFmtId="0" fontId="0" fillId="0" borderId="4" xfId="0" applyBorder="1"/>
    <xf numFmtId="0" fontId="0" fillId="0" borderId="5" xfId="0" applyBorder="1"/>
    <xf numFmtId="0" fontId="15" fillId="0" borderId="0" xfId="0" applyFont="1" applyAlignment="1">
      <alignment horizontal="center"/>
    </xf>
    <xf numFmtId="0" fontId="19" fillId="9" borderId="0" xfId="0" applyFont="1" applyFill="1" applyAlignment="1">
      <alignment horizontal="center"/>
    </xf>
    <xf numFmtId="0" fontId="6" fillId="2" borderId="1" xfId="1" applyFont="1" applyAlignment="1">
      <alignment horizontal="center" vertical="center" wrapText="1"/>
    </xf>
    <xf numFmtId="0" fontId="1" fillId="2" borderId="1" xfId="1" applyAlignment="1">
      <alignment horizontal="left"/>
    </xf>
    <xf numFmtId="0" fontId="10" fillId="2" borderId="1" xfId="1" applyFont="1" applyAlignment="1">
      <alignment horizontal="left"/>
    </xf>
    <xf numFmtId="0" fontId="3" fillId="0" borderId="0" xfId="0" applyFont="1" applyAlignment="1">
      <alignment horizontal="center" vertical="center"/>
    </xf>
    <xf numFmtId="0" fontId="3" fillId="0" borderId="0" xfId="0" quotePrefix="1" applyFont="1" applyAlignment="1">
      <alignment horizontal="left" vertical="center"/>
    </xf>
    <xf numFmtId="0" fontId="0" fillId="0" borderId="0" xfId="0" applyAlignment="1">
      <alignment vertical="center"/>
    </xf>
    <xf numFmtId="0" fontId="1" fillId="2" borderId="7" xfId="1" applyBorder="1" applyAlignment="1">
      <alignment horizontal="left"/>
    </xf>
    <xf numFmtId="0" fontId="1" fillId="2" borderId="6" xfId="1" applyBorder="1" applyAlignment="1">
      <alignment horizontal="left"/>
    </xf>
    <xf numFmtId="10" fontId="18" fillId="8" borderId="7" xfId="3" applyNumberFormat="1" applyFont="1" applyFill="1" applyBorder="1" applyAlignment="1">
      <alignment horizontal="center"/>
    </xf>
    <xf numFmtId="2" fontId="18" fillId="8" borderId="7" xfId="0" quotePrefix="1" applyNumberFormat="1" applyFont="1" applyFill="1" applyBorder="1" applyAlignment="1">
      <alignment horizontal="center"/>
    </xf>
    <xf numFmtId="0" fontId="1" fillId="4" borderId="4" xfId="0" applyFont="1" applyFill="1" applyBorder="1" applyAlignment="1">
      <alignment horizontal="center" vertical="center"/>
    </xf>
    <xf numFmtId="0" fontId="1" fillId="4" borderId="5" xfId="0" applyFont="1" applyFill="1" applyBorder="1" applyAlignment="1">
      <alignment horizontal="center" vertical="center"/>
    </xf>
    <xf numFmtId="0" fontId="0" fillId="0" borderId="0" xfId="0" applyNumberFormat="1"/>
  </cellXfs>
  <cellStyles count="4">
    <cellStyle name="Accent5" xfId="2" builtinId="45"/>
    <cellStyle name="Check Cell" xfId="1" builtinId="23"/>
    <cellStyle name="Normal" xfId="0" builtinId="0"/>
    <cellStyle name="Percent" xfId="3" builtinId="5"/>
  </cellStyles>
  <dxfs count="36">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1" indent="0" justifyLastLine="0" shrinkToFit="0" readingOrder="0"/>
    </dxf>
    <dxf>
      <numFmt numFmtId="0" formatCode="General"/>
      <alignment horizontal="center" vertical="center" textRotation="0" wrapText="1" indent="0" justifyLastLine="0" shrinkToFit="0" readingOrder="0"/>
    </dxf>
    <dxf>
      <numFmt numFmtId="0" formatCode="General"/>
      <alignment horizontal="center" vertical="center" textRotation="0" wrapText="1" indent="0" justifyLastLine="0" shrinkToFit="0" readingOrder="0"/>
    </dxf>
    <dxf>
      <numFmt numFmtId="0" formatCode="General"/>
      <alignment horizontal="center" vertical="center" textRotation="0" wrapText="1" indent="0" justifyLastLine="0" shrinkToFit="0" readingOrder="0"/>
    </dxf>
    <dxf>
      <numFmt numFmtId="0" formatCode="General"/>
      <alignment horizontal="center" vertical="center" textRotation="0" wrapText="1" indent="0" justifyLastLine="0" shrinkToFit="0" readingOrder="0"/>
    </dxf>
    <dxf>
      <numFmt numFmtId="0" formatCode="General"/>
      <alignment horizontal="center" vertical="center" textRotation="0" wrapText="1" indent="0" justifyLastLine="0" shrinkToFit="0" readingOrder="0"/>
    </dxf>
    <dxf>
      <font>
        <strike val="0"/>
        <outline val="0"/>
        <shadow val="0"/>
        <u val="none"/>
        <vertAlign val="baseline"/>
        <sz val="11"/>
        <color rgb="FF00133A"/>
        <name val="Calibri"/>
        <family val="2"/>
        <scheme val="minor"/>
      </font>
      <fill>
        <patternFill patternType="solid">
          <fgColor indexed="64"/>
          <bgColor theme="6"/>
        </patternFill>
      </fill>
      <alignment horizontal="center" vertical="center" textRotation="0" wrapText="1" indent="0" justifyLastLine="0" shrinkToFit="0" readingOrder="0"/>
    </dxf>
    <dxf>
      <numFmt numFmtId="0" formatCode="General"/>
      <alignment horizontal="center" vertical="center" textRotation="0" wrapText="1" indent="0" justifyLastLine="0" shrinkToFit="0" readingOrder="0"/>
    </dxf>
    <dxf>
      <numFmt numFmtId="0" formatCode="General"/>
      <alignment horizontal="center" vertical="center" textRotation="0" wrapText="1" indent="0" justifyLastLine="0" shrinkToFit="0" readingOrder="0"/>
    </dxf>
    <dxf>
      <numFmt numFmtId="0" formatCode="General"/>
      <alignment horizontal="center" vertical="center" textRotation="0" wrapText="1" indent="0" justifyLastLine="0" shrinkToFit="0" readingOrder="0"/>
    </dxf>
    <dxf>
      <numFmt numFmtId="0" formatCode="General"/>
      <alignment horizontal="center" vertical="center" textRotation="0" wrapText="1" indent="0" justifyLastLine="0" shrinkToFit="0" readingOrder="0"/>
    </dxf>
    <dxf>
      <numFmt numFmtId="0" formatCode="General"/>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border>
        <bottom style="thin">
          <color theme="6"/>
        </bottom>
      </border>
    </dxf>
    <dxf>
      <border diagonalUp="0" diagonalDown="0">
        <left style="thin">
          <color theme="6"/>
        </left>
        <right style="thin">
          <color theme="6"/>
        </right>
        <top/>
        <bottom/>
        <vertical style="thin">
          <color theme="6"/>
        </vertical>
        <horizontal/>
      </border>
    </dxf>
    <dxf>
      <numFmt numFmtId="0" formatCode="General"/>
    </dxf>
    <dxf>
      <numFmt numFmtId="0" formatCode="General"/>
    </dxf>
    <dxf>
      <alignment horizontal="center" vertical="center" textRotation="0" wrapText="0" indent="0" justifyLastLine="0" shrinkToFit="0" readingOrder="0"/>
    </dxf>
  </dxfs>
  <tableStyles count="0" defaultTableStyle="TableStyleMedium2" defaultPivotStyle="PivotStyleLight16"/>
  <colors>
    <mruColors>
      <color rgb="FF00133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7766756279625149E-2"/>
          <c:y val="6.9011373785755503E-2"/>
          <c:w val="0.71402310955670634"/>
          <c:h val="0.77660222970462933"/>
        </c:manualLayout>
      </c:layout>
      <c:scatterChart>
        <c:scatterStyle val="smoothMarker"/>
        <c:varyColors val="0"/>
        <c:ser>
          <c:idx val="1"/>
          <c:order val="1"/>
          <c:tx>
            <c:v>Prediction Step i</c:v>
          </c:tx>
          <c:spPr>
            <a:ln w="19050" cap="rnd">
              <a:solidFill>
                <a:schemeClr val="accent2"/>
              </a:solidFill>
              <a:round/>
            </a:ln>
            <a:effectLst/>
          </c:spPr>
          <c:marker>
            <c:symbol val="none"/>
          </c:marker>
          <c:xVal>
            <c:numRef>
              <c:f>'Model Training'!$A$10:$A$38</c:f>
              <c:numCache>
                <c:formatCode>General</c:formatCode>
                <c:ptCount val="29"/>
                <c:pt idx="0">
                  <c:v>-6</c:v>
                </c:pt>
                <c:pt idx="1">
                  <c:v>-5</c:v>
                </c:pt>
                <c:pt idx="2">
                  <c:v>-4</c:v>
                </c:pt>
                <c:pt idx="3">
                  <c:v>-3</c:v>
                </c:pt>
                <c:pt idx="4">
                  <c:v>-2</c:v>
                </c:pt>
                <c:pt idx="5">
                  <c:v>-1</c:v>
                </c:pt>
                <c:pt idx="6">
                  <c:v>1</c:v>
                </c:pt>
                <c:pt idx="7">
                  <c:v>2</c:v>
                </c:pt>
                <c:pt idx="8">
                  <c:v>3</c:v>
                </c:pt>
                <c:pt idx="9">
                  <c:v>4</c:v>
                </c:pt>
                <c:pt idx="10">
                  <c:v>5</c:v>
                </c:pt>
                <c:pt idx="11">
                  <c:v>6</c:v>
                </c:pt>
                <c:pt idx="12">
                  <c:v>7</c:v>
                </c:pt>
                <c:pt idx="13">
                  <c:v>8</c:v>
                </c:pt>
                <c:pt idx="14">
                  <c:v>9</c:v>
                </c:pt>
                <c:pt idx="15">
                  <c:v>10</c:v>
                </c:pt>
                <c:pt idx="16">
                  <c:v>11</c:v>
                </c:pt>
                <c:pt idx="17">
                  <c:v>12</c:v>
                </c:pt>
                <c:pt idx="18">
                  <c:v>13</c:v>
                </c:pt>
                <c:pt idx="19">
                  <c:v>14</c:v>
                </c:pt>
                <c:pt idx="20">
                  <c:v>15</c:v>
                </c:pt>
                <c:pt idx="21">
                  <c:v>16</c:v>
                </c:pt>
                <c:pt idx="22">
                  <c:v>17</c:v>
                </c:pt>
                <c:pt idx="23">
                  <c:v>18</c:v>
                </c:pt>
                <c:pt idx="24">
                  <c:v>19</c:v>
                </c:pt>
                <c:pt idx="25">
                  <c:v>20</c:v>
                </c:pt>
                <c:pt idx="26">
                  <c:v>21</c:v>
                </c:pt>
                <c:pt idx="27">
                  <c:v>22</c:v>
                </c:pt>
                <c:pt idx="28">
                  <c:v>23</c:v>
                </c:pt>
              </c:numCache>
            </c:numRef>
          </c:xVal>
          <c:yVal>
            <c:numRef>
              <c:f>'Model Training'!$AC$10:$AC$38</c:f>
              <c:numCache>
                <c:formatCode>General</c:formatCode>
                <c:ptCount val="29"/>
                <c:pt idx="0">
                  <c:v>18.475117698272289</c:v>
                </c:pt>
                <c:pt idx="1">
                  <c:v>18.334733655918704</c:v>
                </c:pt>
                <c:pt idx="2">
                  <c:v>18.224963799190846</c:v>
                </c:pt>
                <c:pt idx="3">
                  <c:v>18.14104988641644</c:v>
                </c:pt>
                <c:pt idx="4">
                  <c:v>18.078661223327476</c:v>
                </c:pt>
                <c:pt idx="5">
                  <c:v>18.033894663060209</c:v>
                </c:pt>
                <c:pt idx="6">
                  <c:v>17.98375300055709</c:v>
                </c:pt>
                <c:pt idx="7">
                  <c:v>17.972709341615051</c:v>
                </c:pt>
                <c:pt idx="8">
                  <c:v>17.967950672082338</c:v>
                </c:pt>
                <c:pt idx="9">
                  <c:v>17.967711582116518</c:v>
                </c:pt>
                <c:pt idx="10">
                  <c:v>17.970654209279409</c:v>
                </c:pt>
                <c:pt idx="11">
                  <c:v>17.975868238537103</c:v>
                </c:pt>
                <c:pt idx="12">
                  <c:v>17.98287090225995</c:v>
                </c:pt>
                <c:pt idx="13">
                  <c:v>17.991606980222556</c:v>
                </c:pt>
                <c:pt idx="14">
                  <c:v>18.002448799603794</c:v>
                </c:pt>
                <c:pt idx="15">
                  <c:v>18.016196234986804</c:v>
                </c:pt>
                <c:pt idx="16">
                  <c:v>18.034076708358977</c:v>
                </c:pt>
                <c:pt idx="17">
                  <c:v>18.057745189111973</c:v>
                </c:pt>
                <c:pt idx="18">
                  <c:v>18.089284194041717</c:v>
                </c:pt>
                <c:pt idx="19">
                  <c:v>18.131203787348387</c:v>
                </c:pt>
                <c:pt idx="20">
                  <c:v>18.186441580636426</c:v>
                </c:pt>
                <c:pt idx="21">
                  <c:v>18.258362732914549</c:v>
                </c:pt>
                <c:pt idx="22">
                  <c:v>18.350759950595716</c:v>
                </c:pt>
                <c:pt idx="23">
                  <c:v>18.467853487497162</c:v>
                </c:pt>
                <c:pt idx="24">
                  <c:v>18.614291144840379</c:v>
                </c:pt>
                <c:pt idx="25">
                  <c:v>18.795148271251122</c:v>
                </c:pt>
                <c:pt idx="26">
                  <c:v>19.015927762759411</c:v>
                </c:pt>
                <c:pt idx="27">
                  <c:v>19.282560062799519</c:v>
                </c:pt>
                <c:pt idx="28">
                  <c:v>19.601403162209987</c:v>
                </c:pt>
              </c:numCache>
            </c:numRef>
          </c:yVal>
          <c:smooth val="1"/>
          <c:extLst>
            <c:ext xmlns:c16="http://schemas.microsoft.com/office/drawing/2014/chart" uri="{C3380CC4-5D6E-409C-BE32-E72D297353CC}">
              <c16:uniqueId val="{00000002-C8FC-4D49-B955-1E8322E326A7}"/>
            </c:ext>
          </c:extLst>
        </c:ser>
        <c:dLbls>
          <c:showLegendKey val="0"/>
          <c:showVal val="0"/>
          <c:showCatName val="0"/>
          <c:showSerName val="0"/>
          <c:showPercent val="0"/>
          <c:showBubbleSize val="0"/>
        </c:dLbls>
        <c:axId val="105469680"/>
        <c:axId val="105470160"/>
      </c:scatterChart>
      <c:scatterChart>
        <c:scatterStyle val="lineMarker"/>
        <c:varyColors val="0"/>
        <c:ser>
          <c:idx val="0"/>
          <c:order val="0"/>
          <c:tx>
            <c:v>Real Data</c:v>
          </c:tx>
          <c:spPr>
            <a:ln w="25400" cap="rnd">
              <a:noFill/>
              <a:round/>
            </a:ln>
            <a:effectLst/>
          </c:spPr>
          <c:marker>
            <c:symbol val="circle"/>
            <c:size val="5"/>
            <c:spPr>
              <a:solidFill>
                <a:schemeClr val="accent1"/>
              </a:solidFill>
              <a:ln w="9525">
                <a:solidFill>
                  <a:schemeClr val="accent1"/>
                </a:solidFill>
              </a:ln>
              <a:effectLst/>
            </c:spPr>
          </c:marker>
          <c:xVal>
            <c:numRef>
              <c:f>'Model Training'!$A$10:$A$38</c:f>
              <c:numCache>
                <c:formatCode>General</c:formatCode>
                <c:ptCount val="29"/>
                <c:pt idx="0">
                  <c:v>-6</c:v>
                </c:pt>
                <c:pt idx="1">
                  <c:v>-5</c:v>
                </c:pt>
                <c:pt idx="2">
                  <c:v>-4</c:v>
                </c:pt>
                <c:pt idx="3">
                  <c:v>-3</c:v>
                </c:pt>
                <c:pt idx="4">
                  <c:v>-2</c:v>
                </c:pt>
                <c:pt idx="5">
                  <c:v>-1</c:v>
                </c:pt>
                <c:pt idx="6">
                  <c:v>1</c:v>
                </c:pt>
                <c:pt idx="7">
                  <c:v>2</c:v>
                </c:pt>
                <c:pt idx="8">
                  <c:v>3</c:v>
                </c:pt>
                <c:pt idx="9">
                  <c:v>4</c:v>
                </c:pt>
                <c:pt idx="10">
                  <c:v>5</c:v>
                </c:pt>
                <c:pt idx="11">
                  <c:v>6</c:v>
                </c:pt>
                <c:pt idx="12">
                  <c:v>7</c:v>
                </c:pt>
                <c:pt idx="13">
                  <c:v>8</c:v>
                </c:pt>
                <c:pt idx="14">
                  <c:v>9</c:v>
                </c:pt>
                <c:pt idx="15">
                  <c:v>10</c:v>
                </c:pt>
                <c:pt idx="16">
                  <c:v>11</c:v>
                </c:pt>
                <c:pt idx="17">
                  <c:v>12</c:v>
                </c:pt>
                <c:pt idx="18">
                  <c:v>13</c:v>
                </c:pt>
                <c:pt idx="19">
                  <c:v>14</c:v>
                </c:pt>
                <c:pt idx="20">
                  <c:v>15</c:v>
                </c:pt>
                <c:pt idx="21">
                  <c:v>16</c:v>
                </c:pt>
                <c:pt idx="22">
                  <c:v>17</c:v>
                </c:pt>
                <c:pt idx="23">
                  <c:v>18</c:v>
                </c:pt>
                <c:pt idx="24">
                  <c:v>19</c:v>
                </c:pt>
                <c:pt idx="25">
                  <c:v>20</c:v>
                </c:pt>
                <c:pt idx="26">
                  <c:v>21</c:v>
                </c:pt>
                <c:pt idx="27">
                  <c:v>22</c:v>
                </c:pt>
                <c:pt idx="28">
                  <c:v>23</c:v>
                </c:pt>
              </c:numCache>
            </c:numRef>
          </c:xVal>
          <c:yVal>
            <c:numRef>
              <c:f>'Model Training'!$B$10:$B$38</c:f>
              <c:numCache>
                <c:formatCode>General</c:formatCode>
                <c:ptCount val="29"/>
                <c:pt idx="0">
                  <c:v>4</c:v>
                </c:pt>
                <c:pt idx="1">
                  <c:v>6</c:v>
                </c:pt>
                <c:pt idx="2">
                  <c:v>8</c:v>
                </c:pt>
                <c:pt idx="3">
                  <c:v>10</c:v>
                </c:pt>
                <c:pt idx="4">
                  <c:v>15</c:v>
                </c:pt>
                <c:pt idx="5">
                  <c:v>20</c:v>
                </c:pt>
                <c:pt idx="6">
                  <c:v>23</c:v>
                </c:pt>
                <c:pt idx="7">
                  <c:v>27</c:v>
                </c:pt>
                <c:pt idx="8">
                  <c:v>18</c:v>
                </c:pt>
                <c:pt idx="9">
                  <c:v>14</c:v>
                </c:pt>
                <c:pt idx="10">
                  <c:v>12</c:v>
                </c:pt>
                <c:pt idx="11">
                  <c:v>10</c:v>
                </c:pt>
                <c:pt idx="12">
                  <c:v>10</c:v>
                </c:pt>
                <c:pt idx="13">
                  <c:v>12</c:v>
                </c:pt>
                <c:pt idx="14">
                  <c:v>17</c:v>
                </c:pt>
                <c:pt idx="15">
                  <c:v>20</c:v>
                </c:pt>
                <c:pt idx="16">
                  <c:v>26</c:v>
                </c:pt>
                <c:pt idx="17">
                  <c:v>30</c:v>
                </c:pt>
                <c:pt idx="18">
                  <c:v>28</c:v>
                </c:pt>
                <c:pt idx="19">
                  <c:v>26</c:v>
                </c:pt>
                <c:pt idx="20">
                  <c:v>22</c:v>
                </c:pt>
                <c:pt idx="21">
                  <c:v>21</c:v>
                </c:pt>
                <c:pt idx="22">
                  <c:v>20</c:v>
                </c:pt>
                <c:pt idx="23">
                  <c:v>20</c:v>
                </c:pt>
                <c:pt idx="24">
                  <c:v>21</c:v>
                </c:pt>
                <c:pt idx="25">
                  <c:v>21</c:v>
                </c:pt>
                <c:pt idx="26">
                  <c:v>22</c:v>
                </c:pt>
                <c:pt idx="27">
                  <c:v>22</c:v>
                </c:pt>
                <c:pt idx="28">
                  <c:v>23</c:v>
                </c:pt>
              </c:numCache>
            </c:numRef>
          </c:yVal>
          <c:smooth val="0"/>
          <c:extLst>
            <c:ext xmlns:c16="http://schemas.microsoft.com/office/drawing/2014/chart" uri="{C3380CC4-5D6E-409C-BE32-E72D297353CC}">
              <c16:uniqueId val="{00000000-C8FC-4D49-B955-1E8322E326A7}"/>
            </c:ext>
          </c:extLst>
        </c:ser>
        <c:dLbls>
          <c:showLegendKey val="0"/>
          <c:showVal val="0"/>
          <c:showCatName val="0"/>
          <c:showSerName val="0"/>
          <c:showPercent val="0"/>
          <c:showBubbleSize val="0"/>
        </c:dLbls>
        <c:axId val="105469680"/>
        <c:axId val="105470160"/>
      </c:scatterChart>
      <c:valAx>
        <c:axId val="105469680"/>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a:p>
                <a:pPr>
                  <a:defRPr/>
                </a:pPr>
                <a:r>
                  <a:rPr lang="en-US" sz="1400" b="1"/>
                  <a:t>Axis x</a:t>
                </a:r>
              </a:p>
              <a:p>
                <a:pPr>
                  <a:defRPr/>
                </a:pPr>
                <a:endParaRPr lang="en-US"/>
              </a:p>
            </c:rich>
          </c:tx>
          <c:layout>
            <c:manualLayout>
              <c:xMode val="edge"/>
              <c:yMode val="edge"/>
              <c:x val="0.45029475482964632"/>
              <c:y val="0.83954649047794128"/>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470160"/>
        <c:crosses val="autoZero"/>
        <c:crossBetween val="midCat"/>
      </c:valAx>
      <c:valAx>
        <c:axId val="10547016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400" b="1"/>
                  <a:t>Axis y</a:t>
                </a:r>
              </a:p>
            </c:rich>
          </c:tx>
          <c:layout>
            <c:manualLayout>
              <c:xMode val="edge"/>
              <c:yMode val="edge"/>
              <c:x val="2.5730997114126849E-2"/>
              <c:y val="0.18809022567502082"/>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469680"/>
        <c:crosses val="autoZero"/>
        <c:crossBetween val="midCat"/>
      </c:valAx>
      <c:spPr>
        <a:noFill/>
        <a:ln>
          <a:noFill/>
        </a:ln>
        <a:effectLst/>
      </c:spPr>
    </c:plotArea>
    <c:legend>
      <c:legendPos val="r"/>
      <c:legendEntry>
        <c:idx val="0"/>
        <c:txPr>
          <a:bodyPr rot="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legendEntry>
      <c:legendEntry>
        <c:idx val="1"/>
        <c:txPr>
          <a:bodyPr rot="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7924213032445111"/>
          <c:y val="0.26865431279096419"/>
          <c:w val="0.18052320502276822"/>
          <c:h val="0.4250488068985685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Sheet1!$G$6</c:f>
              <c:strCache>
                <c:ptCount val="1"/>
                <c:pt idx="0">
                  <c:v>Y_PREDICT</c:v>
                </c:pt>
              </c:strCache>
            </c:strRef>
          </c:tx>
          <c:spPr>
            <a:ln w="19050" cap="rnd">
              <a:noFill/>
              <a:round/>
            </a:ln>
            <a:effectLst/>
          </c:spPr>
          <c:marker>
            <c:symbol val="circle"/>
            <c:size val="5"/>
            <c:spPr>
              <a:solidFill>
                <a:schemeClr val="accent1"/>
              </a:solidFill>
              <a:ln w="9525">
                <a:solidFill>
                  <a:schemeClr val="accent1"/>
                </a:solidFill>
              </a:ln>
              <a:effectLst/>
            </c:spPr>
          </c:marker>
          <c:xVal>
            <c:numRef>
              <c:f>Sheet1!$E$7:$E$122</c:f>
              <c:numCache>
                <c:formatCode>General</c:formatCode>
                <c:ptCount val="116"/>
                <c:pt idx="0">
                  <c:v>-5</c:v>
                </c:pt>
                <c:pt idx="1">
                  <c:v>-4.8</c:v>
                </c:pt>
                <c:pt idx="2">
                  <c:v>-4.5999999999999996</c:v>
                </c:pt>
                <c:pt idx="3">
                  <c:v>-4.3999999999999995</c:v>
                </c:pt>
                <c:pt idx="4">
                  <c:v>-4.1999999999999993</c:v>
                </c:pt>
                <c:pt idx="5">
                  <c:v>-3.9999999999999991</c:v>
                </c:pt>
                <c:pt idx="6">
                  <c:v>-3.7999999999999989</c:v>
                </c:pt>
                <c:pt idx="7">
                  <c:v>-3.5999999999999988</c:v>
                </c:pt>
                <c:pt idx="8">
                  <c:v>-3.3999999999999986</c:v>
                </c:pt>
                <c:pt idx="9">
                  <c:v>-3.1999999999999984</c:v>
                </c:pt>
                <c:pt idx="10">
                  <c:v>-2.9999999999999982</c:v>
                </c:pt>
                <c:pt idx="11">
                  <c:v>-2.799999999999998</c:v>
                </c:pt>
                <c:pt idx="12">
                  <c:v>-2.5999999999999979</c:v>
                </c:pt>
                <c:pt idx="13">
                  <c:v>-2.3999999999999977</c:v>
                </c:pt>
                <c:pt idx="14">
                  <c:v>-2.1999999999999975</c:v>
                </c:pt>
                <c:pt idx="15">
                  <c:v>-1.9999999999999976</c:v>
                </c:pt>
                <c:pt idx="16">
                  <c:v>-1.7999999999999976</c:v>
                </c:pt>
                <c:pt idx="17">
                  <c:v>-1.5999999999999976</c:v>
                </c:pt>
                <c:pt idx="18">
                  <c:v>-1.3999999999999977</c:v>
                </c:pt>
                <c:pt idx="19">
                  <c:v>-1.1999999999999977</c:v>
                </c:pt>
                <c:pt idx="20">
                  <c:v>-0.99999999999999778</c:v>
                </c:pt>
                <c:pt idx="21">
                  <c:v>-0.79999999999999782</c:v>
                </c:pt>
                <c:pt idx="22">
                  <c:v>-0.59999999999999787</c:v>
                </c:pt>
                <c:pt idx="23">
                  <c:v>-0.39999999999999786</c:v>
                </c:pt>
                <c:pt idx="24">
                  <c:v>-0.19999999999999785</c:v>
                </c:pt>
                <c:pt idx="25">
                  <c:v>0</c:v>
                </c:pt>
                <c:pt idx="26">
                  <c:v>0.2</c:v>
                </c:pt>
                <c:pt idx="27">
                  <c:v>0.4</c:v>
                </c:pt>
                <c:pt idx="28">
                  <c:v>0.60000000000000009</c:v>
                </c:pt>
                <c:pt idx="29">
                  <c:v>0.8</c:v>
                </c:pt>
                <c:pt idx="30">
                  <c:v>1</c:v>
                </c:pt>
                <c:pt idx="31">
                  <c:v>1.2</c:v>
                </c:pt>
                <c:pt idx="32">
                  <c:v>1.4</c:v>
                </c:pt>
                <c:pt idx="33">
                  <c:v>1.5999999999999999</c:v>
                </c:pt>
                <c:pt idx="34">
                  <c:v>1.7999999999999998</c:v>
                </c:pt>
                <c:pt idx="35">
                  <c:v>1.9999999999999998</c:v>
                </c:pt>
                <c:pt idx="36">
                  <c:v>2.1999999999999997</c:v>
                </c:pt>
                <c:pt idx="37">
                  <c:v>2.4</c:v>
                </c:pt>
                <c:pt idx="38">
                  <c:v>2.6</c:v>
                </c:pt>
                <c:pt idx="39">
                  <c:v>2.8000000000000003</c:v>
                </c:pt>
                <c:pt idx="40">
                  <c:v>3.0000000000000004</c:v>
                </c:pt>
                <c:pt idx="41">
                  <c:v>3.2000000000000006</c:v>
                </c:pt>
                <c:pt idx="42">
                  <c:v>3.4000000000000008</c:v>
                </c:pt>
                <c:pt idx="43">
                  <c:v>3.600000000000001</c:v>
                </c:pt>
                <c:pt idx="44">
                  <c:v>3.8000000000000012</c:v>
                </c:pt>
                <c:pt idx="45">
                  <c:v>4.0000000000000009</c:v>
                </c:pt>
                <c:pt idx="46">
                  <c:v>4.2000000000000011</c:v>
                </c:pt>
                <c:pt idx="47">
                  <c:v>4.4000000000000012</c:v>
                </c:pt>
                <c:pt idx="48">
                  <c:v>4.6000000000000014</c:v>
                </c:pt>
                <c:pt idx="49">
                  <c:v>4.8000000000000016</c:v>
                </c:pt>
                <c:pt idx="50">
                  <c:v>5.0000000000000018</c:v>
                </c:pt>
                <c:pt idx="51">
                  <c:v>5.200000000000002</c:v>
                </c:pt>
                <c:pt idx="52">
                  <c:v>5.4000000000000021</c:v>
                </c:pt>
                <c:pt idx="53">
                  <c:v>5.6000000000000023</c:v>
                </c:pt>
                <c:pt idx="54">
                  <c:v>5.8000000000000025</c:v>
                </c:pt>
                <c:pt idx="55">
                  <c:v>6.0000000000000027</c:v>
                </c:pt>
                <c:pt idx="56">
                  <c:v>6.2000000000000028</c:v>
                </c:pt>
                <c:pt idx="57">
                  <c:v>6.400000000000003</c:v>
                </c:pt>
                <c:pt idx="58">
                  <c:v>6.6000000000000032</c:v>
                </c:pt>
                <c:pt idx="59">
                  <c:v>6.8000000000000034</c:v>
                </c:pt>
                <c:pt idx="60">
                  <c:v>7.0000000000000036</c:v>
                </c:pt>
                <c:pt idx="61">
                  <c:v>7.2000000000000037</c:v>
                </c:pt>
                <c:pt idx="62">
                  <c:v>7.4000000000000039</c:v>
                </c:pt>
                <c:pt idx="63">
                  <c:v>7.6000000000000041</c:v>
                </c:pt>
                <c:pt idx="64">
                  <c:v>7.8000000000000043</c:v>
                </c:pt>
                <c:pt idx="65">
                  <c:v>8.0000000000000036</c:v>
                </c:pt>
                <c:pt idx="66">
                  <c:v>8.2000000000000028</c:v>
                </c:pt>
                <c:pt idx="67">
                  <c:v>8.4000000000000021</c:v>
                </c:pt>
                <c:pt idx="68">
                  <c:v>8.6000000000000014</c:v>
                </c:pt>
                <c:pt idx="69">
                  <c:v>8.8000000000000007</c:v>
                </c:pt>
                <c:pt idx="70">
                  <c:v>9</c:v>
                </c:pt>
                <c:pt idx="71">
                  <c:v>9.1999999999999993</c:v>
                </c:pt>
                <c:pt idx="72">
                  <c:v>9.3999999999999986</c:v>
                </c:pt>
                <c:pt idx="73">
                  <c:v>9.5999999999999979</c:v>
                </c:pt>
                <c:pt idx="74">
                  <c:v>9.7999999999999972</c:v>
                </c:pt>
                <c:pt idx="75">
                  <c:v>9.9999999999999964</c:v>
                </c:pt>
                <c:pt idx="76">
                  <c:v>10.199999999999996</c:v>
                </c:pt>
                <c:pt idx="77">
                  <c:v>10.399999999999995</c:v>
                </c:pt>
                <c:pt idx="78">
                  <c:v>10.599999999999994</c:v>
                </c:pt>
                <c:pt idx="79">
                  <c:v>10.799999999999994</c:v>
                </c:pt>
                <c:pt idx="80">
                  <c:v>10.999999999999993</c:v>
                </c:pt>
                <c:pt idx="81">
                  <c:v>11.199999999999992</c:v>
                </c:pt>
                <c:pt idx="82">
                  <c:v>11.399999999999991</c:v>
                </c:pt>
                <c:pt idx="83">
                  <c:v>11.599999999999991</c:v>
                </c:pt>
                <c:pt idx="84">
                  <c:v>11.79999999999999</c:v>
                </c:pt>
                <c:pt idx="85">
                  <c:v>11.999999999999989</c:v>
                </c:pt>
                <c:pt idx="86">
                  <c:v>12.199999999999989</c:v>
                </c:pt>
                <c:pt idx="87">
                  <c:v>12.399999999999988</c:v>
                </c:pt>
                <c:pt idx="88">
                  <c:v>12.599999999999987</c:v>
                </c:pt>
                <c:pt idx="89">
                  <c:v>12.799999999999986</c:v>
                </c:pt>
                <c:pt idx="90">
                  <c:v>12.999999999999986</c:v>
                </c:pt>
                <c:pt idx="91">
                  <c:v>13.199999999999985</c:v>
                </c:pt>
                <c:pt idx="92">
                  <c:v>13.399999999999984</c:v>
                </c:pt>
                <c:pt idx="93">
                  <c:v>13.599999999999984</c:v>
                </c:pt>
                <c:pt idx="94">
                  <c:v>13.799999999999983</c:v>
                </c:pt>
                <c:pt idx="95">
                  <c:v>13.999999999999982</c:v>
                </c:pt>
                <c:pt idx="96">
                  <c:v>14.199999999999982</c:v>
                </c:pt>
                <c:pt idx="97">
                  <c:v>14.399999999999981</c:v>
                </c:pt>
                <c:pt idx="98">
                  <c:v>14.59999999999998</c:v>
                </c:pt>
                <c:pt idx="99">
                  <c:v>14.799999999999979</c:v>
                </c:pt>
                <c:pt idx="100">
                  <c:v>14.999999999999979</c:v>
                </c:pt>
                <c:pt idx="101">
                  <c:v>15.199999999999978</c:v>
                </c:pt>
                <c:pt idx="102">
                  <c:v>15.399999999999977</c:v>
                </c:pt>
                <c:pt idx="103">
                  <c:v>15.599999999999977</c:v>
                </c:pt>
                <c:pt idx="104">
                  <c:v>15.799999999999976</c:v>
                </c:pt>
                <c:pt idx="105">
                  <c:v>15.999999999999975</c:v>
                </c:pt>
                <c:pt idx="106">
                  <c:v>16.199999999999974</c:v>
                </c:pt>
                <c:pt idx="107">
                  <c:v>16.399999999999974</c:v>
                </c:pt>
                <c:pt idx="108">
                  <c:v>16.599999999999973</c:v>
                </c:pt>
                <c:pt idx="109">
                  <c:v>16.799999999999972</c:v>
                </c:pt>
                <c:pt idx="110">
                  <c:v>16.999999999999972</c:v>
                </c:pt>
                <c:pt idx="111">
                  <c:v>17.199999999999971</c:v>
                </c:pt>
                <c:pt idx="112">
                  <c:v>17.39999999999997</c:v>
                </c:pt>
                <c:pt idx="113">
                  <c:v>17.599999999999969</c:v>
                </c:pt>
                <c:pt idx="114">
                  <c:v>17.799999999999969</c:v>
                </c:pt>
                <c:pt idx="115">
                  <c:v>17.999999999999968</c:v>
                </c:pt>
              </c:numCache>
            </c:numRef>
          </c:xVal>
          <c:yVal>
            <c:numRef>
              <c:f>Sheet1!$G$7:$G$122</c:f>
              <c:numCache>
                <c:formatCode>General</c:formatCode>
                <c:ptCount val="116"/>
                <c:pt idx="0">
                  <c:v>14.999809362437336</c:v>
                </c:pt>
                <c:pt idx="1">
                  <c:v>16.184734886569274</c:v>
                </c:pt>
                <c:pt idx="2">
                  <c:v>17.276744535946307</c:v>
                </c:pt>
                <c:pt idx="3">
                  <c:v>18.279180242599711</c:v>
                </c:pt>
                <c:pt idx="4">
                  <c:v>19.195334802729775</c:v>
                </c:pt>
                <c:pt idx="5">
                  <c:v>20.028451876705805</c:v>
                </c:pt>
                <c:pt idx="6">
                  <c:v>20.781725989066118</c:v>
                </c:pt>
                <c:pt idx="7">
                  <c:v>21.458302528517983</c:v>
                </c:pt>
                <c:pt idx="8">
                  <c:v>22.061277747937694</c:v>
                </c:pt>
                <c:pt idx="9">
                  <c:v>22.593698764370554</c:v>
                </c:pt>
                <c:pt idx="10">
                  <c:v>23.058563559030862</c:v>
                </c:pt>
                <c:pt idx="11">
                  <c:v>23.458820977301876</c:v>
                </c:pt>
                <c:pt idx="12">
                  <c:v>23.797370728735913</c:v>
                </c:pt>
                <c:pt idx="13">
                  <c:v>24.077063387054249</c:v>
                </c:pt>
                <c:pt idx="14">
                  <c:v>24.300700390147156</c:v>
                </c:pt>
                <c:pt idx="15">
                  <c:v>24.471034040073928</c:v>
                </c:pt>
                <c:pt idx="16">
                  <c:v>24.590767503062857</c:v>
                </c:pt>
                <c:pt idx="17">
                  <c:v>24.662554809511199</c:v>
                </c:pt>
                <c:pt idx="18">
                  <c:v>24.689000853985252</c:v>
                </c:pt>
                <c:pt idx="19">
                  <c:v>24.672661395220281</c:v>
                </c:pt>
                <c:pt idx="20">
                  <c:v>24.616043056120567</c:v>
                </c:pt>
                <c:pt idx="21">
                  <c:v>24.521603323759386</c:v>
                </c:pt>
                <c:pt idx="22">
                  <c:v>24.391750549378997</c:v>
                </c:pt>
                <c:pt idx="23">
                  <c:v>24.22884394839069</c:v>
                </c:pt>
                <c:pt idx="24">
                  <c:v>24.035193600374718</c:v>
                </c:pt>
                <c:pt idx="25">
                  <c:v>23.813060449080368</c:v>
                </c:pt>
                <c:pt idx="26">
                  <c:v>23.564656302425885</c:v>
                </c:pt>
                <c:pt idx="27">
                  <c:v>23.292143832498546</c:v>
                </c:pt>
                <c:pt idx="28">
                  <c:v>22.997636575554608</c:v>
                </c:pt>
                <c:pt idx="29">
                  <c:v>22.683198932019344</c:v>
                </c:pt>
                <c:pt idx="30">
                  <c:v>22.350846166487003</c:v>
                </c:pt>
                <c:pt idx="31">
                  <c:v>22.002544407720848</c:v>
                </c:pt>
                <c:pt idx="32">
                  <c:v>21.640210648653138</c:v>
                </c:pt>
                <c:pt idx="33">
                  <c:v>21.265712746385127</c:v>
                </c:pt>
                <c:pt idx="34">
                  <c:v>20.880869422187075</c:v>
                </c:pt>
                <c:pt idx="35">
                  <c:v>20.487450261498225</c:v>
                </c:pt>
                <c:pt idx="36">
                  <c:v>20.087175713926833</c:v>
                </c:pt>
                <c:pt idx="37">
                  <c:v>19.681717093250157</c:v>
                </c:pt>
                <c:pt idx="38">
                  <c:v>19.272696577414436</c:v>
                </c:pt>
                <c:pt idx="39">
                  <c:v>18.861687208534921</c:v>
                </c:pt>
                <c:pt idx="40">
                  <c:v>18.450212892895856</c:v>
                </c:pt>
                <c:pt idx="41">
                  <c:v>18.039748400950486</c:v>
                </c:pt>
                <c:pt idx="42">
                  <c:v>17.631719367321057</c:v>
                </c:pt>
                <c:pt idx="43">
                  <c:v>17.227502290798803</c:v>
                </c:pt>
                <c:pt idx="44">
                  <c:v>16.82842453434397</c:v>
                </c:pt>
                <c:pt idx="45">
                  <c:v>16.435764325085792</c:v>
                </c:pt>
                <c:pt idx="46">
                  <c:v>16.050750754322511</c:v>
                </c:pt>
                <c:pt idx="47">
                  <c:v>15.674563777521358</c:v>
                </c:pt>
                <c:pt idx="48">
                  <c:v>15.30833421431857</c:v>
                </c:pt>
                <c:pt idx="49">
                  <c:v>14.953143748519375</c:v>
                </c:pt>
                <c:pt idx="50">
                  <c:v>14.610024928098007</c:v>
                </c:pt>
                <c:pt idx="51">
                  <c:v>14.279961165197696</c:v>
                </c:pt>
                <c:pt idx="52">
                  <c:v>13.963886736130668</c:v>
                </c:pt>
                <c:pt idx="53">
                  <c:v>13.662686781378149</c:v>
                </c:pt>
                <c:pt idx="54">
                  <c:v>13.377197305590366</c:v>
                </c:pt>
                <c:pt idx="55">
                  <c:v>13.108205177586541</c:v>
                </c:pt>
                <c:pt idx="56">
                  <c:v>12.856448130354895</c:v>
                </c:pt>
                <c:pt idx="57">
                  <c:v>12.622614761052652</c:v>
                </c:pt>
                <c:pt idx="58">
                  <c:v>12.407344531006029</c:v>
                </c:pt>
                <c:pt idx="59">
                  <c:v>12.211227765710243</c:v>
                </c:pt>
                <c:pt idx="60">
                  <c:v>12.03480565482951</c:v>
                </c:pt>
                <c:pt idx="61">
                  <c:v>11.878570252197045</c:v>
                </c:pt>
                <c:pt idx="62">
                  <c:v>11.742964475815061</c:v>
                </c:pt>
                <c:pt idx="63">
                  <c:v>11.628382107854769</c:v>
                </c:pt>
                <c:pt idx="64">
                  <c:v>11.535167794656381</c:v>
                </c:pt>
                <c:pt idx="65">
                  <c:v>11.463617046729103</c:v>
                </c:pt>
                <c:pt idx="66">
                  <c:v>11.413976238751145</c:v>
                </c:pt>
                <c:pt idx="67">
                  <c:v>11.386442609569711</c:v>
                </c:pt>
                <c:pt idx="68">
                  <c:v>11.381164262201004</c:v>
                </c:pt>
                <c:pt idx="69">
                  <c:v>11.398240163830227</c:v>
                </c:pt>
                <c:pt idx="70">
                  <c:v>11.437720145811584</c:v>
                </c:pt>
                <c:pt idx="71">
                  <c:v>11.499604903668272</c:v>
                </c:pt>
                <c:pt idx="72">
                  <c:v>11.583845997092489</c:v>
                </c:pt>
                <c:pt idx="73">
                  <c:v>11.690345849945434</c:v>
                </c:pt>
                <c:pt idx="74">
                  <c:v>11.818957750257301</c:v>
                </c:pt>
                <c:pt idx="75">
                  <c:v>11.969485850227283</c:v>
                </c:pt>
                <c:pt idx="76">
                  <c:v>12.141685166223574</c:v>
                </c:pt>
                <c:pt idx="77">
                  <c:v>12.335261578783363</c:v>
                </c:pt>
                <c:pt idx="78">
                  <c:v>12.54987183261284</c:v>
                </c:pt>
                <c:pt idx="79">
                  <c:v>12.785123536587195</c:v>
                </c:pt>
                <c:pt idx="80">
                  <c:v>13.04057516375061</c:v>
                </c:pt>
                <c:pt idx="81">
                  <c:v>13.315736051316275</c:v>
                </c:pt>
                <c:pt idx="82">
                  <c:v>13.610066400666369</c:v>
                </c:pt>
                <c:pt idx="83">
                  <c:v>13.922977277352077</c:v>
                </c:pt>
                <c:pt idx="84">
                  <c:v>14.253830611093576</c:v>
                </c:pt>
                <c:pt idx="85">
                  <c:v>14.60193919578005</c:v>
                </c:pt>
                <c:pt idx="86">
                  <c:v>14.966566689469673</c:v>
                </c:pt>
                <c:pt idx="87">
                  <c:v>15.346927614389621</c:v>
                </c:pt>
                <c:pt idx="88">
                  <c:v>15.74218735693607</c:v>
                </c:pt>
                <c:pt idx="89">
                  <c:v>16.15146216767419</c:v>
                </c:pt>
                <c:pt idx="90">
                  <c:v>16.573819161338157</c:v>
                </c:pt>
                <c:pt idx="91">
                  <c:v>17.008276316831139</c:v>
                </c:pt>
                <c:pt idx="92">
                  <c:v>17.453802477225302</c:v>
                </c:pt>
                <c:pt idx="93">
                  <c:v>17.909317349761821</c:v>
                </c:pt>
                <c:pt idx="94">
                  <c:v>18.37369150585085</c:v>
                </c:pt>
                <c:pt idx="95">
                  <c:v>18.845746381071564</c:v>
                </c:pt>
                <c:pt idx="96">
                  <c:v>19.324254275172123</c:v>
                </c:pt>
                <c:pt idx="97">
                  <c:v>19.80793835206968</c:v>
                </c:pt>
                <c:pt idx="98">
                  <c:v>20.295472639850406</c:v>
                </c:pt>
                <c:pt idx="99">
                  <c:v>20.785482030769455</c:v>
                </c:pt>
                <c:pt idx="100">
                  <c:v>21.276542281250975</c:v>
                </c:pt>
                <c:pt idx="101">
                  <c:v>21.767180011888136</c:v>
                </c:pt>
                <c:pt idx="102">
                  <c:v>22.255872707443082</c:v>
                </c:pt>
                <c:pt idx="103">
                  <c:v>22.741048716846976</c:v>
                </c:pt>
                <c:pt idx="104">
                  <c:v>23.221087253199954</c:v>
                </c:pt>
                <c:pt idx="105">
                  <c:v>23.694318393771173</c:v>
                </c:pt>
                <c:pt idx="106">
                  <c:v>24.159023079998782</c:v>
                </c:pt>
                <c:pt idx="107">
                  <c:v>24.613433117489926</c:v>
                </c:pt>
                <c:pt idx="108">
                  <c:v>25.055731176020743</c:v>
                </c:pt>
                <c:pt idx="109">
                  <c:v>25.48405078953639</c:v>
                </c:pt>
                <c:pt idx="110">
                  <c:v>25.896476356150998</c:v>
                </c:pt>
                <c:pt idx="111">
                  <c:v>26.291043138147717</c:v>
                </c:pt>
                <c:pt idx="112">
                  <c:v>26.665737261978677</c:v>
                </c:pt>
                <c:pt idx="113">
                  <c:v>27.018495718265022</c:v>
                </c:pt>
                <c:pt idx="114">
                  <c:v>27.347206361796879</c:v>
                </c:pt>
                <c:pt idx="115">
                  <c:v>27.649707911533387</c:v>
                </c:pt>
              </c:numCache>
            </c:numRef>
          </c:yVal>
          <c:smooth val="0"/>
          <c:extLst>
            <c:ext xmlns:c16="http://schemas.microsoft.com/office/drawing/2014/chart" uri="{C3380CC4-5D6E-409C-BE32-E72D297353CC}">
              <c16:uniqueId val="{00000000-48FA-4E4F-BB54-F392D460B503}"/>
            </c:ext>
          </c:extLst>
        </c:ser>
        <c:dLbls>
          <c:showLegendKey val="0"/>
          <c:showVal val="0"/>
          <c:showCatName val="0"/>
          <c:showSerName val="0"/>
          <c:showPercent val="0"/>
          <c:showBubbleSize val="0"/>
        </c:dLbls>
        <c:axId val="1384764816"/>
        <c:axId val="1384763856"/>
      </c:scatterChart>
      <c:valAx>
        <c:axId val="138476481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4763856"/>
        <c:crosses val="autoZero"/>
        <c:crossBetween val="midCat"/>
      </c:valAx>
      <c:valAx>
        <c:axId val="13847638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476481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0</xdr:colOff>
      <xdr:row>6</xdr:row>
      <xdr:rowOff>5234</xdr:rowOff>
    </xdr:from>
    <xdr:to>
      <xdr:col>8</xdr:col>
      <xdr:colOff>600364</xdr:colOff>
      <xdr:row>7</xdr:row>
      <xdr:rowOff>346363</xdr:rowOff>
    </xdr:to>
    <xdr:sp macro="[0]!RunModelTraining_Click" textlink="">
      <xdr:nvSpPr>
        <xdr:cNvPr id="2" name="RunModelTraining">
          <a:extLst>
            <a:ext uri="{FF2B5EF4-FFF2-40B4-BE49-F238E27FC236}">
              <a16:creationId xmlns:a16="http://schemas.microsoft.com/office/drawing/2014/main" id="{15A47D35-A5A6-4663-FFCB-0ED5DD022A03}"/>
            </a:ext>
          </a:extLst>
        </xdr:cNvPr>
        <xdr:cNvSpPr/>
      </xdr:nvSpPr>
      <xdr:spPr>
        <a:xfrm>
          <a:off x="7004242" y="1667779"/>
          <a:ext cx="2555395" cy="525857"/>
        </a:xfrm>
        <a:prstGeom prst="roundRect">
          <a:avLst/>
        </a:prstGeom>
        <a:solidFill>
          <a:schemeClr val="tx2">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t>Click to Run the Model Training</a:t>
          </a:r>
        </a:p>
      </xdr:txBody>
    </xdr:sp>
    <xdr:clientData/>
  </xdr:twoCellAnchor>
  <xdr:twoCellAnchor>
    <xdr:from>
      <xdr:col>9</xdr:col>
      <xdr:colOff>46192</xdr:colOff>
      <xdr:row>5</xdr:row>
      <xdr:rowOff>53877</xdr:rowOff>
    </xdr:from>
    <xdr:to>
      <xdr:col>17</xdr:col>
      <xdr:colOff>815889</xdr:colOff>
      <xdr:row>14</xdr:row>
      <xdr:rowOff>69272</xdr:rowOff>
    </xdr:to>
    <xdr:graphicFrame macro="">
      <xdr:nvGraphicFramePr>
        <xdr:cNvPr id="3" name="Chart 2">
          <a:extLst>
            <a:ext uri="{FF2B5EF4-FFF2-40B4-BE49-F238E27FC236}">
              <a16:creationId xmlns:a16="http://schemas.microsoft.com/office/drawing/2014/main" id="{29A77F2F-8E41-7893-E92A-059575776D8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7</xdr:col>
      <xdr:colOff>569843</xdr:colOff>
      <xdr:row>105</xdr:row>
      <xdr:rowOff>102704</xdr:rowOff>
    </xdr:from>
    <xdr:to>
      <xdr:col>15</xdr:col>
      <xdr:colOff>265043</xdr:colOff>
      <xdr:row>120</xdr:row>
      <xdr:rowOff>62948</xdr:rowOff>
    </xdr:to>
    <xdr:graphicFrame macro="">
      <xdr:nvGraphicFramePr>
        <xdr:cNvPr id="3" name="Chart 2">
          <a:extLst>
            <a:ext uri="{FF2B5EF4-FFF2-40B4-BE49-F238E27FC236}">
              <a16:creationId xmlns:a16="http://schemas.microsoft.com/office/drawing/2014/main" id="{3131DBB0-EDA6-DD5A-07E2-563047FE766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D132296-36AF-4476-9A0A-B7A6AAADBAE6}" name="ActualData" displayName="ActualData" ref="A9:D38" totalsRowShown="0" headerRowDxfId="35">
  <autoFilter ref="A9:D38" xr:uid="{BD132296-36AF-4476-9A0A-B7A6AAADBAE6}"/>
  <tableColumns count="4">
    <tableColumn id="1" xr3:uid="{D62213BC-F832-4FD8-B1A5-38BAB3142B39}" name="x"/>
    <tableColumn id="2" xr3:uid="{5D592A57-D328-44CA-AA30-847138F47650}" name="y"/>
    <tableColumn id="3" xr3:uid="{E1CF41B1-29CB-49E6-83BD-C99248CA748D}" name="x_input" dataDxfId="34">
      <calculatedColumnFormula>ActualData[[#This Row],[x_scaled]]</calculatedColumnFormula>
    </tableColumn>
    <tableColumn id="4" xr3:uid="{52F6BAAF-FF31-4D7E-9AED-BDCBA138D5D0}" name="x_scaled" dataDxfId="33">
      <calculatedColumnFormula>(ActualData[[#This Row],[x]] - AVG_X) / STD_X</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AB15460-8792-4E29-BF8A-64FA1131A685}" name="Engine_step_iesimo" displayName="Engine_step_iesimo" ref="T9:AD38" totalsRowShown="0" headerRowDxfId="32" headerRowBorderDxfId="31">
  <autoFilter ref="T9:AD38" xr:uid="{FAB15460-8792-4E29-BF8A-64FA1131A685}"/>
  <tableColumns count="11">
    <tableColumn id="1" xr3:uid="{0D5751AE-E458-418E-9551-D4EDF686F249}" name="y_hat " dataDxfId="30">
      <calculatedColumnFormula>current_a * ActualData[[#This Row],[x_input]]^4 + current_b * ActualData[[#This Row],[x_input]]^3 + current_c * ActualData[[#This Row],[x_input]]^2  + current_d * ActualData[[#This Row],[x_input]] + current_e</calculatedColumnFormula>
    </tableColumn>
    <tableColumn id="2" xr3:uid="{0CE26157-7A37-4115-9F10-12BFEE08BF90}" name="Err" dataDxfId="29">
      <calculatedColumnFormula>(Engine_step_iesimo[[#This Row],[y_hat ]] - ActualData[[#This Row],[y]])</calculatedColumnFormula>
    </tableColumn>
    <tableColumn id="3" xr3:uid="{F397CE1D-8BC7-413D-A2E5-9F03F2D7C322}" name="Grad_a" dataDxfId="28">
      <calculatedColumnFormula xml:space="preserve"> 2 * Engine_step_iesimo[[#This Row],[Err]] * ActualData[[#This Row],[x_input]]^4</calculatedColumnFormula>
    </tableColumn>
    <tableColumn id="5" xr3:uid="{13A8F328-5387-4F10-8F77-89646D3FCE69}" name="Grad_b" dataDxfId="27">
      <calculatedColumnFormula xml:space="preserve"> 2 * Engine_step_iesimo[[#This Row],[Err]] * ActualData[[#This Row],[x_input]]^3</calculatedColumnFormula>
    </tableColumn>
    <tableColumn id="7" xr3:uid="{C1690BD4-AC24-4571-9CFB-CB6ECB246E7D}" name="Grad_c" dataDxfId="26">
      <calculatedColumnFormula xml:space="preserve"> 2 * Engine_step_iesimo[[#This Row],[Err]] * ActualData[[#This Row],[x_input]]^2</calculatedColumnFormula>
    </tableColumn>
    <tableColumn id="4" xr3:uid="{05EA6903-B714-4BB5-90B4-72195EB31547}" name="Grad_d" dataDxfId="25">
      <calculatedColumnFormula xml:space="preserve"> 2 * Engine_step_iesimo[[#This Row],[Err]] * ActualData[[#This Row],[x_input]]</calculatedColumnFormula>
    </tableColumn>
    <tableColumn id="9" xr3:uid="{BAD02683-15AD-4952-B083-F5986665CAE1}" name="Grad_e" dataDxfId="24">
      <calculatedColumnFormula xml:space="preserve"> 2 * Engine_step_iesimo[[#This Row],[Err]]</calculatedColumnFormula>
    </tableColumn>
    <tableColumn id="11" xr3:uid="{50FC584C-4299-49DB-82CB-4A22E0917588}" name="Squared Error" dataDxfId="23">
      <calculatedColumnFormula>Engine_step_iesimo[[#This Row],[Err]] ^ 2</calculatedColumnFormula>
    </tableColumn>
    <tableColumn id="12" xr3:uid="{88E02070-31B4-4612-BCB3-E52D2FF00D22}" name="x" dataDxfId="22">
      <calculatedColumnFormula>ActualData[[#This Row],[x_input]]</calculatedColumnFormula>
    </tableColumn>
    <tableColumn id="13" xr3:uid="{A2316DBE-8E2E-4655-A26A-3840F9623542}" name="y_prediction" dataDxfId="21">
      <calculatedColumnFormula>current_a * ActualData[[#This Row],[x_input]]^4 + current_b * ActualData[[#This Row],[x_input]]^3 + current_c * ActualData[[#This Row],[x_input]]^2 + current_d * ActualData[[#This Row],[x_input]] + current_e</calculatedColumnFormula>
    </tableColumn>
    <tableColumn id="8" xr3:uid="{1A7EE773-E18F-44C2-8199-B1CFB3FF6F87}" name="ABS_ERR" dataDxfId="20">
      <calculatedColumnFormula>ABS(Engine_step_iesimo[[#This Row],[Err]])</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3366C39-A3F8-49DF-8B84-07C0E6709211}" name="Iterations" displayName="Iterations" ref="F16:R1571" totalsRowShown="0" headerRowDxfId="19" dataDxfId="18">
  <autoFilter ref="F16:R1571" xr:uid="{D3366C39-A3F8-49DF-8B84-07C0E6709211}"/>
  <tableColumns count="13">
    <tableColumn id="1" xr3:uid="{5EE8C242-C53C-4871-AA91-46CACE21CDC4}" name="Step" dataDxfId="17"/>
    <tableColumn id="2" xr3:uid="{BF233739-212F-4A1D-9378-53701B16FF9C}" name="a" dataDxfId="16">
      <calculatedColumnFormula>IF(Iterations[[#This Row],[Step]] =current_step, current_a,IF(Iterations[[#This Row],[Step]] &gt; current_step, "",Iterations[[#This Row],[a]]))</calculatedColumnFormula>
    </tableColumn>
    <tableColumn id="3" xr3:uid="{88CEC90A-F9B6-4A7F-8A63-BCBF0E51DF3E}" name="b" dataDxfId="15">
      <calculatedColumnFormula>IF(Iterations[[#This Row],[Step]] =current_step, current_b,IF(Iterations[[#This Row],[Step]] &gt; current_step, "",Iterations[[#This Row],[b]]))</calculatedColumnFormula>
    </tableColumn>
    <tableColumn id="4" xr3:uid="{1416F86A-95DC-4446-866A-40C61205C7D1}" name="c" dataDxfId="14">
      <calculatedColumnFormula>IF(Iterations[[#This Row],[Step]] =current_step, current_c,IF(Iterations[[#This Row],[Step]] &gt; current_step, "",Iterations[[#This Row],[c]]))</calculatedColumnFormula>
    </tableColumn>
    <tableColumn id="5" xr3:uid="{2F6BD9E8-41FF-44CB-AE77-932361BDD6FE}" name="d" dataDxfId="13">
      <calculatedColumnFormula>IF(Iterations[[#This Row],[Step]] =current_step, current_d,IF(Iterations[[#This Row],[Step]] &gt; current_step, "",Iterations[[#This Row],[d]]))</calculatedColumnFormula>
    </tableColumn>
    <tableColumn id="6" xr3:uid="{6F17D359-3D8B-41AE-A073-17DE954BF3E9}" name="e" dataDxfId="12">
      <calculatedColumnFormula>IF(Iterations[[#This Row],[Step]] =current_step, current_e,IF(Iterations[[#This Row],[Step]] &gt; current_step, "",Iterations[[#This Row],[e]]))</calculatedColumnFormula>
    </tableColumn>
    <tableColumn id="11" xr3:uid="{4E1F8903-8A17-4241-AA51-D85151322ABB}" name="Total Loss" dataDxfId="11" dataCellStyle="Accent5">
      <calculatedColumnFormula>IF(Iterations[[#This Row],[Step]] =current_step, current_Total_Loss,IF(Iterations[[#This Row],[Step]] &gt; current_step, "",Iterations[[#This Row],[Total Loss]]))</calculatedColumnFormula>
    </tableColumn>
    <tableColumn id="7" xr3:uid="{069E4C80-DFE9-40CF-8E13-BF3176CA6F13}" name="&gt;&gt;&gt;&gt;&gt;&gt;2" dataDxfId="10">
      <calculatedColumnFormula>IF(Iterations[[#This Row],[Step]] =current_step, current_Grad_a,IF(Iterations[[#This Row],[Step]] &gt; current_step, "",Iterations[[#This Row],[&gt;&gt;&gt;&gt;&gt;&gt;2]]))</calculatedColumnFormula>
    </tableColumn>
    <tableColumn id="8" xr3:uid="{F555397E-503A-4680-9908-81A649761090}" name="Grad_a" dataDxfId="9">
      <calculatedColumnFormula>IF(Iterations[[#This Row],[Step]] =current_step, current_Grad_a,IF(Iterations[[#This Row],[Step]] &gt; current_step, "",Iterations[[#This Row],[Grad_a]]))</calculatedColumnFormula>
    </tableColumn>
    <tableColumn id="9" xr3:uid="{3B2BE400-5B5C-4EA3-A2CF-6445435E2EBF}" name="Grad_b" dataDxfId="8">
      <calculatedColumnFormula>IF(Iterations[[#This Row],[Step]] =current_step, current_Grad_b,IF(Iterations[[#This Row],[Step]] &gt; current_step, "",Iterations[[#This Row],[Grad_b]]))</calculatedColumnFormula>
    </tableColumn>
    <tableColumn id="10" xr3:uid="{42713319-2F90-4C3A-9635-E792697EF775}" name="Grad_c" dataDxfId="7">
      <calculatedColumnFormula>IF(Iterations[[#This Row],[Step]] =current_step, current_Grad_c,IF(Iterations[[#This Row],[Step]] &gt; current_step, "",Iterations[[#This Row],[Grad_c]]))</calculatedColumnFormula>
    </tableColumn>
    <tableColumn id="12" xr3:uid="{2511E303-5C66-4CF3-B7D7-726C69A3B4C8}" name="Grad_d" dataDxfId="6">
      <calculatedColumnFormula>IF(Iterations[[#This Row],[Step]] =current_step, current_Grad_d,IF(Iterations[[#This Row],[Step]] &gt; current_step, "",Iterations[[#This Row],[Grad_d]]))</calculatedColumnFormula>
    </tableColumn>
    <tableColumn id="13" xr3:uid="{577F98D9-2A88-4F47-B6F9-78C8EE73AD3C}" name="Grad_e" dataDxfId="5">
      <calculatedColumnFormula>IF(Iterations[[#This Row],[Step]] =current_step, current_Grad_e,IF(Iterations[[#This Row],[Step]] &gt; current_step, "",Iterations[[#This Row],[Grad_e]]))</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4D36D4C-FED9-4AAC-BE76-2755101AE72A}" name="LR_Schedule" displayName="LR_Schedule" ref="T1:V5" totalsRowShown="0" headerRowDxfId="4" dataDxfId="3">
  <autoFilter ref="T1:V5" xr:uid="{04D36D4C-FED9-4AAC-BE76-2755101AE72A}"/>
  <tableColumns count="3">
    <tableColumn id="1" xr3:uid="{7AFB3FAE-53F5-4FE9-A73D-DBA1C1929008}" name="FromStep" dataDxfId="2"/>
    <tableColumn id="2" xr3:uid="{8B63D697-F606-4698-8CD2-05A98B6CCE71}" name="ToStep" dataDxfId="1"/>
    <tableColumn id="3" xr3:uid="{19560DAB-E6FB-4747-A545-9ED79D111D4A}" name="LR"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3.xml"/><Relationship Id="rId5" Type="http://schemas.openxmlformats.org/officeDocument/2006/relationships/table" Target="../tables/table2.xml"/><Relationship Id="rId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7DDF1-E6A5-4A6B-BA45-ADAC93267E1F}">
  <sheetPr codeName="Sheet3"/>
  <dimension ref="A1:AG1571"/>
  <sheetViews>
    <sheetView tabSelected="1" zoomScaleNormal="100" workbookViewId="0">
      <selection activeCell="F6" sqref="F6"/>
    </sheetView>
  </sheetViews>
  <sheetFormatPr defaultRowHeight="14.4" x14ac:dyDescent="0.3"/>
  <cols>
    <col min="1" max="1" width="11.6640625" customWidth="1"/>
    <col min="2" max="2" width="11.33203125" customWidth="1"/>
    <col min="3" max="3" width="21.44140625" customWidth="1"/>
    <col min="4" max="4" width="11.5546875" customWidth="1"/>
    <col min="5" max="5" width="8.5546875" style="21" customWidth="1"/>
    <col min="6" max="6" width="10.44140625" customWidth="1"/>
    <col min="7" max="7" width="10.77734375" customWidth="1"/>
    <col min="8" max="8" width="13.44140625" customWidth="1"/>
    <col min="11" max="11" width="11.44140625" bestFit="1" customWidth="1"/>
    <col min="12" max="12" width="15.44140625" customWidth="1"/>
    <col min="13" max="13" width="10" customWidth="1"/>
    <col min="14" max="14" width="14.21875" customWidth="1"/>
    <col min="15" max="15" width="14.77734375" customWidth="1"/>
    <col min="16" max="18" width="13.88671875" customWidth="1"/>
    <col min="19" max="19" width="8.5546875" style="21" customWidth="1"/>
    <col min="20" max="20" width="11.33203125" customWidth="1"/>
    <col min="21" max="21" width="15.88671875" bestFit="1" customWidth="1"/>
    <col min="22" max="22" width="22.44140625" customWidth="1"/>
    <col min="23" max="23" width="25.77734375" customWidth="1"/>
    <col min="24" max="24" width="20.5546875" bestFit="1" customWidth="1"/>
    <col min="25" max="25" width="18" bestFit="1" customWidth="1"/>
    <col min="26" max="26" width="14.77734375" bestFit="1" customWidth="1"/>
    <col min="27" max="27" width="17.21875" bestFit="1" customWidth="1"/>
    <col min="28" max="29" width="16.109375" bestFit="1" customWidth="1"/>
    <col min="30" max="30" width="16.109375" customWidth="1"/>
    <col min="31" max="31" width="8.5546875" style="21" customWidth="1"/>
  </cols>
  <sheetData>
    <row r="1" spans="1:33" ht="24.6" thickTop="1" thickBot="1" x14ac:dyDescent="0.5">
      <c r="E1" s="19"/>
      <c r="F1" s="15" t="s">
        <v>39</v>
      </c>
      <c r="G1" s="14">
        <v>0.1</v>
      </c>
      <c r="H1" s="15" t="s">
        <v>40</v>
      </c>
      <c r="I1" s="14">
        <v>0.1</v>
      </c>
      <c r="J1" s="15" t="s">
        <v>41</v>
      </c>
      <c r="K1" s="14">
        <v>0.1</v>
      </c>
      <c r="L1" s="15" t="s">
        <v>42</v>
      </c>
      <c r="M1" s="14">
        <v>0.1</v>
      </c>
      <c r="N1" s="15" t="s">
        <v>38</v>
      </c>
      <c r="O1" s="14">
        <v>18</v>
      </c>
      <c r="S1" s="19"/>
      <c r="T1" s="4" t="s">
        <v>35</v>
      </c>
      <c r="U1" s="4" t="s">
        <v>36</v>
      </c>
      <c r="V1" s="4" t="s">
        <v>34</v>
      </c>
      <c r="AE1" s="19"/>
      <c r="AF1" s="15"/>
      <c r="AG1" s="15"/>
    </row>
    <row r="2" spans="1:33" ht="28.8" thickTop="1" x14ac:dyDescent="0.5">
      <c r="E2" s="20"/>
      <c r="F2" s="3" t="s">
        <v>55</v>
      </c>
      <c r="G2" s="3" t="s">
        <v>60</v>
      </c>
      <c r="H2" s="3" t="s">
        <v>9</v>
      </c>
      <c r="I2" s="3" t="s">
        <v>61</v>
      </c>
      <c r="J2" s="3" t="s">
        <v>9</v>
      </c>
      <c r="K2" s="3" t="s">
        <v>62</v>
      </c>
      <c r="L2" s="3" t="s">
        <v>9</v>
      </c>
      <c r="M2" s="13" t="s">
        <v>63</v>
      </c>
      <c r="N2" s="3" t="s">
        <v>9</v>
      </c>
      <c r="O2" s="27" t="s">
        <v>43</v>
      </c>
      <c r="S2" s="20"/>
      <c r="T2" s="1">
        <v>0</v>
      </c>
      <c r="U2" s="1">
        <v>100</v>
      </c>
      <c r="V2" s="1">
        <v>0.05</v>
      </c>
      <c r="AE2" s="20"/>
    </row>
    <row r="3" spans="1:33" ht="19.8" customHeight="1" thickBot="1" x14ac:dyDescent="0.35">
      <c r="D3" s="16"/>
      <c r="E3" s="19"/>
      <c r="F3" s="3"/>
      <c r="G3" s="3"/>
      <c r="H3" s="3"/>
      <c r="I3" s="3"/>
      <c r="J3" s="3"/>
      <c r="K3" s="3"/>
      <c r="L3" s="3"/>
      <c r="M3" s="3"/>
      <c r="S3" s="19"/>
      <c r="T3" s="1">
        <v>101</v>
      </c>
      <c r="U3" s="1">
        <v>200</v>
      </c>
      <c r="V3" s="1">
        <v>0.05</v>
      </c>
      <c r="AE3" s="19"/>
    </row>
    <row r="4" spans="1:33" ht="37.200000000000003" customHeight="1" thickTop="1" thickBot="1" x14ac:dyDescent="0.5">
      <c r="A4" s="15"/>
      <c r="B4" s="15" t="s">
        <v>54</v>
      </c>
      <c r="C4" s="18"/>
      <c r="D4" s="18"/>
      <c r="E4" s="19"/>
      <c r="F4" s="5" t="s">
        <v>16</v>
      </c>
      <c r="G4" s="5" t="s">
        <v>17</v>
      </c>
      <c r="H4" s="5" t="s">
        <v>22</v>
      </c>
      <c r="I4" s="5" t="s">
        <v>23</v>
      </c>
      <c r="J4" s="5" t="s">
        <v>24</v>
      </c>
      <c r="K4" s="5" t="s">
        <v>44</v>
      </c>
      <c r="L4" s="29" t="s">
        <v>21</v>
      </c>
      <c r="M4" s="7" t="s">
        <v>27</v>
      </c>
      <c r="N4" s="5" t="s">
        <v>28</v>
      </c>
      <c r="O4" s="5" t="s">
        <v>29</v>
      </c>
      <c r="P4" s="5" t="s">
        <v>30</v>
      </c>
      <c r="Q4" s="5" t="s">
        <v>31</v>
      </c>
      <c r="R4" s="5" t="s">
        <v>48</v>
      </c>
      <c r="S4" s="19"/>
      <c r="T4" s="1">
        <v>201</v>
      </c>
      <c r="U4" s="1">
        <v>350</v>
      </c>
      <c r="V4" s="1">
        <v>0.1</v>
      </c>
      <c r="AE4" s="19"/>
    </row>
    <row r="5" spans="1:33" ht="18.600000000000001" thickTop="1" thickBot="1" x14ac:dyDescent="0.35">
      <c r="B5" s="8"/>
      <c r="E5" s="19"/>
      <c r="F5" s="3">
        <v>0</v>
      </c>
      <c r="G5" s="3" cm="1">
        <f t="array" ref="G5">IF(current_step = 0, initial_a, INDEX(Iterations[a],current_step) - _xlfn.XLOOKUP(current_step, LR_Schedule[FromStep], LR_Schedule[LR], , -1) * INDEX(Iterations[Grad_a],current_step))</f>
        <v>0.1</v>
      </c>
      <c r="H5" s="3" cm="1">
        <f t="array" ref="H5">IF(current_step = 0, initial_b, INDEX(Iterations[b],current_step) - _xlfn.XLOOKUP(current_step, LR_Schedule[FromStep], LR_Schedule[LR], , -1) * INDEX(Iterations[Grad_b],current_step))</f>
        <v>0.1</v>
      </c>
      <c r="I5" s="3" cm="1">
        <f t="array" ref="I5">IF(current_step = 0, initial_c, INDEX(Iterations[c],current_step) - _xlfn.XLOOKUP(current_step, LR_Schedule[FromStep], LR_Schedule[LR], , -1) * INDEX(Iterations[Grad_c],current_step))</f>
        <v>0.1</v>
      </c>
      <c r="J5" s="3" cm="1">
        <f t="array" ref="J5">IF(current_step = 0, initial_d, INDEX(Iterations[d],current_step) - _xlfn.XLOOKUP(current_step, LR_Schedule[FromStep], LR_Schedule[LR], , -1) * INDEX(Iterations[Grad_d],current_step))</f>
        <v>0.1</v>
      </c>
      <c r="K5" s="3" cm="1">
        <f t="array" ref="K5">IF(current_step = 0, initial_e, INDEX(Iterations[e],current_step) - _xlfn.XLOOKUP(current_step, LR_Schedule[FromStep], LR_Schedule[LR], , -1) * INDEX(Iterations[Grad_e],current_step))</f>
        <v>18</v>
      </c>
      <c r="L5" s="28">
        <f>ROUND(SUM(Engine_step_iesimo[Squared Error]), 2)</f>
        <v>1303.81</v>
      </c>
      <c r="M5" s="7" t="s">
        <v>27</v>
      </c>
      <c r="N5" s="3">
        <f>AVERAGE(Engine_step_iesimo[Grad_a])</f>
        <v>14.38544075329289</v>
      </c>
      <c r="O5" s="3">
        <f>AVERAGE(Engine_step_iesimo[Grad_b])</f>
        <v>-15.44525139094141</v>
      </c>
      <c r="P5" s="3">
        <f>AVERAGE(Engine_step_iesimo[Grad_c])</f>
        <v>4.4395267293772935</v>
      </c>
      <c r="Q5" s="3">
        <f>AVERAGE(Engine_step_iesimo[Grad_d])</f>
        <v>-7.8793100191701804</v>
      </c>
      <c r="R5" s="3">
        <f>AVERAGE(Engine_step_iesimo[Grad_e])</f>
        <v>0.13829302909047644</v>
      </c>
      <c r="S5" s="19"/>
      <c r="T5" s="1">
        <v>351</v>
      </c>
      <c r="U5" s="1">
        <v>10000</v>
      </c>
      <c r="V5" s="1">
        <v>0.2</v>
      </c>
      <c r="AE5" s="19"/>
    </row>
    <row r="6" spans="1:33" ht="15" thickTop="1" x14ac:dyDescent="0.3">
      <c r="A6" s="9">
        <f>AVERAGE(ActualData[x])</f>
        <v>8.7931034482758612</v>
      </c>
      <c r="B6" s="8" t="s">
        <v>51</v>
      </c>
      <c r="E6" s="19"/>
      <c r="F6" s="3"/>
      <c r="G6" s="3"/>
      <c r="H6" s="3"/>
      <c r="I6" s="3"/>
      <c r="J6" s="3"/>
      <c r="K6" s="3"/>
      <c r="L6" s="3"/>
      <c r="M6" s="3"/>
      <c r="S6" s="19"/>
      <c r="AE6" s="19"/>
    </row>
    <row r="7" spans="1:33" x14ac:dyDescent="0.3">
      <c r="A7" s="8">
        <f>_xlfn.STDEV.P(ActualData[x])</f>
        <v>8.6557906085038798</v>
      </c>
      <c r="B7" s="8" t="s">
        <v>52</v>
      </c>
      <c r="F7" s="3"/>
      <c r="G7" s="3"/>
      <c r="H7" s="3"/>
      <c r="I7" s="3"/>
      <c r="J7" s="3"/>
      <c r="K7" s="3"/>
      <c r="L7" s="3"/>
      <c r="M7" s="3"/>
    </row>
    <row r="8" spans="1:33" ht="23.4" customHeight="1" x14ac:dyDescent="0.3">
      <c r="A8" s="8">
        <f>CORREL(ActualData[x], ActualData[y])</f>
        <v>0.6200923966789017</v>
      </c>
      <c r="B8" s="8" t="s">
        <v>50</v>
      </c>
      <c r="C8" s="17" t="s">
        <v>58</v>
      </c>
      <c r="D8" s="17"/>
      <c r="F8" s="3"/>
      <c r="G8" s="3"/>
      <c r="H8" s="3"/>
      <c r="I8" s="3"/>
      <c r="J8" s="3"/>
      <c r="K8" s="3"/>
      <c r="L8" s="3"/>
      <c r="M8" s="3"/>
      <c r="T8" s="10" t="s">
        <v>25</v>
      </c>
      <c r="U8" s="10" t="s">
        <v>26</v>
      </c>
      <c r="V8" s="10" t="s">
        <v>46</v>
      </c>
      <c r="W8" s="10" t="s">
        <v>5</v>
      </c>
      <c r="X8" s="10" t="s">
        <v>6</v>
      </c>
      <c r="Y8" s="10" t="s">
        <v>47</v>
      </c>
      <c r="Z8" s="10" t="s">
        <v>7</v>
      </c>
      <c r="AA8" s="10" t="s">
        <v>32</v>
      </c>
    </row>
    <row r="9" spans="1:33" ht="41.4" customHeight="1" thickBot="1" x14ac:dyDescent="0.35">
      <c r="A9" s="4" t="s">
        <v>10</v>
      </c>
      <c r="B9" s="4" t="s">
        <v>1</v>
      </c>
      <c r="C9" s="2" t="s">
        <v>53</v>
      </c>
      <c r="D9" s="4" t="s">
        <v>59</v>
      </c>
      <c r="E9" s="22"/>
      <c r="F9" s="32">
        <v>999</v>
      </c>
      <c r="G9" s="33" t="s">
        <v>33</v>
      </c>
      <c r="H9" s="34"/>
      <c r="I9" s="3"/>
      <c r="J9" s="3"/>
      <c r="K9" s="3"/>
      <c r="L9" s="3"/>
      <c r="M9" s="3"/>
      <c r="S9" s="22"/>
      <c r="T9" s="11" t="s">
        <v>3</v>
      </c>
      <c r="U9" s="11" t="s">
        <v>56</v>
      </c>
      <c r="V9" s="11" t="s">
        <v>4</v>
      </c>
      <c r="W9" s="11" t="s">
        <v>12</v>
      </c>
      <c r="X9" s="12" t="s">
        <v>13</v>
      </c>
      <c r="Y9" s="12" t="s">
        <v>14</v>
      </c>
      <c r="Z9" s="11" t="s">
        <v>45</v>
      </c>
      <c r="AA9" s="11" t="s">
        <v>11</v>
      </c>
      <c r="AB9" s="11" t="s">
        <v>10</v>
      </c>
      <c r="AC9" s="11" t="s">
        <v>37</v>
      </c>
      <c r="AD9" s="11" t="s">
        <v>57</v>
      </c>
      <c r="AE9" s="22"/>
    </row>
    <row r="10" spans="1:33" ht="24.6" thickTop="1" thickBot="1" x14ac:dyDescent="0.5">
      <c r="A10">
        <v>-6</v>
      </c>
      <c r="B10">
        <v>4</v>
      </c>
      <c r="C10">
        <f>ActualData[[#This Row],[x_scaled]]</f>
        <v>-1.709041278533515</v>
      </c>
      <c r="D10">
        <f>(ActualData[[#This Row],[x]] - AVG_X) / STD_X</f>
        <v>-1.709041278533515</v>
      </c>
      <c r="F10" s="31" t="s">
        <v>67</v>
      </c>
      <c r="G10" s="31"/>
      <c r="H10" s="15"/>
      <c r="I10" s="15"/>
      <c r="J10" s="3"/>
      <c r="K10" s="3"/>
      <c r="L10" s="3"/>
      <c r="M10" s="3"/>
      <c r="T10">
        <f>current_a * ActualData[[#This Row],[x_input]]^4 + current_b * ActualData[[#This Row],[x_input]]^3 + current_c * ActualData[[#This Row],[x_input]]^2  + current_d * ActualData[[#This Row],[x_input]] + current_e</f>
        <v>18.475117698272289</v>
      </c>
      <c r="U10">
        <f>(Engine_step_iesimo[[#This Row],[y_hat ]] - ActualData[[#This Row],[y]])</f>
        <v>14.475117698272289</v>
      </c>
      <c r="V10">
        <f xml:space="preserve"> 2 * Engine_step_iesimo[[#This Row],[Err]] * ActualData[[#This Row],[x_input]]^4</f>
        <v>246.98029718567363</v>
      </c>
      <c r="W10">
        <f xml:space="preserve"> 2 * Engine_step_iesimo[[#This Row],[Err]] * ActualData[[#This Row],[x_input]]^3</f>
        <v>-144.51394491629898</v>
      </c>
      <c r="X10">
        <f xml:space="preserve"> 2 * Engine_step_iesimo[[#This Row],[Err]] * ActualData[[#This Row],[x_input]]^2</f>
        <v>84.558487107053821</v>
      </c>
      <c r="Y10">
        <f xml:space="preserve"> 2 * Engine_step_iesimo[[#This Row],[Err]] * ActualData[[#This Row],[x_input]]</f>
        <v>-49.477147315956763</v>
      </c>
      <c r="Z10">
        <f xml:space="preserve"> 2 * Engine_step_iesimo[[#This Row],[Err]]</f>
        <v>28.950235396544578</v>
      </c>
      <c r="AA10">
        <f>Engine_step_iesimo[[#This Row],[Err]] ^ 2</f>
        <v>209.52903237883564</v>
      </c>
      <c r="AB10">
        <f>ActualData[[#This Row],[x_input]]</f>
        <v>-1.709041278533515</v>
      </c>
      <c r="AC10">
        <f>current_a * ActualData[[#This Row],[x_input]]^4 + current_b * ActualData[[#This Row],[x_input]]^3 + current_c * ActualData[[#This Row],[x_input]]^2 + current_d * ActualData[[#This Row],[x_input]] + current_e</f>
        <v>18.475117698272289</v>
      </c>
      <c r="AD10">
        <f>ABS(Engine_step_iesimo[[#This Row],[Err]])</f>
        <v>14.475117698272289</v>
      </c>
    </row>
    <row r="11" spans="1:33" ht="15.6" thickTop="1" thickBot="1" x14ac:dyDescent="0.35">
      <c r="A11">
        <v>-5</v>
      </c>
      <c r="B11">
        <v>6</v>
      </c>
      <c r="C11">
        <f>ActualData[[#This Row],[x_scaled]]</f>
        <v>-1.5935116816163308</v>
      </c>
      <c r="D11">
        <f>(ActualData[[#This Row],[x]] - AVG_X) / STD_X</f>
        <v>-1.5935116816163308</v>
      </c>
      <c r="F11" s="37">
        <f>ROUND(CORREL(ActualData[y], Engine_step_iesimo[y_prediction])^2,2)</f>
        <v>0.02</v>
      </c>
      <c r="G11" s="36" t="s">
        <v>66</v>
      </c>
      <c r="H11" s="35"/>
      <c r="I11" s="36"/>
      <c r="J11" s="3"/>
      <c r="K11" s="3"/>
      <c r="L11" s="3"/>
      <c r="M11" s="3"/>
      <c r="T11">
        <f>current_a * ActualData[[#This Row],[x_input]]^4 + current_b * ActualData[[#This Row],[x_input]]^3 + current_c * ActualData[[#This Row],[x_input]]^2  + current_d * ActualData[[#This Row],[x_input]] + current_e</f>
        <v>18.334733655918704</v>
      </c>
      <c r="U11">
        <f>(Engine_step_iesimo[[#This Row],[y_hat ]] - ActualData[[#This Row],[y]])</f>
        <v>12.334733655918704</v>
      </c>
      <c r="V11">
        <f xml:space="preserve"> 2 * Engine_step_iesimo[[#This Row],[Err]] * ActualData[[#This Row],[x_input]]^4</f>
        <v>159.06725183648234</v>
      </c>
      <c r="W11">
        <f xml:space="preserve"> 2 * Engine_step_iesimo[[#This Row],[Err]] * ActualData[[#This Row],[x_input]]^3</f>
        <v>-99.82182978108905</v>
      </c>
      <c r="X11">
        <f xml:space="preserve"> 2 * Engine_step_iesimo[[#This Row],[Err]] * ActualData[[#This Row],[x_input]]^2</f>
        <v>62.642672113854708</v>
      </c>
      <c r="Y11">
        <f xml:space="preserve"> 2 * Engine_step_iesimo[[#This Row],[Err]] * ActualData[[#This Row],[x_input]]</f>
        <v>-39.311084340665133</v>
      </c>
      <c r="Z11">
        <f xml:space="preserve"> 2 * Engine_step_iesimo[[#This Row],[Err]]</f>
        <v>24.669467311837408</v>
      </c>
      <c r="AA11">
        <f>Engine_step_iesimo[[#This Row],[Err]] ^ 2</f>
        <v>152.1456543624536</v>
      </c>
      <c r="AB11">
        <f>ActualData[[#This Row],[x_input]]</f>
        <v>-1.5935116816163308</v>
      </c>
      <c r="AC11">
        <f>current_a * ActualData[[#This Row],[x_input]]^4 + current_b * ActualData[[#This Row],[x_input]]^3 + current_c * ActualData[[#This Row],[x_input]]^2 + current_d * ActualData[[#This Row],[x_input]] + current_e</f>
        <v>18.334733655918704</v>
      </c>
      <c r="AD11">
        <f>ABS(Engine_step_iesimo[[#This Row],[Err]])</f>
        <v>12.334733655918704</v>
      </c>
    </row>
    <row r="12" spans="1:33" ht="15.6" thickTop="1" thickBot="1" x14ac:dyDescent="0.35">
      <c r="A12">
        <v>-4</v>
      </c>
      <c r="B12">
        <v>8</v>
      </c>
      <c r="C12">
        <f>ActualData[[#This Row],[x_scaled]]</f>
        <v>-1.4779820846991469</v>
      </c>
      <c r="D12">
        <f>(ActualData[[#This Row],[x]] - AVG_X) / STD_X</f>
        <v>-1.4779820846991469</v>
      </c>
      <c r="F12" s="38">
        <f>ROUND(AVERAGE(Engine_step_iesimo[ABS_ERR]), 2)</f>
        <v>5.53</v>
      </c>
      <c r="G12" s="36" t="s">
        <v>65</v>
      </c>
      <c r="H12" s="30"/>
      <c r="I12" s="30"/>
      <c r="J12" s="3"/>
      <c r="K12" s="3"/>
      <c r="L12" s="3"/>
      <c r="M12" s="3"/>
      <c r="T12">
        <f>current_a * ActualData[[#This Row],[x_input]]^4 + current_b * ActualData[[#This Row],[x_input]]^3 + current_c * ActualData[[#This Row],[x_input]]^2  + current_d * ActualData[[#This Row],[x_input]] + current_e</f>
        <v>18.224963799190846</v>
      </c>
      <c r="U12">
        <f>(Engine_step_iesimo[[#This Row],[y_hat ]] - ActualData[[#This Row],[y]])</f>
        <v>10.224963799190846</v>
      </c>
      <c r="V12">
        <f xml:space="preserve"> 2 * Engine_step_iesimo[[#This Row],[Err]] * ActualData[[#This Row],[x_input]]^4</f>
        <v>97.581716664996776</v>
      </c>
      <c r="W12">
        <f xml:space="preserve"> 2 * Engine_step_iesimo[[#This Row],[Err]] * ActualData[[#This Row],[x_input]]^3</f>
        <v>-66.023612650798924</v>
      </c>
      <c r="X12">
        <f xml:space="preserve"> 2 * Engine_step_iesimo[[#This Row],[Err]] * ActualData[[#This Row],[x_input]]^2</f>
        <v>44.671456666701388</v>
      </c>
      <c r="Y12">
        <f xml:space="preserve"> 2 * Engine_step_iesimo[[#This Row],[Err]] * ActualData[[#This Row],[x_input]]</f>
        <v>-30.224626623802791</v>
      </c>
      <c r="Z12">
        <f xml:space="preserve"> 2 * Engine_step_iesimo[[#This Row],[Err]]</f>
        <v>20.449927598381691</v>
      </c>
      <c r="AA12">
        <f>Engine_step_iesimo[[#This Row],[Err]] ^ 2</f>
        <v>104.54988469476329</v>
      </c>
      <c r="AB12">
        <f>ActualData[[#This Row],[x_input]]</f>
        <v>-1.4779820846991469</v>
      </c>
      <c r="AC12">
        <f>current_a * ActualData[[#This Row],[x_input]]^4 + current_b * ActualData[[#This Row],[x_input]]^3 + current_c * ActualData[[#This Row],[x_input]]^2 + current_d * ActualData[[#This Row],[x_input]] + current_e</f>
        <v>18.224963799190846</v>
      </c>
      <c r="AD12">
        <f>ABS(Engine_step_iesimo[[#This Row],[Err]])</f>
        <v>10.224963799190846</v>
      </c>
    </row>
    <row r="13" spans="1:33" ht="15.6" thickTop="1" thickBot="1" x14ac:dyDescent="0.35">
      <c r="A13">
        <v>-3</v>
      </c>
      <c r="B13">
        <v>10</v>
      </c>
      <c r="C13">
        <f>ActualData[[#This Row],[x_scaled]]</f>
        <v>-1.3624524877819628</v>
      </c>
      <c r="D13">
        <f>(ActualData[[#This Row],[x]] - AVG_X) / STD_X</f>
        <v>-1.3624524877819628</v>
      </c>
      <c r="F13" s="37" cm="1">
        <f t="array" ref="F13" xml:space="preserve"> AVERAGE(ABS(Engine_step_iesimo[Err]) / ActualData[y])</f>
        <v>0.48649679670625884</v>
      </c>
      <c r="G13" s="36" t="s">
        <v>64</v>
      </c>
      <c r="H13" s="30"/>
      <c r="I13" s="30"/>
      <c r="J13" s="3"/>
      <c r="K13" s="3"/>
      <c r="L13" s="3"/>
      <c r="M13" s="3"/>
      <c r="T13">
        <f>current_a * ActualData[[#This Row],[x_input]]^4 + current_b * ActualData[[#This Row],[x_input]]^3 + current_c * ActualData[[#This Row],[x_input]]^2  + current_d * ActualData[[#This Row],[x_input]] + current_e</f>
        <v>18.14104988641644</v>
      </c>
      <c r="U13">
        <f>(Engine_step_iesimo[[#This Row],[y_hat ]] - ActualData[[#This Row],[y]])</f>
        <v>8.1410498864164396</v>
      </c>
      <c r="V13">
        <f xml:space="preserve"> 2 * Engine_step_iesimo[[#This Row],[Err]] * ActualData[[#This Row],[x_input]]^4</f>
        <v>56.104264927989014</v>
      </c>
      <c r="W13">
        <f xml:space="preserve"> 2 * Engine_step_iesimo[[#This Row],[Err]] * ActualData[[#This Row],[x_input]]^3</f>
        <v>-41.178878112164703</v>
      </c>
      <c r="X13">
        <f xml:space="preserve"> 2 * Engine_step_iesimo[[#This Row],[Err]] * ActualData[[#This Row],[x_input]]^2</f>
        <v>30.224083761777884</v>
      </c>
      <c r="Y13">
        <f xml:space="preserve"> 2 * Engine_step_iesimo[[#This Row],[Err]] * ActualData[[#This Row],[x_input]]</f>
        <v>-22.183587341810288</v>
      </c>
      <c r="Z13">
        <f xml:space="preserve"> 2 * Engine_step_iesimo[[#This Row],[Err]]</f>
        <v>16.282099772832879</v>
      </c>
      <c r="AA13">
        <f>Engine_step_iesimo[[#This Row],[Err]] ^ 2</f>
        <v>66.276693253121124</v>
      </c>
      <c r="AB13">
        <f>ActualData[[#This Row],[x_input]]</f>
        <v>-1.3624524877819628</v>
      </c>
      <c r="AC13">
        <f>current_a * ActualData[[#This Row],[x_input]]^4 + current_b * ActualData[[#This Row],[x_input]]^3 + current_c * ActualData[[#This Row],[x_input]]^2 + current_d * ActualData[[#This Row],[x_input]] + current_e</f>
        <v>18.14104988641644</v>
      </c>
      <c r="AD13">
        <f>ABS(Engine_step_iesimo[[#This Row],[Err]])</f>
        <v>8.1410498864164396</v>
      </c>
    </row>
    <row r="14" spans="1:33" ht="15" thickTop="1" x14ac:dyDescent="0.3">
      <c r="A14">
        <v>-2</v>
      </c>
      <c r="B14">
        <v>15</v>
      </c>
      <c r="C14">
        <f>ActualData[[#This Row],[x_scaled]]</f>
        <v>-1.2469228908647789</v>
      </c>
      <c r="D14">
        <f>(ActualData[[#This Row],[x]] - AVG_X) / STD_X</f>
        <v>-1.2469228908647789</v>
      </c>
      <c r="F14" s="3"/>
      <c r="G14" s="3"/>
      <c r="H14" s="3"/>
      <c r="I14" s="3"/>
      <c r="J14" s="3"/>
      <c r="K14" s="3"/>
      <c r="L14" s="3"/>
      <c r="M14" s="3"/>
      <c r="T14">
        <f>current_a * ActualData[[#This Row],[x_input]]^4 + current_b * ActualData[[#This Row],[x_input]]^3 + current_c * ActualData[[#This Row],[x_input]]^2  + current_d * ActualData[[#This Row],[x_input]] + current_e</f>
        <v>18.078661223327476</v>
      </c>
      <c r="U14">
        <f>(Engine_step_iesimo[[#This Row],[y_hat ]] - ActualData[[#This Row],[y]])</f>
        <v>3.0786612233274759</v>
      </c>
      <c r="V14">
        <f xml:space="preserve"> 2 * Engine_step_iesimo[[#This Row],[Err]] * ActualData[[#This Row],[x_input]]^4</f>
        <v>14.885049673112134</v>
      </c>
      <c r="W14">
        <f xml:space="preserve"> 2 * Engine_step_iesimo[[#This Row],[Err]] * ActualData[[#This Row],[x_input]]^3</f>
        <v>-11.937425948439282</v>
      </c>
      <c r="X14">
        <f xml:space="preserve"> 2 * Engine_step_iesimo[[#This Row],[Err]] * ActualData[[#This Row],[x_input]]^2</f>
        <v>9.5735077412528007</v>
      </c>
      <c r="Y14">
        <f xml:space="preserve"> 2 * Engine_step_iesimo[[#This Row],[Err]] * ActualData[[#This Row],[x_input]]</f>
        <v>-7.6777063051695862</v>
      </c>
      <c r="Z14">
        <f xml:space="preserve"> 2 * Engine_step_iesimo[[#This Row],[Err]]</f>
        <v>6.1573224466549519</v>
      </c>
      <c r="AA14">
        <f>Engine_step_iesimo[[#This Row],[Err]] ^ 2</f>
        <v>9.4781549280202313</v>
      </c>
      <c r="AB14">
        <f>ActualData[[#This Row],[x_input]]</f>
        <v>-1.2469228908647789</v>
      </c>
      <c r="AC14">
        <f>current_a * ActualData[[#This Row],[x_input]]^4 + current_b * ActualData[[#This Row],[x_input]]^3 + current_c * ActualData[[#This Row],[x_input]]^2 + current_d * ActualData[[#This Row],[x_input]] + current_e</f>
        <v>18.078661223327476</v>
      </c>
      <c r="AD14">
        <f>ABS(Engine_step_iesimo[[#This Row],[Err]])</f>
        <v>3.0786612233274759</v>
      </c>
    </row>
    <row r="15" spans="1:33" x14ac:dyDescent="0.3">
      <c r="A15">
        <v>-1</v>
      </c>
      <c r="B15">
        <v>20</v>
      </c>
      <c r="C15">
        <f>ActualData[[#This Row],[x_scaled]]</f>
        <v>-1.1313932939475948</v>
      </c>
      <c r="D15">
        <f>(ActualData[[#This Row],[x]] - AVG_X) / STD_X</f>
        <v>-1.1313932939475948</v>
      </c>
      <c r="F15" s="3"/>
      <c r="G15" s="3"/>
      <c r="H15" s="3"/>
      <c r="I15" s="3"/>
      <c r="J15" s="3"/>
      <c r="K15" s="3"/>
      <c r="L15" s="3"/>
      <c r="M15" s="3"/>
      <c r="T15">
        <f>current_a * ActualData[[#This Row],[x_input]]^4 + current_b * ActualData[[#This Row],[x_input]]^3 + current_c * ActualData[[#This Row],[x_input]]^2  + current_d * ActualData[[#This Row],[x_input]] + current_e</f>
        <v>18.033894663060209</v>
      </c>
      <c r="U15">
        <f>(Engine_step_iesimo[[#This Row],[y_hat ]] - ActualData[[#This Row],[y]])</f>
        <v>-1.9661053369397905</v>
      </c>
      <c r="V15">
        <f xml:space="preserve"> 2 * Engine_step_iesimo[[#This Row],[Err]] * ActualData[[#This Row],[x_input]]^4</f>
        <v>-6.4430452092980666</v>
      </c>
      <c r="W15">
        <f xml:space="preserve"> 2 * Engine_step_iesimo[[#This Row],[Err]] * ActualData[[#This Row],[x_input]]^3</f>
        <v>5.694788225955759</v>
      </c>
      <c r="X15">
        <f xml:space="preserve"> 2 * Engine_step_iesimo[[#This Row],[Err]] * ActualData[[#This Row],[x_input]]^2</f>
        <v>-5.0334293622033233</v>
      </c>
      <c r="Y15">
        <f xml:space="preserve"> 2 * Engine_step_iesimo[[#This Row],[Err]] * ActualData[[#This Row],[x_input]]</f>
        <v>4.4488767868165109</v>
      </c>
      <c r="Z15">
        <f xml:space="preserve"> 2 * Engine_step_iesimo[[#This Row],[Err]]</f>
        <v>-3.932210673879581</v>
      </c>
      <c r="AA15">
        <f>Engine_step_iesimo[[#This Row],[Err]] ^ 2</f>
        <v>3.865570195943127</v>
      </c>
      <c r="AB15">
        <f>ActualData[[#This Row],[x_input]]</f>
        <v>-1.1313932939475948</v>
      </c>
      <c r="AC15">
        <f>current_a * ActualData[[#This Row],[x_input]]^4 + current_b * ActualData[[#This Row],[x_input]]^3 + current_c * ActualData[[#This Row],[x_input]]^2 + current_d * ActualData[[#This Row],[x_input]] + current_e</f>
        <v>18.033894663060209</v>
      </c>
      <c r="AD15">
        <f>ABS(Engine_step_iesimo[[#This Row],[Err]])</f>
        <v>1.9661053369397905</v>
      </c>
    </row>
    <row r="16" spans="1:33" x14ac:dyDescent="0.3">
      <c r="A16">
        <v>1</v>
      </c>
      <c r="B16">
        <v>23</v>
      </c>
      <c r="C16">
        <f>ActualData[[#This Row],[x_scaled]]</f>
        <v>-0.9003341001132269</v>
      </c>
      <c r="D16">
        <f>(ActualData[[#This Row],[x]] - AVG_X) / STD_X</f>
        <v>-0.9003341001132269</v>
      </c>
      <c r="F16" s="2" t="s">
        <v>15</v>
      </c>
      <c r="G16" s="2" t="s">
        <v>8</v>
      </c>
      <c r="H16" s="2" t="s">
        <v>18</v>
      </c>
      <c r="I16" s="2" t="s">
        <v>19</v>
      </c>
      <c r="J16" s="2" t="s">
        <v>0</v>
      </c>
      <c r="K16" s="2" t="s">
        <v>43</v>
      </c>
      <c r="L16" s="2" t="s">
        <v>20</v>
      </c>
      <c r="M16" s="2" t="s">
        <v>49</v>
      </c>
      <c r="N16" s="2" t="s">
        <v>4</v>
      </c>
      <c r="O16" s="2" t="s">
        <v>12</v>
      </c>
      <c r="P16" s="2" t="s">
        <v>13</v>
      </c>
      <c r="Q16" s="2" t="s">
        <v>14</v>
      </c>
      <c r="R16" s="2" t="s">
        <v>45</v>
      </c>
      <c r="T16">
        <f>current_a * ActualData[[#This Row],[x_input]]^4 + current_b * ActualData[[#This Row],[x_input]]^3 + current_c * ActualData[[#This Row],[x_input]]^2  + current_d * ActualData[[#This Row],[x_input]] + current_e</f>
        <v>17.98375300055709</v>
      </c>
      <c r="U16">
        <f>(Engine_step_iesimo[[#This Row],[y_hat ]] - ActualData[[#This Row],[y]])</f>
        <v>-5.0162469994429095</v>
      </c>
      <c r="V16">
        <f xml:space="preserve"> 2 * Engine_step_iesimo[[#This Row],[Err]] * ActualData[[#This Row],[x_input]]^4</f>
        <v>-6.592098772638777</v>
      </c>
      <c r="W16">
        <f xml:space="preserve"> 2 * Engine_step_iesimo[[#This Row],[Err]] * ActualData[[#This Row],[x_input]]^3</f>
        <v>7.3218361626086894</v>
      </c>
      <c r="X16">
        <f xml:space="preserve"> 2 * Engine_step_iesimo[[#This Row],[Err]] * ActualData[[#This Row],[x_input]]^2</f>
        <v>-8.1323546022392001</v>
      </c>
      <c r="Y16">
        <f xml:space="preserve"> 2 * Engine_step_iesimo[[#This Row],[Err]] * ActualData[[#This Row],[x_input]]</f>
        <v>9.0325964563782133</v>
      </c>
      <c r="Z16">
        <f xml:space="preserve"> 2 * Engine_step_iesimo[[#This Row],[Err]]</f>
        <v>-10.032493998885819</v>
      </c>
      <c r="AA16">
        <f>Engine_step_iesimo[[#This Row],[Err]] ^ 2</f>
        <v>25.162733959419992</v>
      </c>
      <c r="AB16">
        <f>ActualData[[#This Row],[x_input]]</f>
        <v>-0.9003341001132269</v>
      </c>
      <c r="AC16">
        <f>current_a * ActualData[[#This Row],[x_input]]^4 + current_b * ActualData[[#This Row],[x_input]]^3 + current_c * ActualData[[#This Row],[x_input]]^2 + current_d * ActualData[[#This Row],[x_input]] + current_e</f>
        <v>17.98375300055709</v>
      </c>
      <c r="AD16">
        <f>ABS(Engine_step_iesimo[[#This Row],[Err]])</f>
        <v>5.0162469994429095</v>
      </c>
    </row>
    <row r="17" spans="1:30" x14ac:dyDescent="0.3">
      <c r="A17">
        <f>A16+1</f>
        <v>2</v>
      </c>
      <c r="B17">
        <v>27</v>
      </c>
      <c r="C17">
        <f>ActualData[[#This Row],[x_scaled]]</f>
        <v>-0.78480450319604289</v>
      </c>
      <c r="D17">
        <f>(ActualData[[#This Row],[x]] - AVG_X) / STD_X</f>
        <v>-0.78480450319604289</v>
      </c>
      <c r="F17" s="2">
        <v>0</v>
      </c>
      <c r="G17" s="2">
        <f>IF(Iterations[[#This Row],[Step]] =current_step, current_a,IF(Iterations[[#This Row],[Step]] &gt; current_step, "",Iterations[[#This Row],[a]]))</f>
        <v>0.1</v>
      </c>
      <c r="H17" s="2">
        <f>IF(Iterations[[#This Row],[Step]] =current_step, current_b,IF(Iterations[[#This Row],[Step]] &gt; current_step, "",Iterations[[#This Row],[b]]))</f>
        <v>0.1</v>
      </c>
      <c r="I17" s="2">
        <f>IF(Iterations[[#This Row],[Step]] =current_step, current_c,IF(Iterations[[#This Row],[Step]] &gt; current_step, "",Iterations[[#This Row],[c]]))</f>
        <v>0.1</v>
      </c>
      <c r="J17" s="2">
        <f>IF(Iterations[[#This Row],[Step]] =current_step, current_d,IF(Iterations[[#This Row],[Step]] &gt; current_step, "",Iterations[[#This Row],[d]]))</f>
        <v>0.1</v>
      </c>
      <c r="K17" s="2">
        <f>IF(Iterations[[#This Row],[Step]] =current_step, current_e,IF(Iterations[[#This Row],[Step]] &gt; current_step, "",Iterations[[#This Row],[e]]))</f>
        <v>18</v>
      </c>
      <c r="L17" s="2">
        <f>IF(Iterations[[#This Row],[Step]] =current_step, current_Total_Loss,IF(Iterations[[#This Row],[Step]] &gt; current_step, "",Iterations[[#This Row],[Total Loss]]))</f>
        <v>1303.81</v>
      </c>
      <c r="M17" s="6" t="s">
        <v>27</v>
      </c>
      <c r="N17" s="2">
        <f>IF(Iterations[[#This Row],[Step]] =current_step, current_Grad_a,IF(Iterations[[#This Row],[Step]] &gt; current_step, "",Iterations[[#This Row],[Grad_a]]))</f>
        <v>14.38544075329289</v>
      </c>
      <c r="O17" s="2">
        <f>IF(Iterations[[#This Row],[Step]] =current_step, current_Grad_b,IF(Iterations[[#This Row],[Step]] &gt; current_step, "",Iterations[[#This Row],[Grad_b]]))</f>
        <v>-15.44525139094141</v>
      </c>
      <c r="P17" s="2">
        <f>IF(Iterations[[#This Row],[Step]] =current_step, current_Grad_c,IF(Iterations[[#This Row],[Step]] &gt; current_step, "",Iterations[[#This Row],[Grad_c]]))</f>
        <v>4.4395267293772935</v>
      </c>
      <c r="Q17" s="2">
        <f>IF(Iterations[[#This Row],[Step]] =current_step, current_Grad_d,IF(Iterations[[#This Row],[Step]] &gt; current_step, "",Iterations[[#This Row],[Grad_d]]))</f>
        <v>-7.8793100191701804</v>
      </c>
      <c r="R17" s="2">
        <f>IF(Iterations[[#This Row],[Step]] =current_step, current_Grad_e,IF(Iterations[[#This Row],[Step]] &gt; current_step, "",Iterations[[#This Row],[Grad_e]]))</f>
        <v>0.13829302909047644</v>
      </c>
      <c r="T17">
        <f>current_a * ActualData[[#This Row],[x_input]]^4 + current_b * ActualData[[#This Row],[x_input]]^3 + current_c * ActualData[[#This Row],[x_input]]^2  + current_d * ActualData[[#This Row],[x_input]] + current_e</f>
        <v>17.972709341615051</v>
      </c>
      <c r="U17">
        <f>(Engine_step_iesimo[[#This Row],[y_hat ]] - ActualData[[#This Row],[y]])</f>
        <v>-9.027290658384949</v>
      </c>
      <c r="V17">
        <f xml:space="preserve"> 2 * Engine_step_iesimo[[#This Row],[Err]] * ActualData[[#This Row],[x_input]]^4</f>
        <v>-6.8490977907293242</v>
      </c>
      <c r="W17">
        <f xml:space="preserve"> 2 * Engine_step_iesimo[[#This Row],[Err]] * ActualData[[#This Row],[x_input]]^3</f>
        <v>8.7271387496338448</v>
      </c>
      <c r="X17">
        <f xml:space="preserve"> 2 * Engine_step_iesimo[[#This Row],[Err]] * ActualData[[#This Row],[x_input]]^2</f>
        <v>-11.120143569632168</v>
      </c>
      <c r="Y17">
        <f xml:space="preserve"> 2 * Engine_step_iesimo[[#This Row],[Err]] * ActualData[[#This Row],[x_input]]</f>
        <v>14.169316720720158</v>
      </c>
      <c r="Z17">
        <f xml:space="preserve"> 2 * Engine_step_iesimo[[#This Row],[Err]]</f>
        <v>-18.054581316769898</v>
      </c>
      <c r="AA17">
        <f>Engine_step_iesimo[[#This Row],[Err]] ^ 2</f>
        <v>81.49197663096416</v>
      </c>
      <c r="AB17">
        <f>ActualData[[#This Row],[x_input]]</f>
        <v>-0.78480450319604289</v>
      </c>
      <c r="AC17">
        <f>current_a * ActualData[[#This Row],[x_input]]^4 + current_b * ActualData[[#This Row],[x_input]]^3 + current_c * ActualData[[#This Row],[x_input]]^2 + current_d * ActualData[[#This Row],[x_input]] + current_e</f>
        <v>17.972709341615051</v>
      </c>
      <c r="AD17">
        <f>ABS(Engine_step_iesimo[[#This Row],[Err]])</f>
        <v>9.027290658384949</v>
      </c>
    </row>
    <row r="18" spans="1:30" x14ac:dyDescent="0.3">
      <c r="A18">
        <f t="shared" ref="A18:A30" si="0">A17+1</f>
        <v>3</v>
      </c>
      <c r="B18">
        <v>18</v>
      </c>
      <c r="C18">
        <f>ActualData[[#This Row],[x_scaled]]</f>
        <v>-0.66927490627885888</v>
      </c>
      <c r="D18">
        <f>(ActualData[[#This Row],[x]] - AVG_X) / STD_X</f>
        <v>-0.66927490627885888</v>
      </c>
      <c r="F18" s="2">
        <f>F17+1</f>
        <v>1</v>
      </c>
      <c r="G18" s="2" t="str">
        <f>IF(Iterations[[#This Row],[Step]] =current_step, current_a,IF(Iterations[[#This Row],[Step]] &gt; current_step, "",Iterations[[#This Row],[a]]))</f>
        <v/>
      </c>
      <c r="H18" s="2" t="str">
        <f>IF(Iterations[[#This Row],[Step]] =current_step, current_b,IF(Iterations[[#This Row],[Step]] &gt; current_step, "",Iterations[[#This Row],[b]]))</f>
        <v/>
      </c>
      <c r="I18" s="2" t="str">
        <f>IF(Iterations[[#This Row],[Step]] =current_step, current_c,IF(Iterations[[#This Row],[Step]] &gt; current_step, "",Iterations[[#This Row],[c]]))</f>
        <v/>
      </c>
      <c r="J18" s="2" t="str">
        <f>IF(Iterations[[#This Row],[Step]] =current_step, current_d,IF(Iterations[[#This Row],[Step]] &gt; current_step, "",Iterations[[#This Row],[d]]))</f>
        <v/>
      </c>
      <c r="K18" s="2" t="str">
        <f>IF(Iterations[[#This Row],[Step]] =current_step, current_e,IF(Iterations[[#This Row],[Step]] &gt; current_step, "",Iterations[[#This Row],[e]]))</f>
        <v/>
      </c>
      <c r="L18" s="2" t="str">
        <f>IF(Iterations[[#This Row],[Step]] =current_step, current_Total_Loss,IF(Iterations[[#This Row],[Step]] &gt; current_step, "",Iterations[[#This Row],[Total Loss]]))</f>
        <v/>
      </c>
      <c r="M18" s="6" t="s">
        <v>27</v>
      </c>
      <c r="N18" s="2" t="str">
        <f>IF(Iterations[[#This Row],[Step]] =current_step, current_Grad_a,IF(Iterations[[#This Row],[Step]] &gt; current_step, "",Iterations[[#This Row],[Grad_a]]))</f>
        <v/>
      </c>
      <c r="O18" s="2" t="str">
        <f>IF(Iterations[[#This Row],[Step]] =current_step, current_Grad_b,IF(Iterations[[#This Row],[Step]] &gt; current_step, "",Iterations[[#This Row],[Grad_b]]))</f>
        <v/>
      </c>
      <c r="P18" s="2" t="str">
        <f>IF(Iterations[[#This Row],[Step]] =current_step, current_Grad_c,IF(Iterations[[#This Row],[Step]] &gt; current_step, "",Iterations[[#This Row],[Grad_c]]))</f>
        <v/>
      </c>
      <c r="Q18" s="2" t="str">
        <f>IF(Iterations[[#This Row],[Step]] =current_step, current_Grad_d,IF(Iterations[[#This Row],[Step]] &gt; current_step, "",Iterations[[#This Row],[Grad_d]]))</f>
        <v/>
      </c>
      <c r="R18" s="2" t="str">
        <f>IF(Iterations[[#This Row],[Step]] =current_step, current_Grad_e,IF(Iterations[[#This Row],[Step]] &gt; current_step, "",Iterations[[#This Row],[Grad_e]]))</f>
        <v/>
      </c>
      <c r="T18">
        <f>current_a * ActualData[[#This Row],[x_input]]^4 + current_b * ActualData[[#This Row],[x_input]]^3 + current_c * ActualData[[#This Row],[x_input]]^2  + current_d * ActualData[[#This Row],[x_input]] + current_e</f>
        <v>17.967950672082338</v>
      </c>
      <c r="U18">
        <f>(Engine_step_iesimo[[#This Row],[y_hat ]] - ActualData[[#This Row],[y]])</f>
        <v>-3.2049327917661685E-2</v>
      </c>
      <c r="V18">
        <f xml:space="preserve"> 2 * Engine_step_iesimo[[#This Row],[Err]] * ActualData[[#This Row],[x_input]]^4</f>
        <v>-1.2860773511500412E-2</v>
      </c>
      <c r="W18">
        <f xml:space="preserve"> 2 * Engine_step_iesimo[[#This Row],[Err]] * ActualData[[#This Row],[x_input]]^3</f>
        <v>1.9215980445174297E-2</v>
      </c>
      <c r="X18">
        <f xml:space="preserve"> 2 * Engine_step_iesimo[[#This Row],[Err]] * ActualData[[#This Row],[x_input]]^2</f>
        <v>-2.871164041098502E-2</v>
      </c>
      <c r="Y18">
        <f xml:space="preserve"> 2 * Engine_step_iesimo[[#This Row],[Err]] * ActualData[[#This Row],[x_input]]</f>
        <v>4.2899621876786878E-2</v>
      </c>
      <c r="Z18">
        <f xml:space="preserve"> 2 * Engine_step_iesimo[[#This Row],[Err]]</f>
        <v>-6.409865583532337E-2</v>
      </c>
      <c r="AA18">
        <f>Engine_step_iesimo[[#This Row],[Err]] ^ 2</f>
        <v>1.0271594199738087E-3</v>
      </c>
      <c r="AB18">
        <f>ActualData[[#This Row],[x_input]]</f>
        <v>-0.66927490627885888</v>
      </c>
      <c r="AC18">
        <f>current_a * ActualData[[#This Row],[x_input]]^4 + current_b * ActualData[[#This Row],[x_input]]^3 + current_c * ActualData[[#This Row],[x_input]]^2 + current_d * ActualData[[#This Row],[x_input]] + current_e</f>
        <v>17.967950672082338</v>
      </c>
      <c r="AD18">
        <f>ABS(Engine_step_iesimo[[#This Row],[Err]])</f>
        <v>3.2049327917661685E-2</v>
      </c>
    </row>
    <row r="19" spans="1:30" x14ac:dyDescent="0.3">
      <c r="A19">
        <f t="shared" si="0"/>
        <v>4</v>
      </c>
      <c r="B19">
        <v>14</v>
      </c>
      <c r="C19">
        <f>ActualData[[#This Row],[x_scaled]]</f>
        <v>-0.55374530936167488</v>
      </c>
      <c r="D19">
        <f>(ActualData[[#This Row],[x]] - AVG_X) / STD_X</f>
        <v>-0.55374530936167488</v>
      </c>
      <c r="F19" s="2">
        <f t="shared" ref="F19:F64" si="1">F18+1</f>
        <v>2</v>
      </c>
      <c r="G19" s="2" t="str">
        <f>IF(Iterations[[#This Row],[Step]] =current_step, current_a,IF(Iterations[[#This Row],[Step]] &gt; current_step, "",Iterations[[#This Row],[a]]))</f>
        <v/>
      </c>
      <c r="H19" s="2" t="str">
        <f>IF(Iterations[[#This Row],[Step]] =current_step, current_b,IF(Iterations[[#This Row],[Step]] &gt; current_step, "",Iterations[[#This Row],[b]]))</f>
        <v/>
      </c>
      <c r="I19" s="2" t="str">
        <f>IF(Iterations[[#This Row],[Step]] =current_step, current_c,IF(Iterations[[#This Row],[Step]] &gt; current_step, "",Iterations[[#This Row],[c]]))</f>
        <v/>
      </c>
      <c r="J19" s="2" t="str">
        <f>IF(Iterations[[#This Row],[Step]] =current_step, current_d,IF(Iterations[[#This Row],[Step]] &gt; current_step, "",Iterations[[#This Row],[d]]))</f>
        <v/>
      </c>
      <c r="K19" s="2" t="str">
        <f>IF(Iterations[[#This Row],[Step]] =current_step, current_e,IF(Iterations[[#This Row],[Step]] &gt; current_step, "",Iterations[[#This Row],[e]]))</f>
        <v/>
      </c>
      <c r="L19" s="2" t="str">
        <f>IF(Iterations[[#This Row],[Step]] =current_step, current_Total_Loss,IF(Iterations[[#This Row],[Step]] &gt; current_step, "",Iterations[[#This Row],[Total Loss]]))</f>
        <v/>
      </c>
      <c r="M19" s="6" t="s">
        <v>27</v>
      </c>
      <c r="N19" s="2" t="str">
        <f>IF(Iterations[[#This Row],[Step]] =current_step, current_Grad_a,IF(Iterations[[#This Row],[Step]] &gt; current_step, "",Iterations[[#This Row],[Grad_a]]))</f>
        <v/>
      </c>
      <c r="O19" s="2" t="str">
        <f>IF(Iterations[[#This Row],[Step]] =current_step, current_Grad_b,IF(Iterations[[#This Row],[Step]] &gt; current_step, "",Iterations[[#This Row],[Grad_b]]))</f>
        <v/>
      </c>
      <c r="P19" s="2" t="str">
        <f>IF(Iterations[[#This Row],[Step]] =current_step, current_Grad_c,IF(Iterations[[#This Row],[Step]] &gt; current_step, "",Iterations[[#This Row],[Grad_c]]))</f>
        <v/>
      </c>
      <c r="Q19" s="2" t="str">
        <f>IF(Iterations[[#This Row],[Step]] =current_step, current_Grad_d,IF(Iterations[[#This Row],[Step]] &gt; current_step, "",Iterations[[#This Row],[Grad_d]]))</f>
        <v/>
      </c>
      <c r="R19" s="2" t="str">
        <f>IF(Iterations[[#This Row],[Step]] =current_step, current_Grad_e,IF(Iterations[[#This Row],[Step]] &gt; current_step, "",Iterations[[#This Row],[Grad_e]]))</f>
        <v/>
      </c>
      <c r="T19">
        <f>current_a * ActualData[[#This Row],[x_input]]^4 + current_b * ActualData[[#This Row],[x_input]]^3 + current_c * ActualData[[#This Row],[x_input]]^2  + current_d * ActualData[[#This Row],[x_input]] + current_e</f>
        <v>17.967711582116518</v>
      </c>
      <c r="U19">
        <f>(Engine_step_iesimo[[#This Row],[y_hat ]] - ActualData[[#This Row],[y]])</f>
        <v>3.9677115821165181</v>
      </c>
      <c r="V19">
        <f xml:space="preserve"> 2 * Engine_step_iesimo[[#This Row],[Err]] * ActualData[[#This Row],[x_input]]^4</f>
        <v>0.7461228366332231</v>
      </c>
      <c r="W19">
        <f xml:space="preserve"> 2 * Engine_step_iesimo[[#This Row],[Err]] * ActualData[[#This Row],[x_input]]^3</f>
        <v>-1.3474115699387319</v>
      </c>
      <c r="X19">
        <f xml:space="preserve"> 2 * Engine_step_iesimo[[#This Row],[Err]] * ActualData[[#This Row],[x_input]]^2</f>
        <v>2.4332694962092751</v>
      </c>
      <c r="Y19">
        <f xml:space="preserve"> 2 * Engine_step_iesimo[[#This Row],[Err]] * ActualData[[#This Row],[x_input]]</f>
        <v>-4.3942033549940236</v>
      </c>
      <c r="Z19">
        <f xml:space="preserve"> 2 * Engine_step_iesimo[[#This Row],[Err]]</f>
        <v>7.9354231642330362</v>
      </c>
      <c r="AA19">
        <f>Engine_step_iesimo[[#This Row],[Err]] ^ 2</f>
        <v>15.742735198861563</v>
      </c>
      <c r="AB19">
        <f>ActualData[[#This Row],[x_input]]</f>
        <v>-0.55374530936167488</v>
      </c>
      <c r="AC19">
        <f>current_a * ActualData[[#This Row],[x_input]]^4 + current_b * ActualData[[#This Row],[x_input]]^3 + current_c * ActualData[[#This Row],[x_input]]^2 + current_d * ActualData[[#This Row],[x_input]] + current_e</f>
        <v>17.967711582116518</v>
      </c>
      <c r="AD19">
        <f>ABS(Engine_step_iesimo[[#This Row],[Err]])</f>
        <v>3.9677115821165181</v>
      </c>
    </row>
    <row r="20" spans="1:30" x14ac:dyDescent="0.3">
      <c r="A20">
        <f t="shared" si="0"/>
        <v>5</v>
      </c>
      <c r="B20">
        <v>12</v>
      </c>
      <c r="C20">
        <f>ActualData[[#This Row],[x_scaled]]</f>
        <v>-0.43821571244449092</v>
      </c>
      <c r="D20">
        <f>(ActualData[[#This Row],[x]] - AVG_X) / STD_X</f>
        <v>-0.43821571244449092</v>
      </c>
      <c r="F20" s="2">
        <f t="shared" si="1"/>
        <v>3</v>
      </c>
      <c r="G20" s="2" t="str">
        <f>IF(Iterations[[#This Row],[Step]] =current_step, current_a,IF(Iterations[[#This Row],[Step]] &gt; current_step, "",Iterations[[#This Row],[a]]))</f>
        <v/>
      </c>
      <c r="H20" s="2" t="str">
        <f>IF(Iterations[[#This Row],[Step]] =current_step, current_b,IF(Iterations[[#This Row],[Step]] &gt; current_step, "",Iterations[[#This Row],[b]]))</f>
        <v/>
      </c>
      <c r="I20" s="2" t="str">
        <f>IF(Iterations[[#This Row],[Step]] =current_step, current_c,IF(Iterations[[#This Row],[Step]] &gt; current_step, "",Iterations[[#This Row],[c]]))</f>
        <v/>
      </c>
      <c r="J20" s="2" t="str">
        <f>IF(Iterations[[#This Row],[Step]] =current_step, current_d,IF(Iterations[[#This Row],[Step]] &gt; current_step, "",Iterations[[#This Row],[d]]))</f>
        <v/>
      </c>
      <c r="K20" s="2" t="str">
        <f>IF(Iterations[[#This Row],[Step]] =current_step, current_e,IF(Iterations[[#This Row],[Step]] &gt; current_step, "",Iterations[[#This Row],[e]]))</f>
        <v/>
      </c>
      <c r="L20" s="2" t="str">
        <f>IF(Iterations[[#This Row],[Step]] =current_step, current_Total_Loss,IF(Iterations[[#This Row],[Step]] &gt; current_step, "",Iterations[[#This Row],[Total Loss]]))</f>
        <v/>
      </c>
      <c r="M20" s="6" t="s">
        <v>27</v>
      </c>
      <c r="N20" s="2" t="str">
        <f>IF(Iterations[[#This Row],[Step]] =current_step, current_Grad_a,IF(Iterations[[#This Row],[Step]] &gt; current_step, "",Iterations[[#This Row],[Grad_a]]))</f>
        <v/>
      </c>
      <c r="O20" s="2" t="str">
        <f>IF(Iterations[[#This Row],[Step]] =current_step, current_Grad_b,IF(Iterations[[#This Row],[Step]] &gt; current_step, "",Iterations[[#This Row],[Grad_b]]))</f>
        <v/>
      </c>
      <c r="P20" s="2" t="str">
        <f>IF(Iterations[[#This Row],[Step]] =current_step, current_Grad_c,IF(Iterations[[#This Row],[Step]] &gt; current_step, "",Iterations[[#This Row],[Grad_c]]))</f>
        <v/>
      </c>
      <c r="Q20" s="2" t="str">
        <f>IF(Iterations[[#This Row],[Step]] =current_step, current_Grad_d,IF(Iterations[[#This Row],[Step]] &gt; current_step, "",Iterations[[#This Row],[Grad_d]]))</f>
        <v/>
      </c>
      <c r="R20" s="2" t="str">
        <f>IF(Iterations[[#This Row],[Step]] =current_step, current_Grad_e,IF(Iterations[[#This Row],[Step]] &gt; current_step, "",Iterations[[#This Row],[Grad_e]]))</f>
        <v/>
      </c>
      <c r="T20">
        <f>current_a * ActualData[[#This Row],[x_input]]^4 + current_b * ActualData[[#This Row],[x_input]]^3 + current_c * ActualData[[#This Row],[x_input]]^2  + current_d * ActualData[[#This Row],[x_input]] + current_e</f>
        <v>17.970654209279409</v>
      </c>
      <c r="U20">
        <f>(Engine_step_iesimo[[#This Row],[y_hat ]] - ActualData[[#This Row],[y]])</f>
        <v>5.9706542092794095</v>
      </c>
      <c r="V20">
        <f xml:space="preserve"> 2 * Engine_step_iesimo[[#This Row],[Err]] * ActualData[[#This Row],[x_input]]^4</f>
        <v>0.44035577557278816</v>
      </c>
      <c r="W20">
        <f xml:space="preserve"> 2 * Engine_step_iesimo[[#This Row],[Err]] * ActualData[[#This Row],[x_input]]^3</f>
        <v>-1.0048835837408918</v>
      </c>
      <c r="X20">
        <f xml:space="preserve"> 2 * Engine_step_iesimo[[#This Row],[Err]] * ActualData[[#This Row],[x_input]]^2</f>
        <v>2.2931254065158173</v>
      </c>
      <c r="Y20">
        <f xml:space="preserve"> 2 * Engine_step_iesimo[[#This Row],[Err]] * ActualData[[#This Row],[x_input]]</f>
        <v>-5.2328689761581497</v>
      </c>
      <c r="Z20">
        <f xml:space="preserve"> 2 * Engine_step_iesimo[[#This Row],[Err]]</f>
        <v>11.941308418558819</v>
      </c>
      <c r="AA20">
        <f>Engine_step_iesimo[[#This Row],[Err]] ^ 2</f>
        <v>35.64871168678593</v>
      </c>
      <c r="AB20">
        <f>ActualData[[#This Row],[x_input]]</f>
        <v>-0.43821571244449092</v>
      </c>
      <c r="AC20">
        <f>current_a * ActualData[[#This Row],[x_input]]^4 + current_b * ActualData[[#This Row],[x_input]]^3 + current_c * ActualData[[#This Row],[x_input]]^2 + current_d * ActualData[[#This Row],[x_input]] + current_e</f>
        <v>17.970654209279409</v>
      </c>
      <c r="AD20">
        <f>ABS(Engine_step_iesimo[[#This Row],[Err]])</f>
        <v>5.9706542092794095</v>
      </c>
    </row>
    <row r="21" spans="1:30" x14ac:dyDescent="0.3">
      <c r="A21">
        <f t="shared" si="0"/>
        <v>6</v>
      </c>
      <c r="B21">
        <v>10</v>
      </c>
      <c r="C21">
        <f>ActualData[[#This Row],[x_scaled]]</f>
        <v>-0.32268611552730692</v>
      </c>
      <c r="D21">
        <f>(ActualData[[#This Row],[x]] - AVG_X) / STD_X</f>
        <v>-0.32268611552730692</v>
      </c>
      <c r="F21" s="2">
        <f t="shared" si="1"/>
        <v>4</v>
      </c>
      <c r="G21" s="2" t="str">
        <f>IF(Iterations[[#This Row],[Step]] =current_step, current_a,IF(Iterations[[#This Row],[Step]] &gt; current_step, "",Iterations[[#This Row],[a]]))</f>
        <v/>
      </c>
      <c r="H21" s="2" t="str">
        <f>IF(Iterations[[#This Row],[Step]] =current_step, current_b,IF(Iterations[[#This Row],[Step]] &gt; current_step, "",Iterations[[#This Row],[b]]))</f>
        <v/>
      </c>
      <c r="I21" s="2" t="str">
        <f>IF(Iterations[[#This Row],[Step]] =current_step, current_c,IF(Iterations[[#This Row],[Step]] &gt; current_step, "",Iterations[[#This Row],[c]]))</f>
        <v/>
      </c>
      <c r="J21" s="2" t="str">
        <f>IF(Iterations[[#This Row],[Step]] =current_step, current_d,IF(Iterations[[#This Row],[Step]] &gt; current_step, "",Iterations[[#This Row],[d]]))</f>
        <v/>
      </c>
      <c r="K21" s="2" t="str">
        <f>IF(Iterations[[#This Row],[Step]] =current_step, current_e,IF(Iterations[[#This Row],[Step]] &gt; current_step, "",Iterations[[#This Row],[e]]))</f>
        <v/>
      </c>
      <c r="L21" s="2" t="str">
        <f>IF(Iterations[[#This Row],[Step]] =current_step, current_Total_Loss,IF(Iterations[[#This Row],[Step]] &gt; current_step, "",Iterations[[#This Row],[Total Loss]]))</f>
        <v/>
      </c>
      <c r="M21" s="6" t="s">
        <v>27</v>
      </c>
      <c r="N21" s="2" t="str">
        <f>IF(Iterations[[#This Row],[Step]] =current_step, current_Grad_a,IF(Iterations[[#This Row],[Step]] &gt; current_step, "",Iterations[[#This Row],[Grad_a]]))</f>
        <v/>
      </c>
      <c r="O21" s="2" t="str">
        <f>IF(Iterations[[#This Row],[Step]] =current_step, current_Grad_b,IF(Iterations[[#This Row],[Step]] &gt; current_step, "",Iterations[[#This Row],[Grad_b]]))</f>
        <v/>
      </c>
      <c r="P21" s="2" t="str">
        <f>IF(Iterations[[#This Row],[Step]] =current_step, current_Grad_c,IF(Iterations[[#This Row],[Step]] &gt; current_step, "",Iterations[[#This Row],[Grad_c]]))</f>
        <v/>
      </c>
      <c r="Q21" s="2" t="str">
        <f>IF(Iterations[[#This Row],[Step]] =current_step, current_Grad_d,IF(Iterations[[#This Row],[Step]] &gt; current_step, "",Iterations[[#This Row],[Grad_d]]))</f>
        <v/>
      </c>
      <c r="R21" s="2" t="str">
        <f>IF(Iterations[[#This Row],[Step]] =current_step, current_Grad_e,IF(Iterations[[#This Row],[Step]] &gt; current_step, "",Iterations[[#This Row],[Grad_e]]))</f>
        <v/>
      </c>
      <c r="T21">
        <f>current_a * ActualData[[#This Row],[x_input]]^4 + current_b * ActualData[[#This Row],[x_input]]^3 + current_c * ActualData[[#This Row],[x_input]]^2  + current_d * ActualData[[#This Row],[x_input]] + current_e</f>
        <v>17.975868238537103</v>
      </c>
      <c r="U21">
        <f>(Engine_step_iesimo[[#This Row],[y_hat ]] - ActualData[[#This Row],[y]])</f>
        <v>7.9758682385371031</v>
      </c>
      <c r="V21">
        <f xml:space="preserve"> 2 * Engine_step_iesimo[[#This Row],[Err]] * ActualData[[#This Row],[x_input]]^4</f>
        <v>0.172953391540805</v>
      </c>
      <c r="W21">
        <f xml:space="preserve"> 2 * Engine_step_iesimo[[#This Row],[Err]] * ActualData[[#This Row],[x_input]]^3</f>
        <v>-0.53598027066698817</v>
      </c>
      <c r="X21">
        <f xml:space="preserve"> 2 * Engine_step_iesimo[[#This Row],[Err]] * ActualData[[#This Row],[x_input]]^2</f>
        <v>1.6609957629913317</v>
      </c>
      <c r="Y21">
        <f xml:space="preserve"> 2 * Engine_step_iesimo[[#This Row],[Err]] * ActualData[[#This Row],[x_input]]</f>
        <v>-5.1474038797023232</v>
      </c>
      <c r="Z21">
        <f xml:space="preserve"> 2 * Engine_step_iesimo[[#This Row],[Err]]</f>
        <v>15.951736477074206</v>
      </c>
      <c r="AA21">
        <f>Engine_step_iesimo[[#This Row],[Err]] ^ 2</f>
        <v>63.614474158504954</v>
      </c>
      <c r="AB21">
        <f>ActualData[[#This Row],[x_input]]</f>
        <v>-0.32268611552730692</v>
      </c>
      <c r="AC21">
        <f>current_a * ActualData[[#This Row],[x_input]]^4 + current_b * ActualData[[#This Row],[x_input]]^3 + current_c * ActualData[[#This Row],[x_input]]^2 + current_d * ActualData[[#This Row],[x_input]] + current_e</f>
        <v>17.975868238537103</v>
      </c>
      <c r="AD21">
        <f>ABS(Engine_step_iesimo[[#This Row],[Err]])</f>
        <v>7.9758682385371031</v>
      </c>
    </row>
    <row r="22" spans="1:30" x14ac:dyDescent="0.3">
      <c r="A22">
        <f t="shared" si="0"/>
        <v>7</v>
      </c>
      <c r="B22">
        <v>10</v>
      </c>
      <c r="C22">
        <f>ActualData[[#This Row],[x_scaled]]</f>
        <v>-0.20715651861012294</v>
      </c>
      <c r="D22">
        <f>(ActualData[[#This Row],[x]] - AVG_X) / STD_X</f>
        <v>-0.20715651861012294</v>
      </c>
      <c r="F22" s="2">
        <f t="shared" si="1"/>
        <v>5</v>
      </c>
      <c r="G22" s="2" t="str">
        <f>IF(Iterations[[#This Row],[Step]] =current_step, current_a,IF(Iterations[[#This Row],[Step]] &gt; current_step, "",Iterations[[#This Row],[a]]))</f>
        <v/>
      </c>
      <c r="H22" s="2" t="str">
        <f>IF(Iterations[[#This Row],[Step]] =current_step, current_b,IF(Iterations[[#This Row],[Step]] &gt; current_step, "",Iterations[[#This Row],[b]]))</f>
        <v/>
      </c>
      <c r="I22" s="2" t="str">
        <f>IF(Iterations[[#This Row],[Step]] =current_step, current_c,IF(Iterations[[#This Row],[Step]] &gt; current_step, "",Iterations[[#This Row],[c]]))</f>
        <v/>
      </c>
      <c r="J22" s="2" t="str">
        <f>IF(Iterations[[#This Row],[Step]] =current_step, current_d,IF(Iterations[[#This Row],[Step]] &gt; current_step, "",Iterations[[#This Row],[d]]))</f>
        <v/>
      </c>
      <c r="K22" s="2" t="str">
        <f>IF(Iterations[[#This Row],[Step]] =current_step, current_e,IF(Iterations[[#This Row],[Step]] &gt; current_step, "",Iterations[[#This Row],[e]]))</f>
        <v/>
      </c>
      <c r="L22" s="2" t="str">
        <f>IF(Iterations[[#This Row],[Step]] =current_step, current_Total_Loss,IF(Iterations[[#This Row],[Step]] &gt; current_step, "",Iterations[[#This Row],[Total Loss]]))</f>
        <v/>
      </c>
      <c r="M22" s="6" t="s">
        <v>27</v>
      </c>
      <c r="N22" s="2" t="str">
        <f>IF(Iterations[[#This Row],[Step]] =current_step, current_Grad_a,IF(Iterations[[#This Row],[Step]] &gt; current_step, "",Iterations[[#This Row],[Grad_a]]))</f>
        <v/>
      </c>
      <c r="O22" s="2" t="str">
        <f>IF(Iterations[[#This Row],[Step]] =current_step, current_Grad_b,IF(Iterations[[#This Row],[Step]] &gt; current_step, "",Iterations[[#This Row],[Grad_b]]))</f>
        <v/>
      </c>
      <c r="P22" s="2" t="str">
        <f>IF(Iterations[[#This Row],[Step]] =current_step, current_Grad_c,IF(Iterations[[#This Row],[Step]] &gt; current_step, "",Iterations[[#This Row],[Grad_c]]))</f>
        <v/>
      </c>
      <c r="Q22" s="2" t="str">
        <f>IF(Iterations[[#This Row],[Step]] =current_step, current_Grad_d,IF(Iterations[[#This Row],[Step]] &gt; current_step, "",Iterations[[#This Row],[Grad_d]]))</f>
        <v/>
      </c>
      <c r="R22" s="2" t="str">
        <f>IF(Iterations[[#This Row],[Step]] =current_step, current_Grad_e,IF(Iterations[[#This Row],[Step]] &gt; current_step, "",Iterations[[#This Row],[Grad_e]]))</f>
        <v/>
      </c>
      <c r="T22">
        <f>current_a * ActualData[[#This Row],[x_input]]^4 + current_b * ActualData[[#This Row],[x_input]]^3 + current_c * ActualData[[#This Row],[x_input]]^2  + current_d * ActualData[[#This Row],[x_input]] + current_e</f>
        <v>17.98287090225995</v>
      </c>
      <c r="U22">
        <f>(Engine_step_iesimo[[#This Row],[y_hat ]] - ActualData[[#This Row],[y]])</f>
        <v>7.9828709022599504</v>
      </c>
      <c r="V22">
        <f xml:space="preserve"> 2 * Engine_step_iesimo[[#This Row],[Err]] * ActualData[[#This Row],[x_input]]^4</f>
        <v>2.9402449786550856E-2</v>
      </c>
      <c r="W22">
        <f xml:space="preserve"> 2 * Engine_step_iesimo[[#This Row],[Err]] * ActualData[[#This Row],[x_input]]^3</f>
        <v>-0.14193350025295354</v>
      </c>
      <c r="X22">
        <f xml:space="preserve"> 2 * Engine_step_iesimo[[#This Row],[Err]] * ActualData[[#This Row],[x_input]]^2</f>
        <v>0.68515102109858395</v>
      </c>
      <c r="Y22">
        <f xml:space="preserve"> 2 * Engine_step_iesimo[[#This Row],[Err]] * ActualData[[#This Row],[x_input]]</f>
        <v>-3.3074074892524448</v>
      </c>
      <c r="Z22">
        <f xml:space="preserve"> 2 * Engine_step_iesimo[[#This Row],[Err]]</f>
        <v>15.965741804519901</v>
      </c>
      <c r="AA22">
        <f>Engine_step_iesimo[[#This Row],[Err]] ^ 2</f>
        <v>63.726227842148596</v>
      </c>
      <c r="AB22">
        <f>ActualData[[#This Row],[x_input]]</f>
        <v>-0.20715651861012294</v>
      </c>
      <c r="AC22">
        <f>current_a * ActualData[[#This Row],[x_input]]^4 + current_b * ActualData[[#This Row],[x_input]]^3 + current_c * ActualData[[#This Row],[x_input]]^2 + current_d * ActualData[[#This Row],[x_input]] + current_e</f>
        <v>17.98287090225995</v>
      </c>
      <c r="AD22">
        <f>ABS(Engine_step_iesimo[[#This Row],[Err]])</f>
        <v>7.9828709022599504</v>
      </c>
    </row>
    <row r="23" spans="1:30" x14ac:dyDescent="0.3">
      <c r="A23">
        <f t="shared" si="0"/>
        <v>8</v>
      </c>
      <c r="B23">
        <v>12</v>
      </c>
      <c r="C23">
        <f>ActualData[[#This Row],[x_scaled]]</f>
        <v>-9.1626921692938929E-2</v>
      </c>
      <c r="D23">
        <f>(ActualData[[#This Row],[x]] - AVG_X) / STD_X</f>
        <v>-9.1626921692938929E-2</v>
      </c>
      <c r="F23" s="2">
        <f t="shared" si="1"/>
        <v>6</v>
      </c>
      <c r="G23" s="2" t="str">
        <f>IF(Iterations[[#This Row],[Step]] =current_step, current_a,IF(Iterations[[#This Row],[Step]] &gt; current_step, "",Iterations[[#This Row],[a]]))</f>
        <v/>
      </c>
      <c r="H23" s="2" t="str">
        <f>IF(Iterations[[#This Row],[Step]] =current_step, current_b,IF(Iterations[[#This Row],[Step]] &gt; current_step, "",Iterations[[#This Row],[b]]))</f>
        <v/>
      </c>
      <c r="I23" s="2" t="str">
        <f>IF(Iterations[[#This Row],[Step]] =current_step, current_c,IF(Iterations[[#This Row],[Step]] &gt; current_step, "",Iterations[[#This Row],[c]]))</f>
        <v/>
      </c>
      <c r="J23" s="2" t="str">
        <f>IF(Iterations[[#This Row],[Step]] =current_step, current_d,IF(Iterations[[#This Row],[Step]] &gt; current_step, "",Iterations[[#This Row],[d]]))</f>
        <v/>
      </c>
      <c r="K23" s="2" t="str">
        <f>IF(Iterations[[#This Row],[Step]] =current_step, current_e,IF(Iterations[[#This Row],[Step]] &gt; current_step, "",Iterations[[#This Row],[e]]))</f>
        <v/>
      </c>
      <c r="L23" s="2" t="str">
        <f>IF(Iterations[[#This Row],[Step]] =current_step, current_Total_Loss,IF(Iterations[[#This Row],[Step]] &gt; current_step, "",Iterations[[#This Row],[Total Loss]]))</f>
        <v/>
      </c>
      <c r="M23" s="6" t="s">
        <v>27</v>
      </c>
      <c r="N23" s="2" t="str">
        <f>IF(Iterations[[#This Row],[Step]] =current_step, current_Grad_a,IF(Iterations[[#This Row],[Step]] &gt; current_step, "",Iterations[[#This Row],[Grad_a]]))</f>
        <v/>
      </c>
      <c r="O23" s="2" t="str">
        <f>IF(Iterations[[#This Row],[Step]] =current_step, current_Grad_b,IF(Iterations[[#This Row],[Step]] &gt; current_step, "",Iterations[[#This Row],[Grad_b]]))</f>
        <v/>
      </c>
      <c r="P23" s="2" t="str">
        <f>IF(Iterations[[#This Row],[Step]] =current_step, current_Grad_c,IF(Iterations[[#This Row],[Step]] &gt; current_step, "",Iterations[[#This Row],[Grad_c]]))</f>
        <v/>
      </c>
      <c r="Q23" s="2" t="str">
        <f>IF(Iterations[[#This Row],[Step]] =current_step, current_Grad_d,IF(Iterations[[#This Row],[Step]] &gt; current_step, "",Iterations[[#This Row],[Grad_d]]))</f>
        <v/>
      </c>
      <c r="R23" s="2" t="str">
        <f>IF(Iterations[[#This Row],[Step]] =current_step, current_Grad_e,IF(Iterations[[#This Row],[Step]] &gt; current_step, "",Iterations[[#This Row],[Grad_e]]))</f>
        <v/>
      </c>
      <c r="T23">
        <f>current_a * ActualData[[#This Row],[x_input]]^4 + current_b * ActualData[[#This Row],[x_input]]^3 + current_c * ActualData[[#This Row],[x_input]]^2  + current_d * ActualData[[#This Row],[x_input]] + current_e</f>
        <v>17.991606980222556</v>
      </c>
      <c r="U23">
        <f>(Engine_step_iesimo[[#This Row],[y_hat ]] - ActualData[[#This Row],[y]])</f>
        <v>5.9916069802225564</v>
      </c>
      <c r="V23">
        <f xml:space="preserve"> 2 * Engine_step_iesimo[[#This Row],[Err]] * ActualData[[#This Row],[x_input]]^4</f>
        <v>8.4462843578054418E-4</v>
      </c>
      <c r="W23">
        <f xml:space="preserve"> 2 * Engine_step_iesimo[[#This Row],[Err]] * ActualData[[#This Row],[x_input]]^3</f>
        <v>-9.218125199175321E-3</v>
      </c>
      <c r="X23">
        <f xml:space="preserve"> 2 * Engine_step_iesimo[[#This Row],[Err]] * ActualData[[#This Row],[x_input]]^2</f>
        <v>0.10060498627321776</v>
      </c>
      <c r="Y23">
        <f xml:space="preserve"> 2 * Engine_step_iesimo[[#This Row],[Err]] * ActualData[[#This Row],[x_input]]</f>
        <v>-1.0979850071834369</v>
      </c>
      <c r="Z23">
        <f xml:space="preserve"> 2 * Engine_step_iesimo[[#This Row],[Err]]</f>
        <v>11.983213960445113</v>
      </c>
      <c r="AA23">
        <f>Engine_step_iesimo[[#This Row],[Err]] ^ 2</f>
        <v>35.899354205451665</v>
      </c>
      <c r="AB23">
        <f>ActualData[[#This Row],[x_input]]</f>
        <v>-9.1626921692938929E-2</v>
      </c>
      <c r="AC23">
        <f>current_a * ActualData[[#This Row],[x_input]]^4 + current_b * ActualData[[#This Row],[x_input]]^3 + current_c * ActualData[[#This Row],[x_input]]^2 + current_d * ActualData[[#This Row],[x_input]] + current_e</f>
        <v>17.991606980222556</v>
      </c>
      <c r="AD23">
        <f>ABS(Engine_step_iesimo[[#This Row],[Err]])</f>
        <v>5.9916069802225564</v>
      </c>
    </row>
    <row r="24" spans="1:30" x14ac:dyDescent="0.3">
      <c r="A24">
        <f t="shared" si="0"/>
        <v>9</v>
      </c>
      <c r="B24">
        <v>17</v>
      </c>
      <c r="C24">
        <f>ActualData[[#This Row],[x_scaled]]</f>
        <v>2.3902675224245062E-2</v>
      </c>
      <c r="D24">
        <f>(ActualData[[#This Row],[x]] - AVG_X) / STD_X</f>
        <v>2.3902675224245062E-2</v>
      </c>
      <c r="F24" s="2">
        <f t="shared" si="1"/>
        <v>7</v>
      </c>
      <c r="G24" s="2" t="str">
        <f>IF(Iterations[[#This Row],[Step]] =current_step, current_a,IF(Iterations[[#This Row],[Step]] &gt; current_step, "",Iterations[[#This Row],[a]]))</f>
        <v/>
      </c>
      <c r="H24" s="2" t="str">
        <f>IF(Iterations[[#This Row],[Step]] =current_step, current_b,IF(Iterations[[#This Row],[Step]] &gt; current_step, "",Iterations[[#This Row],[b]]))</f>
        <v/>
      </c>
      <c r="I24" s="2" t="str">
        <f>IF(Iterations[[#This Row],[Step]] =current_step, current_c,IF(Iterations[[#This Row],[Step]] &gt; current_step, "",Iterations[[#This Row],[c]]))</f>
        <v/>
      </c>
      <c r="J24" s="2" t="str">
        <f>IF(Iterations[[#This Row],[Step]] =current_step, current_d,IF(Iterations[[#This Row],[Step]] &gt; current_step, "",Iterations[[#This Row],[d]]))</f>
        <v/>
      </c>
      <c r="K24" s="2" t="str">
        <f>IF(Iterations[[#This Row],[Step]] =current_step, current_e,IF(Iterations[[#This Row],[Step]] &gt; current_step, "",Iterations[[#This Row],[e]]))</f>
        <v/>
      </c>
      <c r="L24" s="2" t="str">
        <f>IF(Iterations[[#This Row],[Step]] =current_step, current_Total_Loss,IF(Iterations[[#This Row],[Step]] &gt; current_step, "",Iterations[[#This Row],[Total Loss]]))</f>
        <v/>
      </c>
      <c r="M24" s="6" t="s">
        <v>27</v>
      </c>
      <c r="N24" s="2" t="str">
        <f>IF(Iterations[[#This Row],[Step]] =current_step, current_Grad_a,IF(Iterations[[#This Row],[Step]] &gt; current_step, "",Iterations[[#This Row],[Grad_a]]))</f>
        <v/>
      </c>
      <c r="O24" s="2" t="str">
        <f>IF(Iterations[[#This Row],[Step]] =current_step, current_Grad_b,IF(Iterations[[#This Row],[Step]] &gt; current_step, "",Iterations[[#This Row],[Grad_b]]))</f>
        <v/>
      </c>
      <c r="P24" s="2" t="str">
        <f>IF(Iterations[[#This Row],[Step]] =current_step, current_Grad_c,IF(Iterations[[#This Row],[Step]] &gt; current_step, "",Iterations[[#This Row],[Grad_c]]))</f>
        <v/>
      </c>
      <c r="Q24" s="2" t="str">
        <f>IF(Iterations[[#This Row],[Step]] =current_step, current_Grad_d,IF(Iterations[[#This Row],[Step]] &gt; current_step, "",Iterations[[#This Row],[Grad_d]]))</f>
        <v/>
      </c>
      <c r="R24" s="2" t="str">
        <f>IF(Iterations[[#This Row],[Step]] =current_step, current_Grad_e,IF(Iterations[[#This Row],[Step]] &gt; current_step, "",Iterations[[#This Row],[Grad_e]]))</f>
        <v/>
      </c>
      <c r="T24">
        <f>current_a * ActualData[[#This Row],[x_input]]^4 + current_b * ActualData[[#This Row],[x_input]]^3 + current_c * ActualData[[#This Row],[x_input]]^2  + current_d * ActualData[[#This Row],[x_input]] + current_e</f>
        <v>18.002448799603794</v>
      </c>
      <c r="U24">
        <f>(Engine_step_iesimo[[#This Row],[y_hat ]] - ActualData[[#This Row],[y]])</f>
        <v>1.0024487996037941</v>
      </c>
      <c r="V24">
        <f xml:space="preserve"> 2 * Engine_step_iesimo[[#This Row],[Err]] * ActualData[[#This Row],[x_input]]^4</f>
        <v>6.5445266131885831E-7</v>
      </c>
      <c r="W24">
        <f xml:space="preserve"> 2 * Engine_step_iesimo[[#This Row],[Err]] * ActualData[[#This Row],[x_input]]^3</f>
        <v>2.7379891797844921E-5</v>
      </c>
      <c r="X24">
        <f xml:space="preserve"> 2 * Engine_step_iesimo[[#This Row],[Err]] * ActualData[[#This Row],[x_input]]^2</f>
        <v>1.1454739497139146E-3</v>
      </c>
      <c r="Y24">
        <f xml:space="preserve"> 2 * Engine_step_iesimo[[#This Row],[Err]] * ActualData[[#This Row],[x_input]]</f>
        <v>4.7922416171727621E-2</v>
      </c>
      <c r="Z24">
        <f xml:space="preserve"> 2 * Engine_step_iesimo[[#This Row],[Err]]</f>
        <v>2.0048975992075881</v>
      </c>
      <c r="AA24">
        <f>Engine_step_iesimo[[#This Row],[Err]] ^ 2</f>
        <v>1.0049035958270878</v>
      </c>
      <c r="AB24">
        <f>ActualData[[#This Row],[x_input]]</f>
        <v>2.3902675224245062E-2</v>
      </c>
      <c r="AC24">
        <f>current_a * ActualData[[#This Row],[x_input]]^4 + current_b * ActualData[[#This Row],[x_input]]^3 + current_c * ActualData[[#This Row],[x_input]]^2 + current_d * ActualData[[#This Row],[x_input]] + current_e</f>
        <v>18.002448799603794</v>
      </c>
      <c r="AD24">
        <f>ABS(Engine_step_iesimo[[#This Row],[Err]])</f>
        <v>1.0024487996037941</v>
      </c>
    </row>
    <row r="25" spans="1:30" x14ac:dyDescent="0.3">
      <c r="A25">
        <f t="shared" si="0"/>
        <v>10</v>
      </c>
      <c r="B25">
        <v>20</v>
      </c>
      <c r="C25">
        <f>ActualData[[#This Row],[x_scaled]]</f>
        <v>0.13943227214142906</v>
      </c>
      <c r="D25">
        <f>(ActualData[[#This Row],[x]] - AVG_X) / STD_X</f>
        <v>0.13943227214142906</v>
      </c>
      <c r="F25" s="2">
        <f t="shared" si="1"/>
        <v>8</v>
      </c>
      <c r="G25" s="2" t="str">
        <f>IF(Iterations[[#This Row],[Step]] =current_step, current_a,IF(Iterations[[#This Row],[Step]] &gt; current_step, "",Iterations[[#This Row],[a]]))</f>
        <v/>
      </c>
      <c r="H25" s="2" t="str">
        <f>IF(Iterations[[#This Row],[Step]] =current_step, current_b,IF(Iterations[[#This Row],[Step]] &gt; current_step, "",Iterations[[#This Row],[b]]))</f>
        <v/>
      </c>
      <c r="I25" s="2" t="str">
        <f>IF(Iterations[[#This Row],[Step]] =current_step, current_c,IF(Iterations[[#This Row],[Step]] &gt; current_step, "",Iterations[[#This Row],[c]]))</f>
        <v/>
      </c>
      <c r="J25" s="2" t="str">
        <f>IF(Iterations[[#This Row],[Step]] =current_step, current_d,IF(Iterations[[#This Row],[Step]] &gt; current_step, "",Iterations[[#This Row],[d]]))</f>
        <v/>
      </c>
      <c r="K25" s="2" t="str">
        <f>IF(Iterations[[#This Row],[Step]] =current_step, current_e,IF(Iterations[[#This Row],[Step]] &gt; current_step, "",Iterations[[#This Row],[e]]))</f>
        <v/>
      </c>
      <c r="L25" s="2" t="str">
        <f>IF(Iterations[[#This Row],[Step]] =current_step, current_Total_Loss,IF(Iterations[[#This Row],[Step]] &gt; current_step, "",Iterations[[#This Row],[Total Loss]]))</f>
        <v/>
      </c>
      <c r="M25" s="6" t="s">
        <v>27</v>
      </c>
      <c r="N25" s="2" t="str">
        <f>IF(Iterations[[#This Row],[Step]] =current_step, current_Grad_a,IF(Iterations[[#This Row],[Step]] &gt; current_step, "",Iterations[[#This Row],[Grad_a]]))</f>
        <v/>
      </c>
      <c r="O25" s="2" t="str">
        <f>IF(Iterations[[#This Row],[Step]] =current_step, current_Grad_b,IF(Iterations[[#This Row],[Step]] &gt; current_step, "",Iterations[[#This Row],[Grad_b]]))</f>
        <v/>
      </c>
      <c r="P25" s="2" t="str">
        <f>IF(Iterations[[#This Row],[Step]] =current_step, current_Grad_c,IF(Iterations[[#This Row],[Step]] &gt; current_step, "",Iterations[[#This Row],[Grad_c]]))</f>
        <v/>
      </c>
      <c r="Q25" s="2" t="str">
        <f>IF(Iterations[[#This Row],[Step]] =current_step, current_Grad_d,IF(Iterations[[#This Row],[Step]] &gt; current_step, "",Iterations[[#This Row],[Grad_d]]))</f>
        <v/>
      </c>
      <c r="R25" s="2" t="str">
        <f>IF(Iterations[[#This Row],[Step]] =current_step, current_Grad_e,IF(Iterations[[#This Row],[Step]] &gt; current_step, "",Iterations[[#This Row],[Grad_e]]))</f>
        <v/>
      </c>
      <c r="T25">
        <f>current_a * ActualData[[#This Row],[x_input]]^4 + current_b * ActualData[[#This Row],[x_input]]^3 + current_c * ActualData[[#This Row],[x_input]]^2  + current_d * ActualData[[#This Row],[x_input]] + current_e</f>
        <v>18.016196234986804</v>
      </c>
      <c r="U25">
        <f>(Engine_step_iesimo[[#This Row],[y_hat ]] - ActualData[[#This Row],[y]])</f>
        <v>-1.9838037650131959</v>
      </c>
      <c r="V25">
        <f xml:space="preserve"> 2 * Engine_step_iesimo[[#This Row],[Err]] * ActualData[[#This Row],[x_input]]^4</f>
        <v>-1.4996224176209193E-3</v>
      </c>
      <c r="W25">
        <f xml:space="preserve"> 2 * Engine_step_iesimo[[#This Row],[Err]] * ActualData[[#This Row],[x_input]]^3</f>
        <v>-1.0755203186388736E-2</v>
      </c>
      <c r="X25">
        <f xml:space="preserve"> 2 * Engine_step_iesimo[[#This Row],[Err]] * ActualData[[#This Row],[x_input]]^2</f>
        <v>-7.7135680436158344E-2</v>
      </c>
      <c r="Y25">
        <f xml:space="preserve"> 2 * Engine_step_iesimo[[#This Row],[Err]] * ActualData[[#This Row],[x_input]]</f>
        <v>-0.55321253287702299</v>
      </c>
      <c r="Z25">
        <f xml:space="preserve"> 2 * Engine_step_iesimo[[#This Row],[Err]]</f>
        <v>-3.9676075300263918</v>
      </c>
      <c r="AA25">
        <f>Engine_step_iesimo[[#This Row],[Err]] ^ 2</f>
        <v>3.9354773780805314</v>
      </c>
      <c r="AB25">
        <f>ActualData[[#This Row],[x_input]]</f>
        <v>0.13943227214142906</v>
      </c>
      <c r="AC25">
        <f>current_a * ActualData[[#This Row],[x_input]]^4 + current_b * ActualData[[#This Row],[x_input]]^3 + current_c * ActualData[[#This Row],[x_input]]^2 + current_d * ActualData[[#This Row],[x_input]] + current_e</f>
        <v>18.016196234986804</v>
      </c>
      <c r="AD25">
        <f>ABS(Engine_step_iesimo[[#This Row],[Err]])</f>
        <v>1.9838037650131959</v>
      </c>
    </row>
    <row r="26" spans="1:30" x14ac:dyDescent="0.3">
      <c r="A26">
        <f t="shared" si="0"/>
        <v>11</v>
      </c>
      <c r="B26">
        <v>26</v>
      </c>
      <c r="C26">
        <f>ActualData[[#This Row],[x_scaled]]</f>
        <v>0.25496186905861307</v>
      </c>
      <c r="D26">
        <f>(ActualData[[#This Row],[x]] - AVG_X) / STD_X</f>
        <v>0.25496186905861307</v>
      </c>
      <c r="F26" s="2">
        <f t="shared" si="1"/>
        <v>9</v>
      </c>
      <c r="G26" s="2" t="str">
        <f>IF(Iterations[[#This Row],[Step]] =current_step, current_a,IF(Iterations[[#This Row],[Step]] &gt; current_step, "",Iterations[[#This Row],[a]]))</f>
        <v/>
      </c>
      <c r="H26" s="2" t="str">
        <f>IF(Iterations[[#This Row],[Step]] =current_step, current_b,IF(Iterations[[#This Row],[Step]] &gt; current_step, "",Iterations[[#This Row],[b]]))</f>
        <v/>
      </c>
      <c r="I26" s="2" t="str">
        <f>IF(Iterations[[#This Row],[Step]] =current_step, current_c,IF(Iterations[[#This Row],[Step]] &gt; current_step, "",Iterations[[#This Row],[c]]))</f>
        <v/>
      </c>
      <c r="J26" s="2" t="str">
        <f>IF(Iterations[[#This Row],[Step]] =current_step, current_d,IF(Iterations[[#This Row],[Step]] &gt; current_step, "",Iterations[[#This Row],[d]]))</f>
        <v/>
      </c>
      <c r="K26" s="2" t="str">
        <f>IF(Iterations[[#This Row],[Step]] =current_step, current_e,IF(Iterations[[#This Row],[Step]] &gt; current_step, "",Iterations[[#This Row],[e]]))</f>
        <v/>
      </c>
      <c r="L26" s="2" t="str">
        <f>IF(Iterations[[#This Row],[Step]] =current_step, current_Total_Loss,IF(Iterations[[#This Row],[Step]] &gt; current_step, "",Iterations[[#This Row],[Total Loss]]))</f>
        <v/>
      </c>
      <c r="M26" s="6" t="s">
        <v>27</v>
      </c>
      <c r="N26" s="2" t="str">
        <f>IF(Iterations[[#This Row],[Step]] =current_step, current_Grad_a,IF(Iterations[[#This Row],[Step]] &gt; current_step, "",Iterations[[#This Row],[Grad_a]]))</f>
        <v/>
      </c>
      <c r="O26" s="2" t="str">
        <f>IF(Iterations[[#This Row],[Step]] =current_step, current_Grad_b,IF(Iterations[[#This Row],[Step]] &gt; current_step, "",Iterations[[#This Row],[Grad_b]]))</f>
        <v/>
      </c>
      <c r="P26" s="2" t="str">
        <f>IF(Iterations[[#This Row],[Step]] =current_step, current_Grad_c,IF(Iterations[[#This Row],[Step]] &gt; current_step, "",Iterations[[#This Row],[Grad_c]]))</f>
        <v/>
      </c>
      <c r="Q26" s="2" t="str">
        <f>IF(Iterations[[#This Row],[Step]] =current_step, current_Grad_d,IF(Iterations[[#This Row],[Step]] &gt; current_step, "",Iterations[[#This Row],[Grad_d]]))</f>
        <v/>
      </c>
      <c r="R26" s="2" t="str">
        <f>IF(Iterations[[#This Row],[Step]] =current_step, current_Grad_e,IF(Iterations[[#This Row],[Step]] &gt; current_step, "",Iterations[[#This Row],[Grad_e]]))</f>
        <v/>
      </c>
      <c r="T26">
        <f>current_a * ActualData[[#This Row],[x_input]]^4 + current_b * ActualData[[#This Row],[x_input]]^3 + current_c * ActualData[[#This Row],[x_input]]^2  + current_d * ActualData[[#This Row],[x_input]] + current_e</f>
        <v>18.034076708358977</v>
      </c>
      <c r="U26">
        <f>(Engine_step_iesimo[[#This Row],[y_hat ]] - ActualData[[#This Row],[y]])</f>
        <v>-7.9659232916410225</v>
      </c>
      <c r="V26">
        <f xml:space="preserve"> 2 * Engine_step_iesimo[[#This Row],[Err]] * ActualData[[#This Row],[x_input]]^4</f>
        <v>-6.7323556813465524E-2</v>
      </c>
      <c r="W26">
        <f xml:space="preserve"> 2 * Engine_step_iesimo[[#This Row],[Err]] * ActualData[[#This Row],[x_input]]^3</f>
        <v>-0.26405343301742329</v>
      </c>
      <c r="X26">
        <f xml:space="preserve"> 2 * Engine_step_iesimo[[#This Row],[Err]] * ActualData[[#This Row],[x_input]]^2</f>
        <v>-1.0356585241251122</v>
      </c>
      <c r="Y26">
        <f xml:space="preserve"> 2 * Engine_step_iesimo[[#This Row],[Err]] * ActualData[[#This Row],[x_input]]</f>
        <v>-4.0620133824286686</v>
      </c>
      <c r="Z26">
        <f xml:space="preserve"> 2 * Engine_step_iesimo[[#This Row],[Err]]</f>
        <v>-15.931846583282045</v>
      </c>
      <c r="AA26">
        <f>Engine_step_iesimo[[#This Row],[Err]] ^ 2</f>
        <v>63.455933888308941</v>
      </c>
      <c r="AB26">
        <f>ActualData[[#This Row],[x_input]]</f>
        <v>0.25496186905861307</v>
      </c>
      <c r="AC26">
        <f>current_a * ActualData[[#This Row],[x_input]]^4 + current_b * ActualData[[#This Row],[x_input]]^3 + current_c * ActualData[[#This Row],[x_input]]^2 + current_d * ActualData[[#This Row],[x_input]] + current_e</f>
        <v>18.034076708358977</v>
      </c>
      <c r="AD26">
        <f>ABS(Engine_step_iesimo[[#This Row],[Err]])</f>
        <v>7.9659232916410225</v>
      </c>
    </row>
    <row r="27" spans="1:30" x14ac:dyDescent="0.3">
      <c r="A27">
        <f t="shared" si="0"/>
        <v>12</v>
      </c>
      <c r="B27">
        <v>30</v>
      </c>
      <c r="C27">
        <f>ActualData[[#This Row],[x_scaled]]</f>
        <v>0.37049146597579702</v>
      </c>
      <c r="D27">
        <f>(ActualData[[#This Row],[x]] - AVG_X) / STD_X</f>
        <v>0.37049146597579702</v>
      </c>
      <c r="F27" s="2">
        <f t="shared" si="1"/>
        <v>10</v>
      </c>
      <c r="G27" s="2" t="str">
        <f>IF(Iterations[[#This Row],[Step]] =current_step, current_a,IF(Iterations[[#This Row],[Step]] &gt; current_step, "",Iterations[[#This Row],[a]]))</f>
        <v/>
      </c>
      <c r="H27" s="2" t="str">
        <f>IF(Iterations[[#This Row],[Step]] =current_step, current_b,IF(Iterations[[#This Row],[Step]] &gt; current_step, "",Iterations[[#This Row],[b]]))</f>
        <v/>
      </c>
      <c r="I27" s="2" t="str">
        <f>IF(Iterations[[#This Row],[Step]] =current_step, current_c,IF(Iterations[[#This Row],[Step]] &gt; current_step, "",Iterations[[#This Row],[c]]))</f>
        <v/>
      </c>
      <c r="J27" s="2" t="str">
        <f>IF(Iterations[[#This Row],[Step]] =current_step, current_d,IF(Iterations[[#This Row],[Step]] &gt; current_step, "",Iterations[[#This Row],[d]]))</f>
        <v/>
      </c>
      <c r="K27" s="2" t="str">
        <f>IF(Iterations[[#This Row],[Step]] =current_step, current_e,IF(Iterations[[#This Row],[Step]] &gt; current_step, "",Iterations[[#This Row],[e]]))</f>
        <v/>
      </c>
      <c r="L27" s="2" t="str">
        <f>IF(Iterations[[#This Row],[Step]] =current_step, current_Total_Loss,IF(Iterations[[#This Row],[Step]] &gt; current_step, "",Iterations[[#This Row],[Total Loss]]))</f>
        <v/>
      </c>
      <c r="M27" s="6" t="s">
        <v>27</v>
      </c>
      <c r="N27" s="2" t="str">
        <f>IF(Iterations[[#This Row],[Step]] =current_step, current_Grad_a,IF(Iterations[[#This Row],[Step]] &gt; current_step, "",Iterations[[#This Row],[Grad_a]]))</f>
        <v/>
      </c>
      <c r="O27" s="2" t="str">
        <f>IF(Iterations[[#This Row],[Step]] =current_step, current_Grad_b,IF(Iterations[[#This Row],[Step]] &gt; current_step, "",Iterations[[#This Row],[Grad_b]]))</f>
        <v/>
      </c>
      <c r="P27" s="2" t="str">
        <f>IF(Iterations[[#This Row],[Step]] =current_step, current_Grad_c,IF(Iterations[[#This Row],[Step]] &gt; current_step, "",Iterations[[#This Row],[Grad_c]]))</f>
        <v/>
      </c>
      <c r="Q27" s="2" t="str">
        <f>IF(Iterations[[#This Row],[Step]] =current_step, current_Grad_d,IF(Iterations[[#This Row],[Step]] &gt; current_step, "",Iterations[[#This Row],[Grad_d]]))</f>
        <v/>
      </c>
      <c r="R27" s="2" t="str">
        <f>IF(Iterations[[#This Row],[Step]] =current_step, current_Grad_e,IF(Iterations[[#This Row],[Step]] &gt; current_step, "",Iterations[[#This Row],[Grad_e]]))</f>
        <v/>
      </c>
      <c r="T27">
        <f>current_a * ActualData[[#This Row],[x_input]]^4 + current_b * ActualData[[#This Row],[x_input]]^3 + current_c * ActualData[[#This Row],[x_input]]^2  + current_d * ActualData[[#This Row],[x_input]] + current_e</f>
        <v>18.057745189111973</v>
      </c>
      <c r="U27">
        <f>(Engine_step_iesimo[[#This Row],[y_hat ]] - ActualData[[#This Row],[y]])</f>
        <v>-11.942254810888027</v>
      </c>
      <c r="V27">
        <f xml:space="preserve"> 2 * Engine_step_iesimo[[#This Row],[Err]] * ActualData[[#This Row],[x_input]]^4</f>
        <v>-0.45001725278487248</v>
      </c>
      <c r="W27">
        <f xml:space="preserve"> 2 * Engine_step_iesimo[[#This Row],[Err]] * ActualData[[#This Row],[x_input]]^3</f>
        <v>-1.2146494430030157</v>
      </c>
      <c r="X27">
        <f xml:space="preserve"> 2 * Engine_step_iesimo[[#This Row],[Err]] * ActualData[[#This Row],[x_input]]^2</f>
        <v>-3.2784815698895602</v>
      </c>
      <c r="Y27">
        <f xml:space="preserve"> 2 * Engine_step_iesimo[[#This Row],[Err]] * ActualData[[#This Row],[x_input]]</f>
        <v>-8.8490069838848395</v>
      </c>
      <c r="Z27">
        <f xml:space="preserve"> 2 * Engine_step_iesimo[[#This Row],[Err]]</f>
        <v>-23.884509621776054</v>
      </c>
      <c r="AA27">
        <f>Engine_step_iesimo[[#This Row],[Err]] ^ 2</f>
        <v>142.61744996817822</v>
      </c>
      <c r="AB27">
        <f>ActualData[[#This Row],[x_input]]</f>
        <v>0.37049146597579702</v>
      </c>
      <c r="AC27">
        <f>current_a * ActualData[[#This Row],[x_input]]^4 + current_b * ActualData[[#This Row],[x_input]]^3 + current_c * ActualData[[#This Row],[x_input]]^2 + current_d * ActualData[[#This Row],[x_input]] + current_e</f>
        <v>18.057745189111973</v>
      </c>
      <c r="AD27">
        <f>ABS(Engine_step_iesimo[[#This Row],[Err]])</f>
        <v>11.942254810888027</v>
      </c>
    </row>
    <row r="28" spans="1:30" x14ac:dyDescent="0.3">
      <c r="A28">
        <f t="shared" si="0"/>
        <v>13</v>
      </c>
      <c r="B28">
        <v>28</v>
      </c>
      <c r="C28">
        <f>ActualData[[#This Row],[x_scaled]]</f>
        <v>0.48602106289298103</v>
      </c>
      <c r="D28">
        <f>(ActualData[[#This Row],[x]] - AVG_X) / STD_X</f>
        <v>0.48602106289298103</v>
      </c>
      <c r="F28" s="2">
        <f t="shared" si="1"/>
        <v>11</v>
      </c>
      <c r="G28" s="2" t="str">
        <f>IF(Iterations[[#This Row],[Step]] =current_step, current_a,IF(Iterations[[#This Row],[Step]] &gt; current_step, "",Iterations[[#This Row],[a]]))</f>
        <v/>
      </c>
      <c r="H28" s="2" t="str">
        <f>IF(Iterations[[#This Row],[Step]] =current_step, current_b,IF(Iterations[[#This Row],[Step]] &gt; current_step, "",Iterations[[#This Row],[b]]))</f>
        <v/>
      </c>
      <c r="I28" s="2" t="str">
        <f>IF(Iterations[[#This Row],[Step]] =current_step, current_c,IF(Iterations[[#This Row],[Step]] &gt; current_step, "",Iterations[[#This Row],[c]]))</f>
        <v/>
      </c>
      <c r="J28" s="2" t="str">
        <f>IF(Iterations[[#This Row],[Step]] =current_step, current_d,IF(Iterations[[#This Row],[Step]] &gt; current_step, "",Iterations[[#This Row],[d]]))</f>
        <v/>
      </c>
      <c r="K28" s="2" t="str">
        <f>IF(Iterations[[#This Row],[Step]] =current_step, current_e,IF(Iterations[[#This Row],[Step]] &gt; current_step, "",Iterations[[#This Row],[e]]))</f>
        <v/>
      </c>
      <c r="L28" s="2" t="str">
        <f>IF(Iterations[[#This Row],[Step]] =current_step, current_Total_Loss,IF(Iterations[[#This Row],[Step]] &gt; current_step, "",Iterations[[#This Row],[Total Loss]]))</f>
        <v/>
      </c>
      <c r="M28" s="6" t="s">
        <v>27</v>
      </c>
      <c r="N28" s="2" t="str">
        <f>IF(Iterations[[#This Row],[Step]] =current_step, current_Grad_a,IF(Iterations[[#This Row],[Step]] &gt; current_step, "",Iterations[[#This Row],[Grad_a]]))</f>
        <v/>
      </c>
      <c r="O28" s="2" t="str">
        <f>IF(Iterations[[#This Row],[Step]] =current_step, current_Grad_b,IF(Iterations[[#This Row],[Step]] &gt; current_step, "",Iterations[[#This Row],[Grad_b]]))</f>
        <v/>
      </c>
      <c r="P28" s="2" t="str">
        <f>IF(Iterations[[#This Row],[Step]] =current_step, current_Grad_c,IF(Iterations[[#This Row],[Step]] &gt; current_step, "",Iterations[[#This Row],[Grad_c]]))</f>
        <v/>
      </c>
      <c r="Q28" s="2" t="str">
        <f>IF(Iterations[[#This Row],[Step]] =current_step, current_Grad_d,IF(Iterations[[#This Row],[Step]] &gt; current_step, "",Iterations[[#This Row],[Grad_d]]))</f>
        <v/>
      </c>
      <c r="R28" s="2" t="str">
        <f>IF(Iterations[[#This Row],[Step]] =current_step, current_Grad_e,IF(Iterations[[#This Row],[Step]] &gt; current_step, "",Iterations[[#This Row],[Grad_e]]))</f>
        <v/>
      </c>
      <c r="T28">
        <f>current_a * ActualData[[#This Row],[x_input]]^4 + current_b * ActualData[[#This Row],[x_input]]^3 + current_c * ActualData[[#This Row],[x_input]]^2  + current_d * ActualData[[#This Row],[x_input]] + current_e</f>
        <v>18.089284194041717</v>
      </c>
      <c r="U28">
        <f>(Engine_step_iesimo[[#This Row],[y_hat ]] - ActualData[[#This Row],[y]])</f>
        <v>-9.9107158059582829</v>
      </c>
      <c r="V28">
        <f xml:space="preserve"> 2 * Engine_step_iesimo[[#This Row],[Err]] * ActualData[[#This Row],[x_input]]^4</f>
        <v>-1.1060006491402243</v>
      </c>
      <c r="W28">
        <f xml:space="preserve"> 2 * Engine_step_iesimo[[#This Row],[Err]] * ActualData[[#This Row],[x_input]]^3</f>
        <v>-2.2756228764179283</v>
      </c>
      <c r="X28">
        <f xml:space="preserve"> 2 * Engine_step_iesimo[[#This Row],[Err]] * ActualData[[#This Row],[x_input]]^2</f>
        <v>-4.6821486765873086</v>
      </c>
      <c r="Y28">
        <f xml:space="preserve"> 2 * Engine_step_iesimo[[#This Row],[Err]] * ActualData[[#This Row],[x_input]]</f>
        <v>-9.633633260084224</v>
      </c>
      <c r="Z28">
        <f xml:space="preserve"> 2 * Engine_step_iesimo[[#This Row],[Err]]</f>
        <v>-19.821431611916566</v>
      </c>
      <c r="AA28">
        <f>Engine_step_iesimo[[#This Row],[Err]] ^ 2</f>
        <v>98.222287786471341</v>
      </c>
      <c r="AB28">
        <f>ActualData[[#This Row],[x_input]]</f>
        <v>0.48602106289298103</v>
      </c>
      <c r="AC28">
        <f>current_a * ActualData[[#This Row],[x_input]]^4 + current_b * ActualData[[#This Row],[x_input]]^3 + current_c * ActualData[[#This Row],[x_input]]^2 + current_d * ActualData[[#This Row],[x_input]] + current_e</f>
        <v>18.089284194041717</v>
      </c>
      <c r="AD28">
        <f>ABS(Engine_step_iesimo[[#This Row],[Err]])</f>
        <v>9.9107158059582829</v>
      </c>
    </row>
    <row r="29" spans="1:30" x14ac:dyDescent="0.3">
      <c r="A29">
        <f t="shared" si="0"/>
        <v>14</v>
      </c>
      <c r="B29">
        <v>26</v>
      </c>
      <c r="C29">
        <f>ActualData[[#This Row],[x_scaled]]</f>
        <v>0.60155065981016498</v>
      </c>
      <c r="D29">
        <f>(ActualData[[#This Row],[x]] - AVG_X) / STD_X</f>
        <v>0.60155065981016498</v>
      </c>
      <c r="F29" s="2">
        <f t="shared" si="1"/>
        <v>12</v>
      </c>
      <c r="G29" s="2" t="str">
        <f>IF(Iterations[[#This Row],[Step]] =current_step, current_a,IF(Iterations[[#This Row],[Step]] &gt; current_step, "",Iterations[[#This Row],[a]]))</f>
        <v/>
      </c>
      <c r="H29" s="2" t="str">
        <f>IF(Iterations[[#This Row],[Step]] =current_step, current_b,IF(Iterations[[#This Row],[Step]] &gt; current_step, "",Iterations[[#This Row],[b]]))</f>
        <v/>
      </c>
      <c r="I29" s="2" t="str">
        <f>IF(Iterations[[#This Row],[Step]] =current_step, current_c,IF(Iterations[[#This Row],[Step]] &gt; current_step, "",Iterations[[#This Row],[c]]))</f>
        <v/>
      </c>
      <c r="J29" s="2" t="str">
        <f>IF(Iterations[[#This Row],[Step]] =current_step, current_d,IF(Iterations[[#This Row],[Step]] &gt; current_step, "",Iterations[[#This Row],[d]]))</f>
        <v/>
      </c>
      <c r="K29" s="2" t="str">
        <f>IF(Iterations[[#This Row],[Step]] =current_step, current_e,IF(Iterations[[#This Row],[Step]] &gt; current_step, "",Iterations[[#This Row],[e]]))</f>
        <v/>
      </c>
      <c r="L29" s="2" t="str">
        <f>IF(Iterations[[#This Row],[Step]] =current_step, current_Total_Loss,IF(Iterations[[#This Row],[Step]] &gt; current_step, "",Iterations[[#This Row],[Total Loss]]))</f>
        <v/>
      </c>
      <c r="M29" s="6" t="s">
        <v>27</v>
      </c>
      <c r="N29" s="2" t="str">
        <f>IF(Iterations[[#This Row],[Step]] =current_step, current_Grad_a,IF(Iterations[[#This Row],[Step]] &gt; current_step, "",Iterations[[#This Row],[Grad_a]]))</f>
        <v/>
      </c>
      <c r="O29" s="2" t="str">
        <f>IF(Iterations[[#This Row],[Step]] =current_step, current_Grad_b,IF(Iterations[[#This Row],[Step]] &gt; current_step, "",Iterations[[#This Row],[Grad_b]]))</f>
        <v/>
      </c>
      <c r="P29" s="2" t="str">
        <f>IF(Iterations[[#This Row],[Step]] =current_step, current_Grad_c,IF(Iterations[[#This Row],[Step]] &gt; current_step, "",Iterations[[#This Row],[Grad_c]]))</f>
        <v/>
      </c>
      <c r="Q29" s="2" t="str">
        <f>IF(Iterations[[#This Row],[Step]] =current_step, current_Grad_d,IF(Iterations[[#This Row],[Step]] &gt; current_step, "",Iterations[[#This Row],[Grad_d]]))</f>
        <v/>
      </c>
      <c r="R29" s="2" t="str">
        <f>IF(Iterations[[#This Row],[Step]] =current_step, current_Grad_e,IF(Iterations[[#This Row],[Step]] &gt; current_step, "",Iterations[[#This Row],[Grad_e]]))</f>
        <v/>
      </c>
      <c r="T29">
        <f>current_a * ActualData[[#This Row],[x_input]]^4 + current_b * ActualData[[#This Row],[x_input]]^3 + current_c * ActualData[[#This Row],[x_input]]^2  + current_d * ActualData[[#This Row],[x_input]] + current_e</f>
        <v>18.131203787348387</v>
      </c>
      <c r="U29">
        <f>(Engine_step_iesimo[[#This Row],[y_hat ]] - ActualData[[#This Row],[y]])</f>
        <v>-7.8687962126516133</v>
      </c>
      <c r="V29">
        <f xml:space="preserve"> 2 * Engine_step_iesimo[[#This Row],[Err]] * ActualData[[#This Row],[x_input]]^4</f>
        <v>-2.0607586128480144</v>
      </c>
      <c r="W29">
        <f xml:space="preserve"> 2 * Engine_step_iesimo[[#This Row],[Err]] * ActualData[[#This Row],[x_input]]^3</f>
        <v>-3.4257440819669962</v>
      </c>
      <c r="X29">
        <f xml:space="preserve"> 2 * Engine_step_iesimo[[#This Row],[Err]] * ActualData[[#This Row],[x_input]]^2</f>
        <v>-5.6948554973708765</v>
      </c>
      <c r="Y29">
        <f xml:space="preserve"> 2 * Engine_step_iesimo[[#This Row],[Err]] * ActualData[[#This Row],[x_input]]</f>
        <v>-9.4669591072646107</v>
      </c>
      <c r="Z29">
        <f xml:space="preserve"> 2 * Engine_step_iesimo[[#This Row],[Err]]</f>
        <v>-15.737592425303227</v>
      </c>
      <c r="AA29">
        <f>Engine_step_iesimo[[#This Row],[Err]] ^ 2</f>
        <v>61.917953836240372</v>
      </c>
      <c r="AB29">
        <f>ActualData[[#This Row],[x_input]]</f>
        <v>0.60155065981016498</v>
      </c>
      <c r="AC29">
        <f>current_a * ActualData[[#This Row],[x_input]]^4 + current_b * ActualData[[#This Row],[x_input]]^3 + current_c * ActualData[[#This Row],[x_input]]^2 + current_d * ActualData[[#This Row],[x_input]] + current_e</f>
        <v>18.131203787348387</v>
      </c>
      <c r="AD29">
        <f>ABS(Engine_step_iesimo[[#This Row],[Err]])</f>
        <v>7.8687962126516133</v>
      </c>
    </row>
    <row r="30" spans="1:30" x14ac:dyDescent="0.3">
      <c r="A30">
        <f t="shared" si="0"/>
        <v>15</v>
      </c>
      <c r="B30">
        <v>22</v>
      </c>
      <c r="C30">
        <f>ActualData[[#This Row],[x_scaled]]</f>
        <v>0.71708025672734899</v>
      </c>
      <c r="D30">
        <f>(ActualData[[#This Row],[x]] - AVG_X) / STD_X</f>
        <v>0.71708025672734899</v>
      </c>
      <c r="F30" s="2">
        <f t="shared" si="1"/>
        <v>13</v>
      </c>
      <c r="G30" s="2" t="str">
        <f>IF(Iterations[[#This Row],[Step]] =current_step, current_a,IF(Iterations[[#This Row],[Step]] &gt; current_step, "",Iterations[[#This Row],[a]]))</f>
        <v/>
      </c>
      <c r="H30" s="2" t="str">
        <f>IF(Iterations[[#This Row],[Step]] =current_step, current_b,IF(Iterations[[#This Row],[Step]] &gt; current_step, "",Iterations[[#This Row],[b]]))</f>
        <v/>
      </c>
      <c r="I30" s="2" t="str">
        <f>IF(Iterations[[#This Row],[Step]] =current_step, current_c,IF(Iterations[[#This Row],[Step]] &gt; current_step, "",Iterations[[#This Row],[c]]))</f>
        <v/>
      </c>
      <c r="J30" s="2" t="str">
        <f>IF(Iterations[[#This Row],[Step]] =current_step, current_d,IF(Iterations[[#This Row],[Step]] &gt; current_step, "",Iterations[[#This Row],[d]]))</f>
        <v/>
      </c>
      <c r="K30" s="2" t="str">
        <f>IF(Iterations[[#This Row],[Step]] =current_step, current_e,IF(Iterations[[#This Row],[Step]] &gt; current_step, "",Iterations[[#This Row],[e]]))</f>
        <v/>
      </c>
      <c r="L30" s="2" t="str">
        <f>IF(Iterations[[#This Row],[Step]] =current_step, current_Total_Loss,IF(Iterations[[#This Row],[Step]] &gt; current_step, "",Iterations[[#This Row],[Total Loss]]))</f>
        <v/>
      </c>
      <c r="M30" s="6" t="s">
        <v>27</v>
      </c>
      <c r="N30" s="2" t="str">
        <f>IF(Iterations[[#This Row],[Step]] =current_step, current_Grad_a,IF(Iterations[[#This Row],[Step]] &gt; current_step, "",Iterations[[#This Row],[Grad_a]]))</f>
        <v/>
      </c>
      <c r="O30" s="2" t="str">
        <f>IF(Iterations[[#This Row],[Step]] =current_step, current_Grad_b,IF(Iterations[[#This Row],[Step]] &gt; current_step, "",Iterations[[#This Row],[Grad_b]]))</f>
        <v/>
      </c>
      <c r="P30" s="2" t="str">
        <f>IF(Iterations[[#This Row],[Step]] =current_step, current_Grad_c,IF(Iterations[[#This Row],[Step]] &gt; current_step, "",Iterations[[#This Row],[Grad_c]]))</f>
        <v/>
      </c>
      <c r="Q30" s="2" t="str">
        <f>IF(Iterations[[#This Row],[Step]] =current_step, current_Grad_d,IF(Iterations[[#This Row],[Step]] &gt; current_step, "",Iterations[[#This Row],[Grad_d]]))</f>
        <v/>
      </c>
      <c r="R30" s="2" t="str">
        <f>IF(Iterations[[#This Row],[Step]] =current_step, current_Grad_e,IF(Iterations[[#This Row],[Step]] &gt; current_step, "",Iterations[[#This Row],[Grad_e]]))</f>
        <v/>
      </c>
      <c r="T30">
        <f>current_a * ActualData[[#This Row],[x_input]]^4 + current_b * ActualData[[#This Row],[x_input]]^3 + current_c * ActualData[[#This Row],[x_input]]^2  + current_d * ActualData[[#This Row],[x_input]] + current_e</f>
        <v>18.186441580636426</v>
      </c>
      <c r="U30">
        <f>(Engine_step_iesimo[[#This Row],[y_hat ]] - ActualData[[#This Row],[y]])</f>
        <v>-3.8135584193635736</v>
      </c>
      <c r="V30">
        <f xml:space="preserve"> 2 * Engine_step_iesimo[[#This Row],[Err]] * ActualData[[#This Row],[x_input]]^4</f>
        <v>-2.0166543175904805</v>
      </c>
      <c r="W30">
        <f xml:space="preserve"> 2 * Engine_step_iesimo[[#This Row],[Err]] * ActualData[[#This Row],[x_input]]^3</f>
        <v>-2.8123132643397555</v>
      </c>
      <c r="X30">
        <f xml:space="preserve"> 2 * Engine_step_iesimo[[#This Row],[Err]] * ActualData[[#This Row],[x_input]]^2</f>
        <v>-3.9218947083758078</v>
      </c>
      <c r="Y30">
        <f xml:space="preserve"> 2 * Engine_step_iesimo[[#This Row],[Err]] * ActualData[[#This Row],[x_input]]</f>
        <v>-5.469254900803949</v>
      </c>
      <c r="Z30">
        <f xml:space="preserve"> 2 * Engine_step_iesimo[[#This Row],[Err]]</f>
        <v>-7.6271168387271473</v>
      </c>
      <c r="AA30">
        <f>Engine_step_iesimo[[#This Row],[Err]] ^ 2</f>
        <v>14.543227817898797</v>
      </c>
      <c r="AB30">
        <f>ActualData[[#This Row],[x_input]]</f>
        <v>0.71708025672734899</v>
      </c>
      <c r="AC30">
        <f>current_a * ActualData[[#This Row],[x_input]]^4 + current_b * ActualData[[#This Row],[x_input]]^3 + current_c * ActualData[[#This Row],[x_input]]^2 + current_d * ActualData[[#This Row],[x_input]] + current_e</f>
        <v>18.186441580636426</v>
      </c>
      <c r="AD30">
        <f>ABS(Engine_step_iesimo[[#This Row],[Err]])</f>
        <v>3.8135584193635736</v>
      </c>
    </row>
    <row r="31" spans="1:30" x14ac:dyDescent="0.3">
      <c r="A31">
        <v>16</v>
      </c>
      <c r="B31">
        <v>21</v>
      </c>
      <c r="C31" s="41">
        <f>ActualData[[#This Row],[x_scaled]]</f>
        <v>0.83260985364453299</v>
      </c>
      <c r="D31" s="41">
        <f>(ActualData[[#This Row],[x]] - AVG_X) / STD_X</f>
        <v>0.83260985364453299</v>
      </c>
      <c r="F31" s="2">
        <f t="shared" si="1"/>
        <v>14</v>
      </c>
      <c r="G31" s="2" t="str">
        <f>IF(Iterations[[#This Row],[Step]] =current_step, current_a,IF(Iterations[[#This Row],[Step]] &gt; current_step, "",Iterations[[#This Row],[a]]))</f>
        <v/>
      </c>
      <c r="H31" s="2" t="str">
        <f>IF(Iterations[[#This Row],[Step]] =current_step, current_b,IF(Iterations[[#This Row],[Step]] &gt; current_step, "",Iterations[[#This Row],[b]]))</f>
        <v/>
      </c>
      <c r="I31" s="2" t="str">
        <f>IF(Iterations[[#This Row],[Step]] =current_step, current_c,IF(Iterations[[#This Row],[Step]] &gt; current_step, "",Iterations[[#This Row],[c]]))</f>
        <v/>
      </c>
      <c r="J31" s="2" t="str">
        <f>IF(Iterations[[#This Row],[Step]] =current_step, current_d,IF(Iterations[[#This Row],[Step]] &gt; current_step, "",Iterations[[#This Row],[d]]))</f>
        <v/>
      </c>
      <c r="K31" s="2" t="str">
        <f>IF(Iterations[[#This Row],[Step]] =current_step, current_e,IF(Iterations[[#This Row],[Step]] &gt; current_step, "",Iterations[[#This Row],[e]]))</f>
        <v/>
      </c>
      <c r="L31" s="2" t="str">
        <f>IF(Iterations[[#This Row],[Step]] =current_step, current_Total_Loss,IF(Iterations[[#This Row],[Step]] &gt; current_step, "",Iterations[[#This Row],[Total Loss]]))</f>
        <v/>
      </c>
      <c r="M31" s="6" t="s">
        <v>27</v>
      </c>
      <c r="N31" s="2" t="str">
        <f>IF(Iterations[[#This Row],[Step]] =current_step, current_Grad_a,IF(Iterations[[#This Row],[Step]] &gt; current_step, "",Iterations[[#This Row],[Grad_a]]))</f>
        <v/>
      </c>
      <c r="O31" s="2" t="str">
        <f>IF(Iterations[[#This Row],[Step]] =current_step, current_Grad_b,IF(Iterations[[#This Row],[Step]] &gt; current_step, "",Iterations[[#This Row],[Grad_b]]))</f>
        <v/>
      </c>
      <c r="P31" s="2" t="str">
        <f>IF(Iterations[[#This Row],[Step]] =current_step, current_Grad_c,IF(Iterations[[#This Row],[Step]] &gt; current_step, "",Iterations[[#This Row],[Grad_c]]))</f>
        <v/>
      </c>
      <c r="Q31" s="2" t="str">
        <f>IF(Iterations[[#This Row],[Step]] =current_step, current_Grad_d,IF(Iterations[[#This Row],[Step]] &gt; current_step, "",Iterations[[#This Row],[Grad_d]]))</f>
        <v/>
      </c>
      <c r="R31" s="2" t="str">
        <f>IF(Iterations[[#This Row],[Step]] =current_step, current_Grad_e,IF(Iterations[[#This Row],[Step]] &gt; current_step, "",Iterations[[#This Row],[Grad_e]]))</f>
        <v/>
      </c>
      <c r="T31">
        <f>current_a * ActualData[[#This Row],[x_input]]^4 + current_b * ActualData[[#This Row],[x_input]]^3 + current_c * ActualData[[#This Row],[x_input]]^2  + current_d * ActualData[[#This Row],[x_input]] + current_e</f>
        <v>18.258362732914549</v>
      </c>
      <c r="U31">
        <f>(Engine_step_iesimo[[#This Row],[y_hat ]] - ActualData[[#This Row],[y]])</f>
        <v>-2.7416372670854514</v>
      </c>
      <c r="V31">
        <f xml:space="preserve"> 2 * Engine_step_iesimo[[#This Row],[Err]] * ActualData[[#This Row],[x_input]]^4</f>
        <v>-2.6351550617380206</v>
      </c>
      <c r="W31">
        <f xml:space="preserve"> 2 * Engine_step_iesimo[[#This Row],[Err]] * ActualData[[#This Row],[x_input]]^3</f>
        <v>-3.1649337924639194</v>
      </c>
      <c r="X31">
        <f xml:space="preserve"> 2 * Engine_step_iesimo[[#This Row],[Err]] * ActualData[[#This Row],[x_input]]^2</f>
        <v>-3.8012206781006075</v>
      </c>
      <c r="Y31">
        <f xml:space="preserve"> 2 * Engine_step_iesimo[[#This Row],[Err]] * ActualData[[#This Row],[x_input]]</f>
        <v>-4.56542840738883</v>
      </c>
      <c r="Z31">
        <f xml:space="preserve"> 2 * Engine_step_iesimo[[#This Row],[Err]]</f>
        <v>-5.4832745341709028</v>
      </c>
      <c r="AA31">
        <f>Engine_step_iesimo[[#This Row],[Err]] ^ 2</f>
        <v>7.5165749042717831</v>
      </c>
      <c r="AB31">
        <f>ActualData[[#This Row],[x_input]]</f>
        <v>0.83260985364453299</v>
      </c>
      <c r="AC31">
        <f>current_a * ActualData[[#This Row],[x_input]]^4 + current_b * ActualData[[#This Row],[x_input]]^3 + current_c * ActualData[[#This Row],[x_input]]^2 + current_d * ActualData[[#This Row],[x_input]] + current_e</f>
        <v>18.258362732914549</v>
      </c>
      <c r="AD31">
        <f>ABS(Engine_step_iesimo[[#This Row],[Err]])</f>
        <v>2.7416372670854514</v>
      </c>
    </row>
    <row r="32" spans="1:30" x14ac:dyDescent="0.3">
      <c r="A32">
        <v>17</v>
      </c>
      <c r="B32">
        <v>20</v>
      </c>
      <c r="C32" s="41">
        <f>ActualData[[#This Row],[x_scaled]]</f>
        <v>0.948139450561717</v>
      </c>
      <c r="D32" s="41">
        <f>(ActualData[[#This Row],[x]] - AVG_X) / STD_X</f>
        <v>0.948139450561717</v>
      </c>
      <c r="F32" s="2">
        <f t="shared" si="1"/>
        <v>15</v>
      </c>
      <c r="G32" s="2" t="str">
        <f>IF(Iterations[[#This Row],[Step]] =current_step, current_a,IF(Iterations[[#This Row],[Step]] &gt; current_step, "",Iterations[[#This Row],[a]]))</f>
        <v/>
      </c>
      <c r="H32" s="2" t="str">
        <f>IF(Iterations[[#This Row],[Step]] =current_step, current_b,IF(Iterations[[#This Row],[Step]] &gt; current_step, "",Iterations[[#This Row],[b]]))</f>
        <v/>
      </c>
      <c r="I32" s="2" t="str">
        <f>IF(Iterations[[#This Row],[Step]] =current_step, current_c,IF(Iterations[[#This Row],[Step]] &gt; current_step, "",Iterations[[#This Row],[c]]))</f>
        <v/>
      </c>
      <c r="J32" s="2" t="str">
        <f>IF(Iterations[[#This Row],[Step]] =current_step, current_d,IF(Iterations[[#This Row],[Step]] &gt; current_step, "",Iterations[[#This Row],[d]]))</f>
        <v/>
      </c>
      <c r="K32" s="2" t="str">
        <f>IF(Iterations[[#This Row],[Step]] =current_step, current_e,IF(Iterations[[#This Row],[Step]] &gt; current_step, "",Iterations[[#This Row],[e]]))</f>
        <v/>
      </c>
      <c r="L32" s="2" t="str">
        <f>IF(Iterations[[#This Row],[Step]] =current_step, current_Total_Loss,IF(Iterations[[#This Row],[Step]] &gt; current_step, "",Iterations[[#This Row],[Total Loss]]))</f>
        <v/>
      </c>
      <c r="M32" s="6" t="s">
        <v>27</v>
      </c>
      <c r="N32" s="2" t="str">
        <f>IF(Iterations[[#This Row],[Step]] =current_step, current_Grad_a,IF(Iterations[[#This Row],[Step]] &gt; current_step, "",Iterations[[#This Row],[Grad_a]]))</f>
        <v/>
      </c>
      <c r="O32" s="2" t="str">
        <f>IF(Iterations[[#This Row],[Step]] =current_step, current_Grad_b,IF(Iterations[[#This Row],[Step]] &gt; current_step, "",Iterations[[#This Row],[Grad_b]]))</f>
        <v/>
      </c>
      <c r="P32" s="2" t="str">
        <f>IF(Iterations[[#This Row],[Step]] =current_step, current_Grad_c,IF(Iterations[[#This Row],[Step]] &gt; current_step, "",Iterations[[#This Row],[Grad_c]]))</f>
        <v/>
      </c>
      <c r="Q32" s="2" t="str">
        <f>IF(Iterations[[#This Row],[Step]] =current_step, current_Grad_d,IF(Iterations[[#This Row],[Step]] &gt; current_step, "",Iterations[[#This Row],[Grad_d]]))</f>
        <v/>
      </c>
      <c r="R32" s="2" t="str">
        <f>IF(Iterations[[#This Row],[Step]] =current_step, current_Grad_e,IF(Iterations[[#This Row],[Step]] &gt; current_step, "",Iterations[[#This Row],[Grad_e]]))</f>
        <v/>
      </c>
      <c r="T32">
        <f>current_a * ActualData[[#This Row],[x_input]]^4 + current_b * ActualData[[#This Row],[x_input]]^3 + current_c * ActualData[[#This Row],[x_input]]^2  + current_d * ActualData[[#This Row],[x_input]] + current_e</f>
        <v>18.350759950595716</v>
      </c>
      <c r="U32">
        <f>(Engine_step_iesimo[[#This Row],[y_hat ]] - ActualData[[#This Row],[y]])</f>
        <v>-1.649240049404284</v>
      </c>
      <c r="V32">
        <f xml:space="preserve"> 2 * Engine_step_iesimo[[#This Row],[Err]] * ActualData[[#This Row],[x_input]]^4</f>
        <v>-2.6656476135840066</v>
      </c>
      <c r="W32">
        <f xml:space="preserve"> 2 * Engine_step_iesimo[[#This Row],[Err]] * ActualData[[#This Row],[x_input]]^3</f>
        <v>-2.8114510075546026</v>
      </c>
      <c r="X32">
        <f xml:space="preserve"> 2 * Engine_step_iesimo[[#This Row],[Err]] * ActualData[[#This Row],[x_input]]^2</f>
        <v>-2.9652294352787267</v>
      </c>
      <c r="Y32">
        <f xml:space="preserve"> 2 * Engine_step_iesimo[[#This Row],[Err]] * ActualData[[#This Row],[x_input]]</f>
        <v>-3.1274191085731138</v>
      </c>
      <c r="Z32">
        <f xml:space="preserve"> 2 * Engine_step_iesimo[[#This Row],[Err]]</f>
        <v>-3.2984800988085681</v>
      </c>
      <c r="AA32">
        <f>Engine_step_iesimo[[#This Row],[Err]] ^ 2</f>
        <v>2.7199927405590452</v>
      </c>
      <c r="AB32">
        <f>ActualData[[#This Row],[x_input]]</f>
        <v>0.948139450561717</v>
      </c>
      <c r="AC32">
        <f>current_a * ActualData[[#This Row],[x_input]]^4 + current_b * ActualData[[#This Row],[x_input]]^3 + current_c * ActualData[[#This Row],[x_input]]^2 + current_d * ActualData[[#This Row],[x_input]] + current_e</f>
        <v>18.350759950595716</v>
      </c>
      <c r="AD32">
        <f>ABS(Engine_step_iesimo[[#This Row],[Err]])</f>
        <v>1.649240049404284</v>
      </c>
    </row>
    <row r="33" spans="1:30" x14ac:dyDescent="0.3">
      <c r="A33">
        <v>18</v>
      </c>
      <c r="B33">
        <v>20</v>
      </c>
      <c r="C33" s="41">
        <f>ActualData[[#This Row],[x_scaled]]</f>
        <v>1.063669047478901</v>
      </c>
      <c r="D33" s="41">
        <f>(ActualData[[#This Row],[x]] - AVG_X) / STD_X</f>
        <v>1.063669047478901</v>
      </c>
      <c r="F33" s="2">
        <f t="shared" si="1"/>
        <v>16</v>
      </c>
      <c r="G33" s="2" t="str">
        <f>IF(Iterations[[#This Row],[Step]] =current_step, current_a,IF(Iterations[[#This Row],[Step]] &gt; current_step, "",Iterations[[#This Row],[a]]))</f>
        <v/>
      </c>
      <c r="H33" s="2" t="str">
        <f>IF(Iterations[[#This Row],[Step]] =current_step, current_b,IF(Iterations[[#This Row],[Step]] &gt; current_step, "",Iterations[[#This Row],[b]]))</f>
        <v/>
      </c>
      <c r="I33" s="2" t="str">
        <f>IF(Iterations[[#This Row],[Step]] =current_step, current_c,IF(Iterations[[#This Row],[Step]] &gt; current_step, "",Iterations[[#This Row],[c]]))</f>
        <v/>
      </c>
      <c r="J33" s="2" t="str">
        <f>IF(Iterations[[#This Row],[Step]] =current_step, current_d,IF(Iterations[[#This Row],[Step]] &gt; current_step, "",Iterations[[#This Row],[d]]))</f>
        <v/>
      </c>
      <c r="K33" s="2" t="str">
        <f>IF(Iterations[[#This Row],[Step]] =current_step, current_e,IF(Iterations[[#This Row],[Step]] &gt; current_step, "",Iterations[[#This Row],[e]]))</f>
        <v/>
      </c>
      <c r="L33" s="2" t="str">
        <f>IF(Iterations[[#This Row],[Step]] =current_step, current_Total_Loss,IF(Iterations[[#This Row],[Step]] &gt; current_step, "",Iterations[[#This Row],[Total Loss]]))</f>
        <v/>
      </c>
      <c r="M33" s="6" t="s">
        <v>27</v>
      </c>
      <c r="N33" s="2" t="str">
        <f>IF(Iterations[[#This Row],[Step]] =current_step, current_Grad_a,IF(Iterations[[#This Row],[Step]] &gt; current_step, "",Iterations[[#This Row],[Grad_a]]))</f>
        <v/>
      </c>
      <c r="O33" s="2" t="str">
        <f>IF(Iterations[[#This Row],[Step]] =current_step, current_Grad_b,IF(Iterations[[#This Row],[Step]] &gt; current_step, "",Iterations[[#This Row],[Grad_b]]))</f>
        <v/>
      </c>
      <c r="P33" s="2" t="str">
        <f>IF(Iterations[[#This Row],[Step]] =current_step, current_Grad_c,IF(Iterations[[#This Row],[Step]] &gt; current_step, "",Iterations[[#This Row],[Grad_c]]))</f>
        <v/>
      </c>
      <c r="Q33" s="2" t="str">
        <f>IF(Iterations[[#This Row],[Step]] =current_step, current_Grad_d,IF(Iterations[[#This Row],[Step]] &gt; current_step, "",Iterations[[#This Row],[Grad_d]]))</f>
        <v/>
      </c>
      <c r="R33" s="2" t="str">
        <f>IF(Iterations[[#This Row],[Step]] =current_step, current_Grad_e,IF(Iterations[[#This Row],[Step]] &gt; current_step, "",Iterations[[#This Row],[Grad_e]]))</f>
        <v/>
      </c>
      <c r="T33">
        <f>current_a * ActualData[[#This Row],[x_input]]^4 + current_b * ActualData[[#This Row],[x_input]]^3 + current_c * ActualData[[#This Row],[x_input]]^2  + current_d * ActualData[[#This Row],[x_input]] + current_e</f>
        <v>18.467853487497162</v>
      </c>
      <c r="U33">
        <f>(Engine_step_iesimo[[#This Row],[y_hat ]] - ActualData[[#This Row],[y]])</f>
        <v>-1.5321465125028375</v>
      </c>
      <c r="V33">
        <f xml:space="preserve"> 2 * Engine_step_iesimo[[#This Row],[Err]] * ActualData[[#This Row],[x_input]]^4</f>
        <v>-3.922440630283023</v>
      </c>
      <c r="W33">
        <f xml:space="preserve"> 2 * Engine_step_iesimo[[#This Row],[Err]] * ActualData[[#This Row],[x_input]]^3</f>
        <v>-3.687651379515045</v>
      </c>
      <c r="X33">
        <f xml:space="preserve"> 2 * Engine_step_iesimo[[#This Row],[Err]] * ActualData[[#This Row],[x_input]]^2</f>
        <v>-3.4669161317192447</v>
      </c>
      <c r="Y33">
        <f xml:space="preserve"> 2 * Engine_step_iesimo[[#This Row],[Err]] * ActualData[[#This Row],[x_input]]</f>
        <v>-3.2593936431040267</v>
      </c>
      <c r="Z33">
        <f xml:space="preserve"> 2 * Engine_step_iesimo[[#This Row],[Err]]</f>
        <v>-3.064293025005675</v>
      </c>
      <c r="AA33">
        <f>Engine_step_iesimo[[#This Row],[Err]] ^ 2</f>
        <v>2.3474729357746078</v>
      </c>
      <c r="AB33">
        <f>ActualData[[#This Row],[x_input]]</f>
        <v>1.063669047478901</v>
      </c>
      <c r="AC33">
        <f>current_a * ActualData[[#This Row],[x_input]]^4 + current_b * ActualData[[#This Row],[x_input]]^3 + current_c * ActualData[[#This Row],[x_input]]^2 + current_d * ActualData[[#This Row],[x_input]] + current_e</f>
        <v>18.467853487497162</v>
      </c>
      <c r="AD33">
        <f>ABS(Engine_step_iesimo[[#This Row],[Err]])</f>
        <v>1.5321465125028375</v>
      </c>
    </row>
    <row r="34" spans="1:30" x14ac:dyDescent="0.3">
      <c r="A34">
        <v>19</v>
      </c>
      <c r="B34">
        <v>21</v>
      </c>
      <c r="C34" s="41">
        <f>ActualData[[#This Row],[x_scaled]]</f>
        <v>1.1791986443960849</v>
      </c>
      <c r="D34" s="41">
        <f>(ActualData[[#This Row],[x]] - AVG_X) / STD_X</f>
        <v>1.1791986443960849</v>
      </c>
      <c r="F34" s="2">
        <f t="shared" si="1"/>
        <v>17</v>
      </c>
      <c r="G34" s="2" t="str">
        <f>IF(Iterations[[#This Row],[Step]] =current_step, current_a,IF(Iterations[[#This Row],[Step]] &gt; current_step, "",Iterations[[#This Row],[a]]))</f>
        <v/>
      </c>
      <c r="H34" s="2" t="str">
        <f>IF(Iterations[[#This Row],[Step]] =current_step, current_b,IF(Iterations[[#This Row],[Step]] &gt; current_step, "",Iterations[[#This Row],[b]]))</f>
        <v/>
      </c>
      <c r="I34" s="2" t="str">
        <f>IF(Iterations[[#This Row],[Step]] =current_step, current_c,IF(Iterations[[#This Row],[Step]] &gt; current_step, "",Iterations[[#This Row],[c]]))</f>
        <v/>
      </c>
      <c r="J34" s="2" t="str">
        <f>IF(Iterations[[#This Row],[Step]] =current_step, current_d,IF(Iterations[[#This Row],[Step]] &gt; current_step, "",Iterations[[#This Row],[d]]))</f>
        <v/>
      </c>
      <c r="K34" s="2" t="str">
        <f>IF(Iterations[[#This Row],[Step]] =current_step, current_e,IF(Iterations[[#This Row],[Step]] &gt; current_step, "",Iterations[[#This Row],[e]]))</f>
        <v/>
      </c>
      <c r="L34" s="2" t="str">
        <f>IF(Iterations[[#This Row],[Step]] =current_step, current_Total_Loss,IF(Iterations[[#This Row],[Step]] &gt; current_step, "",Iterations[[#This Row],[Total Loss]]))</f>
        <v/>
      </c>
      <c r="M34" s="6" t="s">
        <v>27</v>
      </c>
      <c r="N34" s="2" t="str">
        <f>IF(Iterations[[#This Row],[Step]] =current_step, current_Grad_a,IF(Iterations[[#This Row],[Step]] &gt; current_step, "",Iterations[[#This Row],[Grad_a]]))</f>
        <v/>
      </c>
      <c r="O34" s="2" t="str">
        <f>IF(Iterations[[#This Row],[Step]] =current_step, current_Grad_b,IF(Iterations[[#This Row],[Step]] &gt; current_step, "",Iterations[[#This Row],[Grad_b]]))</f>
        <v/>
      </c>
      <c r="P34" s="2" t="str">
        <f>IF(Iterations[[#This Row],[Step]] =current_step, current_Grad_c,IF(Iterations[[#This Row],[Step]] &gt; current_step, "",Iterations[[#This Row],[Grad_c]]))</f>
        <v/>
      </c>
      <c r="Q34" s="2" t="str">
        <f>IF(Iterations[[#This Row],[Step]] =current_step, current_Grad_d,IF(Iterations[[#This Row],[Step]] &gt; current_step, "",Iterations[[#This Row],[Grad_d]]))</f>
        <v/>
      </c>
      <c r="R34" s="2" t="str">
        <f>IF(Iterations[[#This Row],[Step]] =current_step, current_Grad_e,IF(Iterations[[#This Row],[Step]] &gt; current_step, "",Iterations[[#This Row],[Grad_e]]))</f>
        <v/>
      </c>
      <c r="T34">
        <f>current_a * ActualData[[#This Row],[x_input]]^4 + current_b * ActualData[[#This Row],[x_input]]^3 + current_c * ActualData[[#This Row],[x_input]]^2  + current_d * ActualData[[#This Row],[x_input]] + current_e</f>
        <v>18.614291144840379</v>
      </c>
      <c r="U34">
        <f>(Engine_step_iesimo[[#This Row],[y_hat ]] - ActualData[[#This Row],[y]])</f>
        <v>-2.3857088551596206</v>
      </c>
      <c r="V34">
        <f xml:space="preserve"> 2 * Engine_step_iesimo[[#This Row],[Err]] * ActualData[[#This Row],[x_input]]^4</f>
        <v>-9.225614923402091</v>
      </c>
      <c r="W34">
        <f xml:space="preserve"> 2 * Engine_step_iesimo[[#This Row],[Err]] * ActualData[[#This Row],[x_input]]^3</f>
        <v>-7.8236308761420776</v>
      </c>
      <c r="X34">
        <f xml:space="preserve"> 2 * Engine_step_iesimo[[#This Row],[Err]] * ActualData[[#This Row],[x_input]]^2</f>
        <v>-6.6347013824366075</v>
      </c>
      <c r="Y34">
        <f xml:space="preserve"> 2 * Engine_step_iesimo[[#This Row],[Err]] * ActualData[[#This Row],[x_input]]</f>
        <v>-5.6264492958559202</v>
      </c>
      <c r="Z34">
        <f xml:space="preserve"> 2 * Engine_step_iesimo[[#This Row],[Err]]</f>
        <v>-4.7714177103192412</v>
      </c>
      <c r="AA34">
        <f>Engine_step_iesimo[[#This Row],[Err]] ^ 2</f>
        <v>5.6916067415870275</v>
      </c>
      <c r="AB34">
        <f>ActualData[[#This Row],[x_input]]</f>
        <v>1.1791986443960849</v>
      </c>
      <c r="AC34">
        <f>current_a * ActualData[[#This Row],[x_input]]^4 + current_b * ActualData[[#This Row],[x_input]]^3 + current_c * ActualData[[#This Row],[x_input]]^2 + current_d * ActualData[[#This Row],[x_input]] + current_e</f>
        <v>18.614291144840379</v>
      </c>
      <c r="AD34">
        <f>ABS(Engine_step_iesimo[[#This Row],[Err]])</f>
        <v>2.3857088551596206</v>
      </c>
    </row>
    <row r="35" spans="1:30" x14ac:dyDescent="0.3">
      <c r="A35">
        <v>20</v>
      </c>
      <c r="B35">
        <v>21</v>
      </c>
      <c r="C35" s="41">
        <f>ActualData[[#This Row],[x_scaled]]</f>
        <v>1.294728241313269</v>
      </c>
      <c r="D35" s="41">
        <f>(ActualData[[#This Row],[x]] - AVG_X) / STD_X</f>
        <v>1.294728241313269</v>
      </c>
      <c r="F35" s="2">
        <f t="shared" si="1"/>
        <v>18</v>
      </c>
      <c r="G35" s="2" t="str">
        <f>IF(Iterations[[#This Row],[Step]] =current_step, current_a,IF(Iterations[[#This Row],[Step]] &gt; current_step, "",Iterations[[#This Row],[a]]))</f>
        <v/>
      </c>
      <c r="H35" s="2" t="str">
        <f>IF(Iterations[[#This Row],[Step]] =current_step, current_b,IF(Iterations[[#This Row],[Step]] &gt; current_step, "",Iterations[[#This Row],[b]]))</f>
        <v/>
      </c>
      <c r="I35" s="2" t="str">
        <f>IF(Iterations[[#This Row],[Step]] =current_step, current_c,IF(Iterations[[#This Row],[Step]] &gt; current_step, "",Iterations[[#This Row],[c]]))</f>
        <v/>
      </c>
      <c r="J35" s="2" t="str">
        <f>IF(Iterations[[#This Row],[Step]] =current_step, current_d,IF(Iterations[[#This Row],[Step]] &gt; current_step, "",Iterations[[#This Row],[d]]))</f>
        <v/>
      </c>
      <c r="K35" s="2" t="str">
        <f>IF(Iterations[[#This Row],[Step]] =current_step, current_e,IF(Iterations[[#This Row],[Step]] &gt; current_step, "",Iterations[[#This Row],[e]]))</f>
        <v/>
      </c>
      <c r="L35" s="2" t="str">
        <f>IF(Iterations[[#This Row],[Step]] =current_step, current_Total_Loss,IF(Iterations[[#This Row],[Step]] &gt; current_step, "",Iterations[[#This Row],[Total Loss]]))</f>
        <v/>
      </c>
      <c r="M35" s="6" t="s">
        <v>27</v>
      </c>
      <c r="N35" s="2" t="str">
        <f>IF(Iterations[[#This Row],[Step]] =current_step, current_Grad_a,IF(Iterations[[#This Row],[Step]] &gt; current_step, "",Iterations[[#This Row],[Grad_a]]))</f>
        <v/>
      </c>
      <c r="O35" s="2" t="str">
        <f>IF(Iterations[[#This Row],[Step]] =current_step, current_Grad_b,IF(Iterations[[#This Row],[Step]] &gt; current_step, "",Iterations[[#This Row],[Grad_b]]))</f>
        <v/>
      </c>
      <c r="P35" s="2" t="str">
        <f>IF(Iterations[[#This Row],[Step]] =current_step, current_Grad_c,IF(Iterations[[#This Row],[Step]] &gt; current_step, "",Iterations[[#This Row],[Grad_c]]))</f>
        <v/>
      </c>
      <c r="Q35" s="2" t="str">
        <f>IF(Iterations[[#This Row],[Step]] =current_step, current_Grad_d,IF(Iterations[[#This Row],[Step]] &gt; current_step, "",Iterations[[#This Row],[Grad_d]]))</f>
        <v/>
      </c>
      <c r="R35" s="2" t="str">
        <f>IF(Iterations[[#This Row],[Step]] =current_step, current_Grad_e,IF(Iterations[[#This Row],[Step]] &gt; current_step, "",Iterations[[#This Row],[Grad_e]]))</f>
        <v/>
      </c>
      <c r="T35">
        <f>current_a * ActualData[[#This Row],[x_input]]^4 + current_b * ActualData[[#This Row],[x_input]]^3 + current_c * ActualData[[#This Row],[x_input]]^2  + current_d * ActualData[[#This Row],[x_input]] + current_e</f>
        <v>18.795148271251122</v>
      </c>
      <c r="U35">
        <f>(Engine_step_iesimo[[#This Row],[y_hat ]] - ActualData[[#This Row],[y]])</f>
        <v>-2.2048517287488778</v>
      </c>
      <c r="V35">
        <f xml:space="preserve"> 2 * Engine_step_iesimo[[#This Row],[Err]] * ActualData[[#This Row],[x_input]]^4</f>
        <v>-12.391499674825447</v>
      </c>
      <c r="W35">
        <f xml:space="preserve"> 2 * Engine_step_iesimo[[#This Row],[Err]] * ActualData[[#This Row],[x_input]]^3</f>
        <v>-9.5707340578718636</v>
      </c>
      <c r="X35">
        <f xml:space="preserve"> 2 * Engine_step_iesimo[[#This Row],[Err]] * ActualData[[#This Row],[x_input]]^2</f>
        <v>-7.3920794746579999</v>
      </c>
      <c r="Y35">
        <f xml:space="preserve"> 2 * Engine_step_iesimo[[#This Row],[Err]] * ActualData[[#This Row],[x_input]]</f>
        <v>-5.7093676022391104</v>
      </c>
      <c r="Z35">
        <f xml:space="preserve"> 2 * Engine_step_iesimo[[#This Row],[Err]]</f>
        <v>-4.4097034574977556</v>
      </c>
      <c r="AA35">
        <f>Engine_step_iesimo[[#This Row],[Err]] ^ 2</f>
        <v>4.8613711457669151</v>
      </c>
      <c r="AB35">
        <f>ActualData[[#This Row],[x_input]]</f>
        <v>1.294728241313269</v>
      </c>
      <c r="AC35">
        <f>current_a * ActualData[[#This Row],[x_input]]^4 + current_b * ActualData[[#This Row],[x_input]]^3 + current_c * ActualData[[#This Row],[x_input]]^2 + current_d * ActualData[[#This Row],[x_input]] + current_e</f>
        <v>18.795148271251122</v>
      </c>
      <c r="AD35">
        <f>ABS(Engine_step_iesimo[[#This Row],[Err]])</f>
        <v>2.2048517287488778</v>
      </c>
    </row>
    <row r="36" spans="1:30" x14ac:dyDescent="0.3">
      <c r="A36">
        <v>21</v>
      </c>
      <c r="B36">
        <v>22</v>
      </c>
      <c r="C36" s="41">
        <f>ActualData[[#This Row],[x_scaled]]</f>
        <v>1.4102578382304529</v>
      </c>
      <c r="D36" s="41">
        <f>(ActualData[[#This Row],[x]] - AVG_X) / STD_X</f>
        <v>1.4102578382304529</v>
      </c>
      <c r="F36" s="2">
        <f t="shared" si="1"/>
        <v>19</v>
      </c>
      <c r="G36" s="2" t="str">
        <f>IF(Iterations[[#This Row],[Step]] =current_step, current_a,IF(Iterations[[#This Row],[Step]] &gt; current_step, "",Iterations[[#This Row],[a]]))</f>
        <v/>
      </c>
      <c r="H36" s="2" t="str">
        <f>IF(Iterations[[#This Row],[Step]] =current_step, current_b,IF(Iterations[[#This Row],[Step]] &gt; current_step, "",Iterations[[#This Row],[b]]))</f>
        <v/>
      </c>
      <c r="I36" s="2" t="str">
        <f>IF(Iterations[[#This Row],[Step]] =current_step, current_c,IF(Iterations[[#This Row],[Step]] &gt; current_step, "",Iterations[[#This Row],[c]]))</f>
        <v/>
      </c>
      <c r="J36" s="2" t="str">
        <f>IF(Iterations[[#This Row],[Step]] =current_step, current_d,IF(Iterations[[#This Row],[Step]] &gt; current_step, "",Iterations[[#This Row],[d]]))</f>
        <v/>
      </c>
      <c r="K36" s="2" t="str">
        <f>IF(Iterations[[#This Row],[Step]] =current_step, current_e,IF(Iterations[[#This Row],[Step]] &gt; current_step, "",Iterations[[#This Row],[e]]))</f>
        <v/>
      </c>
      <c r="L36" s="2" t="str">
        <f>IF(Iterations[[#This Row],[Step]] =current_step, current_Total_Loss,IF(Iterations[[#This Row],[Step]] &gt; current_step, "",Iterations[[#This Row],[Total Loss]]))</f>
        <v/>
      </c>
      <c r="M36" s="6" t="s">
        <v>27</v>
      </c>
      <c r="N36" s="2" t="str">
        <f>IF(Iterations[[#This Row],[Step]] =current_step, current_Grad_a,IF(Iterations[[#This Row],[Step]] &gt; current_step, "",Iterations[[#This Row],[Grad_a]]))</f>
        <v/>
      </c>
      <c r="O36" s="2" t="str">
        <f>IF(Iterations[[#This Row],[Step]] =current_step, current_Grad_b,IF(Iterations[[#This Row],[Step]] &gt; current_step, "",Iterations[[#This Row],[Grad_b]]))</f>
        <v/>
      </c>
      <c r="P36" s="2" t="str">
        <f>IF(Iterations[[#This Row],[Step]] =current_step, current_Grad_c,IF(Iterations[[#This Row],[Step]] &gt; current_step, "",Iterations[[#This Row],[Grad_c]]))</f>
        <v/>
      </c>
      <c r="Q36" s="2" t="str">
        <f>IF(Iterations[[#This Row],[Step]] =current_step, current_Grad_d,IF(Iterations[[#This Row],[Step]] &gt; current_step, "",Iterations[[#This Row],[Grad_d]]))</f>
        <v/>
      </c>
      <c r="R36" s="2" t="str">
        <f>IF(Iterations[[#This Row],[Step]] =current_step, current_Grad_e,IF(Iterations[[#This Row],[Step]] &gt; current_step, "",Iterations[[#This Row],[Grad_e]]))</f>
        <v/>
      </c>
      <c r="T36">
        <f>current_a * ActualData[[#This Row],[x_input]]^4 + current_b * ActualData[[#This Row],[x_input]]^3 + current_c * ActualData[[#This Row],[x_input]]^2  + current_d * ActualData[[#This Row],[x_input]] + current_e</f>
        <v>19.015927762759411</v>
      </c>
      <c r="U36">
        <f>(Engine_step_iesimo[[#This Row],[y_hat ]] - ActualData[[#This Row],[y]])</f>
        <v>-2.9840722372405892</v>
      </c>
      <c r="V36">
        <f xml:space="preserve"> 2 * Engine_step_iesimo[[#This Row],[Err]] * ActualData[[#This Row],[x_input]]^4</f>
        <v>-23.606598666492175</v>
      </c>
      <c r="W36">
        <f xml:space="preserve"> 2 * Engine_step_iesimo[[#This Row],[Err]] * ActualData[[#This Row],[x_input]]^3</f>
        <v>-16.739207559458059</v>
      </c>
      <c r="X36">
        <f xml:space="preserve"> 2 * Engine_step_iesimo[[#This Row],[Err]] * ActualData[[#This Row],[x_input]]^2</f>
        <v>-11.86960788706687</v>
      </c>
      <c r="Y36">
        <f xml:space="preserve"> 2 * Engine_step_iesimo[[#This Row],[Err]] * ActualData[[#This Row],[x_input]]</f>
        <v>-8.4166225248288491</v>
      </c>
      <c r="Z36">
        <f xml:space="preserve"> 2 * Engine_step_iesimo[[#This Row],[Err]]</f>
        <v>-5.9681444744811785</v>
      </c>
      <c r="AA36">
        <f>Engine_step_iesimo[[#This Row],[Err]] ^ 2</f>
        <v>8.9046871170700559</v>
      </c>
      <c r="AB36">
        <f>ActualData[[#This Row],[x_input]]</f>
        <v>1.4102578382304529</v>
      </c>
      <c r="AC36">
        <f>current_a * ActualData[[#This Row],[x_input]]^4 + current_b * ActualData[[#This Row],[x_input]]^3 + current_c * ActualData[[#This Row],[x_input]]^2 + current_d * ActualData[[#This Row],[x_input]] + current_e</f>
        <v>19.015927762759411</v>
      </c>
      <c r="AD36">
        <f>ABS(Engine_step_iesimo[[#This Row],[Err]])</f>
        <v>2.9840722372405892</v>
      </c>
    </row>
    <row r="37" spans="1:30" x14ac:dyDescent="0.3">
      <c r="A37">
        <v>22</v>
      </c>
      <c r="B37">
        <v>22</v>
      </c>
      <c r="C37" s="41">
        <f>ActualData[[#This Row],[x_scaled]]</f>
        <v>1.525787435147637</v>
      </c>
      <c r="D37" s="41">
        <f>(ActualData[[#This Row],[x]] - AVG_X) / STD_X</f>
        <v>1.525787435147637</v>
      </c>
      <c r="F37" s="2">
        <f t="shared" si="1"/>
        <v>20</v>
      </c>
      <c r="G37" s="2" t="str">
        <f>IF(Iterations[[#This Row],[Step]] =current_step, current_a,IF(Iterations[[#This Row],[Step]] &gt; current_step, "",Iterations[[#This Row],[a]]))</f>
        <v/>
      </c>
      <c r="H37" s="2" t="str">
        <f>IF(Iterations[[#This Row],[Step]] =current_step, current_b,IF(Iterations[[#This Row],[Step]] &gt; current_step, "",Iterations[[#This Row],[b]]))</f>
        <v/>
      </c>
      <c r="I37" s="2" t="str">
        <f>IF(Iterations[[#This Row],[Step]] =current_step, current_c,IF(Iterations[[#This Row],[Step]] &gt; current_step, "",Iterations[[#This Row],[c]]))</f>
        <v/>
      </c>
      <c r="J37" s="2" t="str">
        <f>IF(Iterations[[#This Row],[Step]] =current_step, current_d,IF(Iterations[[#This Row],[Step]] &gt; current_step, "",Iterations[[#This Row],[d]]))</f>
        <v/>
      </c>
      <c r="K37" s="2" t="str">
        <f>IF(Iterations[[#This Row],[Step]] =current_step, current_e,IF(Iterations[[#This Row],[Step]] &gt; current_step, "",Iterations[[#This Row],[e]]))</f>
        <v/>
      </c>
      <c r="L37" s="2" t="str">
        <f>IF(Iterations[[#This Row],[Step]] =current_step, current_Total_Loss,IF(Iterations[[#This Row],[Step]] &gt; current_step, "",Iterations[[#This Row],[Total Loss]]))</f>
        <v/>
      </c>
      <c r="M37" s="6" t="s">
        <v>27</v>
      </c>
      <c r="N37" s="2" t="str">
        <f>IF(Iterations[[#This Row],[Step]] =current_step, current_Grad_a,IF(Iterations[[#This Row],[Step]] &gt; current_step, "",Iterations[[#This Row],[Grad_a]]))</f>
        <v/>
      </c>
      <c r="O37" s="2" t="str">
        <f>IF(Iterations[[#This Row],[Step]] =current_step, current_Grad_b,IF(Iterations[[#This Row],[Step]] &gt; current_step, "",Iterations[[#This Row],[Grad_b]]))</f>
        <v/>
      </c>
      <c r="P37" s="2" t="str">
        <f>IF(Iterations[[#This Row],[Step]] =current_step, current_Grad_c,IF(Iterations[[#This Row],[Step]] &gt; current_step, "",Iterations[[#This Row],[Grad_c]]))</f>
        <v/>
      </c>
      <c r="Q37" s="2" t="str">
        <f>IF(Iterations[[#This Row],[Step]] =current_step, current_Grad_d,IF(Iterations[[#This Row],[Step]] &gt; current_step, "",Iterations[[#This Row],[Grad_d]]))</f>
        <v/>
      </c>
      <c r="R37" s="2" t="str">
        <f>IF(Iterations[[#This Row],[Step]] =current_step, current_Grad_e,IF(Iterations[[#This Row],[Step]] &gt; current_step, "",Iterations[[#This Row],[Grad_e]]))</f>
        <v/>
      </c>
      <c r="T37">
        <f>current_a * ActualData[[#This Row],[x_input]]^4 + current_b * ActualData[[#This Row],[x_input]]^3 + current_c * ActualData[[#This Row],[x_input]]^2  + current_d * ActualData[[#This Row],[x_input]] + current_e</f>
        <v>19.282560062799519</v>
      </c>
      <c r="U37">
        <f>(Engine_step_iesimo[[#This Row],[y_hat ]] - ActualData[[#This Row],[y]])</f>
        <v>-2.7174399372004814</v>
      </c>
      <c r="V37">
        <f xml:space="preserve"> 2 * Engine_step_iesimo[[#This Row],[Err]] * ActualData[[#This Row],[x_input]]^4</f>
        <v>-29.455478764857453</v>
      </c>
      <c r="W37">
        <f xml:space="preserve"> 2 * Engine_step_iesimo[[#This Row],[Err]] * ActualData[[#This Row],[x_input]]^3</f>
        <v>-19.30509983653608</v>
      </c>
      <c r="X37">
        <f xml:space="preserve"> 2 * Engine_step_iesimo[[#This Row],[Err]] * ActualData[[#This Row],[x_input]]^2</f>
        <v>-12.652548704904031</v>
      </c>
      <c r="Y37">
        <f xml:space="preserve"> 2 * Engine_step_iesimo[[#This Row],[Err]] * ActualData[[#This Row],[x_input]]</f>
        <v>-8.2924714238977568</v>
      </c>
      <c r="Z37">
        <f xml:space="preserve"> 2 * Engine_step_iesimo[[#This Row],[Err]]</f>
        <v>-5.4348798744009628</v>
      </c>
      <c r="AA37">
        <f>Engine_step_iesimo[[#This Row],[Err]] ^ 2</f>
        <v>7.384479812292156</v>
      </c>
      <c r="AB37">
        <f>ActualData[[#This Row],[x_input]]</f>
        <v>1.525787435147637</v>
      </c>
      <c r="AC37">
        <f>current_a * ActualData[[#This Row],[x_input]]^4 + current_b * ActualData[[#This Row],[x_input]]^3 + current_c * ActualData[[#This Row],[x_input]]^2 + current_d * ActualData[[#This Row],[x_input]] + current_e</f>
        <v>19.282560062799519</v>
      </c>
      <c r="AD37">
        <f>ABS(Engine_step_iesimo[[#This Row],[Err]])</f>
        <v>2.7174399372004814</v>
      </c>
    </row>
    <row r="38" spans="1:30" x14ac:dyDescent="0.3">
      <c r="A38">
        <v>23</v>
      </c>
      <c r="B38">
        <v>23</v>
      </c>
      <c r="C38" s="41">
        <f>ActualData[[#This Row],[x_scaled]]</f>
        <v>1.6413170320648209</v>
      </c>
      <c r="D38" s="41">
        <f>(ActualData[[#This Row],[x]] - AVG_X) / STD_X</f>
        <v>1.6413170320648209</v>
      </c>
      <c r="F38" s="2">
        <f t="shared" si="1"/>
        <v>21</v>
      </c>
      <c r="G38" s="2" t="str">
        <f>IF(Iterations[[#This Row],[Step]] =current_step, current_a,IF(Iterations[[#This Row],[Step]] &gt; current_step, "",Iterations[[#This Row],[a]]))</f>
        <v/>
      </c>
      <c r="H38" s="2" t="str">
        <f>IF(Iterations[[#This Row],[Step]] =current_step, current_b,IF(Iterations[[#This Row],[Step]] &gt; current_step, "",Iterations[[#This Row],[b]]))</f>
        <v/>
      </c>
      <c r="I38" s="2" t="str">
        <f>IF(Iterations[[#This Row],[Step]] =current_step, current_c,IF(Iterations[[#This Row],[Step]] &gt; current_step, "",Iterations[[#This Row],[c]]))</f>
        <v/>
      </c>
      <c r="J38" s="2" t="str">
        <f>IF(Iterations[[#This Row],[Step]] =current_step, current_d,IF(Iterations[[#This Row],[Step]] &gt; current_step, "",Iterations[[#This Row],[d]]))</f>
        <v/>
      </c>
      <c r="K38" s="2" t="str">
        <f>IF(Iterations[[#This Row],[Step]] =current_step, current_e,IF(Iterations[[#This Row],[Step]] &gt; current_step, "",Iterations[[#This Row],[e]]))</f>
        <v/>
      </c>
      <c r="L38" s="2" t="str">
        <f>IF(Iterations[[#This Row],[Step]] =current_step, current_Total_Loss,IF(Iterations[[#This Row],[Step]] &gt; current_step, "",Iterations[[#This Row],[Total Loss]]))</f>
        <v/>
      </c>
      <c r="M38" s="6" t="s">
        <v>27</v>
      </c>
      <c r="N38" s="2" t="str">
        <f>IF(Iterations[[#This Row],[Step]] =current_step, current_Grad_a,IF(Iterations[[#This Row],[Step]] &gt; current_step, "",Iterations[[#This Row],[Grad_a]]))</f>
        <v/>
      </c>
      <c r="O38" s="2" t="str">
        <f>IF(Iterations[[#This Row],[Step]] =current_step, current_Grad_b,IF(Iterations[[#This Row],[Step]] &gt; current_step, "",Iterations[[#This Row],[Grad_b]]))</f>
        <v/>
      </c>
      <c r="P38" s="2" t="str">
        <f>IF(Iterations[[#This Row],[Step]] =current_step, current_Grad_c,IF(Iterations[[#This Row],[Step]] &gt; current_step, "",Iterations[[#This Row],[Grad_c]]))</f>
        <v/>
      </c>
      <c r="Q38" s="2" t="str">
        <f>IF(Iterations[[#This Row],[Step]] =current_step, current_Grad_d,IF(Iterations[[#This Row],[Step]] &gt; current_step, "",Iterations[[#This Row],[Grad_d]]))</f>
        <v/>
      </c>
      <c r="R38" s="2" t="str">
        <f>IF(Iterations[[#This Row],[Step]] =current_step, current_Grad_e,IF(Iterations[[#This Row],[Step]] &gt; current_step, "",Iterations[[#This Row],[Grad_e]]))</f>
        <v/>
      </c>
      <c r="T38">
        <f>current_a * ActualData[[#This Row],[x_input]]^4 + current_b * ActualData[[#This Row],[x_input]]^3 + current_c * ActualData[[#This Row],[x_input]]^2  + current_d * ActualData[[#This Row],[x_input]] + current_e</f>
        <v>19.601403162209987</v>
      </c>
      <c r="U38">
        <f>(Engine_step_iesimo[[#This Row],[y_hat ]] - ActualData[[#This Row],[y]])</f>
        <v>-3.3985968377900129</v>
      </c>
      <c r="V38">
        <f xml:space="preserve"> 2 * Engine_step_iesimo[[#This Row],[Err]] * ActualData[[#This Row],[x_input]]^4</f>
        <v>-49.328686286227196</v>
      </c>
      <c r="W38">
        <f xml:space="preserve"> 2 * Engine_step_iesimo[[#This Row],[Err]] * ActualData[[#This Row],[x_input]]^3</f>
        <v>-30.054331565773367</v>
      </c>
      <c r="X38">
        <f xml:space="preserve"> 2 * Engine_step_iesimo[[#This Row],[Err]] * ActualData[[#This Row],[x_input]]^2</f>
        <v>-18.311106860302427</v>
      </c>
      <c r="Y38">
        <f xml:space="preserve"> 2 * Engine_step_iesimo[[#This Row],[Err]] * ActualData[[#This Row],[x_input]]</f>
        <v>-11.15634974997278</v>
      </c>
      <c r="Z38">
        <f xml:space="preserve"> 2 * Engine_step_iesimo[[#This Row],[Err]]</f>
        <v>-6.7971936755800257</v>
      </c>
      <c r="AA38">
        <f>Engine_step_iesimo[[#This Row],[Err]] ^ 2</f>
        <v>11.550460465836276</v>
      </c>
      <c r="AB38">
        <f>ActualData[[#This Row],[x_input]]</f>
        <v>1.6413170320648209</v>
      </c>
      <c r="AC38">
        <f>current_a * ActualData[[#This Row],[x_input]]^4 + current_b * ActualData[[#This Row],[x_input]]^3 + current_c * ActualData[[#This Row],[x_input]]^2 + current_d * ActualData[[#This Row],[x_input]] + current_e</f>
        <v>19.601403162209987</v>
      </c>
      <c r="AD38">
        <f>ABS(Engine_step_iesimo[[#This Row],[Err]])</f>
        <v>3.3985968377900129</v>
      </c>
    </row>
    <row r="39" spans="1:30" x14ac:dyDescent="0.3">
      <c r="F39" s="2">
        <f t="shared" si="1"/>
        <v>22</v>
      </c>
      <c r="G39" s="2" t="str">
        <f>IF(Iterations[[#This Row],[Step]] =current_step, current_a,IF(Iterations[[#This Row],[Step]] &gt; current_step, "",Iterations[[#This Row],[a]]))</f>
        <v/>
      </c>
      <c r="H39" s="2" t="str">
        <f>IF(Iterations[[#This Row],[Step]] =current_step, current_b,IF(Iterations[[#This Row],[Step]] &gt; current_step, "",Iterations[[#This Row],[b]]))</f>
        <v/>
      </c>
      <c r="I39" s="2" t="str">
        <f>IF(Iterations[[#This Row],[Step]] =current_step, current_c,IF(Iterations[[#This Row],[Step]] &gt; current_step, "",Iterations[[#This Row],[c]]))</f>
        <v/>
      </c>
      <c r="J39" s="2" t="str">
        <f>IF(Iterations[[#This Row],[Step]] =current_step, current_d,IF(Iterations[[#This Row],[Step]] &gt; current_step, "",Iterations[[#This Row],[d]]))</f>
        <v/>
      </c>
      <c r="K39" s="2" t="str">
        <f>IF(Iterations[[#This Row],[Step]] =current_step, current_e,IF(Iterations[[#This Row],[Step]] &gt; current_step, "",Iterations[[#This Row],[e]]))</f>
        <v/>
      </c>
      <c r="L39" s="2" t="str">
        <f>IF(Iterations[[#This Row],[Step]] =current_step, current_Total_Loss,IF(Iterations[[#This Row],[Step]] &gt; current_step, "",Iterations[[#This Row],[Total Loss]]))</f>
        <v/>
      </c>
      <c r="M39" s="6" t="s">
        <v>27</v>
      </c>
      <c r="N39" s="2" t="str">
        <f>IF(Iterations[[#This Row],[Step]] =current_step, current_Grad_a,IF(Iterations[[#This Row],[Step]] &gt; current_step, "",Iterations[[#This Row],[Grad_a]]))</f>
        <v/>
      </c>
      <c r="O39" s="2" t="str">
        <f>IF(Iterations[[#This Row],[Step]] =current_step, current_Grad_b,IF(Iterations[[#This Row],[Step]] &gt; current_step, "",Iterations[[#This Row],[Grad_b]]))</f>
        <v/>
      </c>
      <c r="P39" s="2" t="str">
        <f>IF(Iterations[[#This Row],[Step]] =current_step, current_Grad_c,IF(Iterations[[#This Row],[Step]] &gt; current_step, "",Iterations[[#This Row],[Grad_c]]))</f>
        <v/>
      </c>
      <c r="Q39" s="2" t="str">
        <f>IF(Iterations[[#This Row],[Step]] =current_step, current_Grad_d,IF(Iterations[[#This Row],[Step]] &gt; current_step, "",Iterations[[#This Row],[Grad_d]]))</f>
        <v/>
      </c>
      <c r="R39" s="2" t="str">
        <f>IF(Iterations[[#This Row],[Step]] =current_step, current_Grad_e,IF(Iterations[[#This Row],[Step]] &gt; current_step, "",Iterations[[#This Row],[Grad_e]]))</f>
        <v/>
      </c>
    </row>
    <row r="40" spans="1:30" x14ac:dyDescent="0.3">
      <c r="F40" s="2">
        <f t="shared" si="1"/>
        <v>23</v>
      </c>
      <c r="G40" s="2" t="str">
        <f>IF(Iterations[[#This Row],[Step]] =current_step, current_a,IF(Iterations[[#This Row],[Step]] &gt; current_step, "",Iterations[[#This Row],[a]]))</f>
        <v/>
      </c>
      <c r="H40" s="2" t="str">
        <f>IF(Iterations[[#This Row],[Step]] =current_step, current_b,IF(Iterations[[#This Row],[Step]] &gt; current_step, "",Iterations[[#This Row],[b]]))</f>
        <v/>
      </c>
      <c r="I40" s="2" t="str">
        <f>IF(Iterations[[#This Row],[Step]] =current_step, current_c,IF(Iterations[[#This Row],[Step]] &gt; current_step, "",Iterations[[#This Row],[c]]))</f>
        <v/>
      </c>
      <c r="J40" s="2" t="str">
        <f>IF(Iterations[[#This Row],[Step]] =current_step, current_d,IF(Iterations[[#This Row],[Step]] &gt; current_step, "",Iterations[[#This Row],[d]]))</f>
        <v/>
      </c>
      <c r="K40" s="2" t="str">
        <f>IF(Iterations[[#This Row],[Step]] =current_step, current_e,IF(Iterations[[#This Row],[Step]] &gt; current_step, "",Iterations[[#This Row],[e]]))</f>
        <v/>
      </c>
      <c r="L40" s="2" t="str">
        <f>IF(Iterations[[#This Row],[Step]] =current_step, current_Total_Loss,IF(Iterations[[#This Row],[Step]] &gt; current_step, "",Iterations[[#This Row],[Total Loss]]))</f>
        <v/>
      </c>
      <c r="M40" s="6" t="s">
        <v>27</v>
      </c>
      <c r="N40" s="2" t="str">
        <f>IF(Iterations[[#This Row],[Step]] =current_step, current_Grad_a,IF(Iterations[[#This Row],[Step]] &gt; current_step, "",Iterations[[#This Row],[Grad_a]]))</f>
        <v/>
      </c>
      <c r="O40" s="2" t="str">
        <f>IF(Iterations[[#This Row],[Step]] =current_step, current_Grad_b,IF(Iterations[[#This Row],[Step]] &gt; current_step, "",Iterations[[#This Row],[Grad_b]]))</f>
        <v/>
      </c>
      <c r="P40" s="2" t="str">
        <f>IF(Iterations[[#This Row],[Step]] =current_step, current_Grad_c,IF(Iterations[[#This Row],[Step]] &gt; current_step, "",Iterations[[#This Row],[Grad_c]]))</f>
        <v/>
      </c>
      <c r="Q40" s="2" t="str">
        <f>IF(Iterations[[#This Row],[Step]] =current_step, current_Grad_d,IF(Iterations[[#This Row],[Step]] &gt; current_step, "",Iterations[[#This Row],[Grad_d]]))</f>
        <v/>
      </c>
      <c r="R40" s="2" t="str">
        <f>IF(Iterations[[#This Row],[Step]] =current_step, current_Grad_e,IF(Iterations[[#This Row],[Step]] &gt; current_step, "",Iterations[[#This Row],[Grad_e]]))</f>
        <v/>
      </c>
    </row>
    <row r="41" spans="1:30" x14ac:dyDescent="0.3">
      <c r="F41" s="2">
        <f t="shared" si="1"/>
        <v>24</v>
      </c>
      <c r="G41" s="2" t="str">
        <f>IF(Iterations[[#This Row],[Step]] =current_step, current_a,IF(Iterations[[#This Row],[Step]] &gt; current_step, "",Iterations[[#This Row],[a]]))</f>
        <v/>
      </c>
      <c r="H41" s="2" t="str">
        <f>IF(Iterations[[#This Row],[Step]] =current_step, current_b,IF(Iterations[[#This Row],[Step]] &gt; current_step, "",Iterations[[#This Row],[b]]))</f>
        <v/>
      </c>
      <c r="I41" s="2" t="str">
        <f>IF(Iterations[[#This Row],[Step]] =current_step, current_c,IF(Iterations[[#This Row],[Step]] &gt; current_step, "",Iterations[[#This Row],[c]]))</f>
        <v/>
      </c>
      <c r="J41" s="2" t="str">
        <f>IF(Iterations[[#This Row],[Step]] =current_step, current_d,IF(Iterations[[#This Row],[Step]] &gt; current_step, "",Iterations[[#This Row],[d]]))</f>
        <v/>
      </c>
      <c r="K41" s="2" t="str">
        <f>IF(Iterations[[#This Row],[Step]] =current_step, current_e,IF(Iterations[[#This Row],[Step]] &gt; current_step, "",Iterations[[#This Row],[e]]))</f>
        <v/>
      </c>
      <c r="L41" s="2" t="str">
        <f>IF(Iterations[[#This Row],[Step]] =current_step, current_Total_Loss,IF(Iterations[[#This Row],[Step]] &gt; current_step, "",Iterations[[#This Row],[Total Loss]]))</f>
        <v/>
      </c>
      <c r="M41" s="6" t="s">
        <v>27</v>
      </c>
      <c r="N41" s="2" t="str">
        <f>IF(Iterations[[#This Row],[Step]] =current_step, current_Grad_a,IF(Iterations[[#This Row],[Step]] &gt; current_step, "",Iterations[[#This Row],[Grad_a]]))</f>
        <v/>
      </c>
      <c r="O41" s="2" t="str">
        <f>IF(Iterations[[#This Row],[Step]] =current_step, current_Grad_b,IF(Iterations[[#This Row],[Step]] &gt; current_step, "",Iterations[[#This Row],[Grad_b]]))</f>
        <v/>
      </c>
      <c r="P41" s="2" t="str">
        <f>IF(Iterations[[#This Row],[Step]] =current_step, current_Grad_c,IF(Iterations[[#This Row],[Step]] &gt; current_step, "",Iterations[[#This Row],[Grad_c]]))</f>
        <v/>
      </c>
      <c r="Q41" s="2" t="str">
        <f>IF(Iterations[[#This Row],[Step]] =current_step, current_Grad_d,IF(Iterations[[#This Row],[Step]] &gt; current_step, "",Iterations[[#This Row],[Grad_d]]))</f>
        <v/>
      </c>
      <c r="R41" s="2" t="str">
        <f>IF(Iterations[[#This Row],[Step]] =current_step, current_Grad_e,IF(Iterations[[#This Row],[Step]] &gt; current_step, "",Iterations[[#This Row],[Grad_e]]))</f>
        <v/>
      </c>
    </row>
    <row r="42" spans="1:30" x14ac:dyDescent="0.3">
      <c r="F42" s="2">
        <f t="shared" si="1"/>
        <v>25</v>
      </c>
      <c r="G42" s="2" t="str">
        <f>IF(Iterations[[#This Row],[Step]] =current_step, current_a,IF(Iterations[[#This Row],[Step]] &gt; current_step, "",Iterations[[#This Row],[a]]))</f>
        <v/>
      </c>
      <c r="H42" s="2" t="str">
        <f>IF(Iterations[[#This Row],[Step]] =current_step, current_b,IF(Iterations[[#This Row],[Step]] &gt; current_step, "",Iterations[[#This Row],[b]]))</f>
        <v/>
      </c>
      <c r="I42" s="2" t="str">
        <f>IF(Iterations[[#This Row],[Step]] =current_step, current_c,IF(Iterations[[#This Row],[Step]] &gt; current_step, "",Iterations[[#This Row],[c]]))</f>
        <v/>
      </c>
      <c r="J42" s="2" t="str">
        <f>IF(Iterations[[#This Row],[Step]] =current_step, current_d,IF(Iterations[[#This Row],[Step]] &gt; current_step, "",Iterations[[#This Row],[d]]))</f>
        <v/>
      </c>
      <c r="K42" s="2" t="str">
        <f>IF(Iterations[[#This Row],[Step]] =current_step, current_e,IF(Iterations[[#This Row],[Step]] &gt; current_step, "",Iterations[[#This Row],[e]]))</f>
        <v/>
      </c>
      <c r="L42" s="2" t="str">
        <f>IF(Iterations[[#This Row],[Step]] =current_step, current_Total_Loss,IF(Iterations[[#This Row],[Step]] &gt; current_step, "",Iterations[[#This Row],[Total Loss]]))</f>
        <v/>
      </c>
      <c r="M42" s="6" t="s">
        <v>27</v>
      </c>
      <c r="N42" s="2" t="str">
        <f>IF(Iterations[[#This Row],[Step]] =current_step, current_Grad_a,IF(Iterations[[#This Row],[Step]] &gt; current_step, "",Iterations[[#This Row],[Grad_a]]))</f>
        <v/>
      </c>
      <c r="O42" s="2" t="str">
        <f>IF(Iterations[[#This Row],[Step]] =current_step, current_Grad_b,IF(Iterations[[#This Row],[Step]] &gt; current_step, "",Iterations[[#This Row],[Grad_b]]))</f>
        <v/>
      </c>
      <c r="P42" s="2" t="str">
        <f>IF(Iterations[[#This Row],[Step]] =current_step, current_Grad_c,IF(Iterations[[#This Row],[Step]] &gt; current_step, "",Iterations[[#This Row],[Grad_c]]))</f>
        <v/>
      </c>
      <c r="Q42" s="2" t="str">
        <f>IF(Iterations[[#This Row],[Step]] =current_step, current_Grad_d,IF(Iterations[[#This Row],[Step]] &gt; current_step, "",Iterations[[#This Row],[Grad_d]]))</f>
        <v/>
      </c>
      <c r="R42" s="2" t="str">
        <f>IF(Iterations[[#This Row],[Step]] =current_step, current_Grad_e,IF(Iterations[[#This Row],[Step]] &gt; current_step, "",Iterations[[#This Row],[Grad_e]]))</f>
        <v/>
      </c>
    </row>
    <row r="43" spans="1:30" x14ac:dyDescent="0.3">
      <c r="F43" s="2">
        <f t="shared" si="1"/>
        <v>26</v>
      </c>
      <c r="G43" s="2" t="str">
        <f>IF(Iterations[[#This Row],[Step]] =current_step, current_a,IF(Iterations[[#This Row],[Step]] &gt; current_step, "",Iterations[[#This Row],[a]]))</f>
        <v/>
      </c>
      <c r="H43" s="2" t="str">
        <f>IF(Iterations[[#This Row],[Step]] =current_step, current_b,IF(Iterations[[#This Row],[Step]] &gt; current_step, "",Iterations[[#This Row],[b]]))</f>
        <v/>
      </c>
      <c r="I43" s="2" t="str">
        <f>IF(Iterations[[#This Row],[Step]] =current_step, current_c,IF(Iterations[[#This Row],[Step]] &gt; current_step, "",Iterations[[#This Row],[c]]))</f>
        <v/>
      </c>
      <c r="J43" s="2" t="str">
        <f>IF(Iterations[[#This Row],[Step]] =current_step, current_d,IF(Iterations[[#This Row],[Step]] &gt; current_step, "",Iterations[[#This Row],[d]]))</f>
        <v/>
      </c>
      <c r="K43" s="2" t="str">
        <f>IF(Iterations[[#This Row],[Step]] =current_step, current_e,IF(Iterations[[#This Row],[Step]] &gt; current_step, "",Iterations[[#This Row],[e]]))</f>
        <v/>
      </c>
      <c r="L43" s="2" t="str">
        <f>IF(Iterations[[#This Row],[Step]] =current_step, current_Total_Loss,IF(Iterations[[#This Row],[Step]] &gt; current_step, "",Iterations[[#This Row],[Total Loss]]))</f>
        <v/>
      </c>
      <c r="M43" s="6" t="s">
        <v>27</v>
      </c>
      <c r="N43" s="2" t="str">
        <f>IF(Iterations[[#This Row],[Step]] =current_step, current_Grad_a,IF(Iterations[[#This Row],[Step]] &gt; current_step, "",Iterations[[#This Row],[Grad_a]]))</f>
        <v/>
      </c>
      <c r="O43" s="2" t="str">
        <f>IF(Iterations[[#This Row],[Step]] =current_step, current_Grad_b,IF(Iterations[[#This Row],[Step]] &gt; current_step, "",Iterations[[#This Row],[Grad_b]]))</f>
        <v/>
      </c>
      <c r="P43" s="2" t="str">
        <f>IF(Iterations[[#This Row],[Step]] =current_step, current_Grad_c,IF(Iterations[[#This Row],[Step]] &gt; current_step, "",Iterations[[#This Row],[Grad_c]]))</f>
        <v/>
      </c>
      <c r="Q43" s="2" t="str">
        <f>IF(Iterations[[#This Row],[Step]] =current_step, current_Grad_d,IF(Iterations[[#This Row],[Step]] &gt; current_step, "",Iterations[[#This Row],[Grad_d]]))</f>
        <v/>
      </c>
      <c r="R43" s="2" t="str">
        <f>IF(Iterations[[#This Row],[Step]] =current_step, current_Grad_e,IF(Iterations[[#This Row],[Step]] &gt; current_step, "",Iterations[[#This Row],[Grad_e]]))</f>
        <v/>
      </c>
    </row>
    <row r="44" spans="1:30" x14ac:dyDescent="0.3">
      <c r="F44" s="2">
        <f t="shared" si="1"/>
        <v>27</v>
      </c>
      <c r="G44" s="2" t="str">
        <f>IF(Iterations[[#This Row],[Step]] =current_step, current_a,IF(Iterations[[#This Row],[Step]] &gt; current_step, "",Iterations[[#This Row],[a]]))</f>
        <v/>
      </c>
      <c r="H44" s="2" t="str">
        <f>IF(Iterations[[#This Row],[Step]] =current_step, current_b,IF(Iterations[[#This Row],[Step]] &gt; current_step, "",Iterations[[#This Row],[b]]))</f>
        <v/>
      </c>
      <c r="I44" s="2" t="str">
        <f>IF(Iterations[[#This Row],[Step]] =current_step, current_c,IF(Iterations[[#This Row],[Step]] &gt; current_step, "",Iterations[[#This Row],[c]]))</f>
        <v/>
      </c>
      <c r="J44" s="2" t="str">
        <f>IF(Iterations[[#This Row],[Step]] =current_step, current_d,IF(Iterations[[#This Row],[Step]] &gt; current_step, "",Iterations[[#This Row],[d]]))</f>
        <v/>
      </c>
      <c r="K44" s="2" t="str">
        <f>IF(Iterations[[#This Row],[Step]] =current_step, current_e,IF(Iterations[[#This Row],[Step]] &gt; current_step, "",Iterations[[#This Row],[e]]))</f>
        <v/>
      </c>
      <c r="L44" s="2" t="str">
        <f>IF(Iterations[[#This Row],[Step]] =current_step, current_Total_Loss,IF(Iterations[[#This Row],[Step]] &gt; current_step, "",Iterations[[#This Row],[Total Loss]]))</f>
        <v/>
      </c>
      <c r="M44" s="6" t="s">
        <v>27</v>
      </c>
      <c r="N44" s="2" t="str">
        <f>IF(Iterations[[#This Row],[Step]] =current_step, current_Grad_a,IF(Iterations[[#This Row],[Step]] &gt; current_step, "",Iterations[[#This Row],[Grad_a]]))</f>
        <v/>
      </c>
      <c r="O44" s="2" t="str">
        <f>IF(Iterations[[#This Row],[Step]] =current_step, current_Grad_b,IF(Iterations[[#This Row],[Step]] &gt; current_step, "",Iterations[[#This Row],[Grad_b]]))</f>
        <v/>
      </c>
      <c r="P44" s="2" t="str">
        <f>IF(Iterations[[#This Row],[Step]] =current_step, current_Grad_c,IF(Iterations[[#This Row],[Step]] &gt; current_step, "",Iterations[[#This Row],[Grad_c]]))</f>
        <v/>
      </c>
      <c r="Q44" s="2" t="str">
        <f>IF(Iterations[[#This Row],[Step]] =current_step, current_Grad_d,IF(Iterations[[#This Row],[Step]] &gt; current_step, "",Iterations[[#This Row],[Grad_d]]))</f>
        <v/>
      </c>
      <c r="R44" s="2" t="str">
        <f>IF(Iterations[[#This Row],[Step]] =current_step, current_Grad_e,IF(Iterations[[#This Row],[Step]] &gt; current_step, "",Iterations[[#This Row],[Grad_e]]))</f>
        <v/>
      </c>
    </row>
    <row r="45" spans="1:30" x14ac:dyDescent="0.3">
      <c r="F45" s="2">
        <f t="shared" si="1"/>
        <v>28</v>
      </c>
      <c r="G45" s="2" t="str">
        <f>IF(Iterations[[#This Row],[Step]] =current_step, current_a,IF(Iterations[[#This Row],[Step]] &gt; current_step, "",Iterations[[#This Row],[a]]))</f>
        <v/>
      </c>
      <c r="H45" s="2" t="str">
        <f>IF(Iterations[[#This Row],[Step]] =current_step, current_b,IF(Iterations[[#This Row],[Step]] &gt; current_step, "",Iterations[[#This Row],[b]]))</f>
        <v/>
      </c>
      <c r="I45" s="2" t="str">
        <f>IF(Iterations[[#This Row],[Step]] =current_step, current_c,IF(Iterations[[#This Row],[Step]] &gt; current_step, "",Iterations[[#This Row],[c]]))</f>
        <v/>
      </c>
      <c r="J45" s="2" t="str">
        <f>IF(Iterations[[#This Row],[Step]] =current_step, current_d,IF(Iterations[[#This Row],[Step]] &gt; current_step, "",Iterations[[#This Row],[d]]))</f>
        <v/>
      </c>
      <c r="K45" s="2" t="str">
        <f>IF(Iterations[[#This Row],[Step]] =current_step, current_e,IF(Iterations[[#This Row],[Step]] &gt; current_step, "",Iterations[[#This Row],[e]]))</f>
        <v/>
      </c>
      <c r="L45" s="2" t="str">
        <f>IF(Iterations[[#This Row],[Step]] =current_step, current_Total_Loss,IF(Iterations[[#This Row],[Step]] &gt; current_step, "",Iterations[[#This Row],[Total Loss]]))</f>
        <v/>
      </c>
      <c r="M45" s="6" t="s">
        <v>27</v>
      </c>
      <c r="N45" s="2" t="str">
        <f>IF(Iterations[[#This Row],[Step]] =current_step, current_Grad_a,IF(Iterations[[#This Row],[Step]] &gt; current_step, "",Iterations[[#This Row],[Grad_a]]))</f>
        <v/>
      </c>
      <c r="O45" s="2" t="str">
        <f>IF(Iterations[[#This Row],[Step]] =current_step, current_Grad_b,IF(Iterations[[#This Row],[Step]] &gt; current_step, "",Iterations[[#This Row],[Grad_b]]))</f>
        <v/>
      </c>
      <c r="P45" s="2" t="str">
        <f>IF(Iterations[[#This Row],[Step]] =current_step, current_Grad_c,IF(Iterations[[#This Row],[Step]] &gt; current_step, "",Iterations[[#This Row],[Grad_c]]))</f>
        <v/>
      </c>
      <c r="Q45" s="2" t="str">
        <f>IF(Iterations[[#This Row],[Step]] =current_step, current_Grad_d,IF(Iterations[[#This Row],[Step]] &gt; current_step, "",Iterations[[#This Row],[Grad_d]]))</f>
        <v/>
      </c>
      <c r="R45" s="2" t="str">
        <f>IF(Iterations[[#This Row],[Step]] =current_step, current_Grad_e,IF(Iterations[[#This Row],[Step]] &gt; current_step, "",Iterations[[#This Row],[Grad_e]]))</f>
        <v/>
      </c>
    </row>
    <row r="46" spans="1:30" x14ac:dyDescent="0.3">
      <c r="F46" s="2">
        <f t="shared" si="1"/>
        <v>29</v>
      </c>
      <c r="G46" s="2" t="str">
        <f>IF(Iterations[[#This Row],[Step]] =current_step, current_a,IF(Iterations[[#This Row],[Step]] &gt; current_step, "",Iterations[[#This Row],[a]]))</f>
        <v/>
      </c>
      <c r="H46" s="2" t="str">
        <f>IF(Iterations[[#This Row],[Step]] =current_step, current_b,IF(Iterations[[#This Row],[Step]] &gt; current_step, "",Iterations[[#This Row],[b]]))</f>
        <v/>
      </c>
      <c r="I46" s="2" t="str">
        <f>IF(Iterations[[#This Row],[Step]] =current_step, current_c,IF(Iterations[[#This Row],[Step]] &gt; current_step, "",Iterations[[#This Row],[c]]))</f>
        <v/>
      </c>
      <c r="J46" s="2" t="str">
        <f>IF(Iterations[[#This Row],[Step]] =current_step, current_d,IF(Iterations[[#This Row],[Step]] &gt; current_step, "",Iterations[[#This Row],[d]]))</f>
        <v/>
      </c>
      <c r="K46" s="2" t="str">
        <f>IF(Iterations[[#This Row],[Step]] =current_step, current_e,IF(Iterations[[#This Row],[Step]] &gt; current_step, "",Iterations[[#This Row],[e]]))</f>
        <v/>
      </c>
      <c r="L46" s="2" t="str">
        <f>IF(Iterations[[#This Row],[Step]] =current_step, current_Total_Loss,IF(Iterations[[#This Row],[Step]] &gt; current_step, "",Iterations[[#This Row],[Total Loss]]))</f>
        <v/>
      </c>
      <c r="M46" s="6" t="s">
        <v>27</v>
      </c>
      <c r="N46" s="2" t="str">
        <f>IF(Iterations[[#This Row],[Step]] =current_step, current_Grad_a,IF(Iterations[[#This Row],[Step]] &gt; current_step, "",Iterations[[#This Row],[Grad_a]]))</f>
        <v/>
      </c>
      <c r="O46" s="2" t="str">
        <f>IF(Iterations[[#This Row],[Step]] =current_step, current_Grad_b,IF(Iterations[[#This Row],[Step]] &gt; current_step, "",Iterations[[#This Row],[Grad_b]]))</f>
        <v/>
      </c>
      <c r="P46" s="2" t="str">
        <f>IF(Iterations[[#This Row],[Step]] =current_step, current_Grad_c,IF(Iterations[[#This Row],[Step]] &gt; current_step, "",Iterations[[#This Row],[Grad_c]]))</f>
        <v/>
      </c>
      <c r="Q46" s="2" t="str">
        <f>IF(Iterations[[#This Row],[Step]] =current_step, current_Grad_d,IF(Iterations[[#This Row],[Step]] &gt; current_step, "",Iterations[[#This Row],[Grad_d]]))</f>
        <v/>
      </c>
      <c r="R46" s="2" t="str">
        <f>IF(Iterations[[#This Row],[Step]] =current_step, current_Grad_e,IF(Iterations[[#This Row],[Step]] &gt; current_step, "",Iterations[[#This Row],[Grad_e]]))</f>
        <v/>
      </c>
    </row>
    <row r="47" spans="1:30" x14ac:dyDescent="0.3">
      <c r="F47" s="2">
        <f t="shared" si="1"/>
        <v>30</v>
      </c>
      <c r="G47" s="2" t="str">
        <f>IF(Iterations[[#This Row],[Step]] =current_step, current_a,IF(Iterations[[#This Row],[Step]] &gt; current_step, "",Iterations[[#This Row],[a]]))</f>
        <v/>
      </c>
      <c r="H47" s="2" t="str">
        <f>IF(Iterations[[#This Row],[Step]] =current_step, current_b,IF(Iterations[[#This Row],[Step]] &gt; current_step, "",Iterations[[#This Row],[b]]))</f>
        <v/>
      </c>
      <c r="I47" s="2" t="str">
        <f>IF(Iterations[[#This Row],[Step]] =current_step, current_c,IF(Iterations[[#This Row],[Step]] &gt; current_step, "",Iterations[[#This Row],[c]]))</f>
        <v/>
      </c>
      <c r="J47" s="2" t="str">
        <f>IF(Iterations[[#This Row],[Step]] =current_step, current_d,IF(Iterations[[#This Row],[Step]] &gt; current_step, "",Iterations[[#This Row],[d]]))</f>
        <v/>
      </c>
      <c r="K47" s="2" t="str">
        <f>IF(Iterations[[#This Row],[Step]] =current_step, current_e,IF(Iterations[[#This Row],[Step]] &gt; current_step, "",Iterations[[#This Row],[e]]))</f>
        <v/>
      </c>
      <c r="L47" s="2" t="str">
        <f>IF(Iterations[[#This Row],[Step]] =current_step, current_Total_Loss,IF(Iterations[[#This Row],[Step]] &gt; current_step, "",Iterations[[#This Row],[Total Loss]]))</f>
        <v/>
      </c>
      <c r="M47" s="6" t="s">
        <v>27</v>
      </c>
      <c r="N47" s="2" t="str">
        <f>IF(Iterations[[#This Row],[Step]] =current_step, current_Grad_a,IF(Iterations[[#This Row],[Step]] &gt; current_step, "",Iterations[[#This Row],[Grad_a]]))</f>
        <v/>
      </c>
      <c r="O47" s="2" t="str">
        <f>IF(Iterations[[#This Row],[Step]] =current_step, current_Grad_b,IF(Iterations[[#This Row],[Step]] &gt; current_step, "",Iterations[[#This Row],[Grad_b]]))</f>
        <v/>
      </c>
      <c r="P47" s="2" t="str">
        <f>IF(Iterations[[#This Row],[Step]] =current_step, current_Grad_c,IF(Iterations[[#This Row],[Step]] &gt; current_step, "",Iterations[[#This Row],[Grad_c]]))</f>
        <v/>
      </c>
      <c r="Q47" s="2" t="str">
        <f>IF(Iterations[[#This Row],[Step]] =current_step, current_Grad_d,IF(Iterations[[#This Row],[Step]] &gt; current_step, "",Iterations[[#This Row],[Grad_d]]))</f>
        <v/>
      </c>
      <c r="R47" s="2" t="str">
        <f>IF(Iterations[[#This Row],[Step]] =current_step, current_Grad_e,IF(Iterations[[#This Row],[Step]] &gt; current_step, "",Iterations[[#This Row],[Grad_e]]))</f>
        <v/>
      </c>
    </row>
    <row r="48" spans="1:30" x14ac:dyDescent="0.3">
      <c r="F48" s="2">
        <f t="shared" si="1"/>
        <v>31</v>
      </c>
      <c r="G48" s="2" t="str">
        <f>IF(Iterations[[#This Row],[Step]] =current_step, current_a,IF(Iterations[[#This Row],[Step]] &gt; current_step, "",Iterations[[#This Row],[a]]))</f>
        <v/>
      </c>
      <c r="H48" s="2" t="str">
        <f>IF(Iterations[[#This Row],[Step]] =current_step, current_b,IF(Iterations[[#This Row],[Step]] &gt; current_step, "",Iterations[[#This Row],[b]]))</f>
        <v/>
      </c>
      <c r="I48" s="2" t="str">
        <f>IF(Iterations[[#This Row],[Step]] =current_step, current_c,IF(Iterations[[#This Row],[Step]] &gt; current_step, "",Iterations[[#This Row],[c]]))</f>
        <v/>
      </c>
      <c r="J48" s="2" t="str">
        <f>IF(Iterations[[#This Row],[Step]] =current_step, current_d,IF(Iterations[[#This Row],[Step]] &gt; current_step, "",Iterations[[#This Row],[d]]))</f>
        <v/>
      </c>
      <c r="K48" s="2" t="str">
        <f>IF(Iterations[[#This Row],[Step]] =current_step, current_e,IF(Iterations[[#This Row],[Step]] &gt; current_step, "",Iterations[[#This Row],[e]]))</f>
        <v/>
      </c>
      <c r="L48" s="2" t="str">
        <f>IF(Iterations[[#This Row],[Step]] =current_step, current_Total_Loss,IF(Iterations[[#This Row],[Step]] &gt; current_step, "",Iterations[[#This Row],[Total Loss]]))</f>
        <v/>
      </c>
      <c r="M48" s="6" t="s">
        <v>27</v>
      </c>
      <c r="N48" s="2" t="str">
        <f>IF(Iterations[[#This Row],[Step]] =current_step, current_Grad_a,IF(Iterations[[#This Row],[Step]] &gt; current_step, "",Iterations[[#This Row],[Grad_a]]))</f>
        <v/>
      </c>
      <c r="O48" s="2" t="str">
        <f>IF(Iterations[[#This Row],[Step]] =current_step, current_Grad_b,IF(Iterations[[#This Row],[Step]] &gt; current_step, "",Iterations[[#This Row],[Grad_b]]))</f>
        <v/>
      </c>
      <c r="P48" s="2" t="str">
        <f>IF(Iterations[[#This Row],[Step]] =current_step, current_Grad_c,IF(Iterations[[#This Row],[Step]] &gt; current_step, "",Iterations[[#This Row],[Grad_c]]))</f>
        <v/>
      </c>
      <c r="Q48" s="2" t="str">
        <f>IF(Iterations[[#This Row],[Step]] =current_step, current_Grad_d,IF(Iterations[[#This Row],[Step]] &gt; current_step, "",Iterations[[#This Row],[Grad_d]]))</f>
        <v/>
      </c>
      <c r="R48" s="2" t="str">
        <f>IF(Iterations[[#This Row],[Step]] =current_step, current_Grad_e,IF(Iterations[[#This Row],[Step]] &gt; current_step, "",Iterations[[#This Row],[Grad_e]]))</f>
        <v/>
      </c>
    </row>
    <row r="49" spans="6:18" x14ac:dyDescent="0.3">
      <c r="F49" s="2">
        <f t="shared" si="1"/>
        <v>32</v>
      </c>
      <c r="G49" s="2" t="str">
        <f>IF(Iterations[[#This Row],[Step]] =current_step, current_a,IF(Iterations[[#This Row],[Step]] &gt; current_step, "",Iterations[[#This Row],[a]]))</f>
        <v/>
      </c>
      <c r="H49" s="2" t="str">
        <f>IF(Iterations[[#This Row],[Step]] =current_step, current_b,IF(Iterations[[#This Row],[Step]] &gt; current_step, "",Iterations[[#This Row],[b]]))</f>
        <v/>
      </c>
      <c r="I49" s="2" t="str">
        <f>IF(Iterations[[#This Row],[Step]] =current_step, current_c,IF(Iterations[[#This Row],[Step]] &gt; current_step, "",Iterations[[#This Row],[c]]))</f>
        <v/>
      </c>
      <c r="J49" s="2" t="str">
        <f>IF(Iterations[[#This Row],[Step]] =current_step, current_d,IF(Iterations[[#This Row],[Step]] &gt; current_step, "",Iterations[[#This Row],[d]]))</f>
        <v/>
      </c>
      <c r="K49" s="2" t="str">
        <f>IF(Iterations[[#This Row],[Step]] =current_step, current_e,IF(Iterations[[#This Row],[Step]] &gt; current_step, "",Iterations[[#This Row],[e]]))</f>
        <v/>
      </c>
      <c r="L49" s="2" t="str">
        <f>IF(Iterations[[#This Row],[Step]] =current_step, current_Total_Loss,IF(Iterations[[#This Row],[Step]] &gt; current_step, "",Iterations[[#This Row],[Total Loss]]))</f>
        <v/>
      </c>
      <c r="M49" s="6" t="s">
        <v>27</v>
      </c>
      <c r="N49" s="2" t="str">
        <f>IF(Iterations[[#This Row],[Step]] =current_step, current_Grad_a,IF(Iterations[[#This Row],[Step]] &gt; current_step, "",Iterations[[#This Row],[Grad_a]]))</f>
        <v/>
      </c>
      <c r="O49" s="2" t="str">
        <f>IF(Iterations[[#This Row],[Step]] =current_step, current_Grad_b,IF(Iterations[[#This Row],[Step]] &gt; current_step, "",Iterations[[#This Row],[Grad_b]]))</f>
        <v/>
      </c>
      <c r="P49" s="2" t="str">
        <f>IF(Iterations[[#This Row],[Step]] =current_step, current_Grad_c,IF(Iterations[[#This Row],[Step]] &gt; current_step, "",Iterations[[#This Row],[Grad_c]]))</f>
        <v/>
      </c>
      <c r="Q49" s="2" t="str">
        <f>IF(Iterations[[#This Row],[Step]] =current_step, current_Grad_d,IF(Iterations[[#This Row],[Step]] &gt; current_step, "",Iterations[[#This Row],[Grad_d]]))</f>
        <v/>
      </c>
      <c r="R49" s="2" t="str">
        <f>IF(Iterations[[#This Row],[Step]] =current_step, current_Grad_e,IF(Iterations[[#This Row],[Step]] &gt; current_step, "",Iterations[[#This Row],[Grad_e]]))</f>
        <v/>
      </c>
    </row>
    <row r="50" spans="6:18" x14ac:dyDescent="0.3">
      <c r="F50" s="2">
        <f t="shared" si="1"/>
        <v>33</v>
      </c>
      <c r="G50" s="2" t="str">
        <f>IF(Iterations[[#This Row],[Step]] =current_step, current_a,IF(Iterations[[#This Row],[Step]] &gt; current_step, "",Iterations[[#This Row],[a]]))</f>
        <v/>
      </c>
      <c r="H50" s="2" t="str">
        <f>IF(Iterations[[#This Row],[Step]] =current_step, current_b,IF(Iterations[[#This Row],[Step]] &gt; current_step, "",Iterations[[#This Row],[b]]))</f>
        <v/>
      </c>
      <c r="I50" s="2" t="str">
        <f>IF(Iterations[[#This Row],[Step]] =current_step, current_c,IF(Iterations[[#This Row],[Step]] &gt; current_step, "",Iterations[[#This Row],[c]]))</f>
        <v/>
      </c>
      <c r="J50" s="2" t="str">
        <f>IF(Iterations[[#This Row],[Step]] =current_step, current_d,IF(Iterations[[#This Row],[Step]] &gt; current_step, "",Iterations[[#This Row],[d]]))</f>
        <v/>
      </c>
      <c r="K50" s="2" t="str">
        <f>IF(Iterations[[#This Row],[Step]] =current_step, current_e,IF(Iterations[[#This Row],[Step]] &gt; current_step, "",Iterations[[#This Row],[e]]))</f>
        <v/>
      </c>
      <c r="L50" s="2" t="str">
        <f>IF(Iterations[[#This Row],[Step]] =current_step, current_Total_Loss,IF(Iterations[[#This Row],[Step]] &gt; current_step, "",Iterations[[#This Row],[Total Loss]]))</f>
        <v/>
      </c>
      <c r="M50" s="6" t="s">
        <v>27</v>
      </c>
      <c r="N50" s="2" t="str">
        <f>IF(Iterations[[#This Row],[Step]] =current_step, current_Grad_a,IF(Iterations[[#This Row],[Step]] &gt; current_step, "",Iterations[[#This Row],[Grad_a]]))</f>
        <v/>
      </c>
      <c r="O50" s="2" t="str">
        <f>IF(Iterations[[#This Row],[Step]] =current_step, current_Grad_b,IF(Iterations[[#This Row],[Step]] &gt; current_step, "",Iterations[[#This Row],[Grad_b]]))</f>
        <v/>
      </c>
      <c r="P50" s="2" t="str">
        <f>IF(Iterations[[#This Row],[Step]] =current_step, current_Grad_c,IF(Iterations[[#This Row],[Step]] &gt; current_step, "",Iterations[[#This Row],[Grad_c]]))</f>
        <v/>
      </c>
      <c r="Q50" s="2" t="str">
        <f>IF(Iterations[[#This Row],[Step]] =current_step, current_Grad_d,IF(Iterations[[#This Row],[Step]] &gt; current_step, "",Iterations[[#This Row],[Grad_d]]))</f>
        <v/>
      </c>
      <c r="R50" s="2" t="str">
        <f>IF(Iterations[[#This Row],[Step]] =current_step, current_Grad_e,IF(Iterations[[#This Row],[Step]] &gt; current_step, "",Iterations[[#This Row],[Grad_e]]))</f>
        <v/>
      </c>
    </row>
    <row r="51" spans="6:18" x14ac:dyDescent="0.3">
      <c r="F51" s="2">
        <f t="shared" si="1"/>
        <v>34</v>
      </c>
      <c r="G51" s="2" t="str">
        <f>IF(Iterations[[#This Row],[Step]] =current_step, current_a,IF(Iterations[[#This Row],[Step]] &gt; current_step, "",Iterations[[#This Row],[a]]))</f>
        <v/>
      </c>
      <c r="H51" s="2" t="str">
        <f>IF(Iterations[[#This Row],[Step]] =current_step, current_b,IF(Iterations[[#This Row],[Step]] &gt; current_step, "",Iterations[[#This Row],[b]]))</f>
        <v/>
      </c>
      <c r="I51" s="2" t="str">
        <f>IF(Iterations[[#This Row],[Step]] =current_step, current_c,IF(Iterations[[#This Row],[Step]] &gt; current_step, "",Iterations[[#This Row],[c]]))</f>
        <v/>
      </c>
      <c r="J51" s="2" t="str">
        <f>IF(Iterations[[#This Row],[Step]] =current_step, current_d,IF(Iterations[[#This Row],[Step]] &gt; current_step, "",Iterations[[#This Row],[d]]))</f>
        <v/>
      </c>
      <c r="K51" s="2" t="str">
        <f>IF(Iterations[[#This Row],[Step]] =current_step, current_e,IF(Iterations[[#This Row],[Step]] &gt; current_step, "",Iterations[[#This Row],[e]]))</f>
        <v/>
      </c>
      <c r="L51" s="2" t="str">
        <f>IF(Iterations[[#This Row],[Step]] =current_step, current_Total_Loss,IF(Iterations[[#This Row],[Step]] &gt; current_step, "",Iterations[[#This Row],[Total Loss]]))</f>
        <v/>
      </c>
      <c r="M51" s="6" t="s">
        <v>27</v>
      </c>
      <c r="N51" s="2" t="str">
        <f>IF(Iterations[[#This Row],[Step]] =current_step, current_Grad_a,IF(Iterations[[#This Row],[Step]] &gt; current_step, "",Iterations[[#This Row],[Grad_a]]))</f>
        <v/>
      </c>
      <c r="O51" s="2" t="str">
        <f>IF(Iterations[[#This Row],[Step]] =current_step, current_Grad_b,IF(Iterations[[#This Row],[Step]] &gt; current_step, "",Iterations[[#This Row],[Grad_b]]))</f>
        <v/>
      </c>
      <c r="P51" s="2" t="str">
        <f>IF(Iterations[[#This Row],[Step]] =current_step, current_Grad_c,IF(Iterations[[#This Row],[Step]] &gt; current_step, "",Iterations[[#This Row],[Grad_c]]))</f>
        <v/>
      </c>
      <c r="Q51" s="2" t="str">
        <f>IF(Iterations[[#This Row],[Step]] =current_step, current_Grad_d,IF(Iterations[[#This Row],[Step]] &gt; current_step, "",Iterations[[#This Row],[Grad_d]]))</f>
        <v/>
      </c>
      <c r="R51" s="2" t="str">
        <f>IF(Iterations[[#This Row],[Step]] =current_step, current_Grad_e,IF(Iterations[[#This Row],[Step]] &gt; current_step, "",Iterations[[#This Row],[Grad_e]]))</f>
        <v/>
      </c>
    </row>
    <row r="52" spans="6:18" x14ac:dyDescent="0.3">
      <c r="F52" s="2">
        <f t="shared" si="1"/>
        <v>35</v>
      </c>
      <c r="G52" s="2" t="str">
        <f>IF(Iterations[[#This Row],[Step]] =current_step, current_a,IF(Iterations[[#This Row],[Step]] &gt; current_step, "",Iterations[[#This Row],[a]]))</f>
        <v/>
      </c>
      <c r="H52" s="2" t="str">
        <f>IF(Iterations[[#This Row],[Step]] =current_step, current_b,IF(Iterations[[#This Row],[Step]] &gt; current_step, "",Iterations[[#This Row],[b]]))</f>
        <v/>
      </c>
      <c r="I52" s="2" t="str">
        <f>IF(Iterations[[#This Row],[Step]] =current_step, current_c,IF(Iterations[[#This Row],[Step]] &gt; current_step, "",Iterations[[#This Row],[c]]))</f>
        <v/>
      </c>
      <c r="J52" s="2" t="str">
        <f>IF(Iterations[[#This Row],[Step]] =current_step, current_d,IF(Iterations[[#This Row],[Step]] &gt; current_step, "",Iterations[[#This Row],[d]]))</f>
        <v/>
      </c>
      <c r="K52" s="2" t="str">
        <f>IF(Iterations[[#This Row],[Step]] =current_step, current_e,IF(Iterations[[#This Row],[Step]] &gt; current_step, "",Iterations[[#This Row],[e]]))</f>
        <v/>
      </c>
      <c r="L52" s="2" t="str">
        <f>IF(Iterations[[#This Row],[Step]] =current_step, current_Total_Loss,IF(Iterations[[#This Row],[Step]] &gt; current_step, "",Iterations[[#This Row],[Total Loss]]))</f>
        <v/>
      </c>
      <c r="M52" s="6" t="s">
        <v>27</v>
      </c>
      <c r="N52" s="2" t="str">
        <f>IF(Iterations[[#This Row],[Step]] =current_step, current_Grad_a,IF(Iterations[[#This Row],[Step]] &gt; current_step, "",Iterations[[#This Row],[Grad_a]]))</f>
        <v/>
      </c>
      <c r="O52" s="2" t="str">
        <f>IF(Iterations[[#This Row],[Step]] =current_step, current_Grad_b,IF(Iterations[[#This Row],[Step]] &gt; current_step, "",Iterations[[#This Row],[Grad_b]]))</f>
        <v/>
      </c>
      <c r="P52" s="2" t="str">
        <f>IF(Iterations[[#This Row],[Step]] =current_step, current_Grad_c,IF(Iterations[[#This Row],[Step]] &gt; current_step, "",Iterations[[#This Row],[Grad_c]]))</f>
        <v/>
      </c>
      <c r="Q52" s="2" t="str">
        <f>IF(Iterations[[#This Row],[Step]] =current_step, current_Grad_d,IF(Iterations[[#This Row],[Step]] &gt; current_step, "",Iterations[[#This Row],[Grad_d]]))</f>
        <v/>
      </c>
      <c r="R52" s="2" t="str">
        <f>IF(Iterations[[#This Row],[Step]] =current_step, current_Grad_e,IF(Iterations[[#This Row],[Step]] &gt; current_step, "",Iterations[[#This Row],[Grad_e]]))</f>
        <v/>
      </c>
    </row>
    <row r="53" spans="6:18" x14ac:dyDescent="0.3">
      <c r="F53" s="2">
        <f t="shared" si="1"/>
        <v>36</v>
      </c>
      <c r="G53" s="2" t="str">
        <f>IF(Iterations[[#This Row],[Step]] =current_step, current_a,IF(Iterations[[#This Row],[Step]] &gt; current_step, "",Iterations[[#This Row],[a]]))</f>
        <v/>
      </c>
      <c r="H53" s="2" t="str">
        <f>IF(Iterations[[#This Row],[Step]] =current_step, current_b,IF(Iterations[[#This Row],[Step]] &gt; current_step, "",Iterations[[#This Row],[b]]))</f>
        <v/>
      </c>
      <c r="I53" s="2" t="str">
        <f>IF(Iterations[[#This Row],[Step]] =current_step, current_c,IF(Iterations[[#This Row],[Step]] &gt; current_step, "",Iterations[[#This Row],[c]]))</f>
        <v/>
      </c>
      <c r="J53" s="2" t="str">
        <f>IF(Iterations[[#This Row],[Step]] =current_step, current_d,IF(Iterations[[#This Row],[Step]] &gt; current_step, "",Iterations[[#This Row],[d]]))</f>
        <v/>
      </c>
      <c r="K53" s="2" t="str">
        <f>IF(Iterations[[#This Row],[Step]] =current_step, current_e,IF(Iterations[[#This Row],[Step]] &gt; current_step, "",Iterations[[#This Row],[e]]))</f>
        <v/>
      </c>
      <c r="L53" s="2" t="str">
        <f>IF(Iterations[[#This Row],[Step]] =current_step, current_Total_Loss,IF(Iterations[[#This Row],[Step]] &gt; current_step, "",Iterations[[#This Row],[Total Loss]]))</f>
        <v/>
      </c>
      <c r="M53" s="6" t="s">
        <v>27</v>
      </c>
      <c r="N53" s="2" t="str">
        <f>IF(Iterations[[#This Row],[Step]] =current_step, current_Grad_a,IF(Iterations[[#This Row],[Step]] &gt; current_step, "",Iterations[[#This Row],[Grad_a]]))</f>
        <v/>
      </c>
      <c r="O53" s="2" t="str">
        <f>IF(Iterations[[#This Row],[Step]] =current_step, current_Grad_b,IF(Iterations[[#This Row],[Step]] &gt; current_step, "",Iterations[[#This Row],[Grad_b]]))</f>
        <v/>
      </c>
      <c r="P53" s="2" t="str">
        <f>IF(Iterations[[#This Row],[Step]] =current_step, current_Grad_c,IF(Iterations[[#This Row],[Step]] &gt; current_step, "",Iterations[[#This Row],[Grad_c]]))</f>
        <v/>
      </c>
      <c r="Q53" s="2" t="str">
        <f>IF(Iterations[[#This Row],[Step]] =current_step, current_Grad_d,IF(Iterations[[#This Row],[Step]] &gt; current_step, "",Iterations[[#This Row],[Grad_d]]))</f>
        <v/>
      </c>
      <c r="R53" s="2" t="str">
        <f>IF(Iterations[[#This Row],[Step]] =current_step, current_Grad_e,IF(Iterations[[#This Row],[Step]] &gt; current_step, "",Iterations[[#This Row],[Grad_e]]))</f>
        <v/>
      </c>
    </row>
    <row r="54" spans="6:18" x14ac:dyDescent="0.3">
      <c r="F54" s="2">
        <f t="shared" si="1"/>
        <v>37</v>
      </c>
      <c r="G54" s="2" t="str">
        <f>IF(Iterations[[#This Row],[Step]] =current_step, current_a,IF(Iterations[[#This Row],[Step]] &gt; current_step, "",Iterations[[#This Row],[a]]))</f>
        <v/>
      </c>
      <c r="H54" s="2" t="str">
        <f>IF(Iterations[[#This Row],[Step]] =current_step, current_b,IF(Iterations[[#This Row],[Step]] &gt; current_step, "",Iterations[[#This Row],[b]]))</f>
        <v/>
      </c>
      <c r="I54" s="2" t="str">
        <f>IF(Iterations[[#This Row],[Step]] =current_step, current_c,IF(Iterations[[#This Row],[Step]] &gt; current_step, "",Iterations[[#This Row],[c]]))</f>
        <v/>
      </c>
      <c r="J54" s="2" t="str">
        <f>IF(Iterations[[#This Row],[Step]] =current_step, current_d,IF(Iterations[[#This Row],[Step]] &gt; current_step, "",Iterations[[#This Row],[d]]))</f>
        <v/>
      </c>
      <c r="K54" s="2" t="str">
        <f>IF(Iterations[[#This Row],[Step]] =current_step, current_e,IF(Iterations[[#This Row],[Step]] &gt; current_step, "",Iterations[[#This Row],[e]]))</f>
        <v/>
      </c>
      <c r="L54" s="2" t="str">
        <f>IF(Iterations[[#This Row],[Step]] =current_step, current_Total_Loss,IF(Iterations[[#This Row],[Step]] &gt; current_step, "",Iterations[[#This Row],[Total Loss]]))</f>
        <v/>
      </c>
      <c r="M54" s="6" t="s">
        <v>27</v>
      </c>
      <c r="N54" s="2" t="str">
        <f>IF(Iterations[[#This Row],[Step]] =current_step, current_Grad_a,IF(Iterations[[#This Row],[Step]] &gt; current_step, "",Iterations[[#This Row],[Grad_a]]))</f>
        <v/>
      </c>
      <c r="O54" s="2" t="str">
        <f>IF(Iterations[[#This Row],[Step]] =current_step, current_Grad_b,IF(Iterations[[#This Row],[Step]] &gt; current_step, "",Iterations[[#This Row],[Grad_b]]))</f>
        <v/>
      </c>
      <c r="P54" s="2" t="str">
        <f>IF(Iterations[[#This Row],[Step]] =current_step, current_Grad_c,IF(Iterations[[#This Row],[Step]] &gt; current_step, "",Iterations[[#This Row],[Grad_c]]))</f>
        <v/>
      </c>
      <c r="Q54" s="2" t="str">
        <f>IF(Iterations[[#This Row],[Step]] =current_step, current_Grad_d,IF(Iterations[[#This Row],[Step]] &gt; current_step, "",Iterations[[#This Row],[Grad_d]]))</f>
        <v/>
      </c>
      <c r="R54" s="2" t="str">
        <f>IF(Iterations[[#This Row],[Step]] =current_step, current_Grad_e,IF(Iterations[[#This Row],[Step]] &gt; current_step, "",Iterations[[#This Row],[Grad_e]]))</f>
        <v/>
      </c>
    </row>
    <row r="55" spans="6:18" x14ac:dyDescent="0.3">
      <c r="F55" s="2">
        <f t="shared" si="1"/>
        <v>38</v>
      </c>
      <c r="G55" s="2" t="str">
        <f>IF(Iterations[[#This Row],[Step]] =current_step, current_a,IF(Iterations[[#This Row],[Step]] &gt; current_step, "",Iterations[[#This Row],[a]]))</f>
        <v/>
      </c>
      <c r="H55" s="2" t="str">
        <f>IF(Iterations[[#This Row],[Step]] =current_step, current_b,IF(Iterations[[#This Row],[Step]] &gt; current_step, "",Iterations[[#This Row],[b]]))</f>
        <v/>
      </c>
      <c r="I55" s="2" t="str">
        <f>IF(Iterations[[#This Row],[Step]] =current_step, current_c,IF(Iterations[[#This Row],[Step]] &gt; current_step, "",Iterations[[#This Row],[c]]))</f>
        <v/>
      </c>
      <c r="J55" s="2" t="str">
        <f>IF(Iterations[[#This Row],[Step]] =current_step, current_d,IF(Iterations[[#This Row],[Step]] &gt; current_step, "",Iterations[[#This Row],[d]]))</f>
        <v/>
      </c>
      <c r="K55" s="2" t="str">
        <f>IF(Iterations[[#This Row],[Step]] =current_step, current_e,IF(Iterations[[#This Row],[Step]] &gt; current_step, "",Iterations[[#This Row],[e]]))</f>
        <v/>
      </c>
      <c r="L55" s="2" t="str">
        <f>IF(Iterations[[#This Row],[Step]] =current_step, current_Total_Loss,IF(Iterations[[#This Row],[Step]] &gt; current_step, "",Iterations[[#This Row],[Total Loss]]))</f>
        <v/>
      </c>
      <c r="M55" s="6" t="s">
        <v>27</v>
      </c>
      <c r="N55" s="2" t="str">
        <f>IF(Iterations[[#This Row],[Step]] =current_step, current_Grad_a,IF(Iterations[[#This Row],[Step]] &gt; current_step, "",Iterations[[#This Row],[Grad_a]]))</f>
        <v/>
      </c>
      <c r="O55" s="2" t="str">
        <f>IF(Iterations[[#This Row],[Step]] =current_step, current_Grad_b,IF(Iterations[[#This Row],[Step]] &gt; current_step, "",Iterations[[#This Row],[Grad_b]]))</f>
        <v/>
      </c>
      <c r="P55" s="2" t="str">
        <f>IF(Iterations[[#This Row],[Step]] =current_step, current_Grad_c,IF(Iterations[[#This Row],[Step]] &gt; current_step, "",Iterations[[#This Row],[Grad_c]]))</f>
        <v/>
      </c>
      <c r="Q55" s="2" t="str">
        <f>IF(Iterations[[#This Row],[Step]] =current_step, current_Grad_d,IF(Iterations[[#This Row],[Step]] &gt; current_step, "",Iterations[[#This Row],[Grad_d]]))</f>
        <v/>
      </c>
      <c r="R55" s="2" t="str">
        <f>IF(Iterations[[#This Row],[Step]] =current_step, current_Grad_e,IF(Iterations[[#This Row],[Step]] &gt; current_step, "",Iterations[[#This Row],[Grad_e]]))</f>
        <v/>
      </c>
    </row>
    <row r="56" spans="6:18" x14ac:dyDescent="0.3">
      <c r="F56" s="2">
        <f t="shared" si="1"/>
        <v>39</v>
      </c>
      <c r="G56" s="2" t="str">
        <f>IF(Iterations[[#This Row],[Step]] =current_step, current_a,IF(Iterations[[#This Row],[Step]] &gt; current_step, "",Iterations[[#This Row],[a]]))</f>
        <v/>
      </c>
      <c r="H56" s="2" t="str">
        <f>IF(Iterations[[#This Row],[Step]] =current_step, current_b,IF(Iterations[[#This Row],[Step]] &gt; current_step, "",Iterations[[#This Row],[b]]))</f>
        <v/>
      </c>
      <c r="I56" s="2" t="str">
        <f>IF(Iterations[[#This Row],[Step]] =current_step, current_c,IF(Iterations[[#This Row],[Step]] &gt; current_step, "",Iterations[[#This Row],[c]]))</f>
        <v/>
      </c>
      <c r="J56" s="2" t="str">
        <f>IF(Iterations[[#This Row],[Step]] =current_step, current_d,IF(Iterations[[#This Row],[Step]] &gt; current_step, "",Iterations[[#This Row],[d]]))</f>
        <v/>
      </c>
      <c r="K56" s="2" t="str">
        <f>IF(Iterations[[#This Row],[Step]] =current_step, current_e,IF(Iterations[[#This Row],[Step]] &gt; current_step, "",Iterations[[#This Row],[e]]))</f>
        <v/>
      </c>
      <c r="L56" s="2" t="str">
        <f>IF(Iterations[[#This Row],[Step]] =current_step, current_Total_Loss,IF(Iterations[[#This Row],[Step]] &gt; current_step, "",Iterations[[#This Row],[Total Loss]]))</f>
        <v/>
      </c>
      <c r="M56" s="6" t="s">
        <v>27</v>
      </c>
      <c r="N56" s="2" t="str">
        <f>IF(Iterations[[#This Row],[Step]] =current_step, current_Grad_a,IF(Iterations[[#This Row],[Step]] &gt; current_step, "",Iterations[[#This Row],[Grad_a]]))</f>
        <v/>
      </c>
      <c r="O56" s="2" t="str">
        <f>IF(Iterations[[#This Row],[Step]] =current_step, current_Grad_b,IF(Iterations[[#This Row],[Step]] &gt; current_step, "",Iterations[[#This Row],[Grad_b]]))</f>
        <v/>
      </c>
      <c r="P56" s="2" t="str">
        <f>IF(Iterations[[#This Row],[Step]] =current_step, current_Grad_c,IF(Iterations[[#This Row],[Step]] &gt; current_step, "",Iterations[[#This Row],[Grad_c]]))</f>
        <v/>
      </c>
      <c r="Q56" s="2" t="str">
        <f>IF(Iterations[[#This Row],[Step]] =current_step, current_Grad_d,IF(Iterations[[#This Row],[Step]] &gt; current_step, "",Iterations[[#This Row],[Grad_d]]))</f>
        <v/>
      </c>
      <c r="R56" s="2" t="str">
        <f>IF(Iterations[[#This Row],[Step]] =current_step, current_Grad_e,IF(Iterations[[#This Row],[Step]] &gt; current_step, "",Iterations[[#This Row],[Grad_e]]))</f>
        <v/>
      </c>
    </row>
    <row r="57" spans="6:18" x14ac:dyDescent="0.3">
      <c r="F57" s="2">
        <f t="shared" si="1"/>
        <v>40</v>
      </c>
      <c r="G57" s="2" t="str">
        <f>IF(Iterations[[#This Row],[Step]] =current_step, current_a,IF(Iterations[[#This Row],[Step]] &gt; current_step, "",Iterations[[#This Row],[a]]))</f>
        <v/>
      </c>
      <c r="H57" s="2" t="str">
        <f>IF(Iterations[[#This Row],[Step]] =current_step, current_b,IF(Iterations[[#This Row],[Step]] &gt; current_step, "",Iterations[[#This Row],[b]]))</f>
        <v/>
      </c>
      <c r="I57" s="2" t="str">
        <f>IF(Iterations[[#This Row],[Step]] =current_step, current_c,IF(Iterations[[#This Row],[Step]] &gt; current_step, "",Iterations[[#This Row],[c]]))</f>
        <v/>
      </c>
      <c r="J57" s="2" t="str">
        <f>IF(Iterations[[#This Row],[Step]] =current_step, current_d,IF(Iterations[[#This Row],[Step]] &gt; current_step, "",Iterations[[#This Row],[d]]))</f>
        <v/>
      </c>
      <c r="K57" s="2" t="str">
        <f>IF(Iterations[[#This Row],[Step]] =current_step, current_e,IF(Iterations[[#This Row],[Step]] &gt; current_step, "",Iterations[[#This Row],[e]]))</f>
        <v/>
      </c>
      <c r="L57" s="2" t="str">
        <f>IF(Iterations[[#This Row],[Step]] =current_step, current_Total_Loss,IF(Iterations[[#This Row],[Step]] &gt; current_step, "",Iterations[[#This Row],[Total Loss]]))</f>
        <v/>
      </c>
      <c r="M57" s="6" t="s">
        <v>27</v>
      </c>
      <c r="N57" s="2" t="str">
        <f>IF(Iterations[[#This Row],[Step]] =current_step, current_Grad_a,IF(Iterations[[#This Row],[Step]] &gt; current_step, "",Iterations[[#This Row],[Grad_a]]))</f>
        <v/>
      </c>
      <c r="O57" s="2" t="str">
        <f>IF(Iterations[[#This Row],[Step]] =current_step, current_Grad_b,IF(Iterations[[#This Row],[Step]] &gt; current_step, "",Iterations[[#This Row],[Grad_b]]))</f>
        <v/>
      </c>
      <c r="P57" s="2" t="str">
        <f>IF(Iterations[[#This Row],[Step]] =current_step, current_Grad_c,IF(Iterations[[#This Row],[Step]] &gt; current_step, "",Iterations[[#This Row],[Grad_c]]))</f>
        <v/>
      </c>
      <c r="Q57" s="2" t="str">
        <f>IF(Iterations[[#This Row],[Step]] =current_step, current_Grad_d,IF(Iterations[[#This Row],[Step]] &gt; current_step, "",Iterations[[#This Row],[Grad_d]]))</f>
        <v/>
      </c>
      <c r="R57" s="2" t="str">
        <f>IF(Iterations[[#This Row],[Step]] =current_step, current_Grad_e,IF(Iterations[[#This Row],[Step]] &gt; current_step, "",Iterations[[#This Row],[Grad_e]]))</f>
        <v/>
      </c>
    </row>
    <row r="58" spans="6:18" x14ac:dyDescent="0.3">
      <c r="F58" s="2">
        <f t="shared" si="1"/>
        <v>41</v>
      </c>
      <c r="G58" s="2" t="str">
        <f>IF(Iterations[[#This Row],[Step]] =current_step, current_a,IF(Iterations[[#This Row],[Step]] &gt; current_step, "",Iterations[[#This Row],[a]]))</f>
        <v/>
      </c>
      <c r="H58" s="2" t="str">
        <f>IF(Iterations[[#This Row],[Step]] =current_step, current_b,IF(Iterations[[#This Row],[Step]] &gt; current_step, "",Iterations[[#This Row],[b]]))</f>
        <v/>
      </c>
      <c r="I58" s="2" t="str">
        <f>IF(Iterations[[#This Row],[Step]] =current_step, current_c,IF(Iterations[[#This Row],[Step]] &gt; current_step, "",Iterations[[#This Row],[c]]))</f>
        <v/>
      </c>
      <c r="J58" s="2" t="str">
        <f>IF(Iterations[[#This Row],[Step]] =current_step, current_d,IF(Iterations[[#This Row],[Step]] &gt; current_step, "",Iterations[[#This Row],[d]]))</f>
        <v/>
      </c>
      <c r="K58" s="2" t="str">
        <f>IF(Iterations[[#This Row],[Step]] =current_step, current_e,IF(Iterations[[#This Row],[Step]] &gt; current_step, "",Iterations[[#This Row],[e]]))</f>
        <v/>
      </c>
      <c r="L58" s="2" t="str">
        <f>IF(Iterations[[#This Row],[Step]] =current_step, current_Total_Loss,IF(Iterations[[#This Row],[Step]] &gt; current_step, "",Iterations[[#This Row],[Total Loss]]))</f>
        <v/>
      </c>
      <c r="M58" s="6" t="s">
        <v>27</v>
      </c>
      <c r="N58" s="2" t="str">
        <f>IF(Iterations[[#This Row],[Step]] =current_step, current_Grad_a,IF(Iterations[[#This Row],[Step]] &gt; current_step, "",Iterations[[#This Row],[Grad_a]]))</f>
        <v/>
      </c>
      <c r="O58" s="2" t="str">
        <f>IF(Iterations[[#This Row],[Step]] =current_step, current_Grad_b,IF(Iterations[[#This Row],[Step]] &gt; current_step, "",Iterations[[#This Row],[Grad_b]]))</f>
        <v/>
      </c>
      <c r="P58" s="2" t="str">
        <f>IF(Iterations[[#This Row],[Step]] =current_step, current_Grad_c,IF(Iterations[[#This Row],[Step]] &gt; current_step, "",Iterations[[#This Row],[Grad_c]]))</f>
        <v/>
      </c>
      <c r="Q58" s="2" t="str">
        <f>IF(Iterations[[#This Row],[Step]] =current_step, current_Grad_d,IF(Iterations[[#This Row],[Step]] &gt; current_step, "",Iterations[[#This Row],[Grad_d]]))</f>
        <v/>
      </c>
      <c r="R58" s="2" t="str">
        <f>IF(Iterations[[#This Row],[Step]] =current_step, current_Grad_e,IF(Iterations[[#This Row],[Step]] &gt; current_step, "",Iterations[[#This Row],[Grad_e]]))</f>
        <v/>
      </c>
    </row>
    <row r="59" spans="6:18" x14ac:dyDescent="0.3">
      <c r="F59" s="2">
        <f t="shared" si="1"/>
        <v>42</v>
      </c>
      <c r="G59" s="2" t="str">
        <f>IF(Iterations[[#This Row],[Step]] =current_step, current_a,IF(Iterations[[#This Row],[Step]] &gt; current_step, "",Iterations[[#This Row],[a]]))</f>
        <v/>
      </c>
      <c r="H59" s="2" t="str">
        <f>IF(Iterations[[#This Row],[Step]] =current_step, current_b,IF(Iterations[[#This Row],[Step]] &gt; current_step, "",Iterations[[#This Row],[b]]))</f>
        <v/>
      </c>
      <c r="I59" s="2" t="str">
        <f>IF(Iterations[[#This Row],[Step]] =current_step, current_c,IF(Iterations[[#This Row],[Step]] &gt; current_step, "",Iterations[[#This Row],[c]]))</f>
        <v/>
      </c>
      <c r="J59" s="2" t="str">
        <f>IF(Iterations[[#This Row],[Step]] =current_step, current_d,IF(Iterations[[#This Row],[Step]] &gt; current_step, "",Iterations[[#This Row],[d]]))</f>
        <v/>
      </c>
      <c r="K59" s="2" t="str">
        <f>IF(Iterations[[#This Row],[Step]] =current_step, current_e,IF(Iterations[[#This Row],[Step]] &gt; current_step, "",Iterations[[#This Row],[e]]))</f>
        <v/>
      </c>
      <c r="L59" s="2" t="str">
        <f>IF(Iterations[[#This Row],[Step]] =current_step, current_Total_Loss,IF(Iterations[[#This Row],[Step]] &gt; current_step, "",Iterations[[#This Row],[Total Loss]]))</f>
        <v/>
      </c>
      <c r="M59" s="6" t="s">
        <v>27</v>
      </c>
      <c r="N59" s="2" t="str">
        <f>IF(Iterations[[#This Row],[Step]] =current_step, current_Grad_a,IF(Iterations[[#This Row],[Step]] &gt; current_step, "",Iterations[[#This Row],[Grad_a]]))</f>
        <v/>
      </c>
      <c r="O59" s="2" t="str">
        <f>IF(Iterations[[#This Row],[Step]] =current_step, current_Grad_b,IF(Iterations[[#This Row],[Step]] &gt; current_step, "",Iterations[[#This Row],[Grad_b]]))</f>
        <v/>
      </c>
      <c r="P59" s="2" t="str">
        <f>IF(Iterations[[#This Row],[Step]] =current_step, current_Grad_c,IF(Iterations[[#This Row],[Step]] &gt; current_step, "",Iterations[[#This Row],[Grad_c]]))</f>
        <v/>
      </c>
      <c r="Q59" s="2" t="str">
        <f>IF(Iterations[[#This Row],[Step]] =current_step, current_Grad_d,IF(Iterations[[#This Row],[Step]] &gt; current_step, "",Iterations[[#This Row],[Grad_d]]))</f>
        <v/>
      </c>
      <c r="R59" s="2" t="str">
        <f>IF(Iterations[[#This Row],[Step]] =current_step, current_Grad_e,IF(Iterations[[#This Row],[Step]] &gt; current_step, "",Iterations[[#This Row],[Grad_e]]))</f>
        <v/>
      </c>
    </row>
    <row r="60" spans="6:18" x14ac:dyDescent="0.3">
      <c r="F60" s="2">
        <f t="shared" si="1"/>
        <v>43</v>
      </c>
      <c r="G60" s="2" t="str">
        <f>IF(Iterations[[#This Row],[Step]] =current_step, current_a,IF(Iterations[[#This Row],[Step]] &gt; current_step, "",Iterations[[#This Row],[a]]))</f>
        <v/>
      </c>
      <c r="H60" s="2" t="str">
        <f>IF(Iterations[[#This Row],[Step]] =current_step, current_b,IF(Iterations[[#This Row],[Step]] &gt; current_step, "",Iterations[[#This Row],[b]]))</f>
        <v/>
      </c>
      <c r="I60" s="2" t="str">
        <f>IF(Iterations[[#This Row],[Step]] =current_step, current_c,IF(Iterations[[#This Row],[Step]] &gt; current_step, "",Iterations[[#This Row],[c]]))</f>
        <v/>
      </c>
      <c r="J60" s="2" t="str">
        <f>IF(Iterations[[#This Row],[Step]] =current_step, current_d,IF(Iterations[[#This Row],[Step]] &gt; current_step, "",Iterations[[#This Row],[d]]))</f>
        <v/>
      </c>
      <c r="K60" s="2" t="str">
        <f>IF(Iterations[[#This Row],[Step]] =current_step, current_e,IF(Iterations[[#This Row],[Step]] &gt; current_step, "",Iterations[[#This Row],[e]]))</f>
        <v/>
      </c>
      <c r="L60" s="2" t="str">
        <f>IF(Iterations[[#This Row],[Step]] =current_step, current_Total_Loss,IF(Iterations[[#This Row],[Step]] &gt; current_step, "",Iterations[[#This Row],[Total Loss]]))</f>
        <v/>
      </c>
      <c r="M60" s="6" t="s">
        <v>27</v>
      </c>
      <c r="N60" s="2" t="str">
        <f>IF(Iterations[[#This Row],[Step]] =current_step, current_Grad_a,IF(Iterations[[#This Row],[Step]] &gt; current_step, "",Iterations[[#This Row],[Grad_a]]))</f>
        <v/>
      </c>
      <c r="O60" s="2" t="str">
        <f>IF(Iterations[[#This Row],[Step]] =current_step, current_Grad_b,IF(Iterations[[#This Row],[Step]] &gt; current_step, "",Iterations[[#This Row],[Grad_b]]))</f>
        <v/>
      </c>
      <c r="P60" s="2" t="str">
        <f>IF(Iterations[[#This Row],[Step]] =current_step, current_Grad_c,IF(Iterations[[#This Row],[Step]] &gt; current_step, "",Iterations[[#This Row],[Grad_c]]))</f>
        <v/>
      </c>
      <c r="Q60" s="2" t="str">
        <f>IF(Iterations[[#This Row],[Step]] =current_step, current_Grad_d,IF(Iterations[[#This Row],[Step]] &gt; current_step, "",Iterations[[#This Row],[Grad_d]]))</f>
        <v/>
      </c>
      <c r="R60" s="2" t="str">
        <f>IF(Iterations[[#This Row],[Step]] =current_step, current_Grad_e,IF(Iterations[[#This Row],[Step]] &gt; current_step, "",Iterations[[#This Row],[Grad_e]]))</f>
        <v/>
      </c>
    </row>
    <row r="61" spans="6:18" x14ac:dyDescent="0.3">
      <c r="F61" s="2">
        <f t="shared" si="1"/>
        <v>44</v>
      </c>
      <c r="G61" s="2" t="str">
        <f>IF(Iterations[[#This Row],[Step]] =current_step, current_a,IF(Iterations[[#This Row],[Step]] &gt; current_step, "",Iterations[[#This Row],[a]]))</f>
        <v/>
      </c>
      <c r="H61" s="2" t="str">
        <f>IF(Iterations[[#This Row],[Step]] =current_step, current_b,IF(Iterations[[#This Row],[Step]] &gt; current_step, "",Iterations[[#This Row],[b]]))</f>
        <v/>
      </c>
      <c r="I61" s="2" t="str">
        <f>IF(Iterations[[#This Row],[Step]] =current_step, current_c,IF(Iterations[[#This Row],[Step]] &gt; current_step, "",Iterations[[#This Row],[c]]))</f>
        <v/>
      </c>
      <c r="J61" s="2" t="str">
        <f>IF(Iterations[[#This Row],[Step]] =current_step, current_d,IF(Iterations[[#This Row],[Step]] &gt; current_step, "",Iterations[[#This Row],[d]]))</f>
        <v/>
      </c>
      <c r="K61" s="2" t="str">
        <f>IF(Iterations[[#This Row],[Step]] =current_step, current_e,IF(Iterations[[#This Row],[Step]] &gt; current_step, "",Iterations[[#This Row],[e]]))</f>
        <v/>
      </c>
      <c r="L61" s="2" t="str">
        <f>IF(Iterations[[#This Row],[Step]] =current_step, current_Total_Loss,IF(Iterations[[#This Row],[Step]] &gt; current_step, "",Iterations[[#This Row],[Total Loss]]))</f>
        <v/>
      </c>
      <c r="M61" s="6" t="s">
        <v>27</v>
      </c>
      <c r="N61" s="2" t="str">
        <f>IF(Iterations[[#This Row],[Step]] =current_step, current_Grad_a,IF(Iterations[[#This Row],[Step]] &gt; current_step, "",Iterations[[#This Row],[Grad_a]]))</f>
        <v/>
      </c>
      <c r="O61" s="2" t="str">
        <f>IF(Iterations[[#This Row],[Step]] =current_step, current_Grad_b,IF(Iterations[[#This Row],[Step]] &gt; current_step, "",Iterations[[#This Row],[Grad_b]]))</f>
        <v/>
      </c>
      <c r="P61" s="2" t="str">
        <f>IF(Iterations[[#This Row],[Step]] =current_step, current_Grad_c,IF(Iterations[[#This Row],[Step]] &gt; current_step, "",Iterations[[#This Row],[Grad_c]]))</f>
        <v/>
      </c>
      <c r="Q61" s="2" t="str">
        <f>IF(Iterations[[#This Row],[Step]] =current_step, current_Grad_d,IF(Iterations[[#This Row],[Step]] &gt; current_step, "",Iterations[[#This Row],[Grad_d]]))</f>
        <v/>
      </c>
      <c r="R61" s="2" t="str">
        <f>IF(Iterations[[#This Row],[Step]] =current_step, current_Grad_e,IF(Iterations[[#This Row],[Step]] &gt; current_step, "",Iterations[[#This Row],[Grad_e]]))</f>
        <v/>
      </c>
    </row>
    <row r="62" spans="6:18" x14ac:dyDescent="0.3">
      <c r="F62" s="2">
        <f t="shared" si="1"/>
        <v>45</v>
      </c>
      <c r="G62" s="2" t="str">
        <f>IF(Iterations[[#This Row],[Step]] =current_step, current_a,IF(Iterations[[#This Row],[Step]] &gt; current_step, "",Iterations[[#This Row],[a]]))</f>
        <v/>
      </c>
      <c r="H62" s="2" t="str">
        <f>IF(Iterations[[#This Row],[Step]] =current_step, current_b,IF(Iterations[[#This Row],[Step]] &gt; current_step, "",Iterations[[#This Row],[b]]))</f>
        <v/>
      </c>
      <c r="I62" s="2" t="str">
        <f>IF(Iterations[[#This Row],[Step]] =current_step, current_c,IF(Iterations[[#This Row],[Step]] &gt; current_step, "",Iterations[[#This Row],[c]]))</f>
        <v/>
      </c>
      <c r="J62" s="2" t="str">
        <f>IF(Iterations[[#This Row],[Step]] =current_step, current_d,IF(Iterations[[#This Row],[Step]] &gt; current_step, "",Iterations[[#This Row],[d]]))</f>
        <v/>
      </c>
      <c r="K62" s="2" t="str">
        <f>IF(Iterations[[#This Row],[Step]] =current_step, current_e,IF(Iterations[[#This Row],[Step]] &gt; current_step, "",Iterations[[#This Row],[e]]))</f>
        <v/>
      </c>
      <c r="L62" s="2" t="str">
        <f>IF(Iterations[[#This Row],[Step]] =current_step, current_Total_Loss,IF(Iterations[[#This Row],[Step]] &gt; current_step, "",Iterations[[#This Row],[Total Loss]]))</f>
        <v/>
      </c>
      <c r="M62" s="6" t="s">
        <v>27</v>
      </c>
      <c r="N62" s="2" t="str">
        <f>IF(Iterations[[#This Row],[Step]] =current_step, current_Grad_a,IF(Iterations[[#This Row],[Step]] &gt; current_step, "",Iterations[[#This Row],[Grad_a]]))</f>
        <v/>
      </c>
      <c r="O62" s="2" t="str">
        <f>IF(Iterations[[#This Row],[Step]] =current_step, current_Grad_b,IF(Iterations[[#This Row],[Step]] &gt; current_step, "",Iterations[[#This Row],[Grad_b]]))</f>
        <v/>
      </c>
      <c r="P62" s="2" t="str">
        <f>IF(Iterations[[#This Row],[Step]] =current_step, current_Grad_c,IF(Iterations[[#This Row],[Step]] &gt; current_step, "",Iterations[[#This Row],[Grad_c]]))</f>
        <v/>
      </c>
      <c r="Q62" s="2" t="str">
        <f>IF(Iterations[[#This Row],[Step]] =current_step, current_Grad_d,IF(Iterations[[#This Row],[Step]] &gt; current_step, "",Iterations[[#This Row],[Grad_d]]))</f>
        <v/>
      </c>
      <c r="R62" s="2" t="str">
        <f>IF(Iterations[[#This Row],[Step]] =current_step, current_Grad_e,IF(Iterations[[#This Row],[Step]] &gt; current_step, "",Iterations[[#This Row],[Grad_e]]))</f>
        <v/>
      </c>
    </row>
    <row r="63" spans="6:18" x14ac:dyDescent="0.3">
      <c r="F63" s="2">
        <f t="shared" si="1"/>
        <v>46</v>
      </c>
      <c r="G63" s="2" t="str">
        <f>IF(Iterations[[#This Row],[Step]] =current_step, current_a,IF(Iterations[[#This Row],[Step]] &gt; current_step, "",Iterations[[#This Row],[a]]))</f>
        <v/>
      </c>
      <c r="H63" s="2" t="str">
        <f>IF(Iterations[[#This Row],[Step]] =current_step, current_b,IF(Iterations[[#This Row],[Step]] &gt; current_step, "",Iterations[[#This Row],[b]]))</f>
        <v/>
      </c>
      <c r="I63" s="2" t="str">
        <f>IF(Iterations[[#This Row],[Step]] =current_step, current_c,IF(Iterations[[#This Row],[Step]] &gt; current_step, "",Iterations[[#This Row],[c]]))</f>
        <v/>
      </c>
      <c r="J63" s="2" t="str">
        <f>IF(Iterations[[#This Row],[Step]] =current_step, current_d,IF(Iterations[[#This Row],[Step]] &gt; current_step, "",Iterations[[#This Row],[d]]))</f>
        <v/>
      </c>
      <c r="K63" s="2" t="str">
        <f>IF(Iterations[[#This Row],[Step]] =current_step, current_e,IF(Iterations[[#This Row],[Step]] &gt; current_step, "",Iterations[[#This Row],[e]]))</f>
        <v/>
      </c>
      <c r="L63" s="2" t="str">
        <f>IF(Iterations[[#This Row],[Step]] =current_step, current_Total_Loss,IF(Iterations[[#This Row],[Step]] &gt; current_step, "",Iterations[[#This Row],[Total Loss]]))</f>
        <v/>
      </c>
      <c r="M63" s="6" t="s">
        <v>27</v>
      </c>
      <c r="N63" s="2" t="str">
        <f>IF(Iterations[[#This Row],[Step]] =current_step, current_Grad_a,IF(Iterations[[#This Row],[Step]] &gt; current_step, "",Iterations[[#This Row],[Grad_a]]))</f>
        <v/>
      </c>
      <c r="O63" s="2" t="str">
        <f>IF(Iterations[[#This Row],[Step]] =current_step, current_Grad_b,IF(Iterations[[#This Row],[Step]] &gt; current_step, "",Iterations[[#This Row],[Grad_b]]))</f>
        <v/>
      </c>
      <c r="P63" s="2" t="str">
        <f>IF(Iterations[[#This Row],[Step]] =current_step, current_Grad_c,IF(Iterations[[#This Row],[Step]] &gt; current_step, "",Iterations[[#This Row],[Grad_c]]))</f>
        <v/>
      </c>
      <c r="Q63" s="2" t="str">
        <f>IF(Iterations[[#This Row],[Step]] =current_step, current_Grad_d,IF(Iterations[[#This Row],[Step]] &gt; current_step, "",Iterations[[#This Row],[Grad_d]]))</f>
        <v/>
      </c>
      <c r="R63" s="2" t="str">
        <f>IF(Iterations[[#This Row],[Step]] =current_step, current_Grad_e,IF(Iterations[[#This Row],[Step]] &gt; current_step, "",Iterations[[#This Row],[Grad_e]]))</f>
        <v/>
      </c>
    </row>
    <row r="64" spans="6:18" x14ac:dyDescent="0.3">
      <c r="F64" s="2">
        <f t="shared" si="1"/>
        <v>47</v>
      </c>
      <c r="G64" s="2" t="str">
        <f>IF(Iterations[[#This Row],[Step]] =current_step, current_a,IF(Iterations[[#This Row],[Step]] &gt; current_step, "",Iterations[[#This Row],[a]]))</f>
        <v/>
      </c>
      <c r="H64" s="2" t="str">
        <f>IF(Iterations[[#This Row],[Step]] =current_step, current_b,IF(Iterations[[#This Row],[Step]] &gt; current_step, "",Iterations[[#This Row],[b]]))</f>
        <v/>
      </c>
      <c r="I64" s="2" t="str">
        <f>IF(Iterations[[#This Row],[Step]] =current_step, current_c,IF(Iterations[[#This Row],[Step]] &gt; current_step, "",Iterations[[#This Row],[c]]))</f>
        <v/>
      </c>
      <c r="J64" s="2" t="str">
        <f>IF(Iterations[[#This Row],[Step]] =current_step, current_d,IF(Iterations[[#This Row],[Step]] &gt; current_step, "",Iterations[[#This Row],[d]]))</f>
        <v/>
      </c>
      <c r="K64" s="2" t="str">
        <f>IF(Iterations[[#This Row],[Step]] =current_step, current_e,IF(Iterations[[#This Row],[Step]] &gt; current_step, "",Iterations[[#This Row],[e]]))</f>
        <v/>
      </c>
      <c r="L64" s="2" t="str">
        <f>IF(Iterations[[#This Row],[Step]] =current_step, current_Total_Loss,IF(Iterations[[#This Row],[Step]] &gt; current_step, "",Iterations[[#This Row],[Total Loss]]))</f>
        <v/>
      </c>
      <c r="M64" s="6" t="s">
        <v>27</v>
      </c>
      <c r="N64" s="2" t="str">
        <f>IF(Iterations[[#This Row],[Step]] =current_step, current_Grad_a,IF(Iterations[[#This Row],[Step]] &gt; current_step, "",Iterations[[#This Row],[Grad_a]]))</f>
        <v/>
      </c>
      <c r="O64" s="2" t="str">
        <f>IF(Iterations[[#This Row],[Step]] =current_step, current_Grad_b,IF(Iterations[[#This Row],[Step]] &gt; current_step, "",Iterations[[#This Row],[Grad_b]]))</f>
        <v/>
      </c>
      <c r="P64" s="2" t="str">
        <f>IF(Iterations[[#This Row],[Step]] =current_step, current_Grad_c,IF(Iterations[[#This Row],[Step]] &gt; current_step, "",Iterations[[#This Row],[Grad_c]]))</f>
        <v/>
      </c>
      <c r="Q64" s="2" t="str">
        <f>IF(Iterations[[#This Row],[Step]] =current_step, current_Grad_d,IF(Iterations[[#This Row],[Step]] &gt; current_step, "",Iterations[[#This Row],[Grad_d]]))</f>
        <v/>
      </c>
      <c r="R64" s="2" t="str">
        <f>IF(Iterations[[#This Row],[Step]] =current_step, current_Grad_e,IF(Iterations[[#This Row],[Step]] &gt; current_step, "",Iterations[[#This Row],[Grad_e]]))</f>
        <v/>
      </c>
    </row>
    <row r="65" spans="6:18" x14ac:dyDescent="0.3">
      <c r="F65" s="2">
        <f t="shared" ref="F65:F69" si="2">F64+1</f>
        <v>48</v>
      </c>
      <c r="G65" s="2" t="str">
        <f>IF(Iterations[[#This Row],[Step]] =current_step, current_a,IF(Iterations[[#This Row],[Step]] &gt; current_step, "",Iterations[[#This Row],[a]]))</f>
        <v/>
      </c>
      <c r="H65" s="2" t="str">
        <f>IF(Iterations[[#This Row],[Step]] =current_step, current_b,IF(Iterations[[#This Row],[Step]] &gt; current_step, "",Iterations[[#This Row],[b]]))</f>
        <v/>
      </c>
      <c r="I65" s="2" t="str">
        <f>IF(Iterations[[#This Row],[Step]] =current_step, current_c,IF(Iterations[[#This Row],[Step]] &gt; current_step, "",Iterations[[#This Row],[c]]))</f>
        <v/>
      </c>
      <c r="J65" s="2" t="str">
        <f>IF(Iterations[[#This Row],[Step]] =current_step, current_d,IF(Iterations[[#This Row],[Step]] &gt; current_step, "",Iterations[[#This Row],[d]]))</f>
        <v/>
      </c>
      <c r="K65" s="2" t="str">
        <f>IF(Iterations[[#This Row],[Step]] =current_step, current_e,IF(Iterations[[#This Row],[Step]] &gt; current_step, "",Iterations[[#This Row],[e]]))</f>
        <v/>
      </c>
      <c r="L65" s="2" t="str">
        <f>IF(Iterations[[#This Row],[Step]] =current_step, current_Total_Loss,IF(Iterations[[#This Row],[Step]] &gt; current_step, "",Iterations[[#This Row],[Total Loss]]))</f>
        <v/>
      </c>
      <c r="M65" s="6" t="s">
        <v>27</v>
      </c>
      <c r="N65" s="2" t="str">
        <f>IF(Iterations[[#This Row],[Step]] =current_step, current_Grad_a,IF(Iterations[[#This Row],[Step]] &gt; current_step, "",Iterations[[#This Row],[Grad_a]]))</f>
        <v/>
      </c>
      <c r="O65" s="2" t="str">
        <f>IF(Iterations[[#This Row],[Step]] =current_step, current_Grad_b,IF(Iterations[[#This Row],[Step]] &gt; current_step, "",Iterations[[#This Row],[Grad_b]]))</f>
        <v/>
      </c>
      <c r="P65" s="2" t="str">
        <f>IF(Iterations[[#This Row],[Step]] =current_step, current_Grad_c,IF(Iterations[[#This Row],[Step]] &gt; current_step, "",Iterations[[#This Row],[Grad_c]]))</f>
        <v/>
      </c>
      <c r="Q65" s="2" t="str">
        <f>IF(Iterations[[#This Row],[Step]] =current_step, current_Grad_d,IF(Iterations[[#This Row],[Step]] &gt; current_step, "",Iterations[[#This Row],[Grad_d]]))</f>
        <v/>
      </c>
      <c r="R65" s="2" t="str">
        <f>IF(Iterations[[#This Row],[Step]] =current_step, current_Grad_e,IF(Iterations[[#This Row],[Step]] &gt; current_step, "",Iterations[[#This Row],[Grad_e]]))</f>
        <v/>
      </c>
    </row>
    <row r="66" spans="6:18" x14ac:dyDescent="0.3">
      <c r="F66" s="2">
        <f t="shared" si="2"/>
        <v>49</v>
      </c>
      <c r="G66" s="2" t="str">
        <f>IF(Iterations[[#This Row],[Step]] =current_step, current_a,IF(Iterations[[#This Row],[Step]] &gt; current_step, "",Iterations[[#This Row],[a]]))</f>
        <v/>
      </c>
      <c r="H66" s="2" t="str">
        <f>IF(Iterations[[#This Row],[Step]] =current_step, current_b,IF(Iterations[[#This Row],[Step]] &gt; current_step, "",Iterations[[#This Row],[b]]))</f>
        <v/>
      </c>
      <c r="I66" s="2" t="str">
        <f>IF(Iterations[[#This Row],[Step]] =current_step, current_c,IF(Iterations[[#This Row],[Step]] &gt; current_step, "",Iterations[[#This Row],[c]]))</f>
        <v/>
      </c>
      <c r="J66" s="2" t="str">
        <f>IF(Iterations[[#This Row],[Step]] =current_step, current_d,IF(Iterations[[#This Row],[Step]] &gt; current_step, "",Iterations[[#This Row],[d]]))</f>
        <v/>
      </c>
      <c r="K66" s="2" t="str">
        <f>IF(Iterations[[#This Row],[Step]] =current_step, current_e,IF(Iterations[[#This Row],[Step]] &gt; current_step, "",Iterations[[#This Row],[e]]))</f>
        <v/>
      </c>
      <c r="L66" s="2" t="str">
        <f>IF(Iterations[[#This Row],[Step]] =current_step, current_Total_Loss,IF(Iterations[[#This Row],[Step]] &gt; current_step, "",Iterations[[#This Row],[Total Loss]]))</f>
        <v/>
      </c>
      <c r="M66" s="6" t="s">
        <v>27</v>
      </c>
      <c r="N66" s="2" t="str">
        <f>IF(Iterations[[#This Row],[Step]] =current_step, current_Grad_a,IF(Iterations[[#This Row],[Step]] &gt; current_step, "",Iterations[[#This Row],[Grad_a]]))</f>
        <v/>
      </c>
      <c r="O66" s="2" t="str">
        <f>IF(Iterations[[#This Row],[Step]] =current_step, current_Grad_b,IF(Iterations[[#This Row],[Step]] &gt; current_step, "",Iterations[[#This Row],[Grad_b]]))</f>
        <v/>
      </c>
      <c r="P66" s="2" t="str">
        <f>IF(Iterations[[#This Row],[Step]] =current_step, current_Grad_c,IF(Iterations[[#This Row],[Step]] &gt; current_step, "",Iterations[[#This Row],[Grad_c]]))</f>
        <v/>
      </c>
      <c r="Q66" s="2" t="str">
        <f>IF(Iterations[[#This Row],[Step]] =current_step, current_Grad_d,IF(Iterations[[#This Row],[Step]] &gt; current_step, "",Iterations[[#This Row],[Grad_d]]))</f>
        <v/>
      </c>
      <c r="R66" s="2" t="str">
        <f>IF(Iterations[[#This Row],[Step]] =current_step, current_Grad_e,IF(Iterations[[#This Row],[Step]] &gt; current_step, "",Iterations[[#This Row],[Grad_e]]))</f>
        <v/>
      </c>
    </row>
    <row r="67" spans="6:18" x14ac:dyDescent="0.3">
      <c r="F67" s="2">
        <f t="shared" si="2"/>
        <v>50</v>
      </c>
      <c r="G67" s="2" t="str">
        <f>IF(Iterations[[#This Row],[Step]] =current_step, current_a,IF(Iterations[[#This Row],[Step]] &gt; current_step, "",Iterations[[#This Row],[a]]))</f>
        <v/>
      </c>
      <c r="H67" s="2" t="str">
        <f>IF(Iterations[[#This Row],[Step]] =current_step, current_b,IF(Iterations[[#This Row],[Step]] &gt; current_step, "",Iterations[[#This Row],[b]]))</f>
        <v/>
      </c>
      <c r="I67" s="2" t="str">
        <f>IF(Iterations[[#This Row],[Step]] =current_step, current_c,IF(Iterations[[#This Row],[Step]] &gt; current_step, "",Iterations[[#This Row],[c]]))</f>
        <v/>
      </c>
      <c r="J67" s="2" t="str">
        <f>IF(Iterations[[#This Row],[Step]] =current_step, current_d,IF(Iterations[[#This Row],[Step]] &gt; current_step, "",Iterations[[#This Row],[d]]))</f>
        <v/>
      </c>
      <c r="K67" s="2" t="str">
        <f>IF(Iterations[[#This Row],[Step]] =current_step, current_e,IF(Iterations[[#This Row],[Step]] &gt; current_step, "",Iterations[[#This Row],[e]]))</f>
        <v/>
      </c>
      <c r="L67" s="2" t="str">
        <f>IF(Iterations[[#This Row],[Step]] =current_step, current_Total_Loss,IF(Iterations[[#This Row],[Step]] &gt; current_step, "",Iterations[[#This Row],[Total Loss]]))</f>
        <v/>
      </c>
      <c r="M67" s="6" t="s">
        <v>27</v>
      </c>
      <c r="N67" s="2" t="str">
        <f>IF(Iterations[[#This Row],[Step]] =current_step, current_Grad_a,IF(Iterations[[#This Row],[Step]] &gt; current_step, "",Iterations[[#This Row],[Grad_a]]))</f>
        <v/>
      </c>
      <c r="O67" s="2" t="str">
        <f>IF(Iterations[[#This Row],[Step]] =current_step, current_Grad_b,IF(Iterations[[#This Row],[Step]] &gt; current_step, "",Iterations[[#This Row],[Grad_b]]))</f>
        <v/>
      </c>
      <c r="P67" s="2" t="str">
        <f>IF(Iterations[[#This Row],[Step]] =current_step, current_Grad_c,IF(Iterations[[#This Row],[Step]] &gt; current_step, "",Iterations[[#This Row],[Grad_c]]))</f>
        <v/>
      </c>
      <c r="Q67" s="2" t="str">
        <f>IF(Iterations[[#This Row],[Step]] =current_step, current_Grad_d,IF(Iterations[[#This Row],[Step]] &gt; current_step, "",Iterations[[#This Row],[Grad_d]]))</f>
        <v/>
      </c>
      <c r="R67" s="2" t="str">
        <f>IF(Iterations[[#This Row],[Step]] =current_step, current_Grad_e,IF(Iterations[[#This Row],[Step]] &gt; current_step, "",Iterations[[#This Row],[Grad_e]]))</f>
        <v/>
      </c>
    </row>
    <row r="68" spans="6:18" x14ac:dyDescent="0.3">
      <c r="F68" s="2">
        <f t="shared" si="2"/>
        <v>51</v>
      </c>
      <c r="G68" s="2" t="str">
        <f>IF(Iterations[[#This Row],[Step]] =current_step, current_a,IF(Iterations[[#This Row],[Step]] &gt; current_step, "",Iterations[[#This Row],[a]]))</f>
        <v/>
      </c>
      <c r="H68" s="2" t="str">
        <f>IF(Iterations[[#This Row],[Step]] =current_step, current_b,IF(Iterations[[#This Row],[Step]] &gt; current_step, "",Iterations[[#This Row],[b]]))</f>
        <v/>
      </c>
      <c r="I68" s="2" t="str">
        <f>IF(Iterations[[#This Row],[Step]] =current_step, current_c,IF(Iterations[[#This Row],[Step]] &gt; current_step, "",Iterations[[#This Row],[c]]))</f>
        <v/>
      </c>
      <c r="J68" s="2" t="str">
        <f>IF(Iterations[[#This Row],[Step]] =current_step, current_d,IF(Iterations[[#This Row],[Step]] &gt; current_step, "",Iterations[[#This Row],[d]]))</f>
        <v/>
      </c>
      <c r="K68" s="2" t="str">
        <f>IF(Iterations[[#This Row],[Step]] =current_step, current_e,IF(Iterations[[#This Row],[Step]] &gt; current_step, "",Iterations[[#This Row],[e]]))</f>
        <v/>
      </c>
      <c r="L68" s="2" t="str">
        <f>IF(Iterations[[#This Row],[Step]] =current_step, current_Total_Loss,IF(Iterations[[#This Row],[Step]] &gt; current_step, "",Iterations[[#This Row],[Total Loss]]))</f>
        <v/>
      </c>
      <c r="M68" s="6" t="s">
        <v>27</v>
      </c>
      <c r="N68" s="2" t="str">
        <f>IF(Iterations[[#This Row],[Step]] =current_step, current_Grad_a,IF(Iterations[[#This Row],[Step]] &gt; current_step, "",Iterations[[#This Row],[Grad_a]]))</f>
        <v/>
      </c>
      <c r="O68" s="2" t="str">
        <f>IF(Iterations[[#This Row],[Step]] =current_step, current_Grad_b,IF(Iterations[[#This Row],[Step]] &gt; current_step, "",Iterations[[#This Row],[Grad_b]]))</f>
        <v/>
      </c>
      <c r="P68" s="2" t="str">
        <f>IF(Iterations[[#This Row],[Step]] =current_step, current_Grad_c,IF(Iterations[[#This Row],[Step]] &gt; current_step, "",Iterations[[#This Row],[Grad_c]]))</f>
        <v/>
      </c>
      <c r="Q68" s="2" t="str">
        <f>IF(Iterations[[#This Row],[Step]] =current_step, current_Grad_d,IF(Iterations[[#This Row],[Step]] &gt; current_step, "",Iterations[[#This Row],[Grad_d]]))</f>
        <v/>
      </c>
      <c r="R68" s="2" t="str">
        <f>IF(Iterations[[#This Row],[Step]] =current_step, current_Grad_e,IF(Iterations[[#This Row],[Step]] &gt; current_step, "",Iterations[[#This Row],[Grad_e]]))</f>
        <v/>
      </c>
    </row>
    <row r="69" spans="6:18" x14ac:dyDescent="0.3">
      <c r="F69" s="2">
        <f t="shared" si="2"/>
        <v>52</v>
      </c>
      <c r="G69" s="2" t="str">
        <f>IF(Iterations[[#This Row],[Step]] =current_step, current_a,IF(Iterations[[#This Row],[Step]] &gt; current_step, "",Iterations[[#This Row],[a]]))</f>
        <v/>
      </c>
      <c r="H69" s="2" t="str">
        <f>IF(Iterations[[#This Row],[Step]] =current_step, current_b,IF(Iterations[[#This Row],[Step]] &gt; current_step, "",Iterations[[#This Row],[b]]))</f>
        <v/>
      </c>
      <c r="I69" s="2" t="str">
        <f>IF(Iterations[[#This Row],[Step]] =current_step, current_c,IF(Iterations[[#This Row],[Step]] &gt; current_step, "",Iterations[[#This Row],[c]]))</f>
        <v/>
      </c>
      <c r="J69" s="2" t="str">
        <f>IF(Iterations[[#This Row],[Step]] =current_step, current_d,IF(Iterations[[#This Row],[Step]] &gt; current_step, "",Iterations[[#This Row],[d]]))</f>
        <v/>
      </c>
      <c r="K69" s="2" t="str">
        <f>IF(Iterations[[#This Row],[Step]] =current_step, current_e,IF(Iterations[[#This Row],[Step]] &gt; current_step, "",Iterations[[#This Row],[e]]))</f>
        <v/>
      </c>
      <c r="L69" s="2" t="str">
        <f>IF(Iterations[[#This Row],[Step]] =current_step, current_Total_Loss,IF(Iterations[[#This Row],[Step]] &gt; current_step, "",Iterations[[#This Row],[Total Loss]]))</f>
        <v/>
      </c>
      <c r="M69" s="6" t="s">
        <v>27</v>
      </c>
      <c r="N69" s="2" t="str">
        <f>IF(Iterations[[#This Row],[Step]] =current_step, current_Grad_a,IF(Iterations[[#This Row],[Step]] &gt; current_step, "",Iterations[[#This Row],[Grad_a]]))</f>
        <v/>
      </c>
      <c r="O69" s="2" t="str">
        <f>IF(Iterations[[#This Row],[Step]] =current_step, current_Grad_b,IF(Iterations[[#This Row],[Step]] &gt; current_step, "",Iterations[[#This Row],[Grad_b]]))</f>
        <v/>
      </c>
      <c r="P69" s="2" t="str">
        <f>IF(Iterations[[#This Row],[Step]] =current_step, current_Grad_c,IF(Iterations[[#This Row],[Step]] &gt; current_step, "",Iterations[[#This Row],[Grad_c]]))</f>
        <v/>
      </c>
      <c r="Q69" s="2" t="str">
        <f>IF(Iterations[[#This Row],[Step]] =current_step, current_Grad_d,IF(Iterations[[#This Row],[Step]] &gt; current_step, "",Iterations[[#This Row],[Grad_d]]))</f>
        <v/>
      </c>
      <c r="R69" s="2" t="str">
        <f>IF(Iterations[[#This Row],[Step]] =current_step, current_Grad_e,IF(Iterations[[#This Row],[Step]] &gt; current_step, "",Iterations[[#This Row],[Grad_e]]))</f>
        <v/>
      </c>
    </row>
    <row r="70" spans="6:18" x14ac:dyDescent="0.3">
      <c r="F70" s="2">
        <f t="shared" ref="F70:F133" si="3">F69+1</f>
        <v>53</v>
      </c>
      <c r="G70" s="2" t="str">
        <f>IF(Iterations[[#This Row],[Step]] =current_step, current_a,IF(Iterations[[#This Row],[Step]] &gt; current_step, "",Iterations[[#This Row],[a]]))</f>
        <v/>
      </c>
      <c r="H70" s="2" t="str">
        <f>IF(Iterations[[#This Row],[Step]] =current_step, current_b,IF(Iterations[[#This Row],[Step]] &gt; current_step, "",Iterations[[#This Row],[b]]))</f>
        <v/>
      </c>
      <c r="I70" s="2" t="str">
        <f>IF(Iterations[[#This Row],[Step]] =current_step, current_c,IF(Iterations[[#This Row],[Step]] &gt; current_step, "",Iterations[[#This Row],[c]]))</f>
        <v/>
      </c>
      <c r="J70" s="2" t="str">
        <f>IF(Iterations[[#This Row],[Step]] =current_step, current_d,IF(Iterations[[#This Row],[Step]] &gt; current_step, "",Iterations[[#This Row],[d]]))</f>
        <v/>
      </c>
      <c r="K70" s="2" t="str">
        <f>IF(Iterations[[#This Row],[Step]] =current_step, current_e,IF(Iterations[[#This Row],[Step]] &gt; current_step, "",Iterations[[#This Row],[e]]))</f>
        <v/>
      </c>
      <c r="L70" s="2" t="str">
        <f>IF(Iterations[[#This Row],[Step]] =current_step, current_Total_Loss,IF(Iterations[[#This Row],[Step]] &gt; current_step, "",Iterations[[#This Row],[Total Loss]]))</f>
        <v/>
      </c>
      <c r="M70" s="6" t="s">
        <v>27</v>
      </c>
      <c r="N70" s="2" t="str">
        <f>IF(Iterations[[#This Row],[Step]] =current_step, current_Grad_a,IF(Iterations[[#This Row],[Step]] &gt; current_step, "",Iterations[[#This Row],[Grad_a]]))</f>
        <v/>
      </c>
      <c r="O70" s="2" t="str">
        <f>IF(Iterations[[#This Row],[Step]] =current_step, current_Grad_b,IF(Iterations[[#This Row],[Step]] &gt; current_step, "",Iterations[[#This Row],[Grad_b]]))</f>
        <v/>
      </c>
      <c r="P70" s="2" t="str">
        <f>IF(Iterations[[#This Row],[Step]] =current_step, current_Grad_c,IF(Iterations[[#This Row],[Step]] &gt; current_step, "",Iterations[[#This Row],[Grad_c]]))</f>
        <v/>
      </c>
      <c r="Q70" s="2" t="str">
        <f>IF(Iterations[[#This Row],[Step]] =current_step, current_Grad_d,IF(Iterations[[#This Row],[Step]] &gt; current_step, "",Iterations[[#This Row],[Grad_d]]))</f>
        <v/>
      </c>
      <c r="R70" s="2" t="str">
        <f>IF(Iterations[[#This Row],[Step]] =current_step, current_Grad_e,IF(Iterations[[#This Row],[Step]] &gt; current_step, "",Iterations[[#This Row],[Grad_e]]))</f>
        <v/>
      </c>
    </row>
    <row r="71" spans="6:18" x14ac:dyDescent="0.3">
      <c r="F71" s="2">
        <f t="shared" si="3"/>
        <v>54</v>
      </c>
      <c r="G71" s="2" t="str">
        <f>IF(Iterations[[#This Row],[Step]] =current_step, current_a,IF(Iterations[[#This Row],[Step]] &gt; current_step, "",Iterations[[#This Row],[a]]))</f>
        <v/>
      </c>
      <c r="H71" s="2" t="str">
        <f>IF(Iterations[[#This Row],[Step]] =current_step, current_b,IF(Iterations[[#This Row],[Step]] &gt; current_step, "",Iterations[[#This Row],[b]]))</f>
        <v/>
      </c>
      <c r="I71" s="2" t="str">
        <f>IF(Iterations[[#This Row],[Step]] =current_step, current_c,IF(Iterations[[#This Row],[Step]] &gt; current_step, "",Iterations[[#This Row],[c]]))</f>
        <v/>
      </c>
      <c r="J71" s="2" t="str">
        <f>IF(Iterations[[#This Row],[Step]] =current_step, current_d,IF(Iterations[[#This Row],[Step]] &gt; current_step, "",Iterations[[#This Row],[d]]))</f>
        <v/>
      </c>
      <c r="K71" s="2" t="str">
        <f>IF(Iterations[[#This Row],[Step]] =current_step, current_e,IF(Iterations[[#This Row],[Step]] &gt; current_step, "",Iterations[[#This Row],[e]]))</f>
        <v/>
      </c>
      <c r="L71" s="2" t="str">
        <f>IF(Iterations[[#This Row],[Step]] =current_step, current_Total_Loss,IF(Iterations[[#This Row],[Step]] &gt; current_step, "",Iterations[[#This Row],[Total Loss]]))</f>
        <v/>
      </c>
      <c r="M71" s="6" t="s">
        <v>27</v>
      </c>
      <c r="N71" s="2" t="str">
        <f>IF(Iterations[[#This Row],[Step]] =current_step, current_Grad_a,IF(Iterations[[#This Row],[Step]] &gt; current_step, "",Iterations[[#This Row],[Grad_a]]))</f>
        <v/>
      </c>
      <c r="O71" s="2" t="str">
        <f>IF(Iterations[[#This Row],[Step]] =current_step, current_Grad_b,IF(Iterations[[#This Row],[Step]] &gt; current_step, "",Iterations[[#This Row],[Grad_b]]))</f>
        <v/>
      </c>
      <c r="P71" s="2" t="str">
        <f>IF(Iterations[[#This Row],[Step]] =current_step, current_Grad_c,IF(Iterations[[#This Row],[Step]] &gt; current_step, "",Iterations[[#This Row],[Grad_c]]))</f>
        <v/>
      </c>
      <c r="Q71" s="2" t="str">
        <f>IF(Iterations[[#This Row],[Step]] =current_step, current_Grad_d,IF(Iterations[[#This Row],[Step]] &gt; current_step, "",Iterations[[#This Row],[Grad_d]]))</f>
        <v/>
      </c>
      <c r="R71" s="2" t="str">
        <f>IF(Iterations[[#This Row],[Step]] =current_step, current_Grad_e,IF(Iterations[[#This Row],[Step]] &gt; current_step, "",Iterations[[#This Row],[Grad_e]]))</f>
        <v/>
      </c>
    </row>
    <row r="72" spans="6:18" x14ac:dyDescent="0.3">
      <c r="F72" s="2">
        <f t="shared" si="3"/>
        <v>55</v>
      </c>
      <c r="G72" s="2" t="str">
        <f>IF(Iterations[[#This Row],[Step]] =current_step, current_a,IF(Iterations[[#This Row],[Step]] &gt; current_step, "",Iterations[[#This Row],[a]]))</f>
        <v/>
      </c>
      <c r="H72" s="2" t="str">
        <f>IF(Iterations[[#This Row],[Step]] =current_step, current_b,IF(Iterations[[#This Row],[Step]] &gt; current_step, "",Iterations[[#This Row],[b]]))</f>
        <v/>
      </c>
      <c r="I72" s="2" t="str">
        <f>IF(Iterations[[#This Row],[Step]] =current_step, current_c,IF(Iterations[[#This Row],[Step]] &gt; current_step, "",Iterations[[#This Row],[c]]))</f>
        <v/>
      </c>
      <c r="J72" s="2" t="str">
        <f>IF(Iterations[[#This Row],[Step]] =current_step, current_d,IF(Iterations[[#This Row],[Step]] &gt; current_step, "",Iterations[[#This Row],[d]]))</f>
        <v/>
      </c>
      <c r="K72" s="2" t="str">
        <f>IF(Iterations[[#This Row],[Step]] =current_step, current_e,IF(Iterations[[#This Row],[Step]] &gt; current_step, "",Iterations[[#This Row],[e]]))</f>
        <v/>
      </c>
      <c r="L72" s="2" t="str">
        <f>IF(Iterations[[#This Row],[Step]] =current_step, current_Total_Loss,IF(Iterations[[#This Row],[Step]] &gt; current_step, "",Iterations[[#This Row],[Total Loss]]))</f>
        <v/>
      </c>
      <c r="M72" s="6" t="s">
        <v>27</v>
      </c>
      <c r="N72" s="2" t="str">
        <f>IF(Iterations[[#This Row],[Step]] =current_step, current_Grad_a,IF(Iterations[[#This Row],[Step]] &gt; current_step, "",Iterations[[#This Row],[Grad_a]]))</f>
        <v/>
      </c>
      <c r="O72" s="2" t="str">
        <f>IF(Iterations[[#This Row],[Step]] =current_step, current_Grad_b,IF(Iterations[[#This Row],[Step]] &gt; current_step, "",Iterations[[#This Row],[Grad_b]]))</f>
        <v/>
      </c>
      <c r="P72" s="2" t="str">
        <f>IF(Iterations[[#This Row],[Step]] =current_step, current_Grad_c,IF(Iterations[[#This Row],[Step]] &gt; current_step, "",Iterations[[#This Row],[Grad_c]]))</f>
        <v/>
      </c>
      <c r="Q72" s="2" t="str">
        <f>IF(Iterations[[#This Row],[Step]] =current_step, current_Grad_d,IF(Iterations[[#This Row],[Step]] &gt; current_step, "",Iterations[[#This Row],[Grad_d]]))</f>
        <v/>
      </c>
      <c r="R72" s="2" t="str">
        <f>IF(Iterations[[#This Row],[Step]] =current_step, current_Grad_e,IF(Iterations[[#This Row],[Step]] &gt; current_step, "",Iterations[[#This Row],[Grad_e]]))</f>
        <v/>
      </c>
    </row>
    <row r="73" spans="6:18" x14ac:dyDescent="0.3">
      <c r="F73" s="2">
        <f t="shared" si="3"/>
        <v>56</v>
      </c>
      <c r="G73" s="2" t="str">
        <f>IF(Iterations[[#This Row],[Step]] =current_step, current_a,IF(Iterations[[#This Row],[Step]] &gt; current_step, "",Iterations[[#This Row],[a]]))</f>
        <v/>
      </c>
      <c r="H73" s="2" t="str">
        <f>IF(Iterations[[#This Row],[Step]] =current_step, current_b,IF(Iterations[[#This Row],[Step]] &gt; current_step, "",Iterations[[#This Row],[b]]))</f>
        <v/>
      </c>
      <c r="I73" s="2" t="str">
        <f>IF(Iterations[[#This Row],[Step]] =current_step, current_c,IF(Iterations[[#This Row],[Step]] &gt; current_step, "",Iterations[[#This Row],[c]]))</f>
        <v/>
      </c>
      <c r="J73" s="2" t="str">
        <f>IF(Iterations[[#This Row],[Step]] =current_step, current_d,IF(Iterations[[#This Row],[Step]] &gt; current_step, "",Iterations[[#This Row],[d]]))</f>
        <v/>
      </c>
      <c r="K73" s="2" t="str">
        <f>IF(Iterations[[#This Row],[Step]] =current_step, current_e,IF(Iterations[[#This Row],[Step]] &gt; current_step, "",Iterations[[#This Row],[e]]))</f>
        <v/>
      </c>
      <c r="L73" s="2" t="str">
        <f>IF(Iterations[[#This Row],[Step]] =current_step, current_Total_Loss,IF(Iterations[[#This Row],[Step]] &gt; current_step, "",Iterations[[#This Row],[Total Loss]]))</f>
        <v/>
      </c>
      <c r="M73" s="6" t="s">
        <v>27</v>
      </c>
      <c r="N73" s="2" t="str">
        <f>IF(Iterations[[#This Row],[Step]] =current_step, current_Grad_a,IF(Iterations[[#This Row],[Step]] &gt; current_step, "",Iterations[[#This Row],[Grad_a]]))</f>
        <v/>
      </c>
      <c r="O73" s="2" t="str">
        <f>IF(Iterations[[#This Row],[Step]] =current_step, current_Grad_b,IF(Iterations[[#This Row],[Step]] &gt; current_step, "",Iterations[[#This Row],[Grad_b]]))</f>
        <v/>
      </c>
      <c r="P73" s="2" t="str">
        <f>IF(Iterations[[#This Row],[Step]] =current_step, current_Grad_c,IF(Iterations[[#This Row],[Step]] &gt; current_step, "",Iterations[[#This Row],[Grad_c]]))</f>
        <v/>
      </c>
      <c r="Q73" s="2" t="str">
        <f>IF(Iterations[[#This Row],[Step]] =current_step, current_Grad_d,IF(Iterations[[#This Row],[Step]] &gt; current_step, "",Iterations[[#This Row],[Grad_d]]))</f>
        <v/>
      </c>
      <c r="R73" s="2" t="str">
        <f>IF(Iterations[[#This Row],[Step]] =current_step, current_Grad_e,IF(Iterations[[#This Row],[Step]] &gt; current_step, "",Iterations[[#This Row],[Grad_e]]))</f>
        <v/>
      </c>
    </row>
    <row r="74" spans="6:18" x14ac:dyDescent="0.3">
      <c r="F74" s="2">
        <f t="shared" si="3"/>
        <v>57</v>
      </c>
      <c r="G74" s="2" t="str">
        <f>IF(Iterations[[#This Row],[Step]] =current_step, current_a,IF(Iterations[[#This Row],[Step]] &gt; current_step, "",Iterations[[#This Row],[a]]))</f>
        <v/>
      </c>
      <c r="H74" s="2" t="str">
        <f>IF(Iterations[[#This Row],[Step]] =current_step, current_b,IF(Iterations[[#This Row],[Step]] &gt; current_step, "",Iterations[[#This Row],[b]]))</f>
        <v/>
      </c>
      <c r="I74" s="2" t="str">
        <f>IF(Iterations[[#This Row],[Step]] =current_step, current_c,IF(Iterations[[#This Row],[Step]] &gt; current_step, "",Iterations[[#This Row],[c]]))</f>
        <v/>
      </c>
      <c r="J74" s="2" t="str">
        <f>IF(Iterations[[#This Row],[Step]] =current_step, current_d,IF(Iterations[[#This Row],[Step]] &gt; current_step, "",Iterations[[#This Row],[d]]))</f>
        <v/>
      </c>
      <c r="K74" s="2" t="str">
        <f>IF(Iterations[[#This Row],[Step]] =current_step, current_e,IF(Iterations[[#This Row],[Step]] &gt; current_step, "",Iterations[[#This Row],[e]]))</f>
        <v/>
      </c>
      <c r="L74" s="2" t="str">
        <f>IF(Iterations[[#This Row],[Step]] =current_step, current_Total_Loss,IF(Iterations[[#This Row],[Step]] &gt; current_step, "",Iterations[[#This Row],[Total Loss]]))</f>
        <v/>
      </c>
      <c r="M74" s="6" t="s">
        <v>27</v>
      </c>
      <c r="N74" s="2" t="str">
        <f>IF(Iterations[[#This Row],[Step]] =current_step, current_Grad_a,IF(Iterations[[#This Row],[Step]] &gt; current_step, "",Iterations[[#This Row],[Grad_a]]))</f>
        <v/>
      </c>
      <c r="O74" s="2" t="str">
        <f>IF(Iterations[[#This Row],[Step]] =current_step, current_Grad_b,IF(Iterations[[#This Row],[Step]] &gt; current_step, "",Iterations[[#This Row],[Grad_b]]))</f>
        <v/>
      </c>
      <c r="P74" s="2" t="str">
        <f>IF(Iterations[[#This Row],[Step]] =current_step, current_Grad_c,IF(Iterations[[#This Row],[Step]] &gt; current_step, "",Iterations[[#This Row],[Grad_c]]))</f>
        <v/>
      </c>
      <c r="Q74" s="2" t="str">
        <f>IF(Iterations[[#This Row],[Step]] =current_step, current_Grad_d,IF(Iterations[[#This Row],[Step]] &gt; current_step, "",Iterations[[#This Row],[Grad_d]]))</f>
        <v/>
      </c>
      <c r="R74" s="2" t="str">
        <f>IF(Iterations[[#This Row],[Step]] =current_step, current_Grad_e,IF(Iterations[[#This Row],[Step]] &gt; current_step, "",Iterations[[#This Row],[Grad_e]]))</f>
        <v/>
      </c>
    </row>
    <row r="75" spans="6:18" x14ac:dyDescent="0.3">
      <c r="F75" s="2">
        <f t="shared" si="3"/>
        <v>58</v>
      </c>
      <c r="G75" s="2" t="str">
        <f>IF(Iterations[[#This Row],[Step]] =current_step, current_a,IF(Iterations[[#This Row],[Step]] &gt; current_step, "",Iterations[[#This Row],[a]]))</f>
        <v/>
      </c>
      <c r="H75" s="2" t="str">
        <f>IF(Iterations[[#This Row],[Step]] =current_step, current_b,IF(Iterations[[#This Row],[Step]] &gt; current_step, "",Iterations[[#This Row],[b]]))</f>
        <v/>
      </c>
      <c r="I75" s="2" t="str">
        <f>IF(Iterations[[#This Row],[Step]] =current_step, current_c,IF(Iterations[[#This Row],[Step]] &gt; current_step, "",Iterations[[#This Row],[c]]))</f>
        <v/>
      </c>
      <c r="J75" s="2" t="str">
        <f>IF(Iterations[[#This Row],[Step]] =current_step, current_d,IF(Iterations[[#This Row],[Step]] &gt; current_step, "",Iterations[[#This Row],[d]]))</f>
        <v/>
      </c>
      <c r="K75" s="2" t="str">
        <f>IF(Iterations[[#This Row],[Step]] =current_step, current_e,IF(Iterations[[#This Row],[Step]] &gt; current_step, "",Iterations[[#This Row],[e]]))</f>
        <v/>
      </c>
      <c r="L75" s="2" t="str">
        <f>IF(Iterations[[#This Row],[Step]] =current_step, current_Total_Loss,IF(Iterations[[#This Row],[Step]] &gt; current_step, "",Iterations[[#This Row],[Total Loss]]))</f>
        <v/>
      </c>
      <c r="M75" s="6" t="s">
        <v>27</v>
      </c>
      <c r="N75" s="2" t="str">
        <f>IF(Iterations[[#This Row],[Step]] =current_step, current_Grad_a,IF(Iterations[[#This Row],[Step]] &gt; current_step, "",Iterations[[#This Row],[Grad_a]]))</f>
        <v/>
      </c>
      <c r="O75" s="2" t="str">
        <f>IF(Iterations[[#This Row],[Step]] =current_step, current_Grad_b,IF(Iterations[[#This Row],[Step]] &gt; current_step, "",Iterations[[#This Row],[Grad_b]]))</f>
        <v/>
      </c>
      <c r="P75" s="2" t="str">
        <f>IF(Iterations[[#This Row],[Step]] =current_step, current_Grad_c,IF(Iterations[[#This Row],[Step]] &gt; current_step, "",Iterations[[#This Row],[Grad_c]]))</f>
        <v/>
      </c>
      <c r="Q75" s="2" t="str">
        <f>IF(Iterations[[#This Row],[Step]] =current_step, current_Grad_d,IF(Iterations[[#This Row],[Step]] &gt; current_step, "",Iterations[[#This Row],[Grad_d]]))</f>
        <v/>
      </c>
      <c r="R75" s="2" t="str">
        <f>IF(Iterations[[#This Row],[Step]] =current_step, current_Grad_e,IF(Iterations[[#This Row],[Step]] &gt; current_step, "",Iterations[[#This Row],[Grad_e]]))</f>
        <v/>
      </c>
    </row>
    <row r="76" spans="6:18" x14ac:dyDescent="0.3">
      <c r="F76" s="2">
        <f t="shared" si="3"/>
        <v>59</v>
      </c>
      <c r="G76" s="2" t="str">
        <f>IF(Iterations[[#This Row],[Step]] =current_step, current_a,IF(Iterations[[#This Row],[Step]] &gt; current_step, "",Iterations[[#This Row],[a]]))</f>
        <v/>
      </c>
      <c r="H76" s="2" t="str">
        <f>IF(Iterations[[#This Row],[Step]] =current_step, current_b,IF(Iterations[[#This Row],[Step]] &gt; current_step, "",Iterations[[#This Row],[b]]))</f>
        <v/>
      </c>
      <c r="I76" s="2" t="str">
        <f>IF(Iterations[[#This Row],[Step]] =current_step, current_c,IF(Iterations[[#This Row],[Step]] &gt; current_step, "",Iterations[[#This Row],[c]]))</f>
        <v/>
      </c>
      <c r="J76" s="2" t="str">
        <f>IF(Iterations[[#This Row],[Step]] =current_step, current_d,IF(Iterations[[#This Row],[Step]] &gt; current_step, "",Iterations[[#This Row],[d]]))</f>
        <v/>
      </c>
      <c r="K76" s="2" t="str">
        <f>IF(Iterations[[#This Row],[Step]] =current_step, current_e,IF(Iterations[[#This Row],[Step]] &gt; current_step, "",Iterations[[#This Row],[e]]))</f>
        <v/>
      </c>
      <c r="L76" s="2" t="str">
        <f>IF(Iterations[[#This Row],[Step]] =current_step, current_Total_Loss,IF(Iterations[[#This Row],[Step]] &gt; current_step, "",Iterations[[#This Row],[Total Loss]]))</f>
        <v/>
      </c>
      <c r="M76" s="6" t="s">
        <v>27</v>
      </c>
      <c r="N76" s="2" t="str">
        <f>IF(Iterations[[#This Row],[Step]] =current_step, current_Grad_a,IF(Iterations[[#This Row],[Step]] &gt; current_step, "",Iterations[[#This Row],[Grad_a]]))</f>
        <v/>
      </c>
      <c r="O76" s="2" t="str">
        <f>IF(Iterations[[#This Row],[Step]] =current_step, current_Grad_b,IF(Iterations[[#This Row],[Step]] &gt; current_step, "",Iterations[[#This Row],[Grad_b]]))</f>
        <v/>
      </c>
      <c r="P76" s="2" t="str">
        <f>IF(Iterations[[#This Row],[Step]] =current_step, current_Grad_c,IF(Iterations[[#This Row],[Step]] &gt; current_step, "",Iterations[[#This Row],[Grad_c]]))</f>
        <v/>
      </c>
      <c r="Q76" s="2" t="str">
        <f>IF(Iterations[[#This Row],[Step]] =current_step, current_Grad_d,IF(Iterations[[#This Row],[Step]] &gt; current_step, "",Iterations[[#This Row],[Grad_d]]))</f>
        <v/>
      </c>
      <c r="R76" s="2" t="str">
        <f>IF(Iterations[[#This Row],[Step]] =current_step, current_Grad_e,IF(Iterations[[#This Row],[Step]] &gt; current_step, "",Iterations[[#This Row],[Grad_e]]))</f>
        <v/>
      </c>
    </row>
    <row r="77" spans="6:18" x14ac:dyDescent="0.3">
      <c r="F77" s="2">
        <f t="shared" si="3"/>
        <v>60</v>
      </c>
      <c r="G77" s="2" t="str">
        <f>IF(Iterations[[#This Row],[Step]] =current_step, current_a,IF(Iterations[[#This Row],[Step]] &gt; current_step, "",Iterations[[#This Row],[a]]))</f>
        <v/>
      </c>
      <c r="H77" s="2" t="str">
        <f>IF(Iterations[[#This Row],[Step]] =current_step, current_b,IF(Iterations[[#This Row],[Step]] &gt; current_step, "",Iterations[[#This Row],[b]]))</f>
        <v/>
      </c>
      <c r="I77" s="2" t="str">
        <f>IF(Iterations[[#This Row],[Step]] =current_step, current_c,IF(Iterations[[#This Row],[Step]] &gt; current_step, "",Iterations[[#This Row],[c]]))</f>
        <v/>
      </c>
      <c r="J77" s="2" t="str">
        <f>IF(Iterations[[#This Row],[Step]] =current_step, current_d,IF(Iterations[[#This Row],[Step]] &gt; current_step, "",Iterations[[#This Row],[d]]))</f>
        <v/>
      </c>
      <c r="K77" s="2" t="str">
        <f>IF(Iterations[[#This Row],[Step]] =current_step, current_e,IF(Iterations[[#This Row],[Step]] &gt; current_step, "",Iterations[[#This Row],[e]]))</f>
        <v/>
      </c>
      <c r="L77" s="2" t="str">
        <f>IF(Iterations[[#This Row],[Step]] =current_step, current_Total_Loss,IF(Iterations[[#This Row],[Step]] &gt; current_step, "",Iterations[[#This Row],[Total Loss]]))</f>
        <v/>
      </c>
      <c r="M77" s="6" t="s">
        <v>27</v>
      </c>
      <c r="N77" s="2" t="str">
        <f>IF(Iterations[[#This Row],[Step]] =current_step, current_Grad_a,IF(Iterations[[#This Row],[Step]] &gt; current_step, "",Iterations[[#This Row],[Grad_a]]))</f>
        <v/>
      </c>
      <c r="O77" s="2" t="str">
        <f>IF(Iterations[[#This Row],[Step]] =current_step, current_Grad_b,IF(Iterations[[#This Row],[Step]] &gt; current_step, "",Iterations[[#This Row],[Grad_b]]))</f>
        <v/>
      </c>
      <c r="P77" s="2" t="str">
        <f>IF(Iterations[[#This Row],[Step]] =current_step, current_Grad_c,IF(Iterations[[#This Row],[Step]] &gt; current_step, "",Iterations[[#This Row],[Grad_c]]))</f>
        <v/>
      </c>
      <c r="Q77" s="2" t="str">
        <f>IF(Iterations[[#This Row],[Step]] =current_step, current_Grad_d,IF(Iterations[[#This Row],[Step]] &gt; current_step, "",Iterations[[#This Row],[Grad_d]]))</f>
        <v/>
      </c>
      <c r="R77" s="2" t="str">
        <f>IF(Iterations[[#This Row],[Step]] =current_step, current_Grad_e,IF(Iterations[[#This Row],[Step]] &gt; current_step, "",Iterations[[#This Row],[Grad_e]]))</f>
        <v/>
      </c>
    </row>
    <row r="78" spans="6:18" x14ac:dyDescent="0.3">
      <c r="F78" s="2">
        <f t="shared" si="3"/>
        <v>61</v>
      </c>
      <c r="G78" s="2" t="str">
        <f>IF(Iterations[[#This Row],[Step]] =current_step, current_a,IF(Iterations[[#This Row],[Step]] &gt; current_step, "",Iterations[[#This Row],[a]]))</f>
        <v/>
      </c>
      <c r="H78" s="2" t="str">
        <f>IF(Iterations[[#This Row],[Step]] =current_step, current_b,IF(Iterations[[#This Row],[Step]] &gt; current_step, "",Iterations[[#This Row],[b]]))</f>
        <v/>
      </c>
      <c r="I78" s="2" t="str">
        <f>IF(Iterations[[#This Row],[Step]] =current_step, current_c,IF(Iterations[[#This Row],[Step]] &gt; current_step, "",Iterations[[#This Row],[c]]))</f>
        <v/>
      </c>
      <c r="J78" s="2" t="str">
        <f>IF(Iterations[[#This Row],[Step]] =current_step, current_d,IF(Iterations[[#This Row],[Step]] &gt; current_step, "",Iterations[[#This Row],[d]]))</f>
        <v/>
      </c>
      <c r="K78" s="2" t="str">
        <f>IF(Iterations[[#This Row],[Step]] =current_step, current_e,IF(Iterations[[#This Row],[Step]] &gt; current_step, "",Iterations[[#This Row],[e]]))</f>
        <v/>
      </c>
      <c r="L78" s="2" t="str">
        <f>IF(Iterations[[#This Row],[Step]] =current_step, current_Total_Loss,IF(Iterations[[#This Row],[Step]] &gt; current_step, "",Iterations[[#This Row],[Total Loss]]))</f>
        <v/>
      </c>
      <c r="M78" s="6" t="s">
        <v>27</v>
      </c>
      <c r="N78" s="2" t="str">
        <f>IF(Iterations[[#This Row],[Step]] =current_step, current_Grad_a,IF(Iterations[[#This Row],[Step]] &gt; current_step, "",Iterations[[#This Row],[Grad_a]]))</f>
        <v/>
      </c>
      <c r="O78" s="2" t="str">
        <f>IF(Iterations[[#This Row],[Step]] =current_step, current_Grad_b,IF(Iterations[[#This Row],[Step]] &gt; current_step, "",Iterations[[#This Row],[Grad_b]]))</f>
        <v/>
      </c>
      <c r="P78" s="2" t="str">
        <f>IF(Iterations[[#This Row],[Step]] =current_step, current_Grad_c,IF(Iterations[[#This Row],[Step]] &gt; current_step, "",Iterations[[#This Row],[Grad_c]]))</f>
        <v/>
      </c>
      <c r="Q78" s="2" t="str">
        <f>IF(Iterations[[#This Row],[Step]] =current_step, current_Grad_d,IF(Iterations[[#This Row],[Step]] &gt; current_step, "",Iterations[[#This Row],[Grad_d]]))</f>
        <v/>
      </c>
      <c r="R78" s="2" t="str">
        <f>IF(Iterations[[#This Row],[Step]] =current_step, current_Grad_e,IF(Iterations[[#This Row],[Step]] &gt; current_step, "",Iterations[[#This Row],[Grad_e]]))</f>
        <v/>
      </c>
    </row>
    <row r="79" spans="6:18" x14ac:dyDescent="0.3">
      <c r="F79" s="2">
        <f t="shared" si="3"/>
        <v>62</v>
      </c>
      <c r="G79" s="2" t="str">
        <f>IF(Iterations[[#This Row],[Step]] =current_step, current_a,IF(Iterations[[#This Row],[Step]] &gt; current_step, "",Iterations[[#This Row],[a]]))</f>
        <v/>
      </c>
      <c r="H79" s="2" t="str">
        <f>IF(Iterations[[#This Row],[Step]] =current_step, current_b,IF(Iterations[[#This Row],[Step]] &gt; current_step, "",Iterations[[#This Row],[b]]))</f>
        <v/>
      </c>
      <c r="I79" s="2" t="str">
        <f>IF(Iterations[[#This Row],[Step]] =current_step, current_c,IF(Iterations[[#This Row],[Step]] &gt; current_step, "",Iterations[[#This Row],[c]]))</f>
        <v/>
      </c>
      <c r="J79" s="2" t="str">
        <f>IF(Iterations[[#This Row],[Step]] =current_step, current_d,IF(Iterations[[#This Row],[Step]] &gt; current_step, "",Iterations[[#This Row],[d]]))</f>
        <v/>
      </c>
      <c r="K79" s="2" t="str">
        <f>IF(Iterations[[#This Row],[Step]] =current_step, current_e,IF(Iterations[[#This Row],[Step]] &gt; current_step, "",Iterations[[#This Row],[e]]))</f>
        <v/>
      </c>
      <c r="L79" s="2" t="str">
        <f>IF(Iterations[[#This Row],[Step]] =current_step, current_Total_Loss,IF(Iterations[[#This Row],[Step]] &gt; current_step, "",Iterations[[#This Row],[Total Loss]]))</f>
        <v/>
      </c>
      <c r="M79" s="6" t="s">
        <v>27</v>
      </c>
      <c r="N79" s="2" t="str">
        <f>IF(Iterations[[#This Row],[Step]] =current_step, current_Grad_a,IF(Iterations[[#This Row],[Step]] &gt; current_step, "",Iterations[[#This Row],[Grad_a]]))</f>
        <v/>
      </c>
      <c r="O79" s="2" t="str">
        <f>IF(Iterations[[#This Row],[Step]] =current_step, current_Grad_b,IF(Iterations[[#This Row],[Step]] &gt; current_step, "",Iterations[[#This Row],[Grad_b]]))</f>
        <v/>
      </c>
      <c r="P79" s="2" t="str">
        <f>IF(Iterations[[#This Row],[Step]] =current_step, current_Grad_c,IF(Iterations[[#This Row],[Step]] &gt; current_step, "",Iterations[[#This Row],[Grad_c]]))</f>
        <v/>
      </c>
      <c r="Q79" s="2" t="str">
        <f>IF(Iterations[[#This Row],[Step]] =current_step, current_Grad_d,IF(Iterations[[#This Row],[Step]] &gt; current_step, "",Iterations[[#This Row],[Grad_d]]))</f>
        <v/>
      </c>
      <c r="R79" s="2" t="str">
        <f>IF(Iterations[[#This Row],[Step]] =current_step, current_Grad_e,IF(Iterations[[#This Row],[Step]] &gt; current_step, "",Iterations[[#This Row],[Grad_e]]))</f>
        <v/>
      </c>
    </row>
    <row r="80" spans="6:18" x14ac:dyDescent="0.3">
      <c r="F80" s="2">
        <f t="shared" si="3"/>
        <v>63</v>
      </c>
      <c r="G80" s="2" t="str">
        <f>IF(Iterations[[#This Row],[Step]] =current_step, current_a,IF(Iterations[[#This Row],[Step]] &gt; current_step, "",Iterations[[#This Row],[a]]))</f>
        <v/>
      </c>
      <c r="H80" s="2" t="str">
        <f>IF(Iterations[[#This Row],[Step]] =current_step, current_b,IF(Iterations[[#This Row],[Step]] &gt; current_step, "",Iterations[[#This Row],[b]]))</f>
        <v/>
      </c>
      <c r="I80" s="2" t="str">
        <f>IF(Iterations[[#This Row],[Step]] =current_step, current_c,IF(Iterations[[#This Row],[Step]] &gt; current_step, "",Iterations[[#This Row],[c]]))</f>
        <v/>
      </c>
      <c r="J80" s="2" t="str">
        <f>IF(Iterations[[#This Row],[Step]] =current_step, current_d,IF(Iterations[[#This Row],[Step]] &gt; current_step, "",Iterations[[#This Row],[d]]))</f>
        <v/>
      </c>
      <c r="K80" s="2" t="str">
        <f>IF(Iterations[[#This Row],[Step]] =current_step, current_e,IF(Iterations[[#This Row],[Step]] &gt; current_step, "",Iterations[[#This Row],[e]]))</f>
        <v/>
      </c>
      <c r="L80" s="2" t="str">
        <f>IF(Iterations[[#This Row],[Step]] =current_step, current_Total_Loss,IF(Iterations[[#This Row],[Step]] &gt; current_step, "",Iterations[[#This Row],[Total Loss]]))</f>
        <v/>
      </c>
      <c r="M80" s="6" t="s">
        <v>27</v>
      </c>
      <c r="N80" s="2" t="str">
        <f>IF(Iterations[[#This Row],[Step]] =current_step, current_Grad_a,IF(Iterations[[#This Row],[Step]] &gt; current_step, "",Iterations[[#This Row],[Grad_a]]))</f>
        <v/>
      </c>
      <c r="O80" s="2" t="str">
        <f>IF(Iterations[[#This Row],[Step]] =current_step, current_Grad_b,IF(Iterations[[#This Row],[Step]] &gt; current_step, "",Iterations[[#This Row],[Grad_b]]))</f>
        <v/>
      </c>
      <c r="P80" s="2" t="str">
        <f>IF(Iterations[[#This Row],[Step]] =current_step, current_Grad_c,IF(Iterations[[#This Row],[Step]] &gt; current_step, "",Iterations[[#This Row],[Grad_c]]))</f>
        <v/>
      </c>
      <c r="Q80" s="2" t="str">
        <f>IF(Iterations[[#This Row],[Step]] =current_step, current_Grad_d,IF(Iterations[[#This Row],[Step]] &gt; current_step, "",Iterations[[#This Row],[Grad_d]]))</f>
        <v/>
      </c>
      <c r="R80" s="2" t="str">
        <f>IF(Iterations[[#This Row],[Step]] =current_step, current_Grad_e,IF(Iterations[[#This Row],[Step]] &gt; current_step, "",Iterations[[#This Row],[Grad_e]]))</f>
        <v/>
      </c>
    </row>
    <row r="81" spans="6:18" x14ac:dyDescent="0.3">
      <c r="F81" s="2">
        <f t="shared" si="3"/>
        <v>64</v>
      </c>
      <c r="G81" s="2" t="str">
        <f>IF(Iterations[[#This Row],[Step]] =current_step, current_a,IF(Iterations[[#This Row],[Step]] &gt; current_step, "",Iterations[[#This Row],[a]]))</f>
        <v/>
      </c>
      <c r="H81" s="2" t="str">
        <f>IF(Iterations[[#This Row],[Step]] =current_step, current_b,IF(Iterations[[#This Row],[Step]] &gt; current_step, "",Iterations[[#This Row],[b]]))</f>
        <v/>
      </c>
      <c r="I81" s="2" t="str">
        <f>IF(Iterations[[#This Row],[Step]] =current_step, current_c,IF(Iterations[[#This Row],[Step]] &gt; current_step, "",Iterations[[#This Row],[c]]))</f>
        <v/>
      </c>
      <c r="J81" s="2" t="str">
        <f>IF(Iterations[[#This Row],[Step]] =current_step, current_d,IF(Iterations[[#This Row],[Step]] &gt; current_step, "",Iterations[[#This Row],[d]]))</f>
        <v/>
      </c>
      <c r="K81" s="2" t="str">
        <f>IF(Iterations[[#This Row],[Step]] =current_step, current_e,IF(Iterations[[#This Row],[Step]] &gt; current_step, "",Iterations[[#This Row],[e]]))</f>
        <v/>
      </c>
      <c r="L81" s="2" t="str">
        <f>IF(Iterations[[#This Row],[Step]] =current_step, current_Total_Loss,IF(Iterations[[#This Row],[Step]] &gt; current_step, "",Iterations[[#This Row],[Total Loss]]))</f>
        <v/>
      </c>
      <c r="M81" s="6" t="s">
        <v>27</v>
      </c>
      <c r="N81" s="2" t="str">
        <f>IF(Iterations[[#This Row],[Step]] =current_step, current_Grad_a,IF(Iterations[[#This Row],[Step]] &gt; current_step, "",Iterations[[#This Row],[Grad_a]]))</f>
        <v/>
      </c>
      <c r="O81" s="2" t="str">
        <f>IF(Iterations[[#This Row],[Step]] =current_step, current_Grad_b,IF(Iterations[[#This Row],[Step]] &gt; current_step, "",Iterations[[#This Row],[Grad_b]]))</f>
        <v/>
      </c>
      <c r="P81" s="2" t="str">
        <f>IF(Iterations[[#This Row],[Step]] =current_step, current_Grad_c,IF(Iterations[[#This Row],[Step]] &gt; current_step, "",Iterations[[#This Row],[Grad_c]]))</f>
        <v/>
      </c>
      <c r="Q81" s="2" t="str">
        <f>IF(Iterations[[#This Row],[Step]] =current_step, current_Grad_d,IF(Iterations[[#This Row],[Step]] &gt; current_step, "",Iterations[[#This Row],[Grad_d]]))</f>
        <v/>
      </c>
      <c r="R81" s="2" t="str">
        <f>IF(Iterations[[#This Row],[Step]] =current_step, current_Grad_e,IF(Iterations[[#This Row],[Step]] &gt; current_step, "",Iterations[[#This Row],[Grad_e]]))</f>
        <v/>
      </c>
    </row>
    <row r="82" spans="6:18" x14ac:dyDescent="0.3">
      <c r="F82" s="2">
        <f t="shared" si="3"/>
        <v>65</v>
      </c>
      <c r="G82" s="2" t="str">
        <f>IF(Iterations[[#This Row],[Step]] =current_step, current_a,IF(Iterations[[#This Row],[Step]] &gt; current_step, "",Iterations[[#This Row],[a]]))</f>
        <v/>
      </c>
      <c r="H82" s="2" t="str">
        <f>IF(Iterations[[#This Row],[Step]] =current_step, current_b,IF(Iterations[[#This Row],[Step]] &gt; current_step, "",Iterations[[#This Row],[b]]))</f>
        <v/>
      </c>
      <c r="I82" s="2" t="str">
        <f>IF(Iterations[[#This Row],[Step]] =current_step, current_c,IF(Iterations[[#This Row],[Step]] &gt; current_step, "",Iterations[[#This Row],[c]]))</f>
        <v/>
      </c>
      <c r="J82" s="2" t="str">
        <f>IF(Iterations[[#This Row],[Step]] =current_step, current_d,IF(Iterations[[#This Row],[Step]] &gt; current_step, "",Iterations[[#This Row],[d]]))</f>
        <v/>
      </c>
      <c r="K82" s="2" t="str">
        <f>IF(Iterations[[#This Row],[Step]] =current_step, current_e,IF(Iterations[[#This Row],[Step]] &gt; current_step, "",Iterations[[#This Row],[e]]))</f>
        <v/>
      </c>
      <c r="L82" s="2" t="str">
        <f>IF(Iterations[[#This Row],[Step]] =current_step, current_Total_Loss,IF(Iterations[[#This Row],[Step]] &gt; current_step, "",Iterations[[#This Row],[Total Loss]]))</f>
        <v/>
      </c>
      <c r="M82" s="6" t="s">
        <v>27</v>
      </c>
      <c r="N82" s="2" t="str">
        <f>IF(Iterations[[#This Row],[Step]] =current_step, current_Grad_a,IF(Iterations[[#This Row],[Step]] &gt; current_step, "",Iterations[[#This Row],[Grad_a]]))</f>
        <v/>
      </c>
      <c r="O82" s="2" t="str">
        <f>IF(Iterations[[#This Row],[Step]] =current_step, current_Grad_b,IF(Iterations[[#This Row],[Step]] &gt; current_step, "",Iterations[[#This Row],[Grad_b]]))</f>
        <v/>
      </c>
      <c r="P82" s="2" t="str">
        <f>IF(Iterations[[#This Row],[Step]] =current_step, current_Grad_c,IF(Iterations[[#This Row],[Step]] &gt; current_step, "",Iterations[[#This Row],[Grad_c]]))</f>
        <v/>
      </c>
      <c r="Q82" s="2" t="str">
        <f>IF(Iterations[[#This Row],[Step]] =current_step, current_Grad_d,IF(Iterations[[#This Row],[Step]] &gt; current_step, "",Iterations[[#This Row],[Grad_d]]))</f>
        <v/>
      </c>
      <c r="R82" s="2" t="str">
        <f>IF(Iterations[[#This Row],[Step]] =current_step, current_Grad_e,IF(Iterations[[#This Row],[Step]] &gt; current_step, "",Iterations[[#This Row],[Grad_e]]))</f>
        <v/>
      </c>
    </row>
    <row r="83" spans="6:18" x14ac:dyDescent="0.3">
      <c r="F83" s="2">
        <f t="shared" si="3"/>
        <v>66</v>
      </c>
      <c r="G83" s="2" t="str">
        <f>IF(Iterations[[#This Row],[Step]] =current_step, current_a,IF(Iterations[[#This Row],[Step]] &gt; current_step, "",Iterations[[#This Row],[a]]))</f>
        <v/>
      </c>
      <c r="H83" s="2" t="str">
        <f>IF(Iterations[[#This Row],[Step]] =current_step, current_b,IF(Iterations[[#This Row],[Step]] &gt; current_step, "",Iterations[[#This Row],[b]]))</f>
        <v/>
      </c>
      <c r="I83" s="2" t="str">
        <f>IF(Iterations[[#This Row],[Step]] =current_step, current_c,IF(Iterations[[#This Row],[Step]] &gt; current_step, "",Iterations[[#This Row],[c]]))</f>
        <v/>
      </c>
      <c r="J83" s="2" t="str">
        <f>IF(Iterations[[#This Row],[Step]] =current_step, current_d,IF(Iterations[[#This Row],[Step]] &gt; current_step, "",Iterations[[#This Row],[d]]))</f>
        <v/>
      </c>
      <c r="K83" s="2" t="str">
        <f>IF(Iterations[[#This Row],[Step]] =current_step, current_e,IF(Iterations[[#This Row],[Step]] &gt; current_step, "",Iterations[[#This Row],[e]]))</f>
        <v/>
      </c>
      <c r="L83" s="2" t="str">
        <f>IF(Iterations[[#This Row],[Step]] =current_step, current_Total_Loss,IF(Iterations[[#This Row],[Step]] &gt; current_step, "",Iterations[[#This Row],[Total Loss]]))</f>
        <v/>
      </c>
      <c r="M83" s="6" t="s">
        <v>27</v>
      </c>
      <c r="N83" s="2" t="str">
        <f>IF(Iterations[[#This Row],[Step]] =current_step, current_Grad_a,IF(Iterations[[#This Row],[Step]] &gt; current_step, "",Iterations[[#This Row],[Grad_a]]))</f>
        <v/>
      </c>
      <c r="O83" s="2" t="str">
        <f>IF(Iterations[[#This Row],[Step]] =current_step, current_Grad_b,IF(Iterations[[#This Row],[Step]] &gt; current_step, "",Iterations[[#This Row],[Grad_b]]))</f>
        <v/>
      </c>
      <c r="P83" s="2" t="str">
        <f>IF(Iterations[[#This Row],[Step]] =current_step, current_Grad_c,IF(Iterations[[#This Row],[Step]] &gt; current_step, "",Iterations[[#This Row],[Grad_c]]))</f>
        <v/>
      </c>
      <c r="Q83" s="2" t="str">
        <f>IF(Iterations[[#This Row],[Step]] =current_step, current_Grad_d,IF(Iterations[[#This Row],[Step]] &gt; current_step, "",Iterations[[#This Row],[Grad_d]]))</f>
        <v/>
      </c>
      <c r="R83" s="2" t="str">
        <f>IF(Iterations[[#This Row],[Step]] =current_step, current_Grad_e,IF(Iterations[[#This Row],[Step]] &gt; current_step, "",Iterations[[#This Row],[Grad_e]]))</f>
        <v/>
      </c>
    </row>
    <row r="84" spans="6:18" x14ac:dyDescent="0.3">
      <c r="F84" s="2">
        <f t="shared" si="3"/>
        <v>67</v>
      </c>
      <c r="G84" s="2" t="str">
        <f>IF(Iterations[[#This Row],[Step]] =current_step, current_a,IF(Iterations[[#This Row],[Step]] &gt; current_step, "",Iterations[[#This Row],[a]]))</f>
        <v/>
      </c>
      <c r="H84" s="2" t="str">
        <f>IF(Iterations[[#This Row],[Step]] =current_step, current_b,IF(Iterations[[#This Row],[Step]] &gt; current_step, "",Iterations[[#This Row],[b]]))</f>
        <v/>
      </c>
      <c r="I84" s="2" t="str">
        <f>IF(Iterations[[#This Row],[Step]] =current_step, current_c,IF(Iterations[[#This Row],[Step]] &gt; current_step, "",Iterations[[#This Row],[c]]))</f>
        <v/>
      </c>
      <c r="J84" s="2" t="str">
        <f>IF(Iterations[[#This Row],[Step]] =current_step, current_d,IF(Iterations[[#This Row],[Step]] &gt; current_step, "",Iterations[[#This Row],[d]]))</f>
        <v/>
      </c>
      <c r="K84" s="2" t="str">
        <f>IF(Iterations[[#This Row],[Step]] =current_step, current_e,IF(Iterations[[#This Row],[Step]] &gt; current_step, "",Iterations[[#This Row],[e]]))</f>
        <v/>
      </c>
      <c r="L84" s="2" t="str">
        <f>IF(Iterations[[#This Row],[Step]] =current_step, current_Total_Loss,IF(Iterations[[#This Row],[Step]] &gt; current_step, "",Iterations[[#This Row],[Total Loss]]))</f>
        <v/>
      </c>
      <c r="M84" s="6" t="s">
        <v>27</v>
      </c>
      <c r="N84" s="2" t="str">
        <f>IF(Iterations[[#This Row],[Step]] =current_step, current_Grad_a,IF(Iterations[[#This Row],[Step]] &gt; current_step, "",Iterations[[#This Row],[Grad_a]]))</f>
        <v/>
      </c>
      <c r="O84" s="2" t="str">
        <f>IF(Iterations[[#This Row],[Step]] =current_step, current_Grad_b,IF(Iterations[[#This Row],[Step]] &gt; current_step, "",Iterations[[#This Row],[Grad_b]]))</f>
        <v/>
      </c>
      <c r="P84" s="2" t="str">
        <f>IF(Iterations[[#This Row],[Step]] =current_step, current_Grad_c,IF(Iterations[[#This Row],[Step]] &gt; current_step, "",Iterations[[#This Row],[Grad_c]]))</f>
        <v/>
      </c>
      <c r="Q84" s="2" t="str">
        <f>IF(Iterations[[#This Row],[Step]] =current_step, current_Grad_d,IF(Iterations[[#This Row],[Step]] &gt; current_step, "",Iterations[[#This Row],[Grad_d]]))</f>
        <v/>
      </c>
      <c r="R84" s="2" t="str">
        <f>IF(Iterations[[#This Row],[Step]] =current_step, current_Grad_e,IF(Iterations[[#This Row],[Step]] &gt; current_step, "",Iterations[[#This Row],[Grad_e]]))</f>
        <v/>
      </c>
    </row>
    <row r="85" spans="6:18" x14ac:dyDescent="0.3">
      <c r="F85" s="2">
        <f t="shared" si="3"/>
        <v>68</v>
      </c>
      <c r="G85" s="2" t="str">
        <f>IF(Iterations[[#This Row],[Step]] =current_step, current_a,IF(Iterations[[#This Row],[Step]] &gt; current_step, "",Iterations[[#This Row],[a]]))</f>
        <v/>
      </c>
      <c r="H85" s="2" t="str">
        <f>IF(Iterations[[#This Row],[Step]] =current_step, current_b,IF(Iterations[[#This Row],[Step]] &gt; current_step, "",Iterations[[#This Row],[b]]))</f>
        <v/>
      </c>
      <c r="I85" s="2" t="str">
        <f>IF(Iterations[[#This Row],[Step]] =current_step, current_c,IF(Iterations[[#This Row],[Step]] &gt; current_step, "",Iterations[[#This Row],[c]]))</f>
        <v/>
      </c>
      <c r="J85" s="2" t="str">
        <f>IF(Iterations[[#This Row],[Step]] =current_step, current_d,IF(Iterations[[#This Row],[Step]] &gt; current_step, "",Iterations[[#This Row],[d]]))</f>
        <v/>
      </c>
      <c r="K85" s="2" t="str">
        <f>IF(Iterations[[#This Row],[Step]] =current_step, current_e,IF(Iterations[[#This Row],[Step]] &gt; current_step, "",Iterations[[#This Row],[e]]))</f>
        <v/>
      </c>
      <c r="L85" s="2" t="str">
        <f>IF(Iterations[[#This Row],[Step]] =current_step, current_Total_Loss,IF(Iterations[[#This Row],[Step]] &gt; current_step, "",Iterations[[#This Row],[Total Loss]]))</f>
        <v/>
      </c>
      <c r="M85" s="6" t="s">
        <v>27</v>
      </c>
      <c r="N85" s="2" t="str">
        <f>IF(Iterations[[#This Row],[Step]] =current_step, current_Grad_a,IF(Iterations[[#This Row],[Step]] &gt; current_step, "",Iterations[[#This Row],[Grad_a]]))</f>
        <v/>
      </c>
      <c r="O85" s="2" t="str">
        <f>IF(Iterations[[#This Row],[Step]] =current_step, current_Grad_b,IF(Iterations[[#This Row],[Step]] &gt; current_step, "",Iterations[[#This Row],[Grad_b]]))</f>
        <v/>
      </c>
      <c r="P85" s="2" t="str">
        <f>IF(Iterations[[#This Row],[Step]] =current_step, current_Grad_c,IF(Iterations[[#This Row],[Step]] &gt; current_step, "",Iterations[[#This Row],[Grad_c]]))</f>
        <v/>
      </c>
      <c r="Q85" s="2" t="str">
        <f>IF(Iterations[[#This Row],[Step]] =current_step, current_Grad_d,IF(Iterations[[#This Row],[Step]] &gt; current_step, "",Iterations[[#This Row],[Grad_d]]))</f>
        <v/>
      </c>
      <c r="R85" s="2" t="str">
        <f>IF(Iterations[[#This Row],[Step]] =current_step, current_Grad_e,IF(Iterations[[#This Row],[Step]] &gt; current_step, "",Iterations[[#This Row],[Grad_e]]))</f>
        <v/>
      </c>
    </row>
    <row r="86" spans="6:18" x14ac:dyDescent="0.3">
      <c r="F86" s="2">
        <f t="shared" si="3"/>
        <v>69</v>
      </c>
      <c r="G86" s="2" t="str">
        <f>IF(Iterations[[#This Row],[Step]] =current_step, current_a,IF(Iterations[[#This Row],[Step]] &gt; current_step, "",Iterations[[#This Row],[a]]))</f>
        <v/>
      </c>
      <c r="H86" s="2" t="str">
        <f>IF(Iterations[[#This Row],[Step]] =current_step, current_b,IF(Iterations[[#This Row],[Step]] &gt; current_step, "",Iterations[[#This Row],[b]]))</f>
        <v/>
      </c>
      <c r="I86" s="2" t="str">
        <f>IF(Iterations[[#This Row],[Step]] =current_step, current_c,IF(Iterations[[#This Row],[Step]] &gt; current_step, "",Iterations[[#This Row],[c]]))</f>
        <v/>
      </c>
      <c r="J86" s="2" t="str">
        <f>IF(Iterations[[#This Row],[Step]] =current_step, current_d,IF(Iterations[[#This Row],[Step]] &gt; current_step, "",Iterations[[#This Row],[d]]))</f>
        <v/>
      </c>
      <c r="K86" s="2" t="str">
        <f>IF(Iterations[[#This Row],[Step]] =current_step, current_e,IF(Iterations[[#This Row],[Step]] &gt; current_step, "",Iterations[[#This Row],[e]]))</f>
        <v/>
      </c>
      <c r="L86" s="2" t="str">
        <f>IF(Iterations[[#This Row],[Step]] =current_step, current_Total_Loss,IF(Iterations[[#This Row],[Step]] &gt; current_step, "",Iterations[[#This Row],[Total Loss]]))</f>
        <v/>
      </c>
      <c r="M86" s="6" t="s">
        <v>27</v>
      </c>
      <c r="N86" s="2" t="str">
        <f>IF(Iterations[[#This Row],[Step]] =current_step, current_Grad_a,IF(Iterations[[#This Row],[Step]] &gt; current_step, "",Iterations[[#This Row],[Grad_a]]))</f>
        <v/>
      </c>
      <c r="O86" s="2" t="str">
        <f>IF(Iterations[[#This Row],[Step]] =current_step, current_Grad_b,IF(Iterations[[#This Row],[Step]] &gt; current_step, "",Iterations[[#This Row],[Grad_b]]))</f>
        <v/>
      </c>
      <c r="P86" s="2" t="str">
        <f>IF(Iterations[[#This Row],[Step]] =current_step, current_Grad_c,IF(Iterations[[#This Row],[Step]] &gt; current_step, "",Iterations[[#This Row],[Grad_c]]))</f>
        <v/>
      </c>
      <c r="Q86" s="2" t="str">
        <f>IF(Iterations[[#This Row],[Step]] =current_step, current_Grad_d,IF(Iterations[[#This Row],[Step]] &gt; current_step, "",Iterations[[#This Row],[Grad_d]]))</f>
        <v/>
      </c>
      <c r="R86" s="2" t="str">
        <f>IF(Iterations[[#This Row],[Step]] =current_step, current_Grad_e,IF(Iterations[[#This Row],[Step]] &gt; current_step, "",Iterations[[#This Row],[Grad_e]]))</f>
        <v/>
      </c>
    </row>
    <row r="87" spans="6:18" x14ac:dyDescent="0.3">
      <c r="F87" s="2">
        <f t="shared" si="3"/>
        <v>70</v>
      </c>
      <c r="G87" s="2" t="str">
        <f>IF(Iterations[[#This Row],[Step]] =current_step, current_a,IF(Iterations[[#This Row],[Step]] &gt; current_step, "",Iterations[[#This Row],[a]]))</f>
        <v/>
      </c>
      <c r="H87" s="2" t="str">
        <f>IF(Iterations[[#This Row],[Step]] =current_step, current_b,IF(Iterations[[#This Row],[Step]] &gt; current_step, "",Iterations[[#This Row],[b]]))</f>
        <v/>
      </c>
      <c r="I87" s="2" t="str">
        <f>IF(Iterations[[#This Row],[Step]] =current_step, current_c,IF(Iterations[[#This Row],[Step]] &gt; current_step, "",Iterations[[#This Row],[c]]))</f>
        <v/>
      </c>
      <c r="J87" s="2" t="str">
        <f>IF(Iterations[[#This Row],[Step]] =current_step, current_d,IF(Iterations[[#This Row],[Step]] &gt; current_step, "",Iterations[[#This Row],[d]]))</f>
        <v/>
      </c>
      <c r="K87" s="2" t="str">
        <f>IF(Iterations[[#This Row],[Step]] =current_step, current_e,IF(Iterations[[#This Row],[Step]] &gt; current_step, "",Iterations[[#This Row],[e]]))</f>
        <v/>
      </c>
      <c r="L87" s="2" t="str">
        <f>IF(Iterations[[#This Row],[Step]] =current_step, current_Total_Loss,IF(Iterations[[#This Row],[Step]] &gt; current_step, "",Iterations[[#This Row],[Total Loss]]))</f>
        <v/>
      </c>
      <c r="M87" s="6" t="s">
        <v>27</v>
      </c>
      <c r="N87" s="2" t="str">
        <f>IF(Iterations[[#This Row],[Step]] =current_step, current_Grad_a,IF(Iterations[[#This Row],[Step]] &gt; current_step, "",Iterations[[#This Row],[Grad_a]]))</f>
        <v/>
      </c>
      <c r="O87" s="2" t="str">
        <f>IF(Iterations[[#This Row],[Step]] =current_step, current_Grad_b,IF(Iterations[[#This Row],[Step]] &gt; current_step, "",Iterations[[#This Row],[Grad_b]]))</f>
        <v/>
      </c>
      <c r="P87" s="2" t="str">
        <f>IF(Iterations[[#This Row],[Step]] =current_step, current_Grad_c,IF(Iterations[[#This Row],[Step]] &gt; current_step, "",Iterations[[#This Row],[Grad_c]]))</f>
        <v/>
      </c>
      <c r="Q87" s="2" t="str">
        <f>IF(Iterations[[#This Row],[Step]] =current_step, current_Grad_d,IF(Iterations[[#This Row],[Step]] &gt; current_step, "",Iterations[[#This Row],[Grad_d]]))</f>
        <v/>
      </c>
      <c r="R87" s="2" t="str">
        <f>IF(Iterations[[#This Row],[Step]] =current_step, current_Grad_e,IF(Iterations[[#This Row],[Step]] &gt; current_step, "",Iterations[[#This Row],[Grad_e]]))</f>
        <v/>
      </c>
    </row>
    <row r="88" spans="6:18" x14ac:dyDescent="0.3">
      <c r="F88" s="2">
        <f t="shared" si="3"/>
        <v>71</v>
      </c>
      <c r="G88" s="2" t="str">
        <f>IF(Iterations[[#This Row],[Step]] =current_step, current_a,IF(Iterations[[#This Row],[Step]] &gt; current_step, "",Iterations[[#This Row],[a]]))</f>
        <v/>
      </c>
      <c r="H88" s="2" t="str">
        <f>IF(Iterations[[#This Row],[Step]] =current_step, current_b,IF(Iterations[[#This Row],[Step]] &gt; current_step, "",Iterations[[#This Row],[b]]))</f>
        <v/>
      </c>
      <c r="I88" s="2" t="str">
        <f>IF(Iterations[[#This Row],[Step]] =current_step, current_c,IF(Iterations[[#This Row],[Step]] &gt; current_step, "",Iterations[[#This Row],[c]]))</f>
        <v/>
      </c>
      <c r="J88" s="2" t="str">
        <f>IF(Iterations[[#This Row],[Step]] =current_step, current_d,IF(Iterations[[#This Row],[Step]] &gt; current_step, "",Iterations[[#This Row],[d]]))</f>
        <v/>
      </c>
      <c r="K88" s="2" t="str">
        <f>IF(Iterations[[#This Row],[Step]] =current_step, current_e,IF(Iterations[[#This Row],[Step]] &gt; current_step, "",Iterations[[#This Row],[e]]))</f>
        <v/>
      </c>
      <c r="L88" s="2" t="str">
        <f>IF(Iterations[[#This Row],[Step]] =current_step, current_Total_Loss,IF(Iterations[[#This Row],[Step]] &gt; current_step, "",Iterations[[#This Row],[Total Loss]]))</f>
        <v/>
      </c>
      <c r="M88" s="6" t="s">
        <v>27</v>
      </c>
      <c r="N88" s="2" t="str">
        <f>IF(Iterations[[#This Row],[Step]] =current_step, current_Grad_a,IF(Iterations[[#This Row],[Step]] &gt; current_step, "",Iterations[[#This Row],[Grad_a]]))</f>
        <v/>
      </c>
      <c r="O88" s="2" t="str">
        <f>IF(Iterations[[#This Row],[Step]] =current_step, current_Grad_b,IF(Iterations[[#This Row],[Step]] &gt; current_step, "",Iterations[[#This Row],[Grad_b]]))</f>
        <v/>
      </c>
      <c r="P88" s="2" t="str">
        <f>IF(Iterations[[#This Row],[Step]] =current_step, current_Grad_c,IF(Iterations[[#This Row],[Step]] &gt; current_step, "",Iterations[[#This Row],[Grad_c]]))</f>
        <v/>
      </c>
      <c r="Q88" s="2" t="str">
        <f>IF(Iterations[[#This Row],[Step]] =current_step, current_Grad_d,IF(Iterations[[#This Row],[Step]] &gt; current_step, "",Iterations[[#This Row],[Grad_d]]))</f>
        <v/>
      </c>
      <c r="R88" s="2" t="str">
        <f>IF(Iterations[[#This Row],[Step]] =current_step, current_Grad_e,IF(Iterations[[#This Row],[Step]] &gt; current_step, "",Iterations[[#This Row],[Grad_e]]))</f>
        <v/>
      </c>
    </row>
    <row r="89" spans="6:18" x14ac:dyDescent="0.3">
      <c r="F89" s="2">
        <f t="shared" si="3"/>
        <v>72</v>
      </c>
      <c r="G89" s="2" t="str">
        <f>IF(Iterations[[#This Row],[Step]] =current_step, current_a,IF(Iterations[[#This Row],[Step]] &gt; current_step, "",Iterations[[#This Row],[a]]))</f>
        <v/>
      </c>
      <c r="H89" s="2" t="str">
        <f>IF(Iterations[[#This Row],[Step]] =current_step, current_b,IF(Iterations[[#This Row],[Step]] &gt; current_step, "",Iterations[[#This Row],[b]]))</f>
        <v/>
      </c>
      <c r="I89" s="2" t="str">
        <f>IF(Iterations[[#This Row],[Step]] =current_step, current_c,IF(Iterations[[#This Row],[Step]] &gt; current_step, "",Iterations[[#This Row],[c]]))</f>
        <v/>
      </c>
      <c r="J89" s="2" t="str">
        <f>IF(Iterations[[#This Row],[Step]] =current_step, current_d,IF(Iterations[[#This Row],[Step]] &gt; current_step, "",Iterations[[#This Row],[d]]))</f>
        <v/>
      </c>
      <c r="K89" s="2" t="str">
        <f>IF(Iterations[[#This Row],[Step]] =current_step, current_e,IF(Iterations[[#This Row],[Step]] &gt; current_step, "",Iterations[[#This Row],[e]]))</f>
        <v/>
      </c>
      <c r="L89" s="2" t="str">
        <f>IF(Iterations[[#This Row],[Step]] =current_step, current_Total_Loss,IF(Iterations[[#This Row],[Step]] &gt; current_step, "",Iterations[[#This Row],[Total Loss]]))</f>
        <v/>
      </c>
      <c r="M89" s="6" t="s">
        <v>27</v>
      </c>
      <c r="N89" s="2" t="str">
        <f>IF(Iterations[[#This Row],[Step]] =current_step, current_Grad_a,IF(Iterations[[#This Row],[Step]] &gt; current_step, "",Iterations[[#This Row],[Grad_a]]))</f>
        <v/>
      </c>
      <c r="O89" s="2" t="str">
        <f>IF(Iterations[[#This Row],[Step]] =current_step, current_Grad_b,IF(Iterations[[#This Row],[Step]] &gt; current_step, "",Iterations[[#This Row],[Grad_b]]))</f>
        <v/>
      </c>
      <c r="P89" s="2" t="str">
        <f>IF(Iterations[[#This Row],[Step]] =current_step, current_Grad_c,IF(Iterations[[#This Row],[Step]] &gt; current_step, "",Iterations[[#This Row],[Grad_c]]))</f>
        <v/>
      </c>
      <c r="Q89" s="2" t="str">
        <f>IF(Iterations[[#This Row],[Step]] =current_step, current_Grad_d,IF(Iterations[[#This Row],[Step]] &gt; current_step, "",Iterations[[#This Row],[Grad_d]]))</f>
        <v/>
      </c>
      <c r="R89" s="2" t="str">
        <f>IF(Iterations[[#This Row],[Step]] =current_step, current_Grad_e,IF(Iterations[[#This Row],[Step]] &gt; current_step, "",Iterations[[#This Row],[Grad_e]]))</f>
        <v/>
      </c>
    </row>
    <row r="90" spans="6:18" x14ac:dyDescent="0.3">
      <c r="F90" s="2">
        <f t="shared" si="3"/>
        <v>73</v>
      </c>
      <c r="G90" s="2" t="str">
        <f>IF(Iterations[[#This Row],[Step]] =current_step, current_a,IF(Iterations[[#This Row],[Step]] &gt; current_step, "",Iterations[[#This Row],[a]]))</f>
        <v/>
      </c>
      <c r="H90" s="2" t="str">
        <f>IF(Iterations[[#This Row],[Step]] =current_step, current_b,IF(Iterations[[#This Row],[Step]] &gt; current_step, "",Iterations[[#This Row],[b]]))</f>
        <v/>
      </c>
      <c r="I90" s="2" t="str">
        <f>IF(Iterations[[#This Row],[Step]] =current_step, current_c,IF(Iterations[[#This Row],[Step]] &gt; current_step, "",Iterations[[#This Row],[c]]))</f>
        <v/>
      </c>
      <c r="J90" s="2" t="str">
        <f>IF(Iterations[[#This Row],[Step]] =current_step, current_d,IF(Iterations[[#This Row],[Step]] &gt; current_step, "",Iterations[[#This Row],[d]]))</f>
        <v/>
      </c>
      <c r="K90" s="2" t="str">
        <f>IF(Iterations[[#This Row],[Step]] =current_step, current_e,IF(Iterations[[#This Row],[Step]] &gt; current_step, "",Iterations[[#This Row],[e]]))</f>
        <v/>
      </c>
      <c r="L90" s="2" t="str">
        <f>IF(Iterations[[#This Row],[Step]] =current_step, current_Total_Loss,IF(Iterations[[#This Row],[Step]] &gt; current_step, "",Iterations[[#This Row],[Total Loss]]))</f>
        <v/>
      </c>
      <c r="M90" s="6" t="s">
        <v>27</v>
      </c>
      <c r="N90" s="2" t="str">
        <f>IF(Iterations[[#This Row],[Step]] =current_step, current_Grad_a,IF(Iterations[[#This Row],[Step]] &gt; current_step, "",Iterations[[#This Row],[Grad_a]]))</f>
        <v/>
      </c>
      <c r="O90" s="2" t="str">
        <f>IF(Iterations[[#This Row],[Step]] =current_step, current_Grad_b,IF(Iterations[[#This Row],[Step]] &gt; current_step, "",Iterations[[#This Row],[Grad_b]]))</f>
        <v/>
      </c>
      <c r="P90" s="2" t="str">
        <f>IF(Iterations[[#This Row],[Step]] =current_step, current_Grad_c,IF(Iterations[[#This Row],[Step]] &gt; current_step, "",Iterations[[#This Row],[Grad_c]]))</f>
        <v/>
      </c>
      <c r="Q90" s="2" t="str">
        <f>IF(Iterations[[#This Row],[Step]] =current_step, current_Grad_d,IF(Iterations[[#This Row],[Step]] &gt; current_step, "",Iterations[[#This Row],[Grad_d]]))</f>
        <v/>
      </c>
      <c r="R90" s="2" t="str">
        <f>IF(Iterations[[#This Row],[Step]] =current_step, current_Grad_e,IF(Iterations[[#This Row],[Step]] &gt; current_step, "",Iterations[[#This Row],[Grad_e]]))</f>
        <v/>
      </c>
    </row>
    <row r="91" spans="6:18" x14ac:dyDescent="0.3">
      <c r="F91" s="2">
        <f t="shared" si="3"/>
        <v>74</v>
      </c>
      <c r="G91" s="2" t="str">
        <f>IF(Iterations[[#This Row],[Step]] =current_step, current_a,IF(Iterations[[#This Row],[Step]] &gt; current_step, "",Iterations[[#This Row],[a]]))</f>
        <v/>
      </c>
      <c r="H91" s="2" t="str">
        <f>IF(Iterations[[#This Row],[Step]] =current_step, current_b,IF(Iterations[[#This Row],[Step]] &gt; current_step, "",Iterations[[#This Row],[b]]))</f>
        <v/>
      </c>
      <c r="I91" s="2" t="str">
        <f>IF(Iterations[[#This Row],[Step]] =current_step, current_c,IF(Iterations[[#This Row],[Step]] &gt; current_step, "",Iterations[[#This Row],[c]]))</f>
        <v/>
      </c>
      <c r="J91" s="2" t="str">
        <f>IF(Iterations[[#This Row],[Step]] =current_step, current_d,IF(Iterations[[#This Row],[Step]] &gt; current_step, "",Iterations[[#This Row],[d]]))</f>
        <v/>
      </c>
      <c r="K91" s="2" t="str">
        <f>IF(Iterations[[#This Row],[Step]] =current_step, current_e,IF(Iterations[[#This Row],[Step]] &gt; current_step, "",Iterations[[#This Row],[e]]))</f>
        <v/>
      </c>
      <c r="L91" s="2" t="str">
        <f>IF(Iterations[[#This Row],[Step]] =current_step, current_Total_Loss,IF(Iterations[[#This Row],[Step]] &gt; current_step, "",Iterations[[#This Row],[Total Loss]]))</f>
        <v/>
      </c>
      <c r="M91" s="6" t="s">
        <v>27</v>
      </c>
      <c r="N91" s="2" t="str">
        <f>IF(Iterations[[#This Row],[Step]] =current_step, current_Grad_a,IF(Iterations[[#This Row],[Step]] &gt; current_step, "",Iterations[[#This Row],[Grad_a]]))</f>
        <v/>
      </c>
      <c r="O91" s="2" t="str">
        <f>IF(Iterations[[#This Row],[Step]] =current_step, current_Grad_b,IF(Iterations[[#This Row],[Step]] &gt; current_step, "",Iterations[[#This Row],[Grad_b]]))</f>
        <v/>
      </c>
      <c r="P91" s="2" t="str">
        <f>IF(Iterations[[#This Row],[Step]] =current_step, current_Grad_c,IF(Iterations[[#This Row],[Step]] &gt; current_step, "",Iterations[[#This Row],[Grad_c]]))</f>
        <v/>
      </c>
      <c r="Q91" s="2" t="str">
        <f>IF(Iterations[[#This Row],[Step]] =current_step, current_Grad_d,IF(Iterations[[#This Row],[Step]] &gt; current_step, "",Iterations[[#This Row],[Grad_d]]))</f>
        <v/>
      </c>
      <c r="R91" s="2" t="str">
        <f>IF(Iterations[[#This Row],[Step]] =current_step, current_Grad_e,IF(Iterations[[#This Row],[Step]] &gt; current_step, "",Iterations[[#This Row],[Grad_e]]))</f>
        <v/>
      </c>
    </row>
    <row r="92" spans="6:18" x14ac:dyDescent="0.3">
      <c r="F92" s="2">
        <f t="shared" si="3"/>
        <v>75</v>
      </c>
      <c r="G92" s="2" t="str">
        <f>IF(Iterations[[#This Row],[Step]] =current_step, current_a,IF(Iterations[[#This Row],[Step]] &gt; current_step, "",Iterations[[#This Row],[a]]))</f>
        <v/>
      </c>
      <c r="H92" s="2" t="str">
        <f>IF(Iterations[[#This Row],[Step]] =current_step, current_b,IF(Iterations[[#This Row],[Step]] &gt; current_step, "",Iterations[[#This Row],[b]]))</f>
        <v/>
      </c>
      <c r="I92" s="2" t="str">
        <f>IF(Iterations[[#This Row],[Step]] =current_step, current_c,IF(Iterations[[#This Row],[Step]] &gt; current_step, "",Iterations[[#This Row],[c]]))</f>
        <v/>
      </c>
      <c r="J92" s="2" t="str">
        <f>IF(Iterations[[#This Row],[Step]] =current_step, current_d,IF(Iterations[[#This Row],[Step]] &gt; current_step, "",Iterations[[#This Row],[d]]))</f>
        <v/>
      </c>
      <c r="K92" s="2" t="str">
        <f>IF(Iterations[[#This Row],[Step]] =current_step, current_e,IF(Iterations[[#This Row],[Step]] &gt; current_step, "",Iterations[[#This Row],[e]]))</f>
        <v/>
      </c>
      <c r="L92" s="2" t="str">
        <f>IF(Iterations[[#This Row],[Step]] =current_step, current_Total_Loss,IF(Iterations[[#This Row],[Step]] &gt; current_step, "",Iterations[[#This Row],[Total Loss]]))</f>
        <v/>
      </c>
      <c r="M92" s="6" t="s">
        <v>27</v>
      </c>
      <c r="N92" s="2" t="str">
        <f>IF(Iterations[[#This Row],[Step]] =current_step, current_Grad_a,IF(Iterations[[#This Row],[Step]] &gt; current_step, "",Iterations[[#This Row],[Grad_a]]))</f>
        <v/>
      </c>
      <c r="O92" s="2" t="str">
        <f>IF(Iterations[[#This Row],[Step]] =current_step, current_Grad_b,IF(Iterations[[#This Row],[Step]] &gt; current_step, "",Iterations[[#This Row],[Grad_b]]))</f>
        <v/>
      </c>
      <c r="P92" s="2" t="str">
        <f>IF(Iterations[[#This Row],[Step]] =current_step, current_Grad_c,IF(Iterations[[#This Row],[Step]] &gt; current_step, "",Iterations[[#This Row],[Grad_c]]))</f>
        <v/>
      </c>
      <c r="Q92" s="2" t="str">
        <f>IF(Iterations[[#This Row],[Step]] =current_step, current_Grad_d,IF(Iterations[[#This Row],[Step]] &gt; current_step, "",Iterations[[#This Row],[Grad_d]]))</f>
        <v/>
      </c>
      <c r="R92" s="2" t="str">
        <f>IF(Iterations[[#This Row],[Step]] =current_step, current_Grad_e,IF(Iterations[[#This Row],[Step]] &gt; current_step, "",Iterations[[#This Row],[Grad_e]]))</f>
        <v/>
      </c>
    </row>
    <row r="93" spans="6:18" x14ac:dyDescent="0.3">
      <c r="F93" s="2">
        <f t="shared" si="3"/>
        <v>76</v>
      </c>
      <c r="G93" s="2" t="str">
        <f>IF(Iterations[[#This Row],[Step]] =current_step, current_a,IF(Iterations[[#This Row],[Step]] &gt; current_step, "",Iterations[[#This Row],[a]]))</f>
        <v/>
      </c>
      <c r="H93" s="2" t="str">
        <f>IF(Iterations[[#This Row],[Step]] =current_step, current_b,IF(Iterations[[#This Row],[Step]] &gt; current_step, "",Iterations[[#This Row],[b]]))</f>
        <v/>
      </c>
      <c r="I93" s="2" t="str">
        <f>IF(Iterations[[#This Row],[Step]] =current_step, current_c,IF(Iterations[[#This Row],[Step]] &gt; current_step, "",Iterations[[#This Row],[c]]))</f>
        <v/>
      </c>
      <c r="J93" s="2" t="str">
        <f>IF(Iterations[[#This Row],[Step]] =current_step, current_d,IF(Iterations[[#This Row],[Step]] &gt; current_step, "",Iterations[[#This Row],[d]]))</f>
        <v/>
      </c>
      <c r="K93" s="2" t="str">
        <f>IF(Iterations[[#This Row],[Step]] =current_step, current_e,IF(Iterations[[#This Row],[Step]] &gt; current_step, "",Iterations[[#This Row],[e]]))</f>
        <v/>
      </c>
      <c r="L93" s="2" t="str">
        <f>IF(Iterations[[#This Row],[Step]] =current_step, current_Total_Loss,IF(Iterations[[#This Row],[Step]] &gt; current_step, "",Iterations[[#This Row],[Total Loss]]))</f>
        <v/>
      </c>
      <c r="M93" s="6" t="s">
        <v>27</v>
      </c>
      <c r="N93" s="2" t="str">
        <f>IF(Iterations[[#This Row],[Step]] =current_step, current_Grad_a,IF(Iterations[[#This Row],[Step]] &gt; current_step, "",Iterations[[#This Row],[Grad_a]]))</f>
        <v/>
      </c>
      <c r="O93" s="2" t="str">
        <f>IF(Iterations[[#This Row],[Step]] =current_step, current_Grad_b,IF(Iterations[[#This Row],[Step]] &gt; current_step, "",Iterations[[#This Row],[Grad_b]]))</f>
        <v/>
      </c>
      <c r="P93" s="2" t="str">
        <f>IF(Iterations[[#This Row],[Step]] =current_step, current_Grad_c,IF(Iterations[[#This Row],[Step]] &gt; current_step, "",Iterations[[#This Row],[Grad_c]]))</f>
        <v/>
      </c>
      <c r="Q93" s="2" t="str">
        <f>IF(Iterations[[#This Row],[Step]] =current_step, current_Grad_d,IF(Iterations[[#This Row],[Step]] &gt; current_step, "",Iterations[[#This Row],[Grad_d]]))</f>
        <v/>
      </c>
      <c r="R93" s="2" t="str">
        <f>IF(Iterations[[#This Row],[Step]] =current_step, current_Grad_e,IF(Iterations[[#This Row],[Step]] &gt; current_step, "",Iterations[[#This Row],[Grad_e]]))</f>
        <v/>
      </c>
    </row>
    <row r="94" spans="6:18" x14ac:dyDescent="0.3">
      <c r="F94" s="2">
        <f t="shared" si="3"/>
        <v>77</v>
      </c>
      <c r="G94" s="2" t="str">
        <f>IF(Iterations[[#This Row],[Step]] =current_step, current_a,IF(Iterations[[#This Row],[Step]] &gt; current_step, "",Iterations[[#This Row],[a]]))</f>
        <v/>
      </c>
      <c r="H94" s="2" t="str">
        <f>IF(Iterations[[#This Row],[Step]] =current_step, current_b,IF(Iterations[[#This Row],[Step]] &gt; current_step, "",Iterations[[#This Row],[b]]))</f>
        <v/>
      </c>
      <c r="I94" s="2" t="str">
        <f>IF(Iterations[[#This Row],[Step]] =current_step, current_c,IF(Iterations[[#This Row],[Step]] &gt; current_step, "",Iterations[[#This Row],[c]]))</f>
        <v/>
      </c>
      <c r="J94" s="2" t="str">
        <f>IF(Iterations[[#This Row],[Step]] =current_step, current_d,IF(Iterations[[#This Row],[Step]] &gt; current_step, "",Iterations[[#This Row],[d]]))</f>
        <v/>
      </c>
      <c r="K94" s="2" t="str">
        <f>IF(Iterations[[#This Row],[Step]] =current_step, current_e,IF(Iterations[[#This Row],[Step]] &gt; current_step, "",Iterations[[#This Row],[e]]))</f>
        <v/>
      </c>
      <c r="L94" s="2" t="str">
        <f>IF(Iterations[[#This Row],[Step]] =current_step, current_Total_Loss,IF(Iterations[[#This Row],[Step]] &gt; current_step, "",Iterations[[#This Row],[Total Loss]]))</f>
        <v/>
      </c>
      <c r="M94" s="6" t="s">
        <v>27</v>
      </c>
      <c r="N94" s="2" t="str">
        <f>IF(Iterations[[#This Row],[Step]] =current_step, current_Grad_a,IF(Iterations[[#This Row],[Step]] &gt; current_step, "",Iterations[[#This Row],[Grad_a]]))</f>
        <v/>
      </c>
      <c r="O94" s="2" t="str">
        <f>IF(Iterations[[#This Row],[Step]] =current_step, current_Grad_b,IF(Iterations[[#This Row],[Step]] &gt; current_step, "",Iterations[[#This Row],[Grad_b]]))</f>
        <v/>
      </c>
      <c r="P94" s="2" t="str">
        <f>IF(Iterations[[#This Row],[Step]] =current_step, current_Grad_c,IF(Iterations[[#This Row],[Step]] &gt; current_step, "",Iterations[[#This Row],[Grad_c]]))</f>
        <v/>
      </c>
      <c r="Q94" s="2" t="str">
        <f>IF(Iterations[[#This Row],[Step]] =current_step, current_Grad_d,IF(Iterations[[#This Row],[Step]] &gt; current_step, "",Iterations[[#This Row],[Grad_d]]))</f>
        <v/>
      </c>
      <c r="R94" s="2" t="str">
        <f>IF(Iterations[[#This Row],[Step]] =current_step, current_Grad_e,IF(Iterations[[#This Row],[Step]] &gt; current_step, "",Iterations[[#This Row],[Grad_e]]))</f>
        <v/>
      </c>
    </row>
    <row r="95" spans="6:18" x14ac:dyDescent="0.3">
      <c r="F95" s="2">
        <f t="shared" si="3"/>
        <v>78</v>
      </c>
      <c r="G95" s="2" t="str">
        <f>IF(Iterations[[#This Row],[Step]] =current_step, current_a,IF(Iterations[[#This Row],[Step]] &gt; current_step, "",Iterations[[#This Row],[a]]))</f>
        <v/>
      </c>
      <c r="H95" s="2" t="str">
        <f>IF(Iterations[[#This Row],[Step]] =current_step, current_b,IF(Iterations[[#This Row],[Step]] &gt; current_step, "",Iterations[[#This Row],[b]]))</f>
        <v/>
      </c>
      <c r="I95" s="2" t="str">
        <f>IF(Iterations[[#This Row],[Step]] =current_step, current_c,IF(Iterations[[#This Row],[Step]] &gt; current_step, "",Iterations[[#This Row],[c]]))</f>
        <v/>
      </c>
      <c r="J95" s="2" t="str">
        <f>IF(Iterations[[#This Row],[Step]] =current_step, current_d,IF(Iterations[[#This Row],[Step]] &gt; current_step, "",Iterations[[#This Row],[d]]))</f>
        <v/>
      </c>
      <c r="K95" s="2" t="str">
        <f>IF(Iterations[[#This Row],[Step]] =current_step, current_e,IF(Iterations[[#This Row],[Step]] &gt; current_step, "",Iterations[[#This Row],[e]]))</f>
        <v/>
      </c>
      <c r="L95" s="2" t="str">
        <f>IF(Iterations[[#This Row],[Step]] =current_step, current_Total_Loss,IF(Iterations[[#This Row],[Step]] &gt; current_step, "",Iterations[[#This Row],[Total Loss]]))</f>
        <v/>
      </c>
      <c r="M95" s="6" t="s">
        <v>27</v>
      </c>
      <c r="N95" s="2" t="str">
        <f>IF(Iterations[[#This Row],[Step]] =current_step, current_Grad_a,IF(Iterations[[#This Row],[Step]] &gt; current_step, "",Iterations[[#This Row],[Grad_a]]))</f>
        <v/>
      </c>
      <c r="O95" s="2" t="str">
        <f>IF(Iterations[[#This Row],[Step]] =current_step, current_Grad_b,IF(Iterations[[#This Row],[Step]] &gt; current_step, "",Iterations[[#This Row],[Grad_b]]))</f>
        <v/>
      </c>
      <c r="P95" s="2" t="str">
        <f>IF(Iterations[[#This Row],[Step]] =current_step, current_Grad_c,IF(Iterations[[#This Row],[Step]] &gt; current_step, "",Iterations[[#This Row],[Grad_c]]))</f>
        <v/>
      </c>
      <c r="Q95" s="2" t="str">
        <f>IF(Iterations[[#This Row],[Step]] =current_step, current_Grad_d,IF(Iterations[[#This Row],[Step]] &gt; current_step, "",Iterations[[#This Row],[Grad_d]]))</f>
        <v/>
      </c>
      <c r="R95" s="2" t="str">
        <f>IF(Iterations[[#This Row],[Step]] =current_step, current_Grad_e,IF(Iterations[[#This Row],[Step]] &gt; current_step, "",Iterations[[#This Row],[Grad_e]]))</f>
        <v/>
      </c>
    </row>
    <row r="96" spans="6:18" x14ac:dyDescent="0.3">
      <c r="F96" s="2">
        <f t="shared" si="3"/>
        <v>79</v>
      </c>
      <c r="G96" s="2" t="str">
        <f>IF(Iterations[[#This Row],[Step]] =current_step, current_a,IF(Iterations[[#This Row],[Step]] &gt; current_step, "",Iterations[[#This Row],[a]]))</f>
        <v/>
      </c>
      <c r="H96" s="2" t="str">
        <f>IF(Iterations[[#This Row],[Step]] =current_step, current_b,IF(Iterations[[#This Row],[Step]] &gt; current_step, "",Iterations[[#This Row],[b]]))</f>
        <v/>
      </c>
      <c r="I96" s="2" t="str">
        <f>IF(Iterations[[#This Row],[Step]] =current_step, current_c,IF(Iterations[[#This Row],[Step]] &gt; current_step, "",Iterations[[#This Row],[c]]))</f>
        <v/>
      </c>
      <c r="J96" s="2" t="str">
        <f>IF(Iterations[[#This Row],[Step]] =current_step, current_d,IF(Iterations[[#This Row],[Step]] &gt; current_step, "",Iterations[[#This Row],[d]]))</f>
        <v/>
      </c>
      <c r="K96" s="2" t="str">
        <f>IF(Iterations[[#This Row],[Step]] =current_step, current_e,IF(Iterations[[#This Row],[Step]] &gt; current_step, "",Iterations[[#This Row],[e]]))</f>
        <v/>
      </c>
      <c r="L96" s="2" t="str">
        <f>IF(Iterations[[#This Row],[Step]] =current_step, current_Total_Loss,IF(Iterations[[#This Row],[Step]] &gt; current_step, "",Iterations[[#This Row],[Total Loss]]))</f>
        <v/>
      </c>
      <c r="M96" s="6" t="s">
        <v>27</v>
      </c>
      <c r="N96" s="2" t="str">
        <f>IF(Iterations[[#This Row],[Step]] =current_step, current_Grad_a,IF(Iterations[[#This Row],[Step]] &gt; current_step, "",Iterations[[#This Row],[Grad_a]]))</f>
        <v/>
      </c>
      <c r="O96" s="2" t="str">
        <f>IF(Iterations[[#This Row],[Step]] =current_step, current_Grad_b,IF(Iterations[[#This Row],[Step]] &gt; current_step, "",Iterations[[#This Row],[Grad_b]]))</f>
        <v/>
      </c>
      <c r="P96" s="2" t="str">
        <f>IF(Iterations[[#This Row],[Step]] =current_step, current_Grad_c,IF(Iterations[[#This Row],[Step]] &gt; current_step, "",Iterations[[#This Row],[Grad_c]]))</f>
        <v/>
      </c>
      <c r="Q96" s="2" t="str">
        <f>IF(Iterations[[#This Row],[Step]] =current_step, current_Grad_d,IF(Iterations[[#This Row],[Step]] &gt; current_step, "",Iterations[[#This Row],[Grad_d]]))</f>
        <v/>
      </c>
      <c r="R96" s="2" t="str">
        <f>IF(Iterations[[#This Row],[Step]] =current_step, current_Grad_e,IF(Iterations[[#This Row],[Step]] &gt; current_step, "",Iterations[[#This Row],[Grad_e]]))</f>
        <v/>
      </c>
    </row>
    <row r="97" spans="6:18" x14ac:dyDescent="0.3">
      <c r="F97" s="2">
        <f t="shared" si="3"/>
        <v>80</v>
      </c>
      <c r="G97" s="2" t="str">
        <f>IF(Iterations[[#This Row],[Step]] =current_step, current_a,IF(Iterations[[#This Row],[Step]] &gt; current_step, "",Iterations[[#This Row],[a]]))</f>
        <v/>
      </c>
      <c r="H97" s="2" t="str">
        <f>IF(Iterations[[#This Row],[Step]] =current_step, current_b,IF(Iterations[[#This Row],[Step]] &gt; current_step, "",Iterations[[#This Row],[b]]))</f>
        <v/>
      </c>
      <c r="I97" s="2" t="str">
        <f>IF(Iterations[[#This Row],[Step]] =current_step, current_c,IF(Iterations[[#This Row],[Step]] &gt; current_step, "",Iterations[[#This Row],[c]]))</f>
        <v/>
      </c>
      <c r="J97" s="2" t="str">
        <f>IF(Iterations[[#This Row],[Step]] =current_step, current_d,IF(Iterations[[#This Row],[Step]] &gt; current_step, "",Iterations[[#This Row],[d]]))</f>
        <v/>
      </c>
      <c r="K97" s="2" t="str">
        <f>IF(Iterations[[#This Row],[Step]] =current_step, current_e,IF(Iterations[[#This Row],[Step]] &gt; current_step, "",Iterations[[#This Row],[e]]))</f>
        <v/>
      </c>
      <c r="L97" s="2" t="str">
        <f>IF(Iterations[[#This Row],[Step]] =current_step, current_Total_Loss,IF(Iterations[[#This Row],[Step]] &gt; current_step, "",Iterations[[#This Row],[Total Loss]]))</f>
        <v/>
      </c>
      <c r="M97" s="6" t="s">
        <v>27</v>
      </c>
      <c r="N97" s="2" t="str">
        <f>IF(Iterations[[#This Row],[Step]] =current_step, current_Grad_a,IF(Iterations[[#This Row],[Step]] &gt; current_step, "",Iterations[[#This Row],[Grad_a]]))</f>
        <v/>
      </c>
      <c r="O97" s="2" t="str">
        <f>IF(Iterations[[#This Row],[Step]] =current_step, current_Grad_b,IF(Iterations[[#This Row],[Step]] &gt; current_step, "",Iterations[[#This Row],[Grad_b]]))</f>
        <v/>
      </c>
      <c r="P97" s="2" t="str">
        <f>IF(Iterations[[#This Row],[Step]] =current_step, current_Grad_c,IF(Iterations[[#This Row],[Step]] &gt; current_step, "",Iterations[[#This Row],[Grad_c]]))</f>
        <v/>
      </c>
      <c r="Q97" s="2" t="str">
        <f>IF(Iterations[[#This Row],[Step]] =current_step, current_Grad_d,IF(Iterations[[#This Row],[Step]] &gt; current_step, "",Iterations[[#This Row],[Grad_d]]))</f>
        <v/>
      </c>
      <c r="R97" s="2" t="str">
        <f>IF(Iterations[[#This Row],[Step]] =current_step, current_Grad_e,IF(Iterations[[#This Row],[Step]] &gt; current_step, "",Iterations[[#This Row],[Grad_e]]))</f>
        <v/>
      </c>
    </row>
    <row r="98" spans="6:18" x14ac:dyDescent="0.3">
      <c r="F98" s="2">
        <f t="shared" si="3"/>
        <v>81</v>
      </c>
      <c r="G98" s="2" t="str">
        <f>IF(Iterations[[#This Row],[Step]] =current_step, current_a,IF(Iterations[[#This Row],[Step]] &gt; current_step, "",Iterations[[#This Row],[a]]))</f>
        <v/>
      </c>
      <c r="H98" s="2" t="str">
        <f>IF(Iterations[[#This Row],[Step]] =current_step, current_b,IF(Iterations[[#This Row],[Step]] &gt; current_step, "",Iterations[[#This Row],[b]]))</f>
        <v/>
      </c>
      <c r="I98" s="2" t="str">
        <f>IF(Iterations[[#This Row],[Step]] =current_step, current_c,IF(Iterations[[#This Row],[Step]] &gt; current_step, "",Iterations[[#This Row],[c]]))</f>
        <v/>
      </c>
      <c r="J98" s="2" t="str">
        <f>IF(Iterations[[#This Row],[Step]] =current_step, current_d,IF(Iterations[[#This Row],[Step]] &gt; current_step, "",Iterations[[#This Row],[d]]))</f>
        <v/>
      </c>
      <c r="K98" s="2" t="str">
        <f>IF(Iterations[[#This Row],[Step]] =current_step, current_e,IF(Iterations[[#This Row],[Step]] &gt; current_step, "",Iterations[[#This Row],[e]]))</f>
        <v/>
      </c>
      <c r="L98" s="2" t="str">
        <f>IF(Iterations[[#This Row],[Step]] =current_step, current_Total_Loss,IF(Iterations[[#This Row],[Step]] &gt; current_step, "",Iterations[[#This Row],[Total Loss]]))</f>
        <v/>
      </c>
      <c r="M98" s="6" t="s">
        <v>27</v>
      </c>
      <c r="N98" s="2" t="str">
        <f>IF(Iterations[[#This Row],[Step]] =current_step, current_Grad_a,IF(Iterations[[#This Row],[Step]] &gt; current_step, "",Iterations[[#This Row],[Grad_a]]))</f>
        <v/>
      </c>
      <c r="O98" s="2" t="str">
        <f>IF(Iterations[[#This Row],[Step]] =current_step, current_Grad_b,IF(Iterations[[#This Row],[Step]] &gt; current_step, "",Iterations[[#This Row],[Grad_b]]))</f>
        <v/>
      </c>
      <c r="P98" s="2" t="str">
        <f>IF(Iterations[[#This Row],[Step]] =current_step, current_Grad_c,IF(Iterations[[#This Row],[Step]] &gt; current_step, "",Iterations[[#This Row],[Grad_c]]))</f>
        <v/>
      </c>
      <c r="Q98" s="2" t="str">
        <f>IF(Iterations[[#This Row],[Step]] =current_step, current_Grad_d,IF(Iterations[[#This Row],[Step]] &gt; current_step, "",Iterations[[#This Row],[Grad_d]]))</f>
        <v/>
      </c>
      <c r="R98" s="2" t="str">
        <f>IF(Iterations[[#This Row],[Step]] =current_step, current_Grad_e,IF(Iterations[[#This Row],[Step]] &gt; current_step, "",Iterations[[#This Row],[Grad_e]]))</f>
        <v/>
      </c>
    </row>
    <row r="99" spans="6:18" x14ac:dyDescent="0.3">
      <c r="F99" s="2">
        <f t="shared" si="3"/>
        <v>82</v>
      </c>
      <c r="G99" s="2" t="str">
        <f>IF(Iterations[[#This Row],[Step]] =current_step, current_a,IF(Iterations[[#This Row],[Step]] &gt; current_step, "",Iterations[[#This Row],[a]]))</f>
        <v/>
      </c>
      <c r="H99" s="2" t="str">
        <f>IF(Iterations[[#This Row],[Step]] =current_step, current_b,IF(Iterations[[#This Row],[Step]] &gt; current_step, "",Iterations[[#This Row],[b]]))</f>
        <v/>
      </c>
      <c r="I99" s="2" t="str">
        <f>IF(Iterations[[#This Row],[Step]] =current_step, current_c,IF(Iterations[[#This Row],[Step]] &gt; current_step, "",Iterations[[#This Row],[c]]))</f>
        <v/>
      </c>
      <c r="J99" s="2" t="str">
        <f>IF(Iterations[[#This Row],[Step]] =current_step, current_d,IF(Iterations[[#This Row],[Step]] &gt; current_step, "",Iterations[[#This Row],[d]]))</f>
        <v/>
      </c>
      <c r="K99" s="2" t="str">
        <f>IF(Iterations[[#This Row],[Step]] =current_step, current_e,IF(Iterations[[#This Row],[Step]] &gt; current_step, "",Iterations[[#This Row],[e]]))</f>
        <v/>
      </c>
      <c r="L99" s="2" t="str">
        <f>IF(Iterations[[#This Row],[Step]] =current_step, current_Total_Loss,IF(Iterations[[#This Row],[Step]] &gt; current_step, "",Iterations[[#This Row],[Total Loss]]))</f>
        <v/>
      </c>
      <c r="M99" s="6" t="s">
        <v>27</v>
      </c>
      <c r="N99" s="2" t="str">
        <f>IF(Iterations[[#This Row],[Step]] =current_step, current_Grad_a,IF(Iterations[[#This Row],[Step]] &gt; current_step, "",Iterations[[#This Row],[Grad_a]]))</f>
        <v/>
      </c>
      <c r="O99" s="2" t="str">
        <f>IF(Iterations[[#This Row],[Step]] =current_step, current_Grad_b,IF(Iterations[[#This Row],[Step]] &gt; current_step, "",Iterations[[#This Row],[Grad_b]]))</f>
        <v/>
      </c>
      <c r="P99" s="2" t="str">
        <f>IF(Iterations[[#This Row],[Step]] =current_step, current_Grad_c,IF(Iterations[[#This Row],[Step]] &gt; current_step, "",Iterations[[#This Row],[Grad_c]]))</f>
        <v/>
      </c>
      <c r="Q99" s="2" t="str">
        <f>IF(Iterations[[#This Row],[Step]] =current_step, current_Grad_d,IF(Iterations[[#This Row],[Step]] &gt; current_step, "",Iterations[[#This Row],[Grad_d]]))</f>
        <v/>
      </c>
      <c r="R99" s="2" t="str">
        <f>IF(Iterations[[#This Row],[Step]] =current_step, current_Grad_e,IF(Iterations[[#This Row],[Step]] &gt; current_step, "",Iterations[[#This Row],[Grad_e]]))</f>
        <v/>
      </c>
    </row>
    <row r="100" spans="6:18" x14ac:dyDescent="0.3">
      <c r="F100" s="2">
        <f t="shared" si="3"/>
        <v>83</v>
      </c>
      <c r="G100" s="2" t="str">
        <f>IF(Iterations[[#This Row],[Step]] =current_step, current_a,IF(Iterations[[#This Row],[Step]] &gt; current_step, "",Iterations[[#This Row],[a]]))</f>
        <v/>
      </c>
      <c r="H100" s="2" t="str">
        <f>IF(Iterations[[#This Row],[Step]] =current_step, current_b,IF(Iterations[[#This Row],[Step]] &gt; current_step, "",Iterations[[#This Row],[b]]))</f>
        <v/>
      </c>
      <c r="I100" s="2" t="str">
        <f>IF(Iterations[[#This Row],[Step]] =current_step, current_c,IF(Iterations[[#This Row],[Step]] &gt; current_step, "",Iterations[[#This Row],[c]]))</f>
        <v/>
      </c>
      <c r="J100" s="2" t="str">
        <f>IF(Iterations[[#This Row],[Step]] =current_step, current_d,IF(Iterations[[#This Row],[Step]] &gt; current_step, "",Iterations[[#This Row],[d]]))</f>
        <v/>
      </c>
      <c r="K100" s="2" t="str">
        <f>IF(Iterations[[#This Row],[Step]] =current_step, current_e,IF(Iterations[[#This Row],[Step]] &gt; current_step, "",Iterations[[#This Row],[e]]))</f>
        <v/>
      </c>
      <c r="L100" s="2" t="str">
        <f>IF(Iterations[[#This Row],[Step]] =current_step, current_Total_Loss,IF(Iterations[[#This Row],[Step]] &gt; current_step, "",Iterations[[#This Row],[Total Loss]]))</f>
        <v/>
      </c>
      <c r="M100" s="6" t="s">
        <v>27</v>
      </c>
      <c r="N100" s="2" t="str">
        <f>IF(Iterations[[#This Row],[Step]] =current_step, current_Grad_a,IF(Iterations[[#This Row],[Step]] &gt; current_step, "",Iterations[[#This Row],[Grad_a]]))</f>
        <v/>
      </c>
      <c r="O100" s="2" t="str">
        <f>IF(Iterations[[#This Row],[Step]] =current_step, current_Grad_b,IF(Iterations[[#This Row],[Step]] &gt; current_step, "",Iterations[[#This Row],[Grad_b]]))</f>
        <v/>
      </c>
      <c r="P100" s="2" t="str">
        <f>IF(Iterations[[#This Row],[Step]] =current_step, current_Grad_c,IF(Iterations[[#This Row],[Step]] &gt; current_step, "",Iterations[[#This Row],[Grad_c]]))</f>
        <v/>
      </c>
      <c r="Q100" s="2" t="str">
        <f>IF(Iterations[[#This Row],[Step]] =current_step, current_Grad_d,IF(Iterations[[#This Row],[Step]] &gt; current_step, "",Iterations[[#This Row],[Grad_d]]))</f>
        <v/>
      </c>
      <c r="R100" s="2" t="str">
        <f>IF(Iterations[[#This Row],[Step]] =current_step, current_Grad_e,IF(Iterations[[#This Row],[Step]] &gt; current_step, "",Iterations[[#This Row],[Grad_e]]))</f>
        <v/>
      </c>
    </row>
    <row r="101" spans="6:18" x14ac:dyDescent="0.3">
      <c r="F101" s="2">
        <f t="shared" si="3"/>
        <v>84</v>
      </c>
      <c r="G101" s="2" t="str">
        <f>IF(Iterations[[#This Row],[Step]] =current_step, current_a,IF(Iterations[[#This Row],[Step]] &gt; current_step, "",Iterations[[#This Row],[a]]))</f>
        <v/>
      </c>
      <c r="H101" s="2" t="str">
        <f>IF(Iterations[[#This Row],[Step]] =current_step, current_b,IF(Iterations[[#This Row],[Step]] &gt; current_step, "",Iterations[[#This Row],[b]]))</f>
        <v/>
      </c>
      <c r="I101" s="2" t="str">
        <f>IF(Iterations[[#This Row],[Step]] =current_step, current_c,IF(Iterations[[#This Row],[Step]] &gt; current_step, "",Iterations[[#This Row],[c]]))</f>
        <v/>
      </c>
      <c r="J101" s="2" t="str">
        <f>IF(Iterations[[#This Row],[Step]] =current_step, current_d,IF(Iterations[[#This Row],[Step]] &gt; current_step, "",Iterations[[#This Row],[d]]))</f>
        <v/>
      </c>
      <c r="K101" s="2" t="str">
        <f>IF(Iterations[[#This Row],[Step]] =current_step, current_e,IF(Iterations[[#This Row],[Step]] &gt; current_step, "",Iterations[[#This Row],[e]]))</f>
        <v/>
      </c>
      <c r="L101" s="2" t="str">
        <f>IF(Iterations[[#This Row],[Step]] =current_step, current_Total_Loss,IF(Iterations[[#This Row],[Step]] &gt; current_step, "",Iterations[[#This Row],[Total Loss]]))</f>
        <v/>
      </c>
      <c r="M101" s="6" t="s">
        <v>27</v>
      </c>
      <c r="N101" s="2" t="str">
        <f>IF(Iterations[[#This Row],[Step]] =current_step, current_Grad_a,IF(Iterations[[#This Row],[Step]] &gt; current_step, "",Iterations[[#This Row],[Grad_a]]))</f>
        <v/>
      </c>
      <c r="O101" s="2" t="str">
        <f>IF(Iterations[[#This Row],[Step]] =current_step, current_Grad_b,IF(Iterations[[#This Row],[Step]] &gt; current_step, "",Iterations[[#This Row],[Grad_b]]))</f>
        <v/>
      </c>
      <c r="P101" s="2" t="str">
        <f>IF(Iterations[[#This Row],[Step]] =current_step, current_Grad_c,IF(Iterations[[#This Row],[Step]] &gt; current_step, "",Iterations[[#This Row],[Grad_c]]))</f>
        <v/>
      </c>
      <c r="Q101" s="2" t="str">
        <f>IF(Iterations[[#This Row],[Step]] =current_step, current_Grad_d,IF(Iterations[[#This Row],[Step]] &gt; current_step, "",Iterations[[#This Row],[Grad_d]]))</f>
        <v/>
      </c>
      <c r="R101" s="2" t="str">
        <f>IF(Iterations[[#This Row],[Step]] =current_step, current_Grad_e,IF(Iterations[[#This Row],[Step]] &gt; current_step, "",Iterations[[#This Row],[Grad_e]]))</f>
        <v/>
      </c>
    </row>
    <row r="102" spans="6:18" x14ac:dyDescent="0.3">
      <c r="F102" s="2">
        <f t="shared" si="3"/>
        <v>85</v>
      </c>
      <c r="G102" s="2" t="str">
        <f>IF(Iterations[[#This Row],[Step]] =current_step, current_a,IF(Iterations[[#This Row],[Step]] &gt; current_step, "",Iterations[[#This Row],[a]]))</f>
        <v/>
      </c>
      <c r="H102" s="2" t="str">
        <f>IF(Iterations[[#This Row],[Step]] =current_step, current_b,IF(Iterations[[#This Row],[Step]] &gt; current_step, "",Iterations[[#This Row],[b]]))</f>
        <v/>
      </c>
      <c r="I102" s="2" t="str">
        <f>IF(Iterations[[#This Row],[Step]] =current_step, current_c,IF(Iterations[[#This Row],[Step]] &gt; current_step, "",Iterations[[#This Row],[c]]))</f>
        <v/>
      </c>
      <c r="J102" s="2" t="str">
        <f>IF(Iterations[[#This Row],[Step]] =current_step, current_d,IF(Iterations[[#This Row],[Step]] &gt; current_step, "",Iterations[[#This Row],[d]]))</f>
        <v/>
      </c>
      <c r="K102" s="2" t="str">
        <f>IF(Iterations[[#This Row],[Step]] =current_step, current_e,IF(Iterations[[#This Row],[Step]] &gt; current_step, "",Iterations[[#This Row],[e]]))</f>
        <v/>
      </c>
      <c r="L102" s="2" t="str">
        <f>IF(Iterations[[#This Row],[Step]] =current_step, current_Total_Loss,IF(Iterations[[#This Row],[Step]] &gt; current_step, "",Iterations[[#This Row],[Total Loss]]))</f>
        <v/>
      </c>
      <c r="M102" s="6" t="s">
        <v>27</v>
      </c>
      <c r="N102" s="2" t="str">
        <f>IF(Iterations[[#This Row],[Step]] =current_step, current_Grad_a,IF(Iterations[[#This Row],[Step]] &gt; current_step, "",Iterations[[#This Row],[Grad_a]]))</f>
        <v/>
      </c>
      <c r="O102" s="2" t="str">
        <f>IF(Iterations[[#This Row],[Step]] =current_step, current_Grad_b,IF(Iterations[[#This Row],[Step]] &gt; current_step, "",Iterations[[#This Row],[Grad_b]]))</f>
        <v/>
      </c>
      <c r="P102" s="2" t="str">
        <f>IF(Iterations[[#This Row],[Step]] =current_step, current_Grad_c,IF(Iterations[[#This Row],[Step]] &gt; current_step, "",Iterations[[#This Row],[Grad_c]]))</f>
        <v/>
      </c>
      <c r="Q102" s="2" t="str">
        <f>IF(Iterations[[#This Row],[Step]] =current_step, current_Grad_d,IF(Iterations[[#This Row],[Step]] &gt; current_step, "",Iterations[[#This Row],[Grad_d]]))</f>
        <v/>
      </c>
      <c r="R102" s="2" t="str">
        <f>IF(Iterations[[#This Row],[Step]] =current_step, current_Grad_e,IF(Iterations[[#This Row],[Step]] &gt; current_step, "",Iterations[[#This Row],[Grad_e]]))</f>
        <v/>
      </c>
    </row>
    <row r="103" spans="6:18" x14ac:dyDescent="0.3">
      <c r="F103" s="2">
        <f t="shared" si="3"/>
        <v>86</v>
      </c>
      <c r="G103" s="2" t="str">
        <f>IF(Iterations[[#This Row],[Step]] =current_step, current_a,IF(Iterations[[#This Row],[Step]] &gt; current_step, "",Iterations[[#This Row],[a]]))</f>
        <v/>
      </c>
      <c r="H103" s="2" t="str">
        <f>IF(Iterations[[#This Row],[Step]] =current_step, current_b,IF(Iterations[[#This Row],[Step]] &gt; current_step, "",Iterations[[#This Row],[b]]))</f>
        <v/>
      </c>
      <c r="I103" s="2" t="str">
        <f>IF(Iterations[[#This Row],[Step]] =current_step, current_c,IF(Iterations[[#This Row],[Step]] &gt; current_step, "",Iterations[[#This Row],[c]]))</f>
        <v/>
      </c>
      <c r="J103" s="2" t="str">
        <f>IF(Iterations[[#This Row],[Step]] =current_step, current_d,IF(Iterations[[#This Row],[Step]] &gt; current_step, "",Iterations[[#This Row],[d]]))</f>
        <v/>
      </c>
      <c r="K103" s="2" t="str">
        <f>IF(Iterations[[#This Row],[Step]] =current_step, current_e,IF(Iterations[[#This Row],[Step]] &gt; current_step, "",Iterations[[#This Row],[e]]))</f>
        <v/>
      </c>
      <c r="L103" s="2" t="str">
        <f>IF(Iterations[[#This Row],[Step]] =current_step, current_Total_Loss,IF(Iterations[[#This Row],[Step]] &gt; current_step, "",Iterations[[#This Row],[Total Loss]]))</f>
        <v/>
      </c>
      <c r="M103" s="6" t="s">
        <v>27</v>
      </c>
      <c r="N103" s="2" t="str">
        <f>IF(Iterations[[#This Row],[Step]] =current_step, current_Grad_a,IF(Iterations[[#This Row],[Step]] &gt; current_step, "",Iterations[[#This Row],[Grad_a]]))</f>
        <v/>
      </c>
      <c r="O103" s="2" t="str">
        <f>IF(Iterations[[#This Row],[Step]] =current_step, current_Grad_b,IF(Iterations[[#This Row],[Step]] &gt; current_step, "",Iterations[[#This Row],[Grad_b]]))</f>
        <v/>
      </c>
      <c r="P103" s="2" t="str">
        <f>IF(Iterations[[#This Row],[Step]] =current_step, current_Grad_c,IF(Iterations[[#This Row],[Step]] &gt; current_step, "",Iterations[[#This Row],[Grad_c]]))</f>
        <v/>
      </c>
      <c r="Q103" s="2" t="str">
        <f>IF(Iterations[[#This Row],[Step]] =current_step, current_Grad_d,IF(Iterations[[#This Row],[Step]] &gt; current_step, "",Iterations[[#This Row],[Grad_d]]))</f>
        <v/>
      </c>
      <c r="R103" s="2" t="str">
        <f>IF(Iterations[[#This Row],[Step]] =current_step, current_Grad_e,IF(Iterations[[#This Row],[Step]] &gt; current_step, "",Iterations[[#This Row],[Grad_e]]))</f>
        <v/>
      </c>
    </row>
    <row r="104" spans="6:18" x14ac:dyDescent="0.3">
      <c r="F104" s="2">
        <f t="shared" si="3"/>
        <v>87</v>
      </c>
      <c r="G104" s="2" t="str">
        <f>IF(Iterations[[#This Row],[Step]] =current_step, current_a,IF(Iterations[[#This Row],[Step]] &gt; current_step, "",Iterations[[#This Row],[a]]))</f>
        <v/>
      </c>
      <c r="H104" s="2" t="str">
        <f>IF(Iterations[[#This Row],[Step]] =current_step, current_b,IF(Iterations[[#This Row],[Step]] &gt; current_step, "",Iterations[[#This Row],[b]]))</f>
        <v/>
      </c>
      <c r="I104" s="2" t="str">
        <f>IF(Iterations[[#This Row],[Step]] =current_step, current_c,IF(Iterations[[#This Row],[Step]] &gt; current_step, "",Iterations[[#This Row],[c]]))</f>
        <v/>
      </c>
      <c r="J104" s="2" t="str">
        <f>IF(Iterations[[#This Row],[Step]] =current_step, current_d,IF(Iterations[[#This Row],[Step]] &gt; current_step, "",Iterations[[#This Row],[d]]))</f>
        <v/>
      </c>
      <c r="K104" s="2" t="str">
        <f>IF(Iterations[[#This Row],[Step]] =current_step, current_e,IF(Iterations[[#This Row],[Step]] &gt; current_step, "",Iterations[[#This Row],[e]]))</f>
        <v/>
      </c>
      <c r="L104" s="2" t="str">
        <f>IF(Iterations[[#This Row],[Step]] =current_step, current_Total_Loss,IF(Iterations[[#This Row],[Step]] &gt; current_step, "",Iterations[[#This Row],[Total Loss]]))</f>
        <v/>
      </c>
      <c r="M104" s="6" t="s">
        <v>27</v>
      </c>
      <c r="N104" s="2" t="str">
        <f>IF(Iterations[[#This Row],[Step]] =current_step, current_Grad_a,IF(Iterations[[#This Row],[Step]] &gt; current_step, "",Iterations[[#This Row],[Grad_a]]))</f>
        <v/>
      </c>
      <c r="O104" s="2" t="str">
        <f>IF(Iterations[[#This Row],[Step]] =current_step, current_Grad_b,IF(Iterations[[#This Row],[Step]] &gt; current_step, "",Iterations[[#This Row],[Grad_b]]))</f>
        <v/>
      </c>
      <c r="P104" s="2" t="str">
        <f>IF(Iterations[[#This Row],[Step]] =current_step, current_Grad_c,IF(Iterations[[#This Row],[Step]] &gt; current_step, "",Iterations[[#This Row],[Grad_c]]))</f>
        <v/>
      </c>
      <c r="Q104" s="2" t="str">
        <f>IF(Iterations[[#This Row],[Step]] =current_step, current_Grad_d,IF(Iterations[[#This Row],[Step]] &gt; current_step, "",Iterations[[#This Row],[Grad_d]]))</f>
        <v/>
      </c>
      <c r="R104" s="2" t="str">
        <f>IF(Iterations[[#This Row],[Step]] =current_step, current_Grad_e,IF(Iterations[[#This Row],[Step]] &gt; current_step, "",Iterations[[#This Row],[Grad_e]]))</f>
        <v/>
      </c>
    </row>
    <row r="105" spans="6:18" x14ac:dyDescent="0.3">
      <c r="F105" s="2">
        <f t="shared" si="3"/>
        <v>88</v>
      </c>
      <c r="G105" s="2" t="str">
        <f>IF(Iterations[[#This Row],[Step]] =current_step, current_a,IF(Iterations[[#This Row],[Step]] &gt; current_step, "",Iterations[[#This Row],[a]]))</f>
        <v/>
      </c>
      <c r="H105" s="2" t="str">
        <f>IF(Iterations[[#This Row],[Step]] =current_step, current_b,IF(Iterations[[#This Row],[Step]] &gt; current_step, "",Iterations[[#This Row],[b]]))</f>
        <v/>
      </c>
      <c r="I105" s="2" t="str">
        <f>IF(Iterations[[#This Row],[Step]] =current_step, current_c,IF(Iterations[[#This Row],[Step]] &gt; current_step, "",Iterations[[#This Row],[c]]))</f>
        <v/>
      </c>
      <c r="J105" s="2" t="str">
        <f>IF(Iterations[[#This Row],[Step]] =current_step, current_d,IF(Iterations[[#This Row],[Step]] &gt; current_step, "",Iterations[[#This Row],[d]]))</f>
        <v/>
      </c>
      <c r="K105" s="2" t="str">
        <f>IF(Iterations[[#This Row],[Step]] =current_step, current_e,IF(Iterations[[#This Row],[Step]] &gt; current_step, "",Iterations[[#This Row],[e]]))</f>
        <v/>
      </c>
      <c r="L105" s="2" t="str">
        <f>IF(Iterations[[#This Row],[Step]] =current_step, current_Total_Loss,IF(Iterations[[#This Row],[Step]] &gt; current_step, "",Iterations[[#This Row],[Total Loss]]))</f>
        <v/>
      </c>
      <c r="M105" s="6" t="s">
        <v>27</v>
      </c>
      <c r="N105" s="2" t="str">
        <f>IF(Iterations[[#This Row],[Step]] =current_step, current_Grad_a,IF(Iterations[[#This Row],[Step]] &gt; current_step, "",Iterations[[#This Row],[Grad_a]]))</f>
        <v/>
      </c>
      <c r="O105" s="2" t="str">
        <f>IF(Iterations[[#This Row],[Step]] =current_step, current_Grad_b,IF(Iterations[[#This Row],[Step]] &gt; current_step, "",Iterations[[#This Row],[Grad_b]]))</f>
        <v/>
      </c>
      <c r="P105" s="2" t="str">
        <f>IF(Iterations[[#This Row],[Step]] =current_step, current_Grad_c,IF(Iterations[[#This Row],[Step]] &gt; current_step, "",Iterations[[#This Row],[Grad_c]]))</f>
        <v/>
      </c>
      <c r="Q105" s="2" t="str">
        <f>IF(Iterations[[#This Row],[Step]] =current_step, current_Grad_d,IF(Iterations[[#This Row],[Step]] &gt; current_step, "",Iterations[[#This Row],[Grad_d]]))</f>
        <v/>
      </c>
      <c r="R105" s="2" t="str">
        <f>IF(Iterations[[#This Row],[Step]] =current_step, current_Grad_e,IF(Iterations[[#This Row],[Step]] &gt; current_step, "",Iterations[[#This Row],[Grad_e]]))</f>
        <v/>
      </c>
    </row>
    <row r="106" spans="6:18" x14ac:dyDescent="0.3">
      <c r="F106" s="2">
        <f t="shared" si="3"/>
        <v>89</v>
      </c>
      <c r="G106" s="2" t="str">
        <f>IF(Iterations[[#This Row],[Step]] =current_step, current_a,IF(Iterations[[#This Row],[Step]] &gt; current_step, "",Iterations[[#This Row],[a]]))</f>
        <v/>
      </c>
      <c r="H106" s="2" t="str">
        <f>IF(Iterations[[#This Row],[Step]] =current_step, current_b,IF(Iterations[[#This Row],[Step]] &gt; current_step, "",Iterations[[#This Row],[b]]))</f>
        <v/>
      </c>
      <c r="I106" s="2" t="str">
        <f>IF(Iterations[[#This Row],[Step]] =current_step, current_c,IF(Iterations[[#This Row],[Step]] &gt; current_step, "",Iterations[[#This Row],[c]]))</f>
        <v/>
      </c>
      <c r="J106" s="2" t="str">
        <f>IF(Iterations[[#This Row],[Step]] =current_step, current_d,IF(Iterations[[#This Row],[Step]] &gt; current_step, "",Iterations[[#This Row],[d]]))</f>
        <v/>
      </c>
      <c r="K106" s="2" t="str">
        <f>IF(Iterations[[#This Row],[Step]] =current_step, current_e,IF(Iterations[[#This Row],[Step]] &gt; current_step, "",Iterations[[#This Row],[e]]))</f>
        <v/>
      </c>
      <c r="L106" s="2" t="str">
        <f>IF(Iterations[[#This Row],[Step]] =current_step, current_Total_Loss,IF(Iterations[[#This Row],[Step]] &gt; current_step, "",Iterations[[#This Row],[Total Loss]]))</f>
        <v/>
      </c>
      <c r="M106" s="6" t="s">
        <v>27</v>
      </c>
      <c r="N106" s="2" t="str">
        <f>IF(Iterations[[#This Row],[Step]] =current_step, current_Grad_a,IF(Iterations[[#This Row],[Step]] &gt; current_step, "",Iterations[[#This Row],[Grad_a]]))</f>
        <v/>
      </c>
      <c r="O106" s="2" t="str">
        <f>IF(Iterations[[#This Row],[Step]] =current_step, current_Grad_b,IF(Iterations[[#This Row],[Step]] &gt; current_step, "",Iterations[[#This Row],[Grad_b]]))</f>
        <v/>
      </c>
      <c r="P106" s="2" t="str">
        <f>IF(Iterations[[#This Row],[Step]] =current_step, current_Grad_c,IF(Iterations[[#This Row],[Step]] &gt; current_step, "",Iterations[[#This Row],[Grad_c]]))</f>
        <v/>
      </c>
      <c r="Q106" s="2" t="str">
        <f>IF(Iterations[[#This Row],[Step]] =current_step, current_Grad_d,IF(Iterations[[#This Row],[Step]] &gt; current_step, "",Iterations[[#This Row],[Grad_d]]))</f>
        <v/>
      </c>
      <c r="R106" s="2" t="str">
        <f>IF(Iterations[[#This Row],[Step]] =current_step, current_Grad_e,IF(Iterations[[#This Row],[Step]] &gt; current_step, "",Iterations[[#This Row],[Grad_e]]))</f>
        <v/>
      </c>
    </row>
    <row r="107" spans="6:18" x14ac:dyDescent="0.3">
      <c r="F107" s="2">
        <f t="shared" si="3"/>
        <v>90</v>
      </c>
      <c r="G107" s="2" t="str">
        <f>IF(Iterations[[#This Row],[Step]] =current_step, current_a,IF(Iterations[[#This Row],[Step]] &gt; current_step, "",Iterations[[#This Row],[a]]))</f>
        <v/>
      </c>
      <c r="H107" s="2" t="str">
        <f>IF(Iterations[[#This Row],[Step]] =current_step, current_b,IF(Iterations[[#This Row],[Step]] &gt; current_step, "",Iterations[[#This Row],[b]]))</f>
        <v/>
      </c>
      <c r="I107" s="2" t="str">
        <f>IF(Iterations[[#This Row],[Step]] =current_step, current_c,IF(Iterations[[#This Row],[Step]] &gt; current_step, "",Iterations[[#This Row],[c]]))</f>
        <v/>
      </c>
      <c r="J107" s="2" t="str">
        <f>IF(Iterations[[#This Row],[Step]] =current_step, current_d,IF(Iterations[[#This Row],[Step]] &gt; current_step, "",Iterations[[#This Row],[d]]))</f>
        <v/>
      </c>
      <c r="K107" s="2" t="str">
        <f>IF(Iterations[[#This Row],[Step]] =current_step, current_e,IF(Iterations[[#This Row],[Step]] &gt; current_step, "",Iterations[[#This Row],[e]]))</f>
        <v/>
      </c>
      <c r="L107" s="2" t="str">
        <f>IF(Iterations[[#This Row],[Step]] =current_step, current_Total_Loss,IF(Iterations[[#This Row],[Step]] &gt; current_step, "",Iterations[[#This Row],[Total Loss]]))</f>
        <v/>
      </c>
      <c r="M107" s="6" t="s">
        <v>27</v>
      </c>
      <c r="N107" s="2" t="str">
        <f>IF(Iterations[[#This Row],[Step]] =current_step, current_Grad_a,IF(Iterations[[#This Row],[Step]] &gt; current_step, "",Iterations[[#This Row],[Grad_a]]))</f>
        <v/>
      </c>
      <c r="O107" s="2" t="str">
        <f>IF(Iterations[[#This Row],[Step]] =current_step, current_Grad_b,IF(Iterations[[#This Row],[Step]] &gt; current_step, "",Iterations[[#This Row],[Grad_b]]))</f>
        <v/>
      </c>
      <c r="P107" s="2" t="str">
        <f>IF(Iterations[[#This Row],[Step]] =current_step, current_Grad_c,IF(Iterations[[#This Row],[Step]] &gt; current_step, "",Iterations[[#This Row],[Grad_c]]))</f>
        <v/>
      </c>
      <c r="Q107" s="2" t="str">
        <f>IF(Iterations[[#This Row],[Step]] =current_step, current_Grad_d,IF(Iterations[[#This Row],[Step]] &gt; current_step, "",Iterations[[#This Row],[Grad_d]]))</f>
        <v/>
      </c>
      <c r="R107" s="2" t="str">
        <f>IF(Iterations[[#This Row],[Step]] =current_step, current_Grad_e,IF(Iterations[[#This Row],[Step]] &gt; current_step, "",Iterations[[#This Row],[Grad_e]]))</f>
        <v/>
      </c>
    </row>
    <row r="108" spans="6:18" x14ac:dyDescent="0.3">
      <c r="F108" s="2">
        <f t="shared" si="3"/>
        <v>91</v>
      </c>
      <c r="G108" s="2" t="str">
        <f>IF(Iterations[[#This Row],[Step]] =current_step, current_a,IF(Iterations[[#This Row],[Step]] &gt; current_step, "",Iterations[[#This Row],[a]]))</f>
        <v/>
      </c>
      <c r="H108" s="2" t="str">
        <f>IF(Iterations[[#This Row],[Step]] =current_step, current_b,IF(Iterations[[#This Row],[Step]] &gt; current_step, "",Iterations[[#This Row],[b]]))</f>
        <v/>
      </c>
      <c r="I108" s="2" t="str">
        <f>IF(Iterations[[#This Row],[Step]] =current_step, current_c,IF(Iterations[[#This Row],[Step]] &gt; current_step, "",Iterations[[#This Row],[c]]))</f>
        <v/>
      </c>
      <c r="J108" s="2" t="str">
        <f>IF(Iterations[[#This Row],[Step]] =current_step, current_d,IF(Iterations[[#This Row],[Step]] &gt; current_step, "",Iterations[[#This Row],[d]]))</f>
        <v/>
      </c>
      <c r="K108" s="2" t="str">
        <f>IF(Iterations[[#This Row],[Step]] =current_step, current_e,IF(Iterations[[#This Row],[Step]] &gt; current_step, "",Iterations[[#This Row],[e]]))</f>
        <v/>
      </c>
      <c r="L108" s="2" t="str">
        <f>IF(Iterations[[#This Row],[Step]] =current_step, current_Total_Loss,IF(Iterations[[#This Row],[Step]] &gt; current_step, "",Iterations[[#This Row],[Total Loss]]))</f>
        <v/>
      </c>
      <c r="M108" s="6" t="s">
        <v>27</v>
      </c>
      <c r="N108" s="2" t="str">
        <f>IF(Iterations[[#This Row],[Step]] =current_step, current_Grad_a,IF(Iterations[[#This Row],[Step]] &gt; current_step, "",Iterations[[#This Row],[Grad_a]]))</f>
        <v/>
      </c>
      <c r="O108" s="2" t="str">
        <f>IF(Iterations[[#This Row],[Step]] =current_step, current_Grad_b,IF(Iterations[[#This Row],[Step]] &gt; current_step, "",Iterations[[#This Row],[Grad_b]]))</f>
        <v/>
      </c>
      <c r="P108" s="2" t="str">
        <f>IF(Iterations[[#This Row],[Step]] =current_step, current_Grad_c,IF(Iterations[[#This Row],[Step]] &gt; current_step, "",Iterations[[#This Row],[Grad_c]]))</f>
        <v/>
      </c>
      <c r="Q108" s="2" t="str">
        <f>IF(Iterations[[#This Row],[Step]] =current_step, current_Grad_d,IF(Iterations[[#This Row],[Step]] &gt; current_step, "",Iterations[[#This Row],[Grad_d]]))</f>
        <v/>
      </c>
      <c r="R108" s="2" t="str">
        <f>IF(Iterations[[#This Row],[Step]] =current_step, current_Grad_e,IF(Iterations[[#This Row],[Step]] &gt; current_step, "",Iterations[[#This Row],[Grad_e]]))</f>
        <v/>
      </c>
    </row>
    <row r="109" spans="6:18" x14ac:dyDescent="0.3">
      <c r="F109" s="2">
        <f t="shared" si="3"/>
        <v>92</v>
      </c>
      <c r="G109" s="2" t="str">
        <f>IF(Iterations[[#This Row],[Step]] =current_step, current_a,IF(Iterations[[#This Row],[Step]] &gt; current_step, "",Iterations[[#This Row],[a]]))</f>
        <v/>
      </c>
      <c r="H109" s="2" t="str">
        <f>IF(Iterations[[#This Row],[Step]] =current_step, current_b,IF(Iterations[[#This Row],[Step]] &gt; current_step, "",Iterations[[#This Row],[b]]))</f>
        <v/>
      </c>
      <c r="I109" s="2" t="str">
        <f>IF(Iterations[[#This Row],[Step]] =current_step, current_c,IF(Iterations[[#This Row],[Step]] &gt; current_step, "",Iterations[[#This Row],[c]]))</f>
        <v/>
      </c>
      <c r="J109" s="2" t="str">
        <f>IF(Iterations[[#This Row],[Step]] =current_step, current_d,IF(Iterations[[#This Row],[Step]] &gt; current_step, "",Iterations[[#This Row],[d]]))</f>
        <v/>
      </c>
      <c r="K109" s="2" t="str">
        <f>IF(Iterations[[#This Row],[Step]] =current_step, current_e,IF(Iterations[[#This Row],[Step]] &gt; current_step, "",Iterations[[#This Row],[e]]))</f>
        <v/>
      </c>
      <c r="L109" s="2" t="str">
        <f>IF(Iterations[[#This Row],[Step]] =current_step, current_Total_Loss,IF(Iterations[[#This Row],[Step]] &gt; current_step, "",Iterations[[#This Row],[Total Loss]]))</f>
        <v/>
      </c>
      <c r="M109" s="6" t="s">
        <v>27</v>
      </c>
      <c r="N109" s="2" t="str">
        <f>IF(Iterations[[#This Row],[Step]] =current_step, current_Grad_a,IF(Iterations[[#This Row],[Step]] &gt; current_step, "",Iterations[[#This Row],[Grad_a]]))</f>
        <v/>
      </c>
      <c r="O109" s="2" t="str">
        <f>IF(Iterations[[#This Row],[Step]] =current_step, current_Grad_b,IF(Iterations[[#This Row],[Step]] &gt; current_step, "",Iterations[[#This Row],[Grad_b]]))</f>
        <v/>
      </c>
      <c r="P109" s="2" t="str">
        <f>IF(Iterations[[#This Row],[Step]] =current_step, current_Grad_c,IF(Iterations[[#This Row],[Step]] &gt; current_step, "",Iterations[[#This Row],[Grad_c]]))</f>
        <v/>
      </c>
      <c r="Q109" s="2" t="str">
        <f>IF(Iterations[[#This Row],[Step]] =current_step, current_Grad_d,IF(Iterations[[#This Row],[Step]] &gt; current_step, "",Iterations[[#This Row],[Grad_d]]))</f>
        <v/>
      </c>
      <c r="R109" s="2" t="str">
        <f>IF(Iterations[[#This Row],[Step]] =current_step, current_Grad_e,IF(Iterations[[#This Row],[Step]] &gt; current_step, "",Iterations[[#This Row],[Grad_e]]))</f>
        <v/>
      </c>
    </row>
    <row r="110" spans="6:18" x14ac:dyDescent="0.3">
      <c r="F110" s="2">
        <f t="shared" si="3"/>
        <v>93</v>
      </c>
      <c r="G110" s="2" t="str">
        <f>IF(Iterations[[#This Row],[Step]] =current_step, current_a,IF(Iterations[[#This Row],[Step]] &gt; current_step, "",Iterations[[#This Row],[a]]))</f>
        <v/>
      </c>
      <c r="H110" s="2" t="str">
        <f>IF(Iterations[[#This Row],[Step]] =current_step, current_b,IF(Iterations[[#This Row],[Step]] &gt; current_step, "",Iterations[[#This Row],[b]]))</f>
        <v/>
      </c>
      <c r="I110" s="2" t="str">
        <f>IF(Iterations[[#This Row],[Step]] =current_step, current_c,IF(Iterations[[#This Row],[Step]] &gt; current_step, "",Iterations[[#This Row],[c]]))</f>
        <v/>
      </c>
      <c r="J110" s="2" t="str">
        <f>IF(Iterations[[#This Row],[Step]] =current_step, current_d,IF(Iterations[[#This Row],[Step]] &gt; current_step, "",Iterations[[#This Row],[d]]))</f>
        <v/>
      </c>
      <c r="K110" s="2" t="str">
        <f>IF(Iterations[[#This Row],[Step]] =current_step, current_e,IF(Iterations[[#This Row],[Step]] &gt; current_step, "",Iterations[[#This Row],[e]]))</f>
        <v/>
      </c>
      <c r="L110" s="2" t="str">
        <f>IF(Iterations[[#This Row],[Step]] =current_step, current_Total_Loss,IF(Iterations[[#This Row],[Step]] &gt; current_step, "",Iterations[[#This Row],[Total Loss]]))</f>
        <v/>
      </c>
      <c r="M110" s="6" t="s">
        <v>27</v>
      </c>
      <c r="N110" s="2" t="str">
        <f>IF(Iterations[[#This Row],[Step]] =current_step, current_Grad_a,IF(Iterations[[#This Row],[Step]] &gt; current_step, "",Iterations[[#This Row],[Grad_a]]))</f>
        <v/>
      </c>
      <c r="O110" s="2" t="str">
        <f>IF(Iterations[[#This Row],[Step]] =current_step, current_Grad_b,IF(Iterations[[#This Row],[Step]] &gt; current_step, "",Iterations[[#This Row],[Grad_b]]))</f>
        <v/>
      </c>
      <c r="P110" s="2" t="str">
        <f>IF(Iterations[[#This Row],[Step]] =current_step, current_Grad_c,IF(Iterations[[#This Row],[Step]] &gt; current_step, "",Iterations[[#This Row],[Grad_c]]))</f>
        <v/>
      </c>
      <c r="Q110" s="2" t="str">
        <f>IF(Iterations[[#This Row],[Step]] =current_step, current_Grad_d,IF(Iterations[[#This Row],[Step]] &gt; current_step, "",Iterations[[#This Row],[Grad_d]]))</f>
        <v/>
      </c>
      <c r="R110" s="2" t="str">
        <f>IF(Iterations[[#This Row],[Step]] =current_step, current_Grad_e,IF(Iterations[[#This Row],[Step]] &gt; current_step, "",Iterations[[#This Row],[Grad_e]]))</f>
        <v/>
      </c>
    </row>
    <row r="111" spans="6:18" x14ac:dyDescent="0.3">
      <c r="F111" s="2">
        <f t="shared" si="3"/>
        <v>94</v>
      </c>
      <c r="G111" s="2" t="str">
        <f>IF(Iterations[[#This Row],[Step]] =current_step, current_a,IF(Iterations[[#This Row],[Step]] &gt; current_step, "",Iterations[[#This Row],[a]]))</f>
        <v/>
      </c>
      <c r="H111" s="2" t="str">
        <f>IF(Iterations[[#This Row],[Step]] =current_step, current_b,IF(Iterations[[#This Row],[Step]] &gt; current_step, "",Iterations[[#This Row],[b]]))</f>
        <v/>
      </c>
      <c r="I111" s="2" t="str">
        <f>IF(Iterations[[#This Row],[Step]] =current_step, current_c,IF(Iterations[[#This Row],[Step]] &gt; current_step, "",Iterations[[#This Row],[c]]))</f>
        <v/>
      </c>
      <c r="J111" s="2" t="str">
        <f>IF(Iterations[[#This Row],[Step]] =current_step, current_d,IF(Iterations[[#This Row],[Step]] &gt; current_step, "",Iterations[[#This Row],[d]]))</f>
        <v/>
      </c>
      <c r="K111" s="2" t="str">
        <f>IF(Iterations[[#This Row],[Step]] =current_step, current_e,IF(Iterations[[#This Row],[Step]] &gt; current_step, "",Iterations[[#This Row],[e]]))</f>
        <v/>
      </c>
      <c r="L111" s="2" t="str">
        <f>IF(Iterations[[#This Row],[Step]] =current_step, current_Total_Loss,IF(Iterations[[#This Row],[Step]] &gt; current_step, "",Iterations[[#This Row],[Total Loss]]))</f>
        <v/>
      </c>
      <c r="M111" s="6" t="s">
        <v>27</v>
      </c>
      <c r="N111" s="2" t="str">
        <f>IF(Iterations[[#This Row],[Step]] =current_step, current_Grad_a,IF(Iterations[[#This Row],[Step]] &gt; current_step, "",Iterations[[#This Row],[Grad_a]]))</f>
        <v/>
      </c>
      <c r="O111" s="2" t="str">
        <f>IF(Iterations[[#This Row],[Step]] =current_step, current_Grad_b,IF(Iterations[[#This Row],[Step]] &gt; current_step, "",Iterations[[#This Row],[Grad_b]]))</f>
        <v/>
      </c>
      <c r="P111" s="2" t="str">
        <f>IF(Iterations[[#This Row],[Step]] =current_step, current_Grad_c,IF(Iterations[[#This Row],[Step]] &gt; current_step, "",Iterations[[#This Row],[Grad_c]]))</f>
        <v/>
      </c>
      <c r="Q111" s="2" t="str">
        <f>IF(Iterations[[#This Row],[Step]] =current_step, current_Grad_d,IF(Iterations[[#This Row],[Step]] &gt; current_step, "",Iterations[[#This Row],[Grad_d]]))</f>
        <v/>
      </c>
      <c r="R111" s="2" t="str">
        <f>IF(Iterations[[#This Row],[Step]] =current_step, current_Grad_e,IF(Iterations[[#This Row],[Step]] &gt; current_step, "",Iterations[[#This Row],[Grad_e]]))</f>
        <v/>
      </c>
    </row>
    <row r="112" spans="6:18" x14ac:dyDescent="0.3">
      <c r="F112" s="2">
        <f t="shared" si="3"/>
        <v>95</v>
      </c>
      <c r="G112" s="2" t="str">
        <f>IF(Iterations[[#This Row],[Step]] =current_step, current_a,IF(Iterations[[#This Row],[Step]] &gt; current_step, "",Iterations[[#This Row],[a]]))</f>
        <v/>
      </c>
      <c r="H112" s="2" t="str">
        <f>IF(Iterations[[#This Row],[Step]] =current_step, current_b,IF(Iterations[[#This Row],[Step]] &gt; current_step, "",Iterations[[#This Row],[b]]))</f>
        <v/>
      </c>
      <c r="I112" s="2" t="str">
        <f>IF(Iterations[[#This Row],[Step]] =current_step, current_c,IF(Iterations[[#This Row],[Step]] &gt; current_step, "",Iterations[[#This Row],[c]]))</f>
        <v/>
      </c>
      <c r="J112" s="2" t="str">
        <f>IF(Iterations[[#This Row],[Step]] =current_step, current_d,IF(Iterations[[#This Row],[Step]] &gt; current_step, "",Iterations[[#This Row],[d]]))</f>
        <v/>
      </c>
      <c r="K112" s="2" t="str">
        <f>IF(Iterations[[#This Row],[Step]] =current_step, current_e,IF(Iterations[[#This Row],[Step]] &gt; current_step, "",Iterations[[#This Row],[e]]))</f>
        <v/>
      </c>
      <c r="L112" s="2" t="str">
        <f>IF(Iterations[[#This Row],[Step]] =current_step, current_Total_Loss,IF(Iterations[[#This Row],[Step]] &gt; current_step, "",Iterations[[#This Row],[Total Loss]]))</f>
        <v/>
      </c>
      <c r="M112" s="6" t="s">
        <v>27</v>
      </c>
      <c r="N112" s="2" t="str">
        <f>IF(Iterations[[#This Row],[Step]] =current_step, current_Grad_a,IF(Iterations[[#This Row],[Step]] &gt; current_step, "",Iterations[[#This Row],[Grad_a]]))</f>
        <v/>
      </c>
      <c r="O112" s="2" t="str">
        <f>IF(Iterations[[#This Row],[Step]] =current_step, current_Grad_b,IF(Iterations[[#This Row],[Step]] &gt; current_step, "",Iterations[[#This Row],[Grad_b]]))</f>
        <v/>
      </c>
      <c r="P112" s="2" t="str">
        <f>IF(Iterations[[#This Row],[Step]] =current_step, current_Grad_c,IF(Iterations[[#This Row],[Step]] &gt; current_step, "",Iterations[[#This Row],[Grad_c]]))</f>
        <v/>
      </c>
      <c r="Q112" s="2" t="str">
        <f>IF(Iterations[[#This Row],[Step]] =current_step, current_Grad_d,IF(Iterations[[#This Row],[Step]] &gt; current_step, "",Iterations[[#This Row],[Grad_d]]))</f>
        <v/>
      </c>
      <c r="R112" s="2" t="str">
        <f>IF(Iterations[[#This Row],[Step]] =current_step, current_Grad_e,IF(Iterations[[#This Row],[Step]] &gt; current_step, "",Iterations[[#This Row],[Grad_e]]))</f>
        <v/>
      </c>
    </row>
    <row r="113" spans="6:18" x14ac:dyDescent="0.3">
      <c r="F113" s="2">
        <f t="shared" si="3"/>
        <v>96</v>
      </c>
      <c r="G113" s="2" t="str">
        <f>IF(Iterations[[#This Row],[Step]] =current_step, current_a,IF(Iterations[[#This Row],[Step]] &gt; current_step, "",Iterations[[#This Row],[a]]))</f>
        <v/>
      </c>
      <c r="H113" s="2" t="str">
        <f>IF(Iterations[[#This Row],[Step]] =current_step, current_b,IF(Iterations[[#This Row],[Step]] &gt; current_step, "",Iterations[[#This Row],[b]]))</f>
        <v/>
      </c>
      <c r="I113" s="2" t="str">
        <f>IF(Iterations[[#This Row],[Step]] =current_step, current_c,IF(Iterations[[#This Row],[Step]] &gt; current_step, "",Iterations[[#This Row],[c]]))</f>
        <v/>
      </c>
      <c r="J113" s="2" t="str">
        <f>IF(Iterations[[#This Row],[Step]] =current_step, current_d,IF(Iterations[[#This Row],[Step]] &gt; current_step, "",Iterations[[#This Row],[d]]))</f>
        <v/>
      </c>
      <c r="K113" s="2" t="str">
        <f>IF(Iterations[[#This Row],[Step]] =current_step, current_e,IF(Iterations[[#This Row],[Step]] &gt; current_step, "",Iterations[[#This Row],[e]]))</f>
        <v/>
      </c>
      <c r="L113" s="2" t="str">
        <f>IF(Iterations[[#This Row],[Step]] =current_step, current_Total_Loss,IF(Iterations[[#This Row],[Step]] &gt; current_step, "",Iterations[[#This Row],[Total Loss]]))</f>
        <v/>
      </c>
      <c r="M113" s="6" t="s">
        <v>27</v>
      </c>
      <c r="N113" s="2" t="str">
        <f>IF(Iterations[[#This Row],[Step]] =current_step, current_Grad_a,IF(Iterations[[#This Row],[Step]] &gt; current_step, "",Iterations[[#This Row],[Grad_a]]))</f>
        <v/>
      </c>
      <c r="O113" s="2" t="str">
        <f>IF(Iterations[[#This Row],[Step]] =current_step, current_Grad_b,IF(Iterations[[#This Row],[Step]] &gt; current_step, "",Iterations[[#This Row],[Grad_b]]))</f>
        <v/>
      </c>
      <c r="P113" s="2" t="str">
        <f>IF(Iterations[[#This Row],[Step]] =current_step, current_Grad_c,IF(Iterations[[#This Row],[Step]] &gt; current_step, "",Iterations[[#This Row],[Grad_c]]))</f>
        <v/>
      </c>
      <c r="Q113" s="2" t="str">
        <f>IF(Iterations[[#This Row],[Step]] =current_step, current_Grad_d,IF(Iterations[[#This Row],[Step]] &gt; current_step, "",Iterations[[#This Row],[Grad_d]]))</f>
        <v/>
      </c>
      <c r="R113" s="2" t="str">
        <f>IF(Iterations[[#This Row],[Step]] =current_step, current_Grad_e,IF(Iterations[[#This Row],[Step]] &gt; current_step, "",Iterations[[#This Row],[Grad_e]]))</f>
        <v/>
      </c>
    </row>
    <row r="114" spans="6:18" x14ac:dyDescent="0.3">
      <c r="F114" s="2">
        <f t="shared" si="3"/>
        <v>97</v>
      </c>
      <c r="G114" s="2" t="str">
        <f>IF(Iterations[[#This Row],[Step]] =current_step, current_a,IF(Iterations[[#This Row],[Step]] &gt; current_step, "",Iterations[[#This Row],[a]]))</f>
        <v/>
      </c>
      <c r="H114" s="2" t="str">
        <f>IF(Iterations[[#This Row],[Step]] =current_step, current_b,IF(Iterations[[#This Row],[Step]] &gt; current_step, "",Iterations[[#This Row],[b]]))</f>
        <v/>
      </c>
      <c r="I114" s="2" t="str">
        <f>IF(Iterations[[#This Row],[Step]] =current_step, current_c,IF(Iterations[[#This Row],[Step]] &gt; current_step, "",Iterations[[#This Row],[c]]))</f>
        <v/>
      </c>
      <c r="J114" s="2" t="str">
        <f>IF(Iterations[[#This Row],[Step]] =current_step, current_d,IF(Iterations[[#This Row],[Step]] &gt; current_step, "",Iterations[[#This Row],[d]]))</f>
        <v/>
      </c>
      <c r="K114" s="2" t="str">
        <f>IF(Iterations[[#This Row],[Step]] =current_step, current_e,IF(Iterations[[#This Row],[Step]] &gt; current_step, "",Iterations[[#This Row],[e]]))</f>
        <v/>
      </c>
      <c r="L114" s="2" t="str">
        <f>IF(Iterations[[#This Row],[Step]] =current_step, current_Total_Loss,IF(Iterations[[#This Row],[Step]] &gt; current_step, "",Iterations[[#This Row],[Total Loss]]))</f>
        <v/>
      </c>
      <c r="M114" s="6" t="s">
        <v>27</v>
      </c>
      <c r="N114" s="2" t="str">
        <f>IF(Iterations[[#This Row],[Step]] =current_step, current_Grad_a,IF(Iterations[[#This Row],[Step]] &gt; current_step, "",Iterations[[#This Row],[Grad_a]]))</f>
        <v/>
      </c>
      <c r="O114" s="2" t="str">
        <f>IF(Iterations[[#This Row],[Step]] =current_step, current_Grad_b,IF(Iterations[[#This Row],[Step]] &gt; current_step, "",Iterations[[#This Row],[Grad_b]]))</f>
        <v/>
      </c>
      <c r="P114" s="2" t="str">
        <f>IF(Iterations[[#This Row],[Step]] =current_step, current_Grad_c,IF(Iterations[[#This Row],[Step]] &gt; current_step, "",Iterations[[#This Row],[Grad_c]]))</f>
        <v/>
      </c>
      <c r="Q114" s="2" t="str">
        <f>IF(Iterations[[#This Row],[Step]] =current_step, current_Grad_d,IF(Iterations[[#This Row],[Step]] &gt; current_step, "",Iterations[[#This Row],[Grad_d]]))</f>
        <v/>
      </c>
      <c r="R114" s="2" t="str">
        <f>IF(Iterations[[#This Row],[Step]] =current_step, current_Grad_e,IF(Iterations[[#This Row],[Step]] &gt; current_step, "",Iterations[[#This Row],[Grad_e]]))</f>
        <v/>
      </c>
    </row>
    <row r="115" spans="6:18" x14ac:dyDescent="0.3">
      <c r="F115" s="2">
        <f t="shared" si="3"/>
        <v>98</v>
      </c>
      <c r="G115" s="2" t="str">
        <f>IF(Iterations[[#This Row],[Step]] =current_step, current_a,IF(Iterations[[#This Row],[Step]] &gt; current_step, "",Iterations[[#This Row],[a]]))</f>
        <v/>
      </c>
      <c r="H115" s="2" t="str">
        <f>IF(Iterations[[#This Row],[Step]] =current_step, current_b,IF(Iterations[[#This Row],[Step]] &gt; current_step, "",Iterations[[#This Row],[b]]))</f>
        <v/>
      </c>
      <c r="I115" s="2" t="str">
        <f>IF(Iterations[[#This Row],[Step]] =current_step, current_c,IF(Iterations[[#This Row],[Step]] &gt; current_step, "",Iterations[[#This Row],[c]]))</f>
        <v/>
      </c>
      <c r="J115" s="2" t="str">
        <f>IF(Iterations[[#This Row],[Step]] =current_step, current_d,IF(Iterations[[#This Row],[Step]] &gt; current_step, "",Iterations[[#This Row],[d]]))</f>
        <v/>
      </c>
      <c r="K115" s="2" t="str">
        <f>IF(Iterations[[#This Row],[Step]] =current_step, current_e,IF(Iterations[[#This Row],[Step]] &gt; current_step, "",Iterations[[#This Row],[e]]))</f>
        <v/>
      </c>
      <c r="L115" s="2" t="str">
        <f>IF(Iterations[[#This Row],[Step]] =current_step, current_Total_Loss,IF(Iterations[[#This Row],[Step]] &gt; current_step, "",Iterations[[#This Row],[Total Loss]]))</f>
        <v/>
      </c>
      <c r="M115" s="6" t="s">
        <v>27</v>
      </c>
      <c r="N115" s="2" t="str">
        <f>IF(Iterations[[#This Row],[Step]] =current_step, current_Grad_a,IF(Iterations[[#This Row],[Step]] &gt; current_step, "",Iterations[[#This Row],[Grad_a]]))</f>
        <v/>
      </c>
      <c r="O115" s="2" t="str">
        <f>IF(Iterations[[#This Row],[Step]] =current_step, current_Grad_b,IF(Iterations[[#This Row],[Step]] &gt; current_step, "",Iterations[[#This Row],[Grad_b]]))</f>
        <v/>
      </c>
      <c r="P115" s="2" t="str">
        <f>IF(Iterations[[#This Row],[Step]] =current_step, current_Grad_c,IF(Iterations[[#This Row],[Step]] &gt; current_step, "",Iterations[[#This Row],[Grad_c]]))</f>
        <v/>
      </c>
      <c r="Q115" s="2" t="str">
        <f>IF(Iterations[[#This Row],[Step]] =current_step, current_Grad_d,IF(Iterations[[#This Row],[Step]] &gt; current_step, "",Iterations[[#This Row],[Grad_d]]))</f>
        <v/>
      </c>
      <c r="R115" s="2" t="str">
        <f>IF(Iterations[[#This Row],[Step]] =current_step, current_Grad_e,IF(Iterations[[#This Row],[Step]] &gt; current_step, "",Iterations[[#This Row],[Grad_e]]))</f>
        <v/>
      </c>
    </row>
    <row r="116" spans="6:18" x14ac:dyDescent="0.3">
      <c r="F116" s="2">
        <f t="shared" si="3"/>
        <v>99</v>
      </c>
      <c r="G116" s="2" t="str">
        <f>IF(Iterations[[#This Row],[Step]] =current_step, current_a,IF(Iterations[[#This Row],[Step]] &gt; current_step, "",Iterations[[#This Row],[a]]))</f>
        <v/>
      </c>
      <c r="H116" s="2" t="str">
        <f>IF(Iterations[[#This Row],[Step]] =current_step, current_b,IF(Iterations[[#This Row],[Step]] &gt; current_step, "",Iterations[[#This Row],[b]]))</f>
        <v/>
      </c>
      <c r="I116" s="2" t="str">
        <f>IF(Iterations[[#This Row],[Step]] =current_step, current_c,IF(Iterations[[#This Row],[Step]] &gt; current_step, "",Iterations[[#This Row],[c]]))</f>
        <v/>
      </c>
      <c r="J116" s="2" t="str">
        <f>IF(Iterations[[#This Row],[Step]] =current_step, current_d,IF(Iterations[[#This Row],[Step]] &gt; current_step, "",Iterations[[#This Row],[d]]))</f>
        <v/>
      </c>
      <c r="K116" s="2" t="str">
        <f>IF(Iterations[[#This Row],[Step]] =current_step, current_e,IF(Iterations[[#This Row],[Step]] &gt; current_step, "",Iterations[[#This Row],[e]]))</f>
        <v/>
      </c>
      <c r="L116" s="2" t="str">
        <f>IF(Iterations[[#This Row],[Step]] =current_step, current_Total_Loss,IF(Iterations[[#This Row],[Step]] &gt; current_step, "",Iterations[[#This Row],[Total Loss]]))</f>
        <v/>
      </c>
      <c r="M116" s="6" t="s">
        <v>27</v>
      </c>
      <c r="N116" s="2" t="str">
        <f>IF(Iterations[[#This Row],[Step]] =current_step, current_Grad_a,IF(Iterations[[#This Row],[Step]] &gt; current_step, "",Iterations[[#This Row],[Grad_a]]))</f>
        <v/>
      </c>
      <c r="O116" s="2" t="str">
        <f>IF(Iterations[[#This Row],[Step]] =current_step, current_Grad_b,IF(Iterations[[#This Row],[Step]] &gt; current_step, "",Iterations[[#This Row],[Grad_b]]))</f>
        <v/>
      </c>
      <c r="P116" s="2" t="str">
        <f>IF(Iterations[[#This Row],[Step]] =current_step, current_Grad_c,IF(Iterations[[#This Row],[Step]] &gt; current_step, "",Iterations[[#This Row],[Grad_c]]))</f>
        <v/>
      </c>
      <c r="Q116" s="2" t="str">
        <f>IF(Iterations[[#This Row],[Step]] =current_step, current_Grad_d,IF(Iterations[[#This Row],[Step]] &gt; current_step, "",Iterations[[#This Row],[Grad_d]]))</f>
        <v/>
      </c>
      <c r="R116" s="2" t="str">
        <f>IF(Iterations[[#This Row],[Step]] =current_step, current_Grad_e,IF(Iterations[[#This Row],[Step]] &gt; current_step, "",Iterations[[#This Row],[Grad_e]]))</f>
        <v/>
      </c>
    </row>
    <row r="117" spans="6:18" x14ac:dyDescent="0.3">
      <c r="F117" s="2">
        <f t="shared" si="3"/>
        <v>100</v>
      </c>
      <c r="G117" s="2" t="str">
        <f>IF(Iterations[[#This Row],[Step]] =current_step, current_a,IF(Iterations[[#This Row],[Step]] &gt; current_step, "",Iterations[[#This Row],[a]]))</f>
        <v/>
      </c>
      <c r="H117" s="2" t="str">
        <f>IF(Iterations[[#This Row],[Step]] =current_step, current_b,IF(Iterations[[#This Row],[Step]] &gt; current_step, "",Iterations[[#This Row],[b]]))</f>
        <v/>
      </c>
      <c r="I117" s="2" t="str">
        <f>IF(Iterations[[#This Row],[Step]] =current_step, current_c,IF(Iterations[[#This Row],[Step]] &gt; current_step, "",Iterations[[#This Row],[c]]))</f>
        <v/>
      </c>
      <c r="J117" s="2" t="str">
        <f>IF(Iterations[[#This Row],[Step]] =current_step, current_d,IF(Iterations[[#This Row],[Step]] &gt; current_step, "",Iterations[[#This Row],[d]]))</f>
        <v/>
      </c>
      <c r="K117" s="2" t="str">
        <f>IF(Iterations[[#This Row],[Step]] =current_step, current_e,IF(Iterations[[#This Row],[Step]] &gt; current_step, "",Iterations[[#This Row],[e]]))</f>
        <v/>
      </c>
      <c r="L117" s="2" t="str">
        <f>IF(Iterations[[#This Row],[Step]] =current_step, current_Total_Loss,IF(Iterations[[#This Row],[Step]] &gt; current_step, "",Iterations[[#This Row],[Total Loss]]))</f>
        <v/>
      </c>
      <c r="M117" s="6" t="s">
        <v>27</v>
      </c>
      <c r="N117" s="2" t="str">
        <f>IF(Iterations[[#This Row],[Step]] =current_step, current_Grad_a,IF(Iterations[[#This Row],[Step]] &gt; current_step, "",Iterations[[#This Row],[Grad_a]]))</f>
        <v/>
      </c>
      <c r="O117" s="2" t="str">
        <f>IF(Iterations[[#This Row],[Step]] =current_step, current_Grad_b,IF(Iterations[[#This Row],[Step]] &gt; current_step, "",Iterations[[#This Row],[Grad_b]]))</f>
        <v/>
      </c>
      <c r="P117" s="2" t="str">
        <f>IF(Iterations[[#This Row],[Step]] =current_step, current_Grad_c,IF(Iterations[[#This Row],[Step]] &gt; current_step, "",Iterations[[#This Row],[Grad_c]]))</f>
        <v/>
      </c>
      <c r="Q117" s="2" t="str">
        <f>IF(Iterations[[#This Row],[Step]] =current_step, current_Grad_d,IF(Iterations[[#This Row],[Step]] &gt; current_step, "",Iterations[[#This Row],[Grad_d]]))</f>
        <v/>
      </c>
      <c r="R117" s="2" t="str">
        <f>IF(Iterations[[#This Row],[Step]] =current_step, current_Grad_e,IF(Iterations[[#This Row],[Step]] &gt; current_step, "",Iterations[[#This Row],[Grad_e]]))</f>
        <v/>
      </c>
    </row>
    <row r="118" spans="6:18" x14ac:dyDescent="0.3">
      <c r="F118" s="2">
        <f t="shared" si="3"/>
        <v>101</v>
      </c>
      <c r="G118" s="2" t="str">
        <f>IF(Iterations[[#This Row],[Step]] =current_step, current_a,IF(Iterations[[#This Row],[Step]] &gt; current_step, "",Iterations[[#This Row],[a]]))</f>
        <v/>
      </c>
      <c r="H118" s="2" t="str">
        <f>IF(Iterations[[#This Row],[Step]] =current_step, current_b,IF(Iterations[[#This Row],[Step]] &gt; current_step, "",Iterations[[#This Row],[b]]))</f>
        <v/>
      </c>
      <c r="I118" s="2" t="str">
        <f>IF(Iterations[[#This Row],[Step]] =current_step, current_c,IF(Iterations[[#This Row],[Step]] &gt; current_step, "",Iterations[[#This Row],[c]]))</f>
        <v/>
      </c>
      <c r="J118" s="2" t="str">
        <f>IF(Iterations[[#This Row],[Step]] =current_step, current_d,IF(Iterations[[#This Row],[Step]] &gt; current_step, "",Iterations[[#This Row],[d]]))</f>
        <v/>
      </c>
      <c r="K118" s="2" t="str">
        <f>IF(Iterations[[#This Row],[Step]] =current_step, current_e,IF(Iterations[[#This Row],[Step]] &gt; current_step, "",Iterations[[#This Row],[e]]))</f>
        <v/>
      </c>
      <c r="L118" s="2" t="str">
        <f>IF(Iterations[[#This Row],[Step]] =current_step, current_Total_Loss,IF(Iterations[[#This Row],[Step]] &gt; current_step, "",Iterations[[#This Row],[Total Loss]]))</f>
        <v/>
      </c>
      <c r="M118" s="6" t="s">
        <v>27</v>
      </c>
      <c r="N118" s="2" t="str">
        <f>IF(Iterations[[#This Row],[Step]] =current_step, current_Grad_a,IF(Iterations[[#This Row],[Step]] &gt; current_step, "",Iterations[[#This Row],[Grad_a]]))</f>
        <v/>
      </c>
      <c r="O118" s="2" t="str">
        <f>IF(Iterations[[#This Row],[Step]] =current_step, current_Grad_b,IF(Iterations[[#This Row],[Step]] &gt; current_step, "",Iterations[[#This Row],[Grad_b]]))</f>
        <v/>
      </c>
      <c r="P118" s="2" t="str">
        <f>IF(Iterations[[#This Row],[Step]] =current_step, current_Grad_c,IF(Iterations[[#This Row],[Step]] &gt; current_step, "",Iterations[[#This Row],[Grad_c]]))</f>
        <v/>
      </c>
      <c r="Q118" s="2" t="str">
        <f>IF(Iterations[[#This Row],[Step]] =current_step, current_Grad_d,IF(Iterations[[#This Row],[Step]] &gt; current_step, "",Iterations[[#This Row],[Grad_d]]))</f>
        <v/>
      </c>
      <c r="R118" s="2" t="str">
        <f>IF(Iterations[[#This Row],[Step]] =current_step, current_Grad_e,IF(Iterations[[#This Row],[Step]] &gt; current_step, "",Iterations[[#This Row],[Grad_e]]))</f>
        <v/>
      </c>
    </row>
    <row r="119" spans="6:18" x14ac:dyDescent="0.3">
      <c r="F119" s="2">
        <f t="shared" si="3"/>
        <v>102</v>
      </c>
      <c r="G119" s="2" t="str">
        <f>IF(Iterations[[#This Row],[Step]] =current_step, current_a,IF(Iterations[[#This Row],[Step]] &gt; current_step, "",Iterations[[#This Row],[a]]))</f>
        <v/>
      </c>
      <c r="H119" s="2" t="str">
        <f>IF(Iterations[[#This Row],[Step]] =current_step, current_b,IF(Iterations[[#This Row],[Step]] &gt; current_step, "",Iterations[[#This Row],[b]]))</f>
        <v/>
      </c>
      <c r="I119" s="2" t="str">
        <f>IF(Iterations[[#This Row],[Step]] =current_step, current_c,IF(Iterations[[#This Row],[Step]] &gt; current_step, "",Iterations[[#This Row],[c]]))</f>
        <v/>
      </c>
      <c r="J119" s="2" t="str">
        <f>IF(Iterations[[#This Row],[Step]] =current_step, current_d,IF(Iterations[[#This Row],[Step]] &gt; current_step, "",Iterations[[#This Row],[d]]))</f>
        <v/>
      </c>
      <c r="K119" s="2" t="str">
        <f>IF(Iterations[[#This Row],[Step]] =current_step, current_e,IF(Iterations[[#This Row],[Step]] &gt; current_step, "",Iterations[[#This Row],[e]]))</f>
        <v/>
      </c>
      <c r="L119" s="2" t="str">
        <f>IF(Iterations[[#This Row],[Step]] =current_step, current_Total_Loss,IF(Iterations[[#This Row],[Step]] &gt; current_step, "",Iterations[[#This Row],[Total Loss]]))</f>
        <v/>
      </c>
      <c r="M119" s="6" t="s">
        <v>27</v>
      </c>
      <c r="N119" s="2" t="str">
        <f>IF(Iterations[[#This Row],[Step]] =current_step, current_Grad_a,IF(Iterations[[#This Row],[Step]] &gt; current_step, "",Iterations[[#This Row],[Grad_a]]))</f>
        <v/>
      </c>
      <c r="O119" s="2" t="str">
        <f>IF(Iterations[[#This Row],[Step]] =current_step, current_Grad_b,IF(Iterations[[#This Row],[Step]] &gt; current_step, "",Iterations[[#This Row],[Grad_b]]))</f>
        <v/>
      </c>
      <c r="P119" s="2" t="str">
        <f>IF(Iterations[[#This Row],[Step]] =current_step, current_Grad_c,IF(Iterations[[#This Row],[Step]] &gt; current_step, "",Iterations[[#This Row],[Grad_c]]))</f>
        <v/>
      </c>
      <c r="Q119" s="2" t="str">
        <f>IF(Iterations[[#This Row],[Step]] =current_step, current_Grad_d,IF(Iterations[[#This Row],[Step]] &gt; current_step, "",Iterations[[#This Row],[Grad_d]]))</f>
        <v/>
      </c>
      <c r="R119" s="2" t="str">
        <f>IF(Iterations[[#This Row],[Step]] =current_step, current_Grad_e,IF(Iterations[[#This Row],[Step]] &gt; current_step, "",Iterations[[#This Row],[Grad_e]]))</f>
        <v/>
      </c>
    </row>
    <row r="120" spans="6:18" x14ac:dyDescent="0.3">
      <c r="F120" s="2">
        <f t="shared" si="3"/>
        <v>103</v>
      </c>
      <c r="G120" s="2" t="str">
        <f>IF(Iterations[[#This Row],[Step]] =current_step, current_a,IF(Iterations[[#This Row],[Step]] &gt; current_step, "",Iterations[[#This Row],[a]]))</f>
        <v/>
      </c>
      <c r="H120" s="2" t="str">
        <f>IF(Iterations[[#This Row],[Step]] =current_step, current_b,IF(Iterations[[#This Row],[Step]] &gt; current_step, "",Iterations[[#This Row],[b]]))</f>
        <v/>
      </c>
      <c r="I120" s="2" t="str">
        <f>IF(Iterations[[#This Row],[Step]] =current_step, current_c,IF(Iterations[[#This Row],[Step]] &gt; current_step, "",Iterations[[#This Row],[c]]))</f>
        <v/>
      </c>
      <c r="J120" s="2" t="str">
        <f>IF(Iterations[[#This Row],[Step]] =current_step, current_d,IF(Iterations[[#This Row],[Step]] &gt; current_step, "",Iterations[[#This Row],[d]]))</f>
        <v/>
      </c>
      <c r="K120" s="2" t="str">
        <f>IF(Iterations[[#This Row],[Step]] =current_step, current_e,IF(Iterations[[#This Row],[Step]] &gt; current_step, "",Iterations[[#This Row],[e]]))</f>
        <v/>
      </c>
      <c r="L120" s="2" t="str">
        <f>IF(Iterations[[#This Row],[Step]] =current_step, current_Total_Loss,IF(Iterations[[#This Row],[Step]] &gt; current_step, "",Iterations[[#This Row],[Total Loss]]))</f>
        <v/>
      </c>
      <c r="M120" s="6" t="s">
        <v>27</v>
      </c>
      <c r="N120" s="2" t="str">
        <f>IF(Iterations[[#This Row],[Step]] =current_step, current_Grad_a,IF(Iterations[[#This Row],[Step]] &gt; current_step, "",Iterations[[#This Row],[Grad_a]]))</f>
        <v/>
      </c>
      <c r="O120" s="2" t="str">
        <f>IF(Iterations[[#This Row],[Step]] =current_step, current_Grad_b,IF(Iterations[[#This Row],[Step]] &gt; current_step, "",Iterations[[#This Row],[Grad_b]]))</f>
        <v/>
      </c>
      <c r="P120" s="2" t="str">
        <f>IF(Iterations[[#This Row],[Step]] =current_step, current_Grad_c,IF(Iterations[[#This Row],[Step]] &gt; current_step, "",Iterations[[#This Row],[Grad_c]]))</f>
        <v/>
      </c>
      <c r="Q120" s="2" t="str">
        <f>IF(Iterations[[#This Row],[Step]] =current_step, current_Grad_d,IF(Iterations[[#This Row],[Step]] &gt; current_step, "",Iterations[[#This Row],[Grad_d]]))</f>
        <v/>
      </c>
      <c r="R120" s="2" t="str">
        <f>IF(Iterations[[#This Row],[Step]] =current_step, current_Grad_e,IF(Iterations[[#This Row],[Step]] &gt; current_step, "",Iterations[[#This Row],[Grad_e]]))</f>
        <v/>
      </c>
    </row>
    <row r="121" spans="6:18" x14ac:dyDescent="0.3">
      <c r="F121" s="2">
        <f t="shared" si="3"/>
        <v>104</v>
      </c>
      <c r="G121" s="2" t="str">
        <f>IF(Iterations[[#This Row],[Step]] =current_step, current_a,IF(Iterations[[#This Row],[Step]] &gt; current_step, "",Iterations[[#This Row],[a]]))</f>
        <v/>
      </c>
      <c r="H121" s="2" t="str">
        <f>IF(Iterations[[#This Row],[Step]] =current_step, current_b,IF(Iterations[[#This Row],[Step]] &gt; current_step, "",Iterations[[#This Row],[b]]))</f>
        <v/>
      </c>
      <c r="I121" s="2" t="str">
        <f>IF(Iterations[[#This Row],[Step]] =current_step, current_c,IF(Iterations[[#This Row],[Step]] &gt; current_step, "",Iterations[[#This Row],[c]]))</f>
        <v/>
      </c>
      <c r="J121" s="2" t="str">
        <f>IF(Iterations[[#This Row],[Step]] =current_step, current_d,IF(Iterations[[#This Row],[Step]] &gt; current_step, "",Iterations[[#This Row],[d]]))</f>
        <v/>
      </c>
      <c r="K121" s="2" t="str">
        <f>IF(Iterations[[#This Row],[Step]] =current_step, current_e,IF(Iterations[[#This Row],[Step]] &gt; current_step, "",Iterations[[#This Row],[e]]))</f>
        <v/>
      </c>
      <c r="L121" s="2" t="str">
        <f>IF(Iterations[[#This Row],[Step]] =current_step, current_Total_Loss,IF(Iterations[[#This Row],[Step]] &gt; current_step, "",Iterations[[#This Row],[Total Loss]]))</f>
        <v/>
      </c>
      <c r="M121" s="6" t="s">
        <v>27</v>
      </c>
      <c r="N121" s="2" t="str">
        <f>IF(Iterations[[#This Row],[Step]] =current_step, current_Grad_a,IF(Iterations[[#This Row],[Step]] &gt; current_step, "",Iterations[[#This Row],[Grad_a]]))</f>
        <v/>
      </c>
      <c r="O121" s="2" t="str">
        <f>IF(Iterations[[#This Row],[Step]] =current_step, current_Grad_b,IF(Iterations[[#This Row],[Step]] &gt; current_step, "",Iterations[[#This Row],[Grad_b]]))</f>
        <v/>
      </c>
      <c r="P121" s="2" t="str">
        <f>IF(Iterations[[#This Row],[Step]] =current_step, current_Grad_c,IF(Iterations[[#This Row],[Step]] &gt; current_step, "",Iterations[[#This Row],[Grad_c]]))</f>
        <v/>
      </c>
      <c r="Q121" s="2" t="str">
        <f>IF(Iterations[[#This Row],[Step]] =current_step, current_Grad_d,IF(Iterations[[#This Row],[Step]] &gt; current_step, "",Iterations[[#This Row],[Grad_d]]))</f>
        <v/>
      </c>
      <c r="R121" s="2" t="str">
        <f>IF(Iterations[[#This Row],[Step]] =current_step, current_Grad_e,IF(Iterations[[#This Row],[Step]] &gt; current_step, "",Iterations[[#This Row],[Grad_e]]))</f>
        <v/>
      </c>
    </row>
    <row r="122" spans="6:18" x14ac:dyDescent="0.3">
      <c r="F122" s="2">
        <f t="shared" si="3"/>
        <v>105</v>
      </c>
      <c r="G122" s="2" t="str">
        <f>IF(Iterations[[#This Row],[Step]] =current_step, current_a,IF(Iterations[[#This Row],[Step]] &gt; current_step, "",Iterations[[#This Row],[a]]))</f>
        <v/>
      </c>
      <c r="H122" s="2" t="str">
        <f>IF(Iterations[[#This Row],[Step]] =current_step, current_b,IF(Iterations[[#This Row],[Step]] &gt; current_step, "",Iterations[[#This Row],[b]]))</f>
        <v/>
      </c>
      <c r="I122" s="2" t="str">
        <f>IF(Iterations[[#This Row],[Step]] =current_step, current_c,IF(Iterations[[#This Row],[Step]] &gt; current_step, "",Iterations[[#This Row],[c]]))</f>
        <v/>
      </c>
      <c r="J122" s="2" t="str">
        <f>IF(Iterations[[#This Row],[Step]] =current_step, current_d,IF(Iterations[[#This Row],[Step]] &gt; current_step, "",Iterations[[#This Row],[d]]))</f>
        <v/>
      </c>
      <c r="K122" s="2" t="str">
        <f>IF(Iterations[[#This Row],[Step]] =current_step, current_e,IF(Iterations[[#This Row],[Step]] &gt; current_step, "",Iterations[[#This Row],[e]]))</f>
        <v/>
      </c>
      <c r="L122" s="2" t="str">
        <f>IF(Iterations[[#This Row],[Step]] =current_step, current_Total_Loss,IF(Iterations[[#This Row],[Step]] &gt; current_step, "",Iterations[[#This Row],[Total Loss]]))</f>
        <v/>
      </c>
      <c r="M122" s="6" t="s">
        <v>27</v>
      </c>
      <c r="N122" s="2" t="str">
        <f>IF(Iterations[[#This Row],[Step]] =current_step, current_Grad_a,IF(Iterations[[#This Row],[Step]] &gt; current_step, "",Iterations[[#This Row],[Grad_a]]))</f>
        <v/>
      </c>
      <c r="O122" s="2" t="str">
        <f>IF(Iterations[[#This Row],[Step]] =current_step, current_Grad_b,IF(Iterations[[#This Row],[Step]] &gt; current_step, "",Iterations[[#This Row],[Grad_b]]))</f>
        <v/>
      </c>
      <c r="P122" s="2" t="str">
        <f>IF(Iterations[[#This Row],[Step]] =current_step, current_Grad_c,IF(Iterations[[#This Row],[Step]] &gt; current_step, "",Iterations[[#This Row],[Grad_c]]))</f>
        <v/>
      </c>
      <c r="Q122" s="2" t="str">
        <f>IF(Iterations[[#This Row],[Step]] =current_step, current_Grad_d,IF(Iterations[[#This Row],[Step]] &gt; current_step, "",Iterations[[#This Row],[Grad_d]]))</f>
        <v/>
      </c>
      <c r="R122" s="2" t="str">
        <f>IF(Iterations[[#This Row],[Step]] =current_step, current_Grad_e,IF(Iterations[[#This Row],[Step]] &gt; current_step, "",Iterations[[#This Row],[Grad_e]]))</f>
        <v/>
      </c>
    </row>
    <row r="123" spans="6:18" x14ac:dyDescent="0.3">
      <c r="F123" s="2">
        <f t="shared" si="3"/>
        <v>106</v>
      </c>
      <c r="G123" s="2" t="str">
        <f>IF(Iterations[[#This Row],[Step]] =current_step, current_a,IF(Iterations[[#This Row],[Step]] &gt; current_step, "",Iterations[[#This Row],[a]]))</f>
        <v/>
      </c>
      <c r="H123" s="2" t="str">
        <f>IF(Iterations[[#This Row],[Step]] =current_step, current_b,IF(Iterations[[#This Row],[Step]] &gt; current_step, "",Iterations[[#This Row],[b]]))</f>
        <v/>
      </c>
      <c r="I123" s="2" t="str">
        <f>IF(Iterations[[#This Row],[Step]] =current_step, current_c,IF(Iterations[[#This Row],[Step]] &gt; current_step, "",Iterations[[#This Row],[c]]))</f>
        <v/>
      </c>
      <c r="J123" s="2" t="str">
        <f>IF(Iterations[[#This Row],[Step]] =current_step, current_d,IF(Iterations[[#This Row],[Step]] &gt; current_step, "",Iterations[[#This Row],[d]]))</f>
        <v/>
      </c>
      <c r="K123" s="2" t="str">
        <f>IF(Iterations[[#This Row],[Step]] =current_step, current_e,IF(Iterations[[#This Row],[Step]] &gt; current_step, "",Iterations[[#This Row],[e]]))</f>
        <v/>
      </c>
      <c r="L123" s="2" t="str">
        <f>IF(Iterations[[#This Row],[Step]] =current_step, current_Total_Loss,IF(Iterations[[#This Row],[Step]] &gt; current_step, "",Iterations[[#This Row],[Total Loss]]))</f>
        <v/>
      </c>
      <c r="M123" s="6" t="s">
        <v>27</v>
      </c>
      <c r="N123" s="2" t="str">
        <f>IF(Iterations[[#This Row],[Step]] =current_step, current_Grad_a,IF(Iterations[[#This Row],[Step]] &gt; current_step, "",Iterations[[#This Row],[Grad_a]]))</f>
        <v/>
      </c>
      <c r="O123" s="2" t="str">
        <f>IF(Iterations[[#This Row],[Step]] =current_step, current_Grad_b,IF(Iterations[[#This Row],[Step]] &gt; current_step, "",Iterations[[#This Row],[Grad_b]]))</f>
        <v/>
      </c>
      <c r="P123" s="2" t="str">
        <f>IF(Iterations[[#This Row],[Step]] =current_step, current_Grad_c,IF(Iterations[[#This Row],[Step]] &gt; current_step, "",Iterations[[#This Row],[Grad_c]]))</f>
        <v/>
      </c>
      <c r="Q123" s="2" t="str">
        <f>IF(Iterations[[#This Row],[Step]] =current_step, current_Grad_d,IF(Iterations[[#This Row],[Step]] &gt; current_step, "",Iterations[[#This Row],[Grad_d]]))</f>
        <v/>
      </c>
      <c r="R123" s="2" t="str">
        <f>IF(Iterations[[#This Row],[Step]] =current_step, current_Grad_e,IF(Iterations[[#This Row],[Step]] &gt; current_step, "",Iterations[[#This Row],[Grad_e]]))</f>
        <v/>
      </c>
    </row>
    <row r="124" spans="6:18" x14ac:dyDescent="0.3">
      <c r="F124" s="2">
        <f t="shared" si="3"/>
        <v>107</v>
      </c>
      <c r="G124" s="2" t="str">
        <f>IF(Iterations[[#This Row],[Step]] =current_step, current_a,IF(Iterations[[#This Row],[Step]] &gt; current_step, "",Iterations[[#This Row],[a]]))</f>
        <v/>
      </c>
      <c r="H124" s="2" t="str">
        <f>IF(Iterations[[#This Row],[Step]] =current_step, current_b,IF(Iterations[[#This Row],[Step]] &gt; current_step, "",Iterations[[#This Row],[b]]))</f>
        <v/>
      </c>
      <c r="I124" s="2" t="str">
        <f>IF(Iterations[[#This Row],[Step]] =current_step, current_c,IF(Iterations[[#This Row],[Step]] &gt; current_step, "",Iterations[[#This Row],[c]]))</f>
        <v/>
      </c>
      <c r="J124" s="2" t="str">
        <f>IF(Iterations[[#This Row],[Step]] =current_step, current_d,IF(Iterations[[#This Row],[Step]] &gt; current_step, "",Iterations[[#This Row],[d]]))</f>
        <v/>
      </c>
      <c r="K124" s="2" t="str">
        <f>IF(Iterations[[#This Row],[Step]] =current_step, current_e,IF(Iterations[[#This Row],[Step]] &gt; current_step, "",Iterations[[#This Row],[e]]))</f>
        <v/>
      </c>
      <c r="L124" s="2" t="str">
        <f>IF(Iterations[[#This Row],[Step]] =current_step, current_Total_Loss,IF(Iterations[[#This Row],[Step]] &gt; current_step, "",Iterations[[#This Row],[Total Loss]]))</f>
        <v/>
      </c>
      <c r="M124" s="6" t="s">
        <v>27</v>
      </c>
      <c r="N124" s="2" t="str">
        <f>IF(Iterations[[#This Row],[Step]] =current_step, current_Grad_a,IF(Iterations[[#This Row],[Step]] &gt; current_step, "",Iterations[[#This Row],[Grad_a]]))</f>
        <v/>
      </c>
      <c r="O124" s="2" t="str">
        <f>IF(Iterations[[#This Row],[Step]] =current_step, current_Grad_b,IF(Iterations[[#This Row],[Step]] &gt; current_step, "",Iterations[[#This Row],[Grad_b]]))</f>
        <v/>
      </c>
      <c r="P124" s="2" t="str">
        <f>IF(Iterations[[#This Row],[Step]] =current_step, current_Grad_c,IF(Iterations[[#This Row],[Step]] &gt; current_step, "",Iterations[[#This Row],[Grad_c]]))</f>
        <v/>
      </c>
      <c r="Q124" s="2" t="str">
        <f>IF(Iterations[[#This Row],[Step]] =current_step, current_Grad_d,IF(Iterations[[#This Row],[Step]] &gt; current_step, "",Iterations[[#This Row],[Grad_d]]))</f>
        <v/>
      </c>
      <c r="R124" s="2" t="str">
        <f>IF(Iterations[[#This Row],[Step]] =current_step, current_Grad_e,IF(Iterations[[#This Row],[Step]] &gt; current_step, "",Iterations[[#This Row],[Grad_e]]))</f>
        <v/>
      </c>
    </row>
    <row r="125" spans="6:18" x14ac:dyDescent="0.3">
      <c r="F125" s="2">
        <f t="shared" si="3"/>
        <v>108</v>
      </c>
      <c r="G125" s="2" t="str">
        <f>IF(Iterations[[#This Row],[Step]] =current_step, current_a,IF(Iterations[[#This Row],[Step]] &gt; current_step, "",Iterations[[#This Row],[a]]))</f>
        <v/>
      </c>
      <c r="H125" s="2" t="str">
        <f>IF(Iterations[[#This Row],[Step]] =current_step, current_b,IF(Iterations[[#This Row],[Step]] &gt; current_step, "",Iterations[[#This Row],[b]]))</f>
        <v/>
      </c>
      <c r="I125" s="2" t="str">
        <f>IF(Iterations[[#This Row],[Step]] =current_step, current_c,IF(Iterations[[#This Row],[Step]] &gt; current_step, "",Iterations[[#This Row],[c]]))</f>
        <v/>
      </c>
      <c r="J125" s="2" t="str">
        <f>IF(Iterations[[#This Row],[Step]] =current_step, current_d,IF(Iterations[[#This Row],[Step]] &gt; current_step, "",Iterations[[#This Row],[d]]))</f>
        <v/>
      </c>
      <c r="K125" s="2" t="str">
        <f>IF(Iterations[[#This Row],[Step]] =current_step, current_e,IF(Iterations[[#This Row],[Step]] &gt; current_step, "",Iterations[[#This Row],[e]]))</f>
        <v/>
      </c>
      <c r="L125" s="2" t="str">
        <f>IF(Iterations[[#This Row],[Step]] =current_step, current_Total_Loss,IF(Iterations[[#This Row],[Step]] &gt; current_step, "",Iterations[[#This Row],[Total Loss]]))</f>
        <v/>
      </c>
      <c r="M125" s="6" t="s">
        <v>27</v>
      </c>
      <c r="N125" s="2" t="str">
        <f>IF(Iterations[[#This Row],[Step]] =current_step, current_Grad_a,IF(Iterations[[#This Row],[Step]] &gt; current_step, "",Iterations[[#This Row],[Grad_a]]))</f>
        <v/>
      </c>
      <c r="O125" s="2" t="str">
        <f>IF(Iterations[[#This Row],[Step]] =current_step, current_Grad_b,IF(Iterations[[#This Row],[Step]] &gt; current_step, "",Iterations[[#This Row],[Grad_b]]))</f>
        <v/>
      </c>
      <c r="P125" s="2" t="str">
        <f>IF(Iterations[[#This Row],[Step]] =current_step, current_Grad_c,IF(Iterations[[#This Row],[Step]] &gt; current_step, "",Iterations[[#This Row],[Grad_c]]))</f>
        <v/>
      </c>
      <c r="Q125" s="2" t="str">
        <f>IF(Iterations[[#This Row],[Step]] =current_step, current_Grad_d,IF(Iterations[[#This Row],[Step]] &gt; current_step, "",Iterations[[#This Row],[Grad_d]]))</f>
        <v/>
      </c>
      <c r="R125" s="2" t="str">
        <f>IF(Iterations[[#This Row],[Step]] =current_step, current_Grad_e,IF(Iterations[[#This Row],[Step]] &gt; current_step, "",Iterations[[#This Row],[Grad_e]]))</f>
        <v/>
      </c>
    </row>
    <row r="126" spans="6:18" x14ac:dyDescent="0.3">
      <c r="F126" s="2">
        <f t="shared" si="3"/>
        <v>109</v>
      </c>
      <c r="G126" s="2" t="str">
        <f>IF(Iterations[[#This Row],[Step]] =current_step, current_a,IF(Iterations[[#This Row],[Step]] &gt; current_step, "",Iterations[[#This Row],[a]]))</f>
        <v/>
      </c>
      <c r="H126" s="2" t="str">
        <f>IF(Iterations[[#This Row],[Step]] =current_step, current_b,IF(Iterations[[#This Row],[Step]] &gt; current_step, "",Iterations[[#This Row],[b]]))</f>
        <v/>
      </c>
      <c r="I126" s="2" t="str">
        <f>IF(Iterations[[#This Row],[Step]] =current_step, current_c,IF(Iterations[[#This Row],[Step]] &gt; current_step, "",Iterations[[#This Row],[c]]))</f>
        <v/>
      </c>
      <c r="J126" s="2" t="str">
        <f>IF(Iterations[[#This Row],[Step]] =current_step, current_d,IF(Iterations[[#This Row],[Step]] &gt; current_step, "",Iterations[[#This Row],[d]]))</f>
        <v/>
      </c>
      <c r="K126" s="2" t="str">
        <f>IF(Iterations[[#This Row],[Step]] =current_step, current_e,IF(Iterations[[#This Row],[Step]] &gt; current_step, "",Iterations[[#This Row],[e]]))</f>
        <v/>
      </c>
      <c r="L126" s="2" t="str">
        <f>IF(Iterations[[#This Row],[Step]] =current_step, current_Total_Loss,IF(Iterations[[#This Row],[Step]] &gt; current_step, "",Iterations[[#This Row],[Total Loss]]))</f>
        <v/>
      </c>
      <c r="M126" s="6" t="s">
        <v>27</v>
      </c>
      <c r="N126" s="2" t="str">
        <f>IF(Iterations[[#This Row],[Step]] =current_step, current_Grad_a,IF(Iterations[[#This Row],[Step]] &gt; current_step, "",Iterations[[#This Row],[Grad_a]]))</f>
        <v/>
      </c>
      <c r="O126" s="2" t="str">
        <f>IF(Iterations[[#This Row],[Step]] =current_step, current_Grad_b,IF(Iterations[[#This Row],[Step]] &gt; current_step, "",Iterations[[#This Row],[Grad_b]]))</f>
        <v/>
      </c>
      <c r="P126" s="2" t="str">
        <f>IF(Iterations[[#This Row],[Step]] =current_step, current_Grad_c,IF(Iterations[[#This Row],[Step]] &gt; current_step, "",Iterations[[#This Row],[Grad_c]]))</f>
        <v/>
      </c>
      <c r="Q126" s="2" t="str">
        <f>IF(Iterations[[#This Row],[Step]] =current_step, current_Grad_d,IF(Iterations[[#This Row],[Step]] &gt; current_step, "",Iterations[[#This Row],[Grad_d]]))</f>
        <v/>
      </c>
      <c r="R126" s="2" t="str">
        <f>IF(Iterations[[#This Row],[Step]] =current_step, current_Grad_e,IF(Iterations[[#This Row],[Step]] &gt; current_step, "",Iterations[[#This Row],[Grad_e]]))</f>
        <v/>
      </c>
    </row>
    <row r="127" spans="6:18" x14ac:dyDescent="0.3">
      <c r="F127" s="2">
        <f t="shared" si="3"/>
        <v>110</v>
      </c>
      <c r="G127" s="2" t="str">
        <f>IF(Iterations[[#This Row],[Step]] =current_step, current_a,IF(Iterations[[#This Row],[Step]] &gt; current_step, "",Iterations[[#This Row],[a]]))</f>
        <v/>
      </c>
      <c r="H127" s="2" t="str">
        <f>IF(Iterations[[#This Row],[Step]] =current_step, current_b,IF(Iterations[[#This Row],[Step]] &gt; current_step, "",Iterations[[#This Row],[b]]))</f>
        <v/>
      </c>
      <c r="I127" s="2" t="str">
        <f>IF(Iterations[[#This Row],[Step]] =current_step, current_c,IF(Iterations[[#This Row],[Step]] &gt; current_step, "",Iterations[[#This Row],[c]]))</f>
        <v/>
      </c>
      <c r="J127" s="2" t="str">
        <f>IF(Iterations[[#This Row],[Step]] =current_step, current_d,IF(Iterations[[#This Row],[Step]] &gt; current_step, "",Iterations[[#This Row],[d]]))</f>
        <v/>
      </c>
      <c r="K127" s="2" t="str">
        <f>IF(Iterations[[#This Row],[Step]] =current_step, current_e,IF(Iterations[[#This Row],[Step]] &gt; current_step, "",Iterations[[#This Row],[e]]))</f>
        <v/>
      </c>
      <c r="L127" s="2" t="str">
        <f>IF(Iterations[[#This Row],[Step]] =current_step, current_Total_Loss,IF(Iterations[[#This Row],[Step]] &gt; current_step, "",Iterations[[#This Row],[Total Loss]]))</f>
        <v/>
      </c>
      <c r="M127" s="6" t="s">
        <v>27</v>
      </c>
      <c r="N127" s="2" t="str">
        <f>IF(Iterations[[#This Row],[Step]] =current_step, current_Grad_a,IF(Iterations[[#This Row],[Step]] &gt; current_step, "",Iterations[[#This Row],[Grad_a]]))</f>
        <v/>
      </c>
      <c r="O127" s="2" t="str">
        <f>IF(Iterations[[#This Row],[Step]] =current_step, current_Grad_b,IF(Iterations[[#This Row],[Step]] &gt; current_step, "",Iterations[[#This Row],[Grad_b]]))</f>
        <v/>
      </c>
      <c r="P127" s="2" t="str">
        <f>IF(Iterations[[#This Row],[Step]] =current_step, current_Grad_c,IF(Iterations[[#This Row],[Step]] &gt; current_step, "",Iterations[[#This Row],[Grad_c]]))</f>
        <v/>
      </c>
      <c r="Q127" s="2" t="str">
        <f>IF(Iterations[[#This Row],[Step]] =current_step, current_Grad_d,IF(Iterations[[#This Row],[Step]] &gt; current_step, "",Iterations[[#This Row],[Grad_d]]))</f>
        <v/>
      </c>
      <c r="R127" s="2" t="str">
        <f>IF(Iterations[[#This Row],[Step]] =current_step, current_Grad_e,IF(Iterations[[#This Row],[Step]] &gt; current_step, "",Iterations[[#This Row],[Grad_e]]))</f>
        <v/>
      </c>
    </row>
    <row r="128" spans="6:18" x14ac:dyDescent="0.3">
      <c r="F128" s="2">
        <f t="shared" si="3"/>
        <v>111</v>
      </c>
      <c r="G128" s="2" t="str">
        <f>IF(Iterations[[#This Row],[Step]] =current_step, current_a,IF(Iterations[[#This Row],[Step]] &gt; current_step, "",Iterations[[#This Row],[a]]))</f>
        <v/>
      </c>
      <c r="H128" s="2" t="str">
        <f>IF(Iterations[[#This Row],[Step]] =current_step, current_b,IF(Iterations[[#This Row],[Step]] &gt; current_step, "",Iterations[[#This Row],[b]]))</f>
        <v/>
      </c>
      <c r="I128" s="2" t="str">
        <f>IF(Iterations[[#This Row],[Step]] =current_step, current_c,IF(Iterations[[#This Row],[Step]] &gt; current_step, "",Iterations[[#This Row],[c]]))</f>
        <v/>
      </c>
      <c r="J128" s="2" t="str">
        <f>IF(Iterations[[#This Row],[Step]] =current_step, current_d,IF(Iterations[[#This Row],[Step]] &gt; current_step, "",Iterations[[#This Row],[d]]))</f>
        <v/>
      </c>
      <c r="K128" s="2" t="str">
        <f>IF(Iterations[[#This Row],[Step]] =current_step, current_e,IF(Iterations[[#This Row],[Step]] &gt; current_step, "",Iterations[[#This Row],[e]]))</f>
        <v/>
      </c>
      <c r="L128" s="2" t="str">
        <f>IF(Iterations[[#This Row],[Step]] =current_step, current_Total_Loss,IF(Iterations[[#This Row],[Step]] &gt; current_step, "",Iterations[[#This Row],[Total Loss]]))</f>
        <v/>
      </c>
      <c r="M128" s="6" t="s">
        <v>27</v>
      </c>
      <c r="N128" s="2" t="str">
        <f>IF(Iterations[[#This Row],[Step]] =current_step, current_Grad_a,IF(Iterations[[#This Row],[Step]] &gt; current_step, "",Iterations[[#This Row],[Grad_a]]))</f>
        <v/>
      </c>
      <c r="O128" s="2" t="str">
        <f>IF(Iterations[[#This Row],[Step]] =current_step, current_Grad_b,IF(Iterations[[#This Row],[Step]] &gt; current_step, "",Iterations[[#This Row],[Grad_b]]))</f>
        <v/>
      </c>
      <c r="P128" s="2" t="str">
        <f>IF(Iterations[[#This Row],[Step]] =current_step, current_Grad_c,IF(Iterations[[#This Row],[Step]] &gt; current_step, "",Iterations[[#This Row],[Grad_c]]))</f>
        <v/>
      </c>
      <c r="Q128" s="2" t="str">
        <f>IF(Iterations[[#This Row],[Step]] =current_step, current_Grad_d,IF(Iterations[[#This Row],[Step]] &gt; current_step, "",Iterations[[#This Row],[Grad_d]]))</f>
        <v/>
      </c>
      <c r="R128" s="2" t="str">
        <f>IF(Iterations[[#This Row],[Step]] =current_step, current_Grad_e,IF(Iterations[[#This Row],[Step]] &gt; current_step, "",Iterations[[#This Row],[Grad_e]]))</f>
        <v/>
      </c>
    </row>
    <row r="129" spans="6:18" x14ac:dyDescent="0.3">
      <c r="F129" s="2">
        <f t="shared" si="3"/>
        <v>112</v>
      </c>
      <c r="G129" s="2" t="str">
        <f>IF(Iterations[[#This Row],[Step]] =current_step, current_a,IF(Iterations[[#This Row],[Step]] &gt; current_step, "",Iterations[[#This Row],[a]]))</f>
        <v/>
      </c>
      <c r="H129" s="2" t="str">
        <f>IF(Iterations[[#This Row],[Step]] =current_step, current_b,IF(Iterations[[#This Row],[Step]] &gt; current_step, "",Iterations[[#This Row],[b]]))</f>
        <v/>
      </c>
      <c r="I129" s="2" t="str">
        <f>IF(Iterations[[#This Row],[Step]] =current_step, current_c,IF(Iterations[[#This Row],[Step]] &gt; current_step, "",Iterations[[#This Row],[c]]))</f>
        <v/>
      </c>
      <c r="J129" s="2" t="str">
        <f>IF(Iterations[[#This Row],[Step]] =current_step, current_d,IF(Iterations[[#This Row],[Step]] &gt; current_step, "",Iterations[[#This Row],[d]]))</f>
        <v/>
      </c>
      <c r="K129" s="2" t="str">
        <f>IF(Iterations[[#This Row],[Step]] =current_step, current_e,IF(Iterations[[#This Row],[Step]] &gt; current_step, "",Iterations[[#This Row],[e]]))</f>
        <v/>
      </c>
      <c r="L129" s="2" t="str">
        <f>IF(Iterations[[#This Row],[Step]] =current_step, current_Total_Loss,IF(Iterations[[#This Row],[Step]] &gt; current_step, "",Iterations[[#This Row],[Total Loss]]))</f>
        <v/>
      </c>
      <c r="M129" s="6" t="s">
        <v>27</v>
      </c>
      <c r="N129" s="2" t="str">
        <f>IF(Iterations[[#This Row],[Step]] =current_step, current_Grad_a,IF(Iterations[[#This Row],[Step]] &gt; current_step, "",Iterations[[#This Row],[Grad_a]]))</f>
        <v/>
      </c>
      <c r="O129" s="2" t="str">
        <f>IF(Iterations[[#This Row],[Step]] =current_step, current_Grad_b,IF(Iterations[[#This Row],[Step]] &gt; current_step, "",Iterations[[#This Row],[Grad_b]]))</f>
        <v/>
      </c>
      <c r="P129" s="2" t="str">
        <f>IF(Iterations[[#This Row],[Step]] =current_step, current_Grad_c,IF(Iterations[[#This Row],[Step]] &gt; current_step, "",Iterations[[#This Row],[Grad_c]]))</f>
        <v/>
      </c>
      <c r="Q129" s="2" t="str">
        <f>IF(Iterations[[#This Row],[Step]] =current_step, current_Grad_d,IF(Iterations[[#This Row],[Step]] &gt; current_step, "",Iterations[[#This Row],[Grad_d]]))</f>
        <v/>
      </c>
      <c r="R129" s="2" t="str">
        <f>IF(Iterations[[#This Row],[Step]] =current_step, current_Grad_e,IF(Iterations[[#This Row],[Step]] &gt; current_step, "",Iterations[[#This Row],[Grad_e]]))</f>
        <v/>
      </c>
    </row>
    <row r="130" spans="6:18" x14ac:dyDescent="0.3">
      <c r="F130" s="2">
        <f t="shared" si="3"/>
        <v>113</v>
      </c>
      <c r="G130" s="2" t="str">
        <f>IF(Iterations[[#This Row],[Step]] =current_step, current_a,IF(Iterations[[#This Row],[Step]] &gt; current_step, "",Iterations[[#This Row],[a]]))</f>
        <v/>
      </c>
      <c r="H130" s="2" t="str">
        <f>IF(Iterations[[#This Row],[Step]] =current_step, current_b,IF(Iterations[[#This Row],[Step]] &gt; current_step, "",Iterations[[#This Row],[b]]))</f>
        <v/>
      </c>
      <c r="I130" s="2" t="str">
        <f>IF(Iterations[[#This Row],[Step]] =current_step, current_c,IF(Iterations[[#This Row],[Step]] &gt; current_step, "",Iterations[[#This Row],[c]]))</f>
        <v/>
      </c>
      <c r="J130" s="2" t="str">
        <f>IF(Iterations[[#This Row],[Step]] =current_step, current_d,IF(Iterations[[#This Row],[Step]] &gt; current_step, "",Iterations[[#This Row],[d]]))</f>
        <v/>
      </c>
      <c r="K130" s="2" t="str">
        <f>IF(Iterations[[#This Row],[Step]] =current_step, current_e,IF(Iterations[[#This Row],[Step]] &gt; current_step, "",Iterations[[#This Row],[e]]))</f>
        <v/>
      </c>
      <c r="L130" s="2" t="str">
        <f>IF(Iterations[[#This Row],[Step]] =current_step, current_Total_Loss,IF(Iterations[[#This Row],[Step]] &gt; current_step, "",Iterations[[#This Row],[Total Loss]]))</f>
        <v/>
      </c>
      <c r="M130" s="6" t="s">
        <v>27</v>
      </c>
      <c r="N130" s="2" t="str">
        <f>IF(Iterations[[#This Row],[Step]] =current_step, current_Grad_a,IF(Iterations[[#This Row],[Step]] &gt; current_step, "",Iterations[[#This Row],[Grad_a]]))</f>
        <v/>
      </c>
      <c r="O130" s="2" t="str">
        <f>IF(Iterations[[#This Row],[Step]] =current_step, current_Grad_b,IF(Iterations[[#This Row],[Step]] &gt; current_step, "",Iterations[[#This Row],[Grad_b]]))</f>
        <v/>
      </c>
      <c r="P130" s="2" t="str">
        <f>IF(Iterations[[#This Row],[Step]] =current_step, current_Grad_c,IF(Iterations[[#This Row],[Step]] &gt; current_step, "",Iterations[[#This Row],[Grad_c]]))</f>
        <v/>
      </c>
      <c r="Q130" s="2" t="str">
        <f>IF(Iterations[[#This Row],[Step]] =current_step, current_Grad_d,IF(Iterations[[#This Row],[Step]] &gt; current_step, "",Iterations[[#This Row],[Grad_d]]))</f>
        <v/>
      </c>
      <c r="R130" s="2" t="str">
        <f>IF(Iterations[[#This Row],[Step]] =current_step, current_Grad_e,IF(Iterations[[#This Row],[Step]] &gt; current_step, "",Iterations[[#This Row],[Grad_e]]))</f>
        <v/>
      </c>
    </row>
    <row r="131" spans="6:18" x14ac:dyDescent="0.3">
      <c r="F131" s="2">
        <f t="shared" si="3"/>
        <v>114</v>
      </c>
      <c r="G131" s="2" t="str">
        <f>IF(Iterations[[#This Row],[Step]] =current_step, current_a,IF(Iterations[[#This Row],[Step]] &gt; current_step, "",Iterations[[#This Row],[a]]))</f>
        <v/>
      </c>
      <c r="H131" s="2" t="str">
        <f>IF(Iterations[[#This Row],[Step]] =current_step, current_b,IF(Iterations[[#This Row],[Step]] &gt; current_step, "",Iterations[[#This Row],[b]]))</f>
        <v/>
      </c>
      <c r="I131" s="2" t="str">
        <f>IF(Iterations[[#This Row],[Step]] =current_step, current_c,IF(Iterations[[#This Row],[Step]] &gt; current_step, "",Iterations[[#This Row],[c]]))</f>
        <v/>
      </c>
      <c r="J131" s="2" t="str">
        <f>IF(Iterations[[#This Row],[Step]] =current_step, current_d,IF(Iterations[[#This Row],[Step]] &gt; current_step, "",Iterations[[#This Row],[d]]))</f>
        <v/>
      </c>
      <c r="K131" s="2" t="str">
        <f>IF(Iterations[[#This Row],[Step]] =current_step, current_e,IF(Iterations[[#This Row],[Step]] &gt; current_step, "",Iterations[[#This Row],[e]]))</f>
        <v/>
      </c>
      <c r="L131" s="2" t="str">
        <f>IF(Iterations[[#This Row],[Step]] =current_step, current_Total_Loss,IF(Iterations[[#This Row],[Step]] &gt; current_step, "",Iterations[[#This Row],[Total Loss]]))</f>
        <v/>
      </c>
      <c r="M131" s="6" t="s">
        <v>27</v>
      </c>
      <c r="N131" s="2" t="str">
        <f>IF(Iterations[[#This Row],[Step]] =current_step, current_Grad_a,IF(Iterations[[#This Row],[Step]] &gt; current_step, "",Iterations[[#This Row],[Grad_a]]))</f>
        <v/>
      </c>
      <c r="O131" s="2" t="str">
        <f>IF(Iterations[[#This Row],[Step]] =current_step, current_Grad_b,IF(Iterations[[#This Row],[Step]] &gt; current_step, "",Iterations[[#This Row],[Grad_b]]))</f>
        <v/>
      </c>
      <c r="P131" s="2" t="str">
        <f>IF(Iterations[[#This Row],[Step]] =current_step, current_Grad_c,IF(Iterations[[#This Row],[Step]] &gt; current_step, "",Iterations[[#This Row],[Grad_c]]))</f>
        <v/>
      </c>
      <c r="Q131" s="2" t="str">
        <f>IF(Iterations[[#This Row],[Step]] =current_step, current_Grad_d,IF(Iterations[[#This Row],[Step]] &gt; current_step, "",Iterations[[#This Row],[Grad_d]]))</f>
        <v/>
      </c>
      <c r="R131" s="2" t="str">
        <f>IF(Iterations[[#This Row],[Step]] =current_step, current_Grad_e,IF(Iterations[[#This Row],[Step]] &gt; current_step, "",Iterations[[#This Row],[Grad_e]]))</f>
        <v/>
      </c>
    </row>
    <row r="132" spans="6:18" x14ac:dyDescent="0.3">
      <c r="F132" s="2">
        <f t="shared" si="3"/>
        <v>115</v>
      </c>
      <c r="G132" s="2" t="str">
        <f>IF(Iterations[[#This Row],[Step]] =current_step, current_a,IF(Iterations[[#This Row],[Step]] &gt; current_step, "",Iterations[[#This Row],[a]]))</f>
        <v/>
      </c>
      <c r="H132" s="2" t="str">
        <f>IF(Iterations[[#This Row],[Step]] =current_step, current_b,IF(Iterations[[#This Row],[Step]] &gt; current_step, "",Iterations[[#This Row],[b]]))</f>
        <v/>
      </c>
      <c r="I132" s="2" t="str">
        <f>IF(Iterations[[#This Row],[Step]] =current_step, current_c,IF(Iterations[[#This Row],[Step]] &gt; current_step, "",Iterations[[#This Row],[c]]))</f>
        <v/>
      </c>
      <c r="J132" s="2" t="str">
        <f>IF(Iterations[[#This Row],[Step]] =current_step, current_d,IF(Iterations[[#This Row],[Step]] &gt; current_step, "",Iterations[[#This Row],[d]]))</f>
        <v/>
      </c>
      <c r="K132" s="2" t="str">
        <f>IF(Iterations[[#This Row],[Step]] =current_step, current_e,IF(Iterations[[#This Row],[Step]] &gt; current_step, "",Iterations[[#This Row],[e]]))</f>
        <v/>
      </c>
      <c r="L132" s="2" t="str">
        <f>IF(Iterations[[#This Row],[Step]] =current_step, current_Total_Loss,IF(Iterations[[#This Row],[Step]] &gt; current_step, "",Iterations[[#This Row],[Total Loss]]))</f>
        <v/>
      </c>
      <c r="M132" s="6" t="s">
        <v>27</v>
      </c>
      <c r="N132" s="2" t="str">
        <f>IF(Iterations[[#This Row],[Step]] =current_step, current_Grad_a,IF(Iterations[[#This Row],[Step]] &gt; current_step, "",Iterations[[#This Row],[Grad_a]]))</f>
        <v/>
      </c>
      <c r="O132" s="2" t="str">
        <f>IF(Iterations[[#This Row],[Step]] =current_step, current_Grad_b,IF(Iterations[[#This Row],[Step]] &gt; current_step, "",Iterations[[#This Row],[Grad_b]]))</f>
        <v/>
      </c>
      <c r="P132" s="2" t="str">
        <f>IF(Iterations[[#This Row],[Step]] =current_step, current_Grad_c,IF(Iterations[[#This Row],[Step]] &gt; current_step, "",Iterations[[#This Row],[Grad_c]]))</f>
        <v/>
      </c>
      <c r="Q132" s="2" t="str">
        <f>IF(Iterations[[#This Row],[Step]] =current_step, current_Grad_d,IF(Iterations[[#This Row],[Step]] &gt; current_step, "",Iterations[[#This Row],[Grad_d]]))</f>
        <v/>
      </c>
      <c r="R132" s="2" t="str">
        <f>IF(Iterations[[#This Row],[Step]] =current_step, current_Grad_e,IF(Iterations[[#This Row],[Step]] &gt; current_step, "",Iterations[[#This Row],[Grad_e]]))</f>
        <v/>
      </c>
    </row>
    <row r="133" spans="6:18" x14ac:dyDescent="0.3">
      <c r="F133" s="2">
        <f t="shared" si="3"/>
        <v>116</v>
      </c>
      <c r="G133" s="2" t="str">
        <f>IF(Iterations[[#This Row],[Step]] =current_step, current_a,IF(Iterations[[#This Row],[Step]] &gt; current_step, "",Iterations[[#This Row],[a]]))</f>
        <v/>
      </c>
      <c r="H133" s="2" t="str">
        <f>IF(Iterations[[#This Row],[Step]] =current_step, current_b,IF(Iterations[[#This Row],[Step]] &gt; current_step, "",Iterations[[#This Row],[b]]))</f>
        <v/>
      </c>
      <c r="I133" s="2" t="str">
        <f>IF(Iterations[[#This Row],[Step]] =current_step, current_c,IF(Iterations[[#This Row],[Step]] &gt; current_step, "",Iterations[[#This Row],[c]]))</f>
        <v/>
      </c>
      <c r="J133" s="2" t="str">
        <f>IF(Iterations[[#This Row],[Step]] =current_step, current_d,IF(Iterations[[#This Row],[Step]] &gt; current_step, "",Iterations[[#This Row],[d]]))</f>
        <v/>
      </c>
      <c r="K133" s="2" t="str">
        <f>IF(Iterations[[#This Row],[Step]] =current_step, current_e,IF(Iterations[[#This Row],[Step]] &gt; current_step, "",Iterations[[#This Row],[e]]))</f>
        <v/>
      </c>
      <c r="L133" s="2" t="str">
        <f>IF(Iterations[[#This Row],[Step]] =current_step, current_Total_Loss,IF(Iterations[[#This Row],[Step]] &gt; current_step, "",Iterations[[#This Row],[Total Loss]]))</f>
        <v/>
      </c>
      <c r="M133" s="6" t="s">
        <v>27</v>
      </c>
      <c r="N133" s="2" t="str">
        <f>IF(Iterations[[#This Row],[Step]] =current_step, current_Grad_a,IF(Iterations[[#This Row],[Step]] &gt; current_step, "",Iterations[[#This Row],[Grad_a]]))</f>
        <v/>
      </c>
      <c r="O133" s="2" t="str">
        <f>IF(Iterations[[#This Row],[Step]] =current_step, current_Grad_b,IF(Iterations[[#This Row],[Step]] &gt; current_step, "",Iterations[[#This Row],[Grad_b]]))</f>
        <v/>
      </c>
      <c r="P133" s="2" t="str">
        <f>IF(Iterations[[#This Row],[Step]] =current_step, current_Grad_c,IF(Iterations[[#This Row],[Step]] &gt; current_step, "",Iterations[[#This Row],[Grad_c]]))</f>
        <v/>
      </c>
      <c r="Q133" s="2" t="str">
        <f>IF(Iterations[[#This Row],[Step]] =current_step, current_Grad_d,IF(Iterations[[#This Row],[Step]] &gt; current_step, "",Iterations[[#This Row],[Grad_d]]))</f>
        <v/>
      </c>
      <c r="R133" s="2" t="str">
        <f>IF(Iterations[[#This Row],[Step]] =current_step, current_Grad_e,IF(Iterations[[#This Row],[Step]] &gt; current_step, "",Iterations[[#This Row],[Grad_e]]))</f>
        <v/>
      </c>
    </row>
    <row r="134" spans="6:18" x14ac:dyDescent="0.3">
      <c r="F134" s="2">
        <f t="shared" ref="F134:F197" si="4">F133+1</f>
        <v>117</v>
      </c>
      <c r="G134" s="2" t="str">
        <f>IF(Iterations[[#This Row],[Step]] =current_step, current_a,IF(Iterations[[#This Row],[Step]] &gt; current_step, "",Iterations[[#This Row],[a]]))</f>
        <v/>
      </c>
      <c r="H134" s="2" t="str">
        <f>IF(Iterations[[#This Row],[Step]] =current_step, current_b,IF(Iterations[[#This Row],[Step]] &gt; current_step, "",Iterations[[#This Row],[b]]))</f>
        <v/>
      </c>
      <c r="I134" s="2" t="str">
        <f>IF(Iterations[[#This Row],[Step]] =current_step, current_c,IF(Iterations[[#This Row],[Step]] &gt; current_step, "",Iterations[[#This Row],[c]]))</f>
        <v/>
      </c>
      <c r="J134" s="2" t="str">
        <f>IF(Iterations[[#This Row],[Step]] =current_step, current_d,IF(Iterations[[#This Row],[Step]] &gt; current_step, "",Iterations[[#This Row],[d]]))</f>
        <v/>
      </c>
      <c r="K134" s="2" t="str">
        <f>IF(Iterations[[#This Row],[Step]] =current_step, current_e,IF(Iterations[[#This Row],[Step]] &gt; current_step, "",Iterations[[#This Row],[e]]))</f>
        <v/>
      </c>
      <c r="L134" s="2" t="str">
        <f>IF(Iterations[[#This Row],[Step]] =current_step, current_Total_Loss,IF(Iterations[[#This Row],[Step]] &gt; current_step, "",Iterations[[#This Row],[Total Loss]]))</f>
        <v/>
      </c>
      <c r="M134" s="6" t="s">
        <v>27</v>
      </c>
      <c r="N134" s="2" t="str">
        <f>IF(Iterations[[#This Row],[Step]] =current_step, current_Grad_a,IF(Iterations[[#This Row],[Step]] &gt; current_step, "",Iterations[[#This Row],[Grad_a]]))</f>
        <v/>
      </c>
      <c r="O134" s="2" t="str">
        <f>IF(Iterations[[#This Row],[Step]] =current_step, current_Grad_b,IF(Iterations[[#This Row],[Step]] &gt; current_step, "",Iterations[[#This Row],[Grad_b]]))</f>
        <v/>
      </c>
      <c r="P134" s="2" t="str">
        <f>IF(Iterations[[#This Row],[Step]] =current_step, current_Grad_c,IF(Iterations[[#This Row],[Step]] &gt; current_step, "",Iterations[[#This Row],[Grad_c]]))</f>
        <v/>
      </c>
      <c r="Q134" s="2" t="str">
        <f>IF(Iterations[[#This Row],[Step]] =current_step, current_Grad_d,IF(Iterations[[#This Row],[Step]] &gt; current_step, "",Iterations[[#This Row],[Grad_d]]))</f>
        <v/>
      </c>
      <c r="R134" s="2" t="str">
        <f>IF(Iterations[[#This Row],[Step]] =current_step, current_Grad_e,IF(Iterations[[#This Row],[Step]] &gt; current_step, "",Iterations[[#This Row],[Grad_e]]))</f>
        <v/>
      </c>
    </row>
    <row r="135" spans="6:18" x14ac:dyDescent="0.3">
      <c r="F135" s="2">
        <f t="shared" si="4"/>
        <v>118</v>
      </c>
      <c r="G135" s="2" t="str">
        <f>IF(Iterations[[#This Row],[Step]] =current_step, current_a,IF(Iterations[[#This Row],[Step]] &gt; current_step, "",Iterations[[#This Row],[a]]))</f>
        <v/>
      </c>
      <c r="H135" s="2" t="str">
        <f>IF(Iterations[[#This Row],[Step]] =current_step, current_b,IF(Iterations[[#This Row],[Step]] &gt; current_step, "",Iterations[[#This Row],[b]]))</f>
        <v/>
      </c>
      <c r="I135" s="2" t="str">
        <f>IF(Iterations[[#This Row],[Step]] =current_step, current_c,IF(Iterations[[#This Row],[Step]] &gt; current_step, "",Iterations[[#This Row],[c]]))</f>
        <v/>
      </c>
      <c r="J135" s="2" t="str">
        <f>IF(Iterations[[#This Row],[Step]] =current_step, current_d,IF(Iterations[[#This Row],[Step]] &gt; current_step, "",Iterations[[#This Row],[d]]))</f>
        <v/>
      </c>
      <c r="K135" s="2" t="str">
        <f>IF(Iterations[[#This Row],[Step]] =current_step, current_e,IF(Iterations[[#This Row],[Step]] &gt; current_step, "",Iterations[[#This Row],[e]]))</f>
        <v/>
      </c>
      <c r="L135" s="2" t="str">
        <f>IF(Iterations[[#This Row],[Step]] =current_step, current_Total_Loss,IF(Iterations[[#This Row],[Step]] &gt; current_step, "",Iterations[[#This Row],[Total Loss]]))</f>
        <v/>
      </c>
      <c r="M135" s="6" t="s">
        <v>27</v>
      </c>
      <c r="N135" s="2" t="str">
        <f>IF(Iterations[[#This Row],[Step]] =current_step, current_Grad_a,IF(Iterations[[#This Row],[Step]] &gt; current_step, "",Iterations[[#This Row],[Grad_a]]))</f>
        <v/>
      </c>
      <c r="O135" s="2" t="str">
        <f>IF(Iterations[[#This Row],[Step]] =current_step, current_Grad_b,IF(Iterations[[#This Row],[Step]] &gt; current_step, "",Iterations[[#This Row],[Grad_b]]))</f>
        <v/>
      </c>
      <c r="P135" s="2" t="str">
        <f>IF(Iterations[[#This Row],[Step]] =current_step, current_Grad_c,IF(Iterations[[#This Row],[Step]] &gt; current_step, "",Iterations[[#This Row],[Grad_c]]))</f>
        <v/>
      </c>
      <c r="Q135" s="2" t="str">
        <f>IF(Iterations[[#This Row],[Step]] =current_step, current_Grad_d,IF(Iterations[[#This Row],[Step]] &gt; current_step, "",Iterations[[#This Row],[Grad_d]]))</f>
        <v/>
      </c>
      <c r="R135" s="2" t="str">
        <f>IF(Iterations[[#This Row],[Step]] =current_step, current_Grad_e,IF(Iterations[[#This Row],[Step]] &gt; current_step, "",Iterations[[#This Row],[Grad_e]]))</f>
        <v/>
      </c>
    </row>
    <row r="136" spans="6:18" x14ac:dyDescent="0.3">
      <c r="F136" s="2">
        <f t="shared" si="4"/>
        <v>119</v>
      </c>
      <c r="G136" s="2" t="str">
        <f>IF(Iterations[[#This Row],[Step]] =current_step, current_a,IF(Iterations[[#This Row],[Step]] &gt; current_step, "",Iterations[[#This Row],[a]]))</f>
        <v/>
      </c>
      <c r="H136" s="2" t="str">
        <f>IF(Iterations[[#This Row],[Step]] =current_step, current_b,IF(Iterations[[#This Row],[Step]] &gt; current_step, "",Iterations[[#This Row],[b]]))</f>
        <v/>
      </c>
      <c r="I136" s="2" t="str">
        <f>IF(Iterations[[#This Row],[Step]] =current_step, current_c,IF(Iterations[[#This Row],[Step]] &gt; current_step, "",Iterations[[#This Row],[c]]))</f>
        <v/>
      </c>
      <c r="J136" s="2" t="str">
        <f>IF(Iterations[[#This Row],[Step]] =current_step, current_d,IF(Iterations[[#This Row],[Step]] &gt; current_step, "",Iterations[[#This Row],[d]]))</f>
        <v/>
      </c>
      <c r="K136" s="2" t="str">
        <f>IF(Iterations[[#This Row],[Step]] =current_step, current_e,IF(Iterations[[#This Row],[Step]] &gt; current_step, "",Iterations[[#This Row],[e]]))</f>
        <v/>
      </c>
      <c r="L136" s="2" t="str">
        <f>IF(Iterations[[#This Row],[Step]] =current_step, current_Total_Loss,IF(Iterations[[#This Row],[Step]] &gt; current_step, "",Iterations[[#This Row],[Total Loss]]))</f>
        <v/>
      </c>
      <c r="M136" s="6" t="s">
        <v>27</v>
      </c>
      <c r="N136" s="2" t="str">
        <f>IF(Iterations[[#This Row],[Step]] =current_step, current_Grad_a,IF(Iterations[[#This Row],[Step]] &gt; current_step, "",Iterations[[#This Row],[Grad_a]]))</f>
        <v/>
      </c>
      <c r="O136" s="2" t="str">
        <f>IF(Iterations[[#This Row],[Step]] =current_step, current_Grad_b,IF(Iterations[[#This Row],[Step]] &gt; current_step, "",Iterations[[#This Row],[Grad_b]]))</f>
        <v/>
      </c>
      <c r="P136" s="2" t="str">
        <f>IF(Iterations[[#This Row],[Step]] =current_step, current_Grad_c,IF(Iterations[[#This Row],[Step]] &gt; current_step, "",Iterations[[#This Row],[Grad_c]]))</f>
        <v/>
      </c>
      <c r="Q136" s="2" t="str">
        <f>IF(Iterations[[#This Row],[Step]] =current_step, current_Grad_d,IF(Iterations[[#This Row],[Step]] &gt; current_step, "",Iterations[[#This Row],[Grad_d]]))</f>
        <v/>
      </c>
      <c r="R136" s="2" t="str">
        <f>IF(Iterations[[#This Row],[Step]] =current_step, current_Grad_e,IF(Iterations[[#This Row],[Step]] &gt; current_step, "",Iterations[[#This Row],[Grad_e]]))</f>
        <v/>
      </c>
    </row>
    <row r="137" spans="6:18" x14ac:dyDescent="0.3">
      <c r="F137" s="2">
        <f t="shared" si="4"/>
        <v>120</v>
      </c>
      <c r="G137" s="2" t="str">
        <f>IF(Iterations[[#This Row],[Step]] =current_step, current_a,IF(Iterations[[#This Row],[Step]] &gt; current_step, "",Iterations[[#This Row],[a]]))</f>
        <v/>
      </c>
      <c r="H137" s="2" t="str">
        <f>IF(Iterations[[#This Row],[Step]] =current_step, current_b,IF(Iterations[[#This Row],[Step]] &gt; current_step, "",Iterations[[#This Row],[b]]))</f>
        <v/>
      </c>
      <c r="I137" s="2" t="str">
        <f>IF(Iterations[[#This Row],[Step]] =current_step, current_c,IF(Iterations[[#This Row],[Step]] &gt; current_step, "",Iterations[[#This Row],[c]]))</f>
        <v/>
      </c>
      <c r="J137" s="2" t="str">
        <f>IF(Iterations[[#This Row],[Step]] =current_step, current_d,IF(Iterations[[#This Row],[Step]] &gt; current_step, "",Iterations[[#This Row],[d]]))</f>
        <v/>
      </c>
      <c r="K137" s="2" t="str">
        <f>IF(Iterations[[#This Row],[Step]] =current_step, current_e,IF(Iterations[[#This Row],[Step]] &gt; current_step, "",Iterations[[#This Row],[e]]))</f>
        <v/>
      </c>
      <c r="L137" s="2" t="str">
        <f>IF(Iterations[[#This Row],[Step]] =current_step, current_Total_Loss,IF(Iterations[[#This Row],[Step]] &gt; current_step, "",Iterations[[#This Row],[Total Loss]]))</f>
        <v/>
      </c>
      <c r="M137" s="6" t="s">
        <v>27</v>
      </c>
      <c r="N137" s="2" t="str">
        <f>IF(Iterations[[#This Row],[Step]] =current_step, current_Grad_a,IF(Iterations[[#This Row],[Step]] &gt; current_step, "",Iterations[[#This Row],[Grad_a]]))</f>
        <v/>
      </c>
      <c r="O137" s="2" t="str">
        <f>IF(Iterations[[#This Row],[Step]] =current_step, current_Grad_b,IF(Iterations[[#This Row],[Step]] &gt; current_step, "",Iterations[[#This Row],[Grad_b]]))</f>
        <v/>
      </c>
      <c r="P137" s="2" t="str">
        <f>IF(Iterations[[#This Row],[Step]] =current_step, current_Grad_c,IF(Iterations[[#This Row],[Step]] &gt; current_step, "",Iterations[[#This Row],[Grad_c]]))</f>
        <v/>
      </c>
      <c r="Q137" s="2" t="str">
        <f>IF(Iterations[[#This Row],[Step]] =current_step, current_Grad_d,IF(Iterations[[#This Row],[Step]] &gt; current_step, "",Iterations[[#This Row],[Grad_d]]))</f>
        <v/>
      </c>
      <c r="R137" s="2" t="str">
        <f>IF(Iterations[[#This Row],[Step]] =current_step, current_Grad_e,IF(Iterations[[#This Row],[Step]] &gt; current_step, "",Iterations[[#This Row],[Grad_e]]))</f>
        <v/>
      </c>
    </row>
    <row r="138" spans="6:18" x14ac:dyDescent="0.3">
      <c r="F138" s="2">
        <f t="shared" si="4"/>
        <v>121</v>
      </c>
      <c r="G138" s="2" t="str">
        <f>IF(Iterations[[#This Row],[Step]] =current_step, current_a,IF(Iterations[[#This Row],[Step]] &gt; current_step, "",Iterations[[#This Row],[a]]))</f>
        <v/>
      </c>
      <c r="H138" s="2" t="str">
        <f>IF(Iterations[[#This Row],[Step]] =current_step, current_b,IF(Iterations[[#This Row],[Step]] &gt; current_step, "",Iterations[[#This Row],[b]]))</f>
        <v/>
      </c>
      <c r="I138" s="2" t="str">
        <f>IF(Iterations[[#This Row],[Step]] =current_step, current_c,IF(Iterations[[#This Row],[Step]] &gt; current_step, "",Iterations[[#This Row],[c]]))</f>
        <v/>
      </c>
      <c r="J138" s="2" t="str">
        <f>IF(Iterations[[#This Row],[Step]] =current_step, current_d,IF(Iterations[[#This Row],[Step]] &gt; current_step, "",Iterations[[#This Row],[d]]))</f>
        <v/>
      </c>
      <c r="K138" s="2" t="str">
        <f>IF(Iterations[[#This Row],[Step]] =current_step, current_e,IF(Iterations[[#This Row],[Step]] &gt; current_step, "",Iterations[[#This Row],[e]]))</f>
        <v/>
      </c>
      <c r="L138" s="2" t="str">
        <f>IF(Iterations[[#This Row],[Step]] =current_step, current_Total_Loss,IF(Iterations[[#This Row],[Step]] &gt; current_step, "",Iterations[[#This Row],[Total Loss]]))</f>
        <v/>
      </c>
      <c r="M138" s="6" t="s">
        <v>27</v>
      </c>
      <c r="N138" s="2" t="str">
        <f>IF(Iterations[[#This Row],[Step]] =current_step, current_Grad_a,IF(Iterations[[#This Row],[Step]] &gt; current_step, "",Iterations[[#This Row],[Grad_a]]))</f>
        <v/>
      </c>
      <c r="O138" s="2" t="str">
        <f>IF(Iterations[[#This Row],[Step]] =current_step, current_Grad_b,IF(Iterations[[#This Row],[Step]] &gt; current_step, "",Iterations[[#This Row],[Grad_b]]))</f>
        <v/>
      </c>
      <c r="P138" s="2" t="str">
        <f>IF(Iterations[[#This Row],[Step]] =current_step, current_Grad_c,IF(Iterations[[#This Row],[Step]] &gt; current_step, "",Iterations[[#This Row],[Grad_c]]))</f>
        <v/>
      </c>
      <c r="Q138" s="2" t="str">
        <f>IF(Iterations[[#This Row],[Step]] =current_step, current_Grad_d,IF(Iterations[[#This Row],[Step]] &gt; current_step, "",Iterations[[#This Row],[Grad_d]]))</f>
        <v/>
      </c>
      <c r="R138" s="2" t="str">
        <f>IF(Iterations[[#This Row],[Step]] =current_step, current_Grad_e,IF(Iterations[[#This Row],[Step]] &gt; current_step, "",Iterations[[#This Row],[Grad_e]]))</f>
        <v/>
      </c>
    </row>
    <row r="139" spans="6:18" x14ac:dyDescent="0.3">
      <c r="F139" s="2">
        <f t="shared" si="4"/>
        <v>122</v>
      </c>
      <c r="G139" s="2" t="str">
        <f>IF(Iterations[[#This Row],[Step]] =current_step, current_a,IF(Iterations[[#This Row],[Step]] &gt; current_step, "",Iterations[[#This Row],[a]]))</f>
        <v/>
      </c>
      <c r="H139" s="2" t="str">
        <f>IF(Iterations[[#This Row],[Step]] =current_step, current_b,IF(Iterations[[#This Row],[Step]] &gt; current_step, "",Iterations[[#This Row],[b]]))</f>
        <v/>
      </c>
      <c r="I139" s="2" t="str">
        <f>IF(Iterations[[#This Row],[Step]] =current_step, current_c,IF(Iterations[[#This Row],[Step]] &gt; current_step, "",Iterations[[#This Row],[c]]))</f>
        <v/>
      </c>
      <c r="J139" s="2" t="str">
        <f>IF(Iterations[[#This Row],[Step]] =current_step, current_d,IF(Iterations[[#This Row],[Step]] &gt; current_step, "",Iterations[[#This Row],[d]]))</f>
        <v/>
      </c>
      <c r="K139" s="2" t="str">
        <f>IF(Iterations[[#This Row],[Step]] =current_step, current_e,IF(Iterations[[#This Row],[Step]] &gt; current_step, "",Iterations[[#This Row],[e]]))</f>
        <v/>
      </c>
      <c r="L139" s="2" t="str">
        <f>IF(Iterations[[#This Row],[Step]] =current_step, current_Total_Loss,IF(Iterations[[#This Row],[Step]] &gt; current_step, "",Iterations[[#This Row],[Total Loss]]))</f>
        <v/>
      </c>
      <c r="M139" s="6" t="s">
        <v>27</v>
      </c>
      <c r="N139" s="2" t="str">
        <f>IF(Iterations[[#This Row],[Step]] =current_step, current_Grad_a,IF(Iterations[[#This Row],[Step]] &gt; current_step, "",Iterations[[#This Row],[Grad_a]]))</f>
        <v/>
      </c>
      <c r="O139" s="2" t="str">
        <f>IF(Iterations[[#This Row],[Step]] =current_step, current_Grad_b,IF(Iterations[[#This Row],[Step]] &gt; current_step, "",Iterations[[#This Row],[Grad_b]]))</f>
        <v/>
      </c>
      <c r="P139" s="2" t="str">
        <f>IF(Iterations[[#This Row],[Step]] =current_step, current_Grad_c,IF(Iterations[[#This Row],[Step]] &gt; current_step, "",Iterations[[#This Row],[Grad_c]]))</f>
        <v/>
      </c>
      <c r="Q139" s="2" t="str">
        <f>IF(Iterations[[#This Row],[Step]] =current_step, current_Grad_d,IF(Iterations[[#This Row],[Step]] &gt; current_step, "",Iterations[[#This Row],[Grad_d]]))</f>
        <v/>
      </c>
      <c r="R139" s="2" t="str">
        <f>IF(Iterations[[#This Row],[Step]] =current_step, current_Grad_e,IF(Iterations[[#This Row],[Step]] &gt; current_step, "",Iterations[[#This Row],[Grad_e]]))</f>
        <v/>
      </c>
    </row>
    <row r="140" spans="6:18" x14ac:dyDescent="0.3">
      <c r="F140" s="2">
        <f t="shared" si="4"/>
        <v>123</v>
      </c>
      <c r="G140" s="2" t="str">
        <f>IF(Iterations[[#This Row],[Step]] =current_step, current_a,IF(Iterations[[#This Row],[Step]] &gt; current_step, "",Iterations[[#This Row],[a]]))</f>
        <v/>
      </c>
      <c r="H140" s="2" t="str">
        <f>IF(Iterations[[#This Row],[Step]] =current_step, current_b,IF(Iterations[[#This Row],[Step]] &gt; current_step, "",Iterations[[#This Row],[b]]))</f>
        <v/>
      </c>
      <c r="I140" s="2" t="str">
        <f>IF(Iterations[[#This Row],[Step]] =current_step, current_c,IF(Iterations[[#This Row],[Step]] &gt; current_step, "",Iterations[[#This Row],[c]]))</f>
        <v/>
      </c>
      <c r="J140" s="2" t="str">
        <f>IF(Iterations[[#This Row],[Step]] =current_step, current_d,IF(Iterations[[#This Row],[Step]] &gt; current_step, "",Iterations[[#This Row],[d]]))</f>
        <v/>
      </c>
      <c r="K140" s="2" t="str">
        <f>IF(Iterations[[#This Row],[Step]] =current_step, current_e,IF(Iterations[[#This Row],[Step]] &gt; current_step, "",Iterations[[#This Row],[e]]))</f>
        <v/>
      </c>
      <c r="L140" s="2" t="str">
        <f>IF(Iterations[[#This Row],[Step]] =current_step, current_Total_Loss,IF(Iterations[[#This Row],[Step]] &gt; current_step, "",Iterations[[#This Row],[Total Loss]]))</f>
        <v/>
      </c>
      <c r="M140" s="6" t="s">
        <v>27</v>
      </c>
      <c r="N140" s="2" t="str">
        <f>IF(Iterations[[#This Row],[Step]] =current_step, current_Grad_a,IF(Iterations[[#This Row],[Step]] &gt; current_step, "",Iterations[[#This Row],[Grad_a]]))</f>
        <v/>
      </c>
      <c r="O140" s="2" t="str">
        <f>IF(Iterations[[#This Row],[Step]] =current_step, current_Grad_b,IF(Iterations[[#This Row],[Step]] &gt; current_step, "",Iterations[[#This Row],[Grad_b]]))</f>
        <v/>
      </c>
      <c r="P140" s="2" t="str">
        <f>IF(Iterations[[#This Row],[Step]] =current_step, current_Grad_c,IF(Iterations[[#This Row],[Step]] &gt; current_step, "",Iterations[[#This Row],[Grad_c]]))</f>
        <v/>
      </c>
      <c r="Q140" s="2" t="str">
        <f>IF(Iterations[[#This Row],[Step]] =current_step, current_Grad_d,IF(Iterations[[#This Row],[Step]] &gt; current_step, "",Iterations[[#This Row],[Grad_d]]))</f>
        <v/>
      </c>
      <c r="R140" s="2" t="str">
        <f>IF(Iterations[[#This Row],[Step]] =current_step, current_Grad_e,IF(Iterations[[#This Row],[Step]] &gt; current_step, "",Iterations[[#This Row],[Grad_e]]))</f>
        <v/>
      </c>
    </row>
    <row r="141" spans="6:18" x14ac:dyDescent="0.3">
      <c r="F141" s="2">
        <f t="shared" si="4"/>
        <v>124</v>
      </c>
      <c r="G141" s="2" t="str">
        <f>IF(Iterations[[#This Row],[Step]] =current_step, current_a,IF(Iterations[[#This Row],[Step]] &gt; current_step, "",Iterations[[#This Row],[a]]))</f>
        <v/>
      </c>
      <c r="H141" s="2" t="str">
        <f>IF(Iterations[[#This Row],[Step]] =current_step, current_b,IF(Iterations[[#This Row],[Step]] &gt; current_step, "",Iterations[[#This Row],[b]]))</f>
        <v/>
      </c>
      <c r="I141" s="2" t="str">
        <f>IF(Iterations[[#This Row],[Step]] =current_step, current_c,IF(Iterations[[#This Row],[Step]] &gt; current_step, "",Iterations[[#This Row],[c]]))</f>
        <v/>
      </c>
      <c r="J141" s="2" t="str">
        <f>IF(Iterations[[#This Row],[Step]] =current_step, current_d,IF(Iterations[[#This Row],[Step]] &gt; current_step, "",Iterations[[#This Row],[d]]))</f>
        <v/>
      </c>
      <c r="K141" s="2" t="str">
        <f>IF(Iterations[[#This Row],[Step]] =current_step, current_e,IF(Iterations[[#This Row],[Step]] &gt; current_step, "",Iterations[[#This Row],[e]]))</f>
        <v/>
      </c>
      <c r="L141" s="2" t="str">
        <f>IF(Iterations[[#This Row],[Step]] =current_step, current_Total_Loss,IF(Iterations[[#This Row],[Step]] &gt; current_step, "",Iterations[[#This Row],[Total Loss]]))</f>
        <v/>
      </c>
      <c r="M141" s="6" t="s">
        <v>27</v>
      </c>
      <c r="N141" s="2" t="str">
        <f>IF(Iterations[[#This Row],[Step]] =current_step, current_Grad_a,IF(Iterations[[#This Row],[Step]] &gt; current_step, "",Iterations[[#This Row],[Grad_a]]))</f>
        <v/>
      </c>
      <c r="O141" s="2" t="str">
        <f>IF(Iterations[[#This Row],[Step]] =current_step, current_Grad_b,IF(Iterations[[#This Row],[Step]] &gt; current_step, "",Iterations[[#This Row],[Grad_b]]))</f>
        <v/>
      </c>
      <c r="P141" s="2" t="str">
        <f>IF(Iterations[[#This Row],[Step]] =current_step, current_Grad_c,IF(Iterations[[#This Row],[Step]] &gt; current_step, "",Iterations[[#This Row],[Grad_c]]))</f>
        <v/>
      </c>
      <c r="Q141" s="2" t="str">
        <f>IF(Iterations[[#This Row],[Step]] =current_step, current_Grad_d,IF(Iterations[[#This Row],[Step]] &gt; current_step, "",Iterations[[#This Row],[Grad_d]]))</f>
        <v/>
      </c>
      <c r="R141" s="2" t="str">
        <f>IF(Iterations[[#This Row],[Step]] =current_step, current_Grad_e,IF(Iterations[[#This Row],[Step]] &gt; current_step, "",Iterations[[#This Row],[Grad_e]]))</f>
        <v/>
      </c>
    </row>
    <row r="142" spans="6:18" x14ac:dyDescent="0.3">
      <c r="F142" s="2">
        <f t="shared" si="4"/>
        <v>125</v>
      </c>
      <c r="G142" s="2" t="str">
        <f>IF(Iterations[[#This Row],[Step]] =current_step, current_a,IF(Iterations[[#This Row],[Step]] &gt; current_step, "",Iterations[[#This Row],[a]]))</f>
        <v/>
      </c>
      <c r="H142" s="2" t="str">
        <f>IF(Iterations[[#This Row],[Step]] =current_step, current_b,IF(Iterations[[#This Row],[Step]] &gt; current_step, "",Iterations[[#This Row],[b]]))</f>
        <v/>
      </c>
      <c r="I142" s="2" t="str">
        <f>IF(Iterations[[#This Row],[Step]] =current_step, current_c,IF(Iterations[[#This Row],[Step]] &gt; current_step, "",Iterations[[#This Row],[c]]))</f>
        <v/>
      </c>
      <c r="J142" s="2" t="str">
        <f>IF(Iterations[[#This Row],[Step]] =current_step, current_d,IF(Iterations[[#This Row],[Step]] &gt; current_step, "",Iterations[[#This Row],[d]]))</f>
        <v/>
      </c>
      <c r="K142" s="2" t="str">
        <f>IF(Iterations[[#This Row],[Step]] =current_step, current_e,IF(Iterations[[#This Row],[Step]] &gt; current_step, "",Iterations[[#This Row],[e]]))</f>
        <v/>
      </c>
      <c r="L142" s="2" t="str">
        <f>IF(Iterations[[#This Row],[Step]] =current_step, current_Total_Loss,IF(Iterations[[#This Row],[Step]] &gt; current_step, "",Iterations[[#This Row],[Total Loss]]))</f>
        <v/>
      </c>
      <c r="M142" s="6" t="s">
        <v>27</v>
      </c>
      <c r="N142" s="2" t="str">
        <f>IF(Iterations[[#This Row],[Step]] =current_step, current_Grad_a,IF(Iterations[[#This Row],[Step]] &gt; current_step, "",Iterations[[#This Row],[Grad_a]]))</f>
        <v/>
      </c>
      <c r="O142" s="2" t="str">
        <f>IF(Iterations[[#This Row],[Step]] =current_step, current_Grad_b,IF(Iterations[[#This Row],[Step]] &gt; current_step, "",Iterations[[#This Row],[Grad_b]]))</f>
        <v/>
      </c>
      <c r="P142" s="2" t="str">
        <f>IF(Iterations[[#This Row],[Step]] =current_step, current_Grad_c,IF(Iterations[[#This Row],[Step]] &gt; current_step, "",Iterations[[#This Row],[Grad_c]]))</f>
        <v/>
      </c>
      <c r="Q142" s="2" t="str">
        <f>IF(Iterations[[#This Row],[Step]] =current_step, current_Grad_d,IF(Iterations[[#This Row],[Step]] &gt; current_step, "",Iterations[[#This Row],[Grad_d]]))</f>
        <v/>
      </c>
      <c r="R142" s="2" t="str">
        <f>IF(Iterations[[#This Row],[Step]] =current_step, current_Grad_e,IF(Iterations[[#This Row],[Step]] &gt; current_step, "",Iterations[[#This Row],[Grad_e]]))</f>
        <v/>
      </c>
    </row>
    <row r="143" spans="6:18" x14ac:dyDescent="0.3">
      <c r="F143" s="2">
        <f t="shared" si="4"/>
        <v>126</v>
      </c>
      <c r="G143" s="2" t="str">
        <f>IF(Iterations[[#This Row],[Step]] =current_step, current_a,IF(Iterations[[#This Row],[Step]] &gt; current_step, "",Iterations[[#This Row],[a]]))</f>
        <v/>
      </c>
      <c r="H143" s="2" t="str">
        <f>IF(Iterations[[#This Row],[Step]] =current_step, current_b,IF(Iterations[[#This Row],[Step]] &gt; current_step, "",Iterations[[#This Row],[b]]))</f>
        <v/>
      </c>
      <c r="I143" s="2" t="str">
        <f>IF(Iterations[[#This Row],[Step]] =current_step, current_c,IF(Iterations[[#This Row],[Step]] &gt; current_step, "",Iterations[[#This Row],[c]]))</f>
        <v/>
      </c>
      <c r="J143" s="2" t="str">
        <f>IF(Iterations[[#This Row],[Step]] =current_step, current_d,IF(Iterations[[#This Row],[Step]] &gt; current_step, "",Iterations[[#This Row],[d]]))</f>
        <v/>
      </c>
      <c r="K143" s="2" t="str">
        <f>IF(Iterations[[#This Row],[Step]] =current_step, current_e,IF(Iterations[[#This Row],[Step]] &gt; current_step, "",Iterations[[#This Row],[e]]))</f>
        <v/>
      </c>
      <c r="L143" s="2" t="str">
        <f>IF(Iterations[[#This Row],[Step]] =current_step, current_Total_Loss,IF(Iterations[[#This Row],[Step]] &gt; current_step, "",Iterations[[#This Row],[Total Loss]]))</f>
        <v/>
      </c>
      <c r="M143" s="6" t="s">
        <v>27</v>
      </c>
      <c r="N143" s="2" t="str">
        <f>IF(Iterations[[#This Row],[Step]] =current_step, current_Grad_a,IF(Iterations[[#This Row],[Step]] &gt; current_step, "",Iterations[[#This Row],[Grad_a]]))</f>
        <v/>
      </c>
      <c r="O143" s="2" t="str">
        <f>IF(Iterations[[#This Row],[Step]] =current_step, current_Grad_b,IF(Iterations[[#This Row],[Step]] &gt; current_step, "",Iterations[[#This Row],[Grad_b]]))</f>
        <v/>
      </c>
      <c r="P143" s="2" t="str">
        <f>IF(Iterations[[#This Row],[Step]] =current_step, current_Grad_c,IF(Iterations[[#This Row],[Step]] &gt; current_step, "",Iterations[[#This Row],[Grad_c]]))</f>
        <v/>
      </c>
      <c r="Q143" s="2" t="str">
        <f>IF(Iterations[[#This Row],[Step]] =current_step, current_Grad_d,IF(Iterations[[#This Row],[Step]] &gt; current_step, "",Iterations[[#This Row],[Grad_d]]))</f>
        <v/>
      </c>
      <c r="R143" s="2" t="str">
        <f>IF(Iterations[[#This Row],[Step]] =current_step, current_Grad_e,IF(Iterations[[#This Row],[Step]] &gt; current_step, "",Iterations[[#This Row],[Grad_e]]))</f>
        <v/>
      </c>
    </row>
    <row r="144" spans="6:18" x14ac:dyDescent="0.3">
      <c r="F144" s="2">
        <f t="shared" si="4"/>
        <v>127</v>
      </c>
      <c r="G144" s="2" t="str">
        <f>IF(Iterations[[#This Row],[Step]] =current_step, current_a,IF(Iterations[[#This Row],[Step]] &gt; current_step, "",Iterations[[#This Row],[a]]))</f>
        <v/>
      </c>
      <c r="H144" s="2" t="str">
        <f>IF(Iterations[[#This Row],[Step]] =current_step, current_b,IF(Iterations[[#This Row],[Step]] &gt; current_step, "",Iterations[[#This Row],[b]]))</f>
        <v/>
      </c>
      <c r="I144" s="2" t="str">
        <f>IF(Iterations[[#This Row],[Step]] =current_step, current_c,IF(Iterations[[#This Row],[Step]] &gt; current_step, "",Iterations[[#This Row],[c]]))</f>
        <v/>
      </c>
      <c r="J144" s="2" t="str">
        <f>IF(Iterations[[#This Row],[Step]] =current_step, current_d,IF(Iterations[[#This Row],[Step]] &gt; current_step, "",Iterations[[#This Row],[d]]))</f>
        <v/>
      </c>
      <c r="K144" s="2" t="str">
        <f>IF(Iterations[[#This Row],[Step]] =current_step, current_e,IF(Iterations[[#This Row],[Step]] &gt; current_step, "",Iterations[[#This Row],[e]]))</f>
        <v/>
      </c>
      <c r="L144" s="2" t="str">
        <f>IF(Iterations[[#This Row],[Step]] =current_step, current_Total_Loss,IF(Iterations[[#This Row],[Step]] &gt; current_step, "",Iterations[[#This Row],[Total Loss]]))</f>
        <v/>
      </c>
      <c r="M144" s="6" t="s">
        <v>27</v>
      </c>
      <c r="N144" s="2" t="str">
        <f>IF(Iterations[[#This Row],[Step]] =current_step, current_Grad_a,IF(Iterations[[#This Row],[Step]] &gt; current_step, "",Iterations[[#This Row],[Grad_a]]))</f>
        <v/>
      </c>
      <c r="O144" s="2" t="str">
        <f>IF(Iterations[[#This Row],[Step]] =current_step, current_Grad_b,IF(Iterations[[#This Row],[Step]] &gt; current_step, "",Iterations[[#This Row],[Grad_b]]))</f>
        <v/>
      </c>
      <c r="P144" s="2" t="str">
        <f>IF(Iterations[[#This Row],[Step]] =current_step, current_Grad_c,IF(Iterations[[#This Row],[Step]] &gt; current_step, "",Iterations[[#This Row],[Grad_c]]))</f>
        <v/>
      </c>
      <c r="Q144" s="2" t="str">
        <f>IF(Iterations[[#This Row],[Step]] =current_step, current_Grad_d,IF(Iterations[[#This Row],[Step]] &gt; current_step, "",Iterations[[#This Row],[Grad_d]]))</f>
        <v/>
      </c>
      <c r="R144" s="2" t="str">
        <f>IF(Iterations[[#This Row],[Step]] =current_step, current_Grad_e,IF(Iterations[[#This Row],[Step]] &gt; current_step, "",Iterations[[#This Row],[Grad_e]]))</f>
        <v/>
      </c>
    </row>
    <row r="145" spans="6:18" x14ac:dyDescent="0.3">
      <c r="F145" s="2">
        <f t="shared" si="4"/>
        <v>128</v>
      </c>
      <c r="G145" s="2" t="str">
        <f>IF(Iterations[[#This Row],[Step]] =current_step, current_a,IF(Iterations[[#This Row],[Step]] &gt; current_step, "",Iterations[[#This Row],[a]]))</f>
        <v/>
      </c>
      <c r="H145" s="2" t="str">
        <f>IF(Iterations[[#This Row],[Step]] =current_step, current_b,IF(Iterations[[#This Row],[Step]] &gt; current_step, "",Iterations[[#This Row],[b]]))</f>
        <v/>
      </c>
      <c r="I145" s="2" t="str">
        <f>IF(Iterations[[#This Row],[Step]] =current_step, current_c,IF(Iterations[[#This Row],[Step]] &gt; current_step, "",Iterations[[#This Row],[c]]))</f>
        <v/>
      </c>
      <c r="J145" s="2" t="str">
        <f>IF(Iterations[[#This Row],[Step]] =current_step, current_d,IF(Iterations[[#This Row],[Step]] &gt; current_step, "",Iterations[[#This Row],[d]]))</f>
        <v/>
      </c>
      <c r="K145" s="2" t="str">
        <f>IF(Iterations[[#This Row],[Step]] =current_step, current_e,IF(Iterations[[#This Row],[Step]] &gt; current_step, "",Iterations[[#This Row],[e]]))</f>
        <v/>
      </c>
      <c r="L145" s="2" t="str">
        <f>IF(Iterations[[#This Row],[Step]] =current_step, current_Total_Loss,IF(Iterations[[#This Row],[Step]] &gt; current_step, "",Iterations[[#This Row],[Total Loss]]))</f>
        <v/>
      </c>
      <c r="M145" s="6" t="s">
        <v>27</v>
      </c>
      <c r="N145" s="2" t="str">
        <f>IF(Iterations[[#This Row],[Step]] =current_step, current_Grad_a,IF(Iterations[[#This Row],[Step]] &gt; current_step, "",Iterations[[#This Row],[Grad_a]]))</f>
        <v/>
      </c>
      <c r="O145" s="2" t="str">
        <f>IF(Iterations[[#This Row],[Step]] =current_step, current_Grad_b,IF(Iterations[[#This Row],[Step]] &gt; current_step, "",Iterations[[#This Row],[Grad_b]]))</f>
        <v/>
      </c>
      <c r="P145" s="2" t="str">
        <f>IF(Iterations[[#This Row],[Step]] =current_step, current_Grad_c,IF(Iterations[[#This Row],[Step]] &gt; current_step, "",Iterations[[#This Row],[Grad_c]]))</f>
        <v/>
      </c>
      <c r="Q145" s="2" t="str">
        <f>IF(Iterations[[#This Row],[Step]] =current_step, current_Grad_d,IF(Iterations[[#This Row],[Step]] &gt; current_step, "",Iterations[[#This Row],[Grad_d]]))</f>
        <v/>
      </c>
      <c r="R145" s="2" t="str">
        <f>IF(Iterations[[#This Row],[Step]] =current_step, current_Grad_e,IF(Iterations[[#This Row],[Step]] &gt; current_step, "",Iterations[[#This Row],[Grad_e]]))</f>
        <v/>
      </c>
    </row>
    <row r="146" spans="6:18" x14ac:dyDescent="0.3">
      <c r="F146" s="2">
        <f t="shared" si="4"/>
        <v>129</v>
      </c>
      <c r="G146" s="2" t="str">
        <f>IF(Iterations[[#This Row],[Step]] =current_step, current_a,IF(Iterations[[#This Row],[Step]] &gt; current_step, "",Iterations[[#This Row],[a]]))</f>
        <v/>
      </c>
      <c r="H146" s="2" t="str">
        <f>IF(Iterations[[#This Row],[Step]] =current_step, current_b,IF(Iterations[[#This Row],[Step]] &gt; current_step, "",Iterations[[#This Row],[b]]))</f>
        <v/>
      </c>
      <c r="I146" s="2" t="str">
        <f>IF(Iterations[[#This Row],[Step]] =current_step, current_c,IF(Iterations[[#This Row],[Step]] &gt; current_step, "",Iterations[[#This Row],[c]]))</f>
        <v/>
      </c>
      <c r="J146" s="2" t="str">
        <f>IF(Iterations[[#This Row],[Step]] =current_step, current_d,IF(Iterations[[#This Row],[Step]] &gt; current_step, "",Iterations[[#This Row],[d]]))</f>
        <v/>
      </c>
      <c r="K146" s="2" t="str">
        <f>IF(Iterations[[#This Row],[Step]] =current_step, current_e,IF(Iterations[[#This Row],[Step]] &gt; current_step, "",Iterations[[#This Row],[e]]))</f>
        <v/>
      </c>
      <c r="L146" s="2" t="str">
        <f>IF(Iterations[[#This Row],[Step]] =current_step, current_Total_Loss,IF(Iterations[[#This Row],[Step]] &gt; current_step, "",Iterations[[#This Row],[Total Loss]]))</f>
        <v/>
      </c>
      <c r="M146" s="6" t="s">
        <v>27</v>
      </c>
      <c r="N146" s="2" t="str">
        <f>IF(Iterations[[#This Row],[Step]] =current_step, current_Grad_a,IF(Iterations[[#This Row],[Step]] &gt; current_step, "",Iterations[[#This Row],[Grad_a]]))</f>
        <v/>
      </c>
      <c r="O146" s="2" t="str">
        <f>IF(Iterations[[#This Row],[Step]] =current_step, current_Grad_b,IF(Iterations[[#This Row],[Step]] &gt; current_step, "",Iterations[[#This Row],[Grad_b]]))</f>
        <v/>
      </c>
      <c r="P146" s="2" t="str">
        <f>IF(Iterations[[#This Row],[Step]] =current_step, current_Grad_c,IF(Iterations[[#This Row],[Step]] &gt; current_step, "",Iterations[[#This Row],[Grad_c]]))</f>
        <v/>
      </c>
      <c r="Q146" s="2" t="str">
        <f>IF(Iterations[[#This Row],[Step]] =current_step, current_Grad_d,IF(Iterations[[#This Row],[Step]] &gt; current_step, "",Iterations[[#This Row],[Grad_d]]))</f>
        <v/>
      </c>
      <c r="R146" s="2" t="str">
        <f>IF(Iterations[[#This Row],[Step]] =current_step, current_Grad_e,IF(Iterations[[#This Row],[Step]] &gt; current_step, "",Iterations[[#This Row],[Grad_e]]))</f>
        <v/>
      </c>
    </row>
    <row r="147" spans="6:18" x14ac:dyDescent="0.3">
      <c r="F147" s="2">
        <f t="shared" si="4"/>
        <v>130</v>
      </c>
      <c r="G147" s="2" t="str">
        <f>IF(Iterations[[#This Row],[Step]] =current_step, current_a,IF(Iterations[[#This Row],[Step]] &gt; current_step, "",Iterations[[#This Row],[a]]))</f>
        <v/>
      </c>
      <c r="H147" s="2" t="str">
        <f>IF(Iterations[[#This Row],[Step]] =current_step, current_b,IF(Iterations[[#This Row],[Step]] &gt; current_step, "",Iterations[[#This Row],[b]]))</f>
        <v/>
      </c>
      <c r="I147" s="2" t="str">
        <f>IF(Iterations[[#This Row],[Step]] =current_step, current_c,IF(Iterations[[#This Row],[Step]] &gt; current_step, "",Iterations[[#This Row],[c]]))</f>
        <v/>
      </c>
      <c r="J147" s="2" t="str">
        <f>IF(Iterations[[#This Row],[Step]] =current_step, current_d,IF(Iterations[[#This Row],[Step]] &gt; current_step, "",Iterations[[#This Row],[d]]))</f>
        <v/>
      </c>
      <c r="K147" s="2" t="str">
        <f>IF(Iterations[[#This Row],[Step]] =current_step, current_e,IF(Iterations[[#This Row],[Step]] &gt; current_step, "",Iterations[[#This Row],[e]]))</f>
        <v/>
      </c>
      <c r="L147" s="2" t="str">
        <f>IF(Iterations[[#This Row],[Step]] =current_step, current_Total_Loss,IF(Iterations[[#This Row],[Step]] &gt; current_step, "",Iterations[[#This Row],[Total Loss]]))</f>
        <v/>
      </c>
      <c r="M147" s="6" t="s">
        <v>27</v>
      </c>
      <c r="N147" s="2" t="str">
        <f>IF(Iterations[[#This Row],[Step]] =current_step, current_Grad_a,IF(Iterations[[#This Row],[Step]] &gt; current_step, "",Iterations[[#This Row],[Grad_a]]))</f>
        <v/>
      </c>
      <c r="O147" s="2" t="str">
        <f>IF(Iterations[[#This Row],[Step]] =current_step, current_Grad_b,IF(Iterations[[#This Row],[Step]] &gt; current_step, "",Iterations[[#This Row],[Grad_b]]))</f>
        <v/>
      </c>
      <c r="P147" s="2" t="str">
        <f>IF(Iterations[[#This Row],[Step]] =current_step, current_Grad_c,IF(Iterations[[#This Row],[Step]] &gt; current_step, "",Iterations[[#This Row],[Grad_c]]))</f>
        <v/>
      </c>
      <c r="Q147" s="2" t="str">
        <f>IF(Iterations[[#This Row],[Step]] =current_step, current_Grad_d,IF(Iterations[[#This Row],[Step]] &gt; current_step, "",Iterations[[#This Row],[Grad_d]]))</f>
        <v/>
      </c>
      <c r="R147" s="2" t="str">
        <f>IF(Iterations[[#This Row],[Step]] =current_step, current_Grad_e,IF(Iterations[[#This Row],[Step]] &gt; current_step, "",Iterations[[#This Row],[Grad_e]]))</f>
        <v/>
      </c>
    </row>
    <row r="148" spans="6:18" x14ac:dyDescent="0.3">
      <c r="F148" s="2">
        <f t="shared" si="4"/>
        <v>131</v>
      </c>
      <c r="G148" s="2" t="str">
        <f>IF(Iterations[[#This Row],[Step]] =current_step, current_a,IF(Iterations[[#This Row],[Step]] &gt; current_step, "",Iterations[[#This Row],[a]]))</f>
        <v/>
      </c>
      <c r="H148" s="2" t="str">
        <f>IF(Iterations[[#This Row],[Step]] =current_step, current_b,IF(Iterations[[#This Row],[Step]] &gt; current_step, "",Iterations[[#This Row],[b]]))</f>
        <v/>
      </c>
      <c r="I148" s="2" t="str">
        <f>IF(Iterations[[#This Row],[Step]] =current_step, current_c,IF(Iterations[[#This Row],[Step]] &gt; current_step, "",Iterations[[#This Row],[c]]))</f>
        <v/>
      </c>
      <c r="J148" s="2" t="str">
        <f>IF(Iterations[[#This Row],[Step]] =current_step, current_d,IF(Iterations[[#This Row],[Step]] &gt; current_step, "",Iterations[[#This Row],[d]]))</f>
        <v/>
      </c>
      <c r="K148" s="2" t="str">
        <f>IF(Iterations[[#This Row],[Step]] =current_step, current_e,IF(Iterations[[#This Row],[Step]] &gt; current_step, "",Iterations[[#This Row],[e]]))</f>
        <v/>
      </c>
      <c r="L148" s="2" t="str">
        <f>IF(Iterations[[#This Row],[Step]] =current_step, current_Total_Loss,IF(Iterations[[#This Row],[Step]] &gt; current_step, "",Iterations[[#This Row],[Total Loss]]))</f>
        <v/>
      </c>
      <c r="M148" s="6" t="s">
        <v>27</v>
      </c>
      <c r="N148" s="2" t="str">
        <f>IF(Iterations[[#This Row],[Step]] =current_step, current_Grad_a,IF(Iterations[[#This Row],[Step]] &gt; current_step, "",Iterations[[#This Row],[Grad_a]]))</f>
        <v/>
      </c>
      <c r="O148" s="2" t="str">
        <f>IF(Iterations[[#This Row],[Step]] =current_step, current_Grad_b,IF(Iterations[[#This Row],[Step]] &gt; current_step, "",Iterations[[#This Row],[Grad_b]]))</f>
        <v/>
      </c>
      <c r="P148" s="2" t="str">
        <f>IF(Iterations[[#This Row],[Step]] =current_step, current_Grad_c,IF(Iterations[[#This Row],[Step]] &gt; current_step, "",Iterations[[#This Row],[Grad_c]]))</f>
        <v/>
      </c>
      <c r="Q148" s="2" t="str">
        <f>IF(Iterations[[#This Row],[Step]] =current_step, current_Grad_d,IF(Iterations[[#This Row],[Step]] &gt; current_step, "",Iterations[[#This Row],[Grad_d]]))</f>
        <v/>
      </c>
      <c r="R148" s="2" t="str">
        <f>IF(Iterations[[#This Row],[Step]] =current_step, current_Grad_e,IF(Iterations[[#This Row],[Step]] &gt; current_step, "",Iterations[[#This Row],[Grad_e]]))</f>
        <v/>
      </c>
    </row>
    <row r="149" spans="6:18" x14ac:dyDescent="0.3">
      <c r="F149" s="2">
        <f t="shared" si="4"/>
        <v>132</v>
      </c>
      <c r="G149" s="2" t="str">
        <f>IF(Iterations[[#This Row],[Step]] =current_step, current_a,IF(Iterations[[#This Row],[Step]] &gt; current_step, "",Iterations[[#This Row],[a]]))</f>
        <v/>
      </c>
      <c r="H149" s="2" t="str">
        <f>IF(Iterations[[#This Row],[Step]] =current_step, current_b,IF(Iterations[[#This Row],[Step]] &gt; current_step, "",Iterations[[#This Row],[b]]))</f>
        <v/>
      </c>
      <c r="I149" s="2" t="str">
        <f>IF(Iterations[[#This Row],[Step]] =current_step, current_c,IF(Iterations[[#This Row],[Step]] &gt; current_step, "",Iterations[[#This Row],[c]]))</f>
        <v/>
      </c>
      <c r="J149" s="2" t="str">
        <f>IF(Iterations[[#This Row],[Step]] =current_step, current_d,IF(Iterations[[#This Row],[Step]] &gt; current_step, "",Iterations[[#This Row],[d]]))</f>
        <v/>
      </c>
      <c r="K149" s="2" t="str">
        <f>IF(Iterations[[#This Row],[Step]] =current_step, current_e,IF(Iterations[[#This Row],[Step]] &gt; current_step, "",Iterations[[#This Row],[e]]))</f>
        <v/>
      </c>
      <c r="L149" s="2" t="str">
        <f>IF(Iterations[[#This Row],[Step]] =current_step, current_Total_Loss,IF(Iterations[[#This Row],[Step]] &gt; current_step, "",Iterations[[#This Row],[Total Loss]]))</f>
        <v/>
      </c>
      <c r="M149" s="6" t="s">
        <v>27</v>
      </c>
      <c r="N149" s="2" t="str">
        <f>IF(Iterations[[#This Row],[Step]] =current_step, current_Grad_a,IF(Iterations[[#This Row],[Step]] &gt; current_step, "",Iterations[[#This Row],[Grad_a]]))</f>
        <v/>
      </c>
      <c r="O149" s="2" t="str">
        <f>IF(Iterations[[#This Row],[Step]] =current_step, current_Grad_b,IF(Iterations[[#This Row],[Step]] &gt; current_step, "",Iterations[[#This Row],[Grad_b]]))</f>
        <v/>
      </c>
      <c r="P149" s="2" t="str">
        <f>IF(Iterations[[#This Row],[Step]] =current_step, current_Grad_c,IF(Iterations[[#This Row],[Step]] &gt; current_step, "",Iterations[[#This Row],[Grad_c]]))</f>
        <v/>
      </c>
      <c r="Q149" s="2" t="str">
        <f>IF(Iterations[[#This Row],[Step]] =current_step, current_Grad_d,IF(Iterations[[#This Row],[Step]] &gt; current_step, "",Iterations[[#This Row],[Grad_d]]))</f>
        <v/>
      </c>
      <c r="R149" s="2" t="str">
        <f>IF(Iterations[[#This Row],[Step]] =current_step, current_Grad_e,IF(Iterations[[#This Row],[Step]] &gt; current_step, "",Iterations[[#This Row],[Grad_e]]))</f>
        <v/>
      </c>
    </row>
    <row r="150" spans="6:18" x14ac:dyDescent="0.3">
      <c r="F150" s="2">
        <f t="shared" si="4"/>
        <v>133</v>
      </c>
      <c r="G150" s="2" t="str">
        <f>IF(Iterations[[#This Row],[Step]] =current_step, current_a,IF(Iterations[[#This Row],[Step]] &gt; current_step, "",Iterations[[#This Row],[a]]))</f>
        <v/>
      </c>
      <c r="H150" s="2" t="str">
        <f>IF(Iterations[[#This Row],[Step]] =current_step, current_b,IF(Iterations[[#This Row],[Step]] &gt; current_step, "",Iterations[[#This Row],[b]]))</f>
        <v/>
      </c>
      <c r="I150" s="2" t="str">
        <f>IF(Iterations[[#This Row],[Step]] =current_step, current_c,IF(Iterations[[#This Row],[Step]] &gt; current_step, "",Iterations[[#This Row],[c]]))</f>
        <v/>
      </c>
      <c r="J150" s="2" t="str">
        <f>IF(Iterations[[#This Row],[Step]] =current_step, current_d,IF(Iterations[[#This Row],[Step]] &gt; current_step, "",Iterations[[#This Row],[d]]))</f>
        <v/>
      </c>
      <c r="K150" s="2" t="str">
        <f>IF(Iterations[[#This Row],[Step]] =current_step, current_e,IF(Iterations[[#This Row],[Step]] &gt; current_step, "",Iterations[[#This Row],[e]]))</f>
        <v/>
      </c>
      <c r="L150" s="2" t="str">
        <f>IF(Iterations[[#This Row],[Step]] =current_step, current_Total_Loss,IF(Iterations[[#This Row],[Step]] &gt; current_step, "",Iterations[[#This Row],[Total Loss]]))</f>
        <v/>
      </c>
      <c r="M150" s="6" t="s">
        <v>27</v>
      </c>
      <c r="N150" s="2" t="str">
        <f>IF(Iterations[[#This Row],[Step]] =current_step, current_Grad_a,IF(Iterations[[#This Row],[Step]] &gt; current_step, "",Iterations[[#This Row],[Grad_a]]))</f>
        <v/>
      </c>
      <c r="O150" s="2" t="str">
        <f>IF(Iterations[[#This Row],[Step]] =current_step, current_Grad_b,IF(Iterations[[#This Row],[Step]] &gt; current_step, "",Iterations[[#This Row],[Grad_b]]))</f>
        <v/>
      </c>
      <c r="P150" s="2" t="str">
        <f>IF(Iterations[[#This Row],[Step]] =current_step, current_Grad_c,IF(Iterations[[#This Row],[Step]] &gt; current_step, "",Iterations[[#This Row],[Grad_c]]))</f>
        <v/>
      </c>
      <c r="Q150" s="2" t="str">
        <f>IF(Iterations[[#This Row],[Step]] =current_step, current_Grad_d,IF(Iterations[[#This Row],[Step]] &gt; current_step, "",Iterations[[#This Row],[Grad_d]]))</f>
        <v/>
      </c>
      <c r="R150" s="2" t="str">
        <f>IF(Iterations[[#This Row],[Step]] =current_step, current_Grad_e,IF(Iterations[[#This Row],[Step]] &gt; current_step, "",Iterations[[#This Row],[Grad_e]]))</f>
        <v/>
      </c>
    </row>
    <row r="151" spans="6:18" x14ac:dyDescent="0.3">
      <c r="F151" s="2">
        <f t="shared" si="4"/>
        <v>134</v>
      </c>
      <c r="G151" s="2" t="str">
        <f>IF(Iterations[[#This Row],[Step]] =current_step, current_a,IF(Iterations[[#This Row],[Step]] &gt; current_step, "",Iterations[[#This Row],[a]]))</f>
        <v/>
      </c>
      <c r="H151" s="2" t="str">
        <f>IF(Iterations[[#This Row],[Step]] =current_step, current_b,IF(Iterations[[#This Row],[Step]] &gt; current_step, "",Iterations[[#This Row],[b]]))</f>
        <v/>
      </c>
      <c r="I151" s="2" t="str">
        <f>IF(Iterations[[#This Row],[Step]] =current_step, current_c,IF(Iterations[[#This Row],[Step]] &gt; current_step, "",Iterations[[#This Row],[c]]))</f>
        <v/>
      </c>
      <c r="J151" s="2" t="str">
        <f>IF(Iterations[[#This Row],[Step]] =current_step, current_d,IF(Iterations[[#This Row],[Step]] &gt; current_step, "",Iterations[[#This Row],[d]]))</f>
        <v/>
      </c>
      <c r="K151" s="2" t="str">
        <f>IF(Iterations[[#This Row],[Step]] =current_step, current_e,IF(Iterations[[#This Row],[Step]] &gt; current_step, "",Iterations[[#This Row],[e]]))</f>
        <v/>
      </c>
      <c r="L151" s="2" t="str">
        <f>IF(Iterations[[#This Row],[Step]] =current_step, current_Total_Loss,IF(Iterations[[#This Row],[Step]] &gt; current_step, "",Iterations[[#This Row],[Total Loss]]))</f>
        <v/>
      </c>
      <c r="M151" s="6" t="s">
        <v>27</v>
      </c>
      <c r="N151" s="2" t="str">
        <f>IF(Iterations[[#This Row],[Step]] =current_step, current_Grad_a,IF(Iterations[[#This Row],[Step]] &gt; current_step, "",Iterations[[#This Row],[Grad_a]]))</f>
        <v/>
      </c>
      <c r="O151" s="2" t="str">
        <f>IF(Iterations[[#This Row],[Step]] =current_step, current_Grad_b,IF(Iterations[[#This Row],[Step]] &gt; current_step, "",Iterations[[#This Row],[Grad_b]]))</f>
        <v/>
      </c>
      <c r="P151" s="2" t="str">
        <f>IF(Iterations[[#This Row],[Step]] =current_step, current_Grad_c,IF(Iterations[[#This Row],[Step]] &gt; current_step, "",Iterations[[#This Row],[Grad_c]]))</f>
        <v/>
      </c>
      <c r="Q151" s="2" t="str">
        <f>IF(Iterations[[#This Row],[Step]] =current_step, current_Grad_d,IF(Iterations[[#This Row],[Step]] &gt; current_step, "",Iterations[[#This Row],[Grad_d]]))</f>
        <v/>
      </c>
      <c r="R151" s="2" t="str">
        <f>IF(Iterations[[#This Row],[Step]] =current_step, current_Grad_e,IF(Iterations[[#This Row],[Step]] &gt; current_step, "",Iterations[[#This Row],[Grad_e]]))</f>
        <v/>
      </c>
    </row>
    <row r="152" spans="6:18" x14ac:dyDescent="0.3">
      <c r="F152" s="2">
        <f t="shared" si="4"/>
        <v>135</v>
      </c>
      <c r="G152" s="2" t="str">
        <f>IF(Iterations[[#This Row],[Step]] =current_step, current_a,IF(Iterations[[#This Row],[Step]] &gt; current_step, "",Iterations[[#This Row],[a]]))</f>
        <v/>
      </c>
      <c r="H152" s="2" t="str">
        <f>IF(Iterations[[#This Row],[Step]] =current_step, current_b,IF(Iterations[[#This Row],[Step]] &gt; current_step, "",Iterations[[#This Row],[b]]))</f>
        <v/>
      </c>
      <c r="I152" s="2" t="str">
        <f>IF(Iterations[[#This Row],[Step]] =current_step, current_c,IF(Iterations[[#This Row],[Step]] &gt; current_step, "",Iterations[[#This Row],[c]]))</f>
        <v/>
      </c>
      <c r="J152" s="2" t="str">
        <f>IF(Iterations[[#This Row],[Step]] =current_step, current_d,IF(Iterations[[#This Row],[Step]] &gt; current_step, "",Iterations[[#This Row],[d]]))</f>
        <v/>
      </c>
      <c r="K152" s="2" t="str">
        <f>IF(Iterations[[#This Row],[Step]] =current_step, current_e,IF(Iterations[[#This Row],[Step]] &gt; current_step, "",Iterations[[#This Row],[e]]))</f>
        <v/>
      </c>
      <c r="L152" s="2" t="str">
        <f>IF(Iterations[[#This Row],[Step]] =current_step, current_Total_Loss,IF(Iterations[[#This Row],[Step]] &gt; current_step, "",Iterations[[#This Row],[Total Loss]]))</f>
        <v/>
      </c>
      <c r="M152" s="6" t="s">
        <v>27</v>
      </c>
      <c r="N152" s="2" t="str">
        <f>IF(Iterations[[#This Row],[Step]] =current_step, current_Grad_a,IF(Iterations[[#This Row],[Step]] &gt; current_step, "",Iterations[[#This Row],[Grad_a]]))</f>
        <v/>
      </c>
      <c r="O152" s="2" t="str">
        <f>IF(Iterations[[#This Row],[Step]] =current_step, current_Grad_b,IF(Iterations[[#This Row],[Step]] &gt; current_step, "",Iterations[[#This Row],[Grad_b]]))</f>
        <v/>
      </c>
      <c r="P152" s="2" t="str">
        <f>IF(Iterations[[#This Row],[Step]] =current_step, current_Grad_c,IF(Iterations[[#This Row],[Step]] &gt; current_step, "",Iterations[[#This Row],[Grad_c]]))</f>
        <v/>
      </c>
      <c r="Q152" s="2" t="str">
        <f>IF(Iterations[[#This Row],[Step]] =current_step, current_Grad_d,IF(Iterations[[#This Row],[Step]] &gt; current_step, "",Iterations[[#This Row],[Grad_d]]))</f>
        <v/>
      </c>
      <c r="R152" s="2" t="str">
        <f>IF(Iterations[[#This Row],[Step]] =current_step, current_Grad_e,IF(Iterations[[#This Row],[Step]] &gt; current_step, "",Iterations[[#This Row],[Grad_e]]))</f>
        <v/>
      </c>
    </row>
    <row r="153" spans="6:18" x14ac:dyDescent="0.3">
      <c r="F153" s="2">
        <f t="shared" si="4"/>
        <v>136</v>
      </c>
      <c r="G153" s="2" t="str">
        <f>IF(Iterations[[#This Row],[Step]] =current_step, current_a,IF(Iterations[[#This Row],[Step]] &gt; current_step, "",Iterations[[#This Row],[a]]))</f>
        <v/>
      </c>
      <c r="H153" s="2" t="str">
        <f>IF(Iterations[[#This Row],[Step]] =current_step, current_b,IF(Iterations[[#This Row],[Step]] &gt; current_step, "",Iterations[[#This Row],[b]]))</f>
        <v/>
      </c>
      <c r="I153" s="2" t="str">
        <f>IF(Iterations[[#This Row],[Step]] =current_step, current_c,IF(Iterations[[#This Row],[Step]] &gt; current_step, "",Iterations[[#This Row],[c]]))</f>
        <v/>
      </c>
      <c r="J153" s="2" t="str">
        <f>IF(Iterations[[#This Row],[Step]] =current_step, current_d,IF(Iterations[[#This Row],[Step]] &gt; current_step, "",Iterations[[#This Row],[d]]))</f>
        <v/>
      </c>
      <c r="K153" s="2" t="str">
        <f>IF(Iterations[[#This Row],[Step]] =current_step, current_e,IF(Iterations[[#This Row],[Step]] &gt; current_step, "",Iterations[[#This Row],[e]]))</f>
        <v/>
      </c>
      <c r="L153" s="2" t="str">
        <f>IF(Iterations[[#This Row],[Step]] =current_step, current_Total_Loss,IF(Iterations[[#This Row],[Step]] &gt; current_step, "",Iterations[[#This Row],[Total Loss]]))</f>
        <v/>
      </c>
      <c r="M153" s="6" t="s">
        <v>27</v>
      </c>
      <c r="N153" s="2" t="str">
        <f>IF(Iterations[[#This Row],[Step]] =current_step, current_Grad_a,IF(Iterations[[#This Row],[Step]] &gt; current_step, "",Iterations[[#This Row],[Grad_a]]))</f>
        <v/>
      </c>
      <c r="O153" s="2" t="str">
        <f>IF(Iterations[[#This Row],[Step]] =current_step, current_Grad_b,IF(Iterations[[#This Row],[Step]] &gt; current_step, "",Iterations[[#This Row],[Grad_b]]))</f>
        <v/>
      </c>
      <c r="P153" s="2" t="str">
        <f>IF(Iterations[[#This Row],[Step]] =current_step, current_Grad_c,IF(Iterations[[#This Row],[Step]] &gt; current_step, "",Iterations[[#This Row],[Grad_c]]))</f>
        <v/>
      </c>
      <c r="Q153" s="2" t="str">
        <f>IF(Iterations[[#This Row],[Step]] =current_step, current_Grad_d,IF(Iterations[[#This Row],[Step]] &gt; current_step, "",Iterations[[#This Row],[Grad_d]]))</f>
        <v/>
      </c>
      <c r="R153" s="2" t="str">
        <f>IF(Iterations[[#This Row],[Step]] =current_step, current_Grad_e,IF(Iterations[[#This Row],[Step]] &gt; current_step, "",Iterations[[#This Row],[Grad_e]]))</f>
        <v/>
      </c>
    </row>
    <row r="154" spans="6:18" x14ac:dyDescent="0.3">
      <c r="F154" s="2">
        <f t="shared" si="4"/>
        <v>137</v>
      </c>
      <c r="G154" s="2" t="str">
        <f>IF(Iterations[[#This Row],[Step]] =current_step, current_a,IF(Iterations[[#This Row],[Step]] &gt; current_step, "",Iterations[[#This Row],[a]]))</f>
        <v/>
      </c>
      <c r="H154" s="2" t="str">
        <f>IF(Iterations[[#This Row],[Step]] =current_step, current_b,IF(Iterations[[#This Row],[Step]] &gt; current_step, "",Iterations[[#This Row],[b]]))</f>
        <v/>
      </c>
      <c r="I154" s="2" t="str">
        <f>IF(Iterations[[#This Row],[Step]] =current_step, current_c,IF(Iterations[[#This Row],[Step]] &gt; current_step, "",Iterations[[#This Row],[c]]))</f>
        <v/>
      </c>
      <c r="J154" s="2" t="str">
        <f>IF(Iterations[[#This Row],[Step]] =current_step, current_d,IF(Iterations[[#This Row],[Step]] &gt; current_step, "",Iterations[[#This Row],[d]]))</f>
        <v/>
      </c>
      <c r="K154" s="2" t="str">
        <f>IF(Iterations[[#This Row],[Step]] =current_step, current_e,IF(Iterations[[#This Row],[Step]] &gt; current_step, "",Iterations[[#This Row],[e]]))</f>
        <v/>
      </c>
      <c r="L154" s="2" t="str">
        <f>IF(Iterations[[#This Row],[Step]] =current_step, current_Total_Loss,IF(Iterations[[#This Row],[Step]] &gt; current_step, "",Iterations[[#This Row],[Total Loss]]))</f>
        <v/>
      </c>
      <c r="M154" s="6" t="s">
        <v>27</v>
      </c>
      <c r="N154" s="2" t="str">
        <f>IF(Iterations[[#This Row],[Step]] =current_step, current_Grad_a,IF(Iterations[[#This Row],[Step]] &gt; current_step, "",Iterations[[#This Row],[Grad_a]]))</f>
        <v/>
      </c>
      <c r="O154" s="2" t="str">
        <f>IF(Iterations[[#This Row],[Step]] =current_step, current_Grad_b,IF(Iterations[[#This Row],[Step]] &gt; current_step, "",Iterations[[#This Row],[Grad_b]]))</f>
        <v/>
      </c>
      <c r="P154" s="2" t="str">
        <f>IF(Iterations[[#This Row],[Step]] =current_step, current_Grad_c,IF(Iterations[[#This Row],[Step]] &gt; current_step, "",Iterations[[#This Row],[Grad_c]]))</f>
        <v/>
      </c>
      <c r="Q154" s="2" t="str">
        <f>IF(Iterations[[#This Row],[Step]] =current_step, current_Grad_d,IF(Iterations[[#This Row],[Step]] &gt; current_step, "",Iterations[[#This Row],[Grad_d]]))</f>
        <v/>
      </c>
      <c r="R154" s="2" t="str">
        <f>IF(Iterations[[#This Row],[Step]] =current_step, current_Grad_e,IF(Iterations[[#This Row],[Step]] &gt; current_step, "",Iterations[[#This Row],[Grad_e]]))</f>
        <v/>
      </c>
    </row>
    <row r="155" spans="6:18" x14ac:dyDescent="0.3">
      <c r="F155" s="2">
        <f t="shared" si="4"/>
        <v>138</v>
      </c>
      <c r="G155" s="2" t="str">
        <f>IF(Iterations[[#This Row],[Step]] =current_step, current_a,IF(Iterations[[#This Row],[Step]] &gt; current_step, "",Iterations[[#This Row],[a]]))</f>
        <v/>
      </c>
      <c r="H155" s="2" t="str">
        <f>IF(Iterations[[#This Row],[Step]] =current_step, current_b,IF(Iterations[[#This Row],[Step]] &gt; current_step, "",Iterations[[#This Row],[b]]))</f>
        <v/>
      </c>
      <c r="I155" s="2" t="str">
        <f>IF(Iterations[[#This Row],[Step]] =current_step, current_c,IF(Iterations[[#This Row],[Step]] &gt; current_step, "",Iterations[[#This Row],[c]]))</f>
        <v/>
      </c>
      <c r="J155" s="2" t="str">
        <f>IF(Iterations[[#This Row],[Step]] =current_step, current_d,IF(Iterations[[#This Row],[Step]] &gt; current_step, "",Iterations[[#This Row],[d]]))</f>
        <v/>
      </c>
      <c r="K155" s="2" t="str">
        <f>IF(Iterations[[#This Row],[Step]] =current_step, current_e,IF(Iterations[[#This Row],[Step]] &gt; current_step, "",Iterations[[#This Row],[e]]))</f>
        <v/>
      </c>
      <c r="L155" s="2" t="str">
        <f>IF(Iterations[[#This Row],[Step]] =current_step, current_Total_Loss,IF(Iterations[[#This Row],[Step]] &gt; current_step, "",Iterations[[#This Row],[Total Loss]]))</f>
        <v/>
      </c>
      <c r="M155" s="6" t="s">
        <v>27</v>
      </c>
      <c r="N155" s="2" t="str">
        <f>IF(Iterations[[#This Row],[Step]] =current_step, current_Grad_a,IF(Iterations[[#This Row],[Step]] &gt; current_step, "",Iterations[[#This Row],[Grad_a]]))</f>
        <v/>
      </c>
      <c r="O155" s="2" t="str">
        <f>IF(Iterations[[#This Row],[Step]] =current_step, current_Grad_b,IF(Iterations[[#This Row],[Step]] &gt; current_step, "",Iterations[[#This Row],[Grad_b]]))</f>
        <v/>
      </c>
      <c r="P155" s="2" t="str">
        <f>IF(Iterations[[#This Row],[Step]] =current_step, current_Grad_c,IF(Iterations[[#This Row],[Step]] &gt; current_step, "",Iterations[[#This Row],[Grad_c]]))</f>
        <v/>
      </c>
      <c r="Q155" s="2" t="str">
        <f>IF(Iterations[[#This Row],[Step]] =current_step, current_Grad_d,IF(Iterations[[#This Row],[Step]] &gt; current_step, "",Iterations[[#This Row],[Grad_d]]))</f>
        <v/>
      </c>
      <c r="R155" s="2" t="str">
        <f>IF(Iterations[[#This Row],[Step]] =current_step, current_Grad_e,IF(Iterations[[#This Row],[Step]] &gt; current_step, "",Iterations[[#This Row],[Grad_e]]))</f>
        <v/>
      </c>
    </row>
    <row r="156" spans="6:18" x14ac:dyDescent="0.3">
      <c r="F156" s="2">
        <f t="shared" si="4"/>
        <v>139</v>
      </c>
      <c r="G156" s="2" t="str">
        <f>IF(Iterations[[#This Row],[Step]] =current_step, current_a,IF(Iterations[[#This Row],[Step]] &gt; current_step, "",Iterations[[#This Row],[a]]))</f>
        <v/>
      </c>
      <c r="H156" s="2" t="str">
        <f>IF(Iterations[[#This Row],[Step]] =current_step, current_b,IF(Iterations[[#This Row],[Step]] &gt; current_step, "",Iterations[[#This Row],[b]]))</f>
        <v/>
      </c>
      <c r="I156" s="2" t="str">
        <f>IF(Iterations[[#This Row],[Step]] =current_step, current_c,IF(Iterations[[#This Row],[Step]] &gt; current_step, "",Iterations[[#This Row],[c]]))</f>
        <v/>
      </c>
      <c r="J156" s="2" t="str">
        <f>IF(Iterations[[#This Row],[Step]] =current_step, current_d,IF(Iterations[[#This Row],[Step]] &gt; current_step, "",Iterations[[#This Row],[d]]))</f>
        <v/>
      </c>
      <c r="K156" s="2" t="str">
        <f>IF(Iterations[[#This Row],[Step]] =current_step, current_e,IF(Iterations[[#This Row],[Step]] &gt; current_step, "",Iterations[[#This Row],[e]]))</f>
        <v/>
      </c>
      <c r="L156" s="2" t="str">
        <f>IF(Iterations[[#This Row],[Step]] =current_step, current_Total_Loss,IF(Iterations[[#This Row],[Step]] &gt; current_step, "",Iterations[[#This Row],[Total Loss]]))</f>
        <v/>
      </c>
      <c r="M156" s="6" t="s">
        <v>27</v>
      </c>
      <c r="N156" s="2" t="str">
        <f>IF(Iterations[[#This Row],[Step]] =current_step, current_Grad_a,IF(Iterations[[#This Row],[Step]] &gt; current_step, "",Iterations[[#This Row],[Grad_a]]))</f>
        <v/>
      </c>
      <c r="O156" s="2" t="str">
        <f>IF(Iterations[[#This Row],[Step]] =current_step, current_Grad_b,IF(Iterations[[#This Row],[Step]] &gt; current_step, "",Iterations[[#This Row],[Grad_b]]))</f>
        <v/>
      </c>
      <c r="P156" s="2" t="str">
        <f>IF(Iterations[[#This Row],[Step]] =current_step, current_Grad_c,IF(Iterations[[#This Row],[Step]] &gt; current_step, "",Iterations[[#This Row],[Grad_c]]))</f>
        <v/>
      </c>
      <c r="Q156" s="2" t="str">
        <f>IF(Iterations[[#This Row],[Step]] =current_step, current_Grad_d,IF(Iterations[[#This Row],[Step]] &gt; current_step, "",Iterations[[#This Row],[Grad_d]]))</f>
        <v/>
      </c>
      <c r="R156" s="2" t="str">
        <f>IF(Iterations[[#This Row],[Step]] =current_step, current_Grad_e,IF(Iterations[[#This Row],[Step]] &gt; current_step, "",Iterations[[#This Row],[Grad_e]]))</f>
        <v/>
      </c>
    </row>
    <row r="157" spans="6:18" x14ac:dyDescent="0.3">
      <c r="F157" s="2">
        <f t="shared" si="4"/>
        <v>140</v>
      </c>
      <c r="G157" s="2" t="str">
        <f>IF(Iterations[[#This Row],[Step]] =current_step, current_a,IF(Iterations[[#This Row],[Step]] &gt; current_step, "",Iterations[[#This Row],[a]]))</f>
        <v/>
      </c>
      <c r="H157" s="2" t="str">
        <f>IF(Iterations[[#This Row],[Step]] =current_step, current_b,IF(Iterations[[#This Row],[Step]] &gt; current_step, "",Iterations[[#This Row],[b]]))</f>
        <v/>
      </c>
      <c r="I157" s="2" t="str">
        <f>IF(Iterations[[#This Row],[Step]] =current_step, current_c,IF(Iterations[[#This Row],[Step]] &gt; current_step, "",Iterations[[#This Row],[c]]))</f>
        <v/>
      </c>
      <c r="J157" s="2" t="str">
        <f>IF(Iterations[[#This Row],[Step]] =current_step, current_d,IF(Iterations[[#This Row],[Step]] &gt; current_step, "",Iterations[[#This Row],[d]]))</f>
        <v/>
      </c>
      <c r="K157" s="2" t="str">
        <f>IF(Iterations[[#This Row],[Step]] =current_step, current_e,IF(Iterations[[#This Row],[Step]] &gt; current_step, "",Iterations[[#This Row],[e]]))</f>
        <v/>
      </c>
      <c r="L157" s="2" t="str">
        <f>IF(Iterations[[#This Row],[Step]] =current_step, current_Total_Loss,IF(Iterations[[#This Row],[Step]] &gt; current_step, "",Iterations[[#This Row],[Total Loss]]))</f>
        <v/>
      </c>
      <c r="M157" s="6" t="s">
        <v>27</v>
      </c>
      <c r="N157" s="2" t="str">
        <f>IF(Iterations[[#This Row],[Step]] =current_step, current_Grad_a,IF(Iterations[[#This Row],[Step]] &gt; current_step, "",Iterations[[#This Row],[Grad_a]]))</f>
        <v/>
      </c>
      <c r="O157" s="2" t="str">
        <f>IF(Iterations[[#This Row],[Step]] =current_step, current_Grad_b,IF(Iterations[[#This Row],[Step]] &gt; current_step, "",Iterations[[#This Row],[Grad_b]]))</f>
        <v/>
      </c>
      <c r="P157" s="2" t="str">
        <f>IF(Iterations[[#This Row],[Step]] =current_step, current_Grad_c,IF(Iterations[[#This Row],[Step]] &gt; current_step, "",Iterations[[#This Row],[Grad_c]]))</f>
        <v/>
      </c>
      <c r="Q157" s="2" t="str">
        <f>IF(Iterations[[#This Row],[Step]] =current_step, current_Grad_d,IF(Iterations[[#This Row],[Step]] &gt; current_step, "",Iterations[[#This Row],[Grad_d]]))</f>
        <v/>
      </c>
      <c r="R157" s="2" t="str">
        <f>IF(Iterations[[#This Row],[Step]] =current_step, current_Grad_e,IF(Iterations[[#This Row],[Step]] &gt; current_step, "",Iterations[[#This Row],[Grad_e]]))</f>
        <v/>
      </c>
    </row>
    <row r="158" spans="6:18" x14ac:dyDescent="0.3">
      <c r="F158" s="2">
        <f t="shared" si="4"/>
        <v>141</v>
      </c>
      <c r="G158" s="2" t="str">
        <f>IF(Iterations[[#This Row],[Step]] =current_step, current_a,IF(Iterations[[#This Row],[Step]] &gt; current_step, "",Iterations[[#This Row],[a]]))</f>
        <v/>
      </c>
      <c r="H158" s="2" t="str">
        <f>IF(Iterations[[#This Row],[Step]] =current_step, current_b,IF(Iterations[[#This Row],[Step]] &gt; current_step, "",Iterations[[#This Row],[b]]))</f>
        <v/>
      </c>
      <c r="I158" s="2" t="str">
        <f>IF(Iterations[[#This Row],[Step]] =current_step, current_c,IF(Iterations[[#This Row],[Step]] &gt; current_step, "",Iterations[[#This Row],[c]]))</f>
        <v/>
      </c>
      <c r="J158" s="2" t="str">
        <f>IF(Iterations[[#This Row],[Step]] =current_step, current_d,IF(Iterations[[#This Row],[Step]] &gt; current_step, "",Iterations[[#This Row],[d]]))</f>
        <v/>
      </c>
      <c r="K158" s="2" t="str">
        <f>IF(Iterations[[#This Row],[Step]] =current_step, current_e,IF(Iterations[[#This Row],[Step]] &gt; current_step, "",Iterations[[#This Row],[e]]))</f>
        <v/>
      </c>
      <c r="L158" s="2" t="str">
        <f>IF(Iterations[[#This Row],[Step]] =current_step, current_Total_Loss,IF(Iterations[[#This Row],[Step]] &gt; current_step, "",Iterations[[#This Row],[Total Loss]]))</f>
        <v/>
      </c>
      <c r="M158" s="6" t="s">
        <v>27</v>
      </c>
      <c r="N158" s="2" t="str">
        <f>IF(Iterations[[#This Row],[Step]] =current_step, current_Grad_a,IF(Iterations[[#This Row],[Step]] &gt; current_step, "",Iterations[[#This Row],[Grad_a]]))</f>
        <v/>
      </c>
      <c r="O158" s="2" t="str">
        <f>IF(Iterations[[#This Row],[Step]] =current_step, current_Grad_b,IF(Iterations[[#This Row],[Step]] &gt; current_step, "",Iterations[[#This Row],[Grad_b]]))</f>
        <v/>
      </c>
      <c r="P158" s="2" t="str">
        <f>IF(Iterations[[#This Row],[Step]] =current_step, current_Grad_c,IF(Iterations[[#This Row],[Step]] &gt; current_step, "",Iterations[[#This Row],[Grad_c]]))</f>
        <v/>
      </c>
      <c r="Q158" s="2" t="str">
        <f>IF(Iterations[[#This Row],[Step]] =current_step, current_Grad_d,IF(Iterations[[#This Row],[Step]] &gt; current_step, "",Iterations[[#This Row],[Grad_d]]))</f>
        <v/>
      </c>
      <c r="R158" s="2" t="str">
        <f>IF(Iterations[[#This Row],[Step]] =current_step, current_Grad_e,IF(Iterations[[#This Row],[Step]] &gt; current_step, "",Iterations[[#This Row],[Grad_e]]))</f>
        <v/>
      </c>
    </row>
    <row r="159" spans="6:18" x14ac:dyDescent="0.3">
      <c r="F159" s="2">
        <f t="shared" si="4"/>
        <v>142</v>
      </c>
      <c r="G159" s="2" t="str">
        <f>IF(Iterations[[#This Row],[Step]] =current_step, current_a,IF(Iterations[[#This Row],[Step]] &gt; current_step, "",Iterations[[#This Row],[a]]))</f>
        <v/>
      </c>
      <c r="H159" s="2" t="str">
        <f>IF(Iterations[[#This Row],[Step]] =current_step, current_b,IF(Iterations[[#This Row],[Step]] &gt; current_step, "",Iterations[[#This Row],[b]]))</f>
        <v/>
      </c>
      <c r="I159" s="2" t="str">
        <f>IF(Iterations[[#This Row],[Step]] =current_step, current_c,IF(Iterations[[#This Row],[Step]] &gt; current_step, "",Iterations[[#This Row],[c]]))</f>
        <v/>
      </c>
      <c r="J159" s="2" t="str">
        <f>IF(Iterations[[#This Row],[Step]] =current_step, current_d,IF(Iterations[[#This Row],[Step]] &gt; current_step, "",Iterations[[#This Row],[d]]))</f>
        <v/>
      </c>
      <c r="K159" s="2" t="str">
        <f>IF(Iterations[[#This Row],[Step]] =current_step, current_e,IF(Iterations[[#This Row],[Step]] &gt; current_step, "",Iterations[[#This Row],[e]]))</f>
        <v/>
      </c>
      <c r="L159" s="2" t="str">
        <f>IF(Iterations[[#This Row],[Step]] =current_step, current_Total_Loss,IF(Iterations[[#This Row],[Step]] &gt; current_step, "",Iterations[[#This Row],[Total Loss]]))</f>
        <v/>
      </c>
      <c r="M159" s="6" t="s">
        <v>27</v>
      </c>
      <c r="N159" s="2" t="str">
        <f>IF(Iterations[[#This Row],[Step]] =current_step, current_Grad_a,IF(Iterations[[#This Row],[Step]] &gt; current_step, "",Iterations[[#This Row],[Grad_a]]))</f>
        <v/>
      </c>
      <c r="O159" s="2" t="str">
        <f>IF(Iterations[[#This Row],[Step]] =current_step, current_Grad_b,IF(Iterations[[#This Row],[Step]] &gt; current_step, "",Iterations[[#This Row],[Grad_b]]))</f>
        <v/>
      </c>
      <c r="P159" s="2" t="str">
        <f>IF(Iterations[[#This Row],[Step]] =current_step, current_Grad_c,IF(Iterations[[#This Row],[Step]] &gt; current_step, "",Iterations[[#This Row],[Grad_c]]))</f>
        <v/>
      </c>
      <c r="Q159" s="2" t="str">
        <f>IF(Iterations[[#This Row],[Step]] =current_step, current_Grad_d,IF(Iterations[[#This Row],[Step]] &gt; current_step, "",Iterations[[#This Row],[Grad_d]]))</f>
        <v/>
      </c>
      <c r="R159" s="2" t="str">
        <f>IF(Iterations[[#This Row],[Step]] =current_step, current_Grad_e,IF(Iterations[[#This Row],[Step]] &gt; current_step, "",Iterations[[#This Row],[Grad_e]]))</f>
        <v/>
      </c>
    </row>
    <row r="160" spans="6:18" x14ac:dyDescent="0.3">
      <c r="F160" s="2">
        <f t="shared" si="4"/>
        <v>143</v>
      </c>
      <c r="G160" s="2" t="str">
        <f>IF(Iterations[[#This Row],[Step]] =current_step, current_a,IF(Iterations[[#This Row],[Step]] &gt; current_step, "",Iterations[[#This Row],[a]]))</f>
        <v/>
      </c>
      <c r="H160" s="2" t="str">
        <f>IF(Iterations[[#This Row],[Step]] =current_step, current_b,IF(Iterations[[#This Row],[Step]] &gt; current_step, "",Iterations[[#This Row],[b]]))</f>
        <v/>
      </c>
      <c r="I160" s="2" t="str">
        <f>IF(Iterations[[#This Row],[Step]] =current_step, current_c,IF(Iterations[[#This Row],[Step]] &gt; current_step, "",Iterations[[#This Row],[c]]))</f>
        <v/>
      </c>
      <c r="J160" s="2" t="str">
        <f>IF(Iterations[[#This Row],[Step]] =current_step, current_d,IF(Iterations[[#This Row],[Step]] &gt; current_step, "",Iterations[[#This Row],[d]]))</f>
        <v/>
      </c>
      <c r="K160" s="2" t="str">
        <f>IF(Iterations[[#This Row],[Step]] =current_step, current_e,IF(Iterations[[#This Row],[Step]] &gt; current_step, "",Iterations[[#This Row],[e]]))</f>
        <v/>
      </c>
      <c r="L160" s="2" t="str">
        <f>IF(Iterations[[#This Row],[Step]] =current_step, current_Total_Loss,IF(Iterations[[#This Row],[Step]] &gt; current_step, "",Iterations[[#This Row],[Total Loss]]))</f>
        <v/>
      </c>
      <c r="M160" s="6" t="s">
        <v>27</v>
      </c>
      <c r="N160" s="2" t="str">
        <f>IF(Iterations[[#This Row],[Step]] =current_step, current_Grad_a,IF(Iterations[[#This Row],[Step]] &gt; current_step, "",Iterations[[#This Row],[Grad_a]]))</f>
        <v/>
      </c>
      <c r="O160" s="2" t="str">
        <f>IF(Iterations[[#This Row],[Step]] =current_step, current_Grad_b,IF(Iterations[[#This Row],[Step]] &gt; current_step, "",Iterations[[#This Row],[Grad_b]]))</f>
        <v/>
      </c>
      <c r="P160" s="2" t="str">
        <f>IF(Iterations[[#This Row],[Step]] =current_step, current_Grad_c,IF(Iterations[[#This Row],[Step]] &gt; current_step, "",Iterations[[#This Row],[Grad_c]]))</f>
        <v/>
      </c>
      <c r="Q160" s="2" t="str">
        <f>IF(Iterations[[#This Row],[Step]] =current_step, current_Grad_d,IF(Iterations[[#This Row],[Step]] &gt; current_step, "",Iterations[[#This Row],[Grad_d]]))</f>
        <v/>
      </c>
      <c r="R160" s="2" t="str">
        <f>IF(Iterations[[#This Row],[Step]] =current_step, current_Grad_e,IF(Iterations[[#This Row],[Step]] &gt; current_step, "",Iterations[[#This Row],[Grad_e]]))</f>
        <v/>
      </c>
    </row>
    <row r="161" spans="6:18" x14ac:dyDescent="0.3">
      <c r="F161" s="2">
        <f t="shared" si="4"/>
        <v>144</v>
      </c>
      <c r="G161" s="2" t="str">
        <f>IF(Iterations[[#This Row],[Step]] =current_step, current_a,IF(Iterations[[#This Row],[Step]] &gt; current_step, "",Iterations[[#This Row],[a]]))</f>
        <v/>
      </c>
      <c r="H161" s="2" t="str">
        <f>IF(Iterations[[#This Row],[Step]] =current_step, current_b,IF(Iterations[[#This Row],[Step]] &gt; current_step, "",Iterations[[#This Row],[b]]))</f>
        <v/>
      </c>
      <c r="I161" s="2" t="str">
        <f>IF(Iterations[[#This Row],[Step]] =current_step, current_c,IF(Iterations[[#This Row],[Step]] &gt; current_step, "",Iterations[[#This Row],[c]]))</f>
        <v/>
      </c>
      <c r="J161" s="2" t="str">
        <f>IF(Iterations[[#This Row],[Step]] =current_step, current_d,IF(Iterations[[#This Row],[Step]] &gt; current_step, "",Iterations[[#This Row],[d]]))</f>
        <v/>
      </c>
      <c r="K161" s="2" t="str">
        <f>IF(Iterations[[#This Row],[Step]] =current_step, current_e,IF(Iterations[[#This Row],[Step]] &gt; current_step, "",Iterations[[#This Row],[e]]))</f>
        <v/>
      </c>
      <c r="L161" s="2" t="str">
        <f>IF(Iterations[[#This Row],[Step]] =current_step, current_Total_Loss,IF(Iterations[[#This Row],[Step]] &gt; current_step, "",Iterations[[#This Row],[Total Loss]]))</f>
        <v/>
      </c>
      <c r="M161" s="6" t="s">
        <v>27</v>
      </c>
      <c r="N161" s="2" t="str">
        <f>IF(Iterations[[#This Row],[Step]] =current_step, current_Grad_a,IF(Iterations[[#This Row],[Step]] &gt; current_step, "",Iterations[[#This Row],[Grad_a]]))</f>
        <v/>
      </c>
      <c r="O161" s="2" t="str">
        <f>IF(Iterations[[#This Row],[Step]] =current_step, current_Grad_b,IF(Iterations[[#This Row],[Step]] &gt; current_step, "",Iterations[[#This Row],[Grad_b]]))</f>
        <v/>
      </c>
      <c r="P161" s="2" t="str">
        <f>IF(Iterations[[#This Row],[Step]] =current_step, current_Grad_c,IF(Iterations[[#This Row],[Step]] &gt; current_step, "",Iterations[[#This Row],[Grad_c]]))</f>
        <v/>
      </c>
      <c r="Q161" s="2" t="str">
        <f>IF(Iterations[[#This Row],[Step]] =current_step, current_Grad_d,IF(Iterations[[#This Row],[Step]] &gt; current_step, "",Iterations[[#This Row],[Grad_d]]))</f>
        <v/>
      </c>
      <c r="R161" s="2" t="str">
        <f>IF(Iterations[[#This Row],[Step]] =current_step, current_Grad_e,IF(Iterations[[#This Row],[Step]] &gt; current_step, "",Iterations[[#This Row],[Grad_e]]))</f>
        <v/>
      </c>
    </row>
    <row r="162" spans="6:18" x14ac:dyDescent="0.3">
      <c r="F162" s="2">
        <f t="shared" si="4"/>
        <v>145</v>
      </c>
      <c r="G162" s="2" t="str">
        <f>IF(Iterations[[#This Row],[Step]] =current_step, current_a,IF(Iterations[[#This Row],[Step]] &gt; current_step, "",Iterations[[#This Row],[a]]))</f>
        <v/>
      </c>
      <c r="H162" s="2" t="str">
        <f>IF(Iterations[[#This Row],[Step]] =current_step, current_b,IF(Iterations[[#This Row],[Step]] &gt; current_step, "",Iterations[[#This Row],[b]]))</f>
        <v/>
      </c>
      <c r="I162" s="2" t="str">
        <f>IF(Iterations[[#This Row],[Step]] =current_step, current_c,IF(Iterations[[#This Row],[Step]] &gt; current_step, "",Iterations[[#This Row],[c]]))</f>
        <v/>
      </c>
      <c r="J162" s="2" t="str">
        <f>IF(Iterations[[#This Row],[Step]] =current_step, current_d,IF(Iterations[[#This Row],[Step]] &gt; current_step, "",Iterations[[#This Row],[d]]))</f>
        <v/>
      </c>
      <c r="K162" s="2" t="str">
        <f>IF(Iterations[[#This Row],[Step]] =current_step, current_e,IF(Iterations[[#This Row],[Step]] &gt; current_step, "",Iterations[[#This Row],[e]]))</f>
        <v/>
      </c>
      <c r="L162" s="2" t="str">
        <f>IF(Iterations[[#This Row],[Step]] =current_step, current_Total_Loss,IF(Iterations[[#This Row],[Step]] &gt; current_step, "",Iterations[[#This Row],[Total Loss]]))</f>
        <v/>
      </c>
      <c r="M162" s="6" t="s">
        <v>27</v>
      </c>
      <c r="N162" s="2" t="str">
        <f>IF(Iterations[[#This Row],[Step]] =current_step, current_Grad_a,IF(Iterations[[#This Row],[Step]] &gt; current_step, "",Iterations[[#This Row],[Grad_a]]))</f>
        <v/>
      </c>
      <c r="O162" s="2" t="str">
        <f>IF(Iterations[[#This Row],[Step]] =current_step, current_Grad_b,IF(Iterations[[#This Row],[Step]] &gt; current_step, "",Iterations[[#This Row],[Grad_b]]))</f>
        <v/>
      </c>
      <c r="P162" s="2" t="str">
        <f>IF(Iterations[[#This Row],[Step]] =current_step, current_Grad_c,IF(Iterations[[#This Row],[Step]] &gt; current_step, "",Iterations[[#This Row],[Grad_c]]))</f>
        <v/>
      </c>
      <c r="Q162" s="2" t="str">
        <f>IF(Iterations[[#This Row],[Step]] =current_step, current_Grad_d,IF(Iterations[[#This Row],[Step]] &gt; current_step, "",Iterations[[#This Row],[Grad_d]]))</f>
        <v/>
      </c>
      <c r="R162" s="2" t="str">
        <f>IF(Iterations[[#This Row],[Step]] =current_step, current_Grad_e,IF(Iterations[[#This Row],[Step]] &gt; current_step, "",Iterations[[#This Row],[Grad_e]]))</f>
        <v/>
      </c>
    </row>
    <row r="163" spans="6:18" x14ac:dyDescent="0.3">
      <c r="F163" s="2">
        <f t="shared" si="4"/>
        <v>146</v>
      </c>
      <c r="G163" s="2" t="str">
        <f>IF(Iterations[[#This Row],[Step]] =current_step, current_a,IF(Iterations[[#This Row],[Step]] &gt; current_step, "",Iterations[[#This Row],[a]]))</f>
        <v/>
      </c>
      <c r="H163" s="2" t="str">
        <f>IF(Iterations[[#This Row],[Step]] =current_step, current_b,IF(Iterations[[#This Row],[Step]] &gt; current_step, "",Iterations[[#This Row],[b]]))</f>
        <v/>
      </c>
      <c r="I163" s="2" t="str">
        <f>IF(Iterations[[#This Row],[Step]] =current_step, current_c,IF(Iterations[[#This Row],[Step]] &gt; current_step, "",Iterations[[#This Row],[c]]))</f>
        <v/>
      </c>
      <c r="J163" s="2" t="str">
        <f>IF(Iterations[[#This Row],[Step]] =current_step, current_d,IF(Iterations[[#This Row],[Step]] &gt; current_step, "",Iterations[[#This Row],[d]]))</f>
        <v/>
      </c>
      <c r="K163" s="2" t="str">
        <f>IF(Iterations[[#This Row],[Step]] =current_step, current_e,IF(Iterations[[#This Row],[Step]] &gt; current_step, "",Iterations[[#This Row],[e]]))</f>
        <v/>
      </c>
      <c r="L163" s="2" t="str">
        <f>IF(Iterations[[#This Row],[Step]] =current_step, current_Total_Loss,IF(Iterations[[#This Row],[Step]] &gt; current_step, "",Iterations[[#This Row],[Total Loss]]))</f>
        <v/>
      </c>
      <c r="M163" s="6" t="s">
        <v>27</v>
      </c>
      <c r="N163" s="2" t="str">
        <f>IF(Iterations[[#This Row],[Step]] =current_step, current_Grad_a,IF(Iterations[[#This Row],[Step]] &gt; current_step, "",Iterations[[#This Row],[Grad_a]]))</f>
        <v/>
      </c>
      <c r="O163" s="2" t="str">
        <f>IF(Iterations[[#This Row],[Step]] =current_step, current_Grad_b,IF(Iterations[[#This Row],[Step]] &gt; current_step, "",Iterations[[#This Row],[Grad_b]]))</f>
        <v/>
      </c>
      <c r="P163" s="2" t="str">
        <f>IF(Iterations[[#This Row],[Step]] =current_step, current_Grad_c,IF(Iterations[[#This Row],[Step]] &gt; current_step, "",Iterations[[#This Row],[Grad_c]]))</f>
        <v/>
      </c>
      <c r="Q163" s="2" t="str">
        <f>IF(Iterations[[#This Row],[Step]] =current_step, current_Grad_d,IF(Iterations[[#This Row],[Step]] &gt; current_step, "",Iterations[[#This Row],[Grad_d]]))</f>
        <v/>
      </c>
      <c r="R163" s="2" t="str">
        <f>IF(Iterations[[#This Row],[Step]] =current_step, current_Grad_e,IF(Iterations[[#This Row],[Step]] &gt; current_step, "",Iterations[[#This Row],[Grad_e]]))</f>
        <v/>
      </c>
    </row>
    <row r="164" spans="6:18" x14ac:dyDescent="0.3">
      <c r="F164" s="2">
        <f t="shared" si="4"/>
        <v>147</v>
      </c>
      <c r="G164" s="2" t="str">
        <f>IF(Iterations[[#This Row],[Step]] =current_step, current_a,IF(Iterations[[#This Row],[Step]] &gt; current_step, "",Iterations[[#This Row],[a]]))</f>
        <v/>
      </c>
      <c r="H164" s="2" t="str">
        <f>IF(Iterations[[#This Row],[Step]] =current_step, current_b,IF(Iterations[[#This Row],[Step]] &gt; current_step, "",Iterations[[#This Row],[b]]))</f>
        <v/>
      </c>
      <c r="I164" s="2" t="str">
        <f>IF(Iterations[[#This Row],[Step]] =current_step, current_c,IF(Iterations[[#This Row],[Step]] &gt; current_step, "",Iterations[[#This Row],[c]]))</f>
        <v/>
      </c>
      <c r="J164" s="2" t="str">
        <f>IF(Iterations[[#This Row],[Step]] =current_step, current_d,IF(Iterations[[#This Row],[Step]] &gt; current_step, "",Iterations[[#This Row],[d]]))</f>
        <v/>
      </c>
      <c r="K164" s="2" t="str">
        <f>IF(Iterations[[#This Row],[Step]] =current_step, current_e,IF(Iterations[[#This Row],[Step]] &gt; current_step, "",Iterations[[#This Row],[e]]))</f>
        <v/>
      </c>
      <c r="L164" s="2" t="str">
        <f>IF(Iterations[[#This Row],[Step]] =current_step, current_Total_Loss,IF(Iterations[[#This Row],[Step]] &gt; current_step, "",Iterations[[#This Row],[Total Loss]]))</f>
        <v/>
      </c>
      <c r="M164" s="6" t="s">
        <v>27</v>
      </c>
      <c r="N164" s="2" t="str">
        <f>IF(Iterations[[#This Row],[Step]] =current_step, current_Grad_a,IF(Iterations[[#This Row],[Step]] &gt; current_step, "",Iterations[[#This Row],[Grad_a]]))</f>
        <v/>
      </c>
      <c r="O164" s="2" t="str">
        <f>IF(Iterations[[#This Row],[Step]] =current_step, current_Grad_b,IF(Iterations[[#This Row],[Step]] &gt; current_step, "",Iterations[[#This Row],[Grad_b]]))</f>
        <v/>
      </c>
      <c r="P164" s="2" t="str">
        <f>IF(Iterations[[#This Row],[Step]] =current_step, current_Grad_c,IF(Iterations[[#This Row],[Step]] &gt; current_step, "",Iterations[[#This Row],[Grad_c]]))</f>
        <v/>
      </c>
      <c r="Q164" s="2" t="str">
        <f>IF(Iterations[[#This Row],[Step]] =current_step, current_Grad_d,IF(Iterations[[#This Row],[Step]] &gt; current_step, "",Iterations[[#This Row],[Grad_d]]))</f>
        <v/>
      </c>
      <c r="R164" s="2" t="str">
        <f>IF(Iterations[[#This Row],[Step]] =current_step, current_Grad_e,IF(Iterations[[#This Row],[Step]] &gt; current_step, "",Iterations[[#This Row],[Grad_e]]))</f>
        <v/>
      </c>
    </row>
    <row r="165" spans="6:18" x14ac:dyDescent="0.3">
      <c r="F165" s="2">
        <f t="shared" si="4"/>
        <v>148</v>
      </c>
      <c r="G165" s="2" t="str">
        <f>IF(Iterations[[#This Row],[Step]] =current_step, current_a,IF(Iterations[[#This Row],[Step]] &gt; current_step, "",Iterations[[#This Row],[a]]))</f>
        <v/>
      </c>
      <c r="H165" s="2" t="str">
        <f>IF(Iterations[[#This Row],[Step]] =current_step, current_b,IF(Iterations[[#This Row],[Step]] &gt; current_step, "",Iterations[[#This Row],[b]]))</f>
        <v/>
      </c>
      <c r="I165" s="2" t="str">
        <f>IF(Iterations[[#This Row],[Step]] =current_step, current_c,IF(Iterations[[#This Row],[Step]] &gt; current_step, "",Iterations[[#This Row],[c]]))</f>
        <v/>
      </c>
      <c r="J165" s="2" t="str">
        <f>IF(Iterations[[#This Row],[Step]] =current_step, current_d,IF(Iterations[[#This Row],[Step]] &gt; current_step, "",Iterations[[#This Row],[d]]))</f>
        <v/>
      </c>
      <c r="K165" s="2" t="str">
        <f>IF(Iterations[[#This Row],[Step]] =current_step, current_e,IF(Iterations[[#This Row],[Step]] &gt; current_step, "",Iterations[[#This Row],[e]]))</f>
        <v/>
      </c>
      <c r="L165" s="2" t="str">
        <f>IF(Iterations[[#This Row],[Step]] =current_step, current_Total_Loss,IF(Iterations[[#This Row],[Step]] &gt; current_step, "",Iterations[[#This Row],[Total Loss]]))</f>
        <v/>
      </c>
      <c r="M165" s="6" t="s">
        <v>27</v>
      </c>
      <c r="N165" s="2" t="str">
        <f>IF(Iterations[[#This Row],[Step]] =current_step, current_Grad_a,IF(Iterations[[#This Row],[Step]] &gt; current_step, "",Iterations[[#This Row],[Grad_a]]))</f>
        <v/>
      </c>
      <c r="O165" s="2" t="str">
        <f>IF(Iterations[[#This Row],[Step]] =current_step, current_Grad_b,IF(Iterations[[#This Row],[Step]] &gt; current_step, "",Iterations[[#This Row],[Grad_b]]))</f>
        <v/>
      </c>
      <c r="P165" s="2" t="str">
        <f>IF(Iterations[[#This Row],[Step]] =current_step, current_Grad_c,IF(Iterations[[#This Row],[Step]] &gt; current_step, "",Iterations[[#This Row],[Grad_c]]))</f>
        <v/>
      </c>
      <c r="Q165" s="2" t="str">
        <f>IF(Iterations[[#This Row],[Step]] =current_step, current_Grad_d,IF(Iterations[[#This Row],[Step]] &gt; current_step, "",Iterations[[#This Row],[Grad_d]]))</f>
        <v/>
      </c>
      <c r="R165" s="2" t="str">
        <f>IF(Iterations[[#This Row],[Step]] =current_step, current_Grad_e,IF(Iterations[[#This Row],[Step]] &gt; current_step, "",Iterations[[#This Row],[Grad_e]]))</f>
        <v/>
      </c>
    </row>
    <row r="166" spans="6:18" x14ac:dyDescent="0.3">
      <c r="F166" s="2">
        <f t="shared" si="4"/>
        <v>149</v>
      </c>
      <c r="G166" s="2" t="str">
        <f>IF(Iterations[[#This Row],[Step]] =current_step, current_a,IF(Iterations[[#This Row],[Step]] &gt; current_step, "",Iterations[[#This Row],[a]]))</f>
        <v/>
      </c>
      <c r="H166" s="2" t="str">
        <f>IF(Iterations[[#This Row],[Step]] =current_step, current_b,IF(Iterations[[#This Row],[Step]] &gt; current_step, "",Iterations[[#This Row],[b]]))</f>
        <v/>
      </c>
      <c r="I166" s="2" t="str">
        <f>IF(Iterations[[#This Row],[Step]] =current_step, current_c,IF(Iterations[[#This Row],[Step]] &gt; current_step, "",Iterations[[#This Row],[c]]))</f>
        <v/>
      </c>
      <c r="J166" s="2" t="str">
        <f>IF(Iterations[[#This Row],[Step]] =current_step, current_d,IF(Iterations[[#This Row],[Step]] &gt; current_step, "",Iterations[[#This Row],[d]]))</f>
        <v/>
      </c>
      <c r="K166" s="2" t="str">
        <f>IF(Iterations[[#This Row],[Step]] =current_step, current_e,IF(Iterations[[#This Row],[Step]] &gt; current_step, "",Iterations[[#This Row],[e]]))</f>
        <v/>
      </c>
      <c r="L166" s="2" t="str">
        <f>IF(Iterations[[#This Row],[Step]] =current_step, current_Total_Loss,IF(Iterations[[#This Row],[Step]] &gt; current_step, "",Iterations[[#This Row],[Total Loss]]))</f>
        <v/>
      </c>
      <c r="M166" s="6" t="s">
        <v>27</v>
      </c>
      <c r="N166" s="2" t="str">
        <f>IF(Iterations[[#This Row],[Step]] =current_step, current_Grad_a,IF(Iterations[[#This Row],[Step]] &gt; current_step, "",Iterations[[#This Row],[Grad_a]]))</f>
        <v/>
      </c>
      <c r="O166" s="2" t="str">
        <f>IF(Iterations[[#This Row],[Step]] =current_step, current_Grad_b,IF(Iterations[[#This Row],[Step]] &gt; current_step, "",Iterations[[#This Row],[Grad_b]]))</f>
        <v/>
      </c>
      <c r="P166" s="2" t="str">
        <f>IF(Iterations[[#This Row],[Step]] =current_step, current_Grad_c,IF(Iterations[[#This Row],[Step]] &gt; current_step, "",Iterations[[#This Row],[Grad_c]]))</f>
        <v/>
      </c>
      <c r="Q166" s="2" t="str">
        <f>IF(Iterations[[#This Row],[Step]] =current_step, current_Grad_d,IF(Iterations[[#This Row],[Step]] &gt; current_step, "",Iterations[[#This Row],[Grad_d]]))</f>
        <v/>
      </c>
      <c r="R166" s="2" t="str">
        <f>IF(Iterations[[#This Row],[Step]] =current_step, current_Grad_e,IF(Iterations[[#This Row],[Step]] &gt; current_step, "",Iterations[[#This Row],[Grad_e]]))</f>
        <v/>
      </c>
    </row>
    <row r="167" spans="6:18" x14ac:dyDescent="0.3">
      <c r="F167" s="2">
        <f t="shared" si="4"/>
        <v>150</v>
      </c>
      <c r="G167" s="2" t="str">
        <f>IF(Iterations[[#This Row],[Step]] =current_step, current_a,IF(Iterations[[#This Row],[Step]] &gt; current_step, "",Iterations[[#This Row],[a]]))</f>
        <v/>
      </c>
      <c r="H167" s="2" t="str">
        <f>IF(Iterations[[#This Row],[Step]] =current_step, current_b,IF(Iterations[[#This Row],[Step]] &gt; current_step, "",Iterations[[#This Row],[b]]))</f>
        <v/>
      </c>
      <c r="I167" s="2" t="str">
        <f>IF(Iterations[[#This Row],[Step]] =current_step, current_c,IF(Iterations[[#This Row],[Step]] &gt; current_step, "",Iterations[[#This Row],[c]]))</f>
        <v/>
      </c>
      <c r="J167" s="2" t="str">
        <f>IF(Iterations[[#This Row],[Step]] =current_step, current_d,IF(Iterations[[#This Row],[Step]] &gt; current_step, "",Iterations[[#This Row],[d]]))</f>
        <v/>
      </c>
      <c r="K167" s="2" t="str">
        <f>IF(Iterations[[#This Row],[Step]] =current_step, current_e,IF(Iterations[[#This Row],[Step]] &gt; current_step, "",Iterations[[#This Row],[e]]))</f>
        <v/>
      </c>
      <c r="L167" s="2" t="str">
        <f>IF(Iterations[[#This Row],[Step]] =current_step, current_Total_Loss,IF(Iterations[[#This Row],[Step]] &gt; current_step, "",Iterations[[#This Row],[Total Loss]]))</f>
        <v/>
      </c>
      <c r="M167" s="6" t="s">
        <v>27</v>
      </c>
      <c r="N167" s="2" t="str">
        <f>IF(Iterations[[#This Row],[Step]] =current_step, current_Grad_a,IF(Iterations[[#This Row],[Step]] &gt; current_step, "",Iterations[[#This Row],[Grad_a]]))</f>
        <v/>
      </c>
      <c r="O167" s="2" t="str">
        <f>IF(Iterations[[#This Row],[Step]] =current_step, current_Grad_b,IF(Iterations[[#This Row],[Step]] &gt; current_step, "",Iterations[[#This Row],[Grad_b]]))</f>
        <v/>
      </c>
      <c r="P167" s="2" t="str">
        <f>IF(Iterations[[#This Row],[Step]] =current_step, current_Grad_c,IF(Iterations[[#This Row],[Step]] &gt; current_step, "",Iterations[[#This Row],[Grad_c]]))</f>
        <v/>
      </c>
      <c r="Q167" s="2" t="str">
        <f>IF(Iterations[[#This Row],[Step]] =current_step, current_Grad_d,IF(Iterations[[#This Row],[Step]] &gt; current_step, "",Iterations[[#This Row],[Grad_d]]))</f>
        <v/>
      </c>
      <c r="R167" s="2" t="str">
        <f>IF(Iterations[[#This Row],[Step]] =current_step, current_Grad_e,IF(Iterations[[#This Row],[Step]] &gt; current_step, "",Iterations[[#This Row],[Grad_e]]))</f>
        <v/>
      </c>
    </row>
    <row r="168" spans="6:18" x14ac:dyDescent="0.3">
      <c r="F168" s="2">
        <f t="shared" si="4"/>
        <v>151</v>
      </c>
      <c r="G168" s="2" t="str">
        <f>IF(Iterations[[#This Row],[Step]] =current_step, current_a,IF(Iterations[[#This Row],[Step]] &gt; current_step, "",Iterations[[#This Row],[a]]))</f>
        <v/>
      </c>
      <c r="H168" s="2" t="str">
        <f>IF(Iterations[[#This Row],[Step]] =current_step, current_b,IF(Iterations[[#This Row],[Step]] &gt; current_step, "",Iterations[[#This Row],[b]]))</f>
        <v/>
      </c>
      <c r="I168" s="2" t="str">
        <f>IF(Iterations[[#This Row],[Step]] =current_step, current_c,IF(Iterations[[#This Row],[Step]] &gt; current_step, "",Iterations[[#This Row],[c]]))</f>
        <v/>
      </c>
      <c r="J168" s="2" t="str">
        <f>IF(Iterations[[#This Row],[Step]] =current_step, current_d,IF(Iterations[[#This Row],[Step]] &gt; current_step, "",Iterations[[#This Row],[d]]))</f>
        <v/>
      </c>
      <c r="K168" s="2" t="str">
        <f>IF(Iterations[[#This Row],[Step]] =current_step, current_e,IF(Iterations[[#This Row],[Step]] &gt; current_step, "",Iterations[[#This Row],[e]]))</f>
        <v/>
      </c>
      <c r="L168" s="2" t="str">
        <f>IF(Iterations[[#This Row],[Step]] =current_step, current_Total_Loss,IF(Iterations[[#This Row],[Step]] &gt; current_step, "",Iterations[[#This Row],[Total Loss]]))</f>
        <v/>
      </c>
      <c r="M168" s="6" t="s">
        <v>27</v>
      </c>
      <c r="N168" s="2" t="str">
        <f>IF(Iterations[[#This Row],[Step]] =current_step, current_Grad_a,IF(Iterations[[#This Row],[Step]] &gt; current_step, "",Iterations[[#This Row],[Grad_a]]))</f>
        <v/>
      </c>
      <c r="O168" s="2" t="str">
        <f>IF(Iterations[[#This Row],[Step]] =current_step, current_Grad_b,IF(Iterations[[#This Row],[Step]] &gt; current_step, "",Iterations[[#This Row],[Grad_b]]))</f>
        <v/>
      </c>
      <c r="P168" s="2" t="str">
        <f>IF(Iterations[[#This Row],[Step]] =current_step, current_Grad_c,IF(Iterations[[#This Row],[Step]] &gt; current_step, "",Iterations[[#This Row],[Grad_c]]))</f>
        <v/>
      </c>
      <c r="Q168" s="2" t="str">
        <f>IF(Iterations[[#This Row],[Step]] =current_step, current_Grad_d,IF(Iterations[[#This Row],[Step]] &gt; current_step, "",Iterations[[#This Row],[Grad_d]]))</f>
        <v/>
      </c>
      <c r="R168" s="2" t="str">
        <f>IF(Iterations[[#This Row],[Step]] =current_step, current_Grad_e,IF(Iterations[[#This Row],[Step]] &gt; current_step, "",Iterations[[#This Row],[Grad_e]]))</f>
        <v/>
      </c>
    </row>
    <row r="169" spans="6:18" x14ac:dyDescent="0.3">
      <c r="F169" s="2">
        <f t="shared" si="4"/>
        <v>152</v>
      </c>
      <c r="G169" s="2" t="str">
        <f>IF(Iterations[[#This Row],[Step]] =current_step, current_a,IF(Iterations[[#This Row],[Step]] &gt; current_step, "",Iterations[[#This Row],[a]]))</f>
        <v/>
      </c>
      <c r="H169" s="2" t="str">
        <f>IF(Iterations[[#This Row],[Step]] =current_step, current_b,IF(Iterations[[#This Row],[Step]] &gt; current_step, "",Iterations[[#This Row],[b]]))</f>
        <v/>
      </c>
      <c r="I169" s="2" t="str">
        <f>IF(Iterations[[#This Row],[Step]] =current_step, current_c,IF(Iterations[[#This Row],[Step]] &gt; current_step, "",Iterations[[#This Row],[c]]))</f>
        <v/>
      </c>
      <c r="J169" s="2" t="str">
        <f>IF(Iterations[[#This Row],[Step]] =current_step, current_d,IF(Iterations[[#This Row],[Step]] &gt; current_step, "",Iterations[[#This Row],[d]]))</f>
        <v/>
      </c>
      <c r="K169" s="2" t="str">
        <f>IF(Iterations[[#This Row],[Step]] =current_step, current_e,IF(Iterations[[#This Row],[Step]] &gt; current_step, "",Iterations[[#This Row],[e]]))</f>
        <v/>
      </c>
      <c r="L169" s="2" t="str">
        <f>IF(Iterations[[#This Row],[Step]] =current_step, current_Total_Loss,IF(Iterations[[#This Row],[Step]] &gt; current_step, "",Iterations[[#This Row],[Total Loss]]))</f>
        <v/>
      </c>
      <c r="M169" s="6" t="s">
        <v>27</v>
      </c>
      <c r="N169" s="2" t="str">
        <f>IF(Iterations[[#This Row],[Step]] =current_step, current_Grad_a,IF(Iterations[[#This Row],[Step]] &gt; current_step, "",Iterations[[#This Row],[Grad_a]]))</f>
        <v/>
      </c>
      <c r="O169" s="2" t="str">
        <f>IF(Iterations[[#This Row],[Step]] =current_step, current_Grad_b,IF(Iterations[[#This Row],[Step]] &gt; current_step, "",Iterations[[#This Row],[Grad_b]]))</f>
        <v/>
      </c>
      <c r="P169" s="2" t="str">
        <f>IF(Iterations[[#This Row],[Step]] =current_step, current_Grad_c,IF(Iterations[[#This Row],[Step]] &gt; current_step, "",Iterations[[#This Row],[Grad_c]]))</f>
        <v/>
      </c>
      <c r="Q169" s="2" t="str">
        <f>IF(Iterations[[#This Row],[Step]] =current_step, current_Grad_d,IF(Iterations[[#This Row],[Step]] &gt; current_step, "",Iterations[[#This Row],[Grad_d]]))</f>
        <v/>
      </c>
      <c r="R169" s="2" t="str">
        <f>IF(Iterations[[#This Row],[Step]] =current_step, current_Grad_e,IF(Iterations[[#This Row],[Step]] &gt; current_step, "",Iterations[[#This Row],[Grad_e]]))</f>
        <v/>
      </c>
    </row>
    <row r="170" spans="6:18" x14ac:dyDescent="0.3">
      <c r="F170" s="2">
        <f t="shared" si="4"/>
        <v>153</v>
      </c>
      <c r="G170" s="2" t="str">
        <f>IF(Iterations[[#This Row],[Step]] =current_step, current_a,IF(Iterations[[#This Row],[Step]] &gt; current_step, "",Iterations[[#This Row],[a]]))</f>
        <v/>
      </c>
      <c r="H170" s="2" t="str">
        <f>IF(Iterations[[#This Row],[Step]] =current_step, current_b,IF(Iterations[[#This Row],[Step]] &gt; current_step, "",Iterations[[#This Row],[b]]))</f>
        <v/>
      </c>
      <c r="I170" s="2" t="str">
        <f>IF(Iterations[[#This Row],[Step]] =current_step, current_c,IF(Iterations[[#This Row],[Step]] &gt; current_step, "",Iterations[[#This Row],[c]]))</f>
        <v/>
      </c>
      <c r="J170" s="2" t="str">
        <f>IF(Iterations[[#This Row],[Step]] =current_step, current_d,IF(Iterations[[#This Row],[Step]] &gt; current_step, "",Iterations[[#This Row],[d]]))</f>
        <v/>
      </c>
      <c r="K170" s="2" t="str">
        <f>IF(Iterations[[#This Row],[Step]] =current_step, current_e,IF(Iterations[[#This Row],[Step]] &gt; current_step, "",Iterations[[#This Row],[e]]))</f>
        <v/>
      </c>
      <c r="L170" s="2" t="str">
        <f>IF(Iterations[[#This Row],[Step]] =current_step, current_Total_Loss,IF(Iterations[[#This Row],[Step]] &gt; current_step, "",Iterations[[#This Row],[Total Loss]]))</f>
        <v/>
      </c>
      <c r="M170" s="6" t="s">
        <v>27</v>
      </c>
      <c r="N170" s="2" t="str">
        <f>IF(Iterations[[#This Row],[Step]] =current_step, current_Grad_a,IF(Iterations[[#This Row],[Step]] &gt; current_step, "",Iterations[[#This Row],[Grad_a]]))</f>
        <v/>
      </c>
      <c r="O170" s="2" t="str">
        <f>IF(Iterations[[#This Row],[Step]] =current_step, current_Grad_b,IF(Iterations[[#This Row],[Step]] &gt; current_step, "",Iterations[[#This Row],[Grad_b]]))</f>
        <v/>
      </c>
      <c r="P170" s="2" t="str">
        <f>IF(Iterations[[#This Row],[Step]] =current_step, current_Grad_c,IF(Iterations[[#This Row],[Step]] &gt; current_step, "",Iterations[[#This Row],[Grad_c]]))</f>
        <v/>
      </c>
      <c r="Q170" s="2" t="str">
        <f>IF(Iterations[[#This Row],[Step]] =current_step, current_Grad_d,IF(Iterations[[#This Row],[Step]] &gt; current_step, "",Iterations[[#This Row],[Grad_d]]))</f>
        <v/>
      </c>
      <c r="R170" s="2" t="str">
        <f>IF(Iterations[[#This Row],[Step]] =current_step, current_Grad_e,IF(Iterations[[#This Row],[Step]] &gt; current_step, "",Iterations[[#This Row],[Grad_e]]))</f>
        <v/>
      </c>
    </row>
    <row r="171" spans="6:18" x14ac:dyDescent="0.3">
      <c r="F171" s="2">
        <f t="shared" si="4"/>
        <v>154</v>
      </c>
      <c r="G171" s="2" t="str">
        <f>IF(Iterations[[#This Row],[Step]] =current_step, current_a,IF(Iterations[[#This Row],[Step]] &gt; current_step, "",Iterations[[#This Row],[a]]))</f>
        <v/>
      </c>
      <c r="H171" s="2" t="str">
        <f>IF(Iterations[[#This Row],[Step]] =current_step, current_b,IF(Iterations[[#This Row],[Step]] &gt; current_step, "",Iterations[[#This Row],[b]]))</f>
        <v/>
      </c>
      <c r="I171" s="2" t="str">
        <f>IF(Iterations[[#This Row],[Step]] =current_step, current_c,IF(Iterations[[#This Row],[Step]] &gt; current_step, "",Iterations[[#This Row],[c]]))</f>
        <v/>
      </c>
      <c r="J171" s="2" t="str">
        <f>IF(Iterations[[#This Row],[Step]] =current_step, current_d,IF(Iterations[[#This Row],[Step]] &gt; current_step, "",Iterations[[#This Row],[d]]))</f>
        <v/>
      </c>
      <c r="K171" s="2" t="str">
        <f>IF(Iterations[[#This Row],[Step]] =current_step, current_e,IF(Iterations[[#This Row],[Step]] &gt; current_step, "",Iterations[[#This Row],[e]]))</f>
        <v/>
      </c>
      <c r="L171" s="2" t="str">
        <f>IF(Iterations[[#This Row],[Step]] =current_step, current_Total_Loss,IF(Iterations[[#This Row],[Step]] &gt; current_step, "",Iterations[[#This Row],[Total Loss]]))</f>
        <v/>
      </c>
      <c r="M171" s="6" t="s">
        <v>27</v>
      </c>
      <c r="N171" s="2" t="str">
        <f>IF(Iterations[[#This Row],[Step]] =current_step, current_Grad_a,IF(Iterations[[#This Row],[Step]] &gt; current_step, "",Iterations[[#This Row],[Grad_a]]))</f>
        <v/>
      </c>
      <c r="O171" s="2" t="str">
        <f>IF(Iterations[[#This Row],[Step]] =current_step, current_Grad_b,IF(Iterations[[#This Row],[Step]] &gt; current_step, "",Iterations[[#This Row],[Grad_b]]))</f>
        <v/>
      </c>
      <c r="P171" s="2" t="str">
        <f>IF(Iterations[[#This Row],[Step]] =current_step, current_Grad_c,IF(Iterations[[#This Row],[Step]] &gt; current_step, "",Iterations[[#This Row],[Grad_c]]))</f>
        <v/>
      </c>
      <c r="Q171" s="2" t="str">
        <f>IF(Iterations[[#This Row],[Step]] =current_step, current_Grad_d,IF(Iterations[[#This Row],[Step]] &gt; current_step, "",Iterations[[#This Row],[Grad_d]]))</f>
        <v/>
      </c>
      <c r="R171" s="2" t="str">
        <f>IF(Iterations[[#This Row],[Step]] =current_step, current_Grad_e,IF(Iterations[[#This Row],[Step]] &gt; current_step, "",Iterations[[#This Row],[Grad_e]]))</f>
        <v/>
      </c>
    </row>
    <row r="172" spans="6:18" x14ac:dyDescent="0.3">
      <c r="F172" s="2">
        <f t="shared" si="4"/>
        <v>155</v>
      </c>
      <c r="G172" s="2" t="str">
        <f>IF(Iterations[[#This Row],[Step]] =current_step, current_a,IF(Iterations[[#This Row],[Step]] &gt; current_step, "",Iterations[[#This Row],[a]]))</f>
        <v/>
      </c>
      <c r="H172" s="2" t="str">
        <f>IF(Iterations[[#This Row],[Step]] =current_step, current_b,IF(Iterations[[#This Row],[Step]] &gt; current_step, "",Iterations[[#This Row],[b]]))</f>
        <v/>
      </c>
      <c r="I172" s="2" t="str">
        <f>IF(Iterations[[#This Row],[Step]] =current_step, current_c,IF(Iterations[[#This Row],[Step]] &gt; current_step, "",Iterations[[#This Row],[c]]))</f>
        <v/>
      </c>
      <c r="J172" s="2" t="str">
        <f>IF(Iterations[[#This Row],[Step]] =current_step, current_d,IF(Iterations[[#This Row],[Step]] &gt; current_step, "",Iterations[[#This Row],[d]]))</f>
        <v/>
      </c>
      <c r="K172" s="2" t="str">
        <f>IF(Iterations[[#This Row],[Step]] =current_step, current_e,IF(Iterations[[#This Row],[Step]] &gt; current_step, "",Iterations[[#This Row],[e]]))</f>
        <v/>
      </c>
      <c r="L172" s="2" t="str">
        <f>IF(Iterations[[#This Row],[Step]] =current_step, current_Total_Loss,IF(Iterations[[#This Row],[Step]] &gt; current_step, "",Iterations[[#This Row],[Total Loss]]))</f>
        <v/>
      </c>
      <c r="M172" s="6" t="s">
        <v>27</v>
      </c>
      <c r="N172" s="2" t="str">
        <f>IF(Iterations[[#This Row],[Step]] =current_step, current_Grad_a,IF(Iterations[[#This Row],[Step]] &gt; current_step, "",Iterations[[#This Row],[Grad_a]]))</f>
        <v/>
      </c>
      <c r="O172" s="2" t="str">
        <f>IF(Iterations[[#This Row],[Step]] =current_step, current_Grad_b,IF(Iterations[[#This Row],[Step]] &gt; current_step, "",Iterations[[#This Row],[Grad_b]]))</f>
        <v/>
      </c>
      <c r="P172" s="2" t="str">
        <f>IF(Iterations[[#This Row],[Step]] =current_step, current_Grad_c,IF(Iterations[[#This Row],[Step]] &gt; current_step, "",Iterations[[#This Row],[Grad_c]]))</f>
        <v/>
      </c>
      <c r="Q172" s="2" t="str">
        <f>IF(Iterations[[#This Row],[Step]] =current_step, current_Grad_d,IF(Iterations[[#This Row],[Step]] &gt; current_step, "",Iterations[[#This Row],[Grad_d]]))</f>
        <v/>
      </c>
      <c r="R172" s="2" t="str">
        <f>IF(Iterations[[#This Row],[Step]] =current_step, current_Grad_e,IF(Iterations[[#This Row],[Step]] &gt; current_step, "",Iterations[[#This Row],[Grad_e]]))</f>
        <v/>
      </c>
    </row>
    <row r="173" spans="6:18" x14ac:dyDescent="0.3">
      <c r="F173" s="2">
        <f t="shared" si="4"/>
        <v>156</v>
      </c>
      <c r="G173" s="2" t="str">
        <f>IF(Iterations[[#This Row],[Step]] =current_step, current_a,IF(Iterations[[#This Row],[Step]] &gt; current_step, "",Iterations[[#This Row],[a]]))</f>
        <v/>
      </c>
      <c r="H173" s="2" t="str">
        <f>IF(Iterations[[#This Row],[Step]] =current_step, current_b,IF(Iterations[[#This Row],[Step]] &gt; current_step, "",Iterations[[#This Row],[b]]))</f>
        <v/>
      </c>
      <c r="I173" s="2" t="str">
        <f>IF(Iterations[[#This Row],[Step]] =current_step, current_c,IF(Iterations[[#This Row],[Step]] &gt; current_step, "",Iterations[[#This Row],[c]]))</f>
        <v/>
      </c>
      <c r="J173" s="2" t="str">
        <f>IF(Iterations[[#This Row],[Step]] =current_step, current_d,IF(Iterations[[#This Row],[Step]] &gt; current_step, "",Iterations[[#This Row],[d]]))</f>
        <v/>
      </c>
      <c r="K173" s="2" t="str">
        <f>IF(Iterations[[#This Row],[Step]] =current_step, current_e,IF(Iterations[[#This Row],[Step]] &gt; current_step, "",Iterations[[#This Row],[e]]))</f>
        <v/>
      </c>
      <c r="L173" s="2" t="str">
        <f>IF(Iterations[[#This Row],[Step]] =current_step, current_Total_Loss,IF(Iterations[[#This Row],[Step]] &gt; current_step, "",Iterations[[#This Row],[Total Loss]]))</f>
        <v/>
      </c>
      <c r="M173" s="6" t="s">
        <v>27</v>
      </c>
      <c r="N173" s="2" t="str">
        <f>IF(Iterations[[#This Row],[Step]] =current_step, current_Grad_a,IF(Iterations[[#This Row],[Step]] &gt; current_step, "",Iterations[[#This Row],[Grad_a]]))</f>
        <v/>
      </c>
      <c r="O173" s="2" t="str">
        <f>IF(Iterations[[#This Row],[Step]] =current_step, current_Grad_b,IF(Iterations[[#This Row],[Step]] &gt; current_step, "",Iterations[[#This Row],[Grad_b]]))</f>
        <v/>
      </c>
      <c r="P173" s="2" t="str">
        <f>IF(Iterations[[#This Row],[Step]] =current_step, current_Grad_c,IF(Iterations[[#This Row],[Step]] &gt; current_step, "",Iterations[[#This Row],[Grad_c]]))</f>
        <v/>
      </c>
      <c r="Q173" s="2" t="str">
        <f>IF(Iterations[[#This Row],[Step]] =current_step, current_Grad_d,IF(Iterations[[#This Row],[Step]] &gt; current_step, "",Iterations[[#This Row],[Grad_d]]))</f>
        <v/>
      </c>
      <c r="R173" s="2" t="str">
        <f>IF(Iterations[[#This Row],[Step]] =current_step, current_Grad_e,IF(Iterations[[#This Row],[Step]] &gt; current_step, "",Iterations[[#This Row],[Grad_e]]))</f>
        <v/>
      </c>
    </row>
    <row r="174" spans="6:18" x14ac:dyDescent="0.3">
      <c r="F174" s="2">
        <f t="shared" si="4"/>
        <v>157</v>
      </c>
      <c r="G174" s="2" t="str">
        <f>IF(Iterations[[#This Row],[Step]] =current_step, current_a,IF(Iterations[[#This Row],[Step]] &gt; current_step, "",Iterations[[#This Row],[a]]))</f>
        <v/>
      </c>
      <c r="H174" s="2" t="str">
        <f>IF(Iterations[[#This Row],[Step]] =current_step, current_b,IF(Iterations[[#This Row],[Step]] &gt; current_step, "",Iterations[[#This Row],[b]]))</f>
        <v/>
      </c>
      <c r="I174" s="2" t="str">
        <f>IF(Iterations[[#This Row],[Step]] =current_step, current_c,IF(Iterations[[#This Row],[Step]] &gt; current_step, "",Iterations[[#This Row],[c]]))</f>
        <v/>
      </c>
      <c r="J174" s="2" t="str">
        <f>IF(Iterations[[#This Row],[Step]] =current_step, current_d,IF(Iterations[[#This Row],[Step]] &gt; current_step, "",Iterations[[#This Row],[d]]))</f>
        <v/>
      </c>
      <c r="K174" s="2" t="str">
        <f>IF(Iterations[[#This Row],[Step]] =current_step, current_e,IF(Iterations[[#This Row],[Step]] &gt; current_step, "",Iterations[[#This Row],[e]]))</f>
        <v/>
      </c>
      <c r="L174" s="2" t="str">
        <f>IF(Iterations[[#This Row],[Step]] =current_step, current_Total_Loss,IF(Iterations[[#This Row],[Step]] &gt; current_step, "",Iterations[[#This Row],[Total Loss]]))</f>
        <v/>
      </c>
      <c r="M174" s="6" t="s">
        <v>27</v>
      </c>
      <c r="N174" s="2" t="str">
        <f>IF(Iterations[[#This Row],[Step]] =current_step, current_Grad_a,IF(Iterations[[#This Row],[Step]] &gt; current_step, "",Iterations[[#This Row],[Grad_a]]))</f>
        <v/>
      </c>
      <c r="O174" s="2" t="str">
        <f>IF(Iterations[[#This Row],[Step]] =current_step, current_Grad_b,IF(Iterations[[#This Row],[Step]] &gt; current_step, "",Iterations[[#This Row],[Grad_b]]))</f>
        <v/>
      </c>
      <c r="P174" s="2" t="str">
        <f>IF(Iterations[[#This Row],[Step]] =current_step, current_Grad_c,IF(Iterations[[#This Row],[Step]] &gt; current_step, "",Iterations[[#This Row],[Grad_c]]))</f>
        <v/>
      </c>
      <c r="Q174" s="2" t="str">
        <f>IF(Iterations[[#This Row],[Step]] =current_step, current_Grad_d,IF(Iterations[[#This Row],[Step]] &gt; current_step, "",Iterations[[#This Row],[Grad_d]]))</f>
        <v/>
      </c>
      <c r="R174" s="2" t="str">
        <f>IF(Iterations[[#This Row],[Step]] =current_step, current_Grad_e,IF(Iterations[[#This Row],[Step]] &gt; current_step, "",Iterations[[#This Row],[Grad_e]]))</f>
        <v/>
      </c>
    </row>
    <row r="175" spans="6:18" x14ac:dyDescent="0.3">
      <c r="F175" s="2">
        <f t="shared" si="4"/>
        <v>158</v>
      </c>
      <c r="G175" s="2" t="str">
        <f>IF(Iterations[[#This Row],[Step]] =current_step, current_a,IF(Iterations[[#This Row],[Step]] &gt; current_step, "",Iterations[[#This Row],[a]]))</f>
        <v/>
      </c>
      <c r="H175" s="2" t="str">
        <f>IF(Iterations[[#This Row],[Step]] =current_step, current_b,IF(Iterations[[#This Row],[Step]] &gt; current_step, "",Iterations[[#This Row],[b]]))</f>
        <v/>
      </c>
      <c r="I175" s="2" t="str">
        <f>IF(Iterations[[#This Row],[Step]] =current_step, current_c,IF(Iterations[[#This Row],[Step]] &gt; current_step, "",Iterations[[#This Row],[c]]))</f>
        <v/>
      </c>
      <c r="J175" s="2" t="str">
        <f>IF(Iterations[[#This Row],[Step]] =current_step, current_d,IF(Iterations[[#This Row],[Step]] &gt; current_step, "",Iterations[[#This Row],[d]]))</f>
        <v/>
      </c>
      <c r="K175" s="2" t="str">
        <f>IF(Iterations[[#This Row],[Step]] =current_step, current_e,IF(Iterations[[#This Row],[Step]] &gt; current_step, "",Iterations[[#This Row],[e]]))</f>
        <v/>
      </c>
      <c r="L175" s="2" t="str">
        <f>IF(Iterations[[#This Row],[Step]] =current_step, current_Total_Loss,IF(Iterations[[#This Row],[Step]] &gt; current_step, "",Iterations[[#This Row],[Total Loss]]))</f>
        <v/>
      </c>
      <c r="M175" s="6" t="s">
        <v>27</v>
      </c>
      <c r="N175" s="2" t="str">
        <f>IF(Iterations[[#This Row],[Step]] =current_step, current_Grad_a,IF(Iterations[[#This Row],[Step]] &gt; current_step, "",Iterations[[#This Row],[Grad_a]]))</f>
        <v/>
      </c>
      <c r="O175" s="2" t="str">
        <f>IF(Iterations[[#This Row],[Step]] =current_step, current_Grad_b,IF(Iterations[[#This Row],[Step]] &gt; current_step, "",Iterations[[#This Row],[Grad_b]]))</f>
        <v/>
      </c>
      <c r="P175" s="2" t="str">
        <f>IF(Iterations[[#This Row],[Step]] =current_step, current_Grad_c,IF(Iterations[[#This Row],[Step]] &gt; current_step, "",Iterations[[#This Row],[Grad_c]]))</f>
        <v/>
      </c>
      <c r="Q175" s="2" t="str">
        <f>IF(Iterations[[#This Row],[Step]] =current_step, current_Grad_d,IF(Iterations[[#This Row],[Step]] &gt; current_step, "",Iterations[[#This Row],[Grad_d]]))</f>
        <v/>
      </c>
      <c r="R175" s="2" t="str">
        <f>IF(Iterations[[#This Row],[Step]] =current_step, current_Grad_e,IF(Iterations[[#This Row],[Step]] &gt; current_step, "",Iterations[[#This Row],[Grad_e]]))</f>
        <v/>
      </c>
    </row>
    <row r="176" spans="6:18" x14ac:dyDescent="0.3">
      <c r="F176" s="2">
        <f t="shared" si="4"/>
        <v>159</v>
      </c>
      <c r="G176" s="2" t="str">
        <f>IF(Iterations[[#This Row],[Step]] =current_step, current_a,IF(Iterations[[#This Row],[Step]] &gt; current_step, "",Iterations[[#This Row],[a]]))</f>
        <v/>
      </c>
      <c r="H176" s="2" t="str">
        <f>IF(Iterations[[#This Row],[Step]] =current_step, current_b,IF(Iterations[[#This Row],[Step]] &gt; current_step, "",Iterations[[#This Row],[b]]))</f>
        <v/>
      </c>
      <c r="I176" s="2" t="str">
        <f>IF(Iterations[[#This Row],[Step]] =current_step, current_c,IF(Iterations[[#This Row],[Step]] &gt; current_step, "",Iterations[[#This Row],[c]]))</f>
        <v/>
      </c>
      <c r="J176" s="2" t="str">
        <f>IF(Iterations[[#This Row],[Step]] =current_step, current_d,IF(Iterations[[#This Row],[Step]] &gt; current_step, "",Iterations[[#This Row],[d]]))</f>
        <v/>
      </c>
      <c r="K176" s="2" t="str">
        <f>IF(Iterations[[#This Row],[Step]] =current_step, current_e,IF(Iterations[[#This Row],[Step]] &gt; current_step, "",Iterations[[#This Row],[e]]))</f>
        <v/>
      </c>
      <c r="L176" s="2" t="str">
        <f>IF(Iterations[[#This Row],[Step]] =current_step, current_Total_Loss,IF(Iterations[[#This Row],[Step]] &gt; current_step, "",Iterations[[#This Row],[Total Loss]]))</f>
        <v/>
      </c>
      <c r="M176" s="6" t="s">
        <v>27</v>
      </c>
      <c r="N176" s="2" t="str">
        <f>IF(Iterations[[#This Row],[Step]] =current_step, current_Grad_a,IF(Iterations[[#This Row],[Step]] &gt; current_step, "",Iterations[[#This Row],[Grad_a]]))</f>
        <v/>
      </c>
      <c r="O176" s="2" t="str">
        <f>IF(Iterations[[#This Row],[Step]] =current_step, current_Grad_b,IF(Iterations[[#This Row],[Step]] &gt; current_step, "",Iterations[[#This Row],[Grad_b]]))</f>
        <v/>
      </c>
      <c r="P176" s="2" t="str">
        <f>IF(Iterations[[#This Row],[Step]] =current_step, current_Grad_c,IF(Iterations[[#This Row],[Step]] &gt; current_step, "",Iterations[[#This Row],[Grad_c]]))</f>
        <v/>
      </c>
      <c r="Q176" s="2" t="str">
        <f>IF(Iterations[[#This Row],[Step]] =current_step, current_Grad_d,IF(Iterations[[#This Row],[Step]] &gt; current_step, "",Iterations[[#This Row],[Grad_d]]))</f>
        <v/>
      </c>
      <c r="R176" s="2" t="str">
        <f>IF(Iterations[[#This Row],[Step]] =current_step, current_Grad_e,IF(Iterations[[#This Row],[Step]] &gt; current_step, "",Iterations[[#This Row],[Grad_e]]))</f>
        <v/>
      </c>
    </row>
    <row r="177" spans="6:18" x14ac:dyDescent="0.3">
      <c r="F177" s="2">
        <f t="shared" si="4"/>
        <v>160</v>
      </c>
      <c r="G177" s="2" t="str">
        <f>IF(Iterations[[#This Row],[Step]] =current_step, current_a,IF(Iterations[[#This Row],[Step]] &gt; current_step, "",Iterations[[#This Row],[a]]))</f>
        <v/>
      </c>
      <c r="H177" s="2" t="str">
        <f>IF(Iterations[[#This Row],[Step]] =current_step, current_b,IF(Iterations[[#This Row],[Step]] &gt; current_step, "",Iterations[[#This Row],[b]]))</f>
        <v/>
      </c>
      <c r="I177" s="2" t="str">
        <f>IF(Iterations[[#This Row],[Step]] =current_step, current_c,IF(Iterations[[#This Row],[Step]] &gt; current_step, "",Iterations[[#This Row],[c]]))</f>
        <v/>
      </c>
      <c r="J177" s="2" t="str">
        <f>IF(Iterations[[#This Row],[Step]] =current_step, current_d,IF(Iterations[[#This Row],[Step]] &gt; current_step, "",Iterations[[#This Row],[d]]))</f>
        <v/>
      </c>
      <c r="K177" s="2" t="str">
        <f>IF(Iterations[[#This Row],[Step]] =current_step, current_e,IF(Iterations[[#This Row],[Step]] &gt; current_step, "",Iterations[[#This Row],[e]]))</f>
        <v/>
      </c>
      <c r="L177" s="2" t="str">
        <f>IF(Iterations[[#This Row],[Step]] =current_step, current_Total_Loss,IF(Iterations[[#This Row],[Step]] &gt; current_step, "",Iterations[[#This Row],[Total Loss]]))</f>
        <v/>
      </c>
      <c r="M177" s="6" t="s">
        <v>27</v>
      </c>
      <c r="N177" s="2" t="str">
        <f>IF(Iterations[[#This Row],[Step]] =current_step, current_Grad_a,IF(Iterations[[#This Row],[Step]] &gt; current_step, "",Iterations[[#This Row],[Grad_a]]))</f>
        <v/>
      </c>
      <c r="O177" s="2" t="str">
        <f>IF(Iterations[[#This Row],[Step]] =current_step, current_Grad_b,IF(Iterations[[#This Row],[Step]] &gt; current_step, "",Iterations[[#This Row],[Grad_b]]))</f>
        <v/>
      </c>
      <c r="P177" s="2" t="str">
        <f>IF(Iterations[[#This Row],[Step]] =current_step, current_Grad_c,IF(Iterations[[#This Row],[Step]] &gt; current_step, "",Iterations[[#This Row],[Grad_c]]))</f>
        <v/>
      </c>
      <c r="Q177" s="2" t="str">
        <f>IF(Iterations[[#This Row],[Step]] =current_step, current_Grad_d,IF(Iterations[[#This Row],[Step]] &gt; current_step, "",Iterations[[#This Row],[Grad_d]]))</f>
        <v/>
      </c>
      <c r="R177" s="2" t="str">
        <f>IF(Iterations[[#This Row],[Step]] =current_step, current_Grad_e,IF(Iterations[[#This Row],[Step]] &gt; current_step, "",Iterations[[#This Row],[Grad_e]]))</f>
        <v/>
      </c>
    </row>
    <row r="178" spans="6:18" x14ac:dyDescent="0.3">
      <c r="F178" s="2">
        <f t="shared" si="4"/>
        <v>161</v>
      </c>
      <c r="G178" s="2" t="str">
        <f>IF(Iterations[[#This Row],[Step]] =current_step, current_a,IF(Iterations[[#This Row],[Step]] &gt; current_step, "",Iterations[[#This Row],[a]]))</f>
        <v/>
      </c>
      <c r="H178" s="2" t="str">
        <f>IF(Iterations[[#This Row],[Step]] =current_step, current_b,IF(Iterations[[#This Row],[Step]] &gt; current_step, "",Iterations[[#This Row],[b]]))</f>
        <v/>
      </c>
      <c r="I178" s="2" t="str">
        <f>IF(Iterations[[#This Row],[Step]] =current_step, current_c,IF(Iterations[[#This Row],[Step]] &gt; current_step, "",Iterations[[#This Row],[c]]))</f>
        <v/>
      </c>
      <c r="J178" s="2" t="str">
        <f>IF(Iterations[[#This Row],[Step]] =current_step, current_d,IF(Iterations[[#This Row],[Step]] &gt; current_step, "",Iterations[[#This Row],[d]]))</f>
        <v/>
      </c>
      <c r="K178" s="2" t="str">
        <f>IF(Iterations[[#This Row],[Step]] =current_step, current_e,IF(Iterations[[#This Row],[Step]] &gt; current_step, "",Iterations[[#This Row],[e]]))</f>
        <v/>
      </c>
      <c r="L178" s="2" t="str">
        <f>IF(Iterations[[#This Row],[Step]] =current_step, current_Total_Loss,IF(Iterations[[#This Row],[Step]] &gt; current_step, "",Iterations[[#This Row],[Total Loss]]))</f>
        <v/>
      </c>
      <c r="M178" s="6" t="s">
        <v>27</v>
      </c>
      <c r="N178" s="2" t="str">
        <f>IF(Iterations[[#This Row],[Step]] =current_step, current_Grad_a,IF(Iterations[[#This Row],[Step]] &gt; current_step, "",Iterations[[#This Row],[Grad_a]]))</f>
        <v/>
      </c>
      <c r="O178" s="2" t="str">
        <f>IF(Iterations[[#This Row],[Step]] =current_step, current_Grad_b,IF(Iterations[[#This Row],[Step]] &gt; current_step, "",Iterations[[#This Row],[Grad_b]]))</f>
        <v/>
      </c>
      <c r="P178" s="2" t="str">
        <f>IF(Iterations[[#This Row],[Step]] =current_step, current_Grad_c,IF(Iterations[[#This Row],[Step]] &gt; current_step, "",Iterations[[#This Row],[Grad_c]]))</f>
        <v/>
      </c>
      <c r="Q178" s="2" t="str">
        <f>IF(Iterations[[#This Row],[Step]] =current_step, current_Grad_d,IF(Iterations[[#This Row],[Step]] &gt; current_step, "",Iterations[[#This Row],[Grad_d]]))</f>
        <v/>
      </c>
      <c r="R178" s="2" t="str">
        <f>IF(Iterations[[#This Row],[Step]] =current_step, current_Grad_e,IF(Iterations[[#This Row],[Step]] &gt; current_step, "",Iterations[[#This Row],[Grad_e]]))</f>
        <v/>
      </c>
    </row>
    <row r="179" spans="6:18" x14ac:dyDescent="0.3">
      <c r="F179" s="2">
        <f t="shared" si="4"/>
        <v>162</v>
      </c>
      <c r="G179" s="2" t="str">
        <f>IF(Iterations[[#This Row],[Step]] =current_step, current_a,IF(Iterations[[#This Row],[Step]] &gt; current_step, "",Iterations[[#This Row],[a]]))</f>
        <v/>
      </c>
      <c r="H179" s="2" t="str">
        <f>IF(Iterations[[#This Row],[Step]] =current_step, current_b,IF(Iterations[[#This Row],[Step]] &gt; current_step, "",Iterations[[#This Row],[b]]))</f>
        <v/>
      </c>
      <c r="I179" s="2" t="str">
        <f>IF(Iterations[[#This Row],[Step]] =current_step, current_c,IF(Iterations[[#This Row],[Step]] &gt; current_step, "",Iterations[[#This Row],[c]]))</f>
        <v/>
      </c>
      <c r="J179" s="2" t="str">
        <f>IF(Iterations[[#This Row],[Step]] =current_step, current_d,IF(Iterations[[#This Row],[Step]] &gt; current_step, "",Iterations[[#This Row],[d]]))</f>
        <v/>
      </c>
      <c r="K179" s="2" t="str">
        <f>IF(Iterations[[#This Row],[Step]] =current_step, current_e,IF(Iterations[[#This Row],[Step]] &gt; current_step, "",Iterations[[#This Row],[e]]))</f>
        <v/>
      </c>
      <c r="L179" s="2" t="str">
        <f>IF(Iterations[[#This Row],[Step]] =current_step, current_Total_Loss,IF(Iterations[[#This Row],[Step]] &gt; current_step, "",Iterations[[#This Row],[Total Loss]]))</f>
        <v/>
      </c>
      <c r="M179" s="6" t="s">
        <v>27</v>
      </c>
      <c r="N179" s="2" t="str">
        <f>IF(Iterations[[#This Row],[Step]] =current_step, current_Grad_a,IF(Iterations[[#This Row],[Step]] &gt; current_step, "",Iterations[[#This Row],[Grad_a]]))</f>
        <v/>
      </c>
      <c r="O179" s="2" t="str">
        <f>IF(Iterations[[#This Row],[Step]] =current_step, current_Grad_b,IF(Iterations[[#This Row],[Step]] &gt; current_step, "",Iterations[[#This Row],[Grad_b]]))</f>
        <v/>
      </c>
      <c r="P179" s="2" t="str">
        <f>IF(Iterations[[#This Row],[Step]] =current_step, current_Grad_c,IF(Iterations[[#This Row],[Step]] &gt; current_step, "",Iterations[[#This Row],[Grad_c]]))</f>
        <v/>
      </c>
      <c r="Q179" s="2" t="str">
        <f>IF(Iterations[[#This Row],[Step]] =current_step, current_Grad_d,IF(Iterations[[#This Row],[Step]] &gt; current_step, "",Iterations[[#This Row],[Grad_d]]))</f>
        <v/>
      </c>
      <c r="R179" s="2" t="str">
        <f>IF(Iterations[[#This Row],[Step]] =current_step, current_Grad_e,IF(Iterations[[#This Row],[Step]] &gt; current_step, "",Iterations[[#This Row],[Grad_e]]))</f>
        <v/>
      </c>
    </row>
    <row r="180" spans="6:18" x14ac:dyDescent="0.3">
      <c r="F180" s="2">
        <f t="shared" si="4"/>
        <v>163</v>
      </c>
      <c r="G180" s="2" t="str">
        <f>IF(Iterations[[#This Row],[Step]] =current_step, current_a,IF(Iterations[[#This Row],[Step]] &gt; current_step, "",Iterations[[#This Row],[a]]))</f>
        <v/>
      </c>
      <c r="H180" s="2" t="str">
        <f>IF(Iterations[[#This Row],[Step]] =current_step, current_b,IF(Iterations[[#This Row],[Step]] &gt; current_step, "",Iterations[[#This Row],[b]]))</f>
        <v/>
      </c>
      <c r="I180" s="2" t="str">
        <f>IF(Iterations[[#This Row],[Step]] =current_step, current_c,IF(Iterations[[#This Row],[Step]] &gt; current_step, "",Iterations[[#This Row],[c]]))</f>
        <v/>
      </c>
      <c r="J180" s="2" t="str">
        <f>IF(Iterations[[#This Row],[Step]] =current_step, current_d,IF(Iterations[[#This Row],[Step]] &gt; current_step, "",Iterations[[#This Row],[d]]))</f>
        <v/>
      </c>
      <c r="K180" s="2" t="str">
        <f>IF(Iterations[[#This Row],[Step]] =current_step, current_e,IF(Iterations[[#This Row],[Step]] &gt; current_step, "",Iterations[[#This Row],[e]]))</f>
        <v/>
      </c>
      <c r="L180" s="2" t="str">
        <f>IF(Iterations[[#This Row],[Step]] =current_step, current_Total_Loss,IF(Iterations[[#This Row],[Step]] &gt; current_step, "",Iterations[[#This Row],[Total Loss]]))</f>
        <v/>
      </c>
      <c r="M180" s="6" t="s">
        <v>27</v>
      </c>
      <c r="N180" s="2" t="str">
        <f>IF(Iterations[[#This Row],[Step]] =current_step, current_Grad_a,IF(Iterations[[#This Row],[Step]] &gt; current_step, "",Iterations[[#This Row],[Grad_a]]))</f>
        <v/>
      </c>
      <c r="O180" s="2" t="str">
        <f>IF(Iterations[[#This Row],[Step]] =current_step, current_Grad_b,IF(Iterations[[#This Row],[Step]] &gt; current_step, "",Iterations[[#This Row],[Grad_b]]))</f>
        <v/>
      </c>
      <c r="P180" s="2" t="str">
        <f>IF(Iterations[[#This Row],[Step]] =current_step, current_Grad_c,IF(Iterations[[#This Row],[Step]] &gt; current_step, "",Iterations[[#This Row],[Grad_c]]))</f>
        <v/>
      </c>
      <c r="Q180" s="2" t="str">
        <f>IF(Iterations[[#This Row],[Step]] =current_step, current_Grad_d,IF(Iterations[[#This Row],[Step]] &gt; current_step, "",Iterations[[#This Row],[Grad_d]]))</f>
        <v/>
      </c>
      <c r="R180" s="2" t="str">
        <f>IF(Iterations[[#This Row],[Step]] =current_step, current_Grad_e,IF(Iterations[[#This Row],[Step]] &gt; current_step, "",Iterations[[#This Row],[Grad_e]]))</f>
        <v/>
      </c>
    </row>
    <row r="181" spans="6:18" x14ac:dyDescent="0.3">
      <c r="F181" s="2">
        <f t="shared" si="4"/>
        <v>164</v>
      </c>
      <c r="G181" s="2" t="str">
        <f>IF(Iterations[[#This Row],[Step]] =current_step, current_a,IF(Iterations[[#This Row],[Step]] &gt; current_step, "",Iterations[[#This Row],[a]]))</f>
        <v/>
      </c>
      <c r="H181" s="2" t="str">
        <f>IF(Iterations[[#This Row],[Step]] =current_step, current_b,IF(Iterations[[#This Row],[Step]] &gt; current_step, "",Iterations[[#This Row],[b]]))</f>
        <v/>
      </c>
      <c r="I181" s="2" t="str">
        <f>IF(Iterations[[#This Row],[Step]] =current_step, current_c,IF(Iterations[[#This Row],[Step]] &gt; current_step, "",Iterations[[#This Row],[c]]))</f>
        <v/>
      </c>
      <c r="J181" s="2" t="str">
        <f>IF(Iterations[[#This Row],[Step]] =current_step, current_d,IF(Iterations[[#This Row],[Step]] &gt; current_step, "",Iterations[[#This Row],[d]]))</f>
        <v/>
      </c>
      <c r="K181" s="2" t="str">
        <f>IF(Iterations[[#This Row],[Step]] =current_step, current_e,IF(Iterations[[#This Row],[Step]] &gt; current_step, "",Iterations[[#This Row],[e]]))</f>
        <v/>
      </c>
      <c r="L181" s="2" t="str">
        <f>IF(Iterations[[#This Row],[Step]] =current_step, current_Total_Loss,IF(Iterations[[#This Row],[Step]] &gt; current_step, "",Iterations[[#This Row],[Total Loss]]))</f>
        <v/>
      </c>
      <c r="M181" s="6" t="s">
        <v>27</v>
      </c>
      <c r="N181" s="2" t="str">
        <f>IF(Iterations[[#This Row],[Step]] =current_step, current_Grad_a,IF(Iterations[[#This Row],[Step]] &gt; current_step, "",Iterations[[#This Row],[Grad_a]]))</f>
        <v/>
      </c>
      <c r="O181" s="2" t="str">
        <f>IF(Iterations[[#This Row],[Step]] =current_step, current_Grad_b,IF(Iterations[[#This Row],[Step]] &gt; current_step, "",Iterations[[#This Row],[Grad_b]]))</f>
        <v/>
      </c>
      <c r="P181" s="2" t="str">
        <f>IF(Iterations[[#This Row],[Step]] =current_step, current_Grad_c,IF(Iterations[[#This Row],[Step]] &gt; current_step, "",Iterations[[#This Row],[Grad_c]]))</f>
        <v/>
      </c>
      <c r="Q181" s="2" t="str">
        <f>IF(Iterations[[#This Row],[Step]] =current_step, current_Grad_d,IF(Iterations[[#This Row],[Step]] &gt; current_step, "",Iterations[[#This Row],[Grad_d]]))</f>
        <v/>
      </c>
      <c r="R181" s="2" t="str">
        <f>IF(Iterations[[#This Row],[Step]] =current_step, current_Grad_e,IF(Iterations[[#This Row],[Step]] &gt; current_step, "",Iterations[[#This Row],[Grad_e]]))</f>
        <v/>
      </c>
    </row>
    <row r="182" spans="6:18" x14ac:dyDescent="0.3">
      <c r="F182" s="2">
        <f t="shared" si="4"/>
        <v>165</v>
      </c>
      <c r="G182" s="2" t="str">
        <f>IF(Iterations[[#This Row],[Step]] =current_step, current_a,IF(Iterations[[#This Row],[Step]] &gt; current_step, "",Iterations[[#This Row],[a]]))</f>
        <v/>
      </c>
      <c r="H182" s="2" t="str">
        <f>IF(Iterations[[#This Row],[Step]] =current_step, current_b,IF(Iterations[[#This Row],[Step]] &gt; current_step, "",Iterations[[#This Row],[b]]))</f>
        <v/>
      </c>
      <c r="I182" s="2" t="str">
        <f>IF(Iterations[[#This Row],[Step]] =current_step, current_c,IF(Iterations[[#This Row],[Step]] &gt; current_step, "",Iterations[[#This Row],[c]]))</f>
        <v/>
      </c>
      <c r="J182" s="2" t="str">
        <f>IF(Iterations[[#This Row],[Step]] =current_step, current_d,IF(Iterations[[#This Row],[Step]] &gt; current_step, "",Iterations[[#This Row],[d]]))</f>
        <v/>
      </c>
      <c r="K182" s="2" t="str">
        <f>IF(Iterations[[#This Row],[Step]] =current_step, current_e,IF(Iterations[[#This Row],[Step]] &gt; current_step, "",Iterations[[#This Row],[e]]))</f>
        <v/>
      </c>
      <c r="L182" s="2" t="str">
        <f>IF(Iterations[[#This Row],[Step]] =current_step, current_Total_Loss,IF(Iterations[[#This Row],[Step]] &gt; current_step, "",Iterations[[#This Row],[Total Loss]]))</f>
        <v/>
      </c>
      <c r="M182" s="6" t="s">
        <v>27</v>
      </c>
      <c r="N182" s="2" t="str">
        <f>IF(Iterations[[#This Row],[Step]] =current_step, current_Grad_a,IF(Iterations[[#This Row],[Step]] &gt; current_step, "",Iterations[[#This Row],[Grad_a]]))</f>
        <v/>
      </c>
      <c r="O182" s="2" t="str">
        <f>IF(Iterations[[#This Row],[Step]] =current_step, current_Grad_b,IF(Iterations[[#This Row],[Step]] &gt; current_step, "",Iterations[[#This Row],[Grad_b]]))</f>
        <v/>
      </c>
      <c r="P182" s="2" t="str">
        <f>IF(Iterations[[#This Row],[Step]] =current_step, current_Grad_c,IF(Iterations[[#This Row],[Step]] &gt; current_step, "",Iterations[[#This Row],[Grad_c]]))</f>
        <v/>
      </c>
      <c r="Q182" s="2" t="str">
        <f>IF(Iterations[[#This Row],[Step]] =current_step, current_Grad_d,IF(Iterations[[#This Row],[Step]] &gt; current_step, "",Iterations[[#This Row],[Grad_d]]))</f>
        <v/>
      </c>
      <c r="R182" s="2" t="str">
        <f>IF(Iterations[[#This Row],[Step]] =current_step, current_Grad_e,IF(Iterations[[#This Row],[Step]] &gt; current_step, "",Iterations[[#This Row],[Grad_e]]))</f>
        <v/>
      </c>
    </row>
    <row r="183" spans="6:18" x14ac:dyDescent="0.3">
      <c r="F183" s="2">
        <f t="shared" si="4"/>
        <v>166</v>
      </c>
      <c r="G183" s="2" t="str">
        <f>IF(Iterations[[#This Row],[Step]] =current_step, current_a,IF(Iterations[[#This Row],[Step]] &gt; current_step, "",Iterations[[#This Row],[a]]))</f>
        <v/>
      </c>
      <c r="H183" s="2" t="str">
        <f>IF(Iterations[[#This Row],[Step]] =current_step, current_b,IF(Iterations[[#This Row],[Step]] &gt; current_step, "",Iterations[[#This Row],[b]]))</f>
        <v/>
      </c>
      <c r="I183" s="2" t="str">
        <f>IF(Iterations[[#This Row],[Step]] =current_step, current_c,IF(Iterations[[#This Row],[Step]] &gt; current_step, "",Iterations[[#This Row],[c]]))</f>
        <v/>
      </c>
      <c r="J183" s="2" t="str">
        <f>IF(Iterations[[#This Row],[Step]] =current_step, current_d,IF(Iterations[[#This Row],[Step]] &gt; current_step, "",Iterations[[#This Row],[d]]))</f>
        <v/>
      </c>
      <c r="K183" s="2" t="str">
        <f>IF(Iterations[[#This Row],[Step]] =current_step, current_e,IF(Iterations[[#This Row],[Step]] &gt; current_step, "",Iterations[[#This Row],[e]]))</f>
        <v/>
      </c>
      <c r="L183" s="2" t="str">
        <f>IF(Iterations[[#This Row],[Step]] =current_step, current_Total_Loss,IF(Iterations[[#This Row],[Step]] &gt; current_step, "",Iterations[[#This Row],[Total Loss]]))</f>
        <v/>
      </c>
      <c r="M183" s="6" t="s">
        <v>27</v>
      </c>
      <c r="N183" s="2" t="str">
        <f>IF(Iterations[[#This Row],[Step]] =current_step, current_Grad_a,IF(Iterations[[#This Row],[Step]] &gt; current_step, "",Iterations[[#This Row],[Grad_a]]))</f>
        <v/>
      </c>
      <c r="O183" s="2" t="str">
        <f>IF(Iterations[[#This Row],[Step]] =current_step, current_Grad_b,IF(Iterations[[#This Row],[Step]] &gt; current_step, "",Iterations[[#This Row],[Grad_b]]))</f>
        <v/>
      </c>
      <c r="P183" s="2" t="str">
        <f>IF(Iterations[[#This Row],[Step]] =current_step, current_Grad_c,IF(Iterations[[#This Row],[Step]] &gt; current_step, "",Iterations[[#This Row],[Grad_c]]))</f>
        <v/>
      </c>
      <c r="Q183" s="2" t="str">
        <f>IF(Iterations[[#This Row],[Step]] =current_step, current_Grad_d,IF(Iterations[[#This Row],[Step]] &gt; current_step, "",Iterations[[#This Row],[Grad_d]]))</f>
        <v/>
      </c>
      <c r="R183" s="2" t="str">
        <f>IF(Iterations[[#This Row],[Step]] =current_step, current_Grad_e,IF(Iterations[[#This Row],[Step]] &gt; current_step, "",Iterations[[#This Row],[Grad_e]]))</f>
        <v/>
      </c>
    </row>
    <row r="184" spans="6:18" x14ac:dyDescent="0.3">
      <c r="F184" s="2">
        <f t="shared" si="4"/>
        <v>167</v>
      </c>
      <c r="G184" s="2" t="str">
        <f>IF(Iterations[[#This Row],[Step]] =current_step, current_a,IF(Iterations[[#This Row],[Step]] &gt; current_step, "",Iterations[[#This Row],[a]]))</f>
        <v/>
      </c>
      <c r="H184" s="2" t="str">
        <f>IF(Iterations[[#This Row],[Step]] =current_step, current_b,IF(Iterations[[#This Row],[Step]] &gt; current_step, "",Iterations[[#This Row],[b]]))</f>
        <v/>
      </c>
      <c r="I184" s="2" t="str">
        <f>IF(Iterations[[#This Row],[Step]] =current_step, current_c,IF(Iterations[[#This Row],[Step]] &gt; current_step, "",Iterations[[#This Row],[c]]))</f>
        <v/>
      </c>
      <c r="J184" s="2" t="str">
        <f>IF(Iterations[[#This Row],[Step]] =current_step, current_d,IF(Iterations[[#This Row],[Step]] &gt; current_step, "",Iterations[[#This Row],[d]]))</f>
        <v/>
      </c>
      <c r="K184" s="2" t="str">
        <f>IF(Iterations[[#This Row],[Step]] =current_step, current_e,IF(Iterations[[#This Row],[Step]] &gt; current_step, "",Iterations[[#This Row],[e]]))</f>
        <v/>
      </c>
      <c r="L184" s="2" t="str">
        <f>IF(Iterations[[#This Row],[Step]] =current_step, current_Total_Loss,IF(Iterations[[#This Row],[Step]] &gt; current_step, "",Iterations[[#This Row],[Total Loss]]))</f>
        <v/>
      </c>
      <c r="M184" s="6" t="s">
        <v>27</v>
      </c>
      <c r="N184" s="2" t="str">
        <f>IF(Iterations[[#This Row],[Step]] =current_step, current_Grad_a,IF(Iterations[[#This Row],[Step]] &gt; current_step, "",Iterations[[#This Row],[Grad_a]]))</f>
        <v/>
      </c>
      <c r="O184" s="2" t="str">
        <f>IF(Iterations[[#This Row],[Step]] =current_step, current_Grad_b,IF(Iterations[[#This Row],[Step]] &gt; current_step, "",Iterations[[#This Row],[Grad_b]]))</f>
        <v/>
      </c>
      <c r="P184" s="2" t="str">
        <f>IF(Iterations[[#This Row],[Step]] =current_step, current_Grad_c,IF(Iterations[[#This Row],[Step]] &gt; current_step, "",Iterations[[#This Row],[Grad_c]]))</f>
        <v/>
      </c>
      <c r="Q184" s="2" t="str">
        <f>IF(Iterations[[#This Row],[Step]] =current_step, current_Grad_d,IF(Iterations[[#This Row],[Step]] &gt; current_step, "",Iterations[[#This Row],[Grad_d]]))</f>
        <v/>
      </c>
      <c r="R184" s="2" t="str">
        <f>IF(Iterations[[#This Row],[Step]] =current_step, current_Grad_e,IF(Iterations[[#This Row],[Step]] &gt; current_step, "",Iterations[[#This Row],[Grad_e]]))</f>
        <v/>
      </c>
    </row>
    <row r="185" spans="6:18" x14ac:dyDescent="0.3">
      <c r="F185" s="2">
        <f t="shared" si="4"/>
        <v>168</v>
      </c>
      <c r="G185" s="2" t="str">
        <f>IF(Iterations[[#This Row],[Step]] =current_step, current_a,IF(Iterations[[#This Row],[Step]] &gt; current_step, "",Iterations[[#This Row],[a]]))</f>
        <v/>
      </c>
      <c r="H185" s="2" t="str">
        <f>IF(Iterations[[#This Row],[Step]] =current_step, current_b,IF(Iterations[[#This Row],[Step]] &gt; current_step, "",Iterations[[#This Row],[b]]))</f>
        <v/>
      </c>
      <c r="I185" s="2" t="str">
        <f>IF(Iterations[[#This Row],[Step]] =current_step, current_c,IF(Iterations[[#This Row],[Step]] &gt; current_step, "",Iterations[[#This Row],[c]]))</f>
        <v/>
      </c>
      <c r="J185" s="2" t="str">
        <f>IF(Iterations[[#This Row],[Step]] =current_step, current_d,IF(Iterations[[#This Row],[Step]] &gt; current_step, "",Iterations[[#This Row],[d]]))</f>
        <v/>
      </c>
      <c r="K185" s="2" t="str">
        <f>IF(Iterations[[#This Row],[Step]] =current_step, current_e,IF(Iterations[[#This Row],[Step]] &gt; current_step, "",Iterations[[#This Row],[e]]))</f>
        <v/>
      </c>
      <c r="L185" s="2" t="str">
        <f>IF(Iterations[[#This Row],[Step]] =current_step, current_Total_Loss,IF(Iterations[[#This Row],[Step]] &gt; current_step, "",Iterations[[#This Row],[Total Loss]]))</f>
        <v/>
      </c>
      <c r="M185" s="6" t="s">
        <v>27</v>
      </c>
      <c r="N185" s="2" t="str">
        <f>IF(Iterations[[#This Row],[Step]] =current_step, current_Grad_a,IF(Iterations[[#This Row],[Step]] &gt; current_step, "",Iterations[[#This Row],[Grad_a]]))</f>
        <v/>
      </c>
      <c r="O185" s="2" t="str">
        <f>IF(Iterations[[#This Row],[Step]] =current_step, current_Grad_b,IF(Iterations[[#This Row],[Step]] &gt; current_step, "",Iterations[[#This Row],[Grad_b]]))</f>
        <v/>
      </c>
      <c r="P185" s="2" t="str">
        <f>IF(Iterations[[#This Row],[Step]] =current_step, current_Grad_c,IF(Iterations[[#This Row],[Step]] &gt; current_step, "",Iterations[[#This Row],[Grad_c]]))</f>
        <v/>
      </c>
      <c r="Q185" s="2" t="str">
        <f>IF(Iterations[[#This Row],[Step]] =current_step, current_Grad_d,IF(Iterations[[#This Row],[Step]] &gt; current_step, "",Iterations[[#This Row],[Grad_d]]))</f>
        <v/>
      </c>
      <c r="R185" s="2" t="str">
        <f>IF(Iterations[[#This Row],[Step]] =current_step, current_Grad_e,IF(Iterations[[#This Row],[Step]] &gt; current_step, "",Iterations[[#This Row],[Grad_e]]))</f>
        <v/>
      </c>
    </row>
    <row r="186" spans="6:18" x14ac:dyDescent="0.3">
      <c r="F186" s="2">
        <f t="shared" si="4"/>
        <v>169</v>
      </c>
      <c r="G186" s="2" t="str">
        <f>IF(Iterations[[#This Row],[Step]] =current_step, current_a,IF(Iterations[[#This Row],[Step]] &gt; current_step, "",Iterations[[#This Row],[a]]))</f>
        <v/>
      </c>
      <c r="H186" s="2" t="str">
        <f>IF(Iterations[[#This Row],[Step]] =current_step, current_b,IF(Iterations[[#This Row],[Step]] &gt; current_step, "",Iterations[[#This Row],[b]]))</f>
        <v/>
      </c>
      <c r="I186" s="2" t="str">
        <f>IF(Iterations[[#This Row],[Step]] =current_step, current_c,IF(Iterations[[#This Row],[Step]] &gt; current_step, "",Iterations[[#This Row],[c]]))</f>
        <v/>
      </c>
      <c r="J186" s="2" t="str">
        <f>IF(Iterations[[#This Row],[Step]] =current_step, current_d,IF(Iterations[[#This Row],[Step]] &gt; current_step, "",Iterations[[#This Row],[d]]))</f>
        <v/>
      </c>
      <c r="K186" s="2" t="str">
        <f>IF(Iterations[[#This Row],[Step]] =current_step, current_e,IF(Iterations[[#This Row],[Step]] &gt; current_step, "",Iterations[[#This Row],[e]]))</f>
        <v/>
      </c>
      <c r="L186" s="2" t="str">
        <f>IF(Iterations[[#This Row],[Step]] =current_step, current_Total_Loss,IF(Iterations[[#This Row],[Step]] &gt; current_step, "",Iterations[[#This Row],[Total Loss]]))</f>
        <v/>
      </c>
      <c r="M186" s="6" t="s">
        <v>27</v>
      </c>
      <c r="N186" s="2" t="str">
        <f>IF(Iterations[[#This Row],[Step]] =current_step, current_Grad_a,IF(Iterations[[#This Row],[Step]] &gt; current_step, "",Iterations[[#This Row],[Grad_a]]))</f>
        <v/>
      </c>
      <c r="O186" s="2" t="str">
        <f>IF(Iterations[[#This Row],[Step]] =current_step, current_Grad_b,IF(Iterations[[#This Row],[Step]] &gt; current_step, "",Iterations[[#This Row],[Grad_b]]))</f>
        <v/>
      </c>
      <c r="P186" s="2" t="str">
        <f>IF(Iterations[[#This Row],[Step]] =current_step, current_Grad_c,IF(Iterations[[#This Row],[Step]] &gt; current_step, "",Iterations[[#This Row],[Grad_c]]))</f>
        <v/>
      </c>
      <c r="Q186" s="2" t="str">
        <f>IF(Iterations[[#This Row],[Step]] =current_step, current_Grad_d,IF(Iterations[[#This Row],[Step]] &gt; current_step, "",Iterations[[#This Row],[Grad_d]]))</f>
        <v/>
      </c>
      <c r="R186" s="2" t="str">
        <f>IF(Iterations[[#This Row],[Step]] =current_step, current_Grad_e,IF(Iterations[[#This Row],[Step]] &gt; current_step, "",Iterations[[#This Row],[Grad_e]]))</f>
        <v/>
      </c>
    </row>
    <row r="187" spans="6:18" x14ac:dyDescent="0.3">
      <c r="F187" s="2">
        <f t="shared" si="4"/>
        <v>170</v>
      </c>
      <c r="G187" s="2" t="str">
        <f>IF(Iterations[[#This Row],[Step]] =current_step, current_a,IF(Iterations[[#This Row],[Step]] &gt; current_step, "",Iterations[[#This Row],[a]]))</f>
        <v/>
      </c>
      <c r="H187" s="2" t="str">
        <f>IF(Iterations[[#This Row],[Step]] =current_step, current_b,IF(Iterations[[#This Row],[Step]] &gt; current_step, "",Iterations[[#This Row],[b]]))</f>
        <v/>
      </c>
      <c r="I187" s="2" t="str">
        <f>IF(Iterations[[#This Row],[Step]] =current_step, current_c,IF(Iterations[[#This Row],[Step]] &gt; current_step, "",Iterations[[#This Row],[c]]))</f>
        <v/>
      </c>
      <c r="J187" s="2" t="str">
        <f>IF(Iterations[[#This Row],[Step]] =current_step, current_d,IF(Iterations[[#This Row],[Step]] &gt; current_step, "",Iterations[[#This Row],[d]]))</f>
        <v/>
      </c>
      <c r="K187" s="2" t="str">
        <f>IF(Iterations[[#This Row],[Step]] =current_step, current_e,IF(Iterations[[#This Row],[Step]] &gt; current_step, "",Iterations[[#This Row],[e]]))</f>
        <v/>
      </c>
      <c r="L187" s="2" t="str">
        <f>IF(Iterations[[#This Row],[Step]] =current_step, current_Total_Loss,IF(Iterations[[#This Row],[Step]] &gt; current_step, "",Iterations[[#This Row],[Total Loss]]))</f>
        <v/>
      </c>
      <c r="M187" s="6" t="s">
        <v>27</v>
      </c>
      <c r="N187" s="2" t="str">
        <f>IF(Iterations[[#This Row],[Step]] =current_step, current_Grad_a,IF(Iterations[[#This Row],[Step]] &gt; current_step, "",Iterations[[#This Row],[Grad_a]]))</f>
        <v/>
      </c>
      <c r="O187" s="2" t="str">
        <f>IF(Iterations[[#This Row],[Step]] =current_step, current_Grad_b,IF(Iterations[[#This Row],[Step]] &gt; current_step, "",Iterations[[#This Row],[Grad_b]]))</f>
        <v/>
      </c>
      <c r="P187" s="2" t="str">
        <f>IF(Iterations[[#This Row],[Step]] =current_step, current_Grad_c,IF(Iterations[[#This Row],[Step]] &gt; current_step, "",Iterations[[#This Row],[Grad_c]]))</f>
        <v/>
      </c>
      <c r="Q187" s="2" t="str">
        <f>IF(Iterations[[#This Row],[Step]] =current_step, current_Grad_d,IF(Iterations[[#This Row],[Step]] &gt; current_step, "",Iterations[[#This Row],[Grad_d]]))</f>
        <v/>
      </c>
      <c r="R187" s="2" t="str">
        <f>IF(Iterations[[#This Row],[Step]] =current_step, current_Grad_e,IF(Iterations[[#This Row],[Step]] &gt; current_step, "",Iterations[[#This Row],[Grad_e]]))</f>
        <v/>
      </c>
    </row>
    <row r="188" spans="6:18" x14ac:dyDescent="0.3">
      <c r="F188" s="2">
        <f t="shared" si="4"/>
        <v>171</v>
      </c>
      <c r="G188" s="2" t="str">
        <f>IF(Iterations[[#This Row],[Step]] =current_step, current_a,IF(Iterations[[#This Row],[Step]] &gt; current_step, "",Iterations[[#This Row],[a]]))</f>
        <v/>
      </c>
      <c r="H188" s="2" t="str">
        <f>IF(Iterations[[#This Row],[Step]] =current_step, current_b,IF(Iterations[[#This Row],[Step]] &gt; current_step, "",Iterations[[#This Row],[b]]))</f>
        <v/>
      </c>
      <c r="I188" s="2" t="str">
        <f>IF(Iterations[[#This Row],[Step]] =current_step, current_c,IF(Iterations[[#This Row],[Step]] &gt; current_step, "",Iterations[[#This Row],[c]]))</f>
        <v/>
      </c>
      <c r="J188" s="2" t="str">
        <f>IF(Iterations[[#This Row],[Step]] =current_step, current_d,IF(Iterations[[#This Row],[Step]] &gt; current_step, "",Iterations[[#This Row],[d]]))</f>
        <v/>
      </c>
      <c r="K188" s="2" t="str">
        <f>IF(Iterations[[#This Row],[Step]] =current_step, current_e,IF(Iterations[[#This Row],[Step]] &gt; current_step, "",Iterations[[#This Row],[e]]))</f>
        <v/>
      </c>
      <c r="L188" s="2" t="str">
        <f>IF(Iterations[[#This Row],[Step]] =current_step, current_Total_Loss,IF(Iterations[[#This Row],[Step]] &gt; current_step, "",Iterations[[#This Row],[Total Loss]]))</f>
        <v/>
      </c>
      <c r="M188" s="6" t="s">
        <v>27</v>
      </c>
      <c r="N188" s="2" t="str">
        <f>IF(Iterations[[#This Row],[Step]] =current_step, current_Grad_a,IF(Iterations[[#This Row],[Step]] &gt; current_step, "",Iterations[[#This Row],[Grad_a]]))</f>
        <v/>
      </c>
      <c r="O188" s="2" t="str">
        <f>IF(Iterations[[#This Row],[Step]] =current_step, current_Grad_b,IF(Iterations[[#This Row],[Step]] &gt; current_step, "",Iterations[[#This Row],[Grad_b]]))</f>
        <v/>
      </c>
      <c r="P188" s="2" t="str">
        <f>IF(Iterations[[#This Row],[Step]] =current_step, current_Grad_c,IF(Iterations[[#This Row],[Step]] &gt; current_step, "",Iterations[[#This Row],[Grad_c]]))</f>
        <v/>
      </c>
      <c r="Q188" s="2" t="str">
        <f>IF(Iterations[[#This Row],[Step]] =current_step, current_Grad_d,IF(Iterations[[#This Row],[Step]] &gt; current_step, "",Iterations[[#This Row],[Grad_d]]))</f>
        <v/>
      </c>
      <c r="R188" s="2" t="str">
        <f>IF(Iterations[[#This Row],[Step]] =current_step, current_Grad_e,IF(Iterations[[#This Row],[Step]] &gt; current_step, "",Iterations[[#This Row],[Grad_e]]))</f>
        <v/>
      </c>
    </row>
    <row r="189" spans="6:18" x14ac:dyDescent="0.3">
      <c r="F189" s="2">
        <f t="shared" si="4"/>
        <v>172</v>
      </c>
      <c r="G189" s="2" t="str">
        <f>IF(Iterations[[#This Row],[Step]] =current_step, current_a,IF(Iterations[[#This Row],[Step]] &gt; current_step, "",Iterations[[#This Row],[a]]))</f>
        <v/>
      </c>
      <c r="H189" s="2" t="str">
        <f>IF(Iterations[[#This Row],[Step]] =current_step, current_b,IF(Iterations[[#This Row],[Step]] &gt; current_step, "",Iterations[[#This Row],[b]]))</f>
        <v/>
      </c>
      <c r="I189" s="2" t="str">
        <f>IF(Iterations[[#This Row],[Step]] =current_step, current_c,IF(Iterations[[#This Row],[Step]] &gt; current_step, "",Iterations[[#This Row],[c]]))</f>
        <v/>
      </c>
      <c r="J189" s="2" t="str">
        <f>IF(Iterations[[#This Row],[Step]] =current_step, current_d,IF(Iterations[[#This Row],[Step]] &gt; current_step, "",Iterations[[#This Row],[d]]))</f>
        <v/>
      </c>
      <c r="K189" s="2" t="str">
        <f>IF(Iterations[[#This Row],[Step]] =current_step, current_e,IF(Iterations[[#This Row],[Step]] &gt; current_step, "",Iterations[[#This Row],[e]]))</f>
        <v/>
      </c>
      <c r="L189" s="2" t="str">
        <f>IF(Iterations[[#This Row],[Step]] =current_step, current_Total_Loss,IF(Iterations[[#This Row],[Step]] &gt; current_step, "",Iterations[[#This Row],[Total Loss]]))</f>
        <v/>
      </c>
      <c r="M189" s="6" t="s">
        <v>27</v>
      </c>
      <c r="N189" s="2" t="str">
        <f>IF(Iterations[[#This Row],[Step]] =current_step, current_Grad_a,IF(Iterations[[#This Row],[Step]] &gt; current_step, "",Iterations[[#This Row],[Grad_a]]))</f>
        <v/>
      </c>
      <c r="O189" s="2" t="str">
        <f>IF(Iterations[[#This Row],[Step]] =current_step, current_Grad_b,IF(Iterations[[#This Row],[Step]] &gt; current_step, "",Iterations[[#This Row],[Grad_b]]))</f>
        <v/>
      </c>
      <c r="P189" s="2" t="str">
        <f>IF(Iterations[[#This Row],[Step]] =current_step, current_Grad_c,IF(Iterations[[#This Row],[Step]] &gt; current_step, "",Iterations[[#This Row],[Grad_c]]))</f>
        <v/>
      </c>
      <c r="Q189" s="2" t="str">
        <f>IF(Iterations[[#This Row],[Step]] =current_step, current_Grad_d,IF(Iterations[[#This Row],[Step]] &gt; current_step, "",Iterations[[#This Row],[Grad_d]]))</f>
        <v/>
      </c>
      <c r="R189" s="2" t="str">
        <f>IF(Iterations[[#This Row],[Step]] =current_step, current_Grad_e,IF(Iterations[[#This Row],[Step]] &gt; current_step, "",Iterations[[#This Row],[Grad_e]]))</f>
        <v/>
      </c>
    </row>
    <row r="190" spans="6:18" x14ac:dyDescent="0.3">
      <c r="F190" s="2">
        <f t="shared" si="4"/>
        <v>173</v>
      </c>
      <c r="G190" s="2" t="str">
        <f>IF(Iterations[[#This Row],[Step]] =current_step, current_a,IF(Iterations[[#This Row],[Step]] &gt; current_step, "",Iterations[[#This Row],[a]]))</f>
        <v/>
      </c>
      <c r="H190" s="2" t="str">
        <f>IF(Iterations[[#This Row],[Step]] =current_step, current_b,IF(Iterations[[#This Row],[Step]] &gt; current_step, "",Iterations[[#This Row],[b]]))</f>
        <v/>
      </c>
      <c r="I190" s="2" t="str">
        <f>IF(Iterations[[#This Row],[Step]] =current_step, current_c,IF(Iterations[[#This Row],[Step]] &gt; current_step, "",Iterations[[#This Row],[c]]))</f>
        <v/>
      </c>
      <c r="J190" s="2" t="str">
        <f>IF(Iterations[[#This Row],[Step]] =current_step, current_d,IF(Iterations[[#This Row],[Step]] &gt; current_step, "",Iterations[[#This Row],[d]]))</f>
        <v/>
      </c>
      <c r="K190" s="2" t="str">
        <f>IF(Iterations[[#This Row],[Step]] =current_step, current_e,IF(Iterations[[#This Row],[Step]] &gt; current_step, "",Iterations[[#This Row],[e]]))</f>
        <v/>
      </c>
      <c r="L190" s="2" t="str">
        <f>IF(Iterations[[#This Row],[Step]] =current_step, current_Total_Loss,IF(Iterations[[#This Row],[Step]] &gt; current_step, "",Iterations[[#This Row],[Total Loss]]))</f>
        <v/>
      </c>
      <c r="M190" s="6" t="s">
        <v>27</v>
      </c>
      <c r="N190" s="2" t="str">
        <f>IF(Iterations[[#This Row],[Step]] =current_step, current_Grad_a,IF(Iterations[[#This Row],[Step]] &gt; current_step, "",Iterations[[#This Row],[Grad_a]]))</f>
        <v/>
      </c>
      <c r="O190" s="2" t="str">
        <f>IF(Iterations[[#This Row],[Step]] =current_step, current_Grad_b,IF(Iterations[[#This Row],[Step]] &gt; current_step, "",Iterations[[#This Row],[Grad_b]]))</f>
        <v/>
      </c>
      <c r="P190" s="2" t="str">
        <f>IF(Iterations[[#This Row],[Step]] =current_step, current_Grad_c,IF(Iterations[[#This Row],[Step]] &gt; current_step, "",Iterations[[#This Row],[Grad_c]]))</f>
        <v/>
      </c>
      <c r="Q190" s="2" t="str">
        <f>IF(Iterations[[#This Row],[Step]] =current_step, current_Grad_d,IF(Iterations[[#This Row],[Step]] &gt; current_step, "",Iterations[[#This Row],[Grad_d]]))</f>
        <v/>
      </c>
      <c r="R190" s="2" t="str">
        <f>IF(Iterations[[#This Row],[Step]] =current_step, current_Grad_e,IF(Iterations[[#This Row],[Step]] &gt; current_step, "",Iterations[[#This Row],[Grad_e]]))</f>
        <v/>
      </c>
    </row>
    <row r="191" spans="6:18" x14ac:dyDescent="0.3">
      <c r="F191" s="2">
        <f t="shared" si="4"/>
        <v>174</v>
      </c>
      <c r="G191" s="2" t="str">
        <f>IF(Iterations[[#This Row],[Step]] =current_step, current_a,IF(Iterations[[#This Row],[Step]] &gt; current_step, "",Iterations[[#This Row],[a]]))</f>
        <v/>
      </c>
      <c r="H191" s="2" t="str">
        <f>IF(Iterations[[#This Row],[Step]] =current_step, current_b,IF(Iterations[[#This Row],[Step]] &gt; current_step, "",Iterations[[#This Row],[b]]))</f>
        <v/>
      </c>
      <c r="I191" s="2" t="str">
        <f>IF(Iterations[[#This Row],[Step]] =current_step, current_c,IF(Iterations[[#This Row],[Step]] &gt; current_step, "",Iterations[[#This Row],[c]]))</f>
        <v/>
      </c>
      <c r="J191" s="2" t="str">
        <f>IF(Iterations[[#This Row],[Step]] =current_step, current_d,IF(Iterations[[#This Row],[Step]] &gt; current_step, "",Iterations[[#This Row],[d]]))</f>
        <v/>
      </c>
      <c r="K191" s="2" t="str">
        <f>IF(Iterations[[#This Row],[Step]] =current_step, current_e,IF(Iterations[[#This Row],[Step]] &gt; current_step, "",Iterations[[#This Row],[e]]))</f>
        <v/>
      </c>
      <c r="L191" s="2" t="str">
        <f>IF(Iterations[[#This Row],[Step]] =current_step, current_Total_Loss,IF(Iterations[[#This Row],[Step]] &gt; current_step, "",Iterations[[#This Row],[Total Loss]]))</f>
        <v/>
      </c>
      <c r="M191" s="6" t="s">
        <v>27</v>
      </c>
      <c r="N191" s="2" t="str">
        <f>IF(Iterations[[#This Row],[Step]] =current_step, current_Grad_a,IF(Iterations[[#This Row],[Step]] &gt; current_step, "",Iterations[[#This Row],[Grad_a]]))</f>
        <v/>
      </c>
      <c r="O191" s="2" t="str">
        <f>IF(Iterations[[#This Row],[Step]] =current_step, current_Grad_b,IF(Iterations[[#This Row],[Step]] &gt; current_step, "",Iterations[[#This Row],[Grad_b]]))</f>
        <v/>
      </c>
      <c r="P191" s="2" t="str">
        <f>IF(Iterations[[#This Row],[Step]] =current_step, current_Grad_c,IF(Iterations[[#This Row],[Step]] &gt; current_step, "",Iterations[[#This Row],[Grad_c]]))</f>
        <v/>
      </c>
      <c r="Q191" s="2" t="str">
        <f>IF(Iterations[[#This Row],[Step]] =current_step, current_Grad_d,IF(Iterations[[#This Row],[Step]] &gt; current_step, "",Iterations[[#This Row],[Grad_d]]))</f>
        <v/>
      </c>
      <c r="R191" s="2" t="str">
        <f>IF(Iterations[[#This Row],[Step]] =current_step, current_Grad_e,IF(Iterations[[#This Row],[Step]] &gt; current_step, "",Iterations[[#This Row],[Grad_e]]))</f>
        <v/>
      </c>
    </row>
    <row r="192" spans="6:18" x14ac:dyDescent="0.3">
      <c r="F192" s="2">
        <f t="shared" si="4"/>
        <v>175</v>
      </c>
      <c r="G192" s="2" t="str">
        <f>IF(Iterations[[#This Row],[Step]] =current_step, current_a,IF(Iterations[[#This Row],[Step]] &gt; current_step, "",Iterations[[#This Row],[a]]))</f>
        <v/>
      </c>
      <c r="H192" s="2" t="str">
        <f>IF(Iterations[[#This Row],[Step]] =current_step, current_b,IF(Iterations[[#This Row],[Step]] &gt; current_step, "",Iterations[[#This Row],[b]]))</f>
        <v/>
      </c>
      <c r="I192" s="2" t="str">
        <f>IF(Iterations[[#This Row],[Step]] =current_step, current_c,IF(Iterations[[#This Row],[Step]] &gt; current_step, "",Iterations[[#This Row],[c]]))</f>
        <v/>
      </c>
      <c r="J192" s="2" t="str">
        <f>IF(Iterations[[#This Row],[Step]] =current_step, current_d,IF(Iterations[[#This Row],[Step]] &gt; current_step, "",Iterations[[#This Row],[d]]))</f>
        <v/>
      </c>
      <c r="K192" s="2" t="str">
        <f>IF(Iterations[[#This Row],[Step]] =current_step, current_e,IF(Iterations[[#This Row],[Step]] &gt; current_step, "",Iterations[[#This Row],[e]]))</f>
        <v/>
      </c>
      <c r="L192" s="2" t="str">
        <f>IF(Iterations[[#This Row],[Step]] =current_step, current_Total_Loss,IF(Iterations[[#This Row],[Step]] &gt; current_step, "",Iterations[[#This Row],[Total Loss]]))</f>
        <v/>
      </c>
      <c r="M192" s="6" t="s">
        <v>27</v>
      </c>
      <c r="N192" s="2" t="str">
        <f>IF(Iterations[[#This Row],[Step]] =current_step, current_Grad_a,IF(Iterations[[#This Row],[Step]] &gt; current_step, "",Iterations[[#This Row],[Grad_a]]))</f>
        <v/>
      </c>
      <c r="O192" s="2" t="str">
        <f>IF(Iterations[[#This Row],[Step]] =current_step, current_Grad_b,IF(Iterations[[#This Row],[Step]] &gt; current_step, "",Iterations[[#This Row],[Grad_b]]))</f>
        <v/>
      </c>
      <c r="P192" s="2" t="str">
        <f>IF(Iterations[[#This Row],[Step]] =current_step, current_Grad_c,IF(Iterations[[#This Row],[Step]] &gt; current_step, "",Iterations[[#This Row],[Grad_c]]))</f>
        <v/>
      </c>
      <c r="Q192" s="2" t="str">
        <f>IF(Iterations[[#This Row],[Step]] =current_step, current_Grad_d,IF(Iterations[[#This Row],[Step]] &gt; current_step, "",Iterations[[#This Row],[Grad_d]]))</f>
        <v/>
      </c>
      <c r="R192" s="2" t="str">
        <f>IF(Iterations[[#This Row],[Step]] =current_step, current_Grad_e,IF(Iterations[[#This Row],[Step]] &gt; current_step, "",Iterations[[#This Row],[Grad_e]]))</f>
        <v/>
      </c>
    </row>
    <row r="193" spans="6:18" x14ac:dyDescent="0.3">
      <c r="F193" s="2">
        <f t="shared" si="4"/>
        <v>176</v>
      </c>
      <c r="G193" s="2" t="str">
        <f>IF(Iterations[[#This Row],[Step]] =current_step, current_a,IF(Iterations[[#This Row],[Step]] &gt; current_step, "",Iterations[[#This Row],[a]]))</f>
        <v/>
      </c>
      <c r="H193" s="2" t="str">
        <f>IF(Iterations[[#This Row],[Step]] =current_step, current_b,IF(Iterations[[#This Row],[Step]] &gt; current_step, "",Iterations[[#This Row],[b]]))</f>
        <v/>
      </c>
      <c r="I193" s="2" t="str">
        <f>IF(Iterations[[#This Row],[Step]] =current_step, current_c,IF(Iterations[[#This Row],[Step]] &gt; current_step, "",Iterations[[#This Row],[c]]))</f>
        <v/>
      </c>
      <c r="J193" s="2" t="str">
        <f>IF(Iterations[[#This Row],[Step]] =current_step, current_d,IF(Iterations[[#This Row],[Step]] &gt; current_step, "",Iterations[[#This Row],[d]]))</f>
        <v/>
      </c>
      <c r="K193" s="2" t="str">
        <f>IF(Iterations[[#This Row],[Step]] =current_step, current_e,IF(Iterations[[#This Row],[Step]] &gt; current_step, "",Iterations[[#This Row],[e]]))</f>
        <v/>
      </c>
      <c r="L193" s="2" t="str">
        <f>IF(Iterations[[#This Row],[Step]] =current_step, current_Total_Loss,IF(Iterations[[#This Row],[Step]] &gt; current_step, "",Iterations[[#This Row],[Total Loss]]))</f>
        <v/>
      </c>
      <c r="M193" s="6" t="s">
        <v>27</v>
      </c>
      <c r="N193" s="2" t="str">
        <f>IF(Iterations[[#This Row],[Step]] =current_step, current_Grad_a,IF(Iterations[[#This Row],[Step]] &gt; current_step, "",Iterations[[#This Row],[Grad_a]]))</f>
        <v/>
      </c>
      <c r="O193" s="2" t="str">
        <f>IF(Iterations[[#This Row],[Step]] =current_step, current_Grad_b,IF(Iterations[[#This Row],[Step]] &gt; current_step, "",Iterations[[#This Row],[Grad_b]]))</f>
        <v/>
      </c>
      <c r="P193" s="2" t="str">
        <f>IF(Iterations[[#This Row],[Step]] =current_step, current_Grad_c,IF(Iterations[[#This Row],[Step]] &gt; current_step, "",Iterations[[#This Row],[Grad_c]]))</f>
        <v/>
      </c>
      <c r="Q193" s="2" t="str">
        <f>IF(Iterations[[#This Row],[Step]] =current_step, current_Grad_d,IF(Iterations[[#This Row],[Step]] &gt; current_step, "",Iterations[[#This Row],[Grad_d]]))</f>
        <v/>
      </c>
      <c r="R193" s="2" t="str">
        <f>IF(Iterations[[#This Row],[Step]] =current_step, current_Grad_e,IF(Iterations[[#This Row],[Step]] &gt; current_step, "",Iterations[[#This Row],[Grad_e]]))</f>
        <v/>
      </c>
    </row>
    <row r="194" spans="6:18" x14ac:dyDescent="0.3">
      <c r="F194" s="2">
        <f t="shared" si="4"/>
        <v>177</v>
      </c>
      <c r="G194" s="2" t="str">
        <f>IF(Iterations[[#This Row],[Step]] =current_step, current_a,IF(Iterations[[#This Row],[Step]] &gt; current_step, "",Iterations[[#This Row],[a]]))</f>
        <v/>
      </c>
      <c r="H194" s="2" t="str">
        <f>IF(Iterations[[#This Row],[Step]] =current_step, current_b,IF(Iterations[[#This Row],[Step]] &gt; current_step, "",Iterations[[#This Row],[b]]))</f>
        <v/>
      </c>
      <c r="I194" s="2" t="str">
        <f>IF(Iterations[[#This Row],[Step]] =current_step, current_c,IF(Iterations[[#This Row],[Step]] &gt; current_step, "",Iterations[[#This Row],[c]]))</f>
        <v/>
      </c>
      <c r="J194" s="2" t="str">
        <f>IF(Iterations[[#This Row],[Step]] =current_step, current_d,IF(Iterations[[#This Row],[Step]] &gt; current_step, "",Iterations[[#This Row],[d]]))</f>
        <v/>
      </c>
      <c r="K194" s="2" t="str">
        <f>IF(Iterations[[#This Row],[Step]] =current_step, current_e,IF(Iterations[[#This Row],[Step]] &gt; current_step, "",Iterations[[#This Row],[e]]))</f>
        <v/>
      </c>
      <c r="L194" s="2" t="str">
        <f>IF(Iterations[[#This Row],[Step]] =current_step, current_Total_Loss,IF(Iterations[[#This Row],[Step]] &gt; current_step, "",Iterations[[#This Row],[Total Loss]]))</f>
        <v/>
      </c>
      <c r="M194" s="6" t="s">
        <v>27</v>
      </c>
      <c r="N194" s="2" t="str">
        <f>IF(Iterations[[#This Row],[Step]] =current_step, current_Grad_a,IF(Iterations[[#This Row],[Step]] &gt; current_step, "",Iterations[[#This Row],[Grad_a]]))</f>
        <v/>
      </c>
      <c r="O194" s="2" t="str">
        <f>IF(Iterations[[#This Row],[Step]] =current_step, current_Grad_b,IF(Iterations[[#This Row],[Step]] &gt; current_step, "",Iterations[[#This Row],[Grad_b]]))</f>
        <v/>
      </c>
      <c r="P194" s="2" t="str">
        <f>IF(Iterations[[#This Row],[Step]] =current_step, current_Grad_c,IF(Iterations[[#This Row],[Step]] &gt; current_step, "",Iterations[[#This Row],[Grad_c]]))</f>
        <v/>
      </c>
      <c r="Q194" s="2" t="str">
        <f>IF(Iterations[[#This Row],[Step]] =current_step, current_Grad_d,IF(Iterations[[#This Row],[Step]] &gt; current_step, "",Iterations[[#This Row],[Grad_d]]))</f>
        <v/>
      </c>
      <c r="R194" s="2" t="str">
        <f>IF(Iterations[[#This Row],[Step]] =current_step, current_Grad_e,IF(Iterations[[#This Row],[Step]] &gt; current_step, "",Iterations[[#This Row],[Grad_e]]))</f>
        <v/>
      </c>
    </row>
    <row r="195" spans="6:18" x14ac:dyDescent="0.3">
      <c r="F195" s="2">
        <f t="shared" si="4"/>
        <v>178</v>
      </c>
      <c r="G195" s="2" t="str">
        <f>IF(Iterations[[#This Row],[Step]] =current_step, current_a,IF(Iterations[[#This Row],[Step]] &gt; current_step, "",Iterations[[#This Row],[a]]))</f>
        <v/>
      </c>
      <c r="H195" s="2" t="str">
        <f>IF(Iterations[[#This Row],[Step]] =current_step, current_b,IF(Iterations[[#This Row],[Step]] &gt; current_step, "",Iterations[[#This Row],[b]]))</f>
        <v/>
      </c>
      <c r="I195" s="2" t="str">
        <f>IF(Iterations[[#This Row],[Step]] =current_step, current_c,IF(Iterations[[#This Row],[Step]] &gt; current_step, "",Iterations[[#This Row],[c]]))</f>
        <v/>
      </c>
      <c r="J195" s="2" t="str">
        <f>IF(Iterations[[#This Row],[Step]] =current_step, current_d,IF(Iterations[[#This Row],[Step]] &gt; current_step, "",Iterations[[#This Row],[d]]))</f>
        <v/>
      </c>
      <c r="K195" s="2" t="str">
        <f>IF(Iterations[[#This Row],[Step]] =current_step, current_e,IF(Iterations[[#This Row],[Step]] &gt; current_step, "",Iterations[[#This Row],[e]]))</f>
        <v/>
      </c>
      <c r="L195" s="2" t="str">
        <f>IF(Iterations[[#This Row],[Step]] =current_step, current_Total_Loss,IF(Iterations[[#This Row],[Step]] &gt; current_step, "",Iterations[[#This Row],[Total Loss]]))</f>
        <v/>
      </c>
      <c r="M195" s="6" t="s">
        <v>27</v>
      </c>
      <c r="N195" s="2" t="str">
        <f>IF(Iterations[[#This Row],[Step]] =current_step, current_Grad_a,IF(Iterations[[#This Row],[Step]] &gt; current_step, "",Iterations[[#This Row],[Grad_a]]))</f>
        <v/>
      </c>
      <c r="O195" s="2" t="str">
        <f>IF(Iterations[[#This Row],[Step]] =current_step, current_Grad_b,IF(Iterations[[#This Row],[Step]] &gt; current_step, "",Iterations[[#This Row],[Grad_b]]))</f>
        <v/>
      </c>
      <c r="P195" s="2" t="str">
        <f>IF(Iterations[[#This Row],[Step]] =current_step, current_Grad_c,IF(Iterations[[#This Row],[Step]] &gt; current_step, "",Iterations[[#This Row],[Grad_c]]))</f>
        <v/>
      </c>
      <c r="Q195" s="2" t="str">
        <f>IF(Iterations[[#This Row],[Step]] =current_step, current_Grad_d,IF(Iterations[[#This Row],[Step]] &gt; current_step, "",Iterations[[#This Row],[Grad_d]]))</f>
        <v/>
      </c>
      <c r="R195" s="2" t="str">
        <f>IF(Iterations[[#This Row],[Step]] =current_step, current_Grad_e,IF(Iterations[[#This Row],[Step]] &gt; current_step, "",Iterations[[#This Row],[Grad_e]]))</f>
        <v/>
      </c>
    </row>
    <row r="196" spans="6:18" x14ac:dyDescent="0.3">
      <c r="F196" s="2">
        <f t="shared" si="4"/>
        <v>179</v>
      </c>
      <c r="G196" s="2" t="str">
        <f>IF(Iterations[[#This Row],[Step]] =current_step, current_a,IF(Iterations[[#This Row],[Step]] &gt; current_step, "",Iterations[[#This Row],[a]]))</f>
        <v/>
      </c>
      <c r="H196" s="2" t="str">
        <f>IF(Iterations[[#This Row],[Step]] =current_step, current_b,IF(Iterations[[#This Row],[Step]] &gt; current_step, "",Iterations[[#This Row],[b]]))</f>
        <v/>
      </c>
      <c r="I196" s="2" t="str">
        <f>IF(Iterations[[#This Row],[Step]] =current_step, current_c,IF(Iterations[[#This Row],[Step]] &gt; current_step, "",Iterations[[#This Row],[c]]))</f>
        <v/>
      </c>
      <c r="J196" s="2" t="str">
        <f>IF(Iterations[[#This Row],[Step]] =current_step, current_d,IF(Iterations[[#This Row],[Step]] &gt; current_step, "",Iterations[[#This Row],[d]]))</f>
        <v/>
      </c>
      <c r="K196" s="2" t="str">
        <f>IF(Iterations[[#This Row],[Step]] =current_step, current_e,IF(Iterations[[#This Row],[Step]] &gt; current_step, "",Iterations[[#This Row],[e]]))</f>
        <v/>
      </c>
      <c r="L196" s="2" t="str">
        <f>IF(Iterations[[#This Row],[Step]] =current_step, current_Total_Loss,IF(Iterations[[#This Row],[Step]] &gt; current_step, "",Iterations[[#This Row],[Total Loss]]))</f>
        <v/>
      </c>
      <c r="M196" s="6" t="s">
        <v>27</v>
      </c>
      <c r="N196" s="2" t="str">
        <f>IF(Iterations[[#This Row],[Step]] =current_step, current_Grad_a,IF(Iterations[[#This Row],[Step]] &gt; current_step, "",Iterations[[#This Row],[Grad_a]]))</f>
        <v/>
      </c>
      <c r="O196" s="2" t="str">
        <f>IF(Iterations[[#This Row],[Step]] =current_step, current_Grad_b,IF(Iterations[[#This Row],[Step]] &gt; current_step, "",Iterations[[#This Row],[Grad_b]]))</f>
        <v/>
      </c>
      <c r="P196" s="2" t="str">
        <f>IF(Iterations[[#This Row],[Step]] =current_step, current_Grad_c,IF(Iterations[[#This Row],[Step]] &gt; current_step, "",Iterations[[#This Row],[Grad_c]]))</f>
        <v/>
      </c>
      <c r="Q196" s="2" t="str">
        <f>IF(Iterations[[#This Row],[Step]] =current_step, current_Grad_d,IF(Iterations[[#This Row],[Step]] &gt; current_step, "",Iterations[[#This Row],[Grad_d]]))</f>
        <v/>
      </c>
      <c r="R196" s="2" t="str">
        <f>IF(Iterations[[#This Row],[Step]] =current_step, current_Grad_e,IF(Iterations[[#This Row],[Step]] &gt; current_step, "",Iterations[[#This Row],[Grad_e]]))</f>
        <v/>
      </c>
    </row>
    <row r="197" spans="6:18" x14ac:dyDescent="0.3">
      <c r="F197" s="2">
        <f t="shared" si="4"/>
        <v>180</v>
      </c>
      <c r="G197" s="2" t="str">
        <f>IF(Iterations[[#This Row],[Step]] =current_step, current_a,IF(Iterations[[#This Row],[Step]] &gt; current_step, "",Iterations[[#This Row],[a]]))</f>
        <v/>
      </c>
      <c r="H197" s="2" t="str">
        <f>IF(Iterations[[#This Row],[Step]] =current_step, current_b,IF(Iterations[[#This Row],[Step]] &gt; current_step, "",Iterations[[#This Row],[b]]))</f>
        <v/>
      </c>
      <c r="I197" s="2" t="str">
        <f>IF(Iterations[[#This Row],[Step]] =current_step, current_c,IF(Iterations[[#This Row],[Step]] &gt; current_step, "",Iterations[[#This Row],[c]]))</f>
        <v/>
      </c>
      <c r="J197" s="2" t="str">
        <f>IF(Iterations[[#This Row],[Step]] =current_step, current_d,IF(Iterations[[#This Row],[Step]] &gt; current_step, "",Iterations[[#This Row],[d]]))</f>
        <v/>
      </c>
      <c r="K197" s="2" t="str">
        <f>IF(Iterations[[#This Row],[Step]] =current_step, current_e,IF(Iterations[[#This Row],[Step]] &gt; current_step, "",Iterations[[#This Row],[e]]))</f>
        <v/>
      </c>
      <c r="L197" s="2" t="str">
        <f>IF(Iterations[[#This Row],[Step]] =current_step, current_Total_Loss,IF(Iterations[[#This Row],[Step]] &gt; current_step, "",Iterations[[#This Row],[Total Loss]]))</f>
        <v/>
      </c>
      <c r="M197" s="6" t="s">
        <v>27</v>
      </c>
      <c r="N197" s="2" t="str">
        <f>IF(Iterations[[#This Row],[Step]] =current_step, current_Grad_a,IF(Iterations[[#This Row],[Step]] &gt; current_step, "",Iterations[[#This Row],[Grad_a]]))</f>
        <v/>
      </c>
      <c r="O197" s="2" t="str">
        <f>IF(Iterations[[#This Row],[Step]] =current_step, current_Grad_b,IF(Iterations[[#This Row],[Step]] &gt; current_step, "",Iterations[[#This Row],[Grad_b]]))</f>
        <v/>
      </c>
      <c r="P197" s="2" t="str">
        <f>IF(Iterations[[#This Row],[Step]] =current_step, current_Grad_c,IF(Iterations[[#This Row],[Step]] &gt; current_step, "",Iterations[[#This Row],[Grad_c]]))</f>
        <v/>
      </c>
      <c r="Q197" s="2" t="str">
        <f>IF(Iterations[[#This Row],[Step]] =current_step, current_Grad_d,IF(Iterations[[#This Row],[Step]] &gt; current_step, "",Iterations[[#This Row],[Grad_d]]))</f>
        <v/>
      </c>
      <c r="R197" s="2" t="str">
        <f>IF(Iterations[[#This Row],[Step]] =current_step, current_Grad_e,IF(Iterations[[#This Row],[Step]] &gt; current_step, "",Iterations[[#This Row],[Grad_e]]))</f>
        <v/>
      </c>
    </row>
    <row r="198" spans="6:18" x14ac:dyDescent="0.3">
      <c r="F198" s="2">
        <f t="shared" ref="F198:F261" si="5">F197+1</f>
        <v>181</v>
      </c>
      <c r="G198" s="2" t="str">
        <f>IF(Iterations[[#This Row],[Step]] =current_step, current_a,IF(Iterations[[#This Row],[Step]] &gt; current_step, "",Iterations[[#This Row],[a]]))</f>
        <v/>
      </c>
      <c r="H198" s="2" t="str">
        <f>IF(Iterations[[#This Row],[Step]] =current_step, current_b,IF(Iterations[[#This Row],[Step]] &gt; current_step, "",Iterations[[#This Row],[b]]))</f>
        <v/>
      </c>
      <c r="I198" s="2" t="str">
        <f>IF(Iterations[[#This Row],[Step]] =current_step, current_c,IF(Iterations[[#This Row],[Step]] &gt; current_step, "",Iterations[[#This Row],[c]]))</f>
        <v/>
      </c>
      <c r="J198" s="2" t="str">
        <f>IF(Iterations[[#This Row],[Step]] =current_step, current_d,IF(Iterations[[#This Row],[Step]] &gt; current_step, "",Iterations[[#This Row],[d]]))</f>
        <v/>
      </c>
      <c r="K198" s="2" t="str">
        <f>IF(Iterations[[#This Row],[Step]] =current_step, current_e,IF(Iterations[[#This Row],[Step]] &gt; current_step, "",Iterations[[#This Row],[e]]))</f>
        <v/>
      </c>
      <c r="L198" s="2" t="str">
        <f>IF(Iterations[[#This Row],[Step]] =current_step, current_Total_Loss,IF(Iterations[[#This Row],[Step]] &gt; current_step, "",Iterations[[#This Row],[Total Loss]]))</f>
        <v/>
      </c>
      <c r="M198" s="6" t="s">
        <v>27</v>
      </c>
      <c r="N198" s="2" t="str">
        <f>IF(Iterations[[#This Row],[Step]] =current_step, current_Grad_a,IF(Iterations[[#This Row],[Step]] &gt; current_step, "",Iterations[[#This Row],[Grad_a]]))</f>
        <v/>
      </c>
      <c r="O198" s="2" t="str">
        <f>IF(Iterations[[#This Row],[Step]] =current_step, current_Grad_b,IF(Iterations[[#This Row],[Step]] &gt; current_step, "",Iterations[[#This Row],[Grad_b]]))</f>
        <v/>
      </c>
      <c r="P198" s="2" t="str">
        <f>IF(Iterations[[#This Row],[Step]] =current_step, current_Grad_c,IF(Iterations[[#This Row],[Step]] &gt; current_step, "",Iterations[[#This Row],[Grad_c]]))</f>
        <v/>
      </c>
      <c r="Q198" s="2" t="str">
        <f>IF(Iterations[[#This Row],[Step]] =current_step, current_Grad_d,IF(Iterations[[#This Row],[Step]] &gt; current_step, "",Iterations[[#This Row],[Grad_d]]))</f>
        <v/>
      </c>
      <c r="R198" s="2" t="str">
        <f>IF(Iterations[[#This Row],[Step]] =current_step, current_Grad_e,IF(Iterations[[#This Row],[Step]] &gt; current_step, "",Iterations[[#This Row],[Grad_e]]))</f>
        <v/>
      </c>
    </row>
    <row r="199" spans="6:18" x14ac:dyDescent="0.3">
      <c r="F199" s="2">
        <f t="shared" si="5"/>
        <v>182</v>
      </c>
      <c r="G199" s="2" t="str">
        <f>IF(Iterations[[#This Row],[Step]] =current_step, current_a,IF(Iterations[[#This Row],[Step]] &gt; current_step, "",Iterations[[#This Row],[a]]))</f>
        <v/>
      </c>
      <c r="H199" s="2" t="str">
        <f>IF(Iterations[[#This Row],[Step]] =current_step, current_b,IF(Iterations[[#This Row],[Step]] &gt; current_step, "",Iterations[[#This Row],[b]]))</f>
        <v/>
      </c>
      <c r="I199" s="2" t="str">
        <f>IF(Iterations[[#This Row],[Step]] =current_step, current_c,IF(Iterations[[#This Row],[Step]] &gt; current_step, "",Iterations[[#This Row],[c]]))</f>
        <v/>
      </c>
      <c r="J199" s="2" t="str">
        <f>IF(Iterations[[#This Row],[Step]] =current_step, current_d,IF(Iterations[[#This Row],[Step]] &gt; current_step, "",Iterations[[#This Row],[d]]))</f>
        <v/>
      </c>
      <c r="K199" s="2" t="str">
        <f>IF(Iterations[[#This Row],[Step]] =current_step, current_e,IF(Iterations[[#This Row],[Step]] &gt; current_step, "",Iterations[[#This Row],[e]]))</f>
        <v/>
      </c>
      <c r="L199" s="2" t="str">
        <f>IF(Iterations[[#This Row],[Step]] =current_step, current_Total_Loss,IF(Iterations[[#This Row],[Step]] &gt; current_step, "",Iterations[[#This Row],[Total Loss]]))</f>
        <v/>
      </c>
      <c r="M199" s="6" t="s">
        <v>27</v>
      </c>
      <c r="N199" s="2" t="str">
        <f>IF(Iterations[[#This Row],[Step]] =current_step, current_Grad_a,IF(Iterations[[#This Row],[Step]] &gt; current_step, "",Iterations[[#This Row],[Grad_a]]))</f>
        <v/>
      </c>
      <c r="O199" s="2" t="str">
        <f>IF(Iterations[[#This Row],[Step]] =current_step, current_Grad_b,IF(Iterations[[#This Row],[Step]] &gt; current_step, "",Iterations[[#This Row],[Grad_b]]))</f>
        <v/>
      </c>
      <c r="P199" s="2" t="str">
        <f>IF(Iterations[[#This Row],[Step]] =current_step, current_Grad_c,IF(Iterations[[#This Row],[Step]] &gt; current_step, "",Iterations[[#This Row],[Grad_c]]))</f>
        <v/>
      </c>
      <c r="Q199" s="2" t="str">
        <f>IF(Iterations[[#This Row],[Step]] =current_step, current_Grad_d,IF(Iterations[[#This Row],[Step]] &gt; current_step, "",Iterations[[#This Row],[Grad_d]]))</f>
        <v/>
      </c>
      <c r="R199" s="2" t="str">
        <f>IF(Iterations[[#This Row],[Step]] =current_step, current_Grad_e,IF(Iterations[[#This Row],[Step]] &gt; current_step, "",Iterations[[#This Row],[Grad_e]]))</f>
        <v/>
      </c>
    </row>
    <row r="200" spans="6:18" x14ac:dyDescent="0.3">
      <c r="F200" s="2">
        <f t="shared" si="5"/>
        <v>183</v>
      </c>
      <c r="G200" s="2" t="str">
        <f>IF(Iterations[[#This Row],[Step]] =current_step, current_a,IF(Iterations[[#This Row],[Step]] &gt; current_step, "",Iterations[[#This Row],[a]]))</f>
        <v/>
      </c>
      <c r="H200" s="2" t="str">
        <f>IF(Iterations[[#This Row],[Step]] =current_step, current_b,IF(Iterations[[#This Row],[Step]] &gt; current_step, "",Iterations[[#This Row],[b]]))</f>
        <v/>
      </c>
      <c r="I200" s="2" t="str">
        <f>IF(Iterations[[#This Row],[Step]] =current_step, current_c,IF(Iterations[[#This Row],[Step]] &gt; current_step, "",Iterations[[#This Row],[c]]))</f>
        <v/>
      </c>
      <c r="J200" s="2" t="str">
        <f>IF(Iterations[[#This Row],[Step]] =current_step, current_d,IF(Iterations[[#This Row],[Step]] &gt; current_step, "",Iterations[[#This Row],[d]]))</f>
        <v/>
      </c>
      <c r="K200" s="2" t="str">
        <f>IF(Iterations[[#This Row],[Step]] =current_step, current_e,IF(Iterations[[#This Row],[Step]] &gt; current_step, "",Iterations[[#This Row],[e]]))</f>
        <v/>
      </c>
      <c r="L200" s="2" t="str">
        <f>IF(Iterations[[#This Row],[Step]] =current_step, current_Total_Loss,IF(Iterations[[#This Row],[Step]] &gt; current_step, "",Iterations[[#This Row],[Total Loss]]))</f>
        <v/>
      </c>
      <c r="M200" s="6" t="s">
        <v>27</v>
      </c>
      <c r="N200" s="2" t="str">
        <f>IF(Iterations[[#This Row],[Step]] =current_step, current_Grad_a,IF(Iterations[[#This Row],[Step]] &gt; current_step, "",Iterations[[#This Row],[Grad_a]]))</f>
        <v/>
      </c>
      <c r="O200" s="2" t="str">
        <f>IF(Iterations[[#This Row],[Step]] =current_step, current_Grad_b,IF(Iterations[[#This Row],[Step]] &gt; current_step, "",Iterations[[#This Row],[Grad_b]]))</f>
        <v/>
      </c>
      <c r="P200" s="2" t="str">
        <f>IF(Iterations[[#This Row],[Step]] =current_step, current_Grad_c,IF(Iterations[[#This Row],[Step]] &gt; current_step, "",Iterations[[#This Row],[Grad_c]]))</f>
        <v/>
      </c>
      <c r="Q200" s="2" t="str">
        <f>IF(Iterations[[#This Row],[Step]] =current_step, current_Grad_d,IF(Iterations[[#This Row],[Step]] &gt; current_step, "",Iterations[[#This Row],[Grad_d]]))</f>
        <v/>
      </c>
      <c r="R200" s="2" t="str">
        <f>IF(Iterations[[#This Row],[Step]] =current_step, current_Grad_e,IF(Iterations[[#This Row],[Step]] &gt; current_step, "",Iterations[[#This Row],[Grad_e]]))</f>
        <v/>
      </c>
    </row>
    <row r="201" spans="6:18" x14ac:dyDescent="0.3">
      <c r="F201" s="2">
        <f t="shared" si="5"/>
        <v>184</v>
      </c>
      <c r="G201" s="2" t="str">
        <f>IF(Iterations[[#This Row],[Step]] =current_step, current_a,IF(Iterations[[#This Row],[Step]] &gt; current_step, "",Iterations[[#This Row],[a]]))</f>
        <v/>
      </c>
      <c r="H201" s="2" t="str">
        <f>IF(Iterations[[#This Row],[Step]] =current_step, current_b,IF(Iterations[[#This Row],[Step]] &gt; current_step, "",Iterations[[#This Row],[b]]))</f>
        <v/>
      </c>
      <c r="I201" s="2" t="str">
        <f>IF(Iterations[[#This Row],[Step]] =current_step, current_c,IF(Iterations[[#This Row],[Step]] &gt; current_step, "",Iterations[[#This Row],[c]]))</f>
        <v/>
      </c>
      <c r="J201" s="2" t="str">
        <f>IF(Iterations[[#This Row],[Step]] =current_step, current_d,IF(Iterations[[#This Row],[Step]] &gt; current_step, "",Iterations[[#This Row],[d]]))</f>
        <v/>
      </c>
      <c r="K201" s="2" t="str">
        <f>IF(Iterations[[#This Row],[Step]] =current_step, current_e,IF(Iterations[[#This Row],[Step]] &gt; current_step, "",Iterations[[#This Row],[e]]))</f>
        <v/>
      </c>
      <c r="L201" s="2" t="str">
        <f>IF(Iterations[[#This Row],[Step]] =current_step, current_Total_Loss,IF(Iterations[[#This Row],[Step]] &gt; current_step, "",Iterations[[#This Row],[Total Loss]]))</f>
        <v/>
      </c>
      <c r="M201" s="6" t="s">
        <v>27</v>
      </c>
      <c r="N201" s="2" t="str">
        <f>IF(Iterations[[#This Row],[Step]] =current_step, current_Grad_a,IF(Iterations[[#This Row],[Step]] &gt; current_step, "",Iterations[[#This Row],[Grad_a]]))</f>
        <v/>
      </c>
      <c r="O201" s="2" t="str">
        <f>IF(Iterations[[#This Row],[Step]] =current_step, current_Grad_b,IF(Iterations[[#This Row],[Step]] &gt; current_step, "",Iterations[[#This Row],[Grad_b]]))</f>
        <v/>
      </c>
      <c r="P201" s="2" t="str">
        <f>IF(Iterations[[#This Row],[Step]] =current_step, current_Grad_c,IF(Iterations[[#This Row],[Step]] &gt; current_step, "",Iterations[[#This Row],[Grad_c]]))</f>
        <v/>
      </c>
      <c r="Q201" s="2" t="str">
        <f>IF(Iterations[[#This Row],[Step]] =current_step, current_Grad_d,IF(Iterations[[#This Row],[Step]] &gt; current_step, "",Iterations[[#This Row],[Grad_d]]))</f>
        <v/>
      </c>
      <c r="R201" s="2" t="str">
        <f>IF(Iterations[[#This Row],[Step]] =current_step, current_Grad_e,IF(Iterations[[#This Row],[Step]] &gt; current_step, "",Iterations[[#This Row],[Grad_e]]))</f>
        <v/>
      </c>
    </row>
    <row r="202" spans="6:18" x14ac:dyDescent="0.3">
      <c r="F202" s="2">
        <f t="shared" si="5"/>
        <v>185</v>
      </c>
      <c r="G202" s="2" t="str">
        <f>IF(Iterations[[#This Row],[Step]] =current_step, current_a,IF(Iterations[[#This Row],[Step]] &gt; current_step, "",Iterations[[#This Row],[a]]))</f>
        <v/>
      </c>
      <c r="H202" s="2" t="str">
        <f>IF(Iterations[[#This Row],[Step]] =current_step, current_b,IF(Iterations[[#This Row],[Step]] &gt; current_step, "",Iterations[[#This Row],[b]]))</f>
        <v/>
      </c>
      <c r="I202" s="2" t="str">
        <f>IF(Iterations[[#This Row],[Step]] =current_step, current_c,IF(Iterations[[#This Row],[Step]] &gt; current_step, "",Iterations[[#This Row],[c]]))</f>
        <v/>
      </c>
      <c r="J202" s="2" t="str">
        <f>IF(Iterations[[#This Row],[Step]] =current_step, current_d,IF(Iterations[[#This Row],[Step]] &gt; current_step, "",Iterations[[#This Row],[d]]))</f>
        <v/>
      </c>
      <c r="K202" s="2" t="str">
        <f>IF(Iterations[[#This Row],[Step]] =current_step, current_e,IF(Iterations[[#This Row],[Step]] &gt; current_step, "",Iterations[[#This Row],[e]]))</f>
        <v/>
      </c>
      <c r="L202" s="2" t="str">
        <f>IF(Iterations[[#This Row],[Step]] =current_step, current_Total_Loss,IF(Iterations[[#This Row],[Step]] &gt; current_step, "",Iterations[[#This Row],[Total Loss]]))</f>
        <v/>
      </c>
      <c r="M202" s="6" t="s">
        <v>27</v>
      </c>
      <c r="N202" s="2" t="str">
        <f>IF(Iterations[[#This Row],[Step]] =current_step, current_Grad_a,IF(Iterations[[#This Row],[Step]] &gt; current_step, "",Iterations[[#This Row],[Grad_a]]))</f>
        <v/>
      </c>
      <c r="O202" s="2" t="str">
        <f>IF(Iterations[[#This Row],[Step]] =current_step, current_Grad_b,IF(Iterations[[#This Row],[Step]] &gt; current_step, "",Iterations[[#This Row],[Grad_b]]))</f>
        <v/>
      </c>
      <c r="P202" s="2" t="str">
        <f>IF(Iterations[[#This Row],[Step]] =current_step, current_Grad_c,IF(Iterations[[#This Row],[Step]] &gt; current_step, "",Iterations[[#This Row],[Grad_c]]))</f>
        <v/>
      </c>
      <c r="Q202" s="2" t="str">
        <f>IF(Iterations[[#This Row],[Step]] =current_step, current_Grad_d,IF(Iterations[[#This Row],[Step]] &gt; current_step, "",Iterations[[#This Row],[Grad_d]]))</f>
        <v/>
      </c>
      <c r="R202" s="2" t="str">
        <f>IF(Iterations[[#This Row],[Step]] =current_step, current_Grad_e,IF(Iterations[[#This Row],[Step]] &gt; current_step, "",Iterations[[#This Row],[Grad_e]]))</f>
        <v/>
      </c>
    </row>
    <row r="203" spans="6:18" x14ac:dyDescent="0.3">
      <c r="F203" s="2">
        <f t="shared" si="5"/>
        <v>186</v>
      </c>
      <c r="G203" s="2" t="str">
        <f>IF(Iterations[[#This Row],[Step]] =current_step, current_a,IF(Iterations[[#This Row],[Step]] &gt; current_step, "",Iterations[[#This Row],[a]]))</f>
        <v/>
      </c>
      <c r="H203" s="2" t="str">
        <f>IF(Iterations[[#This Row],[Step]] =current_step, current_b,IF(Iterations[[#This Row],[Step]] &gt; current_step, "",Iterations[[#This Row],[b]]))</f>
        <v/>
      </c>
      <c r="I203" s="2" t="str">
        <f>IF(Iterations[[#This Row],[Step]] =current_step, current_c,IF(Iterations[[#This Row],[Step]] &gt; current_step, "",Iterations[[#This Row],[c]]))</f>
        <v/>
      </c>
      <c r="J203" s="2" t="str">
        <f>IF(Iterations[[#This Row],[Step]] =current_step, current_d,IF(Iterations[[#This Row],[Step]] &gt; current_step, "",Iterations[[#This Row],[d]]))</f>
        <v/>
      </c>
      <c r="K203" s="2" t="str">
        <f>IF(Iterations[[#This Row],[Step]] =current_step, current_e,IF(Iterations[[#This Row],[Step]] &gt; current_step, "",Iterations[[#This Row],[e]]))</f>
        <v/>
      </c>
      <c r="L203" s="2" t="str">
        <f>IF(Iterations[[#This Row],[Step]] =current_step, current_Total_Loss,IF(Iterations[[#This Row],[Step]] &gt; current_step, "",Iterations[[#This Row],[Total Loss]]))</f>
        <v/>
      </c>
      <c r="M203" s="6" t="s">
        <v>27</v>
      </c>
      <c r="N203" s="2" t="str">
        <f>IF(Iterations[[#This Row],[Step]] =current_step, current_Grad_a,IF(Iterations[[#This Row],[Step]] &gt; current_step, "",Iterations[[#This Row],[Grad_a]]))</f>
        <v/>
      </c>
      <c r="O203" s="2" t="str">
        <f>IF(Iterations[[#This Row],[Step]] =current_step, current_Grad_b,IF(Iterations[[#This Row],[Step]] &gt; current_step, "",Iterations[[#This Row],[Grad_b]]))</f>
        <v/>
      </c>
      <c r="P203" s="2" t="str">
        <f>IF(Iterations[[#This Row],[Step]] =current_step, current_Grad_c,IF(Iterations[[#This Row],[Step]] &gt; current_step, "",Iterations[[#This Row],[Grad_c]]))</f>
        <v/>
      </c>
      <c r="Q203" s="2" t="str">
        <f>IF(Iterations[[#This Row],[Step]] =current_step, current_Grad_d,IF(Iterations[[#This Row],[Step]] &gt; current_step, "",Iterations[[#This Row],[Grad_d]]))</f>
        <v/>
      </c>
      <c r="R203" s="2" t="str">
        <f>IF(Iterations[[#This Row],[Step]] =current_step, current_Grad_e,IF(Iterations[[#This Row],[Step]] &gt; current_step, "",Iterations[[#This Row],[Grad_e]]))</f>
        <v/>
      </c>
    </row>
    <row r="204" spans="6:18" x14ac:dyDescent="0.3">
      <c r="F204" s="2">
        <f t="shared" si="5"/>
        <v>187</v>
      </c>
      <c r="G204" s="2" t="str">
        <f>IF(Iterations[[#This Row],[Step]] =current_step, current_a,IF(Iterations[[#This Row],[Step]] &gt; current_step, "",Iterations[[#This Row],[a]]))</f>
        <v/>
      </c>
      <c r="H204" s="2" t="str">
        <f>IF(Iterations[[#This Row],[Step]] =current_step, current_b,IF(Iterations[[#This Row],[Step]] &gt; current_step, "",Iterations[[#This Row],[b]]))</f>
        <v/>
      </c>
      <c r="I204" s="2" t="str">
        <f>IF(Iterations[[#This Row],[Step]] =current_step, current_c,IF(Iterations[[#This Row],[Step]] &gt; current_step, "",Iterations[[#This Row],[c]]))</f>
        <v/>
      </c>
      <c r="J204" s="2" t="str">
        <f>IF(Iterations[[#This Row],[Step]] =current_step, current_d,IF(Iterations[[#This Row],[Step]] &gt; current_step, "",Iterations[[#This Row],[d]]))</f>
        <v/>
      </c>
      <c r="K204" s="2" t="str">
        <f>IF(Iterations[[#This Row],[Step]] =current_step, current_e,IF(Iterations[[#This Row],[Step]] &gt; current_step, "",Iterations[[#This Row],[e]]))</f>
        <v/>
      </c>
      <c r="L204" s="2" t="str">
        <f>IF(Iterations[[#This Row],[Step]] =current_step, current_Total_Loss,IF(Iterations[[#This Row],[Step]] &gt; current_step, "",Iterations[[#This Row],[Total Loss]]))</f>
        <v/>
      </c>
      <c r="M204" s="6" t="s">
        <v>27</v>
      </c>
      <c r="N204" s="2" t="str">
        <f>IF(Iterations[[#This Row],[Step]] =current_step, current_Grad_a,IF(Iterations[[#This Row],[Step]] &gt; current_step, "",Iterations[[#This Row],[Grad_a]]))</f>
        <v/>
      </c>
      <c r="O204" s="2" t="str">
        <f>IF(Iterations[[#This Row],[Step]] =current_step, current_Grad_b,IF(Iterations[[#This Row],[Step]] &gt; current_step, "",Iterations[[#This Row],[Grad_b]]))</f>
        <v/>
      </c>
      <c r="P204" s="2" t="str">
        <f>IF(Iterations[[#This Row],[Step]] =current_step, current_Grad_c,IF(Iterations[[#This Row],[Step]] &gt; current_step, "",Iterations[[#This Row],[Grad_c]]))</f>
        <v/>
      </c>
      <c r="Q204" s="2" t="str">
        <f>IF(Iterations[[#This Row],[Step]] =current_step, current_Grad_d,IF(Iterations[[#This Row],[Step]] &gt; current_step, "",Iterations[[#This Row],[Grad_d]]))</f>
        <v/>
      </c>
      <c r="R204" s="2" t="str">
        <f>IF(Iterations[[#This Row],[Step]] =current_step, current_Grad_e,IF(Iterations[[#This Row],[Step]] &gt; current_step, "",Iterations[[#This Row],[Grad_e]]))</f>
        <v/>
      </c>
    </row>
    <row r="205" spans="6:18" x14ac:dyDescent="0.3">
      <c r="F205" s="2">
        <f t="shared" si="5"/>
        <v>188</v>
      </c>
      <c r="G205" s="2" t="str">
        <f>IF(Iterations[[#This Row],[Step]] =current_step, current_a,IF(Iterations[[#This Row],[Step]] &gt; current_step, "",Iterations[[#This Row],[a]]))</f>
        <v/>
      </c>
      <c r="H205" s="2" t="str">
        <f>IF(Iterations[[#This Row],[Step]] =current_step, current_b,IF(Iterations[[#This Row],[Step]] &gt; current_step, "",Iterations[[#This Row],[b]]))</f>
        <v/>
      </c>
      <c r="I205" s="2" t="str">
        <f>IF(Iterations[[#This Row],[Step]] =current_step, current_c,IF(Iterations[[#This Row],[Step]] &gt; current_step, "",Iterations[[#This Row],[c]]))</f>
        <v/>
      </c>
      <c r="J205" s="2" t="str">
        <f>IF(Iterations[[#This Row],[Step]] =current_step, current_d,IF(Iterations[[#This Row],[Step]] &gt; current_step, "",Iterations[[#This Row],[d]]))</f>
        <v/>
      </c>
      <c r="K205" s="2" t="str">
        <f>IF(Iterations[[#This Row],[Step]] =current_step, current_e,IF(Iterations[[#This Row],[Step]] &gt; current_step, "",Iterations[[#This Row],[e]]))</f>
        <v/>
      </c>
      <c r="L205" s="2" t="str">
        <f>IF(Iterations[[#This Row],[Step]] =current_step, current_Total_Loss,IF(Iterations[[#This Row],[Step]] &gt; current_step, "",Iterations[[#This Row],[Total Loss]]))</f>
        <v/>
      </c>
      <c r="M205" s="6" t="s">
        <v>27</v>
      </c>
      <c r="N205" s="2" t="str">
        <f>IF(Iterations[[#This Row],[Step]] =current_step, current_Grad_a,IF(Iterations[[#This Row],[Step]] &gt; current_step, "",Iterations[[#This Row],[Grad_a]]))</f>
        <v/>
      </c>
      <c r="O205" s="2" t="str">
        <f>IF(Iterations[[#This Row],[Step]] =current_step, current_Grad_b,IF(Iterations[[#This Row],[Step]] &gt; current_step, "",Iterations[[#This Row],[Grad_b]]))</f>
        <v/>
      </c>
      <c r="P205" s="2" t="str">
        <f>IF(Iterations[[#This Row],[Step]] =current_step, current_Grad_c,IF(Iterations[[#This Row],[Step]] &gt; current_step, "",Iterations[[#This Row],[Grad_c]]))</f>
        <v/>
      </c>
      <c r="Q205" s="2" t="str">
        <f>IF(Iterations[[#This Row],[Step]] =current_step, current_Grad_d,IF(Iterations[[#This Row],[Step]] &gt; current_step, "",Iterations[[#This Row],[Grad_d]]))</f>
        <v/>
      </c>
      <c r="R205" s="2" t="str">
        <f>IF(Iterations[[#This Row],[Step]] =current_step, current_Grad_e,IF(Iterations[[#This Row],[Step]] &gt; current_step, "",Iterations[[#This Row],[Grad_e]]))</f>
        <v/>
      </c>
    </row>
    <row r="206" spans="6:18" x14ac:dyDescent="0.3">
      <c r="F206" s="2">
        <f t="shared" si="5"/>
        <v>189</v>
      </c>
      <c r="G206" s="2" t="str">
        <f>IF(Iterations[[#This Row],[Step]] =current_step, current_a,IF(Iterations[[#This Row],[Step]] &gt; current_step, "",Iterations[[#This Row],[a]]))</f>
        <v/>
      </c>
      <c r="H206" s="2" t="str">
        <f>IF(Iterations[[#This Row],[Step]] =current_step, current_b,IF(Iterations[[#This Row],[Step]] &gt; current_step, "",Iterations[[#This Row],[b]]))</f>
        <v/>
      </c>
      <c r="I206" s="2" t="str">
        <f>IF(Iterations[[#This Row],[Step]] =current_step, current_c,IF(Iterations[[#This Row],[Step]] &gt; current_step, "",Iterations[[#This Row],[c]]))</f>
        <v/>
      </c>
      <c r="J206" s="2" t="str">
        <f>IF(Iterations[[#This Row],[Step]] =current_step, current_d,IF(Iterations[[#This Row],[Step]] &gt; current_step, "",Iterations[[#This Row],[d]]))</f>
        <v/>
      </c>
      <c r="K206" s="2" t="str">
        <f>IF(Iterations[[#This Row],[Step]] =current_step, current_e,IF(Iterations[[#This Row],[Step]] &gt; current_step, "",Iterations[[#This Row],[e]]))</f>
        <v/>
      </c>
      <c r="L206" s="2" t="str">
        <f>IF(Iterations[[#This Row],[Step]] =current_step, current_Total_Loss,IF(Iterations[[#This Row],[Step]] &gt; current_step, "",Iterations[[#This Row],[Total Loss]]))</f>
        <v/>
      </c>
      <c r="M206" s="6" t="s">
        <v>27</v>
      </c>
      <c r="N206" s="2" t="str">
        <f>IF(Iterations[[#This Row],[Step]] =current_step, current_Grad_a,IF(Iterations[[#This Row],[Step]] &gt; current_step, "",Iterations[[#This Row],[Grad_a]]))</f>
        <v/>
      </c>
      <c r="O206" s="2" t="str">
        <f>IF(Iterations[[#This Row],[Step]] =current_step, current_Grad_b,IF(Iterations[[#This Row],[Step]] &gt; current_step, "",Iterations[[#This Row],[Grad_b]]))</f>
        <v/>
      </c>
      <c r="P206" s="2" t="str">
        <f>IF(Iterations[[#This Row],[Step]] =current_step, current_Grad_c,IF(Iterations[[#This Row],[Step]] &gt; current_step, "",Iterations[[#This Row],[Grad_c]]))</f>
        <v/>
      </c>
      <c r="Q206" s="2" t="str">
        <f>IF(Iterations[[#This Row],[Step]] =current_step, current_Grad_d,IF(Iterations[[#This Row],[Step]] &gt; current_step, "",Iterations[[#This Row],[Grad_d]]))</f>
        <v/>
      </c>
      <c r="R206" s="2" t="str">
        <f>IF(Iterations[[#This Row],[Step]] =current_step, current_Grad_e,IF(Iterations[[#This Row],[Step]] &gt; current_step, "",Iterations[[#This Row],[Grad_e]]))</f>
        <v/>
      </c>
    </row>
    <row r="207" spans="6:18" x14ac:dyDescent="0.3">
      <c r="F207" s="2">
        <f t="shared" si="5"/>
        <v>190</v>
      </c>
      <c r="G207" s="2" t="str">
        <f>IF(Iterations[[#This Row],[Step]] =current_step, current_a,IF(Iterations[[#This Row],[Step]] &gt; current_step, "",Iterations[[#This Row],[a]]))</f>
        <v/>
      </c>
      <c r="H207" s="2" t="str">
        <f>IF(Iterations[[#This Row],[Step]] =current_step, current_b,IF(Iterations[[#This Row],[Step]] &gt; current_step, "",Iterations[[#This Row],[b]]))</f>
        <v/>
      </c>
      <c r="I207" s="2" t="str">
        <f>IF(Iterations[[#This Row],[Step]] =current_step, current_c,IF(Iterations[[#This Row],[Step]] &gt; current_step, "",Iterations[[#This Row],[c]]))</f>
        <v/>
      </c>
      <c r="J207" s="2" t="str">
        <f>IF(Iterations[[#This Row],[Step]] =current_step, current_d,IF(Iterations[[#This Row],[Step]] &gt; current_step, "",Iterations[[#This Row],[d]]))</f>
        <v/>
      </c>
      <c r="K207" s="2" t="str">
        <f>IF(Iterations[[#This Row],[Step]] =current_step, current_e,IF(Iterations[[#This Row],[Step]] &gt; current_step, "",Iterations[[#This Row],[e]]))</f>
        <v/>
      </c>
      <c r="L207" s="2" t="str">
        <f>IF(Iterations[[#This Row],[Step]] =current_step, current_Total_Loss,IF(Iterations[[#This Row],[Step]] &gt; current_step, "",Iterations[[#This Row],[Total Loss]]))</f>
        <v/>
      </c>
      <c r="M207" s="6" t="s">
        <v>27</v>
      </c>
      <c r="N207" s="2" t="str">
        <f>IF(Iterations[[#This Row],[Step]] =current_step, current_Grad_a,IF(Iterations[[#This Row],[Step]] &gt; current_step, "",Iterations[[#This Row],[Grad_a]]))</f>
        <v/>
      </c>
      <c r="O207" s="2" t="str">
        <f>IF(Iterations[[#This Row],[Step]] =current_step, current_Grad_b,IF(Iterations[[#This Row],[Step]] &gt; current_step, "",Iterations[[#This Row],[Grad_b]]))</f>
        <v/>
      </c>
      <c r="P207" s="2" t="str">
        <f>IF(Iterations[[#This Row],[Step]] =current_step, current_Grad_c,IF(Iterations[[#This Row],[Step]] &gt; current_step, "",Iterations[[#This Row],[Grad_c]]))</f>
        <v/>
      </c>
      <c r="Q207" s="2" t="str">
        <f>IF(Iterations[[#This Row],[Step]] =current_step, current_Grad_d,IF(Iterations[[#This Row],[Step]] &gt; current_step, "",Iterations[[#This Row],[Grad_d]]))</f>
        <v/>
      </c>
      <c r="R207" s="2" t="str">
        <f>IF(Iterations[[#This Row],[Step]] =current_step, current_Grad_e,IF(Iterations[[#This Row],[Step]] &gt; current_step, "",Iterations[[#This Row],[Grad_e]]))</f>
        <v/>
      </c>
    </row>
    <row r="208" spans="6:18" x14ac:dyDescent="0.3">
      <c r="F208" s="2">
        <f t="shared" si="5"/>
        <v>191</v>
      </c>
      <c r="G208" s="2" t="str">
        <f>IF(Iterations[[#This Row],[Step]] =current_step, current_a,IF(Iterations[[#This Row],[Step]] &gt; current_step, "",Iterations[[#This Row],[a]]))</f>
        <v/>
      </c>
      <c r="H208" s="2" t="str">
        <f>IF(Iterations[[#This Row],[Step]] =current_step, current_b,IF(Iterations[[#This Row],[Step]] &gt; current_step, "",Iterations[[#This Row],[b]]))</f>
        <v/>
      </c>
      <c r="I208" s="2" t="str">
        <f>IF(Iterations[[#This Row],[Step]] =current_step, current_c,IF(Iterations[[#This Row],[Step]] &gt; current_step, "",Iterations[[#This Row],[c]]))</f>
        <v/>
      </c>
      <c r="J208" s="2" t="str">
        <f>IF(Iterations[[#This Row],[Step]] =current_step, current_d,IF(Iterations[[#This Row],[Step]] &gt; current_step, "",Iterations[[#This Row],[d]]))</f>
        <v/>
      </c>
      <c r="K208" s="2" t="str">
        <f>IF(Iterations[[#This Row],[Step]] =current_step, current_e,IF(Iterations[[#This Row],[Step]] &gt; current_step, "",Iterations[[#This Row],[e]]))</f>
        <v/>
      </c>
      <c r="L208" s="2" t="str">
        <f>IF(Iterations[[#This Row],[Step]] =current_step, current_Total_Loss,IF(Iterations[[#This Row],[Step]] &gt; current_step, "",Iterations[[#This Row],[Total Loss]]))</f>
        <v/>
      </c>
      <c r="M208" s="6" t="s">
        <v>27</v>
      </c>
      <c r="N208" s="2" t="str">
        <f>IF(Iterations[[#This Row],[Step]] =current_step, current_Grad_a,IF(Iterations[[#This Row],[Step]] &gt; current_step, "",Iterations[[#This Row],[Grad_a]]))</f>
        <v/>
      </c>
      <c r="O208" s="2" t="str">
        <f>IF(Iterations[[#This Row],[Step]] =current_step, current_Grad_b,IF(Iterations[[#This Row],[Step]] &gt; current_step, "",Iterations[[#This Row],[Grad_b]]))</f>
        <v/>
      </c>
      <c r="P208" s="2" t="str">
        <f>IF(Iterations[[#This Row],[Step]] =current_step, current_Grad_c,IF(Iterations[[#This Row],[Step]] &gt; current_step, "",Iterations[[#This Row],[Grad_c]]))</f>
        <v/>
      </c>
      <c r="Q208" s="2" t="str">
        <f>IF(Iterations[[#This Row],[Step]] =current_step, current_Grad_d,IF(Iterations[[#This Row],[Step]] &gt; current_step, "",Iterations[[#This Row],[Grad_d]]))</f>
        <v/>
      </c>
      <c r="R208" s="2" t="str">
        <f>IF(Iterations[[#This Row],[Step]] =current_step, current_Grad_e,IF(Iterations[[#This Row],[Step]] &gt; current_step, "",Iterations[[#This Row],[Grad_e]]))</f>
        <v/>
      </c>
    </row>
    <row r="209" spans="6:18" x14ac:dyDescent="0.3">
      <c r="F209" s="2">
        <f t="shared" si="5"/>
        <v>192</v>
      </c>
      <c r="G209" s="2" t="str">
        <f>IF(Iterations[[#This Row],[Step]] =current_step, current_a,IF(Iterations[[#This Row],[Step]] &gt; current_step, "",Iterations[[#This Row],[a]]))</f>
        <v/>
      </c>
      <c r="H209" s="2" t="str">
        <f>IF(Iterations[[#This Row],[Step]] =current_step, current_b,IF(Iterations[[#This Row],[Step]] &gt; current_step, "",Iterations[[#This Row],[b]]))</f>
        <v/>
      </c>
      <c r="I209" s="2" t="str">
        <f>IF(Iterations[[#This Row],[Step]] =current_step, current_c,IF(Iterations[[#This Row],[Step]] &gt; current_step, "",Iterations[[#This Row],[c]]))</f>
        <v/>
      </c>
      <c r="J209" s="2" t="str">
        <f>IF(Iterations[[#This Row],[Step]] =current_step, current_d,IF(Iterations[[#This Row],[Step]] &gt; current_step, "",Iterations[[#This Row],[d]]))</f>
        <v/>
      </c>
      <c r="K209" s="2" t="str">
        <f>IF(Iterations[[#This Row],[Step]] =current_step, current_e,IF(Iterations[[#This Row],[Step]] &gt; current_step, "",Iterations[[#This Row],[e]]))</f>
        <v/>
      </c>
      <c r="L209" s="2" t="str">
        <f>IF(Iterations[[#This Row],[Step]] =current_step, current_Total_Loss,IF(Iterations[[#This Row],[Step]] &gt; current_step, "",Iterations[[#This Row],[Total Loss]]))</f>
        <v/>
      </c>
      <c r="M209" s="6" t="s">
        <v>27</v>
      </c>
      <c r="N209" s="2" t="str">
        <f>IF(Iterations[[#This Row],[Step]] =current_step, current_Grad_a,IF(Iterations[[#This Row],[Step]] &gt; current_step, "",Iterations[[#This Row],[Grad_a]]))</f>
        <v/>
      </c>
      <c r="O209" s="2" t="str">
        <f>IF(Iterations[[#This Row],[Step]] =current_step, current_Grad_b,IF(Iterations[[#This Row],[Step]] &gt; current_step, "",Iterations[[#This Row],[Grad_b]]))</f>
        <v/>
      </c>
      <c r="P209" s="2" t="str">
        <f>IF(Iterations[[#This Row],[Step]] =current_step, current_Grad_c,IF(Iterations[[#This Row],[Step]] &gt; current_step, "",Iterations[[#This Row],[Grad_c]]))</f>
        <v/>
      </c>
      <c r="Q209" s="2" t="str">
        <f>IF(Iterations[[#This Row],[Step]] =current_step, current_Grad_d,IF(Iterations[[#This Row],[Step]] &gt; current_step, "",Iterations[[#This Row],[Grad_d]]))</f>
        <v/>
      </c>
      <c r="R209" s="2" t="str">
        <f>IF(Iterations[[#This Row],[Step]] =current_step, current_Grad_e,IF(Iterations[[#This Row],[Step]] &gt; current_step, "",Iterations[[#This Row],[Grad_e]]))</f>
        <v/>
      </c>
    </row>
    <row r="210" spans="6:18" x14ac:dyDescent="0.3">
      <c r="F210" s="2">
        <f t="shared" si="5"/>
        <v>193</v>
      </c>
      <c r="G210" s="2" t="str">
        <f>IF(Iterations[[#This Row],[Step]] =current_step, current_a,IF(Iterations[[#This Row],[Step]] &gt; current_step, "",Iterations[[#This Row],[a]]))</f>
        <v/>
      </c>
      <c r="H210" s="2" t="str">
        <f>IF(Iterations[[#This Row],[Step]] =current_step, current_b,IF(Iterations[[#This Row],[Step]] &gt; current_step, "",Iterations[[#This Row],[b]]))</f>
        <v/>
      </c>
      <c r="I210" s="2" t="str">
        <f>IF(Iterations[[#This Row],[Step]] =current_step, current_c,IF(Iterations[[#This Row],[Step]] &gt; current_step, "",Iterations[[#This Row],[c]]))</f>
        <v/>
      </c>
      <c r="J210" s="2" t="str">
        <f>IF(Iterations[[#This Row],[Step]] =current_step, current_d,IF(Iterations[[#This Row],[Step]] &gt; current_step, "",Iterations[[#This Row],[d]]))</f>
        <v/>
      </c>
      <c r="K210" s="2" t="str">
        <f>IF(Iterations[[#This Row],[Step]] =current_step, current_e,IF(Iterations[[#This Row],[Step]] &gt; current_step, "",Iterations[[#This Row],[e]]))</f>
        <v/>
      </c>
      <c r="L210" s="2" t="str">
        <f>IF(Iterations[[#This Row],[Step]] =current_step, current_Total_Loss,IF(Iterations[[#This Row],[Step]] &gt; current_step, "",Iterations[[#This Row],[Total Loss]]))</f>
        <v/>
      </c>
      <c r="M210" s="6" t="s">
        <v>27</v>
      </c>
      <c r="N210" s="2" t="str">
        <f>IF(Iterations[[#This Row],[Step]] =current_step, current_Grad_a,IF(Iterations[[#This Row],[Step]] &gt; current_step, "",Iterations[[#This Row],[Grad_a]]))</f>
        <v/>
      </c>
      <c r="O210" s="2" t="str">
        <f>IF(Iterations[[#This Row],[Step]] =current_step, current_Grad_b,IF(Iterations[[#This Row],[Step]] &gt; current_step, "",Iterations[[#This Row],[Grad_b]]))</f>
        <v/>
      </c>
      <c r="P210" s="2" t="str">
        <f>IF(Iterations[[#This Row],[Step]] =current_step, current_Grad_c,IF(Iterations[[#This Row],[Step]] &gt; current_step, "",Iterations[[#This Row],[Grad_c]]))</f>
        <v/>
      </c>
      <c r="Q210" s="2" t="str">
        <f>IF(Iterations[[#This Row],[Step]] =current_step, current_Grad_d,IF(Iterations[[#This Row],[Step]] &gt; current_step, "",Iterations[[#This Row],[Grad_d]]))</f>
        <v/>
      </c>
      <c r="R210" s="2" t="str">
        <f>IF(Iterations[[#This Row],[Step]] =current_step, current_Grad_e,IF(Iterations[[#This Row],[Step]] &gt; current_step, "",Iterations[[#This Row],[Grad_e]]))</f>
        <v/>
      </c>
    </row>
    <row r="211" spans="6:18" x14ac:dyDescent="0.3">
      <c r="F211" s="2">
        <f t="shared" si="5"/>
        <v>194</v>
      </c>
      <c r="G211" s="2" t="str">
        <f>IF(Iterations[[#This Row],[Step]] =current_step, current_a,IF(Iterations[[#This Row],[Step]] &gt; current_step, "",Iterations[[#This Row],[a]]))</f>
        <v/>
      </c>
      <c r="H211" s="2" t="str">
        <f>IF(Iterations[[#This Row],[Step]] =current_step, current_b,IF(Iterations[[#This Row],[Step]] &gt; current_step, "",Iterations[[#This Row],[b]]))</f>
        <v/>
      </c>
      <c r="I211" s="2" t="str">
        <f>IF(Iterations[[#This Row],[Step]] =current_step, current_c,IF(Iterations[[#This Row],[Step]] &gt; current_step, "",Iterations[[#This Row],[c]]))</f>
        <v/>
      </c>
      <c r="J211" s="2" t="str">
        <f>IF(Iterations[[#This Row],[Step]] =current_step, current_d,IF(Iterations[[#This Row],[Step]] &gt; current_step, "",Iterations[[#This Row],[d]]))</f>
        <v/>
      </c>
      <c r="K211" s="2" t="str">
        <f>IF(Iterations[[#This Row],[Step]] =current_step, current_e,IF(Iterations[[#This Row],[Step]] &gt; current_step, "",Iterations[[#This Row],[e]]))</f>
        <v/>
      </c>
      <c r="L211" s="2" t="str">
        <f>IF(Iterations[[#This Row],[Step]] =current_step, current_Total_Loss,IF(Iterations[[#This Row],[Step]] &gt; current_step, "",Iterations[[#This Row],[Total Loss]]))</f>
        <v/>
      </c>
      <c r="M211" s="6" t="s">
        <v>27</v>
      </c>
      <c r="N211" s="2" t="str">
        <f>IF(Iterations[[#This Row],[Step]] =current_step, current_Grad_a,IF(Iterations[[#This Row],[Step]] &gt; current_step, "",Iterations[[#This Row],[Grad_a]]))</f>
        <v/>
      </c>
      <c r="O211" s="2" t="str">
        <f>IF(Iterations[[#This Row],[Step]] =current_step, current_Grad_b,IF(Iterations[[#This Row],[Step]] &gt; current_step, "",Iterations[[#This Row],[Grad_b]]))</f>
        <v/>
      </c>
      <c r="P211" s="2" t="str">
        <f>IF(Iterations[[#This Row],[Step]] =current_step, current_Grad_c,IF(Iterations[[#This Row],[Step]] &gt; current_step, "",Iterations[[#This Row],[Grad_c]]))</f>
        <v/>
      </c>
      <c r="Q211" s="2" t="str">
        <f>IF(Iterations[[#This Row],[Step]] =current_step, current_Grad_d,IF(Iterations[[#This Row],[Step]] &gt; current_step, "",Iterations[[#This Row],[Grad_d]]))</f>
        <v/>
      </c>
      <c r="R211" s="2" t="str">
        <f>IF(Iterations[[#This Row],[Step]] =current_step, current_Grad_e,IF(Iterations[[#This Row],[Step]] &gt; current_step, "",Iterations[[#This Row],[Grad_e]]))</f>
        <v/>
      </c>
    </row>
    <row r="212" spans="6:18" x14ac:dyDescent="0.3">
      <c r="F212" s="2">
        <f t="shared" si="5"/>
        <v>195</v>
      </c>
      <c r="G212" s="2" t="str">
        <f>IF(Iterations[[#This Row],[Step]] =current_step, current_a,IF(Iterations[[#This Row],[Step]] &gt; current_step, "",Iterations[[#This Row],[a]]))</f>
        <v/>
      </c>
      <c r="H212" s="2" t="str">
        <f>IF(Iterations[[#This Row],[Step]] =current_step, current_b,IF(Iterations[[#This Row],[Step]] &gt; current_step, "",Iterations[[#This Row],[b]]))</f>
        <v/>
      </c>
      <c r="I212" s="2" t="str">
        <f>IF(Iterations[[#This Row],[Step]] =current_step, current_c,IF(Iterations[[#This Row],[Step]] &gt; current_step, "",Iterations[[#This Row],[c]]))</f>
        <v/>
      </c>
      <c r="J212" s="2" t="str">
        <f>IF(Iterations[[#This Row],[Step]] =current_step, current_d,IF(Iterations[[#This Row],[Step]] &gt; current_step, "",Iterations[[#This Row],[d]]))</f>
        <v/>
      </c>
      <c r="K212" s="2" t="str">
        <f>IF(Iterations[[#This Row],[Step]] =current_step, current_e,IF(Iterations[[#This Row],[Step]] &gt; current_step, "",Iterations[[#This Row],[e]]))</f>
        <v/>
      </c>
      <c r="L212" s="2" t="str">
        <f>IF(Iterations[[#This Row],[Step]] =current_step, current_Total_Loss,IF(Iterations[[#This Row],[Step]] &gt; current_step, "",Iterations[[#This Row],[Total Loss]]))</f>
        <v/>
      </c>
      <c r="M212" s="6" t="s">
        <v>27</v>
      </c>
      <c r="N212" s="2" t="str">
        <f>IF(Iterations[[#This Row],[Step]] =current_step, current_Grad_a,IF(Iterations[[#This Row],[Step]] &gt; current_step, "",Iterations[[#This Row],[Grad_a]]))</f>
        <v/>
      </c>
      <c r="O212" s="2" t="str">
        <f>IF(Iterations[[#This Row],[Step]] =current_step, current_Grad_b,IF(Iterations[[#This Row],[Step]] &gt; current_step, "",Iterations[[#This Row],[Grad_b]]))</f>
        <v/>
      </c>
      <c r="P212" s="2" t="str">
        <f>IF(Iterations[[#This Row],[Step]] =current_step, current_Grad_c,IF(Iterations[[#This Row],[Step]] &gt; current_step, "",Iterations[[#This Row],[Grad_c]]))</f>
        <v/>
      </c>
      <c r="Q212" s="2" t="str">
        <f>IF(Iterations[[#This Row],[Step]] =current_step, current_Grad_d,IF(Iterations[[#This Row],[Step]] &gt; current_step, "",Iterations[[#This Row],[Grad_d]]))</f>
        <v/>
      </c>
      <c r="R212" s="2" t="str">
        <f>IF(Iterations[[#This Row],[Step]] =current_step, current_Grad_e,IF(Iterations[[#This Row],[Step]] &gt; current_step, "",Iterations[[#This Row],[Grad_e]]))</f>
        <v/>
      </c>
    </row>
    <row r="213" spans="6:18" x14ac:dyDescent="0.3">
      <c r="F213" s="2">
        <f t="shared" si="5"/>
        <v>196</v>
      </c>
      <c r="G213" s="2" t="str">
        <f>IF(Iterations[[#This Row],[Step]] =current_step, current_a,IF(Iterations[[#This Row],[Step]] &gt; current_step, "",Iterations[[#This Row],[a]]))</f>
        <v/>
      </c>
      <c r="H213" s="2" t="str">
        <f>IF(Iterations[[#This Row],[Step]] =current_step, current_b,IF(Iterations[[#This Row],[Step]] &gt; current_step, "",Iterations[[#This Row],[b]]))</f>
        <v/>
      </c>
      <c r="I213" s="2" t="str">
        <f>IF(Iterations[[#This Row],[Step]] =current_step, current_c,IF(Iterations[[#This Row],[Step]] &gt; current_step, "",Iterations[[#This Row],[c]]))</f>
        <v/>
      </c>
      <c r="J213" s="2" t="str">
        <f>IF(Iterations[[#This Row],[Step]] =current_step, current_d,IF(Iterations[[#This Row],[Step]] &gt; current_step, "",Iterations[[#This Row],[d]]))</f>
        <v/>
      </c>
      <c r="K213" s="2" t="str">
        <f>IF(Iterations[[#This Row],[Step]] =current_step, current_e,IF(Iterations[[#This Row],[Step]] &gt; current_step, "",Iterations[[#This Row],[e]]))</f>
        <v/>
      </c>
      <c r="L213" s="2" t="str">
        <f>IF(Iterations[[#This Row],[Step]] =current_step, current_Total_Loss,IF(Iterations[[#This Row],[Step]] &gt; current_step, "",Iterations[[#This Row],[Total Loss]]))</f>
        <v/>
      </c>
      <c r="M213" s="6" t="s">
        <v>27</v>
      </c>
      <c r="N213" s="2" t="str">
        <f>IF(Iterations[[#This Row],[Step]] =current_step, current_Grad_a,IF(Iterations[[#This Row],[Step]] &gt; current_step, "",Iterations[[#This Row],[Grad_a]]))</f>
        <v/>
      </c>
      <c r="O213" s="2" t="str">
        <f>IF(Iterations[[#This Row],[Step]] =current_step, current_Grad_b,IF(Iterations[[#This Row],[Step]] &gt; current_step, "",Iterations[[#This Row],[Grad_b]]))</f>
        <v/>
      </c>
      <c r="P213" s="2" t="str">
        <f>IF(Iterations[[#This Row],[Step]] =current_step, current_Grad_c,IF(Iterations[[#This Row],[Step]] &gt; current_step, "",Iterations[[#This Row],[Grad_c]]))</f>
        <v/>
      </c>
      <c r="Q213" s="2" t="str">
        <f>IF(Iterations[[#This Row],[Step]] =current_step, current_Grad_d,IF(Iterations[[#This Row],[Step]] &gt; current_step, "",Iterations[[#This Row],[Grad_d]]))</f>
        <v/>
      </c>
      <c r="R213" s="2" t="str">
        <f>IF(Iterations[[#This Row],[Step]] =current_step, current_Grad_e,IF(Iterations[[#This Row],[Step]] &gt; current_step, "",Iterations[[#This Row],[Grad_e]]))</f>
        <v/>
      </c>
    </row>
    <row r="214" spans="6:18" x14ac:dyDescent="0.3">
      <c r="F214" s="2">
        <f t="shared" si="5"/>
        <v>197</v>
      </c>
      <c r="G214" s="2" t="str">
        <f>IF(Iterations[[#This Row],[Step]] =current_step, current_a,IF(Iterations[[#This Row],[Step]] &gt; current_step, "",Iterations[[#This Row],[a]]))</f>
        <v/>
      </c>
      <c r="H214" s="2" t="str">
        <f>IF(Iterations[[#This Row],[Step]] =current_step, current_b,IF(Iterations[[#This Row],[Step]] &gt; current_step, "",Iterations[[#This Row],[b]]))</f>
        <v/>
      </c>
      <c r="I214" s="2" t="str">
        <f>IF(Iterations[[#This Row],[Step]] =current_step, current_c,IF(Iterations[[#This Row],[Step]] &gt; current_step, "",Iterations[[#This Row],[c]]))</f>
        <v/>
      </c>
      <c r="J214" s="2" t="str">
        <f>IF(Iterations[[#This Row],[Step]] =current_step, current_d,IF(Iterations[[#This Row],[Step]] &gt; current_step, "",Iterations[[#This Row],[d]]))</f>
        <v/>
      </c>
      <c r="K214" s="2" t="str">
        <f>IF(Iterations[[#This Row],[Step]] =current_step, current_e,IF(Iterations[[#This Row],[Step]] &gt; current_step, "",Iterations[[#This Row],[e]]))</f>
        <v/>
      </c>
      <c r="L214" s="2" t="str">
        <f>IF(Iterations[[#This Row],[Step]] =current_step, current_Total_Loss,IF(Iterations[[#This Row],[Step]] &gt; current_step, "",Iterations[[#This Row],[Total Loss]]))</f>
        <v/>
      </c>
      <c r="M214" s="6" t="s">
        <v>27</v>
      </c>
      <c r="N214" s="2" t="str">
        <f>IF(Iterations[[#This Row],[Step]] =current_step, current_Grad_a,IF(Iterations[[#This Row],[Step]] &gt; current_step, "",Iterations[[#This Row],[Grad_a]]))</f>
        <v/>
      </c>
      <c r="O214" s="2" t="str">
        <f>IF(Iterations[[#This Row],[Step]] =current_step, current_Grad_b,IF(Iterations[[#This Row],[Step]] &gt; current_step, "",Iterations[[#This Row],[Grad_b]]))</f>
        <v/>
      </c>
      <c r="P214" s="2" t="str">
        <f>IF(Iterations[[#This Row],[Step]] =current_step, current_Grad_c,IF(Iterations[[#This Row],[Step]] &gt; current_step, "",Iterations[[#This Row],[Grad_c]]))</f>
        <v/>
      </c>
      <c r="Q214" s="2" t="str">
        <f>IF(Iterations[[#This Row],[Step]] =current_step, current_Grad_d,IF(Iterations[[#This Row],[Step]] &gt; current_step, "",Iterations[[#This Row],[Grad_d]]))</f>
        <v/>
      </c>
      <c r="R214" s="2" t="str">
        <f>IF(Iterations[[#This Row],[Step]] =current_step, current_Grad_e,IF(Iterations[[#This Row],[Step]] &gt; current_step, "",Iterations[[#This Row],[Grad_e]]))</f>
        <v/>
      </c>
    </row>
    <row r="215" spans="6:18" x14ac:dyDescent="0.3">
      <c r="F215" s="2">
        <f t="shared" si="5"/>
        <v>198</v>
      </c>
      <c r="G215" s="2" t="str">
        <f>IF(Iterations[[#This Row],[Step]] =current_step, current_a,IF(Iterations[[#This Row],[Step]] &gt; current_step, "",Iterations[[#This Row],[a]]))</f>
        <v/>
      </c>
      <c r="H215" s="2" t="str">
        <f>IF(Iterations[[#This Row],[Step]] =current_step, current_b,IF(Iterations[[#This Row],[Step]] &gt; current_step, "",Iterations[[#This Row],[b]]))</f>
        <v/>
      </c>
      <c r="I215" s="2" t="str">
        <f>IF(Iterations[[#This Row],[Step]] =current_step, current_c,IF(Iterations[[#This Row],[Step]] &gt; current_step, "",Iterations[[#This Row],[c]]))</f>
        <v/>
      </c>
      <c r="J215" s="2" t="str">
        <f>IF(Iterations[[#This Row],[Step]] =current_step, current_d,IF(Iterations[[#This Row],[Step]] &gt; current_step, "",Iterations[[#This Row],[d]]))</f>
        <v/>
      </c>
      <c r="K215" s="2" t="str">
        <f>IF(Iterations[[#This Row],[Step]] =current_step, current_e,IF(Iterations[[#This Row],[Step]] &gt; current_step, "",Iterations[[#This Row],[e]]))</f>
        <v/>
      </c>
      <c r="L215" s="2" t="str">
        <f>IF(Iterations[[#This Row],[Step]] =current_step, current_Total_Loss,IF(Iterations[[#This Row],[Step]] &gt; current_step, "",Iterations[[#This Row],[Total Loss]]))</f>
        <v/>
      </c>
      <c r="M215" s="6" t="s">
        <v>27</v>
      </c>
      <c r="N215" s="2" t="str">
        <f>IF(Iterations[[#This Row],[Step]] =current_step, current_Grad_a,IF(Iterations[[#This Row],[Step]] &gt; current_step, "",Iterations[[#This Row],[Grad_a]]))</f>
        <v/>
      </c>
      <c r="O215" s="2" t="str">
        <f>IF(Iterations[[#This Row],[Step]] =current_step, current_Grad_b,IF(Iterations[[#This Row],[Step]] &gt; current_step, "",Iterations[[#This Row],[Grad_b]]))</f>
        <v/>
      </c>
      <c r="P215" s="2" t="str">
        <f>IF(Iterations[[#This Row],[Step]] =current_step, current_Grad_c,IF(Iterations[[#This Row],[Step]] &gt; current_step, "",Iterations[[#This Row],[Grad_c]]))</f>
        <v/>
      </c>
      <c r="Q215" s="2" t="str">
        <f>IF(Iterations[[#This Row],[Step]] =current_step, current_Grad_d,IF(Iterations[[#This Row],[Step]] &gt; current_step, "",Iterations[[#This Row],[Grad_d]]))</f>
        <v/>
      </c>
      <c r="R215" s="2" t="str">
        <f>IF(Iterations[[#This Row],[Step]] =current_step, current_Grad_e,IF(Iterations[[#This Row],[Step]] &gt; current_step, "",Iterations[[#This Row],[Grad_e]]))</f>
        <v/>
      </c>
    </row>
    <row r="216" spans="6:18" x14ac:dyDescent="0.3">
      <c r="F216" s="2">
        <f t="shared" si="5"/>
        <v>199</v>
      </c>
      <c r="G216" s="2" t="str">
        <f>IF(Iterations[[#This Row],[Step]] =current_step, current_a,IF(Iterations[[#This Row],[Step]] &gt; current_step, "",Iterations[[#This Row],[a]]))</f>
        <v/>
      </c>
      <c r="H216" s="2" t="str">
        <f>IF(Iterations[[#This Row],[Step]] =current_step, current_b,IF(Iterations[[#This Row],[Step]] &gt; current_step, "",Iterations[[#This Row],[b]]))</f>
        <v/>
      </c>
      <c r="I216" s="2" t="str">
        <f>IF(Iterations[[#This Row],[Step]] =current_step, current_c,IF(Iterations[[#This Row],[Step]] &gt; current_step, "",Iterations[[#This Row],[c]]))</f>
        <v/>
      </c>
      <c r="J216" s="2" t="str">
        <f>IF(Iterations[[#This Row],[Step]] =current_step, current_d,IF(Iterations[[#This Row],[Step]] &gt; current_step, "",Iterations[[#This Row],[d]]))</f>
        <v/>
      </c>
      <c r="K216" s="2" t="str">
        <f>IF(Iterations[[#This Row],[Step]] =current_step, current_e,IF(Iterations[[#This Row],[Step]] &gt; current_step, "",Iterations[[#This Row],[e]]))</f>
        <v/>
      </c>
      <c r="L216" s="2" t="str">
        <f>IF(Iterations[[#This Row],[Step]] =current_step, current_Total_Loss,IF(Iterations[[#This Row],[Step]] &gt; current_step, "",Iterations[[#This Row],[Total Loss]]))</f>
        <v/>
      </c>
      <c r="M216" s="6" t="s">
        <v>27</v>
      </c>
      <c r="N216" s="2" t="str">
        <f>IF(Iterations[[#This Row],[Step]] =current_step, current_Grad_a,IF(Iterations[[#This Row],[Step]] &gt; current_step, "",Iterations[[#This Row],[Grad_a]]))</f>
        <v/>
      </c>
      <c r="O216" s="2" t="str">
        <f>IF(Iterations[[#This Row],[Step]] =current_step, current_Grad_b,IF(Iterations[[#This Row],[Step]] &gt; current_step, "",Iterations[[#This Row],[Grad_b]]))</f>
        <v/>
      </c>
      <c r="P216" s="2" t="str">
        <f>IF(Iterations[[#This Row],[Step]] =current_step, current_Grad_c,IF(Iterations[[#This Row],[Step]] &gt; current_step, "",Iterations[[#This Row],[Grad_c]]))</f>
        <v/>
      </c>
      <c r="Q216" s="2" t="str">
        <f>IF(Iterations[[#This Row],[Step]] =current_step, current_Grad_d,IF(Iterations[[#This Row],[Step]] &gt; current_step, "",Iterations[[#This Row],[Grad_d]]))</f>
        <v/>
      </c>
      <c r="R216" s="2" t="str">
        <f>IF(Iterations[[#This Row],[Step]] =current_step, current_Grad_e,IF(Iterations[[#This Row],[Step]] &gt; current_step, "",Iterations[[#This Row],[Grad_e]]))</f>
        <v/>
      </c>
    </row>
    <row r="217" spans="6:18" x14ac:dyDescent="0.3">
      <c r="F217" s="2">
        <f t="shared" si="5"/>
        <v>200</v>
      </c>
      <c r="G217" s="2" t="str">
        <f>IF(Iterations[[#This Row],[Step]] =current_step, current_a,IF(Iterations[[#This Row],[Step]] &gt; current_step, "",Iterations[[#This Row],[a]]))</f>
        <v/>
      </c>
      <c r="H217" s="2" t="str">
        <f>IF(Iterations[[#This Row],[Step]] =current_step, current_b,IF(Iterations[[#This Row],[Step]] &gt; current_step, "",Iterations[[#This Row],[b]]))</f>
        <v/>
      </c>
      <c r="I217" s="2" t="str">
        <f>IF(Iterations[[#This Row],[Step]] =current_step, current_c,IF(Iterations[[#This Row],[Step]] &gt; current_step, "",Iterations[[#This Row],[c]]))</f>
        <v/>
      </c>
      <c r="J217" s="2" t="str">
        <f>IF(Iterations[[#This Row],[Step]] =current_step, current_d,IF(Iterations[[#This Row],[Step]] &gt; current_step, "",Iterations[[#This Row],[d]]))</f>
        <v/>
      </c>
      <c r="K217" s="2" t="str">
        <f>IF(Iterations[[#This Row],[Step]] =current_step, current_e,IF(Iterations[[#This Row],[Step]] &gt; current_step, "",Iterations[[#This Row],[e]]))</f>
        <v/>
      </c>
      <c r="L217" s="2" t="str">
        <f>IF(Iterations[[#This Row],[Step]] =current_step, current_Total_Loss,IF(Iterations[[#This Row],[Step]] &gt; current_step, "",Iterations[[#This Row],[Total Loss]]))</f>
        <v/>
      </c>
      <c r="M217" s="6" t="s">
        <v>27</v>
      </c>
      <c r="N217" s="2" t="str">
        <f>IF(Iterations[[#This Row],[Step]] =current_step, current_Grad_a,IF(Iterations[[#This Row],[Step]] &gt; current_step, "",Iterations[[#This Row],[Grad_a]]))</f>
        <v/>
      </c>
      <c r="O217" s="2" t="str">
        <f>IF(Iterations[[#This Row],[Step]] =current_step, current_Grad_b,IF(Iterations[[#This Row],[Step]] &gt; current_step, "",Iterations[[#This Row],[Grad_b]]))</f>
        <v/>
      </c>
      <c r="P217" s="2" t="str">
        <f>IF(Iterations[[#This Row],[Step]] =current_step, current_Grad_c,IF(Iterations[[#This Row],[Step]] &gt; current_step, "",Iterations[[#This Row],[Grad_c]]))</f>
        <v/>
      </c>
      <c r="Q217" s="2" t="str">
        <f>IF(Iterations[[#This Row],[Step]] =current_step, current_Grad_d,IF(Iterations[[#This Row],[Step]] &gt; current_step, "",Iterations[[#This Row],[Grad_d]]))</f>
        <v/>
      </c>
      <c r="R217" s="2" t="str">
        <f>IF(Iterations[[#This Row],[Step]] =current_step, current_Grad_e,IF(Iterations[[#This Row],[Step]] &gt; current_step, "",Iterations[[#This Row],[Grad_e]]))</f>
        <v/>
      </c>
    </row>
    <row r="218" spans="6:18" x14ac:dyDescent="0.3">
      <c r="F218" s="2">
        <f t="shared" si="5"/>
        <v>201</v>
      </c>
      <c r="G218" s="2" t="str">
        <f>IF(Iterations[[#This Row],[Step]] =current_step, current_a,IF(Iterations[[#This Row],[Step]] &gt; current_step, "",Iterations[[#This Row],[a]]))</f>
        <v/>
      </c>
      <c r="H218" s="2" t="str">
        <f>IF(Iterations[[#This Row],[Step]] =current_step, current_b,IF(Iterations[[#This Row],[Step]] &gt; current_step, "",Iterations[[#This Row],[b]]))</f>
        <v/>
      </c>
      <c r="I218" s="2" t="str">
        <f>IF(Iterations[[#This Row],[Step]] =current_step, current_c,IF(Iterations[[#This Row],[Step]] &gt; current_step, "",Iterations[[#This Row],[c]]))</f>
        <v/>
      </c>
      <c r="J218" s="2" t="str">
        <f>IF(Iterations[[#This Row],[Step]] =current_step, current_d,IF(Iterations[[#This Row],[Step]] &gt; current_step, "",Iterations[[#This Row],[d]]))</f>
        <v/>
      </c>
      <c r="K218" s="2" t="str">
        <f>IF(Iterations[[#This Row],[Step]] =current_step, current_e,IF(Iterations[[#This Row],[Step]] &gt; current_step, "",Iterations[[#This Row],[e]]))</f>
        <v/>
      </c>
      <c r="L218" s="2" t="str">
        <f>IF(Iterations[[#This Row],[Step]] =current_step, current_Total_Loss,IF(Iterations[[#This Row],[Step]] &gt; current_step, "",Iterations[[#This Row],[Total Loss]]))</f>
        <v/>
      </c>
      <c r="M218" s="6" t="s">
        <v>27</v>
      </c>
      <c r="N218" s="2" t="str">
        <f>IF(Iterations[[#This Row],[Step]] =current_step, current_Grad_a,IF(Iterations[[#This Row],[Step]] &gt; current_step, "",Iterations[[#This Row],[Grad_a]]))</f>
        <v/>
      </c>
      <c r="O218" s="2" t="str">
        <f>IF(Iterations[[#This Row],[Step]] =current_step, current_Grad_b,IF(Iterations[[#This Row],[Step]] &gt; current_step, "",Iterations[[#This Row],[Grad_b]]))</f>
        <v/>
      </c>
      <c r="P218" s="2" t="str">
        <f>IF(Iterations[[#This Row],[Step]] =current_step, current_Grad_c,IF(Iterations[[#This Row],[Step]] &gt; current_step, "",Iterations[[#This Row],[Grad_c]]))</f>
        <v/>
      </c>
      <c r="Q218" s="2" t="str">
        <f>IF(Iterations[[#This Row],[Step]] =current_step, current_Grad_d,IF(Iterations[[#This Row],[Step]] &gt; current_step, "",Iterations[[#This Row],[Grad_d]]))</f>
        <v/>
      </c>
      <c r="R218" s="2" t="str">
        <f>IF(Iterations[[#This Row],[Step]] =current_step, current_Grad_e,IF(Iterations[[#This Row],[Step]] &gt; current_step, "",Iterations[[#This Row],[Grad_e]]))</f>
        <v/>
      </c>
    </row>
    <row r="219" spans="6:18" x14ac:dyDescent="0.3">
      <c r="F219" s="2">
        <f t="shared" si="5"/>
        <v>202</v>
      </c>
      <c r="G219" s="2" t="str">
        <f>IF(Iterations[[#This Row],[Step]] =current_step, current_a,IF(Iterations[[#This Row],[Step]] &gt; current_step, "",Iterations[[#This Row],[a]]))</f>
        <v/>
      </c>
      <c r="H219" s="2" t="str">
        <f>IF(Iterations[[#This Row],[Step]] =current_step, current_b,IF(Iterations[[#This Row],[Step]] &gt; current_step, "",Iterations[[#This Row],[b]]))</f>
        <v/>
      </c>
      <c r="I219" s="2" t="str">
        <f>IF(Iterations[[#This Row],[Step]] =current_step, current_c,IF(Iterations[[#This Row],[Step]] &gt; current_step, "",Iterations[[#This Row],[c]]))</f>
        <v/>
      </c>
      <c r="J219" s="2" t="str">
        <f>IF(Iterations[[#This Row],[Step]] =current_step, current_d,IF(Iterations[[#This Row],[Step]] &gt; current_step, "",Iterations[[#This Row],[d]]))</f>
        <v/>
      </c>
      <c r="K219" s="2" t="str">
        <f>IF(Iterations[[#This Row],[Step]] =current_step, current_e,IF(Iterations[[#This Row],[Step]] &gt; current_step, "",Iterations[[#This Row],[e]]))</f>
        <v/>
      </c>
      <c r="L219" s="2" t="str">
        <f>IF(Iterations[[#This Row],[Step]] =current_step, current_Total_Loss,IF(Iterations[[#This Row],[Step]] &gt; current_step, "",Iterations[[#This Row],[Total Loss]]))</f>
        <v/>
      </c>
      <c r="M219" s="6" t="s">
        <v>27</v>
      </c>
      <c r="N219" s="2" t="str">
        <f>IF(Iterations[[#This Row],[Step]] =current_step, current_Grad_a,IF(Iterations[[#This Row],[Step]] &gt; current_step, "",Iterations[[#This Row],[Grad_a]]))</f>
        <v/>
      </c>
      <c r="O219" s="2" t="str">
        <f>IF(Iterations[[#This Row],[Step]] =current_step, current_Grad_b,IF(Iterations[[#This Row],[Step]] &gt; current_step, "",Iterations[[#This Row],[Grad_b]]))</f>
        <v/>
      </c>
      <c r="P219" s="2" t="str">
        <f>IF(Iterations[[#This Row],[Step]] =current_step, current_Grad_c,IF(Iterations[[#This Row],[Step]] &gt; current_step, "",Iterations[[#This Row],[Grad_c]]))</f>
        <v/>
      </c>
      <c r="Q219" s="2" t="str">
        <f>IF(Iterations[[#This Row],[Step]] =current_step, current_Grad_d,IF(Iterations[[#This Row],[Step]] &gt; current_step, "",Iterations[[#This Row],[Grad_d]]))</f>
        <v/>
      </c>
      <c r="R219" s="2" t="str">
        <f>IF(Iterations[[#This Row],[Step]] =current_step, current_Grad_e,IF(Iterations[[#This Row],[Step]] &gt; current_step, "",Iterations[[#This Row],[Grad_e]]))</f>
        <v/>
      </c>
    </row>
    <row r="220" spans="6:18" x14ac:dyDescent="0.3">
      <c r="F220" s="2">
        <f t="shared" si="5"/>
        <v>203</v>
      </c>
      <c r="G220" s="2" t="str">
        <f>IF(Iterations[[#This Row],[Step]] =current_step, current_a,IF(Iterations[[#This Row],[Step]] &gt; current_step, "",Iterations[[#This Row],[a]]))</f>
        <v/>
      </c>
      <c r="H220" s="2" t="str">
        <f>IF(Iterations[[#This Row],[Step]] =current_step, current_b,IF(Iterations[[#This Row],[Step]] &gt; current_step, "",Iterations[[#This Row],[b]]))</f>
        <v/>
      </c>
      <c r="I220" s="2" t="str">
        <f>IF(Iterations[[#This Row],[Step]] =current_step, current_c,IF(Iterations[[#This Row],[Step]] &gt; current_step, "",Iterations[[#This Row],[c]]))</f>
        <v/>
      </c>
      <c r="J220" s="2" t="str">
        <f>IF(Iterations[[#This Row],[Step]] =current_step, current_d,IF(Iterations[[#This Row],[Step]] &gt; current_step, "",Iterations[[#This Row],[d]]))</f>
        <v/>
      </c>
      <c r="K220" s="2" t="str">
        <f>IF(Iterations[[#This Row],[Step]] =current_step, current_e,IF(Iterations[[#This Row],[Step]] &gt; current_step, "",Iterations[[#This Row],[e]]))</f>
        <v/>
      </c>
      <c r="L220" s="2" t="str">
        <f>IF(Iterations[[#This Row],[Step]] =current_step, current_Total_Loss,IF(Iterations[[#This Row],[Step]] &gt; current_step, "",Iterations[[#This Row],[Total Loss]]))</f>
        <v/>
      </c>
      <c r="M220" s="6" t="s">
        <v>27</v>
      </c>
      <c r="N220" s="2" t="str">
        <f>IF(Iterations[[#This Row],[Step]] =current_step, current_Grad_a,IF(Iterations[[#This Row],[Step]] &gt; current_step, "",Iterations[[#This Row],[Grad_a]]))</f>
        <v/>
      </c>
      <c r="O220" s="2" t="str">
        <f>IF(Iterations[[#This Row],[Step]] =current_step, current_Grad_b,IF(Iterations[[#This Row],[Step]] &gt; current_step, "",Iterations[[#This Row],[Grad_b]]))</f>
        <v/>
      </c>
      <c r="P220" s="2" t="str">
        <f>IF(Iterations[[#This Row],[Step]] =current_step, current_Grad_c,IF(Iterations[[#This Row],[Step]] &gt; current_step, "",Iterations[[#This Row],[Grad_c]]))</f>
        <v/>
      </c>
      <c r="Q220" s="2" t="str">
        <f>IF(Iterations[[#This Row],[Step]] =current_step, current_Grad_d,IF(Iterations[[#This Row],[Step]] &gt; current_step, "",Iterations[[#This Row],[Grad_d]]))</f>
        <v/>
      </c>
      <c r="R220" s="2" t="str">
        <f>IF(Iterations[[#This Row],[Step]] =current_step, current_Grad_e,IF(Iterations[[#This Row],[Step]] &gt; current_step, "",Iterations[[#This Row],[Grad_e]]))</f>
        <v/>
      </c>
    </row>
    <row r="221" spans="6:18" x14ac:dyDescent="0.3">
      <c r="F221" s="2">
        <f t="shared" si="5"/>
        <v>204</v>
      </c>
      <c r="G221" s="2" t="str">
        <f>IF(Iterations[[#This Row],[Step]] =current_step, current_a,IF(Iterations[[#This Row],[Step]] &gt; current_step, "",Iterations[[#This Row],[a]]))</f>
        <v/>
      </c>
      <c r="H221" s="2" t="str">
        <f>IF(Iterations[[#This Row],[Step]] =current_step, current_b,IF(Iterations[[#This Row],[Step]] &gt; current_step, "",Iterations[[#This Row],[b]]))</f>
        <v/>
      </c>
      <c r="I221" s="2" t="str">
        <f>IF(Iterations[[#This Row],[Step]] =current_step, current_c,IF(Iterations[[#This Row],[Step]] &gt; current_step, "",Iterations[[#This Row],[c]]))</f>
        <v/>
      </c>
      <c r="J221" s="2" t="str">
        <f>IF(Iterations[[#This Row],[Step]] =current_step, current_d,IF(Iterations[[#This Row],[Step]] &gt; current_step, "",Iterations[[#This Row],[d]]))</f>
        <v/>
      </c>
      <c r="K221" s="2" t="str">
        <f>IF(Iterations[[#This Row],[Step]] =current_step, current_e,IF(Iterations[[#This Row],[Step]] &gt; current_step, "",Iterations[[#This Row],[e]]))</f>
        <v/>
      </c>
      <c r="L221" s="2" t="str">
        <f>IF(Iterations[[#This Row],[Step]] =current_step, current_Total_Loss,IF(Iterations[[#This Row],[Step]] &gt; current_step, "",Iterations[[#This Row],[Total Loss]]))</f>
        <v/>
      </c>
      <c r="M221" s="6" t="s">
        <v>27</v>
      </c>
      <c r="N221" s="2" t="str">
        <f>IF(Iterations[[#This Row],[Step]] =current_step, current_Grad_a,IF(Iterations[[#This Row],[Step]] &gt; current_step, "",Iterations[[#This Row],[Grad_a]]))</f>
        <v/>
      </c>
      <c r="O221" s="2" t="str">
        <f>IF(Iterations[[#This Row],[Step]] =current_step, current_Grad_b,IF(Iterations[[#This Row],[Step]] &gt; current_step, "",Iterations[[#This Row],[Grad_b]]))</f>
        <v/>
      </c>
      <c r="P221" s="2" t="str">
        <f>IF(Iterations[[#This Row],[Step]] =current_step, current_Grad_c,IF(Iterations[[#This Row],[Step]] &gt; current_step, "",Iterations[[#This Row],[Grad_c]]))</f>
        <v/>
      </c>
      <c r="Q221" s="2" t="str">
        <f>IF(Iterations[[#This Row],[Step]] =current_step, current_Grad_d,IF(Iterations[[#This Row],[Step]] &gt; current_step, "",Iterations[[#This Row],[Grad_d]]))</f>
        <v/>
      </c>
      <c r="R221" s="2" t="str">
        <f>IF(Iterations[[#This Row],[Step]] =current_step, current_Grad_e,IF(Iterations[[#This Row],[Step]] &gt; current_step, "",Iterations[[#This Row],[Grad_e]]))</f>
        <v/>
      </c>
    </row>
    <row r="222" spans="6:18" x14ac:dyDescent="0.3">
      <c r="F222" s="2">
        <f t="shared" si="5"/>
        <v>205</v>
      </c>
      <c r="G222" s="2" t="str">
        <f>IF(Iterations[[#This Row],[Step]] =current_step, current_a,IF(Iterations[[#This Row],[Step]] &gt; current_step, "",Iterations[[#This Row],[a]]))</f>
        <v/>
      </c>
      <c r="H222" s="2" t="str">
        <f>IF(Iterations[[#This Row],[Step]] =current_step, current_b,IF(Iterations[[#This Row],[Step]] &gt; current_step, "",Iterations[[#This Row],[b]]))</f>
        <v/>
      </c>
      <c r="I222" s="2" t="str">
        <f>IF(Iterations[[#This Row],[Step]] =current_step, current_c,IF(Iterations[[#This Row],[Step]] &gt; current_step, "",Iterations[[#This Row],[c]]))</f>
        <v/>
      </c>
      <c r="J222" s="2" t="str">
        <f>IF(Iterations[[#This Row],[Step]] =current_step, current_d,IF(Iterations[[#This Row],[Step]] &gt; current_step, "",Iterations[[#This Row],[d]]))</f>
        <v/>
      </c>
      <c r="K222" s="2" t="str">
        <f>IF(Iterations[[#This Row],[Step]] =current_step, current_e,IF(Iterations[[#This Row],[Step]] &gt; current_step, "",Iterations[[#This Row],[e]]))</f>
        <v/>
      </c>
      <c r="L222" s="2" t="str">
        <f>IF(Iterations[[#This Row],[Step]] =current_step, current_Total_Loss,IF(Iterations[[#This Row],[Step]] &gt; current_step, "",Iterations[[#This Row],[Total Loss]]))</f>
        <v/>
      </c>
      <c r="M222" s="6" t="s">
        <v>27</v>
      </c>
      <c r="N222" s="2" t="str">
        <f>IF(Iterations[[#This Row],[Step]] =current_step, current_Grad_a,IF(Iterations[[#This Row],[Step]] &gt; current_step, "",Iterations[[#This Row],[Grad_a]]))</f>
        <v/>
      </c>
      <c r="O222" s="2" t="str">
        <f>IF(Iterations[[#This Row],[Step]] =current_step, current_Grad_b,IF(Iterations[[#This Row],[Step]] &gt; current_step, "",Iterations[[#This Row],[Grad_b]]))</f>
        <v/>
      </c>
      <c r="P222" s="2" t="str">
        <f>IF(Iterations[[#This Row],[Step]] =current_step, current_Grad_c,IF(Iterations[[#This Row],[Step]] &gt; current_step, "",Iterations[[#This Row],[Grad_c]]))</f>
        <v/>
      </c>
      <c r="Q222" s="2" t="str">
        <f>IF(Iterations[[#This Row],[Step]] =current_step, current_Grad_d,IF(Iterations[[#This Row],[Step]] &gt; current_step, "",Iterations[[#This Row],[Grad_d]]))</f>
        <v/>
      </c>
      <c r="R222" s="2" t="str">
        <f>IF(Iterations[[#This Row],[Step]] =current_step, current_Grad_e,IF(Iterations[[#This Row],[Step]] &gt; current_step, "",Iterations[[#This Row],[Grad_e]]))</f>
        <v/>
      </c>
    </row>
    <row r="223" spans="6:18" x14ac:dyDescent="0.3">
      <c r="F223" s="2">
        <f t="shared" si="5"/>
        <v>206</v>
      </c>
      <c r="G223" s="2" t="str">
        <f>IF(Iterations[[#This Row],[Step]] =current_step, current_a,IF(Iterations[[#This Row],[Step]] &gt; current_step, "",Iterations[[#This Row],[a]]))</f>
        <v/>
      </c>
      <c r="H223" s="2" t="str">
        <f>IF(Iterations[[#This Row],[Step]] =current_step, current_b,IF(Iterations[[#This Row],[Step]] &gt; current_step, "",Iterations[[#This Row],[b]]))</f>
        <v/>
      </c>
      <c r="I223" s="2" t="str">
        <f>IF(Iterations[[#This Row],[Step]] =current_step, current_c,IF(Iterations[[#This Row],[Step]] &gt; current_step, "",Iterations[[#This Row],[c]]))</f>
        <v/>
      </c>
      <c r="J223" s="2" t="str">
        <f>IF(Iterations[[#This Row],[Step]] =current_step, current_d,IF(Iterations[[#This Row],[Step]] &gt; current_step, "",Iterations[[#This Row],[d]]))</f>
        <v/>
      </c>
      <c r="K223" s="2" t="str">
        <f>IF(Iterations[[#This Row],[Step]] =current_step, current_e,IF(Iterations[[#This Row],[Step]] &gt; current_step, "",Iterations[[#This Row],[e]]))</f>
        <v/>
      </c>
      <c r="L223" s="2" t="str">
        <f>IF(Iterations[[#This Row],[Step]] =current_step, current_Total_Loss,IF(Iterations[[#This Row],[Step]] &gt; current_step, "",Iterations[[#This Row],[Total Loss]]))</f>
        <v/>
      </c>
      <c r="M223" s="6" t="s">
        <v>27</v>
      </c>
      <c r="N223" s="2" t="str">
        <f>IF(Iterations[[#This Row],[Step]] =current_step, current_Grad_a,IF(Iterations[[#This Row],[Step]] &gt; current_step, "",Iterations[[#This Row],[Grad_a]]))</f>
        <v/>
      </c>
      <c r="O223" s="2" t="str">
        <f>IF(Iterations[[#This Row],[Step]] =current_step, current_Grad_b,IF(Iterations[[#This Row],[Step]] &gt; current_step, "",Iterations[[#This Row],[Grad_b]]))</f>
        <v/>
      </c>
      <c r="P223" s="2" t="str">
        <f>IF(Iterations[[#This Row],[Step]] =current_step, current_Grad_c,IF(Iterations[[#This Row],[Step]] &gt; current_step, "",Iterations[[#This Row],[Grad_c]]))</f>
        <v/>
      </c>
      <c r="Q223" s="2" t="str">
        <f>IF(Iterations[[#This Row],[Step]] =current_step, current_Grad_d,IF(Iterations[[#This Row],[Step]] &gt; current_step, "",Iterations[[#This Row],[Grad_d]]))</f>
        <v/>
      </c>
      <c r="R223" s="2" t="str">
        <f>IF(Iterations[[#This Row],[Step]] =current_step, current_Grad_e,IF(Iterations[[#This Row],[Step]] &gt; current_step, "",Iterations[[#This Row],[Grad_e]]))</f>
        <v/>
      </c>
    </row>
    <row r="224" spans="6:18" x14ac:dyDescent="0.3">
      <c r="F224" s="2">
        <f t="shared" si="5"/>
        <v>207</v>
      </c>
      <c r="G224" s="2" t="str">
        <f>IF(Iterations[[#This Row],[Step]] =current_step, current_a,IF(Iterations[[#This Row],[Step]] &gt; current_step, "",Iterations[[#This Row],[a]]))</f>
        <v/>
      </c>
      <c r="H224" s="2" t="str">
        <f>IF(Iterations[[#This Row],[Step]] =current_step, current_b,IF(Iterations[[#This Row],[Step]] &gt; current_step, "",Iterations[[#This Row],[b]]))</f>
        <v/>
      </c>
      <c r="I224" s="2" t="str">
        <f>IF(Iterations[[#This Row],[Step]] =current_step, current_c,IF(Iterations[[#This Row],[Step]] &gt; current_step, "",Iterations[[#This Row],[c]]))</f>
        <v/>
      </c>
      <c r="J224" s="2" t="str">
        <f>IF(Iterations[[#This Row],[Step]] =current_step, current_d,IF(Iterations[[#This Row],[Step]] &gt; current_step, "",Iterations[[#This Row],[d]]))</f>
        <v/>
      </c>
      <c r="K224" s="2" t="str">
        <f>IF(Iterations[[#This Row],[Step]] =current_step, current_e,IF(Iterations[[#This Row],[Step]] &gt; current_step, "",Iterations[[#This Row],[e]]))</f>
        <v/>
      </c>
      <c r="L224" s="2" t="str">
        <f>IF(Iterations[[#This Row],[Step]] =current_step, current_Total_Loss,IF(Iterations[[#This Row],[Step]] &gt; current_step, "",Iterations[[#This Row],[Total Loss]]))</f>
        <v/>
      </c>
      <c r="M224" s="6" t="s">
        <v>27</v>
      </c>
      <c r="N224" s="2" t="str">
        <f>IF(Iterations[[#This Row],[Step]] =current_step, current_Grad_a,IF(Iterations[[#This Row],[Step]] &gt; current_step, "",Iterations[[#This Row],[Grad_a]]))</f>
        <v/>
      </c>
      <c r="O224" s="2" t="str">
        <f>IF(Iterations[[#This Row],[Step]] =current_step, current_Grad_b,IF(Iterations[[#This Row],[Step]] &gt; current_step, "",Iterations[[#This Row],[Grad_b]]))</f>
        <v/>
      </c>
      <c r="P224" s="2" t="str">
        <f>IF(Iterations[[#This Row],[Step]] =current_step, current_Grad_c,IF(Iterations[[#This Row],[Step]] &gt; current_step, "",Iterations[[#This Row],[Grad_c]]))</f>
        <v/>
      </c>
      <c r="Q224" s="2" t="str">
        <f>IF(Iterations[[#This Row],[Step]] =current_step, current_Grad_d,IF(Iterations[[#This Row],[Step]] &gt; current_step, "",Iterations[[#This Row],[Grad_d]]))</f>
        <v/>
      </c>
      <c r="R224" s="2" t="str">
        <f>IF(Iterations[[#This Row],[Step]] =current_step, current_Grad_e,IF(Iterations[[#This Row],[Step]] &gt; current_step, "",Iterations[[#This Row],[Grad_e]]))</f>
        <v/>
      </c>
    </row>
    <row r="225" spans="6:18" x14ac:dyDescent="0.3">
      <c r="F225" s="2">
        <f t="shared" si="5"/>
        <v>208</v>
      </c>
      <c r="G225" s="2" t="str">
        <f>IF(Iterations[[#This Row],[Step]] =current_step, current_a,IF(Iterations[[#This Row],[Step]] &gt; current_step, "",Iterations[[#This Row],[a]]))</f>
        <v/>
      </c>
      <c r="H225" s="2" t="str">
        <f>IF(Iterations[[#This Row],[Step]] =current_step, current_b,IF(Iterations[[#This Row],[Step]] &gt; current_step, "",Iterations[[#This Row],[b]]))</f>
        <v/>
      </c>
      <c r="I225" s="2" t="str">
        <f>IF(Iterations[[#This Row],[Step]] =current_step, current_c,IF(Iterations[[#This Row],[Step]] &gt; current_step, "",Iterations[[#This Row],[c]]))</f>
        <v/>
      </c>
      <c r="J225" s="2" t="str">
        <f>IF(Iterations[[#This Row],[Step]] =current_step, current_d,IF(Iterations[[#This Row],[Step]] &gt; current_step, "",Iterations[[#This Row],[d]]))</f>
        <v/>
      </c>
      <c r="K225" s="2" t="str">
        <f>IF(Iterations[[#This Row],[Step]] =current_step, current_e,IF(Iterations[[#This Row],[Step]] &gt; current_step, "",Iterations[[#This Row],[e]]))</f>
        <v/>
      </c>
      <c r="L225" s="2" t="str">
        <f>IF(Iterations[[#This Row],[Step]] =current_step, current_Total_Loss,IF(Iterations[[#This Row],[Step]] &gt; current_step, "",Iterations[[#This Row],[Total Loss]]))</f>
        <v/>
      </c>
      <c r="M225" s="6" t="s">
        <v>27</v>
      </c>
      <c r="N225" s="2" t="str">
        <f>IF(Iterations[[#This Row],[Step]] =current_step, current_Grad_a,IF(Iterations[[#This Row],[Step]] &gt; current_step, "",Iterations[[#This Row],[Grad_a]]))</f>
        <v/>
      </c>
      <c r="O225" s="2" t="str">
        <f>IF(Iterations[[#This Row],[Step]] =current_step, current_Grad_b,IF(Iterations[[#This Row],[Step]] &gt; current_step, "",Iterations[[#This Row],[Grad_b]]))</f>
        <v/>
      </c>
      <c r="P225" s="2" t="str">
        <f>IF(Iterations[[#This Row],[Step]] =current_step, current_Grad_c,IF(Iterations[[#This Row],[Step]] &gt; current_step, "",Iterations[[#This Row],[Grad_c]]))</f>
        <v/>
      </c>
      <c r="Q225" s="2" t="str">
        <f>IF(Iterations[[#This Row],[Step]] =current_step, current_Grad_d,IF(Iterations[[#This Row],[Step]] &gt; current_step, "",Iterations[[#This Row],[Grad_d]]))</f>
        <v/>
      </c>
      <c r="R225" s="2" t="str">
        <f>IF(Iterations[[#This Row],[Step]] =current_step, current_Grad_e,IF(Iterations[[#This Row],[Step]] &gt; current_step, "",Iterations[[#This Row],[Grad_e]]))</f>
        <v/>
      </c>
    </row>
    <row r="226" spans="6:18" x14ac:dyDescent="0.3">
      <c r="F226" s="2">
        <f t="shared" si="5"/>
        <v>209</v>
      </c>
      <c r="G226" s="2" t="str">
        <f>IF(Iterations[[#This Row],[Step]] =current_step, current_a,IF(Iterations[[#This Row],[Step]] &gt; current_step, "",Iterations[[#This Row],[a]]))</f>
        <v/>
      </c>
      <c r="H226" s="2" t="str">
        <f>IF(Iterations[[#This Row],[Step]] =current_step, current_b,IF(Iterations[[#This Row],[Step]] &gt; current_step, "",Iterations[[#This Row],[b]]))</f>
        <v/>
      </c>
      <c r="I226" s="2" t="str">
        <f>IF(Iterations[[#This Row],[Step]] =current_step, current_c,IF(Iterations[[#This Row],[Step]] &gt; current_step, "",Iterations[[#This Row],[c]]))</f>
        <v/>
      </c>
      <c r="J226" s="2" t="str">
        <f>IF(Iterations[[#This Row],[Step]] =current_step, current_d,IF(Iterations[[#This Row],[Step]] &gt; current_step, "",Iterations[[#This Row],[d]]))</f>
        <v/>
      </c>
      <c r="K226" s="2" t="str">
        <f>IF(Iterations[[#This Row],[Step]] =current_step, current_e,IF(Iterations[[#This Row],[Step]] &gt; current_step, "",Iterations[[#This Row],[e]]))</f>
        <v/>
      </c>
      <c r="L226" s="2" t="str">
        <f>IF(Iterations[[#This Row],[Step]] =current_step, current_Total_Loss,IF(Iterations[[#This Row],[Step]] &gt; current_step, "",Iterations[[#This Row],[Total Loss]]))</f>
        <v/>
      </c>
      <c r="M226" s="6" t="s">
        <v>27</v>
      </c>
      <c r="N226" s="2" t="str">
        <f>IF(Iterations[[#This Row],[Step]] =current_step, current_Grad_a,IF(Iterations[[#This Row],[Step]] &gt; current_step, "",Iterations[[#This Row],[Grad_a]]))</f>
        <v/>
      </c>
      <c r="O226" s="2" t="str">
        <f>IF(Iterations[[#This Row],[Step]] =current_step, current_Grad_b,IF(Iterations[[#This Row],[Step]] &gt; current_step, "",Iterations[[#This Row],[Grad_b]]))</f>
        <v/>
      </c>
      <c r="P226" s="2" t="str">
        <f>IF(Iterations[[#This Row],[Step]] =current_step, current_Grad_c,IF(Iterations[[#This Row],[Step]] &gt; current_step, "",Iterations[[#This Row],[Grad_c]]))</f>
        <v/>
      </c>
      <c r="Q226" s="2" t="str">
        <f>IF(Iterations[[#This Row],[Step]] =current_step, current_Grad_d,IF(Iterations[[#This Row],[Step]] &gt; current_step, "",Iterations[[#This Row],[Grad_d]]))</f>
        <v/>
      </c>
      <c r="R226" s="2" t="str">
        <f>IF(Iterations[[#This Row],[Step]] =current_step, current_Grad_e,IF(Iterations[[#This Row],[Step]] &gt; current_step, "",Iterations[[#This Row],[Grad_e]]))</f>
        <v/>
      </c>
    </row>
    <row r="227" spans="6:18" x14ac:dyDescent="0.3">
      <c r="F227" s="2">
        <f t="shared" si="5"/>
        <v>210</v>
      </c>
      <c r="G227" s="2" t="str">
        <f>IF(Iterations[[#This Row],[Step]] =current_step, current_a,IF(Iterations[[#This Row],[Step]] &gt; current_step, "",Iterations[[#This Row],[a]]))</f>
        <v/>
      </c>
      <c r="H227" s="2" t="str">
        <f>IF(Iterations[[#This Row],[Step]] =current_step, current_b,IF(Iterations[[#This Row],[Step]] &gt; current_step, "",Iterations[[#This Row],[b]]))</f>
        <v/>
      </c>
      <c r="I227" s="2" t="str">
        <f>IF(Iterations[[#This Row],[Step]] =current_step, current_c,IF(Iterations[[#This Row],[Step]] &gt; current_step, "",Iterations[[#This Row],[c]]))</f>
        <v/>
      </c>
      <c r="J227" s="2" t="str">
        <f>IF(Iterations[[#This Row],[Step]] =current_step, current_d,IF(Iterations[[#This Row],[Step]] &gt; current_step, "",Iterations[[#This Row],[d]]))</f>
        <v/>
      </c>
      <c r="K227" s="2" t="str">
        <f>IF(Iterations[[#This Row],[Step]] =current_step, current_e,IF(Iterations[[#This Row],[Step]] &gt; current_step, "",Iterations[[#This Row],[e]]))</f>
        <v/>
      </c>
      <c r="L227" s="2" t="str">
        <f>IF(Iterations[[#This Row],[Step]] =current_step, current_Total_Loss,IF(Iterations[[#This Row],[Step]] &gt; current_step, "",Iterations[[#This Row],[Total Loss]]))</f>
        <v/>
      </c>
      <c r="M227" s="6" t="s">
        <v>27</v>
      </c>
      <c r="N227" s="2" t="str">
        <f>IF(Iterations[[#This Row],[Step]] =current_step, current_Grad_a,IF(Iterations[[#This Row],[Step]] &gt; current_step, "",Iterations[[#This Row],[Grad_a]]))</f>
        <v/>
      </c>
      <c r="O227" s="2" t="str">
        <f>IF(Iterations[[#This Row],[Step]] =current_step, current_Grad_b,IF(Iterations[[#This Row],[Step]] &gt; current_step, "",Iterations[[#This Row],[Grad_b]]))</f>
        <v/>
      </c>
      <c r="P227" s="2" t="str">
        <f>IF(Iterations[[#This Row],[Step]] =current_step, current_Grad_c,IF(Iterations[[#This Row],[Step]] &gt; current_step, "",Iterations[[#This Row],[Grad_c]]))</f>
        <v/>
      </c>
      <c r="Q227" s="2" t="str">
        <f>IF(Iterations[[#This Row],[Step]] =current_step, current_Grad_d,IF(Iterations[[#This Row],[Step]] &gt; current_step, "",Iterations[[#This Row],[Grad_d]]))</f>
        <v/>
      </c>
      <c r="R227" s="2" t="str">
        <f>IF(Iterations[[#This Row],[Step]] =current_step, current_Grad_e,IF(Iterations[[#This Row],[Step]] &gt; current_step, "",Iterations[[#This Row],[Grad_e]]))</f>
        <v/>
      </c>
    </row>
    <row r="228" spans="6:18" x14ac:dyDescent="0.3">
      <c r="F228" s="2">
        <f t="shared" si="5"/>
        <v>211</v>
      </c>
      <c r="G228" s="2" t="str">
        <f>IF(Iterations[[#This Row],[Step]] =current_step, current_a,IF(Iterations[[#This Row],[Step]] &gt; current_step, "",Iterations[[#This Row],[a]]))</f>
        <v/>
      </c>
      <c r="H228" s="2" t="str">
        <f>IF(Iterations[[#This Row],[Step]] =current_step, current_b,IF(Iterations[[#This Row],[Step]] &gt; current_step, "",Iterations[[#This Row],[b]]))</f>
        <v/>
      </c>
      <c r="I228" s="2" t="str">
        <f>IF(Iterations[[#This Row],[Step]] =current_step, current_c,IF(Iterations[[#This Row],[Step]] &gt; current_step, "",Iterations[[#This Row],[c]]))</f>
        <v/>
      </c>
      <c r="J228" s="2" t="str">
        <f>IF(Iterations[[#This Row],[Step]] =current_step, current_d,IF(Iterations[[#This Row],[Step]] &gt; current_step, "",Iterations[[#This Row],[d]]))</f>
        <v/>
      </c>
      <c r="K228" s="2" t="str">
        <f>IF(Iterations[[#This Row],[Step]] =current_step, current_e,IF(Iterations[[#This Row],[Step]] &gt; current_step, "",Iterations[[#This Row],[e]]))</f>
        <v/>
      </c>
      <c r="L228" s="2" t="str">
        <f>IF(Iterations[[#This Row],[Step]] =current_step, current_Total_Loss,IF(Iterations[[#This Row],[Step]] &gt; current_step, "",Iterations[[#This Row],[Total Loss]]))</f>
        <v/>
      </c>
      <c r="M228" s="6" t="s">
        <v>27</v>
      </c>
      <c r="N228" s="2" t="str">
        <f>IF(Iterations[[#This Row],[Step]] =current_step, current_Grad_a,IF(Iterations[[#This Row],[Step]] &gt; current_step, "",Iterations[[#This Row],[Grad_a]]))</f>
        <v/>
      </c>
      <c r="O228" s="2" t="str">
        <f>IF(Iterations[[#This Row],[Step]] =current_step, current_Grad_b,IF(Iterations[[#This Row],[Step]] &gt; current_step, "",Iterations[[#This Row],[Grad_b]]))</f>
        <v/>
      </c>
      <c r="P228" s="2" t="str">
        <f>IF(Iterations[[#This Row],[Step]] =current_step, current_Grad_c,IF(Iterations[[#This Row],[Step]] &gt; current_step, "",Iterations[[#This Row],[Grad_c]]))</f>
        <v/>
      </c>
      <c r="Q228" s="2" t="str">
        <f>IF(Iterations[[#This Row],[Step]] =current_step, current_Grad_d,IF(Iterations[[#This Row],[Step]] &gt; current_step, "",Iterations[[#This Row],[Grad_d]]))</f>
        <v/>
      </c>
      <c r="R228" s="2" t="str">
        <f>IF(Iterations[[#This Row],[Step]] =current_step, current_Grad_e,IF(Iterations[[#This Row],[Step]] &gt; current_step, "",Iterations[[#This Row],[Grad_e]]))</f>
        <v/>
      </c>
    </row>
    <row r="229" spans="6:18" x14ac:dyDescent="0.3">
      <c r="F229" s="2">
        <f t="shared" si="5"/>
        <v>212</v>
      </c>
      <c r="G229" s="2" t="str">
        <f>IF(Iterations[[#This Row],[Step]] =current_step, current_a,IF(Iterations[[#This Row],[Step]] &gt; current_step, "",Iterations[[#This Row],[a]]))</f>
        <v/>
      </c>
      <c r="H229" s="2" t="str">
        <f>IF(Iterations[[#This Row],[Step]] =current_step, current_b,IF(Iterations[[#This Row],[Step]] &gt; current_step, "",Iterations[[#This Row],[b]]))</f>
        <v/>
      </c>
      <c r="I229" s="2" t="str">
        <f>IF(Iterations[[#This Row],[Step]] =current_step, current_c,IF(Iterations[[#This Row],[Step]] &gt; current_step, "",Iterations[[#This Row],[c]]))</f>
        <v/>
      </c>
      <c r="J229" s="2" t="str">
        <f>IF(Iterations[[#This Row],[Step]] =current_step, current_d,IF(Iterations[[#This Row],[Step]] &gt; current_step, "",Iterations[[#This Row],[d]]))</f>
        <v/>
      </c>
      <c r="K229" s="2" t="str">
        <f>IF(Iterations[[#This Row],[Step]] =current_step, current_e,IF(Iterations[[#This Row],[Step]] &gt; current_step, "",Iterations[[#This Row],[e]]))</f>
        <v/>
      </c>
      <c r="L229" s="2" t="str">
        <f>IF(Iterations[[#This Row],[Step]] =current_step, current_Total_Loss,IF(Iterations[[#This Row],[Step]] &gt; current_step, "",Iterations[[#This Row],[Total Loss]]))</f>
        <v/>
      </c>
      <c r="M229" s="6" t="s">
        <v>27</v>
      </c>
      <c r="N229" s="2" t="str">
        <f>IF(Iterations[[#This Row],[Step]] =current_step, current_Grad_a,IF(Iterations[[#This Row],[Step]] &gt; current_step, "",Iterations[[#This Row],[Grad_a]]))</f>
        <v/>
      </c>
      <c r="O229" s="2" t="str">
        <f>IF(Iterations[[#This Row],[Step]] =current_step, current_Grad_b,IF(Iterations[[#This Row],[Step]] &gt; current_step, "",Iterations[[#This Row],[Grad_b]]))</f>
        <v/>
      </c>
      <c r="P229" s="2" t="str">
        <f>IF(Iterations[[#This Row],[Step]] =current_step, current_Grad_c,IF(Iterations[[#This Row],[Step]] &gt; current_step, "",Iterations[[#This Row],[Grad_c]]))</f>
        <v/>
      </c>
      <c r="Q229" s="2" t="str">
        <f>IF(Iterations[[#This Row],[Step]] =current_step, current_Grad_d,IF(Iterations[[#This Row],[Step]] &gt; current_step, "",Iterations[[#This Row],[Grad_d]]))</f>
        <v/>
      </c>
      <c r="R229" s="2" t="str">
        <f>IF(Iterations[[#This Row],[Step]] =current_step, current_Grad_e,IF(Iterations[[#This Row],[Step]] &gt; current_step, "",Iterations[[#This Row],[Grad_e]]))</f>
        <v/>
      </c>
    </row>
    <row r="230" spans="6:18" x14ac:dyDescent="0.3">
      <c r="F230" s="2">
        <f t="shared" si="5"/>
        <v>213</v>
      </c>
      <c r="G230" s="2" t="str">
        <f>IF(Iterations[[#This Row],[Step]] =current_step, current_a,IF(Iterations[[#This Row],[Step]] &gt; current_step, "",Iterations[[#This Row],[a]]))</f>
        <v/>
      </c>
      <c r="H230" s="2" t="str">
        <f>IF(Iterations[[#This Row],[Step]] =current_step, current_b,IF(Iterations[[#This Row],[Step]] &gt; current_step, "",Iterations[[#This Row],[b]]))</f>
        <v/>
      </c>
      <c r="I230" s="2" t="str">
        <f>IF(Iterations[[#This Row],[Step]] =current_step, current_c,IF(Iterations[[#This Row],[Step]] &gt; current_step, "",Iterations[[#This Row],[c]]))</f>
        <v/>
      </c>
      <c r="J230" s="2" t="str">
        <f>IF(Iterations[[#This Row],[Step]] =current_step, current_d,IF(Iterations[[#This Row],[Step]] &gt; current_step, "",Iterations[[#This Row],[d]]))</f>
        <v/>
      </c>
      <c r="K230" s="2" t="str">
        <f>IF(Iterations[[#This Row],[Step]] =current_step, current_e,IF(Iterations[[#This Row],[Step]] &gt; current_step, "",Iterations[[#This Row],[e]]))</f>
        <v/>
      </c>
      <c r="L230" s="2" t="str">
        <f>IF(Iterations[[#This Row],[Step]] =current_step, current_Total_Loss,IF(Iterations[[#This Row],[Step]] &gt; current_step, "",Iterations[[#This Row],[Total Loss]]))</f>
        <v/>
      </c>
      <c r="M230" s="6" t="s">
        <v>27</v>
      </c>
      <c r="N230" s="2" t="str">
        <f>IF(Iterations[[#This Row],[Step]] =current_step, current_Grad_a,IF(Iterations[[#This Row],[Step]] &gt; current_step, "",Iterations[[#This Row],[Grad_a]]))</f>
        <v/>
      </c>
      <c r="O230" s="2" t="str">
        <f>IF(Iterations[[#This Row],[Step]] =current_step, current_Grad_b,IF(Iterations[[#This Row],[Step]] &gt; current_step, "",Iterations[[#This Row],[Grad_b]]))</f>
        <v/>
      </c>
      <c r="P230" s="2" t="str">
        <f>IF(Iterations[[#This Row],[Step]] =current_step, current_Grad_c,IF(Iterations[[#This Row],[Step]] &gt; current_step, "",Iterations[[#This Row],[Grad_c]]))</f>
        <v/>
      </c>
      <c r="Q230" s="2" t="str">
        <f>IF(Iterations[[#This Row],[Step]] =current_step, current_Grad_d,IF(Iterations[[#This Row],[Step]] &gt; current_step, "",Iterations[[#This Row],[Grad_d]]))</f>
        <v/>
      </c>
      <c r="R230" s="2" t="str">
        <f>IF(Iterations[[#This Row],[Step]] =current_step, current_Grad_e,IF(Iterations[[#This Row],[Step]] &gt; current_step, "",Iterations[[#This Row],[Grad_e]]))</f>
        <v/>
      </c>
    </row>
    <row r="231" spans="6:18" x14ac:dyDescent="0.3">
      <c r="F231" s="2">
        <f t="shared" si="5"/>
        <v>214</v>
      </c>
      <c r="G231" s="2" t="str">
        <f>IF(Iterations[[#This Row],[Step]] =current_step, current_a,IF(Iterations[[#This Row],[Step]] &gt; current_step, "",Iterations[[#This Row],[a]]))</f>
        <v/>
      </c>
      <c r="H231" s="2" t="str">
        <f>IF(Iterations[[#This Row],[Step]] =current_step, current_b,IF(Iterations[[#This Row],[Step]] &gt; current_step, "",Iterations[[#This Row],[b]]))</f>
        <v/>
      </c>
      <c r="I231" s="2" t="str">
        <f>IF(Iterations[[#This Row],[Step]] =current_step, current_c,IF(Iterations[[#This Row],[Step]] &gt; current_step, "",Iterations[[#This Row],[c]]))</f>
        <v/>
      </c>
      <c r="J231" s="2" t="str">
        <f>IF(Iterations[[#This Row],[Step]] =current_step, current_d,IF(Iterations[[#This Row],[Step]] &gt; current_step, "",Iterations[[#This Row],[d]]))</f>
        <v/>
      </c>
      <c r="K231" s="2" t="str">
        <f>IF(Iterations[[#This Row],[Step]] =current_step, current_e,IF(Iterations[[#This Row],[Step]] &gt; current_step, "",Iterations[[#This Row],[e]]))</f>
        <v/>
      </c>
      <c r="L231" s="2" t="str">
        <f>IF(Iterations[[#This Row],[Step]] =current_step, current_Total_Loss,IF(Iterations[[#This Row],[Step]] &gt; current_step, "",Iterations[[#This Row],[Total Loss]]))</f>
        <v/>
      </c>
      <c r="M231" s="6" t="s">
        <v>27</v>
      </c>
      <c r="N231" s="2" t="str">
        <f>IF(Iterations[[#This Row],[Step]] =current_step, current_Grad_a,IF(Iterations[[#This Row],[Step]] &gt; current_step, "",Iterations[[#This Row],[Grad_a]]))</f>
        <v/>
      </c>
      <c r="O231" s="2" t="str">
        <f>IF(Iterations[[#This Row],[Step]] =current_step, current_Grad_b,IF(Iterations[[#This Row],[Step]] &gt; current_step, "",Iterations[[#This Row],[Grad_b]]))</f>
        <v/>
      </c>
      <c r="P231" s="2" t="str">
        <f>IF(Iterations[[#This Row],[Step]] =current_step, current_Grad_c,IF(Iterations[[#This Row],[Step]] &gt; current_step, "",Iterations[[#This Row],[Grad_c]]))</f>
        <v/>
      </c>
      <c r="Q231" s="2" t="str">
        <f>IF(Iterations[[#This Row],[Step]] =current_step, current_Grad_d,IF(Iterations[[#This Row],[Step]] &gt; current_step, "",Iterations[[#This Row],[Grad_d]]))</f>
        <v/>
      </c>
      <c r="R231" s="2" t="str">
        <f>IF(Iterations[[#This Row],[Step]] =current_step, current_Grad_e,IF(Iterations[[#This Row],[Step]] &gt; current_step, "",Iterations[[#This Row],[Grad_e]]))</f>
        <v/>
      </c>
    </row>
    <row r="232" spans="6:18" x14ac:dyDescent="0.3">
      <c r="F232" s="2">
        <f t="shared" si="5"/>
        <v>215</v>
      </c>
      <c r="G232" s="2" t="str">
        <f>IF(Iterations[[#This Row],[Step]] =current_step, current_a,IF(Iterations[[#This Row],[Step]] &gt; current_step, "",Iterations[[#This Row],[a]]))</f>
        <v/>
      </c>
      <c r="H232" s="2" t="str">
        <f>IF(Iterations[[#This Row],[Step]] =current_step, current_b,IF(Iterations[[#This Row],[Step]] &gt; current_step, "",Iterations[[#This Row],[b]]))</f>
        <v/>
      </c>
      <c r="I232" s="2" t="str">
        <f>IF(Iterations[[#This Row],[Step]] =current_step, current_c,IF(Iterations[[#This Row],[Step]] &gt; current_step, "",Iterations[[#This Row],[c]]))</f>
        <v/>
      </c>
      <c r="J232" s="2" t="str">
        <f>IF(Iterations[[#This Row],[Step]] =current_step, current_d,IF(Iterations[[#This Row],[Step]] &gt; current_step, "",Iterations[[#This Row],[d]]))</f>
        <v/>
      </c>
      <c r="K232" s="2" t="str">
        <f>IF(Iterations[[#This Row],[Step]] =current_step, current_e,IF(Iterations[[#This Row],[Step]] &gt; current_step, "",Iterations[[#This Row],[e]]))</f>
        <v/>
      </c>
      <c r="L232" s="2" t="str">
        <f>IF(Iterations[[#This Row],[Step]] =current_step, current_Total_Loss,IF(Iterations[[#This Row],[Step]] &gt; current_step, "",Iterations[[#This Row],[Total Loss]]))</f>
        <v/>
      </c>
      <c r="M232" s="6" t="s">
        <v>27</v>
      </c>
      <c r="N232" s="2" t="str">
        <f>IF(Iterations[[#This Row],[Step]] =current_step, current_Grad_a,IF(Iterations[[#This Row],[Step]] &gt; current_step, "",Iterations[[#This Row],[Grad_a]]))</f>
        <v/>
      </c>
      <c r="O232" s="2" t="str">
        <f>IF(Iterations[[#This Row],[Step]] =current_step, current_Grad_b,IF(Iterations[[#This Row],[Step]] &gt; current_step, "",Iterations[[#This Row],[Grad_b]]))</f>
        <v/>
      </c>
      <c r="P232" s="2" t="str">
        <f>IF(Iterations[[#This Row],[Step]] =current_step, current_Grad_c,IF(Iterations[[#This Row],[Step]] &gt; current_step, "",Iterations[[#This Row],[Grad_c]]))</f>
        <v/>
      </c>
      <c r="Q232" s="2" t="str">
        <f>IF(Iterations[[#This Row],[Step]] =current_step, current_Grad_d,IF(Iterations[[#This Row],[Step]] &gt; current_step, "",Iterations[[#This Row],[Grad_d]]))</f>
        <v/>
      </c>
      <c r="R232" s="2" t="str">
        <f>IF(Iterations[[#This Row],[Step]] =current_step, current_Grad_e,IF(Iterations[[#This Row],[Step]] &gt; current_step, "",Iterations[[#This Row],[Grad_e]]))</f>
        <v/>
      </c>
    </row>
    <row r="233" spans="6:18" x14ac:dyDescent="0.3">
      <c r="F233" s="2">
        <f t="shared" si="5"/>
        <v>216</v>
      </c>
      <c r="G233" s="2" t="str">
        <f>IF(Iterations[[#This Row],[Step]] =current_step, current_a,IF(Iterations[[#This Row],[Step]] &gt; current_step, "",Iterations[[#This Row],[a]]))</f>
        <v/>
      </c>
      <c r="H233" s="2" t="str">
        <f>IF(Iterations[[#This Row],[Step]] =current_step, current_b,IF(Iterations[[#This Row],[Step]] &gt; current_step, "",Iterations[[#This Row],[b]]))</f>
        <v/>
      </c>
      <c r="I233" s="2" t="str">
        <f>IF(Iterations[[#This Row],[Step]] =current_step, current_c,IF(Iterations[[#This Row],[Step]] &gt; current_step, "",Iterations[[#This Row],[c]]))</f>
        <v/>
      </c>
      <c r="J233" s="2" t="str">
        <f>IF(Iterations[[#This Row],[Step]] =current_step, current_d,IF(Iterations[[#This Row],[Step]] &gt; current_step, "",Iterations[[#This Row],[d]]))</f>
        <v/>
      </c>
      <c r="K233" s="2" t="str">
        <f>IF(Iterations[[#This Row],[Step]] =current_step, current_e,IF(Iterations[[#This Row],[Step]] &gt; current_step, "",Iterations[[#This Row],[e]]))</f>
        <v/>
      </c>
      <c r="L233" s="2" t="str">
        <f>IF(Iterations[[#This Row],[Step]] =current_step, current_Total_Loss,IF(Iterations[[#This Row],[Step]] &gt; current_step, "",Iterations[[#This Row],[Total Loss]]))</f>
        <v/>
      </c>
      <c r="M233" s="6" t="s">
        <v>27</v>
      </c>
      <c r="N233" s="2" t="str">
        <f>IF(Iterations[[#This Row],[Step]] =current_step, current_Grad_a,IF(Iterations[[#This Row],[Step]] &gt; current_step, "",Iterations[[#This Row],[Grad_a]]))</f>
        <v/>
      </c>
      <c r="O233" s="2" t="str">
        <f>IF(Iterations[[#This Row],[Step]] =current_step, current_Grad_b,IF(Iterations[[#This Row],[Step]] &gt; current_step, "",Iterations[[#This Row],[Grad_b]]))</f>
        <v/>
      </c>
      <c r="P233" s="2" t="str">
        <f>IF(Iterations[[#This Row],[Step]] =current_step, current_Grad_c,IF(Iterations[[#This Row],[Step]] &gt; current_step, "",Iterations[[#This Row],[Grad_c]]))</f>
        <v/>
      </c>
      <c r="Q233" s="2" t="str">
        <f>IF(Iterations[[#This Row],[Step]] =current_step, current_Grad_d,IF(Iterations[[#This Row],[Step]] &gt; current_step, "",Iterations[[#This Row],[Grad_d]]))</f>
        <v/>
      </c>
      <c r="R233" s="2" t="str">
        <f>IF(Iterations[[#This Row],[Step]] =current_step, current_Grad_e,IF(Iterations[[#This Row],[Step]] &gt; current_step, "",Iterations[[#This Row],[Grad_e]]))</f>
        <v/>
      </c>
    </row>
    <row r="234" spans="6:18" x14ac:dyDescent="0.3">
      <c r="F234" s="2">
        <f t="shared" si="5"/>
        <v>217</v>
      </c>
      <c r="G234" s="2" t="str">
        <f>IF(Iterations[[#This Row],[Step]] =current_step, current_a,IF(Iterations[[#This Row],[Step]] &gt; current_step, "",Iterations[[#This Row],[a]]))</f>
        <v/>
      </c>
      <c r="H234" s="2" t="str">
        <f>IF(Iterations[[#This Row],[Step]] =current_step, current_b,IF(Iterations[[#This Row],[Step]] &gt; current_step, "",Iterations[[#This Row],[b]]))</f>
        <v/>
      </c>
      <c r="I234" s="2" t="str">
        <f>IF(Iterations[[#This Row],[Step]] =current_step, current_c,IF(Iterations[[#This Row],[Step]] &gt; current_step, "",Iterations[[#This Row],[c]]))</f>
        <v/>
      </c>
      <c r="J234" s="2" t="str">
        <f>IF(Iterations[[#This Row],[Step]] =current_step, current_d,IF(Iterations[[#This Row],[Step]] &gt; current_step, "",Iterations[[#This Row],[d]]))</f>
        <v/>
      </c>
      <c r="K234" s="2" t="str">
        <f>IF(Iterations[[#This Row],[Step]] =current_step, current_e,IF(Iterations[[#This Row],[Step]] &gt; current_step, "",Iterations[[#This Row],[e]]))</f>
        <v/>
      </c>
      <c r="L234" s="2" t="str">
        <f>IF(Iterations[[#This Row],[Step]] =current_step, current_Total_Loss,IF(Iterations[[#This Row],[Step]] &gt; current_step, "",Iterations[[#This Row],[Total Loss]]))</f>
        <v/>
      </c>
      <c r="M234" s="6" t="s">
        <v>27</v>
      </c>
      <c r="N234" s="2" t="str">
        <f>IF(Iterations[[#This Row],[Step]] =current_step, current_Grad_a,IF(Iterations[[#This Row],[Step]] &gt; current_step, "",Iterations[[#This Row],[Grad_a]]))</f>
        <v/>
      </c>
      <c r="O234" s="2" t="str">
        <f>IF(Iterations[[#This Row],[Step]] =current_step, current_Grad_b,IF(Iterations[[#This Row],[Step]] &gt; current_step, "",Iterations[[#This Row],[Grad_b]]))</f>
        <v/>
      </c>
      <c r="P234" s="2" t="str">
        <f>IF(Iterations[[#This Row],[Step]] =current_step, current_Grad_c,IF(Iterations[[#This Row],[Step]] &gt; current_step, "",Iterations[[#This Row],[Grad_c]]))</f>
        <v/>
      </c>
      <c r="Q234" s="2" t="str">
        <f>IF(Iterations[[#This Row],[Step]] =current_step, current_Grad_d,IF(Iterations[[#This Row],[Step]] &gt; current_step, "",Iterations[[#This Row],[Grad_d]]))</f>
        <v/>
      </c>
      <c r="R234" s="2" t="str">
        <f>IF(Iterations[[#This Row],[Step]] =current_step, current_Grad_e,IF(Iterations[[#This Row],[Step]] &gt; current_step, "",Iterations[[#This Row],[Grad_e]]))</f>
        <v/>
      </c>
    </row>
    <row r="235" spans="6:18" x14ac:dyDescent="0.3">
      <c r="F235" s="2">
        <f t="shared" si="5"/>
        <v>218</v>
      </c>
      <c r="G235" s="2" t="str">
        <f>IF(Iterations[[#This Row],[Step]] =current_step, current_a,IF(Iterations[[#This Row],[Step]] &gt; current_step, "",Iterations[[#This Row],[a]]))</f>
        <v/>
      </c>
      <c r="H235" s="2" t="str">
        <f>IF(Iterations[[#This Row],[Step]] =current_step, current_b,IF(Iterations[[#This Row],[Step]] &gt; current_step, "",Iterations[[#This Row],[b]]))</f>
        <v/>
      </c>
      <c r="I235" s="2" t="str">
        <f>IF(Iterations[[#This Row],[Step]] =current_step, current_c,IF(Iterations[[#This Row],[Step]] &gt; current_step, "",Iterations[[#This Row],[c]]))</f>
        <v/>
      </c>
      <c r="J235" s="2" t="str">
        <f>IF(Iterations[[#This Row],[Step]] =current_step, current_d,IF(Iterations[[#This Row],[Step]] &gt; current_step, "",Iterations[[#This Row],[d]]))</f>
        <v/>
      </c>
      <c r="K235" s="2" t="str">
        <f>IF(Iterations[[#This Row],[Step]] =current_step, current_e,IF(Iterations[[#This Row],[Step]] &gt; current_step, "",Iterations[[#This Row],[e]]))</f>
        <v/>
      </c>
      <c r="L235" s="2" t="str">
        <f>IF(Iterations[[#This Row],[Step]] =current_step, current_Total_Loss,IF(Iterations[[#This Row],[Step]] &gt; current_step, "",Iterations[[#This Row],[Total Loss]]))</f>
        <v/>
      </c>
      <c r="M235" s="6" t="s">
        <v>27</v>
      </c>
      <c r="N235" s="2" t="str">
        <f>IF(Iterations[[#This Row],[Step]] =current_step, current_Grad_a,IF(Iterations[[#This Row],[Step]] &gt; current_step, "",Iterations[[#This Row],[Grad_a]]))</f>
        <v/>
      </c>
      <c r="O235" s="2" t="str">
        <f>IF(Iterations[[#This Row],[Step]] =current_step, current_Grad_b,IF(Iterations[[#This Row],[Step]] &gt; current_step, "",Iterations[[#This Row],[Grad_b]]))</f>
        <v/>
      </c>
      <c r="P235" s="2" t="str">
        <f>IF(Iterations[[#This Row],[Step]] =current_step, current_Grad_c,IF(Iterations[[#This Row],[Step]] &gt; current_step, "",Iterations[[#This Row],[Grad_c]]))</f>
        <v/>
      </c>
      <c r="Q235" s="2" t="str">
        <f>IF(Iterations[[#This Row],[Step]] =current_step, current_Grad_d,IF(Iterations[[#This Row],[Step]] &gt; current_step, "",Iterations[[#This Row],[Grad_d]]))</f>
        <v/>
      </c>
      <c r="R235" s="2" t="str">
        <f>IF(Iterations[[#This Row],[Step]] =current_step, current_Grad_e,IF(Iterations[[#This Row],[Step]] &gt; current_step, "",Iterations[[#This Row],[Grad_e]]))</f>
        <v/>
      </c>
    </row>
    <row r="236" spans="6:18" x14ac:dyDescent="0.3">
      <c r="F236" s="2">
        <f t="shared" si="5"/>
        <v>219</v>
      </c>
      <c r="G236" s="2" t="str">
        <f>IF(Iterations[[#This Row],[Step]] =current_step, current_a,IF(Iterations[[#This Row],[Step]] &gt; current_step, "",Iterations[[#This Row],[a]]))</f>
        <v/>
      </c>
      <c r="H236" s="2" t="str">
        <f>IF(Iterations[[#This Row],[Step]] =current_step, current_b,IF(Iterations[[#This Row],[Step]] &gt; current_step, "",Iterations[[#This Row],[b]]))</f>
        <v/>
      </c>
      <c r="I236" s="2" t="str">
        <f>IF(Iterations[[#This Row],[Step]] =current_step, current_c,IF(Iterations[[#This Row],[Step]] &gt; current_step, "",Iterations[[#This Row],[c]]))</f>
        <v/>
      </c>
      <c r="J236" s="2" t="str">
        <f>IF(Iterations[[#This Row],[Step]] =current_step, current_d,IF(Iterations[[#This Row],[Step]] &gt; current_step, "",Iterations[[#This Row],[d]]))</f>
        <v/>
      </c>
      <c r="K236" s="2" t="str">
        <f>IF(Iterations[[#This Row],[Step]] =current_step, current_e,IF(Iterations[[#This Row],[Step]] &gt; current_step, "",Iterations[[#This Row],[e]]))</f>
        <v/>
      </c>
      <c r="L236" s="2" t="str">
        <f>IF(Iterations[[#This Row],[Step]] =current_step, current_Total_Loss,IF(Iterations[[#This Row],[Step]] &gt; current_step, "",Iterations[[#This Row],[Total Loss]]))</f>
        <v/>
      </c>
      <c r="M236" s="6" t="s">
        <v>27</v>
      </c>
      <c r="N236" s="2" t="str">
        <f>IF(Iterations[[#This Row],[Step]] =current_step, current_Grad_a,IF(Iterations[[#This Row],[Step]] &gt; current_step, "",Iterations[[#This Row],[Grad_a]]))</f>
        <v/>
      </c>
      <c r="O236" s="2" t="str">
        <f>IF(Iterations[[#This Row],[Step]] =current_step, current_Grad_b,IF(Iterations[[#This Row],[Step]] &gt; current_step, "",Iterations[[#This Row],[Grad_b]]))</f>
        <v/>
      </c>
      <c r="P236" s="2" t="str">
        <f>IF(Iterations[[#This Row],[Step]] =current_step, current_Grad_c,IF(Iterations[[#This Row],[Step]] &gt; current_step, "",Iterations[[#This Row],[Grad_c]]))</f>
        <v/>
      </c>
      <c r="Q236" s="2" t="str">
        <f>IF(Iterations[[#This Row],[Step]] =current_step, current_Grad_d,IF(Iterations[[#This Row],[Step]] &gt; current_step, "",Iterations[[#This Row],[Grad_d]]))</f>
        <v/>
      </c>
      <c r="R236" s="2" t="str">
        <f>IF(Iterations[[#This Row],[Step]] =current_step, current_Grad_e,IF(Iterations[[#This Row],[Step]] &gt; current_step, "",Iterations[[#This Row],[Grad_e]]))</f>
        <v/>
      </c>
    </row>
    <row r="237" spans="6:18" x14ac:dyDescent="0.3">
      <c r="F237" s="2">
        <f t="shared" si="5"/>
        <v>220</v>
      </c>
      <c r="G237" s="2" t="str">
        <f>IF(Iterations[[#This Row],[Step]] =current_step, current_a,IF(Iterations[[#This Row],[Step]] &gt; current_step, "",Iterations[[#This Row],[a]]))</f>
        <v/>
      </c>
      <c r="H237" s="2" t="str">
        <f>IF(Iterations[[#This Row],[Step]] =current_step, current_b,IF(Iterations[[#This Row],[Step]] &gt; current_step, "",Iterations[[#This Row],[b]]))</f>
        <v/>
      </c>
      <c r="I237" s="2" t="str">
        <f>IF(Iterations[[#This Row],[Step]] =current_step, current_c,IF(Iterations[[#This Row],[Step]] &gt; current_step, "",Iterations[[#This Row],[c]]))</f>
        <v/>
      </c>
      <c r="J237" s="2" t="str">
        <f>IF(Iterations[[#This Row],[Step]] =current_step, current_d,IF(Iterations[[#This Row],[Step]] &gt; current_step, "",Iterations[[#This Row],[d]]))</f>
        <v/>
      </c>
      <c r="K237" s="2" t="str">
        <f>IF(Iterations[[#This Row],[Step]] =current_step, current_e,IF(Iterations[[#This Row],[Step]] &gt; current_step, "",Iterations[[#This Row],[e]]))</f>
        <v/>
      </c>
      <c r="L237" s="2" t="str">
        <f>IF(Iterations[[#This Row],[Step]] =current_step, current_Total_Loss,IF(Iterations[[#This Row],[Step]] &gt; current_step, "",Iterations[[#This Row],[Total Loss]]))</f>
        <v/>
      </c>
      <c r="M237" s="6" t="s">
        <v>27</v>
      </c>
      <c r="N237" s="2" t="str">
        <f>IF(Iterations[[#This Row],[Step]] =current_step, current_Grad_a,IF(Iterations[[#This Row],[Step]] &gt; current_step, "",Iterations[[#This Row],[Grad_a]]))</f>
        <v/>
      </c>
      <c r="O237" s="2" t="str">
        <f>IF(Iterations[[#This Row],[Step]] =current_step, current_Grad_b,IF(Iterations[[#This Row],[Step]] &gt; current_step, "",Iterations[[#This Row],[Grad_b]]))</f>
        <v/>
      </c>
      <c r="P237" s="2" t="str">
        <f>IF(Iterations[[#This Row],[Step]] =current_step, current_Grad_c,IF(Iterations[[#This Row],[Step]] &gt; current_step, "",Iterations[[#This Row],[Grad_c]]))</f>
        <v/>
      </c>
      <c r="Q237" s="2" t="str">
        <f>IF(Iterations[[#This Row],[Step]] =current_step, current_Grad_d,IF(Iterations[[#This Row],[Step]] &gt; current_step, "",Iterations[[#This Row],[Grad_d]]))</f>
        <v/>
      </c>
      <c r="R237" s="2" t="str">
        <f>IF(Iterations[[#This Row],[Step]] =current_step, current_Grad_e,IF(Iterations[[#This Row],[Step]] &gt; current_step, "",Iterations[[#This Row],[Grad_e]]))</f>
        <v/>
      </c>
    </row>
    <row r="238" spans="6:18" x14ac:dyDescent="0.3">
      <c r="F238" s="2">
        <f t="shared" si="5"/>
        <v>221</v>
      </c>
      <c r="G238" s="2" t="str">
        <f>IF(Iterations[[#This Row],[Step]] =current_step, current_a,IF(Iterations[[#This Row],[Step]] &gt; current_step, "",Iterations[[#This Row],[a]]))</f>
        <v/>
      </c>
      <c r="H238" s="2" t="str">
        <f>IF(Iterations[[#This Row],[Step]] =current_step, current_b,IF(Iterations[[#This Row],[Step]] &gt; current_step, "",Iterations[[#This Row],[b]]))</f>
        <v/>
      </c>
      <c r="I238" s="2" t="str">
        <f>IF(Iterations[[#This Row],[Step]] =current_step, current_c,IF(Iterations[[#This Row],[Step]] &gt; current_step, "",Iterations[[#This Row],[c]]))</f>
        <v/>
      </c>
      <c r="J238" s="2" t="str">
        <f>IF(Iterations[[#This Row],[Step]] =current_step, current_d,IF(Iterations[[#This Row],[Step]] &gt; current_step, "",Iterations[[#This Row],[d]]))</f>
        <v/>
      </c>
      <c r="K238" s="2" t="str">
        <f>IF(Iterations[[#This Row],[Step]] =current_step, current_e,IF(Iterations[[#This Row],[Step]] &gt; current_step, "",Iterations[[#This Row],[e]]))</f>
        <v/>
      </c>
      <c r="L238" s="2" t="str">
        <f>IF(Iterations[[#This Row],[Step]] =current_step, current_Total_Loss,IF(Iterations[[#This Row],[Step]] &gt; current_step, "",Iterations[[#This Row],[Total Loss]]))</f>
        <v/>
      </c>
      <c r="M238" s="6" t="s">
        <v>27</v>
      </c>
      <c r="N238" s="2" t="str">
        <f>IF(Iterations[[#This Row],[Step]] =current_step, current_Grad_a,IF(Iterations[[#This Row],[Step]] &gt; current_step, "",Iterations[[#This Row],[Grad_a]]))</f>
        <v/>
      </c>
      <c r="O238" s="2" t="str">
        <f>IF(Iterations[[#This Row],[Step]] =current_step, current_Grad_b,IF(Iterations[[#This Row],[Step]] &gt; current_step, "",Iterations[[#This Row],[Grad_b]]))</f>
        <v/>
      </c>
      <c r="P238" s="2" t="str">
        <f>IF(Iterations[[#This Row],[Step]] =current_step, current_Grad_c,IF(Iterations[[#This Row],[Step]] &gt; current_step, "",Iterations[[#This Row],[Grad_c]]))</f>
        <v/>
      </c>
      <c r="Q238" s="2" t="str">
        <f>IF(Iterations[[#This Row],[Step]] =current_step, current_Grad_d,IF(Iterations[[#This Row],[Step]] &gt; current_step, "",Iterations[[#This Row],[Grad_d]]))</f>
        <v/>
      </c>
      <c r="R238" s="2" t="str">
        <f>IF(Iterations[[#This Row],[Step]] =current_step, current_Grad_e,IF(Iterations[[#This Row],[Step]] &gt; current_step, "",Iterations[[#This Row],[Grad_e]]))</f>
        <v/>
      </c>
    </row>
    <row r="239" spans="6:18" x14ac:dyDescent="0.3">
      <c r="F239" s="2">
        <f t="shared" si="5"/>
        <v>222</v>
      </c>
      <c r="G239" s="2" t="str">
        <f>IF(Iterations[[#This Row],[Step]] =current_step, current_a,IF(Iterations[[#This Row],[Step]] &gt; current_step, "",Iterations[[#This Row],[a]]))</f>
        <v/>
      </c>
      <c r="H239" s="2" t="str">
        <f>IF(Iterations[[#This Row],[Step]] =current_step, current_b,IF(Iterations[[#This Row],[Step]] &gt; current_step, "",Iterations[[#This Row],[b]]))</f>
        <v/>
      </c>
      <c r="I239" s="2" t="str">
        <f>IF(Iterations[[#This Row],[Step]] =current_step, current_c,IF(Iterations[[#This Row],[Step]] &gt; current_step, "",Iterations[[#This Row],[c]]))</f>
        <v/>
      </c>
      <c r="J239" s="2" t="str">
        <f>IF(Iterations[[#This Row],[Step]] =current_step, current_d,IF(Iterations[[#This Row],[Step]] &gt; current_step, "",Iterations[[#This Row],[d]]))</f>
        <v/>
      </c>
      <c r="K239" s="2" t="str">
        <f>IF(Iterations[[#This Row],[Step]] =current_step, current_e,IF(Iterations[[#This Row],[Step]] &gt; current_step, "",Iterations[[#This Row],[e]]))</f>
        <v/>
      </c>
      <c r="L239" s="2" t="str">
        <f>IF(Iterations[[#This Row],[Step]] =current_step, current_Total_Loss,IF(Iterations[[#This Row],[Step]] &gt; current_step, "",Iterations[[#This Row],[Total Loss]]))</f>
        <v/>
      </c>
      <c r="M239" s="6" t="s">
        <v>27</v>
      </c>
      <c r="N239" s="2" t="str">
        <f>IF(Iterations[[#This Row],[Step]] =current_step, current_Grad_a,IF(Iterations[[#This Row],[Step]] &gt; current_step, "",Iterations[[#This Row],[Grad_a]]))</f>
        <v/>
      </c>
      <c r="O239" s="2" t="str">
        <f>IF(Iterations[[#This Row],[Step]] =current_step, current_Grad_b,IF(Iterations[[#This Row],[Step]] &gt; current_step, "",Iterations[[#This Row],[Grad_b]]))</f>
        <v/>
      </c>
      <c r="P239" s="2" t="str">
        <f>IF(Iterations[[#This Row],[Step]] =current_step, current_Grad_c,IF(Iterations[[#This Row],[Step]] &gt; current_step, "",Iterations[[#This Row],[Grad_c]]))</f>
        <v/>
      </c>
      <c r="Q239" s="2" t="str">
        <f>IF(Iterations[[#This Row],[Step]] =current_step, current_Grad_d,IF(Iterations[[#This Row],[Step]] &gt; current_step, "",Iterations[[#This Row],[Grad_d]]))</f>
        <v/>
      </c>
      <c r="R239" s="2" t="str">
        <f>IF(Iterations[[#This Row],[Step]] =current_step, current_Grad_e,IF(Iterations[[#This Row],[Step]] &gt; current_step, "",Iterations[[#This Row],[Grad_e]]))</f>
        <v/>
      </c>
    </row>
    <row r="240" spans="6:18" x14ac:dyDescent="0.3">
      <c r="F240" s="2">
        <f t="shared" si="5"/>
        <v>223</v>
      </c>
      <c r="G240" s="2" t="str">
        <f>IF(Iterations[[#This Row],[Step]] =current_step, current_a,IF(Iterations[[#This Row],[Step]] &gt; current_step, "",Iterations[[#This Row],[a]]))</f>
        <v/>
      </c>
      <c r="H240" s="2" t="str">
        <f>IF(Iterations[[#This Row],[Step]] =current_step, current_b,IF(Iterations[[#This Row],[Step]] &gt; current_step, "",Iterations[[#This Row],[b]]))</f>
        <v/>
      </c>
      <c r="I240" s="2" t="str">
        <f>IF(Iterations[[#This Row],[Step]] =current_step, current_c,IF(Iterations[[#This Row],[Step]] &gt; current_step, "",Iterations[[#This Row],[c]]))</f>
        <v/>
      </c>
      <c r="J240" s="2" t="str">
        <f>IF(Iterations[[#This Row],[Step]] =current_step, current_d,IF(Iterations[[#This Row],[Step]] &gt; current_step, "",Iterations[[#This Row],[d]]))</f>
        <v/>
      </c>
      <c r="K240" s="2" t="str">
        <f>IF(Iterations[[#This Row],[Step]] =current_step, current_e,IF(Iterations[[#This Row],[Step]] &gt; current_step, "",Iterations[[#This Row],[e]]))</f>
        <v/>
      </c>
      <c r="L240" s="2" t="str">
        <f>IF(Iterations[[#This Row],[Step]] =current_step, current_Total_Loss,IF(Iterations[[#This Row],[Step]] &gt; current_step, "",Iterations[[#This Row],[Total Loss]]))</f>
        <v/>
      </c>
      <c r="M240" s="6" t="s">
        <v>27</v>
      </c>
      <c r="N240" s="2" t="str">
        <f>IF(Iterations[[#This Row],[Step]] =current_step, current_Grad_a,IF(Iterations[[#This Row],[Step]] &gt; current_step, "",Iterations[[#This Row],[Grad_a]]))</f>
        <v/>
      </c>
      <c r="O240" s="2" t="str">
        <f>IF(Iterations[[#This Row],[Step]] =current_step, current_Grad_b,IF(Iterations[[#This Row],[Step]] &gt; current_step, "",Iterations[[#This Row],[Grad_b]]))</f>
        <v/>
      </c>
      <c r="P240" s="2" t="str">
        <f>IF(Iterations[[#This Row],[Step]] =current_step, current_Grad_c,IF(Iterations[[#This Row],[Step]] &gt; current_step, "",Iterations[[#This Row],[Grad_c]]))</f>
        <v/>
      </c>
      <c r="Q240" s="2" t="str">
        <f>IF(Iterations[[#This Row],[Step]] =current_step, current_Grad_d,IF(Iterations[[#This Row],[Step]] &gt; current_step, "",Iterations[[#This Row],[Grad_d]]))</f>
        <v/>
      </c>
      <c r="R240" s="2" t="str">
        <f>IF(Iterations[[#This Row],[Step]] =current_step, current_Grad_e,IF(Iterations[[#This Row],[Step]] &gt; current_step, "",Iterations[[#This Row],[Grad_e]]))</f>
        <v/>
      </c>
    </row>
    <row r="241" spans="6:18" x14ac:dyDescent="0.3">
      <c r="F241" s="2">
        <f t="shared" si="5"/>
        <v>224</v>
      </c>
      <c r="G241" s="2" t="str">
        <f>IF(Iterations[[#This Row],[Step]] =current_step, current_a,IF(Iterations[[#This Row],[Step]] &gt; current_step, "",Iterations[[#This Row],[a]]))</f>
        <v/>
      </c>
      <c r="H241" s="2" t="str">
        <f>IF(Iterations[[#This Row],[Step]] =current_step, current_b,IF(Iterations[[#This Row],[Step]] &gt; current_step, "",Iterations[[#This Row],[b]]))</f>
        <v/>
      </c>
      <c r="I241" s="2" t="str">
        <f>IF(Iterations[[#This Row],[Step]] =current_step, current_c,IF(Iterations[[#This Row],[Step]] &gt; current_step, "",Iterations[[#This Row],[c]]))</f>
        <v/>
      </c>
      <c r="J241" s="2" t="str">
        <f>IF(Iterations[[#This Row],[Step]] =current_step, current_d,IF(Iterations[[#This Row],[Step]] &gt; current_step, "",Iterations[[#This Row],[d]]))</f>
        <v/>
      </c>
      <c r="K241" s="2" t="str">
        <f>IF(Iterations[[#This Row],[Step]] =current_step, current_e,IF(Iterations[[#This Row],[Step]] &gt; current_step, "",Iterations[[#This Row],[e]]))</f>
        <v/>
      </c>
      <c r="L241" s="2" t="str">
        <f>IF(Iterations[[#This Row],[Step]] =current_step, current_Total_Loss,IF(Iterations[[#This Row],[Step]] &gt; current_step, "",Iterations[[#This Row],[Total Loss]]))</f>
        <v/>
      </c>
      <c r="M241" s="6" t="s">
        <v>27</v>
      </c>
      <c r="N241" s="2" t="str">
        <f>IF(Iterations[[#This Row],[Step]] =current_step, current_Grad_a,IF(Iterations[[#This Row],[Step]] &gt; current_step, "",Iterations[[#This Row],[Grad_a]]))</f>
        <v/>
      </c>
      <c r="O241" s="2" t="str">
        <f>IF(Iterations[[#This Row],[Step]] =current_step, current_Grad_b,IF(Iterations[[#This Row],[Step]] &gt; current_step, "",Iterations[[#This Row],[Grad_b]]))</f>
        <v/>
      </c>
      <c r="P241" s="2" t="str">
        <f>IF(Iterations[[#This Row],[Step]] =current_step, current_Grad_c,IF(Iterations[[#This Row],[Step]] &gt; current_step, "",Iterations[[#This Row],[Grad_c]]))</f>
        <v/>
      </c>
      <c r="Q241" s="2" t="str">
        <f>IF(Iterations[[#This Row],[Step]] =current_step, current_Grad_d,IF(Iterations[[#This Row],[Step]] &gt; current_step, "",Iterations[[#This Row],[Grad_d]]))</f>
        <v/>
      </c>
      <c r="R241" s="2" t="str">
        <f>IF(Iterations[[#This Row],[Step]] =current_step, current_Grad_e,IF(Iterations[[#This Row],[Step]] &gt; current_step, "",Iterations[[#This Row],[Grad_e]]))</f>
        <v/>
      </c>
    </row>
    <row r="242" spans="6:18" x14ac:dyDescent="0.3">
      <c r="F242" s="2">
        <f t="shared" si="5"/>
        <v>225</v>
      </c>
      <c r="G242" s="2" t="str">
        <f>IF(Iterations[[#This Row],[Step]] =current_step, current_a,IF(Iterations[[#This Row],[Step]] &gt; current_step, "",Iterations[[#This Row],[a]]))</f>
        <v/>
      </c>
      <c r="H242" s="2" t="str">
        <f>IF(Iterations[[#This Row],[Step]] =current_step, current_b,IF(Iterations[[#This Row],[Step]] &gt; current_step, "",Iterations[[#This Row],[b]]))</f>
        <v/>
      </c>
      <c r="I242" s="2" t="str">
        <f>IF(Iterations[[#This Row],[Step]] =current_step, current_c,IF(Iterations[[#This Row],[Step]] &gt; current_step, "",Iterations[[#This Row],[c]]))</f>
        <v/>
      </c>
      <c r="J242" s="2" t="str">
        <f>IF(Iterations[[#This Row],[Step]] =current_step, current_d,IF(Iterations[[#This Row],[Step]] &gt; current_step, "",Iterations[[#This Row],[d]]))</f>
        <v/>
      </c>
      <c r="K242" s="2" t="str">
        <f>IF(Iterations[[#This Row],[Step]] =current_step, current_e,IF(Iterations[[#This Row],[Step]] &gt; current_step, "",Iterations[[#This Row],[e]]))</f>
        <v/>
      </c>
      <c r="L242" s="2" t="str">
        <f>IF(Iterations[[#This Row],[Step]] =current_step, current_Total_Loss,IF(Iterations[[#This Row],[Step]] &gt; current_step, "",Iterations[[#This Row],[Total Loss]]))</f>
        <v/>
      </c>
      <c r="M242" s="6" t="s">
        <v>27</v>
      </c>
      <c r="N242" s="2" t="str">
        <f>IF(Iterations[[#This Row],[Step]] =current_step, current_Grad_a,IF(Iterations[[#This Row],[Step]] &gt; current_step, "",Iterations[[#This Row],[Grad_a]]))</f>
        <v/>
      </c>
      <c r="O242" s="2" t="str">
        <f>IF(Iterations[[#This Row],[Step]] =current_step, current_Grad_b,IF(Iterations[[#This Row],[Step]] &gt; current_step, "",Iterations[[#This Row],[Grad_b]]))</f>
        <v/>
      </c>
      <c r="P242" s="2" t="str">
        <f>IF(Iterations[[#This Row],[Step]] =current_step, current_Grad_c,IF(Iterations[[#This Row],[Step]] &gt; current_step, "",Iterations[[#This Row],[Grad_c]]))</f>
        <v/>
      </c>
      <c r="Q242" s="2" t="str">
        <f>IF(Iterations[[#This Row],[Step]] =current_step, current_Grad_d,IF(Iterations[[#This Row],[Step]] &gt; current_step, "",Iterations[[#This Row],[Grad_d]]))</f>
        <v/>
      </c>
      <c r="R242" s="2" t="str">
        <f>IF(Iterations[[#This Row],[Step]] =current_step, current_Grad_e,IF(Iterations[[#This Row],[Step]] &gt; current_step, "",Iterations[[#This Row],[Grad_e]]))</f>
        <v/>
      </c>
    </row>
    <row r="243" spans="6:18" x14ac:dyDescent="0.3">
      <c r="F243" s="2">
        <f t="shared" si="5"/>
        <v>226</v>
      </c>
      <c r="G243" s="2" t="str">
        <f>IF(Iterations[[#This Row],[Step]] =current_step, current_a,IF(Iterations[[#This Row],[Step]] &gt; current_step, "",Iterations[[#This Row],[a]]))</f>
        <v/>
      </c>
      <c r="H243" s="2" t="str">
        <f>IF(Iterations[[#This Row],[Step]] =current_step, current_b,IF(Iterations[[#This Row],[Step]] &gt; current_step, "",Iterations[[#This Row],[b]]))</f>
        <v/>
      </c>
      <c r="I243" s="2" t="str">
        <f>IF(Iterations[[#This Row],[Step]] =current_step, current_c,IF(Iterations[[#This Row],[Step]] &gt; current_step, "",Iterations[[#This Row],[c]]))</f>
        <v/>
      </c>
      <c r="J243" s="2" t="str">
        <f>IF(Iterations[[#This Row],[Step]] =current_step, current_d,IF(Iterations[[#This Row],[Step]] &gt; current_step, "",Iterations[[#This Row],[d]]))</f>
        <v/>
      </c>
      <c r="K243" s="2" t="str">
        <f>IF(Iterations[[#This Row],[Step]] =current_step, current_e,IF(Iterations[[#This Row],[Step]] &gt; current_step, "",Iterations[[#This Row],[e]]))</f>
        <v/>
      </c>
      <c r="L243" s="2" t="str">
        <f>IF(Iterations[[#This Row],[Step]] =current_step, current_Total_Loss,IF(Iterations[[#This Row],[Step]] &gt; current_step, "",Iterations[[#This Row],[Total Loss]]))</f>
        <v/>
      </c>
      <c r="M243" s="6" t="s">
        <v>27</v>
      </c>
      <c r="N243" s="2" t="str">
        <f>IF(Iterations[[#This Row],[Step]] =current_step, current_Grad_a,IF(Iterations[[#This Row],[Step]] &gt; current_step, "",Iterations[[#This Row],[Grad_a]]))</f>
        <v/>
      </c>
      <c r="O243" s="2" t="str">
        <f>IF(Iterations[[#This Row],[Step]] =current_step, current_Grad_b,IF(Iterations[[#This Row],[Step]] &gt; current_step, "",Iterations[[#This Row],[Grad_b]]))</f>
        <v/>
      </c>
      <c r="P243" s="2" t="str">
        <f>IF(Iterations[[#This Row],[Step]] =current_step, current_Grad_c,IF(Iterations[[#This Row],[Step]] &gt; current_step, "",Iterations[[#This Row],[Grad_c]]))</f>
        <v/>
      </c>
      <c r="Q243" s="2" t="str">
        <f>IF(Iterations[[#This Row],[Step]] =current_step, current_Grad_d,IF(Iterations[[#This Row],[Step]] &gt; current_step, "",Iterations[[#This Row],[Grad_d]]))</f>
        <v/>
      </c>
      <c r="R243" s="2" t="str">
        <f>IF(Iterations[[#This Row],[Step]] =current_step, current_Grad_e,IF(Iterations[[#This Row],[Step]] &gt; current_step, "",Iterations[[#This Row],[Grad_e]]))</f>
        <v/>
      </c>
    </row>
    <row r="244" spans="6:18" x14ac:dyDescent="0.3">
      <c r="F244" s="2">
        <f t="shared" si="5"/>
        <v>227</v>
      </c>
      <c r="G244" s="2" t="str">
        <f>IF(Iterations[[#This Row],[Step]] =current_step, current_a,IF(Iterations[[#This Row],[Step]] &gt; current_step, "",Iterations[[#This Row],[a]]))</f>
        <v/>
      </c>
      <c r="H244" s="2" t="str">
        <f>IF(Iterations[[#This Row],[Step]] =current_step, current_b,IF(Iterations[[#This Row],[Step]] &gt; current_step, "",Iterations[[#This Row],[b]]))</f>
        <v/>
      </c>
      <c r="I244" s="2" t="str">
        <f>IF(Iterations[[#This Row],[Step]] =current_step, current_c,IF(Iterations[[#This Row],[Step]] &gt; current_step, "",Iterations[[#This Row],[c]]))</f>
        <v/>
      </c>
      <c r="J244" s="2" t="str">
        <f>IF(Iterations[[#This Row],[Step]] =current_step, current_d,IF(Iterations[[#This Row],[Step]] &gt; current_step, "",Iterations[[#This Row],[d]]))</f>
        <v/>
      </c>
      <c r="K244" s="2" t="str">
        <f>IF(Iterations[[#This Row],[Step]] =current_step, current_e,IF(Iterations[[#This Row],[Step]] &gt; current_step, "",Iterations[[#This Row],[e]]))</f>
        <v/>
      </c>
      <c r="L244" s="2" t="str">
        <f>IF(Iterations[[#This Row],[Step]] =current_step, current_Total_Loss,IF(Iterations[[#This Row],[Step]] &gt; current_step, "",Iterations[[#This Row],[Total Loss]]))</f>
        <v/>
      </c>
      <c r="M244" s="6" t="s">
        <v>27</v>
      </c>
      <c r="N244" s="2" t="str">
        <f>IF(Iterations[[#This Row],[Step]] =current_step, current_Grad_a,IF(Iterations[[#This Row],[Step]] &gt; current_step, "",Iterations[[#This Row],[Grad_a]]))</f>
        <v/>
      </c>
      <c r="O244" s="2" t="str">
        <f>IF(Iterations[[#This Row],[Step]] =current_step, current_Grad_b,IF(Iterations[[#This Row],[Step]] &gt; current_step, "",Iterations[[#This Row],[Grad_b]]))</f>
        <v/>
      </c>
      <c r="P244" s="2" t="str">
        <f>IF(Iterations[[#This Row],[Step]] =current_step, current_Grad_c,IF(Iterations[[#This Row],[Step]] &gt; current_step, "",Iterations[[#This Row],[Grad_c]]))</f>
        <v/>
      </c>
      <c r="Q244" s="2" t="str">
        <f>IF(Iterations[[#This Row],[Step]] =current_step, current_Grad_d,IF(Iterations[[#This Row],[Step]] &gt; current_step, "",Iterations[[#This Row],[Grad_d]]))</f>
        <v/>
      </c>
      <c r="R244" s="2" t="str">
        <f>IF(Iterations[[#This Row],[Step]] =current_step, current_Grad_e,IF(Iterations[[#This Row],[Step]] &gt; current_step, "",Iterations[[#This Row],[Grad_e]]))</f>
        <v/>
      </c>
    </row>
    <row r="245" spans="6:18" x14ac:dyDescent="0.3">
      <c r="F245" s="2">
        <f t="shared" si="5"/>
        <v>228</v>
      </c>
      <c r="G245" s="2" t="str">
        <f>IF(Iterations[[#This Row],[Step]] =current_step, current_a,IF(Iterations[[#This Row],[Step]] &gt; current_step, "",Iterations[[#This Row],[a]]))</f>
        <v/>
      </c>
      <c r="H245" s="2" t="str">
        <f>IF(Iterations[[#This Row],[Step]] =current_step, current_b,IF(Iterations[[#This Row],[Step]] &gt; current_step, "",Iterations[[#This Row],[b]]))</f>
        <v/>
      </c>
      <c r="I245" s="2" t="str">
        <f>IF(Iterations[[#This Row],[Step]] =current_step, current_c,IF(Iterations[[#This Row],[Step]] &gt; current_step, "",Iterations[[#This Row],[c]]))</f>
        <v/>
      </c>
      <c r="J245" s="2" t="str">
        <f>IF(Iterations[[#This Row],[Step]] =current_step, current_d,IF(Iterations[[#This Row],[Step]] &gt; current_step, "",Iterations[[#This Row],[d]]))</f>
        <v/>
      </c>
      <c r="K245" s="2" t="str">
        <f>IF(Iterations[[#This Row],[Step]] =current_step, current_e,IF(Iterations[[#This Row],[Step]] &gt; current_step, "",Iterations[[#This Row],[e]]))</f>
        <v/>
      </c>
      <c r="L245" s="2" t="str">
        <f>IF(Iterations[[#This Row],[Step]] =current_step, current_Total_Loss,IF(Iterations[[#This Row],[Step]] &gt; current_step, "",Iterations[[#This Row],[Total Loss]]))</f>
        <v/>
      </c>
      <c r="M245" s="6" t="s">
        <v>27</v>
      </c>
      <c r="N245" s="2" t="str">
        <f>IF(Iterations[[#This Row],[Step]] =current_step, current_Grad_a,IF(Iterations[[#This Row],[Step]] &gt; current_step, "",Iterations[[#This Row],[Grad_a]]))</f>
        <v/>
      </c>
      <c r="O245" s="2" t="str">
        <f>IF(Iterations[[#This Row],[Step]] =current_step, current_Grad_b,IF(Iterations[[#This Row],[Step]] &gt; current_step, "",Iterations[[#This Row],[Grad_b]]))</f>
        <v/>
      </c>
      <c r="P245" s="2" t="str">
        <f>IF(Iterations[[#This Row],[Step]] =current_step, current_Grad_c,IF(Iterations[[#This Row],[Step]] &gt; current_step, "",Iterations[[#This Row],[Grad_c]]))</f>
        <v/>
      </c>
      <c r="Q245" s="2" t="str">
        <f>IF(Iterations[[#This Row],[Step]] =current_step, current_Grad_d,IF(Iterations[[#This Row],[Step]] &gt; current_step, "",Iterations[[#This Row],[Grad_d]]))</f>
        <v/>
      </c>
      <c r="R245" s="2" t="str">
        <f>IF(Iterations[[#This Row],[Step]] =current_step, current_Grad_e,IF(Iterations[[#This Row],[Step]] &gt; current_step, "",Iterations[[#This Row],[Grad_e]]))</f>
        <v/>
      </c>
    </row>
    <row r="246" spans="6:18" x14ac:dyDescent="0.3">
      <c r="F246" s="2">
        <f t="shared" si="5"/>
        <v>229</v>
      </c>
      <c r="G246" s="2" t="str">
        <f>IF(Iterations[[#This Row],[Step]] =current_step, current_a,IF(Iterations[[#This Row],[Step]] &gt; current_step, "",Iterations[[#This Row],[a]]))</f>
        <v/>
      </c>
      <c r="H246" s="2" t="str">
        <f>IF(Iterations[[#This Row],[Step]] =current_step, current_b,IF(Iterations[[#This Row],[Step]] &gt; current_step, "",Iterations[[#This Row],[b]]))</f>
        <v/>
      </c>
      <c r="I246" s="2" t="str">
        <f>IF(Iterations[[#This Row],[Step]] =current_step, current_c,IF(Iterations[[#This Row],[Step]] &gt; current_step, "",Iterations[[#This Row],[c]]))</f>
        <v/>
      </c>
      <c r="J246" s="2" t="str">
        <f>IF(Iterations[[#This Row],[Step]] =current_step, current_d,IF(Iterations[[#This Row],[Step]] &gt; current_step, "",Iterations[[#This Row],[d]]))</f>
        <v/>
      </c>
      <c r="K246" s="2" t="str">
        <f>IF(Iterations[[#This Row],[Step]] =current_step, current_e,IF(Iterations[[#This Row],[Step]] &gt; current_step, "",Iterations[[#This Row],[e]]))</f>
        <v/>
      </c>
      <c r="L246" s="2" t="str">
        <f>IF(Iterations[[#This Row],[Step]] =current_step, current_Total_Loss,IF(Iterations[[#This Row],[Step]] &gt; current_step, "",Iterations[[#This Row],[Total Loss]]))</f>
        <v/>
      </c>
      <c r="M246" s="6" t="s">
        <v>27</v>
      </c>
      <c r="N246" s="2" t="str">
        <f>IF(Iterations[[#This Row],[Step]] =current_step, current_Grad_a,IF(Iterations[[#This Row],[Step]] &gt; current_step, "",Iterations[[#This Row],[Grad_a]]))</f>
        <v/>
      </c>
      <c r="O246" s="2" t="str">
        <f>IF(Iterations[[#This Row],[Step]] =current_step, current_Grad_b,IF(Iterations[[#This Row],[Step]] &gt; current_step, "",Iterations[[#This Row],[Grad_b]]))</f>
        <v/>
      </c>
      <c r="P246" s="2" t="str">
        <f>IF(Iterations[[#This Row],[Step]] =current_step, current_Grad_c,IF(Iterations[[#This Row],[Step]] &gt; current_step, "",Iterations[[#This Row],[Grad_c]]))</f>
        <v/>
      </c>
      <c r="Q246" s="2" t="str">
        <f>IF(Iterations[[#This Row],[Step]] =current_step, current_Grad_d,IF(Iterations[[#This Row],[Step]] &gt; current_step, "",Iterations[[#This Row],[Grad_d]]))</f>
        <v/>
      </c>
      <c r="R246" s="2" t="str">
        <f>IF(Iterations[[#This Row],[Step]] =current_step, current_Grad_e,IF(Iterations[[#This Row],[Step]] &gt; current_step, "",Iterations[[#This Row],[Grad_e]]))</f>
        <v/>
      </c>
    </row>
    <row r="247" spans="6:18" x14ac:dyDescent="0.3">
      <c r="F247" s="2">
        <f t="shared" si="5"/>
        <v>230</v>
      </c>
      <c r="G247" s="2" t="str">
        <f>IF(Iterations[[#This Row],[Step]] =current_step, current_a,IF(Iterations[[#This Row],[Step]] &gt; current_step, "",Iterations[[#This Row],[a]]))</f>
        <v/>
      </c>
      <c r="H247" s="2" t="str">
        <f>IF(Iterations[[#This Row],[Step]] =current_step, current_b,IF(Iterations[[#This Row],[Step]] &gt; current_step, "",Iterations[[#This Row],[b]]))</f>
        <v/>
      </c>
      <c r="I247" s="2" t="str">
        <f>IF(Iterations[[#This Row],[Step]] =current_step, current_c,IF(Iterations[[#This Row],[Step]] &gt; current_step, "",Iterations[[#This Row],[c]]))</f>
        <v/>
      </c>
      <c r="J247" s="2" t="str">
        <f>IF(Iterations[[#This Row],[Step]] =current_step, current_d,IF(Iterations[[#This Row],[Step]] &gt; current_step, "",Iterations[[#This Row],[d]]))</f>
        <v/>
      </c>
      <c r="K247" s="2" t="str">
        <f>IF(Iterations[[#This Row],[Step]] =current_step, current_e,IF(Iterations[[#This Row],[Step]] &gt; current_step, "",Iterations[[#This Row],[e]]))</f>
        <v/>
      </c>
      <c r="L247" s="2" t="str">
        <f>IF(Iterations[[#This Row],[Step]] =current_step, current_Total_Loss,IF(Iterations[[#This Row],[Step]] &gt; current_step, "",Iterations[[#This Row],[Total Loss]]))</f>
        <v/>
      </c>
      <c r="M247" s="6" t="s">
        <v>27</v>
      </c>
      <c r="N247" s="2" t="str">
        <f>IF(Iterations[[#This Row],[Step]] =current_step, current_Grad_a,IF(Iterations[[#This Row],[Step]] &gt; current_step, "",Iterations[[#This Row],[Grad_a]]))</f>
        <v/>
      </c>
      <c r="O247" s="2" t="str">
        <f>IF(Iterations[[#This Row],[Step]] =current_step, current_Grad_b,IF(Iterations[[#This Row],[Step]] &gt; current_step, "",Iterations[[#This Row],[Grad_b]]))</f>
        <v/>
      </c>
      <c r="P247" s="2" t="str">
        <f>IF(Iterations[[#This Row],[Step]] =current_step, current_Grad_c,IF(Iterations[[#This Row],[Step]] &gt; current_step, "",Iterations[[#This Row],[Grad_c]]))</f>
        <v/>
      </c>
      <c r="Q247" s="2" t="str">
        <f>IF(Iterations[[#This Row],[Step]] =current_step, current_Grad_d,IF(Iterations[[#This Row],[Step]] &gt; current_step, "",Iterations[[#This Row],[Grad_d]]))</f>
        <v/>
      </c>
      <c r="R247" s="2" t="str">
        <f>IF(Iterations[[#This Row],[Step]] =current_step, current_Grad_e,IF(Iterations[[#This Row],[Step]] &gt; current_step, "",Iterations[[#This Row],[Grad_e]]))</f>
        <v/>
      </c>
    </row>
    <row r="248" spans="6:18" x14ac:dyDescent="0.3">
      <c r="F248" s="2">
        <f t="shared" si="5"/>
        <v>231</v>
      </c>
      <c r="G248" s="2" t="str">
        <f>IF(Iterations[[#This Row],[Step]] =current_step, current_a,IF(Iterations[[#This Row],[Step]] &gt; current_step, "",Iterations[[#This Row],[a]]))</f>
        <v/>
      </c>
      <c r="H248" s="2" t="str">
        <f>IF(Iterations[[#This Row],[Step]] =current_step, current_b,IF(Iterations[[#This Row],[Step]] &gt; current_step, "",Iterations[[#This Row],[b]]))</f>
        <v/>
      </c>
      <c r="I248" s="2" t="str">
        <f>IF(Iterations[[#This Row],[Step]] =current_step, current_c,IF(Iterations[[#This Row],[Step]] &gt; current_step, "",Iterations[[#This Row],[c]]))</f>
        <v/>
      </c>
      <c r="J248" s="2" t="str">
        <f>IF(Iterations[[#This Row],[Step]] =current_step, current_d,IF(Iterations[[#This Row],[Step]] &gt; current_step, "",Iterations[[#This Row],[d]]))</f>
        <v/>
      </c>
      <c r="K248" s="2" t="str">
        <f>IF(Iterations[[#This Row],[Step]] =current_step, current_e,IF(Iterations[[#This Row],[Step]] &gt; current_step, "",Iterations[[#This Row],[e]]))</f>
        <v/>
      </c>
      <c r="L248" s="2" t="str">
        <f>IF(Iterations[[#This Row],[Step]] =current_step, current_Total_Loss,IF(Iterations[[#This Row],[Step]] &gt; current_step, "",Iterations[[#This Row],[Total Loss]]))</f>
        <v/>
      </c>
      <c r="M248" s="6" t="s">
        <v>27</v>
      </c>
      <c r="N248" s="2" t="str">
        <f>IF(Iterations[[#This Row],[Step]] =current_step, current_Grad_a,IF(Iterations[[#This Row],[Step]] &gt; current_step, "",Iterations[[#This Row],[Grad_a]]))</f>
        <v/>
      </c>
      <c r="O248" s="2" t="str">
        <f>IF(Iterations[[#This Row],[Step]] =current_step, current_Grad_b,IF(Iterations[[#This Row],[Step]] &gt; current_step, "",Iterations[[#This Row],[Grad_b]]))</f>
        <v/>
      </c>
      <c r="P248" s="2" t="str">
        <f>IF(Iterations[[#This Row],[Step]] =current_step, current_Grad_c,IF(Iterations[[#This Row],[Step]] &gt; current_step, "",Iterations[[#This Row],[Grad_c]]))</f>
        <v/>
      </c>
      <c r="Q248" s="2" t="str">
        <f>IF(Iterations[[#This Row],[Step]] =current_step, current_Grad_d,IF(Iterations[[#This Row],[Step]] &gt; current_step, "",Iterations[[#This Row],[Grad_d]]))</f>
        <v/>
      </c>
      <c r="R248" s="2" t="str">
        <f>IF(Iterations[[#This Row],[Step]] =current_step, current_Grad_e,IF(Iterations[[#This Row],[Step]] &gt; current_step, "",Iterations[[#This Row],[Grad_e]]))</f>
        <v/>
      </c>
    </row>
    <row r="249" spans="6:18" x14ac:dyDescent="0.3">
      <c r="F249" s="2">
        <f t="shared" si="5"/>
        <v>232</v>
      </c>
      <c r="G249" s="2" t="str">
        <f>IF(Iterations[[#This Row],[Step]] =current_step, current_a,IF(Iterations[[#This Row],[Step]] &gt; current_step, "",Iterations[[#This Row],[a]]))</f>
        <v/>
      </c>
      <c r="H249" s="2" t="str">
        <f>IF(Iterations[[#This Row],[Step]] =current_step, current_b,IF(Iterations[[#This Row],[Step]] &gt; current_step, "",Iterations[[#This Row],[b]]))</f>
        <v/>
      </c>
      <c r="I249" s="2" t="str">
        <f>IF(Iterations[[#This Row],[Step]] =current_step, current_c,IF(Iterations[[#This Row],[Step]] &gt; current_step, "",Iterations[[#This Row],[c]]))</f>
        <v/>
      </c>
      <c r="J249" s="2" t="str">
        <f>IF(Iterations[[#This Row],[Step]] =current_step, current_d,IF(Iterations[[#This Row],[Step]] &gt; current_step, "",Iterations[[#This Row],[d]]))</f>
        <v/>
      </c>
      <c r="K249" s="2" t="str">
        <f>IF(Iterations[[#This Row],[Step]] =current_step, current_e,IF(Iterations[[#This Row],[Step]] &gt; current_step, "",Iterations[[#This Row],[e]]))</f>
        <v/>
      </c>
      <c r="L249" s="2" t="str">
        <f>IF(Iterations[[#This Row],[Step]] =current_step, current_Total_Loss,IF(Iterations[[#This Row],[Step]] &gt; current_step, "",Iterations[[#This Row],[Total Loss]]))</f>
        <v/>
      </c>
      <c r="M249" s="6" t="s">
        <v>27</v>
      </c>
      <c r="N249" s="2" t="str">
        <f>IF(Iterations[[#This Row],[Step]] =current_step, current_Grad_a,IF(Iterations[[#This Row],[Step]] &gt; current_step, "",Iterations[[#This Row],[Grad_a]]))</f>
        <v/>
      </c>
      <c r="O249" s="2" t="str">
        <f>IF(Iterations[[#This Row],[Step]] =current_step, current_Grad_b,IF(Iterations[[#This Row],[Step]] &gt; current_step, "",Iterations[[#This Row],[Grad_b]]))</f>
        <v/>
      </c>
      <c r="P249" s="2" t="str">
        <f>IF(Iterations[[#This Row],[Step]] =current_step, current_Grad_c,IF(Iterations[[#This Row],[Step]] &gt; current_step, "",Iterations[[#This Row],[Grad_c]]))</f>
        <v/>
      </c>
      <c r="Q249" s="2" t="str">
        <f>IF(Iterations[[#This Row],[Step]] =current_step, current_Grad_d,IF(Iterations[[#This Row],[Step]] &gt; current_step, "",Iterations[[#This Row],[Grad_d]]))</f>
        <v/>
      </c>
      <c r="R249" s="2" t="str">
        <f>IF(Iterations[[#This Row],[Step]] =current_step, current_Grad_e,IF(Iterations[[#This Row],[Step]] &gt; current_step, "",Iterations[[#This Row],[Grad_e]]))</f>
        <v/>
      </c>
    </row>
    <row r="250" spans="6:18" x14ac:dyDescent="0.3">
      <c r="F250" s="2">
        <f t="shared" si="5"/>
        <v>233</v>
      </c>
      <c r="G250" s="2" t="str">
        <f>IF(Iterations[[#This Row],[Step]] =current_step, current_a,IF(Iterations[[#This Row],[Step]] &gt; current_step, "",Iterations[[#This Row],[a]]))</f>
        <v/>
      </c>
      <c r="H250" s="2" t="str">
        <f>IF(Iterations[[#This Row],[Step]] =current_step, current_b,IF(Iterations[[#This Row],[Step]] &gt; current_step, "",Iterations[[#This Row],[b]]))</f>
        <v/>
      </c>
      <c r="I250" s="2" t="str">
        <f>IF(Iterations[[#This Row],[Step]] =current_step, current_c,IF(Iterations[[#This Row],[Step]] &gt; current_step, "",Iterations[[#This Row],[c]]))</f>
        <v/>
      </c>
      <c r="J250" s="2" t="str">
        <f>IF(Iterations[[#This Row],[Step]] =current_step, current_d,IF(Iterations[[#This Row],[Step]] &gt; current_step, "",Iterations[[#This Row],[d]]))</f>
        <v/>
      </c>
      <c r="K250" s="2" t="str">
        <f>IF(Iterations[[#This Row],[Step]] =current_step, current_e,IF(Iterations[[#This Row],[Step]] &gt; current_step, "",Iterations[[#This Row],[e]]))</f>
        <v/>
      </c>
      <c r="L250" s="2" t="str">
        <f>IF(Iterations[[#This Row],[Step]] =current_step, current_Total_Loss,IF(Iterations[[#This Row],[Step]] &gt; current_step, "",Iterations[[#This Row],[Total Loss]]))</f>
        <v/>
      </c>
      <c r="M250" s="6" t="s">
        <v>27</v>
      </c>
      <c r="N250" s="2" t="str">
        <f>IF(Iterations[[#This Row],[Step]] =current_step, current_Grad_a,IF(Iterations[[#This Row],[Step]] &gt; current_step, "",Iterations[[#This Row],[Grad_a]]))</f>
        <v/>
      </c>
      <c r="O250" s="2" t="str">
        <f>IF(Iterations[[#This Row],[Step]] =current_step, current_Grad_b,IF(Iterations[[#This Row],[Step]] &gt; current_step, "",Iterations[[#This Row],[Grad_b]]))</f>
        <v/>
      </c>
      <c r="P250" s="2" t="str">
        <f>IF(Iterations[[#This Row],[Step]] =current_step, current_Grad_c,IF(Iterations[[#This Row],[Step]] &gt; current_step, "",Iterations[[#This Row],[Grad_c]]))</f>
        <v/>
      </c>
      <c r="Q250" s="2" t="str">
        <f>IF(Iterations[[#This Row],[Step]] =current_step, current_Grad_d,IF(Iterations[[#This Row],[Step]] &gt; current_step, "",Iterations[[#This Row],[Grad_d]]))</f>
        <v/>
      </c>
      <c r="R250" s="2" t="str">
        <f>IF(Iterations[[#This Row],[Step]] =current_step, current_Grad_e,IF(Iterations[[#This Row],[Step]] &gt; current_step, "",Iterations[[#This Row],[Grad_e]]))</f>
        <v/>
      </c>
    </row>
    <row r="251" spans="6:18" x14ac:dyDescent="0.3">
      <c r="F251" s="2">
        <f t="shared" si="5"/>
        <v>234</v>
      </c>
      <c r="G251" s="2" t="str">
        <f>IF(Iterations[[#This Row],[Step]] =current_step, current_a,IF(Iterations[[#This Row],[Step]] &gt; current_step, "",Iterations[[#This Row],[a]]))</f>
        <v/>
      </c>
      <c r="H251" s="2" t="str">
        <f>IF(Iterations[[#This Row],[Step]] =current_step, current_b,IF(Iterations[[#This Row],[Step]] &gt; current_step, "",Iterations[[#This Row],[b]]))</f>
        <v/>
      </c>
      <c r="I251" s="2" t="str">
        <f>IF(Iterations[[#This Row],[Step]] =current_step, current_c,IF(Iterations[[#This Row],[Step]] &gt; current_step, "",Iterations[[#This Row],[c]]))</f>
        <v/>
      </c>
      <c r="J251" s="2" t="str">
        <f>IF(Iterations[[#This Row],[Step]] =current_step, current_d,IF(Iterations[[#This Row],[Step]] &gt; current_step, "",Iterations[[#This Row],[d]]))</f>
        <v/>
      </c>
      <c r="K251" s="2" t="str">
        <f>IF(Iterations[[#This Row],[Step]] =current_step, current_e,IF(Iterations[[#This Row],[Step]] &gt; current_step, "",Iterations[[#This Row],[e]]))</f>
        <v/>
      </c>
      <c r="L251" s="2" t="str">
        <f>IF(Iterations[[#This Row],[Step]] =current_step, current_Total_Loss,IF(Iterations[[#This Row],[Step]] &gt; current_step, "",Iterations[[#This Row],[Total Loss]]))</f>
        <v/>
      </c>
      <c r="M251" s="6" t="s">
        <v>27</v>
      </c>
      <c r="N251" s="2" t="str">
        <f>IF(Iterations[[#This Row],[Step]] =current_step, current_Grad_a,IF(Iterations[[#This Row],[Step]] &gt; current_step, "",Iterations[[#This Row],[Grad_a]]))</f>
        <v/>
      </c>
      <c r="O251" s="2" t="str">
        <f>IF(Iterations[[#This Row],[Step]] =current_step, current_Grad_b,IF(Iterations[[#This Row],[Step]] &gt; current_step, "",Iterations[[#This Row],[Grad_b]]))</f>
        <v/>
      </c>
      <c r="P251" s="2" t="str">
        <f>IF(Iterations[[#This Row],[Step]] =current_step, current_Grad_c,IF(Iterations[[#This Row],[Step]] &gt; current_step, "",Iterations[[#This Row],[Grad_c]]))</f>
        <v/>
      </c>
      <c r="Q251" s="2" t="str">
        <f>IF(Iterations[[#This Row],[Step]] =current_step, current_Grad_d,IF(Iterations[[#This Row],[Step]] &gt; current_step, "",Iterations[[#This Row],[Grad_d]]))</f>
        <v/>
      </c>
      <c r="R251" s="2" t="str">
        <f>IF(Iterations[[#This Row],[Step]] =current_step, current_Grad_e,IF(Iterations[[#This Row],[Step]] &gt; current_step, "",Iterations[[#This Row],[Grad_e]]))</f>
        <v/>
      </c>
    </row>
    <row r="252" spans="6:18" x14ac:dyDescent="0.3">
      <c r="F252" s="2">
        <f t="shared" si="5"/>
        <v>235</v>
      </c>
      <c r="G252" s="2" t="str">
        <f>IF(Iterations[[#This Row],[Step]] =current_step, current_a,IF(Iterations[[#This Row],[Step]] &gt; current_step, "",Iterations[[#This Row],[a]]))</f>
        <v/>
      </c>
      <c r="H252" s="2" t="str">
        <f>IF(Iterations[[#This Row],[Step]] =current_step, current_b,IF(Iterations[[#This Row],[Step]] &gt; current_step, "",Iterations[[#This Row],[b]]))</f>
        <v/>
      </c>
      <c r="I252" s="2" t="str">
        <f>IF(Iterations[[#This Row],[Step]] =current_step, current_c,IF(Iterations[[#This Row],[Step]] &gt; current_step, "",Iterations[[#This Row],[c]]))</f>
        <v/>
      </c>
      <c r="J252" s="2" t="str">
        <f>IF(Iterations[[#This Row],[Step]] =current_step, current_d,IF(Iterations[[#This Row],[Step]] &gt; current_step, "",Iterations[[#This Row],[d]]))</f>
        <v/>
      </c>
      <c r="K252" s="2" t="str">
        <f>IF(Iterations[[#This Row],[Step]] =current_step, current_e,IF(Iterations[[#This Row],[Step]] &gt; current_step, "",Iterations[[#This Row],[e]]))</f>
        <v/>
      </c>
      <c r="L252" s="2" t="str">
        <f>IF(Iterations[[#This Row],[Step]] =current_step, current_Total_Loss,IF(Iterations[[#This Row],[Step]] &gt; current_step, "",Iterations[[#This Row],[Total Loss]]))</f>
        <v/>
      </c>
      <c r="M252" s="6" t="s">
        <v>27</v>
      </c>
      <c r="N252" s="2" t="str">
        <f>IF(Iterations[[#This Row],[Step]] =current_step, current_Grad_a,IF(Iterations[[#This Row],[Step]] &gt; current_step, "",Iterations[[#This Row],[Grad_a]]))</f>
        <v/>
      </c>
      <c r="O252" s="2" t="str">
        <f>IF(Iterations[[#This Row],[Step]] =current_step, current_Grad_b,IF(Iterations[[#This Row],[Step]] &gt; current_step, "",Iterations[[#This Row],[Grad_b]]))</f>
        <v/>
      </c>
      <c r="P252" s="2" t="str">
        <f>IF(Iterations[[#This Row],[Step]] =current_step, current_Grad_c,IF(Iterations[[#This Row],[Step]] &gt; current_step, "",Iterations[[#This Row],[Grad_c]]))</f>
        <v/>
      </c>
      <c r="Q252" s="2" t="str">
        <f>IF(Iterations[[#This Row],[Step]] =current_step, current_Grad_d,IF(Iterations[[#This Row],[Step]] &gt; current_step, "",Iterations[[#This Row],[Grad_d]]))</f>
        <v/>
      </c>
      <c r="R252" s="2" t="str">
        <f>IF(Iterations[[#This Row],[Step]] =current_step, current_Grad_e,IF(Iterations[[#This Row],[Step]] &gt; current_step, "",Iterations[[#This Row],[Grad_e]]))</f>
        <v/>
      </c>
    </row>
    <row r="253" spans="6:18" x14ac:dyDescent="0.3">
      <c r="F253" s="2">
        <f t="shared" si="5"/>
        <v>236</v>
      </c>
      <c r="G253" s="2" t="str">
        <f>IF(Iterations[[#This Row],[Step]] =current_step, current_a,IF(Iterations[[#This Row],[Step]] &gt; current_step, "",Iterations[[#This Row],[a]]))</f>
        <v/>
      </c>
      <c r="H253" s="2" t="str">
        <f>IF(Iterations[[#This Row],[Step]] =current_step, current_b,IF(Iterations[[#This Row],[Step]] &gt; current_step, "",Iterations[[#This Row],[b]]))</f>
        <v/>
      </c>
      <c r="I253" s="2" t="str">
        <f>IF(Iterations[[#This Row],[Step]] =current_step, current_c,IF(Iterations[[#This Row],[Step]] &gt; current_step, "",Iterations[[#This Row],[c]]))</f>
        <v/>
      </c>
      <c r="J253" s="2" t="str">
        <f>IF(Iterations[[#This Row],[Step]] =current_step, current_d,IF(Iterations[[#This Row],[Step]] &gt; current_step, "",Iterations[[#This Row],[d]]))</f>
        <v/>
      </c>
      <c r="K253" s="2" t="str">
        <f>IF(Iterations[[#This Row],[Step]] =current_step, current_e,IF(Iterations[[#This Row],[Step]] &gt; current_step, "",Iterations[[#This Row],[e]]))</f>
        <v/>
      </c>
      <c r="L253" s="2" t="str">
        <f>IF(Iterations[[#This Row],[Step]] =current_step, current_Total_Loss,IF(Iterations[[#This Row],[Step]] &gt; current_step, "",Iterations[[#This Row],[Total Loss]]))</f>
        <v/>
      </c>
      <c r="M253" s="6" t="s">
        <v>27</v>
      </c>
      <c r="N253" s="2" t="str">
        <f>IF(Iterations[[#This Row],[Step]] =current_step, current_Grad_a,IF(Iterations[[#This Row],[Step]] &gt; current_step, "",Iterations[[#This Row],[Grad_a]]))</f>
        <v/>
      </c>
      <c r="O253" s="2" t="str">
        <f>IF(Iterations[[#This Row],[Step]] =current_step, current_Grad_b,IF(Iterations[[#This Row],[Step]] &gt; current_step, "",Iterations[[#This Row],[Grad_b]]))</f>
        <v/>
      </c>
      <c r="P253" s="2" t="str">
        <f>IF(Iterations[[#This Row],[Step]] =current_step, current_Grad_c,IF(Iterations[[#This Row],[Step]] &gt; current_step, "",Iterations[[#This Row],[Grad_c]]))</f>
        <v/>
      </c>
      <c r="Q253" s="2" t="str">
        <f>IF(Iterations[[#This Row],[Step]] =current_step, current_Grad_d,IF(Iterations[[#This Row],[Step]] &gt; current_step, "",Iterations[[#This Row],[Grad_d]]))</f>
        <v/>
      </c>
      <c r="R253" s="2" t="str">
        <f>IF(Iterations[[#This Row],[Step]] =current_step, current_Grad_e,IF(Iterations[[#This Row],[Step]] &gt; current_step, "",Iterations[[#This Row],[Grad_e]]))</f>
        <v/>
      </c>
    </row>
    <row r="254" spans="6:18" x14ac:dyDescent="0.3">
      <c r="F254" s="2">
        <f t="shared" si="5"/>
        <v>237</v>
      </c>
      <c r="G254" s="2" t="str">
        <f>IF(Iterations[[#This Row],[Step]] =current_step, current_a,IF(Iterations[[#This Row],[Step]] &gt; current_step, "",Iterations[[#This Row],[a]]))</f>
        <v/>
      </c>
      <c r="H254" s="2" t="str">
        <f>IF(Iterations[[#This Row],[Step]] =current_step, current_b,IF(Iterations[[#This Row],[Step]] &gt; current_step, "",Iterations[[#This Row],[b]]))</f>
        <v/>
      </c>
      <c r="I254" s="2" t="str">
        <f>IF(Iterations[[#This Row],[Step]] =current_step, current_c,IF(Iterations[[#This Row],[Step]] &gt; current_step, "",Iterations[[#This Row],[c]]))</f>
        <v/>
      </c>
      <c r="J254" s="2" t="str">
        <f>IF(Iterations[[#This Row],[Step]] =current_step, current_d,IF(Iterations[[#This Row],[Step]] &gt; current_step, "",Iterations[[#This Row],[d]]))</f>
        <v/>
      </c>
      <c r="K254" s="2" t="str">
        <f>IF(Iterations[[#This Row],[Step]] =current_step, current_e,IF(Iterations[[#This Row],[Step]] &gt; current_step, "",Iterations[[#This Row],[e]]))</f>
        <v/>
      </c>
      <c r="L254" s="2" t="str">
        <f>IF(Iterations[[#This Row],[Step]] =current_step, current_Total_Loss,IF(Iterations[[#This Row],[Step]] &gt; current_step, "",Iterations[[#This Row],[Total Loss]]))</f>
        <v/>
      </c>
      <c r="M254" s="6" t="s">
        <v>27</v>
      </c>
      <c r="N254" s="2" t="str">
        <f>IF(Iterations[[#This Row],[Step]] =current_step, current_Grad_a,IF(Iterations[[#This Row],[Step]] &gt; current_step, "",Iterations[[#This Row],[Grad_a]]))</f>
        <v/>
      </c>
      <c r="O254" s="2" t="str">
        <f>IF(Iterations[[#This Row],[Step]] =current_step, current_Grad_b,IF(Iterations[[#This Row],[Step]] &gt; current_step, "",Iterations[[#This Row],[Grad_b]]))</f>
        <v/>
      </c>
      <c r="P254" s="2" t="str">
        <f>IF(Iterations[[#This Row],[Step]] =current_step, current_Grad_c,IF(Iterations[[#This Row],[Step]] &gt; current_step, "",Iterations[[#This Row],[Grad_c]]))</f>
        <v/>
      </c>
      <c r="Q254" s="2" t="str">
        <f>IF(Iterations[[#This Row],[Step]] =current_step, current_Grad_d,IF(Iterations[[#This Row],[Step]] &gt; current_step, "",Iterations[[#This Row],[Grad_d]]))</f>
        <v/>
      </c>
      <c r="R254" s="2" t="str">
        <f>IF(Iterations[[#This Row],[Step]] =current_step, current_Grad_e,IF(Iterations[[#This Row],[Step]] &gt; current_step, "",Iterations[[#This Row],[Grad_e]]))</f>
        <v/>
      </c>
    </row>
    <row r="255" spans="6:18" x14ac:dyDescent="0.3">
      <c r="F255" s="2">
        <f t="shared" si="5"/>
        <v>238</v>
      </c>
      <c r="G255" s="2" t="str">
        <f>IF(Iterations[[#This Row],[Step]] =current_step, current_a,IF(Iterations[[#This Row],[Step]] &gt; current_step, "",Iterations[[#This Row],[a]]))</f>
        <v/>
      </c>
      <c r="H255" s="2" t="str">
        <f>IF(Iterations[[#This Row],[Step]] =current_step, current_b,IF(Iterations[[#This Row],[Step]] &gt; current_step, "",Iterations[[#This Row],[b]]))</f>
        <v/>
      </c>
      <c r="I255" s="2" t="str">
        <f>IF(Iterations[[#This Row],[Step]] =current_step, current_c,IF(Iterations[[#This Row],[Step]] &gt; current_step, "",Iterations[[#This Row],[c]]))</f>
        <v/>
      </c>
      <c r="J255" s="2" t="str">
        <f>IF(Iterations[[#This Row],[Step]] =current_step, current_d,IF(Iterations[[#This Row],[Step]] &gt; current_step, "",Iterations[[#This Row],[d]]))</f>
        <v/>
      </c>
      <c r="K255" s="2" t="str">
        <f>IF(Iterations[[#This Row],[Step]] =current_step, current_e,IF(Iterations[[#This Row],[Step]] &gt; current_step, "",Iterations[[#This Row],[e]]))</f>
        <v/>
      </c>
      <c r="L255" s="2" t="str">
        <f>IF(Iterations[[#This Row],[Step]] =current_step, current_Total_Loss,IF(Iterations[[#This Row],[Step]] &gt; current_step, "",Iterations[[#This Row],[Total Loss]]))</f>
        <v/>
      </c>
      <c r="M255" s="6" t="s">
        <v>27</v>
      </c>
      <c r="N255" s="2" t="str">
        <f>IF(Iterations[[#This Row],[Step]] =current_step, current_Grad_a,IF(Iterations[[#This Row],[Step]] &gt; current_step, "",Iterations[[#This Row],[Grad_a]]))</f>
        <v/>
      </c>
      <c r="O255" s="2" t="str">
        <f>IF(Iterations[[#This Row],[Step]] =current_step, current_Grad_b,IF(Iterations[[#This Row],[Step]] &gt; current_step, "",Iterations[[#This Row],[Grad_b]]))</f>
        <v/>
      </c>
      <c r="P255" s="2" t="str">
        <f>IF(Iterations[[#This Row],[Step]] =current_step, current_Grad_c,IF(Iterations[[#This Row],[Step]] &gt; current_step, "",Iterations[[#This Row],[Grad_c]]))</f>
        <v/>
      </c>
      <c r="Q255" s="2" t="str">
        <f>IF(Iterations[[#This Row],[Step]] =current_step, current_Grad_d,IF(Iterations[[#This Row],[Step]] &gt; current_step, "",Iterations[[#This Row],[Grad_d]]))</f>
        <v/>
      </c>
      <c r="R255" s="2" t="str">
        <f>IF(Iterations[[#This Row],[Step]] =current_step, current_Grad_e,IF(Iterations[[#This Row],[Step]] &gt; current_step, "",Iterations[[#This Row],[Grad_e]]))</f>
        <v/>
      </c>
    </row>
    <row r="256" spans="6:18" x14ac:dyDescent="0.3">
      <c r="F256" s="2">
        <f t="shared" si="5"/>
        <v>239</v>
      </c>
      <c r="G256" s="2" t="str">
        <f>IF(Iterations[[#This Row],[Step]] =current_step, current_a,IF(Iterations[[#This Row],[Step]] &gt; current_step, "",Iterations[[#This Row],[a]]))</f>
        <v/>
      </c>
      <c r="H256" s="2" t="str">
        <f>IF(Iterations[[#This Row],[Step]] =current_step, current_b,IF(Iterations[[#This Row],[Step]] &gt; current_step, "",Iterations[[#This Row],[b]]))</f>
        <v/>
      </c>
      <c r="I256" s="2" t="str">
        <f>IF(Iterations[[#This Row],[Step]] =current_step, current_c,IF(Iterations[[#This Row],[Step]] &gt; current_step, "",Iterations[[#This Row],[c]]))</f>
        <v/>
      </c>
      <c r="J256" s="2" t="str">
        <f>IF(Iterations[[#This Row],[Step]] =current_step, current_d,IF(Iterations[[#This Row],[Step]] &gt; current_step, "",Iterations[[#This Row],[d]]))</f>
        <v/>
      </c>
      <c r="K256" s="2" t="str">
        <f>IF(Iterations[[#This Row],[Step]] =current_step, current_e,IF(Iterations[[#This Row],[Step]] &gt; current_step, "",Iterations[[#This Row],[e]]))</f>
        <v/>
      </c>
      <c r="L256" s="2" t="str">
        <f>IF(Iterations[[#This Row],[Step]] =current_step, current_Total_Loss,IF(Iterations[[#This Row],[Step]] &gt; current_step, "",Iterations[[#This Row],[Total Loss]]))</f>
        <v/>
      </c>
      <c r="M256" s="6" t="s">
        <v>27</v>
      </c>
      <c r="N256" s="2" t="str">
        <f>IF(Iterations[[#This Row],[Step]] =current_step, current_Grad_a,IF(Iterations[[#This Row],[Step]] &gt; current_step, "",Iterations[[#This Row],[Grad_a]]))</f>
        <v/>
      </c>
      <c r="O256" s="2" t="str">
        <f>IF(Iterations[[#This Row],[Step]] =current_step, current_Grad_b,IF(Iterations[[#This Row],[Step]] &gt; current_step, "",Iterations[[#This Row],[Grad_b]]))</f>
        <v/>
      </c>
      <c r="P256" s="2" t="str">
        <f>IF(Iterations[[#This Row],[Step]] =current_step, current_Grad_c,IF(Iterations[[#This Row],[Step]] &gt; current_step, "",Iterations[[#This Row],[Grad_c]]))</f>
        <v/>
      </c>
      <c r="Q256" s="2" t="str">
        <f>IF(Iterations[[#This Row],[Step]] =current_step, current_Grad_d,IF(Iterations[[#This Row],[Step]] &gt; current_step, "",Iterations[[#This Row],[Grad_d]]))</f>
        <v/>
      </c>
      <c r="R256" s="2" t="str">
        <f>IF(Iterations[[#This Row],[Step]] =current_step, current_Grad_e,IF(Iterations[[#This Row],[Step]] &gt; current_step, "",Iterations[[#This Row],[Grad_e]]))</f>
        <v/>
      </c>
    </row>
    <row r="257" spans="6:18" x14ac:dyDescent="0.3">
      <c r="F257" s="2">
        <f t="shared" si="5"/>
        <v>240</v>
      </c>
      <c r="G257" s="2" t="str">
        <f>IF(Iterations[[#This Row],[Step]] =current_step, current_a,IF(Iterations[[#This Row],[Step]] &gt; current_step, "",Iterations[[#This Row],[a]]))</f>
        <v/>
      </c>
      <c r="H257" s="2" t="str">
        <f>IF(Iterations[[#This Row],[Step]] =current_step, current_b,IF(Iterations[[#This Row],[Step]] &gt; current_step, "",Iterations[[#This Row],[b]]))</f>
        <v/>
      </c>
      <c r="I257" s="2" t="str">
        <f>IF(Iterations[[#This Row],[Step]] =current_step, current_c,IF(Iterations[[#This Row],[Step]] &gt; current_step, "",Iterations[[#This Row],[c]]))</f>
        <v/>
      </c>
      <c r="J257" s="2" t="str">
        <f>IF(Iterations[[#This Row],[Step]] =current_step, current_d,IF(Iterations[[#This Row],[Step]] &gt; current_step, "",Iterations[[#This Row],[d]]))</f>
        <v/>
      </c>
      <c r="K257" s="2" t="str">
        <f>IF(Iterations[[#This Row],[Step]] =current_step, current_e,IF(Iterations[[#This Row],[Step]] &gt; current_step, "",Iterations[[#This Row],[e]]))</f>
        <v/>
      </c>
      <c r="L257" s="2" t="str">
        <f>IF(Iterations[[#This Row],[Step]] =current_step, current_Total_Loss,IF(Iterations[[#This Row],[Step]] &gt; current_step, "",Iterations[[#This Row],[Total Loss]]))</f>
        <v/>
      </c>
      <c r="M257" s="6" t="s">
        <v>27</v>
      </c>
      <c r="N257" s="2" t="str">
        <f>IF(Iterations[[#This Row],[Step]] =current_step, current_Grad_a,IF(Iterations[[#This Row],[Step]] &gt; current_step, "",Iterations[[#This Row],[Grad_a]]))</f>
        <v/>
      </c>
      <c r="O257" s="2" t="str">
        <f>IF(Iterations[[#This Row],[Step]] =current_step, current_Grad_b,IF(Iterations[[#This Row],[Step]] &gt; current_step, "",Iterations[[#This Row],[Grad_b]]))</f>
        <v/>
      </c>
      <c r="P257" s="2" t="str">
        <f>IF(Iterations[[#This Row],[Step]] =current_step, current_Grad_c,IF(Iterations[[#This Row],[Step]] &gt; current_step, "",Iterations[[#This Row],[Grad_c]]))</f>
        <v/>
      </c>
      <c r="Q257" s="2" t="str">
        <f>IF(Iterations[[#This Row],[Step]] =current_step, current_Grad_d,IF(Iterations[[#This Row],[Step]] &gt; current_step, "",Iterations[[#This Row],[Grad_d]]))</f>
        <v/>
      </c>
      <c r="R257" s="2" t="str">
        <f>IF(Iterations[[#This Row],[Step]] =current_step, current_Grad_e,IF(Iterations[[#This Row],[Step]] &gt; current_step, "",Iterations[[#This Row],[Grad_e]]))</f>
        <v/>
      </c>
    </row>
    <row r="258" spans="6:18" x14ac:dyDescent="0.3">
      <c r="F258" s="2">
        <f t="shared" si="5"/>
        <v>241</v>
      </c>
      <c r="G258" s="2" t="str">
        <f>IF(Iterations[[#This Row],[Step]] =current_step, current_a,IF(Iterations[[#This Row],[Step]] &gt; current_step, "",Iterations[[#This Row],[a]]))</f>
        <v/>
      </c>
      <c r="H258" s="2" t="str">
        <f>IF(Iterations[[#This Row],[Step]] =current_step, current_b,IF(Iterations[[#This Row],[Step]] &gt; current_step, "",Iterations[[#This Row],[b]]))</f>
        <v/>
      </c>
      <c r="I258" s="2" t="str">
        <f>IF(Iterations[[#This Row],[Step]] =current_step, current_c,IF(Iterations[[#This Row],[Step]] &gt; current_step, "",Iterations[[#This Row],[c]]))</f>
        <v/>
      </c>
      <c r="J258" s="2" t="str">
        <f>IF(Iterations[[#This Row],[Step]] =current_step, current_d,IF(Iterations[[#This Row],[Step]] &gt; current_step, "",Iterations[[#This Row],[d]]))</f>
        <v/>
      </c>
      <c r="K258" s="2" t="str">
        <f>IF(Iterations[[#This Row],[Step]] =current_step, current_e,IF(Iterations[[#This Row],[Step]] &gt; current_step, "",Iterations[[#This Row],[e]]))</f>
        <v/>
      </c>
      <c r="L258" s="2" t="str">
        <f>IF(Iterations[[#This Row],[Step]] =current_step, current_Total_Loss,IF(Iterations[[#This Row],[Step]] &gt; current_step, "",Iterations[[#This Row],[Total Loss]]))</f>
        <v/>
      </c>
      <c r="M258" s="6" t="s">
        <v>27</v>
      </c>
      <c r="N258" s="2" t="str">
        <f>IF(Iterations[[#This Row],[Step]] =current_step, current_Grad_a,IF(Iterations[[#This Row],[Step]] &gt; current_step, "",Iterations[[#This Row],[Grad_a]]))</f>
        <v/>
      </c>
      <c r="O258" s="2" t="str">
        <f>IF(Iterations[[#This Row],[Step]] =current_step, current_Grad_b,IF(Iterations[[#This Row],[Step]] &gt; current_step, "",Iterations[[#This Row],[Grad_b]]))</f>
        <v/>
      </c>
      <c r="P258" s="2" t="str">
        <f>IF(Iterations[[#This Row],[Step]] =current_step, current_Grad_c,IF(Iterations[[#This Row],[Step]] &gt; current_step, "",Iterations[[#This Row],[Grad_c]]))</f>
        <v/>
      </c>
      <c r="Q258" s="2" t="str">
        <f>IF(Iterations[[#This Row],[Step]] =current_step, current_Grad_d,IF(Iterations[[#This Row],[Step]] &gt; current_step, "",Iterations[[#This Row],[Grad_d]]))</f>
        <v/>
      </c>
      <c r="R258" s="2" t="str">
        <f>IF(Iterations[[#This Row],[Step]] =current_step, current_Grad_e,IF(Iterations[[#This Row],[Step]] &gt; current_step, "",Iterations[[#This Row],[Grad_e]]))</f>
        <v/>
      </c>
    </row>
    <row r="259" spans="6:18" x14ac:dyDescent="0.3">
      <c r="F259" s="2">
        <f t="shared" si="5"/>
        <v>242</v>
      </c>
      <c r="G259" s="2" t="str">
        <f>IF(Iterations[[#This Row],[Step]] =current_step, current_a,IF(Iterations[[#This Row],[Step]] &gt; current_step, "",Iterations[[#This Row],[a]]))</f>
        <v/>
      </c>
      <c r="H259" s="2" t="str">
        <f>IF(Iterations[[#This Row],[Step]] =current_step, current_b,IF(Iterations[[#This Row],[Step]] &gt; current_step, "",Iterations[[#This Row],[b]]))</f>
        <v/>
      </c>
      <c r="I259" s="2" t="str">
        <f>IF(Iterations[[#This Row],[Step]] =current_step, current_c,IF(Iterations[[#This Row],[Step]] &gt; current_step, "",Iterations[[#This Row],[c]]))</f>
        <v/>
      </c>
      <c r="J259" s="2" t="str">
        <f>IF(Iterations[[#This Row],[Step]] =current_step, current_d,IF(Iterations[[#This Row],[Step]] &gt; current_step, "",Iterations[[#This Row],[d]]))</f>
        <v/>
      </c>
      <c r="K259" s="2" t="str">
        <f>IF(Iterations[[#This Row],[Step]] =current_step, current_e,IF(Iterations[[#This Row],[Step]] &gt; current_step, "",Iterations[[#This Row],[e]]))</f>
        <v/>
      </c>
      <c r="L259" s="2" t="str">
        <f>IF(Iterations[[#This Row],[Step]] =current_step, current_Total_Loss,IF(Iterations[[#This Row],[Step]] &gt; current_step, "",Iterations[[#This Row],[Total Loss]]))</f>
        <v/>
      </c>
      <c r="M259" s="6" t="s">
        <v>27</v>
      </c>
      <c r="N259" s="2" t="str">
        <f>IF(Iterations[[#This Row],[Step]] =current_step, current_Grad_a,IF(Iterations[[#This Row],[Step]] &gt; current_step, "",Iterations[[#This Row],[Grad_a]]))</f>
        <v/>
      </c>
      <c r="O259" s="2" t="str">
        <f>IF(Iterations[[#This Row],[Step]] =current_step, current_Grad_b,IF(Iterations[[#This Row],[Step]] &gt; current_step, "",Iterations[[#This Row],[Grad_b]]))</f>
        <v/>
      </c>
      <c r="P259" s="2" t="str">
        <f>IF(Iterations[[#This Row],[Step]] =current_step, current_Grad_c,IF(Iterations[[#This Row],[Step]] &gt; current_step, "",Iterations[[#This Row],[Grad_c]]))</f>
        <v/>
      </c>
      <c r="Q259" s="2" t="str">
        <f>IF(Iterations[[#This Row],[Step]] =current_step, current_Grad_d,IF(Iterations[[#This Row],[Step]] &gt; current_step, "",Iterations[[#This Row],[Grad_d]]))</f>
        <v/>
      </c>
      <c r="R259" s="2" t="str">
        <f>IF(Iterations[[#This Row],[Step]] =current_step, current_Grad_e,IF(Iterations[[#This Row],[Step]] &gt; current_step, "",Iterations[[#This Row],[Grad_e]]))</f>
        <v/>
      </c>
    </row>
    <row r="260" spans="6:18" x14ac:dyDescent="0.3">
      <c r="F260" s="2">
        <f t="shared" si="5"/>
        <v>243</v>
      </c>
      <c r="G260" s="2" t="str">
        <f>IF(Iterations[[#This Row],[Step]] =current_step, current_a,IF(Iterations[[#This Row],[Step]] &gt; current_step, "",Iterations[[#This Row],[a]]))</f>
        <v/>
      </c>
      <c r="H260" s="2" t="str">
        <f>IF(Iterations[[#This Row],[Step]] =current_step, current_b,IF(Iterations[[#This Row],[Step]] &gt; current_step, "",Iterations[[#This Row],[b]]))</f>
        <v/>
      </c>
      <c r="I260" s="2" t="str">
        <f>IF(Iterations[[#This Row],[Step]] =current_step, current_c,IF(Iterations[[#This Row],[Step]] &gt; current_step, "",Iterations[[#This Row],[c]]))</f>
        <v/>
      </c>
      <c r="J260" s="2" t="str">
        <f>IF(Iterations[[#This Row],[Step]] =current_step, current_d,IF(Iterations[[#This Row],[Step]] &gt; current_step, "",Iterations[[#This Row],[d]]))</f>
        <v/>
      </c>
      <c r="K260" s="2" t="str">
        <f>IF(Iterations[[#This Row],[Step]] =current_step, current_e,IF(Iterations[[#This Row],[Step]] &gt; current_step, "",Iterations[[#This Row],[e]]))</f>
        <v/>
      </c>
      <c r="L260" s="2" t="str">
        <f>IF(Iterations[[#This Row],[Step]] =current_step, current_Total_Loss,IF(Iterations[[#This Row],[Step]] &gt; current_step, "",Iterations[[#This Row],[Total Loss]]))</f>
        <v/>
      </c>
      <c r="M260" s="6" t="s">
        <v>27</v>
      </c>
      <c r="N260" s="2" t="str">
        <f>IF(Iterations[[#This Row],[Step]] =current_step, current_Grad_a,IF(Iterations[[#This Row],[Step]] &gt; current_step, "",Iterations[[#This Row],[Grad_a]]))</f>
        <v/>
      </c>
      <c r="O260" s="2" t="str">
        <f>IF(Iterations[[#This Row],[Step]] =current_step, current_Grad_b,IF(Iterations[[#This Row],[Step]] &gt; current_step, "",Iterations[[#This Row],[Grad_b]]))</f>
        <v/>
      </c>
      <c r="P260" s="2" t="str">
        <f>IF(Iterations[[#This Row],[Step]] =current_step, current_Grad_c,IF(Iterations[[#This Row],[Step]] &gt; current_step, "",Iterations[[#This Row],[Grad_c]]))</f>
        <v/>
      </c>
      <c r="Q260" s="2" t="str">
        <f>IF(Iterations[[#This Row],[Step]] =current_step, current_Grad_d,IF(Iterations[[#This Row],[Step]] &gt; current_step, "",Iterations[[#This Row],[Grad_d]]))</f>
        <v/>
      </c>
      <c r="R260" s="2" t="str">
        <f>IF(Iterations[[#This Row],[Step]] =current_step, current_Grad_e,IF(Iterations[[#This Row],[Step]] &gt; current_step, "",Iterations[[#This Row],[Grad_e]]))</f>
        <v/>
      </c>
    </row>
    <row r="261" spans="6:18" x14ac:dyDescent="0.3">
      <c r="F261" s="2">
        <f t="shared" si="5"/>
        <v>244</v>
      </c>
      <c r="G261" s="2" t="str">
        <f>IF(Iterations[[#This Row],[Step]] =current_step, current_a,IF(Iterations[[#This Row],[Step]] &gt; current_step, "",Iterations[[#This Row],[a]]))</f>
        <v/>
      </c>
      <c r="H261" s="2" t="str">
        <f>IF(Iterations[[#This Row],[Step]] =current_step, current_b,IF(Iterations[[#This Row],[Step]] &gt; current_step, "",Iterations[[#This Row],[b]]))</f>
        <v/>
      </c>
      <c r="I261" s="2" t="str">
        <f>IF(Iterations[[#This Row],[Step]] =current_step, current_c,IF(Iterations[[#This Row],[Step]] &gt; current_step, "",Iterations[[#This Row],[c]]))</f>
        <v/>
      </c>
      <c r="J261" s="2" t="str">
        <f>IF(Iterations[[#This Row],[Step]] =current_step, current_d,IF(Iterations[[#This Row],[Step]] &gt; current_step, "",Iterations[[#This Row],[d]]))</f>
        <v/>
      </c>
      <c r="K261" s="2" t="str">
        <f>IF(Iterations[[#This Row],[Step]] =current_step, current_e,IF(Iterations[[#This Row],[Step]] &gt; current_step, "",Iterations[[#This Row],[e]]))</f>
        <v/>
      </c>
      <c r="L261" s="2" t="str">
        <f>IF(Iterations[[#This Row],[Step]] =current_step, current_Total_Loss,IF(Iterations[[#This Row],[Step]] &gt; current_step, "",Iterations[[#This Row],[Total Loss]]))</f>
        <v/>
      </c>
      <c r="M261" s="6" t="s">
        <v>27</v>
      </c>
      <c r="N261" s="2" t="str">
        <f>IF(Iterations[[#This Row],[Step]] =current_step, current_Grad_a,IF(Iterations[[#This Row],[Step]] &gt; current_step, "",Iterations[[#This Row],[Grad_a]]))</f>
        <v/>
      </c>
      <c r="O261" s="2" t="str">
        <f>IF(Iterations[[#This Row],[Step]] =current_step, current_Grad_b,IF(Iterations[[#This Row],[Step]] &gt; current_step, "",Iterations[[#This Row],[Grad_b]]))</f>
        <v/>
      </c>
      <c r="P261" s="2" t="str">
        <f>IF(Iterations[[#This Row],[Step]] =current_step, current_Grad_c,IF(Iterations[[#This Row],[Step]] &gt; current_step, "",Iterations[[#This Row],[Grad_c]]))</f>
        <v/>
      </c>
      <c r="Q261" s="2" t="str">
        <f>IF(Iterations[[#This Row],[Step]] =current_step, current_Grad_d,IF(Iterations[[#This Row],[Step]] &gt; current_step, "",Iterations[[#This Row],[Grad_d]]))</f>
        <v/>
      </c>
      <c r="R261" s="2" t="str">
        <f>IF(Iterations[[#This Row],[Step]] =current_step, current_Grad_e,IF(Iterations[[#This Row],[Step]] &gt; current_step, "",Iterations[[#This Row],[Grad_e]]))</f>
        <v/>
      </c>
    </row>
    <row r="262" spans="6:18" x14ac:dyDescent="0.3">
      <c r="F262" s="2">
        <f t="shared" ref="F262:F325" si="6">F261+1</f>
        <v>245</v>
      </c>
      <c r="G262" s="2" t="str">
        <f>IF(Iterations[[#This Row],[Step]] =current_step, current_a,IF(Iterations[[#This Row],[Step]] &gt; current_step, "",Iterations[[#This Row],[a]]))</f>
        <v/>
      </c>
      <c r="H262" s="2" t="str">
        <f>IF(Iterations[[#This Row],[Step]] =current_step, current_b,IF(Iterations[[#This Row],[Step]] &gt; current_step, "",Iterations[[#This Row],[b]]))</f>
        <v/>
      </c>
      <c r="I262" s="2" t="str">
        <f>IF(Iterations[[#This Row],[Step]] =current_step, current_c,IF(Iterations[[#This Row],[Step]] &gt; current_step, "",Iterations[[#This Row],[c]]))</f>
        <v/>
      </c>
      <c r="J262" s="2" t="str">
        <f>IF(Iterations[[#This Row],[Step]] =current_step, current_d,IF(Iterations[[#This Row],[Step]] &gt; current_step, "",Iterations[[#This Row],[d]]))</f>
        <v/>
      </c>
      <c r="K262" s="2" t="str">
        <f>IF(Iterations[[#This Row],[Step]] =current_step, current_e,IF(Iterations[[#This Row],[Step]] &gt; current_step, "",Iterations[[#This Row],[e]]))</f>
        <v/>
      </c>
      <c r="L262" s="2" t="str">
        <f>IF(Iterations[[#This Row],[Step]] =current_step, current_Total_Loss,IF(Iterations[[#This Row],[Step]] &gt; current_step, "",Iterations[[#This Row],[Total Loss]]))</f>
        <v/>
      </c>
      <c r="M262" s="6" t="s">
        <v>27</v>
      </c>
      <c r="N262" s="2" t="str">
        <f>IF(Iterations[[#This Row],[Step]] =current_step, current_Grad_a,IF(Iterations[[#This Row],[Step]] &gt; current_step, "",Iterations[[#This Row],[Grad_a]]))</f>
        <v/>
      </c>
      <c r="O262" s="2" t="str">
        <f>IF(Iterations[[#This Row],[Step]] =current_step, current_Grad_b,IF(Iterations[[#This Row],[Step]] &gt; current_step, "",Iterations[[#This Row],[Grad_b]]))</f>
        <v/>
      </c>
      <c r="P262" s="2" t="str">
        <f>IF(Iterations[[#This Row],[Step]] =current_step, current_Grad_c,IF(Iterations[[#This Row],[Step]] &gt; current_step, "",Iterations[[#This Row],[Grad_c]]))</f>
        <v/>
      </c>
      <c r="Q262" s="2" t="str">
        <f>IF(Iterations[[#This Row],[Step]] =current_step, current_Grad_d,IF(Iterations[[#This Row],[Step]] &gt; current_step, "",Iterations[[#This Row],[Grad_d]]))</f>
        <v/>
      </c>
      <c r="R262" s="2" t="str">
        <f>IF(Iterations[[#This Row],[Step]] =current_step, current_Grad_e,IF(Iterations[[#This Row],[Step]] &gt; current_step, "",Iterations[[#This Row],[Grad_e]]))</f>
        <v/>
      </c>
    </row>
    <row r="263" spans="6:18" x14ac:dyDescent="0.3">
      <c r="F263" s="2">
        <f t="shared" si="6"/>
        <v>246</v>
      </c>
      <c r="G263" s="2" t="str">
        <f>IF(Iterations[[#This Row],[Step]] =current_step, current_a,IF(Iterations[[#This Row],[Step]] &gt; current_step, "",Iterations[[#This Row],[a]]))</f>
        <v/>
      </c>
      <c r="H263" s="2" t="str">
        <f>IF(Iterations[[#This Row],[Step]] =current_step, current_b,IF(Iterations[[#This Row],[Step]] &gt; current_step, "",Iterations[[#This Row],[b]]))</f>
        <v/>
      </c>
      <c r="I263" s="2" t="str">
        <f>IF(Iterations[[#This Row],[Step]] =current_step, current_c,IF(Iterations[[#This Row],[Step]] &gt; current_step, "",Iterations[[#This Row],[c]]))</f>
        <v/>
      </c>
      <c r="J263" s="2" t="str">
        <f>IF(Iterations[[#This Row],[Step]] =current_step, current_d,IF(Iterations[[#This Row],[Step]] &gt; current_step, "",Iterations[[#This Row],[d]]))</f>
        <v/>
      </c>
      <c r="K263" s="2" t="str">
        <f>IF(Iterations[[#This Row],[Step]] =current_step, current_e,IF(Iterations[[#This Row],[Step]] &gt; current_step, "",Iterations[[#This Row],[e]]))</f>
        <v/>
      </c>
      <c r="L263" s="2" t="str">
        <f>IF(Iterations[[#This Row],[Step]] =current_step, current_Total_Loss,IF(Iterations[[#This Row],[Step]] &gt; current_step, "",Iterations[[#This Row],[Total Loss]]))</f>
        <v/>
      </c>
      <c r="M263" s="6" t="s">
        <v>27</v>
      </c>
      <c r="N263" s="2" t="str">
        <f>IF(Iterations[[#This Row],[Step]] =current_step, current_Grad_a,IF(Iterations[[#This Row],[Step]] &gt; current_step, "",Iterations[[#This Row],[Grad_a]]))</f>
        <v/>
      </c>
      <c r="O263" s="2" t="str">
        <f>IF(Iterations[[#This Row],[Step]] =current_step, current_Grad_b,IF(Iterations[[#This Row],[Step]] &gt; current_step, "",Iterations[[#This Row],[Grad_b]]))</f>
        <v/>
      </c>
      <c r="P263" s="2" t="str">
        <f>IF(Iterations[[#This Row],[Step]] =current_step, current_Grad_c,IF(Iterations[[#This Row],[Step]] &gt; current_step, "",Iterations[[#This Row],[Grad_c]]))</f>
        <v/>
      </c>
      <c r="Q263" s="2" t="str">
        <f>IF(Iterations[[#This Row],[Step]] =current_step, current_Grad_d,IF(Iterations[[#This Row],[Step]] &gt; current_step, "",Iterations[[#This Row],[Grad_d]]))</f>
        <v/>
      </c>
      <c r="R263" s="2" t="str">
        <f>IF(Iterations[[#This Row],[Step]] =current_step, current_Grad_e,IF(Iterations[[#This Row],[Step]] &gt; current_step, "",Iterations[[#This Row],[Grad_e]]))</f>
        <v/>
      </c>
    </row>
    <row r="264" spans="6:18" x14ac:dyDescent="0.3">
      <c r="F264" s="2">
        <f t="shared" si="6"/>
        <v>247</v>
      </c>
      <c r="G264" s="2" t="str">
        <f>IF(Iterations[[#This Row],[Step]] =current_step, current_a,IF(Iterations[[#This Row],[Step]] &gt; current_step, "",Iterations[[#This Row],[a]]))</f>
        <v/>
      </c>
      <c r="H264" s="2" t="str">
        <f>IF(Iterations[[#This Row],[Step]] =current_step, current_b,IF(Iterations[[#This Row],[Step]] &gt; current_step, "",Iterations[[#This Row],[b]]))</f>
        <v/>
      </c>
      <c r="I264" s="2" t="str">
        <f>IF(Iterations[[#This Row],[Step]] =current_step, current_c,IF(Iterations[[#This Row],[Step]] &gt; current_step, "",Iterations[[#This Row],[c]]))</f>
        <v/>
      </c>
      <c r="J264" s="2" t="str">
        <f>IF(Iterations[[#This Row],[Step]] =current_step, current_d,IF(Iterations[[#This Row],[Step]] &gt; current_step, "",Iterations[[#This Row],[d]]))</f>
        <v/>
      </c>
      <c r="K264" s="2" t="str">
        <f>IF(Iterations[[#This Row],[Step]] =current_step, current_e,IF(Iterations[[#This Row],[Step]] &gt; current_step, "",Iterations[[#This Row],[e]]))</f>
        <v/>
      </c>
      <c r="L264" s="2" t="str">
        <f>IF(Iterations[[#This Row],[Step]] =current_step, current_Total_Loss,IF(Iterations[[#This Row],[Step]] &gt; current_step, "",Iterations[[#This Row],[Total Loss]]))</f>
        <v/>
      </c>
      <c r="M264" s="6" t="s">
        <v>27</v>
      </c>
      <c r="N264" s="2" t="str">
        <f>IF(Iterations[[#This Row],[Step]] =current_step, current_Grad_a,IF(Iterations[[#This Row],[Step]] &gt; current_step, "",Iterations[[#This Row],[Grad_a]]))</f>
        <v/>
      </c>
      <c r="O264" s="2" t="str">
        <f>IF(Iterations[[#This Row],[Step]] =current_step, current_Grad_b,IF(Iterations[[#This Row],[Step]] &gt; current_step, "",Iterations[[#This Row],[Grad_b]]))</f>
        <v/>
      </c>
      <c r="P264" s="2" t="str">
        <f>IF(Iterations[[#This Row],[Step]] =current_step, current_Grad_c,IF(Iterations[[#This Row],[Step]] &gt; current_step, "",Iterations[[#This Row],[Grad_c]]))</f>
        <v/>
      </c>
      <c r="Q264" s="2" t="str">
        <f>IF(Iterations[[#This Row],[Step]] =current_step, current_Grad_d,IF(Iterations[[#This Row],[Step]] &gt; current_step, "",Iterations[[#This Row],[Grad_d]]))</f>
        <v/>
      </c>
      <c r="R264" s="2" t="str">
        <f>IF(Iterations[[#This Row],[Step]] =current_step, current_Grad_e,IF(Iterations[[#This Row],[Step]] &gt; current_step, "",Iterations[[#This Row],[Grad_e]]))</f>
        <v/>
      </c>
    </row>
    <row r="265" spans="6:18" x14ac:dyDescent="0.3">
      <c r="F265" s="2">
        <f t="shared" si="6"/>
        <v>248</v>
      </c>
      <c r="G265" s="2" t="str">
        <f>IF(Iterations[[#This Row],[Step]] =current_step, current_a,IF(Iterations[[#This Row],[Step]] &gt; current_step, "",Iterations[[#This Row],[a]]))</f>
        <v/>
      </c>
      <c r="H265" s="2" t="str">
        <f>IF(Iterations[[#This Row],[Step]] =current_step, current_b,IF(Iterations[[#This Row],[Step]] &gt; current_step, "",Iterations[[#This Row],[b]]))</f>
        <v/>
      </c>
      <c r="I265" s="2" t="str">
        <f>IF(Iterations[[#This Row],[Step]] =current_step, current_c,IF(Iterations[[#This Row],[Step]] &gt; current_step, "",Iterations[[#This Row],[c]]))</f>
        <v/>
      </c>
      <c r="J265" s="2" t="str">
        <f>IF(Iterations[[#This Row],[Step]] =current_step, current_d,IF(Iterations[[#This Row],[Step]] &gt; current_step, "",Iterations[[#This Row],[d]]))</f>
        <v/>
      </c>
      <c r="K265" s="2" t="str">
        <f>IF(Iterations[[#This Row],[Step]] =current_step, current_e,IF(Iterations[[#This Row],[Step]] &gt; current_step, "",Iterations[[#This Row],[e]]))</f>
        <v/>
      </c>
      <c r="L265" s="2" t="str">
        <f>IF(Iterations[[#This Row],[Step]] =current_step, current_Total_Loss,IF(Iterations[[#This Row],[Step]] &gt; current_step, "",Iterations[[#This Row],[Total Loss]]))</f>
        <v/>
      </c>
      <c r="M265" s="6" t="s">
        <v>27</v>
      </c>
      <c r="N265" s="2" t="str">
        <f>IF(Iterations[[#This Row],[Step]] =current_step, current_Grad_a,IF(Iterations[[#This Row],[Step]] &gt; current_step, "",Iterations[[#This Row],[Grad_a]]))</f>
        <v/>
      </c>
      <c r="O265" s="2" t="str">
        <f>IF(Iterations[[#This Row],[Step]] =current_step, current_Grad_b,IF(Iterations[[#This Row],[Step]] &gt; current_step, "",Iterations[[#This Row],[Grad_b]]))</f>
        <v/>
      </c>
      <c r="P265" s="2" t="str">
        <f>IF(Iterations[[#This Row],[Step]] =current_step, current_Grad_c,IF(Iterations[[#This Row],[Step]] &gt; current_step, "",Iterations[[#This Row],[Grad_c]]))</f>
        <v/>
      </c>
      <c r="Q265" s="2" t="str">
        <f>IF(Iterations[[#This Row],[Step]] =current_step, current_Grad_d,IF(Iterations[[#This Row],[Step]] &gt; current_step, "",Iterations[[#This Row],[Grad_d]]))</f>
        <v/>
      </c>
      <c r="R265" s="2" t="str">
        <f>IF(Iterations[[#This Row],[Step]] =current_step, current_Grad_e,IF(Iterations[[#This Row],[Step]] &gt; current_step, "",Iterations[[#This Row],[Grad_e]]))</f>
        <v/>
      </c>
    </row>
    <row r="266" spans="6:18" x14ac:dyDescent="0.3">
      <c r="F266" s="2">
        <f t="shared" si="6"/>
        <v>249</v>
      </c>
      <c r="G266" s="2" t="str">
        <f>IF(Iterations[[#This Row],[Step]] =current_step, current_a,IF(Iterations[[#This Row],[Step]] &gt; current_step, "",Iterations[[#This Row],[a]]))</f>
        <v/>
      </c>
      <c r="H266" s="2" t="str">
        <f>IF(Iterations[[#This Row],[Step]] =current_step, current_b,IF(Iterations[[#This Row],[Step]] &gt; current_step, "",Iterations[[#This Row],[b]]))</f>
        <v/>
      </c>
      <c r="I266" s="2" t="str">
        <f>IF(Iterations[[#This Row],[Step]] =current_step, current_c,IF(Iterations[[#This Row],[Step]] &gt; current_step, "",Iterations[[#This Row],[c]]))</f>
        <v/>
      </c>
      <c r="J266" s="2" t="str">
        <f>IF(Iterations[[#This Row],[Step]] =current_step, current_d,IF(Iterations[[#This Row],[Step]] &gt; current_step, "",Iterations[[#This Row],[d]]))</f>
        <v/>
      </c>
      <c r="K266" s="2" t="str">
        <f>IF(Iterations[[#This Row],[Step]] =current_step, current_e,IF(Iterations[[#This Row],[Step]] &gt; current_step, "",Iterations[[#This Row],[e]]))</f>
        <v/>
      </c>
      <c r="L266" s="2" t="str">
        <f>IF(Iterations[[#This Row],[Step]] =current_step, current_Total_Loss,IF(Iterations[[#This Row],[Step]] &gt; current_step, "",Iterations[[#This Row],[Total Loss]]))</f>
        <v/>
      </c>
      <c r="M266" s="6" t="s">
        <v>27</v>
      </c>
      <c r="N266" s="2" t="str">
        <f>IF(Iterations[[#This Row],[Step]] =current_step, current_Grad_a,IF(Iterations[[#This Row],[Step]] &gt; current_step, "",Iterations[[#This Row],[Grad_a]]))</f>
        <v/>
      </c>
      <c r="O266" s="2" t="str">
        <f>IF(Iterations[[#This Row],[Step]] =current_step, current_Grad_b,IF(Iterations[[#This Row],[Step]] &gt; current_step, "",Iterations[[#This Row],[Grad_b]]))</f>
        <v/>
      </c>
      <c r="P266" s="2" t="str">
        <f>IF(Iterations[[#This Row],[Step]] =current_step, current_Grad_c,IF(Iterations[[#This Row],[Step]] &gt; current_step, "",Iterations[[#This Row],[Grad_c]]))</f>
        <v/>
      </c>
      <c r="Q266" s="2" t="str">
        <f>IF(Iterations[[#This Row],[Step]] =current_step, current_Grad_d,IF(Iterations[[#This Row],[Step]] &gt; current_step, "",Iterations[[#This Row],[Grad_d]]))</f>
        <v/>
      </c>
      <c r="R266" s="2" t="str">
        <f>IF(Iterations[[#This Row],[Step]] =current_step, current_Grad_e,IF(Iterations[[#This Row],[Step]] &gt; current_step, "",Iterations[[#This Row],[Grad_e]]))</f>
        <v/>
      </c>
    </row>
    <row r="267" spans="6:18" x14ac:dyDescent="0.3">
      <c r="F267" s="2">
        <f t="shared" si="6"/>
        <v>250</v>
      </c>
      <c r="G267" s="2" t="str">
        <f>IF(Iterations[[#This Row],[Step]] =current_step, current_a,IF(Iterations[[#This Row],[Step]] &gt; current_step, "",Iterations[[#This Row],[a]]))</f>
        <v/>
      </c>
      <c r="H267" s="2" t="str">
        <f>IF(Iterations[[#This Row],[Step]] =current_step, current_b,IF(Iterations[[#This Row],[Step]] &gt; current_step, "",Iterations[[#This Row],[b]]))</f>
        <v/>
      </c>
      <c r="I267" s="2" t="str">
        <f>IF(Iterations[[#This Row],[Step]] =current_step, current_c,IF(Iterations[[#This Row],[Step]] &gt; current_step, "",Iterations[[#This Row],[c]]))</f>
        <v/>
      </c>
      <c r="J267" s="2" t="str">
        <f>IF(Iterations[[#This Row],[Step]] =current_step, current_d,IF(Iterations[[#This Row],[Step]] &gt; current_step, "",Iterations[[#This Row],[d]]))</f>
        <v/>
      </c>
      <c r="K267" s="2" t="str">
        <f>IF(Iterations[[#This Row],[Step]] =current_step, current_e,IF(Iterations[[#This Row],[Step]] &gt; current_step, "",Iterations[[#This Row],[e]]))</f>
        <v/>
      </c>
      <c r="L267" s="2" t="str">
        <f>IF(Iterations[[#This Row],[Step]] =current_step, current_Total_Loss,IF(Iterations[[#This Row],[Step]] &gt; current_step, "",Iterations[[#This Row],[Total Loss]]))</f>
        <v/>
      </c>
      <c r="M267" s="6" t="s">
        <v>27</v>
      </c>
      <c r="N267" s="2" t="str">
        <f>IF(Iterations[[#This Row],[Step]] =current_step, current_Grad_a,IF(Iterations[[#This Row],[Step]] &gt; current_step, "",Iterations[[#This Row],[Grad_a]]))</f>
        <v/>
      </c>
      <c r="O267" s="2" t="str">
        <f>IF(Iterations[[#This Row],[Step]] =current_step, current_Grad_b,IF(Iterations[[#This Row],[Step]] &gt; current_step, "",Iterations[[#This Row],[Grad_b]]))</f>
        <v/>
      </c>
      <c r="P267" s="2" t="str">
        <f>IF(Iterations[[#This Row],[Step]] =current_step, current_Grad_c,IF(Iterations[[#This Row],[Step]] &gt; current_step, "",Iterations[[#This Row],[Grad_c]]))</f>
        <v/>
      </c>
      <c r="Q267" s="2" t="str">
        <f>IF(Iterations[[#This Row],[Step]] =current_step, current_Grad_d,IF(Iterations[[#This Row],[Step]] &gt; current_step, "",Iterations[[#This Row],[Grad_d]]))</f>
        <v/>
      </c>
      <c r="R267" s="2" t="str">
        <f>IF(Iterations[[#This Row],[Step]] =current_step, current_Grad_e,IF(Iterations[[#This Row],[Step]] &gt; current_step, "",Iterations[[#This Row],[Grad_e]]))</f>
        <v/>
      </c>
    </row>
    <row r="268" spans="6:18" x14ac:dyDescent="0.3">
      <c r="F268" s="2">
        <f t="shared" si="6"/>
        <v>251</v>
      </c>
      <c r="G268" s="2" t="str">
        <f>IF(Iterations[[#This Row],[Step]] =current_step, current_a,IF(Iterations[[#This Row],[Step]] &gt; current_step, "",Iterations[[#This Row],[a]]))</f>
        <v/>
      </c>
      <c r="H268" s="2" t="str">
        <f>IF(Iterations[[#This Row],[Step]] =current_step, current_b,IF(Iterations[[#This Row],[Step]] &gt; current_step, "",Iterations[[#This Row],[b]]))</f>
        <v/>
      </c>
      <c r="I268" s="2" t="str">
        <f>IF(Iterations[[#This Row],[Step]] =current_step, current_c,IF(Iterations[[#This Row],[Step]] &gt; current_step, "",Iterations[[#This Row],[c]]))</f>
        <v/>
      </c>
      <c r="J268" s="2" t="str">
        <f>IF(Iterations[[#This Row],[Step]] =current_step, current_d,IF(Iterations[[#This Row],[Step]] &gt; current_step, "",Iterations[[#This Row],[d]]))</f>
        <v/>
      </c>
      <c r="K268" s="2" t="str">
        <f>IF(Iterations[[#This Row],[Step]] =current_step, current_e,IF(Iterations[[#This Row],[Step]] &gt; current_step, "",Iterations[[#This Row],[e]]))</f>
        <v/>
      </c>
      <c r="L268" s="2" t="str">
        <f>IF(Iterations[[#This Row],[Step]] =current_step, current_Total_Loss,IF(Iterations[[#This Row],[Step]] &gt; current_step, "",Iterations[[#This Row],[Total Loss]]))</f>
        <v/>
      </c>
      <c r="M268" s="6" t="s">
        <v>27</v>
      </c>
      <c r="N268" s="2" t="str">
        <f>IF(Iterations[[#This Row],[Step]] =current_step, current_Grad_a,IF(Iterations[[#This Row],[Step]] &gt; current_step, "",Iterations[[#This Row],[Grad_a]]))</f>
        <v/>
      </c>
      <c r="O268" s="2" t="str">
        <f>IF(Iterations[[#This Row],[Step]] =current_step, current_Grad_b,IF(Iterations[[#This Row],[Step]] &gt; current_step, "",Iterations[[#This Row],[Grad_b]]))</f>
        <v/>
      </c>
      <c r="P268" s="2" t="str">
        <f>IF(Iterations[[#This Row],[Step]] =current_step, current_Grad_c,IF(Iterations[[#This Row],[Step]] &gt; current_step, "",Iterations[[#This Row],[Grad_c]]))</f>
        <v/>
      </c>
      <c r="Q268" s="2" t="str">
        <f>IF(Iterations[[#This Row],[Step]] =current_step, current_Grad_d,IF(Iterations[[#This Row],[Step]] &gt; current_step, "",Iterations[[#This Row],[Grad_d]]))</f>
        <v/>
      </c>
      <c r="R268" s="2" t="str">
        <f>IF(Iterations[[#This Row],[Step]] =current_step, current_Grad_e,IF(Iterations[[#This Row],[Step]] &gt; current_step, "",Iterations[[#This Row],[Grad_e]]))</f>
        <v/>
      </c>
    </row>
    <row r="269" spans="6:18" x14ac:dyDescent="0.3">
      <c r="F269" s="2">
        <f t="shared" si="6"/>
        <v>252</v>
      </c>
      <c r="G269" s="2" t="str">
        <f>IF(Iterations[[#This Row],[Step]] =current_step, current_a,IF(Iterations[[#This Row],[Step]] &gt; current_step, "",Iterations[[#This Row],[a]]))</f>
        <v/>
      </c>
      <c r="H269" s="2" t="str">
        <f>IF(Iterations[[#This Row],[Step]] =current_step, current_b,IF(Iterations[[#This Row],[Step]] &gt; current_step, "",Iterations[[#This Row],[b]]))</f>
        <v/>
      </c>
      <c r="I269" s="2" t="str">
        <f>IF(Iterations[[#This Row],[Step]] =current_step, current_c,IF(Iterations[[#This Row],[Step]] &gt; current_step, "",Iterations[[#This Row],[c]]))</f>
        <v/>
      </c>
      <c r="J269" s="2" t="str">
        <f>IF(Iterations[[#This Row],[Step]] =current_step, current_d,IF(Iterations[[#This Row],[Step]] &gt; current_step, "",Iterations[[#This Row],[d]]))</f>
        <v/>
      </c>
      <c r="K269" s="2" t="str">
        <f>IF(Iterations[[#This Row],[Step]] =current_step, current_e,IF(Iterations[[#This Row],[Step]] &gt; current_step, "",Iterations[[#This Row],[e]]))</f>
        <v/>
      </c>
      <c r="L269" s="2" t="str">
        <f>IF(Iterations[[#This Row],[Step]] =current_step, current_Total_Loss,IF(Iterations[[#This Row],[Step]] &gt; current_step, "",Iterations[[#This Row],[Total Loss]]))</f>
        <v/>
      </c>
      <c r="M269" s="6" t="s">
        <v>27</v>
      </c>
      <c r="N269" s="2" t="str">
        <f>IF(Iterations[[#This Row],[Step]] =current_step, current_Grad_a,IF(Iterations[[#This Row],[Step]] &gt; current_step, "",Iterations[[#This Row],[Grad_a]]))</f>
        <v/>
      </c>
      <c r="O269" s="2" t="str">
        <f>IF(Iterations[[#This Row],[Step]] =current_step, current_Grad_b,IF(Iterations[[#This Row],[Step]] &gt; current_step, "",Iterations[[#This Row],[Grad_b]]))</f>
        <v/>
      </c>
      <c r="P269" s="2" t="str">
        <f>IF(Iterations[[#This Row],[Step]] =current_step, current_Grad_c,IF(Iterations[[#This Row],[Step]] &gt; current_step, "",Iterations[[#This Row],[Grad_c]]))</f>
        <v/>
      </c>
      <c r="Q269" s="2" t="str">
        <f>IF(Iterations[[#This Row],[Step]] =current_step, current_Grad_d,IF(Iterations[[#This Row],[Step]] &gt; current_step, "",Iterations[[#This Row],[Grad_d]]))</f>
        <v/>
      </c>
      <c r="R269" s="2" t="str">
        <f>IF(Iterations[[#This Row],[Step]] =current_step, current_Grad_e,IF(Iterations[[#This Row],[Step]] &gt; current_step, "",Iterations[[#This Row],[Grad_e]]))</f>
        <v/>
      </c>
    </row>
    <row r="270" spans="6:18" x14ac:dyDescent="0.3">
      <c r="F270" s="2">
        <f t="shared" si="6"/>
        <v>253</v>
      </c>
      <c r="G270" s="2" t="str">
        <f>IF(Iterations[[#This Row],[Step]] =current_step, current_a,IF(Iterations[[#This Row],[Step]] &gt; current_step, "",Iterations[[#This Row],[a]]))</f>
        <v/>
      </c>
      <c r="H270" s="2" t="str">
        <f>IF(Iterations[[#This Row],[Step]] =current_step, current_b,IF(Iterations[[#This Row],[Step]] &gt; current_step, "",Iterations[[#This Row],[b]]))</f>
        <v/>
      </c>
      <c r="I270" s="2" t="str">
        <f>IF(Iterations[[#This Row],[Step]] =current_step, current_c,IF(Iterations[[#This Row],[Step]] &gt; current_step, "",Iterations[[#This Row],[c]]))</f>
        <v/>
      </c>
      <c r="J270" s="2" t="str">
        <f>IF(Iterations[[#This Row],[Step]] =current_step, current_d,IF(Iterations[[#This Row],[Step]] &gt; current_step, "",Iterations[[#This Row],[d]]))</f>
        <v/>
      </c>
      <c r="K270" s="2" t="str">
        <f>IF(Iterations[[#This Row],[Step]] =current_step, current_e,IF(Iterations[[#This Row],[Step]] &gt; current_step, "",Iterations[[#This Row],[e]]))</f>
        <v/>
      </c>
      <c r="L270" s="2" t="str">
        <f>IF(Iterations[[#This Row],[Step]] =current_step, current_Total_Loss,IF(Iterations[[#This Row],[Step]] &gt; current_step, "",Iterations[[#This Row],[Total Loss]]))</f>
        <v/>
      </c>
      <c r="M270" s="6" t="s">
        <v>27</v>
      </c>
      <c r="N270" s="2" t="str">
        <f>IF(Iterations[[#This Row],[Step]] =current_step, current_Grad_a,IF(Iterations[[#This Row],[Step]] &gt; current_step, "",Iterations[[#This Row],[Grad_a]]))</f>
        <v/>
      </c>
      <c r="O270" s="2" t="str">
        <f>IF(Iterations[[#This Row],[Step]] =current_step, current_Grad_b,IF(Iterations[[#This Row],[Step]] &gt; current_step, "",Iterations[[#This Row],[Grad_b]]))</f>
        <v/>
      </c>
      <c r="P270" s="2" t="str">
        <f>IF(Iterations[[#This Row],[Step]] =current_step, current_Grad_c,IF(Iterations[[#This Row],[Step]] &gt; current_step, "",Iterations[[#This Row],[Grad_c]]))</f>
        <v/>
      </c>
      <c r="Q270" s="2" t="str">
        <f>IF(Iterations[[#This Row],[Step]] =current_step, current_Grad_d,IF(Iterations[[#This Row],[Step]] &gt; current_step, "",Iterations[[#This Row],[Grad_d]]))</f>
        <v/>
      </c>
      <c r="R270" s="2" t="str">
        <f>IF(Iterations[[#This Row],[Step]] =current_step, current_Grad_e,IF(Iterations[[#This Row],[Step]] &gt; current_step, "",Iterations[[#This Row],[Grad_e]]))</f>
        <v/>
      </c>
    </row>
    <row r="271" spans="6:18" x14ac:dyDescent="0.3">
      <c r="F271" s="2">
        <f t="shared" si="6"/>
        <v>254</v>
      </c>
      <c r="G271" s="2" t="str">
        <f>IF(Iterations[[#This Row],[Step]] =current_step, current_a,IF(Iterations[[#This Row],[Step]] &gt; current_step, "",Iterations[[#This Row],[a]]))</f>
        <v/>
      </c>
      <c r="H271" s="2" t="str">
        <f>IF(Iterations[[#This Row],[Step]] =current_step, current_b,IF(Iterations[[#This Row],[Step]] &gt; current_step, "",Iterations[[#This Row],[b]]))</f>
        <v/>
      </c>
      <c r="I271" s="2" t="str">
        <f>IF(Iterations[[#This Row],[Step]] =current_step, current_c,IF(Iterations[[#This Row],[Step]] &gt; current_step, "",Iterations[[#This Row],[c]]))</f>
        <v/>
      </c>
      <c r="J271" s="2" t="str">
        <f>IF(Iterations[[#This Row],[Step]] =current_step, current_d,IF(Iterations[[#This Row],[Step]] &gt; current_step, "",Iterations[[#This Row],[d]]))</f>
        <v/>
      </c>
      <c r="K271" s="2" t="str">
        <f>IF(Iterations[[#This Row],[Step]] =current_step, current_e,IF(Iterations[[#This Row],[Step]] &gt; current_step, "",Iterations[[#This Row],[e]]))</f>
        <v/>
      </c>
      <c r="L271" s="2" t="str">
        <f>IF(Iterations[[#This Row],[Step]] =current_step, current_Total_Loss,IF(Iterations[[#This Row],[Step]] &gt; current_step, "",Iterations[[#This Row],[Total Loss]]))</f>
        <v/>
      </c>
      <c r="M271" s="6" t="s">
        <v>27</v>
      </c>
      <c r="N271" s="2" t="str">
        <f>IF(Iterations[[#This Row],[Step]] =current_step, current_Grad_a,IF(Iterations[[#This Row],[Step]] &gt; current_step, "",Iterations[[#This Row],[Grad_a]]))</f>
        <v/>
      </c>
      <c r="O271" s="2" t="str">
        <f>IF(Iterations[[#This Row],[Step]] =current_step, current_Grad_b,IF(Iterations[[#This Row],[Step]] &gt; current_step, "",Iterations[[#This Row],[Grad_b]]))</f>
        <v/>
      </c>
      <c r="P271" s="2" t="str">
        <f>IF(Iterations[[#This Row],[Step]] =current_step, current_Grad_c,IF(Iterations[[#This Row],[Step]] &gt; current_step, "",Iterations[[#This Row],[Grad_c]]))</f>
        <v/>
      </c>
      <c r="Q271" s="2" t="str">
        <f>IF(Iterations[[#This Row],[Step]] =current_step, current_Grad_d,IF(Iterations[[#This Row],[Step]] &gt; current_step, "",Iterations[[#This Row],[Grad_d]]))</f>
        <v/>
      </c>
      <c r="R271" s="2" t="str">
        <f>IF(Iterations[[#This Row],[Step]] =current_step, current_Grad_e,IF(Iterations[[#This Row],[Step]] &gt; current_step, "",Iterations[[#This Row],[Grad_e]]))</f>
        <v/>
      </c>
    </row>
    <row r="272" spans="6:18" x14ac:dyDescent="0.3">
      <c r="F272" s="2">
        <f t="shared" si="6"/>
        <v>255</v>
      </c>
      <c r="G272" s="2" t="str">
        <f>IF(Iterations[[#This Row],[Step]] =current_step, current_a,IF(Iterations[[#This Row],[Step]] &gt; current_step, "",Iterations[[#This Row],[a]]))</f>
        <v/>
      </c>
      <c r="H272" s="2" t="str">
        <f>IF(Iterations[[#This Row],[Step]] =current_step, current_b,IF(Iterations[[#This Row],[Step]] &gt; current_step, "",Iterations[[#This Row],[b]]))</f>
        <v/>
      </c>
      <c r="I272" s="2" t="str">
        <f>IF(Iterations[[#This Row],[Step]] =current_step, current_c,IF(Iterations[[#This Row],[Step]] &gt; current_step, "",Iterations[[#This Row],[c]]))</f>
        <v/>
      </c>
      <c r="J272" s="2" t="str">
        <f>IF(Iterations[[#This Row],[Step]] =current_step, current_d,IF(Iterations[[#This Row],[Step]] &gt; current_step, "",Iterations[[#This Row],[d]]))</f>
        <v/>
      </c>
      <c r="K272" s="2" t="str">
        <f>IF(Iterations[[#This Row],[Step]] =current_step, current_e,IF(Iterations[[#This Row],[Step]] &gt; current_step, "",Iterations[[#This Row],[e]]))</f>
        <v/>
      </c>
      <c r="L272" s="2" t="str">
        <f>IF(Iterations[[#This Row],[Step]] =current_step, current_Total_Loss,IF(Iterations[[#This Row],[Step]] &gt; current_step, "",Iterations[[#This Row],[Total Loss]]))</f>
        <v/>
      </c>
      <c r="M272" s="6" t="s">
        <v>27</v>
      </c>
      <c r="N272" s="2" t="str">
        <f>IF(Iterations[[#This Row],[Step]] =current_step, current_Grad_a,IF(Iterations[[#This Row],[Step]] &gt; current_step, "",Iterations[[#This Row],[Grad_a]]))</f>
        <v/>
      </c>
      <c r="O272" s="2" t="str">
        <f>IF(Iterations[[#This Row],[Step]] =current_step, current_Grad_b,IF(Iterations[[#This Row],[Step]] &gt; current_step, "",Iterations[[#This Row],[Grad_b]]))</f>
        <v/>
      </c>
      <c r="P272" s="2" t="str">
        <f>IF(Iterations[[#This Row],[Step]] =current_step, current_Grad_c,IF(Iterations[[#This Row],[Step]] &gt; current_step, "",Iterations[[#This Row],[Grad_c]]))</f>
        <v/>
      </c>
      <c r="Q272" s="2" t="str">
        <f>IF(Iterations[[#This Row],[Step]] =current_step, current_Grad_d,IF(Iterations[[#This Row],[Step]] &gt; current_step, "",Iterations[[#This Row],[Grad_d]]))</f>
        <v/>
      </c>
      <c r="R272" s="2" t="str">
        <f>IF(Iterations[[#This Row],[Step]] =current_step, current_Grad_e,IF(Iterations[[#This Row],[Step]] &gt; current_step, "",Iterations[[#This Row],[Grad_e]]))</f>
        <v/>
      </c>
    </row>
    <row r="273" spans="6:18" x14ac:dyDescent="0.3">
      <c r="F273" s="2">
        <f t="shared" si="6"/>
        <v>256</v>
      </c>
      <c r="G273" s="2" t="str">
        <f>IF(Iterations[[#This Row],[Step]] =current_step, current_a,IF(Iterations[[#This Row],[Step]] &gt; current_step, "",Iterations[[#This Row],[a]]))</f>
        <v/>
      </c>
      <c r="H273" s="2" t="str">
        <f>IF(Iterations[[#This Row],[Step]] =current_step, current_b,IF(Iterations[[#This Row],[Step]] &gt; current_step, "",Iterations[[#This Row],[b]]))</f>
        <v/>
      </c>
      <c r="I273" s="2" t="str">
        <f>IF(Iterations[[#This Row],[Step]] =current_step, current_c,IF(Iterations[[#This Row],[Step]] &gt; current_step, "",Iterations[[#This Row],[c]]))</f>
        <v/>
      </c>
      <c r="J273" s="2" t="str">
        <f>IF(Iterations[[#This Row],[Step]] =current_step, current_d,IF(Iterations[[#This Row],[Step]] &gt; current_step, "",Iterations[[#This Row],[d]]))</f>
        <v/>
      </c>
      <c r="K273" s="2" t="str">
        <f>IF(Iterations[[#This Row],[Step]] =current_step, current_e,IF(Iterations[[#This Row],[Step]] &gt; current_step, "",Iterations[[#This Row],[e]]))</f>
        <v/>
      </c>
      <c r="L273" s="2" t="str">
        <f>IF(Iterations[[#This Row],[Step]] =current_step, current_Total_Loss,IF(Iterations[[#This Row],[Step]] &gt; current_step, "",Iterations[[#This Row],[Total Loss]]))</f>
        <v/>
      </c>
      <c r="M273" s="6" t="s">
        <v>27</v>
      </c>
      <c r="N273" s="2" t="str">
        <f>IF(Iterations[[#This Row],[Step]] =current_step, current_Grad_a,IF(Iterations[[#This Row],[Step]] &gt; current_step, "",Iterations[[#This Row],[Grad_a]]))</f>
        <v/>
      </c>
      <c r="O273" s="2" t="str">
        <f>IF(Iterations[[#This Row],[Step]] =current_step, current_Grad_b,IF(Iterations[[#This Row],[Step]] &gt; current_step, "",Iterations[[#This Row],[Grad_b]]))</f>
        <v/>
      </c>
      <c r="P273" s="2" t="str">
        <f>IF(Iterations[[#This Row],[Step]] =current_step, current_Grad_c,IF(Iterations[[#This Row],[Step]] &gt; current_step, "",Iterations[[#This Row],[Grad_c]]))</f>
        <v/>
      </c>
      <c r="Q273" s="2" t="str">
        <f>IF(Iterations[[#This Row],[Step]] =current_step, current_Grad_d,IF(Iterations[[#This Row],[Step]] &gt; current_step, "",Iterations[[#This Row],[Grad_d]]))</f>
        <v/>
      </c>
      <c r="R273" s="2" t="str">
        <f>IF(Iterations[[#This Row],[Step]] =current_step, current_Grad_e,IF(Iterations[[#This Row],[Step]] &gt; current_step, "",Iterations[[#This Row],[Grad_e]]))</f>
        <v/>
      </c>
    </row>
    <row r="274" spans="6:18" x14ac:dyDescent="0.3">
      <c r="F274" s="2">
        <f t="shared" si="6"/>
        <v>257</v>
      </c>
      <c r="G274" s="2" t="str">
        <f>IF(Iterations[[#This Row],[Step]] =current_step, current_a,IF(Iterations[[#This Row],[Step]] &gt; current_step, "",Iterations[[#This Row],[a]]))</f>
        <v/>
      </c>
      <c r="H274" s="2" t="str">
        <f>IF(Iterations[[#This Row],[Step]] =current_step, current_b,IF(Iterations[[#This Row],[Step]] &gt; current_step, "",Iterations[[#This Row],[b]]))</f>
        <v/>
      </c>
      <c r="I274" s="2" t="str">
        <f>IF(Iterations[[#This Row],[Step]] =current_step, current_c,IF(Iterations[[#This Row],[Step]] &gt; current_step, "",Iterations[[#This Row],[c]]))</f>
        <v/>
      </c>
      <c r="J274" s="2" t="str">
        <f>IF(Iterations[[#This Row],[Step]] =current_step, current_d,IF(Iterations[[#This Row],[Step]] &gt; current_step, "",Iterations[[#This Row],[d]]))</f>
        <v/>
      </c>
      <c r="K274" s="2" t="str">
        <f>IF(Iterations[[#This Row],[Step]] =current_step, current_e,IF(Iterations[[#This Row],[Step]] &gt; current_step, "",Iterations[[#This Row],[e]]))</f>
        <v/>
      </c>
      <c r="L274" s="2" t="str">
        <f>IF(Iterations[[#This Row],[Step]] =current_step, current_Total_Loss,IF(Iterations[[#This Row],[Step]] &gt; current_step, "",Iterations[[#This Row],[Total Loss]]))</f>
        <v/>
      </c>
      <c r="M274" s="6" t="s">
        <v>27</v>
      </c>
      <c r="N274" s="2" t="str">
        <f>IF(Iterations[[#This Row],[Step]] =current_step, current_Grad_a,IF(Iterations[[#This Row],[Step]] &gt; current_step, "",Iterations[[#This Row],[Grad_a]]))</f>
        <v/>
      </c>
      <c r="O274" s="2" t="str">
        <f>IF(Iterations[[#This Row],[Step]] =current_step, current_Grad_b,IF(Iterations[[#This Row],[Step]] &gt; current_step, "",Iterations[[#This Row],[Grad_b]]))</f>
        <v/>
      </c>
      <c r="P274" s="2" t="str">
        <f>IF(Iterations[[#This Row],[Step]] =current_step, current_Grad_c,IF(Iterations[[#This Row],[Step]] &gt; current_step, "",Iterations[[#This Row],[Grad_c]]))</f>
        <v/>
      </c>
      <c r="Q274" s="2" t="str">
        <f>IF(Iterations[[#This Row],[Step]] =current_step, current_Grad_d,IF(Iterations[[#This Row],[Step]] &gt; current_step, "",Iterations[[#This Row],[Grad_d]]))</f>
        <v/>
      </c>
      <c r="R274" s="2" t="str">
        <f>IF(Iterations[[#This Row],[Step]] =current_step, current_Grad_e,IF(Iterations[[#This Row],[Step]] &gt; current_step, "",Iterations[[#This Row],[Grad_e]]))</f>
        <v/>
      </c>
    </row>
    <row r="275" spans="6:18" x14ac:dyDescent="0.3">
      <c r="F275" s="2">
        <f t="shared" si="6"/>
        <v>258</v>
      </c>
      <c r="G275" s="2" t="str">
        <f>IF(Iterations[[#This Row],[Step]] =current_step, current_a,IF(Iterations[[#This Row],[Step]] &gt; current_step, "",Iterations[[#This Row],[a]]))</f>
        <v/>
      </c>
      <c r="H275" s="2" t="str">
        <f>IF(Iterations[[#This Row],[Step]] =current_step, current_b,IF(Iterations[[#This Row],[Step]] &gt; current_step, "",Iterations[[#This Row],[b]]))</f>
        <v/>
      </c>
      <c r="I275" s="2" t="str">
        <f>IF(Iterations[[#This Row],[Step]] =current_step, current_c,IF(Iterations[[#This Row],[Step]] &gt; current_step, "",Iterations[[#This Row],[c]]))</f>
        <v/>
      </c>
      <c r="J275" s="2" t="str">
        <f>IF(Iterations[[#This Row],[Step]] =current_step, current_d,IF(Iterations[[#This Row],[Step]] &gt; current_step, "",Iterations[[#This Row],[d]]))</f>
        <v/>
      </c>
      <c r="K275" s="2" t="str">
        <f>IF(Iterations[[#This Row],[Step]] =current_step, current_e,IF(Iterations[[#This Row],[Step]] &gt; current_step, "",Iterations[[#This Row],[e]]))</f>
        <v/>
      </c>
      <c r="L275" s="2" t="str">
        <f>IF(Iterations[[#This Row],[Step]] =current_step, current_Total_Loss,IF(Iterations[[#This Row],[Step]] &gt; current_step, "",Iterations[[#This Row],[Total Loss]]))</f>
        <v/>
      </c>
      <c r="M275" s="6" t="s">
        <v>27</v>
      </c>
      <c r="N275" s="2" t="str">
        <f>IF(Iterations[[#This Row],[Step]] =current_step, current_Grad_a,IF(Iterations[[#This Row],[Step]] &gt; current_step, "",Iterations[[#This Row],[Grad_a]]))</f>
        <v/>
      </c>
      <c r="O275" s="2" t="str">
        <f>IF(Iterations[[#This Row],[Step]] =current_step, current_Grad_b,IF(Iterations[[#This Row],[Step]] &gt; current_step, "",Iterations[[#This Row],[Grad_b]]))</f>
        <v/>
      </c>
      <c r="P275" s="2" t="str">
        <f>IF(Iterations[[#This Row],[Step]] =current_step, current_Grad_c,IF(Iterations[[#This Row],[Step]] &gt; current_step, "",Iterations[[#This Row],[Grad_c]]))</f>
        <v/>
      </c>
      <c r="Q275" s="2" t="str">
        <f>IF(Iterations[[#This Row],[Step]] =current_step, current_Grad_d,IF(Iterations[[#This Row],[Step]] &gt; current_step, "",Iterations[[#This Row],[Grad_d]]))</f>
        <v/>
      </c>
      <c r="R275" s="2" t="str">
        <f>IF(Iterations[[#This Row],[Step]] =current_step, current_Grad_e,IF(Iterations[[#This Row],[Step]] &gt; current_step, "",Iterations[[#This Row],[Grad_e]]))</f>
        <v/>
      </c>
    </row>
    <row r="276" spans="6:18" x14ac:dyDescent="0.3">
      <c r="F276" s="2">
        <f t="shared" si="6"/>
        <v>259</v>
      </c>
      <c r="G276" s="2" t="str">
        <f>IF(Iterations[[#This Row],[Step]] =current_step, current_a,IF(Iterations[[#This Row],[Step]] &gt; current_step, "",Iterations[[#This Row],[a]]))</f>
        <v/>
      </c>
      <c r="H276" s="2" t="str">
        <f>IF(Iterations[[#This Row],[Step]] =current_step, current_b,IF(Iterations[[#This Row],[Step]] &gt; current_step, "",Iterations[[#This Row],[b]]))</f>
        <v/>
      </c>
      <c r="I276" s="2" t="str">
        <f>IF(Iterations[[#This Row],[Step]] =current_step, current_c,IF(Iterations[[#This Row],[Step]] &gt; current_step, "",Iterations[[#This Row],[c]]))</f>
        <v/>
      </c>
      <c r="J276" s="2" t="str">
        <f>IF(Iterations[[#This Row],[Step]] =current_step, current_d,IF(Iterations[[#This Row],[Step]] &gt; current_step, "",Iterations[[#This Row],[d]]))</f>
        <v/>
      </c>
      <c r="K276" s="2" t="str">
        <f>IF(Iterations[[#This Row],[Step]] =current_step, current_e,IF(Iterations[[#This Row],[Step]] &gt; current_step, "",Iterations[[#This Row],[e]]))</f>
        <v/>
      </c>
      <c r="L276" s="2" t="str">
        <f>IF(Iterations[[#This Row],[Step]] =current_step, current_Total_Loss,IF(Iterations[[#This Row],[Step]] &gt; current_step, "",Iterations[[#This Row],[Total Loss]]))</f>
        <v/>
      </c>
      <c r="M276" s="6" t="s">
        <v>27</v>
      </c>
      <c r="N276" s="2" t="str">
        <f>IF(Iterations[[#This Row],[Step]] =current_step, current_Grad_a,IF(Iterations[[#This Row],[Step]] &gt; current_step, "",Iterations[[#This Row],[Grad_a]]))</f>
        <v/>
      </c>
      <c r="O276" s="2" t="str">
        <f>IF(Iterations[[#This Row],[Step]] =current_step, current_Grad_b,IF(Iterations[[#This Row],[Step]] &gt; current_step, "",Iterations[[#This Row],[Grad_b]]))</f>
        <v/>
      </c>
      <c r="P276" s="2" t="str">
        <f>IF(Iterations[[#This Row],[Step]] =current_step, current_Grad_c,IF(Iterations[[#This Row],[Step]] &gt; current_step, "",Iterations[[#This Row],[Grad_c]]))</f>
        <v/>
      </c>
      <c r="Q276" s="2" t="str">
        <f>IF(Iterations[[#This Row],[Step]] =current_step, current_Grad_d,IF(Iterations[[#This Row],[Step]] &gt; current_step, "",Iterations[[#This Row],[Grad_d]]))</f>
        <v/>
      </c>
      <c r="R276" s="2" t="str">
        <f>IF(Iterations[[#This Row],[Step]] =current_step, current_Grad_e,IF(Iterations[[#This Row],[Step]] &gt; current_step, "",Iterations[[#This Row],[Grad_e]]))</f>
        <v/>
      </c>
    </row>
    <row r="277" spans="6:18" x14ac:dyDescent="0.3">
      <c r="F277" s="2">
        <f t="shared" si="6"/>
        <v>260</v>
      </c>
      <c r="G277" s="2" t="str">
        <f>IF(Iterations[[#This Row],[Step]] =current_step, current_a,IF(Iterations[[#This Row],[Step]] &gt; current_step, "",Iterations[[#This Row],[a]]))</f>
        <v/>
      </c>
      <c r="H277" s="2" t="str">
        <f>IF(Iterations[[#This Row],[Step]] =current_step, current_b,IF(Iterations[[#This Row],[Step]] &gt; current_step, "",Iterations[[#This Row],[b]]))</f>
        <v/>
      </c>
      <c r="I277" s="2" t="str">
        <f>IF(Iterations[[#This Row],[Step]] =current_step, current_c,IF(Iterations[[#This Row],[Step]] &gt; current_step, "",Iterations[[#This Row],[c]]))</f>
        <v/>
      </c>
      <c r="J277" s="2" t="str">
        <f>IF(Iterations[[#This Row],[Step]] =current_step, current_d,IF(Iterations[[#This Row],[Step]] &gt; current_step, "",Iterations[[#This Row],[d]]))</f>
        <v/>
      </c>
      <c r="K277" s="2" t="str">
        <f>IF(Iterations[[#This Row],[Step]] =current_step, current_e,IF(Iterations[[#This Row],[Step]] &gt; current_step, "",Iterations[[#This Row],[e]]))</f>
        <v/>
      </c>
      <c r="L277" s="2" t="str">
        <f>IF(Iterations[[#This Row],[Step]] =current_step, current_Total_Loss,IF(Iterations[[#This Row],[Step]] &gt; current_step, "",Iterations[[#This Row],[Total Loss]]))</f>
        <v/>
      </c>
      <c r="M277" s="6" t="s">
        <v>27</v>
      </c>
      <c r="N277" s="2" t="str">
        <f>IF(Iterations[[#This Row],[Step]] =current_step, current_Grad_a,IF(Iterations[[#This Row],[Step]] &gt; current_step, "",Iterations[[#This Row],[Grad_a]]))</f>
        <v/>
      </c>
      <c r="O277" s="2" t="str">
        <f>IF(Iterations[[#This Row],[Step]] =current_step, current_Grad_b,IF(Iterations[[#This Row],[Step]] &gt; current_step, "",Iterations[[#This Row],[Grad_b]]))</f>
        <v/>
      </c>
      <c r="P277" s="2" t="str">
        <f>IF(Iterations[[#This Row],[Step]] =current_step, current_Grad_c,IF(Iterations[[#This Row],[Step]] &gt; current_step, "",Iterations[[#This Row],[Grad_c]]))</f>
        <v/>
      </c>
      <c r="Q277" s="2" t="str">
        <f>IF(Iterations[[#This Row],[Step]] =current_step, current_Grad_d,IF(Iterations[[#This Row],[Step]] &gt; current_step, "",Iterations[[#This Row],[Grad_d]]))</f>
        <v/>
      </c>
      <c r="R277" s="2" t="str">
        <f>IF(Iterations[[#This Row],[Step]] =current_step, current_Grad_e,IF(Iterations[[#This Row],[Step]] &gt; current_step, "",Iterations[[#This Row],[Grad_e]]))</f>
        <v/>
      </c>
    </row>
    <row r="278" spans="6:18" x14ac:dyDescent="0.3">
      <c r="F278" s="2">
        <f t="shared" si="6"/>
        <v>261</v>
      </c>
      <c r="G278" s="2" t="str">
        <f>IF(Iterations[[#This Row],[Step]] =current_step, current_a,IF(Iterations[[#This Row],[Step]] &gt; current_step, "",Iterations[[#This Row],[a]]))</f>
        <v/>
      </c>
      <c r="H278" s="2" t="str">
        <f>IF(Iterations[[#This Row],[Step]] =current_step, current_b,IF(Iterations[[#This Row],[Step]] &gt; current_step, "",Iterations[[#This Row],[b]]))</f>
        <v/>
      </c>
      <c r="I278" s="2" t="str">
        <f>IF(Iterations[[#This Row],[Step]] =current_step, current_c,IF(Iterations[[#This Row],[Step]] &gt; current_step, "",Iterations[[#This Row],[c]]))</f>
        <v/>
      </c>
      <c r="J278" s="2" t="str">
        <f>IF(Iterations[[#This Row],[Step]] =current_step, current_d,IF(Iterations[[#This Row],[Step]] &gt; current_step, "",Iterations[[#This Row],[d]]))</f>
        <v/>
      </c>
      <c r="K278" s="2" t="str">
        <f>IF(Iterations[[#This Row],[Step]] =current_step, current_e,IF(Iterations[[#This Row],[Step]] &gt; current_step, "",Iterations[[#This Row],[e]]))</f>
        <v/>
      </c>
      <c r="L278" s="2" t="str">
        <f>IF(Iterations[[#This Row],[Step]] =current_step, current_Total_Loss,IF(Iterations[[#This Row],[Step]] &gt; current_step, "",Iterations[[#This Row],[Total Loss]]))</f>
        <v/>
      </c>
      <c r="M278" s="6" t="s">
        <v>27</v>
      </c>
      <c r="N278" s="2" t="str">
        <f>IF(Iterations[[#This Row],[Step]] =current_step, current_Grad_a,IF(Iterations[[#This Row],[Step]] &gt; current_step, "",Iterations[[#This Row],[Grad_a]]))</f>
        <v/>
      </c>
      <c r="O278" s="2" t="str">
        <f>IF(Iterations[[#This Row],[Step]] =current_step, current_Grad_b,IF(Iterations[[#This Row],[Step]] &gt; current_step, "",Iterations[[#This Row],[Grad_b]]))</f>
        <v/>
      </c>
      <c r="P278" s="2" t="str">
        <f>IF(Iterations[[#This Row],[Step]] =current_step, current_Grad_c,IF(Iterations[[#This Row],[Step]] &gt; current_step, "",Iterations[[#This Row],[Grad_c]]))</f>
        <v/>
      </c>
      <c r="Q278" s="2" t="str">
        <f>IF(Iterations[[#This Row],[Step]] =current_step, current_Grad_d,IF(Iterations[[#This Row],[Step]] &gt; current_step, "",Iterations[[#This Row],[Grad_d]]))</f>
        <v/>
      </c>
      <c r="R278" s="2" t="str">
        <f>IF(Iterations[[#This Row],[Step]] =current_step, current_Grad_e,IF(Iterations[[#This Row],[Step]] &gt; current_step, "",Iterations[[#This Row],[Grad_e]]))</f>
        <v/>
      </c>
    </row>
    <row r="279" spans="6:18" x14ac:dyDescent="0.3">
      <c r="F279" s="2">
        <f t="shared" si="6"/>
        <v>262</v>
      </c>
      <c r="G279" s="2" t="str">
        <f>IF(Iterations[[#This Row],[Step]] =current_step, current_a,IF(Iterations[[#This Row],[Step]] &gt; current_step, "",Iterations[[#This Row],[a]]))</f>
        <v/>
      </c>
      <c r="H279" s="2" t="str">
        <f>IF(Iterations[[#This Row],[Step]] =current_step, current_b,IF(Iterations[[#This Row],[Step]] &gt; current_step, "",Iterations[[#This Row],[b]]))</f>
        <v/>
      </c>
      <c r="I279" s="2" t="str">
        <f>IF(Iterations[[#This Row],[Step]] =current_step, current_c,IF(Iterations[[#This Row],[Step]] &gt; current_step, "",Iterations[[#This Row],[c]]))</f>
        <v/>
      </c>
      <c r="J279" s="2" t="str">
        <f>IF(Iterations[[#This Row],[Step]] =current_step, current_d,IF(Iterations[[#This Row],[Step]] &gt; current_step, "",Iterations[[#This Row],[d]]))</f>
        <v/>
      </c>
      <c r="K279" s="2" t="str">
        <f>IF(Iterations[[#This Row],[Step]] =current_step, current_e,IF(Iterations[[#This Row],[Step]] &gt; current_step, "",Iterations[[#This Row],[e]]))</f>
        <v/>
      </c>
      <c r="L279" s="2" t="str">
        <f>IF(Iterations[[#This Row],[Step]] =current_step, current_Total_Loss,IF(Iterations[[#This Row],[Step]] &gt; current_step, "",Iterations[[#This Row],[Total Loss]]))</f>
        <v/>
      </c>
      <c r="M279" s="6" t="s">
        <v>27</v>
      </c>
      <c r="N279" s="2" t="str">
        <f>IF(Iterations[[#This Row],[Step]] =current_step, current_Grad_a,IF(Iterations[[#This Row],[Step]] &gt; current_step, "",Iterations[[#This Row],[Grad_a]]))</f>
        <v/>
      </c>
      <c r="O279" s="2" t="str">
        <f>IF(Iterations[[#This Row],[Step]] =current_step, current_Grad_b,IF(Iterations[[#This Row],[Step]] &gt; current_step, "",Iterations[[#This Row],[Grad_b]]))</f>
        <v/>
      </c>
      <c r="P279" s="2" t="str">
        <f>IF(Iterations[[#This Row],[Step]] =current_step, current_Grad_c,IF(Iterations[[#This Row],[Step]] &gt; current_step, "",Iterations[[#This Row],[Grad_c]]))</f>
        <v/>
      </c>
      <c r="Q279" s="2" t="str">
        <f>IF(Iterations[[#This Row],[Step]] =current_step, current_Grad_d,IF(Iterations[[#This Row],[Step]] &gt; current_step, "",Iterations[[#This Row],[Grad_d]]))</f>
        <v/>
      </c>
      <c r="R279" s="2" t="str">
        <f>IF(Iterations[[#This Row],[Step]] =current_step, current_Grad_e,IF(Iterations[[#This Row],[Step]] &gt; current_step, "",Iterations[[#This Row],[Grad_e]]))</f>
        <v/>
      </c>
    </row>
    <row r="280" spans="6:18" x14ac:dyDescent="0.3">
      <c r="F280" s="2">
        <f t="shared" si="6"/>
        <v>263</v>
      </c>
      <c r="G280" s="2" t="str">
        <f>IF(Iterations[[#This Row],[Step]] =current_step, current_a,IF(Iterations[[#This Row],[Step]] &gt; current_step, "",Iterations[[#This Row],[a]]))</f>
        <v/>
      </c>
      <c r="H280" s="2" t="str">
        <f>IF(Iterations[[#This Row],[Step]] =current_step, current_b,IF(Iterations[[#This Row],[Step]] &gt; current_step, "",Iterations[[#This Row],[b]]))</f>
        <v/>
      </c>
      <c r="I280" s="2" t="str">
        <f>IF(Iterations[[#This Row],[Step]] =current_step, current_c,IF(Iterations[[#This Row],[Step]] &gt; current_step, "",Iterations[[#This Row],[c]]))</f>
        <v/>
      </c>
      <c r="J280" s="2" t="str">
        <f>IF(Iterations[[#This Row],[Step]] =current_step, current_d,IF(Iterations[[#This Row],[Step]] &gt; current_step, "",Iterations[[#This Row],[d]]))</f>
        <v/>
      </c>
      <c r="K280" s="2" t="str">
        <f>IF(Iterations[[#This Row],[Step]] =current_step, current_e,IF(Iterations[[#This Row],[Step]] &gt; current_step, "",Iterations[[#This Row],[e]]))</f>
        <v/>
      </c>
      <c r="L280" s="2" t="str">
        <f>IF(Iterations[[#This Row],[Step]] =current_step, current_Total_Loss,IF(Iterations[[#This Row],[Step]] &gt; current_step, "",Iterations[[#This Row],[Total Loss]]))</f>
        <v/>
      </c>
      <c r="M280" s="6" t="s">
        <v>27</v>
      </c>
      <c r="N280" s="2" t="str">
        <f>IF(Iterations[[#This Row],[Step]] =current_step, current_Grad_a,IF(Iterations[[#This Row],[Step]] &gt; current_step, "",Iterations[[#This Row],[Grad_a]]))</f>
        <v/>
      </c>
      <c r="O280" s="2" t="str">
        <f>IF(Iterations[[#This Row],[Step]] =current_step, current_Grad_b,IF(Iterations[[#This Row],[Step]] &gt; current_step, "",Iterations[[#This Row],[Grad_b]]))</f>
        <v/>
      </c>
      <c r="P280" s="2" t="str">
        <f>IF(Iterations[[#This Row],[Step]] =current_step, current_Grad_c,IF(Iterations[[#This Row],[Step]] &gt; current_step, "",Iterations[[#This Row],[Grad_c]]))</f>
        <v/>
      </c>
      <c r="Q280" s="2" t="str">
        <f>IF(Iterations[[#This Row],[Step]] =current_step, current_Grad_d,IF(Iterations[[#This Row],[Step]] &gt; current_step, "",Iterations[[#This Row],[Grad_d]]))</f>
        <v/>
      </c>
      <c r="R280" s="2" t="str">
        <f>IF(Iterations[[#This Row],[Step]] =current_step, current_Grad_e,IF(Iterations[[#This Row],[Step]] &gt; current_step, "",Iterations[[#This Row],[Grad_e]]))</f>
        <v/>
      </c>
    </row>
    <row r="281" spans="6:18" x14ac:dyDescent="0.3">
      <c r="F281" s="2">
        <f t="shared" si="6"/>
        <v>264</v>
      </c>
      <c r="G281" s="2" t="str">
        <f>IF(Iterations[[#This Row],[Step]] =current_step, current_a,IF(Iterations[[#This Row],[Step]] &gt; current_step, "",Iterations[[#This Row],[a]]))</f>
        <v/>
      </c>
      <c r="H281" s="2" t="str">
        <f>IF(Iterations[[#This Row],[Step]] =current_step, current_b,IF(Iterations[[#This Row],[Step]] &gt; current_step, "",Iterations[[#This Row],[b]]))</f>
        <v/>
      </c>
      <c r="I281" s="2" t="str">
        <f>IF(Iterations[[#This Row],[Step]] =current_step, current_c,IF(Iterations[[#This Row],[Step]] &gt; current_step, "",Iterations[[#This Row],[c]]))</f>
        <v/>
      </c>
      <c r="J281" s="2" t="str">
        <f>IF(Iterations[[#This Row],[Step]] =current_step, current_d,IF(Iterations[[#This Row],[Step]] &gt; current_step, "",Iterations[[#This Row],[d]]))</f>
        <v/>
      </c>
      <c r="K281" s="2" t="str">
        <f>IF(Iterations[[#This Row],[Step]] =current_step, current_e,IF(Iterations[[#This Row],[Step]] &gt; current_step, "",Iterations[[#This Row],[e]]))</f>
        <v/>
      </c>
      <c r="L281" s="2" t="str">
        <f>IF(Iterations[[#This Row],[Step]] =current_step, current_Total_Loss,IF(Iterations[[#This Row],[Step]] &gt; current_step, "",Iterations[[#This Row],[Total Loss]]))</f>
        <v/>
      </c>
      <c r="M281" s="6" t="s">
        <v>27</v>
      </c>
      <c r="N281" s="2" t="str">
        <f>IF(Iterations[[#This Row],[Step]] =current_step, current_Grad_a,IF(Iterations[[#This Row],[Step]] &gt; current_step, "",Iterations[[#This Row],[Grad_a]]))</f>
        <v/>
      </c>
      <c r="O281" s="2" t="str">
        <f>IF(Iterations[[#This Row],[Step]] =current_step, current_Grad_b,IF(Iterations[[#This Row],[Step]] &gt; current_step, "",Iterations[[#This Row],[Grad_b]]))</f>
        <v/>
      </c>
      <c r="P281" s="2" t="str">
        <f>IF(Iterations[[#This Row],[Step]] =current_step, current_Grad_c,IF(Iterations[[#This Row],[Step]] &gt; current_step, "",Iterations[[#This Row],[Grad_c]]))</f>
        <v/>
      </c>
      <c r="Q281" s="2" t="str">
        <f>IF(Iterations[[#This Row],[Step]] =current_step, current_Grad_d,IF(Iterations[[#This Row],[Step]] &gt; current_step, "",Iterations[[#This Row],[Grad_d]]))</f>
        <v/>
      </c>
      <c r="R281" s="2" t="str">
        <f>IF(Iterations[[#This Row],[Step]] =current_step, current_Grad_e,IF(Iterations[[#This Row],[Step]] &gt; current_step, "",Iterations[[#This Row],[Grad_e]]))</f>
        <v/>
      </c>
    </row>
    <row r="282" spans="6:18" x14ac:dyDescent="0.3">
      <c r="F282" s="2">
        <f t="shared" si="6"/>
        <v>265</v>
      </c>
      <c r="G282" s="2" t="str">
        <f>IF(Iterations[[#This Row],[Step]] =current_step, current_a,IF(Iterations[[#This Row],[Step]] &gt; current_step, "",Iterations[[#This Row],[a]]))</f>
        <v/>
      </c>
      <c r="H282" s="2" t="str">
        <f>IF(Iterations[[#This Row],[Step]] =current_step, current_b,IF(Iterations[[#This Row],[Step]] &gt; current_step, "",Iterations[[#This Row],[b]]))</f>
        <v/>
      </c>
      <c r="I282" s="2" t="str">
        <f>IF(Iterations[[#This Row],[Step]] =current_step, current_c,IF(Iterations[[#This Row],[Step]] &gt; current_step, "",Iterations[[#This Row],[c]]))</f>
        <v/>
      </c>
      <c r="J282" s="2" t="str">
        <f>IF(Iterations[[#This Row],[Step]] =current_step, current_d,IF(Iterations[[#This Row],[Step]] &gt; current_step, "",Iterations[[#This Row],[d]]))</f>
        <v/>
      </c>
      <c r="K282" s="2" t="str">
        <f>IF(Iterations[[#This Row],[Step]] =current_step, current_e,IF(Iterations[[#This Row],[Step]] &gt; current_step, "",Iterations[[#This Row],[e]]))</f>
        <v/>
      </c>
      <c r="L282" s="2" t="str">
        <f>IF(Iterations[[#This Row],[Step]] =current_step, current_Total_Loss,IF(Iterations[[#This Row],[Step]] &gt; current_step, "",Iterations[[#This Row],[Total Loss]]))</f>
        <v/>
      </c>
      <c r="M282" s="6" t="s">
        <v>27</v>
      </c>
      <c r="N282" s="2" t="str">
        <f>IF(Iterations[[#This Row],[Step]] =current_step, current_Grad_a,IF(Iterations[[#This Row],[Step]] &gt; current_step, "",Iterations[[#This Row],[Grad_a]]))</f>
        <v/>
      </c>
      <c r="O282" s="2" t="str">
        <f>IF(Iterations[[#This Row],[Step]] =current_step, current_Grad_b,IF(Iterations[[#This Row],[Step]] &gt; current_step, "",Iterations[[#This Row],[Grad_b]]))</f>
        <v/>
      </c>
      <c r="P282" s="2" t="str">
        <f>IF(Iterations[[#This Row],[Step]] =current_step, current_Grad_c,IF(Iterations[[#This Row],[Step]] &gt; current_step, "",Iterations[[#This Row],[Grad_c]]))</f>
        <v/>
      </c>
      <c r="Q282" s="2" t="str">
        <f>IF(Iterations[[#This Row],[Step]] =current_step, current_Grad_d,IF(Iterations[[#This Row],[Step]] &gt; current_step, "",Iterations[[#This Row],[Grad_d]]))</f>
        <v/>
      </c>
      <c r="R282" s="2" t="str">
        <f>IF(Iterations[[#This Row],[Step]] =current_step, current_Grad_e,IF(Iterations[[#This Row],[Step]] &gt; current_step, "",Iterations[[#This Row],[Grad_e]]))</f>
        <v/>
      </c>
    </row>
    <row r="283" spans="6:18" x14ac:dyDescent="0.3">
      <c r="F283" s="2">
        <f t="shared" si="6"/>
        <v>266</v>
      </c>
      <c r="G283" s="2" t="str">
        <f>IF(Iterations[[#This Row],[Step]] =current_step, current_a,IF(Iterations[[#This Row],[Step]] &gt; current_step, "",Iterations[[#This Row],[a]]))</f>
        <v/>
      </c>
      <c r="H283" s="2" t="str">
        <f>IF(Iterations[[#This Row],[Step]] =current_step, current_b,IF(Iterations[[#This Row],[Step]] &gt; current_step, "",Iterations[[#This Row],[b]]))</f>
        <v/>
      </c>
      <c r="I283" s="2" t="str">
        <f>IF(Iterations[[#This Row],[Step]] =current_step, current_c,IF(Iterations[[#This Row],[Step]] &gt; current_step, "",Iterations[[#This Row],[c]]))</f>
        <v/>
      </c>
      <c r="J283" s="2" t="str">
        <f>IF(Iterations[[#This Row],[Step]] =current_step, current_d,IF(Iterations[[#This Row],[Step]] &gt; current_step, "",Iterations[[#This Row],[d]]))</f>
        <v/>
      </c>
      <c r="K283" s="2" t="str">
        <f>IF(Iterations[[#This Row],[Step]] =current_step, current_e,IF(Iterations[[#This Row],[Step]] &gt; current_step, "",Iterations[[#This Row],[e]]))</f>
        <v/>
      </c>
      <c r="L283" s="2" t="str">
        <f>IF(Iterations[[#This Row],[Step]] =current_step, current_Total_Loss,IF(Iterations[[#This Row],[Step]] &gt; current_step, "",Iterations[[#This Row],[Total Loss]]))</f>
        <v/>
      </c>
      <c r="M283" s="6" t="s">
        <v>27</v>
      </c>
      <c r="N283" s="2" t="str">
        <f>IF(Iterations[[#This Row],[Step]] =current_step, current_Grad_a,IF(Iterations[[#This Row],[Step]] &gt; current_step, "",Iterations[[#This Row],[Grad_a]]))</f>
        <v/>
      </c>
      <c r="O283" s="2" t="str">
        <f>IF(Iterations[[#This Row],[Step]] =current_step, current_Grad_b,IF(Iterations[[#This Row],[Step]] &gt; current_step, "",Iterations[[#This Row],[Grad_b]]))</f>
        <v/>
      </c>
      <c r="P283" s="2" t="str">
        <f>IF(Iterations[[#This Row],[Step]] =current_step, current_Grad_c,IF(Iterations[[#This Row],[Step]] &gt; current_step, "",Iterations[[#This Row],[Grad_c]]))</f>
        <v/>
      </c>
      <c r="Q283" s="2" t="str">
        <f>IF(Iterations[[#This Row],[Step]] =current_step, current_Grad_d,IF(Iterations[[#This Row],[Step]] &gt; current_step, "",Iterations[[#This Row],[Grad_d]]))</f>
        <v/>
      </c>
      <c r="R283" s="2" t="str">
        <f>IF(Iterations[[#This Row],[Step]] =current_step, current_Grad_e,IF(Iterations[[#This Row],[Step]] &gt; current_step, "",Iterations[[#This Row],[Grad_e]]))</f>
        <v/>
      </c>
    </row>
    <row r="284" spans="6:18" x14ac:dyDescent="0.3">
      <c r="F284" s="2">
        <f t="shared" si="6"/>
        <v>267</v>
      </c>
      <c r="G284" s="2" t="str">
        <f>IF(Iterations[[#This Row],[Step]] =current_step, current_a,IF(Iterations[[#This Row],[Step]] &gt; current_step, "",Iterations[[#This Row],[a]]))</f>
        <v/>
      </c>
      <c r="H284" s="2" t="str">
        <f>IF(Iterations[[#This Row],[Step]] =current_step, current_b,IF(Iterations[[#This Row],[Step]] &gt; current_step, "",Iterations[[#This Row],[b]]))</f>
        <v/>
      </c>
      <c r="I284" s="2" t="str">
        <f>IF(Iterations[[#This Row],[Step]] =current_step, current_c,IF(Iterations[[#This Row],[Step]] &gt; current_step, "",Iterations[[#This Row],[c]]))</f>
        <v/>
      </c>
      <c r="J284" s="2" t="str">
        <f>IF(Iterations[[#This Row],[Step]] =current_step, current_d,IF(Iterations[[#This Row],[Step]] &gt; current_step, "",Iterations[[#This Row],[d]]))</f>
        <v/>
      </c>
      <c r="K284" s="2" t="str">
        <f>IF(Iterations[[#This Row],[Step]] =current_step, current_e,IF(Iterations[[#This Row],[Step]] &gt; current_step, "",Iterations[[#This Row],[e]]))</f>
        <v/>
      </c>
      <c r="L284" s="2" t="str">
        <f>IF(Iterations[[#This Row],[Step]] =current_step, current_Total_Loss,IF(Iterations[[#This Row],[Step]] &gt; current_step, "",Iterations[[#This Row],[Total Loss]]))</f>
        <v/>
      </c>
      <c r="M284" s="6" t="s">
        <v>27</v>
      </c>
      <c r="N284" s="2" t="str">
        <f>IF(Iterations[[#This Row],[Step]] =current_step, current_Grad_a,IF(Iterations[[#This Row],[Step]] &gt; current_step, "",Iterations[[#This Row],[Grad_a]]))</f>
        <v/>
      </c>
      <c r="O284" s="2" t="str">
        <f>IF(Iterations[[#This Row],[Step]] =current_step, current_Grad_b,IF(Iterations[[#This Row],[Step]] &gt; current_step, "",Iterations[[#This Row],[Grad_b]]))</f>
        <v/>
      </c>
      <c r="P284" s="2" t="str">
        <f>IF(Iterations[[#This Row],[Step]] =current_step, current_Grad_c,IF(Iterations[[#This Row],[Step]] &gt; current_step, "",Iterations[[#This Row],[Grad_c]]))</f>
        <v/>
      </c>
      <c r="Q284" s="2" t="str">
        <f>IF(Iterations[[#This Row],[Step]] =current_step, current_Grad_d,IF(Iterations[[#This Row],[Step]] &gt; current_step, "",Iterations[[#This Row],[Grad_d]]))</f>
        <v/>
      </c>
      <c r="R284" s="2" t="str">
        <f>IF(Iterations[[#This Row],[Step]] =current_step, current_Grad_e,IF(Iterations[[#This Row],[Step]] &gt; current_step, "",Iterations[[#This Row],[Grad_e]]))</f>
        <v/>
      </c>
    </row>
    <row r="285" spans="6:18" x14ac:dyDescent="0.3">
      <c r="F285" s="2">
        <f t="shared" si="6"/>
        <v>268</v>
      </c>
      <c r="G285" s="2" t="str">
        <f>IF(Iterations[[#This Row],[Step]] =current_step, current_a,IF(Iterations[[#This Row],[Step]] &gt; current_step, "",Iterations[[#This Row],[a]]))</f>
        <v/>
      </c>
      <c r="H285" s="2" t="str">
        <f>IF(Iterations[[#This Row],[Step]] =current_step, current_b,IF(Iterations[[#This Row],[Step]] &gt; current_step, "",Iterations[[#This Row],[b]]))</f>
        <v/>
      </c>
      <c r="I285" s="2" t="str">
        <f>IF(Iterations[[#This Row],[Step]] =current_step, current_c,IF(Iterations[[#This Row],[Step]] &gt; current_step, "",Iterations[[#This Row],[c]]))</f>
        <v/>
      </c>
      <c r="J285" s="2" t="str">
        <f>IF(Iterations[[#This Row],[Step]] =current_step, current_d,IF(Iterations[[#This Row],[Step]] &gt; current_step, "",Iterations[[#This Row],[d]]))</f>
        <v/>
      </c>
      <c r="K285" s="2" t="str">
        <f>IF(Iterations[[#This Row],[Step]] =current_step, current_e,IF(Iterations[[#This Row],[Step]] &gt; current_step, "",Iterations[[#This Row],[e]]))</f>
        <v/>
      </c>
      <c r="L285" s="2" t="str">
        <f>IF(Iterations[[#This Row],[Step]] =current_step, current_Total_Loss,IF(Iterations[[#This Row],[Step]] &gt; current_step, "",Iterations[[#This Row],[Total Loss]]))</f>
        <v/>
      </c>
      <c r="M285" s="6" t="s">
        <v>27</v>
      </c>
      <c r="N285" s="2" t="str">
        <f>IF(Iterations[[#This Row],[Step]] =current_step, current_Grad_a,IF(Iterations[[#This Row],[Step]] &gt; current_step, "",Iterations[[#This Row],[Grad_a]]))</f>
        <v/>
      </c>
      <c r="O285" s="2" t="str">
        <f>IF(Iterations[[#This Row],[Step]] =current_step, current_Grad_b,IF(Iterations[[#This Row],[Step]] &gt; current_step, "",Iterations[[#This Row],[Grad_b]]))</f>
        <v/>
      </c>
      <c r="P285" s="2" t="str">
        <f>IF(Iterations[[#This Row],[Step]] =current_step, current_Grad_c,IF(Iterations[[#This Row],[Step]] &gt; current_step, "",Iterations[[#This Row],[Grad_c]]))</f>
        <v/>
      </c>
      <c r="Q285" s="2" t="str">
        <f>IF(Iterations[[#This Row],[Step]] =current_step, current_Grad_d,IF(Iterations[[#This Row],[Step]] &gt; current_step, "",Iterations[[#This Row],[Grad_d]]))</f>
        <v/>
      </c>
      <c r="R285" s="2" t="str">
        <f>IF(Iterations[[#This Row],[Step]] =current_step, current_Grad_e,IF(Iterations[[#This Row],[Step]] &gt; current_step, "",Iterations[[#This Row],[Grad_e]]))</f>
        <v/>
      </c>
    </row>
    <row r="286" spans="6:18" x14ac:dyDescent="0.3">
      <c r="F286" s="2">
        <f t="shared" si="6"/>
        <v>269</v>
      </c>
      <c r="G286" s="2" t="str">
        <f>IF(Iterations[[#This Row],[Step]] =current_step, current_a,IF(Iterations[[#This Row],[Step]] &gt; current_step, "",Iterations[[#This Row],[a]]))</f>
        <v/>
      </c>
      <c r="H286" s="2" t="str">
        <f>IF(Iterations[[#This Row],[Step]] =current_step, current_b,IF(Iterations[[#This Row],[Step]] &gt; current_step, "",Iterations[[#This Row],[b]]))</f>
        <v/>
      </c>
      <c r="I286" s="2" t="str">
        <f>IF(Iterations[[#This Row],[Step]] =current_step, current_c,IF(Iterations[[#This Row],[Step]] &gt; current_step, "",Iterations[[#This Row],[c]]))</f>
        <v/>
      </c>
      <c r="J286" s="2" t="str">
        <f>IF(Iterations[[#This Row],[Step]] =current_step, current_d,IF(Iterations[[#This Row],[Step]] &gt; current_step, "",Iterations[[#This Row],[d]]))</f>
        <v/>
      </c>
      <c r="K286" s="2" t="str">
        <f>IF(Iterations[[#This Row],[Step]] =current_step, current_e,IF(Iterations[[#This Row],[Step]] &gt; current_step, "",Iterations[[#This Row],[e]]))</f>
        <v/>
      </c>
      <c r="L286" s="2" t="str">
        <f>IF(Iterations[[#This Row],[Step]] =current_step, current_Total_Loss,IF(Iterations[[#This Row],[Step]] &gt; current_step, "",Iterations[[#This Row],[Total Loss]]))</f>
        <v/>
      </c>
      <c r="M286" s="6" t="s">
        <v>27</v>
      </c>
      <c r="N286" s="2" t="str">
        <f>IF(Iterations[[#This Row],[Step]] =current_step, current_Grad_a,IF(Iterations[[#This Row],[Step]] &gt; current_step, "",Iterations[[#This Row],[Grad_a]]))</f>
        <v/>
      </c>
      <c r="O286" s="2" t="str">
        <f>IF(Iterations[[#This Row],[Step]] =current_step, current_Grad_b,IF(Iterations[[#This Row],[Step]] &gt; current_step, "",Iterations[[#This Row],[Grad_b]]))</f>
        <v/>
      </c>
      <c r="P286" s="2" t="str">
        <f>IF(Iterations[[#This Row],[Step]] =current_step, current_Grad_c,IF(Iterations[[#This Row],[Step]] &gt; current_step, "",Iterations[[#This Row],[Grad_c]]))</f>
        <v/>
      </c>
      <c r="Q286" s="2" t="str">
        <f>IF(Iterations[[#This Row],[Step]] =current_step, current_Grad_d,IF(Iterations[[#This Row],[Step]] &gt; current_step, "",Iterations[[#This Row],[Grad_d]]))</f>
        <v/>
      </c>
      <c r="R286" s="2" t="str">
        <f>IF(Iterations[[#This Row],[Step]] =current_step, current_Grad_e,IF(Iterations[[#This Row],[Step]] &gt; current_step, "",Iterations[[#This Row],[Grad_e]]))</f>
        <v/>
      </c>
    </row>
    <row r="287" spans="6:18" x14ac:dyDescent="0.3">
      <c r="F287" s="2">
        <f t="shared" si="6"/>
        <v>270</v>
      </c>
      <c r="G287" s="2" t="str">
        <f>IF(Iterations[[#This Row],[Step]] =current_step, current_a,IF(Iterations[[#This Row],[Step]] &gt; current_step, "",Iterations[[#This Row],[a]]))</f>
        <v/>
      </c>
      <c r="H287" s="2" t="str">
        <f>IF(Iterations[[#This Row],[Step]] =current_step, current_b,IF(Iterations[[#This Row],[Step]] &gt; current_step, "",Iterations[[#This Row],[b]]))</f>
        <v/>
      </c>
      <c r="I287" s="2" t="str">
        <f>IF(Iterations[[#This Row],[Step]] =current_step, current_c,IF(Iterations[[#This Row],[Step]] &gt; current_step, "",Iterations[[#This Row],[c]]))</f>
        <v/>
      </c>
      <c r="J287" s="2" t="str">
        <f>IF(Iterations[[#This Row],[Step]] =current_step, current_d,IF(Iterations[[#This Row],[Step]] &gt; current_step, "",Iterations[[#This Row],[d]]))</f>
        <v/>
      </c>
      <c r="K287" s="2" t="str">
        <f>IF(Iterations[[#This Row],[Step]] =current_step, current_e,IF(Iterations[[#This Row],[Step]] &gt; current_step, "",Iterations[[#This Row],[e]]))</f>
        <v/>
      </c>
      <c r="L287" s="2" t="str">
        <f>IF(Iterations[[#This Row],[Step]] =current_step, current_Total_Loss,IF(Iterations[[#This Row],[Step]] &gt; current_step, "",Iterations[[#This Row],[Total Loss]]))</f>
        <v/>
      </c>
      <c r="M287" s="6" t="s">
        <v>27</v>
      </c>
      <c r="N287" s="2" t="str">
        <f>IF(Iterations[[#This Row],[Step]] =current_step, current_Grad_a,IF(Iterations[[#This Row],[Step]] &gt; current_step, "",Iterations[[#This Row],[Grad_a]]))</f>
        <v/>
      </c>
      <c r="O287" s="2" t="str">
        <f>IF(Iterations[[#This Row],[Step]] =current_step, current_Grad_b,IF(Iterations[[#This Row],[Step]] &gt; current_step, "",Iterations[[#This Row],[Grad_b]]))</f>
        <v/>
      </c>
      <c r="P287" s="2" t="str">
        <f>IF(Iterations[[#This Row],[Step]] =current_step, current_Grad_c,IF(Iterations[[#This Row],[Step]] &gt; current_step, "",Iterations[[#This Row],[Grad_c]]))</f>
        <v/>
      </c>
      <c r="Q287" s="2" t="str">
        <f>IF(Iterations[[#This Row],[Step]] =current_step, current_Grad_d,IF(Iterations[[#This Row],[Step]] &gt; current_step, "",Iterations[[#This Row],[Grad_d]]))</f>
        <v/>
      </c>
      <c r="R287" s="2" t="str">
        <f>IF(Iterations[[#This Row],[Step]] =current_step, current_Grad_e,IF(Iterations[[#This Row],[Step]] &gt; current_step, "",Iterations[[#This Row],[Grad_e]]))</f>
        <v/>
      </c>
    </row>
    <row r="288" spans="6:18" x14ac:dyDescent="0.3">
      <c r="F288" s="2">
        <f t="shared" si="6"/>
        <v>271</v>
      </c>
      <c r="G288" s="2" t="str">
        <f>IF(Iterations[[#This Row],[Step]] =current_step, current_a,IF(Iterations[[#This Row],[Step]] &gt; current_step, "",Iterations[[#This Row],[a]]))</f>
        <v/>
      </c>
      <c r="H288" s="2" t="str">
        <f>IF(Iterations[[#This Row],[Step]] =current_step, current_b,IF(Iterations[[#This Row],[Step]] &gt; current_step, "",Iterations[[#This Row],[b]]))</f>
        <v/>
      </c>
      <c r="I288" s="2" t="str">
        <f>IF(Iterations[[#This Row],[Step]] =current_step, current_c,IF(Iterations[[#This Row],[Step]] &gt; current_step, "",Iterations[[#This Row],[c]]))</f>
        <v/>
      </c>
      <c r="J288" s="2" t="str">
        <f>IF(Iterations[[#This Row],[Step]] =current_step, current_d,IF(Iterations[[#This Row],[Step]] &gt; current_step, "",Iterations[[#This Row],[d]]))</f>
        <v/>
      </c>
      <c r="K288" s="2" t="str">
        <f>IF(Iterations[[#This Row],[Step]] =current_step, current_e,IF(Iterations[[#This Row],[Step]] &gt; current_step, "",Iterations[[#This Row],[e]]))</f>
        <v/>
      </c>
      <c r="L288" s="2" t="str">
        <f>IF(Iterations[[#This Row],[Step]] =current_step, current_Total_Loss,IF(Iterations[[#This Row],[Step]] &gt; current_step, "",Iterations[[#This Row],[Total Loss]]))</f>
        <v/>
      </c>
      <c r="M288" s="6" t="s">
        <v>27</v>
      </c>
      <c r="N288" s="2" t="str">
        <f>IF(Iterations[[#This Row],[Step]] =current_step, current_Grad_a,IF(Iterations[[#This Row],[Step]] &gt; current_step, "",Iterations[[#This Row],[Grad_a]]))</f>
        <v/>
      </c>
      <c r="O288" s="2" t="str">
        <f>IF(Iterations[[#This Row],[Step]] =current_step, current_Grad_b,IF(Iterations[[#This Row],[Step]] &gt; current_step, "",Iterations[[#This Row],[Grad_b]]))</f>
        <v/>
      </c>
      <c r="P288" s="2" t="str">
        <f>IF(Iterations[[#This Row],[Step]] =current_step, current_Grad_c,IF(Iterations[[#This Row],[Step]] &gt; current_step, "",Iterations[[#This Row],[Grad_c]]))</f>
        <v/>
      </c>
      <c r="Q288" s="2" t="str">
        <f>IF(Iterations[[#This Row],[Step]] =current_step, current_Grad_d,IF(Iterations[[#This Row],[Step]] &gt; current_step, "",Iterations[[#This Row],[Grad_d]]))</f>
        <v/>
      </c>
      <c r="R288" s="2" t="str">
        <f>IF(Iterations[[#This Row],[Step]] =current_step, current_Grad_e,IF(Iterations[[#This Row],[Step]] &gt; current_step, "",Iterations[[#This Row],[Grad_e]]))</f>
        <v/>
      </c>
    </row>
    <row r="289" spans="6:18" x14ac:dyDescent="0.3">
      <c r="F289" s="2">
        <f t="shared" si="6"/>
        <v>272</v>
      </c>
      <c r="G289" s="2" t="str">
        <f>IF(Iterations[[#This Row],[Step]] =current_step, current_a,IF(Iterations[[#This Row],[Step]] &gt; current_step, "",Iterations[[#This Row],[a]]))</f>
        <v/>
      </c>
      <c r="H289" s="2" t="str">
        <f>IF(Iterations[[#This Row],[Step]] =current_step, current_b,IF(Iterations[[#This Row],[Step]] &gt; current_step, "",Iterations[[#This Row],[b]]))</f>
        <v/>
      </c>
      <c r="I289" s="2" t="str">
        <f>IF(Iterations[[#This Row],[Step]] =current_step, current_c,IF(Iterations[[#This Row],[Step]] &gt; current_step, "",Iterations[[#This Row],[c]]))</f>
        <v/>
      </c>
      <c r="J289" s="2" t="str">
        <f>IF(Iterations[[#This Row],[Step]] =current_step, current_d,IF(Iterations[[#This Row],[Step]] &gt; current_step, "",Iterations[[#This Row],[d]]))</f>
        <v/>
      </c>
      <c r="K289" s="2" t="str">
        <f>IF(Iterations[[#This Row],[Step]] =current_step, current_e,IF(Iterations[[#This Row],[Step]] &gt; current_step, "",Iterations[[#This Row],[e]]))</f>
        <v/>
      </c>
      <c r="L289" s="2" t="str">
        <f>IF(Iterations[[#This Row],[Step]] =current_step, current_Total_Loss,IF(Iterations[[#This Row],[Step]] &gt; current_step, "",Iterations[[#This Row],[Total Loss]]))</f>
        <v/>
      </c>
      <c r="M289" s="6" t="s">
        <v>27</v>
      </c>
      <c r="N289" s="2" t="str">
        <f>IF(Iterations[[#This Row],[Step]] =current_step, current_Grad_a,IF(Iterations[[#This Row],[Step]] &gt; current_step, "",Iterations[[#This Row],[Grad_a]]))</f>
        <v/>
      </c>
      <c r="O289" s="2" t="str">
        <f>IF(Iterations[[#This Row],[Step]] =current_step, current_Grad_b,IF(Iterations[[#This Row],[Step]] &gt; current_step, "",Iterations[[#This Row],[Grad_b]]))</f>
        <v/>
      </c>
      <c r="P289" s="2" t="str">
        <f>IF(Iterations[[#This Row],[Step]] =current_step, current_Grad_c,IF(Iterations[[#This Row],[Step]] &gt; current_step, "",Iterations[[#This Row],[Grad_c]]))</f>
        <v/>
      </c>
      <c r="Q289" s="2" t="str">
        <f>IF(Iterations[[#This Row],[Step]] =current_step, current_Grad_d,IF(Iterations[[#This Row],[Step]] &gt; current_step, "",Iterations[[#This Row],[Grad_d]]))</f>
        <v/>
      </c>
      <c r="R289" s="2" t="str">
        <f>IF(Iterations[[#This Row],[Step]] =current_step, current_Grad_e,IF(Iterations[[#This Row],[Step]] &gt; current_step, "",Iterations[[#This Row],[Grad_e]]))</f>
        <v/>
      </c>
    </row>
    <row r="290" spans="6:18" x14ac:dyDescent="0.3">
      <c r="F290" s="2">
        <f t="shared" si="6"/>
        <v>273</v>
      </c>
      <c r="G290" s="2" t="str">
        <f>IF(Iterations[[#This Row],[Step]] =current_step, current_a,IF(Iterations[[#This Row],[Step]] &gt; current_step, "",Iterations[[#This Row],[a]]))</f>
        <v/>
      </c>
      <c r="H290" s="2" t="str">
        <f>IF(Iterations[[#This Row],[Step]] =current_step, current_b,IF(Iterations[[#This Row],[Step]] &gt; current_step, "",Iterations[[#This Row],[b]]))</f>
        <v/>
      </c>
      <c r="I290" s="2" t="str">
        <f>IF(Iterations[[#This Row],[Step]] =current_step, current_c,IF(Iterations[[#This Row],[Step]] &gt; current_step, "",Iterations[[#This Row],[c]]))</f>
        <v/>
      </c>
      <c r="J290" s="2" t="str">
        <f>IF(Iterations[[#This Row],[Step]] =current_step, current_d,IF(Iterations[[#This Row],[Step]] &gt; current_step, "",Iterations[[#This Row],[d]]))</f>
        <v/>
      </c>
      <c r="K290" s="2" t="str">
        <f>IF(Iterations[[#This Row],[Step]] =current_step, current_e,IF(Iterations[[#This Row],[Step]] &gt; current_step, "",Iterations[[#This Row],[e]]))</f>
        <v/>
      </c>
      <c r="L290" s="2" t="str">
        <f>IF(Iterations[[#This Row],[Step]] =current_step, current_Total_Loss,IF(Iterations[[#This Row],[Step]] &gt; current_step, "",Iterations[[#This Row],[Total Loss]]))</f>
        <v/>
      </c>
      <c r="M290" s="6" t="s">
        <v>27</v>
      </c>
      <c r="N290" s="2" t="str">
        <f>IF(Iterations[[#This Row],[Step]] =current_step, current_Grad_a,IF(Iterations[[#This Row],[Step]] &gt; current_step, "",Iterations[[#This Row],[Grad_a]]))</f>
        <v/>
      </c>
      <c r="O290" s="2" t="str">
        <f>IF(Iterations[[#This Row],[Step]] =current_step, current_Grad_b,IF(Iterations[[#This Row],[Step]] &gt; current_step, "",Iterations[[#This Row],[Grad_b]]))</f>
        <v/>
      </c>
      <c r="P290" s="2" t="str">
        <f>IF(Iterations[[#This Row],[Step]] =current_step, current_Grad_c,IF(Iterations[[#This Row],[Step]] &gt; current_step, "",Iterations[[#This Row],[Grad_c]]))</f>
        <v/>
      </c>
      <c r="Q290" s="2" t="str">
        <f>IF(Iterations[[#This Row],[Step]] =current_step, current_Grad_d,IF(Iterations[[#This Row],[Step]] &gt; current_step, "",Iterations[[#This Row],[Grad_d]]))</f>
        <v/>
      </c>
      <c r="R290" s="2" t="str">
        <f>IF(Iterations[[#This Row],[Step]] =current_step, current_Grad_e,IF(Iterations[[#This Row],[Step]] &gt; current_step, "",Iterations[[#This Row],[Grad_e]]))</f>
        <v/>
      </c>
    </row>
    <row r="291" spans="6:18" x14ac:dyDescent="0.3">
      <c r="F291" s="2">
        <f t="shared" si="6"/>
        <v>274</v>
      </c>
      <c r="G291" s="2" t="str">
        <f>IF(Iterations[[#This Row],[Step]] =current_step, current_a,IF(Iterations[[#This Row],[Step]] &gt; current_step, "",Iterations[[#This Row],[a]]))</f>
        <v/>
      </c>
      <c r="H291" s="2" t="str">
        <f>IF(Iterations[[#This Row],[Step]] =current_step, current_b,IF(Iterations[[#This Row],[Step]] &gt; current_step, "",Iterations[[#This Row],[b]]))</f>
        <v/>
      </c>
      <c r="I291" s="2" t="str">
        <f>IF(Iterations[[#This Row],[Step]] =current_step, current_c,IF(Iterations[[#This Row],[Step]] &gt; current_step, "",Iterations[[#This Row],[c]]))</f>
        <v/>
      </c>
      <c r="J291" s="2" t="str">
        <f>IF(Iterations[[#This Row],[Step]] =current_step, current_d,IF(Iterations[[#This Row],[Step]] &gt; current_step, "",Iterations[[#This Row],[d]]))</f>
        <v/>
      </c>
      <c r="K291" s="2" t="str">
        <f>IF(Iterations[[#This Row],[Step]] =current_step, current_e,IF(Iterations[[#This Row],[Step]] &gt; current_step, "",Iterations[[#This Row],[e]]))</f>
        <v/>
      </c>
      <c r="L291" s="2" t="str">
        <f>IF(Iterations[[#This Row],[Step]] =current_step, current_Total_Loss,IF(Iterations[[#This Row],[Step]] &gt; current_step, "",Iterations[[#This Row],[Total Loss]]))</f>
        <v/>
      </c>
      <c r="M291" s="6" t="s">
        <v>27</v>
      </c>
      <c r="N291" s="2" t="str">
        <f>IF(Iterations[[#This Row],[Step]] =current_step, current_Grad_a,IF(Iterations[[#This Row],[Step]] &gt; current_step, "",Iterations[[#This Row],[Grad_a]]))</f>
        <v/>
      </c>
      <c r="O291" s="2" t="str">
        <f>IF(Iterations[[#This Row],[Step]] =current_step, current_Grad_b,IF(Iterations[[#This Row],[Step]] &gt; current_step, "",Iterations[[#This Row],[Grad_b]]))</f>
        <v/>
      </c>
      <c r="P291" s="2" t="str">
        <f>IF(Iterations[[#This Row],[Step]] =current_step, current_Grad_c,IF(Iterations[[#This Row],[Step]] &gt; current_step, "",Iterations[[#This Row],[Grad_c]]))</f>
        <v/>
      </c>
      <c r="Q291" s="2" t="str">
        <f>IF(Iterations[[#This Row],[Step]] =current_step, current_Grad_d,IF(Iterations[[#This Row],[Step]] &gt; current_step, "",Iterations[[#This Row],[Grad_d]]))</f>
        <v/>
      </c>
      <c r="R291" s="2" t="str">
        <f>IF(Iterations[[#This Row],[Step]] =current_step, current_Grad_e,IF(Iterations[[#This Row],[Step]] &gt; current_step, "",Iterations[[#This Row],[Grad_e]]))</f>
        <v/>
      </c>
    </row>
    <row r="292" spans="6:18" x14ac:dyDescent="0.3">
      <c r="F292" s="2">
        <f t="shared" si="6"/>
        <v>275</v>
      </c>
      <c r="G292" s="2" t="str">
        <f>IF(Iterations[[#This Row],[Step]] =current_step, current_a,IF(Iterations[[#This Row],[Step]] &gt; current_step, "",Iterations[[#This Row],[a]]))</f>
        <v/>
      </c>
      <c r="H292" s="2" t="str">
        <f>IF(Iterations[[#This Row],[Step]] =current_step, current_b,IF(Iterations[[#This Row],[Step]] &gt; current_step, "",Iterations[[#This Row],[b]]))</f>
        <v/>
      </c>
      <c r="I292" s="2" t="str">
        <f>IF(Iterations[[#This Row],[Step]] =current_step, current_c,IF(Iterations[[#This Row],[Step]] &gt; current_step, "",Iterations[[#This Row],[c]]))</f>
        <v/>
      </c>
      <c r="J292" s="2" t="str">
        <f>IF(Iterations[[#This Row],[Step]] =current_step, current_d,IF(Iterations[[#This Row],[Step]] &gt; current_step, "",Iterations[[#This Row],[d]]))</f>
        <v/>
      </c>
      <c r="K292" s="2" t="str">
        <f>IF(Iterations[[#This Row],[Step]] =current_step, current_e,IF(Iterations[[#This Row],[Step]] &gt; current_step, "",Iterations[[#This Row],[e]]))</f>
        <v/>
      </c>
      <c r="L292" s="2" t="str">
        <f>IF(Iterations[[#This Row],[Step]] =current_step, current_Total_Loss,IF(Iterations[[#This Row],[Step]] &gt; current_step, "",Iterations[[#This Row],[Total Loss]]))</f>
        <v/>
      </c>
      <c r="M292" s="6" t="s">
        <v>27</v>
      </c>
      <c r="N292" s="2" t="str">
        <f>IF(Iterations[[#This Row],[Step]] =current_step, current_Grad_a,IF(Iterations[[#This Row],[Step]] &gt; current_step, "",Iterations[[#This Row],[Grad_a]]))</f>
        <v/>
      </c>
      <c r="O292" s="2" t="str">
        <f>IF(Iterations[[#This Row],[Step]] =current_step, current_Grad_b,IF(Iterations[[#This Row],[Step]] &gt; current_step, "",Iterations[[#This Row],[Grad_b]]))</f>
        <v/>
      </c>
      <c r="P292" s="2" t="str">
        <f>IF(Iterations[[#This Row],[Step]] =current_step, current_Grad_c,IF(Iterations[[#This Row],[Step]] &gt; current_step, "",Iterations[[#This Row],[Grad_c]]))</f>
        <v/>
      </c>
      <c r="Q292" s="2" t="str">
        <f>IF(Iterations[[#This Row],[Step]] =current_step, current_Grad_d,IF(Iterations[[#This Row],[Step]] &gt; current_step, "",Iterations[[#This Row],[Grad_d]]))</f>
        <v/>
      </c>
      <c r="R292" s="2" t="str">
        <f>IF(Iterations[[#This Row],[Step]] =current_step, current_Grad_e,IF(Iterations[[#This Row],[Step]] &gt; current_step, "",Iterations[[#This Row],[Grad_e]]))</f>
        <v/>
      </c>
    </row>
    <row r="293" spans="6:18" x14ac:dyDescent="0.3">
      <c r="F293" s="2">
        <f t="shared" si="6"/>
        <v>276</v>
      </c>
      <c r="G293" s="2" t="str">
        <f>IF(Iterations[[#This Row],[Step]] =current_step, current_a,IF(Iterations[[#This Row],[Step]] &gt; current_step, "",Iterations[[#This Row],[a]]))</f>
        <v/>
      </c>
      <c r="H293" s="2" t="str">
        <f>IF(Iterations[[#This Row],[Step]] =current_step, current_b,IF(Iterations[[#This Row],[Step]] &gt; current_step, "",Iterations[[#This Row],[b]]))</f>
        <v/>
      </c>
      <c r="I293" s="2" t="str">
        <f>IF(Iterations[[#This Row],[Step]] =current_step, current_c,IF(Iterations[[#This Row],[Step]] &gt; current_step, "",Iterations[[#This Row],[c]]))</f>
        <v/>
      </c>
      <c r="J293" s="2" t="str">
        <f>IF(Iterations[[#This Row],[Step]] =current_step, current_d,IF(Iterations[[#This Row],[Step]] &gt; current_step, "",Iterations[[#This Row],[d]]))</f>
        <v/>
      </c>
      <c r="K293" s="2" t="str">
        <f>IF(Iterations[[#This Row],[Step]] =current_step, current_e,IF(Iterations[[#This Row],[Step]] &gt; current_step, "",Iterations[[#This Row],[e]]))</f>
        <v/>
      </c>
      <c r="L293" s="2" t="str">
        <f>IF(Iterations[[#This Row],[Step]] =current_step, current_Total_Loss,IF(Iterations[[#This Row],[Step]] &gt; current_step, "",Iterations[[#This Row],[Total Loss]]))</f>
        <v/>
      </c>
      <c r="M293" s="6" t="s">
        <v>27</v>
      </c>
      <c r="N293" s="2" t="str">
        <f>IF(Iterations[[#This Row],[Step]] =current_step, current_Grad_a,IF(Iterations[[#This Row],[Step]] &gt; current_step, "",Iterations[[#This Row],[Grad_a]]))</f>
        <v/>
      </c>
      <c r="O293" s="2" t="str">
        <f>IF(Iterations[[#This Row],[Step]] =current_step, current_Grad_b,IF(Iterations[[#This Row],[Step]] &gt; current_step, "",Iterations[[#This Row],[Grad_b]]))</f>
        <v/>
      </c>
      <c r="P293" s="2" t="str">
        <f>IF(Iterations[[#This Row],[Step]] =current_step, current_Grad_c,IF(Iterations[[#This Row],[Step]] &gt; current_step, "",Iterations[[#This Row],[Grad_c]]))</f>
        <v/>
      </c>
      <c r="Q293" s="2" t="str">
        <f>IF(Iterations[[#This Row],[Step]] =current_step, current_Grad_d,IF(Iterations[[#This Row],[Step]] &gt; current_step, "",Iterations[[#This Row],[Grad_d]]))</f>
        <v/>
      </c>
      <c r="R293" s="2" t="str">
        <f>IF(Iterations[[#This Row],[Step]] =current_step, current_Grad_e,IF(Iterations[[#This Row],[Step]] &gt; current_step, "",Iterations[[#This Row],[Grad_e]]))</f>
        <v/>
      </c>
    </row>
    <row r="294" spans="6:18" x14ac:dyDescent="0.3">
      <c r="F294" s="2">
        <f t="shared" si="6"/>
        <v>277</v>
      </c>
      <c r="G294" s="2" t="str">
        <f>IF(Iterations[[#This Row],[Step]] =current_step, current_a,IF(Iterations[[#This Row],[Step]] &gt; current_step, "",Iterations[[#This Row],[a]]))</f>
        <v/>
      </c>
      <c r="H294" s="2" t="str">
        <f>IF(Iterations[[#This Row],[Step]] =current_step, current_b,IF(Iterations[[#This Row],[Step]] &gt; current_step, "",Iterations[[#This Row],[b]]))</f>
        <v/>
      </c>
      <c r="I294" s="2" t="str">
        <f>IF(Iterations[[#This Row],[Step]] =current_step, current_c,IF(Iterations[[#This Row],[Step]] &gt; current_step, "",Iterations[[#This Row],[c]]))</f>
        <v/>
      </c>
      <c r="J294" s="2" t="str">
        <f>IF(Iterations[[#This Row],[Step]] =current_step, current_d,IF(Iterations[[#This Row],[Step]] &gt; current_step, "",Iterations[[#This Row],[d]]))</f>
        <v/>
      </c>
      <c r="K294" s="2" t="str">
        <f>IF(Iterations[[#This Row],[Step]] =current_step, current_e,IF(Iterations[[#This Row],[Step]] &gt; current_step, "",Iterations[[#This Row],[e]]))</f>
        <v/>
      </c>
      <c r="L294" s="2" t="str">
        <f>IF(Iterations[[#This Row],[Step]] =current_step, current_Total_Loss,IF(Iterations[[#This Row],[Step]] &gt; current_step, "",Iterations[[#This Row],[Total Loss]]))</f>
        <v/>
      </c>
      <c r="M294" s="6" t="s">
        <v>27</v>
      </c>
      <c r="N294" s="2" t="str">
        <f>IF(Iterations[[#This Row],[Step]] =current_step, current_Grad_a,IF(Iterations[[#This Row],[Step]] &gt; current_step, "",Iterations[[#This Row],[Grad_a]]))</f>
        <v/>
      </c>
      <c r="O294" s="2" t="str">
        <f>IF(Iterations[[#This Row],[Step]] =current_step, current_Grad_b,IF(Iterations[[#This Row],[Step]] &gt; current_step, "",Iterations[[#This Row],[Grad_b]]))</f>
        <v/>
      </c>
      <c r="P294" s="2" t="str">
        <f>IF(Iterations[[#This Row],[Step]] =current_step, current_Grad_c,IF(Iterations[[#This Row],[Step]] &gt; current_step, "",Iterations[[#This Row],[Grad_c]]))</f>
        <v/>
      </c>
      <c r="Q294" s="2" t="str">
        <f>IF(Iterations[[#This Row],[Step]] =current_step, current_Grad_d,IF(Iterations[[#This Row],[Step]] &gt; current_step, "",Iterations[[#This Row],[Grad_d]]))</f>
        <v/>
      </c>
      <c r="R294" s="2" t="str">
        <f>IF(Iterations[[#This Row],[Step]] =current_step, current_Grad_e,IF(Iterations[[#This Row],[Step]] &gt; current_step, "",Iterations[[#This Row],[Grad_e]]))</f>
        <v/>
      </c>
    </row>
    <row r="295" spans="6:18" x14ac:dyDescent="0.3">
      <c r="F295" s="2">
        <f t="shared" si="6"/>
        <v>278</v>
      </c>
      <c r="G295" s="2" t="str">
        <f>IF(Iterations[[#This Row],[Step]] =current_step, current_a,IF(Iterations[[#This Row],[Step]] &gt; current_step, "",Iterations[[#This Row],[a]]))</f>
        <v/>
      </c>
      <c r="H295" s="2" t="str">
        <f>IF(Iterations[[#This Row],[Step]] =current_step, current_b,IF(Iterations[[#This Row],[Step]] &gt; current_step, "",Iterations[[#This Row],[b]]))</f>
        <v/>
      </c>
      <c r="I295" s="2" t="str">
        <f>IF(Iterations[[#This Row],[Step]] =current_step, current_c,IF(Iterations[[#This Row],[Step]] &gt; current_step, "",Iterations[[#This Row],[c]]))</f>
        <v/>
      </c>
      <c r="J295" s="2" t="str">
        <f>IF(Iterations[[#This Row],[Step]] =current_step, current_d,IF(Iterations[[#This Row],[Step]] &gt; current_step, "",Iterations[[#This Row],[d]]))</f>
        <v/>
      </c>
      <c r="K295" s="2" t="str">
        <f>IF(Iterations[[#This Row],[Step]] =current_step, current_e,IF(Iterations[[#This Row],[Step]] &gt; current_step, "",Iterations[[#This Row],[e]]))</f>
        <v/>
      </c>
      <c r="L295" s="2" t="str">
        <f>IF(Iterations[[#This Row],[Step]] =current_step, current_Total_Loss,IF(Iterations[[#This Row],[Step]] &gt; current_step, "",Iterations[[#This Row],[Total Loss]]))</f>
        <v/>
      </c>
      <c r="M295" s="6" t="s">
        <v>27</v>
      </c>
      <c r="N295" s="2" t="str">
        <f>IF(Iterations[[#This Row],[Step]] =current_step, current_Grad_a,IF(Iterations[[#This Row],[Step]] &gt; current_step, "",Iterations[[#This Row],[Grad_a]]))</f>
        <v/>
      </c>
      <c r="O295" s="2" t="str">
        <f>IF(Iterations[[#This Row],[Step]] =current_step, current_Grad_b,IF(Iterations[[#This Row],[Step]] &gt; current_step, "",Iterations[[#This Row],[Grad_b]]))</f>
        <v/>
      </c>
      <c r="P295" s="2" t="str">
        <f>IF(Iterations[[#This Row],[Step]] =current_step, current_Grad_c,IF(Iterations[[#This Row],[Step]] &gt; current_step, "",Iterations[[#This Row],[Grad_c]]))</f>
        <v/>
      </c>
      <c r="Q295" s="2" t="str">
        <f>IF(Iterations[[#This Row],[Step]] =current_step, current_Grad_d,IF(Iterations[[#This Row],[Step]] &gt; current_step, "",Iterations[[#This Row],[Grad_d]]))</f>
        <v/>
      </c>
      <c r="R295" s="2" t="str">
        <f>IF(Iterations[[#This Row],[Step]] =current_step, current_Grad_e,IF(Iterations[[#This Row],[Step]] &gt; current_step, "",Iterations[[#This Row],[Grad_e]]))</f>
        <v/>
      </c>
    </row>
    <row r="296" spans="6:18" x14ac:dyDescent="0.3">
      <c r="F296" s="2">
        <f t="shared" si="6"/>
        <v>279</v>
      </c>
      <c r="G296" s="2" t="str">
        <f>IF(Iterations[[#This Row],[Step]] =current_step, current_a,IF(Iterations[[#This Row],[Step]] &gt; current_step, "",Iterations[[#This Row],[a]]))</f>
        <v/>
      </c>
      <c r="H296" s="2" t="str">
        <f>IF(Iterations[[#This Row],[Step]] =current_step, current_b,IF(Iterations[[#This Row],[Step]] &gt; current_step, "",Iterations[[#This Row],[b]]))</f>
        <v/>
      </c>
      <c r="I296" s="2" t="str">
        <f>IF(Iterations[[#This Row],[Step]] =current_step, current_c,IF(Iterations[[#This Row],[Step]] &gt; current_step, "",Iterations[[#This Row],[c]]))</f>
        <v/>
      </c>
      <c r="J296" s="2" t="str">
        <f>IF(Iterations[[#This Row],[Step]] =current_step, current_d,IF(Iterations[[#This Row],[Step]] &gt; current_step, "",Iterations[[#This Row],[d]]))</f>
        <v/>
      </c>
      <c r="K296" s="2" t="str">
        <f>IF(Iterations[[#This Row],[Step]] =current_step, current_e,IF(Iterations[[#This Row],[Step]] &gt; current_step, "",Iterations[[#This Row],[e]]))</f>
        <v/>
      </c>
      <c r="L296" s="2" t="str">
        <f>IF(Iterations[[#This Row],[Step]] =current_step, current_Total_Loss,IF(Iterations[[#This Row],[Step]] &gt; current_step, "",Iterations[[#This Row],[Total Loss]]))</f>
        <v/>
      </c>
      <c r="M296" s="6" t="s">
        <v>27</v>
      </c>
      <c r="N296" s="2" t="str">
        <f>IF(Iterations[[#This Row],[Step]] =current_step, current_Grad_a,IF(Iterations[[#This Row],[Step]] &gt; current_step, "",Iterations[[#This Row],[Grad_a]]))</f>
        <v/>
      </c>
      <c r="O296" s="2" t="str">
        <f>IF(Iterations[[#This Row],[Step]] =current_step, current_Grad_b,IF(Iterations[[#This Row],[Step]] &gt; current_step, "",Iterations[[#This Row],[Grad_b]]))</f>
        <v/>
      </c>
      <c r="P296" s="2" t="str">
        <f>IF(Iterations[[#This Row],[Step]] =current_step, current_Grad_c,IF(Iterations[[#This Row],[Step]] &gt; current_step, "",Iterations[[#This Row],[Grad_c]]))</f>
        <v/>
      </c>
      <c r="Q296" s="2" t="str">
        <f>IF(Iterations[[#This Row],[Step]] =current_step, current_Grad_d,IF(Iterations[[#This Row],[Step]] &gt; current_step, "",Iterations[[#This Row],[Grad_d]]))</f>
        <v/>
      </c>
      <c r="R296" s="2" t="str">
        <f>IF(Iterations[[#This Row],[Step]] =current_step, current_Grad_e,IF(Iterations[[#This Row],[Step]] &gt; current_step, "",Iterations[[#This Row],[Grad_e]]))</f>
        <v/>
      </c>
    </row>
    <row r="297" spans="6:18" x14ac:dyDescent="0.3">
      <c r="F297" s="2">
        <f t="shared" si="6"/>
        <v>280</v>
      </c>
      <c r="G297" s="2" t="str">
        <f>IF(Iterations[[#This Row],[Step]] =current_step, current_a,IF(Iterations[[#This Row],[Step]] &gt; current_step, "",Iterations[[#This Row],[a]]))</f>
        <v/>
      </c>
      <c r="H297" s="2" t="str">
        <f>IF(Iterations[[#This Row],[Step]] =current_step, current_b,IF(Iterations[[#This Row],[Step]] &gt; current_step, "",Iterations[[#This Row],[b]]))</f>
        <v/>
      </c>
      <c r="I297" s="2" t="str">
        <f>IF(Iterations[[#This Row],[Step]] =current_step, current_c,IF(Iterations[[#This Row],[Step]] &gt; current_step, "",Iterations[[#This Row],[c]]))</f>
        <v/>
      </c>
      <c r="J297" s="2" t="str">
        <f>IF(Iterations[[#This Row],[Step]] =current_step, current_d,IF(Iterations[[#This Row],[Step]] &gt; current_step, "",Iterations[[#This Row],[d]]))</f>
        <v/>
      </c>
      <c r="K297" s="2" t="str">
        <f>IF(Iterations[[#This Row],[Step]] =current_step, current_e,IF(Iterations[[#This Row],[Step]] &gt; current_step, "",Iterations[[#This Row],[e]]))</f>
        <v/>
      </c>
      <c r="L297" s="2" t="str">
        <f>IF(Iterations[[#This Row],[Step]] =current_step, current_Total_Loss,IF(Iterations[[#This Row],[Step]] &gt; current_step, "",Iterations[[#This Row],[Total Loss]]))</f>
        <v/>
      </c>
      <c r="M297" s="6" t="s">
        <v>27</v>
      </c>
      <c r="N297" s="2" t="str">
        <f>IF(Iterations[[#This Row],[Step]] =current_step, current_Grad_a,IF(Iterations[[#This Row],[Step]] &gt; current_step, "",Iterations[[#This Row],[Grad_a]]))</f>
        <v/>
      </c>
      <c r="O297" s="2" t="str">
        <f>IF(Iterations[[#This Row],[Step]] =current_step, current_Grad_b,IF(Iterations[[#This Row],[Step]] &gt; current_step, "",Iterations[[#This Row],[Grad_b]]))</f>
        <v/>
      </c>
      <c r="P297" s="2" t="str">
        <f>IF(Iterations[[#This Row],[Step]] =current_step, current_Grad_c,IF(Iterations[[#This Row],[Step]] &gt; current_step, "",Iterations[[#This Row],[Grad_c]]))</f>
        <v/>
      </c>
      <c r="Q297" s="2" t="str">
        <f>IF(Iterations[[#This Row],[Step]] =current_step, current_Grad_d,IF(Iterations[[#This Row],[Step]] &gt; current_step, "",Iterations[[#This Row],[Grad_d]]))</f>
        <v/>
      </c>
      <c r="R297" s="2" t="str">
        <f>IF(Iterations[[#This Row],[Step]] =current_step, current_Grad_e,IF(Iterations[[#This Row],[Step]] &gt; current_step, "",Iterations[[#This Row],[Grad_e]]))</f>
        <v/>
      </c>
    </row>
    <row r="298" spans="6:18" x14ac:dyDescent="0.3">
      <c r="F298" s="2">
        <f t="shared" si="6"/>
        <v>281</v>
      </c>
      <c r="G298" s="2" t="str">
        <f>IF(Iterations[[#This Row],[Step]] =current_step, current_a,IF(Iterations[[#This Row],[Step]] &gt; current_step, "",Iterations[[#This Row],[a]]))</f>
        <v/>
      </c>
      <c r="H298" s="2" t="str">
        <f>IF(Iterations[[#This Row],[Step]] =current_step, current_b,IF(Iterations[[#This Row],[Step]] &gt; current_step, "",Iterations[[#This Row],[b]]))</f>
        <v/>
      </c>
      <c r="I298" s="2" t="str">
        <f>IF(Iterations[[#This Row],[Step]] =current_step, current_c,IF(Iterations[[#This Row],[Step]] &gt; current_step, "",Iterations[[#This Row],[c]]))</f>
        <v/>
      </c>
      <c r="J298" s="2" t="str">
        <f>IF(Iterations[[#This Row],[Step]] =current_step, current_d,IF(Iterations[[#This Row],[Step]] &gt; current_step, "",Iterations[[#This Row],[d]]))</f>
        <v/>
      </c>
      <c r="K298" s="2" t="str">
        <f>IF(Iterations[[#This Row],[Step]] =current_step, current_e,IF(Iterations[[#This Row],[Step]] &gt; current_step, "",Iterations[[#This Row],[e]]))</f>
        <v/>
      </c>
      <c r="L298" s="2" t="str">
        <f>IF(Iterations[[#This Row],[Step]] =current_step, current_Total_Loss,IF(Iterations[[#This Row],[Step]] &gt; current_step, "",Iterations[[#This Row],[Total Loss]]))</f>
        <v/>
      </c>
      <c r="M298" s="6" t="s">
        <v>27</v>
      </c>
      <c r="N298" s="2" t="str">
        <f>IF(Iterations[[#This Row],[Step]] =current_step, current_Grad_a,IF(Iterations[[#This Row],[Step]] &gt; current_step, "",Iterations[[#This Row],[Grad_a]]))</f>
        <v/>
      </c>
      <c r="O298" s="2" t="str">
        <f>IF(Iterations[[#This Row],[Step]] =current_step, current_Grad_b,IF(Iterations[[#This Row],[Step]] &gt; current_step, "",Iterations[[#This Row],[Grad_b]]))</f>
        <v/>
      </c>
      <c r="P298" s="2" t="str">
        <f>IF(Iterations[[#This Row],[Step]] =current_step, current_Grad_c,IF(Iterations[[#This Row],[Step]] &gt; current_step, "",Iterations[[#This Row],[Grad_c]]))</f>
        <v/>
      </c>
      <c r="Q298" s="2" t="str">
        <f>IF(Iterations[[#This Row],[Step]] =current_step, current_Grad_d,IF(Iterations[[#This Row],[Step]] &gt; current_step, "",Iterations[[#This Row],[Grad_d]]))</f>
        <v/>
      </c>
      <c r="R298" s="2" t="str">
        <f>IF(Iterations[[#This Row],[Step]] =current_step, current_Grad_e,IF(Iterations[[#This Row],[Step]] &gt; current_step, "",Iterations[[#This Row],[Grad_e]]))</f>
        <v/>
      </c>
    </row>
    <row r="299" spans="6:18" x14ac:dyDescent="0.3">
      <c r="F299" s="2">
        <f t="shared" si="6"/>
        <v>282</v>
      </c>
      <c r="G299" s="2" t="str">
        <f>IF(Iterations[[#This Row],[Step]] =current_step, current_a,IF(Iterations[[#This Row],[Step]] &gt; current_step, "",Iterations[[#This Row],[a]]))</f>
        <v/>
      </c>
      <c r="H299" s="2" t="str">
        <f>IF(Iterations[[#This Row],[Step]] =current_step, current_b,IF(Iterations[[#This Row],[Step]] &gt; current_step, "",Iterations[[#This Row],[b]]))</f>
        <v/>
      </c>
      <c r="I299" s="2" t="str">
        <f>IF(Iterations[[#This Row],[Step]] =current_step, current_c,IF(Iterations[[#This Row],[Step]] &gt; current_step, "",Iterations[[#This Row],[c]]))</f>
        <v/>
      </c>
      <c r="J299" s="2" t="str">
        <f>IF(Iterations[[#This Row],[Step]] =current_step, current_d,IF(Iterations[[#This Row],[Step]] &gt; current_step, "",Iterations[[#This Row],[d]]))</f>
        <v/>
      </c>
      <c r="K299" s="2" t="str">
        <f>IF(Iterations[[#This Row],[Step]] =current_step, current_e,IF(Iterations[[#This Row],[Step]] &gt; current_step, "",Iterations[[#This Row],[e]]))</f>
        <v/>
      </c>
      <c r="L299" s="2" t="str">
        <f>IF(Iterations[[#This Row],[Step]] =current_step, current_Total_Loss,IF(Iterations[[#This Row],[Step]] &gt; current_step, "",Iterations[[#This Row],[Total Loss]]))</f>
        <v/>
      </c>
      <c r="M299" s="6" t="s">
        <v>27</v>
      </c>
      <c r="N299" s="2" t="str">
        <f>IF(Iterations[[#This Row],[Step]] =current_step, current_Grad_a,IF(Iterations[[#This Row],[Step]] &gt; current_step, "",Iterations[[#This Row],[Grad_a]]))</f>
        <v/>
      </c>
      <c r="O299" s="2" t="str">
        <f>IF(Iterations[[#This Row],[Step]] =current_step, current_Grad_b,IF(Iterations[[#This Row],[Step]] &gt; current_step, "",Iterations[[#This Row],[Grad_b]]))</f>
        <v/>
      </c>
      <c r="P299" s="2" t="str">
        <f>IF(Iterations[[#This Row],[Step]] =current_step, current_Grad_c,IF(Iterations[[#This Row],[Step]] &gt; current_step, "",Iterations[[#This Row],[Grad_c]]))</f>
        <v/>
      </c>
      <c r="Q299" s="2" t="str">
        <f>IF(Iterations[[#This Row],[Step]] =current_step, current_Grad_d,IF(Iterations[[#This Row],[Step]] &gt; current_step, "",Iterations[[#This Row],[Grad_d]]))</f>
        <v/>
      </c>
      <c r="R299" s="2" t="str">
        <f>IF(Iterations[[#This Row],[Step]] =current_step, current_Grad_e,IF(Iterations[[#This Row],[Step]] &gt; current_step, "",Iterations[[#This Row],[Grad_e]]))</f>
        <v/>
      </c>
    </row>
    <row r="300" spans="6:18" x14ac:dyDescent="0.3">
      <c r="F300" s="2">
        <f t="shared" si="6"/>
        <v>283</v>
      </c>
      <c r="G300" s="2" t="str">
        <f>IF(Iterations[[#This Row],[Step]] =current_step, current_a,IF(Iterations[[#This Row],[Step]] &gt; current_step, "",Iterations[[#This Row],[a]]))</f>
        <v/>
      </c>
      <c r="H300" s="2" t="str">
        <f>IF(Iterations[[#This Row],[Step]] =current_step, current_b,IF(Iterations[[#This Row],[Step]] &gt; current_step, "",Iterations[[#This Row],[b]]))</f>
        <v/>
      </c>
      <c r="I300" s="2" t="str">
        <f>IF(Iterations[[#This Row],[Step]] =current_step, current_c,IF(Iterations[[#This Row],[Step]] &gt; current_step, "",Iterations[[#This Row],[c]]))</f>
        <v/>
      </c>
      <c r="J300" s="2" t="str">
        <f>IF(Iterations[[#This Row],[Step]] =current_step, current_d,IF(Iterations[[#This Row],[Step]] &gt; current_step, "",Iterations[[#This Row],[d]]))</f>
        <v/>
      </c>
      <c r="K300" s="2" t="str">
        <f>IF(Iterations[[#This Row],[Step]] =current_step, current_e,IF(Iterations[[#This Row],[Step]] &gt; current_step, "",Iterations[[#This Row],[e]]))</f>
        <v/>
      </c>
      <c r="L300" s="2" t="str">
        <f>IF(Iterations[[#This Row],[Step]] =current_step, current_Total_Loss,IF(Iterations[[#This Row],[Step]] &gt; current_step, "",Iterations[[#This Row],[Total Loss]]))</f>
        <v/>
      </c>
      <c r="M300" s="6" t="s">
        <v>27</v>
      </c>
      <c r="N300" s="2" t="str">
        <f>IF(Iterations[[#This Row],[Step]] =current_step, current_Grad_a,IF(Iterations[[#This Row],[Step]] &gt; current_step, "",Iterations[[#This Row],[Grad_a]]))</f>
        <v/>
      </c>
      <c r="O300" s="2" t="str">
        <f>IF(Iterations[[#This Row],[Step]] =current_step, current_Grad_b,IF(Iterations[[#This Row],[Step]] &gt; current_step, "",Iterations[[#This Row],[Grad_b]]))</f>
        <v/>
      </c>
      <c r="P300" s="2" t="str">
        <f>IF(Iterations[[#This Row],[Step]] =current_step, current_Grad_c,IF(Iterations[[#This Row],[Step]] &gt; current_step, "",Iterations[[#This Row],[Grad_c]]))</f>
        <v/>
      </c>
      <c r="Q300" s="2" t="str">
        <f>IF(Iterations[[#This Row],[Step]] =current_step, current_Grad_d,IF(Iterations[[#This Row],[Step]] &gt; current_step, "",Iterations[[#This Row],[Grad_d]]))</f>
        <v/>
      </c>
      <c r="R300" s="2" t="str">
        <f>IF(Iterations[[#This Row],[Step]] =current_step, current_Grad_e,IF(Iterations[[#This Row],[Step]] &gt; current_step, "",Iterations[[#This Row],[Grad_e]]))</f>
        <v/>
      </c>
    </row>
    <row r="301" spans="6:18" x14ac:dyDescent="0.3">
      <c r="F301" s="2">
        <f t="shared" si="6"/>
        <v>284</v>
      </c>
      <c r="G301" s="2" t="str">
        <f>IF(Iterations[[#This Row],[Step]] =current_step, current_a,IF(Iterations[[#This Row],[Step]] &gt; current_step, "",Iterations[[#This Row],[a]]))</f>
        <v/>
      </c>
      <c r="H301" s="2" t="str">
        <f>IF(Iterations[[#This Row],[Step]] =current_step, current_b,IF(Iterations[[#This Row],[Step]] &gt; current_step, "",Iterations[[#This Row],[b]]))</f>
        <v/>
      </c>
      <c r="I301" s="2" t="str">
        <f>IF(Iterations[[#This Row],[Step]] =current_step, current_c,IF(Iterations[[#This Row],[Step]] &gt; current_step, "",Iterations[[#This Row],[c]]))</f>
        <v/>
      </c>
      <c r="J301" s="2" t="str">
        <f>IF(Iterations[[#This Row],[Step]] =current_step, current_d,IF(Iterations[[#This Row],[Step]] &gt; current_step, "",Iterations[[#This Row],[d]]))</f>
        <v/>
      </c>
      <c r="K301" s="2" t="str">
        <f>IF(Iterations[[#This Row],[Step]] =current_step, current_e,IF(Iterations[[#This Row],[Step]] &gt; current_step, "",Iterations[[#This Row],[e]]))</f>
        <v/>
      </c>
      <c r="L301" s="2" t="str">
        <f>IF(Iterations[[#This Row],[Step]] =current_step, current_Total_Loss,IF(Iterations[[#This Row],[Step]] &gt; current_step, "",Iterations[[#This Row],[Total Loss]]))</f>
        <v/>
      </c>
      <c r="M301" s="6" t="s">
        <v>27</v>
      </c>
      <c r="N301" s="2" t="str">
        <f>IF(Iterations[[#This Row],[Step]] =current_step, current_Grad_a,IF(Iterations[[#This Row],[Step]] &gt; current_step, "",Iterations[[#This Row],[Grad_a]]))</f>
        <v/>
      </c>
      <c r="O301" s="2" t="str">
        <f>IF(Iterations[[#This Row],[Step]] =current_step, current_Grad_b,IF(Iterations[[#This Row],[Step]] &gt; current_step, "",Iterations[[#This Row],[Grad_b]]))</f>
        <v/>
      </c>
      <c r="P301" s="2" t="str">
        <f>IF(Iterations[[#This Row],[Step]] =current_step, current_Grad_c,IF(Iterations[[#This Row],[Step]] &gt; current_step, "",Iterations[[#This Row],[Grad_c]]))</f>
        <v/>
      </c>
      <c r="Q301" s="2" t="str">
        <f>IF(Iterations[[#This Row],[Step]] =current_step, current_Grad_d,IF(Iterations[[#This Row],[Step]] &gt; current_step, "",Iterations[[#This Row],[Grad_d]]))</f>
        <v/>
      </c>
      <c r="R301" s="2" t="str">
        <f>IF(Iterations[[#This Row],[Step]] =current_step, current_Grad_e,IF(Iterations[[#This Row],[Step]] &gt; current_step, "",Iterations[[#This Row],[Grad_e]]))</f>
        <v/>
      </c>
    </row>
    <row r="302" spans="6:18" x14ac:dyDescent="0.3">
      <c r="F302" s="2">
        <f t="shared" si="6"/>
        <v>285</v>
      </c>
      <c r="G302" s="2" t="str">
        <f>IF(Iterations[[#This Row],[Step]] =current_step, current_a,IF(Iterations[[#This Row],[Step]] &gt; current_step, "",Iterations[[#This Row],[a]]))</f>
        <v/>
      </c>
      <c r="H302" s="2" t="str">
        <f>IF(Iterations[[#This Row],[Step]] =current_step, current_b,IF(Iterations[[#This Row],[Step]] &gt; current_step, "",Iterations[[#This Row],[b]]))</f>
        <v/>
      </c>
      <c r="I302" s="2" t="str">
        <f>IF(Iterations[[#This Row],[Step]] =current_step, current_c,IF(Iterations[[#This Row],[Step]] &gt; current_step, "",Iterations[[#This Row],[c]]))</f>
        <v/>
      </c>
      <c r="J302" s="2" t="str">
        <f>IF(Iterations[[#This Row],[Step]] =current_step, current_d,IF(Iterations[[#This Row],[Step]] &gt; current_step, "",Iterations[[#This Row],[d]]))</f>
        <v/>
      </c>
      <c r="K302" s="2" t="str">
        <f>IF(Iterations[[#This Row],[Step]] =current_step, current_e,IF(Iterations[[#This Row],[Step]] &gt; current_step, "",Iterations[[#This Row],[e]]))</f>
        <v/>
      </c>
      <c r="L302" s="2" t="str">
        <f>IF(Iterations[[#This Row],[Step]] =current_step, current_Total_Loss,IF(Iterations[[#This Row],[Step]] &gt; current_step, "",Iterations[[#This Row],[Total Loss]]))</f>
        <v/>
      </c>
      <c r="M302" s="6" t="s">
        <v>27</v>
      </c>
      <c r="N302" s="2" t="str">
        <f>IF(Iterations[[#This Row],[Step]] =current_step, current_Grad_a,IF(Iterations[[#This Row],[Step]] &gt; current_step, "",Iterations[[#This Row],[Grad_a]]))</f>
        <v/>
      </c>
      <c r="O302" s="2" t="str">
        <f>IF(Iterations[[#This Row],[Step]] =current_step, current_Grad_b,IF(Iterations[[#This Row],[Step]] &gt; current_step, "",Iterations[[#This Row],[Grad_b]]))</f>
        <v/>
      </c>
      <c r="P302" s="2" t="str">
        <f>IF(Iterations[[#This Row],[Step]] =current_step, current_Grad_c,IF(Iterations[[#This Row],[Step]] &gt; current_step, "",Iterations[[#This Row],[Grad_c]]))</f>
        <v/>
      </c>
      <c r="Q302" s="2" t="str">
        <f>IF(Iterations[[#This Row],[Step]] =current_step, current_Grad_d,IF(Iterations[[#This Row],[Step]] &gt; current_step, "",Iterations[[#This Row],[Grad_d]]))</f>
        <v/>
      </c>
      <c r="R302" s="2" t="str">
        <f>IF(Iterations[[#This Row],[Step]] =current_step, current_Grad_e,IF(Iterations[[#This Row],[Step]] &gt; current_step, "",Iterations[[#This Row],[Grad_e]]))</f>
        <v/>
      </c>
    </row>
    <row r="303" spans="6:18" x14ac:dyDescent="0.3">
      <c r="F303" s="2">
        <f t="shared" si="6"/>
        <v>286</v>
      </c>
      <c r="G303" s="2" t="str">
        <f>IF(Iterations[[#This Row],[Step]] =current_step, current_a,IF(Iterations[[#This Row],[Step]] &gt; current_step, "",Iterations[[#This Row],[a]]))</f>
        <v/>
      </c>
      <c r="H303" s="2" t="str">
        <f>IF(Iterations[[#This Row],[Step]] =current_step, current_b,IF(Iterations[[#This Row],[Step]] &gt; current_step, "",Iterations[[#This Row],[b]]))</f>
        <v/>
      </c>
      <c r="I303" s="2" t="str">
        <f>IF(Iterations[[#This Row],[Step]] =current_step, current_c,IF(Iterations[[#This Row],[Step]] &gt; current_step, "",Iterations[[#This Row],[c]]))</f>
        <v/>
      </c>
      <c r="J303" s="2" t="str">
        <f>IF(Iterations[[#This Row],[Step]] =current_step, current_d,IF(Iterations[[#This Row],[Step]] &gt; current_step, "",Iterations[[#This Row],[d]]))</f>
        <v/>
      </c>
      <c r="K303" s="2" t="str">
        <f>IF(Iterations[[#This Row],[Step]] =current_step, current_e,IF(Iterations[[#This Row],[Step]] &gt; current_step, "",Iterations[[#This Row],[e]]))</f>
        <v/>
      </c>
      <c r="L303" s="2" t="str">
        <f>IF(Iterations[[#This Row],[Step]] =current_step, current_Total_Loss,IF(Iterations[[#This Row],[Step]] &gt; current_step, "",Iterations[[#This Row],[Total Loss]]))</f>
        <v/>
      </c>
      <c r="M303" s="6" t="s">
        <v>27</v>
      </c>
      <c r="N303" s="2" t="str">
        <f>IF(Iterations[[#This Row],[Step]] =current_step, current_Grad_a,IF(Iterations[[#This Row],[Step]] &gt; current_step, "",Iterations[[#This Row],[Grad_a]]))</f>
        <v/>
      </c>
      <c r="O303" s="2" t="str">
        <f>IF(Iterations[[#This Row],[Step]] =current_step, current_Grad_b,IF(Iterations[[#This Row],[Step]] &gt; current_step, "",Iterations[[#This Row],[Grad_b]]))</f>
        <v/>
      </c>
      <c r="P303" s="2" t="str">
        <f>IF(Iterations[[#This Row],[Step]] =current_step, current_Grad_c,IF(Iterations[[#This Row],[Step]] &gt; current_step, "",Iterations[[#This Row],[Grad_c]]))</f>
        <v/>
      </c>
      <c r="Q303" s="2" t="str">
        <f>IF(Iterations[[#This Row],[Step]] =current_step, current_Grad_d,IF(Iterations[[#This Row],[Step]] &gt; current_step, "",Iterations[[#This Row],[Grad_d]]))</f>
        <v/>
      </c>
      <c r="R303" s="2" t="str">
        <f>IF(Iterations[[#This Row],[Step]] =current_step, current_Grad_e,IF(Iterations[[#This Row],[Step]] &gt; current_step, "",Iterations[[#This Row],[Grad_e]]))</f>
        <v/>
      </c>
    </row>
    <row r="304" spans="6:18" x14ac:dyDescent="0.3">
      <c r="F304" s="2">
        <f t="shared" si="6"/>
        <v>287</v>
      </c>
      <c r="G304" s="2" t="str">
        <f>IF(Iterations[[#This Row],[Step]] =current_step, current_a,IF(Iterations[[#This Row],[Step]] &gt; current_step, "",Iterations[[#This Row],[a]]))</f>
        <v/>
      </c>
      <c r="H304" s="2" t="str">
        <f>IF(Iterations[[#This Row],[Step]] =current_step, current_b,IF(Iterations[[#This Row],[Step]] &gt; current_step, "",Iterations[[#This Row],[b]]))</f>
        <v/>
      </c>
      <c r="I304" s="2" t="str">
        <f>IF(Iterations[[#This Row],[Step]] =current_step, current_c,IF(Iterations[[#This Row],[Step]] &gt; current_step, "",Iterations[[#This Row],[c]]))</f>
        <v/>
      </c>
      <c r="J304" s="2" t="str">
        <f>IF(Iterations[[#This Row],[Step]] =current_step, current_d,IF(Iterations[[#This Row],[Step]] &gt; current_step, "",Iterations[[#This Row],[d]]))</f>
        <v/>
      </c>
      <c r="K304" s="2" t="str">
        <f>IF(Iterations[[#This Row],[Step]] =current_step, current_e,IF(Iterations[[#This Row],[Step]] &gt; current_step, "",Iterations[[#This Row],[e]]))</f>
        <v/>
      </c>
      <c r="L304" s="2" t="str">
        <f>IF(Iterations[[#This Row],[Step]] =current_step, current_Total_Loss,IF(Iterations[[#This Row],[Step]] &gt; current_step, "",Iterations[[#This Row],[Total Loss]]))</f>
        <v/>
      </c>
      <c r="M304" s="6" t="s">
        <v>27</v>
      </c>
      <c r="N304" s="2" t="str">
        <f>IF(Iterations[[#This Row],[Step]] =current_step, current_Grad_a,IF(Iterations[[#This Row],[Step]] &gt; current_step, "",Iterations[[#This Row],[Grad_a]]))</f>
        <v/>
      </c>
      <c r="O304" s="2" t="str">
        <f>IF(Iterations[[#This Row],[Step]] =current_step, current_Grad_b,IF(Iterations[[#This Row],[Step]] &gt; current_step, "",Iterations[[#This Row],[Grad_b]]))</f>
        <v/>
      </c>
      <c r="P304" s="2" t="str">
        <f>IF(Iterations[[#This Row],[Step]] =current_step, current_Grad_c,IF(Iterations[[#This Row],[Step]] &gt; current_step, "",Iterations[[#This Row],[Grad_c]]))</f>
        <v/>
      </c>
      <c r="Q304" s="2" t="str">
        <f>IF(Iterations[[#This Row],[Step]] =current_step, current_Grad_d,IF(Iterations[[#This Row],[Step]] &gt; current_step, "",Iterations[[#This Row],[Grad_d]]))</f>
        <v/>
      </c>
      <c r="R304" s="2" t="str">
        <f>IF(Iterations[[#This Row],[Step]] =current_step, current_Grad_e,IF(Iterations[[#This Row],[Step]] &gt; current_step, "",Iterations[[#This Row],[Grad_e]]))</f>
        <v/>
      </c>
    </row>
    <row r="305" spans="6:18" x14ac:dyDescent="0.3">
      <c r="F305" s="2">
        <f t="shared" si="6"/>
        <v>288</v>
      </c>
      <c r="G305" s="2" t="str">
        <f>IF(Iterations[[#This Row],[Step]] =current_step, current_a,IF(Iterations[[#This Row],[Step]] &gt; current_step, "",Iterations[[#This Row],[a]]))</f>
        <v/>
      </c>
      <c r="H305" s="2" t="str">
        <f>IF(Iterations[[#This Row],[Step]] =current_step, current_b,IF(Iterations[[#This Row],[Step]] &gt; current_step, "",Iterations[[#This Row],[b]]))</f>
        <v/>
      </c>
      <c r="I305" s="2" t="str">
        <f>IF(Iterations[[#This Row],[Step]] =current_step, current_c,IF(Iterations[[#This Row],[Step]] &gt; current_step, "",Iterations[[#This Row],[c]]))</f>
        <v/>
      </c>
      <c r="J305" s="2" t="str">
        <f>IF(Iterations[[#This Row],[Step]] =current_step, current_d,IF(Iterations[[#This Row],[Step]] &gt; current_step, "",Iterations[[#This Row],[d]]))</f>
        <v/>
      </c>
      <c r="K305" s="2" t="str">
        <f>IF(Iterations[[#This Row],[Step]] =current_step, current_e,IF(Iterations[[#This Row],[Step]] &gt; current_step, "",Iterations[[#This Row],[e]]))</f>
        <v/>
      </c>
      <c r="L305" s="2" t="str">
        <f>IF(Iterations[[#This Row],[Step]] =current_step, current_Total_Loss,IF(Iterations[[#This Row],[Step]] &gt; current_step, "",Iterations[[#This Row],[Total Loss]]))</f>
        <v/>
      </c>
      <c r="M305" s="6" t="s">
        <v>27</v>
      </c>
      <c r="N305" s="2" t="str">
        <f>IF(Iterations[[#This Row],[Step]] =current_step, current_Grad_a,IF(Iterations[[#This Row],[Step]] &gt; current_step, "",Iterations[[#This Row],[Grad_a]]))</f>
        <v/>
      </c>
      <c r="O305" s="2" t="str">
        <f>IF(Iterations[[#This Row],[Step]] =current_step, current_Grad_b,IF(Iterations[[#This Row],[Step]] &gt; current_step, "",Iterations[[#This Row],[Grad_b]]))</f>
        <v/>
      </c>
      <c r="P305" s="2" t="str">
        <f>IF(Iterations[[#This Row],[Step]] =current_step, current_Grad_c,IF(Iterations[[#This Row],[Step]] &gt; current_step, "",Iterations[[#This Row],[Grad_c]]))</f>
        <v/>
      </c>
      <c r="Q305" s="2" t="str">
        <f>IF(Iterations[[#This Row],[Step]] =current_step, current_Grad_d,IF(Iterations[[#This Row],[Step]] &gt; current_step, "",Iterations[[#This Row],[Grad_d]]))</f>
        <v/>
      </c>
      <c r="R305" s="2" t="str">
        <f>IF(Iterations[[#This Row],[Step]] =current_step, current_Grad_e,IF(Iterations[[#This Row],[Step]] &gt; current_step, "",Iterations[[#This Row],[Grad_e]]))</f>
        <v/>
      </c>
    </row>
    <row r="306" spans="6:18" x14ac:dyDescent="0.3">
      <c r="F306" s="2">
        <f t="shared" si="6"/>
        <v>289</v>
      </c>
      <c r="G306" s="2" t="str">
        <f>IF(Iterations[[#This Row],[Step]] =current_step, current_a,IF(Iterations[[#This Row],[Step]] &gt; current_step, "",Iterations[[#This Row],[a]]))</f>
        <v/>
      </c>
      <c r="H306" s="2" t="str">
        <f>IF(Iterations[[#This Row],[Step]] =current_step, current_b,IF(Iterations[[#This Row],[Step]] &gt; current_step, "",Iterations[[#This Row],[b]]))</f>
        <v/>
      </c>
      <c r="I306" s="2" t="str">
        <f>IF(Iterations[[#This Row],[Step]] =current_step, current_c,IF(Iterations[[#This Row],[Step]] &gt; current_step, "",Iterations[[#This Row],[c]]))</f>
        <v/>
      </c>
      <c r="J306" s="2" t="str">
        <f>IF(Iterations[[#This Row],[Step]] =current_step, current_d,IF(Iterations[[#This Row],[Step]] &gt; current_step, "",Iterations[[#This Row],[d]]))</f>
        <v/>
      </c>
      <c r="K306" s="2" t="str">
        <f>IF(Iterations[[#This Row],[Step]] =current_step, current_e,IF(Iterations[[#This Row],[Step]] &gt; current_step, "",Iterations[[#This Row],[e]]))</f>
        <v/>
      </c>
      <c r="L306" s="2" t="str">
        <f>IF(Iterations[[#This Row],[Step]] =current_step, current_Total_Loss,IF(Iterations[[#This Row],[Step]] &gt; current_step, "",Iterations[[#This Row],[Total Loss]]))</f>
        <v/>
      </c>
      <c r="M306" s="6" t="s">
        <v>27</v>
      </c>
      <c r="N306" s="2" t="str">
        <f>IF(Iterations[[#This Row],[Step]] =current_step, current_Grad_a,IF(Iterations[[#This Row],[Step]] &gt; current_step, "",Iterations[[#This Row],[Grad_a]]))</f>
        <v/>
      </c>
      <c r="O306" s="2" t="str">
        <f>IF(Iterations[[#This Row],[Step]] =current_step, current_Grad_b,IF(Iterations[[#This Row],[Step]] &gt; current_step, "",Iterations[[#This Row],[Grad_b]]))</f>
        <v/>
      </c>
      <c r="P306" s="2" t="str">
        <f>IF(Iterations[[#This Row],[Step]] =current_step, current_Grad_c,IF(Iterations[[#This Row],[Step]] &gt; current_step, "",Iterations[[#This Row],[Grad_c]]))</f>
        <v/>
      </c>
      <c r="Q306" s="2" t="str">
        <f>IF(Iterations[[#This Row],[Step]] =current_step, current_Grad_d,IF(Iterations[[#This Row],[Step]] &gt; current_step, "",Iterations[[#This Row],[Grad_d]]))</f>
        <v/>
      </c>
      <c r="R306" s="2" t="str">
        <f>IF(Iterations[[#This Row],[Step]] =current_step, current_Grad_e,IF(Iterations[[#This Row],[Step]] &gt; current_step, "",Iterations[[#This Row],[Grad_e]]))</f>
        <v/>
      </c>
    </row>
    <row r="307" spans="6:18" x14ac:dyDescent="0.3">
      <c r="F307" s="2">
        <f t="shared" si="6"/>
        <v>290</v>
      </c>
      <c r="G307" s="2" t="str">
        <f>IF(Iterations[[#This Row],[Step]] =current_step, current_a,IF(Iterations[[#This Row],[Step]] &gt; current_step, "",Iterations[[#This Row],[a]]))</f>
        <v/>
      </c>
      <c r="H307" s="2" t="str">
        <f>IF(Iterations[[#This Row],[Step]] =current_step, current_b,IF(Iterations[[#This Row],[Step]] &gt; current_step, "",Iterations[[#This Row],[b]]))</f>
        <v/>
      </c>
      <c r="I307" s="2" t="str">
        <f>IF(Iterations[[#This Row],[Step]] =current_step, current_c,IF(Iterations[[#This Row],[Step]] &gt; current_step, "",Iterations[[#This Row],[c]]))</f>
        <v/>
      </c>
      <c r="J307" s="2" t="str">
        <f>IF(Iterations[[#This Row],[Step]] =current_step, current_d,IF(Iterations[[#This Row],[Step]] &gt; current_step, "",Iterations[[#This Row],[d]]))</f>
        <v/>
      </c>
      <c r="K307" s="2" t="str">
        <f>IF(Iterations[[#This Row],[Step]] =current_step, current_e,IF(Iterations[[#This Row],[Step]] &gt; current_step, "",Iterations[[#This Row],[e]]))</f>
        <v/>
      </c>
      <c r="L307" s="2" t="str">
        <f>IF(Iterations[[#This Row],[Step]] =current_step, current_Total_Loss,IF(Iterations[[#This Row],[Step]] &gt; current_step, "",Iterations[[#This Row],[Total Loss]]))</f>
        <v/>
      </c>
      <c r="M307" s="6" t="s">
        <v>27</v>
      </c>
      <c r="N307" s="2" t="str">
        <f>IF(Iterations[[#This Row],[Step]] =current_step, current_Grad_a,IF(Iterations[[#This Row],[Step]] &gt; current_step, "",Iterations[[#This Row],[Grad_a]]))</f>
        <v/>
      </c>
      <c r="O307" s="2" t="str">
        <f>IF(Iterations[[#This Row],[Step]] =current_step, current_Grad_b,IF(Iterations[[#This Row],[Step]] &gt; current_step, "",Iterations[[#This Row],[Grad_b]]))</f>
        <v/>
      </c>
      <c r="P307" s="2" t="str">
        <f>IF(Iterations[[#This Row],[Step]] =current_step, current_Grad_c,IF(Iterations[[#This Row],[Step]] &gt; current_step, "",Iterations[[#This Row],[Grad_c]]))</f>
        <v/>
      </c>
      <c r="Q307" s="2" t="str">
        <f>IF(Iterations[[#This Row],[Step]] =current_step, current_Grad_d,IF(Iterations[[#This Row],[Step]] &gt; current_step, "",Iterations[[#This Row],[Grad_d]]))</f>
        <v/>
      </c>
      <c r="R307" s="2" t="str">
        <f>IF(Iterations[[#This Row],[Step]] =current_step, current_Grad_e,IF(Iterations[[#This Row],[Step]] &gt; current_step, "",Iterations[[#This Row],[Grad_e]]))</f>
        <v/>
      </c>
    </row>
    <row r="308" spans="6:18" x14ac:dyDescent="0.3">
      <c r="F308" s="2">
        <f t="shared" si="6"/>
        <v>291</v>
      </c>
      <c r="G308" s="2" t="str">
        <f>IF(Iterations[[#This Row],[Step]] =current_step, current_a,IF(Iterations[[#This Row],[Step]] &gt; current_step, "",Iterations[[#This Row],[a]]))</f>
        <v/>
      </c>
      <c r="H308" s="2" t="str">
        <f>IF(Iterations[[#This Row],[Step]] =current_step, current_b,IF(Iterations[[#This Row],[Step]] &gt; current_step, "",Iterations[[#This Row],[b]]))</f>
        <v/>
      </c>
      <c r="I308" s="2" t="str">
        <f>IF(Iterations[[#This Row],[Step]] =current_step, current_c,IF(Iterations[[#This Row],[Step]] &gt; current_step, "",Iterations[[#This Row],[c]]))</f>
        <v/>
      </c>
      <c r="J308" s="2" t="str">
        <f>IF(Iterations[[#This Row],[Step]] =current_step, current_d,IF(Iterations[[#This Row],[Step]] &gt; current_step, "",Iterations[[#This Row],[d]]))</f>
        <v/>
      </c>
      <c r="K308" s="2" t="str">
        <f>IF(Iterations[[#This Row],[Step]] =current_step, current_e,IF(Iterations[[#This Row],[Step]] &gt; current_step, "",Iterations[[#This Row],[e]]))</f>
        <v/>
      </c>
      <c r="L308" s="2" t="str">
        <f>IF(Iterations[[#This Row],[Step]] =current_step, current_Total_Loss,IF(Iterations[[#This Row],[Step]] &gt; current_step, "",Iterations[[#This Row],[Total Loss]]))</f>
        <v/>
      </c>
      <c r="M308" s="6" t="s">
        <v>27</v>
      </c>
      <c r="N308" s="2" t="str">
        <f>IF(Iterations[[#This Row],[Step]] =current_step, current_Grad_a,IF(Iterations[[#This Row],[Step]] &gt; current_step, "",Iterations[[#This Row],[Grad_a]]))</f>
        <v/>
      </c>
      <c r="O308" s="2" t="str">
        <f>IF(Iterations[[#This Row],[Step]] =current_step, current_Grad_b,IF(Iterations[[#This Row],[Step]] &gt; current_step, "",Iterations[[#This Row],[Grad_b]]))</f>
        <v/>
      </c>
      <c r="P308" s="2" t="str">
        <f>IF(Iterations[[#This Row],[Step]] =current_step, current_Grad_c,IF(Iterations[[#This Row],[Step]] &gt; current_step, "",Iterations[[#This Row],[Grad_c]]))</f>
        <v/>
      </c>
      <c r="Q308" s="2" t="str">
        <f>IF(Iterations[[#This Row],[Step]] =current_step, current_Grad_d,IF(Iterations[[#This Row],[Step]] &gt; current_step, "",Iterations[[#This Row],[Grad_d]]))</f>
        <v/>
      </c>
      <c r="R308" s="2" t="str">
        <f>IF(Iterations[[#This Row],[Step]] =current_step, current_Grad_e,IF(Iterations[[#This Row],[Step]] &gt; current_step, "",Iterations[[#This Row],[Grad_e]]))</f>
        <v/>
      </c>
    </row>
    <row r="309" spans="6:18" x14ac:dyDescent="0.3">
      <c r="F309" s="2">
        <f t="shared" si="6"/>
        <v>292</v>
      </c>
      <c r="G309" s="2" t="str">
        <f>IF(Iterations[[#This Row],[Step]] =current_step, current_a,IF(Iterations[[#This Row],[Step]] &gt; current_step, "",Iterations[[#This Row],[a]]))</f>
        <v/>
      </c>
      <c r="H309" s="2" t="str">
        <f>IF(Iterations[[#This Row],[Step]] =current_step, current_b,IF(Iterations[[#This Row],[Step]] &gt; current_step, "",Iterations[[#This Row],[b]]))</f>
        <v/>
      </c>
      <c r="I309" s="2" t="str">
        <f>IF(Iterations[[#This Row],[Step]] =current_step, current_c,IF(Iterations[[#This Row],[Step]] &gt; current_step, "",Iterations[[#This Row],[c]]))</f>
        <v/>
      </c>
      <c r="J309" s="2" t="str">
        <f>IF(Iterations[[#This Row],[Step]] =current_step, current_d,IF(Iterations[[#This Row],[Step]] &gt; current_step, "",Iterations[[#This Row],[d]]))</f>
        <v/>
      </c>
      <c r="K309" s="2" t="str">
        <f>IF(Iterations[[#This Row],[Step]] =current_step, current_e,IF(Iterations[[#This Row],[Step]] &gt; current_step, "",Iterations[[#This Row],[e]]))</f>
        <v/>
      </c>
      <c r="L309" s="2" t="str">
        <f>IF(Iterations[[#This Row],[Step]] =current_step, current_Total_Loss,IF(Iterations[[#This Row],[Step]] &gt; current_step, "",Iterations[[#This Row],[Total Loss]]))</f>
        <v/>
      </c>
      <c r="M309" s="6" t="s">
        <v>27</v>
      </c>
      <c r="N309" s="2" t="str">
        <f>IF(Iterations[[#This Row],[Step]] =current_step, current_Grad_a,IF(Iterations[[#This Row],[Step]] &gt; current_step, "",Iterations[[#This Row],[Grad_a]]))</f>
        <v/>
      </c>
      <c r="O309" s="2" t="str">
        <f>IF(Iterations[[#This Row],[Step]] =current_step, current_Grad_b,IF(Iterations[[#This Row],[Step]] &gt; current_step, "",Iterations[[#This Row],[Grad_b]]))</f>
        <v/>
      </c>
      <c r="P309" s="2" t="str">
        <f>IF(Iterations[[#This Row],[Step]] =current_step, current_Grad_c,IF(Iterations[[#This Row],[Step]] &gt; current_step, "",Iterations[[#This Row],[Grad_c]]))</f>
        <v/>
      </c>
      <c r="Q309" s="2" t="str">
        <f>IF(Iterations[[#This Row],[Step]] =current_step, current_Grad_d,IF(Iterations[[#This Row],[Step]] &gt; current_step, "",Iterations[[#This Row],[Grad_d]]))</f>
        <v/>
      </c>
      <c r="R309" s="2" t="str">
        <f>IF(Iterations[[#This Row],[Step]] =current_step, current_Grad_e,IF(Iterations[[#This Row],[Step]] &gt; current_step, "",Iterations[[#This Row],[Grad_e]]))</f>
        <v/>
      </c>
    </row>
    <row r="310" spans="6:18" x14ac:dyDescent="0.3">
      <c r="F310" s="2">
        <f t="shared" si="6"/>
        <v>293</v>
      </c>
      <c r="G310" s="2" t="str">
        <f>IF(Iterations[[#This Row],[Step]] =current_step, current_a,IF(Iterations[[#This Row],[Step]] &gt; current_step, "",Iterations[[#This Row],[a]]))</f>
        <v/>
      </c>
      <c r="H310" s="2" t="str">
        <f>IF(Iterations[[#This Row],[Step]] =current_step, current_b,IF(Iterations[[#This Row],[Step]] &gt; current_step, "",Iterations[[#This Row],[b]]))</f>
        <v/>
      </c>
      <c r="I310" s="2" t="str">
        <f>IF(Iterations[[#This Row],[Step]] =current_step, current_c,IF(Iterations[[#This Row],[Step]] &gt; current_step, "",Iterations[[#This Row],[c]]))</f>
        <v/>
      </c>
      <c r="J310" s="2" t="str">
        <f>IF(Iterations[[#This Row],[Step]] =current_step, current_d,IF(Iterations[[#This Row],[Step]] &gt; current_step, "",Iterations[[#This Row],[d]]))</f>
        <v/>
      </c>
      <c r="K310" s="2" t="str">
        <f>IF(Iterations[[#This Row],[Step]] =current_step, current_e,IF(Iterations[[#This Row],[Step]] &gt; current_step, "",Iterations[[#This Row],[e]]))</f>
        <v/>
      </c>
      <c r="L310" s="2" t="str">
        <f>IF(Iterations[[#This Row],[Step]] =current_step, current_Total_Loss,IF(Iterations[[#This Row],[Step]] &gt; current_step, "",Iterations[[#This Row],[Total Loss]]))</f>
        <v/>
      </c>
      <c r="M310" s="6" t="s">
        <v>27</v>
      </c>
      <c r="N310" s="2" t="str">
        <f>IF(Iterations[[#This Row],[Step]] =current_step, current_Grad_a,IF(Iterations[[#This Row],[Step]] &gt; current_step, "",Iterations[[#This Row],[Grad_a]]))</f>
        <v/>
      </c>
      <c r="O310" s="2" t="str">
        <f>IF(Iterations[[#This Row],[Step]] =current_step, current_Grad_b,IF(Iterations[[#This Row],[Step]] &gt; current_step, "",Iterations[[#This Row],[Grad_b]]))</f>
        <v/>
      </c>
      <c r="P310" s="2" t="str">
        <f>IF(Iterations[[#This Row],[Step]] =current_step, current_Grad_c,IF(Iterations[[#This Row],[Step]] &gt; current_step, "",Iterations[[#This Row],[Grad_c]]))</f>
        <v/>
      </c>
      <c r="Q310" s="2" t="str">
        <f>IF(Iterations[[#This Row],[Step]] =current_step, current_Grad_d,IF(Iterations[[#This Row],[Step]] &gt; current_step, "",Iterations[[#This Row],[Grad_d]]))</f>
        <v/>
      </c>
      <c r="R310" s="2" t="str">
        <f>IF(Iterations[[#This Row],[Step]] =current_step, current_Grad_e,IF(Iterations[[#This Row],[Step]] &gt; current_step, "",Iterations[[#This Row],[Grad_e]]))</f>
        <v/>
      </c>
    </row>
    <row r="311" spans="6:18" x14ac:dyDescent="0.3">
      <c r="F311" s="2">
        <f t="shared" si="6"/>
        <v>294</v>
      </c>
      <c r="G311" s="2" t="str">
        <f>IF(Iterations[[#This Row],[Step]] =current_step, current_a,IF(Iterations[[#This Row],[Step]] &gt; current_step, "",Iterations[[#This Row],[a]]))</f>
        <v/>
      </c>
      <c r="H311" s="2" t="str">
        <f>IF(Iterations[[#This Row],[Step]] =current_step, current_b,IF(Iterations[[#This Row],[Step]] &gt; current_step, "",Iterations[[#This Row],[b]]))</f>
        <v/>
      </c>
      <c r="I311" s="2" t="str">
        <f>IF(Iterations[[#This Row],[Step]] =current_step, current_c,IF(Iterations[[#This Row],[Step]] &gt; current_step, "",Iterations[[#This Row],[c]]))</f>
        <v/>
      </c>
      <c r="J311" s="2" t="str">
        <f>IF(Iterations[[#This Row],[Step]] =current_step, current_d,IF(Iterations[[#This Row],[Step]] &gt; current_step, "",Iterations[[#This Row],[d]]))</f>
        <v/>
      </c>
      <c r="K311" s="2" t="str">
        <f>IF(Iterations[[#This Row],[Step]] =current_step, current_e,IF(Iterations[[#This Row],[Step]] &gt; current_step, "",Iterations[[#This Row],[e]]))</f>
        <v/>
      </c>
      <c r="L311" s="2" t="str">
        <f>IF(Iterations[[#This Row],[Step]] =current_step, current_Total_Loss,IF(Iterations[[#This Row],[Step]] &gt; current_step, "",Iterations[[#This Row],[Total Loss]]))</f>
        <v/>
      </c>
      <c r="M311" s="6" t="s">
        <v>27</v>
      </c>
      <c r="N311" s="2" t="str">
        <f>IF(Iterations[[#This Row],[Step]] =current_step, current_Grad_a,IF(Iterations[[#This Row],[Step]] &gt; current_step, "",Iterations[[#This Row],[Grad_a]]))</f>
        <v/>
      </c>
      <c r="O311" s="2" t="str">
        <f>IF(Iterations[[#This Row],[Step]] =current_step, current_Grad_b,IF(Iterations[[#This Row],[Step]] &gt; current_step, "",Iterations[[#This Row],[Grad_b]]))</f>
        <v/>
      </c>
      <c r="P311" s="2" t="str">
        <f>IF(Iterations[[#This Row],[Step]] =current_step, current_Grad_c,IF(Iterations[[#This Row],[Step]] &gt; current_step, "",Iterations[[#This Row],[Grad_c]]))</f>
        <v/>
      </c>
      <c r="Q311" s="2" t="str">
        <f>IF(Iterations[[#This Row],[Step]] =current_step, current_Grad_d,IF(Iterations[[#This Row],[Step]] &gt; current_step, "",Iterations[[#This Row],[Grad_d]]))</f>
        <v/>
      </c>
      <c r="R311" s="2" t="str">
        <f>IF(Iterations[[#This Row],[Step]] =current_step, current_Grad_e,IF(Iterations[[#This Row],[Step]] &gt; current_step, "",Iterations[[#This Row],[Grad_e]]))</f>
        <v/>
      </c>
    </row>
    <row r="312" spans="6:18" x14ac:dyDescent="0.3">
      <c r="F312" s="2">
        <f t="shared" si="6"/>
        <v>295</v>
      </c>
      <c r="G312" s="2" t="str">
        <f>IF(Iterations[[#This Row],[Step]] =current_step, current_a,IF(Iterations[[#This Row],[Step]] &gt; current_step, "",Iterations[[#This Row],[a]]))</f>
        <v/>
      </c>
      <c r="H312" s="2" t="str">
        <f>IF(Iterations[[#This Row],[Step]] =current_step, current_b,IF(Iterations[[#This Row],[Step]] &gt; current_step, "",Iterations[[#This Row],[b]]))</f>
        <v/>
      </c>
      <c r="I312" s="2" t="str">
        <f>IF(Iterations[[#This Row],[Step]] =current_step, current_c,IF(Iterations[[#This Row],[Step]] &gt; current_step, "",Iterations[[#This Row],[c]]))</f>
        <v/>
      </c>
      <c r="J312" s="2" t="str">
        <f>IF(Iterations[[#This Row],[Step]] =current_step, current_d,IF(Iterations[[#This Row],[Step]] &gt; current_step, "",Iterations[[#This Row],[d]]))</f>
        <v/>
      </c>
      <c r="K312" s="2" t="str">
        <f>IF(Iterations[[#This Row],[Step]] =current_step, current_e,IF(Iterations[[#This Row],[Step]] &gt; current_step, "",Iterations[[#This Row],[e]]))</f>
        <v/>
      </c>
      <c r="L312" s="2" t="str">
        <f>IF(Iterations[[#This Row],[Step]] =current_step, current_Total_Loss,IF(Iterations[[#This Row],[Step]] &gt; current_step, "",Iterations[[#This Row],[Total Loss]]))</f>
        <v/>
      </c>
      <c r="M312" s="6" t="s">
        <v>27</v>
      </c>
      <c r="N312" s="2" t="str">
        <f>IF(Iterations[[#This Row],[Step]] =current_step, current_Grad_a,IF(Iterations[[#This Row],[Step]] &gt; current_step, "",Iterations[[#This Row],[Grad_a]]))</f>
        <v/>
      </c>
      <c r="O312" s="2" t="str">
        <f>IF(Iterations[[#This Row],[Step]] =current_step, current_Grad_b,IF(Iterations[[#This Row],[Step]] &gt; current_step, "",Iterations[[#This Row],[Grad_b]]))</f>
        <v/>
      </c>
      <c r="P312" s="2" t="str">
        <f>IF(Iterations[[#This Row],[Step]] =current_step, current_Grad_c,IF(Iterations[[#This Row],[Step]] &gt; current_step, "",Iterations[[#This Row],[Grad_c]]))</f>
        <v/>
      </c>
      <c r="Q312" s="2" t="str">
        <f>IF(Iterations[[#This Row],[Step]] =current_step, current_Grad_d,IF(Iterations[[#This Row],[Step]] &gt; current_step, "",Iterations[[#This Row],[Grad_d]]))</f>
        <v/>
      </c>
      <c r="R312" s="2" t="str">
        <f>IF(Iterations[[#This Row],[Step]] =current_step, current_Grad_e,IF(Iterations[[#This Row],[Step]] &gt; current_step, "",Iterations[[#This Row],[Grad_e]]))</f>
        <v/>
      </c>
    </row>
    <row r="313" spans="6:18" x14ac:dyDescent="0.3">
      <c r="F313" s="2">
        <f t="shared" si="6"/>
        <v>296</v>
      </c>
      <c r="G313" s="2" t="str">
        <f>IF(Iterations[[#This Row],[Step]] =current_step, current_a,IF(Iterations[[#This Row],[Step]] &gt; current_step, "",Iterations[[#This Row],[a]]))</f>
        <v/>
      </c>
      <c r="H313" s="2" t="str">
        <f>IF(Iterations[[#This Row],[Step]] =current_step, current_b,IF(Iterations[[#This Row],[Step]] &gt; current_step, "",Iterations[[#This Row],[b]]))</f>
        <v/>
      </c>
      <c r="I313" s="2" t="str">
        <f>IF(Iterations[[#This Row],[Step]] =current_step, current_c,IF(Iterations[[#This Row],[Step]] &gt; current_step, "",Iterations[[#This Row],[c]]))</f>
        <v/>
      </c>
      <c r="J313" s="2" t="str">
        <f>IF(Iterations[[#This Row],[Step]] =current_step, current_d,IF(Iterations[[#This Row],[Step]] &gt; current_step, "",Iterations[[#This Row],[d]]))</f>
        <v/>
      </c>
      <c r="K313" s="2" t="str">
        <f>IF(Iterations[[#This Row],[Step]] =current_step, current_e,IF(Iterations[[#This Row],[Step]] &gt; current_step, "",Iterations[[#This Row],[e]]))</f>
        <v/>
      </c>
      <c r="L313" s="2" t="str">
        <f>IF(Iterations[[#This Row],[Step]] =current_step, current_Total_Loss,IF(Iterations[[#This Row],[Step]] &gt; current_step, "",Iterations[[#This Row],[Total Loss]]))</f>
        <v/>
      </c>
      <c r="M313" s="6" t="s">
        <v>27</v>
      </c>
      <c r="N313" s="2" t="str">
        <f>IF(Iterations[[#This Row],[Step]] =current_step, current_Grad_a,IF(Iterations[[#This Row],[Step]] &gt; current_step, "",Iterations[[#This Row],[Grad_a]]))</f>
        <v/>
      </c>
      <c r="O313" s="2" t="str">
        <f>IF(Iterations[[#This Row],[Step]] =current_step, current_Grad_b,IF(Iterations[[#This Row],[Step]] &gt; current_step, "",Iterations[[#This Row],[Grad_b]]))</f>
        <v/>
      </c>
      <c r="P313" s="2" t="str">
        <f>IF(Iterations[[#This Row],[Step]] =current_step, current_Grad_c,IF(Iterations[[#This Row],[Step]] &gt; current_step, "",Iterations[[#This Row],[Grad_c]]))</f>
        <v/>
      </c>
      <c r="Q313" s="2" t="str">
        <f>IF(Iterations[[#This Row],[Step]] =current_step, current_Grad_d,IF(Iterations[[#This Row],[Step]] &gt; current_step, "",Iterations[[#This Row],[Grad_d]]))</f>
        <v/>
      </c>
      <c r="R313" s="2" t="str">
        <f>IF(Iterations[[#This Row],[Step]] =current_step, current_Grad_e,IF(Iterations[[#This Row],[Step]] &gt; current_step, "",Iterations[[#This Row],[Grad_e]]))</f>
        <v/>
      </c>
    </row>
    <row r="314" spans="6:18" x14ac:dyDescent="0.3">
      <c r="F314" s="2">
        <f t="shared" si="6"/>
        <v>297</v>
      </c>
      <c r="G314" s="2" t="str">
        <f>IF(Iterations[[#This Row],[Step]] =current_step, current_a,IF(Iterations[[#This Row],[Step]] &gt; current_step, "",Iterations[[#This Row],[a]]))</f>
        <v/>
      </c>
      <c r="H314" s="2" t="str">
        <f>IF(Iterations[[#This Row],[Step]] =current_step, current_b,IF(Iterations[[#This Row],[Step]] &gt; current_step, "",Iterations[[#This Row],[b]]))</f>
        <v/>
      </c>
      <c r="I314" s="2" t="str">
        <f>IF(Iterations[[#This Row],[Step]] =current_step, current_c,IF(Iterations[[#This Row],[Step]] &gt; current_step, "",Iterations[[#This Row],[c]]))</f>
        <v/>
      </c>
      <c r="J314" s="2" t="str">
        <f>IF(Iterations[[#This Row],[Step]] =current_step, current_d,IF(Iterations[[#This Row],[Step]] &gt; current_step, "",Iterations[[#This Row],[d]]))</f>
        <v/>
      </c>
      <c r="K314" s="2" t="str">
        <f>IF(Iterations[[#This Row],[Step]] =current_step, current_e,IF(Iterations[[#This Row],[Step]] &gt; current_step, "",Iterations[[#This Row],[e]]))</f>
        <v/>
      </c>
      <c r="L314" s="2" t="str">
        <f>IF(Iterations[[#This Row],[Step]] =current_step, current_Total_Loss,IF(Iterations[[#This Row],[Step]] &gt; current_step, "",Iterations[[#This Row],[Total Loss]]))</f>
        <v/>
      </c>
      <c r="M314" s="6" t="s">
        <v>27</v>
      </c>
      <c r="N314" s="2" t="str">
        <f>IF(Iterations[[#This Row],[Step]] =current_step, current_Grad_a,IF(Iterations[[#This Row],[Step]] &gt; current_step, "",Iterations[[#This Row],[Grad_a]]))</f>
        <v/>
      </c>
      <c r="O314" s="2" t="str">
        <f>IF(Iterations[[#This Row],[Step]] =current_step, current_Grad_b,IF(Iterations[[#This Row],[Step]] &gt; current_step, "",Iterations[[#This Row],[Grad_b]]))</f>
        <v/>
      </c>
      <c r="P314" s="2" t="str">
        <f>IF(Iterations[[#This Row],[Step]] =current_step, current_Grad_c,IF(Iterations[[#This Row],[Step]] &gt; current_step, "",Iterations[[#This Row],[Grad_c]]))</f>
        <v/>
      </c>
      <c r="Q314" s="2" t="str">
        <f>IF(Iterations[[#This Row],[Step]] =current_step, current_Grad_d,IF(Iterations[[#This Row],[Step]] &gt; current_step, "",Iterations[[#This Row],[Grad_d]]))</f>
        <v/>
      </c>
      <c r="R314" s="2" t="str">
        <f>IF(Iterations[[#This Row],[Step]] =current_step, current_Grad_e,IF(Iterations[[#This Row],[Step]] &gt; current_step, "",Iterations[[#This Row],[Grad_e]]))</f>
        <v/>
      </c>
    </row>
    <row r="315" spans="6:18" x14ac:dyDescent="0.3">
      <c r="F315" s="2">
        <f t="shared" si="6"/>
        <v>298</v>
      </c>
      <c r="G315" s="2" t="str">
        <f>IF(Iterations[[#This Row],[Step]] =current_step, current_a,IF(Iterations[[#This Row],[Step]] &gt; current_step, "",Iterations[[#This Row],[a]]))</f>
        <v/>
      </c>
      <c r="H315" s="2" t="str">
        <f>IF(Iterations[[#This Row],[Step]] =current_step, current_b,IF(Iterations[[#This Row],[Step]] &gt; current_step, "",Iterations[[#This Row],[b]]))</f>
        <v/>
      </c>
      <c r="I315" s="2" t="str">
        <f>IF(Iterations[[#This Row],[Step]] =current_step, current_c,IF(Iterations[[#This Row],[Step]] &gt; current_step, "",Iterations[[#This Row],[c]]))</f>
        <v/>
      </c>
      <c r="J315" s="2" t="str">
        <f>IF(Iterations[[#This Row],[Step]] =current_step, current_d,IF(Iterations[[#This Row],[Step]] &gt; current_step, "",Iterations[[#This Row],[d]]))</f>
        <v/>
      </c>
      <c r="K315" s="2" t="str">
        <f>IF(Iterations[[#This Row],[Step]] =current_step, current_e,IF(Iterations[[#This Row],[Step]] &gt; current_step, "",Iterations[[#This Row],[e]]))</f>
        <v/>
      </c>
      <c r="L315" s="2" t="str">
        <f>IF(Iterations[[#This Row],[Step]] =current_step, current_Total_Loss,IF(Iterations[[#This Row],[Step]] &gt; current_step, "",Iterations[[#This Row],[Total Loss]]))</f>
        <v/>
      </c>
      <c r="M315" s="6" t="s">
        <v>27</v>
      </c>
      <c r="N315" s="2" t="str">
        <f>IF(Iterations[[#This Row],[Step]] =current_step, current_Grad_a,IF(Iterations[[#This Row],[Step]] &gt; current_step, "",Iterations[[#This Row],[Grad_a]]))</f>
        <v/>
      </c>
      <c r="O315" s="2" t="str">
        <f>IF(Iterations[[#This Row],[Step]] =current_step, current_Grad_b,IF(Iterations[[#This Row],[Step]] &gt; current_step, "",Iterations[[#This Row],[Grad_b]]))</f>
        <v/>
      </c>
      <c r="P315" s="2" t="str">
        <f>IF(Iterations[[#This Row],[Step]] =current_step, current_Grad_c,IF(Iterations[[#This Row],[Step]] &gt; current_step, "",Iterations[[#This Row],[Grad_c]]))</f>
        <v/>
      </c>
      <c r="Q315" s="2" t="str">
        <f>IF(Iterations[[#This Row],[Step]] =current_step, current_Grad_d,IF(Iterations[[#This Row],[Step]] &gt; current_step, "",Iterations[[#This Row],[Grad_d]]))</f>
        <v/>
      </c>
      <c r="R315" s="2" t="str">
        <f>IF(Iterations[[#This Row],[Step]] =current_step, current_Grad_e,IF(Iterations[[#This Row],[Step]] &gt; current_step, "",Iterations[[#This Row],[Grad_e]]))</f>
        <v/>
      </c>
    </row>
    <row r="316" spans="6:18" x14ac:dyDescent="0.3">
      <c r="F316" s="2">
        <f t="shared" si="6"/>
        <v>299</v>
      </c>
      <c r="G316" s="2" t="str">
        <f>IF(Iterations[[#This Row],[Step]] =current_step, current_a,IF(Iterations[[#This Row],[Step]] &gt; current_step, "",Iterations[[#This Row],[a]]))</f>
        <v/>
      </c>
      <c r="H316" s="2" t="str">
        <f>IF(Iterations[[#This Row],[Step]] =current_step, current_b,IF(Iterations[[#This Row],[Step]] &gt; current_step, "",Iterations[[#This Row],[b]]))</f>
        <v/>
      </c>
      <c r="I316" s="2" t="str">
        <f>IF(Iterations[[#This Row],[Step]] =current_step, current_c,IF(Iterations[[#This Row],[Step]] &gt; current_step, "",Iterations[[#This Row],[c]]))</f>
        <v/>
      </c>
      <c r="J316" s="2" t="str">
        <f>IF(Iterations[[#This Row],[Step]] =current_step, current_d,IF(Iterations[[#This Row],[Step]] &gt; current_step, "",Iterations[[#This Row],[d]]))</f>
        <v/>
      </c>
      <c r="K316" s="2" t="str">
        <f>IF(Iterations[[#This Row],[Step]] =current_step, current_e,IF(Iterations[[#This Row],[Step]] &gt; current_step, "",Iterations[[#This Row],[e]]))</f>
        <v/>
      </c>
      <c r="L316" s="2" t="str">
        <f>IF(Iterations[[#This Row],[Step]] =current_step, current_Total_Loss,IF(Iterations[[#This Row],[Step]] &gt; current_step, "",Iterations[[#This Row],[Total Loss]]))</f>
        <v/>
      </c>
      <c r="M316" s="6" t="s">
        <v>27</v>
      </c>
      <c r="N316" s="2" t="str">
        <f>IF(Iterations[[#This Row],[Step]] =current_step, current_Grad_a,IF(Iterations[[#This Row],[Step]] &gt; current_step, "",Iterations[[#This Row],[Grad_a]]))</f>
        <v/>
      </c>
      <c r="O316" s="2" t="str">
        <f>IF(Iterations[[#This Row],[Step]] =current_step, current_Grad_b,IF(Iterations[[#This Row],[Step]] &gt; current_step, "",Iterations[[#This Row],[Grad_b]]))</f>
        <v/>
      </c>
      <c r="P316" s="2" t="str">
        <f>IF(Iterations[[#This Row],[Step]] =current_step, current_Grad_c,IF(Iterations[[#This Row],[Step]] &gt; current_step, "",Iterations[[#This Row],[Grad_c]]))</f>
        <v/>
      </c>
      <c r="Q316" s="2" t="str">
        <f>IF(Iterations[[#This Row],[Step]] =current_step, current_Grad_d,IF(Iterations[[#This Row],[Step]] &gt; current_step, "",Iterations[[#This Row],[Grad_d]]))</f>
        <v/>
      </c>
      <c r="R316" s="2" t="str">
        <f>IF(Iterations[[#This Row],[Step]] =current_step, current_Grad_e,IF(Iterations[[#This Row],[Step]] &gt; current_step, "",Iterations[[#This Row],[Grad_e]]))</f>
        <v/>
      </c>
    </row>
    <row r="317" spans="6:18" x14ac:dyDescent="0.3">
      <c r="F317" s="2">
        <f t="shared" si="6"/>
        <v>300</v>
      </c>
      <c r="G317" s="2" t="str">
        <f>IF(Iterations[[#This Row],[Step]] =current_step, current_a,IF(Iterations[[#This Row],[Step]] &gt; current_step, "",Iterations[[#This Row],[a]]))</f>
        <v/>
      </c>
      <c r="H317" s="2" t="str">
        <f>IF(Iterations[[#This Row],[Step]] =current_step, current_b,IF(Iterations[[#This Row],[Step]] &gt; current_step, "",Iterations[[#This Row],[b]]))</f>
        <v/>
      </c>
      <c r="I317" s="2" t="str">
        <f>IF(Iterations[[#This Row],[Step]] =current_step, current_c,IF(Iterations[[#This Row],[Step]] &gt; current_step, "",Iterations[[#This Row],[c]]))</f>
        <v/>
      </c>
      <c r="J317" s="2" t="str">
        <f>IF(Iterations[[#This Row],[Step]] =current_step, current_d,IF(Iterations[[#This Row],[Step]] &gt; current_step, "",Iterations[[#This Row],[d]]))</f>
        <v/>
      </c>
      <c r="K317" s="2" t="str">
        <f>IF(Iterations[[#This Row],[Step]] =current_step, current_e,IF(Iterations[[#This Row],[Step]] &gt; current_step, "",Iterations[[#This Row],[e]]))</f>
        <v/>
      </c>
      <c r="L317" s="2" t="str">
        <f>IF(Iterations[[#This Row],[Step]] =current_step, current_Total_Loss,IF(Iterations[[#This Row],[Step]] &gt; current_step, "",Iterations[[#This Row],[Total Loss]]))</f>
        <v/>
      </c>
      <c r="M317" s="6" t="s">
        <v>27</v>
      </c>
      <c r="N317" s="2" t="str">
        <f>IF(Iterations[[#This Row],[Step]] =current_step, current_Grad_a,IF(Iterations[[#This Row],[Step]] &gt; current_step, "",Iterations[[#This Row],[Grad_a]]))</f>
        <v/>
      </c>
      <c r="O317" s="2" t="str">
        <f>IF(Iterations[[#This Row],[Step]] =current_step, current_Grad_b,IF(Iterations[[#This Row],[Step]] &gt; current_step, "",Iterations[[#This Row],[Grad_b]]))</f>
        <v/>
      </c>
      <c r="P317" s="2" t="str">
        <f>IF(Iterations[[#This Row],[Step]] =current_step, current_Grad_c,IF(Iterations[[#This Row],[Step]] &gt; current_step, "",Iterations[[#This Row],[Grad_c]]))</f>
        <v/>
      </c>
      <c r="Q317" s="2" t="str">
        <f>IF(Iterations[[#This Row],[Step]] =current_step, current_Grad_d,IF(Iterations[[#This Row],[Step]] &gt; current_step, "",Iterations[[#This Row],[Grad_d]]))</f>
        <v/>
      </c>
      <c r="R317" s="2" t="str">
        <f>IF(Iterations[[#This Row],[Step]] =current_step, current_Grad_e,IF(Iterations[[#This Row],[Step]] &gt; current_step, "",Iterations[[#This Row],[Grad_e]]))</f>
        <v/>
      </c>
    </row>
    <row r="318" spans="6:18" x14ac:dyDescent="0.3">
      <c r="F318" s="2">
        <f t="shared" si="6"/>
        <v>301</v>
      </c>
      <c r="G318" s="2" t="str">
        <f>IF(Iterations[[#This Row],[Step]] =current_step, current_a,IF(Iterations[[#This Row],[Step]] &gt; current_step, "",Iterations[[#This Row],[a]]))</f>
        <v/>
      </c>
      <c r="H318" s="2" t="str">
        <f>IF(Iterations[[#This Row],[Step]] =current_step, current_b,IF(Iterations[[#This Row],[Step]] &gt; current_step, "",Iterations[[#This Row],[b]]))</f>
        <v/>
      </c>
      <c r="I318" s="2" t="str">
        <f>IF(Iterations[[#This Row],[Step]] =current_step, current_c,IF(Iterations[[#This Row],[Step]] &gt; current_step, "",Iterations[[#This Row],[c]]))</f>
        <v/>
      </c>
      <c r="J318" s="2" t="str">
        <f>IF(Iterations[[#This Row],[Step]] =current_step, current_d,IF(Iterations[[#This Row],[Step]] &gt; current_step, "",Iterations[[#This Row],[d]]))</f>
        <v/>
      </c>
      <c r="K318" s="2" t="str">
        <f>IF(Iterations[[#This Row],[Step]] =current_step, current_e,IF(Iterations[[#This Row],[Step]] &gt; current_step, "",Iterations[[#This Row],[e]]))</f>
        <v/>
      </c>
      <c r="L318" s="2" t="str">
        <f>IF(Iterations[[#This Row],[Step]] =current_step, current_Total_Loss,IF(Iterations[[#This Row],[Step]] &gt; current_step, "",Iterations[[#This Row],[Total Loss]]))</f>
        <v/>
      </c>
      <c r="M318" s="6" t="s">
        <v>27</v>
      </c>
      <c r="N318" s="2" t="str">
        <f>IF(Iterations[[#This Row],[Step]] =current_step, current_Grad_a,IF(Iterations[[#This Row],[Step]] &gt; current_step, "",Iterations[[#This Row],[Grad_a]]))</f>
        <v/>
      </c>
      <c r="O318" s="2" t="str">
        <f>IF(Iterations[[#This Row],[Step]] =current_step, current_Grad_b,IF(Iterations[[#This Row],[Step]] &gt; current_step, "",Iterations[[#This Row],[Grad_b]]))</f>
        <v/>
      </c>
      <c r="P318" s="2" t="str">
        <f>IF(Iterations[[#This Row],[Step]] =current_step, current_Grad_c,IF(Iterations[[#This Row],[Step]] &gt; current_step, "",Iterations[[#This Row],[Grad_c]]))</f>
        <v/>
      </c>
      <c r="Q318" s="2" t="str">
        <f>IF(Iterations[[#This Row],[Step]] =current_step, current_Grad_d,IF(Iterations[[#This Row],[Step]] &gt; current_step, "",Iterations[[#This Row],[Grad_d]]))</f>
        <v/>
      </c>
      <c r="R318" s="2" t="str">
        <f>IF(Iterations[[#This Row],[Step]] =current_step, current_Grad_e,IF(Iterations[[#This Row],[Step]] &gt; current_step, "",Iterations[[#This Row],[Grad_e]]))</f>
        <v/>
      </c>
    </row>
    <row r="319" spans="6:18" x14ac:dyDescent="0.3">
      <c r="F319" s="2">
        <f t="shared" si="6"/>
        <v>302</v>
      </c>
      <c r="G319" s="2" t="str">
        <f>IF(Iterations[[#This Row],[Step]] =current_step, current_a,IF(Iterations[[#This Row],[Step]] &gt; current_step, "",Iterations[[#This Row],[a]]))</f>
        <v/>
      </c>
      <c r="H319" s="2" t="str">
        <f>IF(Iterations[[#This Row],[Step]] =current_step, current_b,IF(Iterations[[#This Row],[Step]] &gt; current_step, "",Iterations[[#This Row],[b]]))</f>
        <v/>
      </c>
      <c r="I319" s="2" t="str">
        <f>IF(Iterations[[#This Row],[Step]] =current_step, current_c,IF(Iterations[[#This Row],[Step]] &gt; current_step, "",Iterations[[#This Row],[c]]))</f>
        <v/>
      </c>
      <c r="J319" s="2" t="str">
        <f>IF(Iterations[[#This Row],[Step]] =current_step, current_d,IF(Iterations[[#This Row],[Step]] &gt; current_step, "",Iterations[[#This Row],[d]]))</f>
        <v/>
      </c>
      <c r="K319" s="2" t="str">
        <f>IF(Iterations[[#This Row],[Step]] =current_step, current_e,IF(Iterations[[#This Row],[Step]] &gt; current_step, "",Iterations[[#This Row],[e]]))</f>
        <v/>
      </c>
      <c r="L319" s="2" t="str">
        <f>IF(Iterations[[#This Row],[Step]] =current_step, current_Total_Loss,IF(Iterations[[#This Row],[Step]] &gt; current_step, "",Iterations[[#This Row],[Total Loss]]))</f>
        <v/>
      </c>
      <c r="M319" s="6" t="s">
        <v>27</v>
      </c>
      <c r="N319" s="2" t="str">
        <f>IF(Iterations[[#This Row],[Step]] =current_step, current_Grad_a,IF(Iterations[[#This Row],[Step]] &gt; current_step, "",Iterations[[#This Row],[Grad_a]]))</f>
        <v/>
      </c>
      <c r="O319" s="2" t="str">
        <f>IF(Iterations[[#This Row],[Step]] =current_step, current_Grad_b,IF(Iterations[[#This Row],[Step]] &gt; current_step, "",Iterations[[#This Row],[Grad_b]]))</f>
        <v/>
      </c>
      <c r="P319" s="2" t="str">
        <f>IF(Iterations[[#This Row],[Step]] =current_step, current_Grad_c,IF(Iterations[[#This Row],[Step]] &gt; current_step, "",Iterations[[#This Row],[Grad_c]]))</f>
        <v/>
      </c>
      <c r="Q319" s="2" t="str">
        <f>IF(Iterations[[#This Row],[Step]] =current_step, current_Grad_d,IF(Iterations[[#This Row],[Step]] &gt; current_step, "",Iterations[[#This Row],[Grad_d]]))</f>
        <v/>
      </c>
      <c r="R319" s="2" t="str">
        <f>IF(Iterations[[#This Row],[Step]] =current_step, current_Grad_e,IF(Iterations[[#This Row],[Step]] &gt; current_step, "",Iterations[[#This Row],[Grad_e]]))</f>
        <v/>
      </c>
    </row>
    <row r="320" spans="6:18" x14ac:dyDescent="0.3">
      <c r="F320" s="2">
        <f t="shared" si="6"/>
        <v>303</v>
      </c>
      <c r="G320" s="2" t="str">
        <f>IF(Iterations[[#This Row],[Step]] =current_step, current_a,IF(Iterations[[#This Row],[Step]] &gt; current_step, "",Iterations[[#This Row],[a]]))</f>
        <v/>
      </c>
      <c r="H320" s="2" t="str">
        <f>IF(Iterations[[#This Row],[Step]] =current_step, current_b,IF(Iterations[[#This Row],[Step]] &gt; current_step, "",Iterations[[#This Row],[b]]))</f>
        <v/>
      </c>
      <c r="I320" s="2" t="str">
        <f>IF(Iterations[[#This Row],[Step]] =current_step, current_c,IF(Iterations[[#This Row],[Step]] &gt; current_step, "",Iterations[[#This Row],[c]]))</f>
        <v/>
      </c>
      <c r="J320" s="2" t="str">
        <f>IF(Iterations[[#This Row],[Step]] =current_step, current_d,IF(Iterations[[#This Row],[Step]] &gt; current_step, "",Iterations[[#This Row],[d]]))</f>
        <v/>
      </c>
      <c r="K320" s="2" t="str">
        <f>IF(Iterations[[#This Row],[Step]] =current_step, current_e,IF(Iterations[[#This Row],[Step]] &gt; current_step, "",Iterations[[#This Row],[e]]))</f>
        <v/>
      </c>
      <c r="L320" s="2" t="str">
        <f>IF(Iterations[[#This Row],[Step]] =current_step, current_Total_Loss,IF(Iterations[[#This Row],[Step]] &gt; current_step, "",Iterations[[#This Row],[Total Loss]]))</f>
        <v/>
      </c>
      <c r="M320" s="6" t="s">
        <v>27</v>
      </c>
      <c r="N320" s="2" t="str">
        <f>IF(Iterations[[#This Row],[Step]] =current_step, current_Grad_a,IF(Iterations[[#This Row],[Step]] &gt; current_step, "",Iterations[[#This Row],[Grad_a]]))</f>
        <v/>
      </c>
      <c r="O320" s="2" t="str">
        <f>IF(Iterations[[#This Row],[Step]] =current_step, current_Grad_b,IF(Iterations[[#This Row],[Step]] &gt; current_step, "",Iterations[[#This Row],[Grad_b]]))</f>
        <v/>
      </c>
      <c r="P320" s="2" t="str">
        <f>IF(Iterations[[#This Row],[Step]] =current_step, current_Grad_c,IF(Iterations[[#This Row],[Step]] &gt; current_step, "",Iterations[[#This Row],[Grad_c]]))</f>
        <v/>
      </c>
      <c r="Q320" s="2" t="str">
        <f>IF(Iterations[[#This Row],[Step]] =current_step, current_Grad_d,IF(Iterations[[#This Row],[Step]] &gt; current_step, "",Iterations[[#This Row],[Grad_d]]))</f>
        <v/>
      </c>
      <c r="R320" s="2" t="str">
        <f>IF(Iterations[[#This Row],[Step]] =current_step, current_Grad_e,IF(Iterations[[#This Row],[Step]] &gt; current_step, "",Iterations[[#This Row],[Grad_e]]))</f>
        <v/>
      </c>
    </row>
    <row r="321" spans="6:18" x14ac:dyDescent="0.3">
      <c r="F321" s="2">
        <f t="shared" si="6"/>
        <v>304</v>
      </c>
      <c r="G321" s="2" t="str">
        <f>IF(Iterations[[#This Row],[Step]] =current_step, current_a,IF(Iterations[[#This Row],[Step]] &gt; current_step, "",Iterations[[#This Row],[a]]))</f>
        <v/>
      </c>
      <c r="H321" s="2" t="str">
        <f>IF(Iterations[[#This Row],[Step]] =current_step, current_b,IF(Iterations[[#This Row],[Step]] &gt; current_step, "",Iterations[[#This Row],[b]]))</f>
        <v/>
      </c>
      <c r="I321" s="2" t="str">
        <f>IF(Iterations[[#This Row],[Step]] =current_step, current_c,IF(Iterations[[#This Row],[Step]] &gt; current_step, "",Iterations[[#This Row],[c]]))</f>
        <v/>
      </c>
      <c r="J321" s="2" t="str">
        <f>IF(Iterations[[#This Row],[Step]] =current_step, current_d,IF(Iterations[[#This Row],[Step]] &gt; current_step, "",Iterations[[#This Row],[d]]))</f>
        <v/>
      </c>
      <c r="K321" s="2" t="str">
        <f>IF(Iterations[[#This Row],[Step]] =current_step, current_e,IF(Iterations[[#This Row],[Step]] &gt; current_step, "",Iterations[[#This Row],[e]]))</f>
        <v/>
      </c>
      <c r="L321" s="2" t="str">
        <f>IF(Iterations[[#This Row],[Step]] =current_step, current_Total_Loss,IF(Iterations[[#This Row],[Step]] &gt; current_step, "",Iterations[[#This Row],[Total Loss]]))</f>
        <v/>
      </c>
      <c r="M321" s="6" t="s">
        <v>27</v>
      </c>
      <c r="N321" s="2" t="str">
        <f>IF(Iterations[[#This Row],[Step]] =current_step, current_Grad_a,IF(Iterations[[#This Row],[Step]] &gt; current_step, "",Iterations[[#This Row],[Grad_a]]))</f>
        <v/>
      </c>
      <c r="O321" s="2" t="str">
        <f>IF(Iterations[[#This Row],[Step]] =current_step, current_Grad_b,IF(Iterations[[#This Row],[Step]] &gt; current_step, "",Iterations[[#This Row],[Grad_b]]))</f>
        <v/>
      </c>
      <c r="P321" s="2" t="str">
        <f>IF(Iterations[[#This Row],[Step]] =current_step, current_Grad_c,IF(Iterations[[#This Row],[Step]] &gt; current_step, "",Iterations[[#This Row],[Grad_c]]))</f>
        <v/>
      </c>
      <c r="Q321" s="2" t="str">
        <f>IF(Iterations[[#This Row],[Step]] =current_step, current_Grad_d,IF(Iterations[[#This Row],[Step]] &gt; current_step, "",Iterations[[#This Row],[Grad_d]]))</f>
        <v/>
      </c>
      <c r="R321" s="2" t="str">
        <f>IF(Iterations[[#This Row],[Step]] =current_step, current_Grad_e,IF(Iterations[[#This Row],[Step]] &gt; current_step, "",Iterations[[#This Row],[Grad_e]]))</f>
        <v/>
      </c>
    </row>
    <row r="322" spans="6:18" x14ac:dyDescent="0.3">
      <c r="F322" s="2">
        <f t="shared" si="6"/>
        <v>305</v>
      </c>
      <c r="G322" s="2" t="str">
        <f>IF(Iterations[[#This Row],[Step]] =current_step, current_a,IF(Iterations[[#This Row],[Step]] &gt; current_step, "",Iterations[[#This Row],[a]]))</f>
        <v/>
      </c>
      <c r="H322" s="2" t="str">
        <f>IF(Iterations[[#This Row],[Step]] =current_step, current_b,IF(Iterations[[#This Row],[Step]] &gt; current_step, "",Iterations[[#This Row],[b]]))</f>
        <v/>
      </c>
      <c r="I322" s="2" t="str">
        <f>IF(Iterations[[#This Row],[Step]] =current_step, current_c,IF(Iterations[[#This Row],[Step]] &gt; current_step, "",Iterations[[#This Row],[c]]))</f>
        <v/>
      </c>
      <c r="J322" s="2" t="str">
        <f>IF(Iterations[[#This Row],[Step]] =current_step, current_d,IF(Iterations[[#This Row],[Step]] &gt; current_step, "",Iterations[[#This Row],[d]]))</f>
        <v/>
      </c>
      <c r="K322" s="2" t="str">
        <f>IF(Iterations[[#This Row],[Step]] =current_step, current_e,IF(Iterations[[#This Row],[Step]] &gt; current_step, "",Iterations[[#This Row],[e]]))</f>
        <v/>
      </c>
      <c r="L322" s="2" t="str">
        <f>IF(Iterations[[#This Row],[Step]] =current_step, current_Total_Loss,IF(Iterations[[#This Row],[Step]] &gt; current_step, "",Iterations[[#This Row],[Total Loss]]))</f>
        <v/>
      </c>
      <c r="M322" s="6" t="s">
        <v>27</v>
      </c>
      <c r="N322" s="2" t="str">
        <f>IF(Iterations[[#This Row],[Step]] =current_step, current_Grad_a,IF(Iterations[[#This Row],[Step]] &gt; current_step, "",Iterations[[#This Row],[Grad_a]]))</f>
        <v/>
      </c>
      <c r="O322" s="2" t="str">
        <f>IF(Iterations[[#This Row],[Step]] =current_step, current_Grad_b,IF(Iterations[[#This Row],[Step]] &gt; current_step, "",Iterations[[#This Row],[Grad_b]]))</f>
        <v/>
      </c>
      <c r="P322" s="2" t="str">
        <f>IF(Iterations[[#This Row],[Step]] =current_step, current_Grad_c,IF(Iterations[[#This Row],[Step]] &gt; current_step, "",Iterations[[#This Row],[Grad_c]]))</f>
        <v/>
      </c>
      <c r="Q322" s="2" t="str">
        <f>IF(Iterations[[#This Row],[Step]] =current_step, current_Grad_d,IF(Iterations[[#This Row],[Step]] &gt; current_step, "",Iterations[[#This Row],[Grad_d]]))</f>
        <v/>
      </c>
      <c r="R322" s="2" t="str">
        <f>IF(Iterations[[#This Row],[Step]] =current_step, current_Grad_e,IF(Iterations[[#This Row],[Step]] &gt; current_step, "",Iterations[[#This Row],[Grad_e]]))</f>
        <v/>
      </c>
    </row>
    <row r="323" spans="6:18" x14ac:dyDescent="0.3">
      <c r="F323" s="2">
        <f t="shared" si="6"/>
        <v>306</v>
      </c>
      <c r="G323" s="2" t="str">
        <f>IF(Iterations[[#This Row],[Step]] =current_step, current_a,IF(Iterations[[#This Row],[Step]] &gt; current_step, "",Iterations[[#This Row],[a]]))</f>
        <v/>
      </c>
      <c r="H323" s="2" t="str">
        <f>IF(Iterations[[#This Row],[Step]] =current_step, current_b,IF(Iterations[[#This Row],[Step]] &gt; current_step, "",Iterations[[#This Row],[b]]))</f>
        <v/>
      </c>
      <c r="I323" s="2" t="str">
        <f>IF(Iterations[[#This Row],[Step]] =current_step, current_c,IF(Iterations[[#This Row],[Step]] &gt; current_step, "",Iterations[[#This Row],[c]]))</f>
        <v/>
      </c>
      <c r="J323" s="2" t="str">
        <f>IF(Iterations[[#This Row],[Step]] =current_step, current_d,IF(Iterations[[#This Row],[Step]] &gt; current_step, "",Iterations[[#This Row],[d]]))</f>
        <v/>
      </c>
      <c r="K323" s="2" t="str">
        <f>IF(Iterations[[#This Row],[Step]] =current_step, current_e,IF(Iterations[[#This Row],[Step]] &gt; current_step, "",Iterations[[#This Row],[e]]))</f>
        <v/>
      </c>
      <c r="L323" s="2" t="str">
        <f>IF(Iterations[[#This Row],[Step]] =current_step, current_Total_Loss,IF(Iterations[[#This Row],[Step]] &gt; current_step, "",Iterations[[#This Row],[Total Loss]]))</f>
        <v/>
      </c>
      <c r="M323" s="6" t="s">
        <v>27</v>
      </c>
      <c r="N323" s="2" t="str">
        <f>IF(Iterations[[#This Row],[Step]] =current_step, current_Grad_a,IF(Iterations[[#This Row],[Step]] &gt; current_step, "",Iterations[[#This Row],[Grad_a]]))</f>
        <v/>
      </c>
      <c r="O323" s="2" t="str">
        <f>IF(Iterations[[#This Row],[Step]] =current_step, current_Grad_b,IF(Iterations[[#This Row],[Step]] &gt; current_step, "",Iterations[[#This Row],[Grad_b]]))</f>
        <v/>
      </c>
      <c r="P323" s="2" t="str">
        <f>IF(Iterations[[#This Row],[Step]] =current_step, current_Grad_c,IF(Iterations[[#This Row],[Step]] &gt; current_step, "",Iterations[[#This Row],[Grad_c]]))</f>
        <v/>
      </c>
      <c r="Q323" s="2" t="str">
        <f>IF(Iterations[[#This Row],[Step]] =current_step, current_Grad_d,IF(Iterations[[#This Row],[Step]] &gt; current_step, "",Iterations[[#This Row],[Grad_d]]))</f>
        <v/>
      </c>
      <c r="R323" s="2" t="str">
        <f>IF(Iterations[[#This Row],[Step]] =current_step, current_Grad_e,IF(Iterations[[#This Row],[Step]] &gt; current_step, "",Iterations[[#This Row],[Grad_e]]))</f>
        <v/>
      </c>
    </row>
    <row r="324" spans="6:18" x14ac:dyDescent="0.3">
      <c r="F324" s="2">
        <f t="shared" si="6"/>
        <v>307</v>
      </c>
      <c r="G324" s="2" t="str">
        <f>IF(Iterations[[#This Row],[Step]] =current_step, current_a,IF(Iterations[[#This Row],[Step]] &gt; current_step, "",Iterations[[#This Row],[a]]))</f>
        <v/>
      </c>
      <c r="H324" s="2" t="str">
        <f>IF(Iterations[[#This Row],[Step]] =current_step, current_b,IF(Iterations[[#This Row],[Step]] &gt; current_step, "",Iterations[[#This Row],[b]]))</f>
        <v/>
      </c>
      <c r="I324" s="2" t="str">
        <f>IF(Iterations[[#This Row],[Step]] =current_step, current_c,IF(Iterations[[#This Row],[Step]] &gt; current_step, "",Iterations[[#This Row],[c]]))</f>
        <v/>
      </c>
      <c r="J324" s="2" t="str">
        <f>IF(Iterations[[#This Row],[Step]] =current_step, current_d,IF(Iterations[[#This Row],[Step]] &gt; current_step, "",Iterations[[#This Row],[d]]))</f>
        <v/>
      </c>
      <c r="K324" s="2" t="str">
        <f>IF(Iterations[[#This Row],[Step]] =current_step, current_e,IF(Iterations[[#This Row],[Step]] &gt; current_step, "",Iterations[[#This Row],[e]]))</f>
        <v/>
      </c>
      <c r="L324" s="2" t="str">
        <f>IF(Iterations[[#This Row],[Step]] =current_step, current_Total_Loss,IF(Iterations[[#This Row],[Step]] &gt; current_step, "",Iterations[[#This Row],[Total Loss]]))</f>
        <v/>
      </c>
      <c r="M324" s="6" t="s">
        <v>27</v>
      </c>
      <c r="N324" s="2" t="str">
        <f>IF(Iterations[[#This Row],[Step]] =current_step, current_Grad_a,IF(Iterations[[#This Row],[Step]] &gt; current_step, "",Iterations[[#This Row],[Grad_a]]))</f>
        <v/>
      </c>
      <c r="O324" s="2" t="str">
        <f>IF(Iterations[[#This Row],[Step]] =current_step, current_Grad_b,IF(Iterations[[#This Row],[Step]] &gt; current_step, "",Iterations[[#This Row],[Grad_b]]))</f>
        <v/>
      </c>
      <c r="P324" s="2" t="str">
        <f>IF(Iterations[[#This Row],[Step]] =current_step, current_Grad_c,IF(Iterations[[#This Row],[Step]] &gt; current_step, "",Iterations[[#This Row],[Grad_c]]))</f>
        <v/>
      </c>
      <c r="Q324" s="2" t="str">
        <f>IF(Iterations[[#This Row],[Step]] =current_step, current_Grad_d,IF(Iterations[[#This Row],[Step]] &gt; current_step, "",Iterations[[#This Row],[Grad_d]]))</f>
        <v/>
      </c>
      <c r="R324" s="2" t="str">
        <f>IF(Iterations[[#This Row],[Step]] =current_step, current_Grad_e,IF(Iterations[[#This Row],[Step]] &gt; current_step, "",Iterations[[#This Row],[Grad_e]]))</f>
        <v/>
      </c>
    </row>
    <row r="325" spans="6:18" x14ac:dyDescent="0.3">
      <c r="F325" s="2">
        <f t="shared" si="6"/>
        <v>308</v>
      </c>
      <c r="G325" s="2" t="str">
        <f>IF(Iterations[[#This Row],[Step]] =current_step, current_a,IF(Iterations[[#This Row],[Step]] &gt; current_step, "",Iterations[[#This Row],[a]]))</f>
        <v/>
      </c>
      <c r="H325" s="2" t="str">
        <f>IF(Iterations[[#This Row],[Step]] =current_step, current_b,IF(Iterations[[#This Row],[Step]] &gt; current_step, "",Iterations[[#This Row],[b]]))</f>
        <v/>
      </c>
      <c r="I325" s="2" t="str">
        <f>IF(Iterations[[#This Row],[Step]] =current_step, current_c,IF(Iterations[[#This Row],[Step]] &gt; current_step, "",Iterations[[#This Row],[c]]))</f>
        <v/>
      </c>
      <c r="J325" s="2" t="str">
        <f>IF(Iterations[[#This Row],[Step]] =current_step, current_d,IF(Iterations[[#This Row],[Step]] &gt; current_step, "",Iterations[[#This Row],[d]]))</f>
        <v/>
      </c>
      <c r="K325" s="2" t="str">
        <f>IF(Iterations[[#This Row],[Step]] =current_step, current_e,IF(Iterations[[#This Row],[Step]] &gt; current_step, "",Iterations[[#This Row],[e]]))</f>
        <v/>
      </c>
      <c r="L325" s="2" t="str">
        <f>IF(Iterations[[#This Row],[Step]] =current_step, current_Total_Loss,IF(Iterations[[#This Row],[Step]] &gt; current_step, "",Iterations[[#This Row],[Total Loss]]))</f>
        <v/>
      </c>
      <c r="M325" s="6" t="s">
        <v>27</v>
      </c>
      <c r="N325" s="2" t="str">
        <f>IF(Iterations[[#This Row],[Step]] =current_step, current_Grad_a,IF(Iterations[[#This Row],[Step]] &gt; current_step, "",Iterations[[#This Row],[Grad_a]]))</f>
        <v/>
      </c>
      <c r="O325" s="2" t="str">
        <f>IF(Iterations[[#This Row],[Step]] =current_step, current_Grad_b,IF(Iterations[[#This Row],[Step]] &gt; current_step, "",Iterations[[#This Row],[Grad_b]]))</f>
        <v/>
      </c>
      <c r="P325" s="2" t="str">
        <f>IF(Iterations[[#This Row],[Step]] =current_step, current_Grad_c,IF(Iterations[[#This Row],[Step]] &gt; current_step, "",Iterations[[#This Row],[Grad_c]]))</f>
        <v/>
      </c>
      <c r="Q325" s="2" t="str">
        <f>IF(Iterations[[#This Row],[Step]] =current_step, current_Grad_d,IF(Iterations[[#This Row],[Step]] &gt; current_step, "",Iterations[[#This Row],[Grad_d]]))</f>
        <v/>
      </c>
      <c r="R325" s="2" t="str">
        <f>IF(Iterations[[#This Row],[Step]] =current_step, current_Grad_e,IF(Iterations[[#This Row],[Step]] &gt; current_step, "",Iterations[[#This Row],[Grad_e]]))</f>
        <v/>
      </c>
    </row>
    <row r="326" spans="6:18" x14ac:dyDescent="0.3">
      <c r="F326" s="2">
        <f t="shared" ref="F326:F380" si="7">F325+1</f>
        <v>309</v>
      </c>
      <c r="G326" s="2" t="str">
        <f>IF(Iterations[[#This Row],[Step]] =current_step, current_a,IF(Iterations[[#This Row],[Step]] &gt; current_step, "",Iterations[[#This Row],[a]]))</f>
        <v/>
      </c>
      <c r="H326" s="2" t="str">
        <f>IF(Iterations[[#This Row],[Step]] =current_step, current_b,IF(Iterations[[#This Row],[Step]] &gt; current_step, "",Iterations[[#This Row],[b]]))</f>
        <v/>
      </c>
      <c r="I326" s="2" t="str">
        <f>IF(Iterations[[#This Row],[Step]] =current_step, current_c,IF(Iterations[[#This Row],[Step]] &gt; current_step, "",Iterations[[#This Row],[c]]))</f>
        <v/>
      </c>
      <c r="J326" s="2" t="str">
        <f>IF(Iterations[[#This Row],[Step]] =current_step, current_d,IF(Iterations[[#This Row],[Step]] &gt; current_step, "",Iterations[[#This Row],[d]]))</f>
        <v/>
      </c>
      <c r="K326" s="2" t="str">
        <f>IF(Iterations[[#This Row],[Step]] =current_step, current_e,IF(Iterations[[#This Row],[Step]] &gt; current_step, "",Iterations[[#This Row],[e]]))</f>
        <v/>
      </c>
      <c r="L326" s="2" t="str">
        <f>IF(Iterations[[#This Row],[Step]] =current_step, current_Total_Loss,IF(Iterations[[#This Row],[Step]] &gt; current_step, "",Iterations[[#This Row],[Total Loss]]))</f>
        <v/>
      </c>
      <c r="M326" s="6" t="s">
        <v>27</v>
      </c>
      <c r="N326" s="2" t="str">
        <f>IF(Iterations[[#This Row],[Step]] =current_step, current_Grad_a,IF(Iterations[[#This Row],[Step]] &gt; current_step, "",Iterations[[#This Row],[Grad_a]]))</f>
        <v/>
      </c>
      <c r="O326" s="2" t="str">
        <f>IF(Iterations[[#This Row],[Step]] =current_step, current_Grad_b,IF(Iterations[[#This Row],[Step]] &gt; current_step, "",Iterations[[#This Row],[Grad_b]]))</f>
        <v/>
      </c>
      <c r="P326" s="2" t="str">
        <f>IF(Iterations[[#This Row],[Step]] =current_step, current_Grad_c,IF(Iterations[[#This Row],[Step]] &gt; current_step, "",Iterations[[#This Row],[Grad_c]]))</f>
        <v/>
      </c>
      <c r="Q326" s="2" t="str">
        <f>IF(Iterations[[#This Row],[Step]] =current_step, current_Grad_d,IF(Iterations[[#This Row],[Step]] &gt; current_step, "",Iterations[[#This Row],[Grad_d]]))</f>
        <v/>
      </c>
      <c r="R326" s="2" t="str">
        <f>IF(Iterations[[#This Row],[Step]] =current_step, current_Grad_e,IF(Iterations[[#This Row],[Step]] &gt; current_step, "",Iterations[[#This Row],[Grad_e]]))</f>
        <v/>
      </c>
    </row>
    <row r="327" spans="6:18" x14ac:dyDescent="0.3">
      <c r="F327" s="2">
        <f t="shared" si="7"/>
        <v>310</v>
      </c>
      <c r="G327" s="2" t="str">
        <f>IF(Iterations[[#This Row],[Step]] =current_step, current_a,IF(Iterations[[#This Row],[Step]] &gt; current_step, "",Iterations[[#This Row],[a]]))</f>
        <v/>
      </c>
      <c r="H327" s="2" t="str">
        <f>IF(Iterations[[#This Row],[Step]] =current_step, current_b,IF(Iterations[[#This Row],[Step]] &gt; current_step, "",Iterations[[#This Row],[b]]))</f>
        <v/>
      </c>
      <c r="I327" s="2" t="str">
        <f>IF(Iterations[[#This Row],[Step]] =current_step, current_c,IF(Iterations[[#This Row],[Step]] &gt; current_step, "",Iterations[[#This Row],[c]]))</f>
        <v/>
      </c>
      <c r="J327" s="2" t="str">
        <f>IF(Iterations[[#This Row],[Step]] =current_step, current_d,IF(Iterations[[#This Row],[Step]] &gt; current_step, "",Iterations[[#This Row],[d]]))</f>
        <v/>
      </c>
      <c r="K327" s="2" t="str">
        <f>IF(Iterations[[#This Row],[Step]] =current_step, current_e,IF(Iterations[[#This Row],[Step]] &gt; current_step, "",Iterations[[#This Row],[e]]))</f>
        <v/>
      </c>
      <c r="L327" s="2" t="str">
        <f>IF(Iterations[[#This Row],[Step]] =current_step, current_Total_Loss,IF(Iterations[[#This Row],[Step]] &gt; current_step, "",Iterations[[#This Row],[Total Loss]]))</f>
        <v/>
      </c>
      <c r="M327" s="6" t="s">
        <v>27</v>
      </c>
      <c r="N327" s="2" t="str">
        <f>IF(Iterations[[#This Row],[Step]] =current_step, current_Grad_a,IF(Iterations[[#This Row],[Step]] &gt; current_step, "",Iterations[[#This Row],[Grad_a]]))</f>
        <v/>
      </c>
      <c r="O327" s="2" t="str">
        <f>IF(Iterations[[#This Row],[Step]] =current_step, current_Grad_b,IF(Iterations[[#This Row],[Step]] &gt; current_step, "",Iterations[[#This Row],[Grad_b]]))</f>
        <v/>
      </c>
      <c r="P327" s="2" t="str">
        <f>IF(Iterations[[#This Row],[Step]] =current_step, current_Grad_c,IF(Iterations[[#This Row],[Step]] &gt; current_step, "",Iterations[[#This Row],[Grad_c]]))</f>
        <v/>
      </c>
      <c r="Q327" s="2" t="str">
        <f>IF(Iterations[[#This Row],[Step]] =current_step, current_Grad_d,IF(Iterations[[#This Row],[Step]] &gt; current_step, "",Iterations[[#This Row],[Grad_d]]))</f>
        <v/>
      </c>
      <c r="R327" s="2" t="str">
        <f>IF(Iterations[[#This Row],[Step]] =current_step, current_Grad_e,IF(Iterations[[#This Row],[Step]] &gt; current_step, "",Iterations[[#This Row],[Grad_e]]))</f>
        <v/>
      </c>
    </row>
    <row r="328" spans="6:18" x14ac:dyDescent="0.3">
      <c r="F328" s="2">
        <f t="shared" si="7"/>
        <v>311</v>
      </c>
      <c r="G328" s="2" t="str">
        <f>IF(Iterations[[#This Row],[Step]] =current_step, current_a,IF(Iterations[[#This Row],[Step]] &gt; current_step, "",Iterations[[#This Row],[a]]))</f>
        <v/>
      </c>
      <c r="H328" s="2" t="str">
        <f>IF(Iterations[[#This Row],[Step]] =current_step, current_b,IF(Iterations[[#This Row],[Step]] &gt; current_step, "",Iterations[[#This Row],[b]]))</f>
        <v/>
      </c>
      <c r="I328" s="2" t="str">
        <f>IF(Iterations[[#This Row],[Step]] =current_step, current_c,IF(Iterations[[#This Row],[Step]] &gt; current_step, "",Iterations[[#This Row],[c]]))</f>
        <v/>
      </c>
      <c r="J328" s="2" t="str">
        <f>IF(Iterations[[#This Row],[Step]] =current_step, current_d,IF(Iterations[[#This Row],[Step]] &gt; current_step, "",Iterations[[#This Row],[d]]))</f>
        <v/>
      </c>
      <c r="K328" s="2" t="str">
        <f>IF(Iterations[[#This Row],[Step]] =current_step, current_e,IF(Iterations[[#This Row],[Step]] &gt; current_step, "",Iterations[[#This Row],[e]]))</f>
        <v/>
      </c>
      <c r="L328" s="2" t="str">
        <f>IF(Iterations[[#This Row],[Step]] =current_step, current_Total_Loss,IF(Iterations[[#This Row],[Step]] &gt; current_step, "",Iterations[[#This Row],[Total Loss]]))</f>
        <v/>
      </c>
      <c r="M328" s="6" t="s">
        <v>27</v>
      </c>
      <c r="N328" s="2" t="str">
        <f>IF(Iterations[[#This Row],[Step]] =current_step, current_Grad_a,IF(Iterations[[#This Row],[Step]] &gt; current_step, "",Iterations[[#This Row],[Grad_a]]))</f>
        <v/>
      </c>
      <c r="O328" s="2" t="str">
        <f>IF(Iterations[[#This Row],[Step]] =current_step, current_Grad_b,IF(Iterations[[#This Row],[Step]] &gt; current_step, "",Iterations[[#This Row],[Grad_b]]))</f>
        <v/>
      </c>
      <c r="P328" s="2" t="str">
        <f>IF(Iterations[[#This Row],[Step]] =current_step, current_Grad_c,IF(Iterations[[#This Row],[Step]] &gt; current_step, "",Iterations[[#This Row],[Grad_c]]))</f>
        <v/>
      </c>
      <c r="Q328" s="2" t="str">
        <f>IF(Iterations[[#This Row],[Step]] =current_step, current_Grad_d,IF(Iterations[[#This Row],[Step]] &gt; current_step, "",Iterations[[#This Row],[Grad_d]]))</f>
        <v/>
      </c>
      <c r="R328" s="2" t="str">
        <f>IF(Iterations[[#This Row],[Step]] =current_step, current_Grad_e,IF(Iterations[[#This Row],[Step]] &gt; current_step, "",Iterations[[#This Row],[Grad_e]]))</f>
        <v/>
      </c>
    </row>
    <row r="329" spans="6:18" x14ac:dyDescent="0.3">
      <c r="F329" s="2">
        <f t="shared" si="7"/>
        <v>312</v>
      </c>
      <c r="G329" s="2" t="str">
        <f>IF(Iterations[[#This Row],[Step]] =current_step, current_a,IF(Iterations[[#This Row],[Step]] &gt; current_step, "",Iterations[[#This Row],[a]]))</f>
        <v/>
      </c>
      <c r="H329" s="2" t="str">
        <f>IF(Iterations[[#This Row],[Step]] =current_step, current_b,IF(Iterations[[#This Row],[Step]] &gt; current_step, "",Iterations[[#This Row],[b]]))</f>
        <v/>
      </c>
      <c r="I329" s="2" t="str">
        <f>IF(Iterations[[#This Row],[Step]] =current_step, current_c,IF(Iterations[[#This Row],[Step]] &gt; current_step, "",Iterations[[#This Row],[c]]))</f>
        <v/>
      </c>
      <c r="J329" s="2" t="str">
        <f>IF(Iterations[[#This Row],[Step]] =current_step, current_d,IF(Iterations[[#This Row],[Step]] &gt; current_step, "",Iterations[[#This Row],[d]]))</f>
        <v/>
      </c>
      <c r="K329" s="2" t="str">
        <f>IF(Iterations[[#This Row],[Step]] =current_step, current_e,IF(Iterations[[#This Row],[Step]] &gt; current_step, "",Iterations[[#This Row],[e]]))</f>
        <v/>
      </c>
      <c r="L329" s="2" t="str">
        <f>IF(Iterations[[#This Row],[Step]] =current_step, current_Total_Loss,IF(Iterations[[#This Row],[Step]] &gt; current_step, "",Iterations[[#This Row],[Total Loss]]))</f>
        <v/>
      </c>
      <c r="M329" s="6" t="s">
        <v>27</v>
      </c>
      <c r="N329" s="2" t="str">
        <f>IF(Iterations[[#This Row],[Step]] =current_step, current_Grad_a,IF(Iterations[[#This Row],[Step]] &gt; current_step, "",Iterations[[#This Row],[Grad_a]]))</f>
        <v/>
      </c>
      <c r="O329" s="2" t="str">
        <f>IF(Iterations[[#This Row],[Step]] =current_step, current_Grad_b,IF(Iterations[[#This Row],[Step]] &gt; current_step, "",Iterations[[#This Row],[Grad_b]]))</f>
        <v/>
      </c>
      <c r="P329" s="2" t="str">
        <f>IF(Iterations[[#This Row],[Step]] =current_step, current_Grad_c,IF(Iterations[[#This Row],[Step]] &gt; current_step, "",Iterations[[#This Row],[Grad_c]]))</f>
        <v/>
      </c>
      <c r="Q329" s="2" t="str">
        <f>IF(Iterations[[#This Row],[Step]] =current_step, current_Grad_d,IF(Iterations[[#This Row],[Step]] &gt; current_step, "",Iterations[[#This Row],[Grad_d]]))</f>
        <v/>
      </c>
      <c r="R329" s="2" t="str">
        <f>IF(Iterations[[#This Row],[Step]] =current_step, current_Grad_e,IF(Iterations[[#This Row],[Step]] &gt; current_step, "",Iterations[[#This Row],[Grad_e]]))</f>
        <v/>
      </c>
    </row>
    <row r="330" spans="6:18" x14ac:dyDescent="0.3">
      <c r="F330" s="2">
        <f t="shared" si="7"/>
        <v>313</v>
      </c>
      <c r="G330" s="2" t="str">
        <f>IF(Iterations[[#This Row],[Step]] =current_step, current_a,IF(Iterations[[#This Row],[Step]] &gt; current_step, "",Iterations[[#This Row],[a]]))</f>
        <v/>
      </c>
      <c r="H330" s="2" t="str">
        <f>IF(Iterations[[#This Row],[Step]] =current_step, current_b,IF(Iterations[[#This Row],[Step]] &gt; current_step, "",Iterations[[#This Row],[b]]))</f>
        <v/>
      </c>
      <c r="I330" s="2" t="str">
        <f>IF(Iterations[[#This Row],[Step]] =current_step, current_c,IF(Iterations[[#This Row],[Step]] &gt; current_step, "",Iterations[[#This Row],[c]]))</f>
        <v/>
      </c>
      <c r="J330" s="2" t="str">
        <f>IF(Iterations[[#This Row],[Step]] =current_step, current_d,IF(Iterations[[#This Row],[Step]] &gt; current_step, "",Iterations[[#This Row],[d]]))</f>
        <v/>
      </c>
      <c r="K330" s="2" t="str">
        <f>IF(Iterations[[#This Row],[Step]] =current_step, current_e,IF(Iterations[[#This Row],[Step]] &gt; current_step, "",Iterations[[#This Row],[e]]))</f>
        <v/>
      </c>
      <c r="L330" s="2" t="str">
        <f>IF(Iterations[[#This Row],[Step]] =current_step, current_Total_Loss,IF(Iterations[[#This Row],[Step]] &gt; current_step, "",Iterations[[#This Row],[Total Loss]]))</f>
        <v/>
      </c>
      <c r="M330" s="6" t="s">
        <v>27</v>
      </c>
      <c r="N330" s="2" t="str">
        <f>IF(Iterations[[#This Row],[Step]] =current_step, current_Grad_a,IF(Iterations[[#This Row],[Step]] &gt; current_step, "",Iterations[[#This Row],[Grad_a]]))</f>
        <v/>
      </c>
      <c r="O330" s="2" t="str">
        <f>IF(Iterations[[#This Row],[Step]] =current_step, current_Grad_b,IF(Iterations[[#This Row],[Step]] &gt; current_step, "",Iterations[[#This Row],[Grad_b]]))</f>
        <v/>
      </c>
      <c r="P330" s="2" t="str">
        <f>IF(Iterations[[#This Row],[Step]] =current_step, current_Grad_c,IF(Iterations[[#This Row],[Step]] &gt; current_step, "",Iterations[[#This Row],[Grad_c]]))</f>
        <v/>
      </c>
      <c r="Q330" s="2" t="str">
        <f>IF(Iterations[[#This Row],[Step]] =current_step, current_Grad_d,IF(Iterations[[#This Row],[Step]] &gt; current_step, "",Iterations[[#This Row],[Grad_d]]))</f>
        <v/>
      </c>
      <c r="R330" s="2" t="str">
        <f>IF(Iterations[[#This Row],[Step]] =current_step, current_Grad_e,IF(Iterations[[#This Row],[Step]] &gt; current_step, "",Iterations[[#This Row],[Grad_e]]))</f>
        <v/>
      </c>
    </row>
    <row r="331" spans="6:18" x14ac:dyDescent="0.3">
      <c r="F331" s="2">
        <f t="shared" si="7"/>
        <v>314</v>
      </c>
      <c r="G331" s="2" t="str">
        <f>IF(Iterations[[#This Row],[Step]] =current_step, current_a,IF(Iterations[[#This Row],[Step]] &gt; current_step, "",Iterations[[#This Row],[a]]))</f>
        <v/>
      </c>
      <c r="H331" s="2" t="str">
        <f>IF(Iterations[[#This Row],[Step]] =current_step, current_b,IF(Iterations[[#This Row],[Step]] &gt; current_step, "",Iterations[[#This Row],[b]]))</f>
        <v/>
      </c>
      <c r="I331" s="2" t="str">
        <f>IF(Iterations[[#This Row],[Step]] =current_step, current_c,IF(Iterations[[#This Row],[Step]] &gt; current_step, "",Iterations[[#This Row],[c]]))</f>
        <v/>
      </c>
      <c r="J331" s="2" t="str">
        <f>IF(Iterations[[#This Row],[Step]] =current_step, current_d,IF(Iterations[[#This Row],[Step]] &gt; current_step, "",Iterations[[#This Row],[d]]))</f>
        <v/>
      </c>
      <c r="K331" s="2" t="str">
        <f>IF(Iterations[[#This Row],[Step]] =current_step, current_e,IF(Iterations[[#This Row],[Step]] &gt; current_step, "",Iterations[[#This Row],[e]]))</f>
        <v/>
      </c>
      <c r="L331" s="2" t="str">
        <f>IF(Iterations[[#This Row],[Step]] =current_step, current_Total_Loss,IF(Iterations[[#This Row],[Step]] &gt; current_step, "",Iterations[[#This Row],[Total Loss]]))</f>
        <v/>
      </c>
      <c r="M331" s="6" t="s">
        <v>27</v>
      </c>
      <c r="N331" s="2" t="str">
        <f>IF(Iterations[[#This Row],[Step]] =current_step, current_Grad_a,IF(Iterations[[#This Row],[Step]] &gt; current_step, "",Iterations[[#This Row],[Grad_a]]))</f>
        <v/>
      </c>
      <c r="O331" s="2" t="str">
        <f>IF(Iterations[[#This Row],[Step]] =current_step, current_Grad_b,IF(Iterations[[#This Row],[Step]] &gt; current_step, "",Iterations[[#This Row],[Grad_b]]))</f>
        <v/>
      </c>
      <c r="P331" s="2" t="str">
        <f>IF(Iterations[[#This Row],[Step]] =current_step, current_Grad_c,IF(Iterations[[#This Row],[Step]] &gt; current_step, "",Iterations[[#This Row],[Grad_c]]))</f>
        <v/>
      </c>
      <c r="Q331" s="2" t="str">
        <f>IF(Iterations[[#This Row],[Step]] =current_step, current_Grad_d,IF(Iterations[[#This Row],[Step]] &gt; current_step, "",Iterations[[#This Row],[Grad_d]]))</f>
        <v/>
      </c>
      <c r="R331" s="2" t="str">
        <f>IF(Iterations[[#This Row],[Step]] =current_step, current_Grad_e,IF(Iterations[[#This Row],[Step]] &gt; current_step, "",Iterations[[#This Row],[Grad_e]]))</f>
        <v/>
      </c>
    </row>
    <row r="332" spans="6:18" x14ac:dyDescent="0.3">
      <c r="F332" s="2">
        <f t="shared" si="7"/>
        <v>315</v>
      </c>
      <c r="G332" s="2" t="str">
        <f>IF(Iterations[[#This Row],[Step]] =current_step, current_a,IF(Iterations[[#This Row],[Step]] &gt; current_step, "",Iterations[[#This Row],[a]]))</f>
        <v/>
      </c>
      <c r="H332" s="2" t="str">
        <f>IF(Iterations[[#This Row],[Step]] =current_step, current_b,IF(Iterations[[#This Row],[Step]] &gt; current_step, "",Iterations[[#This Row],[b]]))</f>
        <v/>
      </c>
      <c r="I332" s="2" t="str">
        <f>IF(Iterations[[#This Row],[Step]] =current_step, current_c,IF(Iterations[[#This Row],[Step]] &gt; current_step, "",Iterations[[#This Row],[c]]))</f>
        <v/>
      </c>
      <c r="J332" s="2" t="str">
        <f>IF(Iterations[[#This Row],[Step]] =current_step, current_d,IF(Iterations[[#This Row],[Step]] &gt; current_step, "",Iterations[[#This Row],[d]]))</f>
        <v/>
      </c>
      <c r="K332" s="2" t="str">
        <f>IF(Iterations[[#This Row],[Step]] =current_step, current_e,IF(Iterations[[#This Row],[Step]] &gt; current_step, "",Iterations[[#This Row],[e]]))</f>
        <v/>
      </c>
      <c r="L332" s="2" t="str">
        <f>IF(Iterations[[#This Row],[Step]] =current_step, current_Total_Loss,IF(Iterations[[#This Row],[Step]] &gt; current_step, "",Iterations[[#This Row],[Total Loss]]))</f>
        <v/>
      </c>
      <c r="M332" s="6" t="s">
        <v>27</v>
      </c>
      <c r="N332" s="2" t="str">
        <f>IF(Iterations[[#This Row],[Step]] =current_step, current_Grad_a,IF(Iterations[[#This Row],[Step]] &gt; current_step, "",Iterations[[#This Row],[Grad_a]]))</f>
        <v/>
      </c>
      <c r="O332" s="2" t="str">
        <f>IF(Iterations[[#This Row],[Step]] =current_step, current_Grad_b,IF(Iterations[[#This Row],[Step]] &gt; current_step, "",Iterations[[#This Row],[Grad_b]]))</f>
        <v/>
      </c>
      <c r="P332" s="2" t="str">
        <f>IF(Iterations[[#This Row],[Step]] =current_step, current_Grad_c,IF(Iterations[[#This Row],[Step]] &gt; current_step, "",Iterations[[#This Row],[Grad_c]]))</f>
        <v/>
      </c>
      <c r="Q332" s="2" t="str">
        <f>IF(Iterations[[#This Row],[Step]] =current_step, current_Grad_d,IF(Iterations[[#This Row],[Step]] &gt; current_step, "",Iterations[[#This Row],[Grad_d]]))</f>
        <v/>
      </c>
      <c r="R332" s="2" t="str">
        <f>IF(Iterations[[#This Row],[Step]] =current_step, current_Grad_e,IF(Iterations[[#This Row],[Step]] &gt; current_step, "",Iterations[[#This Row],[Grad_e]]))</f>
        <v/>
      </c>
    </row>
    <row r="333" spans="6:18" x14ac:dyDescent="0.3">
      <c r="F333" s="2">
        <f t="shared" si="7"/>
        <v>316</v>
      </c>
      <c r="G333" s="2" t="str">
        <f>IF(Iterations[[#This Row],[Step]] =current_step, current_a,IF(Iterations[[#This Row],[Step]] &gt; current_step, "",Iterations[[#This Row],[a]]))</f>
        <v/>
      </c>
      <c r="H333" s="2" t="str">
        <f>IF(Iterations[[#This Row],[Step]] =current_step, current_b,IF(Iterations[[#This Row],[Step]] &gt; current_step, "",Iterations[[#This Row],[b]]))</f>
        <v/>
      </c>
      <c r="I333" s="2" t="str">
        <f>IF(Iterations[[#This Row],[Step]] =current_step, current_c,IF(Iterations[[#This Row],[Step]] &gt; current_step, "",Iterations[[#This Row],[c]]))</f>
        <v/>
      </c>
      <c r="J333" s="2" t="str">
        <f>IF(Iterations[[#This Row],[Step]] =current_step, current_d,IF(Iterations[[#This Row],[Step]] &gt; current_step, "",Iterations[[#This Row],[d]]))</f>
        <v/>
      </c>
      <c r="K333" s="2" t="str">
        <f>IF(Iterations[[#This Row],[Step]] =current_step, current_e,IF(Iterations[[#This Row],[Step]] &gt; current_step, "",Iterations[[#This Row],[e]]))</f>
        <v/>
      </c>
      <c r="L333" s="2" t="str">
        <f>IF(Iterations[[#This Row],[Step]] =current_step, current_Total_Loss,IF(Iterations[[#This Row],[Step]] &gt; current_step, "",Iterations[[#This Row],[Total Loss]]))</f>
        <v/>
      </c>
      <c r="M333" s="6" t="s">
        <v>27</v>
      </c>
      <c r="N333" s="2" t="str">
        <f>IF(Iterations[[#This Row],[Step]] =current_step, current_Grad_a,IF(Iterations[[#This Row],[Step]] &gt; current_step, "",Iterations[[#This Row],[Grad_a]]))</f>
        <v/>
      </c>
      <c r="O333" s="2" t="str">
        <f>IF(Iterations[[#This Row],[Step]] =current_step, current_Grad_b,IF(Iterations[[#This Row],[Step]] &gt; current_step, "",Iterations[[#This Row],[Grad_b]]))</f>
        <v/>
      </c>
      <c r="P333" s="2" t="str">
        <f>IF(Iterations[[#This Row],[Step]] =current_step, current_Grad_c,IF(Iterations[[#This Row],[Step]] &gt; current_step, "",Iterations[[#This Row],[Grad_c]]))</f>
        <v/>
      </c>
      <c r="Q333" s="2" t="str">
        <f>IF(Iterations[[#This Row],[Step]] =current_step, current_Grad_d,IF(Iterations[[#This Row],[Step]] &gt; current_step, "",Iterations[[#This Row],[Grad_d]]))</f>
        <v/>
      </c>
      <c r="R333" s="2" t="str">
        <f>IF(Iterations[[#This Row],[Step]] =current_step, current_Grad_e,IF(Iterations[[#This Row],[Step]] &gt; current_step, "",Iterations[[#This Row],[Grad_e]]))</f>
        <v/>
      </c>
    </row>
    <row r="334" spans="6:18" x14ac:dyDescent="0.3">
      <c r="F334" s="2">
        <f t="shared" si="7"/>
        <v>317</v>
      </c>
      <c r="G334" s="2" t="str">
        <f>IF(Iterations[[#This Row],[Step]] =current_step, current_a,IF(Iterations[[#This Row],[Step]] &gt; current_step, "",Iterations[[#This Row],[a]]))</f>
        <v/>
      </c>
      <c r="H334" s="2" t="str">
        <f>IF(Iterations[[#This Row],[Step]] =current_step, current_b,IF(Iterations[[#This Row],[Step]] &gt; current_step, "",Iterations[[#This Row],[b]]))</f>
        <v/>
      </c>
      <c r="I334" s="2" t="str">
        <f>IF(Iterations[[#This Row],[Step]] =current_step, current_c,IF(Iterations[[#This Row],[Step]] &gt; current_step, "",Iterations[[#This Row],[c]]))</f>
        <v/>
      </c>
      <c r="J334" s="2" t="str">
        <f>IF(Iterations[[#This Row],[Step]] =current_step, current_d,IF(Iterations[[#This Row],[Step]] &gt; current_step, "",Iterations[[#This Row],[d]]))</f>
        <v/>
      </c>
      <c r="K334" s="2" t="str">
        <f>IF(Iterations[[#This Row],[Step]] =current_step, current_e,IF(Iterations[[#This Row],[Step]] &gt; current_step, "",Iterations[[#This Row],[e]]))</f>
        <v/>
      </c>
      <c r="L334" s="2" t="str">
        <f>IF(Iterations[[#This Row],[Step]] =current_step, current_Total_Loss,IF(Iterations[[#This Row],[Step]] &gt; current_step, "",Iterations[[#This Row],[Total Loss]]))</f>
        <v/>
      </c>
      <c r="M334" s="6" t="s">
        <v>27</v>
      </c>
      <c r="N334" s="2" t="str">
        <f>IF(Iterations[[#This Row],[Step]] =current_step, current_Grad_a,IF(Iterations[[#This Row],[Step]] &gt; current_step, "",Iterations[[#This Row],[Grad_a]]))</f>
        <v/>
      </c>
      <c r="O334" s="2" t="str">
        <f>IF(Iterations[[#This Row],[Step]] =current_step, current_Grad_b,IF(Iterations[[#This Row],[Step]] &gt; current_step, "",Iterations[[#This Row],[Grad_b]]))</f>
        <v/>
      </c>
      <c r="P334" s="2" t="str">
        <f>IF(Iterations[[#This Row],[Step]] =current_step, current_Grad_c,IF(Iterations[[#This Row],[Step]] &gt; current_step, "",Iterations[[#This Row],[Grad_c]]))</f>
        <v/>
      </c>
      <c r="Q334" s="2" t="str">
        <f>IF(Iterations[[#This Row],[Step]] =current_step, current_Grad_d,IF(Iterations[[#This Row],[Step]] &gt; current_step, "",Iterations[[#This Row],[Grad_d]]))</f>
        <v/>
      </c>
      <c r="R334" s="2" t="str">
        <f>IF(Iterations[[#This Row],[Step]] =current_step, current_Grad_e,IF(Iterations[[#This Row],[Step]] &gt; current_step, "",Iterations[[#This Row],[Grad_e]]))</f>
        <v/>
      </c>
    </row>
    <row r="335" spans="6:18" x14ac:dyDescent="0.3">
      <c r="F335" s="2">
        <f t="shared" si="7"/>
        <v>318</v>
      </c>
      <c r="G335" s="2" t="str">
        <f>IF(Iterations[[#This Row],[Step]] =current_step, current_a,IF(Iterations[[#This Row],[Step]] &gt; current_step, "",Iterations[[#This Row],[a]]))</f>
        <v/>
      </c>
      <c r="H335" s="2" t="str">
        <f>IF(Iterations[[#This Row],[Step]] =current_step, current_b,IF(Iterations[[#This Row],[Step]] &gt; current_step, "",Iterations[[#This Row],[b]]))</f>
        <v/>
      </c>
      <c r="I335" s="2" t="str">
        <f>IF(Iterations[[#This Row],[Step]] =current_step, current_c,IF(Iterations[[#This Row],[Step]] &gt; current_step, "",Iterations[[#This Row],[c]]))</f>
        <v/>
      </c>
      <c r="J335" s="2" t="str">
        <f>IF(Iterations[[#This Row],[Step]] =current_step, current_d,IF(Iterations[[#This Row],[Step]] &gt; current_step, "",Iterations[[#This Row],[d]]))</f>
        <v/>
      </c>
      <c r="K335" s="2" t="str">
        <f>IF(Iterations[[#This Row],[Step]] =current_step, current_e,IF(Iterations[[#This Row],[Step]] &gt; current_step, "",Iterations[[#This Row],[e]]))</f>
        <v/>
      </c>
      <c r="L335" s="2" t="str">
        <f>IF(Iterations[[#This Row],[Step]] =current_step, current_Total_Loss,IF(Iterations[[#This Row],[Step]] &gt; current_step, "",Iterations[[#This Row],[Total Loss]]))</f>
        <v/>
      </c>
      <c r="M335" s="6" t="s">
        <v>27</v>
      </c>
      <c r="N335" s="2" t="str">
        <f>IF(Iterations[[#This Row],[Step]] =current_step, current_Grad_a,IF(Iterations[[#This Row],[Step]] &gt; current_step, "",Iterations[[#This Row],[Grad_a]]))</f>
        <v/>
      </c>
      <c r="O335" s="2" t="str">
        <f>IF(Iterations[[#This Row],[Step]] =current_step, current_Grad_b,IF(Iterations[[#This Row],[Step]] &gt; current_step, "",Iterations[[#This Row],[Grad_b]]))</f>
        <v/>
      </c>
      <c r="P335" s="2" t="str">
        <f>IF(Iterations[[#This Row],[Step]] =current_step, current_Grad_c,IF(Iterations[[#This Row],[Step]] &gt; current_step, "",Iterations[[#This Row],[Grad_c]]))</f>
        <v/>
      </c>
      <c r="Q335" s="2" t="str">
        <f>IF(Iterations[[#This Row],[Step]] =current_step, current_Grad_d,IF(Iterations[[#This Row],[Step]] &gt; current_step, "",Iterations[[#This Row],[Grad_d]]))</f>
        <v/>
      </c>
      <c r="R335" s="2" t="str">
        <f>IF(Iterations[[#This Row],[Step]] =current_step, current_Grad_e,IF(Iterations[[#This Row],[Step]] &gt; current_step, "",Iterations[[#This Row],[Grad_e]]))</f>
        <v/>
      </c>
    </row>
    <row r="336" spans="6:18" x14ac:dyDescent="0.3">
      <c r="F336" s="2">
        <f t="shared" si="7"/>
        <v>319</v>
      </c>
      <c r="G336" s="2" t="str">
        <f>IF(Iterations[[#This Row],[Step]] =current_step, current_a,IF(Iterations[[#This Row],[Step]] &gt; current_step, "",Iterations[[#This Row],[a]]))</f>
        <v/>
      </c>
      <c r="H336" s="2" t="str">
        <f>IF(Iterations[[#This Row],[Step]] =current_step, current_b,IF(Iterations[[#This Row],[Step]] &gt; current_step, "",Iterations[[#This Row],[b]]))</f>
        <v/>
      </c>
      <c r="I336" s="2" t="str">
        <f>IF(Iterations[[#This Row],[Step]] =current_step, current_c,IF(Iterations[[#This Row],[Step]] &gt; current_step, "",Iterations[[#This Row],[c]]))</f>
        <v/>
      </c>
      <c r="J336" s="2" t="str">
        <f>IF(Iterations[[#This Row],[Step]] =current_step, current_d,IF(Iterations[[#This Row],[Step]] &gt; current_step, "",Iterations[[#This Row],[d]]))</f>
        <v/>
      </c>
      <c r="K336" s="2" t="str">
        <f>IF(Iterations[[#This Row],[Step]] =current_step, current_e,IF(Iterations[[#This Row],[Step]] &gt; current_step, "",Iterations[[#This Row],[e]]))</f>
        <v/>
      </c>
      <c r="L336" s="2" t="str">
        <f>IF(Iterations[[#This Row],[Step]] =current_step, current_Total_Loss,IF(Iterations[[#This Row],[Step]] &gt; current_step, "",Iterations[[#This Row],[Total Loss]]))</f>
        <v/>
      </c>
      <c r="M336" s="6" t="s">
        <v>27</v>
      </c>
      <c r="N336" s="2" t="str">
        <f>IF(Iterations[[#This Row],[Step]] =current_step, current_Grad_a,IF(Iterations[[#This Row],[Step]] &gt; current_step, "",Iterations[[#This Row],[Grad_a]]))</f>
        <v/>
      </c>
      <c r="O336" s="2" t="str">
        <f>IF(Iterations[[#This Row],[Step]] =current_step, current_Grad_b,IF(Iterations[[#This Row],[Step]] &gt; current_step, "",Iterations[[#This Row],[Grad_b]]))</f>
        <v/>
      </c>
      <c r="P336" s="2" t="str">
        <f>IF(Iterations[[#This Row],[Step]] =current_step, current_Grad_c,IF(Iterations[[#This Row],[Step]] &gt; current_step, "",Iterations[[#This Row],[Grad_c]]))</f>
        <v/>
      </c>
      <c r="Q336" s="2" t="str">
        <f>IF(Iterations[[#This Row],[Step]] =current_step, current_Grad_d,IF(Iterations[[#This Row],[Step]] &gt; current_step, "",Iterations[[#This Row],[Grad_d]]))</f>
        <v/>
      </c>
      <c r="R336" s="2" t="str">
        <f>IF(Iterations[[#This Row],[Step]] =current_step, current_Grad_e,IF(Iterations[[#This Row],[Step]] &gt; current_step, "",Iterations[[#This Row],[Grad_e]]))</f>
        <v/>
      </c>
    </row>
    <row r="337" spans="6:18" x14ac:dyDescent="0.3">
      <c r="F337" s="2">
        <f t="shared" si="7"/>
        <v>320</v>
      </c>
      <c r="G337" s="2" t="str">
        <f>IF(Iterations[[#This Row],[Step]] =current_step, current_a,IF(Iterations[[#This Row],[Step]] &gt; current_step, "",Iterations[[#This Row],[a]]))</f>
        <v/>
      </c>
      <c r="H337" s="2" t="str">
        <f>IF(Iterations[[#This Row],[Step]] =current_step, current_b,IF(Iterations[[#This Row],[Step]] &gt; current_step, "",Iterations[[#This Row],[b]]))</f>
        <v/>
      </c>
      <c r="I337" s="2" t="str">
        <f>IF(Iterations[[#This Row],[Step]] =current_step, current_c,IF(Iterations[[#This Row],[Step]] &gt; current_step, "",Iterations[[#This Row],[c]]))</f>
        <v/>
      </c>
      <c r="J337" s="2" t="str">
        <f>IF(Iterations[[#This Row],[Step]] =current_step, current_d,IF(Iterations[[#This Row],[Step]] &gt; current_step, "",Iterations[[#This Row],[d]]))</f>
        <v/>
      </c>
      <c r="K337" s="2" t="str">
        <f>IF(Iterations[[#This Row],[Step]] =current_step, current_e,IF(Iterations[[#This Row],[Step]] &gt; current_step, "",Iterations[[#This Row],[e]]))</f>
        <v/>
      </c>
      <c r="L337" s="2" t="str">
        <f>IF(Iterations[[#This Row],[Step]] =current_step, current_Total_Loss,IF(Iterations[[#This Row],[Step]] &gt; current_step, "",Iterations[[#This Row],[Total Loss]]))</f>
        <v/>
      </c>
      <c r="M337" s="6" t="s">
        <v>27</v>
      </c>
      <c r="N337" s="2" t="str">
        <f>IF(Iterations[[#This Row],[Step]] =current_step, current_Grad_a,IF(Iterations[[#This Row],[Step]] &gt; current_step, "",Iterations[[#This Row],[Grad_a]]))</f>
        <v/>
      </c>
      <c r="O337" s="2" t="str">
        <f>IF(Iterations[[#This Row],[Step]] =current_step, current_Grad_b,IF(Iterations[[#This Row],[Step]] &gt; current_step, "",Iterations[[#This Row],[Grad_b]]))</f>
        <v/>
      </c>
      <c r="P337" s="2" t="str">
        <f>IF(Iterations[[#This Row],[Step]] =current_step, current_Grad_c,IF(Iterations[[#This Row],[Step]] &gt; current_step, "",Iterations[[#This Row],[Grad_c]]))</f>
        <v/>
      </c>
      <c r="Q337" s="2" t="str">
        <f>IF(Iterations[[#This Row],[Step]] =current_step, current_Grad_d,IF(Iterations[[#This Row],[Step]] &gt; current_step, "",Iterations[[#This Row],[Grad_d]]))</f>
        <v/>
      </c>
      <c r="R337" s="2" t="str">
        <f>IF(Iterations[[#This Row],[Step]] =current_step, current_Grad_e,IF(Iterations[[#This Row],[Step]] &gt; current_step, "",Iterations[[#This Row],[Grad_e]]))</f>
        <v/>
      </c>
    </row>
    <row r="338" spans="6:18" x14ac:dyDescent="0.3">
      <c r="F338" s="2">
        <f t="shared" si="7"/>
        <v>321</v>
      </c>
      <c r="G338" s="2" t="str">
        <f>IF(Iterations[[#This Row],[Step]] =current_step, current_a,IF(Iterations[[#This Row],[Step]] &gt; current_step, "",Iterations[[#This Row],[a]]))</f>
        <v/>
      </c>
      <c r="H338" s="2" t="str">
        <f>IF(Iterations[[#This Row],[Step]] =current_step, current_b,IF(Iterations[[#This Row],[Step]] &gt; current_step, "",Iterations[[#This Row],[b]]))</f>
        <v/>
      </c>
      <c r="I338" s="2" t="str">
        <f>IF(Iterations[[#This Row],[Step]] =current_step, current_c,IF(Iterations[[#This Row],[Step]] &gt; current_step, "",Iterations[[#This Row],[c]]))</f>
        <v/>
      </c>
      <c r="J338" s="2" t="str">
        <f>IF(Iterations[[#This Row],[Step]] =current_step, current_d,IF(Iterations[[#This Row],[Step]] &gt; current_step, "",Iterations[[#This Row],[d]]))</f>
        <v/>
      </c>
      <c r="K338" s="2" t="str">
        <f>IF(Iterations[[#This Row],[Step]] =current_step, current_e,IF(Iterations[[#This Row],[Step]] &gt; current_step, "",Iterations[[#This Row],[e]]))</f>
        <v/>
      </c>
      <c r="L338" s="2" t="str">
        <f>IF(Iterations[[#This Row],[Step]] =current_step, current_Total_Loss,IF(Iterations[[#This Row],[Step]] &gt; current_step, "",Iterations[[#This Row],[Total Loss]]))</f>
        <v/>
      </c>
      <c r="M338" s="6" t="s">
        <v>27</v>
      </c>
      <c r="N338" s="2" t="str">
        <f>IF(Iterations[[#This Row],[Step]] =current_step, current_Grad_a,IF(Iterations[[#This Row],[Step]] &gt; current_step, "",Iterations[[#This Row],[Grad_a]]))</f>
        <v/>
      </c>
      <c r="O338" s="2" t="str">
        <f>IF(Iterations[[#This Row],[Step]] =current_step, current_Grad_b,IF(Iterations[[#This Row],[Step]] &gt; current_step, "",Iterations[[#This Row],[Grad_b]]))</f>
        <v/>
      </c>
      <c r="P338" s="2" t="str">
        <f>IF(Iterations[[#This Row],[Step]] =current_step, current_Grad_c,IF(Iterations[[#This Row],[Step]] &gt; current_step, "",Iterations[[#This Row],[Grad_c]]))</f>
        <v/>
      </c>
      <c r="Q338" s="2" t="str">
        <f>IF(Iterations[[#This Row],[Step]] =current_step, current_Grad_d,IF(Iterations[[#This Row],[Step]] &gt; current_step, "",Iterations[[#This Row],[Grad_d]]))</f>
        <v/>
      </c>
      <c r="R338" s="2" t="str">
        <f>IF(Iterations[[#This Row],[Step]] =current_step, current_Grad_e,IF(Iterations[[#This Row],[Step]] &gt; current_step, "",Iterations[[#This Row],[Grad_e]]))</f>
        <v/>
      </c>
    </row>
    <row r="339" spans="6:18" x14ac:dyDescent="0.3">
      <c r="F339" s="2">
        <f t="shared" si="7"/>
        <v>322</v>
      </c>
      <c r="G339" s="2" t="str">
        <f>IF(Iterations[[#This Row],[Step]] =current_step, current_a,IF(Iterations[[#This Row],[Step]] &gt; current_step, "",Iterations[[#This Row],[a]]))</f>
        <v/>
      </c>
      <c r="H339" s="2" t="str">
        <f>IF(Iterations[[#This Row],[Step]] =current_step, current_b,IF(Iterations[[#This Row],[Step]] &gt; current_step, "",Iterations[[#This Row],[b]]))</f>
        <v/>
      </c>
      <c r="I339" s="2" t="str">
        <f>IF(Iterations[[#This Row],[Step]] =current_step, current_c,IF(Iterations[[#This Row],[Step]] &gt; current_step, "",Iterations[[#This Row],[c]]))</f>
        <v/>
      </c>
      <c r="J339" s="2" t="str">
        <f>IF(Iterations[[#This Row],[Step]] =current_step, current_d,IF(Iterations[[#This Row],[Step]] &gt; current_step, "",Iterations[[#This Row],[d]]))</f>
        <v/>
      </c>
      <c r="K339" s="2" t="str">
        <f>IF(Iterations[[#This Row],[Step]] =current_step, current_e,IF(Iterations[[#This Row],[Step]] &gt; current_step, "",Iterations[[#This Row],[e]]))</f>
        <v/>
      </c>
      <c r="L339" s="2" t="str">
        <f>IF(Iterations[[#This Row],[Step]] =current_step, current_Total_Loss,IF(Iterations[[#This Row],[Step]] &gt; current_step, "",Iterations[[#This Row],[Total Loss]]))</f>
        <v/>
      </c>
      <c r="M339" s="6" t="s">
        <v>27</v>
      </c>
      <c r="N339" s="2" t="str">
        <f>IF(Iterations[[#This Row],[Step]] =current_step, current_Grad_a,IF(Iterations[[#This Row],[Step]] &gt; current_step, "",Iterations[[#This Row],[Grad_a]]))</f>
        <v/>
      </c>
      <c r="O339" s="2" t="str">
        <f>IF(Iterations[[#This Row],[Step]] =current_step, current_Grad_b,IF(Iterations[[#This Row],[Step]] &gt; current_step, "",Iterations[[#This Row],[Grad_b]]))</f>
        <v/>
      </c>
      <c r="P339" s="2" t="str">
        <f>IF(Iterations[[#This Row],[Step]] =current_step, current_Grad_c,IF(Iterations[[#This Row],[Step]] &gt; current_step, "",Iterations[[#This Row],[Grad_c]]))</f>
        <v/>
      </c>
      <c r="Q339" s="2" t="str">
        <f>IF(Iterations[[#This Row],[Step]] =current_step, current_Grad_d,IF(Iterations[[#This Row],[Step]] &gt; current_step, "",Iterations[[#This Row],[Grad_d]]))</f>
        <v/>
      </c>
      <c r="R339" s="2" t="str">
        <f>IF(Iterations[[#This Row],[Step]] =current_step, current_Grad_e,IF(Iterations[[#This Row],[Step]] &gt; current_step, "",Iterations[[#This Row],[Grad_e]]))</f>
        <v/>
      </c>
    </row>
    <row r="340" spans="6:18" x14ac:dyDescent="0.3">
      <c r="F340" s="2">
        <f t="shared" si="7"/>
        <v>323</v>
      </c>
      <c r="G340" s="2" t="str">
        <f>IF(Iterations[[#This Row],[Step]] =current_step, current_a,IF(Iterations[[#This Row],[Step]] &gt; current_step, "",Iterations[[#This Row],[a]]))</f>
        <v/>
      </c>
      <c r="H340" s="2" t="str">
        <f>IF(Iterations[[#This Row],[Step]] =current_step, current_b,IF(Iterations[[#This Row],[Step]] &gt; current_step, "",Iterations[[#This Row],[b]]))</f>
        <v/>
      </c>
      <c r="I340" s="2" t="str">
        <f>IF(Iterations[[#This Row],[Step]] =current_step, current_c,IF(Iterations[[#This Row],[Step]] &gt; current_step, "",Iterations[[#This Row],[c]]))</f>
        <v/>
      </c>
      <c r="J340" s="2" t="str">
        <f>IF(Iterations[[#This Row],[Step]] =current_step, current_d,IF(Iterations[[#This Row],[Step]] &gt; current_step, "",Iterations[[#This Row],[d]]))</f>
        <v/>
      </c>
      <c r="K340" s="2" t="str">
        <f>IF(Iterations[[#This Row],[Step]] =current_step, current_e,IF(Iterations[[#This Row],[Step]] &gt; current_step, "",Iterations[[#This Row],[e]]))</f>
        <v/>
      </c>
      <c r="L340" s="2" t="str">
        <f>IF(Iterations[[#This Row],[Step]] =current_step, current_Total_Loss,IF(Iterations[[#This Row],[Step]] &gt; current_step, "",Iterations[[#This Row],[Total Loss]]))</f>
        <v/>
      </c>
      <c r="M340" s="6" t="s">
        <v>27</v>
      </c>
      <c r="N340" s="2" t="str">
        <f>IF(Iterations[[#This Row],[Step]] =current_step, current_Grad_a,IF(Iterations[[#This Row],[Step]] &gt; current_step, "",Iterations[[#This Row],[Grad_a]]))</f>
        <v/>
      </c>
      <c r="O340" s="2" t="str">
        <f>IF(Iterations[[#This Row],[Step]] =current_step, current_Grad_b,IF(Iterations[[#This Row],[Step]] &gt; current_step, "",Iterations[[#This Row],[Grad_b]]))</f>
        <v/>
      </c>
      <c r="P340" s="2" t="str">
        <f>IF(Iterations[[#This Row],[Step]] =current_step, current_Grad_c,IF(Iterations[[#This Row],[Step]] &gt; current_step, "",Iterations[[#This Row],[Grad_c]]))</f>
        <v/>
      </c>
      <c r="Q340" s="2" t="str">
        <f>IF(Iterations[[#This Row],[Step]] =current_step, current_Grad_d,IF(Iterations[[#This Row],[Step]] &gt; current_step, "",Iterations[[#This Row],[Grad_d]]))</f>
        <v/>
      </c>
      <c r="R340" s="2" t="str">
        <f>IF(Iterations[[#This Row],[Step]] =current_step, current_Grad_e,IF(Iterations[[#This Row],[Step]] &gt; current_step, "",Iterations[[#This Row],[Grad_e]]))</f>
        <v/>
      </c>
    </row>
    <row r="341" spans="6:18" x14ac:dyDescent="0.3">
      <c r="F341" s="2">
        <f t="shared" si="7"/>
        <v>324</v>
      </c>
      <c r="G341" s="2" t="str">
        <f>IF(Iterations[[#This Row],[Step]] =current_step, current_a,IF(Iterations[[#This Row],[Step]] &gt; current_step, "",Iterations[[#This Row],[a]]))</f>
        <v/>
      </c>
      <c r="H341" s="2" t="str">
        <f>IF(Iterations[[#This Row],[Step]] =current_step, current_b,IF(Iterations[[#This Row],[Step]] &gt; current_step, "",Iterations[[#This Row],[b]]))</f>
        <v/>
      </c>
      <c r="I341" s="2" t="str">
        <f>IF(Iterations[[#This Row],[Step]] =current_step, current_c,IF(Iterations[[#This Row],[Step]] &gt; current_step, "",Iterations[[#This Row],[c]]))</f>
        <v/>
      </c>
      <c r="J341" s="2" t="str">
        <f>IF(Iterations[[#This Row],[Step]] =current_step, current_d,IF(Iterations[[#This Row],[Step]] &gt; current_step, "",Iterations[[#This Row],[d]]))</f>
        <v/>
      </c>
      <c r="K341" s="2" t="str">
        <f>IF(Iterations[[#This Row],[Step]] =current_step, current_e,IF(Iterations[[#This Row],[Step]] &gt; current_step, "",Iterations[[#This Row],[e]]))</f>
        <v/>
      </c>
      <c r="L341" s="2" t="str">
        <f>IF(Iterations[[#This Row],[Step]] =current_step, current_Total_Loss,IF(Iterations[[#This Row],[Step]] &gt; current_step, "",Iterations[[#This Row],[Total Loss]]))</f>
        <v/>
      </c>
      <c r="M341" s="6" t="s">
        <v>27</v>
      </c>
      <c r="N341" s="2" t="str">
        <f>IF(Iterations[[#This Row],[Step]] =current_step, current_Grad_a,IF(Iterations[[#This Row],[Step]] &gt; current_step, "",Iterations[[#This Row],[Grad_a]]))</f>
        <v/>
      </c>
      <c r="O341" s="2" t="str">
        <f>IF(Iterations[[#This Row],[Step]] =current_step, current_Grad_b,IF(Iterations[[#This Row],[Step]] &gt; current_step, "",Iterations[[#This Row],[Grad_b]]))</f>
        <v/>
      </c>
      <c r="P341" s="2" t="str">
        <f>IF(Iterations[[#This Row],[Step]] =current_step, current_Grad_c,IF(Iterations[[#This Row],[Step]] &gt; current_step, "",Iterations[[#This Row],[Grad_c]]))</f>
        <v/>
      </c>
      <c r="Q341" s="2" t="str">
        <f>IF(Iterations[[#This Row],[Step]] =current_step, current_Grad_d,IF(Iterations[[#This Row],[Step]] &gt; current_step, "",Iterations[[#This Row],[Grad_d]]))</f>
        <v/>
      </c>
      <c r="R341" s="2" t="str">
        <f>IF(Iterations[[#This Row],[Step]] =current_step, current_Grad_e,IF(Iterations[[#This Row],[Step]] &gt; current_step, "",Iterations[[#This Row],[Grad_e]]))</f>
        <v/>
      </c>
    </row>
    <row r="342" spans="6:18" x14ac:dyDescent="0.3">
      <c r="F342" s="2">
        <f t="shared" si="7"/>
        <v>325</v>
      </c>
      <c r="G342" s="2" t="str">
        <f>IF(Iterations[[#This Row],[Step]] =current_step, current_a,IF(Iterations[[#This Row],[Step]] &gt; current_step, "",Iterations[[#This Row],[a]]))</f>
        <v/>
      </c>
      <c r="H342" s="2" t="str">
        <f>IF(Iterations[[#This Row],[Step]] =current_step, current_b,IF(Iterations[[#This Row],[Step]] &gt; current_step, "",Iterations[[#This Row],[b]]))</f>
        <v/>
      </c>
      <c r="I342" s="2" t="str">
        <f>IF(Iterations[[#This Row],[Step]] =current_step, current_c,IF(Iterations[[#This Row],[Step]] &gt; current_step, "",Iterations[[#This Row],[c]]))</f>
        <v/>
      </c>
      <c r="J342" s="2" t="str">
        <f>IF(Iterations[[#This Row],[Step]] =current_step, current_d,IF(Iterations[[#This Row],[Step]] &gt; current_step, "",Iterations[[#This Row],[d]]))</f>
        <v/>
      </c>
      <c r="K342" s="2" t="str">
        <f>IF(Iterations[[#This Row],[Step]] =current_step, current_e,IF(Iterations[[#This Row],[Step]] &gt; current_step, "",Iterations[[#This Row],[e]]))</f>
        <v/>
      </c>
      <c r="L342" s="2" t="str">
        <f>IF(Iterations[[#This Row],[Step]] =current_step, current_Total_Loss,IF(Iterations[[#This Row],[Step]] &gt; current_step, "",Iterations[[#This Row],[Total Loss]]))</f>
        <v/>
      </c>
      <c r="M342" s="6" t="s">
        <v>27</v>
      </c>
      <c r="N342" s="2" t="str">
        <f>IF(Iterations[[#This Row],[Step]] =current_step, current_Grad_a,IF(Iterations[[#This Row],[Step]] &gt; current_step, "",Iterations[[#This Row],[Grad_a]]))</f>
        <v/>
      </c>
      <c r="O342" s="2" t="str">
        <f>IF(Iterations[[#This Row],[Step]] =current_step, current_Grad_b,IF(Iterations[[#This Row],[Step]] &gt; current_step, "",Iterations[[#This Row],[Grad_b]]))</f>
        <v/>
      </c>
      <c r="P342" s="2" t="str">
        <f>IF(Iterations[[#This Row],[Step]] =current_step, current_Grad_c,IF(Iterations[[#This Row],[Step]] &gt; current_step, "",Iterations[[#This Row],[Grad_c]]))</f>
        <v/>
      </c>
      <c r="Q342" s="2" t="str">
        <f>IF(Iterations[[#This Row],[Step]] =current_step, current_Grad_d,IF(Iterations[[#This Row],[Step]] &gt; current_step, "",Iterations[[#This Row],[Grad_d]]))</f>
        <v/>
      </c>
      <c r="R342" s="2" t="str">
        <f>IF(Iterations[[#This Row],[Step]] =current_step, current_Grad_e,IF(Iterations[[#This Row],[Step]] &gt; current_step, "",Iterations[[#This Row],[Grad_e]]))</f>
        <v/>
      </c>
    </row>
    <row r="343" spans="6:18" x14ac:dyDescent="0.3">
      <c r="F343" s="2">
        <f t="shared" si="7"/>
        <v>326</v>
      </c>
      <c r="G343" s="2" t="str">
        <f>IF(Iterations[[#This Row],[Step]] =current_step, current_a,IF(Iterations[[#This Row],[Step]] &gt; current_step, "",Iterations[[#This Row],[a]]))</f>
        <v/>
      </c>
      <c r="H343" s="2" t="str">
        <f>IF(Iterations[[#This Row],[Step]] =current_step, current_b,IF(Iterations[[#This Row],[Step]] &gt; current_step, "",Iterations[[#This Row],[b]]))</f>
        <v/>
      </c>
      <c r="I343" s="2" t="str">
        <f>IF(Iterations[[#This Row],[Step]] =current_step, current_c,IF(Iterations[[#This Row],[Step]] &gt; current_step, "",Iterations[[#This Row],[c]]))</f>
        <v/>
      </c>
      <c r="J343" s="2" t="str">
        <f>IF(Iterations[[#This Row],[Step]] =current_step, current_d,IF(Iterations[[#This Row],[Step]] &gt; current_step, "",Iterations[[#This Row],[d]]))</f>
        <v/>
      </c>
      <c r="K343" s="2" t="str">
        <f>IF(Iterations[[#This Row],[Step]] =current_step, current_e,IF(Iterations[[#This Row],[Step]] &gt; current_step, "",Iterations[[#This Row],[e]]))</f>
        <v/>
      </c>
      <c r="L343" s="2" t="str">
        <f>IF(Iterations[[#This Row],[Step]] =current_step, current_Total_Loss,IF(Iterations[[#This Row],[Step]] &gt; current_step, "",Iterations[[#This Row],[Total Loss]]))</f>
        <v/>
      </c>
      <c r="M343" s="6" t="s">
        <v>27</v>
      </c>
      <c r="N343" s="2" t="str">
        <f>IF(Iterations[[#This Row],[Step]] =current_step, current_Grad_a,IF(Iterations[[#This Row],[Step]] &gt; current_step, "",Iterations[[#This Row],[Grad_a]]))</f>
        <v/>
      </c>
      <c r="O343" s="2" t="str">
        <f>IF(Iterations[[#This Row],[Step]] =current_step, current_Grad_b,IF(Iterations[[#This Row],[Step]] &gt; current_step, "",Iterations[[#This Row],[Grad_b]]))</f>
        <v/>
      </c>
      <c r="P343" s="2" t="str">
        <f>IF(Iterations[[#This Row],[Step]] =current_step, current_Grad_c,IF(Iterations[[#This Row],[Step]] &gt; current_step, "",Iterations[[#This Row],[Grad_c]]))</f>
        <v/>
      </c>
      <c r="Q343" s="2" t="str">
        <f>IF(Iterations[[#This Row],[Step]] =current_step, current_Grad_d,IF(Iterations[[#This Row],[Step]] &gt; current_step, "",Iterations[[#This Row],[Grad_d]]))</f>
        <v/>
      </c>
      <c r="R343" s="2" t="str">
        <f>IF(Iterations[[#This Row],[Step]] =current_step, current_Grad_e,IF(Iterations[[#This Row],[Step]] &gt; current_step, "",Iterations[[#This Row],[Grad_e]]))</f>
        <v/>
      </c>
    </row>
    <row r="344" spans="6:18" x14ac:dyDescent="0.3">
      <c r="F344" s="2">
        <f t="shared" si="7"/>
        <v>327</v>
      </c>
      <c r="G344" s="2" t="str">
        <f>IF(Iterations[[#This Row],[Step]] =current_step, current_a,IF(Iterations[[#This Row],[Step]] &gt; current_step, "",Iterations[[#This Row],[a]]))</f>
        <v/>
      </c>
      <c r="H344" s="2" t="str">
        <f>IF(Iterations[[#This Row],[Step]] =current_step, current_b,IF(Iterations[[#This Row],[Step]] &gt; current_step, "",Iterations[[#This Row],[b]]))</f>
        <v/>
      </c>
      <c r="I344" s="2" t="str">
        <f>IF(Iterations[[#This Row],[Step]] =current_step, current_c,IF(Iterations[[#This Row],[Step]] &gt; current_step, "",Iterations[[#This Row],[c]]))</f>
        <v/>
      </c>
      <c r="J344" s="2" t="str">
        <f>IF(Iterations[[#This Row],[Step]] =current_step, current_d,IF(Iterations[[#This Row],[Step]] &gt; current_step, "",Iterations[[#This Row],[d]]))</f>
        <v/>
      </c>
      <c r="K344" s="2" t="str">
        <f>IF(Iterations[[#This Row],[Step]] =current_step, current_e,IF(Iterations[[#This Row],[Step]] &gt; current_step, "",Iterations[[#This Row],[e]]))</f>
        <v/>
      </c>
      <c r="L344" s="2" t="str">
        <f>IF(Iterations[[#This Row],[Step]] =current_step, current_Total_Loss,IF(Iterations[[#This Row],[Step]] &gt; current_step, "",Iterations[[#This Row],[Total Loss]]))</f>
        <v/>
      </c>
      <c r="M344" s="6" t="s">
        <v>27</v>
      </c>
      <c r="N344" s="2" t="str">
        <f>IF(Iterations[[#This Row],[Step]] =current_step, current_Grad_a,IF(Iterations[[#This Row],[Step]] &gt; current_step, "",Iterations[[#This Row],[Grad_a]]))</f>
        <v/>
      </c>
      <c r="O344" s="2" t="str">
        <f>IF(Iterations[[#This Row],[Step]] =current_step, current_Grad_b,IF(Iterations[[#This Row],[Step]] &gt; current_step, "",Iterations[[#This Row],[Grad_b]]))</f>
        <v/>
      </c>
      <c r="P344" s="2" t="str">
        <f>IF(Iterations[[#This Row],[Step]] =current_step, current_Grad_c,IF(Iterations[[#This Row],[Step]] &gt; current_step, "",Iterations[[#This Row],[Grad_c]]))</f>
        <v/>
      </c>
      <c r="Q344" s="2" t="str">
        <f>IF(Iterations[[#This Row],[Step]] =current_step, current_Grad_d,IF(Iterations[[#This Row],[Step]] &gt; current_step, "",Iterations[[#This Row],[Grad_d]]))</f>
        <v/>
      </c>
      <c r="R344" s="2" t="str">
        <f>IF(Iterations[[#This Row],[Step]] =current_step, current_Grad_e,IF(Iterations[[#This Row],[Step]] &gt; current_step, "",Iterations[[#This Row],[Grad_e]]))</f>
        <v/>
      </c>
    </row>
    <row r="345" spans="6:18" x14ac:dyDescent="0.3">
      <c r="F345" s="2">
        <f t="shared" si="7"/>
        <v>328</v>
      </c>
      <c r="G345" s="2" t="str">
        <f>IF(Iterations[[#This Row],[Step]] =current_step, current_a,IF(Iterations[[#This Row],[Step]] &gt; current_step, "",Iterations[[#This Row],[a]]))</f>
        <v/>
      </c>
      <c r="H345" s="2" t="str">
        <f>IF(Iterations[[#This Row],[Step]] =current_step, current_b,IF(Iterations[[#This Row],[Step]] &gt; current_step, "",Iterations[[#This Row],[b]]))</f>
        <v/>
      </c>
      <c r="I345" s="2" t="str">
        <f>IF(Iterations[[#This Row],[Step]] =current_step, current_c,IF(Iterations[[#This Row],[Step]] &gt; current_step, "",Iterations[[#This Row],[c]]))</f>
        <v/>
      </c>
      <c r="J345" s="2" t="str">
        <f>IF(Iterations[[#This Row],[Step]] =current_step, current_d,IF(Iterations[[#This Row],[Step]] &gt; current_step, "",Iterations[[#This Row],[d]]))</f>
        <v/>
      </c>
      <c r="K345" s="2" t="str">
        <f>IF(Iterations[[#This Row],[Step]] =current_step, current_e,IF(Iterations[[#This Row],[Step]] &gt; current_step, "",Iterations[[#This Row],[e]]))</f>
        <v/>
      </c>
      <c r="L345" s="2" t="str">
        <f>IF(Iterations[[#This Row],[Step]] =current_step, current_Total_Loss,IF(Iterations[[#This Row],[Step]] &gt; current_step, "",Iterations[[#This Row],[Total Loss]]))</f>
        <v/>
      </c>
      <c r="M345" s="6" t="s">
        <v>27</v>
      </c>
      <c r="N345" s="2" t="str">
        <f>IF(Iterations[[#This Row],[Step]] =current_step, current_Grad_a,IF(Iterations[[#This Row],[Step]] &gt; current_step, "",Iterations[[#This Row],[Grad_a]]))</f>
        <v/>
      </c>
      <c r="O345" s="2" t="str">
        <f>IF(Iterations[[#This Row],[Step]] =current_step, current_Grad_b,IF(Iterations[[#This Row],[Step]] &gt; current_step, "",Iterations[[#This Row],[Grad_b]]))</f>
        <v/>
      </c>
      <c r="P345" s="2" t="str">
        <f>IF(Iterations[[#This Row],[Step]] =current_step, current_Grad_c,IF(Iterations[[#This Row],[Step]] &gt; current_step, "",Iterations[[#This Row],[Grad_c]]))</f>
        <v/>
      </c>
      <c r="Q345" s="2" t="str">
        <f>IF(Iterations[[#This Row],[Step]] =current_step, current_Grad_d,IF(Iterations[[#This Row],[Step]] &gt; current_step, "",Iterations[[#This Row],[Grad_d]]))</f>
        <v/>
      </c>
      <c r="R345" s="2" t="str">
        <f>IF(Iterations[[#This Row],[Step]] =current_step, current_Grad_e,IF(Iterations[[#This Row],[Step]] &gt; current_step, "",Iterations[[#This Row],[Grad_e]]))</f>
        <v/>
      </c>
    </row>
    <row r="346" spans="6:18" x14ac:dyDescent="0.3">
      <c r="F346" s="2">
        <f t="shared" si="7"/>
        <v>329</v>
      </c>
      <c r="G346" s="2" t="str">
        <f>IF(Iterations[[#This Row],[Step]] =current_step, current_a,IF(Iterations[[#This Row],[Step]] &gt; current_step, "",Iterations[[#This Row],[a]]))</f>
        <v/>
      </c>
      <c r="H346" s="2" t="str">
        <f>IF(Iterations[[#This Row],[Step]] =current_step, current_b,IF(Iterations[[#This Row],[Step]] &gt; current_step, "",Iterations[[#This Row],[b]]))</f>
        <v/>
      </c>
      <c r="I346" s="2" t="str">
        <f>IF(Iterations[[#This Row],[Step]] =current_step, current_c,IF(Iterations[[#This Row],[Step]] &gt; current_step, "",Iterations[[#This Row],[c]]))</f>
        <v/>
      </c>
      <c r="J346" s="2" t="str">
        <f>IF(Iterations[[#This Row],[Step]] =current_step, current_d,IF(Iterations[[#This Row],[Step]] &gt; current_step, "",Iterations[[#This Row],[d]]))</f>
        <v/>
      </c>
      <c r="K346" s="2" t="str">
        <f>IF(Iterations[[#This Row],[Step]] =current_step, current_e,IF(Iterations[[#This Row],[Step]] &gt; current_step, "",Iterations[[#This Row],[e]]))</f>
        <v/>
      </c>
      <c r="L346" s="2" t="str">
        <f>IF(Iterations[[#This Row],[Step]] =current_step, current_Total_Loss,IF(Iterations[[#This Row],[Step]] &gt; current_step, "",Iterations[[#This Row],[Total Loss]]))</f>
        <v/>
      </c>
      <c r="M346" s="6" t="s">
        <v>27</v>
      </c>
      <c r="N346" s="2" t="str">
        <f>IF(Iterations[[#This Row],[Step]] =current_step, current_Grad_a,IF(Iterations[[#This Row],[Step]] &gt; current_step, "",Iterations[[#This Row],[Grad_a]]))</f>
        <v/>
      </c>
      <c r="O346" s="2" t="str">
        <f>IF(Iterations[[#This Row],[Step]] =current_step, current_Grad_b,IF(Iterations[[#This Row],[Step]] &gt; current_step, "",Iterations[[#This Row],[Grad_b]]))</f>
        <v/>
      </c>
      <c r="P346" s="2" t="str">
        <f>IF(Iterations[[#This Row],[Step]] =current_step, current_Grad_c,IF(Iterations[[#This Row],[Step]] &gt; current_step, "",Iterations[[#This Row],[Grad_c]]))</f>
        <v/>
      </c>
      <c r="Q346" s="2" t="str">
        <f>IF(Iterations[[#This Row],[Step]] =current_step, current_Grad_d,IF(Iterations[[#This Row],[Step]] &gt; current_step, "",Iterations[[#This Row],[Grad_d]]))</f>
        <v/>
      </c>
      <c r="R346" s="2" t="str">
        <f>IF(Iterations[[#This Row],[Step]] =current_step, current_Grad_e,IF(Iterations[[#This Row],[Step]] &gt; current_step, "",Iterations[[#This Row],[Grad_e]]))</f>
        <v/>
      </c>
    </row>
    <row r="347" spans="6:18" x14ac:dyDescent="0.3">
      <c r="F347" s="2">
        <f t="shared" si="7"/>
        <v>330</v>
      </c>
      <c r="G347" s="2" t="str">
        <f>IF(Iterations[[#This Row],[Step]] =current_step, current_a,IF(Iterations[[#This Row],[Step]] &gt; current_step, "",Iterations[[#This Row],[a]]))</f>
        <v/>
      </c>
      <c r="H347" s="2" t="str">
        <f>IF(Iterations[[#This Row],[Step]] =current_step, current_b,IF(Iterations[[#This Row],[Step]] &gt; current_step, "",Iterations[[#This Row],[b]]))</f>
        <v/>
      </c>
      <c r="I347" s="2" t="str">
        <f>IF(Iterations[[#This Row],[Step]] =current_step, current_c,IF(Iterations[[#This Row],[Step]] &gt; current_step, "",Iterations[[#This Row],[c]]))</f>
        <v/>
      </c>
      <c r="J347" s="2" t="str">
        <f>IF(Iterations[[#This Row],[Step]] =current_step, current_d,IF(Iterations[[#This Row],[Step]] &gt; current_step, "",Iterations[[#This Row],[d]]))</f>
        <v/>
      </c>
      <c r="K347" s="2" t="str">
        <f>IF(Iterations[[#This Row],[Step]] =current_step, current_e,IF(Iterations[[#This Row],[Step]] &gt; current_step, "",Iterations[[#This Row],[e]]))</f>
        <v/>
      </c>
      <c r="L347" s="2" t="str">
        <f>IF(Iterations[[#This Row],[Step]] =current_step, current_Total_Loss,IF(Iterations[[#This Row],[Step]] &gt; current_step, "",Iterations[[#This Row],[Total Loss]]))</f>
        <v/>
      </c>
      <c r="M347" s="6" t="s">
        <v>27</v>
      </c>
      <c r="N347" s="2" t="str">
        <f>IF(Iterations[[#This Row],[Step]] =current_step, current_Grad_a,IF(Iterations[[#This Row],[Step]] &gt; current_step, "",Iterations[[#This Row],[Grad_a]]))</f>
        <v/>
      </c>
      <c r="O347" s="2" t="str">
        <f>IF(Iterations[[#This Row],[Step]] =current_step, current_Grad_b,IF(Iterations[[#This Row],[Step]] &gt; current_step, "",Iterations[[#This Row],[Grad_b]]))</f>
        <v/>
      </c>
      <c r="P347" s="2" t="str">
        <f>IF(Iterations[[#This Row],[Step]] =current_step, current_Grad_c,IF(Iterations[[#This Row],[Step]] &gt; current_step, "",Iterations[[#This Row],[Grad_c]]))</f>
        <v/>
      </c>
      <c r="Q347" s="2" t="str">
        <f>IF(Iterations[[#This Row],[Step]] =current_step, current_Grad_d,IF(Iterations[[#This Row],[Step]] &gt; current_step, "",Iterations[[#This Row],[Grad_d]]))</f>
        <v/>
      </c>
      <c r="R347" s="2" t="str">
        <f>IF(Iterations[[#This Row],[Step]] =current_step, current_Grad_e,IF(Iterations[[#This Row],[Step]] &gt; current_step, "",Iterations[[#This Row],[Grad_e]]))</f>
        <v/>
      </c>
    </row>
    <row r="348" spans="6:18" x14ac:dyDescent="0.3">
      <c r="F348" s="2">
        <f t="shared" si="7"/>
        <v>331</v>
      </c>
      <c r="G348" s="2" t="str">
        <f>IF(Iterations[[#This Row],[Step]] =current_step, current_a,IF(Iterations[[#This Row],[Step]] &gt; current_step, "",Iterations[[#This Row],[a]]))</f>
        <v/>
      </c>
      <c r="H348" s="2" t="str">
        <f>IF(Iterations[[#This Row],[Step]] =current_step, current_b,IF(Iterations[[#This Row],[Step]] &gt; current_step, "",Iterations[[#This Row],[b]]))</f>
        <v/>
      </c>
      <c r="I348" s="2" t="str">
        <f>IF(Iterations[[#This Row],[Step]] =current_step, current_c,IF(Iterations[[#This Row],[Step]] &gt; current_step, "",Iterations[[#This Row],[c]]))</f>
        <v/>
      </c>
      <c r="J348" s="2" t="str">
        <f>IF(Iterations[[#This Row],[Step]] =current_step, current_d,IF(Iterations[[#This Row],[Step]] &gt; current_step, "",Iterations[[#This Row],[d]]))</f>
        <v/>
      </c>
      <c r="K348" s="2" t="str">
        <f>IF(Iterations[[#This Row],[Step]] =current_step, current_e,IF(Iterations[[#This Row],[Step]] &gt; current_step, "",Iterations[[#This Row],[e]]))</f>
        <v/>
      </c>
      <c r="L348" s="2" t="str">
        <f>IF(Iterations[[#This Row],[Step]] =current_step, current_Total_Loss,IF(Iterations[[#This Row],[Step]] &gt; current_step, "",Iterations[[#This Row],[Total Loss]]))</f>
        <v/>
      </c>
      <c r="M348" s="6" t="s">
        <v>27</v>
      </c>
      <c r="N348" s="2" t="str">
        <f>IF(Iterations[[#This Row],[Step]] =current_step, current_Grad_a,IF(Iterations[[#This Row],[Step]] &gt; current_step, "",Iterations[[#This Row],[Grad_a]]))</f>
        <v/>
      </c>
      <c r="O348" s="2" t="str">
        <f>IF(Iterations[[#This Row],[Step]] =current_step, current_Grad_b,IF(Iterations[[#This Row],[Step]] &gt; current_step, "",Iterations[[#This Row],[Grad_b]]))</f>
        <v/>
      </c>
      <c r="P348" s="2" t="str">
        <f>IF(Iterations[[#This Row],[Step]] =current_step, current_Grad_c,IF(Iterations[[#This Row],[Step]] &gt; current_step, "",Iterations[[#This Row],[Grad_c]]))</f>
        <v/>
      </c>
      <c r="Q348" s="2" t="str">
        <f>IF(Iterations[[#This Row],[Step]] =current_step, current_Grad_d,IF(Iterations[[#This Row],[Step]] &gt; current_step, "",Iterations[[#This Row],[Grad_d]]))</f>
        <v/>
      </c>
      <c r="R348" s="2" t="str">
        <f>IF(Iterations[[#This Row],[Step]] =current_step, current_Grad_e,IF(Iterations[[#This Row],[Step]] &gt; current_step, "",Iterations[[#This Row],[Grad_e]]))</f>
        <v/>
      </c>
    </row>
    <row r="349" spans="6:18" x14ac:dyDescent="0.3">
      <c r="F349" s="2">
        <f t="shared" si="7"/>
        <v>332</v>
      </c>
      <c r="G349" s="2" t="str">
        <f>IF(Iterations[[#This Row],[Step]] =current_step, current_a,IF(Iterations[[#This Row],[Step]] &gt; current_step, "",Iterations[[#This Row],[a]]))</f>
        <v/>
      </c>
      <c r="H349" s="2" t="str">
        <f>IF(Iterations[[#This Row],[Step]] =current_step, current_b,IF(Iterations[[#This Row],[Step]] &gt; current_step, "",Iterations[[#This Row],[b]]))</f>
        <v/>
      </c>
      <c r="I349" s="2" t="str">
        <f>IF(Iterations[[#This Row],[Step]] =current_step, current_c,IF(Iterations[[#This Row],[Step]] &gt; current_step, "",Iterations[[#This Row],[c]]))</f>
        <v/>
      </c>
      <c r="J349" s="2" t="str">
        <f>IF(Iterations[[#This Row],[Step]] =current_step, current_d,IF(Iterations[[#This Row],[Step]] &gt; current_step, "",Iterations[[#This Row],[d]]))</f>
        <v/>
      </c>
      <c r="K349" s="2" t="str">
        <f>IF(Iterations[[#This Row],[Step]] =current_step, current_e,IF(Iterations[[#This Row],[Step]] &gt; current_step, "",Iterations[[#This Row],[e]]))</f>
        <v/>
      </c>
      <c r="L349" s="2" t="str">
        <f>IF(Iterations[[#This Row],[Step]] =current_step, current_Total_Loss,IF(Iterations[[#This Row],[Step]] &gt; current_step, "",Iterations[[#This Row],[Total Loss]]))</f>
        <v/>
      </c>
      <c r="M349" s="6" t="s">
        <v>27</v>
      </c>
      <c r="N349" s="2" t="str">
        <f>IF(Iterations[[#This Row],[Step]] =current_step, current_Grad_a,IF(Iterations[[#This Row],[Step]] &gt; current_step, "",Iterations[[#This Row],[Grad_a]]))</f>
        <v/>
      </c>
      <c r="O349" s="2" t="str">
        <f>IF(Iterations[[#This Row],[Step]] =current_step, current_Grad_b,IF(Iterations[[#This Row],[Step]] &gt; current_step, "",Iterations[[#This Row],[Grad_b]]))</f>
        <v/>
      </c>
      <c r="P349" s="2" t="str">
        <f>IF(Iterations[[#This Row],[Step]] =current_step, current_Grad_c,IF(Iterations[[#This Row],[Step]] &gt; current_step, "",Iterations[[#This Row],[Grad_c]]))</f>
        <v/>
      </c>
      <c r="Q349" s="2" t="str">
        <f>IF(Iterations[[#This Row],[Step]] =current_step, current_Grad_d,IF(Iterations[[#This Row],[Step]] &gt; current_step, "",Iterations[[#This Row],[Grad_d]]))</f>
        <v/>
      </c>
      <c r="R349" s="2" t="str">
        <f>IF(Iterations[[#This Row],[Step]] =current_step, current_Grad_e,IF(Iterations[[#This Row],[Step]] &gt; current_step, "",Iterations[[#This Row],[Grad_e]]))</f>
        <v/>
      </c>
    </row>
    <row r="350" spans="6:18" x14ac:dyDescent="0.3">
      <c r="F350" s="2">
        <f t="shared" si="7"/>
        <v>333</v>
      </c>
      <c r="G350" s="2" t="str">
        <f>IF(Iterations[[#This Row],[Step]] =current_step, current_a,IF(Iterations[[#This Row],[Step]] &gt; current_step, "",Iterations[[#This Row],[a]]))</f>
        <v/>
      </c>
      <c r="H350" s="2" t="str">
        <f>IF(Iterations[[#This Row],[Step]] =current_step, current_b,IF(Iterations[[#This Row],[Step]] &gt; current_step, "",Iterations[[#This Row],[b]]))</f>
        <v/>
      </c>
      <c r="I350" s="2" t="str">
        <f>IF(Iterations[[#This Row],[Step]] =current_step, current_c,IF(Iterations[[#This Row],[Step]] &gt; current_step, "",Iterations[[#This Row],[c]]))</f>
        <v/>
      </c>
      <c r="J350" s="2" t="str">
        <f>IF(Iterations[[#This Row],[Step]] =current_step, current_d,IF(Iterations[[#This Row],[Step]] &gt; current_step, "",Iterations[[#This Row],[d]]))</f>
        <v/>
      </c>
      <c r="K350" s="2" t="str">
        <f>IF(Iterations[[#This Row],[Step]] =current_step, current_e,IF(Iterations[[#This Row],[Step]] &gt; current_step, "",Iterations[[#This Row],[e]]))</f>
        <v/>
      </c>
      <c r="L350" s="2" t="str">
        <f>IF(Iterations[[#This Row],[Step]] =current_step, current_Total_Loss,IF(Iterations[[#This Row],[Step]] &gt; current_step, "",Iterations[[#This Row],[Total Loss]]))</f>
        <v/>
      </c>
      <c r="M350" s="6" t="s">
        <v>27</v>
      </c>
      <c r="N350" s="2" t="str">
        <f>IF(Iterations[[#This Row],[Step]] =current_step, current_Grad_a,IF(Iterations[[#This Row],[Step]] &gt; current_step, "",Iterations[[#This Row],[Grad_a]]))</f>
        <v/>
      </c>
      <c r="O350" s="2" t="str">
        <f>IF(Iterations[[#This Row],[Step]] =current_step, current_Grad_b,IF(Iterations[[#This Row],[Step]] &gt; current_step, "",Iterations[[#This Row],[Grad_b]]))</f>
        <v/>
      </c>
      <c r="P350" s="2" t="str">
        <f>IF(Iterations[[#This Row],[Step]] =current_step, current_Grad_c,IF(Iterations[[#This Row],[Step]] &gt; current_step, "",Iterations[[#This Row],[Grad_c]]))</f>
        <v/>
      </c>
      <c r="Q350" s="2" t="str">
        <f>IF(Iterations[[#This Row],[Step]] =current_step, current_Grad_d,IF(Iterations[[#This Row],[Step]] &gt; current_step, "",Iterations[[#This Row],[Grad_d]]))</f>
        <v/>
      </c>
      <c r="R350" s="2" t="str">
        <f>IF(Iterations[[#This Row],[Step]] =current_step, current_Grad_e,IF(Iterations[[#This Row],[Step]] &gt; current_step, "",Iterations[[#This Row],[Grad_e]]))</f>
        <v/>
      </c>
    </row>
    <row r="351" spans="6:18" x14ac:dyDescent="0.3">
      <c r="F351" s="2">
        <f t="shared" si="7"/>
        <v>334</v>
      </c>
      <c r="G351" s="2" t="str">
        <f>IF(Iterations[[#This Row],[Step]] =current_step, current_a,IF(Iterations[[#This Row],[Step]] &gt; current_step, "",Iterations[[#This Row],[a]]))</f>
        <v/>
      </c>
      <c r="H351" s="2" t="str">
        <f>IF(Iterations[[#This Row],[Step]] =current_step, current_b,IF(Iterations[[#This Row],[Step]] &gt; current_step, "",Iterations[[#This Row],[b]]))</f>
        <v/>
      </c>
      <c r="I351" s="2" t="str">
        <f>IF(Iterations[[#This Row],[Step]] =current_step, current_c,IF(Iterations[[#This Row],[Step]] &gt; current_step, "",Iterations[[#This Row],[c]]))</f>
        <v/>
      </c>
      <c r="J351" s="2" t="str">
        <f>IF(Iterations[[#This Row],[Step]] =current_step, current_d,IF(Iterations[[#This Row],[Step]] &gt; current_step, "",Iterations[[#This Row],[d]]))</f>
        <v/>
      </c>
      <c r="K351" s="2" t="str">
        <f>IF(Iterations[[#This Row],[Step]] =current_step, current_e,IF(Iterations[[#This Row],[Step]] &gt; current_step, "",Iterations[[#This Row],[e]]))</f>
        <v/>
      </c>
      <c r="L351" s="2" t="str">
        <f>IF(Iterations[[#This Row],[Step]] =current_step, current_Total_Loss,IF(Iterations[[#This Row],[Step]] &gt; current_step, "",Iterations[[#This Row],[Total Loss]]))</f>
        <v/>
      </c>
      <c r="M351" s="6" t="s">
        <v>27</v>
      </c>
      <c r="N351" s="2" t="str">
        <f>IF(Iterations[[#This Row],[Step]] =current_step, current_Grad_a,IF(Iterations[[#This Row],[Step]] &gt; current_step, "",Iterations[[#This Row],[Grad_a]]))</f>
        <v/>
      </c>
      <c r="O351" s="2" t="str">
        <f>IF(Iterations[[#This Row],[Step]] =current_step, current_Grad_b,IF(Iterations[[#This Row],[Step]] &gt; current_step, "",Iterations[[#This Row],[Grad_b]]))</f>
        <v/>
      </c>
      <c r="P351" s="2" t="str">
        <f>IF(Iterations[[#This Row],[Step]] =current_step, current_Grad_c,IF(Iterations[[#This Row],[Step]] &gt; current_step, "",Iterations[[#This Row],[Grad_c]]))</f>
        <v/>
      </c>
      <c r="Q351" s="2" t="str">
        <f>IF(Iterations[[#This Row],[Step]] =current_step, current_Grad_d,IF(Iterations[[#This Row],[Step]] &gt; current_step, "",Iterations[[#This Row],[Grad_d]]))</f>
        <v/>
      </c>
      <c r="R351" s="2" t="str">
        <f>IF(Iterations[[#This Row],[Step]] =current_step, current_Grad_e,IF(Iterations[[#This Row],[Step]] &gt; current_step, "",Iterations[[#This Row],[Grad_e]]))</f>
        <v/>
      </c>
    </row>
    <row r="352" spans="6:18" x14ac:dyDescent="0.3">
      <c r="F352" s="2">
        <f t="shared" si="7"/>
        <v>335</v>
      </c>
      <c r="G352" s="2" t="str">
        <f>IF(Iterations[[#This Row],[Step]] =current_step, current_a,IF(Iterations[[#This Row],[Step]] &gt; current_step, "",Iterations[[#This Row],[a]]))</f>
        <v/>
      </c>
      <c r="H352" s="2" t="str">
        <f>IF(Iterations[[#This Row],[Step]] =current_step, current_b,IF(Iterations[[#This Row],[Step]] &gt; current_step, "",Iterations[[#This Row],[b]]))</f>
        <v/>
      </c>
      <c r="I352" s="2" t="str">
        <f>IF(Iterations[[#This Row],[Step]] =current_step, current_c,IF(Iterations[[#This Row],[Step]] &gt; current_step, "",Iterations[[#This Row],[c]]))</f>
        <v/>
      </c>
      <c r="J352" s="2" t="str">
        <f>IF(Iterations[[#This Row],[Step]] =current_step, current_d,IF(Iterations[[#This Row],[Step]] &gt; current_step, "",Iterations[[#This Row],[d]]))</f>
        <v/>
      </c>
      <c r="K352" s="2" t="str">
        <f>IF(Iterations[[#This Row],[Step]] =current_step, current_e,IF(Iterations[[#This Row],[Step]] &gt; current_step, "",Iterations[[#This Row],[e]]))</f>
        <v/>
      </c>
      <c r="L352" s="2" t="str">
        <f>IF(Iterations[[#This Row],[Step]] =current_step, current_Total_Loss,IF(Iterations[[#This Row],[Step]] &gt; current_step, "",Iterations[[#This Row],[Total Loss]]))</f>
        <v/>
      </c>
      <c r="M352" s="6" t="s">
        <v>27</v>
      </c>
      <c r="N352" s="2" t="str">
        <f>IF(Iterations[[#This Row],[Step]] =current_step, current_Grad_a,IF(Iterations[[#This Row],[Step]] &gt; current_step, "",Iterations[[#This Row],[Grad_a]]))</f>
        <v/>
      </c>
      <c r="O352" s="2" t="str">
        <f>IF(Iterations[[#This Row],[Step]] =current_step, current_Grad_b,IF(Iterations[[#This Row],[Step]] &gt; current_step, "",Iterations[[#This Row],[Grad_b]]))</f>
        <v/>
      </c>
      <c r="P352" s="2" t="str">
        <f>IF(Iterations[[#This Row],[Step]] =current_step, current_Grad_c,IF(Iterations[[#This Row],[Step]] &gt; current_step, "",Iterations[[#This Row],[Grad_c]]))</f>
        <v/>
      </c>
      <c r="Q352" s="2" t="str">
        <f>IF(Iterations[[#This Row],[Step]] =current_step, current_Grad_d,IF(Iterations[[#This Row],[Step]] &gt; current_step, "",Iterations[[#This Row],[Grad_d]]))</f>
        <v/>
      </c>
      <c r="R352" s="2" t="str">
        <f>IF(Iterations[[#This Row],[Step]] =current_step, current_Grad_e,IF(Iterations[[#This Row],[Step]] &gt; current_step, "",Iterations[[#This Row],[Grad_e]]))</f>
        <v/>
      </c>
    </row>
    <row r="353" spans="6:18" x14ac:dyDescent="0.3">
      <c r="F353" s="2">
        <f t="shared" si="7"/>
        <v>336</v>
      </c>
      <c r="G353" s="2" t="str">
        <f>IF(Iterations[[#This Row],[Step]] =current_step, current_a,IF(Iterations[[#This Row],[Step]] &gt; current_step, "",Iterations[[#This Row],[a]]))</f>
        <v/>
      </c>
      <c r="H353" s="2" t="str">
        <f>IF(Iterations[[#This Row],[Step]] =current_step, current_b,IF(Iterations[[#This Row],[Step]] &gt; current_step, "",Iterations[[#This Row],[b]]))</f>
        <v/>
      </c>
      <c r="I353" s="2" t="str">
        <f>IF(Iterations[[#This Row],[Step]] =current_step, current_c,IF(Iterations[[#This Row],[Step]] &gt; current_step, "",Iterations[[#This Row],[c]]))</f>
        <v/>
      </c>
      <c r="J353" s="2" t="str">
        <f>IF(Iterations[[#This Row],[Step]] =current_step, current_d,IF(Iterations[[#This Row],[Step]] &gt; current_step, "",Iterations[[#This Row],[d]]))</f>
        <v/>
      </c>
      <c r="K353" s="2" t="str">
        <f>IF(Iterations[[#This Row],[Step]] =current_step, current_e,IF(Iterations[[#This Row],[Step]] &gt; current_step, "",Iterations[[#This Row],[e]]))</f>
        <v/>
      </c>
      <c r="L353" s="2" t="str">
        <f>IF(Iterations[[#This Row],[Step]] =current_step, current_Total_Loss,IF(Iterations[[#This Row],[Step]] &gt; current_step, "",Iterations[[#This Row],[Total Loss]]))</f>
        <v/>
      </c>
      <c r="M353" s="6" t="s">
        <v>27</v>
      </c>
      <c r="N353" s="2" t="str">
        <f>IF(Iterations[[#This Row],[Step]] =current_step, current_Grad_a,IF(Iterations[[#This Row],[Step]] &gt; current_step, "",Iterations[[#This Row],[Grad_a]]))</f>
        <v/>
      </c>
      <c r="O353" s="2" t="str">
        <f>IF(Iterations[[#This Row],[Step]] =current_step, current_Grad_b,IF(Iterations[[#This Row],[Step]] &gt; current_step, "",Iterations[[#This Row],[Grad_b]]))</f>
        <v/>
      </c>
      <c r="P353" s="2" t="str">
        <f>IF(Iterations[[#This Row],[Step]] =current_step, current_Grad_c,IF(Iterations[[#This Row],[Step]] &gt; current_step, "",Iterations[[#This Row],[Grad_c]]))</f>
        <v/>
      </c>
      <c r="Q353" s="2" t="str">
        <f>IF(Iterations[[#This Row],[Step]] =current_step, current_Grad_d,IF(Iterations[[#This Row],[Step]] &gt; current_step, "",Iterations[[#This Row],[Grad_d]]))</f>
        <v/>
      </c>
      <c r="R353" s="2" t="str">
        <f>IF(Iterations[[#This Row],[Step]] =current_step, current_Grad_e,IF(Iterations[[#This Row],[Step]] &gt; current_step, "",Iterations[[#This Row],[Grad_e]]))</f>
        <v/>
      </c>
    </row>
    <row r="354" spans="6:18" x14ac:dyDescent="0.3">
      <c r="F354" s="2">
        <f t="shared" si="7"/>
        <v>337</v>
      </c>
      <c r="G354" s="2" t="str">
        <f>IF(Iterations[[#This Row],[Step]] =current_step, current_a,IF(Iterations[[#This Row],[Step]] &gt; current_step, "",Iterations[[#This Row],[a]]))</f>
        <v/>
      </c>
      <c r="H354" s="2" t="str">
        <f>IF(Iterations[[#This Row],[Step]] =current_step, current_b,IF(Iterations[[#This Row],[Step]] &gt; current_step, "",Iterations[[#This Row],[b]]))</f>
        <v/>
      </c>
      <c r="I354" s="2" t="str">
        <f>IF(Iterations[[#This Row],[Step]] =current_step, current_c,IF(Iterations[[#This Row],[Step]] &gt; current_step, "",Iterations[[#This Row],[c]]))</f>
        <v/>
      </c>
      <c r="J354" s="2" t="str">
        <f>IF(Iterations[[#This Row],[Step]] =current_step, current_d,IF(Iterations[[#This Row],[Step]] &gt; current_step, "",Iterations[[#This Row],[d]]))</f>
        <v/>
      </c>
      <c r="K354" s="2" t="str">
        <f>IF(Iterations[[#This Row],[Step]] =current_step, current_e,IF(Iterations[[#This Row],[Step]] &gt; current_step, "",Iterations[[#This Row],[e]]))</f>
        <v/>
      </c>
      <c r="L354" s="2" t="str">
        <f>IF(Iterations[[#This Row],[Step]] =current_step, current_Total_Loss,IF(Iterations[[#This Row],[Step]] &gt; current_step, "",Iterations[[#This Row],[Total Loss]]))</f>
        <v/>
      </c>
      <c r="M354" s="6" t="s">
        <v>27</v>
      </c>
      <c r="N354" s="2" t="str">
        <f>IF(Iterations[[#This Row],[Step]] =current_step, current_Grad_a,IF(Iterations[[#This Row],[Step]] &gt; current_step, "",Iterations[[#This Row],[Grad_a]]))</f>
        <v/>
      </c>
      <c r="O354" s="2" t="str">
        <f>IF(Iterations[[#This Row],[Step]] =current_step, current_Grad_b,IF(Iterations[[#This Row],[Step]] &gt; current_step, "",Iterations[[#This Row],[Grad_b]]))</f>
        <v/>
      </c>
      <c r="P354" s="2" t="str">
        <f>IF(Iterations[[#This Row],[Step]] =current_step, current_Grad_c,IF(Iterations[[#This Row],[Step]] &gt; current_step, "",Iterations[[#This Row],[Grad_c]]))</f>
        <v/>
      </c>
      <c r="Q354" s="2" t="str">
        <f>IF(Iterations[[#This Row],[Step]] =current_step, current_Grad_d,IF(Iterations[[#This Row],[Step]] &gt; current_step, "",Iterations[[#This Row],[Grad_d]]))</f>
        <v/>
      </c>
      <c r="R354" s="2" t="str">
        <f>IF(Iterations[[#This Row],[Step]] =current_step, current_Grad_e,IF(Iterations[[#This Row],[Step]] &gt; current_step, "",Iterations[[#This Row],[Grad_e]]))</f>
        <v/>
      </c>
    </row>
    <row r="355" spans="6:18" x14ac:dyDescent="0.3">
      <c r="F355" s="2">
        <f t="shared" si="7"/>
        <v>338</v>
      </c>
      <c r="G355" s="2" t="str">
        <f>IF(Iterations[[#This Row],[Step]] =current_step, current_a,IF(Iterations[[#This Row],[Step]] &gt; current_step, "",Iterations[[#This Row],[a]]))</f>
        <v/>
      </c>
      <c r="H355" s="2" t="str">
        <f>IF(Iterations[[#This Row],[Step]] =current_step, current_b,IF(Iterations[[#This Row],[Step]] &gt; current_step, "",Iterations[[#This Row],[b]]))</f>
        <v/>
      </c>
      <c r="I355" s="2" t="str">
        <f>IF(Iterations[[#This Row],[Step]] =current_step, current_c,IF(Iterations[[#This Row],[Step]] &gt; current_step, "",Iterations[[#This Row],[c]]))</f>
        <v/>
      </c>
      <c r="J355" s="2" t="str">
        <f>IF(Iterations[[#This Row],[Step]] =current_step, current_d,IF(Iterations[[#This Row],[Step]] &gt; current_step, "",Iterations[[#This Row],[d]]))</f>
        <v/>
      </c>
      <c r="K355" s="2" t="str">
        <f>IF(Iterations[[#This Row],[Step]] =current_step, current_e,IF(Iterations[[#This Row],[Step]] &gt; current_step, "",Iterations[[#This Row],[e]]))</f>
        <v/>
      </c>
      <c r="L355" s="2" t="str">
        <f>IF(Iterations[[#This Row],[Step]] =current_step, current_Total_Loss,IF(Iterations[[#This Row],[Step]] &gt; current_step, "",Iterations[[#This Row],[Total Loss]]))</f>
        <v/>
      </c>
      <c r="M355" s="6" t="s">
        <v>27</v>
      </c>
      <c r="N355" s="2" t="str">
        <f>IF(Iterations[[#This Row],[Step]] =current_step, current_Grad_a,IF(Iterations[[#This Row],[Step]] &gt; current_step, "",Iterations[[#This Row],[Grad_a]]))</f>
        <v/>
      </c>
      <c r="O355" s="2" t="str">
        <f>IF(Iterations[[#This Row],[Step]] =current_step, current_Grad_b,IF(Iterations[[#This Row],[Step]] &gt; current_step, "",Iterations[[#This Row],[Grad_b]]))</f>
        <v/>
      </c>
      <c r="P355" s="2" t="str">
        <f>IF(Iterations[[#This Row],[Step]] =current_step, current_Grad_c,IF(Iterations[[#This Row],[Step]] &gt; current_step, "",Iterations[[#This Row],[Grad_c]]))</f>
        <v/>
      </c>
      <c r="Q355" s="2" t="str">
        <f>IF(Iterations[[#This Row],[Step]] =current_step, current_Grad_d,IF(Iterations[[#This Row],[Step]] &gt; current_step, "",Iterations[[#This Row],[Grad_d]]))</f>
        <v/>
      </c>
      <c r="R355" s="2" t="str">
        <f>IF(Iterations[[#This Row],[Step]] =current_step, current_Grad_e,IF(Iterations[[#This Row],[Step]] &gt; current_step, "",Iterations[[#This Row],[Grad_e]]))</f>
        <v/>
      </c>
    </row>
    <row r="356" spans="6:18" x14ac:dyDescent="0.3">
      <c r="F356" s="2">
        <f t="shared" si="7"/>
        <v>339</v>
      </c>
      <c r="G356" s="2" t="str">
        <f>IF(Iterations[[#This Row],[Step]] =current_step, current_a,IF(Iterations[[#This Row],[Step]] &gt; current_step, "",Iterations[[#This Row],[a]]))</f>
        <v/>
      </c>
      <c r="H356" s="2" t="str">
        <f>IF(Iterations[[#This Row],[Step]] =current_step, current_b,IF(Iterations[[#This Row],[Step]] &gt; current_step, "",Iterations[[#This Row],[b]]))</f>
        <v/>
      </c>
      <c r="I356" s="2" t="str">
        <f>IF(Iterations[[#This Row],[Step]] =current_step, current_c,IF(Iterations[[#This Row],[Step]] &gt; current_step, "",Iterations[[#This Row],[c]]))</f>
        <v/>
      </c>
      <c r="J356" s="2" t="str">
        <f>IF(Iterations[[#This Row],[Step]] =current_step, current_d,IF(Iterations[[#This Row],[Step]] &gt; current_step, "",Iterations[[#This Row],[d]]))</f>
        <v/>
      </c>
      <c r="K356" s="2" t="str">
        <f>IF(Iterations[[#This Row],[Step]] =current_step, current_e,IF(Iterations[[#This Row],[Step]] &gt; current_step, "",Iterations[[#This Row],[e]]))</f>
        <v/>
      </c>
      <c r="L356" s="2" t="str">
        <f>IF(Iterations[[#This Row],[Step]] =current_step, current_Total_Loss,IF(Iterations[[#This Row],[Step]] &gt; current_step, "",Iterations[[#This Row],[Total Loss]]))</f>
        <v/>
      </c>
      <c r="M356" s="6" t="s">
        <v>27</v>
      </c>
      <c r="N356" s="2" t="str">
        <f>IF(Iterations[[#This Row],[Step]] =current_step, current_Grad_a,IF(Iterations[[#This Row],[Step]] &gt; current_step, "",Iterations[[#This Row],[Grad_a]]))</f>
        <v/>
      </c>
      <c r="O356" s="2" t="str">
        <f>IF(Iterations[[#This Row],[Step]] =current_step, current_Grad_b,IF(Iterations[[#This Row],[Step]] &gt; current_step, "",Iterations[[#This Row],[Grad_b]]))</f>
        <v/>
      </c>
      <c r="P356" s="2" t="str">
        <f>IF(Iterations[[#This Row],[Step]] =current_step, current_Grad_c,IF(Iterations[[#This Row],[Step]] &gt; current_step, "",Iterations[[#This Row],[Grad_c]]))</f>
        <v/>
      </c>
      <c r="Q356" s="2" t="str">
        <f>IF(Iterations[[#This Row],[Step]] =current_step, current_Grad_d,IF(Iterations[[#This Row],[Step]] &gt; current_step, "",Iterations[[#This Row],[Grad_d]]))</f>
        <v/>
      </c>
      <c r="R356" s="2" t="str">
        <f>IF(Iterations[[#This Row],[Step]] =current_step, current_Grad_e,IF(Iterations[[#This Row],[Step]] &gt; current_step, "",Iterations[[#This Row],[Grad_e]]))</f>
        <v/>
      </c>
    </row>
    <row r="357" spans="6:18" x14ac:dyDescent="0.3">
      <c r="F357" s="2">
        <f t="shared" si="7"/>
        <v>340</v>
      </c>
      <c r="G357" s="2" t="str">
        <f>IF(Iterations[[#This Row],[Step]] =current_step, current_a,IF(Iterations[[#This Row],[Step]] &gt; current_step, "",Iterations[[#This Row],[a]]))</f>
        <v/>
      </c>
      <c r="H357" s="2" t="str">
        <f>IF(Iterations[[#This Row],[Step]] =current_step, current_b,IF(Iterations[[#This Row],[Step]] &gt; current_step, "",Iterations[[#This Row],[b]]))</f>
        <v/>
      </c>
      <c r="I357" s="2" t="str">
        <f>IF(Iterations[[#This Row],[Step]] =current_step, current_c,IF(Iterations[[#This Row],[Step]] &gt; current_step, "",Iterations[[#This Row],[c]]))</f>
        <v/>
      </c>
      <c r="J357" s="2" t="str">
        <f>IF(Iterations[[#This Row],[Step]] =current_step, current_d,IF(Iterations[[#This Row],[Step]] &gt; current_step, "",Iterations[[#This Row],[d]]))</f>
        <v/>
      </c>
      <c r="K357" s="2" t="str">
        <f>IF(Iterations[[#This Row],[Step]] =current_step, current_e,IF(Iterations[[#This Row],[Step]] &gt; current_step, "",Iterations[[#This Row],[e]]))</f>
        <v/>
      </c>
      <c r="L357" s="2" t="str">
        <f>IF(Iterations[[#This Row],[Step]] =current_step, current_Total_Loss,IF(Iterations[[#This Row],[Step]] &gt; current_step, "",Iterations[[#This Row],[Total Loss]]))</f>
        <v/>
      </c>
      <c r="M357" s="6" t="s">
        <v>27</v>
      </c>
      <c r="N357" s="2" t="str">
        <f>IF(Iterations[[#This Row],[Step]] =current_step, current_Grad_a,IF(Iterations[[#This Row],[Step]] &gt; current_step, "",Iterations[[#This Row],[Grad_a]]))</f>
        <v/>
      </c>
      <c r="O357" s="2" t="str">
        <f>IF(Iterations[[#This Row],[Step]] =current_step, current_Grad_b,IF(Iterations[[#This Row],[Step]] &gt; current_step, "",Iterations[[#This Row],[Grad_b]]))</f>
        <v/>
      </c>
      <c r="P357" s="2" t="str">
        <f>IF(Iterations[[#This Row],[Step]] =current_step, current_Grad_c,IF(Iterations[[#This Row],[Step]] &gt; current_step, "",Iterations[[#This Row],[Grad_c]]))</f>
        <v/>
      </c>
      <c r="Q357" s="2" t="str">
        <f>IF(Iterations[[#This Row],[Step]] =current_step, current_Grad_d,IF(Iterations[[#This Row],[Step]] &gt; current_step, "",Iterations[[#This Row],[Grad_d]]))</f>
        <v/>
      </c>
      <c r="R357" s="2" t="str">
        <f>IF(Iterations[[#This Row],[Step]] =current_step, current_Grad_e,IF(Iterations[[#This Row],[Step]] &gt; current_step, "",Iterations[[#This Row],[Grad_e]]))</f>
        <v/>
      </c>
    </row>
    <row r="358" spans="6:18" x14ac:dyDescent="0.3">
      <c r="F358" s="2">
        <f t="shared" si="7"/>
        <v>341</v>
      </c>
      <c r="G358" s="2" t="str">
        <f>IF(Iterations[[#This Row],[Step]] =current_step, current_a,IF(Iterations[[#This Row],[Step]] &gt; current_step, "",Iterations[[#This Row],[a]]))</f>
        <v/>
      </c>
      <c r="H358" s="2" t="str">
        <f>IF(Iterations[[#This Row],[Step]] =current_step, current_b,IF(Iterations[[#This Row],[Step]] &gt; current_step, "",Iterations[[#This Row],[b]]))</f>
        <v/>
      </c>
      <c r="I358" s="2" t="str">
        <f>IF(Iterations[[#This Row],[Step]] =current_step, current_c,IF(Iterations[[#This Row],[Step]] &gt; current_step, "",Iterations[[#This Row],[c]]))</f>
        <v/>
      </c>
      <c r="J358" s="2" t="str">
        <f>IF(Iterations[[#This Row],[Step]] =current_step, current_d,IF(Iterations[[#This Row],[Step]] &gt; current_step, "",Iterations[[#This Row],[d]]))</f>
        <v/>
      </c>
      <c r="K358" s="2" t="str">
        <f>IF(Iterations[[#This Row],[Step]] =current_step, current_e,IF(Iterations[[#This Row],[Step]] &gt; current_step, "",Iterations[[#This Row],[e]]))</f>
        <v/>
      </c>
      <c r="L358" s="2" t="str">
        <f>IF(Iterations[[#This Row],[Step]] =current_step, current_Total_Loss,IF(Iterations[[#This Row],[Step]] &gt; current_step, "",Iterations[[#This Row],[Total Loss]]))</f>
        <v/>
      </c>
      <c r="M358" s="6" t="s">
        <v>27</v>
      </c>
      <c r="N358" s="2" t="str">
        <f>IF(Iterations[[#This Row],[Step]] =current_step, current_Grad_a,IF(Iterations[[#This Row],[Step]] &gt; current_step, "",Iterations[[#This Row],[Grad_a]]))</f>
        <v/>
      </c>
      <c r="O358" s="2" t="str">
        <f>IF(Iterations[[#This Row],[Step]] =current_step, current_Grad_b,IF(Iterations[[#This Row],[Step]] &gt; current_step, "",Iterations[[#This Row],[Grad_b]]))</f>
        <v/>
      </c>
      <c r="P358" s="2" t="str">
        <f>IF(Iterations[[#This Row],[Step]] =current_step, current_Grad_c,IF(Iterations[[#This Row],[Step]] &gt; current_step, "",Iterations[[#This Row],[Grad_c]]))</f>
        <v/>
      </c>
      <c r="Q358" s="2" t="str">
        <f>IF(Iterations[[#This Row],[Step]] =current_step, current_Grad_d,IF(Iterations[[#This Row],[Step]] &gt; current_step, "",Iterations[[#This Row],[Grad_d]]))</f>
        <v/>
      </c>
      <c r="R358" s="2" t="str">
        <f>IF(Iterations[[#This Row],[Step]] =current_step, current_Grad_e,IF(Iterations[[#This Row],[Step]] &gt; current_step, "",Iterations[[#This Row],[Grad_e]]))</f>
        <v/>
      </c>
    </row>
    <row r="359" spans="6:18" x14ac:dyDescent="0.3">
      <c r="F359" s="2">
        <f t="shared" si="7"/>
        <v>342</v>
      </c>
      <c r="G359" s="2" t="str">
        <f>IF(Iterations[[#This Row],[Step]] =current_step, current_a,IF(Iterations[[#This Row],[Step]] &gt; current_step, "",Iterations[[#This Row],[a]]))</f>
        <v/>
      </c>
      <c r="H359" s="2" t="str">
        <f>IF(Iterations[[#This Row],[Step]] =current_step, current_b,IF(Iterations[[#This Row],[Step]] &gt; current_step, "",Iterations[[#This Row],[b]]))</f>
        <v/>
      </c>
      <c r="I359" s="2" t="str">
        <f>IF(Iterations[[#This Row],[Step]] =current_step, current_c,IF(Iterations[[#This Row],[Step]] &gt; current_step, "",Iterations[[#This Row],[c]]))</f>
        <v/>
      </c>
      <c r="J359" s="2" t="str">
        <f>IF(Iterations[[#This Row],[Step]] =current_step, current_d,IF(Iterations[[#This Row],[Step]] &gt; current_step, "",Iterations[[#This Row],[d]]))</f>
        <v/>
      </c>
      <c r="K359" s="2" t="str">
        <f>IF(Iterations[[#This Row],[Step]] =current_step, current_e,IF(Iterations[[#This Row],[Step]] &gt; current_step, "",Iterations[[#This Row],[e]]))</f>
        <v/>
      </c>
      <c r="L359" s="2" t="str">
        <f>IF(Iterations[[#This Row],[Step]] =current_step, current_Total_Loss,IF(Iterations[[#This Row],[Step]] &gt; current_step, "",Iterations[[#This Row],[Total Loss]]))</f>
        <v/>
      </c>
      <c r="M359" s="6" t="s">
        <v>27</v>
      </c>
      <c r="N359" s="2" t="str">
        <f>IF(Iterations[[#This Row],[Step]] =current_step, current_Grad_a,IF(Iterations[[#This Row],[Step]] &gt; current_step, "",Iterations[[#This Row],[Grad_a]]))</f>
        <v/>
      </c>
      <c r="O359" s="2" t="str">
        <f>IF(Iterations[[#This Row],[Step]] =current_step, current_Grad_b,IF(Iterations[[#This Row],[Step]] &gt; current_step, "",Iterations[[#This Row],[Grad_b]]))</f>
        <v/>
      </c>
      <c r="P359" s="2" t="str">
        <f>IF(Iterations[[#This Row],[Step]] =current_step, current_Grad_c,IF(Iterations[[#This Row],[Step]] &gt; current_step, "",Iterations[[#This Row],[Grad_c]]))</f>
        <v/>
      </c>
      <c r="Q359" s="2" t="str">
        <f>IF(Iterations[[#This Row],[Step]] =current_step, current_Grad_d,IF(Iterations[[#This Row],[Step]] &gt; current_step, "",Iterations[[#This Row],[Grad_d]]))</f>
        <v/>
      </c>
      <c r="R359" s="2" t="str">
        <f>IF(Iterations[[#This Row],[Step]] =current_step, current_Grad_e,IF(Iterations[[#This Row],[Step]] &gt; current_step, "",Iterations[[#This Row],[Grad_e]]))</f>
        <v/>
      </c>
    </row>
    <row r="360" spans="6:18" x14ac:dyDescent="0.3">
      <c r="F360" s="2">
        <f t="shared" si="7"/>
        <v>343</v>
      </c>
      <c r="G360" s="2" t="str">
        <f>IF(Iterations[[#This Row],[Step]] =current_step, current_a,IF(Iterations[[#This Row],[Step]] &gt; current_step, "",Iterations[[#This Row],[a]]))</f>
        <v/>
      </c>
      <c r="H360" s="2" t="str">
        <f>IF(Iterations[[#This Row],[Step]] =current_step, current_b,IF(Iterations[[#This Row],[Step]] &gt; current_step, "",Iterations[[#This Row],[b]]))</f>
        <v/>
      </c>
      <c r="I360" s="2" t="str">
        <f>IF(Iterations[[#This Row],[Step]] =current_step, current_c,IF(Iterations[[#This Row],[Step]] &gt; current_step, "",Iterations[[#This Row],[c]]))</f>
        <v/>
      </c>
      <c r="J360" s="2" t="str">
        <f>IF(Iterations[[#This Row],[Step]] =current_step, current_d,IF(Iterations[[#This Row],[Step]] &gt; current_step, "",Iterations[[#This Row],[d]]))</f>
        <v/>
      </c>
      <c r="K360" s="2" t="str">
        <f>IF(Iterations[[#This Row],[Step]] =current_step, current_e,IF(Iterations[[#This Row],[Step]] &gt; current_step, "",Iterations[[#This Row],[e]]))</f>
        <v/>
      </c>
      <c r="L360" s="2" t="str">
        <f>IF(Iterations[[#This Row],[Step]] =current_step, current_Total_Loss,IF(Iterations[[#This Row],[Step]] &gt; current_step, "",Iterations[[#This Row],[Total Loss]]))</f>
        <v/>
      </c>
      <c r="M360" s="6" t="s">
        <v>27</v>
      </c>
      <c r="N360" s="2" t="str">
        <f>IF(Iterations[[#This Row],[Step]] =current_step, current_Grad_a,IF(Iterations[[#This Row],[Step]] &gt; current_step, "",Iterations[[#This Row],[Grad_a]]))</f>
        <v/>
      </c>
      <c r="O360" s="2" t="str">
        <f>IF(Iterations[[#This Row],[Step]] =current_step, current_Grad_b,IF(Iterations[[#This Row],[Step]] &gt; current_step, "",Iterations[[#This Row],[Grad_b]]))</f>
        <v/>
      </c>
      <c r="P360" s="2" t="str">
        <f>IF(Iterations[[#This Row],[Step]] =current_step, current_Grad_c,IF(Iterations[[#This Row],[Step]] &gt; current_step, "",Iterations[[#This Row],[Grad_c]]))</f>
        <v/>
      </c>
      <c r="Q360" s="2" t="str">
        <f>IF(Iterations[[#This Row],[Step]] =current_step, current_Grad_d,IF(Iterations[[#This Row],[Step]] &gt; current_step, "",Iterations[[#This Row],[Grad_d]]))</f>
        <v/>
      </c>
      <c r="R360" s="2" t="str">
        <f>IF(Iterations[[#This Row],[Step]] =current_step, current_Grad_e,IF(Iterations[[#This Row],[Step]] &gt; current_step, "",Iterations[[#This Row],[Grad_e]]))</f>
        <v/>
      </c>
    </row>
    <row r="361" spans="6:18" x14ac:dyDescent="0.3">
      <c r="F361" s="2">
        <f t="shared" si="7"/>
        <v>344</v>
      </c>
      <c r="G361" s="2" t="str">
        <f>IF(Iterations[[#This Row],[Step]] =current_step, current_a,IF(Iterations[[#This Row],[Step]] &gt; current_step, "",Iterations[[#This Row],[a]]))</f>
        <v/>
      </c>
      <c r="H361" s="2" t="str">
        <f>IF(Iterations[[#This Row],[Step]] =current_step, current_b,IF(Iterations[[#This Row],[Step]] &gt; current_step, "",Iterations[[#This Row],[b]]))</f>
        <v/>
      </c>
      <c r="I361" s="2" t="str">
        <f>IF(Iterations[[#This Row],[Step]] =current_step, current_c,IF(Iterations[[#This Row],[Step]] &gt; current_step, "",Iterations[[#This Row],[c]]))</f>
        <v/>
      </c>
      <c r="J361" s="2" t="str">
        <f>IF(Iterations[[#This Row],[Step]] =current_step, current_d,IF(Iterations[[#This Row],[Step]] &gt; current_step, "",Iterations[[#This Row],[d]]))</f>
        <v/>
      </c>
      <c r="K361" s="2" t="str">
        <f>IF(Iterations[[#This Row],[Step]] =current_step, current_e,IF(Iterations[[#This Row],[Step]] &gt; current_step, "",Iterations[[#This Row],[e]]))</f>
        <v/>
      </c>
      <c r="L361" s="2" t="str">
        <f>IF(Iterations[[#This Row],[Step]] =current_step, current_Total_Loss,IF(Iterations[[#This Row],[Step]] &gt; current_step, "",Iterations[[#This Row],[Total Loss]]))</f>
        <v/>
      </c>
      <c r="M361" s="6" t="s">
        <v>27</v>
      </c>
      <c r="N361" s="2" t="str">
        <f>IF(Iterations[[#This Row],[Step]] =current_step, current_Grad_a,IF(Iterations[[#This Row],[Step]] &gt; current_step, "",Iterations[[#This Row],[Grad_a]]))</f>
        <v/>
      </c>
      <c r="O361" s="2" t="str">
        <f>IF(Iterations[[#This Row],[Step]] =current_step, current_Grad_b,IF(Iterations[[#This Row],[Step]] &gt; current_step, "",Iterations[[#This Row],[Grad_b]]))</f>
        <v/>
      </c>
      <c r="P361" s="2" t="str">
        <f>IF(Iterations[[#This Row],[Step]] =current_step, current_Grad_c,IF(Iterations[[#This Row],[Step]] &gt; current_step, "",Iterations[[#This Row],[Grad_c]]))</f>
        <v/>
      </c>
      <c r="Q361" s="2" t="str">
        <f>IF(Iterations[[#This Row],[Step]] =current_step, current_Grad_d,IF(Iterations[[#This Row],[Step]] &gt; current_step, "",Iterations[[#This Row],[Grad_d]]))</f>
        <v/>
      </c>
      <c r="R361" s="2" t="str">
        <f>IF(Iterations[[#This Row],[Step]] =current_step, current_Grad_e,IF(Iterations[[#This Row],[Step]] &gt; current_step, "",Iterations[[#This Row],[Grad_e]]))</f>
        <v/>
      </c>
    </row>
    <row r="362" spans="6:18" x14ac:dyDescent="0.3">
      <c r="F362" s="2">
        <f t="shared" si="7"/>
        <v>345</v>
      </c>
      <c r="G362" s="2" t="str">
        <f>IF(Iterations[[#This Row],[Step]] =current_step, current_a,IF(Iterations[[#This Row],[Step]] &gt; current_step, "",Iterations[[#This Row],[a]]))</f>
        <v/>
      </c>
      <c r="H362" s="2" t="str">
        <f>IF(Iterations[[#This Row],[Step]] =current_step, current_b,IF(Iterations[[#This Row],[Step]] &gt; current_step, "",Iterations[[#This Row],[b]]))</f>
        <v/>
      </c>
      <c r="I362" s="2" t="str">
        <f>IF(Iterations[[#This Row],[Step]] =current_step, current_c,IF(Iterations[[#This Row],[Step]] &gt; current_step, "",Iterations[[#This Row],[c]]))</f>
        <v/>
      </c>
      <c r="J362" s="2" t="str">
        <f>IF(Iterations[[#This Row],[Step]] =current_step, current_d,IF(Iterations[[#This Row],[Step]] &gt; current_step, "",Iterations[[#This Row],[d]]))</f>
        <v/>
      </c>
      <c r="K362" s="2" t="str">
        <f>IF(Iterations[[#This Row],[Step]] =current_step, current_e,IF(Iterations[[#This Row],[Step]] &gt; current_step, "",Iterations[[#This Row],[e]]))</f>
        <v/>
      </c>
      <c r="L362" s="2" t="str">
        <f>IF(Iterations[[#This Row],[Step]] =current_step, current_Total_Loss,IF(Iterations[[#This Row],[Step]] &gt; current_step, "",Iterations[[#This Row],[Total Loss]]))</f>
        <v/>
      </c>
      <c r="M362" s="6" t="s">
        <v>27</v>
      </c>
      <c r="N362" s="2" t="str">
        <f>IF(Iterations[[#This Row],[Step]] =current_step, current_Grad_a,IF(Iterations[[#This Row],[Step]] &gt; current_step, "",Iterations[[#This Row],[Grad_a]]))</f>
        <v/>
      </c>
      <c r="O362" s="2" t="str">
        <f>IF(Iterations[[#This Row],[Step]] =current_step, current_Grad_b,IF(Iterations[[#This Row],[Step]] &gt; current_step, "",Iterations[[#This Row],[Grad_b]]))</f>
        <v/>
      </c>
      <c r="P362" s="2" t="str">
        <f>IF(Iterations[[#This Row],[Step]] =current_step, current_Grad_c,IF(Iterations[[#This Row],[Step]] &gt; current_step, "",Iterations[[#This Row],[Grad_c]]))</f>
        <v/>
      </c>
      <c r="Q362" s="2" t="str">
        <f>IF(Iterations[[#This Row],[Step]] =current_step, current_Grad_d,IF(Iterations[[#This Row],[Step]] &gt; current_step, "",Iterations[[#This Row],[Grad_d]]))</f>
        <v/>
      </c>
      <c r="R362" s="2" t="str">
        <f>IF(Iterations[[#This Row],[Step]] =current_step, current_Grad_e,IF(Iterations[[#This Row],[Step]] &gt; current_step, "",Iterations[[#This Row],[Grad_e]]))</f>
        <v/>
      </c>
    </row>
    <row r="363" spans="6:18" x14ac:dyDescent="0.3">
      <c r="F363" s="2">
        <f t="shared" si="7"/>
        <v>346</v>
      </c>
      <c r="G363" s="2" t="str">
        <f>IF(Iterations[[#This Row],[Step]] =current_step, current_a,IF(Iterations[[#This Row],[Step]] &gt; current_step, "",Iterations[[#This Row],[a]]))</f>
        <v/>
      </c>
      <c r="H363" s="2" t="str">
        <f>IF(Iterations[[#This Row],[Step]] =current_step, current_b,IF(Iterations[[#This Row],[Step]] &gt; current_step, "",Iterations[[#This Row],[b]]))</f>
        <v/>
      </c>
      <c r="I363" s="2" t="str">
        <f>IF(Iterations[[#This Row],[Step]] =current_step, current_c,IF(Iterations[[#This Row],[Step]] &gt; current_step, "",Iterations[[#This Row],[c]]))</f>
        <v/>
      </c>
      <c r="J363" s="2" t="str">
        <f>IF(Iterations[[#This Row],[Step]] =current_step, current_d,IF(Iterations[[#This Row],[Step]] &gt; current_step, "",Iterations[[#This Row],[d]]))</f>
        <v/>
      </c>
      <c r="K363" s="2" t="str">
        <f>IF(Iterations[[#This Row],[Step]] =current_step, current_e,IF(Iterations[[#This Row],[Step]] &gt; current_step, "",Iterations[[#This Row],[e]]))</f>
        <v/>
      </c>
      <c r="L363" s="2" t="str">
        <f>IF(Iterations[[#This Row],[Step]] =current_step, current_Total_Loss,IF(Iterations[[#This Row],[Step]] &gt; current_step, "",Iterations[[#This Row],[Total Loss]]))</f>
        <v/>
      </c>
      <c r="M363" s="6" t="s">
        <v>27</v>
      </c>
      <c r="N363" s="2" t="str">
        <f>IF(Iterations[[#This Row],[Step]] =current_step, current_Grad_a,IF(Iterations[[#This Row],[Step]] &gt; current_step, "",Iterations[[#This Row],[Grad_a]]))</f>
        <v/>
      </c>
      <c r="O363" s="2" t="str">
        <f>IF(Iterations[[#This Row],[Step]] =current_step, current_Grad_b,IF(Iterations[[#This Row],[Step]] &gt; current_step, "",Iterations[[#This Row],[Grad_b]]))</f>
        <v/>
      </c>
      <c r="P363" s="2" t="str">
        <f>IF(Iterations[[#This Row],[Step]] =current_step, current_Grad_c,IF(Iterations[[#This Row],[Step]] &gt; current_step, "",Iterations[[#This Row],[Grad_c]]))</f>
        <v/>
      </c>
      <c r="Q363" s="2" t="str">
        <f>IF(Iterations[[#This Row],[Step]] =current_step, current_Grad_d,IF(Iterations[[#This Row],[Step]] &gt; current_step, "",Iterations[[#This Row],[Grad_d]]))</f>
        <v/>
      </c>
      <c r="R363" s="2" t="str">
        <f>IF(Iterations[[#This Row],[Step]] =current_step, current_Grad_e,IF(Iterations[[#This Row],[Step]] &gt; current_step, "",Iterations[[#This Row],[Grad_e]]))</f>
        <v/>
      </c>
    </row>
    <row r="364" spans="6:18" x14ac:dyDescent="0.3">
      <c r="F364" s="2">
        <f t="shared" si="7"/>
        <v>347</v>
      </c>
      <c r="G364" s="2" t="str">
        <f>IF(Iterations[[#This Row],[Step]] =current_step, current_a,IF(Iterations[[#This Row],[Step]] &gt; current_step, "",Iterations[[#This Row],[a]]))</f>
        <v/>
      </c>
      <c r="H364" s="2" t="str">
        <f>IF(Iterations[[#This Row],[Step]] =current_step, current_b,IF(Iterations[[#This Row],[Step]] &gt; current_step, "",Iterations[[#This Row],[b]]))</f>
        <v/>
      </c>
      <c r="I364" s="2" t="str">
        <f>IF(Iterations[[#This Row],[Step]] =current_step, current_c,IF(Iterations[[#This Row],[Step]] &gt; current_step, "",Iterations[[#This Row],[c]]))</f>
        <v/>
      </c>
      <c r="J364" s="2" t="str">
        <f>IF(Iterations[[#This Row],[Step]] =current_step, current_d,IF(Iterations[[#This Row],[Step]] &gt; current_step, "",Iterations[[#This Row],[d]]))</f>
        <v/>
      </c>
      <c r="K364" s="2" t="str">
        <f>IF(Iterations[[#This Row],[Step]] =current_step, current_e,IF(Iterations[[#This Row],[Step]] &gt; current_step, "",Iterations[[#This Row],[e]]))</f>
        <v/>
      </c>
      <c r="L364" s="2" t="str">
        <f>IF(Iterations[[#This Row],[Step]] =current_step, current_Total_Loss,IF(Iterations[[#This Row],[Step]] &gt; current_step, "",Iterations[[#This Row],[Total Loss]]))</f>
        <v/>
      </c>
      <c r="M364" s="6" t="s">
        <v>27</v>
      </c>
      <c r="N364" s="2" t="str">
        <f>IF(Iterations[[#This Row],[Step]] =current_step, current_Grad_a,IF(Iterations[[#This Row],[Step]] &gt; current_step, "",Iterations[[#This Row],[Grad_a]]))</f>
        <v/>
      </c>
      <c r="O364" s="2" t="str">
        <f>IF(Iterations[[#This Row],[Step]] =current_step, current_Grad_b,IF(Iterations[[#This Row],[Step]] &gt; current_step, "",Iterations[[#This Row],[Grad_b]]))</f>
        <v/>
      </c>
      <c r="P364" s="2" t="str">
        <f>IF(Iterations[[#This Row],[Step]] =current_step, current_Grad_c,IF(Iterations[[#This Row],[Step]] &gt; current_step, "",Iterations[[#This Row],[Grad_c]]))</f>
        <v/>
      </c>
      <c r="Q364" s="2" t="str">
        <f>IF(Iterations[[#This Row],[Step]] =current_step, current_Grad_d,IF(Iterations[[#This Row],[Step]] &gt; current_step, "",Iterations[[#This Row],[Grad_d]]))</f>
        <v/>
      </c>
      <c r="R364" s="2" t="str">
        <f>IF(Iterations[[#This Row],[Step]] =current_step, current_Grad_e,IF(Iterations[[#This Row],[Step]] &gt; current_step, "",Iterations[[#This Row],[Grad_e]]))</f>
        <v/>
      </c>
    </row>
    <row r="365" spans="6:18" x14ac:dyDescent="0.3">
      <c r="F365" s="2">
        <f t="shared" si="7"/>
        <v>348</v>
      </c>
      <c r="G365" s="2" t="str">
        <f>IF(Iterations[[#This Row],[Step]] =current_step, current_a,IF(Iterations[[#This Row],[Step]] &gt; current_step, "",Iterations[[#This Row],[a]]))</f>
        <v/>
      </c>
      <c r="H365" s="2" t="str">
        <f>IF(Iterations[[#This Row],[Step]] =current_step, current_b,IF(Iterations[[#This Row],[Step]] &gt; current_step, "",Iterations[[#This Row],[b]]))</f>
        <v/>
      </c>
      <c r="I365" s="2" t="str">
        <f>IF(Iterations[[#This Row],[Step]] =current_step, current_c,IF(Iterations[[#This Row],[Step]] &gt; current_step, "",Iterations[[#This Row],[c]]))</f>
        <v/>
      </c>
      <c r="J365" s="2" t="str">
        <f>IF(Iterations[[#This Row],[Step]] =current_step, current_d,IF(Iterations[[#This Row],[Step]] &gt; current_step, "",Iterations[[#This Row],[d]]))</f>
        <v/>
      </c>
      <c r="K365" s="2" t="str">
        <f>IF(Iterations[[#This Row],[Step]] =current_step, current_e,IF(Iterations[[#This Row],[Step]] &gt; current_step, "",Iterations[[#This Row],[e]]))</f>
        <v/>
      </c>
      <c r="L365" s="2" t="str">
        <f>IF(Iterations[[#This Row],[Step]] =current_step, current_Total_Loss,IF(Iterations[[#This Row],[Step]] &gt; current_step, "",Iterations[[#This Row],[Total Loss]]))</f>
        <v/>
      </c>
      <c r="M365" s="6" t="s">
        <v>27</v>
      </c>
      <c r="N365" s="2" t="str">
        <f>IF(Iterations[[#This Row],[Step]] =current_step, current_Grad_a,IF(Iterations[[#This Row],[Step]] &gt; current_step, "",Iterations[[#This Row],[Grad_a]]))</f>
        <v/>
      </c>
      <c r="O365" s="2" t="str">
        <f>IF(Iterations[[#This Row],[Step]] =current_step, current_Grad_b,IF(Iterations[[#This Row],[Step]] &gt; current_step, "",Iterations[[#This Row],[Grad_b]]))</f>
        <v/>
      </c>
      <c r="P365" s="2" t="str">
        <f>IF(Iterations[[#This Row],[Step]] =current_step, current_Grad_c,IF(Iterations[[#This Row],[Step]] &gt; current_step, "",Iterations[[#This Row],[Grad_c]]))</f>
        <v/>
      </c>
      <c r="Q365" s="2" t="str">
        <f>IF(Iterations[[#This Row],[Step]] =current_step, current_Grad_d,IF(Iterations[[#This Row],[Step]] &gt; current_step, "",Iterations[[#This Row],[Grad_d]]))</f>
        <v/>
      </c>
      <c r="R365" s="2" t="str">
        <f>IF(Iterations[[#This Row],[Step]] =current_step, current_Grad_e,IF(Iterations[[#This Row],[Step]] &gt; current_step, "",Iterations[[#This Row],[Grad_e]]))</f>
        <v/>
      </c>
    </row>
    <row r="366" spans="6:18" x14ac:dyDescent="0.3">
      <c r="F366" s="2">
        <f t="shared" si="7"/>
        <v>349</v>
      </c>
      <c r="G366" s="2" t="str">
        <f>IF(Iterations[[#This Row],[Step]] =current_step, current_a,IF(Iterations[[#This Row],[Step]] &gt; current_step, "",Iterations[[#This Row],[a]]))</f>
        <v/>
      </c>
      <c r="H366" s="2" t="str">
        <f>IF(Iterations[[#This Row],[Step]] =current_step, current_b,IF(Iterations[[#This Row],[Step]] &gt; current_step, "",Iterations[[#This Row],[b]]))</f>
        <v/>
      </c>
      <c r="I366" s="2" t="str">
        <f>IF(Iterations[[#This Row],[Step]] =current_step, current_c,IF(Iterations[[#This Row],[Step]] &gt; current_step, "",Iterations[[#This Row],[c]]))</f>
        <v/>
      </c>
      <c r="J366" s="2" t="str">
        <f>IF(Iterations[[#This Row],[Step]] =current_step, current_d,IF(Iterations[[#This Row],[Step]] &gt; current_step, "",Iterations[[#This Row],[d]]))</f>
        <v/>
      </c>
      <c r="K366" s="2" t="str">
        <f>IF(Iterations[[#This Row],[Step]] =current_step, current_e,IF(Iterations[[#This Row],[Step]] &gt; current_step, "",Iterations[[#This Row],[e]]))</f>
        <v/>
      </c>
      <c r="L366" s="2" t="str">
        <f>IF(Iterations[[#This Row],[Step]] =current_step, current_Total_Loss,IF(Iterations[[#This Row],[Step]] &gt; current_step, "",Iterations[[#This Row],[Total Loss]]))</f>
        <v/>
      </c>
      <c r="M366" s="6" t="s">
        <v>27</v>
      </c>
      <c r="N366" s="2" t="str">
        <f>IF(Iterations[[#This Row],[Step]] =current_step, current_Grad_a,IF(Iterations[[#This Row],[Step]] &gt; current_step, "",Iterations[[#This Row],[Grad_a]]))</f>
        <v/>
      </c>
      <c r="O366" s="2" t="str">
        <f>IF(Iterations[[#This Row],[Step]] =current_step, current_Grad_b,IF(Iterations[[#This Row],[Step]] &gt; current_step, "",Iterations[[#This Row],[Grad_b]]))</f>
        <v/>
      </c>
      <c r="P366" s="2" t="str">
        <f>IF(Iterations[[#This Row],[Step]] =current_step, current_Grad_c,IF(Iterations[[#This Row],[Step]] &gt; current_step, "",Iterations[[#This Row],[Grad_c]]))</f>
        <v/>
      </c>
      <c r="Q366" s="2" t="str">
        <f>IF(Iterations[[#This Row],[Step]] =current_step, current_Grad_d,IF(Iterations[[#This Row],[Step]] &gt; current_step, "",Iterations[[#This Row],[Grad_d]]))</f>
        <v/>
      </c>
      <c r="R366" s="2" t="str">
        <f>IF(Iterations[[#This Row],[Step]] =current_step, current_Grad_e,IF(Iterations[[#This Row],[Step]] &gt; current_step, "",Iterations[[#This Row],[Grad_e]]))</f>
        <v/>
      </c>
    </row>
    <row r="367" spans="6:18" x14ac:dyDescent="0.3">
      <c r="F367" s="2">
        <f t="shared" si="7"/>
        <v>350</v>
      </c>
      <c r="G367" s="2" t="str">
        <f>IF(Iterations[[#This Row],[Step]] =current_step, current_a,IF(Iterations[[#This Row],[Step]] &gt; current_step, "",Iterations[[#This Row],[a]]))</f>
        <v/>
      </c>
      <c r="H367" s="2" t="str">
        <f>IF(Iterations[[#This Row],[Step]] =current_step, current_b,IF(Iterations[[#This Row],[Step]] &gt; current_step, "",Iterations[[#This Row],[b]]))</f>
        <v/>
      </c>
      <c r="I367" s="2" t="str">
        <f>IF(Iterations[[#This Row],[Step]] =current_step, current_c,IF(Iterations[[#This Row],[Step]] &gt; current_step, "",Iterations[[#This Row],[c]]))</f>
        <v/>
      </c>
      <c r="J367" s="2" t="str">
        <f>IF(Iterations[[#This Row],[Step]] =current_step, current_d,IF(Iterations[[#This Row],[Step]] &gt; current_step, "",Iterations[[#This Row],[d]]))</f>
        <v/>
      </c>
      <c r="K367" s="2" t="str">
        <f>IF(Iterations[[#This Row],[Step]] =current_step, current_e,IF(Iterations[[#This Row],[Step]] &gt; current_step, "",Iterations[[#This Row],[e]]))</f>
        <v/>
      </c>
      <c r="L367" s="2" t="str">
        <f>IF(Iterations[[#This Row],[Step]] =current_step, current_Total_Loss,IF(Iterations[[#This Row],[Step]] &gt; current_step, "",Iterations[[#This Row],[Total Loss]]))</f>
        <v/>
      </c>
      <c r="M367" s="6" t="s">
        <v>27</v>
      </c>
      <c r="N367" s="2" t="str">
        <f>IF(Iterations[[#This Row],[Step]] =current_step, current_Grad_a,IF(Iterations[[#This Row],[Step]] &gt; current_step, "",Iterations[[#This Row],[Grad_a]]))</f>
        <v/>
      </c>
      <c r="O367" s="2" t="str">
        <f>IF(Iterations[[#This Row],[Step]] =current_step, current_Grad_b,IF(Iterations[[#This Row],[Step]] &gt; current_step, "",Iterations[[#This Row],[Grad_b]]))</f>
        <v/>
      </c>
      <c r="P367" s="2" t="str">
        <f>IF(Iterations[[#This Row],[Step]] =current_step, current_Grad_c,IF(Iterations[[#This Row],[Step]] &gt; current_step, "",Iterations[[#This Row],[Grad_c]]))</f>
        <v/>
      </c>
      <c r="Q367" s="2" t="str">
        <f>IF(Iterations[[#This Row],[Step]] =current_step, current_Grad_d,IF(Iterations[[#This Row],[Step]] &gt; current_step, "",Iterations[[#This Row],[Grad_d]]))</f>
        <v/>
      </c>
      <c r="R367" s="2" t="str">
        <f>IF(Iterations[[#This Row],[Step]] =current_step, current_Grad_e,IF(Iterations[[#This Row],[Step]] &gt; current_step, "",Iterations[[#This Row],[Grad_e]]))</f>
        <v/>
      </c>
    </row>
    <row r="368" spans="6:18" x14ac:dyDescent="0.3">
      <c r="F368" s="2">
        <f t="shared" si="7"/>
        <v>351</v>
      </c>
      <c r="G368" s="2" t="str">
        <f>IF(Iterations[[#This Row],[Step]] =current_step, current_a,IF(Iterations[[#This Row],[Step]] &gt; current_step, "",Iterations[[#This Row],[a]]))</f>
        <v/>
      </c>
      <c r="H368" s="2" t="str">
        <f>IF(Iterations[[#This Row],[Step]] =current_step, current_b,IF(Iterations[[#This Row],[Step]] &gt; current_step, "",Iterations[[#This Row],[b]]))</f>
        <v/>
      </c>
      <c r="I368" s="2" t="str">
        <f>IF(Iterations[[#This Row],[Step]] =current_step, current_c,IF(Iterations[[#This Row],[Step]] &gt; current_step, "",Iterations[[#This Row],[c]]))</f>
        <v/>
      </c>
      <c r="J368" s="2" t="str">
        <f>IF(Iterations[[#This Row],[Step]] =current_step, current_d,IF(Iterations[[#This Row],[Step]] &gt; current_step, "",Iterations[[#This Row],[d]]))</f>
        <v/>
      </c>
      <c r="K368" s="2" t="str">
        <f>IF(Iterations[[#This Row],[Step]] =current_step, current_e,IF(Iterations[[#This Row],[Step]] &gt; current_step, "",Iterations[[#This Row],[e]]))</f>
        <v/>
      </c>
      <c r="L368" s="2" t="str">
        <f>IF(Iterations[[#This Row],[Step]] =current_step, current_Total_Loss,IF(Iterations[[#This Row],[Step]] &gt; current_step, "",Iterations[[#This Row],[Total Loss]]))</f>
        <v/>
      </c>
      <c r="M368" s="6" t="s">
        <v>27</v>
      </c>
      <c r="N368" s="2" t="str">
        <f>IF(Iterations[[#This Row],[Step]] =current_step, current_Grad_a,IF(Iterations[[#This Row],[Step]] &gt; current_step, "",Iterations[[#This Row],[Grad_a]]))</f>
        <v/>
      </c>
      <c r="O368" s="2" t="str">
        <f>IF(Iterations[[#This Row],[Step]] =current_step, current_Grad_b,IF(Iterations[[#This Row],[Step]] &gt; current_step, "",Iterations[[#This Row],[Grad_b]]))</f>
        <v/>
      </c>
      <c r="P368" s="2" t="str">
        <f>IF(Iterations[[#This Row],[Step]] =current_step, current_Grad_c,IF(Iterations[[#This Row],[Step]] &gt; current_step, "",Iterations[[#This Row],[Grad_c]]))</f>
        <v/>
      </c>
      <c r="Q368" s="2" t="str">
        <f>IF(Iterations[[#This Row],[Step]] =current_step, current_Grad_d,IF(Iterations[[#This Row],[Step]] &gt; current_step, "",Iterations[[#This Row],[Grad_d]]))</f>
        <v/>
      </c>
      <c r="R368" s="2" t="str">
        <f>IF(Iterations[[#This Row],[Step]] =current_step, current_Grad_e,IF(Iterations[[#This Row],[Step]] &gt; current_step, "",Iterations[[#This Row],[Grad_e]]))</f>
        <v/>
      </c>
    </row>
    <row r="369" spans="6:18" x14ac:dyDescent="0.3">
      <c r="F369" s="2">
        <f t="shared" si="7"/>
        <v>352</v>
      </c>
      <c r="G369" s="2" t="str">
        <f>IF(Iterations[[#This Row],[Step]] =current_step, current_a,IF(Iterations[[#This Row],[Step]] &gt; current_step, "",Iterations[[#This Row],[a]]))</f>
        <v/>
      </c>
      <c r="H369" s="2" t="str">
        <f>IF(Iterations[[#This Row],[Step]] =current_step, current_b,IF(Iterations[[#This Row],[Step]] &gt; current_step, "",Iterations[[#This Row],[b]]))</f>
        <v/>
      </c>
      <c r="I369" s="2" t="str">
        <f>IF(Iterations[[#This Row],[Step]] =current_step, current_c,IF(Iterations[[#This Row],[Step]] &gt; current_step, "",Iterations[[#This Row],[c]]))</f>
        <v/>
      </c>
      <c r="J369" s="2" t="str">
        <f>IF(Iterations[[#This Row],[Step]] =current_step, current_d,IF(Iterations[[#This Row],[Step]] &gt; current_step, "",Iterations[[#This Row],[d]]))</f>
        <v/>
      </c>
      <c r="K369" s="2" t="str">
        <f>IF(Iterations[[#This Row],[Step]] =current_step, current_e,IF(Iterations[[#This Row],[Step]] &gt; current_step, "",Iterations[[#This Row],[e]]))</f>
        <v/>
      </c>
      <c r="L369" s="2" t="str">
        <f>IF(Iterations[[#This Row],[Step]] =current_step, current_Total_Loss,IF(Iterations[[#This Row],[Step]] &gt; current_step, "",Iterations[[#This Row],[Total Loss]]))</f>
        <v/>
      </c>
      <c r="M369" s="6" t="s">
        <v>27</v>
      </c>
      <c r="N369" s="2" t="str">
        <f>IF(Iterations[[#This Row],[Step]] =current_step, current_Grad_a,IF(Iterations[[#This Row],[Step]] &gt; current_step, "",Iterations[[#This Row],[Grad_a]]))</f>
        <v/>
      </c>
      <c r="O369" s="2" t="str">
        <f>IF(Iterations[[#This Row],[Step]] =current_step, current_Grad_b,IF(Iterations[[#This Row],[Step]] &gt; current_step, "",Iterations[[#This Row],[Grad_b]]))</f>
        <v/>
      </c>
      <c r="P369" s="2" t="str">
        <f>IF(Iterations[[#This Row],[Step]] =current_step, current_Grad_c,IF(Iterations[[#This Row],[Step]] &gt; current_step, "",Iterations[[#This Row],[Grad_c]]))</f>
        <v/>
      </c>
      <c r="Q369" s="2" t="str">
        <f>IF(Iterations[[#This Row],[Step]] =current_step, current_Grad_d,IF(Iterations[[#This Row],[Step]] &gt; current_step, "",Iterations[[#This Row],[Grad_d]]))</f>
        <v/>
      </c>
      <c r="R369" s="2" t="str">
        <f>IF(Iterations[[#This Row],[Step]] =current_step, current_Grad_e,IF(Iterations[[#This Row],[Step]] &gt; current_step, "",Iterations[[#This Row],[Grad_e]]))</f>
        <v/>
      </c>
    </row>
    <row r="370" spans="6:18" x14ac:dyDescent="0.3">
      <c r="F370" s="2">
        <f t="shared" si="7"/>
        <v>353</v>
      </c>
      <c r="G370" s="2" t="str">
        <f>IF(Iterations[[#This Row],[Step]] =current_step, current_a,IF(Iterations[[#This Row],[Step]] &gt; current_step, "",Iterations[[#This Row],[a]]))</f>
        <v/>
      </c>
      <c r="H370" s="2" t="str">
        <f>IF(Iterations[[#This Row],[Step]] =current_step, current_b,IF(Iterations[[#This Row],[Step]] &gt; current_step, "",Iterations[[#This Row],[b]]))</f>
        <v/>
      </c>
      <c r="I370" s="2" t="str">
        <f>IF(Iterations[[#This Row],[Step]] =current_step, current_c,IF(Iterations[[#This Row],[Step]] &gt; current_step, "",Iterations[[#This Row],[c]]))</f>
        <v/>
      </c>
      <c r="J370" s="2" t="str">
        <f>IF(Iterations[[#This Row],[Step]] =current_step, current_d,IF(Iterations[[#This Row],[Step]] &gt; current_step, "",Iterations[[#This Row],[d]]))</f>
        <v/>
      </c>
      <c r="K370" s="2" t="str">
        <f>IF(Iterations[[#This Row],[Step]] =current_step, current_e,IF(Iterations[[#This Row],[Step]] &gt; current_step, "",Iterations[[#This Row],[e]]))</f>
        <v/>
      </c>
      <c r="L370" s="2" t="str">
        <f>IF(Iterations[[#This Row],[Step]] =current_step, current_Total_Loss,IF(Iterations[[#This Row],[Step]] &gt; current_step, "",Iterations[[#This Row],[Total Loss]]))</f>
        <v/>
      </c>
      <c r="M370" s="6" t="s">
        <v>27</v>
      </c>
      <c r="N370" s="2" t="str">
        <f>IF(Iterations[[#This Row],[Step]] =current_step, current_Grad_a,IF(Iterations[[#This Row],[Step]] &gt; current_step, "",Iterations[[#This Row],[Grad_a]]))</f>
        <v/>
      </c>
      <c r="O370" s="2" t="str">
        <f>IF(Iterations[[#This Row],[Step]] =current_step, current_Grad_b,IF(Iterations[[#This Row],[Step]] &gt; current_step, "",Iterations[[#This Row],[Grad_b]]))</f>
        <v/>
      </c>
      <c r="P370" s="2" t="str">
        <f>IF(Iterations[[#This Row],[Step]] =current_step, current_Grad_c,IF(Iterations[[#This Row],[Step]] &gt; current_step, "",Iterations[[#This Row],[Grad_c]]))</f>
        <v/>
      </c>
      <c r="Q370" s="2" t="str">
        <f>IF(Iterations[[#This Row],[Step]] =current_step, current_Grad_d,IF(Iterations[[#This Row],[Step]] &gt; current_step, "",Iterations[[#This Row],[Grad_d]]))</f>
        <v/>
      </c>
      <c r="R370" s="2" t="str">
        <f>IF(Iterations[[#This Row],[Step]] =current_step, current_Grad_e,IF(Iterations[[#This Row],[Step]] &gt; current_step, "",Iterations[[#This Row],[Grad_e]]))</f>
        <v/>
      </c>
    </row>
    <row r="371" spans="6:18" x14ac:dyDescent="0.3">
      <c r="F371" s="2">
        <f t="shared" si="7"/>
        <v>354</v>
      </c>
      <c r="G371" s="2" t="str">
        <f>IF(Iterations[[#This Row],[Step]] =current_step, current_a,IF(Iterations[[#This Row],[Step]] &gt; current_step, "",Iterations[[#This Row],[a]]))</f>
        <v/>
      </c>
      <c r="H371" s="2" t="str">
        <f>IF(Iterations[[#This Row],[Step]] =current_step, current_b,IF(Iterations[[#This Row],[Step]] &gt; current_step, "",Iterations[[#This Row],[b]]))</f>
        <v/>
      </c>
      <c r="I371" s="2" t="str">
        <f>IF(Iterations[[#This Row],[Step]] =current_step, current_c,IF(Iterations[[#This Row],[Step]] &gt; current_step, "",Iterations[[#This Row],[c]]))</f>
        <v/>
      </c>
      <c r="J371" s="2" t="str">
        <f>IF(Iterations[[#This Row],[Step]] =current_step, current_d,IF(Iterations[[#This Row],[Step]] &gt; current_step, "",Iterations[[#This Row],[d]]))</f>
        <v/>
      </c>
      <c r="K371" s="2" t="str">
        <f>IF(Iterations[[#This Row],[Step]] =current_step, current_e,IF(Iterations[[#This Row],[Step]] &gt; current_step, "",Iterations[[#This Row],[e]]))</f>
        <v/>
      </c>
      <c r="L371" s="2" t="str">
        <f>IF(Iterations[[#This Row],[Step]] =current_step, current_Total_Loss,IF(Iterations[[#This Row],[Step]] &gt; current_step, "",Iterations[[#This Row],[Total Loss]]))</f>
        <v/>
      </c>
      <c r="M371" s="6" t="s">
        <v>27</v>
      </c>
      <c r="N371" s="2" t="str">
        <f>IF(Iterations[[#This Row],[Step]] =current_step, current_Grad_a,IF(Iterations[[#This Row],[Step]] &gt; current_step, "",Iterations[[#This Row],[Grad_a]]))</f>
        <v/>
      </c>
      <c r="O371" s="2" t="str">
        <f>IF(Iterations[[#This Row],[Step]] =current_step, current_Grad_b,IF(Iterations[[#This Row],[Step]] &gt; current_step, "",Iterations[[#This Row],[Grad_b]]))</f>
        <v/>
      </c>
      <c r="P371" s="2" t="str">
        <f>IF(Iterations[[#This Row],[Step]] =current_step, current_Grad_c,IF(Iterations[[#This Row],[Step]] &gt; current_step, "",Iterations[[#This Row],[Grad_c]]))</f>
        <v/>
      </c>
      <c r="Q371" s="2" t="str">
        <f>IF(Iterations[[#This Row],[Step]] =current_step, current_Grad_d,IF(Iterations[[#This Row],[Step]] &gt; current_step, "",Iterations[[#This Row],[Grad_d]]))</f>
        <v/>
      </c>
      <c r="R371" s="2" t="str">
        <f>IF(Iterations[[#This Row],[Step]] =current_step, current_Grad_e,IF(Iterations[[#This Row],[Step]] &gt; current_step, "",Iterations[[#This Row],[Grad_e]]))</f>
        <v/>
      </c>
    </row>
    <row r="372" spans="6:18" x14ac:dyDescent="0.3">
      <c r="F372" s="2">
        <f t="shared" si="7"/>
        <v>355</v>
      </c>
      <c r="G372" s="2" t="str">
        <f>IF(Iterations[[#This Row],[Step]] =current_step, current_a,IF(Iterations[[#This Row],[Step]] &gt; current_step, "",Iterations[[#This Row],[a]]))</f>
        <v/>
      </c>
      <c r="H372" s="2" t="str">
        <f>IF(Iterations[[#This Row],[Step]] =current_step, current_b,IF(Iterations[[#This Row],[Step]] &gt; current_step, "",Iterations[[#This Row],[b]]))</f>
        <v/>
      </c>
      <c r="I372" s="2" t="str">
        <f>IF(Iterations[[#This Row],[Step]] =current_step, current_c,IF(Iterations[[#This Row],[Step]] &gt; current_step, "",Iterations[[#This Row],[c]]))</f>
        <v/>
      </c>
      <c r="J372" s="2" t="str">
        <f>IF(Iterations[[#This Row],[Step]] =current_step, current_d,IF(Iterations[[#This Row],[Step]] &gt; current_step, "",Iterations[[#This Row],[d]]))</f>
        <v/>
      </c>
      <c r="K372" s="2" t="str">
        <f>IF(Iterations[[#This Row],[Step]] =current_step, current_e,IF(Iterations[[#This Row],[Step]] &gt; current_step, "",Iterations[[#This Row],[e]]))</f>
        <v/>
      </c>
      <c r="L372" s="2" t="str">
        <f>IF(Iterations[[#This Row],[Step]] =current_step, current_Total_Loss,IF(Iterations[[#This Row],[Step]] &gt; current_step, "",Iterations[[#This Row],[Total Loss]]))</f>
        <v/>
      </c>
      <c r="M372" s="6" t="s">
        <v>27</v>
      </c>
      <c r="N372" s="2" t="str">
        <f>IF(Iterations[[#This Row],[Step]] =current_step, current_Grad_a,IF(Iterations[[#This Row],[Step]] &gt; current_step, "",Iterations[[#This Row],[Grad_a]]))</f>
        <v/>
      </c>
      <c r="O372" s="2" t="str">
        <f>IF(Iterations[[#This Row],[Step]] =current_step, current_Grad_b,IF(Iterations[[#This Row],[Step]] &gt; current_step, "",Iterations[[#This Row],[Grad_b]]))</f>
        <v/>
      </c>
      <c r="P372" s="2" t="str">
        <f>IF(Iterations[[#This Row],[Step]] =current_step, current_Grad_c,IF(Iterations[[#This Row],[Step]] &gt; current_step, "",Iterations[[#This Row],[Grad_c]]))</f>
        <v/>
      </c>
      <c r="Q372" s="2" t="str">
        <f>IF(Iterations[[#This Row],[Step]] =current_step, current_Grad_d,IF(Iterations[[#This Row],[Step]] &gt; current_step, "",Iterations[[#This Row],[Grad_d]]))</f>
        <v/>
      </c>
      <c r="R372" s="2" t="str">
        <f>IF(Iterations[[#This Row],[Step]] =current_step, current_Grad_e,IF(Iterations[[#This Row],[Step]] &gt; current_step, "",Iterations[[#This Row],[Grad_e]]))</f>
        <v/>
      </c>
    </row>
    <row r="373" spans="6:18" x14ac:dyDescent="0.3">
      <c r="F373" s="2">
        <f t="shared" si="7"/>
        <v>356</v>
      </c>
      <c r="G373" s="2" t="str">
        <f>IF(Iterations[[#This Row],[Step]] =current_step, current_a,IF(Iterations[[#This Row],[Step]] &gt; current_step, "",Iterations[[#This Row],[a]]))</f>
        <v/>
      </c>
      <c r="H373" s="2" t="str">
        <f>IF(Iterations[[#This Row],[Step]] =current_step, current_b,IF(Iterations[[#This Row],[Step]] &gt; current_step, "",Iterations[[#This Row],[b]]))</f>
        <v/>
      </c>
      <c r="I373" s="2" t="str">
        <f>IF(Iterations[[#This Row],[Step]] =current_step, current_c,IF(Iterations[[#This Row],[Step]] &gt; current_step, "",Iterations[[#This Row],[c]]))</f>
        <v/>
      </c>
      <c r="J373" s="2" t="str">
        <f>IF(Iterations[[#This Row],[Step]] =current_step, current_d,IF(Iterations[[#This Row],[Step]] &gt; current_step, "",Iterations[[#This Row],[d]]))</f>
        <v/>
      </c>
      <c r="K373" s="2" t="str">
        <f>IF(Iterations[[#This Row],[Step]] =current_step, current_e,IF(Iterations[[#This Row],[Step]] &gt; current_step, "",Iterations[[#This Row],[e]]))</f>
        <v/>
      </c>
      <c r="L373" s="2" t="str">
        <f>IF(Iterations[[#This Row],[Step]] =current_step, current_Total_Loss,IF(Iterations[[#This Row],[Step]] &gt; current_step, "",Iterations[[#This Row],[Total Loss]]))</f>
        <v/>
      </c>
      <c r="M373" s="6" t="s">
        <v>27</v>
      </c>
      <c r="N373" s="2" t="str">
        <f>IF(Iterations[[#This Row],[Step]] =current_step, current_Grad_a,IF(Iterations[[#This Row],[Step]] &gt; current_step, "",Iterations[[#This Row],[Grad_a]]))</f>
        <v/>
      </c>
      <c r="O373" s="2" t="str">
        <f>IF(Iterations[[#This Row],[Step]] =current_step, current_Grad_b,IF(Iterations[[#This Row],[Step]] &gt; current_step, "",Iterations[[#This Row],[Grad_b]]))</f>
        <v/>
      </c>
      <c r="P373" s="2" t="str">
        <f>IF(Iterations[[#This Row],[Step]] =current_step, current_Grad_c,IF(Iterations[[#This Row],[Step]] &gt; current_step, "",Iterations[[#This Row],[Grad_c]]))</f>
        <v/>
      </c>
      <c r="Q373" s="2" t="str">
        <f>IF(Iterations[[#This Row],[Step]] =current_step, current_Grad_d,IF(Iterations[[#This Row],[Step]] &gt; current_step, "",Iterations[[#This Row],[Grad_d]]))</f>
        <v/>
      </c>
      <c r="R373" s="2" t="str">
        <f>IF(Iterations[[#This Row],[Step]] =current_step, current_Grad_e,IF(Iterations[[#This Row],[Step]] &gt; current_step, "",Iterations[[#This Row],[Grad_e]]))</f>
        <v/>
      </c>
    </row>
    <row r="374" spans="6:18" x14ac:dyDescent="0.3">
      <c r="F374" s="2">
        <f t="shared" si="7"/>
        <v>357</v>
      </c>
      <c r="G374" s="2" t="str">
        <f>IF(Iterations[[#This Row],[Step]] =current_step, current_a,IF(Iterations[[#This Row],[Step]] &gt; current_step, "",Iterations[[#This Row],[a]]))</f>
        <v/>
      </c>
      <c r="H374" s="2" t="str">
        <f>IF(Iterations[[#This Row],[Step]] =current_step, current_b,IF(Iterations[[#This Row],[Step]] &gt; current_step, "",Iterations[[#This Row],[b]]))</f>
        <v/>
      </c>
      <c r="I374" s="2" t="str">
        <f>IF(Iterations[[#This Row],[Step]] =current_step, current_c,IF(Iterations[[#This Row],[Step]] &gt; current_step, "",Iterations[[#This Row],[c]]))</f>
        <v/>
      </c>
      <c r="J374" s="2" t="str">
        <f>IF(Iterations[[#This Row],[Step]] =current_step, current_d,IF(Iterations[[#This Row],[Step]] &gt; current_step, "",Iterations[[#This Row],[d]]))</f>
        <v/>
      </c>
      <c r="K374" s="2" t="str">
        <f>IF(Iterations[[#This Row],[Step]] =current_step, current_e,IF(Iterations[[#This Row],[Step]] &gt; current_step, "",Iterations[[#This Row],[e]]))</f>
        <v/>
      </c>
      <c r="L374" s="2" t="str">
        <f>IF(Iterations[[#This Row],[Step]] =current_step, current_Total_Loss,IF(Iterations[[#This Row],[Step]] &gt; current_step, "",Iterations[[#This Row],[Total Loss]]))</f>
        <v/>
      </c>
      <c r="M374" s="6" t="s">
        <v>27</v>
      </c>
      <c r="N374" s="2" t="str">
        <f>IF(Iterations[[#This Row],[Step]] =current_step, current_Grad_a,IF(Iterations[[#This Row],[Step]] &gt; current_step, "",Iterations[[#This Row],[Grad_a]]))</f>
        <v/>
      </c>
      <c r="O374" s="2" t="str">
        <f>IF(Iterations[[#This Row],[Step]] =current_step, current_Grad_b,IF(Iterations[[#This Row],[Step]] &gt; current_step, "",Iterations[[#This Row],[Grad_b]]))</f>
        <v/>
      </c>
      <c r="P374" s="2" t="str">
        <f>IF(Iterations[[#This Row],[Step]] =current_step, current_Grad_c,IF(Iterations[[#This Row],[Step]] &gt; current_step, "",Iterations[[#This Row],[Grad_c]]))</f>
        <v/>
      </c>
      <c r="Q374" s="2" t="str">
        <f>IF(Iterations[[#This Row],[Step]] =current_step, current_Grad_d,IF(Iterations[[#This Row],[Step]] &gt; current_step, "",Iterations[[#This Row],[Grad_d]]))</f>
        <v/>
      </c>
      <c r="R374" s="2" t="str">
        <f>IF(Iterations[[#This Row],[Step]] =current_step, current_Grad_e,IF(Iterations[[#This Row],[Step]] &gt; current_step, "",Iterations[[#This Row],[Grad_e]]))</f>
        <v/>
      </c>
    </row>
    <row r="375" spans="6:18" x14ac:dyDescent="0.3">
      <c r="F375" s="2">
        <f t="shared" si="7"/>
        <v>358</v>
      </c>
      <c r="G375" s="2" t="str">
        <f>IF(Iterations[[#This Row],[Step]] =current_step, current_a,IF(Iterations[[#This Row],[Step]] &gt; current_step, "",Iterations[[#This Row],[a]]))</f>
        <v/>
      </c>
      <c r="H375" s="2" t="str">
        <f>IF(Iterations[[#This Row],[Step]] =current_step, current_b,IF(Iterations[[#This Row],[Step]] &gt; current_step, "",Iterations[[#This Row],[b]]))</f>
        <v/>
      </c>
      <c r="I375" s="2" t="str">
        <f>IF(Iterations[[#This Row],[Step]] =current_step, current_c,IF(Iterations[[#This Row],[Step]] &gt; current_step, "",Iterations[[#This Row],[c]]))</f>
        <v/>
      </c>
      <c r="J375" s="2" t="str">
        <f>IF(Iterations[[#This Row],[Step]] =current_step, current_d,IF(Iterations[[#This Row],[Step]] &gt; current_step, "",Iterations[[#This Row],[d]]))</f>
        <v/>
      </c>
      <c r="K375" s="2" t="str">
        <f>IF(Iterations[[#This Row],[Step]] =current_step, current_e,IF(Iterations[[#This Row],[Step]] &gt; current_step, "",Iterations[[#This Row],[e]]))</f>
        <v/>
      </c>
      <c r="L375" s="2" t="str">
        <f>IF(Iterations[[#This Row],[Step]] =current_step, current_Total_Loss,IF(Iterations[[#This Row],[Step]] &gt; current_step, "",Iterations[[#This Row],[Total Loss]]))</f>
        <v/>
      </c>
      <c r="M375" s="6" t="s">
        <v>27</v>
      </c>
      <c r="N375" s="2" t="str">
        <f>IF(Iterations[[#This Row],[Step]] =current_step, current_Grad_a,IF(Iterations[[#This Row],[Step]] &gt; current_step, "",Iterations[[#This Row],[Grad_a]]))</f>
        <v/>
      </c>
      <c r="O375" s="2" t="str">
        <f>IF(Iterations[[#This Row],[Step]] =current_step, current_Grad_b,IF(Iterations[[#This Row],[Step]] &gt; current_step, "",Iterations[[#This Row],[Grad_b]]))</f>
        <v/>
      </c>
      <c r="P375" s="2" t="str">
        <f>IF(Iterations[[#This Row],[Step]] =current_step, current_Grad_c,IF(Iterations[[#This Row],[Step]] &gt; current_step, "",Iterations[[#This Row],[Grad_c]]))</f>
        <v/>
      </c>
      <c r="Q375" s="2" t="str">
        <f>IF(Iterations[[#This Row],[Step]] =current_step, current_Grad_d,IF(Iterations[[#This Row],[Step]] &gt; current_step, "",Iterations[[#This Row],[Grad_d]]))</f>
        <v/>
      </c>
      <c r="R375" s="2" t="str">
        <f>IF(Iterations[[#This Row],[Step]] =current_step, current_Grad_e,IF(Iterations[[#This Row],[Step]] &gt; current_step, "",Iterations[[#This Row],[Grad_e]]))</f>
        <v/>
      </c>
    </row>
    <row r="376" spans="6:18" x14ac:dyDescent="0.3">
      <c r="F376" s="2">
        <f t="shared" si="7"/>
        <v>359</v>
      </c>
      <c r="G376" s="2" t="str">
        <f>IF(Iterations[[#This Row],[Step]] =current_step, current_a,IF(Iterations[[#This Row],[Step]] &gt; current_step, "",Iterations[[#This Row],[a]]))</f>
        <v/>
      </c>
      <c r="H376" s="2" t="str">
        <f>IF(Iterations[[#This Row],[Step]] =current_step, current_b,IF(Iterations[[#This Row],[Step]] &gt; current_step, "",Iterations[[#This Row],[b]]))</f>
        <v/>
      </c>
      <c r="I376" s="2" t="str">
        <f>IF(Iterations[[#This Row],[Step]] =current_step, current_c,IF(Iterations[[#This Row],[Step]] &gt; current_step, "",Iterations[[#This Row],[c]]))</f>
        <v/>
      </c>
      <c r="J376" s="2" t="str">
        <f>IF(Iterations[[#This Row],[Step]] =current_step, current_d,IF(Iterations[[#This Row],[Step]] &gt; current_step, "",Iterations[[#This Row],[d]]))</f>
        <v/>
      </c>
      <c r="K376" s="2" t="str">
        <f>IF(Iterations[[#This Row],[Step]] =current_step, current_e,IF(Iterations[[#This Row],[Step]] &gt; current_step, "",Iterations[[#This Row],[e]]))</f>
        <v/>
      </c>
      <c r="L376" s="2" t="str">
        <f>IF(Iterations[[#This Row],[Step]] =current_step, current_Total_Loss,IF(Iterations[[#This Row],[Step]] &gt; current_step, "",Iterations[[#This Row],[Total Loss]]))</f>
        <v/>
      </c>
      <c r="M376" s="6" t="s">
        <v>27</v>
      </c>
      <c r="N376" s="2" t="str">
        <f>IF(Iterations[[#This Row],[Step]] =current_step, current_Grad_a,IF(Iterations[[#This Row],[Step]] &gt; current_step, "",Iterations[[#This Row],[Grad_a]]))</f>
        <v/>
      </c>
      <c r="O376" s="2" t="str">
        <f>IF(Iterations[[#This Row],[Step]] =current_step, current_Grad_b,IF(Iterations[[#This Row],[Step]] &gt; current_step, "",Iterations[[#This Row],[Grad_b]]))</f>
        <v/>
      </c>
      <c r="P376" s="2" t="str">
        <f>IF(Iterations[[#This Row],[Step]] =current_step, current_Grad_c,IF(Iterations[[#This Row],[Step]] &gt; current_step, "",Iterations[[#This Row],[Grad_c]]))</f>
        <v/>
      </c>
      <c r="Q376" s="2" t="str">
        <f>IF(Iterations[[#This Row],[Step]] =current_step, current_Grad_d,IF(Iterations[[#This Row],[Step]] &gt; current_step, "",Iterations[[#This Row],[Grad_d]]))</f>
        <v/>
      </c>
      <c r="R376" s="2" t="str">
        <f>IF(Iterations[[#This Row],[Step]] =current_step, current_Grad_e,IF(Iterations[[#This Row],[Step]] &gt; current_step, "",Iterations[[#This Row],[Grad_e]]))</f>
        <v/>
      </c>
    </row>
    <row r="377" spans="6:18" x14ac:dyDescent="0.3">
      <c r="F377" s="2">
        <f t="shared" si="7"/>
        <v>360</v>
      </c>
      <c r="G377" s="2" t="str">
        <f>IF(Iterations[[#This Row],[Step]] =current_step, current_a,IF(Iterations[[#This Row],[Step]] &gt; current_step, "",Iterations[[#This Row],[a]]))</f>
        <v/>
      </c>
      <c r="H377" s="2" t="str">
        <f>IF(Iterations[[#This Row],[Step]] =current_step, current_b,IF(Iterations[[#This Row],[Step]] &gt; current_step, "",Iterations[[#This Row],[b]]))</f>
        <v/>
      </c>
      <c r="I377" s="2" t="str">
        <f>IF(Iterations[[#This Row],[Step]] =current_step, current_c,IF(Iterations[[#This Row],[Step]] &gt; current_step, "",Iterations[[#This Row],[c]]))</f>
        <v/>
      </c>
      <c r="J377" s="2" t="str">
        <f>IF(Iterations[[#This Row],[Step]] =current_step, current_d,IF(Iterations[[#This Row],[Step]] &gt; current_step, "",Iterations[[#This Row],[d]]))</f>
        <v/>
      </c>
      <c r="K377" s="2" t="str">
        <f>IF(Iterations[[#This Row],[Step]] =current_step, current_e,IF(Iterations[[#This Row],[Step]] &gt; current_step, "",Iterations[[#This Row],[e]]))</f>
        <v/>
      </c>
      <c r="L377" s="2" t="str">
        <f>IF(Iterations[[#This Row],[Step]] =current_step, current_Total_Loss,IF(Iterations[[#This Row],[Step]] &gt; current_step, "",Iterations[[#This Row],[Total Loss]]))</f>
        <v/>
      </c>
      <c r="M377" s="6" t="s">
        <v>27</v>
      </c>
      <c r="N377" s="2" t="str">
        <f>IF(Iterations[[#This Row],[Step]] =current_step, current_Grad_a,IF(Iterations[[#This Row],[Step]] &gt; current_step, "",Iterations[[#This Row],[Grad_a]]))</f>
        <v/>
      </c>
      <c r="O377" s="2" t="str">
        <f>IF(Iterations[[#This Row],[Step]] =current_step, current_Grad_b,IF(Iterations[[#This Row],[Step]] &gt; current_step, "",Iterations[[#This Row],[Grad_b]]))</f>
        <v/>
      </c>
      <c r="P377" s="2" t="str">
        <f>IF(Iterations[[#This Row],[Step]] =current_step, current_Grad_c,IF(Iterations[[#This Row],[Step]] &gt; current_step, "",Iterations[[#This Row],[Grad_c]]))</f>
        <v/>
      </c>
      <c r="Q377" s="2" t="str">
        <f>IF(Iterations[[#This Row],[Step]] =current_step, current_Grad_d,IF(Iterations[[#This Row],[Step]] &gt; current_step, "",Iterations[[#This Row],[Grad_d]]))</f>
        <v/>
      </c>
      <c r="R377" s="2" t="str">
        <f>IF(Iterations[[#This Row],[Step]] =current_step, current_Grad_e,IF(Iterations[[#This Row],[Step]] &gt; current_step, "",Iterations[[#This Row],[Grad_e]]))</f>
        <v/>
      </c>
    </row>
    <row r="378" spans="6:18" x14ac:dyDescent="0.3">
      <c r="F378" s="2">
        <f t="shared" si="7"/>
        <v>361</v>
      </c>
      <c r="G378" s="2" t="str">
        <f>IF(Iterations[[#This Row],[Step]] =current_step, current_a,IF(Iterations[[#This Row],[Step]] &gt; current_step, "",Iterations[[#This Row],[a]]))</f>
        <v/>
      </c>
      <c r="H378" s="2" t="str">
        <f>IF(Iterations[[#This Row],[Step]] =current_step, current_b,IF(Iterations[[#This Row],[Step]] &gt; current_step, "",Iterations[[#This Row],[b]]))</f>
        <v/>
      </c>
      <c r="I378" s="2" t="str">
        <f>IF(Iterations[[#This Row],[Step]] =current_step, current_c,IF(Iterations[[#This Row],[Step]] &gt; current_step, "",Iterations[[#This Row],[c]]))</f>
        <v/>
      </c>
      <c r="J378" s="2" t="str">
        <f>IF(Iterations[[#This Row],[Step]] =current_step, current_d,IF(Iterations[[#This Row],[Step]] &gt; current_step, "",Iterations[[#This Row],[d]]))</f>
        <v/>
      </c>
      <c r="K378" s="2" t="str">
        <f>IF(Iterations[[#This Row],[Step]] =current_step, current_e,IF(Iterations[[#This Row],[Step]] &gt; current_step, "",Iterations[[#This Row],[e]]))</f>
        <v/>
      </c>
      <c r="L378" s="2" t="str">
        <f>IF(Iterations[[#This Row],[Step]] =current_step, current_Total_Loss,IF(Iterations[[#This Row],[Step]] &gt; current_step, "",Iterations[[#This Row],[Total Loss]]))</f>
        <v/>
      </c>
      <c r="M378" s="6" t="s">
        <v>27</v>
      </c>
      <c r="N378" s="2" t="str">
        <f>IF(Iterations[[#This Row],[Step]] =current_step, current_Grad_a,IF(Iterations[[#This Row],[Step]] &gt; current_step, "",Iterations[[#This Row],[Grad_a]]))</f>
        <v/>
      </c>
      <c r="O378" s="2" t="str">
        <f>IF(Iterations[[#This Row],[Step]] =current_step, current_Grad_b,IF(Iterations[[#This Row],[Step]] &gt; current_step, "",Iterations[[#This Row],[Grad_b]]))</f>
        <v/>
      </c>
      <c r="P378" s="2" t="str">
        <f>IF(Iterations[[#This Row],[Step]] =current_step, current_Grad_c,IF(Iterations[[#This Row],[Step]] &gt; current_step, "",Iterations[[#This Row],[Grad_c]]))</f>
        <v/>
      </c>
      <c r="Q378" s="2" t="str">
        <f>IF(Iterations[[#This Row],[Step]] =current_step, current_Grad_d,IF(Iterations[[#This Row],[Step]] &gt; current_step, "",Iterations[[#This Row],[Grad_d]]))</f>
        <v/>
      </c>
      <c r="R378" s="2" t="str">
        <f>IF(Iterations[[#This Row],[Step]] =current_step, current_Grad_e,IF(Iterations[[#This Row],[Step]] &gt; current_step, "",Iterations[[#This Row],[Grad_e]]))</f>
        <v/>
      </c>
    </row>
    <row r="379" spans="6:18" x14ac:dyDescent="0.3">
      <c r="F379" s="2">
        <f t="shared" si="7"/>
        <v>362</v>
      </c>
      <c r="G379" s="2" t="str">
        <f>IF(Iterations[[#This Row],[Step]] =current_step, current_a,IF(Iterations[[#This Row],[Step]] &gt; current_step, "",Iterations[[#This Row],[a]]))</f>
        <v/>
      </c>
      <c r="H379" s="2" t="str">
        <f>IF(Iterations[[#This Row],[Step]] =current_step, current_b,IF(Iterations[[#This Row],[Step]] &gt; current_step, "",Iterations[[#This Row],[b]]))</f>
        <v/>
      </c>
      <c r="I379" s="2" t="str">
        <f>IF(Iterations[[#This Row],[Step]] =current_step, current_c,IF(Iterations[[#This Row],[Step]] &gt; current_step, "",Iterations[[#This Row],[c]]))</f>
        <v/>
      </c>
      <c r="J379" s="2" t="str">
        <f>IF(Iterations[[#This Row],[Step]] =current_step, current_d,IF(Iterations[[#This Row],[Step]] &gt; current_step, "",Iterations[[#This Row],[d]]))</f>
        <v/>
      </c>
      <c r="K379" s="2" t="str">
        <f>IF(Iterations[[#This Row],[Step]] =current_step, current_e,IF(Iterations[[#This Row],[Step]] &gt; current_step, "",Iterations[[#This Row],[e]]))</f>
        <v/>
      </c>
      <c r="L379" s="2" t="str">
        <f>IF(Iterations[[#This Row],[Step]] =current_step, current_Total_Loss,IF(Iterations[[#This Row],[Step]] &gt; current_step, "",Iterations[[#This Row],[Total Loss]]))</f>
        <v/>
      </c>
      <c r="M379" s="6" t="s">
        <v>27</v>
      </c>
      <c r="N379" s="2" t="str">
        <f>IF(Iterations[[#This Row],[Step]] =current_step, current_Grad_a,IF(Iterations[[#This Row],[Step]] &gt; current_step, "",Iterations[[#This Row],[Grad_a]]))</f>
        <v/>
      </c>
      <c r="O379" s="2" t="str">
        <f>IF(Iterations[[#This Row],[Step]] =current_step, current_Grad_b,IF(Iterations[[#This Row],[Step]] &gt; current_step, "",Iterations[[#This Row],[Grad_b]]))</f>
        <v/>
      </c>
      <c r="P379" s="2" t="str">
        <f>IF(Iterations[[#This Row],[Step]] =current_step, current_Grad_c,IF(Iterations[[#This Row],[Step]] &gt; current_step, "",Iterations[[#This Row],[Grad_c]]))</f>
        <v/>
      </c>
      <c r="Q379" s="2" t="str">
        <f>IF(Iterations[[#This Row],[Step]] =current_step, current_Grad_d,IF(Iterations[[#This Row],[Step]] &gt; current_step, "",Iterations[[#This Row],[Grad_d]]))</f>
        <v/>
      </c>
      <c r="R379" s="2" t="str">
        <f>IF(Iterations[[#This Row],[Step]] =current_step, current_Grad_e,IF(Iterations[[#This Row],[Step]] &gt; current_step, "",Iterations[[#This Row],[Grad_e]]))</f>
        <v/>
      </c>
    </row>
    <row r="380" spans="6:18" x14ac:dyDescent="0.3">
      <c r="F380" s="2">
        <f t="shared" si="7"/>
        <v>363</v>
      </c>
      <c r="G380" s="2" t="str">
        <f>IF(Iterations[[#This Row],[Step]] =current_step, current_a,IF(Iterations[[#This Row],[Step]] &gt; current_step, "",Iterations[[#This Row],[a]]))</f>
        <v/>
      </c>
      <c r="H380" s="2" t="str">
        <f>IF(Iterations[[#This Row],[Step]] =current_step, current_b,IF(Iterations[[#This Row],[Step]] &gt; current_step, "",Iterations[[#This Row],[b]]))</f>
        <v/>
      </c>
      <c r="I380" s="2" t="str">
        <f>IF(Iterations[[#This Row],[Step]] =current_step, current_c,IF(Iterations[[#This Row],[Step]] &gt; current_step, "",Iterations[[#This Row],[c]]))</f>
        <v/>
      </c>
      <c r="J380" s="2" t="str">
        <f>IF(Iterations[[#This Row],[Step]] =current_step, current_d,IF(Iterations[[#This Row],[Step]] &gt; current_step, "",Iterations[[#This Row],[d]]))</f>
        <v/>
      </c>
      <c r="K380" s="2" t="str">
        <f>IF(Iterations[[#This Row],[Step]] =current_step, current_e,IF(Iterations[[#This Row],[Step]] &gt; current_step, "",Iterations[[#This Row],[e]]))</f>
        <v/>
      </c>
      <c r="L380" s="2" t="str">
        <f>IF(Iterations[[#This Row],[Step]] =current_step, current_Total_Loss,IF(Iterations[[#This Row],[Step]] &gt; current_step, "",Iterations[[#This Row],[Total Loss]]))</f>
        <v/>
      </c>
      <c r="M380" s="6" t="s">
        <v>27</v>
      </c>
      <c r="N380" s="2" t="str">
        <f>IF(Iterations[[#This Row],[Step]] =current_step, current_Grad_a,IF(Iterations[[#This Row],[Step]] &gt; current_step, "",Iterations[[#This Row],[Grad_a]]))</f>
        <v/>
      </c>
      <c r="O380" s="2" t="str">
        <f>IF(Iterations[[#This Row],[Step]] =current_step, current_Grad_b,IF(Iterations[[#This Row],[Step]] &gt; current_step, "",Iterations[[#This Row],[Grad_b]]))</f>
        <v/>
      </c>
      <c r="P380" s="2" t="str">
        <f>IF(Iterations[[#This Row],[Step]] =current_step, current_Grad_c,IF(Iterations[[#This Row],[Step]] &gt; current_step, "",Iterations[[#This Row],[Grad_c]]))</f>
        <v/>
      </c>
      <c r="Q380" s="2" t="str">
        <f>IF(Iterations[[#This Row],[Step]] =current_step, current_Grad_d,IF(Iterations[[#This Row],[Step]] &gt; current_step, "",Iterations[[#This Row],[Grad_d]]))</f>
        <v/>
      </c>
      <c r="R380" s="2" t="str">
        <f>IF(Iterations[[#This Row],[Step]] =current_step, current_Grad_e,IF(Iterations[[#This Row],[Step]] &gt; current_step, "",Iterations[[#This Row],[Grad_e]]))</f>
        <v/>
      </c>
    </row>
    <row r="381" spans="6:18" x14ac:dyDescent="0.3">
      <c r="F381" s="2">
        <f t="shared" ref="F381:F444" si="8">F380+1</f>
        <v>364</v>
      </c>
      <c r="G381" s="2" t="str">
        <f>IF(Iterations[[#This Row],[Step]] =current_step, current_a,IF(Iterations[[#This Row],[Step]] &gt; current_step, "",Iterations[[#This Row],[a]]))</f>
        <v/>
      </c>
      <c r="H381" s="2" t="str">
        <f>IF(Iterations[[#This Row],[Step]] =current_step, current_b,IF(Iterations[[#This Row],[Step]] &gt; current_step, "",Iterations[[#This Row],[b]]))</f>
        <v/>
      </c>
      <c r="I381" s="2" t="str">
        <f>IF(Iterations[[#This Row],[Step]] =current_step, current_c,IF(Iterations[[#This Row],[Step]] &gt; current_step, "",Iterations[[#This Row],[c]]))</f>
        <v/>
      </c>
      <c r="J381" s="2" t="str">
        <f>IF(Iterations[[#This Row],[Step]] =current_step, current_d,IF(Iterations[[#This Row],[Step]] &gt; current_step, "",Iterations[[#This Row],[d]]))</f>
        <v/>
      </c>
      <c r="K381" s="2" t="str">
        <f>IF(Iterations[[#This Row],[Step]] =current_step, current_e,IF(Iterations[[#This Row],[Step]] &gt; current_step, "",Iterations[[#This Row],[e]]))</f>
        <v/>
      </c>
      <c r="L381" s="2" t="str">
        <f>IF(Iterations[[#This Row],[Step]] =current_step, current_Total_Loss,IF(Iterations[[#This Row],[Step]] &gt; current_step, "",Iterations[[#This Row],[Total Loss]]))</f>
        <v/>
      </c>
      <c r="M381" s="6" t="s">
        <v>27</v>
      </c>
      <c r="N381" s="2" t="str">
        <f>IF(Iterations[[#This Row],[Step]] =current_step, current_Grad_a,IF(Iterations[[#This Row],[Step]] &gt; current_step, "",Iterations[[#This Row],[Grad_a]]))</f>
        <v/>
      </c>
      <c r="O381" s="2" t="str">
        <f>IF(Iterations[[#This Row],[Step]] =current_step, current_Grad_b,IF(Iterations[[#This Row],[Step]] &gt; current_step, "",Iterations[[#This Row],[Grad_b]]))</f>
        <v/>
      </c>
      <c r="P381" s="2" t="str">
        <f>IF(Iterations[[#This Row],[Step]] =current_step, current_Grad_c,IF(Iterations[[#This Row],[Step]] &gt; current_step, "",Iterations[[#This Row],[Grad_c]]))</f>
        <v/>
      </c>
      <c r="Q381" s="2" t="str">
        <f>IF(Iterations[[#This Row],[Step]] =current_step, current_Grad_d,IF(Iterations[[#This Row],[Step]] &gt; current_step, "",Iterations[[#This Row],[Grad_d]]))</f>
        <v/>
      </c>
      <c r="R381" s="2" t="str">
        <f>IF(Iterations[[#This Row],[Step]] =current_step, current_Grad_e,IF(Iterations[[#This Row],[Step]] &gt; current_step, "",Iterations[[#This Row],[Grad_e]]))</f>
        <v/>
      </c>
    </row>
    <row r="382" spans="6:18" x14ac:dyDescent="0.3">
      <c r="F382" s="2">
        <f t="shared" si="8"/>
        <v>365</v>
      </c>
      <c r="G382" s="2" t="str">
        <f>IF(Iterations[[#This Row],[Step]] =current_step, current_a,IF(Iterations[[#This Row],[Step]] &gt; current_step, "",Iterations[[#This Row],[a]]))</f>
        <v/>
      </c>
      <c r="H382" s="2" t="str">
        <f>IF(Iterations[[#This Row],[Step]] =current_step, current_b,IF(Iterations[[#This Row],[Step]] &gt; current_step, "",Iterations[[#This Row],[b]]))</f>
        <v/>
      </c>
      <c r="I382" s="2" t="str">
        <f>IF(Iterations[[#This Row],[Step]] =current_step, current_c,IF(Iterations[[#This Row],[Step]] &gt; current_step, "",Iterations[[#This Row],[c]]))</f>
        <v/>
      </c>
      <c r="J382" s="2" t="str">
        <f>IF(Iterations[[#This Row],[Step]] =current_step, current_d,IF(Iterations[[#This Row],[Step]] &gt; current_step, "",Iterations[[#This Row],[d]]))</f>
        <v/>
      </c>
      <c r="K382" s="2" t="str">
        <f>IF(Iterations[[#This Row],[Step]] =current_step, current_e,IF(Iterations[[#This Row],[Step]] &gt; current_step, "",Iterations[[#This Row],[e]]))</f>
        <v/>
      </c>
      <c r="L382" s="2" t="str">
        <f>IF(Iterations[[#This Row],[Step]] =current_step, current_Total_Loss,IF(Iterations[[#This Row],[Step]] &gt; current_step, "",Iterations[[#This Row],[Total Loss]]))</f>
        <v/>
      </c>
      <c r="M382" s="6" t="s">
        <v>27</v>
      </c>
      <c r="N382" s="2" t="str">
        <f>IF(Iterations[[#This Row],[Step]] =current_step, current_Grad_a,IF(Iterations[[#This Row],[Step]] &gt; current_step, "",Iterations[[#This Row],[Grad_a]]))</f>
        <v/>
      </c>
      <c r="O382" s="2" t="str">
        <f>IF(Iterations[[#This Row],[Step]] =current_step, current_Grad_b,IF(Iterations[[#This Row],[Step]] &gt; current_step, "",Iterations[[#This Row],[Grad_b]]))</f>
        <v/>
      </c>
      <c r="P382" s="2" t="str">
        <f>IF(Iterations[[#This Row],[Step]] =current_step, current_Grad_c,IF(Iterations[[#This Row],[Step]] &gt; current_step, "",Iterations[[#This Row],[Grad_c]]))</f>
        <v/>
      </c>
      <c r="Q382" s="2" t="str">
        <f>IF(Iterations[[#This Row],[Step]] =current_step, current_Grad_d,IF(Iterations[[#This Row],[Step]] &gt; current_step, "",Iterations[[#This Row],[Grad_d]]))</f>
        <v/>
      </c>
      <c r="R382" s="2" t="str">
        <f>IF(Iterations[[#This Row],[Step]] =current_step, current_Grad_e,IF(Iterations[[#This Row],[Step]] &gt; current_step, "",Iterations[[#This Row],[Grad_e]]))</f>
        <v/>
      </c>
    </row>
    <row r="383" spans="6:18" x14ac:dyDescent="0.3">
      <c r="F383" s="2">
        <f t="shared" si="8"/>
        <v>366</v>
      </c>
      <c r="G383" s="2" t="str">
        <f>IF(Iterations[[#This Row],[Step]] =current_step, current_a,IF(Iterations[[#This Row],[Step]] &gt; current_step, "",Iterations[[#This Row],[a]]))</f>
        <v/>
      </c>
      <c r="H383" s="2" t="str">
        <f>IF(Iterations[[#This Row],[Step]] =current_step, current_b,IF(Iterations[[#This Row],[Step]] &gt; current_step, "",Iterations[[#This Row],[b]]))</f>
        <v/>
      </c>
      <c r="I383" s="2" t="str">
        <f>IF(Iterations[[#This Row],[Step]] =current_step, current_c,IF(Iterations[[#This Row],[Step]] &gt; current_step, "",Iterations[[#This Row],[c]]))</f>
        <v/>
      </c>
      <c r="J383" s="2" t="str">
        <f>IF(Iterations[[#This Row],[Step]] =current_step, current_d,IF(Iterations[[#This Row],[Step]] &gt; current_step, "",Iterations[[#This Row],[d]]))</f>
        <v/>
      </c>
      <c r="K383" s="2" t="str">
        <f>IF(Iterations[[#This Row],[Step]] =current_step, current_e,IF(Iterations[[#This Row],[Step]] &gt; current_step, "",Iterations[[#This Row],[e]]))</f>
        <v/>
      </c>
      <c r="L383" s="2" t="str">
        <f>IF(Iterations[[#This Row],[Step]] =current_step, current_Total_Loss,IF(Iterations[[#This Row],[Step]] &gt; current_step, "",Iterations[[#This Row],[Total Loss]]))</f>
        <v/>
      </c>
      <c r="M383" s="6" t="s">
        <v>27</v>
      </c>
      <c r="N383" s="2" t="str">
        <f>IF(Iterations[[#This Row],[Step]] =current_step, current_Grad_a,IF(Iterations[[#This Row],[Step]] &gt; current_step, "",Iterations[[#This Row],[Grad_a]]))</f>
        <v/>
      </c>
      <c r="O383" s="2" t="str">
        <f>IF(Iterations[[#This Row],[Step]] =current_step, current_Grad_b,IF(Iterations[[#This Row],[Step]] &gt; current_step, "",Iterations[[#This Row],[Grad_b]]))</f>
        <v/>
      </c>
      <c r="P383" s="2" t="str">
        <f>IF(Iterations[[#This Row],[Step]] =current_step, current_Grad_c,IF(Iterations[[#This Row],[Step]] &gt; current_step, "",Iterations[[#This Row],[Grad_c]]))</f>
        <v/>
      </c>
      <c r="Q383" s="2" t="str">
        <f>IF(Iterations[[#This Row],[Step]] =current_step, current_Grad_d,IF(Iterations[[#This Row],[Step]] &gt; current_step, "",Iterations[[#This Row],[Grad_d]]))</f>
        <v/>
      </c>
      <c r="R383" s="2" t="str">
        <f>IF(Iterations[[#This Row],[Step]] =current_step, current_Grad_e,IF(Iterations[[#This Row],[Step]] &gt; current_step, "",Iterations[[#This Row],[Grad_e]]))</f>
        <v/>
      </c>
    </row>
    <row r="384" spans="6:18" x14ac:dyDescent="0.3">
      <c r="F384" s="2">
        <f t="shared" si="8"/>
        <v>367</v>
      </c>
      <c r="G384" s="2" t="str">
        <f>IF(Iterations[[#This Row],[Step]] =current_step, current_a,IF(Iterations[[#This Row],[Step]] &gt; current_step, "",Iterations[[#This Row],[a]]))</f>
        <v/>
      </c>
      <c r="H384" s="2" t="str">
        <f>IF(Iterations[[#This Row],[Step]] =current_step, current_b,IF(Iterations[[#This Row],[Step]] &gt; current_step, "",Iterations[[#This Row],[b]]))</f>
        <v/>
      </c>
      <c r="I384" s="2" t="str">
        <f>IF(Iterations[[#This Row],[Step]] =current_step, current_c,IF(Iterations[[#This Row],[Step]] &gt; current_step, "",Iterations[[#This Row],[c]]))</f>
        <v/>
      </c>
      <c r="J384" s="2" t="str">
        <f>IF(Iterations[[#This Row],[Step]] =current_step, current_d,IF(Iterations[[#This Row],[Step]] &gt; current_step, "",Iterations[[#This Row],[d]]))</f>
        <v/>
      </c>
      <c r="K384" s="2" t="str">
        <f>IF(Iterations[[#This Row],[Step]] =current_step, current_e,IF(Iterations[[#This Row],[Step]] &gt; current_step, "",Iterations[[#This Row],[e]]))</f>
        <v/>
      </c>
      <c r="L384" s="2" t="str">
        <f>IF(Iterations[[#This Row],[Step]] =current_step, current_Total_Loss,IF(Iterations[[#This Row],[Step]] &gt; current_step, "",Iterations[[#This Row],[Total Loss]]))</f>
        <v/>
      </c>
      <c r="M384" s="6" t="s">
        <v>27</v>
      </c>
      <c r="N384" s="2" t="str">
        <f>IF(Iterations[[#This Row],[Step]] =current_step, current_Grad_a,IF(Iterations[[#This Row],[Step]] &gt; current_step, "",Iterations[[#This Row],[Grad_a]]))</f>
        <v/>
      </c>
      <c r="O384" s="2" t="str">
        <f>IF(Iterations[[#This Row],[Step]] =current_step, current_Grad_b,IF(Iterations[[#This Row],[Step]] &gt; current_step, "",Iterations[[#This Row],[Grad_b]]))</f>
        <v/>
      </c>
      <c r="P384" s="2" t="str">
        <f>IF(Iterations[[#This Row],[Step]] =current_step, current_Grad_c,IF(Iterations[[#This Row],[Step]] &gt; current_step, "",Iterations[[#This Row],[Grad_c]]))</f>
        <v/>
      </c>
      <c r="Q384" s="2" t="str">
        <f>IF(Iterations[[#This Row],[Step]] =current_step, current_Grad_d,IF(Iterations[[#This Row],[Step]] &gt; current_step, "",Iterations[[#This Row],[Grad_d]]))</f>
        <v/>
      </c>
      <c r="R384" s="2" t="str">
        <f>IF(Iterations[[#This Row],[Step]] =current_step, current_Grad_e,IF(Iterations[[#This Row],[Step]] &gt; current_step, "",Iterations[[#This Row],[Grad_e]]))</f>
        <v/>
      </c>
    </row>
    <row r="385" spans="6:18" x14ac:dyDescent="0.3">
      <c r="F385" s="2">
        <f t="shared" si="8"/>
        <v>368</v>
      </c>
      <c r="G385" s="2" t="str">
        <f>IF(Iterations[[#This Row],[Step]] =current_step, current_a,IF(Iterations[[#This Row],[Step]] &gt; current_step, "",Iterations[[#This Row],[a]]))</f>
        <v/>
      </c>
      <c r="H385" s="2" t="str">
        <f>IF(Iterations[[#This Row],[Step]] =current_step, current_b,IF(Iterations[[#This Row],[Step]] &gt; current_step, "",Iterations[[#This Row],[b]]))</f>
        <v/>
      </c>
      <c r="I385" s="2" t="str">
        <f>IF(Iterations[[#This Row],[Step]] =current_step, current_c,IF(Iterations[[#This Row],[Step]] &gt; current_step, "",Iterations[[#This Row],[c]]))</f>
        <v/>
      </c>
      <c r="J385" s="2" t="str">
        <f>IF(Iterations[[#This Row],[Step]] =current_step, current_d,IF(Iterations[[#This Row],[Step]] &gt; current_step, "",Iterations[[#This Row],[d]]))</f>
        <v/>
      </c>
      <c r="K385" s="2" t="str">
        <f>IF(Iterations[[#This Row],[Step]] =current_step, current_e,IF(Iterations[[#This Row],[Step]] &gt; current_step, "",Iterations[[#This Row],[e]]))</f>
        <v/>
      </c>
      <c r="L385" s="2" t="str">
        <f>IF(Iterations[[#This Row],[Step]] =current_step, current_Total_Loss,IF(Iterations[[#This Row],[Step]] &gt; current_step, "",Iterations[[#This Row],[Total Loss]]))</f>
        <v/>
      </c>
      <c r="M385" s="6" t="s">
        <v>27</v>
      </c>
      <c r="N385" s="2" t="str">
        <f>IF(Iterations[[#This Row],[Step]] =current_step, current_Grad_a,IF(Iterations[[#This Row],[Step]] &gt; current_step, "",Iterations[[#This Row],[Grad_a]]))</f>
        <v/>
      </c>
      <c r="O385" s="2" t="str">
        <f>IF(Iterations[[#This Row],[Step]] =current_step, current_Grad_b,IF(Iterations[[#This Row],[Step]] &gt; current_step, "",Iterations[[#This Row],[Grad_b]]))</f>
        <v/>
      </c>
      <c r="P385" s="2" t="str">
        <f>IF(Iterations[[#This Row],[Step]] =current_step, current_Grad_c,IF(Iterations[[#This Row],[Step]] &gt; current_step, "",Iterations[[#This Row],[Grad_c]]))</f>
        <v/>
      </c>
      <c r="Q385" s="2" t="str">
        <f>IF(Iterations[[#This Row],[Step]] =current_step, current_Grad_d,IF(Iterations[[#This Row],[Step]] &gt; current_step, "",Iterations[[#This Row],[Grad_d]]))</f>
        <v/>
      </c>
      <c r="R385" s="2" t="str">
        <f>IF(Iterations[[#This Row],[Step]] =current_step, current_Grad_e,IF(Iterations[[#This Row],[Step]] &gt; current_step, "",Iterations[[#This Row],[Grad_e]]))</f>
        <v/>
      </c>
    </row>
    <row r="386" spans="6:18" x14ac:dyDescent="0.3">
      <c r="F386" s="2">
        <f t="shared" si="8"/>
        <v>369</v>
      </c>
      <c r="G386" s="2" t="str">
        <f>IF(Iterations[[#This Row],[Step]] =current_step, current_a,IF(Iterations[[#This Row],[Step]] &gt; current_step, "",Iterations[[#This Row],[a]]))</f>
        <v/>
      </c>
      <c r="H386" s="2" t="str">
        <f>IF(Iterations[[#This Row],[Step]] =current_step, current_b,IF(Iterations[[#This Row],[Step]] &gt; current_step, "",Iterations[[#This Row],[b]]))</f>
        <v/>
      </c>
      <c r="I386" s="2" t="str">
        <f>IF(Iterations[[#This Row],[Step]] =current_step, current_c,IF(Iterations[[#This Row],[Step]] &gt; current_step, "",Iterations[[#This Row],[c]]))</f>
        <v/>
      </c>
      <c r="J386" s="2" t="str">
        <f>IF(Iterations[[#This Row],[Step]] =current_step, current_d,IF(Iterations[[#This Row],[Step]] &gt; current_step, "",Iterations[[#This Row],[d]]))</f>
        <v/>
      </c>
      <c r="K386" s="2" t="str">
        <f>IF(Iterations[[#This Row],[Step]] =current_step, current_e,IF(Iterations[[#This Row],[Step]] &gt; current_step, "",Iterations[[#This Row],[e]]))</f>
        <v/>
      </c>
      <c r="L386" s="2" t="str">
        <f>IF(Iterations[[#This Row],[Step]] =current_step, current_Total_Loss,IF(Iterations[[#This Row],[Step]] &gt; current_step, "",Iterations[[#This Row],[Total Loss]]))</f>
        <v/>
      </c>
      <c r="M386" s="6" t="s">
        <v>27</v>
      </c>
      <c r="N386" s="2" t="str">
        <f>IF(Iterations[[#This Row],[Step]] =current_step, current_Grad_a,IF(Iterations[[#This Row],[Step]] &gt; current_step, "",Iterations[[#This Row],[Grad_a]]))</f>
        <v/>
      </c>
      <c r="O386" s="2" t="str">
        <f>IF(Iterations[[#This Row],[Step]] =current_step, current_Grad_b,IF(Iterations[[#This Row],[Step]] &gt; current_step, "",Iterations[[#This Row],[Grad_b]]))</f>
        <v/>
      </c>
      <c r="P386" s="2" t="str">
        <f>IF(Iterations[[#This Row],[Step]] =current_step, current_Grad_c,IF(Iterations[[#This Row],[Step]] &gt; current_step, "",Iterations[[#This Row],[Grad_c]]))</f>
        <v/>
      </c>
      <c r="Q386" s="2" t="str">
        <f>IF(Iterations[[#This Row],[Step]] =current_step, current_Grad_d,IF(Iterations[[#This Row],[Step]] &gt; current_step, "",Iterations[[#This Row],[Grad_d]]))</f>
        <v/>
      </c>
      <c r="R386" s="2" t="str">
        <f>IF(Iterations[[#This Row],[Step]] =current_step, current_Grad_e,IF(Iterations[[#This Row],[Step]] &gt; current_step, "",Iterations[[#This Row],[Grad_e]]))</f>
        <v/>
      </c>
    </row>
    <row r="387" spans="6:18" x14ac:dyDescent="0.3">
      <c r="F387" s="2">
        <f t="shared" si="8"/>
        <v>370</v>
      </c>
      <c r="G387" s="2" t="str">
        <f>IF(Iterations[[#This Row],[Step]] =current_step, current_a,IF(Iterations[[#This Row],[Step]] &gt; current_step, "",Iterations[[#This Row],[a]]))</f>
        <v/>
      </c>
      <c r="H387" s="2" t="str">
        <f>IF(Iterations[[#This Row],[Step]] =current_step, current_b,IF(Iterations[[#This Row],[Step]] &gt; current_step, "",Iterations[[#This Row],[b]]))</f>
        <v/>
      </c>
      <c r="I387" s="2" t="str">
        <f>IF(Iterations[[#This Row],[Step]] =current_step, current_c,IF(Iterations[[#This Row],[Step]] &gt; current_step, "",Iterations[[#This Row],[c]]))</f>
        <v/>
      </c>
      <c r="J387" s="2" t="str">
        <f>IF(Iterations[[#This Row],[Step]] =current_step, current_d,IF(Iterations[[#This Row],[Step]] &gt; current_step, "",Iterations[[#This Row],[d]]))</f>
        <v/>
      </c>
      <c r="K387" s="2" t="str">
        <f>IF(Iterations[[#This Row],[Step]] =current_step, current_e,IF(Iterations[[#This Row],[Step]] &gt; current_step, "",Iterations[[#This Row],[e]]))</f>
        <v/>
      </c>
      <c r="L387" s="2" t="str">
        <f>IF(Iterations[[#This Row],[Step]] =current_step, current_Total_Loss,IF(Iterations[[#This Row],[Step]] &gt; current_step, "",Iterations[[#This Row],[Total Loss]]))</f>
        <v/>
      </c>
      <c r="M387" s="6" t="s">
        <v>27</v>
      </c>
      <c r="N387" s="2" t="str">
        <f>IF(Iterations[[#This Row],[Step]] =current_step, current_Grad_a,IF(Iterations[[#This Row],[Step]] &gt; current_step, "",Iterations[[#This Row],[Grad_a]]))</f>
        <v/>
      </c>
      <c r="O387" s="2" t="str">
        <f>IF(Iterations[[#This Row],[Step]] =current_step, current_Grad_b,IF(Iterations[[#This Row],[Step]] &gt; current_step, "",Iterations[[#This Row],[Grad_b]]))</f>
        <v/>
      </c>
      <c r="P387" s="2" t="str">
        <f>IF(Iterations[[#This Row],[Step]] =current_step, current_Grad_c,IF(Iterations[[#This Row],[Step]] &gt; current_step, "",Iterations[[#This Row],[Grad_c]]))</f>
        <v/>
      </c>
      <c r="Q387" s="2" t="str">
        <f>IF(Iterations[[#This Row],[Step]] =current_step, current_Grad_d,IF(Iterations[[#This Row],[Step]] &gt; current_step, "",Iterations[[#This Row],[Grad_d]]))</f>
        <v/>
      </c>
      <c r="R387" s="2" t="str">
        <f>IF(Iterations[[#This Row],[Step]] =current_step, current_Grad_e,IF(Iterations[[#This Row],[Step]] &gt; current_step, "",Iterations[[#This Row],[Grad_e]]))</f>
        <v/>
      </c>
    </row>
    <row r="388" spans="6:18" x14ac:dyDescent="0.3">
      <c r="F388" s="2">
        <f t="shared" si="8"/>
        <v>371</v>
      </c>
      <c r="G388" s="2" t="str">
        <f>IF(Iterations[[#This Row],[Step]] =current_step, current_a,IF(Iterations[[#This Row],[Step]] &gt; current_step, "",Iterations[[#This Row],[a]]))</f>
        <v/>
      </c>
      <c r="H388" s="2" t="str">
        <f>IF(Iterations[[#This Row],[Step]] =current_step, current_b,IF(Iterations[[#This Row],[Step]] &gt; current_step, "",Iterations[[#This Row],[b]]))</f>
        <v/>
      </c>
      <c r="I388" s="2" t="str">
        <f>IF(Iterations[[#This Row],[Step]] =current_step, current_c,IF(Iterations[[#This Row],[Step]] &gt; current_step, "",Iterations[[#This Row],[c]]))</f>
        <v/>
      </c>
      <c r="J388" s="2" t="str">
        <f>IF(Iterations[[#This Row],[Step]] =current_step, current_d,IF(Iterations[[#This Row],[Step]] &gt; current_step, "",Iterations[[#This Row],[d]]))</f>
        <v/>
      </c>
      <c r="K388" s="2" t="str">
        <f>IF(Iterations[[#This Row],[Step]] =current_step, current_e,IF(Iterations[[#This Row],[Step]] &gt; current_step, "",Iterations[[#This Row],[e]]))</f>
        <v/>
      </c>
      <c r="L388" s="2" t="str">
        <f>IF(Iterations[[#This Row],[Step]] =current_step, current_Total_Loss,IF(Iterations[[#This Row],[Step]] &gt; current_step, "",Iterations[[#This Row],[Total Loss]]))</f>
        <v/>
      </c>
      <c r="M388" s="6" t="s">
        <v>27</v>
      </c>
      <c r="N388" s="2" t="str">
        <f>IF(Iterations[[#This Row],[Step]] =current_step, current_Grad_a,IF(Iterations[[#This Row],[Step]] &gt; current_step, "",Iterations[[#This Row],[Grad_a]]))</f>
        <v/>
      </c>
      <c r="O388" s="2" t="str">
        <f>IF(Iterations[[#This Row],[Step]] =current_step, current_Grad_b,IF(Iterations[[#This Row],[Step]] &gt; current_step, "",Iterations[[#This Row],[Grad_b]]))</f>
        <v/>
      </c>
      <c r="P388" s="2" t="str">
        <f>IF(Iterations[[#This Row],[Step]] =current_step, current_Grad_c,IF(Iterations[[#This Row],[Step]] &gt; current_step, "",Iterations[[#This Row],[Grad_c]]))</f>
        <v/>
      </c>
      <c r="Q388" s="2" t="str">
        <f>IF(Iterations[[#This Row],[Step]] =current_step, current_Grad_d,IF(Iterations[[#This Row],[Step]] &gt; current_step, "",Iterations[[#This Row],[Grad_d]]))</f>
        <v/>
      </c>
      <c r="R388" s="2" t="str">
        <f>IF(Iterations[[#This Row],[Step]] =current_step, current_Grad_e,IF(Iterations[[#This Row],[Step]] &gt; current_step, "",Iterations[[#This Row],[Grad_e]]))</f>
        <v/>
      </c>
    </row>
    <row r="389" spans="6:18" x14ac:dyDescent="0.3">
      <c r="F389" s="2">
        <f t="shared" si="8"/>
        <v>372</v>
      </c>
      <c r="G389" s="2" t="str">
        <f>IF(Iterations[[#This Row],[Step]] =current_step, current_a,IF(Iterations[[#This Row],[Step]] &gt; current_step, "",Iterations[[#This Row],[a]]))</f>
        <v/>
      </c>
      <c r="H389" s="2" t="str">
        <f>IF(Iterations[[#This Row],[Step]] =current_step, current_b,IF(Iterations[[#This Row],[Step]] &gt; current_step, "",Iterations[[#This Row],[b]]))</f>
        <v/>
      </c>
      <c r="I389" s="2" t="str">
        <f>IF(Iterations[[#This Row],[Step]] =current_step, current_c,IF(Iterations[[#This Row],[Step]] &gt; current_step, "",Iterations[[#This Row],[c]]))</f>
        <v/>
      </c>
      <c r="J389" s="2" t="str">
        <f>IF(Iterations[[#This Row],[Step]] =current_step, current_d,IF(Iterations[[#This Row],[Step]] &gt; current_step, "",Iterations[[#This Row],[d]]))</f>
        <v/>
      </c>
      <c r="K389" s="2" t="str">
        <f>IF(Iterations[[#This Row],[Step]] =current_step, current_e,IF(Iterations[[#This Row],[Step]] &gt; current_step, "",Iterations[[#This Row],[e]]))</f>
        <v/>
      </c>
      <c r="L389" s="2" t="str">
        <f>IF(Iterations[[#This Row],[Step]] =current_step, current_Total_Loss,IF(Iterations[[#This Row],[Step]] &gt; current_step, "",Iterations[[#This Row],[Total Loss]]))</f>
        <v/>
      </c>
      <c r="M389" s="6" t="s">
        <v>27</v>
      </c>
      <c r="N389" s="2" t="str">
        <f>IF(Iterations[[#This Row],[Step]] =current_step, current_Grad_a,IF(Iterations[[#This Row],[Step]] &gt; current_step, "",Iterations[[#This Row],[Grad_a]]))</f>
        <v/>
      </c>
      <c r="O389" s="2" t="str">
        <f>IF(Iterations[[#This Row],[Step]] =current_step, current_Grad_b,IF(Iterations[[#This Row],[Step]] &gt; current_step, "",Iterations[[#This Row],[Grad_b]]))</f>
        <v/>
      </c>
      <c r="P389" s="2" t="str">
        <f>IF(Iterations[[#This Row],[Step]] =current_step, current_Grad_c,IF(Iterations[[#This Row],[Step]] &gt; current_step, "",Iterations[[#This Row],[Grad_c]]))</f>
        <v/>
      </c>
      <c r="Q389" s="2" t="str">
        <f>IF(Iterations[[#This Row],[Step]] =current_step, current_Grad_d,IF(Iterations[[#This Row],[Step]] &gt; current_step, "",Iterations[[#This Row],[Grad_d]]))</f>
        <v/>
      </c>
      <c r="R389" s="2" t="str">
        <f>IF(Iterations[[#This Row],[Step]] =current_step, current_Grad_e,IF(Iterations[[#This Row],[Step]] &gt; current_step, "",Iterations[[#This Row],[Grad_e]]))</f>
        <v/>
      </c>
    </row>
    <row r="390" spans="6:18" x14ac:dyDescent="0.3">
      <c r="F390" s="2">
        <f t="shared" si="8"/>
        <v>373</v>
      </c>
      <c r="G390" s="2" t="str">
        <f>IF(Iterations[[#This Row],[Step]] =current_step, current_a,IF(Iterations[[#This Row],[Step]] &gt; current_step, "",Iterations[[#This Row],[a]]))</f>
        <v/>
      </c>
      <c r="H390" s="2" t="str">
        <f>IF(Iterations[[#This Row],[Step]] =current_step, current_b,IF(Iterations[[#This Row],[Step]] &gt; current_step, "",Iterations[[#This Row],[b]]))</f>
        <v/>
      </c>
      <c r="I390" s="2" t="str">
        <f>IF(Iterations[[#This Row],[Step]] =current_step, current_c,IF(Iterations[[#This Row],[Step]] &gt; current_step, "",Iterations[[#This Row],[c]]))</f>
        <v/>
      </c>
      <c r="J390" s="2" t="str">
        <f>IF(Iterations[[#This Row],[Step]] =current_step, current_d,IF(Iterations[[#This Row],[Step]] &gt; current_step, "",Iterations[[#This Row],[d]]))</f>
        <v/>
      </c>
      <c r="K390" s="2" t="str">
        <f>IF(Iterations[[#This Row],[Step]] =current_step, current_e,IF(Iterations[[#This Row],[Step]] &gt; current_step, "",Iterations[[#This Row],[e]]))</f>
        <v/>
      </c>
      <c r="L390" s="2" t="str">
        <f>IF(Iterations[[#This Row],[Step]] =current_step, current_Total_Loss,IF(Iterations[[#This Row],[Step]] &gt; current_step, "",Iterations[[#This Row],[Total Loss]]))</f>
        <v/>
      </c>
      <c r="M390" s="6" t="s">
        <v>27</v>
      </c>
      <c r="N390" s="2" t="str">
        <f>IF(Iterations[[#This Row],[Step]] =current_step, current_Grad_a,IF(Iterations[[#This Row],[Step]] &gt; current_step, "",Iterations[[#This Row],[Grad_a]]))</f>
        <v/>
      </c>
      <c r="O390" s="2" t="str">
        <f>IF(Iterations[[#This Row],[Step]] =current_step, current_Grad_b,IF(Iterations[[#This Row],[Step]] &gt; current_step, "",Iterations[[#This Row],[Grad_b]]))</f>
        <v/>
      </c>
      <c r="P390" s="2" t="str">
        <f>IF(Iterations[[#This Row],[Step]] =current_step, current_Grad_c,IF(Iterations[[#This Row],[Step]] &gt; current_step, "",Iterations[[#This Row],[Grad_c]]))</f>
        <v/>
      </c>
      <c r="Q390" s="2" t="str">
        <f>IF(Iterations[[#This Row],[Step]] =current_step, current_Grad_d,IF(Iterations[[#This Row],[Step]] &gt; current_step, "",Iterations[[#This Row],[Grad_d]]))</f>
        <v/>
      </c>
      <c r="R390" s="2" t="str">
        <f>IF(Iterations[[#This Row],[Step]] =current_step, current_Grad_e,IF(Iterations[[#This Row],[Step]] &gt; current_step, "",Iterations[[#This Row],[Grad_e]]))</f>
        <v/>
      </c>
    </row>
    <row r="391" spans="6:18" x14ac:dyDescent="0.3">
      <c r="F391" s="2">
        <f t="shared" si="8"/>
        <v>374</v>
      </c>
      <c r="G391" s="2" t="str">
        <f>IF(Iterations[[#This Row],[Step]] =current_step, current_a,IF(Iterations[[#This Row],[Step]] &gt; current_step, "",Iterations[[#This Row],[a]]))</f>
        <v/>
      </c>
      <c r="H391" s="2" t="str">
        <f>IF(Iterations[[#This Row],[Step]] =current_step, current_b,IF(Iterations[[#This Row],[Step]] &gt; current_step, "",Iterations[[#This Row],[b]]))</f>
        <v/>
      </c>
      <c r="I391" s="2" t="str">
        <f>IF(Iterations[[#This Row],[Step]] =current_step, current_c,IF(Iterations[[#This Row],[Step]] &gt; current_step, "",Iterations[[#This Row],[c]]))</f>
        <v/>
      </c>
      <c r="J391" s="2" t="str">
        <f>IF(Iterations[[#This Row],[Step]] =current_step, current_d,IF(Iterations[[#This Row],[Step]] &gt; current_step, "",Iterations[[#This Row],[d]]))</f>
        <v/>
      </c>
      <c r="K391" s="2" t="str">
        <f>IF(Iterations[[#This Row],[Step]] =current_step, current_e,IF(Iterations[[#This Row],[Step]] &gt; current_step, "",Iterations[[#This Row],[e]]))</f>
        <v/>
      </c>
      <c r="L391" s="2" t="str">
        <f>IF(Iterations[[#This Row],[Step]] =current_step, current_Total_Loss,IF(Iterations[[#This Row],[Step]] &gt; current_step, "",Iterations[[#This Row],[Total Loss]]))</f>
        <v/>
      </c>
      <c r="M391" s="6" t="s">
        <v>27</v>
      </c>
      <c r="N391" s="2" t="str">
        <f>IF(Iterations[[#This Row],[Step]] =current_step, current_Grad_a,IF(Iterations[[#This Row],[Step]] &gt; current_step, "",Iterations[[#This Row],[Grad_a]]))</f>
        <v/>
      </c>
      <c r="O391" s="2" t="str">
        <f>IF(Iterations[[#This Row],[Step]] =current_step, current_Grad_b,IF(Iterations[[#This Row],[Step]] &gt; current_step, "",Iterations[[#This Row],[Grad_b]]))</f>
        <v/>
      </c>
      <c r="P391" s="2" t="str">
        <f>IF(Iterations[[#This Row],[Step]] =current_step, current_Grad_c,IF(Iterations[[#This Row],[Step]] &gt; current_step, "",Iterations[[#This Row],[Grad_c]]))</f>
        <v/>
      </c>
      <c r="Q391" s="2" t="str">
        <f>IF(Iterations[[#This Row],[Step]] =current_step, current_Grad_d,IF(Iterations[[#This Row],[Step]] &gt; current_step, "",Iterations[[#This Row],[Grad_d]]))</f>
        <v/>
      </c>
      <c r="R391" s="2" t="str">
        <f>IF(Iterations[[#This Row],[Step]] =current_step, current_Grad_e,IF(Iterations[[#This Row],[Step]] &gt; current_step, "",Iterations[[#This Row],[Grad_e]]))</f>
        <v/>
      </c>
    </row>
    <row r="392" spans="6:18" x14ac:dyDescent="0.3">
      <c r="F392" s="2">
        <f t="shared" si="8"/>
        <v>375</v>
      </c>
      <c r="G392" s="2" t="str">
        <f>IF(Iterations[[#This Row],[Step]] =current_step, current_a,IF(Iterations[[#This Row],[Step]] &gt; current_step, "",Iterations[[#This Row],[a]]))</f>
        <v/>
      </c>
      <c r="H392" s="2" t="str">
        <f>IF(Iterations[[#This Row],[Step]] =current_step, current_b,IF(Iterations[[#This Row],[Step]] &gt; current_step, "",Iterations[[#This Row],[b]]))</f>
        <v/>
      </c>
      <c r="I392" s="2" t="str">
        <f>IF(Iterations[[#This Row],[Step]] =current_step, current_c,IF(Iterations[[#This Row],[Step]] &gt; current_step, "",Iterations[[#This Row],[c]]))</f>
        <v/>
      </c>
      <c r="J392" s="2" t="str">
        <f>IF(Iterations[[#This Row],[Step]] =current_step, current_d,IF(Iterations[[#This Row],[Step]] &gt; current_step, "",Iterations[[#This Row],[d]]))</f>
        <v/>
      </c>
      <c r="K392" s="2" t="str">
        <f>IF(Iterations[[#This Row],[Step]] =current_step, current_e,IF(Iterations[[#This Row],[Step]] &gt; current_step, "",Iterations[[#This Row],[e]]))</f>
        <v/>
      </c>
      <c r="L392" s="2" t="str">
        <f>IF(Iterations[[#This Row],[Step]] =current_step, current_Total_Loss,IF(Iterations[[#This Row],[Step]] &gt; current_step, "",Iterations[[#This Row],[Total Loss]]))</f>
        <v/>
      </c>
      <c r="M392" s="6" t="s">
        <v>27</v>
      </c>
      <c r="N392" s="2" t="str">
        <f>IF(Iterations[[#This Row],[Step]] =current_step, current_Grad_a,IF(Iterations[[#This Row],[Step]] &gt; current_step, "",Iterations[[#This Row],[Grad_a]]))</f>
        <v/>
      </c>
      <c r="O392" s="2" t="str">
        <f>IF(Iterations[[#This Row],[Step]] =current_step, current_Grad_b,IF(Iterations[[#This Row],[Step]] &gt; current_step, "",Iterations[[#This Row],[Grad_b]]))</f>
        <v/>
      </c>
      <c r="P392" s="2" t="str">
        <f>IF(Iterations[[#This Row],[Step]] =current_step, current_Grad_c,IF(Iterations[[#This Row],[Step]] &gt; current_step, "",Iterations[[#This Row],[Grad_c]]))</f>
        <v/>
      </c>
      <c r="Q392" s="2" t="str">
        <f>IF(Iterations[[#This Row],[Step]] =current_step, current_Grad_d,IF(Iterations[[#This Row],[Step]] &gt; current_step, "",Iterations[[#This Row],[Grad_d]]))</f>
        <v/>
      </c>
      <c r="R392" s="2" t="str">
        <f>IF(Iterations[[#This Row],[Step]] =current_step, current_Grad_e,IF(Iterations[[#This Row],[Step]] &gt; current_step, "",Iterations[[#This Row],[Grad_e]]))</f>
        <v/>
      </c>
    </row>
    <row r="393" spans="6:18" x14ac:dyDescent="0.3">
      <c r="F393" s="2">
        <f t="shared" si="8"/>
        <v>376</v>
      </c>
      <c r="G393" s="2" t="str">
        <f>IF(Iterations[[#This Row],[Step]] =current_step, current_a,IF(Iterations[[#This Row],[Step]] &gt; current_step, "",Iterations[[#This Row],[a]]))</f>
        <v/>
      </c>
      <c r="H393" s="2" t="str">
        <f>IF(Iterations[[#This Row],[Step]] =current_step, current_b,IF(Iterations[[#This Row],[Step]] &gt; current_step, "",Iterations[[#This Row],[b]]))</f>
        <v/>
      </c>
      <c r="I393" s="2" t="str">
        <f>IF(Iterations[[#This Row],[Step]] =current_step, current_c,IF(Iterations[[#This Row],[Step]] &gt; current_step, "",Iterations[[#This Row],[c]]))</f>
        <v/>
      </c>
      <c r="J393" s="2" t="str">
        <f>IF(Iterations[[#This Row],[Step]] =current_step, current_d,IF(Iterations[[#This Row],[Step]] &gt; current_step, "",Iterations[[#This Row],[d]]))</f>
        <v/>
      </c>
      <c r="K393" s="2" t="str">
        <f>IF(Iterations[[#This Row],[Step]] =current_step, current_e,IF(Iterations[[#This Row],[Step]] &gt; current_step, "",Iterations[[#This Row],[e]]))</f>
        <v/>
      </c>
      <c r="L393" s="2" t="str">
        <f>IF(Iterations[[#This Row],[Step]] =current_step, current_Total_Loss,IF(Iterations[[#This Row],[Step]] &gt; current_step, "",Iterations[[#This Row],[Total Loss]]))</f>
        <v/>
      </c>
      <c r="M393" s="6" t="s">
        <v>27</v>
      </c>
      <c r="N393" s="2" t="str">
        <f>IF(Iterations[[#This Row],[Step]] =current_step, current_Grad_a,IF(Iterations[[#This Row],[Step]] &gt; current_step, "",Iterations[[#This Row],[Grad_a]]))</f>
        <v/>
      </c>
      <c r="O393" s="2" t="str">
        <f>IF(Iterations[[#This Row],[Step]] =current_step, current_Grad_b,IF(Iterations[[#This Row],[Step]] &gt; current_step, "",Iterations[[#This Row],[Grad_b]]))</f>
        <v/>
      </c>
      <c r="P393" s="2" t="str">
        <f>IF(Iterations[[#This Row],[Step]] =current_step, current_Grad_c,IF(Iterations[[#This Row],[Step]] &gt; current_step, "",Iterations[[#This Row],[Grad_c]]))</f>
        <v/>
      </c>
      <c r="Q393" s="2" t="str">
        <f>IF(Iterations[[#This Row],[Step]] =current_step, current_Grad_d,IF(Iterations[[#This Row],[Step]] &gt; current_step, "",Iterations[[#This Row],[Grad_d]]))</f>
        <v/>
      </c>
      <c r="R393" s="2" t="str">
        <f>IF(Iterations[[#This Row],[Step]] =current_step, current_Grad_e,IF(Iterations[[#This Row],[Step]] &gt; current_step, "",Iterations[[#This Row],[Grad_e]]))</f>
        <v/>
      </c>
    </row>
    <row r="394" spans="6:18" x14ac:dyDescent="0.3">
      <c r="F394" s="2">
        <f t="shared" si="8"/>
        <v>377</v>
      </c>
      <c r="G394" s="2" t="str">
        <f>IF(Iterations[[#This Row],[Step]] =current_step, current_a,IF(Iterations[[#This Row],[Step]] &gt; current_step, "",Iterations[[#This Row],[a]]))</f>
        <v/>
      </c>
      <c r="H394" s="2" t="str">
        <f>IF(Iterations[[#This Row],[Step]] =current_step, current_b,IF(Iterations[[#This Row],[Step]] &gt; current_step, "",Iterations[[#This Row],[b]]))</f>
        <v/>
      </c>
      <c r="I394" s="2" t="str">
        <f>IF(Iterations[[#This Row],[Step]] =current_step, current_c,IF(Iterations[[#This Row],[Step]] &gt; current_step, "",Iterations[[#This Row],[c]]))</f>
        <v/>
      </c>
      <c r="J394" s="2" t="str">
        <f>IF(Iterations[[#This Row],[Step]] =current_step, current_d,IF(Iterations[[#This Row],[Step]] &gt; current_step, "",Iterations[[#This Row],[d]]))</f>
        <v/>
      </c>
      <c r="K394" s="2" t="str">
        <f>IF(Iterations[[#This Row],[Step]] =current_step, current_e,IF(Iterations[[#This Row],[Step]] &gt; current_step, "",Iterations[[#This Row],[e]]))</f>
        <v/>
      </c>
      <c r="L394" s="2" t="str">
        <f>IF(Iterations[[#This Row],[Step]] =current_step, current_Total_Loss,IF(Iterations[[#This Row],[Step]] &gt; current_step, "",Iterations[[#This Row],[Total Loss]]))</f>
        <v/>
      </c>
      <c r="M394" s="6" t="s">
        <v>27</v>
      </c>
      <c r="N394" s="2" t="str">
        <f>IF(Iterations[[#This Row],[Step]] =current_step, current_Grad_a,IF(Iterations[[#This Row],[Step]] &gt; current_step, "",Iterations[[#This Row],[Grad_a]]))</f>
        <v/>
      </c>
      <c r="O394" s="2" t="str">
        <f>IF(Iterations[[#This Row],[Step]] =current_step, current_Grad_b,IF(Iterations[[#This Row],[Step]] &gt; current_step, "",Iterations[[#This Row],[Grad_b]]))</f>
        <v/>
      </c>
      <c r="P394" s="2" t="str">
        <f>IF(Iterations[[#This Row],[Step]] =current_step, current_Grad_c,IF(Iterations[[#This Row],[Step]] &gt; current_step, "",Iterations[[#This Row],[Grad_c]]))</f>
        <v/>
      </c>
      <c r="Q394" s="2" t="str">
        <f>IF(Iterations[[#This Row],[Step]] =current_step, current_Grad_d,IF(Iterations[[#This Row],[Step]] &gt; current_step, "",Iterations[[#This Row],[Grad_d]]))</f>
        <v/>
      </c>
      <c r="R394" s="2" t="str">
        <f>IF(Iterations[[#This Row],[Step]] =current_step, current_Grad_e,IF(Iterations[[#This Row],[Step]] &gt; current_step, "",Iterations[[#This Row],[Grad_e]]))</f>
        <v/>
      </c>
    </row>
    <row r="395" spans="6:18" x14ac:dyDescent="0.3">
      <c r="F395" s="2">
        <f t="shared" si="8"/>
        <v>378</v>
      </c>
      <c r="G395" s="2" t="str">
        <f>IF(Iterations[[#This Row],[Step]] =current_step, current_a,IF(Iterations[[#This Row],[Step]] &gt; current_step, "",Iterations[[#This Row],[a]]))</f>
        <v/>
      </c>
      <c r="H395" s="2" t="str">
        <f>IF(Iterations[[#This Row],[Step]] =current_step, current_b,IF(Iterations[[#This Row],[Step]] &gt; current_step, "",Iterations[[#This Row],[b]]))</f>
        <v/>
      </c>
      <c r="I395" s="2" t="str">
        <f>IF(Iterations[[#This Row],[Step]] =current_step, current_c,IF(Iterations[[#This Row],[Step]] &gt; current_step, "",Iterations[[#This Row],[c]]))</f>
        <v/>
      </c>
      <c r="J395" s="2" t="str">
        <f>IF(Iterations[[#This Row],[Step]] =current_step, current_d,IF(Iterations[[#This Row],[Step]] &gt; current_step, "",Iterations[[#This Row],[d]]))</f>
        <v/>
      </c>
      <c r="K395" s="2" t="str">
        <f>IF(Iterations[[#This Row],[Step]] =current_step, current_e,IF(Iterations[[#This Row],[Step]] &gt; current_step, "",Iterations[[#This Row],[e]]))</f>
        <v/>
      </c>
      <c r="L395" s="2" t="str">
        <f>IF(Iterations[[#This Row],[Step]] =current_step, current_Total_Loss,IF(Iterations[[#This Row],[Step]] &gt; current_step, "",Iterations[[#This Row],[Total Loss]]))</f>
        <v/>
      </c>
      <c r="M395" s="6" t="s">
        <v>27</v>
      </c>
      <c r="N395" s="2" t="str">
        <f>IF(Iterations[[#This Row],[Step]] =current_step, current_Grad_a,IF(Iterations[[#This Row],[Step]] &gt; current_step, "",Iterations[[#This Row],[Grad_a]]))</f>
        <v/>
      </c>
      <c r="O395" s="2" t="str">
        <f>IF(Iterations[[#This Row],[Step]] =current_step, current_Grad_b,IF(Iterations[[#This Row],[Step]] &gt; current_step, "",Iterations[[#This Row],[Grad_b]]))</f>
        <v/>
      </c>
      <c r="P395" s="2" t="str">
        <f>IF(Iterations[[#This Row],[Step]] =current_step, current_Grad_c,IF(Iterations[[#This Row],[Step]] &gt; current_step, "",Iterations[[#This Row],[Grad_c]]))</f>
        <v/>
      </c>
      <c r="Q395" s="2" t="str">
        <f>IF(Iterations[[#This Row],[Step]] =current_step, current_Grad_d,IF(Iterations[[#This Row],[Step]] &gt; current_step, "",Iterations[[#This Row],[Grad_d]]))</f>
        <v/>
      </c>
      <c r="R395" s="2" t="str">
        <f>IF(Iterations[[#This Row],[Step]] =current_step, current_Grad_e,IF(Iterations[[#This Row],[Step]] &gt; current_step, "",Iterations[[#This Row],[Grad_e]]))</f>
        <v/>
      </c>
    </row>
    <row r="396" spans="6:18" x14ac:dyDescent="0.3">
      <c r="F396" s="2">
        <f t="shared" si="8"/>
        <v>379</v>
      </c>
      <c r="G396" s="2" t="str">
        <f>IF(Iterations[[#This Row],[Step]] =current_step, current_a,IF(Iterations[[#This Row],[Step]] &gt; current_step, "",Iterations[[#This Row],[a]]))</f>
        <v/>
      </c>
      <c r="H396" s="2" t="str">
        <f>IF(Iterations[[#This Row],[Step]] =current_step, current_b,IF(Iterations[[#This Row],[Step]] &gt; current_step, "",Iterations[[#This Row],[b]]))</f>
        <v/>
      </c>
      <c r="I396" s="2" t="str">
        <f>IF(Iterations[[#This Row],[Step]] =current_step, current_c,IF(Iterations[[#This Row],[Step]] &gt; current_step, "",Iterations[[#This Row],[c]]))</f>
        <v/>
      </c>
      <c r="J396" s="2" t="str">
        <f>IF(Iterations[[#This Row],[Step]] =current_step, current_d,IF(Iterations[[#This Row],[Step]] &gt; current_step, "",Iterations[[#This Row],[d]]))</f>
        <v/>
      </c>
      <c r="K396" s="2" t="str">
        <f>IF(Iterations[[#This Row],[Step]] =current_step, current_e,IF(Iterations[[#This Row],[Step]] &gt; current_step, "",Iterations[[#This Row],[e]]))</f>
        <v/>
      </c>
      <c r="L396" s="2" t="str">
        <f>IF(Iterations[[#This Row],[Step]] =current_step, current_Total_Loss,IF(Iterations[[#This Row],[Step]] &gt; current_step, "",Iterations[[#This Row],[Total Loss]]))</f>
        <v/>
      </c>
      <c r="M396" s="6" t="s">
        <v>27</v>
      </c>
      <c r="N396" s="2" t="str">
        <f>IF(Iterations[[#This Row],[Step]] =current_step, current_Grad_a,IF(Iterations[[#This Row],[Step]] &gt; current_step, "",Iterations[[#This Row],[Grad_a]]))</f>
        <v/>
      </c>
      <c r="O396" s="2" t="str">
        <f>IF(Iterations[[#This Row],[Step]] =current_step, current_Grad_b,IF(Iterations[[#This Row],[Step]] &gt; current_step, "",Iterations[[#This Row],[Grad_b]]))</f>
        <v/>
      </c>
      <c r="P396" s="2" t="str">
        <f>IF(Iterations[[#This Row],[Step]] =current_step, current_Grad_c,IF(Iterations[[#This Row],[Step]] &gt; current_step, "",Iterations[[#This Row],[Grad_c]]))</f>
        <v/>
      </c>
      <c r="Q396" s="2" t="str">
        <f>IF(Iterations[[#This Row],[Step]] =current_step, current_Grad_d,IF(Iterations[[#This Row],[Step]] &gt; current_step, "",Iterations[[#This Row],[Grad_d]]))</f>
        <v/>
      </c>
      <c r="R396" s="2" t="str">
        <f>IF(Iterations[[#This Row],[Step]] =current_step, current_Grad_e,IF(Iterations[[#This Row],[Step]] &gt; current_step, "",Iterations[[#This Row],[Grad_e]]))</f>
        <v/>
      </c>
    </row>
    <row r="397" spans="6:18" x14ac:dyDescent="0.3">
      <c r="F397" s="2">
        <f t="shared" si="8"/>
        <v>380</v>
      </c>
      <c r="G397" s="2" t="str">
        <f>IF(Iterations[[#This Row],[Step]] =current_step, current_a,IF(Iterations[[#This Row],[Step]] &gt; current_step, "",Iterations[[#This Row],[a]]))</f>
        <v/>
      </c>
      <c r="H397" s="2" t="str">
        <f>IF(Iterations[[#This Row],[Step]] =current_step, current_b,IF(Iterations[[#This Row],[Step]] &gt; current_step, "",Iterations[[#This Row],[b]]))</f>
        <v/>
      </c>
      <c r="I397" s="2" t="str">
        <f>IF(Iterations[[#This Row],[Step]] =current_step, current_c,IF(Iterations[[#This Row],[Step]] &gt; current_step, "",Iterations[[#This Row],[c]]))</f>
        <v/>
      </c>
      <c r="J397" s="2" t="str">
        <f>IF(Iterations[[#This Row],[Step]] =current_step, current_d,IF(Iterations[[#This Row],[Step]] &gt; current_step, "",Iterations[[#This Row],[d]]))</f>
        <v/>
      </c>
      <c r="K397" s="2" t="str">
        <f>IF(Iterations[[#This Row],[Step]] =current_step, current_e,IF(Iterations[[#This Row],[Step]] &gt; current_step, "",Iterations[[#This Row],[e]]))</f>
        <v/>
      </c>
      <c r="L397" s="2" t="str">
        <f>IF(Iterations[[#This Row],[Step]] =current_step, current_Total_Loss,IF(Iterations[[#This Row],[Step]] &gt; current_step, "",Iterations[[#This Row],[Total Loss]]))</f>
        <v/>
      </c>
      <c r="M397" s="6" t="s">
        <v>27</v>
      </c>
      <c r="N397" s="2" t="str">
        <f>IF(Iterations[[#This Row],[Step]] =current_step, current_Grad_a,IF(Iterations[[#This Row],[Step]] &gt; current_step, "",Iterations[[#This Row],[Grad_a]]))</f>
        <v/>
      </c>
      <c r="O397" s="2" t="str">
        <f>IF(Iterations[[#This Row],[Step]] =current_step, current_Grad_b,IF(Iterations[[#This Row],[Step]] &gt; current_step, "",Iterations[[#This Row],[Grad_b]]))</f>
        <v/>
      </c>
      <c r="P397" s="2" t="str">
        <f>IF(Iterations[[#This Row],[Step]] =current_step, current_Grad_c,IF(Iterations[[#This Row],[Step]] &gt; current_step, "",Iterations[[#This Row],[Grad_c]]))</f>
        <v/>
      </c>
      <c r="Q397" s="2" t="str">
        <f>IF(Iterations[[#This Row],[Step]] =current_step, current_Grad_d,IF(Iterations[[#This Row],[Step]] &gt; current_step, "",Iterations[[#This Row],[Grad_d]]))</f>
        <v/>
      </c>
      <c r="R397" s="2" t="str">
        <f>IF(Iterations[[#This Row],[Step]] =current_step, current_Grad_e,IF(Iterations[[#This Row],[Step]] &gt; current_step, "",Iterations[[#This Row],[Grad_e]]))</f>
        <v/>
      </c>
    </row>
    <row r="398" spans="6:18" x14ac:dyDescent="0.3">
      <c r="F398" s="2">
        <f t="shared" si="8"/>
        <v>381</v>
      </c>
      <c r="G398" s="2" t="str">
        <f>IF(Iterations[[#This Row],[Step]] =current_step, current_a,IF(Iterations[[#This Row],[Step]] &gt; current_step, "",Iterations[[#This Row],[a]]))</f>
        <v/>
      </c>
      <c r="H398" s="2" t="str">
        <f>IF(Iterations[[#This Row],[Step]] =current_step, current_b,IF(Iterations[[#This Row],[Step]] &gt; current_step, "",Iterations[[#This Row],[b]]))</f>
        <v/>
      </c>
      <c r="I398" s="2" t="str">
        <f>IF(Iterations[[#This Row],[Step]] =current_step, current_c,IF(Iterations[[#This Row],[Step]] &gt; current_step, "",Iterations[[#This Row],[c]]))</f>
        <v/>
      </c>
      <c r="J398" s="2" t="str">
        <f>IF(Iterations[[#This Row],[Step]] =current_step, current_d,IF(Iterations[[#This Row],[Step]] &gt; current_step, "",Iterations[[#This Row],[d]]))</f>
        <v/>
      </c>
      <c r="K398" s="2" t="str">
        <f>IF(Iterations[[#This Row],[Step]] =current_step, current_e,IF(Iterations[[#This Row],[Step]] &gt; current_step, "",Iterations[[#This Row],[e]]))</f>
        <v/>
      </c>
      <c r="L398" s="2" t="str">
        <f>IF(Iterations[[#This Row],[Step]] =current_step, current_Total_Loss,IF(Iterations[[#This Row],[Step]] &gt; current_step, "",Iterations[[#This Row],[Total Loss]]))</f>
        <v/>
      </c>
      <c r="M398" s="6" t="s">
        <v>27</v>
      </c>
      <c r="N398" s="2" t="str">
        <f>IF(Iterations[[#This Row],[Step]] =current_step, current_Grad_a,IF(Iterations[[#This Row],[Step]] &gt; current_step, "",Iterations[[#This Row],[Grad_a]]))</f>
        <v/>
      </c>
      <c r="O398" s="2" t="str">
        <f>IF(Iterations[[#This Row],[Step]] =current_step, current_Grad_b,IF(Iterations[[#This Row],[Step]] &gt; current_step, "",Iterations[[#This Row],[Grad_b]]))</f>
        <v/>
      </c>
      <c r="P398" s="2" t="str">
        <f>IF(Iterations[[#This Row],[Step]] =current_step, current_Grad_c,IF(Iterations[[#This Row],[Step]] &gt; current_step, "",Iterations[[#This Row],[Grad_c]]))</f>
        <v/>
      </c>
      <c r="Q398" s="2" t="str">
        <f>IF(Iterations[[#This Row],[Step]] =current_step, current_Grad_d,IF(Iterations[[#This Row],[Step]] &gt; current_step, "",Iterations[[#This Row],[Grad_d]]))</f>
        <v/>
      </c>
      <c r="R398" s="2" t="str">
        <f>IF(Iterations[[#This Row],[Step]] =current_step, current_Grad_e,IF(Iterations[[#This Row],[Step]] &gt; current_step, "",Iterations[[#This Row],[Grad_e]]))</f>
        <v/>
      </c>
    </row>
    <row r="399" spans="6:18" x14ac:dyDescent="0.3">
      <c r="F399" s="2">
        <f t="shared" si="8"/>
        <v>382</v>
      </c>
      <c r="G399" s="2" t="str">
        <f>IF(Iterations[[#This Row],[Step]] =current_step, current_a,IF(Iterations[[#This Row],[Step]] &gt; current_step, "",Iterations[[#This Row],[a]]))</f>
        <v/>
      </c>
      <c r="H399" s="2" t="str">
        <f>IF(Iterations[[#This Row],[Step]] =current_step, current_b,IF(Iterations[[#This Row],[Step]] &gt; current_step, "",Iterations[[#This Row],[b]]))</f>
        <v/>
      </c>
      <c r="I399" s="2" t="str">
        <f>IF(Iterations[[#This Row],[Step]] =current_step, current_c,IF(Iterations[[#This Row],[Step]] &gt; current_step, "",Iterations[[#This Row],[c]]))</f>
        <v/>
      </c>
      <c r="J399" s="2" t="str">
        <f>IF(Iterations[[#This Row],[Step]] =current_step, current_d,IF(Iterations[[#This Row],[Step]] &gt; current_step, "",Iterations[[#This Row],[d]]))</f>
        <v/>
      </c>
      <c r="K399" s="2" t="str">
        <f>IF(Iterations[[#This Row],[Step]] =current_step, current_e,IF(Iterations[[#This Row],[Step]] &gt; current_step, "",Iterations[[#This Row],[e]]))</f>
        <v/>
      </c>
      <c r="L399" s="2" t="str">
        <f>IF(Iterations[[#This Row],[Step]] =current_step, current_Total_Loss,IF(Iterations[[#This Row],[Step]] &gt; current_step, "",Iterations[[#This Row],[Total Loss]]))</f>
        <v/>
      </c>
      <c r="M399" s="6" t="s">
        <v>27</v>
      </c>
      <c r="N399" s="2" t="str">
        <f>IF(Iterations[[#This Row],[Step]] =current_step, current_Grad_a,IF(Iterations[[#This Row],[Step]] &gt; current_step, "",Iterations[[#This Row],[Grad_a]]))</f>
        <v/>
      </c>
      <c r="O399" s="2" t="str">
        <f>IF(Iterations[[#This Row],[Step]] =current_step, current_Grad_b,IF(Iterations[[#This Row],[Step]] &gt; current_step, "",Iterations[[#This Row],[Grad_b]]))</f>
        <v/>
      </c>
      <c r="P399" s="2" t="str">
        <f>IF(Iterations[[#This Row],[Step]] =current_step, current_Grad_c,IF(Iterations[[#This Row],[Step]] &gt; current_step, "",Iterations[[#This Row],[Grad_c]]))</f>
        <v/>
      </c>
      <c r="Q399" s="2" t="str">
        <f>IF(Iterations[[#This Row],[Step]] =current_step, current_Grad_d,IF(Iterations[[#This Row],[Step]] &gt; current_step, "",Iterations[[#This Row],[Grad_d]]))</f>
        <v/>
      </c>
      <c r="R399" s="2" t="str">
        <f>IF(Iterations[[#This Row],[Step]] =current_step, current_Grad_e,IF(Iterations[[#This Row],[Step]] &gt; current_step, "",Iterations[[#This Row],[Grad_e]]))</f>
        <v/>
      </c>
    </row>
    <row r="400" spans="6:18" x14ac:dyDescent="0.3">
      <c r="F400" s="2">
        <f t="shared" si="8"/>
        <v>383</v>
      </c>
      <c r="G400" s="2" t="str">
        <f>IF(Iterations[[#This Row],[Step]] =current_step, current_a,IF(Iterations[[#This Row],[Step]] &gt; current_step, "",Iterations[[#This Row],[a]]))</f>
        <v/>
      </c>
      <c r="H400" s="2" t="str">
        <f>IF(Iterations[[#This Row],[Step]] =current_step, current_b,IF(Iterations[[#This Row],[Step]] &gt; current_step, "",Iterations[[#This Row],[b]]))</f>
        <v/>
      </c>
      <c r="I400" s="2" t="str">
        <f>IF(Iterations[[#This Row],[Step]] =current_step, current_c,IF(Iterations[[#This Row],[Step]] &gt; current_step, "",Iterations[[#This Row],[c]]))</f>
        <v/>
      </c>
      <c r="J400" s="2" t="str">
        <f>IF(Iterations[[#This Row],[Step]] =current_step, current_d,IF(Iterations[[#This Row],[Step]] &gt; current_step, "",Iterations[[#This Row],[d]]))</f>
        <v/>
      </c>
      <c r="K400" s="2" t="str">
        <f>IF(Iterations[[#This Row],[Step]] =current_step, current_e,IF(Iterations[[#This Row],[Step]] &gt; current_step, "",Iterations[[#This Row],[e]]))</f>
        <v/>
      </c>
      <c r="L400" s="2" t="str">
        <f>IF(Iterations[[#This Row],[Step]] =current_step, current_Total_Loss,IF(Iterations[[#This Row],[Step]] &gt; current_step, "",Iterations[[#This Row],[Total Loss]]))</f>
        <v/>
      </c>
      <c r="M400" s="6" t="s">
        <v>27</v>
      </c>
      <c r="N400" s="2" t="str">
        <f>IF(Iterations[[#This Row],[Step]] =current_step, current_Grad_a,IF(Iterations[[#This Row],[Step]] &gt; current_step, "",Iterations[[#This Row],[Grad_a]]))</f>
        <v/>
      </c>
      <c r="O400" s="2" t="str">
        <f>IF(Iterations[[#This Row],[Step]] =current_step, current_Grad_b,IF(Iterations[[#This Row],[Step]] &gt; current_step, "",Iterations[[#This Row],[Grad_b]]))</f>
        <v/>
      </c>
      <c r="P400" s="2" t="str">
        <f>IF(Iterations[[#This Row],[Step]] =current_step, current_Grad_c,IF(Iterations[[#This Row],[Step]] &gt; current_step, "",Iterations[[#This Row],[Grad_c]]))</f>
        <v/>
      </c>
      <c r="Q400" s="2" t="str">
        <f>IF(Iterations[[#This Row],[Step]] =current_step, current_Grad_d,IF(Iterations[[#This Row],[Step]] &gt; current_step, "",Iterations[[#This Row],[Grad_d]]))</f>
        <v/>
      </c>
      <c r="R400" s="2" t="str">
        <f>IF(Iterations[[#This Row],[Step]] =current_step, current_Grad_e,IF(Iterations[[#This Row],[Step]] &gt; current_step, "",Iterations[[#This Row],[Grad_e]]))</f>
        <v/>
      </c>
    </row>
    <row r="401" spans="6:18" x14ac:dyDescent="0.3">
      <c r="F401" s="2">
        <f t="shared" si="8"/>
        <v>384</v>
      </c>
      <c r="G401" s="2" t="str">
        <f>IF(Iterations[[#This Row],[Step]] =current_step, current_a,IF(Iterations[[#This Row],[Step]] &gt; current_step, "",Iterations[[#This Row],[a]]))</f>
        <v/>
      </c>
      <c r="H401" s="2" t="str">
        <f>IF(Iterations[[#This Row],[Step]] =current_step, current_b,IF(Iterations[[#This Row],[Step]] &gt; current_step, "",Iterations[[#This Row],[b]]))</f>
        <v/>
      </c>
      <c r="I401" s="2" t="str">
        <f>IF(Iterations[[#This Row],[Step]] =current_step, current_c,IF(Iterations[[#This Row],[Step]] &gt; current_step, "",Iterations[[#This Row],[c]]))</f>
        <v/>
      </c>
      <c r="J401" s="2" t="str">
        <f>IF(Iterations[[#This Row],[Step]] =current_step, current_d,IF(Iterations[[#This Row],[Step]] &gt; current_step, "",Iterations[[#This Row],[d]]))</f>
        <v/>
      </c>
      <c r="K401" s="2" t="str">
        <f>IF(Iterations[[#This Row],[Step]] =current_step, current_e,IF(Iterations[[#This Row],[Step]] &gt; current_step, "",Iterations[[#This Row],[e]]))</f>
        <v/>
      </c>
      <c r="L401" s="2" t="str">
        <f>IF(Iterations[[#This Row],[Step]] =current_step, current_Total_Loss,IF(Iterations[[#This Row],[Step]] &gt; current_step, "",Iterations[[#This Row],[Total Loss]]))</f>
        <v/>
      </c>
      <c r="M401" s="6" t="s">
        <v>27</v>
      </c>
      <c r="N401" s="2" t="str">
        <f>IF(Iterations[[#This Row],[Step]] =current_step, current_Grad_a,IF(Iterations[[#This Row],[Step]] &gt; current_step, "",Iterations[[#This Row],[Grad_a]]))</f>
        <v/>
      </c>
      <c r="O401" s="2" t="str">
        <f>IF(Iterations[[#This Row],[Step]] =current_step, current_Grad_b,IF(Iterations[[#This Row],[Step]] &gt; current_step, "",Iterations[[#This Row],[Grad_b]]))</f>
        <v/>
      </c>
      <c r="P401" s="2" t="str">
        <f>IF(Iterations[[#This Row],[Step]] =current_step, current_Grad_c,IF(Iterations[[#This Row],[Step]] &gt; current_step, "",Iterations[[#This Row],[Grad_c]]))</f>
        <v/>
      </c>
      <c r="Q401" s="2" t="str">
        <f>IF(Iterations[[#This Row],[Step]] =current_step, current_Grad_d,IF(Iterations[[#This Row],[Step]] &gt; current_step, "",Iterations[[#This Row],[Grad_d]]))</f>
        <v/>
      </c>
      <c r="R401" s="2" t="str">
        <f>IF(Iterations[[#This Row],[Step]] =current_step, current_Grad_e,IF(Iterations[[#This Row],[Step]] &gt; current_step, "",Iterations[[#This Row],[Grad_e]]))</f>
        <v/>
      </c>
    </row>
    <row r="402" spans="6:18" x14ac:dyDescent="0.3">
      <c r="F402" s="2">
        <f t="shared" si="8"/>
        <v>385</v>
      </c>
      <c r="G402" s="2" t="str">
        <f>IF(Iterations[[#This Row],[Step]] =current_step, current_a,IF(Iterations[[#This Row],[Step]] &gt; current_step, "",Iterations[[#This Row],[a]]))</f>
        <v/>
      </c>
      <c r="H402" s="2" t="str">
        <f>IF(Iterations[[#This Row],[Step]] =current_step, current_b,IF(Iterations[[#This Row],[Step]] &gt; current_step, "",Iterations[[#This Row],[b]]))</f>
        <v/>
      </c>
      <c r="I402" s="2" t="str">
        <f>IF(Iterations[[#This Row],[Step]] =current_step, current_c,IF(Iterations[[#This Row],[Step]] &gt; current_step, "",Iterations[[#This Row],[c]]))</f>
        <v/>
      </c>
      <c r="J402" s="2" t="str">
        <f>IF(Iterations[[#This Row],[Step]] =current_step, current_d,IF(Iterations[[#This Row],[Step]] &gt; current_step, "",Iterations[[#This Row],[d]]))</f>
        <v/>
      </c>
      <c r="K402" s="2" t="str">
        <f>IF(Iterations[[#This Row],[Step]] =current_step, current_e,IF(Iterations[[#This Row],[Step]] &gt; current_step, "",Iterations[[#This Row],[e]]))</f>
        <v/>
      </c>
      <c r="L402" s="2" t="str">
        <f>IF(Iterations[[#This Row],[Step]] =current_step, current_Total_Loss,IF(Iterations[[#This Row],[Step]] &gt; current_step, "",Iterations[[#This Row],[Total Loss]]))</f>
        <v/>
      </c>
      <c r="M402" s="6" t="s">
        <v>27</v>
      </c>
      <c r="N402" s="2" t="str">
        <f>IF(Iterations[[#This Row],[Step]] =current_step, current_Grad_a,IF(Iterations[[#This Row],[Step]] &gt; current_step, "",Iterations[[#This Row],[Grad_a]]))</f>
        <v/>
      </c>
      <c r="O402" s="2" t="str">
        <f>IF(Iterations[[#This Row],[Step]] =current_step, current_Grad_b,IF(Iterations[[#This Row],[Step]] &gt; current_step, "",Iterations[[#This Row],[Grad_b]]))</f>
        <v/>
      </c>
      <c r="P402" s="2" t="str">
        <f>IF(Iterations[[#This Row],[Step]] =current_step, current_Grad_c,IF(Iterations[[#This Row],[Step]] &gt; current_step, "",Iterations[[#This Row],[Grad_c]]))</f>
        <v/>
      </c>
      <c r="Q402" s="2" t="str">
        <f>IF(Iterations[[#This Row],[Step]] =current_step, current_Grad_d,IF(Iterations[[#This Row],[Step]] &gt; current_step, "",Iterations[[#This Row],[Grad_d]]))</f>
        <v/>
      </c>
      <c r="R402" s="2" t="str">
        <f>IF(Iterations[[#This Row],[Step]] =current_step, current_Grad_e,IF(Iterations[[#This Row],[Step]] &gt; current_step, "",Iterations[[#This Row],[Grad_e]]))</f>
        <v/>
      </c>
    </row>
    <row r="403" spans="6:18" x14ac:dyDescent="0.3">
      <c r="F403" s="2">
        <f t="shared" si="8"/>
        <v>386</v>
      </c>
      <c r="G403" s="2" t="str">
        <f>IF(Iterations[[#This Row],[Step]] =current_step, current_a,IF(Iterations[[#This Row],[Step]] &gt; current_step, "",Iterations[[#This Row],[a]]))</f>
        <v/>
      </c>
      <c r="H403" s="2" t="str">
        <f>IF(Iterations[[#This Row],[Step]] =current_step, current_b,IF(Iterations[[#This Row],[Step]] &gt; current_step, "",Iterations[[#This Row],[b]]))</f>
        <v/>
      </c>
      <c r="I403" s="2" t="str">
        <f>IF(Iterations[[#This Row],[Step]] =current_step, current_c,IF(Iterations[[#This Row],[Step]] &gt; current_step, "",Iterations[[#This Row],[c]]))</f>
        <v/>
      </c>
      <c r="J403" s="2" t="str">
        <f>IF(Iterations[[#This Row],[Step]] =current_step, current_d,IF(Iterations[[#This Row],[Step]] &gt; current_step, "",Iterations[[#This Row],[d]]))</f>
        <v/>
      </c>
      <c r="K403" s="2" t="str">
        <f>IF(Iterations[[#This Row],[Step]] =current_step, current_e,IF(Iterations[[#This Row],[Step]] &gt; current_step, "",Iterations[[#This Row],[e]]))</f>
        <v/>
      </c>
      <c r="L403" s="2" t="str">
        <f>IF(Iterations[[#This Row],[Step]] =current_step, current_Total_Loss,IF(Iterations[[#This Row],[Step]] &gt; current_step, "",Iterations[[#This Row],[Total Loss]]))</f>
        <v/>
      </c>
      <c r="M403" s="6" t="s">
        <v>27</v>
      </c>
      <c r="N403" s="2" t="str">
        <f>IF(Iterations[[#This Row],[Step]] =current_step, current_Grad_a,IF(Iterations[[#This Row],[Step]] &gt; current_step, "",Iterations[[#This Row],[Grad_a]]))</f>
        <v/>
      </c>
      <c r="O403" s="2" t="str">
        <f>IF(Iterations[[#This Row],[Step]] =current_step, current_Grad_b,IF(Iterations[[#This Row],[Step]] &gt; current_step, "",Iterations[[#This Row],[Grad_b]]))</f>
        <v/>
      </c>
      <c r="P403" s="2" t="str">
        <f>IF(Iterations[[#This Row],[Step]] =current_step, current_Grad_c,IF(Iterations[[#This Row],[Step]] &gt; current_step, "",Iterations[[#This Row],[Grad_c]]))</f>
        <v/>
      </c>
      <c r="Q403" s="2" t="str">
        <f>IF(Iterations[[#This Row],[Step]] =current_step, current_Grad_d,IF(Iterations[[#This Row],[Step]] &gt; current_step, "",Iterations[[#This Row],[Grad_d]]))</f>
        <v/>
      </c>
      <c r="R403" s="2" t="str">
        <f>IF(Iterations[[#This Row],[Step]] =current_step, current_Grad_e,IF(Iterations[[#This Row],[Step]] &gt; current_step, "",Iterations[[#This Row],[Grad_e]]))</f>
        <v/>
      </c>
    </row>
    <row r="404" spans="6:18" x14ac:dyDescent="0.3">
      <c r="F404" s="2">
        <f t="shared" si="8"/>
        <v>387</v>
      </c>
      <c r="G404" s="2" t="str">
        <f>IF(Iterations[[#This Row],[Step]] =current_step, current_a,IF(Iterations[[#This Row],[Step]] &gt; current_step, "",Iterations[[#This Row],[a]]))</f>
        <v/>
      </c>
      <c r="H404" s="2" t="str">
        <f>IF(Iterations[[#This Row],[Step]] =current_step, current_b,IF(Iterations[[#This Row],[Step]] &gt; current_step, "",Iterations[[#This Row],[b]]))</f>
        <v/>
      </c>
      <c r="I404" s="2" t="str">
        <f>IF(Iterations[[#This Row],[Step]] =current_step, current_c,IF(Iterations[[#This Row],[Step]] &gt; current_step, "",Iterations[[#This Row],[c]]))</f>
        <v/>
      </c>
      <c r="J404" s="2" t="str">
        <f>IF(Iterations[[#This Row],[Step]] =current_step, current_d,IF(Iterations[[#This Row],[Step]] &gt; current_step, "",Iterations[[#This Row],[d]]))</f>
        <v/>
      </c>
      <c r="K404" s="2" t="str">
        <f>IF(Iterations[[#This Row],[Step]] =current_step, current_e,IF(Iterations[[#This Row],[Step]] &gt; current_step, "",Iterations[[#This Row],[e]]))</f>
        <v/>
      </c>
      <c r="L404" s="2" t="str">
        <f>IF(Iterations[[#This Row],[Step]] =current_step, current_Total_Loss,IF(Iterations[[#This Row],[Step]] &gt; current_step, "",Iterations[[#This Row],[Total Loss]]))</f>
        <v/>
      </c>
      <c r="M404" s="6" t="s">
        <v>27</v>
      </c>
      <c r="N404" s="2" t="str">
        <f>IF(Iterations[[#This Row],[Step]] =current_step, current_Grad_a,IF(Iterations[[#This Row],[Step]] &gt; current_step, "",Iterations[[#This Row],[Grad_a]]))</f>
        <v/>
      </c>
      <c r="O404" s="2" t="str">
        <f>IF(Iterations[[#This Row],[Step]] =current_step, current_Grad_b,IF(Iterations[[#This Row],[Step]] &gt; current_step, "",Iterations[[#This Row],[Grad_b]]))</f>
        <v/>
      </c>
      <c r="P404" s="2" t="str">
        <f>IF(Iterations[[#This Row],[Step]] =current_step, current_Grad_c,IF(Iterations[[#This Row],[Step]] &gt; current_step, "",Iterations[[#This Row],[Grad_c]]))</f>
        <v/>
      </c>
      <c r="Q404" s="2" t="str">
        <f>IF(Iterations[[#This Row],[Step]] =current_step, current_Grad_d,IF(Iterations[[#This Row],[Step]] &gt; current_step, "",Iterations[[#This Row],[Grad_d]]))</f>
        <v/>
      </c>
      <c r="R404" s="2" t="str">
        <f>IF(Iterations[[#This Row],[Step]] =current_step, current_Grad_e,IF(Iterations[[#This Row],[Step]] &gt; current_step, "",Iterations[[#This Row],[Grad_e]]))</f>
        <v/>
      </c>
    </row>
    <row r="405" spans="6:18" x14ac:dyDescent="0.3">
      <c r="F405" s="2">
        <f t="shared" si="8"/>
        <v>388</v>
      </c>
      <c r="G405" s="2" t="str">
        <f>IF(Iterations[[#This Row],[Step]] =current_step, current_a,IF(Iterations[[#This Row],[Step]] &gt; current_step, "",Iterations[[#This Row],[a]]))</f>
        <v/>
      </c>
      <c r="H405" s="2" t="str">
        <f>IF(Iterations[[#This Row],[Step]] =current_step, current_b,IF(Iterations[[#This Row],[Step]] &gt; current_step, "",Iterations[[#This Row],[b]]))</f>
        <v/>
      </c>
      <c r="I405" s="2" t="str">
        <f>IF(Iterations[[#This Row],[Step]] =current_step, current_c,IF(Iterations[[#This Row],[Step]] &gt; current_step, "",Iterations[[#This Row],[c]]))</f>
        <v/>
      </c>
      <c r="J405" s="2" t="str">
        <f>IF(Iterations[[#This Row],[Step]] =current_step, current_d,IF(Iterations[[#This Row],[Step]] &gt; current_step, "",Iterations[[#This Row],[d]]))</f>
        <v/>
      </c>
      <c r="K405" s="2" t="str">
        <f>IF(Iterations[[#This Row],[Step]] =current_step, current_e,IF(Iterations[[#This Row],[Step]] &gt; current_step, "",Iterations[[#This Row],[e]]))</f>
        <v/>
      </c>
      <c r="L405" s="2" t="str">
        <f>IF(Iterations[[#This Row],[Step]] =current_step, current_Total_Loss,IF(Iterations[[#This Row],[Step]] &gt; current_step, "",Iterations[[#This Row],[Total Loss]]))</f>
        <v/>
      </c>
      <c r="M405" s="6" t="s">
        <v>27</v>
      </c>
      <c r="N405" s="2" t="str">
        <f>IF(Iterations[[#This Row],[Step]] =current_step, current_Grad_a,IF(Iterations[[#This Row],[Step]] &gt; current_step, "",Iterations[[#This Row],[Grad_a]]))</f>
        <v/>
      </c>
      <c r="O405" s="2" t="str">
        <f>IF(Iterations[[#This Row],[Step]] =current_step, current_Grad_b,IF(Iterations[[#This Row],[Step]] &gt; current_step, "",Iterations[[#This Row],[Grad_b]]))</f>
        <v/>
      </c>
      <c r="P405" s="2" t="str">
        <f>IF(Iterations[[#This Row],[Step]] =current_step, current_Grad_c,IF(Iterations[[#This Row],[Step]] &gt; current_step, "",Iterations[[#This Row],[Grad_c]]))</f>
        <v/>
      </c>
      <c r="Q405" s="2" t="str">
        <f>IF(Iterations[[#This Row],[Step]] =current_step, current_Grad_d,IF(Iterations[[#This Row],[Step]] &gt; current_step, "",Iterations[[#This Row],[Grad_d]]))</f>
        <v/>
      </c>
      <c r="R405" s="2" t="str">
        <f>IF(Iterations[[#This Row],[Step]] =current_step, current_Grad_e,IF(Iterations[[#This Row],[Step]] &gt; current_step, "",Iterations[[#This Row],[Grad_e]]))</f>
        <v/>
      </c>
    </row>
    <row r="406" spans="6:18" x14ac:dyDescent="0.3">
      <c r="F406" s="2">
        <f t="shared" si="8"/>
        <v>389</v>
      </c>
      <c r="G406" s="2" t="str">
        <f>IF(Iterations[[#This Row],[Step]] =current_step, current_a,IF(Iterations[[#This Row],[Step]] &gt; current_step, "",Iterations[[#This Row],[a]]))</f>
        <v/>
      </c>
      <c r="H406" s="2" t="str">
        <f>IF(Iterations[[#This Row],[Step]] =current_step, current_b,IF(Iterations[[#This Row],[Step]] &gt; current_step, "",Iterations[[#This Row],[b]]))</f>
        <v/>
      </c>
      <c r="I406" s="2" t="str">
        <f>IF(Iterations[[#This Row],[Step]] =current_step, current_c,IF(Iterations[[#This Row],[Step]] &gt; current_step, "",Iterations[[#This Row],[c]]))</f>
        <v/>
      </c>
      <c r="J406" s="2" t="str">
        <f>IF(Iterations[[#This Row],[Step]] =current_step, current_d,IF(Iterations[[#This Row],[Step]] &gt; current_step, "",Iterations[[#This Row],[d]]))</f>
        <v/>
      </c>
      <c r="K406" s="2" t="str">
        <f>IF(Iterations[[#This Row],[Step]] =current_step, current_e,IF(Iterations[[#This Row],[Step]] &gt; current_step, "",Iterations[[#This Row],[e]]))</f>
        <v/>
      </c>
      <c r="L406" s="2" t="str">
        <f>IF(Iterations[[#This Row],[Step]] =current_step, current_Total_Loss,IF(Iterations[[#This Row],[Step]] &gt; current_step, "",Iterations[[#This Row],[Total Loss]]))</f>
        <v/>
      </c>
      <c r="M406" s="6" t="s">
        <v>27</v>
      </c>
      <c r="N406" s="2" t="str">
        <f>IF(Iterations[[#This Row],[Step]] =current_step, current_Grad_a,IF(Iterations[[#This Row],[Step]] &gt; current_step, "",Iterations[[#This Row],[Grad_a]]))</f>
        <v/>
      </c>
      <c r="O406" s="2" t="str">
        <f>IF(Iterations[[#This Row],[Step]] =current_step, current_Grad_b,IF(Iterations[[#This Row],[Step]] &gt; current_step, "",Iterations[[#This Row],[Grad_b]]))</f>
        <v/>
      </c>
      <c r="P406" s="2" t="str">
        <f>IF(Iterations[[#This Row],[Step]] =current_step, current_Grad_c,IF(Iterations[[#This Row],[Step]] &gt; current_step, "",Iterations[[#This Row],[Grad_c]]))</f>
        <v/>
      </c>
      <c r="Q406" s="2" t="str">
        <f>IF(Iterations[[#This Row],[Step]] =current_step, current_Grad_d,IF(Iterations[[#This Row],[Step]] &gt; current_step, "",Iterations[[#This Row],[Grad_d]]))</f>
        <v/>
      </c>
      <c r="R406" s="2" t="str">
        <f>IF(Iterations[[#This Row],[Step]] =current_step, current_Grad_e,IF(Iterations[[#This Row],[Step]] &gt; current_step, "",Iterations[[#This Row],[Grad_e]]))</f>
        <v/>
      </c>
    </row>
    <row r="407" spans="6:18" x14ac:dyDescent="0.3">
      <c r="F407" s="2">
        <f t="shared" si="8"/>
        <v>390</v>
      </c>
      <c r="G407" s="2" t="str">
        <f>IF(Iterations[[#This Row],[Step]] =current_step, current_a,IF(Iterations[[#This Row],[Step]] &gt; current_step, "",Iterations[[#This Row],[a]]))</f>
        <v/>
      </c>
      <c r="H407" s="2" t="str">
        <f>IF(Iterations[[#This Row],[Step]] =current_step, current_b,IF(Iterations[[#This Row],[Step]] &gt; current_step, "",Iterations[[#This Row],[b]]))</f>
        <v/>
      </c>
      <c r="I407" s="2" t="str">
        <f>IF(Iterations[[#This Row],[Step]] =current_step, current_c,IF(Iterations[[#This Row],[Step]] &gt; current_step, "",Iterations[[#This Row],[c]]))</f>
        <v/>
      </c>
      <c r="J407" s="2" t="str">
        <f>IF(Iterations[[#This Row],[Step]] =current_step, current_d,IF(Iterations[[#This Row],[Step]] &gt; current_step, "",Iterations[[#This Row],[d]]))</f>
        <v/>
      </c>
      <c r="K407" s="2" t="str">
        <f>IF(Iterations[[#This Row],[Step]] =current_step, current_e,IF(Iterations[[#This Row],[Step]] &gt; current_step, "",Iterations[[#This Row],[e]]))</f>
        <v/>
      </c>
      <c r="L407" s="2" t="str">
        <f>IF(Iterations[[#This Row],[Step]] =current_step, current_Total_Loss,IF(Iterations[[#This Row],[Step]] &gt; current_step, "",Iterations[[#This Row],[Total Loss]]))</f>
        <v/>
      </c>
      <c r="M407" s="6" t="s">
        <v>27</v>
      </c>
      <c r="N407" s="2" t="str">
        <f>IF(Iterations[[#This Row],[Step]] =current_step, current_Grad_a,IF(Iterations[[#This Row],[Step]] &gt; current_step, "",Iterations[[#This Row],[Grad_a]]))</f>
        <v/>
      </c>
      <c r="O407" s="2" t="str">
        <f>IF(Iterations[[#This Row],[Step]] =current_step, current_Grad_b,IF(Iterations[[#This Row],[Step]] &gt; current_step, "",Iterations[[#This Row],[Grad_b]]))</f>
        <v/>
      </c>
      <c r="P407" s="2" t="str">
        <f>IF(Iterations[[#This Row],[Step]] =current_step, current_Grad_c,IF(Iterations[[#This Row],[Step]] &gt; current_step, "",Iterations[[#This Row],[Grad_c]]))</f>
        <v/>
      </c>
      <c r="Q407" s="2" t="str">
        <f>IF(Iterations[[#This Row],[Step]] =current_step, current_Grad_d,IF(Iterations[[#This Row],[Step]] &gt; current_step, "",Iterations[[#This Row],[Grad_d]]))</f>
        <v/>
      </c>
      <c r="R407" s="2" t="str">
        <f>IF(Iterations[[#This Row],[Step]] =current_step, current_Grad_e,IF(Iterations[[#This Row],[Step]] &gt; current_step, "",Iterations[[#This Row],[Grad_e]]))</f>
        <v/>
      </c>
    </row>
    <row r="408" spans="6:18" x14ac:dyDescent="0.3">
      <c r="F408" s="2">
        <f t="shared" si="8"/>
        <v>391</v>
      </c>
      <c r="G408" s="2" t="str">
        <f>IF(Iterations[[#This Row],[Step]] =current_step, current_a,IF(Iterations[[#This Row],[Step]] &gt; current_step, "",Iterations[[#This Row],[a]]))</f>
        <v/>
      </c>
      <c r="H408" s="2" t="str">
        <f>IF(Iterations[[#This Row],[Step]] =current_step, current_b,IF(Iterations[[#This Row],[Step]] &gt; current_step, "",Iterations[[#This Row],[b]]))</f>
        <v/>
      </c>
      <c r="I408" s="2" t="str">
        <f>IF(Iterations[[#This Row],[Step]] =current_step, current_c,IF(Iterations[[#This Row],[Step]] &gt; current_step, "",Iterations[[#This Row],[c]]))</f>
        <v/>
      </c>
      <c r="J408" s="2" t="str">
        <f>IF(Iterations[[#This Row],[Step]] =current_step, current_d,IF(Iterations[[#This Row],[Step]] &gt; current_step, "",Iterations[[#This Row],[d]]))</f>
        <v/>
      </c>
      <c r="K408" s="2" t="str">
        <f>IF(Iterations[[#This Row],[Step]] =current_step, current_e,IF(Iterations[[#This Row],[Step]] &gt; current_step, "",Iterations[[#This Row],[e]]))</f>
        <v/>
      </c>
      <c r="L408" s="2" t="str">
        <f>IF(Iterations[[#This Row],[Step]] =current_step, current_Total_Loss,IF(Iterations[[#This Row],[Step]] &gt; current_step, "",Iterations[[#This Row],[Total Loss]]))</f>
        <v/>
      </c>
      <c r="M408" s="6" t="s">
        <v>27</v>
      </c>
      <c r="N408" s="2" t="str">
        <f>IF(Iterations[[#This Row],[Step]] =current_step, current_Grad_a,IF(Iterations[[#This Row],[Step]] &gt; current_step, "",Iterations[[#This Row],[Grad_a]]))</f>
        <v/>
      </c>
      <c r="O408" s="2" t="str">
        <f>IF(Iterations[[#This Row],[Step]] =current_step, current_Grad_b,IF(Iterations[[#This Row],[Step]] &gt; current_step, "",Iterations[[#This Row],[Grad_b]]))</f>
        <v/>
      </c>
      <c r="P408" s="2" t="str">
        <f>IF(Iterations[[#This Row],[Step]] =current_step, current_Grad_c,IF(Iterations[[#This Row],[Step]] &gt; current_step, "",Iterations[[#This Row],[Grad_c]]))</f>
        <v/>
      </c>
      <c r="Q408" s="2" t="str">
        <f>IF(Iterations[[#This Row],[Step]] =current_step, current_Grad_d,IF(Iterations[[#This Row],[Step]] &gt; current_step, "",Iterations[[#This Row],[Grad_d]]))</f>
        <v/>
      </c>
      <c r="R408" s="2" t="str">
        <f>IF(Iterations[[#This Row],[Step]] =current_step, current_Grad_e,IF(Iterations[[#This Row],[Step]] &gt; current_step, "",Iterations[[#This Row],[Grad_e]]))</f>
        <v/>
      </c>
    </row>
    <row r="409" spans="6:18" x14ac:dyDescent="0.3">
      <c r="F409" s="2">
        <f t="shared" si="8"/>
        <v>392</v>
      </c>
      <c r="G409" s="2" t="str">
        <f>IF(Iterations[[#This Row],[Step]] =current_step, current_a,IF(Iterations[[#This Row],[Step]] &gt; current_step, "",Iterations[[#This Row],[a]]))</f>
        <v/>
      </c>
      <c r="H409" s="2" t="str">
        <f>IF(Iterations[[#This Row],[Step]] =current_step, current_b,IF(Iterations[[#This Row],[Step]] &gt; current_step, "",Iterations[[#This Row],[b]]))</f>
        <v/>
      </c>
      <c r="I409" s="2" t="str">
        <f>IF(Iterations[[#This Row],[Step]] =current_step, current_c,IF(Iterations[[#This Row],[Step]] &gt; current_step, "",Iterations[[#This Row],[c]]))</f>
        <v/>
      </c>
      <c r="J409" s="2" t="str">
        <f>IF(Iterations[[#This Row],[Step]] =current_step, current_d,IF(Iterations[[#This Row],[Step]] &gt; current_step, "",Iterations[[#This Row],[d]]))</f>
        <v/>
      </c>
      <c r="K409" s="2" t="str">
        <f>IF(Iterations[[#This Row],[Step]] =current_step, current_e,IF(Iterations[[#This Row],[Step]] &gt; current_step, "",Iterations[[#This Row],[e]]))</f>
        <v/>
      </c>
      <c r="L409" s="2" t="str">
        <f>IF(Iterations[[#This Row],[Step]] =current_step, current_Total_Loss,IF(Iterations[[#This Row],[Step]] &gt; current_step, "",Iterations[[#This Row],[Total Loss]]))</f>
        <v/>
      </c>
      <c r="M409" s="6" t="s">
        <v>27</v>
      </c>
      <c r="N409" s="2" t="str">
        <f>IF(Iterations[[#This Row],[Step]] =current_step, current_Grad_a,IF(Iterations[[#This Row],[Step]] &gt; current_step, "",Iterations[[#This Row],[Grad_a]]))</f>
        <v/>
      </c>
      <c r="O409" s="2" t="str">
        <f>IF(Iterations[[#This Row],[Step]] =current_step, current_Grad_b,IF(Iterations[[#This Row],[Step]] &gt; current_step, "",Iterations[[#This Row],[Grad_b]]))</f>
        <v/>
      </c>
      <c r="P409" s="2" t="str">
        <f>IF(Iterations[[#This Row],[Step]] =current_step, current_Grad_c,IF(Iterations[[#This Row],[Step]] &gt; current_step, "",Iterations[[#This Row],[Grad_c]]))</f>
        <v/>
      </c>
      <c r="Q409" s="2" t="str">
        <f>IF(Iterations[[#This Row],[Step]] =current_step, current_Grad_d,IF(Iterations[[#This Row],[Step]] &gt; current_step, "",Iterations[[#This Row],[Grad_d]]))</f>
        <v/>
      </c>
      <c r="R409" s="2" t="str">
        <f>IF(Iterations[[#This Row],[Step]] =current_step, current_Grad_e,IF(Iterations[[#This Row],[Step]] &gt; current_step, "",Iterations[[#This Row],[Grad_e]]))</f>
        <v/>
      </c>
    </row>
    <row r="410" spans="6:18" x14ac:dyDescent="0.3">
      <c r="F410" s="2">
        <f t="shared" si="8"/>
        <v>393</v>
      </c>
      <c r="G410" s="2" t="str">
        <f>IF(Iterations[[#This Row],[Step]] =current_step, current_a,IF(Iterations[[#This Row],[Step]] &gt; current_step, "",Iterations[[#This Row],[a]]))</f>
        <v/>
      </c>
      <c r="H410" s="2" t="str">
        <f>IF(Iterations[[#This Row],[Step]] =current_step, current_b,IF(Iterations[[#This Row],[Step]] &gt; current_step, "",Iterations[[#This Row],[b]]))</f>
        <v/>
      </c>
      <c r="I410" s="2" t="str">
        <f>IF(Iterations[[#This Row],[Step]] =current_step, current_c,IF(Iterations[[#This Row],[Step]] &gt; current_step, "",Iterations[[#This Row],[c]]))</f>
        <v/>
      </c>
      <c r="J410" s="2" t="str">
        <f>IF(Iterations[[#This Row],[Step]] =current_step, current_d,IF(Iterations[[#This Row],[Step]] &gt; current_step, "",Iterations[[#This Row],[d]]))</f>
        <v/>
      </c>
      <c r="K410" s="2" t="str">
        <f>IF(Iterations[[#This Row],[Step]] =current_step, current_e,IF(Iterations[[#This Row],[Step]] &gt; current_step, "",Iterations[[#This Row],[e]]))</f>
        <v/>
      </c>
      <c r="L410" s="2" t="str">
        <f>IF(Iterations[[#This Row],[Step]] =current_step, current_Total_Loss,IF(Iterations[[#This Row],[Step]] &gt; current_step, "",Iterations[[#This Row],[Total Loss]]))</f>
        <v/>
      </c>
      <c r="M410" s="6" t="s">
        <v>27</v>
      </c>
      <c r="N410" s="2" t="str">
        <f>IF(Iterations[[#This Row],[Step]] =current_step, current_Grad_a,IF(Iterations[[#This Row],[Step]] &gt; current_step, "",Iterations[[#This Row],[Grad_a]]))</f>
        <v/>
      </c>
      <c r="O410" s="2" t="str">
        <f>IF(Iterations[[#This Row],[Step]] =current_step, current_Grad_b,IF(Iterations[[#This Row],[Step]] &gt; current_step, "",Iterations[[#This Row],[Grad_b]]))</f>
        <v/>
      </c>
      <c r="P410" s="2" t="str">
        <f>IF(Iterations[[#This Row],[Step]] =current_step, current_Grad_c,IF(Iterations[[#This Row],[Step]] &gt; current_step, "",Iterations[[#This Row],[Grad_c]]))</f>
        <v/>
      </c>
      <c r="Q410" s="2" t="str">
        <f>IF(Iterations[[#This Row],[Step]] =current_step, current_Grad_d,IF(Iterations[[#This Row],[Step]] &gt; current_step, "",Iterations[[#This Row],[Grad_d]]))</f>
        <v/>
      </c>
      <c r="R410" s="2" t="str">
        <f>IF(Iterations[[#This Row],[Step]] =current_step, current_Grad_e,IF(Iterations[[#This Row],[Step]] &gt; current_step, "",Iterations[[#This Row],[Grad_e]]))</f>
        <v/>
      </c>
    </row>
    <row r="411" spans="6:18" x14ac:dyDescent="0.3">
      <c r="F411" s="2">
        <f t="shared" si="8"/>
        <v>394</v>
      </c>
      <c r="G411" s="2" t="str">
        <f>IF(Iterations[[#This Row],[Step]] =current_step, current_a,IF(Iterations[[#This Row],[Step]] &gt; current_step, "",Iterations[[#This Row],[a]]))</f>
        <v/>
      </c>
      <c r="H411" s="2" t="str">
        <f>IF(Iterations[[#This Row],[Step]] =current_step, current_b,IF(Iterations[[#This Row],[Step]] &gt; current_step, "",Iterations[[#This Row],[b]]))</f>
        <v/>
      </c>
      <c r="I411" s="2" t="str">
        <f>IF(Iterations[[#This Row],[Step]] =current_step, current_c,IF(Iterations[[#This Row],[Step]] &gt; current_step, "",Iterations[[#This Row],[c]]))</f>
        <v/>
      </c>
      <c r="J411" s="2" t="str">
        <f>IF(Iterations[[#This Row],[Step]] =current_step, current_d,IF(Iterations[[#This Row],[Step]] &gt; current_step, "",Iterations[[#This Row],[d]]))</f>
        <v/>
      </c>
      <c r="K411" s="2" t="str">
        <f>IF(Iterations[[#This Row],[Step]] =current_step, current_e,IF(Iterations[[#This Row],[Step]] &gt; current_step, "",Iterations[[#This Row],[e]]))</f>
        <v/>
      </c>
      <c r="L411" s="2" t="str">
        <f>IF(Iterations[[#This Row],[Step]] =current_step, current_Total_Loss,IF(Iterations[[#This Row],[Step]] &gt; current_step, "",Iterations[[#This Row],[Total Loss]]))</f>
        <v/>
      </c>
      <c r="M411" s="6" t="s">
        <v>27</v>
      </c>
      <c r="N411" s="2" t="str">
        <f>IF(Iterations[[#This Row],[Step]] =current_step, current_Grad_a,IF(Iterations[[#This Row],[Step]] &gt; current_step, "",Iterations[[#This Row],[Grad_a]]))</f>
        <v/>
      </c>
      <c r="O411" s="2" t="str">
        <f>IF(Iterations[[#This Row],[Step]] =current_step, current_Grad_b,IF(Iterations[[#This Row],[Step]] &gt; current_step, "",Iterations[[#This Row],[Grad_b]]))</f>
        <v/>
      </c>
      <c r="P411" s="2" t="str">
        <f>IF(Iterations[[#This Row],[Step]] =current_step, current_Grad_c,IF(Iterations[[#This Row],[Step]] &gt; current_step, "",Iterations[[#This Row],[Grad_c]]))</f>
        <v/>
      </c>
      <c r="Q411" s="2" t="str">
        <f>IF(Iterations[[#This Row],[Step]] =current_step, current_Grad_d,IF(Iterations[[#This Row],[Step]] &gt; current_step, "",Iterations[[#This Row],[Grad_d]]))</f>
        <v/>
      </c>
      <c r="R411" s="2" t="str">
        <f>IF(Iterations[[#This Row],[Step]] =current_step, current_Grad_e,IF(Iterations[[#This Row],[Step]] &gt; current_step, "",Iterations[[#This Row],[Grad_e]]))</f>
        <v/>
      </c>
    </row>
    <row r="412" spans="6:18" x14ac:dyDescent="0.3">
      <c r="F412" s="2">
        <f t="shared" si="8"/>
        <v>395</v>
      </c>
      <c r="G412" s="2" t="str">
        <f>IF(Iterations[[#This Row],[Step]] =current_step, current_a,IF(Iterations[[#This Row],[Step]] &gt; current_step, "",Iterations[[#This Row],[a]]))</f>
        <v/>
      </c>
      <c r="H412" s="2" t="str">
        <f>IF(Iterations[[#This Row],[Step]] =current_step, current_b,IF(Iterations[[#This Row],[Step]] &gt; current_step, "",Iterations[[#This Row],[b]]))</f>
        <v/>
      </c>
      <c r="I412" s="2" t="str">
        <f>IF(Iterations[[#This Row],[Step]] =current_step, current_c,IF(Iterations[[#This Row],[Step]] &gt; current_step, "",Iterations[[#This Row],[c]]))</f>
        <v/>
      </c>
      <c r="J412" s="2" t="str">
        <f>IF(Iterations[[#This Row],[Step]] =current_step, current_d,IF(Iterations[[#This Row],[Step]] &gt; current_step, "",Iterations[[#This Row],[d]]))</f>
        <v/>
      </c>
      <c r="K412" s="2" t="str">
        <f>IF(Iterations[[#This Row],[Step]] =current_step, current_e,IF(Iterations[[#This Row],[Step]] &gt; current_step, "",Iterations[[#This Row],[e]]))</f>
        <v/>
      </c>
      <c r="L412" s="2" t="str">
        <f>IF(Iterations[[#This Row],[Step]] =current_step, current_Total_Loss,IF(Iterations[[#This Row],[Step]] &gt; current_step, "",Iterations[[#This Row],[Total Loss]]))</f>
        <v/>
      </c>
      <c r="M412" s="6" t="s">
        <v>27</v>
      </c>
      <c r="N412" s="2" t="str">
        <f>IF(Iterations[[#This Row],[Step]] =current_step, current_Grad_a,IF(Iterations[[#This Row],[Step]] &gt; current_step, "",Iterations[[#This Row],[Grad_a]]))</f>
        <v/>
      </c>
      <c r="O412" s="2" t="str">
        <f>IF(Iterations[[#This Row],[Step]] =current_step, current_Grad_b,IF(Iterations[[#This Row],[Step]] &gt; current_step, "",Iterations[[#This Row],[Grad_b]]))</f>
        <v/>
      </c>
      <c r="P412" s="2" t="str">
        <f>IF(Iterations[[#This Row],[Step]] =current_step, current_Grad_c,IF(Iterations[[#This Row],[Step]] &gt; current_step, "",Iterations[[#This Row],[Grad_c]]))</f>
        <v/>
      </c>
      <c r="Q412" s="2" t="str">
        <f>IF(Iterations[[#This Row],[Step]] =current_step, current_Grad_d,IF(Iterations[[#This Row],[Step]] &gt; current_step, "",Iterations[[#This Row],[Grad_d]]))</f>
        <v/>
      </c>
      <c r="R412" s="2" t="str">
        <f>IF(Iterations[[#This Row],[Step]] =current_step, current_Grad_e,IF(Iterations[[#This Row],[Step]] &gt; current_step, "",Iterations[[#This Row],[Grad_e]]))</f>
        <v/>
      </c>
    </row>
    <row r="413" spans="6:18" x14ac:dyDescent="0.3">
      <c r="F413" s="2">
        <f t="shared" si="8"/>
        <v>396</v>
      </c>
      <c r="G413" s="2" t="str">
        <f>IF(Iterations[[#This Row],[Step]] =current_step, current_a,IF(Iterations[[#This Row],[Step]] &gt; current_step, "",Iterations[[#This Row],[a]]))</f>
        <v/>
      </c>
      <c r="H413" s="2" t="str">
        <f>IF(Iterations[[#This Row],[Step]] =current_step, current_b,IF(Iterations[[#This Row],[Step]] &gt; current_step, "",Iterations[[#This Row],[b]]))</f>
        <v/>
      </c>
      <c r="I413" s="2" t="str">
        <f>IF(Iterations[[#This Row],[Step]] =current_step, current_c,IF(Iterations[[#This Row],[Step]] &gt; current_step, "",Iterations[[#This Row],[c]]))</f>
        <v/>
      </c>
      <c r="J413" s="2" t="str">
        <f>IF(Iterations[[#This Row],[Step]] =current_step, current_d,IF(Iterations[[#This Row],[Step]] &gt; current_step, "",Iterations[[#This Row],[d]]))</f>
        <v/>
      </c>
      <c r="K413" s="2" t="str">
        <f>IF(Iterations[[#This Row],[Step]] =current_step, current_e,IF(Iterations[[#This Row],[Step]] &gt; current_step, "",Iterations[[#This Row],[e]]))</f>
        <v/>
      </c>
      <c r="L413" s="2" t="str">
        <f>IF(Iterations[[#This Row],[Step]] =current_step, current_Total_Loss,IF(Iterations[[#This Row],[Step]] &gt; current_step, "",Iterations[[#This Row],[Total Loss]]))</f>
        <v/>
      </c>
      <c r="M413" s="6" t="s">
        <v>27</v>
      </c>
      <c r="N413" s="2" t="str">
        <f>IF(Iterations[[#This Row],[Step]] =current_step, current_Grad_a,IF(Iterations[[#This Row],[Step]] &gt; current_step, "",Iterations[[#This Row],[Grad_a]]))</f>
        <v/>
      </c>
      <c r="O413" s="2" t="str">
        <f>IF(Iterations[[#This Row],[Step]] =current_step, current_Grad_b,IF(Iterations[[#This Row],[Step]] &gt; current_step, "",Iterations[[#This Row],[Grad_b]]))</f>
        <v/>
      </c>
      <c r="P413" s="2" t="str">
        <f>IF(Iterations[[#This Row],[Step]] =current_step, current_Grad_c,IF(Iterations[[#This Row],[Step]] &gt; current_step, "",Iterations[[#This Row],[Grad_c]]))</f>
        <v/>
      </c>
      <c r="Q413" s="2" t="str">
        <f>IF(Iterations[[#This Row],[Step]] =current_step, current_Grad_d,IF(Iterations[[#This Row],[Step]] &gt; current_step, "",Iterations[[#This Row],[Grad_d]]))</f>
        <v/>
      </c>
      <c r="R413" s="2" t="str">
        <f>IF(Iterations[[#This Row],[Step]] =current_step, current_Grad_e,IF(Iterations[[#This Row],[Step]] &gt; current_step, "",Iterations[[#This Row],[Grad_e]]))</f>
        <v/>
      </c>
    </row>
    <row r="414" spans="6:18" x14ac:dyDescent="0.3">
      <c r="F414" s="2">
        <f t="shared" si="8"/>
        <v>397</v>
      </c>
      <c r="G414" s="2" t="str">
        <f>IF(Iterations[[#This Row],[Step]] =current_step, current_a,IF(Iterations[[#This Row],[Step]] &gt; current_step, "",Iterations[[#This Row],[a]]))</f>
        <v/>
      </c>
      <c r="H414" s="2" t="str">
        <f>IF(Iterations[[#This Row],[Step]] =current_step, current_b,IF(Iterations[[#This Row],[Step]] &gt; current_step, "",Iterations[[#This Row],[b]]))</f>
        <v/>
      </c>
      <c r="I414" s="2" t="str">
        <f>IF(Iterations[[#This Row],[Step]] =current_step, current_c,IF(Iterations[[#This Row],[Step]] &gt; current_step, "",Iterations[[#This Row],[c]]))</f>
        <v/>
      </c>
      <c r="J414" s="2" t="str">
        <f>IF(Iterations[[#This Row],[Step]] =current_step, current_d,IF(Iterations[[#This Row],[Step]] &gt; current_step, "",Iterations[[#This Row],[d]]))</f>
        <v/>
      </c>
      <c r="K414" s="2" t="str">
        <f>IF(Iterations[[#This Row],[Step]] =current_step, current_e,IF(Iterations[[#This Row],[Step]] &gt; current_step, "",Iterations[[#This Row],[e]]))</f>
        <v/>
      </c>
      <c r="L414" s="2" t="str">
        <f>IF(Iterations[[#This Row],[Step]] =current_step, current_Total_Loss,IF(Iterations[[#This Row],[Step]] &gt; current_step, "",Iterations[[#This Row],[Total Loss]]))</f>
        <v/>
      </c>
      <c r="M414" s="6" t="s">
        <v>27</v>
      </c>
      <c r="N414" s="2" t="str">
        <f>IF(Iterations[[#This Row],[Step]] =current_step, current_Grad_a,IF(Iterations[[#This Row],[Step]] &gt; current_step, "",Iterations[[#This Row],[Grad_a]]))</f>
        <v/>
      </c>
      <c r="O414" s="2" t="str">
        <f>IF(Iterations[[#This Row],[Step]] =current_step, current_Grad_b,IF(Iterations[[#This Row],[Step]] &gt; current_step, "",Iterations[[#This Row],[Grad_b]]))</f>
        <v/>
      </c>
      <c r="P414" s="2" t="str">
        <f>IF(Iterations[[#This Row],[Step]] =current_step, current_Grad_c,IF(Iterations[[#This Row],[Step]] &gt; current_step, "",Iterations[[#This Row],[Grad_c]]))</f>
        <v/>
      </c>
      <c r="Q414" s="2" t="str">
        <f>IF(Iterations[[#This Row],[Step]] =current_step, current_Grad_d,IF(Iterations[[#This Row],[Step]] &gt; current_step, "",Iterations[[#This Row],[Grad_d]]))</f>
        <v/>
      </c>
      <c r="R414" s="2" t="str">
        <f>IF(Iterations[[#This Row],[Step]] =current_step, current_Grad_e,IF(Iterations[[#This Row],[Step]] &gt; current_step, "",Iterations[[#This Row],[Grad_e]]))</f>
        <v/>
      </c>
    </row>
    <row r="415" spans="6:18" x14ac:dyDescent="0.3">
      <c r="F415" s="2">
        <f t="shared" si="8"/>
        <v>398</v>
      </c>
      <c r="G415" s="2" t="str">
        <f>IF(Iterations[[#This Row],[Step]] =current_step, current_a,IF(Iterations[[#This Row],[Step]] &gt; current_step, "",Iterations[[#This Row],[a]]))</f>
        <v/>
      </c>
      <c r="H415" s="2" t="str">
        <f>IF(Iterations[[#This Row],[Step]] =current_step, current_b,IF(Iterations[[#This Row],[Step]] &gt; current_step, "",Iterations[[#This Row],[b]]))</f>
        <v/>
      </c>
      <c r="I415" s="2" t="str">
        <f>IF(Iterations[[#This Row],[Step]] =current_step, current_c,IF(Iterations[[#This Row],[Step]] &gt; current_step, "",Iterations[[#This Row],[c]]))</f>
        <v/>
      </c>
      <c r="J415" s="2" t="str">
        <f>IF(Iterations[[#This Row],[Step]] =current_step, current_d,IF(Iterations[[#This Row],[Step]] &gt; current_step, "",Iterations[[#This Row],[d]]))</f>
        <v/>
      </c>
      <c r="K415" s="2" t="str">
        <f>IF(Iterations[[#This Row],[Step]] =current_step, current_e,IF(Iterations[[#This Row],[Step]] &gt; current_step, "",Iterations[[#This Row],[e]]))</f>
        <v/>
      </c>
      <c r="L415" s="2" t="str">
        <f>IF(Iterations[[#This Row],[Step]] =current_step, current_Total_Loss,IF(Iterations[[#This Row],[Step]] &gt; current_step, "",Iterations[[#This Row],[Total Loss]]))</f>
        <v/>
      </c>
      <c r="M415" s="6" t="s">
        <v>27</v>
      </c>
      <c r="N415" s="2" t="str">
        <f>IF(Iterations[[#This Row],[Step]] =current_step, current_Grad_a,IF(Iterations[[#This Row],[Step]] &gt; current_step, "",Iterations[[#This Row],[Grad_a]]))</f>
        <v/>
      </c>
      <c r="O415" s="2" t="str">
        <f>IF(Iterations[[#This Row],[Step]] =current_step, current_Grad_b,IF(Iterations[[#This Row],[Step]] &gt; current_step, "",Iterations[[#This Row],[Grad_b]]))</f>
        <v/>
      </c>
      <c r="P415" s="2" t="str">
        <f>IF(Iterations[[#This Row],[Step]] =current_step, current_Grad_c,IF(Iterations[[#This Row],[Step]] &gt; current_step, "",Iterations[[#This Row],[Grad_c]]))</f>
        <v/>
      </c>
      <c r="Q415" s="2" t="str">
        <f>IF(Iterations[[#This Row],[Step]] =current_step, current_Grad_d,IF(Iterations[[#This Row],[Step]] &gt; current_step, "",Iterations[[#This Row],[Grad_d]]))</f>
        <v/>
      </c>
      <c r="R415" s="2" t="str">
        <f>IF(Iterations[[#This Row],[Step]] =current_step, current_Grad_e,IF(Iterations[[#This Row],[Step]] &gt; current_step, "",Iterations[[#This Row],[Grad_e]]))</f>
        <v/>
      </c>
    </row>
    <row r="416" spans="6:18" x14ac:dyDescent="0.3">
      <c r="F416" s="2">
        <f t="shared" si="8"/>
        <v>399</v>
      </c>
      <c r="G416" s="2" t="str">
        <f>IF(Iterations[[#This Row],[Step]] =current_step, current_a,IF(Iterations[[#This Row],[Step]] &gt; current_step, "",Iterations[[#This Row],[a]]))</f>
        <v/>
      </c>
      <c r="H416" s="2" t="str">
        <f>IF(Iterations[[#This Row],[Step]] =current_step, current_b,IF(Iterations[[#This Row],[Step]] &gt; current_step, "",Iterations[[#This Row],[b]]))</f>
        <v/>
      </c>
      <c r="I416" s="2" t="str">
        <f>IF(Iterations[[#This Row],[Step]] =current_step, current_c,IF(Iterations[[#This Row],[Step]] &gt; current_step, "",Iterations[[#This Row],[c]]))</f>
        <v/>
      </c>
      <c r="J416" s="2" t="str">
        <f>IF(Iterations[[#This Row],[Step]] =current_step, current_d,IF(Iterations[[#This Row],[Step]] &gt; current_step, "",Iterations[[#This Row],[d]]))</f>
        <v/>
      </c>
      <c r="K416" s="2" t="str">
        <f>IF(Iterations[[#This Row],[Step]] =current_step, current_e,IF(Iterations[[#This Row],[Step]] &gt; current_step, "",Iterations[[#This Row],[e]]))</f>
        <v/>
      </c>
      <c r="L416" s="2" t="str">
        <f>IF(Iterations[[#This Row],[Step]] =current_step, current_Total_Loss,IF(Iterations[[#This Row],[Step]] &gt; current_step, "",Iterations[[#This Row],[Total Loss]]))</f>
        <v/>
      </c>
      <c r="M416" s="6" t="s">
        <v>27</v>
      </c>
      <c r="N416" s="2" t="str">
        <f>IF(Iterations[[#This Row],[Step]] =current_step, current_Grad_a,IF(Iterations[[#This Row],[Step]] &gt; current_step, "",Iterations[[#This Row],[Grad_a]]))</f>
        <v/>
      </c>
      <c r="O416" s="2" t="str">
        <f>IF(Iterations[[#This Row],[Step]] =current_step, current_Grad_b,IF(Iterations[[#This Row],[Step]] &gt; current_step, "",Iterations[[#This Row],[Grad_b]]))</f>
        <v/>
      </c>
      <c r="P416" s="2" t="str">
        <f>IF(Iterations[[#This Row],[Step]] =current_step, current_Grad_c,IF(Iterations[[#This Row],[Step]] &gt; current_step, "",Iterations[[#This Row],[Grad_c]]))</f>
        <v/>
      </c>
      <c r="Q416" s="2" t="str">
        <f>IF(Iterations[[#This Row],[Step]] =current_step, current_Grad_d,IF(Iterations[[#This Row],[Step]] &gt; current_step, "",Iterations[[#This Row],[Grad_d]]))</f>
        <v/>
      </c>
      <c r="R416" s="2" t="str">
        <f>IF(Iterations[[#This Row],[Step]] =current_step, current_Grad_e,IF(Iterations[[#This Row],[Step]] &gt; current_step, "",Iterations[[#This Row],[Grad_e]]))</f>
        <v/>
      </c>
    </row>
    <row r="417" spans="6:18" x14ac:dyDescent="0.3">
      <c r="F417" s="2">
        <f t="shared" si="8"/>
        <v>400</v>
      </c>
      <c r="G417" s="2" t="str">
        <f>IF(Iterations[[#This Row],[Step]] =current_step, current_a,IF(Iterations[[#This Row],[Step]] &gt; current_step, "",Iterations[[#This Row],[a]]))</f>
        <v/>
      </c>
      <c r="H417" s="2" t="str">
        <f>IF(Iterations[[#This Row],[Step]] =current_step, current_b,IF(Iterations[[#This Row],[Step]] &gt; current_step, "",Iterations[[#This Row],[b]]))</f>
        <v/>
      </c>
      <c r="I417" s="2" t="str">
        <f>IF(Iterations[[#This Row],[Step]] =current_step, current_c,IF(Iterations[[#This Row],[Step]] &gt; current_step, "",Iterations[[#This Row],[c]]))</f>
        <v/>
      </c>
      <c r="J417" s="2" t="str">
        <f>IF(Iterations[[#This Row],[Step]] =current_step, current_d,IF(Iterations[[#This Row],[Step]] &gt; current_step, "",Iterations[[#This Row],[d]]))</f>
        <v/>
      </c>
      <c r="K417" s="2" t="str">
        <f>IF(Iterations[[#This Row],[Step]] =current_step, current_e,IF(Iterations[[#This Row],[Step]] &gt; current_step, "",Iterations[[#This Row],[e]]))</f>
        <v/>
      </c>
      <c r="L417" s="2" t="str">
        <f>IF(Iterations[[#This Row],[Step]] =current_step, current_Total_Loss,IF(Iterations[[#This Row],[Step]] &gt; current_step, "",Iterations[[#This Row],[Total Loss]]))</f>
        <v/>
      </c>
      <c r="M417" s="6" t="s">
        <v>27</v>
      </c>
      <c r="N417" s="2" t="str">
        <f>IF(Iterations[[#This Row],[Step]] =current_step, current_Grad_a,IF(Iterations[[#This Row],[Step]] &gt; current_step, "",Iterations[[#This Row],[Grad_a]]))</f>
        <v/>
      </c>
      <c r="O417" s="2" t="str">
        <f>IF(Iterations[[#This Row],[Step]] =current_step, current_Grad_b,IF(Iterations[[#This Row],[Step]] &gt; current_step, "",Iterations[[#This Row],[Grad_b]]))</f>
        <v/>
      </c>
      <c r="P417" s="2" t="str">
        <f>IF(Iterations[[#This Row],[Step]] =current_step, current_Grad_c,IF(Iterations[[#This Row],[Step]] &gt; current_step, "",Iterations[[#This Row],[Grad_c]]))</f>
        <v/>
      </c>
      <c r="Q417" s="2" t="str">
        <f>IF(Iterations[[#This Row],[Step]] =current_step, current_Grad_d,IF(Iterations[[#This Row],[Step]] &gt; current_step, "",Iterations[[#This Row],[Grad_d]]))</f>
        <v/>
      </c>
      <c r="R417" s="2" t="str">
        <f>IF(Iterations[[#This Row],[Step]] =current_step, current_Grad_e,IF(Iterations[[#This Row],[Step]] &gt; current_step, "",Iterations[[#This Row],[Grad_e]]))</f>
        <v/>
      </c>
    </row>
    <row r="418" spans="6:18" x14ac:dyDescent="0.3">
      <c r="F418" s="2">
        <f t="shared" si="8"/>
        <v>401</v>
      </c>
      <c r="G418" s="2" t="str">
        <f>IF(Iterations[[#This Row],[Step]] =current_step, current_a,IF(Iterations[[#This Row],[Step]] &gt; current_step, "",Iterations[[#This Row],[a]]))</f>
        <v/>
      </c>
      <c r="H418" s="2" t="str">
        <f>IF(Iterations[[#This Row],[Step]] =current_step, current_b,IF(Iterations[[#This Row],[Step]] &gt; current_step, "",Iterations[[#This Row],[b]]))</f>
        <v/>
      </c>
      <c r="I418" s="2" t="str">
        <f>IF(Iterations[[#This Row],[Step]] =current_step, current_c,IF(Iterations[[#This Row],[Step]] &gt; current_step, "",Iterations[[#This Row],[c]]))</f>
        <v/>
      </c>
      <c r="J418" s="2" t="str">
        <f>IF(Iterations[[#This Row],[Step]] =current_step, current_d,IF(Iterations[[#This Row],[Step]] &gt; current_step, "",Iterations[[#This Row],[d]]))</f>
        <v/>
      </c>
      <c r="K418" s="2" t="str">
        <f>IF(Iterations[[#This Row],[Step]] =current_step, current_e,IF(Iterations[[#This Row],[Step]] &gt; current_step, "",Iterations[[#This Row],[e]]))</f>
        <v/>
      </c>
      <c r="L418" s="2" t="str">
        <f>IF(Iterations[[#This Row],[Step]] =current_step, current_Total_Loss,IF(Iterations[[#This Row],[Step]] &gt; current_step, "",Iterations[[#This Row],[Total Loss]]))</f>
        <v/>
      </c>
      <c r="M418" s="6" t="s">
        <v>27</v>
      </c>
      <c r="N418" s="2" t="str">
        <f>IF(Iterations[[#This Row],[Step]] =current_step, current_Grad_a,IF(Iterations[[#This Row],[Step]] &gt; current_step, "",Iterations[[#This Row],[Grad_a]]))</f>
        <v/>
      </c>
      <c r="O418" s="2" t="str">
        <f>IF(Iterations[[#This Row],[Step]] =current_step, current_Grad_b,IF(Iterations[[#This Row],[Step]] &gt; current_step, "",Iterations[[#This Row],[Grad_b]]))</f>
        <v/>
      </c>
      <c r="P418" s="2" t="str">
        <f>IF(Iterations[[#This Row],[Step]] =current_step, current_Grad_c,IF(Iterations[[#This Row],[Step]] &gt; current_step, "",Iterations[[#This Row],[Grad_c]]))</f>
        <v/>
      </c>
      <c r="Q418" s="2" t="str">
        <f>IF(Iterations[[#This Row],[Step]] =current_step, current_Grad_d,IF(Iterations[[#This Row],[Step]] &gt; current_step, "",Iterations[[#This Row],[Grad_d]]))</f>
        <v/>
      </c>
      <c r="R418" s="2" t="str">
        <f>IF(Iterations[[#This Row],[Step]] =current_step, current_Grad_e,IF(Iterations[[#This Row],[Step]] &gt; current_step, "",Iterations[[#This Row],[Grad_e]]))</f>
        <v/>
      </c>
    </row>
    <row r="419" spans="6:18" x14ac:dyDescent="0.3">
      <c r="F419" s="2">
        <f t="shared" si="8"/>
        <v>402</v>
      </c>
      <c r="G419" s="2" t="str">
        <f>IF(Iterations[[#This Row],[Step]] =current_step, current_a,IF(Iterations[[#This Row],[Step]] &gt; current_step, "",Iterations[[#This Row],[a]]))</f>
        <v/>
      </c>
      <c r="H419" s="2" t="str">
        <f>IF(Iterations[[#This Row],[Step]] =current_step, current_b,IF(Iterations[[#This Row],[Step]] &gt; current_step, "",Iterations[[#This Row],[b]]))</f>
        <v/>
      </c>
      <c r="I419" s="2" t="str">
        <f>IF(Iterations[[#This Row],[Step]] =current_step, current_c,IF(Iterations[[#This Row],[Step]] &gt; current_step, "",Iterations[[#This Row],[c]]))</f>
        <v/>
      </c>
      <c r="J419" s="2" t="str">
        <f>IF(Iterations[[#This Row],[Step]] =current_step, current_d,IF(Iterations[[#This Row],[Step]] &gt; current_step, "",Iterations[[#This Row],[d]]))</f>
        <v/>
      </c>
      <c r="K419" s="2" t="str">
        <f>IF(Iterations[[#This Row],[Step]] =current_step, current_e,IF(Iterations[[#This Row],[Step]] &gt; current_step, "",Iterations[[#This Row],[e]]))</f>
        <v/>
      </c>
      <c r="L419" s="2" t="str">
        <f>IF(Iterations[[#This Row],[Step]] =current_step, current_Total_Loss,IF(Iterations[[#This Row],[Step]] &gt; current_step, "",Iterations[[#This Row],[Total Loss]]))</f>
        <v/>
      </c>
      <c r="M419" s="6" t="s">
        <v>27</v>
      </c>
      <c r="N419" s="2" t="str">
        <f>IF(Iterations[[#This Row],[Step]] =current_step, current_Grad_a,IF(Iterations[[#This Row],[Step]] &gt; current_step, "",Iterations[[#This Row],[Grad_a]]))</f>
        <v/>
      </c>
      <c r="O419" s="2" t="str">
        <f>IF(Iterations[[#This Row],[Step]] =current_step, current_Grad_b,IF(Iterations[[#This Row],[Step]] &gt; current_step, "",Iterations[[#This Row],[Grad_b]]))</f>
        <v/>
      </c>
      <c r="P419" s="2" t="str">
        <f>IF(Iterations[[#This Row],[Step]] =current_step, current_Grad_c,IF(Iterations[[#This Row],[Step]] &gt; current_step, "",Iterations[[#This Row],[Grad_c]]))</f>
        <v/>
      </c>
      <c r="Q419" s="2" t="str">
        <f>IF(Iterations[[#This Row],[Step]] =current_step, current_Grad_d,IF(Iterations[[#This Row],[Step]] &gt; current_step, "",Iterations[[#This Row],[Grad_d]]))</f>
        <v/>
      </c>
      <c r="R419" s="2" t="str">
        <f>IF(Iterations[[#This Row],[Step]] =current_step, current_Grad_e,IF(Iterations[[#This Row],[Step]] &gt; current_step, "",Iterations[[#This Row],[Grad_e]]))</f>
        <v/>
      </c>
    </row>
    <row r="420" spans="6:18" x14ac:dyDescent="0.3">
      <c r="F420" s="2">
        <f t="shared" si="8"/>
        <v>403</v>
      </c>
      <c r="G420" s="2" t="str">
        <f>IF(Iterations[[#This Row],[Step]] =current_step, current_a,IF(Iterations[[#This Row],[Step]] &gt; current_step, "",Iterations[[#This Row],[a]]))</f>
        <v/>
      </c>
      <c r="H420" s="2" t="str">
        <f>IF(Iterations[[#This Row],[Step]] =current_step, current_b,IF(Iterations[[#This Row],[Step]] &gt; current_step, "",Iterations[[#This Row],[b]]))</f>
        <v/>
      </c>
      <c r="I420" s="2" t="str">
        <f>IF(Iterations[[#This Row],[Step]] =current_step, current_c,IF(Iterations[[#This Row],[Step]] &gt; current_step, "",Iterations[[#This Row],[c]]))</f>
        <v/>
      </c>
      <c r="J420" s="2" t="str">
        <f>IF(Iterations[[#This Row],[Step]] =current_step, current_d,IF(Iterations[[#This Row],[Step]] &gt; current_step, "",Iterations[[#This Row],[d]]))</f>
        <v/>
      </c>
      <c r="K420" s="2" t="str">
        <f>IF(Iterations[[#This Row],[Step]] =current_step, current_e,IF(Iterations[[#This Row],[Step]] &gt; current_step, "",Iterations[[#This Row],[e]]))</f>
        <v/>
      </c>
      <c r="L420" s="2" t="str">
        <f>IF(Iterations[[#This Row],[Step]] =current_step, current_Total_Loss,IF(Iterations[[#This Row],[Step]] &gt; current_step, "",Iterations[[#This Row],[Total Loss]]))</f>
        <v/>
      </c>
      <c r="M420" s="6" t="s">
        <v>27</v>
      </c>
      <c r="N420" s="2" t="str">
        <f>IF(Iterations[[#This Row],[Step]] =current_step, current_Grad_a,IF(Iterations[[#This Row],[Step]] &gt; current_step, "",Iterations[[#This Row],[Grad_a]]))</f>
        <v/>
      </c>
      <c r="O420" s="2" t="str">
        <f>IF(Iterations[[#This Row],[Step]] =current_step, current_Grad_b,IF(Iterations[[#This Row],[Step]] &gt; current_step, "",Iterations[[#This Row],[Grad_b]]))</f>
        <v/>
      </c>
      <c r="P420" s="2" t="str">
        <f>IF(Iterations[[#This Row],[Step]] =current_step, current_Grad_c,IF(Iterations[[#This Row],[Step]] &gt; current_step, "",Iterations[[#This Row],[Grad_c]]))</f>
        <v/>
      </c>
      <c r="Q420" s="2" t="str">
        <f>IF(Iterations[[#This Row],[Step]] =current_step, current_Grad_d,IF(Iterations[[#This Row],[Step]] &gt; current_step, "",Iterations[[#This Row],[Grad_d]]))</f>
        <v/>
      </c>
      <c r="R420" s="2" t="str">
        <f>IF(Iterations[[#This Row],[Step]] =current_step, current_Grad_e,IF(Iterations[[#This Row],[Step]] &gt; current_step, "",Iterations[[#This Row],[Grad_e]]))</f>
        <v/>
      </c>
    </row>
    <row r="421" spans="6:18" x14ac:dyDescent="0.3">
      <c r="F421" s="2">
        <f t="shared" si="8"/>
        <v>404</v>
      </c>
      <c r="G421" s="2" t="str">
        <f>IF(Iterations[[#This Row],[Step]] =current_step, current_a,IF(Iterations[[#This Row],[Step]] &gt; current_step, "",Iterations[[#This Row],[a]]))</f>
        <v/>
      </c>
      <c r="H421" s="2" t="str">
        <f>IF(Iterations[[#This Row],[Step]] =current_step, current_b,IF(Iterations[[#This Row],[Step]] &gt; current_step, "",Iterations[[#This Row],[b]]))</f>
        <v/>
      </c>
      <c r="I421" s="2" t="str">
        <f>IF(Iterations[[#This Row],[Step]] =current_step, current_c,IF(Iterations[[#This Row],[Step]] &gt; current_step, "",Iterations[[#This Row],[c]]))</f>
        <v/>
      </c>
      <c r="J421" s="2" t="str">
        <f>IF(Iterations[[#This Row],[Step]] =current_step, current_d,IF(Iterations[[#This Row],[Step]] &gt; current_step, "",Iterations[[#This Row],[d]]))</f>
        <v/>
      </c>
      <c r="K421" s="2" t="str">
        <f>IF(Iterations[[#This Row],[Step]] =current_step, current_e,IF(Iterations[[#This Row],[Step]] &gt; current_step, "",Iterations[[#This Row],[e]]))</f>
        <v/>
      </c>
      <c r="L421" s="2" t="str">
        <f>IF(Iterations[[#This Row],[Step]] =current_step, current_Total_Loss,IF(Iterations[[#This Row],[Step]] &gt; current_step, "",Iterations[[#This Row],[Total Loss]]))</f>
        <v/>
      </c>
      <c r="M421" s="6" t="s">
        <v>27</v>
      </c>
      <c r="N421" s="2" t="str">
        <f>IF(Iterations[[#This Row],[Step]] =current_step, current_Grad_a,IF(Iterations[[#This Row],[Step]] &gt; current_step, "",Iterations[[#This Row],[Grad_a]]))</f>
        <v/>
      </c>
      <c r="O421" s="2" t="str">
        <f>IF(Iterations[[#This Row],[Step]] =current_step, current_Grad_b,IF(Iterations[[#This Row],[Step]] &gt; current_step, "",Iterations[[#This Row],[Grad_b]]))</f>
        <v/>
      </c>
      <c r="P421" s="2" t="str">
        <f>IF(Iterations[[#This Row],[Step]] =current_step, current_Grad_c,IF(Iterations[[#This Row],[Step]] &gt; current_step, "",Iterations[[#This Row],[Grad_c]]))</f>
        <v/>
      </c>
      <c r="Q421" s="2" t="str">
        <f>IF(Iterations[[#This Row],[Step]] =current_step, current_Grad_d,IF(Iterations[[#This Row],[Step]] &gt; current_step, "",Iterations[[#This Row],[Grad_d]]))</f>
        <v/>
      </c>
      <c r="R421" s="2" t="str">
        <f>IF(Iterations[[#This Row],[Step]] =current_step, current_Grad_e,IF(Iterations[[#This Row],[Step]] &gt; current_step, "",Iterations[[#This Row],[Grad_e]]))</f>
        <v/>
      </c>
    </row>
    <row r="422" spans="6:18" x14ac:dyDescent="0.3">
      <c r="F422" s="2">
        <f t="shared" si="8"/>
        <v>405</v>
      </c>
      <c r="G422" s="2" t="str">
        <f>IF(Iterations[[#This Row],[Step]] =current_step, current_a,IF(Iterations[[#This Row],[Step]] &gt; current_step, "",Iterations[[#This Row],[a]]))</f>
        <v/>
      </c>
      <c r="H422" s="2" t="str">
        <f>IF(Iterations[[#This Row],[Step]] =current_step, current_b,IF(Iterations[[#This Row],[Step]] &gt; current_step, "",Iterations[[#This Row],[b]]))</f>
        <v/>
      </c>
      <c r="I422" s="2" t="str">
        <f>IF(Iterations[[#This Row],[Step]] =current_step, current_c,IF(Iterations[[#This Row],[Step]] &gt; current_step, "",Iterations[[#This Row],[c]]))</f>
        <v/>
      </c>
      <c r="J422" s="2" t="str">
        <f>IF(Iterations[[#This Row],[Step]] =current_step, current_d,IF(Iterations[[#This Row],[Step]] &gt; current_step, "",Iterations[[#This Row],[d]]))</f>
        <v/>
      </c>
      <c r="K422" s="2" t="str">
        <f>IF(Iterations[[#This Row],[Step]] =current_step, current_e,IF(Iterations[[#This Row],[Step]] &gt; current_step, "",Iterations[[#This Row],[e]]))</f>
        <v/>
      </c>
      <c r="L422" s="2" t="str">
        <f>IF(Iterations[[#This Row],[Step]] =current_step, current_Total_Loss,IF(Iterations[[#This Row],[Step]] &gt; current_step, "",Iterations[[#This Row],[Total Loss]]))</f>
        <v/>
      </c>
      <c r="M422" s="6" t="s">
        <v>27</v>
      </c>
      <c r="N422" s="2" t="str">
        <f>IF(Iterations[[#This Row],[Step]] =current_step, current_Grad_a,IF(Iterations[[#This Row],[Step]] &gt; current_step, "",Iterations[[#This Row],[Grad_a]]))</f>
        <v/>
      </c>
      <c r="O422" s="2" t="str">
        <f>IF(Iterations[[#This Row],[Step]] =current_step, current_Grad_b,IF(Iterations[[#This Row],[Step]] &gt; current_step, "",Iterations[[#This Row],[Grad_b]]))</f>
        <v/>
      </c>
      <c r="P422" s="2" t="str">
        <f>IF(Iterations[[#This Row],[Step]] =current_step, current_Grad_c,IF(Iterations[[#This Row],[Step]] &gt; current_step, "",Iterations[[#This Row],[Grad_c]]))</f>
        <v/>
      </c>
      <c r="Q422" s="2" t="str">
        <f>IF(Iterations[[#This Row],[Step]] =current_step, current_Grad_d,IF(Iterations[[#This Row],[Step]] &gt; current_step, "",Iterations[[#This Row],[Grad_d]]))</f>
        <v/>
      </c>
      <c r="R422" s="2" t="str">
        <f>IF(Iterations[[#This Row],[Step]] =current_step, current_Grad_e,IF(Iterations[[#This Row],[Step]] &gt; current_step, "",Iterations[[#This Row],[Grad_e]]))</f>
        <v/>
      </c>
    </row>
    <row r="423" spans="6:18" x14ac:dyDescent="0.3">
      <c r="F423" s="2">
        <f t="shared" si="8"/>
        <v>406</v>
      </c>
      <c r="G423" s="2" t="str">
        <f>IF(Iterations[[#This Row],[Step]] =current_step, current_a,IF(Iterations[[#This Row],[Step]] &gt; current_step, "",Iterations[[#This Row],[a]]))</f>
        <v/>
      </c>
      <c r="H423" s="2" t="str">
        <f>IF(Iterations[[#This Row],[Step]] =current_step, current_b,IF(Iterations[[#This Row],[Step]] &gt; current_step, "",Iterations[[#This Row],[b]]))</f>
        <v/>
      </c>
      <c r="I423" s="2" t="str">
        <f>IF(Iterations[[#This Row],[Step]] =current_step, current_c,IF(Iterations[[#This Row],[Step]] &gt; current_step, "",Iterations[[#This Row],[c]]))</f>
        <v/>
      </c>
      <c r="J423" s="2" t="str">
        <f>IF(Iterations[[#This Row],[Step]] =current_step, current_d,IF(Iterations[[#This Row],[Step]] &gt; current_step, "",Iterations[[#This Row],[d]]))</f>
        <v/>
      </c>
      <c r="K423" s="2" t="str">
        <f>IF(Iterations[[#This Row],[Step]] =current_step, current_e,IF(Iterations[[#This Row],[Step]] &gt; current_step, "",Iterations[[#This Row],[e]]))</f>
        <v/>
      </c>
      <c r="L423" s="2" t="str">
        <f>IF(Iterations[[#This Row],[Step]] =current_step, current_Total_Loss,IF(Iterations[[#This Row],[Step]] &gt; current_step, "",Iterations[[#This Row],[Total Loss]]))</f>
        <v/>
      </c>
      <c r="M423" s="6" t="s">
        <v>27</v>
      </c>
      <c r="N423" s="2" t="str">
        <f>IF(Iterations[[#This Row],[Step]] =current_step, current_Grad_a,IF(Iterations[[#This Row],[Step]] &gt; current_step, "",Iterations[[#This Row],[Grad_a]]))</f>
        <v/>
      </c>
      <c r="O423" s="2" t="str">
        <f>IF(Iterations[[#This Row],[Step]] =current_step, current_Grad_b,IF(Iterations[[#This Row],[Step]] &gt; current_step, "",Iterations[[#This Row],[Grad_b]]))</f>
        <v/>
      </c>
      <c r="P423" s="2" t="str">
        <f>IF(Iterations[[#This Row],[Step]] =current_step, current_Grad_c,IF(Iterations[[#This Row],[Step]] &gt; current_step, "",Iterations[[#This Row],[Grad_c]]))</f>
        <v/>
      </c>
      <c r="Q423" s="2" t="str">
        <f>IF(Iterations[[#This Row],[Step]] =current_step, current_Grad_d,IF(Iterations[[#This Row],[Step]] &gt; current_step, "",Iterations[[#This Row],[Grad_d]]))</f>
        <v/>
      </c>
      <c r="R423" s="2" t="str">
        <f>IF(Iterations[[#This Row],[Step]] =current_step, current_Grad_e,IF(Iterations[[#This Row],[Step]] &gt; current_step, "",Iterations[[#This Row],[Grad_e]]))</f>
        <v/>
      </c>
    </row>
    <row r="424" spans="6:18" x14ac:dyDescent="0.3">
      <c r="F424" s="2">
        <f t="shared" si="8"/>
        <v>407</v>
      </c>
      <c r="G424" s="2" t="str">
        <f>IF(Iterations[[#This Row],[Step]] =current_step, current_a,IF(Iterations[[#This Row],[Step]] &gt; current_step, "",Iterations[[#This Row],[a]]))</f>
        <v/>
      </c>
      <c r="H424" s="2" t="str">
        <f>IF(Iterations[[#This Row],[Step]] =current_step, current_b,IF(Iterations[[#This Row],[Step]] &gt; current_step, "",Iterations[[#This Row],[b]]))</f>
        <v/>
      </c>
      <c r="I424" s="2" t="str">
        <f>IF(Iterations[[#This Row],[Step]] =current_step, current_c,IF(Iterations[[#This Row],[Step]] &gt; current_step, "",Iterations[[#This Row],[c]]))</f>
        <v/>
      </c>
      <c r="J424" s="2" t="str">
        <f>IF(Iterations[[#This Row],[Step]] =current_step, current_d,IF(Iterations[[#This Row],[Step]] &gt; current_step, "",Iterations[[#This Row],[d]]))</f>
        <v/>
      </c>
      <c r="K424" s="2" t="str">
        <f>IF(Iterations[[#This Row],[Step]] =current_step, current_e,IF(Iterations[[#This Row],[Step]] &gt; current_step, "",Iterations[[#This Row],[e]]))</f>
        <v/>
      </c>
      <c r="L424" s="2" t="str">
        <f>IF(Iterations[[#This Row],[Step]] =current_step, current_Total_Loss,IF(Iterations[[#This Row],[Step]] &gt; current_step, "",Iterations[[#This Row],[Total Loss]]))</f>
        <v/>
      </c>
      <c r="M424" s="6" t="s">
        <v>27</v>
      </c>
      <c r="N424" s="2" t="str">
        <f>IF(Iterations[[#This Row],[Step]] =current_step, current_Grad_a,IF(Iterations[[#This Row],[Step]] &gt; current_step, "",Iterations[[#This Row],[Grad_a]]))</f>
        <v/>
      </c>
      <c r="O424" s="2" t="str">
        <f>IF(Iterations[[#This Row],[Step]] =current_step, current_Grad_b,IF(Iterations[[#This Row],[Step]] &gt; current_step, "",Iterations[[#This Row],[Grad_b]]))</f>
        <v/>
      </c>
      <c r="P424" s="2" t="str">
        <f>IF(Iterations[[#This Row],[Step]] =current_step, current_Grad_c,IF(Iterations[[#This Row],[Step]] &gt; current_step, "",Iterations[[#This Row],[Grad_c]]))</f>
        <v/>
      </c>
      <c r="Q424" s="2" t="str">
        <f>IF(Iterations[[#This Row],[Step]] =current_step, current_Grad_d,IF(Iterations[[#This Row],[Step]] &gt; current_step, "",Iterations[[#This Row],[Grad_d]]))</f>
        <v/>
      </c>
      <c r="R424" s="2" t="str">
        <f>IF(Iterations[[#This Row],[Step]] =current_step, current_Grad_e,IF(Iterations[[#This Row],[Step]] &gt; current_step, "",Iterations[[#This Row],[Grad_e]]))</f>
        <v/>
      </c>
    </row>
    <row r="425" spans="6:18" x14ac:dyDescent="0.3">
      <c r="F425" s="2">
        <f t="shared" si="8"/>
        <v>408</v>
      </c>
      <c r="G425" s="2" t="str">
        <f>IF(Iterations[[#This Row],[Step]] =current_step, current_a,IF(Iterations[[#This Row],[Step]] &gt; current_step, "",Iterations[[#This Row],[a]]))</f>
        <v/>
      </c>
      <c r="H425" s="2" t="str">
        <f>IF(Iterations[[#This Row],[Step]] =current_step, current_b,IF(Iterations[[#This Row],[Step]] &gt; current_step, "",Iterations[[#This Row],[b]]))</f>
        <v/>
      </c>
      <c r="I425" s="2" t="str">
        <f>IF(Iterations[[#This Row],[Step]] =current_step, current_c,IF(Iterations[[#This Row],[Step]] &gt; current_step, "",Iterations[[#This Row],[c]]))</f>
        <v/>
      </c>
      <c r="J425" s="2" t="str">
        <f>IF(Iterations[[#This Row],[Step]] =current_step, current_d,IF(Iterations[[#This Row],[Step]] &gt; current_step, "",Iterations[[#This Row],[d]]))</f>
        <v/>
      </c>
      <c r="K425" s="2" t="str">
        <f>IF(Iterations[[#This Row],[Step]] =current_step, current_e,IF(Iterations[[#This Row],[Step]] &gt; current_step, "",Iterations[[#This Row],[e]]))</f>
        <v/>
      </c>
      <c r="L425" s="2" t="str">
        <f>IF(Iterations[[#This Row],[Step]] =current_step, current_Total_Loss,IF(Iterations[[#This Row],[Step]] &gt; current_step, "",Iterations[[#This Row],[Total Loss]]))</f>
        <v/>
      </c>
      <c r="M425" s="6" t="s">
        <v>27</v>
      </c>
      <c r="N425" s="2" t="str">
        <f>IF(Iterations[[#This Row],[Step]] =current_step, current_Grad_a,IF(Iterations[[#This Row],[Step]] &gt; current_step, "",Iterations[[#This Row],[Grad_a]]))</f>
        <v/>
      </c>
      <c r="O425" s="2" t="str">
        <f>IF(Iterations[[#This Row],[Step]] =current_step, current_Grad_b,IF(Iterations[[#This Row],[Step]] &gt; current_step, "",Iterations[[#This Row],[Grad_b]]))</f>
        <v/>
      </c>
      <c r="P425" s="2" t="str">
        <f>IF(Iterations[[#This Row],[Step]] =current_step, current_Grad_c,IF(Iterations[[#This Row],[Step]] &gt; current_step, "",Iterations[[#This Row],[Grad_c]]))</f>
        <v/>
      </c>
      <c r="Q425" s="2" t="str">
        <f>IF(Iterations[[#This Row],[Step]] =current_step, current_Grad_d,IF(Iterations[[#This Row],[Step]] &gt; current_step, "",Iterations[[#This Row],[Grad_d]]))</f>
        <v/>
      </c>
      <c r="R425" s="2" t="str">
        <f>IF(Iterations[[#This Row],[Step]] =current_step, current_Grad_e,IF(Iterations[[#This Row],[Step]] &gt; current_step, "",Iterations[[#This Row],[Grad_e]]))</f>
        <v/>
      </c>
    </row>
    <row r="426" spans="6:18" x14ac:dyDescent="0.3">
      <c r="F426" s="2">
        <f t="shared" si="8"/>
        <v>409</v>
      </c>
      <c r="G426" s="2" t="str">
        <f>IF(Iterations[[#This Row],[Step]] =current_step, current_a,IF(Iterations[[#This Row],[Step]] &gt; current_step, "",Iterations[[#This Row],[a]]))</f>
        <v/>
      </c>
      <c r="H426" s="2" t="str">
        <f>IF(Iterations[[#This Row],[Step]] =current_step, current_b,IF(Iterations[[#This Row],[Step]] &gt; current_step, "",Iterations[[#This Row],[b]]))</f>
        <v/>
      </c>
      <c r="I426" s="2" t="str">
        <f>IF(Iterations[[#This Row],[Step]] =current_step, current_c,IF(Iterations[[#This Row],[Step]] &gt; current_step, "",Iterations[[#This Row],[c]]))</f>
        <v/>
      </c>
      <c r="J426" s="2" t="str">
        <f>IF(Iterations[[#This Row],[Step]] =current_step, current_d,IF(Iterations[[#This Row],[Step]] &gt; current_step, "",Iterations[[#This Row],[d]]))</f>
        <v/>
      </c>
      <c r="K426" s="2" t="str">
        <f>IF(Iterations[[#This Row],[Step]] =current_step, current_e,IF(Iterations[[#This Row],[Step]] &gt; current_step, "",Iterations[[#This Row],[e]]))</f>
        <v/>
      </c>
      <c r="L426" s="2" t="str">
        <f>IF(Iterations[[#This Row],[Step]] =current_step, current_Total_Loss,IF(Iterations[[#This Row],[Step]] &gt; current_step, "",Iterations[[#This Row],[Total Loss]]))</f>
        <v/>
      </c>
      <c r="M426" s="6" t="s">
        <v>27</v>
      </c>
      <c r="N426" s="2" t="str">
        <f>IF(Iterations[[#This Row],[Step]] =current_step, current_Grad_a,IF(Iterations[[#This Row],[Step]] &gt; current_step, "",Iterations[[#This Row],[Grad_a]]))</f>
        <v/>
      </c>
      <c r="O426" s="2" t="str">
        <f>IF(Iterations[[#This Row],[Step]] =current_step, current_Grad_b,IF(Iterations[[#This Row],[Step]] &gt; current_step, "",Iterations[[#This Row],[Grad_b]]))</f>
        <v/>
      </c>
      <c r="P426" s="2" t="str">
        <f>IF(Iterations[[#This Row],[Step]] =current_step, current_Grad_c,IF(Iterations[[#This Row],[Step]] &gt; current_step, "",Iterations[[#This Row],[Grad_c]]))</f>
        <v/>
      </c>
      <c r="Q426" s="2" t="str">
        <f>IF(Iterations[[#This Row],[Step]] =current_step, current_Grad_d,IF(Iterations[[#This Row],[Step]] &gt; current_step, "",Iterations[[#This Row],[Grad_d]]))</f>
        <v/>
      </c>
      <c r="R426" s="2" t="str">
        <f>IF(Iterations[[#This Row],[Step]] =current_step, current_Grad_e,IF(Iterations[[#This Row],[Step]] &gt; current_step, "",Iterations[[#This Row],[Grad_e]]))</f>
        <v/>
      </c>
    </row>
    <row r="427" spans="6:18" x14ac:dyDescent="0.3">
      <c r="F427" s="2">
        <f t="shared" si="8"/>
        <v>410</v>
      </c>
      <c r="G427" s="2" t="str">
        <f>IF(Iterations[[#This Row],[Step]] =current_step, current_a,IF(Iterations[[#This Row],[Step]] &gt; current_step, "",Iterations[[#This Row],[a]]))</f>
        <v/>
      </c>
      <c r="H427" s="2" t="str">
        <f>IF(Iterations[[#This Row],[Step]] =current_step, current_b,IF(Iterations[[#This Row],[Step]] &gt; current_step, "",Iterations[[#This Row],[b]]))</f>
        <v/>
      </c>
      <c r="I427" s="2" t="str">
        <f>IF(Iterations[[#This Row],[Step]] =current_step, current_c,IF(Iterations[[#This Row],[Step]] &gt; current_step, "",Iterations[[#This Row],[c]]))</f>
        <v/>
      </c>
      <c r="J427" s="2" t="str">
        <f>IF(Iterations[[#This Row],[Step]] =current_step, current_d,IF(Iterations[[#This Row],[Step]] &gt; current_step, "",Iterations[[#This Row],[d]]))</f>
        <v/>
      </c>
      <c r="K427" s="2" t="str">
        <f>IF(Iterations[[#This Row],[Step]] =current_step, current_e,IF(Iterations[[#This Row],[Step]] &gt; current_step, "",Iterations[[#This Row],[e]]))</f>
        <v/>
      </c>
      <c r="L427" s="2" t="str">
        <f>IF(Iterations[[#This Row],[Step]] =current_step, current_Total_Loss,IF(Iterations[[#This Row],[Step]] &gt; current_step, "",Iterations[[#This Row],[Total Loss]]))</f>
        <v/>
      </c>
      <c r="M427" s="6" t="s">
        <v>27</v>
      </c>
      <c r="N427" s="2" t="str">
        <f>IF(Iterations[[#This Row],[Step]] =current_step, current_Grad_a,IF(Iterations[[#This Row],[Step]] &gt; current_step, "",Iterations[[#This Row],[Grad_a]]))</f>
        <v/>
      </c>
      <c r="O427" s="2" t="str">
        <f>IF(Iterations[[#This Row],[Step]] =current_step, current_Grad_b,IF(Iterations[[#This Row],[Step]] &gt; current_step, "",Iterations[[#This Row],[Grad_b]]))</f>
        <v/>
      </c>
      <c r="P427" s="2" t="str">
        <f>IF(Iterations[[#This Row],[Step]] =current_step, current_Grad_c,IF(Iterations[[#This Row],[Step]] &gt; current_step, "",Iterations[[#This Row],[Grad_c]]))</f>
        <v/>
      </c>
      <c r="Q427" s="2" t="str">
        <f>IF(Iterations[[#This Row],[Step]] =current_step, current_Grad_d,IF(Iterations[[#This Row],[Step]] &gt; current_step, "",Iterations[[#This Row],[Grad_d]]))</f>
        <v/>
      </c>
      <c r="R427" s="2" t="str">
        <f>IF(Iterations[[#This Row],[Step]] =current_step, current_Grad_e,IF(Iterations[[#This Row],[Step]] &gt; current_step, "",Iterations[[#This Row],[Grad_e]]))</f>
        <v/>
      </c>
    </row>
    <row r="428" spans="6:18" x14ac:dyDescent="0.3">
      <c r="F428" s="2">
        <f t="shared" si="8"/>
        <v>411</v>
      </c>
      <c r="G428" s="2" t="str">
        <f>IF(Iterations[[#This Row],[Step]] =current_step, current_a,IF(Iterations[[#This Row],[Step]] &gt; current_step, "",Iterations[[#This Row],[a]]))</f>
        <v/>
      </c>
      <c r="H428" s="2" t="str">
        <f>IF(Iterations[[#This Row],[Step]] =current_step, current_b,IF(Iterations[[#This Row],[Step]] &gt; current_step, "",Iterations[[#This Row],[b]]))</f>
        <v/>
      </c>
      <c r="I428" s="2" t="str">
        <f>IF(Iterations[[#This Row],[Step]] =current_step, current_c,IF(Iterations[[#This Row],[Step]] &gt; current_step, "",Iterations[[#This Row],[c]]))</f>
        <v/>
      </c>
      <c r="J428" s="2" t="str">
        <f>IF(Iterations[[#This Row],[Step]] =current_step, current_d,IF(Iterations[[#This Row],[Step]] &gt; current_step, "",Iterations[[#This Row],[d]]))</f>
        <v/>
      </c>
      <c r="K428" s="2" t="str">
        <f>IF(Iterations[[#This Row],[Step]] =current_step, current_e,IF(Iterations[[#This Row],[Step]] &gt; current_step, "",Iterations[[#This Row],[e]]))</f>
        <v/>
      </c>
      <c r="L428" s="2" t="str">
        <f>IF(Iterations[[#This Row],[Step]] =current_step, current_Total_Loss,IF(Iterations[[#This Row],[Step]] &gt; current_step, "",Iterations[[#This Row],[Total Loss]]))</f>
        <v/>
      </c>
      <c r="M428" s="6" t="s">
        <v>27</v>
      </c>
      <c r="N428" s="2" t="str">
        <f>IF(Iterations[[#This Row],[Step]] =current_step, current_Grad_a,IF(Iterations[[#This Row],[Step]] &gt; current_step, "",Iterations[[#This Row],[Grad_a]]))</f>
        <v/>
      </c>
      <c r="O428" s="2" t="str">
        <f>IF(Iterations[[#This Row],[Step]] =current_step, current_Grad_b,IF(Iterations[[#This Row],[Step]] &gt; current_step, "",Iterations[[#This Row],[Grad_b]]))</f>
        <v/>
      </c>
      <c r="P428" s="2" t="str">
        <f>IF(Iterations[[#This Row],[Step]] =current_step, current_Grad_c,IF(Iterations[[#This Row],[Step]] &gt; current_step, "",Iterations[[#This Row],[Grad_c]]))</f>
        <v/>
      </c>
      <c r="Q428" s="2" t="str">
        <f>IF(Iterations[[#This Row],[Step]] =current_step, current_Grad_d,IF(Iterations[[#This Row],[Step]] &gt; current_step, "",Iterations[[#This Row],[Grad_d]]))</f>
        <v/>
      </c>
      <c r="R428" s="2" t="str">
        <f>IF(Iterations[[#This Row],[Step]] =current_step, current_Grad_e,IF(Iterations[[#This Row],[Step]] &gt; current_step, "",Iterations[[#This Row],[Grad_e]]))</f>
        <v/>
      </c>
    </row>
    <row r="429" spans="6:18" x14ac:dyDescent="0.3">
      <c r="F429" s="2">
        <f t="shared" si="8"/>
        <v>412</v>
      </c>
      <c r="G429" s="2" t="str">
        <f>IF(Iterations[[#This Row],[Step]] =current_step, current_a,IF(Iterations[[#This Row],[Step]] &gt; current_step, "",Iterations[[#This Row],[a]]))</f>
        <v/>
      </c>
      <c r="H429" s="2" t="str">
        <f>IF(Iterations[[#This Row],[Step]] =current_step, current_b,IF(Iterations[[#This Row],[Step]] &gt; current_step, "",Iterations[[#This Row],[b]]))</f>
        <v/>
      </c>
      <c r="I429" s="2" t="str">
        <f>IF(Iterations[[#This Row],[Step]] =current_step, current_c,IF(Iterations[[#This Row],[Step]] &gt; current_step, "",Iterations[[#This Row],[c]]))</f>
        <v/>
      </c>
      <c r="J429" s="2" t="str">
        <f>IF(Iterations[[#This Row],[Step]] =current_step, current_d,IF(Iterations[[#This Row],[Step]] &gt; current_step, "",Iterations[[#This Row],[d]]))</f>
        <v/>
      </c>
      <c r="K429" s="2" t="str">
        <f>IF(Iterations[[#This Row],[Step]] =current_step, current_e,IF(Iterations[[#This Row],[Step]] &gt; current_step, "",Iterations[[#This Row],[e]]))</f>
        <v/>
      </c>
      <c r="L429" s="2" t="str">
        <f>IF(Iterations[[#This Row],[Step]] =current_step, current_Total_Loss,IF(Iterations[[#This Row],[Step]] &gt; current_step, "",Iterations[[#This Row],[Total Loss]]))</f>
        <v/>
      </c>
      <c r="M429" s="6" t="s">
        <v>27</v>
      </c>
      <c r="N429" s="2" t="str">
        <f>IF(Iterations[[#This Row],[Step]] =current_step, current_Grad_a,IF(Iterations[[#This Row],[Step]] &gt; current_step, "",Iterations[[#This Row],[Grad_a]]))</f>
        <v/>
      </c>
      <c r="O429" s="2" t="str">
        <f>IF(Iterations[[#This Row],[Step]] =current_step, current_Grad_b,IF(Iterations[[#This Row],[Step]] &gt; current_step, "",Iterations[[#This Row],[Grad_b]]))</f>
        <v/>
      </c>
      <c r="P429" s="2" t="str">
        <f>IF(Iterations[[#This Row],[Step]] =current_step, current_Grad_c,IF(Iterations[[#This Row],[Step]] &gt; current_step, "",Iterations[[#This Row],[Grad_c]]))</f>
        <v/>
      </c>
      <c r="Q429" s="2" t="str">
        <f>IF(Iterations[[#This Row],[Step]] =current_step, current_Grad_d,IF(Iterations[[#This Row],[Step]] &gt; current_step, "",Iterations[[#This Row],[Grad_d]]))</f>
        <v/>
      </c>
      <c r="R429" s="2" t="str">
        <f>IF(Iterations[[#This Row],[Step]] =current_step, current_Grad_e,IF(Iterations[[#This Row],[Step]] &gt; current_step, "",Iterations[[#This Row],[Grad_e]]))</f>
        <v/>
      </c>
    </row>
    <row r="430" spans="6:18" x14ac:dyDescent="0.3">
      <c r="F430" s="2">
        <f t="shared" si="8"/>
        <v>413</v>
      </c>
      <c r="G430" s="2" t="str">
        <f>IF(Iterations[[#This Row],[Step]] =current_step, current_a,IF(Iterations[[#This Row],[Step]] &gt; current_step, "",Iterations[[#This Row],[a]]))</f>
        <v/>
      </c>
      <c r="H430" s="2" t="str">
        <f>IF(Iterations[[#This Row],[Step]] =current_step, current_b,IF(Iterations[[#This Row],[Step]] &gt; current_step, "",Iterations[[#This Row],[b]]))</f>
        <v/>
      </c>
      <c r="I430" s="2" t="str">
        <f>IF(Iterations[[#This Row],[Step]] =current_step, current_c,IF(Iterations[[#This Row],[Step]] &gt; current_step, "",Iterations[[#This Row],[c]]))</f>
        <v/>
      </c>
      <c r="J430" s="2" t="str">
        <f>IF(Iterations[[#This Row],[Step]] =current_step, current_d,IF(Iterations[[#This Row],[Step]] &gt; current_step, "",Iterations[[#This Row],[d]]))</f>
        <v/>
      </c>
      <c r="K430" s="2" t="str">
        <f>IF(Iterations[[#This Row],[Step]] =current_step, current_e,IF(Iterations[[#This Row],[Step]] &gt; current_step, "",Iterations[[#This Row],[e]]))</f>
        <v/>
      </c>
      <c r="L430" s="2" t="str">
        <f>IF(Iterations[[#This Row],[Step]] =current_step, current_Total_Loss,IF(Iterations[[#This Row],[Step]] &gt; current_step, "",Iterations[[#This Row],[Total Loss]]))</f>
        <v/>
      </c>
      <c r="M430" s="6" t="s">
        <v>27</v>
      </c>
      <c r="N430" s="2" t="str">
        <f>IF(Iterations[[#This Row],[Step]] =current_step, current_Grad_a,IF(Iterations[[#This Row],[Step]] &gt; current_step, "",Iterations[[#This Row],[Grad_a]]))</f>
        <v/>
      </c>
      <c r="O430" s="2" t="str">
        <f>IF(Iterations[[#This Row],[Step]] =current_step, current_Grad_b,IF(Iterations[[#This Row],[Step]] &gt; current_step, "",Iterations[[#This Row],[Grad_b]]))</f>
        <v/>
      </c>
      <c r="P430" s="2" t="str">
        <f>IF(Iterations[[#This Row],[Step]] =current_step, current_Grad_c,IF(Iterations[[#This Row],[Step]] &gt; current_step, "",Iterations[[#This Row],[Grad_c]]))</f>
        <v/>
      </c>
      <c r="Q430" s="2" t="str">
        <f>IF(Iterations[[#This Row],[Step]] =current_step, current_Grad_d,IF(Iterations[[#This Row],[Step]] &gt; current_step, "",Iterations[[#This Row],[Grad_d]]))</f>
        <v/>
      </c>
      <c r="R430" s="2" t="str">
        <f>IF(Iterations[[#This Row],[Step]] =current_step, current_Grad_e,IF(Iterations[[#This Row],[Step]] &gt; current_step, "",Iterations[[#This Row],[Grad_e]]))</f>
        <v/>
      </c>
    </row>
    <row r="431" spans="6:18" x14ac:dyDescent="0.3">
      <c r="F431" s="2">
        <f t="shared" si="8"/>
        <v>414</v>
      </c>
      <c r="G431" s="2" t="str">
        <f>IF(Iterations[[#This Row],[Step]] =current_step, current_a,IF(Iterations[[#This Row],[Step]] &gt; current_step, "",Iterations[[#This Row],[a]]))</f>
        <v/>
      </c>
      <c r="H431" s="2" t="str">
        <f>IF(Iterations[[#This Row],[Step]] =current_step, current_b,IF(Iterations[[#This Row],[Step]] &gt; current_step, "",Iterations[[#This Row],[b]]))</f>
        <v/>
      </c>
      <c r="I431" s="2" t="str">
        <f>IF(Iterations[[#This Row],[Step]] =current_step, current_c,IF(Iterations[[#This Row],[Step]] &gt; current_step, "",Iterations[[#This Row],[c]]))</f>
        <v/>
      </c>
      <c r="J431" s="2" t="str">
        <f>IF(Iterations[[#This Row],[Step]] =current_step, current_d,IF(Iterations[[#This Row],[Step]] &gt; current_step, "",Iterations[[#This Row],[d]]))</f>
        <v/>
      </c>
      <c r="K431" s="2" t="str">
        <f>IF(Iterations[[#This Row],[Step]] =current_step, current_e,IF(Iterations[[#This Row],[Step]] &gt; current_step, "",Iterations[[#This Row],[e]]))</f>
        <v/>
      </c>
      <c r="L431" s="2" t="str">
        <f>IF(Iterations[[#This Row],[Step]] =current_step, current_Total_Loss,IF(Iterations[[#This Row],[Step]] &gt; current_step, "",Iterations[[#This Row],[Total Loss]]))</f>
        <v/>
      </c>
      <c r="M431" s="6" t="s">
        <v>27</v>
      </c>
      <c r="N431" s="2" t="str">
        <f>IF(Iterations[[#This Row],[Step]] =current_step, current_Grad_a,IF(Iterations[[#This Row],[Step]] &gt; current_step, "",Iterations[[#This Row],[Grad_a]]))</f>
        <v/>
      </c>
      <c r="O431" s="2" t="str">
        <f>IF(Iterations[[#This Row],[Step]] =current_step, current_Grad_b,IF(Iterations[[#This Row],[Step]] &gt; current_step, "",Iterations[[#This Row],[Grad_b]]))</f>
        <v/>
      </c>
      <c r="P431" s="2" t="str">
        <f>IF(Iterations[[#This Row],[Step]] =current_step, current_Grad_c,IF(Iterations[[#This Row],[Step]] &gt; current_step, "",Iterations[[#This Row],[Grad_c]]))</f>
        <v/>
      </c>
      <c r="Q431" s="2" t="str">
        <f>IF(Iterations[[#This Row],[Step]] =current_step, current_Grad_d,IF(Iterations[[#This Row],[Step]] &gt; current_step, "",Iterations[[#This Row],[Grad_d]]))</f>
        <v/>
      </c>
      <c r="R431" s="2" t="str">
        <f>IF(Iterations[[#This Row],[Step]] =current_step, current_Grad_e,IF(Iterations[[#This Row],[Step]] &gt; current_step, "",Iterations[[#This Row],[Grad_e]]))</f>
        <v/>
      </c>
    </row>
    <row r="432" spans="6:18" x14ac:dyDescent="0.3">
      <c r="F432" s="2">
        <f t="shared" si="8"/>
        <v>415</v>
      </c>
      <c r="G432" s="2" t="str">
        <f>IF(Iterations[[#This Row],[Step]] =current_step, current_a,IF(Iterations[[#This Row],[Step]] &gt; current_step, "",Iterations[[#This Row],[a]]))</f>
        <v/>
      </c>
      <c r="H432" s="2" t="str">
        <f>IF(Iterations[[#This Row],[Step]] =current_step, current_b,IF(Iterations[[#This Row],[Step]] &gt; current_step, "",Iterations[[#This Row],[b]]))</f>
        <v/>
      </c>
      <c r="I432" s="2" t="str">
        <f>IF(Iterations[[#This Row],[Step]] =current_step, current_c,IF(Iterations[[#This Row],[Step]] &gt; current_step, "",Iterations[[#This Row],[c]]))</f>
        <v/>
      </c>
      <c r="J432" s="2" t="str">
        <f>IF(Iterations[[#This Row],[Step]] =current_step, current_d,IF(Iterations[[#This Row],[Step]] &gt; current_step, "",Iterations[[#This Row],[d]]))</f>
        <v/>
      </c>
      <c r="K432" s="2" t="str">
        <f>IF(Iterations[[#This Row],[Step]] =current_step, current_e,IF(Iterations[[#This Row],[Step]] &gt; current_step, "",Iterations[[#This Row],[e]]))</f>
        <v/>
      </c>
      <c r="L432" s="2" t="str">
        <f>IF(Iterations[[#This Row],[Step]] =current_step, current_Total_Loss,IF(Iterations[[#This Row],[Step]] &gt; current_step, "",Iterations[[#This Row],[Total Loss]]))</f>
        <v/>
      </c>
      <c r="M432" s="6" t="s">
        <v>27</v>
      </c>
      <c r="N432" s="2" t="str">
        <f>IF(Iterations[[#This Row],[Step]] =current_step, current_Grad_a,IF(Iterations[[#This Row],[Step]] &gt; current_step, "",Iterations[[#This Row],[Grad_a]]))</f>
        <v/>
      </c>
      <c r="O432" s="2" t="str">
        <f>IF(Iterations[[#This Row],[Step]] =current_step, current_Grad_b,IF(Iterations[[#This Row],[Step]] &gt; current_step, "",Iterations[[#This Row],[Grad_b]]))</f>
        <v/>
      </c>
      <c r="P432" s="2" t="str">
        <f>IF(Iterations[[#This Row],[Step]] =current_step, current_Grad_c,IF(Iterations[[#This Row],[Step]] &gt; current_step, "",Iterations[[#This Row],[Grad_c]]))</f>
        <v/>
      </c>
      <c r="Q432" s="2" t="str">
        <f>IF(Iterations[[#This Row],[Step]] =current_step, current_Grad_d,IF(Iterations[[#This Row],[Step]] &gt; current_step, "",Iterations[[#This Row],[Grad_d]]))</f>
        <v/>
      </c>
      <c r="R432" s="2" t="str">
        <f>IF(Iterations[[#This Row],[Step]] =current_step, current_Grad_e,IF(Iterations[[#This Row],[Step]] &gt; current_step, "",Iterations[[#This Row],[Grad_e]]))</f>
        <v/>
      </c>
    </row>
    <row r="433" spans="6:18" x14ac:dyDescent="0.3">
      <c r="F433" s="2">
        <f t="shared" si="8"/>
        <v>416</v>
      </c>
      <c r="G433" s="2" t="str">
        <f>IF(Iterations[[#This Row],[Step]] =current_step, current_a,IF(Iterations[[#This Row],[Step]] &gt; current_step, "",Iterations[[#This Row],[a]]))</f>
        <v/>
      </c>
      <c r="H433" s="2" t="str">
        <f>IF(Iterations[[#This Row],[Step]] =current_step, current_b,IF(Iterations[[#This Row],[Step]] &gt; current_step, "",Iterations[[#This Row],[b]]))</f>
        <v/>
      </c>
      <c r="I433" s="2" t="str">
        <f>IF(Iterations[[#This Row],[Step]] =current_step, current_c,IF(Iterations[[#This Row],[Step]] &gt; current_step, "",Iterations[[#This Row],[c]]))</f>
        <v/>
      </c>
      <c r="J433" s="2" t="str">
        <f>IF(Iterations[[#This Row],[Step]] =current_step, current_d,IF(Iterations[[#This Row],[Step]] &gt; current_step, "",Iterations[[#This Row],[d]]))</f>
        <v/>
      </c>
      <c r="K433" s="2" t="str">
        <f>IF(Iterations[[#This Row],[Step]] =current_step, current_e,IF(Iterations[[#This Row],[Step]] &gt; current_step, "",Iterations[[#This Row],[e]]))</f>
        <v/>
      </c>
      <c r="L433" s="2" t="str">
        <f>IF(Iterations[[#This Row],[Step]] =current_step, current_Total_Loss,IF(Iterations[[#This Row],[Step]] &gt; current_step, "",Iterations[[#This Row],[Total Loss]]))</f>
        <v/>
      </c>
      <c r="M433" s="6" t="s">
        <v>27</v>
      </c>
      <c r="N433" s="2" t="str">
        <f>IF(Iterations[[#This Row],[Step]] =current_step, current_Grad_a,IF(Iterations[[#This Row],[Step]] &gt; current_step, "",Iterations[[#This Row],[Grad_a]]))</f>
        <v/>
      </c>
      <c r="O433" s="2" t="str">
        <f>IF(Iterations[[#This Row],[Step]] =current_step, current_Grad_b,IF(Iterations[[#This Row],[Step]] &gt; current_step, "",Iterations[[#This Row],[Grad_b]]))</f>
        <v/>
      </c>
      <c r="P433" s="2" t="str">
        <f>IF(Iterations[[#This Row],[Step]] =current_step, current_Grad_c,IF(Iterations[[#This Row],[Step]] &gt; current_step, "",Iterations[[#This Row],[Grad_c]]))</f>
        <v/>
      </c>
      <c r="Q433" s="2" t="str">
        <f>IF(Iterations[[#This Row],[Step]] =current_step, current_Grad_d,IF(Iterations[[#This Row],[Step]] &gt; current_step, "",Iterations[[#This Row],[Grad_d]]))</f>
        <v/>
      </c>
      <c r="R433" s="2" t="str">
        <f>IF(Iterations[[#This Row],[Step]] =current_step, current_Grad_e,IF(Iterations[[#This Row],[Step]] &gt; current_step, "",Iterations[[#This Row],[Grad_e]]))</f>
        <v/>
      </c>
    </row>
    <row r="434" spans="6:18" x14ac:dyDescent="0.3">
      <c r="F434" s="2">
        <f t="shared" si="8"/>
        <v>417</v>
      </c>
      <c r="G434" s="2" t="str">
        <f>IF(Iterations[[#This Row],[Step]] =current_step, current_a,IF(Iterations[[#This Row],[Step]] &gt; current_step, "",Iterations[[#This Row],[a]]))</f>
        <v/>
      </c>
      <c r="H434" s="2" t="str">
        <f>IF(Iterations[[#This Row],[Step]] =current_step, current_b,IF(Iterations[[#This Row],[Step]] &gt; current_step, "",Iterations[[#This Row],[b]]))</f>
        <v/>
      </c>
      <c r="I434" s="2" t="str">
        <f>IF(Iterations[[#This Row],[Step]] =current_step, current_c,IF(Iterations[[#This Row],[Step]] &gt; current_step, "",Iterations[[#This Row],[c]]))</f>
        <v/>
      </c>
      <c r="J434" s="2" t="str">
        <f>IF(Iterations[[#This Row],[Step]] =current_step, current_d,IF(Iterations[[#This Row],[Step]] &gt; current_step, "",Iterations[[#This Row],[d]]))</f>
        <v/>
      </c>
      <c r="K434" s="2" t="str">
        <f>IF(Iterations[[#This Row],[Step]] =current_step, current_e,IF(Iterations[[#This Row],[Step]] &gt; current_step, "",Iterations[[#This Row],[e]]))</f>
        <v/>
      </c>
      <c r="L434" s="2" t="str">
        <f>IF(Iterations[[#This Row],[Step]] =current_step, current_Total_Loss,IF(Iterations[[#This Row],[Step]] &gt; current_step, "",Iterations[[#This Row],[Total Loss]]))</f>
        <v/>
      </c>
      <c r="M434" s="6" t="s">
        <v>27</v>
      </c>
      <c r="N434" s="2" t="str">
        <f>IF(Iterations[[#This Row],[Step]] =current_step, current_Grad_a,IF(Iterations[[#This Row],[Step]] &gt; current_step, "",Iterations[[#This Row],[Grad_a]]))</f>
        <v/>
      </c>
      <c r="O434" s="2" t="str">
        <f>IF(Iterations[[#This Row],[Step]] =current_step, current_Grad_b,IF(Iterations[[#This Row],[Step]] &gt; current_step, "",Iterations[[#This Row],[Grad_b]]))</f>
        <v/>
      </c>
      <c r="P434" s="2" t="str">
        <f>IF(Iterations[[#This Row],[Step]] =current_step, current_Grad_c,IF(Iterations[[#This Row],[Step]] &gt; current_step, "",Iterations[[#This Row],[Grad_c]]))</f>
        <v/>
      </c>
      <c r="Q434" s="2" t="str">
        <f>IF(Iterations[[#This Row],[Step]] =current_step, current_Grad_d,IF(Iterations[[#This Row],[Step]] &gt; current_step, "",Iterations[[#This Row],[Grad_d]]))</f>
        <v/>
      </c>
      <c r="R434" s="2" t="str">
        <f>IF(Iterations[[#This Row],[Step]] =current_step, current_Grad_e,IF(Iterations[[#This Row],[Step]] &gt; current_step, "",Iterations[[#This Row],[Grad_e]]))</f>
        <v/>
      </c>
    </row>
    <row r="435" spans="6:18" x14ac:dyDescent="0.3">
      <c r="F435" s="2">
        <f t="shared" si="8"/>
        <v>418</v>
      </c>
      <c r="G435" s="2" t="str">
        <f>IF(Iterations[[#This Row],[Step]] =current_step, current_a,IF(Iterations[[#This Row],[Step]] &gt; current_step, "",Iterations[[#This Row],[a]]))</f>
        <v/>
      </c>
      <c r="H435" s="2" t="str">
        <f>IF(Iterations[[#This Row],[Step]] =current_step, current_b,IF(Iterations[[#This Row],[Step]] &gt; current_step, "",Iterations[[#This Row],[b]]))</f>
        <v/>
      </c>
      <c r="I435" s="2" t="str">
        <f>IF(Iterations[[#This Row],[Step]] =current_step, current_c,IF(Iterations[[#This Row],[Step]] &gt; current_step, "",Iterations[[#This Row],[c]]))</f>
        <v/>
      </c>
      <c r="J435" s="2" t="str">
        <f>IF(Iterations[[#This Row],[Step]] =current_step, current_d,IF(Iterations[[#This Row],[Step]] &gt; current_step, "",Iterations[[#This Row],[d]]))</f>
        <v/>
      </c>
      <c r="K435" s="2" t="str">
        <f>IF(Iterations[[#This Row],[Step]] =current_step, current_e,IF(Iterations[[#This Row],[Step]] &gt; current_step, "",Iterations[[#This Row],[e]]))</f>
        <v/>
      </c>
      <c r="L435" s="2" t="str">
        <f>IF(Iterations[[#This Row],[Step]] =current_step, current_Total_Loss,IF(Iterations[[#This Row],[Step]] &gt; current_step, "",Iterations[[#This Row],[Total Loss]]))</f>
        <v/>
      </c>
      <c r="M435" s="6" t="s">
        <v>27</v>
      </c>
      <c r="N435" s="2" t="str">
        <f>IF(Iterations[[#This Row],[Step]] =current_step, current_Grad_a,IF(Iterations[[#This Row],[Step]] &gt; current_step, "",Iterations[[#This Row],[Grad_a]]))</f>
        <v/>
      </c>
      <c r="O435" s="2" t="str">
        <f>IF(Iterations[[#This Row],[Step]] =current_step, current_Grad_b,IF(Iterations[[#This Row],[Step]] &gt; current_step, "",Iterations[[#This Row],[Grad_b]]))</f>
        <v/>
      </c>
      <c r="P435" s="2" t="str">
        <f>IF(Iterations[[#This Row],[Step]] =current_step, current_Grad_c,IF(Iterations[[#This Row],[Step]] &gt; current_step, "",Iterations[[#This Row],[Grad_c]]))</f>
        <v/>
      </c>
      <c r="Q435" s="2" t="str">
        <f>IF(Iterations[[#This Row],[Step]] =current_step, current_Grad_d,IF(Iterations[[#This Row],[Step]] &gt; current_step, "",Iterations[[#This Row],[Grad_d]]))</f>
        <v/>
      </c>
      <c r="R435" s="2" t="str">
        <f>IF(Iterations[[#This Row],[Step]] =current_step, current_Grad_e,IF(Iterations[[#This Row],[Step]] &gt; current_step, "",Iterations[[#This Row],[Grad_e]]))</f>
        <v/>
      </c>
    </row>
    <row r="436" spans="6:18" x14ac:dyDescent="0.3">
      <c r="F436" s="2">
        <f t="shared" si="8"/>
        <v>419</v>
      </c>
      <c r="G436" s="2" t="str">
        <f>IF(Iterations[[#This Row],[Step]] =current_step, current_a,IF(Iterations[[#This Row],[Step]] &gt; current_step, "",Iterations[[#This Row],[a]]))</f>
        <v/>
      </c>
      <c r="H436" s="2" t="str">
        <f>IF(Iterations[[#This Row],[Step]] =current_step, current_b,IF(Iterations[[#This Row],[Step]] &gt; current_step, "",Iterations[[#This Row],[b]]))</f>
        <v/>
      </c>
      <c r="I436" s="2" t="str">
        <f>IF(Iterations[[#This Row],[Step]] =current_step, current_c,IF(Iterations[[#This Row],[Step]] &gt; current_step, "",Iterations[[#This Row],[c]]))</f>
        <v/>
      </c>
      <c r="J436" s="2" t="str">
        <f>IF(Iterations[[#This Row],[Step]] =current_step, current_d,IF(Iterations[[#This Row],[Step]] &gt; current_step, "",Iterations[[#This Row],[d]]))</f>
        <v/>
      </c>
      <c r="K436" s="2" t="str">
        <f>IF(Iterations[[#This Row],[Step]] =current_step, current_e,IF(Iterations[[#This Row],[Step]] &gt; current_step, "",Iterations[[#This Row],[e]]))</f>
        <v/>
      </c>
      <c r="L436" s="2" t="str">
        <f>IF(Iterations[[#This Row],[Step]] =current_step, current_Total_Loss,IF(Iterations[[#This Row],[Step]] &gt; current_step, "",Iterations[[#This Row],[Total Loss]]))</f>
        <v/>
      </c>
      <c r="M436" s="6" t="s">
        <v>27</v>
      </c>
      <c r="N436" s="2" t="str">
        <f>IF(Iterations[[#This Row],[Step]] =current_step, current_Grad_a,IF(Iterations[[#This Row],[Step]] &gt; current_step, "",Iterations[[#This Row],[Grad_a]]))</f>
        <v/>
      </c>
      <c r="O436" s="2" t="str">
        <f>IF(Iterations[[#This Row],[Step]] =current_step, current_Grad_b,IF(Iterations[[#This Row],[Step]] &gt; current_step, "",Iterations[[#This Row],[Grad_b]]))</f>
        <v/>
      </c>
      <c r="P436" s="2" t="str">
        <f>IF(Iterations[[#This Row],[Step]] =current_step, current_Grad_c,IF(Iterations[[#This Row],[Step]] &gt; current_step, "",Iterations[[#This Row],[Grad_c]]))</f>
        <v/>
      </c>
      <c r="Q436" s="2" t="str">
        <f>IF(Iterations[[#This Row],[Step]] =current_step, current_Grad_d,IF(Iterations[[#This Row],[Step]] &gt; current_step, "",Iterations[[#This Row],[Grad_d]]))</f>
        <v/>
      </c>
      <c r="R436" s="2" t="str">
        <f>IF(Iterations[[#This Row],[Step]] =current_step, current_Grad_e,IF(Iterations[[#This Row],[Step]] &gt; current_step, "",Iterations[[#This Row],[Grad_e]]))</f>
        <v/>
      </c>
    </row>
    <row r="437" spans="6:18" x14ac:dyDescent="0.3">
      <c r="F437" s="2">
        <f t="shared" si="8"/>
        <v>420</v>
      </c>
      <c r="G437" s="2" t="str">
        <f>IF(Iterations[[#This Row],[Step]] =current_step, current_a,IF(Iterations[[#This Row],[Step]] &gt; current_step, "",Iterations[[#This Row],[a]]))</f>
        <v/>
      </c>
      <c r="H437" s="2" t="str">
        <f>IF(Iterations[[#This Row],[Step]] =current_step, current_b,IF(Iterations[[#This Row],[Step]] &gt; current_step, "",Iterations[[#This Row],[b]]))</f>
        <v/>
      </c>
      <c r="I437" s="2" t="str">
        <f>IF(Iterations[[#This Row],[Step]] =current_step, current_c,IF(Iterations[[#This Row],[Step]] &gt; current_step, "",Iterations[[#This Row],[c]]))</f>
        <v/>
      </c>
      <c r="J437" s="2" t="str">
        <f>IF(Iterations[[#This Row],[Step]] =current_step, current_d,IF(Iterations[[#This Row],[Step]] &gt; current_step, "",Iterations[[#This Row],[d]]))</f>
        <v/>
      </c>
      <c r="K437" s="2" t="str">
        <f>IF(Iterations[[#This Row],[Step]] =current_step, current_e,IF(Iterations[[#This Row],[Step]] &gt; current_step, "",Iterations[[#This Row],[e]]))</f>
        <v/>
      </c>
      <c r="L437" s="2" t="str">
        <f>IF(Iterations[[#This Row],[Step]] =current_step, current_Total_Loss,IF(Iterations[[#This Row],[Step]] &gt; current_step, "",Iterations[[#This Row],[Total Loss]]))</f>
        <v/>
      </c>
      <c r="M437" s="6" t="s">
        <v>27</v>
      </c>
      <c r="N437" s="2" t="str">
        <f>IF(Iterations[[#This Row],[Step]] =current_step, current_Grad_a,IF(Iterations[[#This Row],[Step]] &gt; current_step, "",Iterations[[#This Row],[Grad_a]]))</f>
        <v/>
      </c>
      <c r="O437" s="2" t="str">
        <f>IF(Iterations[[#This Row],[Step]] =current_step, current_Grad_b,IF(Iterations[[#This Row],[Step]] &gt; current_step, "",Iterations[[#This Row],[Grad_b]]))</f>
        <v/>
      </c>
      <c r="P437" s="2" t="str">
        <f>IF(Iterations[[#This Row],[Step]] =current_step, current_Grad_c,IF(Iterations[[#This Row],[Step]] &gt; current_step, "",Iterations[[#This Row],[Grad_c]]))</f>
        <v/>
      </c>
      <c r="Q437" s="2" t="str">
        <f>IF(Iterations[[#This Row],[Step]] =current_step, current_Grad_d,IF(Iterations[[#This Row],[Step]] &gt; current_step, "",Iterations[[#This Row],[Grad_d]]))</f>
        <v/>
      </c>
      <c r="R437" s="2" t="str">
        <f>IF(Iterations[[#This Row],[Step]] =current_step, current_Grad_e,IF(Iterations[[#This Row],[Step]] &gt; current_step, "",Iterations[[#This Row],[Grad_e]]))</f>
        <v/>
      </c>
    </row>
    <row r="438" spans="6:18" x14ac:dyDescent="0.3">
      <c r="F438" s="2">
        <f t="shared" si="8"/>
        <v>421</v>
      </c>
      <c r="G438" s="2" t="str">
        <f>IF(Iterations[[#This Row],[Step]] =current_step, current_a,IF(Iterations[[#This Row],[Step]] &gt; current_step, "",Iterations[[#This Row],[a]]))</f>
        <v/>
      </c>
      <c r="H438" s="2" t="str">
        <f>IF(Iterations[[#This Row],[Step]] =current_step, current_b,IF(Iterations[[#This Row],[Step]] &gt; current_step, "",Iterations[[#This Row],[b]]))</f>
        <v/>
      </c>
      <c r="I438" s="2" t="str">
        <f>IF(Iterations[[#This Row],[Step]] =current_step, current_c,IF(Iterations[[#This Row],[Step]] &gt; current_step, "",Iterations[[#This Row],[c]]))</f>
        <v/>
      </c>
      <c r="J438" s="2" t="str">
        <f>IF(Iterations[[#This Row],[Step]] =current_step, current_d,IF(Iterations[[#This Row],[Step]] &gt; current_step, "",Iterations[[#This Row],[d]]))</f>
        <v/>
      </c>
      <c r="K438" s="2" t="str">
        <f>IF(Iterations[[#This Row],[Step]] =current_step, current_e,IF(Iterations[[#This Row],[Step]] &gt; current_step, "",Iterations[[#This Row],[e]]))</f>
        <v/>
      </c>
      <c r="L438" s="2" t="str">
        <f>IF(Iterations[[#This Row],[Step]] =current_step, current_Total_Loss,IF(Iterations[[#This Row],[Step]] &gt; current_step, "",Iterations[[#This Row],[Total Loss]]))</f>
        <v/>
      </c>
      <c r="M438" s="6" t="s">
        <v>27</v>
      </c>
      <c r="N438" s="2" t="str">
        <f>IF(Iterations[[#This Row],[Step]] =current_step, current_Grad_a,IF(Iterations[[#This Row],[Step]] &gt; current_step, "",Iterations[[#This Row],[Grad_a]]))</f>
        <v/>
      </c>
      <c r="O438" s="2" t="str">
        <f>IF(Iterations[[#This Row],[Step]] =current_step, current_Grad_b,IF(Iterations[[#This Row],[Step]] &gt; current_step, "",Iterations[[#This Row],[Grad_b]]))</f>
        <v/>
      </c>
      <c r="P438" s="2" t="str">
        <f>IF(Iterations[[#This Row],[Step]] =current_step, current_Grad_c,IF(Iterations[[#This Row],[Step]] &gt; current_step, "",Iterations[[#This Row],[Grad_c]]))</f>
        <v/>
      </c>
      <c r="Q438" s="2" t="str">
        <f>IF(Iterations[[#This Row],[Step]] =current_step, current_Grad_d,IF(Iterations[[#This Row],[Step]] &gt; current_step, "",Iterations[[#This Row],[Grad_d]]))</f>
        <v/>
      </c>
      <c r="R438" s="2" t="str">
        <f>IF(Iterations[[#This Row],[Step]] =current_step, current_Grad_e,IF(Iterations[[#This Row],[Step]] &gt; current_step, "",Iterations[[#This Row],[Grad_e]]))</f>
        <v/>
      </c>
    </row>
    <row r="439" spans="6:18" x14ac:dyDescent="0.3">
      <c r="F439" s="2">
        <f t="shared" si="8"/>
        <v>422</v>
      </c>
      <c r="G439" s="2" t="str">
        <f>IF(Iterations[[#This Row],[Step]] =current_step, current_a,IF(Iterations[[#This Row],[Step]] &gt; current_step, "",Iterations[[#This Row],[a]]))</f>
        <v/>
      </c>
      <c r="H439" s="2" t="str">
        <f>IF(Iterations[[#This Row],[Step]] =current_step, current_b,IF(Iterations[[#This Row],[Step]] &gt; current_step, "",Iterations[[#This Row],[b]]))</f>
        <v/>
      </c>
      <c r="I439" s="2" t="str">
        <f>IF(Iterations[[#This Row],[Step]] =current_step, current_c,IF(Iterations[[#This Row],[Step]] &gt; current_step, "",Iterations[[#This Row],[c]]))</f>
        <v/>
      </c>
      <c r="J439" s="2" t="str">
        <f>IF(Iterations[[#This Row],[Step]] =current_step, current_d,IF(Iterations[[#This Row],[Step]] &gt; current_step, "",Iterations[[#This Row],[d]]))</f>
        <v/>
      </c>
      <c r="K439" s="2" t="str">
        <f>IF(Iterations[[#This Row],[Step]] =current_step, current_e,IF(Iterations[[#This Row],[Step]] &gt; current_step, "",Iterations[[#This Row],[e]]))</f>
        <v/>
      </c>
      <c r="L439" s="2" t="str">
        <f>IF(Iterations[[#This Row],[Step]] =current_step, current_Total_Loss,IF(Iterations[[#This Row],[Step]] &gt; current_step, "",Iterations[[#This Row],[Total Loss]]))</f>
        <v/>
      </c>
      <c r="M439" s="6" t="s">
        <v>27</v>
      </c>
      <c r="N439" s="2" t="str">
        <f>IF(Iterations[[#This Row],[Step]] =current_step, current_Grad_a,IF(Iterations[[#This Row],[Step]] &gt; current_step, "",Iterations[[#This Row],[Grad_a]]))</f>
        <v/>
      </c>
      <c r="O439" s="2" t="str">
        <f>IF(Iterations[[#This Row],[Step]] =current_step, current_Grad_b,IF(Iterations[[#This Row],[Step]] &gt; current_step, "",Iterations[[#This Row],[Grad_b]]))</f>
        <v/>
      </c>
      <c r="P439" s="2" t="str">
        <f>IF(Iterations[[#This Row],[Step]] =current_step, current_Grad_c,IF(Iterations[[#This Row],[Step]] &gt; current_step, "",Iterations[[#This Row],[Grad_c]]))</f>
        <v/>
      </c>
      <c r="Q439" s="2" t="str">
        <f>IF(Iterations[[#This Row],[Step]] =current_step, current_Grad_d,IF(Iterations[[#This Row],[Step]] &gt; current_step, "",Iterations[[#This Row],[Grad_d]]))</f>
        <v/>
      </c>
      <c r="R439" s="2" t="str">
        <f>IF(Iterations[[#This Row],[Step]] =current_step, current_Grad_e,IF(Iterations[[#This Row],[Step]] &gt; current_step, "",Iterations[[#This Row],[Grad_e]]))</f>
        <v/>
      </c>
    </row>
    <row r="440" spans="6:18" x14ac:dyDescent="0.3">
      <c r="F440" s="2">
        <f t="shared" si="8"/>
        <v>423</v>
      </c>
      <c r="G440" s="2" t="str">
        <f>IF(Iterations[[#This Row],[Step]] =current_step, current_a,IF(Iterations[[#This Row],[Step]] &gt; current_step, "",Iterations[[#This Row],[a]]))</f>
        <v/>
      </c>
      <c r="H440" s="2" t="str">
        <f>IF(Iterations[[#This Row],[Step]] =current_step, current_b,IF(Iterations[[#This Row],[Step]] &gt; current_step, "",Iterations[[#This Row],[b]]))</f>
        <v/>
      </c>
      <c r="I440" s="2" t="str">
        <f>IF(Iterations[[#This Row],[Step]] =current_step, current_c,IF(Iterations[[#This Row],[Step]] &gt; current_step, "",Iterations[[#This Row],[c]]))</f>
        <v/>
      </c>
      <c r="J440" s="2" t="str">
        <f>IF(Iterations[[#This Row],[Step]] =current_step, current_d,IF(Iterations[[#This Row],[Step]] &gt; current_step, "",Iterations[[#This Row],[d]]))</f>
        <v/>
      </c>
      <c r="K440" s="2" t="str">
        <f>IF(Iterations[[#This Row],[Step]] =current_step, current_e,IF(Iterations[[#This Row],[Step]] &gt; current_step, "",Iterations[[#This Row],[e]]))</f>
        <v/>
      </c>
      <c r="L440" s="2" t="str">
        <f>IF(Iterations[[#This Row],[Step]] =current_step, current_Total_Loss,IF(Iterations[[#This Row],[Step]] &gt; current_step, "",Iterations[[#This Row],[Total Loss]]))</f>
        <v/>
      </c>
      <c r="M440" s="6" t="s">
        <v>27</v>
      </c>
      <c r="N440" s="2" t="str">
        <f>IF(Iterations[[#This Row],[Step]] =current_step, current_Grad_a,IF(Iterations[[#This Row],[Step]] &gt; current_step, "",Iterations[[#This Row],[Grad_a]]))</f>
        <v/>
      </c>
      <c r="O440" s="2" t="str">
        <f>IF(Iterations[[#This Row],[Step]] =current_step, current_Grad_b,IF(Iterations[[#This Row],[Step]] &gt; current_step, "",Iterations[[#This Row],[Grad_b]]))</f>
        <v/>
      </c>
      <c r="P440" s="2" t="str">
        <f>IF(Iterations[[#This Row],[Step]] =current_step, current_Grad_c,IF(Iterations[[#This Row],[Step]] &gt; current_step, "",Iterations[[#This Row],[Grad_c]]))</f>
        <v/>
      </c>
      <c r="Q440" s="2" t="str">
        <f>IF(Iterations[[#This Row],[Step]] =current_step, current_Grad_d,IF(Iterations[[#This Row],[Step]] &gt; current_step, "",Iterations[[#This Row],[Grad_d]]))</f>
        <v/>
      </c>
      <c r="R440" s="2" t="str">
        <f>IF(Iterations[[#This Row],[Step]] =current_step, current_Grad_e,IF(Iterations[[#This Row],[Step]] &gt; current_step, "",Iterations[[#This Row],[Grad_e]]))</f>
        <v/>
      </c>
    </row>
    <row r="441" spans="6:18" x14ac:dyDescent="0.3">
      <c r="F441" s="2">
        <f t="shared" si="8"/>
        <v>424</v>
      </c>
      <c r="G441" s="2" t="str">
        <f>IF(Iterations[[#This Row],[Step]] =current_step, current_a,IF(Iterations[[#This Row],[Step]] &gt; current_step, "",Iterations[[#This Row],[a]]))</f>
        <v/>
      </c>
      <c r="H441" s="2" t="str">
        <f>IF(Iterations[[#This Row],[Step]] =current_step, current_b,IF(Iterations[[#This Row],[Step]] &gt; current_step, "",Iterations[[#This Row],[b]]))</f>
        <v/>
      </c>
      <c r="I441" s="2" t="str">
        <f>IF(Iterations[[#This Row],[Step]] =current_step, current_c,IF(Iterations[[#This Row],[Step]] &gt; current_step, "",Iterations[[#This Row],[c]]))</f>
        <v/>
      </c>
      <c r="J441" s="2" t="str">
        <f>IF(Iterations[[#This Row],[Step]] =current_step, current_d,IF(Iterations[[#This Row],[Step]] &gt; current_step, "",Iterations[[#This Row],[d]]))</f>
        <v/>
      </c>
      <c r="K441" s="2" t="str">
        <f>IF(Iterations[[#This Row],[Step]] =current_step, current_e,IF(Iterations[[#This Row],[Step]] &gt; current_step, "",Iterations[[#This Row],[e]]))</f>
        <v/>
      </c>
      <c r="L441" s="2" t="str">
        <f>IF(Iterations[[#This Row],[Step]] =current_step, current_Total_Loss,IF(Iterations[[#This Row],[Step]] &gt; current_step, "",Iterations[[#This Row],[Total Loss]]))</f>
        <v/>
      </c>
      <c r="M441" s="6" t="s">
        <v>27</v>
      </c>
      <c r="N441" s="2" t="str">
        <f>IF(Iterations[[#This Row],[Step]] =current_step, current_Grad_a,IF(Iterations[[#This Row],[Step]] &gt; current_step, "",Iterations[[#This Row],[Grad_a]]))</f>
        <v/>
      </c>
      <c r="O441" s="2" t="str">
        <f>IF(Iterations[[#This Row],[Step]] =current_step, current_Grad_b,IF(Iterations[[#This Row],[Step]] &gt; current_step, "",Iterations[[#This Row],[Grad_b]]))</f>
        <v/>
      </c>
      <c r="P441" s="2" t="str">
        <f>IF(Iterations[[#This Row],[Step]] =current_step, current_Grad_c,IF(Iterations[[#This Row],[Step]] &gt; current_step, "",Iterations[[#This Row],[Grad_c]]))</f>
        <v/>
      </c>
      <c r="Q441" s="2" t="str">
        <f>IF(Iterations[[#This Row],[Step]] =current_step, current_Grad_d,IF(Iterations[[#This Row],[Step]] &gt; current_step, "",Iterations[[#This Row],[Grad_d]]))</f>
        <v/>
      </c>
      <c r="R441" s="2" t="str">
        <f>IF(Iterations[[#This Row],[Step]] =current_step, current_Grad_e,IF(Iterations[[#This Row],[Step]] &gt; current_step, "",Iterations[[#This Row],[Grad_e]]))</f>
        <v/>
      </c>
    </row>
    <row r="442" spans="6:18" x14ac:dyDescent="0.3">
      <c r="F442" s="2">
        <f t="shared" si="8"/>
        <v>425</v>
      </c>
      <c r="G442" s="2" t="str">
        <f>IF(Iterations[[#This Row],[Step]] =current_step, current_a,IF(Iterations[[#This Row],[Step]] &gt; current_step, "",Iterations[[#This Row],[a]]))</f>
        <v/>
      </c>
      <c r="H442" s="2" t="str">
        <f>IF(Iterations[[#This Row],[Step]] =current_step, current_b,IF(Iterations[[#This Row],[Step]] &gt; current_step, "",Iterations[[#This Row],[b]]))</f>
        <v/>
      </c>
      <c r="I442" s="2" t="str">
        <f>IF(Iterations[[#This Row],[Step]] =current_step, current_c,IF(Iterations[[#This Row],[Step]] &gt; current_step, "",Iterations[[#This Row],[c]]))</f>
        <v/>
      </c>
      <c r="J442" s="2" t="str">
        <f>IF(Iterations[[#This Row],[Step]] =current_step, current_d,IF(Iterations[[#This Row],[Step]] &gt; current_step, "",Iterations[[#This Row],[d]]))</f>
        <v/>
      </c>
      <c r="K442" s="2" t="str">
        <f>IF(Iterations[[#This Row],[Step]] =current_step, current_e,IF(Iterations[[#This Row],[Step]] &gt; current_step, "",Iterations[[#This Row],[e]]))</f>
        <v/>
      </c>
      <c r="L442" s="2" t="str">
        <f>IF(Iterations[[#This Row],[Step]] =current_step, current_Total_Loss,IF(Iterations[[#This Row],[Step]] &gt; current_step, "",Iterations[[#This Row],[Total Loss]]))</f>
        <v/>
      </c>
      <c r="M442" s="6" t="s">
        <v>27</v>
      </c>
      <c r="N442" s="2" t="str">
        <f>IF(Iterations[[#This Row],[Step]] =current_step, current_Grad_a,IF(Iterations[[#This Row],[Step]] &gt; current_step, "",Iterations[[#This Row],[Grad_a]]))</f>
        <v/>
      </c>
      <c r="O442" s="2" t="str">
        <f>IF(Iterations[[#This Row],[Step]] =current_step, current_Grad_b,IF(Iterations[[#This Row],[Step]] &gt; current_step, "",Iterations[[#This Row],[Grad_b]]))</f>
        <v/>
      </c>
      <c r="P442" s="2" t="str">
        <f>IF(Iterations[[#This Row],[Step]] =current_step, current_Grad_c,IF(Iterations[[#This Row],[Step]] &gt; current_step, "",Iterations[[#This Row],[Grad_c]]))</f>
        <v/>
      </c>
      <c r="Q442" s="2" t="str">
        <f>IF(Iterations[[#This Row],[Step]] =current_step, current_Grad_d,IF(Iterations[[#This Row],[Step]] &gt; current_step, "",Iterations[[#This Row],[Grad_d]]))</f>
        <v/>
      </c>
      <c r="R442" s="2" t="str">
        <f>IF(Iterations[[#This Row],[Step]] =current_step, current_Grad_e,IF(Iterations[[#This Row],[Step]] &gt; current_step, "",Iterations[[#This Row],[Grad_e]]))</f>
        <v/>
      </c>
    </row>
    <row r="443" spans="6:18" x14ac:dyDescent="0.3">
      <c r="F443" s="2">
        <f t="shared" si="8"/>
        <v>426</v>
      </c>
      <c r="G443" s="2" t="str">
        <f>IF(Iterations[[#This Row],[Step]] =current_step, current_a,IF(Iterations[[#This Row],[Step]] &gt; current_step, "",Iterations[[#This Row],[a]]))</f>
        <v/>
      </c>
      <c r="H443" s="2" t="str">
        <f>IF(Iterations[[#This Row],[Step]] =current_step, current_b,IF(Iterations[[#This Row],[Step]] &gt; current_step, "",Iterations[[#This Row],[b]]))</f>
        <v/>
      </c>
      <c r="I443" s="2" t="str">
        <f>IF(Iterations[[#This Row],[Step]] =current_step, current_c,IF(Iterations[[#This Row],[Step]] &gt; current_step, "",Iterations[[#This Row],[c]]))</f>
        <v/>
      </c>
      <c r="J443" s="2" t="str">
        <f>IF(Iterations[[#This Row],[Step]] =current_step, current_d,IF(Iterations[[#This Row],[Step]] &gt; current_step, "",Iterations[[#This Row],[d]]))</f>
        <v/>
      </c>
      <c r="K443" s="2" t="str">
        <f>IF(Iterations[[#This Row],[Step]] =current_step, current_e,IF(Iterations[[#This Row],[Step]] &gt; current_step, "",Iterations[[#This Row],[e]]))</f>
        <v/>
      </c>
      <c r="L443" s="2" t="str">
        <f>IF(Iterations[[#This Row],[Step]] =current_step, current_Total_Loss,IF(Iterations[[#This Row],[Step]] &gt; current_step, "",Iterations[[#This Row],[Total Loss]]))</f>
        <v/>
      </c>
      <c r="M443" s="6" t="s">
        <v>27</v>
      </c>
      <c r="N443" s="2" t="str">
        <f>IF(Iterations[[#This Row],[Step]] =current_step, current_Grad_a,IF(Iterations[[#This Row],[Step]] &gt; current_step, "",Iterations[[#This Row],[Grad_a]]))</f>
        <v/>
      </c>
      <c r="O443" s="2" t="str">
        <f>IF(Iterations[[#This Row],[Step]] =current_step, current_Grad_b,IF(Iterations[[#This Row],[Step]] &gt; current_step, "",Iterations[[#This Row],[Grad_b]]))</f>
        <v/>
      </c>
      <c r="P443" s="2" t="str">
        <f>IF(Iterations[[#This Row],[Step]] =current_step, current_Grad_c,IF(Iterations[[#This Row],[Step]] &gt; current_step, "",Iterations[[#This Row],[Grad_c]]))</f>
        <v/>
      </c>
      <c r="Q443" s="2" t="str">
        <f>IF(Iterations[[#This Row],[Step]] =current_step, current_Grad_d,IF(Iterations[[#This Row],[Step]] &gt; current_step, "",Iterations[[#This Row],[Grad_d]]))</f>
        <v/>
      </c>
      <c r="R443" s="2" t="str">
        <f>IF(Iterations[[#This Row],[Step]] =current_step, current_Grad_e,IF(Iterations[[#This Row],[Step]] &gt; current_step, "",Iterations[[#This Row],[Grad_e]]))</f>
        <v/>
      </c>
    </row>
    <row r="444" spans="6:18" x14ac:dyDescent="0.3">
      <c r="F444" s="2">
        <f t="shared" si="8"/>
        <v>427</v>
      </c>
      <c r="G444" s="2" t="str">
        <f>IF(Iterations[[#This Row],[Step]] =current_step, current_a,IF(Iterations[[#This Row],[Step]] &gt; current_step, "",Iterations[[#This Row],[a]]))</f>
        <v/>
      </c>
      <c r="H444" s="2" t="str">
        <f>IF(Iterations[[#This Row],[Step]] =current_step, current_b,IF(Iterations[[#This Row],[Step]] &gt; current_step, "",Iterations[[#This Row],[b]]))</f>
        <v/>
      </c>
      <c r="I444" s="2" t="str">
        <f>IF(Iterations[[#This Row],[Step]] =current_step, current_c,IF(Iterations[[#This Row],[Step]] &gt; current_step, "",Iterations[[#This Row],[c]]))</f>
        <v/>
      </c>
      <c r="J444" s="2" t="str">
        <f>IF(Iterations[[#This Row],[Step]] =current_step, current_d,IF(Iterations[[#This Row],[Step]] &gt; current_step, "",Iterations[[#This Row],[d]]))</f>
        <v/>
      </c>
      <c r="K444" s="2" t="str">
        <f>IF(Iterations[[#This Row],[Step]] =current_step, current_e,IF(Iterations[[#This Row],[Step]] &gt; current_step, "",Iterations[[#This Row],[e]]))</f>
        <v/>
      </c>
      <c r="L444" s="2" t="str">
        <f>IF(Iterations[[#This Row],[Step]] =current_step, current_Total_Loss,IF(Iterations[[#This Row],[Step]] &gt; current_step, "",Iterations[[#This Row],[Total Loss]]))</f>
        <v/>
      </c>
      <c r="M444" s="6" t="s">
        <v>27</v>
      </c>
      <c r="N444" s="2" t="str">
        <f>IF(Iterations[[#This Row],[Step]] =current_step, current_Grad_a,IF(Iterations[[#This Row],[Step]] &gt; current_step, "",Iterations[[#This Row],[Grad_a]]))</f>
        <v/>
      </c>
      <c r="O444" s="2" t="str">
        <f>IF(Iterations[[#This Row],[Step]] =current_step, current_Grad_b,IF(Iterations[[#This Row],[Step]] &gt; current_step, "",Iterations[[#This Row],[Grad_b]]))</f>
        <v/>
      </c>
      <c r="P444" s="2" t="str">
        <f>IF(Iterations[[#This Row],[Step]] =current_step, current_Grad_c,IF(Iterations[[#This Row],[Step]] &gt; current_step, "",Iterations[[#This Row],[Grad_c]]))</f>
        <v/>
      </c>
      <c r="Q444" s="2" t="str">
        <f>IF(Iterations[[#This Row],[Step]] =current_step, current_Grad_d,IF(Iterations[[#This Row],[Step]] &gt; current_step, "",Iterations[[#This Row],[Grad_d]]))</f>
        <v/>
      </c>
      <c r="R444" s="2" t="str">
        <f>IF(Iterations[[#This Row],[Step]] =current_step, current_Grad_e,IF(Iterations[[#This Row],[Step]] &gt; current_step, "",Iterations[[#This Row],[Grad_e]]))</f>
        <v/>
      </c>
    </row>
    <row r="445" spans="6:18" x14ac:dyDescent="0.3">
      <c r="F445" s="2">
        <f t="shared" ref="F445:F508" si="9">F444+1</f>
        <v>428</v>
      </c>
      <c r="G445" s="2" t="str">
        <f>IF(Iterations[[#This Row],[Step]] =current_step, current_a,IF(Iterations[[#This Row],[Step]] &gt; current_step, "",Iterations[[#This Row],[a]]))</f>
        <v/>
      </c>
      <c r="H445" s="2" t="str">
        <f>IF(Iterations[[#This Row],[Step]] =current_step, current_b,IF(Iterations[[#This Row],[Step]] &gt; current_step, "",Iterations[[#This Row],[b]]))</f>
        <v/>
      </c>
      <c r="I445" s="2" t="str">
        <f>IF(Iterations[[#This Row],[Step]] =current_step, current_c,IF(Iterations[[#This Row],[Step]] &gt; current_step, "",Iterations[[#This Row],[c]]))</f>
        <v/>
      </c>
      <c r="J445" s="2" t="str">
        <f>IF(Iterations[[#This Row],[Step]] =current_step, current_d,IF(Iterations[[#This Row],[Step]] &gt; current_step, "",Iterations[[#This Row],[d]]))</f>
        <v/>
      </c>
      <c r="K445" s="2" t="str">
        <f>IF(Iterations[[#This Row],[Step]] =current_step, current_e,IF(Iterations[[#This Row],[Step]] &gt; current_step, "",Iterations[[#This Row],[e]]))</f>
        <v/>
      </c>
      <c r="L445" s="2" t="str">
        <f>IF(Iterations[[#This Row],[Step]] =current_step, current_Total_Loss,IF(Iterations[[#This Row],[Step]] &gt; current_step, "",Iterations[[#This Row],[Total Loss]]))</f>
        <v/>
      </c>
      <c r="M445" s="6" t="s">
        <v>27</v>
      </c>
      <c r="N445" s="2" t="str">
        <f>IF(Iterations[[#This Row],[Step]] =current_step, current_Grad_a,IF(Iterations[[#This Row],[Step]] &gt; current_step, "",Iterations[[#This Row],[Grad_a]]))</f>
        <v/>
      </c>
      <c r="O445" s="2" t="str">
        <f>IF(Iterations[[#This Row],[Step]] =current_step, current_Grad_b,IF(Iterations[[#This Row],[Step]] &gt; current_step, "",Iterations[[#This Row],[Grad_b]]))</f>
        <v/>
      </c>
      <c r="P445" s="2" t="str">
        <f>IF(Iterations[[#This Row],[Step]] =current_step, current_Grad_c,IF(Iterations[[#This Row],[Step]] &gt; current_step, "",Iterations[[#This Row],[Grad_c]]))</f>
        <v/>
      </c>
      <c r="Q445" s="2" t="str">
        <f>IF(Iterations[[#This Row],[Step]] =current_step, current_Grad_d,IF(Iterations[[#This Row],[Step]] &gt; current_step, "",Iterations[[#This Row],[Grad_d]]))</f>
        <v/>
      </c>
      <c r="R445" s="2" t="str">
        <f>IF(Iterations[[#This Row],[Step]] =current_step, current_Grad_e,IF(Iterations[[#This Row],[Step]] &gt; current_step, "",Iterations[[#This Row],[Grad_e]]))</f>
        <v/>
      </c>
    </row>
    <row r="446" spans="6:18" x14ac:dyDescent="0.3">
      <c r="F446" s="2">
        <f t="shared" si="9"/>
        <v>429</v>
      </c>
      <c r="G446" s="2" t="str">
        <f>IF(Iterations[[#This Row],[Step]] =current_step, current_a,IF(Iterations[[#This Row],[Step]] &gt; current_step, "",Iterations[[#This Row],[a]]))</f>
        <v/>
      </c>
      <c r="H446" s="2" t="str">
        <f>IF(Iterations[[#This Row],[Step]] =current_step, current_b,IF(Iterations[[#This Row],[Step]] &gt; current_step, "",Iterations[[#This Row],[b]]))</f>
        <v/>
      </c>
      <c r="I446" s="2" t="str">
        <f>IF(Iterations[[#This Row],[Step]] =current_step, current_c,IF(Iterations[[#This Row],[Step]] &gt; current_step, "",Iterations[[#This Row],[c]]))</f>
        <v/>
      </c>
      <c r="J446" s="2" t="str">
        <f>IF(Iterations[[#This Row],[Step]] =current_step, current_d,IF(Iterations[[#This Row],[Step]] &gt; current_step, "",Iterations[[#This Row],[d]]))</f>
        <v/>
      </c>
      <c r="K446" s="2" t="str">
        <f>IF(Iterations[[#This Row],[Step]] =current_step, current_e,IF(Iterations[[#This Row],[Step]] &gt; current_step, "",Iterations[[#This Row],[e]]))</f>
        <v/>
      </c>
      <c r="L446" s="2" t="str">
        <f>IF(Iterations[[#This Row],[Step]] =current_step, current_Total_Loss,IF(Iterations[[#This Row],[Step]] &gt; current_step, "",Iterations[[#This Row],[Total Loss]]))</f>
        <v/>
      </c>
      <c r="M446" s="6" t="s">
        <v>27</v>
      </c>
      <c r="N446" s="2" t="str">
        <f>IF(Iterations[[#This Row],[Step]] =current_step, current_Grad_a,IF(Iterations[[#This Row],[Step]] &gt; current_step, "",Iterations[[#This Row],[Grad_a]]))</f>
        <v/>
      </c>
      <c r="O446" s="2" t="str">
        <f>IF(Iterations[[#This Row],[Step]] =current_step, current_Grad_b,IF(Iterations[[#This Row],[Step]] &gt; current_step, "",Iterations[[#This Row],[Grad_b]]))</f>
        <v/>
      </c>
      <c r="P446" s="2" t="str">
        <f>IF(Iterations[[#This Row],[Step]] =current_step, current_Grad_c,IF(Iterations[[#This Row],[Step]] &gt; current_step, "",Iterations[[#This Row],[Grad_c]]))</f>
        <v/>
      </c>
      <c r="Q446" s="2" t="str">
        <f>IF(Iterations[[#This Row],[Step]] =current_step, current_Grad_d,IF(Iterations[[#This Row],[Step]] &gt; current_step, "",Iterations[[#This Row],[Grad_d]]))</f>
        <v/>
      </c>
      <c r="R446" s="2" t="str">
        <f>IF(Iterations[[#This Row],[Step]] =current_step, current_Grad_e,IF(Iterations[[#This Row],[Step]] &gt; current_step, "",Iterations[[#This Row],[Grad_e]]))</f>
        <v/>
      </c>
    </row>
    <row r="447" spans="6:18" x14ac:dyDescent="0.3">
      <c r="F447" s="2">
        <f t="shared" si="9"/>
        <v>430</v>
      </c>
      <c r="G447" s="2" t="str">
        <f>IF(Iterations[[#This Row],[Step]] =current_step, current_a,IF(Iterations[[#This Row],[Step]] &gt; current_step, "",Iterations[[#This Row],[a]]))</f>
        <v/>
      </c>
      <c r="H447" s="2" t="str">
        <f>IF(Iterations[[#This Row],[Step]] =current_step, current_b,IF(Iterations[[#This Row],[Step]] &gt; current_step, "",Iterations[[#This Row],[b]]))</f>
        <v/>
      </c>
      <c r="I447" s="2" t="str">
        <f>IF(Iterations[[#This Row],[Step]] =current_step, current_c,IF(Iterations[[#This Row],[Step]] &gt; current_step, "",Iterations[[#This Row],[c]]))</f>
        <v/>
      </c>
      <c r="J447" s="2" t="str">
        <f>IF(Iterations[[#This Row],[Step]] =current_step, current_d,IF(Iterations[[#This Row],[Step]] &gt; current_step, "",Iterations[[#This Row],[d]]))</f>
        <v/>
      </c>
      <c r="K447" s="2" t="str">
        <f>IF(Iterations[[#This Row],[Step]] =current_step, current_e,IF(Iterations[[#This Row],[Step]] &gt; current_step, "",Iterations[[#This Row],[e]]))</f>
        <v/>
      </c>
      <c r="L447" s="2" t="str">
        <f>IF(Iterations[[#This Row],[Step]] =current_step, current_Total_Loss,IF(Iterations[[#This Row],[Step]] &gt; current_step, "",Iterations[[#This Row],[Total Loss]]))</f>
        <v/>
      </c>
      <c r="M447" s="6" t="s">
        <v>27</v>
      </c>
      <c r="N447" s="2" t="str">
        <f>IF(Iterations[[#This Row],[Step]] =current_step, current_Grad_a,IF(Iterations[[#This Row],[Step]] &gt; current_step, "",Iterations[[#This Row],[Grad_a]]))</f>
        <v/>
      </c>
      <c r="O447" s="2" t="str">
        <f>IF(Iterations[[#This Row],[Step]] =current_step, current_Grad_b,IF(Iterations[[#This Row],[Step]] &gt; current_step, "",Iterations[[#This Row],[Grad_b]]))</f>
        <v/>
      </c>
      <c r="P447" s="2" t="str">
        <f>IF(Iterations[[#This Row],[Step]] =current_step, current_Grad_c,IF(Iterations[[#This Row],[Step]] &gt; current_step, "",Iterations[[#This Row],[Grad_c]]))</f>
        <v/>
      </c>
      <c r="Q447" s="2" t="str">
        <f>IF(Iterations[[#This Row],[Step]] =current_step, current_Grad_d,IF(Iterations[[#This Row],[Step]] &gt; current_step, "",Iterations[[#This Row],[Grad_d]]))</f>
        <v/>
      </c>
      <c r="R447" s="2" t="str">
        <f>IF(Iterations[[#This Row],[Step]] =current_step, current_Grad_e,IF(Iterations[[#This Row],[Step]] &gt; current_step, "",Iterations[[#This Row],[Grad_e]]))</f>
        <v/>
      </c>
    </row>
    <row r="448" spans="6:18" x14ac:dyDescent="0.3">
      <c r="F448" s="2">
        <f t="shared" si="9"/>
        <v>431</v>
      </c>
      <c r="G448" s="2" t="str">
        <f>IF(Iterations[[#This Row],[Step]] =current_step, current_a,IF(Iterations[[#This Row],[Step]] &gt; current_step, "",Iterations[[#This Row],[a]]))</f>
        <v/>
      </c>
      <c r="H448" s="2" t="str">
        <f>IF(Iterations[[#This Row],[Step]] =current_step, current_b,IF(Iterations[[#This Row],[Step]] &gt; current_step, "",Iterations[[#This Row],[b]]))</f>
        <v/>
      </c>
      <c r="I448" s="2" t="str">
        <f>IF(Iterations[[#This Row],[Step]] =current_step, current_c,IF(Iterations[[#This Row],[Step]] &gt; current_step, "",Iterations[[#This Row],[c]]))</f>
        <v/>
      </c>
      <c r="J448" s="2" t="str">
        <f>IF(Iterations[[#This Row],[Step]] =current_step, current_d,IF(Iterations[[#This Row],[Step]] &gt; current_step, "",Iterations[[#This Row],[d]]))</f>
        <v/>
      </c>
      <c r="K448" s="2" t="str">
        <f>IF(Iterations[[#This Row],[Step]] =current_step, current_e,IF(Iterations[[#This Row],[Step]] &gt; current_step, "",Iterations[[#This Row],[e]]))</f>
        <v/>
      </c>
      <c r="L448" s="2" t="str">
        <f>IF(Iterations[[#This Row],[Step]] =current_step, current_Total_Loss,IF(Iterations[[#This Row],[Step]] &gt; current_step, "",Iterations[[#This Row],[Total Loss]]))</f>
        <v/>
      </c>
      <c r="M448" s="6" t="s">
        <v>27</v>
      </c>
      <c r="N448" s="2" t="str">
        <f>IF(Iterations[[#This Row],[Step]] =current_step, current_Grad_a,IF(Iterations[[#This Row],[Step]] &gt; current_step, "",Iterations[[#This Row],[Grad_a]]))</f>
        <v/>
      </c>
      <c r="O448" s="2" t="str">
        <f>IF(Iterations[[#This Row],[Step]] =current_step, current_Grad_b,IF(Iterations[[#This Row],[Step]] &gt; current_step, "",Iterations[[#This Row],[Grad_b]]))</f>
        <v/>
      </c>
      <c r="P448" s="2" t="str">
        <f>IF(Iterations[[#This Row],[Step]] =current_step, current_Grad_c,IF(Iterations[[#This Row],[Step]] &gt; current_step, "",Iterations[[#This Row],[Grad_c]]))</f>
        <v/>
      </c>
      <c r="Q448" s="2" t="str">
        <f>IF(Iterations[[#This Row],[Step]] =current_step, current_Grad_d,IF(Iterations[[#This Row],[Step]] &gt; current_step, "",Iterations[[#This Row],[Grad_d]]))</f>
        <v/>
      </c>
      <c r="R448" s="2" t="str">
        <f>IF(Iterations[[#This Row],[Step]] =current_step, current_Grad_e,IF(Iterations[[#This Row],[Step]] &gt; current_step, "",Iterations[[#This Row],[Grad_e]]))</f>
        <v/>
      </c>
    </row>
    <row r="449" spans="6:18" x14ac:dyDescent="0.3">
      <c r="F449" s="2">
        <f t="shared" si="9"/>
        <v>432</v>
      </c>
      <c r="G449" s="2" t="str">
        <f>IF(Iterations[[#This Row],[Step]] =current_step, current_a,IF(Iterations[[#This Row],[Step]] &gt; current_step, "",Iterations[[#This Row],[a]]))</f>
        <v/>
      </c>
      <c r="H449" s="2" t="str">
        <f>IF(Iterations[[#This Row],[Step]] =current_step, current_b,IF(Iterations[[#This Row],[Step]] &gt; current_step, "",Iterations[[#This Row],[b]]))</f>
        <v/>
      </c>
      <c r="I449" s="2" t="str">
        <f>IF(Iterations[[#This Row],[Step]] =current_step, current_c,IF(Iterations[[#This Row],[Step]] &gt; current_step, "",Iterations[[#This Row],[c]]))</f>
        <v/>
      </c>
      <c r="J449" s="2" t="str">
        <f>IF(Iterations[[#This Row],[Step]] =current_step, current_d,IF(Iterations[[#This Row],[Step]] &gt; current_step, "",Iterations[[#This Row],[d]]))</f>
        <v/>
      </c>
      <c r="K449" s="2" t="str">
        <f>IF(Iterations[[#This Row],[Step]] =current_step, current_e,IF(Iterations[[#This Row],[Step]] &gt; current_step, "",Iterations[[#This Row],[e]]))</f>
        <v/>
      </c>
      <c r="L449" s="2" t="str">
        <f>IF(Iterations[[#This Row],[Step]] =current_step, current_Total_Loss,IF(Iterations[[#This Row],[Step]] &gt; current_step, "",Iterations[[#This Row],[Total Loss]]))</f>
        <v/>
      </c>
      <c r="M449" s="6" t="s">
        <v>27</v>
      </c>
      <c r="N449" s="2" t="str">
        <f>IF(Iterations[[#This Row],[Step]] =current_step, current_Grad_a,IF(Iterations[[#This Row],[Step]] &gt; current_step, "",Iterations[[#This Row],[Grad_a]]))</f>
        <v/>
      </c>
      <c r="O449" s="2" t="str">
        <f>IF(Iterations[[#This Row],[Step]] =current_step, current_Grad_b,IF(Iterations[[#This Row],[Step]] &gt; current_step, "",Iterations[[#This Row],[Grad_b]]))</f>
        <v/>
      </c>
      <c r="P449" s="2" t="str">
        <f>IF(Iterations[[#This Row],[Step]] =current_step, current_Grad_c,IF(Iterations[[#This Row],[Step]] &gt; current_step, "",Iterations[[#This Row],[Grad_c]]))</f>
        <v/>
      </c>
      <c r="Q449" s="2" t="str">
        <f>IF(Iterations[[#This Row],[Step]] =current_step, current_Grad_d,IF(Iterations[[#This Row],[Step]] &gt; current_step, "",Iterations[[#This Row],[Grad_d]]))</f>
        <v/>
      </c>
      <c r="R449" s="2" t="str">
        <f>IF(Iterations[[#This Row],[Step]] =current_step, current_Grad_e,IF(Iterations[[#This Row],[Step]] &gt; current_step, "",Iterations[[#This Row],[Grad_e]]))</f>
        <v/>
      </c>
    </row>
    <row r="450" spans="6:18" x14ac:dyDescent="0.3">
      <c r="F450" s="2">
        <f t="shared" si="9"/>
        <v>433</v>
      </c>
      <c r="G450" s="2" t="str">
        <f>IF(Iterations[[#This Row],[Step]] =current_step, current_a,IF(Iterations[[#This Row],[Step]] &gt; current_step, "",Iterations[[#This Row],[a]]))</f>
        <v/>
      </c>
      <c r="H450" s="2" t="str">
        <f>IF(Iterations[[#This Row],[Step]] =current_step, current_b,IF(Iterations[[#This Row],[Step]] &gt; current_step, "",Iterations[[#This Row],[b]]))</f>
        <v/>
      </c>
      <c r="I450" s="2" t="str">
        <f>IF(Iterations[[#This Row],[Step]] =current_step, current_c,IF(Iterations[[#This Row],[Step]] &gt; current_step, "",Iterations[[#This Row],[c]]))</f>
        <v/>
      </c>
      <c r="J450" s="2" t="str">
        <f>IF(Iterations[[#This Row],[Step]] =current_step, current_d,IF(Iterations[[#This Row],[Step]] &gt; current_step, "",Iterations[[#This Row],[d]]))</f>
        <v/>
      </c>
      <c r="K450" s="2" t="str">
        <f>IF(Iterations[[#This Row],[Step]] =current_step, current_e,IF(Iterations[[#This Row],[Step]] &gt; current_step, "",Iterations[[#This Row],[e]]))</f>
        <v/>
      </c>
      <c r="L450" s="2" t="str">
        <f>IF(Iterations[[#This Row],[Step]] =current_step, current_Total_Loss,IF(Iterations[[#This Row],[Step]] &gt; current_step, "",Iterations[[#This Row],[Total Loss]]))</f>
        <v/>
      </c>
      <c r="M450" s="6" t="s">
        <v>27</v>
      </c>
      <c r="N450" s="2" t="str">
        <f>IF(Iterations[[#This Row],[Step]] =current_step, current_Grad_a,IF(Iterations[[#This Row],[Step]] &gt; current_step, "",Iterations[[#This Row],[Grad_a]]))</f>
        <v/>
      </c>
      <c r="O450" s="2" t="str">
        <f>IF(Iterations[[#This Row],[Step]] =current_step, current_Grad_b,IF(Iterations[[#This Row],[Step]] &gt; current_step, "",Iterations[[#This Row],[Grad_b]]))</f>
        <v/>
      </c>
      <c r="P450" s="2" t="str">
        <f>IF(Iterations[[#This Row],[Step]] =current_step, current_Grad_c,IF(Iterations[[#This Row],[Step]] &gt; current_step, "",Iterations[[#This Row],[Grad_c]]))</f>
        <v/>
      </c>
      <c r="Q450" s="2" t="str">
        <f>IF(Iterations[[#This Row],[Step]] =current_step, current_Grad_d,IF(Iterations[[#This Row],[Step]] &gt; current_step, "",Iterations[[#This Row],[Grad_d]]))</f>
        <v/>
      </c>
      <c r="R450" s="2" t="str">
        <f>IF(Iterations[[#This Row],[Step]] =current_step, current_Grad_e,IF(Iterations[[#This Row],[Step]] &gt; current_step, "",Iterations[[#This Row],[Grad_e]]))</f>
        <v/>
      </c>
    </row>
    <row r="451" spans="6:18" x14ac:dyDescent="0.3">
      <c r="F451" s="2">
        <f t="shared" si="9"/>
        <v>434</v>
      </c>
      <c r="G451" s="2" t="str">
        <f>IF(Iterations[[#This Row],[Step]] =current_step, current_a,IF(Iterations[[#This Row],[Step]] &gt; current_step, "",Iterations[[#This Row],[a]]))</f>
        <v/>
      </c>
      <c r="H451" s="2" t="str">
        <f>IF(Iterations[[#This Row],[Step]] =current_step, current_b,IF(Iterations[[#This Row],[Step]] &gt; current_step, "",Iterations[[#This Row],[b]]))</f>
        <v/>
      </c>
      <c r="I451" s="2" t="str">
        <f>IF(Iterations[[#This Row],[Step]] =current_step, current_c,IF(Iterations[[#This Row],[Step]] &gt; current_step, "",Iterations[[#This Row],[c]]))</f>
        <v/>
      </c>
      <c r="J451" s="2" t="str">
        <f>IF(Iterations[[#This Row],[Step]] =current_step, current_d,IF(Iterations[[#This Row],[Step]] &gt; current_step, "",Iterations[[#This Row],[d]]))</f>
        <v/>
      </c>
      <c r="K451" s="2" t="str">
        <f>IF(Iterations[[#This Row],[Step]] =current_step, current_e,IF(Iterations[[#This Row],[Step]] &gt; current_step, "",Iterations[[#This Row],[e]]))</f>
        <v/>
      </c>
      <c r="L451" s="2" t="str">
        <f>IF(Iterations[[#This Row],[Step]] =current_step, current_Total_Loss,IF(Iterations[[#This Row],[Step]] &gt; current_step, "",Iterations[[#This Row],[Total Loss]]))</f>
        <v/>
      </c>
      <c r="M451" s="6" t="s">
        <v>27</v>
      </c>
      <c r="N451" s="2" t="str">
        <f>IF(Iterations[[#This Row],[Step]] =current_step, current_Grad_a,IF(Iterations[[#This Row],[Step]] &gt; current_step, "",Iterations[[#This Row],[Grad_a]]))</f>
        <v/>
      </c>
      <c r="O451" s="2" t="str">
        <f>IF(Iterations[[#This Row],[Step]] =current_step, current_Grad_b,IF(Iterations[[#This Row],[Step]] &gt; current_step, "",Iterations[[#This Row],[Grad_b]]))</f>
        <v/>
      </c>
      <c r="P451" s="2" t="str">
        <f>IF(Iterations[[#This Row],[Step]] =current_step, current_Grad_c,IF(Iterations[[#This Row],[Step]] &gt; current_step, "",Iterations[[#This Row],[Grad_c]]))</f>
        <v/>
      </c>
      <c r="Q451" s="2" t="str">
        <f>IF(Iterations[[#This Row],[Step]] =current_step, current_Grad_d,IF(Iterations[[#This Row],[Step]] &gt; current_step, "",Iterations[[#This Row],[Grad_d]]))</f>
        <v/>
      </c>
      <c r="R451" s="2" t="str">
        <f>IF(Iterations[[#This Row],[Step]] =current_step, current_Grad_e,IF(Iterations[[#This Row],[Step]] &gt; current_step, "",Iterations[[#This Row],[Grad_e]]))</f>
        <v/>
      </c>
    </row>
    <row r="452" spans="6:18" x14ac:dyDescent="0.3">
      <c r="F452" s="2">
        <f t="shared" si="9"/>
        <v>435</v>
      </c>
      <c r="G452" s="2" t="str">
        <f>IF(Iterations[[#This Row],[Step]] =current_step, current_a,IF(Iterations[[#This Row],[Step]] &gt; current_step, "",Iterations[[#This Row],[a]]))</f>
        <v/>
      </c>
      <c r="H452" s="2" t="str">
        <f>IF(Iterations[[#This Row],[Step]] =current_step, current_b,IF(Iterations[[#This Row],[Step]] &gt; current_step, "",Iterations[[#This Row],[b]]))</f>
        <v/>
      </c>
      <c r="I452" s="2" t="str">
        <f>IF(Iterations[[#This Row],[Step]] =current_step, current_c,IF(Iterations[[#This Row],[Step]] &gt; current_step, "",Iterations[[#This Row],[c]]))</f>
        <v/>
      </c>
      <c r="J452" s="2" t="str">
        <f>IF(Iterations[[#This Row],[Step]] =current_step, current_d,IF(Iterations[[#This Row],[Step]] &gt; current_step, "",Iterations[[#This Row],[d]]))</f>
        <v/>
      </c>
      <c r="K452" s="2" t="str">
        <f>IF(Iterations[[#This Row],[Step]] =current_step, current_e,IF(Iterations[[#This Row],[Step]] &gt; current_step, "",Iterations[[#This Row],[e]]))</f>
        <v/>
      </c>
      <c r="L452" s="2" t="str">
        <f>IF(Iterations[[#This Row],[Step]] =current_step, current_Total_Loss,IF(Iterations[[#This Row],[Step]] &gt; current_step, "",Iterations[[#This Row],[Total Loss]]))</f>
        <v/>
      </c>
      <c r="M452" s="6" t="s">
        <v>27</v>
      </c>
      <c r="N452" s="2" t="str">
        <f>IF(Iterations[[#This Row],[Step]] =current_step, current_Grad_a,IF(Iterations[[#This Row],[Step]] &gt; current_step, "",Iterations[[#This Row],[Grad_a]]))</f>
        <v/>
      </c>
      <c r="O452" s="2" t="str">
        <f>IF(Iterations[[#This Row],[Step]] =current_step, current_Grad_b,IF(Iterations[[#This Row],[Step]] &gt; current_step, "",Iterations[[#This Row],[Grad_b]]))</f>
        <v/>
      </c>
      <c r="P452" s="2" t="str">
        <f>IF(Iterations[[#This Row],[Step]] =current_step, current_Grad_c,IF(Iterations[[#This Row],[Step]] &gt; current_step, "",Iterations[[#This Row],[Grad_c]]))</f>
        <v/>
      </c>
      <c r="Q452" s="2" t="str">
        <f>IF(Iterations[[#This Row],[Step]] =current_step, current_Grad_d,IF(Iterations[[#This Row],[Step]] &gt; current_step, "",Iterations[[#This Row],[Grad_d]]))</f>
        <v/>
      </c>
      <c r="R452" s="2" t="str">
        <f>IF(Iterations[[#This Row],[Step]] =current_step, current_Grad_e,IF(Iterations[[#This Row],[Step]] &gt; current_step, "",Iterations[[#This Row],[Grad_e]]))</f>
        <v/>
      </c>
    </row>
    <row r="453" spans="6:18" x14ac:dyDescent="0.3">
      <c r="F453" s="2">
        <f t="shared" si="9"/>
        <v>436</v>
      </c>
      <c r="G453" s="2" t="str">
        <f>IF(Iterations[[#This Row],[Step]] =current_step, current_a,IF(Iterations[[#This Row],[Step]] &gt; current_step, "",Iterations[[#This Row],[a]]))</f>
        <v/>
      </c>
      <c r="H453" s="2" t="str">
        <f>IF(Iterations[[#This Row],[Step]] =current_step, current_b,IF(Iterations[[#This Row],[Step]] &gt; current_step, "",Iterations[[#This Row],[b]]))</f>
        <v/>
      </c>
      <c r="I453" s="2" t="str">
        <f>IF(Iterations[[#This Row],[Step]] =current_step, current_c,IF(Iterations[[#This Row],[Step]] &gt; current_step, "",Iterations[[#This Row],[c]]))</f>
        <v/>
      </c>
      <c r="J453" s="2" t="str">
        <f>IF(Iterations[[#This Row],[Step]] =current_step, current_d,IF(Iterations[[#This Row],[Step]] &gt; current_step, "",Iterations[[#This Row],[d]]))</f>
        <v/>
      </c>
      <c r="K453" s="2" t="str">
        <f>IF(Iterations[[#This Row],[Step]] =current_step, current_e,IF(Iterations[[#This Row],[Step]] &gt; current_step, "",Iterations[[#This Row],[e]]))</f>
        <v/>
      </c>
      <c r="L453" s="2" t="str">
        <f>IF(Iterations[[#This Row],[Step]] =current_step, current_Total_Loss,IF(Iterations[[#This Row],[Step]] &gt; current_step, "",Iterations[[#This Row],[Total Loss]]))</f>
        <v/>
      </c>
      <c r="M453" s="6" t="s">
        <v>27</v>
      </c>
      <c r="N453" s="2" t="str">
        <f>IF(Iterations[[#This Row],[Step]] =current_step, current_Grad_a,IF(Iterations[[#This Row],[Step]] &gt; current_step, "",Iterations[[#This Row],[Grad_a]]))</f>
        <v/>
      </c>
      <c r="O453" s="2" t="str">
        <f>IF(Iterations[[#This Row],[Step]] =current_step, current_Grad_b,IF(Iterations[[#This Row],[Step]] &gt; current_step, "",Iterations[[#This Row],[Grad_b]]))</f>
        <v/>
      </c>
      <c r="P453" s="2" t="str">
        <f>IF(Iterations[[#This Row],[Step]] =current_step, current_Grad_c,IF(Iterations[[#This Row],[Step]] &gt; current_step, "",Iterations[[#This Row],[Grad_c]]))</f>
        <v/>
      </c>
      <c r="Q453" s="2" t="str">
        <f>IF(Iterations[[#This Row],[Step]] =current_step, current_Grad_d,IF(Iterations[[#This Row],[Step]] &gt; current_step, "",Iterations[[#This Row],[Grad_d]]))</f>
        <v/>
      </c>
      <c r="R453" s="2" t="str">
        <f>IF(Iterations[[#This Row],[Step]] =current_step, current_Grad_e,IF(Iterations[[#This Row],[Step]] &gt; current_step, "",Iterations[[#This Row],[Grad_e]]))</f>
        <v/>
      </c>
    </row>
    <row r="454" spans="6:18" x14ac:dyDescent="0.3">
      <c r="F454" s="2">
        <f t="shared" si="9"/>
        <v>437</v>
      </c>
      <c r="G454" s="2" t="str">
        <f>IF(Iterations[[#This Row],[Step]] =current_step, current_a,IF(Iterations[[#This Row],[Step]] &gt; current_step, "",Iterations[[#This Row],[a]]))</f>
        <v/>
      </c>
      <c r="H454" s="2" t="str">
        <f>IF(Iterations[[#This Row],[Step]] =current_step, current_b,IF(Iterations[[#This Row],[Step]] &gt; current_step, "",Iterations[[#This Row],[b]]))</f>
        <v/>
      </c>
      <c r="I454" s="2" t="str">
        <f>IF(Iterations[[#This Row],[Step]] =current_step, current_c,IF(Iterations[[#This Row],[Step]] &gt; current_step, "",Iterations[[#This Row],[c]]))</f>
        <v/>
      </c>
      <c r="J454" s="2" t="str">
        <f>IF(Iterations[[#This Row],[Step]] =current_step, current_d,IF(Iterations[[#This Row],[Step]] &gt; current_step, "",Iterations[[#This Row],[d]]))</f>
        <v/>
      </c>
      <c r="K454" s="2" t="str">
        <f>IF(Iterations[[#This Row],[Step]] =current_step, current_e,IF(Iterations[[#This Row],[Step]] &gt; current_step, "",Iterations[[#This Row],[e]]))</f>
        <v/>
      </c>
      <c r="L454" s="2" t="str">
        <f>IF(Iterations[[#This Row],[Step]] =current_step, current_Total_Loss,IF(Iterations[[#This Row],[Step]] &gt; current_step, "",Iterations[[#This Row],[Total Loss]]))</f>
        <v/>
      </c>
      <c r="M454" s="6" t="s">
        <v>27</v>
      </c>
      <c r="N454" s="2" t="str">
        <f>IF(Iterations[[#This Row],[Step]] =current_step, current_Grad_a,IF(Iterations[[#This Row],[Step]] &gt; current_step, "",Iterations[[#This Row],[Grad_a]]))</f>
        <v/>
      </c>
      <c r="O454" s="2" t="str">
        <f>IF(Iterations[[#This Row],[Step]] =current_step, current_Grad_b,IF(Iterations[[#This Row],[Step]] &gt; current_step, "",Iterations[[#This Row],[Grad_b]]))</f>
        <v/>
      </c>
      <c r="P454" s="2" t="str">
        <f>IF(Iterations[[#This Row],[Step]] =current_step, current_Grad_c,IF(Iterations[[#This Row],[Step]] &gt; current_step, "",Iterations[[#This Row],[Grad_c]]))</f>
        <v/>
      </c>
      <c r="Q454" s="2" t="str">
        <f>IF(Iterations[[#This Row],[Step]] =current_step, current_Grad_d,IF(Iterations[[#This Row],[Step]] &gt; current_step, "",Iterations[[#This Row],[Grad_d]]))</f>
        <v/>
      </c>
      <c r="R454" s="2" t="str">
        <f>IF(Iterations[[#This Row],[Step]] =current_step, current_Grad_e,IF(Iterations[[#This Row],[Step]] &gt; current_step, "",Iterations[[#This Row],[Grad_e]]))</f>
        <v/>
      </c>
    </row>
    <row r="455" spans="6:18" x14ac:dyDescent="0.3">
      <c r="F455" s="2">
        <f t="shared" si="9"/>
        <v>438</v>
      </c>
      <c r="G455" s="2" t="str">
        <f>IF(Iterations[[#This Row],[Step]] =current_step, current_a,IF(Iterations[[#This Row],[Step]] &gt; current_step, "",Iterations[[#This Row],[a]]))</f>
        <v/>
      </c>
      <c r="H455" s="2" t="str">
        <f>IF(Iterations[[#This Row],[Step]] =current_step, current_b,IF(Iterations[[#This Row],[Step]] &gt; current_step, "",Iterations[[#This Row],[b]]))</f>
        <v/>
      </c>
      <c r="I455" s="2" t="str">
        <f>IF(Iterations[[#This Row],[Step]] =current_step, current_c,IF(Iterations[[#This Row],[Step]] &gt; current_step, "",Iterations[[#This Row],[c]]))</f>
        <v/>
      </c>
      <c r="J455" s="2" t="str">
        <f>IF(Iterations[[#This Row],[Step]] =current_step, current_d,IF(Iterations[[#This Row],[Step]] &gt; current_step, "",Iterations[[#This Row],[d]]))</f>
        <v/>
      </c>
      <c r="K455" s="2" t="str">
        <f>IF(Iterations[[#This Row],[Step]] =current_step, current_e,IF(Iterations[[#This Row],[Step]] &gt; current_step, "",Iterations[[#This Row],[e]]))</f>
        <v/>
      </c>
      <c r="L455" s="2" t="str">
        <f>IF(Iterations[[#This Row],[Step]] =current_step, current_Total_Loss,IF(Iterations[[#This Row],[Step]] &gt; current_step, "",Iterations[[#This Row],[Total Loss]]))</f>
        <v/>
      </c>
      <c r="M455" s="6" t="s">
        <v>27</v>
      </c>
      <c r="N455" s="2" t="str">
        <f>IF(Iterations[[#This Row],[Step]] =current_step, current_Grad_a,IF(Iterations[[#This Row],[Step]] &gt; current_step, "",Iterations[[#This Row],[Grad_a]]))</f>
        <v/>
      </c>
      <c r="O455" s="2" t="str">
        <f>IF(Iterations[[#This Row],[Step]] =current_step, current_Grad_b,IF(Iterations[[#This Row],[Step]] &gt; current_step, "",Iterations[[#This Row],[Grad_b]]))</f>
        <v/>
      </c>
      <c r="P455" s="2" t="str">
        <f>IF(Iterations[[#This Row],[Step]] =current_step, current_Grad_c,IF(Iterations[[#This Row],[Step]] &gt; current_step, "",Iterations[[#This Row],[Grad_c]]))</f>
        <v/>
      </c>
      <c r="Q455" s="2" t="str">
        <f>IF(Iterations[[#This Row],[Step]] =current_step, current_Grad_d,IF(Iterations[[#This Row],[Step]] &gt; current_step, "",Iterations[[#This Row],[Grad_d]]))</f>
        <v/>
      </c>
      <c r="R455" s="2" t="str">
        <f>IF(Iterations[[#This Row],[Step]] =current_step, current_Grad_e,IF(Iterations[[#This Row],[Step]] &gt; current_step, "",Iterations[[#This Row],[Grad_e]]))</f>
        <v/>
      </c>
    </row>
    <row r="456" spans="6:18" x14ac:dyDescent="0.3">
      <c r="F456" s="2">
        <f t="shared" si="9"/>
        <v>439</v>
      </c>
      <c r="G456" s="2" t="str">
        <f>IF(Iterations[[#This Row],[Step]] =current_step, current_a,IF(Iterations[[#This Row],[Step]] &gt; current_step, "",Iterations[[#This Row],[a]]))</f>
        <v/>
      </c>
      <c r="H456" s="2" t="str">
        <f>IF(Iterations[[#This Row],[Step]] =current_step, current_b,IF(Iterations[[#This Row],[Step]] &gt; current_step, "",Iterations[[#This Row],[b]]))</f>
        <v/>
      </c>
      <c r="I456" s="2" t="str">
        <f>IF(Iterations[[#This Row],[Step]] =current_step, current_c,IF(Iterations[[#This Row],[Step]] &gt; current_step, "",Iterations[[#This Row],[c]]))</f>
        <v/>
      </c>
      <c r="J456" s="2" t="str">
        <f>IF(Iterations[[#This Row],[Step]] =current_step, current_d,IF(Iterations[[#This Row],[Step]] &gt; current_step, "",Iterations[[#This Row],[d]]))</f>
        <v/>
      </c>
      <c r="K456" s="2" t="str">
        <f>IF(Iterations[[#This Row],[Step]] =current_step, current_e,IF(Iterations[[#This Row],[Step]] &gt; current_step, "",Iterations[[#This Row],[e]]))</f>
        <v/>
      </c>
      <c r="L456" s="2" t="str">
        <f>IF(Iterations[[#This Row],[Step]] =current_step, current_Total_Loss,IF(Iterations[[#This Row],[Step]] &gt; current_step, "",Iterations[[#This Row],[Total Loss]]))</f>
        <v/>
      </c>
      <c r="M456" s="6" t="s">
        <v>27</v>
      </c>
      <c r="N456" s="2" t="str">
        <f>IF(Iterations[[#This Row],[Step]] =current_step, current_Grad_a,IF(Iterations[[#This Row],[Step]] &gt; current_step, "",Iterations[[#This Row],[Grad_a]]))</f>
        <v/>
      </c>
      <c r="O456" s="2" t="str">
        <f>IF(Iterations[[#This Row],[Step]] =current_step, current_Grad_b,IF(Iterations[[#This Row],[Step]] &gt; current_step, "",Iterations[[#This Row],[Grad_b]]))</f>
        <v/>
      </c>
      <c r="P456" s="2" t="str">
        <f>IF(Iterations[[#This Row],[Step]] =current_step, current_Grad_c,IF(Iterations[[#This Row],[Step]] &gt; current_step, "",Iterations[[#This Row],[Grad_c]]))</f>
        <v/>
      </c>
      <c r="Q456" s="2" t="str">
        <f>IF(Iterations[[#This Row],[Step]] =current_step, current_Grad_d,IF(Iterations[[#This Row],[Step]] &gt; current_step, "",Iterations[[#This Row],[Grad_d]]))</f>
        <v/>
      </c>
      <c r="R456" s="2" t="str">
        <f>IF(Iterations[[#This Row],[Step]] =current_step, current_Grad_e,IF(Iterations[[#This Row],[Step]] &gt; current_step, "",Iterations[[#This Row],[Grad_e]]))</f>
        <v/>
      </c>
    </row>
    <row r="457" spans="6:18" x14ac:dyDescent="0.3">
      <c r="F457" s="2">
        <f t="shared" si="9"/>
        <v>440</v>
      </c>
      <c r="G457" s="2" t="str">
        <f>IF(Iterations[[#This Row],[Step]] =current_step, current_a,IF(Iterations[[#This Row],[Step]] &gt; current_step, "",Iterations[[#This Row],[a]]))</f>
        <v/>
      </c>
      <c r="H457" s="2" t="str">
        <f>IF(Iterations[[#This Row],[Step]] =current_step, current_b,IF(Iterations[[#This Row],[Step]] &gt; current_step, "",Iterations[[#This Row],[b]]))</f>
        <v/>
      </c>
      <c r="I457" s="2" t="str">
        <f>IF(Iterations[[#This Row],[Step]] =current_step, current_c,IF(Iterations[[#This Row],[Step]] &gt; current_step, "",Iterations[[#This Row],[c]]))</f>
        <v/>
      </c>
      <c r="J457" s="2" t="str">
        <f>IF(Iterations[[#This Row],[Step]] =current_step, current_d,IF(Iterations[[#This Row],[Step]] &gt; current_step, "",Iterations[[#This Row],[d]]))</f>
        <v/>
      </c>
      <c r="K457" s="2" t="str">
        <f>IF(Iterations[[#This Row],[Step]] =current_step, current_e,IF(Iterations[[#This Row],[Step]] &gt; current_step, "",Iterations[[#This Row],[e]]))</f>
        <v/>
      </c>
      <c r="L457" s="2" t="str">
        <f>IF(Iterations[[#This Row],[Step]] =current_step, current_Total_Loss,IF(Iterations[[#This Row],[Step]] &gt; current_step, "",Iterations[[#This Row],[Total Loss]]))</f>
        <v/>
      </c>
      <c r="M457" s="6" t="s">
        <v>27</v>
      </c>
      <c r="N457" s="2" t="str">
        <f>IF(Iterations[[#This Row],[Step]] =current_step, current_Grad_a,IF(Iterations[[#This Row],[Step]] &gt; current_step, "",Iterations[[#This Row],[Grad_a]]))</f>
        <v/>
      </c>
      <c r="O457" s="2" t="str">
        <f>IF(Iterations[[#This Row],[Step]] =current_step, current_Grad_b,IF(Iterations[[#This Row],[Step]] &gt; current_step, "",Iterations[[#This Row],[Grad_b]]))</f>
        <v/>
      </c>
      <c r="P457" s="2" t="str">
        <f>IF(Iterations[[#This Row],[Step]] =current_step, current_Grad_c,IF(Iterations[[#This Row],[Step]] &gt; current_step, "",Iterations[[#This Row],[Grad_c]]))</f>
        <v/>
      </c>
      <c r="Q457" s="2" t="str">
        <f>IF(Iterations[[#This Row],[Step]] =current_step, current_Grad_d,IF(Iterations[[#This Row],[Step]] &gt; current_step, "",Iterations[[#This Row],[Grad_d]]))</f>
        <v/>
      </c>
      <c r="R457" s="2" t="str">
        <f>IF(Iterations[[#This Row],[Step]] =current_step, current_Grad_e,IF(Iterations[[#This Row],[Step]] &gt; current_step, "",Iterations[[#This Row],[Grad_e]]))</f>
        <v/>
      </c>
    </row>
    <row r="458" spans="6:18" x14ac:dyDescent="0.3">
      <c r="F458" s="2">
        <f t="shared" si="9"/>
        <v>441</v>
      </c>
      <c r="G458" s="2" t="str">
        <f>IF(Iterations[[#This Row],[Step]] =current_step, current_a,IF(Iterations[[#This Row],[Step]] &gt; current_step, "",Iterations[[#This Row],[a]]))</f>
        <v/>
      </c>
      <c r="H458" s="2" t="str">
        <f>IF(Iterations[[#This Row],[Step]] =current_step, current_b,IF(Iterations[[#This Row],[Step]] &gt; current_step, "",Iterations[[#This Row],[b]]))</f>
        <v/>
      </c>
      <c r="I458" s="2" t="str">
        <f>IF(Iterations[[#This Row],[Step]] =current_step, current_c,IF(Iterations[[#This Row],[Step]] &gt; current_step, "",Iterations[[#This Row],[c]]))</f>
        <v/>
      </c>
      <c r="J458" s="2" t="str">
        <f>IF(Iterations[[#This Row],[Step]] =current_step, current_d,IF(Iterations[[#This Row],[Step]] &gt; current_step, "",Iterations[[#This Row],[d]]))</f>
        <v/>
      </c>
      <c r="K458" s="2" t="str">
        <f>IF(Iterations[[#This Row],[Step]] =current_step, current_e,IF(Iterations[[#This Row],[Step]] &gt; current_step, "",Iterations[[#This Row],[e]]))</f>
        <v/>
      </c>
      <c r="L458" s="2" t="str">
        <f>IF(Iterations[[#This Row],[Step]] =current_step, current_Total_Loss,IF(Iterations[[#This Row],[Step]] &gt; current_step, "",Iterations[[#This Row],[Total Loss]]))</f>
        <v/>
      </c>
      <c r="M458" s="6" t="s">
        <v>27</v>
      </c>
      <c r="N458" s="2" t="str">
        <f>IF(Iterations[[#This Row],[Step]] =current_step, current_Grad_a,IF(Iterations[[#This Row],[Step]] &gt; current_step, "",Iterations[[#This Row],[Grad_a]]))</f>
        <v/>
      </c>
      <c r="O458" s="2" t="str">
        <f>IF(Iterations[[#This Row],[Step]] =current_step, current_Grad_b,IF(Iterations[[#This Row],[Step]] &gt; current_step, "",Iterations[[#This Row],[Grad_b]]))</f>
        <v/>
      </c>
      <c r="P458" s="2" t="str">
        <f>IF(Iterations[[#This Row],[Step]] =current_step, current_Grad_c,IF(Iterations[[#This Row],[Step]] &gt; current_step, "",Iterations[[#This Row],[Grad_c]]))</f>
        <v/>
      </c>
      <c r="Q458" s="2" t="str">
        <f>IF(Iterations[[#This Row],[Step]] =current_step, current_Grad_d,IF(Iterations[[#This Row],[Step]] &gt; current_step, "",Iterations[[#This Row],[Grad_d]]))</f>
        <v/>
      </c>
      <c r="R458" s="2" t="str">
        <f>IF(Iterations[[#This Row],[Step]] =current_step, current_Grad_e,IF(Iterations[[#This Row],[Step]] &gt; current_step, "",Iterations[[#This Row],[Grad_e]]))</f>
        <v/>
      </c>
    </row>
    <row r="459" spans="6:18" x14ac:dyDescent="0.3">
      <c r="F459" s="2">
        <f t="shared" si="9"/>
        <v>442</v>
      </c>
      <c r="G459" s="2" t="str">
        <f>IF(Iterations[[#This Row],[Step]] =current_step, current_a,IF(Iterations[[#This Row],[Step]] &gt; current_step, "",Iterations[[#This Row],[a]]))</f>
        <v/>
      </c>
      <c r="H459" s="2" t="str">
        <f>IF(Iterations[[#This Row],[Step]] =current_step, current_b,IF(Iterations[[#This Row],[Step]] &gt; current_step, "",Iterations[[#This Row],[b]]))</f>
        <v/>
      </c>
      <c r="I459" s="2" t="str">
        <f>IF(Iterations[[#This Row],[Step]] =current_step, current_c,IF(Iterations[[#This Row],[Step]] &gt; current_step, "",Iterations[[#This Row],[c]]))</f>
        <v/>
      </c>
      <c r="J459" s="2" t="str">
        <f>IF(Iterations[[#This Row],[Step]] =current_step, current_d,IF(Iterations[[#This Row],[Step]] &gt; current_step, "",Iterations[[#This Row],[d]]))</f>
        <v/>
      </c>
      <c r="K459" s="2" t="str">
        <f>IF(Iterations[[#This Row],[Step]] =current_step, current_e,IF(Iterations[[#This Row],[Step]] &gt; current_step, "",Iterations[[#This Row],[e]]))</f>
        <v/>
      </c>
      <c r="L459" s="2" t="str">
        <f>IF(Iterations[[#This Row],[Step]] =current_step, current_Total_Loss,IF(Iterations[[#This Row],[Step]] &gt; current_step, "",Iterations[[#This Row],[Total Loss]]))</f>
        <v/>
      </c>
      <c r="M459" s="6" t="s">
        <v>27</v>
      </c>
      <c r="N459" s="2" t="str">
        <f>IF(Iterations[[#This Row],[Step]] =current_step, current_Grad_a,IF(Iterations[[#This Row],[Step]] &gt; current_step, "",Iterations[[#This Row],[Grad_a]]))</f>
        <v/>
      </c>
      <c r="O459" s="2" t="str">
        <f>IF(Iterations[[#This Row],[Step]] =current_step, current_Grad_b,IF(Iterations[[#This Row],[Step]] &gt; current_step, "",Iterations[[#This Row],[Grad_b]]))</f>
        <v/>
      </c>
      <c r="P459" s="2" t="str">
        <f>IF(Iterations[[#This Row],[Step]] =current_step, current_Grad_c,IF(Iterations[[#This Row],[Step]] &gt; current_step, "",Iterations[[#This Row],[Grad_c]]))</f>
        <v/>
      </c>
      <c r="Q459" s="2" t="str">
        <f>IF(Iterations[[#This Row],[Step]] =current_step, current_Grad_d,IF(Iterations[[#This Row],[Step]] &gt; current_step, "",Iterations[[#This Row],[Grad_d]]))</f>
        <v/>
      </c>
      <c r="R459" s="2" t="str">
        <f>IF(Iterations[[#This Row],[Step]] =current_step, current_Grad_e,IF(Iterations[[#This Row],[Step]] &gt; current_step, "",Iterations[[#This Row],[Grad_e]]))</f>
        <v/>
      </c>
    </row>
    <row r="460" spans="6:18" x14ac:dyDescent="0.3">
      <c r="F460" s="2">
        <f t="shared" si="9"/>
        <v>443</v>
      </c>
      <c r="G460" s="2" t="str">
        <f>IF(Iterations[[#This Row],[Step]] =current_step, current_a,IF(Iterations[[#This Row],[Step]] &gt; current_step, "",Iterations[[#This Row],[a]]))</f>
        <v/>
      </c>
      <c r="H460" s="2" t="str">
        <f>IF(Iterations[[#This Row],[Step]] =current_step, current_b,IF(Iterations[[#This Row],[Step]] &gt; current_step, "",Iterations[[#This Row],[b]]))</f>
        <v/>
      </c>
      <c r="I460" s="2" t="str">
        <f>IF(Iterations[[#This Row],[Step]] =current_step, current_c,IF(Iterations[[#This Row],[Step]] &gt; current_step, "",Iterations[[#This Row],[c]]))</f>
        <v/>
      </c>
      <c r="J460" s="2" t="str">
        <f>IF(Iterations[[#This Row],[Step]] =current_step, current_d,IF(Iterations[[#This Row],[Step]] &gt; current_step, "",Iterations[[#This Row],[d]]))</f>
        <v/>
      </c>
      <c r="K460" s="2" t="str">
        <f>IF(Iterations[[#This Row],[Step]] =current_step, current_e,IF(Iterations[[#This Row],[Step]] &gt; current_step, "",Iterations[[#This Row],[e]]))</f>
        <v/>
      </c>
      <c r="L460" s="2" t="str">
        <f>IF(Iterations[[#This Row],[Step]] =current_step, current_Total_Loss,IF(Iterations[[#This Row],[Step]] &gt; current_step, "",Iterations[[#This Row],[Total Loss]]))</f>
        <v/>
      </c>
      <c r="M460" s="6" t="s">
        <v>27</v>
      </c>
      <c r="N460" s="2" t="str">
        <f>IF(Iterations[[#This Row],[Step]] =current_step, current_Grad_a,IF(Iterations[[#This Row],[Step]] &gt; current_step, "",Iterations[[#This Row],[Grad_a]]))</f>
        <v/>
      </c>
      <c r="O460" s="2" t="str">
        <f>IF(Iterations[[#This Row],[Step]] =current_step, current_Grad_b,IF(Iterations[[#This Row],[Step]] &gt; current_step, "",Iterations[[#This Row],[Grad_b]]))</f>
        <v/>
      </c>
      <c r="P460" s="2" t="str">
        <f>IF(Iterations[[#This Row],[Step]] =current_step, current_Grad_c,IF(Iterations[[#This Row],[Step]] &gt; current_step, "",Iterations[[#This Row],[Grad_c]]))</f>
        <v/>
      </c>
      <c r="Q460" s="2" t="str">
        <f>IF(Iterations[[#This Row],[Step]] =current_step, current_Grad_d,IF(Iterations[[#This Row],[Step]] &gt; current_step, "",Iterations[[#This Row],[Grad_d]]))</f>
        <v/>
      </c>
      <c r="R460" s="2" t="str">
        <f>IF(Iterations[[#This Row],[Step]] =current_step, current_Grad_e,IF(Iterations[[#This Row],[Step]] &gt; current_step, "",Iterations[[#This Row],[Grad_e]]))</f>
        <v/>
      </c>
    </row>
    <row r="461" spans="6:18" x14ac:dyDescent="0.3">
      <c r="F461" s="2">
        <f t="shared" si="9"/>
        <v>444</v>
      </c>
      <c r="G461" s="2" t="str">
        <f>IF(Iterations[[#This Row],[Step]] =current_step, current_a,IF(Iterations[[#This Row],[Step]] &gt; current_step, "",Iterations[[#This Row],[a]]))</f>
        <v/>
      </c>
      <c r="H461" s="2" t="str">
        <f>IF(Iterations[[#This Row],[Step]] =current_step, current_b,IF(Iterations[[#This Row],[Step]] &gt; current_step, "",Iterations[[#This Row],[b]]))</f>
        <v/>
      </c>
      <c r="I461" s="2" t="str">
        <f>IF(Iterations[[#This Row],[Step]] =current_step, current_c,IF(Iterations[[#This Row],[Step]] &gt; current_step, "",Iterations[[#This Row],[c]]))</f>
        <v/>
      </c>
      <c r="J461" s="2" t="str">
        <f>IF(Iterations[[#This Row],[Step]] =current_step, current_d,IF(Iterations[[#This Row],[Step]] &gt; current_step, "",Iterations[[#This Row],[d]]))</f>
        <v/>
      </c>
      <c r="K461" s="2" t="str">
        <f>IF(Iterations[[#This Row],[Step]] =current_step, current_e,IF(Iterations[[#This Row],[Step]] &gt; current_step, "",Iterations[[#This Row],[e]]))</f>
        <v/>
      </c>
      <c r="L461" s="2" t="str">
        <f>IF(Iterations[[#This Row],[Step]] =current_step, current_Total_Loss,IF(Iterations[[#This Row],[Step]] &gt; current_step, "",Iterations[[#This Row],[Total Loss]]))</f>
        <v/>
      </c>
      <c r="M461" s="6" t="s">
        <v>27</v>
      </c>
      <c r="N461" s="2" t="str">
        <f>IF(Iterations[[#This Row],[Step]] =current_step, current_Grad_a,IF(Iterations[[#This Row],[Step]] &gt; current_step, "",Iterations[[#This Row],[Grad_a]]))</f>
        <v/>
      </c>
      <c r="O461" s="2" t="str">
        <f>IF(Iterations[[#This Row],[Step]] =current_step, current_Grad_b,IF(Iterations[[#This Row],[Step]] &gt; current_step, "",Iterations[[#This Row],[Grad_b]]))</f>
        <v/>
      </c>
      <c r="P461" s="2" t="str">
        <f>IF(Iterations[[#This Row],[Step]] =current_step, current_Grad_c,IF(Iterations[[#This Row],[Step]] &gt; current_step, "",Iterations[[#This Row],[Grad_c]]))</f>
        <v/>
      </c>
      <c r="Q461" s="2" t="str">
        <f>IF(Iterations[[#This Row],[Step]] =current_step, current_Grad_d,IF(Iterations[[#This Row],[Step]] &gt; current_step, "",Iterations[[#This Row],[Grad_d]]))</f>
        <v/>
      </c>
      <c r="R461" s="2" t="str">
        <f>IF(Iterations[[#This Row],[Step]] =current_step, current_Grad_e,IF(Iterations[[#This Row],[Step]] &gt; current_step, "",Iterations[[#This Row],[Grad_e]]))</f>
        <v/>
      </c>
    </row>
    <row r="462" spans="6:18" x14ac:dyDescent="0.3">
      <c r="F462" s="2">
        <f t="shared" si="9"/>
        <v>445</v>
      </c>
      <c r="G462" s="2" t="str">
        <f>IF(Iterations[[#This Row],[Step]] =current_step, current_a,IF(Iterations[[#This Row],[Step]] &gt; current_step, "",Iterations[[#This Row],[a]]))</f>
        <v/>
      </c>
      <c r="H462" s="2" t="str">
        <f>IF(Iterations[[#This Row],[Step]] =current_step, current_b,IF(Iterations[[#This Row],[Step]] &gt; current_step, "",Iterations[[#This Row],[b]]))</f>
        <v/>
      </c>
      <c r="I462" s="2" t="str">
        <f>IF(Iterations[[#This Row],[Step]] =current_step, current_c,IF(Iterations[[#This Row],[Step]] &gt; current_step, "",Iterations[[#This Row],[c]]))</f>
        <v/>
      </c>
      <c r="J462" s="2" t="str">
        <f>IF(Iterations[[#This Row],[Step]] =current_step, current_d,IF(Iterations[[#This Row],[Step]] &gt; current_step, "",Iterations[[#This Row],[d]]))</f>
        <v/>
      </c>
      <c r="K462" s="2" t="str">
        <f>IF(Iterations[[#This Row],[Step]] =current_step, current_e,IF(Iterations[[#This Row],[Step]] &gt; current_step, "",Iterations[[#This Row],[e]]))</f>
        <v/>
      </c>
      <c r="L462" s="2" t="str">
        <f>IF(Iterations[[#This Row],[Step]] =current_step, current_Total_Loss,IF(Iterations[[#This Row],[Step]] &gt; current_step, "",Iterations[[#This Row],[Total Loss]]))</f>
        <v/>
      </c>
      <c r="M462" s="6" t="s">
        <v>27</v>
      </c>
      <c r="N462" s="2" t="str">
        <f>IF(Iterations[[#This Row],[Step]] =current_step, current_Grad_a,IF(Iterations[[#This Row],[Step]] &gt; current_step, "",Iterations[[#This Row],[Grad_a]]))</f>
        <v/>
      </c>
      <c r="O462" s="2" t="str">
        <f>IF(Iterations[[#This Row],[Step]] =current_step, current_Grad_b,IF(Iterations[[#This Row],[Step]] &gt; current_step, "",Iterations[[#This Row],[Grad_b]]))</f>
        <v/>
      </c>
      <c r="P462" s="2" t="str">
        <f>IF(Iterations[[#This Row],[Step]] =current_step, current_Grad_c,IF(Iterations[[#This Row],[Step]] &gt; current_step, "",Iterations[[#This Row],[Grad_c]]))</f>
        <v/>
      </c>
      <c r="Q462" s="2" t="str">
        <f>IF(Iterations[[#This Row],[Step]] =current_step, current_Grad_d,IF(Iterations[[#This Row],[Step]] &gt; current_step, "",Iterations[[#This Row],[Grad_d]]))</f>
        <v/>
      </c>
      <c r="R462" s="2" t="str">
        <f>IF(Iterations[[#This Row],[Step]] =current_step, current_Grad_e,IF(Iterations[[#This Row],[Step]] &gt; current_step, "",Iterations[[#This Row],[Grad_e]]))</f>
        <v/>
      </c>
    </row>
    <row r="463" spans="6:18" x14ac:dyDescent="0.3">
      <c r="F463" s="2">
        <f t="shared" si="9"/>
        <v>446</v>
      </c>
      <c r="G463" s="2" t="str">
        <f>IF(Iterations[[#This Row],[Step]] =current_step, current_a,IF(Iterations[[#This Row],[Step]] &gt; current_step, "",Iterations[[#This Row],[a]]))</f>
        <v/>
      </c>
      <c r="H463" s="2" t="str">
        <f>IF(Iterations[[#This Row],[Step]] =current_step, current_b,IF(Iterations[[#This Row],[Step]] &gt; current_step, "",Iterations[[#This Row],[b]]))</f>
        <v/>
      </c>
      <c r="I463" s="2" t="str">
        <f>IF(Iterations[[#This Row],[Step]] =current_step, current_c,IF(Iterations[[#This Row],[Step]] &gt; current_step, "",Iterations[[#This Row],[c]]))</f>
        <v/>
      </c>
      <c r="J463" s="2" t="str">
        <f>IF(Iterations[[#This Row],[Step]] =current_step, current_d,IF(Iterations[[#This Row],[Step]] &gt; current_step, "",Iterations[[#This Row],[d]]))</f>
        <v/>
      </c>
      <c r="K463" s="2" t="str">
        <f>IF(Iterations[[#This Row],[Step]] =current_step, current_e,IF(Iterations[[#This Row],[Step]] &gt; current_step, "",Iterations[[#This Row],[e]]))</f>
        <v/>
      </c>
      <c r="L463" s="2" t="str">
        <f>IF(Iterations[[#This Row],[Step]] =current_step, current_Total_Loss,IF(Iterations[[#This Row],[Step]] &gt; current_step, "",Iterations[[#This Row],[Total Loss]]))</f>
        <v/>
      </c>
      <c r="M463" s="6" t="s">
        <v>27</v>
      </c>
      <c r="N463" s="2" t="str">
        <f>IF(Iterations[[#This Row],[Step]] =current_step, current_Grad_a,IF(Iterations[[#This Row],[Step]] &gt; current_step, "",Iterations[[#This Row],[Grad_a]]))</f>
        <v/>
      </c>
      <c r="O463" s="2" t="str">
        <f>IF(Iterations[[#This Row],[Step]] =current_step, current_Grad_b,IF(Iterations[[#This Row],[Step]] &gt; current_step, "",Iterations[[#This Row],[Grad_b]]))</f>
        <v/>
      </c>
      <c r="P463" s="2" t="str">
        <f>IF(Iterations[[#This Row],[Step]] =current_step, current_Grad_c,IF(Iterations[[#This Row],[Step]] &gt; current_step, "",Iterations[[#This Row],[Grad_c]]))</f>
        <v/>
      </c>
      <c r="Q463" s="2" t="str">
        <f>IF(Iterations[[#This Row],[Step]] =current_step, current_Grad_d,IF(Iterations[[#This Row],[Step]] &gt; current_step, "",Iterations[[#This Row],[Grad_d]]))</f>
        <v/>
      </c>
      <c r="R463" s="2" t="str">
        <f>IF(Iterations[[#This Row],[Step]] =current_step, current_Grad_e,IF(Iterations[[#This Row],[Step]] &gt; current_step, "",Iterations[[#This Row],[Grad_e]]))</f>
        <v/>
      </c>
    </row>
    <row r="464" spans="6:18" x14ac:dyDescent="0.3">
      <c r="F464" s="2">
        <f t="shared" si="9"/>
        <v>447</v>
      </c>
      <c r="G464" s="2" t="str">
        <f>IF(Iterations[[#This Row],[Step]] =current_step, current_a,IF(Iterations[[#This Row],[Step]] &gt; current_step, "",Iterations[[#This Row],[a]]))</f>
        <v/>
      </c>
      <c r="H464" s="2" t="str">
        <f>IF(Iterations[[#This Row],[Step]] =current_step, current_b,IF(Iterations[[#This Row],[Step]] &gt; current_step, "",Iterations[[#This Row],[b]]))</f>
        <v/>
      </c>
      <c r="I464" s="2" t="str">
        <f>IF(Iterations[[#This Row],[Step]] =current_step, current_c,IF(Iterations[[#This Row],[Step]] &gt; current_step, "",Iterations[[#This Row],[c]]))</f>
        <v/>
      </c>
      <c r="J464" s="2" t="str">
        <f>IF(Iterations[[#This Row],[Step]] =current_step, current_d,IF(Iterations[[#This Row],[Step]] &gt; current_step, "",Iterations[[#This Row],[d]]))</f>
        <v/>
      </c>
      <c r="K464" s="2" t="str">
        <f>IF(Iterations[[#This Row],[Step]] =current_step, current_e,IF(Iterations[[#This Row],[Step]] &gt; current_step, "",Iterations[[#This Row],[e]]))</f>
        <v/>
      </c>
      <c r="L464" s="2" t="str">
        <f>IF(Iterations[[#This Row],[Step]] =current_step, current_Total_Loss,IF(Iterations[[#This Row],[Step]] &gt; current_step, "",Iterations[[#This Row],[Total Loss]]))</f>
        <v/>
      </c>
      <c r="M464" s="6" t="s">
        <v>27</v>
      </c>
      <c r="N464" s="2" t="str">
        <f>IF(Iterations[[#This Row],[Step]] =current_step, current_Grad_a,IF(Iterations[[#This Row],[Step]] &gt; current_step, "",Iterations[[#This Row],[Grad_a]]))</f>
        <v/>
      </c>
      <c r="O464" s="2" t="str">
        <f>IF(Iterations[[#This Row],[Step]] =current_step, current_Grad_b,IF(Iterations[[#This Row],[Step]] &gt; current_step, "",Iterations[[#This Row],[Grad_b]]))</f>
        <v/>
      </c>
      <c r="P464" s="2" t="str">
        <f>IF(Iterations[[#This Row],[Step]] =current_step, current_Grad_c,IF(Iterations[[#This Row],[Step]] &gt; current_step, "",Iterations[[#This Row],[Grad_c]]))</f>
        <v/>
      </c>
      <c r="Q464" s="2" t="str">
        <f>IF(Iterations[[#This Row],[Step]] =current_step, current_Grad_d,IF(Iterations[[#This Row],[Step]] &gt; current_step, "",Iterations[[#This Row],[Grad_d]]))</f>
        <v/>
      </c>
      <c r="R464" s="2" t="str">
        <f>IF(Iterations[[#This Row],[Step]] =current_step, current_Grad_e,IF(Iterations[[#This Row],[Step]] &gt; current_step, "",Iterations[[#This Row],[Grad_e]]))</f>
        <v/>
      </c>
    </row>
    <row r="465" spans="6:18" x14ac:dyDescent="0.3">
      <c r="F465" s="2">
        <f t="shared" si="9"/>
        <v>448</v>
      </c>
      <c r="G465" s="2" t="str">
        <f>IF(Iterations[[#This Row],[Step]] =current_step, current_a,IF(Iterations[[#This Row],[Step]] &gt; current_step, "",Iterations[[#This Row],[a]]))</f>
        <v/>
      </c>
      <c r="H465" s="2" t="str">
        <f>IF(Iterations[[#This Row],[Step]] =current_step, current_b,IF(Iterations[[#This Row],[Step]] &gt; current_step, "",Iterations[[#This Row],[b]]))</f>
        <v/>
      </c>
      <c r="I465" s="2" t="str">
        <f>IF(Iterations[[#This Row],[Step]] =current_step, current_c,IF(Iterations[[#This Row],[Step]] &gt; current_step, "",Iterations[[#This Row],[c]]))</f>
        <v/>
      </c>
      <c r="J465" s="2" t="str">
        <f>IF(Iterations[[#This Row],[Step]] =current_step, current_d,IF(Iterations[[#This Row],[Step]] &gt; current_step, "",Iterations[[#This Row],[d]]))</f>
        <v/>
      </c>
      <c r="K465" s="2" t="str">
        <f>IF(Iterations[[#This Row],[Step]] =current_step, current_e,IF(Iterations[[#This Row],[Step]] &gt; current_step, "",Iterations[[#This Row],[e]]))</f>
        <v/>
      </c>
      <c r="L465" s="2" t="str">
        <f>IF(Iterations[[#This Row],[Step]] =current_step, current_Total_Loss,IF(Iterations[[#This Row],[Step]] &gt; current_step, "",Iterations[[#This Row],[Total Loss]]))</f>
        <v/>
      </c>
      <c r="M465" s="6" t="s">
        <v>27</v>
      </c>
      <c r="N465" s="2" t="str">
        <f>IF(Iterations[[#This Row],[Step]] =current_step, current_Grad_a,IF(Iterations[[#This Row],[Step]] &gt; current_step, "",Iterations[[#This Row],[Grad_a]]))</f>
        <v/>
      </c>
      <c r="O465" s="2" t="str">
        <f>IF(Iterations[[#This Row],[Step]] =current_step, current_Grad_b,IF(Iterations[[#This Row],[Step]] &gt; current_step, "",Iterations[[#This Row],[Grad_b]]))</f>
        <v/>
      </c>
      <c r="P465" s="2" t="str">
        <f>IF(Iterations[[#This Row],[Step]] =current_step, current_Grad_c,IF(Iterations[[#This Row],[Step]] &gt; current_step, "",Iterations[[#This Row],[Grad_c]]))</f>
        <v/>
      </c>
      <c r="Q465" s="2" t="str">
        <f>IF(Iterations[[#This Row],[Step]] =current_step, current_Grad_d,IF(Iterations[[#This Row],[Step]] &gt; current_step, "",Iterations[[#This Row],[Grad_d]]))</f>
        <v/>
      </c>
      <c r="R465" s="2" t="str">
        <f>IF(Iterations[[#This Row],[Step]] =current_step, current_Grad_e,IF(Iterations[[#This Row],[Step]] &gt; current_step, "",Iterations[[#This Row],[Grad_e]]))</f>
        <v/>
      </c>
    </row>
    <row r="466" spans="6:18" x14ac:dyDescent="0.3">
      <c r="F466" s="2">
        <f t="shared" si="9"/>
        <v>449</v>
      </c>
      <c r="G466" s="2" t="str">
        <f>IF(Iterations[[#This Row],[Step]] =current_step, current_a,IF(Iterations[[#This Row],[Step]] &gt; current_step, "",Iterations[[#This Row],[a]]))</f>
        <v/>
      </c>
      <c r="H466" s="2" t="str">
        <f>IF(Iterations[[#This Row],[Step]] =current_step, current_b,IF(Iterations[[#This Row],[Step]] &gt; current_step, "",Iterations[[#This Row],[b]]))</f>
        <v/>
      </c>
      <c r="I466" s="2" t="str">
        <f>IF(Iterations[[#This Row],[Step]] =current_step, current_c,IF(Iterations[[#This Row],[Step]] &gt; current_step, "",Iterations[[#This Row],[c]]))</f>
        <v/>
      </c>
      <c r="J466" s="2" t="str">
        <f>IF(Iterations[[#This Row],[Step]] =current_step, current_d,IF(Iterations[[#This Row],[Step]] &gt; current_step, "",Iterations[[#This Row],[d]]))</f>
        <v/>
      </c>
      <c r="K466" s="2" t="str">
        <f>IF(Iterations[[#This Row],[Step]] =current_step, current_e,IF(Iterations[[#This Row],[Step]] &gt; current_step, "",Iterations[[#This Row],[e]]))</f>
        <v/>
      </c>
      <c r="L466" s="2" t="str">
        <f>IF(Iterations[[#This Row],[Step]] =current_step, current_Total_Loss,IF(Iterations[[#This Row],[Step]] &gt; current_step, "",Iterations[[#This Row],[Total Loss]]))</f>
        <v/>
      </c>
      <c r="M466" s="6" t="s">
        <v>27</v>
      </c>
      <c r="N466" s="2" t="str">
        <f>IF(Iterations[[#This Row],[Step]] =current_step, current_Grad_a,IF(Iterations[[#This Row],[Step]] &gt; current_step, "",Iterations[[#This Row],[Grad_a]]))</f>
        <v/>
      </c>
      <c r="O466" s="2" t="str">
        <f>IF(Iterations[[#This Row],[Step]] =current_step, current_Grad_b,IF(Iterations[[#This Row],[Step]] &gt; current_step, "",Iterations[[#This Row],[Grad_b]]))</f>
        <v/>
      </c>
      <c r="P466" s="2" t="str">
        <f>IF(Iterations[[#This Row],[Step]] =current_step, current_Grad_c,IF(Iterations[[#This Row],[Step]] &gt; current_step, "",Iterations[[#This Row],[Grad_c]]))</f>
        <v/>
      </c>
      <c r="Q466" s="2" t="str">
        <f>IF(Iterations[[#This Row],[Step]] =current_step, current_Grad_d,IF(Iterations[[#This Row],[Step]] &gt; current_step, "",Iterations[[#This Row],[Grad_d]]))</f>
        <v/>
      </c>
      <c r="R466" s="2" t="str">
        <f>IF(Iterations[[#This Row],[Step]] =current_step, current_Grad_e,IF(Iterations[[#This Row],[Step]] &gt; current_step, "",Iterations[[#This Row],[Grad_e]]))</f>
        <v/>
      </c>
    </row>
    <row r="467" spans="6:18" x14ac:dyDescent="0.3">
      <c r="F467" s="2">
        <f t="shared" si="9"/>
        <v>450</v>
      </c>
      <c r="G467" s="2" t="str">
        <f>IF(Iterations[[#This Row],[Step]] =current_step, current_a,IF(Iterations[[#This Row],[Step]] &gt; current_step, "",Iterations[[#This Row],[a]]))</f>
        <v/>
      </c>
      <c r="H467" s="2" t="str">
        <f>IF(Iterations[[#This Row],[Step]] =current_step, current_b,IF(Iterations[[#This Row],[Step]] &gt; current_step, "",Iterations[[#This Row],[b]]))</f>
        <v/>
      </c>
      <c r="I467" s="2" t="str">
        <f>IF(Iterations[[#This Row],[Step]] =current_step, current_c,IF(Iterations[[#This Row],[Step]] &gt; current_step, "",Iterations[[#This Row],[c]]))</f>
        <v/>
      </c>
      <c r="J467" s="2" t="str">
        <f>IF(Iterations[[#This Row],[Step]] =current_step, current_d,IF(Iterations[[#This Row],[Step]] &gt; current_step, "",Iterations[[#This Row],[d]]))</f>
        <v/>
      </c>
      <c r="K467" s="2" t="str">
        <f>IF(Iterations[[#This Row],[Step]] =current_step, current_e,IF(Iterations[[#This Row],[Step]] &gt; current_step, "",Iterations[[#This Row],[e]]))</f>
        <v/>
      </c>
      <c r="L467" s="2" t="str">
        <f>IF(Iterations[[#This Row],[Step]] =current_step, current_Total_Loss,IF(Iterations[[#This Row],[Step]] &gt; current_step, "",Iterations[[#This Row],[Total Loss]]))</f>
        <v/>
      </c>
      <c r="M467" s="6" t="s">
        <v>27</v>
      </c>
      <c r="N467" s="2" t="str">
        <f>IF(Iterations[[#This Row],[Step]] =current_step, current_Grad_a,IF(Iterations[[#This Row],[Step]] &gt; current_step, "",Iterations[[#This Row],[Grad_a]]))</f>
        <v/>
      </c>
      <c r="O467" s="2" t="str">
        <f>IF(Iterations[[#This Row],[Step]] =current_step, current_Grad_b,IF(Iterations[[#This Row],[Step]] &gt; current_step, "",Iterations[[#This Row],[Grad_b]]))</f>
        <v/>
      </c>
      <c r="P467" s="2" t="str">
        <f>IF(Iterations[[#This Row],[Step]] =current_step, current_Grad_c,IF(Iterations[[#This Row],[Step]] &gt; current_step, "",Iterations[[#This Row],[Grad_c]]))</f>
        <v/>
      </c>
      <c r="Q467" s="2" t="str">
        <f>IF(Iterations[[#This Row],[Step]] =current_step, current_Grad_d,IF(Iterations[[#This Row],[Step]] &gt; current_step, "",Iterations[[#This Row],[Grad_d]]))</f>
        <v/>
      </c>
      <c r="R467" s="2" t="str">
        <f>IF(Iterations[[#This Row],[Step]] =current_step, current_Grad_e,IF(Iterations[[#This Row],[Step]] &gt; current_step, "",Iterations[[#This Row],[Grad_e]]))</f>
        <v/>
      </c>
    </row>
    <row r="468" spans="6:18" x14ac:dyDescent="0.3">
      <c r="F468" s="2">
        <f t="shared" si="9"/>
        <v>451</v>
      </c>
      <c r="G468" s="2" t="str">
        <f>IF(Iterations[[#This Row],[Step]] =current_step, current_a,IF(Iterations[[#This Row],[Step]] &gt; current_step, "",Iterations[[#This Row],[a]]))</f>
        <v/>
      </c>
      <c r="H468" s="2" t="str">
        <f>IF(Iterations[[#This Row],[Step]] =current_step, current_b,IF(Iterations[[#This Row],[Step]] &gt; current_step, "",Iterations[[#This Row],[b]]))</f>
        <v/>
      </c>
      <c r="I468" s="2" t="str">
        <f>IF(Iterations[[#This Row],[Step]] =current_step, current_c,IF(Iterations[[#This Row],[Step]] &gt; current_step, "",Iterations[[#This Row],[c]]))</f>
        <v/>
      </c>
      <c r="J468" s="2" t="str">
        <f>IF(Iterations[[#This Row],[Step]] =current_step, current_d,IF(Iterations[[#This Row],[Step]] &gt; current_step, "",Iterations[[#This Row],[d]]))</f>
        <v/>
      </c>
      <c r="K468" s="2" t="str">
        <f>IF(Iterations[[#This Row],[Step]] =current_step, current_e,IF(Iterations[[#This Row],[Step]] &gt; current_step, "",Iterations[[#This Row],[e]]))</f>
        <v/>
      </c>
      <c r="L468" s="2" t="str">
        <f>IF(Iterations[[#This Row],[Step]] =current_step, current_Total_Loss,IF(Iterations[[#This Row],[Step]] &gt; current_step, "",Iterations[[#This Row],[Total Loss]]))</f>
        <v/>
      </c>
      <c r="M468" s="6" t="s">
        <v>27</v>
      </c>
      <c r="N468" s="2" t="str">
        <f>IF(Iterations[[#This Row],[Step]] =current_step, current_Grad_a,IF(Iterations[[#This Row],[Step]] &gt; current_step, "",Iterations[[#This Row],[Grad_a]]))</f>
        <v/>
      </c>
      <c r="O468" s="2" t="str">
        <f>IF(Iterations[[#This Row],[Step]] =current_step, current_Grad_b,IF(Iterations[[#This Row],[Step]] &gt; current_step, "",Iterations[[#This Row],[Grad_b]]))</f>
        <v/>
      </c>
      <c r="P468" s="2" t="str">
        <f>IF(Iterations[[#This Row],[Step]] =current_step, current_Grad_c,IF(Iterations[[#This Row],[Step]] &gt; current_step, "",Iterations[[#This Row],[Grad_c]]))</f>
        <v/>
      </c>
      <c r="Q468" s="2" t="str">
        <f>IF(Iterations[[#This Row],[Step]] =current_step, current_Grad_d,IF(Iterations[[#This Row],[Step]] &gt; current_step, "",Iterations[[#This Row],[Grad_d]]))</f>
        <v/>
      </c>
      <c r="R468" s="2" t="str">
        <f>IF(Iterations[[#This Row],[Step]] =current_step, current_Grad_e,IF(Iterations[[#This Row],[Step]] &gt; current_step, "",Iterations[[#This Row],[Grad_e]]))</f>
        <v/>
      </c>
    </row>
    <row r="469" spans="6:18" x14ac:dyDescent="0.3">
      <c r="F469" s="2">
        <f t="shared" si="9"/>
        <v>452</v>
      </c>
      <c r="G469" s="2" t="str">
        <f>IF(Iterations[[#This Row],[Step]] =current_step, current_a,IF(Iterations[[#This Row],[Step]] &gt; current_step, "",Iterations[[#This Row],[a]]))</f>
        <v/>
      </c>
      <c r="H469" s="2" t="str">
        <f>IF(Iterations[[#This Row],[Step]] =current_step, current_b,IF(Iterations[[#This Row],[Step]] &gt; current_step, "",Iterations[[#This Row],[b]]))</f>
        <v/>
      </c>
      <c r="I469" s="2" t="str">
        <f>IF(Iterations[[#This Row],[Step]] =current_step, current_c,IF(Iterations[[#This Row],[Step]] &gt; current_step, "",Iterations[[#This Row],[c]]))</f>
        <v/>
      </c>
      <c r="J469" s="2" t="str">
        <f>IF(Iterations[[#This Row],[Step]] =current_step, current_d,IF(Iterations[[#This Row],[Step]] &gt; current_step, "",Iterations[[#This Row],[d]]))</f>
        <v/>
      </c>
      <c r="K469" s="2" t="str">
        <f>IF(Iterations[[#This Row],[Step]] =current_step, current_e,IF(Iterations[[#This Row],[Step]] &gt; current_step, "",Iterations[[#This Row],[e]]))</f>
        <v/>
      </c>
      <c r="L469" s="2" t="str">
        <f>IF(Iterations[[#This Row],[Step]] =current_step, current_Total_Loss,IF(Iterations[[#This Row],[Step]] &gt; current_step, "",Iterations[[#This Row],[Total Loss]]))</f>
        <v/>
      </c>
      <c r="M469" s="6" t="s">
        <v>27</v>
      </c>
      <c r="N469" s="2" t="str">
        <f>IF(Iterations[[#This Row],[Step]] =current_step, current_Grad_a,IF(Iterations[[#This Row],[Step]] &gt; current_step, "",Iterations[[#This Row],[Grad_a]]))</f>
        <v/>
      </c>
      <c r="O469" s="2" t="str">
        <f>IF(Iterations[[#This Row],[Step]] =current_step, current_Grad_b,IF(Iterations[[#This Row],[Step]] &gt; current_step, "",Iterations[[#This Row],[Grad_b]]))</f>
        <v/>
      </c>
      <c r="P469" s="2" t="str">
        <f>IF(Iterations[[#This Row],[Step]] =current_step, current_Grad_c,IF(Iterations[[#This Row],[Step]] &gt; current_step, "",Iterations[[#This Row],[Grad_c]]))</f>
        <v/>
      </c>
      <c r="Q469" s="2" t="str">
        <f>IF(Iterations[[#This Row],[Step]] =current_step, current_Grad_d,IF(Iterations[[#This Row],[Step]] &gt; current_step, "",Iterations[[#This Row],[Grad_d]]))</f>
        <v/>
      </c>
      <c r="R469" s="2" t="str">
        <f>IF(Iterations[[#This Row],[Step]] =current_step, current_Grad_e,IF(Iterations[[#This Row],[Step]] &gt; current_step, "",Iterations[[#This Row],[Grad_e]]))</f>
        <v/>
      </c>
    </row>
    <row r="470" spans="6:18" x14ac:dyDescent="0.3">
      <c r="F470" s="2">
        <f t="shared" si="9"/>
        <v>453</v>
      </c>
      <c r="G470" s="2" t="str">
        <f>IF(Iterations[[#This Row],[Step]] =current_step, current_a,IF(Iterations[[#This Row],[Step]] &gt; current_step, "",Iterations[[#This Row],[a]]))</f>
        <v/>
      </c>
      <c r="H470" s="2" t="str">
        <f>IF(Iterations[[#This Row],[Step]] =current_step, current_b,IF(Iterations[[#This Row],[Step]] &gt; current_step, "",Iterations[[#This Row],[b]]))</f>
        <v/>
      </c>
      <c r="I470" s="2" t="str">
        <f>IF(Iterations[[#This Row],[Step]] =current_step, current_c,IF(Iterations[[#This Row],[Step]] &gt; current_step, "",Iterations[[#This Row],[c]]))</f>
        <v/>
      </c>
      <c r="J470" s="2" t="str">
        <f>IF(Iterations[[#This Row],[Step]] =current_step, current_d,IF(Iterations[[#This Row],[Step]] &gt; current_step, "",Iterations[[#This Row],[d]]))</f>
        <v/>
      </c>
      <c r="K470" s="2" t="str">
        <f>IF(Iterations[[#This Row],[Step]] =current_step, current_e,IF(Iterations[[#This Row],[Step]] &gt; current_step, "",Iterations[[#This Row],[e]]))</f>
        <v/>
      </c>
      <c r="L470" s="2" t="str">
        <f>IF(Iterations[[#This Row],[Step]] =current_step, current_Total_Loss,IF(Iterations[[#This Row],[Step]] &gt; current_step, "",Iterations[[#This Row],[Total Loss]]))</f>
        <v/>
      </c>
      <c r="M470" s="6" t="s">
        <v>27</v>
      </c>
      <c r="N470" s="2" t="str">
        <f>IF(Iterations[[#This Row],[Step]] =current_step, current_Grad_a,IF(Iterations[[#This Row],[Step]] &gt; current_step, "",Iterations[[#This Row],[Grad_a]]))</f>
        <v/>
      </c>
      <c r="O470" s="2" t="str">
        <f>IF(Iterations[[#This Row],[Step]] =current_step, current_Grad_b,IF(Iterations[[#This Row],[Step]] &gt; current_step, "",Iterations[[#This Row],[Grad_b]]))</f>
        <v/>
      </c>
      <c r="P470" s="2" t="str">
        <f>IF(Iterations[[#This Row],[Step]] =current_step, current_Grad_c,IF(Iterations[[#This Row],[Step]] &gt; current_step, "",Iterations[[#This Row],[Grad_c]]))</f>
        <v/>
      </c>
      <c r="Q470" s="2" t="str">
        <f>IF(Iterations[[#This Row],[Step]] =current_step, current_Grad_d,IF(Iterations[[#This Row],[Step]] &gt; current_step, "",Iterations[[#This Row],[Grad_d]]))</f>
        <v/>
      </c>
      <c r="R470" s="2" t="str">
        <f>IF(Iterations[[#This Row],[Step]] =current_step, current_Grad_e,IF(Iterations[[#This Row],[Step]] &gt; current_step, "",Iterations[[#This Row],[Grad_e]]))</f>
        <v/>
      </c>
    </row>
    <row r="471" spans="6:18" x14ac:dyDescent="0.3">
      <c r="F471" s="2">
        <f t="shared" si="9"/>
        <v>454</v>
      </c>
      <c r="G471" s="2" t="str">
        <f>IF(Iterations[[#This Row],[Step]] =current_step, current_a,IF(Iterations[[#This Row],[Step]] &gt; current_step, "",Iterations[[#This Row],[a]]))</f>
        <v/>
      </c>
      <c r="H471" s="2" t="str">
        <f>IF(Iterations[[#This Row],[Step]] =current_step, current_b,IF(Iterations[[#This Row],[Step]] &gt; current_step, "",Iterations[[#This Row],[b]]))</f>
        <v/>
      </c>
      <c r="I471" s="2" t="str">
        <f>IF(Iterations[[#This Row],[Step]] =current_step, current_c,IF(Iterations[[#This Row],[Step]] &gt; current_step, "",Iterations[[#This Row],[c]]))</f>
        <v/>
      </c>
      <c r="J471" s="2" t="str">
        <f>IF(Iterations[[#This Row],[Step]] =current_step, current_d,IF(Iterations[[#This Row],[Step]] &gt; current_step, "",Iterations[[#This Row],[d]]))</f>
        <v/>
      </c>
      <c r="K471" s="2" t="str">
        <f>IF(Iterations[[#This Row],[Step]] =current_step, current_e,IF(Iterations[[#This Row],[Step]] &gt; current_step, "",Iterations[[#This Row],[e]]))</f>
        <v/>
      </c>
      <c r="L471" s="2" t="str">
        <f>IF(Iterations[[#This Row],[Step]] =current_step, current_Total_Loss,IF(Iterations[[#This Row],[Step]] &gt; current_step, "",Iterations[[#This Row],[Total Loss]]))</f>
        <v/>
      </c>
      <c r="M471" s="6" t="s">
        <v>27</v>
      </c>
      <c r="N471" s="2" t="str">
        <f>IF(Iterations[[#This Row],[Step]] =current_step, current_Grad_a,IF(Iterations[[#This Row],[Step]] &gt; current_step, "",Iterations[[#This Row],[Grad_a]]))</f>
        <v/>
      </c>
      <c r="O471" s="2" t="str">
        <f>IF(Iterations[[#This Row],[Step]] =current_step, current_Grad_b,IF(Iterations[[#This Row],[Step]] &gt; current_step, "",Iterations[[#This Row],[Grad_b]]))</f>
        <v/>
      </c>
      <c r="P471" s="2" t="str">
        <f>IF(Iterations[[#This Row],[Step]] =current_step, current_Grad_c,IF(Iterations[[#This Row],[Step]] &gt; current_step, "",Iterations[[#This Row],[Grad_c]]))</f>
        <v/>
      </c>
      <c r="Q471" s="2" t="str">
        <f>IF(Iterations[[#This Row],[Step]] =current_step, current_Grad_d,IF(Iterations[[#This Row],[Step]] &gt; current_step, "",Iterations[[#This Row],[Grad_d]]))</f>
        <v/>
      </c>
      <c r="R471" s="2" t="str">
        <f>IF(Iterations[[#This Row],[Step]] =current_step, current_Grad_e,IF(Iterations[[#This Row],[Step]] &gt; current_step, "",Iterations[[#This Row],[Grad_e]]))</f>
        <v/>
      </c>
    </row>
    <row r="472" spans="6:18" x14ac:dyDescent="0.3">
      <c r="F472" s="2">
        <f t="shared" si="9"/>
        <v>455</v>
      </c>
      <c r="G472" s="2" t="str">
        <f>IF(Iterations[[#This Row],[Step]] =current_step, current_a,IF(Iterations[[#This Row],[Step]] &gt; current_step, "",Iterations[[#This Row],[a]]))</f>
        <v/>
      </c>
      <c r="H472" s="2" t="str">
        <f>IF(Iterations[[#This Row],[Step]] =current_step, current_b,IF(Iterations[[#This Row],[Step]] &gt; current_step, "",Iterations[[#This Row],[b]]))</f>
        <v/>
      </c>
      <c r="I472" s="2" t="str">
        <f>IF(Iterations[[#This Row],[Step]] =current_step, current_c,IF(Iterations[[#This Row],[Step]] &gt; current_step, "",Iterations[[#This Row],[c]]))</f>
        <v/>
      </c>
      <c r="J472" s="2" t="str">
        <f>IF(Iterations[[#This Row],[Step]] =current_step, current_d,IF(Iterations[[#This Row],[Step]] &gt; current_step, "",Iterations[[#This Row],[d]]))</f>
        <v/>
      </c>
      <c r="K472" s="2" t="str">
        <f>IF(Iterations[[#This Row],[Step]] =current_step, current_e,IF(Iterations[[#This Row],[Step]] &gt; current_step, "",Iterations[[#This Row],[e]]))</f>
        <v/>
      </c>
      <c r="L472" s="2" t="str">
        <f>IF(Iterations[[#This Row],[Step]] =current_step, current_Total_Loss,IF(Iterations[[#This Row],[Step]] &gt; current_step, "",Iterations[[#This Row],[Total Loss]]))</f>
        <v/>
      </c>
      <c r="M472" s="6" t="s">
        <v>27</v>
      </c>
      <c r="N472" s="2" t="str">
        <f>IF(Iterations[[#This Row],[Step]] =current_step, current_Grad_a,IF(Iterations[[#This Row],[Step]] &gt; current_step, "",Iterations[[#This Row],[Grad_a]]))</f>
        <v/>
      </c>
      <c r="O472" s="2" t="str">
        <f>IF(Iterations[[#This Row],[Step]] =current_step, current_Grad_b,IF(Iterations[[#This Row],[Step]] &gt; current_step, "",Iterations[[#This Row],[Grad_b]]))</f>
        <v/>
      </c>
      <c r="P472" s="2" t="str">
        <f>IF(Iterations[[#This Row],[Step]] =current_step, current_Grad_c,IF(Iterations[[#This Row],[Step]] &gt; current_step, "",Iterations[[#This Row],[Grad_c]]))</f>
        <v/>
      </c>
      <c r="Q472" s="2" t="str">
        <f>IF(Iterations[[#This Row],[Step]] =current_step, current_Grad_d,IF(Iterations[[#This Row],[Step]] &gt; current_step, "",Iterations[[#This Row],[Grad_d]]))</f>
        <v/>
      </c>
      <c r="R472" s="2" t="str">
        <f>IF(Iterations[[#This Row],[Step]] =current_step, current_Grad_e,IF(Iterations[[#This Row],[Step]] &gt; current_step, "",Iterations[[#This Row],[Grad_e]]))</f>
        <v/>
      </c>
    </row>
    <row r="473" spans="6:18" x14ac:dyDescent="0.3">
      <c r="F473" s="2">
        <f t="shared" si="9"/>
        <v>456</v>
      </c>
      <c r="G473" s="2" t="str">
        <f>IF(Iterations[[#This Row],[Step]] =current_step, current_a,IF(Iterations[[#This Row],[Step]] &gt; current_step, "",Iterations[[#This Row],[a]]))</f>
        <v/>
      </c>
      <c r="H473" s="2" t="str">
        <f>IF(Iterations[[#This Row],[Step]] =current_step, current_b,IF(Iterations[[#This Row],[Step]] &gt; current_step, "",Iterations[[#This Row],[b]]))</f>
        <v/>
      </c>
      <c r="I473" s="2" t="str">
        <f>IF(Iterations[[#This Row],[Step]] =current_step, current_c,IF(Iterations[[#This Row],[Step]] &gt; current_step, "",Iterations[[#This Row],[c]]))</f>
        <v/>
      </c>
      <c r="J473" s="2" t="str">
        <f>IF(Iterations[[#This Row],[Step]] =current_step, current_d,IF(Iterations[[#This Row],[Step]] &gt; current_step, "",Iterations[[#This Row],[d]]))</f>
        <v/>
      </c>
      <c r="K473" s="2" t="str">
        <f>IF(Iterations[[#This Row],[Step]] =current_step, current_e,IF(Iterations[[#This Row],[Step]] &gt; current_step, "",Iterations[[#This Row],[e]]))</f>
        <v/>
      </c>
      <c r="L473" s="2" t="str">
        <f>IF(Iterations[[#This Row],[Step]] =current_step, current_Total_Loss,IF(Iterations[[#This Row],[Step]] &gt; current_step, "",Iterations[[#This Row],[Total Loss]]))</f>
        <v/>
      </c>
      <c r="M473" s="6" t="s">
        <v>27</v>
      </c>
      <c r="N473" s="2" t="str">
        <f>IF(Iterations[[#This Row],[Step]] =current_step, current_Grad_a,IF(Iterations[[#This Row],[Step]] &gt; current_step, "",Iterations[[#This Row],[Grad_a]]))</f>
        <v/>
      </c>
      <c r="O473" s="2" t="str">
        <f>IF(Iterations[[#This Row],[Step]] =current_step, current_Grad_b,IF(Iterations[[#This Row],[Step]] &gt; current_step, "",Iterations[[#This Row],[Grad_b]]))</f>
        <v/>
      </c>
      <c r="P473" s="2" t="str">
        <f>IF(Iterations[[#This Row],[Step]] =current_step, current_Grad_c,IF(Iterations[[#This Row],[Step]] &gt; current_step, "",Iterations[[#This Row],[Grad_c]]))</f>
        <v/>
      </c>
      <c r="Q473" s="2" t="str">
        <f>IF(Iterations[[#This Row],[Step]] =current_step, current_Grad_d,IF(Iterations[[#This Row],[Step]] &gt; current_step, "",Iterations[[#This Row],[Grad_d]]))</f>
        <v/>
      </c>
      <c r="R473" s="2" t="str">
        <f>IF(Iterations[[#This Row],[Step]] =current_step, current_Grad_e,IF(Iterations[[#This Row],[Step]] &gt; current_step, "",Iterations[[#This Row],[Grad_e]]))</f>
        <v/>
      </c>
    </row>
    <row r="474" spans="6:18" x14ac:dyDescent="0.3">
      <c r="F474" s="2">
        <f t="shared" si="9"/>
        <v>457</v>
      </c>
      <c r="G474" s="2" t="str">
        <f>IF(Iterations[[#This Row],[Step]] =current_step, current_a,IF(Iterations[[#This Row],[Step]] &gt; current_step, "",Iterations[[#This Row],[a]]))</f>
        <v/>
      </c>
      <c r="H474" s="2" t="str">
        <f>IF(Iterations[[#This Row],[Step]] =current_step, current_b,IF(Iterations[[#This Row],[Step]] &gt; current_step, "",Iterations[[#This Row],[b]]))</f>
        <v/>
      </c>
      <c r="I474" s="2" t="str">
        <f>IF(Iterations[[#This Row],[Step]] =current_step, current_c,IF(Iterations[[#This Row],[Step]] &gt; current_step, "",Iterations[[#This Row],[c]]))</f>
        <v/>
      </c>
      <c r="J474" s="2" t="str">
        <f>IF(Iterations[[#This Row],[Step]] =current_step, current_d,IF(Iterations[[#This Row],[Step]] &gt; current_step, "",Iterations[[#This Row],[d]]))</f>
        <v/>
      </c>
      <c r="K474" s="2" t="str">
        <f>IF(Iterations[[#This Row],[Step]] =current_step, current_e,IF(Iterations[[#This Row],[Step]] &gt; current_step, "",Iterations[[#This Row],[e]]))</f>
        <v/>
      </c>
      <c r="L474" s="2" t="str">
        <f>IF(Iterations[[#This Row],[Step]] =current_step, current_Total_Loss,IF(Iterations[[#This Row],[Step]] &gt; current_step, "",Iterations[[#This Row],[Total Loss]]))</f>
        <v/>
      </c>
      <c r="M474" s="6" t="s">
        <v>27</v>
      </c>
      <c r="N474" s="2" t="str">
        <f>IF(Iterations[[#This Row],[Step]] =current_step, current_Grad_a,IF(Iterations[[#This Row],[Step]] &gt; current_step, "",Iterations[[#This Row],[Grad_a]]))</f>
        <v/>
      </c>
      <c r="O474" s="2" t="str">
        <f>IF(Iterations[[#This Row],[Step]] =current_step, current_Grad_b,IF(Iterations[[#This Row],[Step]] &gt; current_step, "",Iterations[[#This Row],[Grad_b]]))</f>
        <v/>
      </c>
      <c r="P474" s="2" t="str">
        <f>IF(Iterations[[#This Row],[Step]] =current_step, current_Grad_c,IF(Iterations[[#This Row],[Step]] &gt; current_step, "",Iterations[[#This Row],[Grad_c]]))</f>
        <v/>
      </c>
      <c r="Q474" s="2" t="str">
        <f>IF(Iterations[[#This Row],[Step]] =current_step, current_Grad_d,IF(Iterations[[#This Row],[Step]] &gt; current_step, "",Iterations[[#This Row],[Grad_d]]))</f>
        <v/>
      </c>
      <c r="R474" s="2" t="str">
        <f>IF(Iterations[[#This Row],[Step]] =current_step, current_Grad_e,IF(Iterations[[#This Row],[Step]] &gt; current_step, "",Iterations[[#This Row],[Grad_e]]))</f>
        <v/>
      </c>
    </row>
    <row r="475" spans="6:18" x14ac:dyDescent="0.3">
      <c r="F475" s="2">
        <f t="shared" si="9"/>
        <v>458</v>
      </c>
      <c r="G475" s="2" t="str">
        <f>IF(Iterations[[#This Row],[Step]] =current_step, current_a,IF(Iterations[[#This Row],[Step]] &gt; current_step, "",Iterations[[#This Row],[a]]))</f>
        <v/>
      </c>
      <c r="H475" s="2" t="str">
        <f>IF(Iterations[[#This Row],[Step]] =current_step, current_b,IF(Iterations[[#This Row],[Step]] &gt; current_step, "",Iterations[[#This Row],[b]]))</f>
        <v/>
      </c>
      <c r="I475" s="2" t="str">
        <f>IF(Iterations[[#This Row],[Step]] =current_step, current_c,IF(Iterations[[#This Row],[Step]] &gt; current_step, "",Iterations[[#This Row],[c]]))</f>
        <v/>
      </c>
      <c r="J475" s="2" t="str">
        <f>IF(Iterations[[#This Row],[Step]] =current_step, current_d,IF(Iterations[[#This Row],[Step]] &gt; current_step, "",Iterations[[#This Row],[d]]))</f>
        <v/>
      </c>
      <c r="K475" s="2" t="str">
        <f>IF(Iterations[[#This Row],[Step]] =current_step, current_e,IF(Iterations[[#This Row],[Step]] &gt; current_step, "",Iterations[[#This Row],[e]]))</f>
        <v/>
      </c>
      <c r="L475" s="2" t="str">
        <f>IF(Iterations[[#This Row],[Step]] =current_step, current_Total_Loss,IF(Iterations[[#This Row],[Step]] &gt; current_step, "",Iterations[[#This Row],[Total Loss]]))</f>
        <v/>
      </c>
      <c r="M475" s="6" t="s">
        <v>27</v>
      </c>
      <c r="N475" s="2" t="str">
        <f>IF(Iterations[[#This Row],[Step]] =current_step, current_Grad_a,IF(Iterations[[#This Row],[Step]] &gt; current_step, "",Iterations[[#This Row],[Grad_a]]))</f>
        <v/>
      </c>
      <c r="O475" s="2" t="str">
        <f>IF(Iterations[[#This Row],[Step]] =current_step, current_Grad_b,IF(Iterations[[#This Row],[Step]] &gt; current_step, "",Iterations[[#This Row],[Grad_b]]))</f>
        <v/>
      </c>
      <c r="P475" s="2" t="str">
        <f>IF(Iterations[[#This Row],[Step]] =current_step, current_Grad_c,IF(Iterations[[#This Row],[Step]] &gt; current_step, "",Iterations[[#This Row],[Grad_c]]))</f>
        <v/>
      </c>
      <c r="Q475" s="2" t="str">
        <f>IF(Iterations[[#This Row],[Step]] =current_step, current_Grad_d,IF(Iterations[[#This Row],[Step]] &gt; current_step, "",Iterations[[#This Row],[Grad_d]]))</f>
        <v/>
      </c>
      <c r="R475" s="2" t="str">
        <f>IF(Iterations[[#This Row],[Step]] =current_step, current_Grad_e,IF(Iterations[[#This Row],[Step]] &gt; current_step, "",Iterations[[#This Row],[Grad_e]]))</f>
        <v/>
      </c>
    </row>
    <row r="476" spans="6:18" x14ac:dyDescent="0.3">
      <c r="F476" s="2">
        <f t="shared" si="9"/>
        <v>459</v>
      </c>
      <c r="G476" s="2" t="str">
        <f>IF(Iterations[[#This Row],[Step]] =current_step, current_a,IF(Iterations[[#This Row],[Step]] &gt; current_step, "",Iterations[[#This Row],[a]]))</f>
        <v/>
      </c>
      <c r="H476" s="2" t="str">
        <f>IF(Iterations[[#This Row],[Step]] =current_step, current_b,IF(Iterations[[#This Row],[Step]] &gt; current_step, "",Iterations[[#This Row],[b]]))</f>
        <v/>
      </c>
      <c r="I476" s="2" t="str">
        <f>IF(Iterations[[#This Row],[Step]] =current_step, current_c,IF(Iterations[[#This Row],[Step]] &gt; current_step, "",Iterations[[#This Row],[c]]))</f>
        <v/>
      </c>
      <c r="J476" s="2" t="str">
        <f>IF(Iterations[[#This Row],[Step]] =current_step, current_d,IF(Iterations[[#This Row],[Step]] &gt; current_step, "",Iterations[[#This Row],[d]]))</f>
        <v/>
      </c>
      <c r="K476" s="2" t="str">
        <f>IF(Iterations[[#This Row],[Step]] =current_step, current_e,IF(Iterations[[#This Row],[Step]] &gt; current_step, "",Iterations[[#This Row],[e]]))</f>
        <v/>
      </c>
      <c r="L476" s="2" t="str">
        <f>IF(Iterations[[#This Row],[Step]] =current_step, current_Total_Loss,IF(Iterations[[#This Row],[Step]] &gt; current_step, "",Iterations[[#This Row],[Total Loss]]))</f>
        <v/>
      </c>
      <c r="M476" s="6" t="s">
        <v>27</v>
      </c>
      <c r="N476" s="2" t="str">
        <f>IF(Iterations[[#This Row],[Step]] =current_step, current_Grad_a,IF(Iterations[[#This Row],[Step]] &gt; current_step, "",Iterations[[#This Row],[Grad_a]]))</f>
        <v/>
      </c>
      <c r="O476" s="2" t="str">
        <f>IF(Iterations[[#This Row],[Step]] =current_step, current_Grad_b,IF(Iterations[[#This Row],[Step]] &gt; current_step, "",Iterations[[#This Row],[Grad_b]]))</f>
        <v/>
      </c>
      <c r="P476" s="2" t="str">
        <f>IF(Iterations[[#This Row],[Step]] =current_step, current_Grad_c,IF(Iterations[[#This Row],[Step]] &gt; current_step, "",Iterations[[#This Row],[Grad_c]]))</f>
        <v/>
      </c>
      <c r="Q476" s="2" t="str">
        <f>IF(Iterations[[#This Row],[Step]] =current_step, current_Grad_d,IF(Iterations[[#This Row],[Step]] &gt; current_step, "",Iterations[[#This Row],[Grad_d]]))</f>
        <v/>
      </c>
      <c r="R476" s="2" t="str">
        <f>IF(Iterations[[#This Row],[Step]] =current_step, current_Grad_e,IF(Iterations[[#This Row],[Step]] &gt; current_step, "",Iterations[[#This Row],[Grad_e]]))</f>
        <v/>
      </c>
    </row>
    <row r="477" spans="6:18" x14ac:dyDescent="0.3">
      <c r="F477" s="2">
        <f t="shared" si="9"/>
        <v>460</v>
      </c>
      <c r="G477" s="2" t="str">
        <f>IF(Iterations[[#This Row],[Step]] =current_step, current_a,IF(Iterations[[#This Row],[Step]] &gt; current_step, "",Iterations[[#This Row],[a]]))</f>
        <v/>
      </c>
      <c r="H477" s="2" t="str">
        <f>IF(Iterations[[#This Row],[Step]] =current_step, current_b,IF(Iterations[[#This Row],[Step]] &gt; current_step, "",Iterations[[#This Row],[b]]))</f>
        <v/>
      </c>
      <c r="I477" s="2" t="str">
        <f>IF(Iterations[[#This Row],[Step]] =current_step, current_c,IF(Iterations[[#This Row],[Step]] &gt; current_step, "",Iterations[[#This Row],[c]]))</f>
        <v/>
      </c>
      <c r="J477" s="2" t="str">
        <f>IF(Iterations[[#This Row],[Step]] =current_step, current_d,IF(Iterations[[#This Row],[Step]] &gt; current_step, "",Iterations[[#This Row],[d]]))</f>
        <v/>
      </c>
      <c r="K477" s="2" t="str">
        <f>IF(Iterations[[#This Row],[Step]] =current_step, current_e,IF(Iterations[[#This Row],[Step]] &gt; current_step, "",Iterations[[#This Row],[e]]))</f>
        <v/>
      </c>
      <c r="L477" s="2" t="str">
        <f>IF(Iterations[[#This Row],[Step]] =current_step, current_Total_Loss,IF(Iterations[[#This Row],[Step]] &gt; current_step, "",Iterations[[#This Row],[Total Loss]]))</f>
        <v/>
      </c>
      <c r="M477" s="6" t="s">
        <v>27</v>
      </c>
      <c r="N477" s="2" t="str">
        <f>IF(Iterations[[#This Row],[Step]] =current_step, current_Grad_a,IF(Iterations[[#This Row],[Step]] &gt; current_step, "",Iterations[[#This Row],[Grad_a]]))</f>
        <v/>
      </c>
      <c r="O477" s="2" t="str">
        <f>IF(Iterations[[#This Row],[Step]] =current_step, current_Grad_b,IF(Iterations[[#This Row],[Step]] &gt; current_step, "",Iterations[[#This Row],[Grad_b]]))</f>
        <v/>
      </c>
      <c r="P477" s="2" t="str">
        <f>IF(Iterations[[#This Row],[Step]] =current_step, current_Grad_c,IF(Iterations[[#This Row],[Step]] &gt; current_step, "",Iterations[[#This Row],[Grad_c]]))</f>
        <v/>
      </c>
      <c r="Q477" s="2" t="str">
        <f>IF(Iterations[[#This Row],[Step]] =current_step, current_Grad_d,IF(Iterations[[#This Row],[Step]] &gt; current_step, "",Iterations[[#This Row],[Grad_d]]))</f>
        <v/>
      </c>
      <c r="R477" s="2" t="str">
        <f>IF(Iterations[[#This Row],[Step]] =current_step, current_Grad_e,IF(Iterations[[#This Row],[Step]] &gt; current_step, "",Iterations[[#This Row],[Grad_e]]))</f>
        <v/>
      </c>
    </row>
    <row r="478" spans="6:18" x14ac:dyDescent="0.3">
      <c r="F478" s="2">
        <f t="shared" si="9"/>
        <v>461</v>
      </c>
      <c r="G478" s="2" t="str">
        <f>IF(Iterations[[#This Row],[Step]] =current_step, current_a,IF(Iterations[[#This Row],[Step]] &gt; current_step, "",Iterations[[#This Row],[a]]))</f>
        <v/>
      </c>
      <c r="H478" s="2" t="str">
        <f>IF(Iterations[[#This Row],[Step]] =current_step, current_b,IF(Iterations[[#This Row],[Step]] &gt; current_step, "",Iterations[[#This Row],[b]]))</f>
        <v/>
      </c>
      <c r="I478" s="2" t="str">
        <f>IF(Iterations[[#This Row],[Step]] =current_step, current_c,IF(Iterations[[#This Row],[Step]] &gt; current_step, "",Iterations[[#This Row],[c]]))</f>
        <v/>
      </c>
      <c r="J478" s="2" t="str">
        <f>IF(Iterations[[#This Row],[Step]] =current_step, current_d,IF(Iterations[[#This Row],[Step]] &gt; current_step, "",Iterations[[#This Row],[d]]))</f>
        <v/>
      </c>
      <c r="K478" s="2" t="str">
        <f>IF(Iterations[[#This Row],[Step]] =current_step, current_e,IF(Iterations[[#This Row],[Step]] &gt; current_step, "",Iterations[[#This Row],[e]]))</f>
        <v/>
      </c>
      <c r="L478" s="2" t="str">
        <f>IF(Iterations[[#This Row],[Step]] =current_step, current_Total_Loss,IF(Iterations[[#This Row],[Step]] &gt; current_step, "",Iterations[[#This Row],[Total Loss]]))</f>
        <v/>
      </c>
      <c r="M478" s="6" t="s">
        <v>27</v>
      </c>
      <c r="N478" s="2" t="str">
        <f>IF(Iterations[[#This Row],[Step]] =current_step, current_Grad_a,IF(Iterations[[#This Row],[Step]] &gt; current_step, "",Iterations[[#This Row],[Grad_a]]))</f>
        <v/>
      </c>
      <c r="O478" s="2" t="str">
        <f>IF(Iterations[[#This Row],[Step]] =current_step, current_Grad_b,IF(Iterations[[#This Row],[Step]] &gt; current_step, "",Iterations[[#This Row],[Grad_b]]))</f>
        <v/>
      </c>
      <c r="P478" s="2" t="str">
        <f>IF(Iterations[[#This Row],[Step]] =current_step, current_Grad_c,IF(Iterations[[#This Row],[Step]] &gt; current_step, "",Iterations[[#This Row],[Grad_c]]))</f>
        <v/>
      </c>
      <c r="Q478" s="2" t="str">
        <f>IF(Iterations[[#This Row],[Step]] =current_step, current_Grad_d,IF(Iterations[[#This Row],[Step]] &gt; current_step, "",Iterations[[#This Row],[Grad_d]]))</f>
        <v/>
      </c>
      <c r="R478" s="2" t="str">
        <f>IF(Iterations[[#This Row],[Step]] =current_step, current_Grad_e,IF(Iterations[[#This Row],[Step]] &gt; current_step, "",Iterations[[#This Row],[Grad_e]]))</f>
        <v/>
      </c>
    </row>
    <row r="479" spans="6:18" x14ac:dyDescent="0.3">
      <c r="F479" s="2">
        <f t="shared" si="9"/>
        <v>462</v>
      </c>
      <c r="G479" s="2" t="str">
        <f>IF(Iterations[[#This Row],[Step]] =current_step, current_a,IF(Iterations[[#This Row],[Step]] &gt; current_step, "",Iterations[[#This Row],[a]]))</f>
        <v/>
      </c>
      <c r="H479" s="2" t="str">
        <f>IF(Iterations[[#This Row],[Step]] =current_step, current_b,IF(Iterations[[#This Row],[Step]] &gt; current_step, "",Iterations[[#This Row],[b]]))</f>
        <v/>
      </c>
      <c r="I479" s="2" t="str">
        <f>IF(Iterations[[#This Row],[Step]] =current_step, current_c,IF(Iterations[[#This Row],[Step]] &gt; current_step, "",Iterations[[#This Row],[c]]))</f>
        <v/>
      </c>
      <c r="J479" s="2" t="str">
        <f>IF(Iterations[[#This Row],[Step]] =current_step, current_d,IF(Iterations[[#This Row],[Step]] &gt; current_step, "",Iterations[[#This Row],[d]]))</f>
        <v/>
      </c>
      <c r="K479" s="2" t="str">
        <f>IF(Iterations[[#This Row],[Step]] =current_step, current_e,IF(Iterations[[#This Row],[Step]] &gt; current_step, "",Iterations[[#This Row],[e]]))</f>
        <v/>
      </c>
      <c r="L479" s="2" t="str">
        <f>IF(Iterations[[#This Row],[Step]] =current_step, current_Total_Loss,IF(Iterations[[#This Row],[Step]] &gt; current_step, "",Iterations[[#This Row],[Total Loss]]))</f>
        <v/>
      </c>
      <c r="M479" s="6" t="s">
        <v>27</v>
      </c>
      <c r="N479" s="2" t="str">
        <f>IF(Iterations[[#This Row],[Step]] =current_step, current_Grad_a,IF(Iterations[[#This Row],[Step]] &gt; current_step, "",Iterations[[#This Row],[Grad_a]]))</f>
        <v/>
      </c>
      <c r="O479" s="2" t="str">
        <f>IF(Iterations[[#This Row],[Step]] =current_step, current_Grad_b,IF(Iterations[[#This Row],[Step]] &gt; current_step, "",Iterations[[#This Row],[Grad_b]]))</f>
        <v/>
      </c>
      <c r="P479" s="2" t="str">
        <f>IF(Iterations[[#This Row],[Step]] =current_step, current_Grad_c,IF(Iterations[[#This Row],[Step]] &gt; current_step, "",Iterations[[#This Row],[Grad_c]]))</f>
        <v/>
      </c>
      <c r="Q479" s="2" t="str">
        <f>IF(Iterations[[#This Row],[Step]] =current_step, current_Grad_d,IF(Iterations[[#This Row],[Step]] &gt; current_step, "",Iterations[[#This Row],[Grad_d]]))</f>
        <v/>
      </c>
      <c r="R479" s="2" t="str">
        <f>IF(Iterations[[#This Row],[Step]] =current_step, current_Grad_e,IF(Iterations[[#This Row],[Step]] &gt; current_step, "",Iterations[[#This Row],[Grad_e]]))</f>
        <v/>
      </c>
    </row>
    <row r="480" spans="6:18" x14ac:dyDescent="0.3">
      <c r="F480" s="2">
        <f t="shared" si="9"/>
        <v>463</v>
      </c>
      <c r="G480" s="2" t="str">
        <f>IF(Iterations[[#This Row],[Step]] =current_step, current_a,IF(Iterations[[#This Row],[Step]] &gt; current_step, "",Iterations[[#This Row],[a]]))</f>
        <v/>
      </c>
      <c r="H480" s="2" t="str">
        <f>IF(Iterations[[#This Row],[Step]] =current_step, current_b,IF(Iterations[[#This Row],[Step]] &gt; current_step, "",Iterations[[#This Row],[b]]))</f>
        <v/>
      </c>
      <c r="I480" s="2" t="str">
        <f>IF(Iterations[[#This Row],[Step]] =current_step, current_c,IF(Iterations[[#This Row],[Step]] &gt; current_step, "",Iterations[[#This Row],[c]]))</f>
        <v/>
      </c>
      <c r="J480" s="2" t="str">
        <f>IF(Iterations[[#This Row],[Step]] =current_step, current_d,IF(Iterations[[#This Row],[Step]] &gt; current_step, "",Iterations[[#This Row],[d]]))</f>
        <v/>
      </c>
      <c r="K480" s="2" t="str">
        <f>IF(Iterations[[#This Row],[Step]] =current_step, current_e,IF(Iterations[[#This Row],[Step]] &gt; current_step, "",Iterations[[#This Row],[e]]))</f>
        <v/>
      </c>
      <c r="L480" s="2" t="str">
        <f>IF(Iterations[[#This Row],[Step]] =current_step, current_Total_Loss,IF(Iterations[[#This Row],[Step]] &gt; current_step, "",Iterations[[#This Row],[Total Loss]]))</f>
        <v/>
      </c>
      <c r="M480" s="6" t="s">
        <v>27</v>
      </c>
      <c r="N480" s="2" t="str">
        <f>IF(Iterations[[#This Row],[Step]] =current_step, current_Grad_a,IF(Iterations[[#This Row],[Step]] &gt; current_step, "",Iterations[[#This Row],[Grad_a]]))</f>
        <v/>
      </c>
      <c r="O480" s="2" t="str">
        <f>IF(Iterations[[#This Row],[Step]] =current_step, current_Grad_b,IF(Iterations[[#This Row],[Step]] &gt; current_step, "",Iterations[[#This Row],[Grad_b]]))</f>
        <v/>
      </c>
      <c r="P480" s="2" t="str">
        <f>IF(Iterations[[#This Row],[Step]] =current_step, current_Grad_c,IF(Iterations[[#This Row],[Step]] &gt; current_step, "",Iterations[[#This Row],[Grad_c]]))</f>
        <v/>
      </c>
      <c r="Q480" s="2" t="str">
        <f>IF(Iterations[[#This Row],[Step]] =current_step, current_Grad_d,IF(Iterations[[#This Row],[Step]] &gt; current_step, "",Iterations[[#This Row],[Grad_d]]))</f>
        <v/>
      </c>
      <c r="R480" s="2" t="str">
        <f>IF(Iterations[[#This Row],[Step]] =current_step, current_Grad_e,IF(Iterations[[#This Row],[Step]] &gt; current_step, "",Iterations[[#This Row],[Grad_e]]))</f>
        <v/>
      </c>
    </row>
    <row r="481" spans="6:18" x14ac:dyDescent="0.3">
      <c r="F481" s="2">
        <f t="shared" si="9"/>
        <v>464</v>
      </c>
      <c r="G481" s="2" t="str">
        <f>IF(Iterations[[#This Row],[Step]] =current_step, current_a,IF(Iterations[[#This Row],[Step]] &gt; current_step, "",Iterations[[#This Row],[a]]))</f>
        <v/>
      </c>
      <c r="H481" s="2" t="str">
        <f>IF(Iterations[[#This Row],[Step]] =current_step, current_b,IF(Iterations[[#This Row],[Step]] &gt; current_step, "",Iterations[[#This Row],[b]]))</f>
        <v/>
      </c>
      <c r="I481" s="2" t="str">
        <f>IF(Iterations[[#This Row],[Step]] =current_step, current_c,IF(Iterations[[#This Row],[Step]] &gt; current_step, "",Iterations[[#This Row],[c]]))</f>
        <v/>
      </c>
      <c r="J481" s="2" t="str">
        <f>IF(Iterations[[#This Row],[Step]] =current_step, current_d,IF(Iterations[[#This Row],[Step]] &gt; current_step, "",Iterations[[#This Row],[d]]))</f>
        <v/>
      </c>
      <c r="K481" s="2" t="str">
        <f>IF(Iterations[[#This Row],[Step]] =current_step, current_e,IF(Iterations[[#This Row],[Step]] &gt; current_step, "",Iterations[[#This Row],[e]]))</f>
        <v/>
      </c>
      <c r="L481" s="2" t="str">
        <f>IF(Iterations[[#This Row],[Step]] =current_step, current_Total_Loss,IF(Iterations[[#This Row],[Step]] &gt; current_step, "",Iterations[[#This Row],[Total Loss]]))</f>
        <v/>
      </c>
      <c r="M481" s="6" t="s">
        <v>27</v>
      </c>
      <c r="N481" s="2" t="str">
        <f>IF(Iterations[[#This Row],[Step]] =current_step, current_Grad_a,IF(Iterations[[#This Row],[Step]] &gt; current_step, "",Iterations[[#This Row],[Grad_a]]))</f>
        <v/>
      </c>
      <c r="O481" s="2" t="str">
        <f>IF(Iterations[[#This Row],[Step]] =current_step, current_Grad_b,IF(Iterations[[#This Row],[Step]] &gt; current_step, "",Iterations[[#This Row],[Grad_b]]))</f>
        <v/>
      </c>
      <c r="P481" s="2" t="str">
        <f>IF(Iterations[[#This Row],[Step]] =current_step, current_Grad_c,IF(Iterations[[#This Row],[Step]] &gt; current_step, "",Iterations[[#This Row],[Grad_c]]))</f>
        <v/>
      </c>
      <c r="Q481" s="2" t="str">
        <f>IF(Iterations[[#This Row],[Step]] =current_step, current_Grad_d,IF(Iterations[[#This Row],[Step]] &gt; current_step, "",Iterations[[#This Row],[Grad_d]]))</f>
        <v/>
      </c>
      <c r="R481" s="2" t="str">
        <f>IF(Iterations[[#This Row],[Step]] =current_step, current_Grad_e,IF(Iterations[[#This Row],[Step]] &gt; current_step, "",Iterations[[#This Row],[Grad_e]]))</f>
        <v/>
      </c>
    </row>
    <row r="482" spans="6:18" x14ac:dyDescent="0.3">
      <c r="F482" s="2">
        <f t="shared" si="9"/>
        <v>465</v>
      </c>
      <c r="G482" s="2" t="str">
        <f>IF(Iterations[[#This Row],[Step]] =current_step, current_a,IF(Iterations[[#This Row],[Step]] &gt; current_step, "",Iterations[[#This Row],[a]]))</f>
        <v/>
      </c>
      <c r="H482" s="2" t="str">
        <f>IF(Iterations[[#This Row],[Step]] =current_step, current_b,IF(Iterations[[#This Row],[Step]] &gt; current_step, "",Iterations[[#This Row],[b]]))</f>
        <v/>
      </c>
      <c r="I482" s="2" t="str">
        <f>IF(Iterations[[#This Row],[Step]] =current_step, current_c,IF(Iterations[[#This Row],[Step]] &gt; current_step, "",Iterations[[#This Row],[c]]))</f>
        <v/>
      </c>
      <c r="J482" s="2" t="str">
        <f>IF(Iterations[[#This Row],[Step]] =current_step, current_d,IF(Iterations[[#This Row],[Step]] &gt; current_step, "",Iterations[[#This Row],[d]]))</f>
        <v/>
      </c>
      <c r="K482" s="2" t="str">
        <f>IF(Iterations[[#This Row],[Step]] =current_step, current_e,IF(Iterations[[#This Row],[Step]] &gt; current_step, "",Iterations[[#This Row],[e]]))</f>
        <v/>
      </c>
      <c r="L482" s="2" t="str">
        <f>IF(Iterations[[#This Row],[Step]] =current_step, current_Total_Loss,IF(Iterations[[#This Row],[Step]] &gt; current_step, "",Iterations[[#This Row],[Total Loss]]))</f>
        <v/>
      </c>
      <c r="M482" s="6" t="s">
        <v>27</v>
      </c>
      <c r="N482" s="2" t="str">
        <f>IF(Iterations[[#This Row],[Step]] =current_step, current_Grad_a,IF(Iterations[[#This Row],[Step]] &gt; current_step, "",Iterations[[#This Row],[Grad_a]]))</f>
        <v/>
      </c>
      <c r="O482" s="2" t="str">
        <f>IF(Iterations[[#This Row],[Step]] =current_step, current_Grad_b,IF(Iterations[[#This Row],[Step]] &gt; current_step, "",Iterations[[#This Row],[Grad_b]]))</f>
        <v/>
      </c>
      <c r="P482" s="2" t="str">
        <f>IF(Iterations[[#This Row],[Step]] =current_step, current_Grad_c,IF(Iterations[[#This Row],[Step]] &gt; current_step, "",Iterations[[#This Row],[Grad_c]]))</f>
        <v/>
      </c>
      <c r="Q482" s="2" t="str">
        <f>IF(Iterations[[#This Row],[Step]] =current_step, current_Grad_d,IF(Iterations[[#This Row],[Step]] &gt; current_step, "",Iterations[[#This Row],[Grad_d]]))</f>
        <v/>
      </c>
      <c r="R482" s="2" t="str">
        <f>IF(Iterations[[#This Row],[Step]] =current_step, current_Grad_e,IF(Iterations[[#This Row],[Step]] &gt; current_step, "",Iterations[[#This Row],[Grad_e]]))</f>
        <v/>
      </c>
    </row>
    <row r="483" spans="6:18" x14ac:dyDescent="0.3">
      <c r="F483" s="2">
        <f t="shared" si="9"/>
        <v>466</v>
      </c>
      <c r="G483" s="2" t="str">
        <f>IF(Iterations[[#This Row],[Step]] =current_step, current_a,IF(Iterations[[#This Row],[Step]] &gt; current_step, "",Iterations[[#This Row],[a]]))</f>
        <v/>
      </c>
      <c r="H483" s="2" t="str">
        <f>IF(Iterations[[#This Row],[Step]] =current_step, current_b,IF(Iterations[[#This Row],[Step]] &gt; current_step, "",Iterations[[#This Row],[b]]))</f>
        <v/>
      </c>
      <c r="I483" s="2" t="str">
        <f>IF(Iterations[[#This Row],[Step]] =current_step, current_c,IF(Iterations[[#This Row],[Step]] &gt; current_step, "",Iterations[[#This Row],[c]]))</f>
        <v/>
      </c>
      <c r="J483" s="2" t="str">
        <f>IF(Iterations[[#This Row],[Step]] =current_step, current_d,IF(Iterations[[#This Row],[Step]] &gt; current_step, "",Iterations[[#This Row],[d]]))</f>
        <v/>
      </c>
      <c r="K483" s="2" t="str">
        <f>IF(Iterations[[#This Row],[Step]] =current_step, current_e,IF(Iterations[[#This Row],[Step]] &gt; current_step, "",Iterations[[#This Row],[e]]))</f>
        <v/>
      </c>
      <c r="L483" s="2" t="str">
        <f>IF(Iterations[[#This Row],[Step]] =current_step, current_Total_Loss,IF(Iterations[[#This Row],[Step]] &gt; current_step, "",Iterations[[#This Row],[Total Loss]]))</f>
        <v/>
      </c>
      <c r="M483" s="6" t="s">
        <v>27</v>
      </c>
      <c r="N483" s="2" t="str">
        <f>IF(Iterations[[#This Row],[Step]] =current_step, current_Grad_a,IF(Iterations[[#This Row],[Step]] &gt; current_step, "",Iterations[[#This Row],[Grad_a]]))</f>
        <v/>
      </c>
      <c r="O483" s="2" t="str">
        <f>IF(Iterations[[#This Row],[Step]] =current_step, current_Grad_b,IF(Iterations[[#This Row],[Step]] &gt; current_step, "",Iterations[[#This Row],[Grad_b]]))</f>
        <v/>
      </c>
      <c r="P483" s="2" t="str">
        <f>IF(Iterations[[#This Row],[Step]] =current_step, current_Grad_c,IF(Iterations[[#This Row],[Step]] &gt; current_step, "",Iterations[[#This Row],[Grad_c]]))</f>
        <v/>
      </c>
      <c r="Q483" s="2" t="str">
        <f>IF(Iterations[[#This Row],[Step]] =current_step, current_Grad_d,IF(Iterations[[#This Row],[Step]] &gt; current_step, "",Iterations[[#This Row],[Grad_d]]))</f>
        <v/>
      </c>
      <c r="R483" s="2" t="str">
        <f>IF(Iterations[[#This Row],[Step]] =current_step, current_Grad_e,IF(Iterations[[#This Row],[Step]] &gt; current_step, "",Iterations[[#This Row],[Grad_e]]))</f>
        <v/>
      </c>
    </row>
    <row r="484" spans="6:18" x14ac:dyDescent="0.3">
      <c r="F484" s="2">
        <f t="shared" si="9"/>
        <v>467</v>
      </c>
      <c r="G484" s="2" t="str">
        <f>IF(Iterations[[#This Row],[Step]] =current_step, current_a,IF(Iterations[[#This Row],[Step]] &gt; current_step, "",Iterations[[#This Row],[a]]))</f>
        <v/>
      </c>
      <c r="H484" s="2" t="str">
        <f>IF(Iterations[[#This Row],[Step]] =current_step, current_b,IF(Iterations[[#This Row],[Step]] &gt; current_step, "",Iterations[[#This Row],[b]]))</f>
        <v/>
      </c>
      <c r="I484" s="2" t="str">
        <f>IF(Iterations[[#This Row],[Step]] =current_step, current_c,IF(Iterations[[#This Row],[Step]] &gt; current_step, "",Iterations[[#This Row],[c]]))</f>
        <v/>
      </c>
      <c r="J484" s="2" t="str">
        <f>IF(Iterations[[#This Row],[Step]] =current_step, current_d,IF(Iterations[[#This Row],[Step]] &gt; current_step, "",Iterations[[#This Row],[d]]))</f>
        <v/>
      </c>
      <c r="K484" s="2" t="str">
        <f>IF(Iterations[[#This Row],[Step]] =current_step, current_e,IF(Iterations[[#This Row],[Step]] &gt; current_step, "",Iterations[[#This Row],[e]]))</f>
        <v/>
      </c>
      <c r="L484" s="2" t="str">
        <f>IF(Iterations[[#This Row],[Step]] =current_step, current_Total_Loss,IF(Iterations[[#This Row],[Step]] &gt; current_step, "",Iterations[[#This Row],[Total Loss]]))</f>
        <v/>
      </c>
      <c r="M484" s="6" t="s">
        <v>27</v>
      </c>
      <c r="N484" s="2" t="str">
        <f>IF(Iterations[[#This Row],[Step]] =current_step, current_Grad_a,IF(Iterations[[#This Row],[Step]] &gt; current_step, "",Iterations[[#This Row],[Grad_a]]))</f>
        <v/>
      </c>
      <c r="O484" s="2" t="str">
        <f>IF(Iterations[[#This Row],[Step]] =current_step, current_Grad_b,IF(Iterations[[#This Row],[Step]] &gt; current_step, "",Iterations[[#This Row],[Grad_b]]))</f>
        <v/>
      </c>
      <c r="P484" s="2" t="str">
        <f>IF(Iterations[[#This Row],[Step]] =current_step, current_Grad_c,IF(Iterations[[#This Row],[Step]] &gt; current_step, "",Iterations[[#This Row],[Grad_c]]))</f>
        <v/>
      </c>
      <c r="Q484" s="2" t="str">
        <f>IF(Iterations[[#This Row],[Step]] =current_step, current_Grad_d,IF(Iterations[[#This Row],[Step]] &gt; current_step, "",Iterations[[#This Row],[Grad_d]]))</f>
        <v/>
      </c>
      <c r="R484" s="2" t="str">
        <f>IF(Iterations[[#This Row],[Step]] =current_step, current_Grad_e,IF(Iterations[[#This Row],[Step]] &gt; current_step, "",Iterations[[#This Row],[Grad_e]]))</f>
        <v/>
      </c>
    </row>
    <row r="485" spans="6:18" x14ac:dyDescent="0.3">
      <c r="F485" s="2">
        <f t="shared" si="9"/>
        <v>468</v>
      </c>
      <c r="G485" s="2" t="str">
        <f>IF(Iterations[[#This Row],[Step]] =current_step, current_a,IF(Iterations[[#This Row],[Step]] &gt; current_step, "",Iterations[[#This Row],[a]]))</f>
        <v/>
      </c>
      <c r="H485" s="2" t="str">
        <f>IF(Iterations[[#This Row],[Step]] =current_step, current_b,IF(Iterations[[#This Row],[Step]] &gt; current_step, "",Iterations[[#This Row],[b]]))</f>
        <v/>
      </c>
      <c r="I485" s="2" t="str">
        <f>IF(Iterations[[#This Row],[Step]] =current_step, current_c,IF(Iterations[[#This Row],[Step]] &gt; current_step, "",Iterations[[#This Row],[c]]))</f>
        <v/>
      </c>
      <c r="J485" s="2" t="str">
        <f>IF(Iterations[[#This Row],[Step]] =current_step, current_d,IF(Iterations[[#This Row],[Step]] &gt; current_step, "",Iterations[[#This Row],[d]]))</f>
        <v/>
      </c>
      <c r="K485" s="2" t="str">
        <f>IF(Iterations[[#This Row],[Step]] =current_step, current_e,IF(Iterations[[#This Row],[Step]] &gt; current_step, "",Iterations[[#This Row],[e]]))</f>
        <v/>
      </c>
      <c r="L485" s="2" t="str">
        <f>IF(Iterations[[#This Row],[Step]] =current_step, current_Total_Loss,IF(Iterations[[#This Row],[Step]] &gt; current_step, "",Iterations[[#This Row],[Total Loss]]))</f>
        <v/>
      </c>
      <c r="M485" s="6" t="s">
        <v>27</v>
      </c>
      <c r="N485" s="2" t="str">
        <f>IF(Iterations[[#This Row],[Step]] =current_step, current_Grad_a,IF(Iterations[[#This Row],[Step]] &gt; current_step, "",Iterations[[#This Row],[Grad_a]]))</f>
        <v/>
      </c>
      <c r="O485" s="2" t="str">
        <f>IF(Iterations[[#This Row],[Step]] =current_step, current_Grad_b,IF(Iterations[[#This Row],[Step]] &gt; current_step, "",Iterations[[#This Row],[Grad_b]]))</f>
        <v/>
      </c>
      <c r="P485" s="2" t="str">
        <f>IF(Iterations[[#This Row],[Step]] =current_step, current_Grad_c,IF(Iterations[[#This Row],[Step]] &gt; current_step, "",Iterations[[#This Row],[Grad_c]]))</f>
        <v/>
      </c>
      <c r="Q485" s="2" t="str">
        <f>IF(Iterations[[#This Row],[Step]] =current_step, current_Grad_d,IF(Iterations[[#This Row],[Step]] &gt; current_step, "",Iterations[[#This Row],[Grad_d]]))</f>
        <v/>
      </c>
      <c r="R485" s="2" t="str">
        <f>IF(Iterations[[#This Row],[Step]] =current_step, current_Grad_e,IF(Iterations[[#This Row],[Step]] &gt; current_step, "",Iterations[[#This Row],[Grad_e]]))</f>
        <v/>
      </c>
    </row>
    <row r="486" spans="6:18" x14ac:dyDescent="0.3">
      <c r="F486" s="2">
        <f t="shared" si="9"/>
        <v>469</v>
      </c>
      <c r="G486" s="2" t="str">
        <f>IF(Iterations[[#This Row],[Step]] =current_step, current_a,IF(Iterations[[#This Row],[Step]] &gt; current_step, "",Iterations[[#This Row],[a]]))</f>
        <v/>
      </c>
      <c r="H486" s="2" t="str">
        <f>IF(Iterations[[#This Row],[Step]] =current_step, current_b,IF(Iterations[[#This Row],[Step]] &gt; current_step, "",Iterations[[#This Row],[b]]))</f>
        <v/>
      </c>
      <c r="I486" s="2" t="str">
        <f>IF(Iterations[[#This Row],[Step]] =current_step, current_c,IF(Iterations[[#This Row],[Step]] &gt; current_step, "",Iterations[[#This Row],[c]]))</f>
        <v/>
      </c>
      <c r="J486" s="2" t="str">
        <f>IF(Iterations[[#This Row],[Step]] =current_step, current_d,IF(Iterations[[#This Row],[Step]] &gt; current_step, "",Iterations[[#This Row],[d]]))</f>
        <v/>
      </c>
      <c r="K486" s="2" t="str">
        <f>IF(Iterations[[#This Row],[Step]] =current_step, current_e,IF(Iterations[[#This Row],[Step]] &gt; current_step, "",Iterations[[#This Row],[e]]))</f>
        <v/>
      </c>
      <c r="L486" s="2" t="str">
        <f>IF(Iterations[[#This Row],[Step]] =current_step, current_Total_Loss,IF(Iterations[[#This Row],[Step]] &gt; current_step, "",Iterations[[#This Row],[Total Loss]]))</f>
        <v/>
      </c>
      <c r="M486" s="6" t="s">
        <v>27</v>
      </c>
      <c r="N486" s="2" t="str">
        <f>IF(Iterations[[#This Row],[Step]] =current_step, current_Grad_a,IF(Iterations[[#This Row],[Step]] &gt; current_step, "",Iterations[[#This Row],[Grad_a]]))</f>
        <v/>
      </c>
      <c r="O486" s="2" t="str">
        <f>IF(Iterations[[#This Row],[Step]] =current_step, current_Grad_b,IF(Iterations[[#This Row],[Step]] &gt; current_step, "",Iterations[[#This Row],[Grad_b]]))</f>
        <v/>
      </c>
      <c r="P486" s="2" t="str">
        <f>IF(Iterations[[#This Row],[Step]] =current_step, current_Grad_c,IF(Iterations[[#This Row],[Step]] &gt; current_step, "",Iterations[[#This Row],[Grad_c]]))</f>
        <v/>
      </c>
      <c r="Q486" s="2" t="str">
        <f>IF(Iterations[[#This Row],[Step]] =current_step, current_Grad_d,IF(Iterations[[#This Row],[Step]] &gt; current_step, "",Iterations[[#This Row],[Grad_d]]))</f>
        <v/>
      </c>
      <c r="R486" s="2" t="str">
        <f>IF(Iterations[[#This Row],[Step]] =current_step, current_Grad_e,IF(Iterations[[#This Row],[Step]] &gt; current_step, "",Iterations[[#This Row],[Grad_e]]))</f>
        <v/>
      </c>
    </row>
    <row r="487" spans="6:18" x14ac:dyDescent="0.3">
      <c r="F487" s="2">
        <f t="shared" si="9"/>
        <v>470</v>
      </c>
      <c r="G487" s="2" t="str">
        <f>IF(Iterations[[#This Row],[Step]] =current_step, current_a,IF(Iterations[[#This Row],[Step]] &gt; current_step, "",Iterations[[#This Row],[a]]))</f>
        <v/>
      </c>
      <c r="H487" s="2" t="str">
        <f>IF(Iterations[[#This Row],[Step]] =current_step, current_b,IF(Iterations[[#This Row],[Step]] &gt; current_step, "",Iterations[[#This Row],[b]]))</f>
        <v/>
      </c>
      <c r="I487" s="2" t="str">
        <f>IF(Iterations[[#This Row],[Step]] =current_step, current_c,IF(Iterations[[#This Row],[Step]] &gt; current_step, "",Iterations[[#This Row],[c]]))</f>
        <v/>
      </c>
      <c r="J487" s="2" t="str">
        <f>IF(Iterations[[#This Row],[Step]] =current_step, current_d,IF(Iterations[[#This Row],[Step]] &gt; current_step, "",Iterations[[#This Row],[d]]))</f>
        <v/>
      </c>
      <c r="K487" s="2" t="str">
        <f>IF(Iterations[[#This Row],[Step]] =current_step, current_e,IF(Iterations[[#This Row],[Step]] &gt; current_step, "",Iterations[[#This Row],[e]]))</f>
        <v/>
      </c>
      <c r="L487" s="2" t="str">
        <f>IF(Iterations[[#This Row],[Step]] =current_step, current_Total_Loss,IF(Iterations[[#This Row],[Step]] &gt; current_step, "",Iterations[[#This Row],[Total Loss]]))</f>
        <v/>
      </c>
      <c r="M487" s="6" t="s">
        <v>27</v>
      </c>
      <c r="N487" s="2" t="str">
        <f>IF(Iterations[[#This Row],[Step]] =current_step, current_Grad_a,IF(Iterations[[#This Row],[Step]] &gt; current_step, "",Iterations[[#This Row],[Grad_a]]))</f>
        <v/>
      </c>
      <c r="O487" s="2" t="str">
        <f>IF(Iterations[[#This Row],[Step]] =current_step, current_Grad_b,IF(Iterations[[#This Row],[Step]] &gt; current_step, "",Iterations[[#This Row],[Grad_b]]))</f>
        <v/>
      </c>
      <c r="P487" s="2" t="str">
        <f>IF(Iterations[[#This Row],[Step]] =current_step, current_Grad_c,IF(Iterations[[#This Row],[Step]] &gt; current_step, "",Iterations[[#This Row],[Grad_c]]))</f>
        <v/>
      </c>
      <c r="Q487" s="2" t="str">
        <f>IF(Iterations[[#This Row],[Step]] =current_step, current_Grad_d,IF(Iterations[[#This Row],[Step]] &gt; current_step, "",Iterations[[#This Row],[Grad_d]]))</f>
        <v/>
      </c>
      <c r="R487" s="2" t="str">
        <f>IF(Iterations[[#This Row],[Step]] =current_step, current_Grad_e,IF(Iterations[[#This Row],[Step]] &gt; current_step, "",Iterations[[#This Row],[Grad_e]]))</f>
        <v/>
      </c>
    </row>
    <row r="488" spans="6:18" x14ac:dyDescent="0.3">
      <c r="F488" s="2">
        <f t="shared" si="9"/>
        <v>471</v>
      </c>
      <c r="G488" s="2" t="str">
        <f>IF(Iterations[[#This Row],[Step]] =current_step, current_a,IF(Iterations[[#This Row],[Step]] &gt; current_step, "",Iterations[[#This Row],[a]]))</f>
        <v/>
      </c>
      <c r="H488" s="2" t="str">
        <f>IF(Iterations[[#This Row],[Step]] =current_step, current_b,IF(Iterations[[#This Row],[Step]] &gt; current_step, "",Iterations[[#This Row],[b]]))</f>
        <v/>
      </c>
      <c r="I488" s="2" t="str">
        <f>IF(Iterations[[#This Row],[Step]] =current_step, current_c,IF(Iterations[[#This Row],[Step]] &gt; current_step, "",Iterations[[#This Row],[c]]))</f>
        <v/>
      </c>
      <c r="J488" s="2" t="str">
        <f>IF(Iterations[[#This Row],[Step]] =current_step, current_d,IF(Iterations[[#This Row],[Step]] &gt; current_step, "",Iterations[[#This Row],[d]]))</f>
        <v/>
      </c>
      <c r="K488" s="2" t="str">
        <f>IF(Iterations[[#This Row],[Step]] =current_step, current_e,IF(Iterations[[#This Row],[Step]] &gt; current_step, "",Iterations[[#This Row],[e]]))</f>
        <v/>
      </c>
      <c r="L488" s="2" t="str">
        <f>IF(Iterations[[#This Row],[Step]] =current_step, current_Total_Loss,IF(Iterations[[#This Row],[Step]] &gt; current_step, "",Iterations[[#This Row],[Total Loss]]))</f>
        <v/>
      </c>
      <c r="M488" s="6" t="s">
        <v>27</v>
      </c>
      <c r="N488" s="2" t="str">
        <f>IF(Iterations[[#This Row],[Step]] =current_step, current_Grad_a,IF(Iterations[[#This Row],[Step]] &gt; current_step, "",Iterations[[#This Row],[Grad_a]]))</f>
        <v/>
      </c>
      <c r="O488" s="2" t="str">
        <f>IF(Iterations[[#This Row],[Step]] =current_step, current_Grad_b,IF(Iterations[[#This Row],[Step]] &gt; current_step, "",Iterations[[#This Row],[Grad_b]]))</f>
        <v/>
      </c>
      <c r="P488" s="2" t="str">
        <f>IF(Iterations[[#This Row],[Step]] =current_step, current_Grad_c,IF(Iterations[[#This Row],[Step]] &gt; current_step, "",Iterations[[#This Row],[Grad_c]]))</f>
        <v/>
      </c>
      <c r="Q488" s="2" t="str">
        <f>IF(Iterations[[#This Row],[Step]] =current_step, current_Grad_d,IF(Iterations[[#This Row],[Step]] &gt; current_step, "",Iterations[[#This Row],[Grad_d]]))</f>
        <v/>
      </c>
      <c r="R488" s="2" t="str">
        <f>IF(Iterations[[#This Row],[Step]] =current_step, current_Grad_e,IF(Iterations[[#This Row],[Step]] &gt; current_step, "",Iterations[[#This Row],[Grad_e]]))</f>
        <v/>
      </c>
    </row>
    <row r="489" spans="6:18" x14ac:dyDescent="0.3">
      <c r="F489" s="2">
        <f t="shared" si="9"/>
        <v>472</v>
      </c>
      <c r="G489" s="2" t="str">
        <f>IF(Iterations[[#This Row],[Step]] =current_step, current_a,IF(Iterations[[#This Row],[Step]] &gt; current_step, "",Iterations[[#This Row],[a]]))</f>
        <v/>
      </c>
      <c r="H489" s="2" t="str">
        <f>IF(Iterations[[#This Row],[Step]] =current_step, current_b,IF(Iterations[[#This Row],[Step]] &gt; current_step, "",Iterations[[#This Row],[b]]))</f>
        <v/>
      </c>
      <c r="I489" s="2" t="str">
        <f>IF(Iterations[[#This Row],[Step]] =current_step, current_c,IF(Iterations[[#This Row],[Step]] &gt; current_step, "",Iterations[[#This Row],[c]]))</f>
        <v/>
      </c>
      <c r="J489" s="2" t="str">
        <f>IF(Iterations[[#This Row],[Step]] =current_step, current_d,IF(Iterations[[#This Row],[Step]] &gt; current_step, "",Iterations[[#This Row],[d]]))</f>
        <v/>
      </c>
      <c r="K489" s="2" t="str">
        <f>IF(Iterations[[#This Row],[Step]] =current_step, current_e,IF(Iterations[[#This Row],[Step]] &gt; current_step, "",Iterations[[#This Row],[e]]))</f>
        <v/>
      </c>
      <c r="L489" s="2" t="str">
        <f>IF(Iterations[[#This Row],[Step]] =current_step, current_Total_Loss,IF(Iterations[[#This Row],[Step]] &gt; current_step, "",Iterations[[#This Row],[Total Loss]]))</f>
        <v/>
      </c>
      <c r="M489" s="6" t="s">
        <v>27</v>
      </c>
      <c r="N489" s="2" t="str">
        <f>IF(Iterations[[#This Row],[Step]] =current_step, current_Grad_a,IF(Iterations[[#This Row],[Step]] &gt; current_step, "",Iterations[[#This Row],[Grad_a]]))</f>
        <v/>
      </c>
      <c r="O489" s="2" t="str">
        <f>IF(Iterations[[#This Row],[Step]] =current_step, current_Grad_b,IF(Iterations[[#This Row],[Step]] &gt; current_step, "",Iterations[[#This Row],[Grad_b]]))</f>
        <v/>
      </c>
      <c r="P489" s="2" t="str">
        <f>IF(Iterations[[#This Row],[Step]] =current_step, current_Grad_c,IF(Iterations[[#This Row],[Step]] &gt; current_step, "",Iterations[[#This Row],[Grad_c]]))</f>
        <v/>
      </c>
      <c r="Q489" s="2" t="str">
        <f>IF(Iterations[[#This Row],[Step]] =current_step, current_Grad_d,IF(Iterations[[#This Row],[Step]] &gt; current_step, "",Iterations[[#This Row],[Grad_d]]))</f>
        <v/>
      </c>
      <c r="R489" s="2" t="str">
        <f>IF(Iterations[[#This Row],[Step]] =current_step, current_Grad_e,IF(Iterations[[#This Row],[Step]] &gt; current_step, "",Iterations[[#This Row],[Grad_e]]))</f>
        <v/>
      </c>
    </row>
    <row r="490" spans="6:18" x14ac:dyDescent="0.3">
      <c r="F490" s="2">
        <f t="shared" si="9"/>
        <v>473</v>
      </c>
      <c r="G490" s="2" t="str">
        <f>IF(Iterations[[#This Row],[Step]] =current_step, current_a,IF(Iterations[[#This Row],[Step]] &gt; current_step, "",Iterations[[#This Row],[a]]))</f>
        <v/>
      </c>
      <c r="H490" s="2" t="str">
        <f>IF(Iterations[[#This Row],[Step]] =current_step, current_b,IF(Iterations[[#This Row],[Step]] &gt; current_step, "",Iterations[[#This Row],[b]]))</f>
        <v/>
      </c>
      <c r="I490" s="2" t="str">
        <f>IF(Iterations[[#This Row],[Step]] =current_step, current_c,IF(Iterations[[#This Row],[Step]] &gt; current_step, "",Iterations[[#This Row],[c]]))</f>
        <v/>
      </c>
      <c r="J490" s="2" t="str">
        <f>IF(Iterations[[#This Row],[Step]] =current_step, current_d,IF(Iterations[[#This Row],[Step]] &gt; current_step, "",Iterations[[#This Row],[d]]))</f>
        <v/>
      </c>
      <c r="K490" s="2" t="str">
        <f>IF(Iterations[[#This Row],[Step]] =current_step, current_e,IF(Iterations[[#This Row],[Step]] &gt; current_step, "",Iterations[[#This Row],[e]]))</f>
        <v/>
      </c>
      <c r="L490" s="2" t="str">
        <f>IF(Iterations[[#This Row],[Step]] =current_step, current_Total_Loss,IF(Iterations[[#This Row],[Step]] &gt; current_step, "",Iterations[[#This Row],[Total Loss]]))</f>
        <v/>
      </c>
      <c r="M490" s="6" t="s">
        <v>27</v>
      </c>
      <c r="N490" s="2" t="str">
        <f>IF(Iterations[[#This Row],[Step]] =current_step, current_Grad_a,IF(Iterations[[#This Row],[Step]] &gt; current_step, "",Iterations[[#This Row],[Grad_a]]))</f>
        <v/>
      </c>
      <c r="O490" s="2" t="str">
        <f>IF(Iterations[[#This Row],[Step]] =current_step, current_Grad_b,IF(Iterations[[#This Row],[Step]] &gt; current_step, "",Iterations[[#This Row],[Grad_b]]))</f>
        <v/>
      </c>
      <c r="P490" s="2" t="str">
        <f>IF(Iterations[[#This Row],[Step]] =current_step, current_Grad_c,IF(Iterations[[#This Row],[Step]] &gt; current_step, "",Iterations[[#This Row],[Grad_c]]))</f>
        <v/>
      </c>
      <c r="Q490" s="2" t="str">
        <f>IF(Iterations[[#This Row],[Step]] =current_step, current_Grad_d,IF(Iterations[[#This Row],[Step]] &gt; current_step, "",Iterations[[#This Row],[Grad_d]]))</f>
        <v/>
      </c>
      <c r="R490" s="2" t="str">
        <f>IF(Iterations[[#This Row],[Step]] =current_step, current_Grad_e,IF(Iterations[[#This Row],[Step]] &gt; current_step, "",Iterations[[#This Row],[Grad_e]]))</f>
        <v/>
      </c>
    </row>
    <row r="491" spans="6:18" x14ac:dyDescent="0.3">
      <c r="F491" s="2">
        <f t="shared" si="9"/>
        <v>474</v>
      </c>
      <c r="G491" s="2" t="str">
        <f>IF(Iterations[[#This Row],[Step]] =current_step, current_a,IF(Iterations[[#This Row],[Step]] &gt; current_step, "",Iterations[[#This Row],[a]]))</f>
        <v/>
      </c>
      <c r="H491" s="2" t="str">
        <f>IF(Iterations[[#This Row],[Step]] =current_step, current_b,IF(Iterations[[#This Row],[Step]] &gt; current_step, "",Iterations[[#This Row],[b]]))</f>
        <v/>
      </c>
      <c r="I491" s="2" t="str">
        <f>IF(Iterations[[#This Row],[Step]] =current_step, current_c,IF(Iterations[[#This Row],[Step]] &gt; current_step, "",Iterations[[#This Row],[c]]))</f>
        <v/>
      </c>
      <c r="J491" s="2" t="str">
        <f>IF(Iterations[[#This Row],[Step]] =current_step, current_d,IF(Iterations[[#This Row],[Step]] &gt; current_step, "",Iterations[[#This Row],[d]]))</f>
        <v/>
      </c>
      <c r="K491" s="2" t="str">
        <f>IF(Iterations[[#This Row],[Step]] =current_step, current_e,IF(Iterations[[#This Row],[Step]] &gt; current_step, "",Iterations[[#This Row],[e]]))</f>
        <v/>
      </c>
      <c r="L491" s="2" t="str">
        <f>IF(Iterations[[#This Row],[Step]] =current_step, current_Total_Loss,IF(Iterations[[#This Row],[Step]] &gt; current_step, "",Iterations[[#This Row],[Total Loss]]))</f>
        <v/>
      </c>
      <c r="M491" s="6" t="s">
        <v>27</v>
      </c>
      <c r="N491" s="2" t="str">
        <f>IF(Iterations[[#This Row],[Step]] =current_step, current_Grad_a,IF(Iterations[[#This Row],[Step]] &gt; current_step, "",Iterations[[#This Row],[Grad_a]]))</f>
        <v/>
      </c>
      <c r="O491" s="2" t="str">
        <f>IF(Iterations[[#This Row],[Step]] =current_step, current_Grad_b,IF(Iterations[[#This Row],[Step]] &gt; current_step, "",Iterations[[#This Row],[Grad_b]]))</f>
        <v/>
      </c>
      <c r="P491" s="2" t="str">
        <f>IF(Iterations[[#This Row],[Step]] =current_step, current_Grad_c,IF(Iterations[[#This Row],[Step]] &gt; current_step, "",Iterations[[#This Row],[Grad_c]]))</f>
        <v/>
      </c>
      <c r="Q491" s="2" t="str">
        <f>IF(Iterations[[#This Row],[Step]] =current_step, current_Grad_d,IF(Iterations[[#This Row],[Step]] &gt; current_step, "",Iterations[[#This Row],[Grad_d]]))</f>
        <v/>
      </c>
      <c r="R491" s="2" t="str">
        <f>IF(Iterations[[#This Row],[Step]] =current_step, current_Grad_e,IF(Iterations[[#This Row],[Step]] &gt; current_step, "",Iterations[[#This Row],[Grad_e]]))</f>
        <v/>
      </c>
    </row>
    <row r="492" spans="6:18" x14ac:dyDescent="0.3">
      <c r="F492" s="2">
        <f t="shared" si="9"/>
        <v>475</v>
      </c>
      <c r="G492" s="2" t="str">
        <f>IF(Iterations[[#This Row],[Step]] =current_step, current_a,IF(Iterations[[#This Row],[Step]] &gt; current_step, "",Iterations[[#This Row],[a]]))</f>
        <v/>
      </c>
      <c r="H492" s="2" t="str">
        <f>IF(Iterations[[#This Row],[Step]] =current_step, current_b,IF(Iterations[[#This Row],[Step]] &gt; current_step, "",Iterations[[#This Row],[b]]))</f>
        <v/>
      </c>
      <c r="I492" s="2" t="str">
        <f>IF(Iterations[[#This Row],[Step]] =current_step, current_c,IF(Iterations[[#This Row],[Step]] &gt; current_step, "",Iterations[[#This Row],[c]]))</f>
        <v/>
      </c>
      <c r="J492" s="2" t="str">
        <f>IF(Iterations[[#This Row],[Step]] =current_step, current_d,IF(Iterations[[#This Row],[Step]] &gt; current_step, "",Iterations[[#This Row],[d]]))</f>
        <v/>
      </c>
      <c r="K492" s="2" t="str">
        <f>IF(Iterations[[#This Row],[Step]] =current_step, current_e,IF(Iterations[[#This Row],[Step]] &gt; current_step, "",Iterations[[#This Row],[e]]))</f>
        <v/>
      </c>
      <c r="L492" s="2" t="str">
        <f>IF(Iterations[[#This Row],[Step]] =current_step, current_Total_Loss,IF(Iterations[[#This Row],[Step]] &gt; current_step, "",Iterations[[#This Row],[Total Loss]]))</f>
        <v/>
      </c>
      <c r="M492" s="6" t="s">
        <v>27</v>
      </c>
      <c r="N492" s="2" t="str">
        <f>IF(Iterations[[#This Row],[Step]] =current_step, current_Grad_a,IF(Iterations[[#This Row],[Step]] &gt; current_step, "",Iterations[[#This Row],[Grad_a]]))</f>
        <v/>
      </c>
      <c r="O492" s="2" t="str">
        <f>IF(Iterations[[#This Row],[Step]] =current_step, current_Grad_b,IF(Iterations[[#This Row],[Step]] &gt; current_step, "",Iterations[[#This Row],[Grad_b]]))</f>
        <v/>
      </c>
      <c r="P492" s="2" t="str">
        <f>IF(Iterations[[#This Row],[Step]] =current_step, current_Grad_c,IF(Iterations[[#This Row],[Step]] &gt; current_step, "",Iterations[[#This Row],[Grad_c]]))</f>
        <v/>
      </c>
      <c r="Q492" s="2" t="str">
        <f>IF(Iterations[[#This Row],[Step]] =current_step, current_Grad_d,IF(Iterations[[#This Row],[Step]] &gt; current_step, "",Iterations[[#This Row],[Grad_d]]))</f>
        <v/>
      </c>
      <c r="R492" s="2" t="str">
        <f>IF(Iterations[[#This Row],[Step]] =current_step, current_Grad_e,IF(Iterations[[#This Row],[Step]] &gt; current_step, "",Iterations[[#This Row],[Grad_e]]))</f>
        <v/>
      </c>
    </row>
    <row r="493" spans="6:18" x14ac:dyDescent="0.3">
      <c r="F493" s="2">
        <f t="shared" si="9"/>
        <v>476</v>
      </c>
      <c r="G493" s="2" t="str">
        <f>IF(Iterations[[#This Row],[Step]] =current_step, current_a,IF(Iterations[[#This Row],[Step]] &gt; current_step, "",Iterations[[#This Row],[a]]))</f>
        <v/>
      </c>
      <c r="H493" s="2" t="str">
        <f>IF(Iterations[[#This Row],[Step]] =current_step, current_b,IF(Iterations[[#This Row],[Step]] &gt; current_step, "",Iterations[[#This Row],[b]]))</f>
        <v/>
      </c>
      <c r="I493" s="2" t="str">
        <f>IF(Iterations[[#This Row],[Step]] =current_step, current_c,IF(Iterations[[#This Row],[Step]] &gt; current_step, "",Iterations[[#This Row],[c]]))</f>
        <v/>
      </c>
      <c r="J493" s="2" t="str">
        <f>IF(Iterations[[#This Row],[Step]] =current_step, current_d,IF(Iterations[[#This Row],[Step]] &gt; current_step, "",Iterations[[#This Row],[d]]))</f>
        <v/>
      </c>
      <c r="K493" s="2" t="str">
        <f>IF(Iterations[[#This Row],[Step]] =current_step, current_e,IF(Iterations[[#This Row],[Step]] &gt; current_step, "",Iterations[[#This Row],[e]]))</f>
        <v/>
      </c>
      <c r="L493" s="2" t="str">
        <f>IF(Iterations[[#This Row],[Step]] =current_step, current_Total_Loss,IF(Iterations[[#This Row],[Step]] &gt; current_step, "",Iterations[[#This Row],[Total Loss]]))</f>
        <v/>
      </c>
      <c r="M493" s="6" t="s">
        <v>27</v>
      </c>
      <c r="N493" s="2" t="str">
        <f>IF(Iterations[[#This Row],[Step]] =current_step, current_Grad_a,IF(Iterations[[#This Row],[Step]] &gt; current_step, "",Iterations[[#This Row],[Grad_a]]))</f>
        <v/>
      </c>
      <c r="O493" s="2" t="str">
        <f>IF(Iterations[[#This Row],[Step]] =current_step, current_Grad_b,IF(Iterations[[#This Row],[Step]] &gt; current_step, "",Iterations[[#This Row],[Grad_b]]))</f>
        <v/>
      </c>
      <c r="P493" s="2" t="str">
        <f>IF(Iterations[[#This Row],[Step]] =current_step, current_Grad_c,IF(Iterations[[#This Row],[Step]] &gt; current_step, "",Iterations[[#This Row],[Grad_c]]))</f>
        <v/>
      </c>
      <c r="Q493" s="2" t="str">
        <f>IF(Iterations[[#This Row],[Step]] =current_step, current_Grad_d,IF(Iterations[[#This Row],[Step]] &gt; current_step, "",Iterations[[#This Row],[Grad_d]]))</f>
        <v/>
      </c>
      <c r="R493" s="2" t="str">
        <f>IF(Iterations[[#This Row],[Step]] =current_step, current_Grad_e,IF(Iterations[[#This Row],[Step]] &gt; current_step, "",Iterations[[#This Row],[Grad_e]]))</f>
        <v/>
      </c>
    </row>
    <row r="494" spans="6:18" x14ac:dyDescent="0.3">
      <c r="F494" s="2">
        <f t="shared" si="9"/>
        <v>477</v>
      </c>
      <c r="G494" s="2" t="str">
        <f>IF(Iterations[[#This Row],[Step]] =current_step, current_a,IF(Iterations[[#This Row],[Step]] &gt; current_step, "",Iterations[[#This Row],[a]]))</f>
        <v/>
      </c>
      <c r="H494" s="2" t="str">
        <f>IF(Iterations[[#This Row],[Step]] =current_step, current_b,IF(Iterations[[#This Row],[Step]] &gt; current_step, "",Iterations[[#This Row],[b]]))</f>
        <v/>
      </c>
      <c r="I494" s="2" t="str">
        <f>IF(Iterations[[#This Row],[Step]] =current_step, current_c,IF(Iterations[[#This Row],[Step]] &gt; current_step, "",Iterations[[#This Row],[c]]))</f>
        <v/>
      </c>
      <c r="J494" s="2" t="str">
        <f>IF(Iterations[[#This Row],[Step]] =current_step, current_d,IF(Iterations[[#This Row],[Step]] &gt; current_step, "",Iterations[[#This Row],[d]]))</f>
        <v/>
      </c>
      <c r="K494" s="2" t="str">
        <f>IF(Iterations[[#This Row],[Step]] =current_step, current_e,IF(Iterations[[#This Row],[Step]] &gt; current_step, "",Iterations[[#This Row],[e]]))</f>
        <v/>
      </c>
      <c r="L494" s="2" t="str">
        <f>IF(Iterations[[#This Row],[Step]] =current_step, current_Total_Loss,IF(Iterations[[#This Row],[Step]] &gt; current_step, "",Iterations[[#This Row],[Total Loss]]))</f>
        <v/>
      </c>
      <c r="M494" s="6" t="s">
        <v>27</v>
      </c>
      <c r="N494" s="2" t="str">
        <f>IF(Iterations[[#This Row],[Step]] =current_step, current_Grad_a,IF(Iterations[[#This Row],[Step]] &gt; current_step, "",Iterations[[#This Row],[Grad_a]]))</f>
        <v/>
      </c>
      <c r="O494" s="2" t="str">
        <f>IF(Iterations[[#This Row],[Step]] =current_step, current_Grad_b,IF(Iterations[[#This Row],[Step]] &gt; current_step, "",Iterations[[#This Row],[Grad_b]]))</f>
        <v/>
      </c>
      <c r="P494" s="2" t="str">
        <f>IF(Iterations[[#This Row],[Step]] =current_step, current_Grad_c,IF(Iterations[[#This Row],[Step]] &gt; current_step, "",Iterations[[#This Row],[Grad_c]]))</f>
        <v/>
      </c>
      <c r="Q494" s="2" t="str">
        <f>IF(Iterations[[#This Row],[Step]] =current_step, current_Grad_d,IF(Iterations[[#This Row],[Step]] &gt; current_step, "",Iterations[[#This Row],[Grad_d]]))</f>
        <v/>
      </c>
      <c r="R494" s="2" t="str">
        <f>IF(Iterations[[#This Row],[Step]] =current_step, current_Grad_e,IF(Iterations[[#This Row],[Step]] &gt; current_step, "",Iterations[[#This Row],[Grad_e]]))</f>
        <v/>
      </c>
    </row>
    <row r="495" spans="6:18" x14ac:dyDescent="0.3">
      <c r="F495" s="2">
        <f t="shared" si="9"/>
        <v>478</v>
      </c>
      <c r="G495" s="2" t="str">
        <f>IF(Iterations[[#This Row],[Step]] =current_step, current_a,IF(Iterations[[#This Row],[Step]] &gt; current_step, "",Iterations[[#This Row],[a]]))</f>
        <v/>
      </c>
      <c r="H495" s="2" t="str">
        <f>IF(Iterations[[#This Row],[Step]] =current_step, current_b,IF(Iterations[[#This Row],[Step]] &gt; current_step, "",Iterations[[#This Row],[b]]))</f>
        <v/>
      </c>
      <c r="I495" s="2" t="str">
        <f>IF(Iterations[[#This Row],[Step]] =current_step, current_c,IF(Iterations[[#This Row],[Step]] &gt; current_step, "",Iterations[[#This Row],[c]]))</f>
        <v/>
      </c>
      <c r="J495" s="2" t="str">
        <f>IF(Iterations[[#This Row],[Step]] =current_step, current_d,IF(Iterations[[#This Row],[Step]] &gt; current_step, "",Iterations[[#This Row],[d]]))</f>
        <v/>
      </c>
      <c r="K495" s="2" t="str">
        <f>IF(Iterations[[#This Row],[Step]] =current_step, current_e,IF(Iterations[[#This Row],[Step]] &gt; current_step, "",Iterations[[#This Row],[e]]))</f>
        <v/>
      </c>
      <c r="L495" s="2" t="str">
        <f>IF(Iterations[[#This Row],[Step]] =current_step, current_Total_Loss,IF(Iterations[[#This Row],[Step]] &gt; current_step, "",Iterations[[#This Row],[Total Loss]]))</f>
        <v/>
      </c>
      <c r="M495" s="6" t="s">
        <v>27</v>
      </c>
      <c r="N495" s="2" t="str">
        <f>IF(Iterations[[#This Row],[Step]] =current_step, current_Grad_a,IF(Iterations[[#This Row],[Step]] &gt; current_step, "",Iterations[[#This Row],[Grad_a]]))</f>
        <v/>
      </c>
      <c r="O495" s="2" t="str">
        <f>IF(Iterations[[#This Row],[Step]] =current_step, current_Grad_b,IF(Iterations[[#This Row],[Step]] &gt; current_step, "",Iterations[[#This Row],[Grad_b]]))</f>
        <v/>
      </c>
      <c r="P495" s="2" t="str">
        <f>IF(Iterations[[#This Row],[Step]] =current_step, current_Grad_c,IF(Iterations[[#This Row],[Step]] &gt; current_step, "",Iterations[[#This Row],[Grad_c]]))</f>
        <v/>
      </c>
      <c r="Q495" s="2" t="str">
        <f>IF(Iterations[[#This Row],[Step]] =current_step, current_Grad_d,IF(Iterations[[#This Row],[Step]] &gt; current_step, "",Iterations[[#This Row],[Grad_d]]))</f>
        <v/>
      </c>
      <c r="R495" s="2" t="str">
        <f>IF(Iterations[[#This Row],[Step]] =current_step, current_Grad_e,IF(Iterations[[#This Row],[Step]] &gt; current_step, "",Iterations[[#This Row],[Grad_e]]))</f>
        <v/>
      </c>
    </row>
    <row r="496" spans="6:18" x14ac:dyDescent="0.3">
      <c r="F496" s="2">
        <f t="shared" si="9"/>
        <v>479</v>
      </c>
      <c r="G496" s="2" t="str">
        <f>IF(Iterations[[#This Row],[Step]] =current_step, current_a,IF(Iterations[[#This Row],[Step]] &gt; current_step, "",Iterations[[#This Row],[a]]))</f>
        <v/>
      </c>
      <c r="H496" s="2" t="str">
        <f>IF(Iterations[[#This Row],[Step]] =current_step, current_b,IF(Iterations[[#This Row],[Step]] &gt; current_step, "",Iterations[[#This Row],[b]]))</f>
        <v/>
      </c>
      <c r="I496" s="2" t="str">
        <f>IF(Iterations[[#This Row],[Step]] =current_step, current_c,IF(Iterations[[#This Row],[Step]] &gt; current_step, "",Iterations[[#This Row],[c]]))</f>
        <v/>
      </c>
      <c r="J496" s="2" t="str">
        <f>IF(Iterations[[#This Row],[Step]] =current_step, current_d,IF(Iterations[[#This Row],[Step]] &gt; current_step, "",Iterations[[#This Row],[d]]))</f>
        <v/>
      </c>
      <c r="K496" s="2" t="str">
        <f>IF(Iterations[[#This Row],[Step]] =current_step, current_e,IF(Iterations[[#This Row],[Step]] &gt; current_step, "",Iterations[[#This Row],[e]]))</f>
        <v/>
      </c>
      <c r="L496" s="2" t="str">
        <f>IF(Iterations[[#This Row],[Step]] =current_step, current_Total_Loss,IF(Iterations[[#This Row],[Step]] &gt; current_step, "",Iterations[[#This Row],[Total Loss]]))</f>
        <v/>
      </c>
      <c r="M496" s="6" t="s">
        <v>27</v>
      </c>
      <c r="N496" s="2" t="str">
        <f>IF(Iterations[[#This Row],[Step]] =current_step, current_Grad_a,IF(Iterations[[#This Row],[Step]] &gt; current_step, "",Iterations[[#This Row],[Grad_a]]))</f>
        <v/>
      </c>
      <c r="O496" s="2" t="str">
        <f>IF(Iterations[[#This Row],[Step]] =current_step, current_Grad_b,IF(Iterations[[#This Row],[Step]] &gt; current_step, "",Iterations[[#This Row],[Grad_b]]))</f>
        <v/>
      </c>
      <c r="P496" s="2" t="str">
        <f>IF(Iterations[[#This Row],[Step]] =current_step, current_Grad_c,IF(Iterations[[#This Row],[Step]] &gt; current_step, "",Iterations[[#This Row],[Grad_c]]))</f>
        <v/>
      </c>
      <c r="Q496" s="2" t="str">
        <f>IF(Iterations[[#This Row],[Step]] =current_step, current_Grad_d,IF(Iterations[[#This Row],[Step]] &gt; current_step, "",Iterations[[#This Row],[Grad_d]]))</f>
        <v/>
      </c>
      <c r="R496" s="2" t="str">
        <f>IF(Iterations[[#This Row],[Step]] =current_step, current_Grad_e,IF(Iterations[[#This Row],[Step]] &gt; current_step, "",Iterations[[#This Row],[Grad_e]]))</f>
        <v/>
      </c>
    </row>
    <row r="497" spans="6:18" x14ac:dyDescent="0.3">
      <c r="F497" s="2">
        <f t="shared" si="9"/>
        <v>480</v>
      </c>
      <c r="G497" s="2" t="str">
        <f>IF(Iterations[[#This Row],[Step]] =current_step, current_a,IF(Iterations[[#This Row],[Step]] &gt; current_step, "",Iterations[[#This Row],[a]]))</f>
        <v/>
      </c>
      <c r="H497" s="2" t="str">
        <f>IF(Iterations[[#This Row],[Step]] =current_step, current_b,IF(Iterations[[#This Row],[Step]] &gt; current_step, "",Iterations[[#This Row],[b]]))</f>
        <v/>
      </c>
      <c r="I497" s="2" t="str">
        <f>IF(Iterations[[#This Row],[Step]] =current_step, current_c,IF(Iterations[[#This Row],[Step]] &gt; current_step, "",Iterations[[#This Row],[c]]))</f>
        <v/>
      </c>
      <c r="J497" s="2" t="str">
        <f>IF(Iterations[[#This Row],[Step]] =current_step, current_d,IF(Iterations[[#This Row],[Step]] &gt; current_step, "",Iterations[[#This Row],[d]]))</f>
        <v/>
      </c>
      <c r="K497" s="2" t="str">
        <f>IF(Iterations[[#This Row],[Step]] =current_step, current_e,IF(Iterations[[#This Row],[Step]] &gt; current_step, "",Iterations[[#This Row],[e]]))</f>
        <v/>
      </c>
      <c r="L497" s="2" t="str">
        <f>IF(Iterations[[#This Row],[Step]] =current_step, current_Total_Loss,IF(Iterations[[#This Row],[Step]] &gt; current_step, "",Iterations[[#This Row],[Total Loss]]))</f>
        <v/>
      </c>
      <c r="M497" s="6" t="s">
        <v>27</v>
      </c>
      <c r="N497" s="2" t="str">
        <f>IF(Iterations[[#This Row],[Step]] =current_step, current_Grad_a,IF(Iterations[[#This Row],[Step]] &gt; current_step, "",Iterations[[#This Row],[Grad_a]]))</f>
        <v/>
      </c>
      <c r="O497" s="2" t="str">
        <f>IF(Iterations[[#This Row],[Step]] =current_step, current_Grad_b,IF(Iterations[[#This Row],[Step]] &gt; current_step, "",Iterations[[#This Row],[Grad_b]]))</f>
        <v/>
      </c>
      <c r="P497" s="2" t="str">
        <f>IF(Iterations[[#This Row],[Step]] =current_step, current_Grad_c,IF(Iterations[[#This Row],[Step]] &gt; current_step, "",Iterations[[#This Row],[Grad_c]]))</f>
        <v/>
      </c>
      <c r="Q497" s="2" t="str">
        <f>IF(Iterations[[#This Row],[Step]] =current_step, current_Grad_d,IF(Iterations[[#This Row],[Step]] &gt; current_step, "",Iterations[[#This Row],[Grad_d]]))</f>
        <v/>
      </c>
      <c r="R497" s="2" t="str">
        <f>IF(Iterations[[#This Row],[Step]] =current_step, current_Grad_e,IF(Iterations[[#This Row],[Step]] &gt; current_step, "",Iterations[[#This Row],[Grad_e]]))</f>
        <v/>
      </c>
    </row>
    <row r="498" spans="6:18" x14ac:dyDescent="0.3">
      <c r="F498" s="2">
        <f t="shared" si="9"/>
        <v>481</v>
      </c>
      <c r="G498" s="2" t="str">
        <f>IF(Iterations[[#This Row],[Step]] =current_step, current_a,IF(Iterations[[#This Row],[Step]] &gt; current_step, "",Iterations[[#This Row],[a]]))</f>
        <v/>
      </c>
      <c r="H498" s="2" t="str">
        <f>IF(Iterations[[#This Row],[Step]] =current_step, current_b,IF(Iterations[[#This Row],[Step]] &gt; current_step, "",Iterations[[#This Row],[b]]))</f>
        <v/>
      </c>
      <c r="I498" s="2" t="str">
        <f>IF(Iterations[[#This Row],[Step]] =current_step, current_c,IF(Iterations[[#This Row],[Step]] &gt; current_step, "",Iterations[[#This Row],[c]]))</f>
        <v/>
      </c>
      <c r="J498" s="2" t="str">
        <f>IF(Iterations[[#This Row],[Step]] =current_step, current_d,IF(Iterations[[#This Row],[Step]] &gt; current_step, "",Iterations[[#This Row],[d]]))</f>
        <v/>
      </c>
      <c r="K498" s="2" t="str">
        <f>IF(Iterations[[#This Row],[Step]] =current_step, current_e,IF(Iterations[[#This Row],[Step]] &gt; current_step, "",Iterations[[#This Row],[e]]))</f>
        <v/>
      </c>
      <c r="L498" s="2" t="str">
        <f>IF(Iterations[[#This Row],[Step]] =current_step, current_Total_Loss,IF(Iterations[[#This Row],[Step]] &gt; current_step, "",Iterations[[#This Row],[Total Loss]]))</f>
        <v/>
      </c>
      <c r="M498" s="6" t="s">
        <v>27</v>
      </c>
      <c r="N498" s="2" t="str">
        <f>IF(Iterations[[#This Row],[Step]] =current_step, current_Grad_a,IF(Iterations[[#This Row],[Step]] &gt; current_step, "",Iterations[[#This Row],[Grad_a]]))</f>
        <v/>
      </c>
      <c r="O498" s="2" t="str">
        <f>IF(Iterations[[#This Row],[Step]] =current_step, current_Grad_b,IF(Iterations[[#This Row],[Step]] &gt; current_step, "",Iterations[[#This Row],[Grad_b]]))</f>
        <v/>
      </c>
      <c r="P498" s="2" t="str">
        <f>IF(Iterations[[#This Row],[Step]] =current_step, current_Grad_c,IF(Iterations[[#This Row],[Step]] &gt; current_step, "",Iterations[[#This Row],[Grad_c]]))</f>
        <v/>
      </c>
      <c r="Q498" s="2" t="str">
        <f>IF(Iterations[[#This Row],[Step]] =current_step, current_Grad_d,IF(Iterations[[#This Row],[Step]] &gt; current_step, "",Iterations[[#This Row],[Grad_d]]))</f>
        <v/>
      </c>
      <c r="R498" s="2" t="str">
        <f>IF(Iterations[[#This Row],[Step]] =current_step, current_Grad_e,IF(Iterations[[#This Row],[Step]] &gt; current_step, "",Iterations[[#This Row],[Grad_e]]))</f>
        <v/>
      </c>
    </row>
    <row r="499" spans="6:18" x14ac:dyDescent="0.3">
      <c r="F499" s="2">
        <f t="shared" si="9"/>
        <v>482</v>
      </c>
      <c r="G499" s="2" t="str">
        <f>IF(Iterations[[#This Row],[Step]] =current_step, current_a,IF(Iterations[[#This Row],[Step]] &gt; current_step, "",Iterations[[#This Row],[a]]))</f>
        <v/>
      </c>
      <c r="H499" s="2" t="str">
        <f>IF(Iterations[[#This Row],[Step]] =current_step, current_b,IF(Iterations[[#This Row],[Step]] &gt; current_step, "",Iterations[[#This Row],[b]]))</f>
        <v/>
      </c>
      <c r="I499" s="2" t="str">
        <f>IF(Iterations[[#This Row],[Step]] =current_step, current_c,IF(Iterations[[#This Row],[Step]] &gt; current_step, "",Iterations[[#This Row],[c]]))</f>
        <v/>
      </c>
      <c r="J499" s="2" t="str">
        <f>IF(Iterations[[#This Row],[Step]] =current_step, current_d,IF(Iterations[[#This Row],[Step]] &gt; current_step, "",Iterations[[#This Row],[d]]))</f>
        <v/>
      </c>
      <c r="K499" s="2" t="str">
        <f>IF(Iterations[[#This Row],[Step]] =current_step, current_e,IF(Iterations[[#This Row],[Step]] &gt; current_step, "",Iterations[[#This Row],[e]]))</f>
        <v/>
      </c>
      <c r="L499" s="2" t="str">
        <f>IF(Iterations[[#This Row],[Step]] =current_step, current_Total_Loss,IF(Iterations[[#This Row],[Step]] &gt; current_step, "",Iterations[[#This Row],[Total Loss]]))</f>
        <v/>
      </c>
      <c r="M499" s="6" t="s">
        <v>27</v>
      </c>
      <c r="N499" s="2" t="str">
        <f>IF(Iterations[[#This Row],[Step]] =current_step, current_Grad_a,IF(Iterations[[#This Row],[Step]] &gt; current_step, "",Iterations[[#This Row],[Grad_a]]))</f>
        <v/>
      </c>
      <c r="O499" s="2" t="str">
        <f>IF(Iterations[[#This Row],[Step]] =current_step, current_Grad_b,IF(Iterations[[#This Row],[Step]] &gt; current_step, "",Iterations[[#This Row],[Grad_b]]))</f>
        <v/>
      </c>
      <c r="P499" s="2" t="str">
        <f>IF(Iterations[[#This Row],[Step]] =current_step, current_Grad_c,IF(Iterations[[#This Row],[Step]] &gt; current_step, "",Iterations[[#This Row],[Grad_c]]))</f>
        <v/>
      </c>
      <c r="Q499" s="2" t="str">
        <f>IF(Iterations[[#This Row],[Step]] =current_step, current_Grad_d,IF(Iterations[[#This Row],[Step]] &gt; current_step, "",Iterations[[#This Row],[Grad_d]]))</f>
        <v/>
      </c>
      <c r="R499" s="2" t="str">
        <f>IF(Iterations[[#This Row],[Step]] =current_step, current_Grad_e,IF(Iterations[[#This Row],[Step]] &gt; current_step, "",Iterations[[#This Row],[Grad_e]]))</f>
        <v/>
      </c>
    </row>
    <row r="500" spans="6:18" x14ac:dyDescent="0.3">
      <c r="F500" s="2">
        <f t="shared" si="9"/>
        <v>483</v>
      </c>
      <c r="G500" s="2" t="str">
        <f>IF(Iterations[[#This Row],[Step]] =current_step, current_a,IF(Iterations[[#This Row],[Step]] &gt; current_step, "",Iterations[[#This Row],[a]]))</f>
        <v/>
      </c>
      <c r="H500" s="2" t="str">
        <f>IF(Iterations[[#This Row],[Step]] =current_step, current_b,IF(Iterations[[#This Row],[Step]] &gt; current_step, "",Iterations[[#This Row],[b]]))</f>
        <v/>
      </c>
      <c r="I500" s="2" t="str">
        <f>IF(Iterations[[#This Row],[Step]] =current_step, current_c,IF(Iterations[[#This Row],[Step]] &gt; current_step, "",Iterations[[#This Row],[c]]))</f>
        <v/>
      </c>
      <c r="J500" s="2" t="str">
        <f>IF(Iterations[[#This Row],[Step]] =current_step, current_d,IF(Iterations[[#This Row],[Step]] &gt; current_step, "",Iterations[[#This Row],[d]]))</f>
        <v/>
      </c>
      <c r="K500" s="2" t="str">
        <f>IF(Iterations[[#This Row],[Step]] =current_step, current_e,IF(Iterations[[#This Row],[Step]] &gt; current_step, "",Iterations[[#This Row],[e]]))</f>
        <v/>
      </c>
      <c r="L500" s="2" t="str">
        <f>IF(Iterations[[#This Row],[Step]] =current_step, current_Total_Loss,IF(Iterations[[#This Row],[Step]] &gt; current_step, "",Iterations[[#This Row],[Total Loss]]))</f>
        <v/>
      </c>
      <c r="M500" s="6" t="s">
        <v>27</v>
      </c>
      <c r="N500" s="2" t="str">
        <f>IF(Iterations[[#This Row],[Step]] =current_step, current_Grad_a,IF(Iterations[[#This Row],[Step]] &gt; current_step, "",Iterations[[#This Row],[Grad_a]]))</f>
        <v/>
      </c>
      <c r="O500" s="2" t="str">
        <f>IF(Iterations[[#This Row],[Step]] =current_step, current_Grad_b,IF(Iterations[[#This Row],[Step]] &gt; current_step, "",Iterations[[#This Row],[Grad_b]]))</f>
        <v/>
      </c>
      <c r="P500" s="2" t="str">
        <f>IF(Iterations[[#This Row],[Step]] =current_step, current_Grad_c,IF(Iterations[[#This Row],[Step]] &gt; current_step, "",Iterations[[#This Row],[Grad_c]]))</f>
        <v/>
      </c>
      <c r="Q500" s="2" t="str">
        <f>IF(Iterations[[#This Row],[Step]] =current_step, current_Grad_d,IF(Iterations[[#This Row],[Step]] &gt; current_step, "",Iterations[[#This Row],[Grad_d]]))</f>
        <v/>
      </c>
      <c r="R500" s="2" t="str">
        <f>IF(Iterations[[#This Row],[Step]] =current_step, current_Grad_e,IF(Iterations[[#This Row],[Step]] &gt; current_step, "",Iterations[[#This Row],[Grad_e]]))</f>
        <v/>
      </c>
    </row>
    <row r="501" spans="6:18" x14ac:dyDescent="0.3">
      <c r="F501" s="2">
        <f t="shared" si="9"/>
        <v>484</v>
      </c>
      <c r="G501" s="2" t="str">
        <f>IF(Iterations[[#This Row],[Step]] =current_step, current_a,IF(Iterations[[#This Row],[Step]] &gt; current_step, "",Iterations[[#This Row],[a]]))</f>
        <v/>
      </c>
      <c r="H501" s="2" t="str">
        <f>IF(Iterations[[#This Row],[Step]] =current_step, current_b,IF(Iterations[[#This Row],[Step]] &gt; current_step, "",Iterations[[#This Row],[b]]))</f>
        <v/>
      </c>
      <c r="I501" s="2" t="str">
        <f>IF(Iterations[[#This Row],[Step]] =current_step, current_c,IF(Iterations[[#This Row],[Step]] &gt; current_step, "",Iterations[[#This Row],[c]]))</f>
        <v/>
      </c>
      <c r="J501" s="2" t="str">
        <f>IF(Iterations[[#This Row],[Step]] =current_step, current_d,IF(Iterations[[#This Row],[Step]] &gt; current_step, "",Iterations[[#This Row],[d]]))</f>
        <v/>
      </c>
      <c r="K501" s="2" t="str">
        <f>IF(Iterations[[#This Row],[Step]] =current_step, current_e,IF(Iterations[[#This Row],[Step]] &gt; current_step, "",Iterations[[#This Row],[e]]))</f>
        <v/>
      </c>
      <c r="L501" s="2" t="str">
        <f>IF(Iterations[[#This Row],[Step]] =current_step, current_Total_Loss,IF(Iterations[[#This Row],[Step]] &gt; current_step, "",Iterations[[#This Row],[Total Loss]]))</f>
        <v/>
      </c>
      <c r="M501" s="6" t="s">
        <v>27</v>
      </c>
      <c r="N501" s="2" t="str">
        <f>IF(Iterations[[#This Row],[Step]] =current_step, current_Grad_a,IF(Iterations[[#This Row],[Step]] &gt; current_step, "",Iterations[[#This Row],[Grad_a]]))</f>
        <v/>
      </c>
      <c r="O501" s="2" t="str">
        <f>IF(Iterations[[#This Row],[Step]] =current_step, current_Grad_b,IF(Iterations[[#This Row],[Step]] &gt; current_step, "",Iterations[[#This Row],[Grad_b]]))</f>
        <v/>
      </c>
      <c r="P501" s="2" t="str">
        <f>IF(Iterations[[#This Row],[Step]] =current_step, current_Grad_c,IF(Iterations[[#This Row],[Step]] &gt; current_step, "",Iterations[[#This Row],[Grad_c]]))</f>
        <v/>
      </c>
      <c r="Q501" s="2" t="str">
        <f>IF(Iterations[[#This Row],[Step]] =current_step, current_Grad_d,IF(Iterations[[#This Row],[Step]] &gt; current_step, "",Iterations[[#This Row],[Grad_d]]))</f>
        <v/>
      </c>
      <c r="R501" s="2" t="str">
        <f>IF(Iterations[[#This Row],[Step]] =current_step, current_Grad_e,IF(Iterations[[#This Row],[Step]] &gt; current_step, "",Iterations[[#This Row],[Grad_e]]))</f>
        <v/>
      </c>
    </row>
    <row r="502" spans="6:18" x14ac:dyDescent="0.3">
      <c r="F502" s="2">
        <f t="shared" si="9"/>
        <v>485</v>
      </c>
      <c r="G502" s="2" t="str">
        <f>IF(Iterations[[#This Row],[Step]] =current_step, current_a,IF(Iterations[[#This Row],[Step]] &gt; current_step, "",Iterations[[#This Row],[a]]))</f>
        <v/>
      </c>
      <c r="H502" s="2" t="str">
        <f>IF(Iterations[[#This Row],[Step]] =current_step, current_b,IF(Iterations[[#This Row],[Step]] &gt; current_step, "",Iterations[[#This Row],[b]]))</f>
        <v/>
      </c>
      <c r="I502" s="2" t="str">
        <f>IF(Iterations[[#This Row],[Step]] =current_step, current_c,IF(Iterations[[#This Row],[Step]] &gt; current_step, "",Iterations[[#This Row],[c]]))</f>
        <v/>
      </c>
      <c r="J502" s="2" t="str">
        <f>IF(Iterations[[#This Row],[Step]] =current_step, current_d,IF(Iterations[[#This Row],[Step]] &gt; current_step, "",Iterations[[#This Row],[d]]))</f>
        <v/>
      </c>
      <c r="K502" s="2" t="str">
        <f>IF(Iterations[[#This Row],[Step]] =current_step, current_e,IF(Iterations[[#This Row],[Step]] &gt; current_step, "",Iterations[[#This Row],[e]]))</f>
        <v/>
      </c>
      <c r="L502" s="2" t="str">
        <f>IF(Iterations[[#This Row],[Step]] =current_step, current_Total_Loss,IF(Iterations[[#This Row],[Step]] &gt; current_step, "",Iterations[[#This Row],[Total Loss]]))</f>
        <v/>
      </c>
      <c r="M502" s="6" t="s">
        <v>27</v>
      </c>
      <c r="N502" s="2" t="str">
        <f>IF(Iterations[[#This Row],[Step]] =current_step, current_Grad_a,IF(Iterations[[#This Row],[Step]] &gt; current_step, "",Iterations[[#This Row],[Grad_a]]))</f>
        <v/>
      </c>
      <c r="O502" s="2" t="str">
        <f>IF(Iterations[[#This Row],[Step]] =current_step, current_Grad_b,IF(Iterations[[#This Row],[Step]] &gt; current_step, "",Iterations[[#This Row],[Grad_b]]))</f>
        <v/>
      </c>
      <c r="P502" s="2" t="str">
        <f>IF(Iterations[[#This Row],[Step]] =current_step, current_Grad_c,IF(Iterations[[#This Row],[Step]] &gt; current_step, "",Iterations[[#This Row],[Grad_c]]))</f>
        <v/>
      </c>
      <c r="Q502" s="2" t="str">
        <f>IF(Iterations[[#This Row],[Step]] =current_step, current_Grad_d,IF(Iterations[[#This Row],[Step]] &gt; current_step, "",Iterations[[#This Row],[Grad_d]]))</f>
        <v/>
      </c>
      <c r="R502" s="2" t="str">
        <f>IF(Iterations[[#This Row],[Step]] =current_step, current_Grad_e,IF(Iterations[[#This Row],[Step]] &gt; current_step, "",Iterations[[#This Row],[Grad_e]]))</f>
        <v/>
      </c>
    </row>
    <row r="503" spans="6:18" x14ac:dyDescent="0.3">
      <c r="F503" s="2">
        <f t="shared" si="9"/>
        <v>486</v>
      </c>
      <c r="G503" s="2" t="str">
        <f>IF(Iterations[[#This Row],[Step]] =current_step, current_a,IF(Iterations[[#This Row],[Step]] &gt; current_step, "",Iterations[[#This Row],[a]]))</f>
        <v/>
      </c>
      <c r="H503" s="2" t="str">
        <f>IF(Iterations[[#This Row],[Step]] =current_step, current_b,IF(Iterations[[#This Row],[Step]] &gt; current_step, "",Iterations[[#This Row],[b]]))</f>
        <v/>
      </c>
      <c r="I503" s="2" t="str">
        <f>IF(Iterations[[#This Row],[Step]] =current_step, current_c,IF(Iterations[[#This Row],[Step]] &gt; current_step, "",Iterations[[#This Row],[c]]))</f>
        <v/>
      </c>
      <c r="J503" s="2" t="str">
        <f>IF(Iterations[[#This Row],[Step]] =current_step, current_d,IF(Iterations[[#This Row],[Step]] &gt; current_step, "",Iterations[[#This Row],[d]]))</f>
        <v/>
      </c>
      <c r="K503" s="2" t="str">
        <f>IF(Iterations[[#This Row],[Step]] =current_step, current_e,IF(Iterations[[#This Row],[Step]] &gt; current_step, "",Iterations[[#This Row],[e]]))</f>
        <v/>
      </c>
      <c r="L503" s="2" t="str">
        <f>IF(Iterations[[#This Row],[Step]] =current_step, current_Total_Loss,IF(Iterations[[#This Row],[Step]] &gt; current_step, "",Iterations[[#This Row],[Total Loss]]))</f>
        <v/>
      </c>
      <c r="M503" s="6" t="s">
        <v>27</v>
      </c>
      <c r="N503" s="2" t="str">
        <f>IF(Iterations[[#This Row],[Step]] =current_step, current_Grad_a,IF(Iterations[[#This Row],[Step]] &gt; current_step, "",Iterations[[#This Row],[Grad_a]]))</f>
        <v/>
      </c>
      <c r="O503" s="2" t="str">
        <f>IF(Iterations[[#This Row],[Step]] =current_step, current_Grad_b,IF(Iterations[[#This Row],[Step]] &gt; current_step, "",Iterations[[#This Row],[Grad_b]]))</f>
        <v/>
      </c>
      <c r="P503" s="2" t="str">
        <f>IF(Iterations[[#This Row],[Step]] =current_step, current_Grad_c,IF(Iterations[[#This Row],[Step]] &gt; current_step, "",Iterations[[#This Row],[Grad_c]]))</f>
        <v/>
      </c>
      <c r="Q503" s="2" t="str">
        <f>IF(Iterations[[#This Row],[Step]] =current_step, current_Grad_d,IF(Iterations[[#This Row],[Step]] &gt; current_step, "",Iterations[[#This Row],[Grad_d]]))</f>
        <v/>
      </c>
      <c r="R503" s="2" t="str">
        <f>IF(Iterations[[#This Row],[Step]] =current_step, current_Grad_e,IF(Iterations[[#This Row],[Step]] &gt; current_step, "",Iterations[[#This Row],[Grad_e]]))</f>
        <v/>
      </c>
    </row>
    <row r="504" spans="6:18" x14ac:dyDescent="0.3">
      <c r="F504" s="2">
        <f t="shared" si="9"/>
        <v>487</v>
      </c>
      <c r="G504" s="2" t="str">
        <f>IF(Iterations[[#This Row],[Step]] =current_step, current_a,IF(Iterations[[#This Row],[Step]] &gt; current_step, "",Iterations[[#This Row],[a]]))</f>
        <v/>
      </c>
      <c r="H504" s="2" t="str">
        <f>IF(Iterations[[#This Row],[Step]] =current_step, current_b,IF(Iterations[[#This Row],[Step]] &gt; current_step, "",Iterations[[#This Row],[b]]))</f>
        <v/>
      </c>
      <c r="I504" s="2" t="str">
        <f>IF(Iterations[[#This Row],[Step]] =current_step, current_c,IF(Iterations[[#This Row],[Step]] &gt; current_step, "",Iterations[[#This Row],[c]]))</f>
        <v/>
      </c>
      <c r="J504" s="2" t="str">
        <f>IF(Iterations[[#This Row],[Step]] =current_step, current_d,IF(Iterations[[#This Row],[Step]] &gt; current_step, "",Iterations[[#This Row],[d]]))</f>
        <v/>
      </c>
      <c r="K504" s="2" t="str">
        <f>IF(Iterations[[#This Row],[Step]] =current_step, current_e,IF(Iterations[[#This Row],[Step]] &gt; current_step, "",Iterations[[#This Row],[e]]))</f>
        <v/>
      </c>
      <c r="L504" s="2" t="str">
        <f>IF(Iterations[[#This Row],[Step]] =current_step, current_Total_Loss,IF(Iterations[[#This Row],[Step]] &gt; current_step, "",Iterations[[#This Row],[Total Loss]]))</f>
        <v/>
      </c>
      <c r="M504" s="6" t="s">
        <v>27</v>
      </c>
      <c r="N504" s="2" t="str">
        <f>IF(Iterations[[#This Row],[Step]] =current_step, current_Grad_a,IF(Iterations[[#This Row],[Step]] &gt; current_step, "",Iterations[[#This Row],[Grad_a]]))</f>
        <v/>
      </c>
      <c r="O504" s="2" t="str">
        <f>IF(Iterations[[#This Row],[Step]] =current_step, current_Grad_b,IF(Iterations[[#This Row],[Step]] &gt; current_step, "",Iterations[[#This Row],[Grad_b]]))</f>
        <v/>
      </c>
      <c r="P504" s="2" t="str">
        <f>IF(Iterations[[#This Row],[Step]] =current_step, current_Grad_c,IF(Iterations[[#This Row],[Step]] &gt; current_step, "",Iterations[[#This Row],[Grad_c]]))</f>
        <v/>
      </c>
      <c r="Q504" s="2" t="str">
        <f>IF(Iterations[[#This Row],[Step]] =current_step, current_Grad_d,IF(Iterations[[#This Row],[Step]] &gt; current_step, "",Iterations[[#This Row],[Grad_d]]))</f>
        <v/>
      </c>
      <c r="R504" s="2" t="str">
        <f>IF(Iterations[[#This Row],[Step]] =current_step, current_Grad_e,IF(Iterations[[#This Row],[Step]] &gt; current_step, "",Iterations[[#This Row],[Grad_e]]))</f>
        <v/>
      </c>
    </row>
    <row r="505" spans="6:18" x14ac:dyDescent="0.3">
      <c r="F505" s="2">
        <f t="shared" si="9"/>
        <v>488</v>
      </c>
      <c r="G505" s="2" t="str">
        <f>IF(Iterations[[#This Row],[Step]] =current_step, current_a,IF(Iterations[[#This Row],[Step]] &gt; current_step, "",Iterations[[#This Row],[a]]))</f>
        <v/>
      </c>
      <c r="H505" s="2" t="str">
        <f>IF(Iterations[[#This Row],[Step]] =current_step, current_b,IF(Iterations[[#This Row],[Step]] &gt; current_step, "",Iterations[[#This Row],[b]]))</f>
        <v/>
      </c>
      <c r="I505" s="2" t="str">
        <f>IF(Iterations[[#This Row],[Step]] =current_step, current_c,IF(Iterations[[#This Row],[Step]] &gt; current_step, "",Iterations[[#This Row],[c]]))</f>
        <v/>
      </c>
      <c r="J505" s="2" t="str">
        <f>IF(Iterations[[#This Row],[Step]] =current_step, current_d,IF(Iterations[[#This Row],[Step]] &gt; current_step, "",Iterations[[#This Row],[d]]))</f>
        <v/>
      </c>
      <c r="K505" s="2" t="str">
        <f>IF(Iterations[[#This Row],[Step]] =current_step, current_e,IF(Iterations[[#This Row],[Step]] &gt; current_step, "",Iterations[[#This Row],[e]]))</f>
        <v/>
      </c>
      <c r="L505" s="2" t="str">
        <f>IF(Iterations[[#This Row],[Step]] =current_step, current_Total_Loss,IF(Iterations[[#This Row],[Step]] &gt; current_step, "",Iterations[[#This Row],[Total Loss]]))</f>
        <v/>
      </c>
      <c r="M505" s="6" t="s">
        <v>27</v>
      </c>
      <c r="N505" s="2" t="str">
        <f>IF(Iterations[[#This Row],[Step]] =current_step, current_Grad_a,IF(Iterations[[#This Row],[Step]] &gt; current_step, "",Iterations[[#This Row],[Grad_a]]))</f>
        <v/>
      </c>
      <c r="O505" s="2" t="str">
        <f>IF(Iterations[[#This Row],[Step]] =current_step, current_Grad_b,IF(Iterations[[#This Row],[Step]] &gt; current_step, "",Iterations[[#This Row],[Grad_b]]))</f>
        <v/>
      </c>
      <c r="P505" s="2" t="str">
        <f>IF(Iterations[[#This Row],[Step]] =current_step, current_Grad_c,IF(Iterations[[#This Row],[Step]] &gt; current_step, "",Iterations[[#This Row],[Grad_c]]))</f>
        <v/>
      </c>
      <c r="Q505" s="2" t="str">
        <f>IF(Iterations[[#This Row],[Step]] =current_step, current_Grad_d,IF(Iterations[[#This Row],[Step]] &gt; current_step, "",Iterations[[#This Row],[Grad_d]]))</f>
        <v/>
      </c>
      <c r="R505" s="2" t="str">
        <f>IF(Iterations[[#This Row],[Step]] =current_step, current_Grad_e,IF(Iterations[[#This Row],[Step]] &gt; current_step, "",Iterations[[#This Row],[Grad_e]]))</f>
        <v/>
      </c>
    </row>
    <row r="506" spans="6:18" x14ac:dyDescent="0.3">
      <c r="F506" s="2">
        <f t="shared" si="9"/>
        <v>489</v>
      </c>
      <c r="G506" s="2" t="str">
        <f>IF(Iterations[[#This Row],[Step]] =current_step, current_a,IF(Iterations[[#This Row],[Step]] &gt; current_step, "",Iterations[[#This Row],[a]]))</f>
        <v/>
      </c>
      <c r="H506" s="2" t="str">
        <f>IF(Iterations[[#This Row],[Step]] =current_step, current_b,IF(Iterations[[#This Row],[Step]] &gt; current_step, "",Iterations[[#This Row],[b]]))</f>
        <v/>
      </c>
      <c r="I506" s="2" t="str">
        <f>IF(Iterations[[#This Row],[Step]] =current_step, current_c,IF(Iterations[[#This Row],[Step]] &gt; current_step, "",Iterations[[#This Row],[c]]))</f>
        <v/>
      </c>
      <c r="J506" s="2" t="str">
        <f>IF(Iterations[[#This Row],[Step]] =current_step, current_d,IF(Iterations[[#This Row],[Step]] &gt; current_step, "",Iterations[[#This Row],[d]]))</f>
        <v/>
      </c>
      <c r="K506" s="2" t="str">
        <f>IF(Iterations[[#This Row],[Step]] =current_step, current_e,IF(Iterations[[#This Row],[Step]] &gt; current_step, "",Iterations[[#This Row],[e]]))</f>
        <v/>
      </c>
      <c r="L506" s="2" t="str">
        <f>IF(Iterations[[#This Row],[Step]] =current_step, current_Total_Loss,IF(Iterations[[#This Row],[Step]] &gt; current_step, "",Iterations[[#This Row],[Total Loss]]))</f>
        <v/>
      </c>
      <c r="M506" s="6" t="s">
        <v>27</v>
      </c>
      <c r="N506" s="2" t="str">
        <f>IF(Iterations[[#This Row],[Step]] =current_step, current_Grad_a,IF(Iterations[[#This Row],[Step]] &gt; current_step, "",Iterations[[#This Row],[Grad_a]]))</f>
        <v/>
      </c>
      <c r="O506" s="2" t="str">
        <f>IF(Iterations[[#This Row],[Step]] =current_step, current_Grad_b,IF(Iterations[[#This Row],[Step]] &gt; current_step, "",Iterations[[#This Row],[Grad_b]]))</f>
        <v/>
      </c>
      <c r="P506" s="2" t="str">
        <f>IF(Iterations[[#This Row],[Step]] =current_step, current_Grad_c,IF(Iterations[[#This Row],[Step]] &gt; current_step, "",Iterations[[#This Row],[Grad_c]]))</f>
        <v/>
      </c>
      <c r="Q506" s="2" t="str">
        <f>IF(Iterations[[#This Row],[Step]] =current_step, current_Grad_d,IF(Iterations[[#This Row],[Step]] &gt; current_step, "",Iterations[[#This Row],[Grad_d]]))</f>
        <v/>
      </c>
      <c r="R506" s="2" t="str">
        <f>IF(Iterations[[#This Row],[Step]] =current_step, current_Grad_e,IF(Iterations[[#This Row],[Step]] &gt; current_step, "",Iterations[[#This Row],[Grad_e]]))</f>
        <v/>
      </c>
    </row>
    <row r="507" spans="6:18" x14ac:dyDescent="0.3">
      <c r="F507" s="2">
        <f t="shared" si="9"/>
        <v>490</v>
      </c>
      <c r="G507" s="2" t="str">
        <f>IF(Iterations[[#This Row],[Step]] =current_step, current_a,IF(Iterations[[#This Row],[Step]] &gt; current_step, "",Iterations[[#This Row],[a]]))</f>
        <v/>
      </c>
      <c r="H507" s="2" t="str">
        <f>IF(Iterations[[#This Row],[Step]] =current_step, current_b,IF(Iterations[[#This Row],[Step]] &gt; current_step, "",Iterations[[#This Row],[b]]))</f>
        <v/>
      </c>
      <c r="I507" s="2" t="str">
        <f>IF(Iterations[[#This Row],[Step]] =current_step, current_c,IF(Iterations[[#This Row],[Step]] &gt; current_step, "",Iterations[[#This Row],[c]]))</f>
        <v/>
      </c>
      <c r="J507" s="2" t="str">
        <f>IF(Iterations[[#This Row],[Step]] =current_step, current_d,IF(Iterations[[#This Row],[Step]] &gt; current_step, "",Iterations[[#This Row],[d]]))</f>
        <v/>
      </c>
      <c r="K507" s="2" t="str">
        <f>IF(Iterations[[#This Row],[Step]] =current_step, current_e,IF(Iterations[[#This Row],[Step]] &gt; current_step, "",Iterations[[#This Row],[e]]))</f>
        <v/>
      </c>
      <c r="L507" s="2" t="str">
        <f>IF(Iterations[[#This Row],[Step]] =current_step, current_Total_Loss,IF(Iterations[[#This Row],[Step]] &gt; current_step, "",Iterations[[#This Row],[Total Loss]]))</f>
        <v/>
      </c>
      <c r="M507" s="6" t="s">
        <v>27</v>
      </c>
      <c r="N507" s="2" t="str">
        <f>IF(Iterations[[#This Row],[Step]] =current_step, current_Grad_a,IF(Iterations[[#This Row],[Step]] &gt; current_step, "",Iterations[[#This Row],[Grad_a]]))</f>
        <v/>
      </c>
      <c r="O507" s="2" t="str">
        <f>IF(Iterations[[#This Row],[Step]] =current_step, current_Grad_b,IF(Iterations[[#This Row],[Step]] &gt; current_step, "",Iterations[[#This Row],[Grad_b]]))</f>
        <v/>
      </c>
      <c r="P507" s="2" t="str">
        <f>IF(Iterations[[#This Row],[Step]] =current_step, current_Grad_c,IF(Iterations[[#This Row],[Step]] &gt; current_step, "",Iterations[[#This Row],[Grad_c]]))</f>
        <v/>
      </c>
      <c r="Q507" s="2" t="str">
        <f>IF(Iterations[[#This Row],[Step]] =current_step, current_Grad_d,IF(Iterations[[#This Row],[Step]] &gt; current_step, "",Iterations[[#This Row],[Grad_d]]))</f>
        <v/>
      </c>
      <c r="R507" s="2" t="str">
        <f>IF(Iterations[[#This Row],[Step]] =current_step, current_Grad_e,IF(Iterations[[#This Row],[Step]] &gt; current_step, "",Iterations[[#This Row],[Grad_e]]))</f>
        <v/>
      </c>
    </row>
    <row r="508" spans="6:18" x14ac:dyDescent="0.3">
      <c r="F508" s="2">
        <f t="shared" si="9"/>
        <v>491</v>
      </c>
      <c r="G508" s="2" t="str">
        <f>IF(Iterations[[#This Row],[Step]] =current_step, current_a,IF(Iterations[[#This Row],[Step]] &gt; current_step, "",Iterations[[#This Row],[a]]))</f>
        <v/>
      </c>
      <c r="H508" s="2" t="str">
        <f>IF(Iterations[[#This Row],[Step]] =current_step, current_b,IF(Iterations[[#This Row],[Step]] &gt; current_step, "",Iterations[[#This Row],[b]]))</f>
        <v/>
      </c>
      <c r="I508" s="2" t="str">
        <f>IF(Iterations[[#This Row],[Step]] =current_step, current_c,IF(Iterations[[#This Row],[Step]] &gt; current_step, "",Iterations[[#This Row],[c]]))</f>
        <v/>
      </c>
      <c r="J508" s="2" t="str">
        <f>IF(Iterations[[#This Row],[Step]] =current_step, current_d,IF(Iterations[[#This Row],[Step]] &gt; current_step, "",Iterations[[#This Row],[d]]))</f>
        <v/>
      </c>
      <c r="K508" s="2" t="str">
        <f>IF(Iterations[[#This Row],[Step]] =current_step, current_e,IF(Iterations[[#This Row],[Step]] &gt; current_step, "",Iterations[[#This Row],[e]]))</f>
        <v/>
      </c>
      <c r="L508" s="2" t="str">
        <f>IF(Iterations[[#This Row],[Step]] =current_step, current_Total_Loss,IF(Iterations[[#This Row],[Step]] &gt; current_step, "",Iterations[[#This Row],[Total Loss]]))</f>
        <v/>
      </c>
      <c r="M508" s="6" t="s">
        <v>27</v>
      </c>
      <c r="N508" s="2" t="str">
        <f>IF(Iterations[[#This Row],[Step]] =current_step, current_Grad_a,IF(Iterations[[#This Row],[Step]] &gt; current_step, "",Iterations[[#This Row],[Grad_a]]))</f>
        <v/>
      </c>
      <c r="O508" s="2" t="str">
        <f>IF(Iterations[[#This Row],[Step]] =current_step, current_Grad_b,IF(Iterations[[#This Row],[Step]] &gt; current_step, "",Iterations[[#This Row],[Grad_b]]))</f>
        <v/>
      </c>
      <c r="P508" s="2" t="str">
        <f>IF(Iterations[[#This Row],[Step]] =current_step, current_Grad_c,IF(Iterations[[#This Row],[Step]] &gt; current_step, "",Iterations[[#This Row],[Grad_c]]))</f>
        <v/>
      </c>
      <c r="Q508" s="2" t="str">
        <f>IF(Iterations[[#This Row],[Step]] =current_step, current_Grad_d,IF(Iterations[[#This Row],[Step]] &gt; current_step, "",Iterations[[#This Row],[Grad_d]]))</f>
        <v/>
      </c>
      <c r="R508" s="2" t="str">
        <f>IF(Iterations[[#This Row],[Step]] =current_step, current_Grad_e,IF(Iterations[[#This Row],[Step]] &gt; current_step, "",Iterations[[#This Row],[Grad_e]]))</f>
        <v/>
      </c>
    </row>
    <row r="509" spans="6:18" x14ac:dyDescent="0.3">
      <c r="F509" s="2">
        <f t="shared" ref="F509:F572" si="10">F508+1</f>
        <v>492</v>
      </c>
      <c r="G509" s="2" t="str">
        <f>IF(Iterations[[#This Row],[Step]] =current_step, current_a,IF(Iterations[[#This Row],[Step]] &gt; current_step, "",Iterations[[#This Row],[a]]))</f>
        <v/>
      </c>
      <c r="H509" s="2" t="str">
        <f>IF(Iterations[[#This Row],[Step]] =current_step, current_b,IF(Iterations[[#This Row],[Step]] &gt; current_step, "",Iterations[[#This Row],[b]]))</f>
        <v/>
      </c>
      <c r="I509" s="2" t="str">
        <f>IF(Iterations[[#This Row],[Step]] =current_step, current_c,IF(Iterations[[#This Row],[Step]] &gt; current_step, "",Iterations[[#This Row],[c]]))</f>
        <v/>
      </c>
      <c r="J509" s="2" t="str">
        <f>IF(Iterations[[#This Row],[Step]] =current_step, current_d,IF(Iterations[[#This Row],[Step]] &gt; current_step, "",Iterations[[#This Row],[d]]))</f>
        <v/>
      </c>
      <c r="K509" s="2" t="str">
        <f>IF(Iterations[[#This Row],[Step]] =current_step, current_e,IF(Iterations[[#This Row],[Step]] &gt; current_step, "",Iterations[[#This Row],[e]]))</f>
        <v/>
      </c>
      <c r="L509" s="2" t="str">
        <f>IF(Iterations[[#This Row],[Step]] =current_step, current_Total_Loss,IF(Iterations[[#This Row],[Step]] &gt; current_step, "",Iterations[[#This Row],[Total Loss]]))</f>
        <v/>
      </c>
      <c r="M509" s="6" t="s">
        <v>27</v>
      </c>
      <c r="N509" s="2" t="str">
        <f>IF(Iterations[[#This Row],[Step]] =current_step, current_Grad_a,IF(Iterations[[#This Row],[Step]] &gt; current_step, "",Iterations[[#This Row],[Grad_a]]))</f>
        <v/>
      </c>
      <c r="O509" s="2" t="str">
        <f>IF(Iterations[[#This Row],[Step]] =current_step, current_Grad_b,IF(Iterations[[#This Row],[Step]] &gt; current_step, "",Iterations[[#This Row],[Grad_b]]))</f>
        <v/>
      </c>
      <c r="P509" s="2" t="str">
        <f>IF(Iterations[[#This Row],[Step]] =current_step, current_Grad_c,IF(Iterations[[#This Row],[Step]] &gt; current_step, "",Iterations[[#This Row],[Grad_c]]))</f>
        <v/>
      </c>
      <c r="Q509" s="2" t="str">
        <f>IF(Iterations[[#This Row],[Step]] =current_step, current_Grad_d,IF(Iterations[[#This Row],[Step]] &gt; current_step, "",Iterations[[#This Row],[Grad_d]]))</f>
        <v/>
      </c>
      <c r="R509" s="2" t="str">
        <f>IF(Iterations[[#This Row],[Step]] =current_step, current_Grad_e,IF(Iterations[[#This Row],[Step]] &gt; current_step, "",Iterations[[#This Row],[Grad_e]]))</f>
        <v/>
      </c>
    </row>
    <row r="510" spans="6:18" x14ac:dyDescent="0.3">
      <c r="F510" s="2">
        <f t="shared" si="10"/>
        <v>493</v>
      </c>
      <c r="G510" s="2" t="str">
        <f>IF(Iterations[[#This Row],[Step]] =current_step, current_a,IF(Iterations[[#This Row],[Step]] &gt; current_step, "",Iterations[[#This Row],[a]]))</f>
        <v/>
      </c>
      <c r="H510" s="2" t="str">
        <f>IF(Iterations[[#This Row],[Step]] =current_step, current_b,IF(Iterations[[#This Row],[Step]] &gt; current_step, "",Iterations[[#This Row],[b]]))</f>
        <v/>
      </c>
      <c r="I510" s="2" t="str">
        <f>IF(Iterations[[#This Row],[Step]] =current_step, current_c,IF(Iterations[[#This Row],[Step]] &gt; current_step, "",Iterations[[#This Row],[c]]))</f>
        <v/>
      </c>
      <c r="J510" s="2" t="str">
        <f>IF(Iterations[[#This Row],[Step]] =current_step, current_d,IF(Iterations[[#This Row],[Step]] &gt; current_step, "",Iterations[[#This Row],[d]]))</f>
        <v/>
      </c>
      <c r="K510" s="2" t="str">
        <f>IF(Iterations[[#This Row],[Step]] =current_step, current_e,IF(Iterations[[#This Row],[Step]] &gt; current_step, "",Iterations[[#This Row],[e]]))</f>
        <v/>
      </c>
      <c r="L510" s="2" t="str">
        <f>IF(Iterations[[#This Row],[Step]] =current_step, current_Total_Loss,IF(Iterations[[#This Row],[Step]] &gt; current_step, "",Iterations[[#This Row],[Total Loss]]))</f>
        <v/>
      </c>
      <c r="M510" s="6" t="s">
        <v>27</v>
      </c>
      <c r="N510" s="2" t="str">
        <f>IF(Iterations[[#This Row],[Step]] =current_step, current_Grad_a,IF(Iterations[[#This Row],[Step]] &gt; current_step, "",Iterations[[#This Row],[Grad_a]]))</f>
        <v/>
      </c>
      <c r="O510" s="2" t="str">
        <f>IF(Iterations[[#This Row],[Step]] =current_step, current_Grad_b,IF(Iterations[[#This Row],[Step]] &gt; current_step, "",Iterations[[#This Row],[Grad_b]]))</f>
        <v/>
      </c>
      <c r="P510" s="2" t="str">
        <f>IF(Iterations[[#This Row],[Step]] =current_step, current_Grad_c,IF(Iterations[[#This Row],[Step]] &gt; current_step, "",Iterations[[#This Row],[Grad_c]]))</f>
        <v/>
      </c>
      <c r="Q510" s="2" t="str">
        <f>IF(Iterations[[#This Row],[Step]] =current_step, current_Grad_d,IF(Iterations[[#This Row],[Step]] &gt; current_step, "",Iterations[[#This Row],[Grad_d]]))</f>
        <v/>
      </c>
      <c r="R510" s="2" t="str">
        <f>IF(Iterations[[#This Row],[Step]] =current_step, current_Grad_e,IF(Iterations[[#This Row],[Step]] &gt; current_step, "",Iterations[[#This Row],[Grad_e]]))</f>
        <v/>
      </c>
    </row>
    <row r="511" spans="6:18" x14ac:dyDescent="0.3">
      <c r="F511" s="2">
        <f t="shared" si="10"/>
        <v>494</v>
      </c>
      <c r="G511" s="2" t="str">
        <f>IF(Iterations[[#This Row],[Step]] =current_step, current_a,IF(Iterations[[#This Row],[Step]] &gt; current_step, "",Iterations[[#This Row],[a]]))</f>
        <v/>
      </c>
      <c r="H511" s="2" t="str">
        <f>IF(Iterations[[#This Row],[Step]] =current_step, current_b,IF(Iterations[[#This Row],[Step]] &gt; current_step, "",Iterations[[#This Row],[b]]))</f>
        <v/>
      </c>
      <c r="I511" s="2" t="str">
        <f>IF(Iterations[[#This Row],[Step]] =current_step, current_c,IF(Iterations[[#This Row],[Step]] &gt; current_step, "",Iterations[[#This Row],[c]]))</f>
        <v/>
      </c>
      <c r="J511" s="2" t="str">
        <f>IF(Iterations[[#This Row],[Step]] =current_step, current_d,IF(Iterations[[#This Row],[Step]] &gt; current_step, "",Iterations[[#This Row],[d]]))</f>
        <v/>
      </c>
      <c r="K511" s="2" t="str">
        <f>IF(Iterations[[#This Row],[Step]] =current_step, current_e,IF(Iterations[[#This Row],[Step]] &gt; current_step, "",Iterations[[#This Row],[e]]))</f>
        <v/>
      </c>
      <c r="L511" s="2" t="str">
        <f>IF(Iterations[[#This Row],[Step]] =current_step, current_Total_Loss,IF(Iterations[[#This Row],[Step]] &gt; current_step, "",Iterations[[#This Row],[Total Loss]]))</f>
        <v/>
      </c>
      <c r="M511" s="6" t="s">
        <v>27</v>
      </c>
      <c r="N511" s="2" t="str">
        <f>IF(Iterations[[#This Row],[Step]] =current_step, current_Grad_a,IF(Iterations[[#This Row],[Step]] &gt; current_step, "",Iterations[[#This Row],[Grad_a]]))</f>
        <v/>
      </c>
      <c r="O511" s="2" t="str">
        <f>IF(Iterations[[#This Row],[Step]] =current_step, current_Grad_b,IF(Iterations[[#This Row],[Step]] &gt; current_step, "",Iterations[[#This Row],[Grad_b]]))</f>
        <v/>
      </c>
      <c r="P511" s="2" t="str">
        <f>IF(Iterations[[#This Row],[Step]] =current_step, current_Grad_c,IF(Iterations[[#This Row],[Step]] &gt; current_step, "",Iterations[[#This Row],[Grad_c]]))</f>
        <v/>
      </c>
      <c r="Q511" s="2" t="str">
        <f>IF(Iterations[[#This Row],[Step]] =current_step, current_Grad_d,IF(Iterations[[#This Row],[Step]] &gt; current_step, "",Iterations[[#This Row],[Grad_d]]))</f>
        <v/>
      </c>
      <c r="R511" s="2" t="str">
        <f>IF(Iterations[[#This Row],[Step]] =current_step, current_Grad_e,IF(Iterations[[#This Row],[Step]] &gt; current_step, "",Iterations[[#This Row],[Grad_e]]))</f>
        <v/>
      </c>
    </row>
    <row r="512" spans="6:18" x14ac:dyDescent="0.3">
      <c r="F512" s="2">
        <f t="shared" si="10"/>
        <v>495</v>
      </c>
      <c r="G512" s="2" t="str">
        <f>IF(Iterations[[#This Row],[Step]] =current_step, current_a,IF(Iterations[[#This Row],[Step]] &gt; current_step, "",Iterations[[#This Row],[a]]))</f>
        <v/>
      </c>
      <c r="H512" s="2" t="str">
        <f>IF(Iterations[[#This Row],[Step]] =current_step, current_b,IF(Iterations[[#This Row],[Step]] &gt; current_step, "",Iterations[[#This Row],[b]]))</f>
        <v/>
      </c>
      <c r="I512" s="2" t="str">
        <f>IF(Iterations[[#This Row],[Step]] =current_step, current_c,IF(Iterations[[#This Row],[Step]] &gt; current_step, "",Iterations[[#This Row],[c]]))</f>
        <v/>
      </c>
      <c r="J512" s="2" t="str">
        <f>IF(Iterations[[#This Row],[Step]] =current_step, current_d,IF(Iterations[[#This Row],[Step]] &gt; current_step, "",Iterations[[#This Row],[d]]))</f>
        <v/>
      </c>
      <c r="K512" s="2" t="str">
        <f>IF(Iterations[[#This Row],[Step]] =current_step, current_e,IF(Iterations[[#This Row],[Step]] &gt; current_step, "",Iterations[[#This Row],[e]]))</f>
        <v/>
      </c>
      <c r="L512" s="2" t="str">
        <f>IF(Iterations[[#This Row],[Step]] =current_step, current_Total_Loss,IF(Iterations[[#This Row],[Step]] &gt; current_step, "",Iterations[[#This Row],[Total Loss]]))</f>
        <v/>
      </c>
      <c r="M512" s="6" t="s">
        <v>27</v>
      </c>
      <c r="N512" s="2" t="str">
        <f>IF(Iterations[[#This Row],[Step]] =current_step, current_Grad_a,IF(Iterations[[#This Row],[Step]] &gt; current_step, "",Iterations[[#This Row],[Grad_a]]))</f>
        <v/>
      </c>
      <c r="O512" s="2" t="str">
        <f>IF(Iterations[[#This Row],[Step]] =current_step, current_Grad_b,IF(Iterations[[#This Row],[Step]] &gt; current_step, "",Iterations[[#This Row],[Grad_b]]))</f>
        <v/>
      </c>
      <c r="P512" s="2" t="str">
        <f>IF(Iterations[[#This Row],[Step]] =current_step, current_Grad_c,IF(Iterations[[#This Row],[Step]] &gt; current_step, "",Iterations[[#This Row],[Grad_c]]))</f>
        <v/>
      </c>
      <c r="Q512" s="2" t="str">
        <f>IF(Iterations[[#This Row],[Step]] =current_step, current_Grad_d,IF(Iterations[[#This Row],[Step]] &gt; current_step, "",Iterations[[#This Row],[Grad_d]]))</f>
        <v/>
      </c>
      <c r="R512" s="2" t="str">
        <f>IF(Iterations[[#This Row],[Step]] =current_step, current_Grad_e,IF(Iterations[[#This Row],[Step]] &gt; current_step, "",Iterations[[#This Row],[Grad_e]]))</f>
        <v/>
      </c>
    </row>
    <row r="513" spans="6:18" x14ac:dyDescent="0.3">
      <c r="F513" s="2">
        <f t="shared" si="10"/>
        <v>496</v>
      </c>
      <c r="G513" s="2" t="str">
        <f>IF(Iterations[[#This Row],[Step]] =current_step, current_a,IF(Iterations[[#This Row],[Step]] &gt; current_step, "",Iterations[[#This Row],[a]]))</f>
        <v/>
      </c>
      <c r="H513" s="2" t="str">
        <f>IF(Iterations[[#This Row],[Step]] =current_step, current_b,IF(Iterations[[#This Row],[Step]] &gt; current_step, "",Iterations[[#This Row],[b]]))</f>
        <v/>
      </c>
      <c r="I513" s="2" t="str">
        <f>IF(Iterations[[#This Row],[Step]] =current_step, current_c,IF(Iterations[[#This Row],[Step]] &gt; current_step, "",Iterations[[#This Row],[c]]))</f>
        <v/>
      </c>
      <c r="J513" s="2" t="str">
        <f>IF(Iterations[[#This Row],[Step]] =current_step, current_d,IF(Iterations[[#This Row],[Step]] &gt; current_step, "",Iterations[[#This Row],[d]]))</f>
        <v/>
      </c>
      <c r="K513" s="2" t="str">
        <f>IF(Iterations[[#This Row],[Step]] =current_step, current_e,IF(Iterations[[#This Row],[Step]] &gt; current_step, "",Iterations[[#This Row],[e]]))</f>
        <v/>
      </c>
      <c r="L513" s="2" t="str">
        <f>IF(Iterations[[#This Row],[Step]] =current_step, current_Total_Loss,IF(Iterations[[#This Row],[Step]] &gt; current_step, "",Iterations[[#This Row],[Total Loss]]))</f>
        <v/>
      </c>
      <c r="M513" s="6" t="s">
        <v>27</v>
      </c>
      <c r="N513" s="2" t="str">
        <f>IF(Iterations[[#This Row],[Step]] =current_step, current_Grad_a,IF(Iterations[[#This Row],[Step]] &gt; current_step, "",Iterations[[#This Row],[Grad_a]]))</f>
        <v/>
      </c>
      <c r="O513" s="2" t="str">
        <f>IF(Iterations[[#This Row],[Step]] =current_step, current_Grad_b,IF(Iterations[[#This Row],[Step]] &gt; current_step, "",Iterations[[#This Row],[Grad_b]]))</f>
        <v/>
      </c>
      <c r="P513" s="2" t="str">
        <f>IF(Iterations[[#This Row],[Step]] =current_step, current_Grad_c,IF(Iterations[[#This Row],[Step]] &gt; current_step, "",Iterations[[#This Row],[Grad_c]]))</f>
        <v/>
      </c>
      <c r="Q513" s="2" t="str">
        <f>IF(Iterations[[#This Row],[Step]] =current_step, current_Grad_d,IF(Iterations[[#This Row],[Step]] &gt; current_step, "",Iterations[[#This Row],[Grad_d]]))</f>
        <v/>
      </c>
      <c r="R513" s="2" t="str">
        <f>IF(Iterations[[#This Row],[Step]] =current_step, current_Grad_e,IF(Iterations[[#This Row],[Step]] &gt; current_step, "",Iterations[[#This Row],[Grad_e]]))</f>
        <v/>
      </c>
    </row>
    <row r="514" spans="6:18" x14ac:dyDescent="0.3">
      <c r="F514" s="2">
        <f t="shared" si="10"/>
        <v>497</v>
      </c>
      <c r="G514" s="2" t="str">
        <f>IF(Iterations[[#This Row],[Step]] =current_step, current_a,IF(Iterations[[#This Row],[Step]] &gt; current_step, "",Iterations[[#This Row],[a]]))</f>
        <v/>
      </c>
      <c r="H514" s="2" t="str">
        <f>IF(Iterations[[#This Row],[Step]] =current_step, current_b,IF(Iterations[[#This Row],[Step]] &gt; current_step, "",Iterations[[#This Row],[b]]))</f>
        <v/>
      </c>
      <c r="I514" s="2" t="str">
        <f>IF(Iterations[[#This Row],[Step]] =current_step, current_c,IF(Iterations[[#This Row],[Step]] &gt; current_step, "",Iterations[[#This Row],[c]]))</f>
        <v/>
      </c>
      <c r="J514" s="2" t="str">
        <f>IF(Iterations[[#This Row],[Step]] =current_step, current_d,IF(Iterations[[#This Row],[Step]] &gt; current_step, "",Iterations[[#This Row],[d]]))</f>
        <v/>
      </c>
      <c r="K514" s="2" t="str">
        <f>IF(Iterations[[#This Row],[Step]] =current_step, current_e,IF(Iterations[[#This Row],[Step]] &gt; current_step, "",Iterations[[#This Row],[e]]))</f>
        <v/>
      </c>
      <c r="L514" s="2" t="str">
        <f>IF(Iterations[[#This Row],[Step]] =current_step, current_Total_Loss,IF(Iterations[[#This Row],[Step]] &gt; current_step, "",Iterations[[#This Row],[Total Loss]]))</f>
        <v/>
      </c>
      <c r="M514" s="6" t="s">
        <v>27</v>
      </c>
      <c r="N514" s="2" t="str">
        <f>IF(Iterations[[#This Row],[Step]] =current_step, current_Grad_a,IF(Iterations[[#This Row],[Step]] &gt; current_step, "",Iterations[[#This Row],[Grad_a]]))</f>
        <v/>
      </c>
      <c r="O514" s="2" t="str">
        <f>IF(Iterations[[#This Row],[Step]] =current_step, current_Grad_b,IF(Iterations[[#This Row],[Step]] &gt; current_step, "",Iterations[[#This Row],[Grad_b]]))</f>
        <v/>
      </c>
      <c r="P514" s="2" t="str">
        <f>IF(Iterations[[#This Row],[Step]] =current_step, current_Grad_c,IF(Iterations[[#This Row],[Step]] &gt; current_step, "",Iterations[[#This Row],[Grad_c]]))</f>
        <v/>
      </c>
      <c r="Q514" s="2" t="str">
        <f>IF(Iterations[[#This Row],[Step]] =current_step, current_Grad_d,IF(Iterations[[#This Row],[Step]] &gt; current_step, "",Iterations[[#This Row],[Grad_d]]))</f>
        <v/>
      </c>
      <c r="R514" s="2" t="str">
        <f>IF(Iterations[[#This Row],[Step]] =current_step, current_Grad_e,IF(Iterations[[#This Row],[Step]] &gt; current_step, "",Iterations[[#This Row],[Grad_e]]))</f>
        <v/>
      </c>
    </row>
    <row r="515" spans="6:18" x14ac:dyDescent="0.3">
      <c r="F515" s="2">
        <f t="shared" si="10"/>
        <v>498</v>
      </c>
      <c r="G515" s="2" t="str">
        <f>IF(Iterations[[#This Row],[Step]] =current_step, current_a,IF(Iterations[[#This Row],[Step]] &gt; current_step, "",Iterations[[#This Row],[a]]))</f>
        <v/>
      </c>
      <c r="H515" s="2" t="str">
        <f>IF(Iterations[[#This Row],[Step]] =current_step, current_b,IF(Iterations[[#This Row],[Step]] &gt; current_step, "",Iterations[[#This Row],[b]]))</f>
        <v/>
      </c>
      <c r="I515" s="2" t="str">
        <f>IF(Iterations[[#This Row],[Step]] =current_step, current_c,IF(Iterations[[#This Row],[Step]] &gt; current_step, "",Iterations[[#This Row],[c]]))</f>
        <v/>
      </c>
      <c r="J515" s="2" t="str">
        <f>IF(Iterations[[#This Row],[Step]] =current_step, current_d,IF(Iterations[[#This Row],[Step]] &gt; current_step, "",Iterations[[#This Row],[d]]))</f>
        <v/>
      </c>
      <c r="K515" s="2" t="str">
        <f>IF(Iterations[[#This Row],[Step]] =current_step, current_e,IF(Iterations[[#This Row],[Step]] &gt; current_step, "",Iterations[[#This Row],[e]]))</f>
        <v/>
      </c>
      <c r="L515" s="2" t="str">
        <f>IF(Iterations[[#This Row],[Step]] =current_step, current_Total_Loss,IF(Iterations[[#This Row],[Step]] &gt; current_step, "",Iterations[[#This Row],[Total Loss]]))</f>
        <v/>
      </c>
      <c r="M515" s="6" t="s">
        <v>27</v>
      </c>
      <c r="N515" s="2" t="str">
        <f>IF(Iterations[[#This Row],[Step]] =current_step, current_Grad_a,IF(Iterations[[#This Row],[Step]] &gt; current_step, "",Iterations[[#This Row],[Grad_a]]))</f>
        <v/>
      </c>
      <c r="O515" s="2" t="str">
        <f>IF(Iterations[[#This Row],[Step]] =current_step, current_Grad_b,IF(Iterations[[#This Row],[Step]] &gt; current_step, "",Iterations[[#This Row],[Grad_b]]))</f>
        <v/>
      </c>
      <c r="P515" s="2" t="str">
        <f>IF(Iterations[[#This Row],[Step]] =current_step, current_Grad_c,IF(Iterations[[#This Row],[Step]] &gt; current_step, "",Iterations[[#This Row],[Grad_c]]))</f>
        <v/>
      </c>
      <c r="Q515" s="2" t="str">
        <f>IF(Iterations[[#This Row],[Step]] =current_step, current_Grad_d,IF(Iterations[[#This Row],[Step]] &gt; current_step, "",Iterations[[#This Row],[Grad_d]]))</f>
        <v/>
      </c>
      <c r="R515" s="2" t="str">
        <f>IF(Iterations[[#This Row],[Step]] =current_step, current_Grad_e,IF(Iterations[[#This Row],[Step]] &gt; current_step, "",Iterations[[#This Row],[Grad_e]]))</f>
        <v/>
      </c>
    </row>
    <row r="516" spans="6:18" x14ac:dyDescent="0.3">
      <c r="F516" s="2">
        <f t="shared" si="10"/>
        <v>499</v>
      </c>
      <c r="G516" s="2" t="str">
        <f>IF(Iterations[[#This Row],[Step]] =current_step, current_a,IF(Iterations[[#This Row],[Step]] &gt; current_step, "",Iterations[[#This Row],[a]]))</f>
        <v/>
      </c>
      <c r="H516" s="2" t="str">
        <f>IF(Iterations[[#This Row],[Step]] =current_step, current_b,IF(Iterations[[#This Row],[Step]] &gt; current_step, "",Iterations[[#This Row],[b]]))</f>
        <v/>
      </c>
      <c r="I516" s="2" t="str">
        <f>IF(Iterations[[#This Row],[Step]] =current_step, current_c,IF(Iterations[[#This Row],[Step]] &gt; current_step, "",Iterations[[#This Row],[c]]))</f>
        <v/>
      </c>
      <c r="J516" s="2" t="str">
        <f>IF(Iterations[[#This Row],[Step]] =current_step, current_d,IF(Iterations[[#This Row],[Step]] &gt; current_step, "",Iterations[[#This Row],[d]]))</f>
        <v/>
      </c>
      <c r="K516" s="2" t="str">
        <f>IF(Iterations[[#This Row],[Step]] =current_step, current_e,IF(Iterations[[#This Row],[Step]] &gt; current_step, "",Iterations[[#This Row],[e]]))</f>
        <v/>
      </c>
      <c r="L516" s="2" t="str">
        <f>IF(Iterations[[#This Row],[Step]] =current_step, current_Total_Loss,IF(Iterations[[#This Row],[Step]] &gt; current_step, "",Iterations[[#This Row],[Total Loss]]))</f>
        <v/>
      </c>
      <c r="M516" s="6" t="s">
        <v>27</v>
      </c>
      <c r="N516" s="2" t="str">
        <f>IF(Iterations[[#This Row],[Step]] =current_step, current_Grad_a,IF(Iterations[[#This Row],[Step]] &gt; current_step, "",Iterations[[#This Row],[Grad_a]]))</f>
        <v/>
      </c>
      <c r="O516" s="2" t="str">
        <f>IF(Iterations[[#This Row],[Step]] =current_step, current_Grad_b,IF(Iterations[[#This Row],[Step]] &gt; current_step, "",Iterations[[#This Row],[Grad_b]]))</f>
        <v/>
      </c>
      <c r="P516" s="2" t="str">
        <f>IF(Iterations[[#This Row],[Step]] =current_step, current_Grad_c,IF(Iterations[[#This Row],[Step]] &gt; current_step, "",Iterations[[#This Row],[Grad_c]]))</f>
        <v/>
      </c>
      <c r="Q516" s="2" t="str">
        <f>IF(Iterations[[#This Row],[Step]] =current_step, current_Grad_d,IF(Iterations[[#This Row],[Step]] &gt; current_step, "",Iterations[[#This Row],[Grad_d]]))</f>
        <v/>
      </c>
      <c r="R516" s="2" t="str">
        <f>IF(Iterations[[#This Row],[Step]] =current_step, current_Grad_e,IF(Iterations[[#This Row],[Step]] &gt; current_step, "",Iterations[[#This Row],[Grad_e]]))</f>
        <v/>
      </c>
    </row>
    <row r="517" spans="6:18" x14ac:dyDescent="0.3">
      <c r="F517" s="2">
        <f t="shared" si="10"/>
        <v>500</v>
      </c>
      <c r="G517" s="2" t="str">
        <f>IF(Iterations[[#This Row],[Step]] =current_step, current_a,IF(Iterations[[#This Row],[Step]] &gt; current_step, "",Iterations[[#This Row],[a]]))</f>
        <v/>
      </c>
      <c r="H517" s="2" t="str">
        <f>IF(Iterations[[#This Row],[Step]] =current_step, current_b,IF(Iterations[[#This Row],[Step]] &gt; current_step, "",Iterations[[#This Row],[b]]))</f>
        <v/>
      </c>
      <c r="I517" s="2" t="str">
        <f>IF(Iterations[[#This Row],[Step]] =current_step, current_c,IF(Iterations[[#This Row],[Step]] &gt; current_step, "",Iterations[[#This Row],[c]]))</f>
        <v/>
      </c>
      <c r="J517" s="2" t="str">
        <f>IF(Iterations[[#This Row],[Step]] =current_step, current_d,IF(Iterations[[#This Row],[Step]] &gt; current_step, "",Iterations[[#This Row],[d]]))</f>
        <v/>
      </c>
      <c r="K517" s="2" t="str">
        <f>IF(Iterations[[#This Row],[Step]] =current_step, current_e,IF(Iterations[[#This Row],[Step]] &gt; current_step, "",Iterations[[#This Row],[e]]))</f>
        <v/>
      </c>
      <c r="L517" s="2" t="str">
        <f>IF(Iterations[[#This Row],[Step]] =current_step, current_Total_Loss,IF(Iterations[[#This Row],[Step]] &gt; current_step, "",Iterations[[#This Row],[Total Loss]]))</f>
        <v/>
      </c>
      <c r="M517" s="6" t="s">
        <v>27</v>
      </c>
      <c r="N517" s="2" t="str">
        <f>IF(Iterations[[#This Row],[Step]] =current_step, current_Grad_a,IF(Iterations[[#This Row],[Step]] &gt; current_step, "",Iterations[[#This Row],[Grad_a]]))</f>
        <v/>
      </c>
      <c r="O517" s="2" t="str">
        <f>IF(Iterations[[#This Row],[Step]] =current_step, current_Grad_b,IF(Iterations[[#This Row],[Step]] &gt; current_step, "",Iterations[[#This Row],[Grad_b]]))</f>
        <v/>
      </c>
      <c r="P517" s="2" t="str">
        <f>IF(Iterations[[#This Row],[Step]] =current_step, current_Grad_c,IF(Iterations[[#This Row],[Step]] &gt; current_step, "",Iterations[[#This Row],[Grad_c]]))</f>
        <v/>
      </c>
      <c r="Q517" s="2" t="str">
        <f>IF(Iterations[[#This Row],[Step]] =current_step, current_Grad_d,IF(Iterations[[#This Row],[Step]] &gt; current_step, "",Iterations[[#This Row],[Grad_d]]))</f>
        <v/>
      </c>
      <c r="R517" s="2" t="str">
        <f>IF(Iterations[[#This Row],[Step]] =current_step, current_Grad_e,IF(Iterations[[#This Row],[Step]] &gt; current_step, "",Iterations[[#This Row],[Grad_e]]))</f>
        <v/>
      </c>
    </row>
    <row r="518" spans="6:18" x14ac:dyDescent="0.3">
      <c r="F518" s="2">
        <f t="shared" si="10"/>
        <v>501</v>
      </c>
      <c r="G518" s="2" t="str">
        <f>IF(Iterations[[#This Row],[Step]] =current_step, current_a,IF(Iterations[[#This Row],[Step]] &gt; current_step, "",Iterations[[#This Row],[a]]))</f>
        <v/>
      </c>
      <c r="H518" s="2" t="str">
        <f>IF(Iterations[[#This Row],[Step]] =current_step, current_b,IF(Iterations[[#This Row],[Step]] &gt; current_step, "",Iterations[[#This Row],[b]]))</f>
        <v/>
      </c>
      <c r="I518" s="2" t="str">
        <f>IF(Iterations[[#This Row],[Step]] =current_step, current_c,IF(Iterations[[#This Row],[Step]] &gt; current_step, "",Iterations[[#This Row],[c]]))</f>
        <v/>
      </c>
      <c r="J518" s="2" t="str">
        <f>IF(Iterations[[#This Row],[Step]] =current_step, current_d,IF(Iterations[[#This Row],[Step]] &gt; current_step, "",Iterations[[#This Row],[d]]))</f>
        <v/>
      </c>
      <c r="K518" s="2" t="str">
        <f>IF(Iterations[[#This Row],[Step]] =current_step, current_e,IF(Iterations[[#This Row],[Step]] &gt; current_step, "",Iterations[[#This Row],[e]]))</f>
        <v/>
      </c>
      <c r="L518" s="2" t="str">
        <f>IF(Iterations[[#This Row],[Step]] =current_step, current_Total_Loss,IF(Iterations[[#This Row],[Step]] &gt; current_step, "",Iterations[[#This Row],[Total Loss]]))</f>
        <v/>
      </c>
      <c r="M518" s="6" t="s">
        <v>27</v>
      </c>
      <c r="N518" s="2" t="str">
        <f>IF(Iterations[[#This Row],[Step]] =current_step, current_Grad_a,IF(Iterations[[#This Row],[Step]] &gt; current_step, "",Iterations[[#This Row],[Grad_a]]))</f>
        <v/>
      </c>
      <c r="O518" s="2" t="str">
        <f>IF(Iterations[[#This Row],[Step]] =current_step, current_Grad_b,IF(Iterations[[#This Row],[Step]] &gt; current_step, "",Iterations[[#This Row],[Grad_b]]))</f>
        <v/>
      </c>
      <c r="P518" s="2" t="str">
        <f>IF(Iterations[[#This Row],[Step]] =current_step, current_Grad_c,IF(Iterations[[#This Row],[Step]] &gt; current_step, "",Iterations[[#This Row],[Grad_c]]))</f>
        <v/>
      </c>
      <c r="Q518" s="2" t="str">
        <f>IF(Iterations[[#This Row],[Step]] =current_step, current_Grad_d,IF(Iterations[[#This Row],[Step]] &gt; current_step, "",Iterations[[#This Row],[Grad_d]]))</f>
        <v/>
      </c>
      <c r="R518" s="2" t="str">
        <f>IF(Iterations[[#This Row],[Step]] =current_step, current_Grad_e,IF(Iterations[[#This Row],[Step]] &gt; current_step, "",Iterations[[#This Row],[Grad_e]]))</f>
        <v/>
      </c>
    </row>
    <row r="519" spans="6:18" x14ac:dyDescent="0.3">
      <c r="F519" s="2">
        <f t="shared" si="10"/>
        <v>502</v>
      </c>
      <c r="G519" s="2" t="str">
        <f>IF(Iterations[[#This Row],[Step]] =current_step, current_a,IF(Iterations[[#This Row],[Step]] &gt; current_step, "",Iterations[[#This Row],[a]]))</f>
        <v/>
      </c>
      <c r="H519" s="2" t="str">
        <f>IF(Iterations[[#This Row],[Step]] =current_step, current_b,IF(Iterations[[#This Row],[Step]] &gt; current_step, "",Iterations[[#This Row],[b]]))</f>
        <v/>
      </c>
      <c r="I519" s="2" t="str">
        <f>IF(Iterations[[#This Row],[Step]] =current_step, current_c,IF(Iterations[[#This Row],[Step]] &gt; current_step, "",Iterations[[#This Row],[c]]))</f>
        <v/>
      </c>
      <c r="J519" s="2" t="str">
        <f>IF(Iterations[[#This Row],[Step]] =current_step, current_d,IF(Iterations[[#This Row],[Step]] &gt; current_step, "",Iterations[[#This Row],[d]]))</f>
        <v/>
      </c>
      <c r="K519" s="2" t="str">
        <f>IF(Iterations[[#This Row],[Step]] =current_step, current_e,IF(Iterations[[#This Row],[Step]] &gt; current_step, "",Iterations[[#This Row],[e]]))</f>
        <v/>
      </c>
      <c r="L519" s="2" t="str">
        <f>IF(Iterations[[#This Row],[Step]] =current_step, current_Total_Loss,IF(Iterations[[#This Row],[Step]] &gt; current_step, "",Iterations[[#This Row],[Total Loss]]))</f>
        <v/>
      </c>
      <c r="M519" s="6" t="s">
        <v>27</v>
      </c>
      <c r="N519" s="2" t="str">
        <f>IF(Iterations[[#This Row],[Step]] =current_step, current_Grad_a,IF(Iterations[[#This Row],[Step]] &gt; current_step, "",Iterations[[#This Row],[Grad_a]]))</f>
        <v/>
      </c>
      <c r="O519" s="2" t="str">
        <f>IF(Iterations[[#This Row],[Step]] =current_step, current_Grad_b,IF(Iterations[[#This Row],[Step]] &gt; current_step, "",Iterations[[#This Row],[Grad_b]]))</f>
        <v/>
      </c>
      <c r="P519" s="2" t="str">
        <f>IF(Iterations[[#This Row],[Step]] =current_step, current_Grad_c,IF(Iterations[[#This Row],[Step]] &gt; current_step, "",Iterations[[#This Row],[Grad_c]]))</f>
        <v/>
      </c>
      <c r="Q519" s="2" t="str">
        <f>IF(Iterations[[#This Row],[Step]] =current_step, current_Grad_d,IF(Iterations[[#This Row],[Step]] &gt; current_step, "",Iterations[[#This Row],[Grad_d]]))</f>
        <v/>
      </c>
      <c r="R519" s="2" t="str">
        <f>IF(Iterations[[#This Row],[Step]] =current_step, current_Grad_e,IF(Iterations[[#This Row],[Step]] &gt; current_step, "",Iterations[[#This Row],[Grad_e]]))</f>
        <v/>
      </c>
    </row>
    <row r="520" spans="6:18" x14ac:dyDescent="0.3">
      <c r="F520" s="2">
        <f t="shared" si="10"/>
        <v>503</v>
      </c>
      <c r="G520" s="2" t="str">
        <f>IF(Iterations[[#This Row],[Step]] =current_step, current_a,IF(Iterations[[#This Row],[Step]] &gt; current_step, "",Iterations[[#This Row],[a]]))</f>
        <v/>
      </c>
      <c r="H520" s="2" t="str">
        <f>IF(Iterations[[#This Row],[Step]] =current_step, current_b,IF(Iterations[[#This Row],[Step]] &gt; current_step, "",Iterations[[#This Row],[b]]))</f>
        <v/>
      </c>
      <c r="I520" s="2" t="str">
        <f>IF(Iterations[[#This Row],[Step]] =current_step, current_c,IF(Iterations[[#This Row],[Step]] &gt; current_step, "",Iterations[[#This Row],[c]]))</f>
        <v/>
      </c>
      <c r="J520" s="2" t="str">
        <f>IF(Iterations[[#This Row],[Step]] =current_step, current_d,IF(Iterations[[#This Row],[Step]] &gt; current_step, "",Iterations[[#This Row],[d]]))</f>
        <v/>
      </c>
      <c r="K520" s="2" t="str">
        <f>IF(Iterations[[#This Row],[Step]] =current_step, current_e,IF(Iterations[[#This Row],[Step]] &gt; current_step, "",Iterations[[#This Row],[e]]))</f>
        <v/>
      </c>
      <c r="L520" s="2" t="str">
        <f>IF(Iterations[[#This Row],[Step]] =current_step, current_Total_Loss,IF(Iterations[[#This Row],[Step]] &gt; current_step, "",Iterations[[#This Row],[Total Loss]]))</f>
        <v/>
      </c>
      <c r="M520" s="6" t="s">
        <v>27</v>
      </c>
      <c r="N520" s="2" t="str">
        <f>IF(Iterations[[#This Row],[Step]] =current_step, current_Grad_a,IF(Iterations[[#This Row],[Step]] &gt; current_step, "",Iterations[[#This Row],[Grad_a]]))</f>
        <v/>
      </c>
      <c r="O520" s="2" t="str">
        <f>IF(Iterations[[#This Row],[Step]] =current_step, current_Grad_b,IF(Iterations[[#This Row],[Step]] &gt; current_step, "",Iterations[[#This Row],[Grad_b]]))</f>
        <v/>
      </c>
      <c r="P520" s="2" t="str">
        <f>IF(Iterations[[#This Row],[Step]] =current_step, current_Grad_c,IF(Iterations[[#This Row],[Step]] &gt; current_step, "",Iterations[[#This Row],[Grad_c]]))</f>
        <v/>
      </c>
      <c r="Q520" s="2" t="str">
        <f>IF(Iterations[[#This Row],[Step]] =current_step, current_Grad_d,IF(Iterations[[#This Row],[Step]] &gt; current_step, "",Iterations[[#This Row],[Grad_d]]))</f>
        <v/>
      </c>
      <c r="R520" s="2" t="str">
        <f>IF(Iterations[[#This Row],[Step]] =current_step, current_Grad_e,IF(Iterations[[#This Row],[Step]] &gt; current_step, "",Iterations[[#This Row],[Grad_e]]))</f>
        <v/>
      </c>
    </row>
    <row r="521" spans="6:18" x14ac:dyDescent="0.3">
      <c r="F521" s="2">
        <f t="shared" si="10"/>
        <v>504</v>
      </c>
      <c r="G521" s="2" t="str">
        <f>IF(Iterations[[#This Row],[Step]] =current_step, current_a,IF(Iterations[[#This Row],[Step]] &gt; current_step, "",Iterations[[#This Row],[a]]))</f>
        <v/>
      </c>
      <c r="H521" s="2" t="str">
        <f>IF(Iterations[[#This Row],[Step]] =current_step, current_b,IF(Iterations[[#This Row],[Step]] &gt; current_step, "",Iterations[[#This Row],[b]]))</f>
        <v/>
      </c>
      <c r="I521" s="2" t="str">
        <f>IF(Iterations[[#This Row],[Step]] =current_step, current_c,IF(Iterations[[#This Row],[Step]] &gt; current_step, "",Iterations[[#This Row],[c]]))</f>
        <v/>
      </c>
      <c r="J521" s="2" t="str">
        <f>IF(Iterations[[#This Row],[Step]] =current_step, current_d,IF(Iterations[[#This Row],[Step]] &gt; current_step, "",Iterations[[#This Row],[d]]))</f>
        <v/>
      </c>
      <c r="K521" s="2" t="str">
        <f>IF(Iterations[[#This Row],[Step]] =current_step, current_e,IF(Iterations[[#This Row],[Step]] &gt; current_step, "",Iterations[[#This Row],[e]]))</f>
        <v/>
      </c>
      <c r="L521" s="2" t="str">
        <f>IF(Iterations[[#This Row],[Step]] =current_step, current_Total_Loss,IF(Iterations[[#This Row],[Step]] &gt; current_step, "",Iterations[[#This Row],[Total Loss]]))</f>
        <v/>
      </c>
      <c r="M521" s="6" t="s">
        <v>27</v>
      </c>
      <c r="N521" s="2" t="str">
        <f>IF(Iterations[[#This Row],[Step]] =current_step, current_Grad_a,IF(Iterations[[#This Row],[Step]] &gt; current_step, "",Iterations[[#This Row],[Grad_a]]))</f>
        <v/>
      </c>
      <c r="O521" s="2" t="str">
        <f>IF(Iterations[[#This Row],[Step]] =current_step, current_Grad_b,IF(Iterations[[#This Row],[Step]] &gt; current_step, "",Iterations[[#This Row],[Grad_b]]))</f>
        <v/>
      </c>
      <c r="P521" s="2" t="str">
        <f>IF(Iterations[[#This Row],[Step]] =current_step, current_Grad_c,IF(Iterations[[#This Row],[Step]] &gt; current_step, "",Iterations[[#This Row],[Grad_c]]))</f>
        <v/>
      </c>
      <c r="Q521" s="2" t="str">
        <f>IF(Iterations[[#This Row],[Step]] =current_step, current_Grad_d,IF(Iterations[[#This Row],[Step]] &gt; current_step, "",Iterations[[#This Row],[Grad_d]]))</f>
        <v/>
      </c>
      <c r="R521" s="2" t="str">
        <f>IF(Iterations[[#This Row],[Step]] =current_step, current_Grad_e,IF(Iterations[[#This Row],[Step]] &gt; current_step, "",Iterations[[#This Row],[Grad_e]]))</f>
        <v/>
      </c>
    </row>
    <row r="522" spans="6:18" x14ac:dyDescent="0.3">
      <c r="F522" s="2">
        <f t="shared" si="10"/>
        <v>505</v>
      </c>
      <c r="G522" s="2" t="str">
        <f>IF(Iterations[[#This Row],[Step]] =current_step, current_a,IF(Iterations[[#This Row],[Step]] &gt; current_step, "",Iterations[[#This Row],[a]]))</f>
        <v/>
      </c>
      <c r="H522" s="2" t="str">
        <f>IF(Iterations[[#This Row],[Step]] =current_step, current_b,IF(Iterations[[#This Row],[Step]] &gt; current_step, "",Iterations[[#This Row],[b]]))</f>
        <v/>
      </c>
      <c r="I522" s="2" t="str">
        <f>IF(Iterations[[#This Row],[Step]] =current_step, current_c,IF(Iterations[[#This Row],[Step]] &gt; current_step, "",Iterations[[#This Row],[c]]))</f>
        <v/>
      </c>
      <c r="J522" s="2" t="str">
        <f>IF(Iterations[[#This Row],[Step]] =current_step, current_d,IF(Iterations[[#This Row],[Step]] &gt; current_step, "",Iterations[[#This Row],[d]]))</f>
        <v/>
      </c>
      <c r="K522" s="2" t="str">
        <f>IF(Iterations[[#This Row],[Step]] =current_step, current_e,IF(Iterations[[#This Row],[Step]] &gt; current_step, "",Iterations[[#This Row],[e]]))</f>
        <v/>
      </c>
      <c r="L522" s="2" t="str">
        <f>IF(Iterations[[#This Row],[Step]] =current_step, current_Total_Loss,IF(Iterations[[#This Row],[Step]] &gt; current_step, "",Iterations[[#This Row],[Total Loss]]))</f>
        <v/>
      </c>
      <c r="M522" s="6" t="s">
        <v>27</v>
      </c>
      <c r="N522" s="2" t="str">
        <f>IF(Iterations[[#This Row],[Step]] =current_step, current_Grad_a,IF(Iterations[[#This Row],[Step]] &gt; current_step, "",Iterations[[#This Row],[Grad_a]]))</f>
        <v/>
      </c>
      <c r="O522" s="2" t="str">
        <f>IF(Iterations[[#This Row],[Step]] =current_step, current_Grad_b,IF(Iterations[[#This Row],[Step]] &gt; current_step, "",Iterations[[#This Row],[Grad_b]]))</f>
        <v/>
      </c>
      <c r="P522" s="2" t="str">
        <f>IF(Iterations[[#This Row],[Step]] =current_step, current_Grad_c,IF(Iterations[[#This Row],[Step]] &gt; current_step, "",Iterations[[#This Row],[Grad_c]]))</f>
        <v/>
      </c>
      <c r="Q522" s="2" t="str">
        <f>IF(Iterations[[#This Row],[Step]] =current_step, current_Grad_d,IF(Iterations[[#This Row],[Step]] &gt; current_step, "",Iterations[[#This Row],[Grad_d]]))</f>
        <v/>
      </c>
      <c r="R522" s="2" t="str">
        <f>IF(Iterations[[#This Row],[Step]] =current_step, current_Grad_e,IF(Iterations[[#This Row],[Step]] &gt; current_step, "",Iterations[[#This Row],[Grad_e]]))</f>
        <v/>
      </c>
    </row>
    <row r="523" spans="6:18" x14ac:dyDescent="0.3">
      <c r="F523" s="2">
        <f t="shared" si="10"/>
        <v>506</v>
      </c>
      <c r="G523" s="2" t="str">
        <f>IF(Iterations[[#This Row],[Step]] =current_step, current_a,IF(Iterations[[#This Row],[Step]] &gt; current_step, "",Iterations[[#This Row],[a]]))</f>
        <v/>
      </c>
      <c r="H523" s="2" t="str">
        <f>IF(Iterations[[#This Row],[Step]] =current_step, current_b,IF(Iterations[[#This Row],[Step]] &gt; current_step, "",Iterations[[#This Row],[b]]))</f>
        <v/>
      </c>
      <c r="I523" s="2" t="str">
        <f>IF(Iterations[[#This Row],[Step]] =current_step, current_c,IF(Iterations[[#This Row],[Step]] &gt; current_step, "",Iterations[[#This Row],[c]]))</f>
        <v/>
      </c>
      <c r="J523" s="2" t="str">
        <f>IF(Iterations[[#This Row],[Step]] =current_step, current_d,IF(Iterations[[#This Row],[Step]] &gt; current_step, "",Iterations[[#This Row],[d]]))</f>
        <v/>
      </c>
      <c r="K523" s="2" t="str">
        <f>IF(Iterations[[#This Row],[Step]] =current_step, current_e,IF(Iterations[[#This Row],[Step]] &gt; current_step, "",Iterations[[#This Row],[e]]))</f>
        <v/>
      </c>
      <c r="L523" s="2" t="str">
        <f>IF(Iterations[[#This Row],[Step]] =current_step, current_Total_Loss,IF(Iterations[[#This Row],[Step]] &gt; current_step, "",Iterations[[#This Row],[Total Loss]]))</f>
        <v/>
      </c>
      <c r="M523" s="6" t="s">
        <v>27</v>
      </c>
      <c r="N523" s="2" t="str">
        <f>IF(Iterations[[#This Row],[Step]] =current_step, current_Grad_a,IF(Iterations[[#This Row],[Step]] &gt; current_step, "",Iterations[[#This Row],[Grad_a]]))</f>
        <v/>
      </c>
      <c r="O523" s="2" t="str">
        <f>IF(Iterations[[#This Row],[Step]] =current_step, current_Grad_b,IF(Iterations[[#This Row],[Step]] &gt; current_step, "",Iterations[[#This Row],[Grad_b]]))</f>
        <v/>
      </c>
      <c r="P523" s="2" t="str">
        <f>IF(Iterations[[#This Row],[Step]] =current_step, current_Grad_c,IF(Iterations[[#This Row],[Step]] &gt; current_step, "",Iterations[[#This Row],[Grad_c]]))</f>
        <v/>
      </c>
      <c r="Q523" s="2" t="str">
        <f>IF(Iterations[[#This Row],[Step]] =current_step, current_Grad_d,IF(Iterations[[#This Row],[Step]] &gt; current_step, "",Iterations[[#This Row],[Grad_d]]))</f>
        <v/>
      </c>
      <c r="R523" s="2" t="str">
        <f>IF(Iterations[[#This Row],[Step]] =current_step, current_Grad_e,IF(Iterations[[#This Row],[Step]] &gt; current_step, "",Iterations[[#This Row],[Grad_e]]))</f>
        <v/>
      </c>
    </row>
    <row r="524" spans="6:18" x14ac:dyDescent="0.3">
      <c r="F524" s="2">
        <f t="shared" si="10"/>
        <v>507</v>
      </c>
      <c r="G524" s="2" t="str">
        <f>IF(Iterations[[#This Row],[Step]] =current_step, current_a,IF(Iterations[[#This Row],[Step]] &gt; current_step, "",Iterations[[#This Row],[a]]))</f>
        <v/>
      </c>
      <c r="H524" s="2" t="str">
        <f>IF(Iterations[[#This Row],[Step]] =current_step, current_b,IF(Iterations[[#This Row],[Step]] &gt; current_step, "",Iterations[[#This Row],[b]]))</f>
        <v/>
      </c>
      <c r="I524" s="2" t="str">
        <f>IF(Iterations[[#This Row],[Step]] =current_step, current_c,IF(Iterations[[#This Row],[Step]] &gt; current_step, "",Iterations[[#This Row],[c]]))</f>
        <v/>
      </c>
      <c r="J524" s="2" t="str">
        <f>IF(Iterations[[#This Row],[Step]] =current_step, current_d,IF(Iterations[[#This Row],[Step]] &gt; current_step, "",Iterations[[#This Row],[d]]))</f>
        <v/>
      </c>
      <c r="K524" s="2" t="str">
        <f>IF(Iterations[[#This Row],[Step]] =current_step, current_e,IF(Iterations[[#This Row],[Step]] &gt; current_step, "",Iterations[[#This Row],[e]]))</f>
        <v/>
      </c>
      <c r="L524" s="2" t="str">
        <f>IF(Iterations[[#This Row],[Step]] =current_step, current_Total_Loss,IF(Iterations[[#This Row],[Step]] &gt; current_step, "",Iterations[[#This Row],[Total Loss]]))</f>
        <v/>
      </c>
      <c r="M524" s="6" t="s">
        <v>27</v>
      </c>
      <c r="N524" s="2" t="str">
        <f>IF(Iterations[[#This Row],[Step]] =current_step, current_Grad_a,IF(Iterations[[#This Row],[Step]] &gt; current_step, "",Iterations[[#This Row],[Grad_a]]))</f>
        <v/>
      </c>
      <c r="O524" s="2" t="str">
        <f>IF(Iterations[[#This Row],[Step]] =current_step, current_Grad_b,IF(Iterations[[#This Row],[Step]] &gt; current_step, "",Iterations[[#This Row],[Grad_b]]))</f>
        <v/>
      </c>
      <c r="P524" s="2" t="str">
        <f>IF(Iterations[[#This Row],[Step]] =current_step, current_Grad_c,IF(Iterations[[#This Row],[Step]] &gt; current_step, "",Iterations[[#This Row],[Grad_c]]))</f>
        <v/>
      </c>
      <c r="Q524" s="2" t="str">
        <f>IF(Iterations[[#This Row],[Step]] =current_step, current_Grad_d,IF(Iterations[[#This Row],[Step]] &gt; current_step, "",Iterations[[#This Row],[Grad_d]]))</f>
        <v/>
      </c>
      <c r="R524" s="2" t="str">
        <f>IF(Iterations[[#This Row],[Step]] =current_step, current_Grad_e,IF(Iterations[[#This Row],[Step]] &gt; current_step, "",Iterations[[#This Row],[Grad_e]]))</f>
        <v/>
      </c>
    </row>
    <row r="525" spans="6:18" x14ac:dyDescent="0.3">
      <c r="F525" s="2">
        <f t="shared" si="10"/>
        <v>508</v>
      </c>
      <c r="G525" s="2" t="str">
        <f>IF(Iterations[[#This Row],[Step]] =current_step, current_a,IF(Iterations[[#This Row],[Step]] &gt; current_step, "",Iterations[[#This Row],[a]]))</f>
        <v/>
      </c>
      <c r="H525" s="2" t="str">
        <f>IF(Iterations[[#This Row],[Step]] =current_step, current_b,IF(Iterations[[#This Row],[Step]] &gt; current_step, "",Iterations[[#This Row],[b]]))</f>
        <v/>
      </c>
      <c r="I525" s="2" t="str">
        <f>IF(Iterations[[#This Row],[Step]] =current_step, current_c,IF(Iterations[[#This Row],[Step]] &gt; current_step, "",Iterations[[#This Row],[c]]))</f>
        <v/>
      </c>
      <c r="J525" s="2" t="str">
        <f>IF(Iterations[[#This Row],[Step]] =current_step, current_d,IF(Iterations[[#This Row],[Step]] &gt; current_step, "",Iterations[[#This Row],[d]]))</f>
        <v/>
      </c>
      <c r="K525" s="2" t="str">
        <f>IF(Iterations[[#This Row],[Step]] =current_step, current_e,IF(Iterations[[#This Row],[Step]] &gt; current_step, "",Iterations[[#This Row],[e]]))</f>
        <v/>
      </c>
      <c r="L525" s="2" t="str">
        <f>IF(Iterations[[#This Row],[Step]] =current_step, current_Total_Loss,IF(Iterations[[#This Row],[Step]] &gt; current_step, "",Iterations[[#This Row],[Total Loss]]))</f>
        <v/>
      </c>
      <c r="M525" s="6" t="s">
        <v>27</v>
      </c>
      <c r="N525" s="2" t="str">
        <f>IF(Iterations[[#This Row],[Step]] =current_step, current_Grad_a,IF(Iterations[[#This Row],[Step]] &gt; current_step, "",Iterations[[#This Row],[Grad_a]]))</f>
        <v/>
      </c>
      <c r="O525" s="2" t="str">
        <f>IF(Iterations[[#This Row],[Step]] =current_step, current_Grad_b,IF(Iterations[[#This Row],[Step]] &gt; current_step, "",Iterations[[#This Row],[Grad_b]]))</f>
        <v/>
      </c>
      <c r="P525" s="2" t="str">
        <f>IF(Iterations[[#This Row],[Step]] =current_step, current_Grad_c,IF(Iterations[[#This Row],[Step]] &gt; current_step, "",Iterations[[#This Row],[Grad_c]]))</f>
        <v/>
      </c>
      <c r="Q525" s="2" t="str">
        <f>IF(Iterations[[#This Row],[Step]] =current_step, current_Grad_d,IF(Iterations[[#This Row],[Step]] &gt; current_step, "",Iterations[[#This Row],[Grad_d]]))</f>
        <v/>
      </c>
      <c r="R525" s="2" t="str">
        <f>IF(Iterations[[#This Row],[Step]] =current_step, current_Grad_e,IF(Iterations[[#This Row],[Step]] &gt; current_step, "",Iterations[[#This Row],[Grad_e]]))</f>
        <v/>
      </c>
    </row>
    <row r="526" spans="6:18" x14ac:dyDescent="0.3">
      <c r="F526" s="2">
        <f t="shared" si="10"/>
        <v>509</v>
      </c>
      <c r="G526" s="2" t="str">
        <f>IF(Iterations[[#This Row],[Step]] =current_step, current_a,IF(Iterations[[#This Row],[Step]] &gt; current_step, "",Iterations[[#This Row],[a]]))</f>
        <v/>
      </c>
      <c r="H526" s="2" t="str">
        <f>IF(Iterations[[#This Row],[Step]] =current_step, current_b,IF(Iterations[[#This Row],[Step]] &gt; current_step, "",Iterations[[#This Row],[b]]))</f>
        <v/>
      </c>
      <c r="I526" s="2" t="str">
        <f>IF(Iterations[[#This Row],[Step]] =current_step, current_c,IF(Iterations[[#This Row],[Step]] &gt; current_step, "",Iterations[[#This Row],[c]]))</f>
        <v/>
      </c>
      <c r="J526" s="2" t="str">
        <f>IF(Iterations[[#This Row],[Step]] =current_step, current_d,IF(Iterations[[#This Row],[Step]] &gt; current_step, "",Iterations[[#This Row],[d]]))</f>
        <v/>
      </c>
      <c r="K526" s="2" t="str">
        <f>IF(Iterations[[#This Row],[Step]] =current_step, current_e,IF(Iterations[[#This Row],[Step]] &gt; current_step, "",Iterations[[#This Row],[e]]))</f>
        <v/>
      </c>
      <c r="L526" s="2" t="str">
        <f>IF(Iterations[[#This Row],[Step]] =current_step, current_Total_Loss,IF(Iterations[[#This Row],[Step]] &gt; current_step, "",Iterations[[#This Row],[Total Loss]]))</f>
        <v/>
      </c>
      <c r="M526" s="6" t="s">
        <v>27</v>
      </c>
      <c r="N526" s="2" t="str">
        <f>IF(Iterations[[#This Row],[Step]] =current_step, current_Grad_a,IF(Iterations[[#This Row],[Step]] &gt; current_step, "",Iterations[[#This Row],[Grad_a]]))</f>
        <v/>
      </c>
      <c r="O526" s="2" t="str">
        <f>IF(Iterations[[#This Row],[Step]] =current_step, current_Grad_b,IF(Iterations[[#This Row],[Step]] &gt; current_step, "",Iterations[[#This Row],[Grad_b]]))</f>
        <v/>
      </c>
      <c r="P526" s="2" t="str">
        <f>IF(Iterations[[#This Row],[Step]] =current_step, current_Grad_c,IF(Iterations[[#This Row],[Step]] &gt; current_step, "",Iterations[[#This Row],[Grad_c]]))</f>
        <v/>
      </c>
      <c r="Q526" s="2" t="str">
        <f>IF(Iterations[[#This Row],[Step]] =current_step, current_Grad_d,IF(Iterations[[#This Row],[Step]] &gt; current_step, "",Iterations[[#This Row],[Grad_d]]))</f>
        <v/>
      </c>
      <c r="R526" s="2" t="str">
        <f>IF(Iterations[[#This Row],[Step]] =current_step, current_Grad_e,IF(Iterations[[#This Row],[Step]] &gt; current_step, "",Iterations[[#This Row],[Grad_e]]))</f>
        <v/>
      </c>
    </row>
    <row r="527" spans="6:18" x14ac:dyDescent="0.3">
      <c r="F527" s="2">
        <f t="shared" si="10"/>
        <v>510</v>
      </c>
      <c r="G527" s="2" t="str">
        <f>IF(Iterations[[#This Row],[Step]] =current_step, current_a,IF(Iterations[[#This Row],[Step]] &gt; current_step, "",Iterations[[#This Row],[a]]))</f>
        <v/>
      </c>
      <c r="H527" s="2" t="str">
        <f>IF(Iterations[[#This Row],[Step]] =current_step, current_b,IF(Iterations[[#This Row],[Step]] &gt; current_step, "",Iterations[[#This Row],[b]]))</f>
        <v/>
      </c>
      <c r="I527" s="2" t="str">
        <f>IF(Iterations[[#This Row],[Step]] =current_step, current_c,IF(Iterations[[#This Row],[Step]] &gt; current_step, "",Iterations[[#This Row],[c]]))</f>
        <v/>
      </c>
      <c r="J527" s="2" t="str">
        <f>IF(Iterations[[#This Row],[Step]] =current_step, current_d,IF(Iterations[[#This Row],[Step]] &gt; current_step, "",Iterations[[#This Row],[d]]))</f>
        <v/>
      </c>
      <c r="K527" s="2" t="str">
        <f>IF(Iterations[[#This Row],[Step]] =current_step, current_e,IF(Iterations[[#This Row],[Step]] &gt; current_step, "",Iterations[[#This Row],[e]]))</f>
        <v/>
      </c>
      <c r="L527" s="2" t="str">
        <f>IF(Iterations[[#This Row],[Step]] =current_step, current_Total_Loss,IF(Iterations[[#This Row],[Step]] &gt; current_step, "",Iterations[[#This Row],[Total Loss]]))</f>
        <v/>
      </c>
      <c r="M527" s="6" t="s">
        <v>27</v>
      </c>
      <c r="N527" s="2" t="str">
        <f>IF(Iterations[[#This Row],[Step]] =current_step, current_Grad_a,IF(Iterations[[#This Row],[Step]] &gt; current_step, "",Iterations[[#This Row],[Grad_a]]))</f>
        <v/>
      </c>
      <c r="O527" s="2" t="str">
        <f>IF(Iterations[[#This Row],[Step]] =current_step, current_Grad_b,IF(Iterations[[#This Row],[Step]] &gt; current_step, "",Iterations[[#This Row],[Grad_b]]))</f>
        <v/>
      </c>
      <c r="P527" s="2" t="str">
        <f>IF(Iterations[[#This Row],[Step]] =current_step, current_Grad_c,IF(Iterations[[#This Row],[Step]] &gt; current_step, "",Iterations[[#This Row],[Grad_c]]))</f>
        <v/>
      </c>
      <c r="Q527" s="2" t="str">
        <f>IF(Iterations[[#This Row],[Step]] =current_step, current_Grad_d,IF(Iterations[[#This Row],[Step]] &gt; current_step, "",Iterations[[#This Row],[Grad_d]]))</f>
        <v/>
      </c>
      <c r="R527" s="2" t="str">
        <f>IF(Iterations[[#This Row],[Step]] =current_step, current_Grad_e,IF(Iterations[[#This Row],[Step]] &gt; current_step, "",Iterations[[#This Row],[Grad_e]]))</f>
        <v/>
      </c>
    </row>
    <row r="528" spans="6:18" x14ac:dyDescent="0.3">
      <c r="F528" s="2">
        <f t="shared" si="10"/>
        <v>511</v>
      </c>
      <c r="G528" s="2" t="str">
        <f>IF(Iterations[[#This Row],[Step]] =current_step, current_a,IF(Iterations[[#This Row],[Step]] &gt; current_step, "",Iterations[[#This Row],[a]]))</f>
        <v/>
      </c>
      <c r="H528" s="2" t="str">
        <f>IF(Iterations[[#This Row],[Step]] =current_step, current_b,IF(Iterations[[#This Row],[Step]] &gt; current_step, "",Iterations[[#This Row],[b]]))</f>
        <v/>
      </c>
      <c r="I528" s="2" t="str">
        <f>IF(Iterations[[#This Row],[Step]] =current_step, current_c,IF(Iterations[[#This Row],[Step]] &gt; current_step, "",Iterations[[#This Row],[c]]))</f>
        <v/>
      </c>
      <c r="J528" s="2" t="str">
        <f>IF(Iterations[[#This Row],[Step]] =current_step, current_d,IF(Iterations[[#This Row],[Step]] &gt; current_step, "",Iterations[[#This Row],[d]]))</f>
        <v/>
      </c>
      <c r="K528" s="2" t="str">
        <f>IF(Iterations[[#This Row],[Step]] =current_step, current_e,IF(Iterations[[#This Row],[Step]] &gt; current_step, "",Iterations[[#This Row],[e]]))</f>
        <v/>
      </c>
      <c r="L528" s="2" t="str">
        <f>IF(Iterations[[#This Row],[Step]] =current_step, current_Total_Loss,IF(Iterations[[#This Row],[Step]] &gt; current_step, "",Iterations[[#This Row],[Total Loss]]))</f>
        <v/>
      </c>
      <c r="M528" s="6" t="s">
        <v>27</v>
      </c>
      <c r="N528" s="2" t="str">
        <f>IF(Iterations[[#This Row],[Step]] =current_step, current_Grad_a,IF(Iterations[[#This Row],[Step]] &gt; current_step, "",Iterations[[#This Row],[Grad_a]]))</f>
        <v/>
      </c>
      <c r="O528" s="2" t="str">
        <f>IF(Iterations[[#This Row],[Step]] =current_step, current_Grad_b,IF(Iterations[[#This Row],[Step]] &gt; current_step, "",Iterations[[#This Row],[Grad_b]]))</f>
        <v/>
      </c>
      <c r="P528" s="2" t="str">
        <f>IF(Iterations[[#This Row],[Step]] =current_step, current_Grad_c,IF(Iterations[[#This Row],[Step]] &gt; current_step, "",Iterations[[#This Row],[Grad_c]]))</f>
        <v/>
      </c>
      <c r="Q528" s="2" t="str">
        <f>IF(Iterations[[#This Row],[Step]] =current_step, current_Grad_d,IF(Iterations[[#This Row],[Step]] &gt; current_step, "",Iterations[[#This Row],[Grad_d]]))</f>
        <v/>
      </c>
      <c r="R528" s="2" t="str">
        <f>IF(Iterations[[#This Row],[Step]] =current_step, current_Grad_e,IF(Iterations[[#This Row],[Step]] &gt; current_step, "",Iterations[[#This Row],[Grad_e]]))</f>
        <v/>
      </c>
    </row>
    <row r="529" spans="6:18" x14ac:dyDescent="0.3">
      <c r="F529" s="2">
        <f t="shared" si="10"/>
        <v>512</v>
      </c>
      <c r="G529" s="2" t="str">
        <f>IF(Iterations[[#This Row],[Step]] =current_step, current_a,IF(Iterations[[#This Row],[Step]] &gt; current_step, "",Iterations[[#This Row],[a]]))</f>
        <v/>
      </c>
      <c r="H529" s="2" t="str">
        <f>IF(Iterations[[#This Row],[Step]] =current_step, current_b,IF(Iterations[[#This Row],[Step]] &gt; current_step, "",Iterations[[#This Row],[b]]))</f>
        <v/>
      </c>
      <c r="I529" s="2" t="str">
        <f>IF(Iterations[[#This Row],[Step]] =current_step, current_c,IF(Iterations[[#This Row],[Step]] &gt; current_step, "",Iterations[[#This Row],[c]]))</f>
        <v/>
      </c>
      <c r="J529" s="2" t="str">
        <f>IF(Iterations[[#This Row],[Step]] =current_step, current_d,IF(Iterations[[#This Row],[Step]] &gt; current_step, "",Iterations[[#This Row],[d]]))</f>
        <v/>
      </c>
      <c r="K529" s="2" t="str">
        <f>IF(Iterations[[#This Row],[Step]] =current_step, current_e,IF(Iterations[[#This Row],[Step]] &gt; current_step, "",Iterations[[#This Row],[e]]))</f>
        <v/>
      </c>
      <c r="L529" s="2" t="str">
        <f>IF(Iterations[[#This Row],[Step]] =current_step, current_Total_Loss,IF(Iterations[[#This Row],[Step]] &gt; current_step, "",Iterations[[#This Row],[Total Loss]]))</f>
        <v/>
      </c>
      <c r="M529" s="6" t="s">
        <v>27</v>
      </c>
      <c r="N529" s="2" t="str">
        <f>IF(Iterations[[#This Row],[Step]] =current_step, current_Grad_a,IF(Iterations[[#This Row],[Step]] &gt; current_step, "",Iterations[[#This Row],[Grad_a]]))</f>
        <v/>
      </c>
      <c r="O529" s="2" t="str">
        <f>IF(Iterations[[#This Row],[Step]] =current_step, current_Grad_b,IF(Iterations[[#This Row],[Step]] &gt; current_step, "",Iterations[[#This Row],[Grad_b]]))</f>
        <v/>
      </c>
      <c r="P529" s="2" t="str">
        <f>IF(Iterations[[#This Row],[Step]] =current_step, current_Grad_c,IF(Iterations[[#This Row],[Step]] &gt; current_step, "",Iterations[[#This Row],[Grad_c]]))</f>
        <v/>
      </c>
      <c r="Q529" s="2" t="str">
        <f>IF(Iterations[[#This Row],[Step]] =current_step, current_Grad_d,IF(Iterations[[#This Row],[Step]] &gt; current_step, "",Iterations[[#This Row],[Grad_d]]))</f>
        <v/>
      </c>
      <c r="R529" s="2" t="str">
        <f>IF(Iterations[[#This Row],[Step]] =current_step, current_Grad_e,IF(Iterations[[#This Row],[Step]] &gt; current_step, "",Iterations[[#This Row],[Grad_e]]))</f>
        <v/>
      </c>
    </row>
    <row r="530" spans="6:18" x14ac:dyDescent="0.3">
      <c r="F530" s="2">
        <f t="shared" si="10"/>
        <v>513</v>
      </c>
      <c r="G530" s="2" t="str">
        <f>IF(Iterations[[#This Row],[Step]] =current_step, current_a,IF(Iterations[[#This Row],[Step]] &gt; current_step, "",Iterations[[#This Row],[a]]))</f>
        <v/>
      </c>
      <c r="H530" s="2" t="str">
        <f>IF(Iterations[[#This Row],[Step]] =current_step, current_b,IF(Iterations[[#This Row],[Step]] &gt; current_step, "",Iterations[[#This Row],[b]]))</f>
        <v/>
      </c>
      <c r="I530" s="2" t="str">
        <f>IF(Iterations[[#This Row],[Step]] =current_step, current_c,IF(Iterations[[#This Row],[Step]] &gt; current_step, "",Iterations[[#This Row],[c]]))</f>
        <v/>
      </c>
      <c r="J530" s="2" t="str">
        <f>IF(Iterations[[#This Row],[Step]] =current_step, current_d,IF(Iterations[[#This Row],[Step]] &gt; current_step, "",Iterations[[#This Row],[d]]))</f>
        <v/>
      </c>
      <c r="K530" s="2" t="str">
        <f>IF(Iterations[[#This Row],[Step]] =current_step, current_e,IF(Iterations[[#This Row],[Step]] &gt; current_step, "",Iterations[[#This Row],[e]]))</f>
        <v/>
      </c>
      <c r="L530" s="2" t="str">
        <f>IF(Iterations[[#This Row],[Step]] =current_step, current_Total_Loss,IF(Iterations[[#This Row],[Step]] &gt; current_step, "",Iterations[[#This Row],[Total Loss]]))</f>
        <v/>
      </c>
      <c r="M530" s="6" t="s">
        <v>27</v>
      </c>
      <c r="N530" s="2" t="str">
        <f>IF(Iterations[[#This Row],[Step]] =current_step, current_Grad_a,IF(Iterations[[#This Row],[Step]] &gt; current_step, "",Iterations[[#This Row],[Grad_a]]))</f>
        <v/>
      </c>
      <c r="O530" s="2" t="str">
        <f>IF(Iterations[[#This Row],[Step]] =current_step, current_Grad_b,IF(Iterations[[#This Row],[Step]] &gt; current_step, "",Iterations[[#This Row],[Grad_b]]))</f>
        <v/>
      </c>
      <c r="P530" s="2" t="str">
        <f>IF(Iterations[[#This Row],[Step]] =current_step, current_Grad_c,IF(Iterations[[#This Row],[Step]] &gt; current_step, "",Iterations[[#This Row],[Grad_c]]))</f>
        <v/>
      </c>
      <c r="Q530" s="2" t="str">
        <f>IF(Iterations[[#This Row],[Step]] =current_step, current_Grad_d,IF(Iterations[[#This Row],[Step]] &gt; current_step, "",Iterations[[#This Row],[Grad_d]]))</f>
        <v/>
      </c>
      <c r="R530" s="2" t="str">
        <f>IF(Iterations[[#This Row],[Step]] =current_step, current_Grad_e,IF(Iterations[[#This Row],[Step]] &gt; current_step, "",Iterations[[#This Row],[Grad_e]]))</f>
        <v/>
      </c>
    </row>
    <row r="531" spans="6:18" x14ac:dyDescent="0.3">
      <c r="F531" s="2">
        <f t="shared" si="10"/>
        <v>514</v>
      </c>
      <c r="G531" s="2" t="str">
        <f>IF(Iterations[[#This Row],[Step]] =current_step, current_a,IF(Iterations[[#This Row],[Step]] &gt; current_step, "",Iterations[[#This Row],[a]]))</f>
        <v/>
      </c>
      <c r="H531" s="2" t="str">
        <f>IF(Iterations[[#This Row],[Step]] =current_step, current_b,IF(Iterations[[#This Row],[Step]] &gt; current_step, "",Iterations[[#This Row],[b]]))</f>
        <v/>
      </c>
      <c r="I531" s="2" t="str">
        <f>IF(Iterations[[#This Row],[Step]] =current_step, current_c,IF(Iterations[[#This Row],[Step]] &gt; current_step, "",Iterations[[#This Row],[c]]))</f>
        <v/>
      </c>
      <c r="J531" s="2" t="str">
        <f>IF(Iterations[[#This Row],[Step]] =current_step, current_d,IF(Iterations[[#This Row],[Step]] &gt; current_step, "",Iterations[[#This Row],[d]]))</f>
        <v/>
      </c>
      <c r="K531" s="2" t="str">
        <f>IF(Iterations[[#This Row],[Step]] =current_step, current_e,IF(Iterations[[#This Row],[Step]] &gt; current_step, "",Iterations[[#This Row],[e]]))</f>
        <v/>
      </c>
      <c r="L531" s="2" t="str">
        <f>IF(Iterations[[#This Row],[Step]] =current_step, current_Total_Loss,IF(Iterations[[#This Row],[Step]] &gt; current_step, "",Iterations[[#This Row],[Total Loss]]))</f>
        <v/>
      </c>
      <c r="M531" s="6" t="s">
        <v>27</v>
      </c>
      <c r="N531" s="2" t="str">
        <f>IF(Iterations[[#This Row],[Step]] =current_step, current_Grad_a,IF(Iterations[[#This Row],[Step]] &gt; current_step, "",Iterations[[#This Row],[Grad_a]]))</f>
        <v/>
      </c>
      <c r="O531" s="2" t="str">
        <f>IF(Iterations[[#This Row],[Step]] =current_step, current_Grad_b,IF(Iterations[[#This Row],[Step]] &gt; current_step, "",Iterations[[#This Row],[Grad_b]]))</f>
        <v/>
      </c>
      <c r="P531" s="2" t="str">
        <f>IF(Iterations[[#This Row],[Step]] =current_step, current_Grad_c,IF(Iterations[[#This Row],[Step]] &gt; current_step, "",Iterations[[#This Row],[Grad_c]]))</f>
        <v/>
      </c>
      <c r="Q531" s="2" t="str">
        <f>IF(Iterations[[#This Row],[Step]] =current_step, current_Grad_d,IF(Iterations[[#This Row],[Step]] &gt; current_step, "",Iterations[[#This Row],[Grad_d]]))</f>
        <v/>
      </c>
      <c r="R531" s="2" t="str">
        <f>IF(Iterations[[#This Row],[Step]] =current_step, current_Grad_e,IF(Iterations[[#This Row],[Step]] &gt; current_step, "",Iterations[[#This Row],[Grad_e]]))</f>
        <v/>
      </c>
    </row>
    <row r="532" spans="6:18" x14ac:dyDescent="0.3">
      <c r="F532" s="2">
        <f t="shared" si="10"/>
        <v>515</v>
      </c>
      <c r="G532" s="2" t="str">
        <f>IF(Iterations[[#This Row],[Step]] =current_step, current_a,IF(Iterations[[#This Row],[Step]] &gt; current_step, "",Iterations[[#This Row],[a]]))</f>
        <v/>
      </c>
      <c r="H532" s="2" t="str">
        <f>IF(Iterations[[#This Row],[Step]] =current_step, current_b,IF(Iterations[[#This Row],[Step]] &gt; current_step, "",Iterations[[#This Row],[b]]))</f>
        <v/>
      </c>
      <c r="I532" s="2" t="str">
        <f>IF(Iterations[[#This Row],[Step]] =current_step, current_c,IF(Iterations[[#This Row],[Step]] &gt; current_step, "",Iterations[[#This Row],[c]]))</f>
        <v/>
      </c>
      <c r="J532" s="2" t="str">
        <f>IF(Iterations[[#This Row],[Step]] =current_step, current_d,IF(Iterations[[#This Row],[Step]] &gt; current_step, "",Iterations[[#This Row],[d]]))</f>
        <v/>
      </c>
      <c r="K532" s="2" t="str">
        <f>IF(Iterations[[#This Row],[Step]] =current_step, current_e,IF(Iterations[[#This Row],[Step]] &gt; current_step, "",Iterations[[#This Row],[e]]))</f>
        <v/>
      </c>
      <c r="L532" s="2" t="str">
        <f>IF(Iterations[[#This Row],[Step]] =current_step, current_Total_Loss,IF(Iterations[[#This Row],[Step]] &gt; current_step, "",Iterations[[#This Row],[Total Loss]]))</f>
        <v/>
      </c>
      <c r="M532" s="6" t="s">
        <v>27</v>
      </c>
      <c r="N532" s="2" t="str">
        <f>IF(Iterations[[#This Row],[Step]] =current_step, current_Grad_a,IF(Iterations[[#This Row],[Step]] &gt; current_step, "",Iterations[[#This Row],[Grad_a]]))</f>
        <v/>
      </c>
      <c r="O532" s="2" t="str">
        <f>IF(Iterations[[#This Row],[Step]] =current_step, current_Grad_b,IF(Iterations[[#This Row],[Step]] &gt; current_step, "",Iterations[[#This Row],[Grad_b]]))</f>
        <v/>
      </c>
      <c r="P532" s="2" t="str">
        <f>IF(Iterations[[#This Row],[Step]] =current_step, current_Grad_c,IF(Iterations[[#This Row],[Step]] &gt; current_step, "",Iterations[[#This Row],[Grad_c]]))</f>
        <v/>
      </c>
      <c r="Q532" s="2" t="str">
        <f>IF(Iterations[[#This Row],[Step]] =current_step, current_Grad_d,IF(Iterations[[#This Row],[Step]] &gt; current_step, "",Iterations[[#This Row],[Grad_d]]))</f>
        <v/>
      </c>
      <c r="R532" s="2" t="str">
        <f>IF(Iterations[[#This Row],[Step]] =current_step, current_Grad_e,IF(Iterations[[#This Row],[Step]] &gt; current_step, "",Iterations[[#This Row],[Grad_e]]))</f>
        <v/>
      </c>
    </row>
    <row r="533" spans="6:18" x14ac:dyDescent="0.3">
      <c r="F533" s="2">
        <f t="shared" si="10"/>
        <v>516</v>
      </c>
      <c r="G533" s="2" t="str">
        <f>IF(Iterations[[#This Row],[Step]] =current_step, current_a,IF(Iterations[[#This Row],[Step]] &gt; current_step, "",Iterations[[#This Row],[a]]))</f>
        <v/>
      </c>
      <c r="H533" s="2" t="str">
        <f>IF(Iterations[[#This Row],[Step]] =current_step, current_b,IF(Iterations[[#This Row],[Step]] &gt; current_step, "",Iterations[[#This Row],[b]]))</f>
        <v/>
      </c>
      <c r="I533" s="2" t="str">
        <f>IF(Iterations[[#This Row],[Step]] =current_step, current_c,IF(Iterations[[#This Row],[Step]] &gt; current_step, "",Iterations[[#This Row],[c]]))</f>
        <v/>
      </c>
      <c r="J533" s="2" t="str">
        <f>IF(Iterations[[#This Row],[Step]] =current_step, current_d,IF(Iterations[[#This Row],[Step]] &gt; current_step, "",Iterations[[#This Row],[d]]))</f>
        <v/>
      </c>
      <c r="K533" s="2" t="str">
        <f>IF(Iterations[[#This Row],[Step]] =current_step, current_e,IF(Iterations[[#This Row],[Step]] &gt; current_step, "",Iterations[[#This Row],[e]]))</f>
        <v/>
      </c>
      <c r="L533" s="2" t="str">
        <f>IF(Iterations[[#This Row],[Step]] =current_step, current_Total_Loss,IF(Iterations[[#This Row],[Step]] &gt; current_step, "",Iterations[[#This Row],[Total Loss]]))</f>
        <v/>
      </c>
      <c r="M533" s="6" t="s">
        <v>27</v>
      </c>
      <c r="N533" s="2" t="str">
        <f>IF(Iterations[[#This Row],[Step]] =current_step, current_Grad_a,IF(Iterations[[#This Row],[Step]] &gt; current_step, "",Iterations[[#This Row],[Grad_a]]))</f>
        <v/>
      </c>
      <c r="O533" s="2" t="str">
        <f>IF(Iterations[[#This Row],[Step]] =current_step, current_Grad_b,IF(Iterations[[#This Row],[Step]] &gt; current_step, "",Iterations[[#This Row],[Grad_b]]))</f>
        <v/>
      </c>
      <c r="P533" s="2" t="str">
        <f>IF(Iterations[[#This Row],[Step]] =current_step, current_Grad_c,IF(Iterations[[#This Row],[Step]] &gt; current_step, "",Iterations[[#This Row],[Grad_c]]))</f>
        <v/>
      </c>
      <c r="Q533" s="2" t="str">
        <f>IF(Iterations[[#This Row],[Step]] =current_step, current_Grad_d,IF(Iterations[[#This Row],[Step]] &gt; current_step, "",Iterations[[#This Row],[Grad_d]]))</f>
        <v/>
      </c>
      <c r="R533" s="2" t="str">
        <f>IF(Iterations[[#This Row],[Step]] =current_step, current_Grad_e,IF(Iterations[[#This Row],[Step]] &gt; current_step, "",Iterations[[#This Row],[Grad_e]]))</f>
        <v/>
      </c>
    </row>
    <row r="534" spans="6:18" x14ac:dyDescent="0.3">
      <c r="F534" s="2">
        <f t="shared" si="10"/>
        <v>517</v>
      </c>
      <c r="G534" s="2" t="str">
        <f>IF(Iterations[[#This Row],[Step]] =current_step, current_a,IF(Iterations[[#This Row],[Step]] &gt; current_step, "",Iterations[[#This Row],[a]]))</f>
        <v/>
      </c>
      <c r="H534" s="2" t="str">
        <f>IF(Iterations[[#This Row],[Step]] =current_step, current_b,IF(Iterations[[#This Row],[Step]] &gt; current_step, "",Iterations[[#This Row],[b]]))</f>
        <v/>
      </c>
      <c r="I534" s="2" t="str">
        <f>IF(Iterations[[#This Row],[Step]] =current_step, current_c,IF(Iterations[[#This Row],[Step]] &gt; current_step, "",Iterations[[#This Row],[c]]))</f>
        <v/>
      </c>
      <c r="J534" s="2" t="str">
        <f>IF(Iterations[[#This Row],[Step]] =current_step, current_d,IF(Iterations[[#This Row],[Step]] &gt; current_step, "",Iterations[[#This Row],[d]]))</f>
        <v/>
      </c>
      <c r="K534" s="2" t="str">
        <f>IF(Iterations[[#This Row],[Step]] =current_step, current_e,IF(Iterations[[#This Row],[Step]] &gt; current_step, "",Iterations[[#This Row],[e]]))</f>
        <v/>
      </c>
      <c r="L534" s="2" t="str">
        <f>IF(Iterations[[#This Row],[Step]] =current_step, current_Total_Loss,IF(Iterations[[#This Row],[Step]] &gt; current_step, "",Iterations[[#This Row],[Total Loss]]))</f>
        <v/>
      </c>
      <c r="M534" s="6" t="s">
        <v>27</v>
      </c>
      <c r="N534" s="2" t="str">
        <f>IF(Iterations[[#This Row],[Step]] =current_step, current_Grad_a,IF(Iterations[[#This Row],[Step]] &gt; current_step, "",Iterations[[#This Row],[Grad_a]]))</f>
        <v/>
      </c>
      <c r="O534" s="2" t="str">
        <f>IF(Iterations[[#This Row],[Step]] =current_step, current_Grad_b,IF(Iterations[[#This Row],[Step]] &gt; current_step, "",Iterations[[#This Row],[Grad_b]]))</f>
        <v/>
      </c>
      <c r="P534" s="2" t="str">
        <f>IF(Iterations[[#This Row],[Step]] =current_step, current_Grad_c,IF(Iterations[[#This Row],[Step]] &gt; current_step, "",Iterations[[#This Row],[Grad_c]]))</f>
        <v/>
      </c>
      <c r="Q534" s="2" t="str">
        <f>IF(Iterations[[#This Row],[Step]] =current_step, current_Grad_d,IF(Iterations[[#This Row],[Step]] &gt; current_step, "",Iterations[[#This Row],[Grad_d]]))</f>
        <v/>
      </c>
      <c r="R534" s="2" t="str">
        <f>IF(Iterations[[#This Row],[Step]] =current_step, current_Grad_e,IF(Iterations[[#This Row],[Step]] &gt; current_step, "",Iterations[[#This Row],[Grad_e]]))</f>
        <v/>
      </c>
    </row>
    <row r="535" spans="6:18" x14ac:dyDescent="0.3">
      <c r="F535" s="2">
        <f t="shared" si="10"/>
        <v>518</v>
      </c>
      <c r="G535" s="2" t="str">
        <f>IF(Iterations[[#This Row],[Step]] =current_step, current_a,IF(Iterations[[#This Row],[Step]] &gt; current_step, "",Iterations[[#This Row],[a]]))</f>
        <v/>
      </c>
      <c r="H535" s="2" t="str">
        <f>IF(Iterations[[#This Row],[Step]] =current_step, current_b,IF(Iterations[[#This Row],[Step]] &gt; current_step, "",Iterations[[#This Row],[b]]))</f>
        <v/>
      </c>
      <c r="I535" s="2" t="str">
        <f>IF(Iterations[[#This Row],[Step]] =current_step, current_c,IF(Iterations[[#This Row],[Step]] &gt; current_step, "",Iterations[[#This Row],[c]]))</f>
        <v/>
      </c>
      <c r="J535" s="2" t="str">
        <f>IF(Iterations[[#This Row],[Step]] =current_step, current_d,IF(Iterations[[#This Row],[Step]] &gt; current_step, "",Iterations[[#This Row],[d]]))</f>
        <v/>
      </c>
      <c r="K535" s="2" t="str">
        <f>IF(Iterations[[#This Row],[Step]] =current_step, current_e,IF(Iterations[[#This Row],[Step]] &gt; current_step, "",Iterations[[#This Row],[e]]))</f>
        <v/>
      </c>
      <c r="L535" s="2" t="str">
        <f>IF(Iterations[[#This Row],[Step]] =current_step, current_Total_Loss,IF(Iterations[[#This Row],[Step]] &gt; current_step, "",Iterations[[#This Row],[Total Loss]]))</f>
        <v/>
      </c>
      <c r="M535" s="6" t="s">
        <v>27</v>
      </c>
      <c r="N535" s="2" t="str">
        <f>IF(Iterations[[#This Row],[Step]] =current_step, current_Grad_a,IF(Iterations[[#This Row],[Step]] &gt; current_step, "",Iterations[[#This Row],[Grad_a]]))</f>
        <v/>
      </c>
      <c r="O535" s="2" t="str">
        <f>IF(Iterations[[#This Row],[Step]] =current_step, current_Grad_b,IF(Iterations[[#This Row],[Step]] &gt; current_step, "",Iterations[[#This Row],[Grad_b]]))</f>
        <v/>
      </c>
      <c r="P535" s="2" t="str">
        <f>IF(Iterations[[#This Row],[Step]] =current_step, current_Grad_c,IF(Iterations[[#This Row],[Step]] &gt; current_step, "",Iterations[[#This Row],[Grad_c]]))</f>
        <v/>
      </c>
      <c r="Q535" s="2" t="str">
        <f>IF(Iterations[[#This Row],[Step]] =current_step, current_Grad_d,IF(Iterations[[#This Row],[Step]] &gt; current_step, "",Iterations[[#This Row],[Grad_d]]))</f>
        <v/>
      </c>
      <c r="R535" s="2" t="str">
        <f>IF(Iterations[[#This Row],[Step]] =current_step, current_Grad_e,IF(Iterations[[#This Row],[Step]] &gt; current_step, "",Iterations[[#This Row],[Grad_e]]))</f>
        <v/>
      </c>
    </row>
    <row r="536" spans="6:18" x14ac:dyDescent="0.3">
      <c r="F536" s="2">
        <f t="shared" si="10"/>
        <v>519</v>
      </c>
      <c r="G536" s="2" t="str">
        <f>IF(Iterations[[#This Row],[Step]] =current_step, current_a,IF(Iterations[[#This Row],[Step]] &gt; current_step, "",Iterations[[#This Row],[a]]))</f>
        <v/>
      </c>
      <c r="H536" s="2" t="str">
        <f>IF(Iterations[[#This Row],[Step]] =current_step, current_b,IF(Iterations[[#This Row],[Step]] &gt; current_step, "",Iterations[[#This Row],[b]]))</f>
        <v/>
      </c>
      <c r="I536" s="2" t="str">
        <f>IF(Iterations[[#This Row],[Step]] =current_step, current_c,IF(Iterations[[#This Row],[Step]] &gt; current_step, "",Iterations[[#This Row],[c]]))</f>
        <v/>
      </c>
      <c r="J536" s="2" t="str">
        <f>IF(Iterations[[#This Row],[Step]] =current_step, current_d,IF(Iterations[[#This Row],[Step]] &gt; current_step, "",Iterations[[#This Row],[d]]))</f>
        <v/>
      </c>
      <c r="K536" s="2" t="str">
        <f>IF(Iterations[[#This Row],[Step]] =current_step, current_e,IF(Iterations[[#This Row],[Step]] &gt; current_step, "",Iterations[[#This Row],[e]]))</f>
        <v/>
      </c>
      <c r="L536" s="2" t="str">
        <f>IF(Iterations[[#This Row],[Step]] =current_step, current_Total_Loss,IF(Iterations[[#This Row],[Step]] &gt; current_step, "",Iterations[[#This Row],[Total Loss]]))</f>
        <v/>
      </c>
      <c r="M536" s="6" t="s">
        <v>27</v>
      </c>
      <c r="N536" s="2" t="str">
        <f>IF(Iterations[[#This Row],[Step]] =current_step, current_Grad_a,IF(Iterations[[#This Row],[Step]] &gt; current_step, "",Iterations[[#This Row],[Grad_a]]))</f>
        <v/>
      </c>
      <c r="O536" s="2" t="str">
        <f>IF(Iterations[[#This Row],[Step]] =current_step, current_Grad_b,IF(Iterations[[#This Row],[Step]] &gt; current_step, "",Iterations[[#This Row],[Grad_b]]))</f>
        <v/>
      </c>
      <c r="P536" s="2" t="str">
        <f>IF(Iterations[[#This Row],[Step]] =current_step, current_Grad_c,IF(Iterations[[#This Row],[Step]] &gt; current_step, "",Iterations[[#This Row],[Grad_c]]))</f>
        <v/>
      </c>
      <c r="Q536" s="2" t="str">
        <f>IF(Iterations[[#This Row],[Step]] =current_step, current_Grad_d,IF(Iterations[[#This Row],[Step]] &gt; current_step, "",Iterations[[#This Row],[Grad_d]]))</f>
        <v/>
      </c>
      <c r="R536" s="2" t="str">
        <f>IF(Iterations[[#This Row],[Step]] =current_step, current_Grad_e,IF(Iterations[[#This Row],[Step]] &gt; current_step, "",Iterations[[#This Row],[Grad_e]]))</f>
        <v/>
      </c>
    </row>
    <row r="537" spans="6:18" x14ac:dyDescent="0.3">
      <c r="F537" s="2">
        <f t="shared" si="10"/>
        <v>520</v>
      </c>
      <c r="G537" s="2" t="str">
        <f>IF(Iterations[[#This Row],[Step]] =current_step, current_a,IF(Iterations[[#This Row],[Step]] &gt; current_step, "",Iterations[[#This Row],[a]]))</f>
        <v/>
      </c>
      <c r="H537" s="2" t="str">
        <f>IF(Iterations[[#This Row],[Step]] =current_step, current_b,IF(Iterations[[#This Row],[Step]] &gt; current_step, "",Iterations[[#This Row],[b]]))</f>
        <v/>
      </c>
      <c r="I537" s="2" t="str">
        <f>IF(Iterations[[#This Row],[Step]] =current_step, current_c,IF(Iterations[[#This Row],[Step]] &gt; current_step, "",Iterations[[#This Row],[c]]))</f>
        <v/>
      </c>
      <c r="J537" s="2" t="str">
        <f>IF(Iterations[[#This Row],[Step]] =current_step, current_d,IF(Iterations[[#This Row],[Step]] &gt; current_step, "",Iterations[[#This Row],[d]]))</f>
        <v/>
      </c>
      <c r="K537" s="2" t="str">
        <f>IF(Iterations[[#This Row],[Step]] =current_step, current_e,IF(Iterations[[#This Row],[Step]] &gt; current_step, "",Iterations[[#This Row],[e]]))</f>
        <v/>
      </c>
      <c r="L537" s="2" t="str">
        <f>IF(Iterations[[#This Row],[Step]] =current_step, current_Total_Loss,IF(Iterations[[#This Row],[Step]] &gt; current_step, "",Iterations[[#This Row],[Total Loss]]))</f>
        <v/>
      </c>
      <c r="M537" s="6" t="s">
        <v>27</v>
      </c>
      <c r="N537" s="2" t="str">
        <f>IF(Iterations[[#This Row],[Step]] =current_step, current_Grad_a,IF(Iterations[[#This Row],[Step]] &gt; current_step, "",Iterations[[#This Row],[Grad_a]]))</f>
        <v/>
      </c>
      <c r="O537" s="2" t="str">
        <f>IF(Iterations[[#This Row],[Step]] =current_step, current_Grad_b,IF(Iterations[[#This Row],[Step]] &gt; current_step, "",Iterations[[#This Row],[Grad_b]]))</f>
        <v/>
      </c>
      <c r="P537" s="2" t="str">
        <f>IF(Iterations[[#This Row],[Step]] =current_step, current_Grad_c,IF(Iterations[[#This Row],[Step]] &gt; current_step, "",Iterations[[#This Row],[Grad_c]]))</f>
        <v/>
      </c>
      <c r="Q537" s="2" t="str">
        <f>IF(Iterations[[#This Row],[Step]] =current_step, current_Grad_d,IF(Iterations[[#This Row],[Step]] &gt; current_step, "",Iterations[[#This Row],[Grad_d]]))</f>
        <v/>
      </c>
      <c r="R537" s="2" t="str">
        <f>IF(Iterations[[#This Row],[Step]] =current_step, current_Grad_e,IF(Iterations[[#This Row],[Step]] &gt; current_step, "",Iterations[[#This Row],[Grad_e]]))</f>
        <v/>
      </c>
    </row>
    <row r="538" spans="6:18" x14ac:dyDescent="0.3">
      <c r="F538" s="2">
        <f t="shared" si="10"/>
        <v>521</v>
      </c>
      <c r="G538" s="2" t="str">
        <f>IF(Iterations[[#This Row],[Step]] =current_step, current_a,IF(Iterations[[#This Row],[Step]] &gt; current_step, "",Iterations[[#This Row],[a]]))</f>
        <v/>
      </c>
      <c r="H538" s="2" t="str">
        <f>IF(Iterations[[#This Row],[Step]] =current_step, current_b,IF(Iterations[[#This Row],[Step]] &gt; current_step, "",Iterations[[#This Row],[b]]))</f>
        <v/>
      </c>
      <c r="I538" s="2" t="str">
        <f>IF(Iterations[[#This Row],[Step]] =current_step, current_c,IF(Iterations[[#This Row],[Step]] &gt; current_step, "",Iterations[[#This Row],[c]]))</f>
        <v/>
      </c>
      <c r="J538" s="2" t="str">
        <f>IF(Iterations[[#This Row],[Step]] =current_step, current_d,IF(Iterations[[#This Row],[Step]] &gt; current_step, "",Iterations[[#This Row],[d]]))</f>
        <v/>
      </c>
      <c r="K538" s="2" t="str">
        <f>IF(Iterations[[#This Row],[Step]] =current_step, current_e,IF(Iterations[[#This Row],[Step]] &gt; current_step, "",Iterations[[#This Row],[e]]))</f>
        <v/>
      </c>
      <c r="L538" s="2" t="str">
        <f>IF(Iterations[[#This Row],[Step]] =current_step, current_Total_Loss,IF(Iterations[[#This Row],[Step]] &gt; current_step, "",Iterations[[#This Row],[Total Loss]]))</f>
        <v/>
      </c>
      <c r="M538" s="6" t="s">
        <v>27</v>
      </c>
      <c r="N538" s="2" t="str">
        <f>IF(Iterations[[#This Row],[Step]] =current_step, current_Grad_a,IF(Iterations[[#This Row],[Step]] &gt; current_step, "",Iterations[[#This Row],[Grad_a]]))</f>
        <v/>
      </c>
      <c r="O538" s="2" t="str">
        <f>IF(Iterations[[#This Row],[Step]] =current_step, current_Grad_b,IF(Iterations[[#This Row],[Step]] &gt; current_step, "",Iterations[[#This Row],[Grad_b]]))</f>
        <v/>
      </c>
      <c r="P538" s="2" t="str">
        <f>IF(Iterations[[#This Row],[Step]] =current_step, current_Grad_c,IF(Iterations[[#This Row],[Step]] &gt; current_step, "",Iterations[[#This Row],[Grad_c]]))</f>
        <v/>
      </c>
      <c r="Q538" s="2" t="str">
        <f>IF(Iterations[[#This Row],[Step]] =current_step, current_Grad_d,IF(Iterations[[#This Row],[Step]] &gt; current_step, "",Iterations[[#This Row],[Grad_d]]))</f>
        <v/>
      </c>
      <c r="R538" s="2" t="str">
        <f>IF(Iterations[[#This Row],[Step]] =current_step, current_Grad_e,IF(Iterations[[#This Row],[Step]] &gt; current_step, "",Iterations[[#This Row],[Grad_e]]))</f>
        <v/>
      </c>
    </row>
    <row r="539" spans="6:18" x14ac:dyDescent="0.3">
      <c r="F539" s="2">
        <f t="shared" si="10"/>
        <v>522</v>
      </c>
      <c r="G539" s="2" t="str">
        <f>IF(Iterations[[#This Row],[Step]] =current_step, current_a,IF(Iterations[[#This Row],[Step]] &gt; current_step, "",Iterations[[#This Row],[a]]))</f>
        <v/>
      </c>
      <c r="H539" s="2" t="str">
        <f>IF(Iterations[[#This Row],[Step]] =current_step, current_b,IF(Iterations[[#This Row],[Step]] &gt; current_step, "",Iterations[[#This Row],[b]]))</f>
        <v/>
      </c>
      <c r="I539" s="2" t="str">
        <f>IF(Iterations[[#This Row],[Step]] =current_step, current_c,IF(Iterations[[#This Row],[Step]] &gt; current_step, "",Iterations[[#This Row],[c]]))</f>
        <v/>
      </c>
      <c r="J539" s="2" t="str">
        <f>IF(Iterations[[#This Row],[Step]] =current_step, current_d,IF(Iterations[[#This Row],[Step]] &gt; current_step, "",Iterations[[#This Row],[d]]))</f>
        <v/>
      </c>
      <c r="K539" s="2" t="str">
        <f>IF(Iterations[[#This Row],[Step]] =current_step, current_e,IF(Iterations[[#This Row],[Step]] &gt; current_step, "",Iterations[[#This Row],[e]]))</f>
        <v/>
      </c>
      <c r="L539" s="2" t="str">
        <f>IF(Iterations[[#This Row],[Step]] =current_step, current_Total_Loss,IF(Iterations[[#This Row],[Step]] &gt; current_step, "",Iterations[[#This Row],[Total Loss]]))</f>
        <v/>
      </c>
      <c r="M539" s="6" t="s">
        <v>27</v>
      </c>
      <c r="N539" s="2" t="str">
        <f>IF(Iterations[[#This Row],[Step]] =current_step, current_Grad_a,IF(Iterations[[#This Row],[Step]] &gt; current_step, "",Iterations[[#This Row],[Grad_a]]))</f>
        <v/>
      </c>
      <c r="O539" s="2" t="str">
        <f>IF(Iterations[[#This Row],[Step]] =current_step, current_Grad_b,IF(Iterations[[#This Row],[Step]] &gt; current_step, "",Iterations[[#This Row],[Grad_b]]))</f>
        <v/>
      </c>
      <c r="P539" s="2" t="str">
        <f>IF(Iterations[[#This Row],[Step]] =current_step, current_Grad_c,IF(Iterations[[#This Row],[Step]] &gt; current_step, "",Iterations[[#This Row],[Grad_c]]))</f>
        <v/>
      </c>
      <c r="Q539" s="2" t="str">
        <f>IF(Iterations[[#This Row],[Step]] =current_step, current_Grad_d,IF(Iterations[[#This Row],[Step]] &gt; current_step, "",Iterations[[#This Row],[Grad_d]]))</f>
        <v/>
      </c>
      <c r="R539" s="2" t="str">
        <f>IF(Iterations[[#This Row],[Step]] =current_step, current_Grad_e,IF(Iterations[[#This Row],[Step]] &gt; current_step, "",Iterations[[#This Row],[Grad_e]]))</f>
        <v/>
      </c>
    </row>
    <row r="540" spans="6:18" x14ac:dyDescent="0.3">
      <c r="F540" s="2">
        <f t="shared" si="10"/>
        <v>523</v>
      </c>
      <c r="G540" s="2" t="str">
        <f>IF(Iterations[[#This Row],[Step]] =current_step, current_a,IF(Iterations[[#This Row],[Step]] &gt; current_step, "",Iterations[[#This Row],[a]]))</f>
        <v/>
      </c>
      <c r="H540" s="2" t="str">
        <f>IF(Iterations[[#This Row],[Step]] =current_step, current_b,IF(Iterations[[#This Row],[Step]] &gt; current_step, "",Iterations[[#This Row],[b]]))</f>
        <v/>
      </c>
      <c r="I540" s="2" t="str">
        <f>IF(Iterations[[#This Row],[Step]] =current_step, current_c,IF(Iterations[[#This Row],[Step]] &gt; current_step, "",Iterations[[#This Row],[c]]))</f>
        <v/>
      </c>
      <c r="J540" s="2" t="str">
        <f>IF(Iterations[[#This Row],[Step]] =current_step, current_d,IF(Iterations[[#This Row],[Step]] &gt; current_step, "",Iterations[[#This Row],[d]]))</f>
        <v/>
      </c>
      <c r="K540" s="2" t="str">
        <f>IF(Iterations[[#This Row],[Step]] =current_step, current_e,IF(Iterations[[#This Row],[Step]] &gt; current_step, "",Iterations[[#This Row],[e]]))</f>
        <v/>
      </c>
      <c r="L540" s="2" t="str">
        <f>IF(Iterations[[#This Row],[Step]] =current_step, current_Total_Loss,IF(Iterations[[#This Row],[Step]] &gt; current_step, "",Iterations[[#This Row],[Total Loss]]))</f>
        <v/>
      </c>
      <c r="M540" s="6" t="s">
        <v>27</v>
      </c>
      <c r="N540" s="2" t="str">
        <f>IF(Iterations[[#This Row],[Step]] =current_step, current_Grad_a,IF(Iterations[[#This Row],[Step]] &gt; current_step, "",Iterations[[#This Row],[Grad_a]]))</f>
        <v/>
      </c>
      <c r="O540" s="2" t="str">
        <f>IF(Iterations[[#This Row],[Step]] =current_step, current_Grad_b,IF(Iterations[[#This Row],[Step]] &gt; current_step, "",Iterations[[#This Row],[Grad_b]]))</f>
        <v/>
      </c>
      <c r="P540" s="2" t="str">
        <f>IF(Iterations[[#This Row],[Step]] =current_step, current_Grad_c,IF(Iterations[[#This Row],[Step]] &gt; current_step, "",Iterations[[#This Row],[Grad_c]]))</f>
        <v/>
      </c>
      <c r="Q540" s="2" t="str">
        <f>IF(Iterations[[#This Row],[Step]] =current_step, current_Grad_d,IF(Iterations[[#This Row],[Step]] &gt; current_step, "",Iterations[[#This Row],[Grad_d]]))</f>
        <v/>
      </c>
      <c r="R540" s="2" t="str">
        <f>IF(Iterations[[#This Row],[Step]] =current_step, current_Grad_e,IF(Iterations[[#This Row],[Step]] &gt; current_step, "",Iterations[[#This Row],[Grad_e]]))</f>
        <v/>
      </c>
    </row>
    <row r="541" spans="6:18" x14ac:dyDescent="0.3">
      <c r="F541" s="2">
        <f t="shared" si="10"/>
        <v>524</v>
      </c>
      <c r="G541" s="2" t="str">
        <f>IF(Iterations[[#This Row],[Step]] =current_step, current_a,IF(Iterations[[#This Row],[Step]] &gt; current_step, "",Iterations[[#This Row],[a]]))</f>
        <v/>
      </c>
      <c r="H541" s="2" t="str">
        <f>IF(Iterations[[#This Row],[Step]] =current_step, current_b,IF(Iterations[[#This Row],[Step]] &gt; current_step, "",Iterations[[#This Row],[b]]))</f>
        <v/>
      </c>
      <c r="I541" s="2" t="str">
        <f>IF(Iterations[[#This Row],[Step]] =current_step, current_c,IF(Iterations[[#This Row],[Step]] &gt; current_step, "",Iterations[[#This Row],[c]]))</f>
        <v/>
      </c>
      <c r="J541" s="2" t="str">
        <f>IF(Iterations[[#This Row],[Step]] =current_step, current_d,IF(Iterations[[#This Row],[Step]] &gt; current_step, "",Iterations[[#This Row],[d]]))</f>
        <v/>
      </c>
      <c r="K541" s="2" t="str">
        <f>IF(Iterations[[#This Row],[Step]] =current_step, current_e,IF(Iterations[[#This Row],[Step]] &gt; current_step, "",Iterations[[#This Row],[e]]))</f>
        <v/>
      </c>
      <c r="L541" s="2" t="str">
        <f>IF(Iterations[[#This Row],[Step]] =current_step, current_Total_Loss,IF(Iterations[[#This Row],[Step]] &gt; current_step, "",Iterations[[#This Row],[Total Loss]]))</f>
        <v/>
      </c>
      <c r="M541" s="6" t="s">
        <v>27</v>
      </c>
      <c r="N541" s="2" t="str">
        <f>IF(Iterations[[#This Row],[Step]] =current_step, current_Grad_a,IF(Iterations[[#This Row],[Step]] &gt; current_step, "",Iterations[[#This Row],[Grad_a]]))</f>
        <v/>
      </c>
      <c r="O541" s="2" t="str">
        <f>IF(Iterations[[#This Row],[Step]] =current_step, current_Grad_b,IF(Iterations[[#This Row],[Step]] &gt; current_step, "",Iterations[[#This Row],[Grad_b]]))</f>
        <v/>
      </c>
      <c r="P541" s="2" t="str">
        <f>IF(Iterations[[#This Row],[Step]] =current_step, current_Grad_c,IF(Iterations[[#This Row],[Step]] &gt; current_step, "",Iterations[[#This Row],[Grad_c]]))</f>
        <v/>
      </c>
      <c r="Q541" s="2" t="str">
        <f>IF(Iterations[[#This Row],[Step]] =current_step, current_Grad_d,IF(Iterations[[#This Row],[Step]] &gt; current_step, "",Iterations[[#This Row],[Grad_d]]))</f>
        <v/>
      </c>
      <c r="R541" s="2" t="str">
        <f>IF(Iterations[[#This Row],[Step]] =current_step, current_Grad_e,IF(Iterations[[#This Row],[Step]] &gt; current_step, "",Iterations[[#This Row],[Grad_e]]))</f>
        <v/>
      </c>
    </row>
    <row r="542" spans="6:18" x14ac:dyDescent="0.3">
      <c r="F542" s="2">
        <f t="shared" si="10"/>
        <v>525</v>
      </c>
      <c r="G542" s="2" t="str">
        <f>IF(Iterations[[#This Row],[Step]] =current_step, current_a,IF(Iterations[[#This Row],[Step]] &gt; current_step, "",Iterations[[#This Row],[a]]))</f>
        <v/>
      </c>
      <c r="H542" s="2" t="str">
        <f>IF(Iterations[[#This Row],[Step]] =current_step, current_b,IF(Iterations[[#This Row],[Step]] &gt; current_step, "",Iterations[[#This Row],[b]]))</f>
        <v/>
      </c>
      <c r="I542" s="2" t="str">
        <f>IF(Iterations[[#This Row],[Step]] =current_step, current_c,IF(Iterations[[#This Row],[Step]] &gt; current_step, "",Iterations[[#This Row],[c]]))</f>
        <v/>
      </c>
      <c r="J542" s="2" t="str">
        <f>IF(Iterations[[#This Row],[Step]] =current_step, current_d,IF(Iterations[[#This Row],[Step]] &gt; current_step, "",Iterations[[#This Row],[d]]))</f>
        <v/>
      </c>
      <c r="K542" s="2" t="str">
        <f>IF(Iterations[[#This Row],[Step]] =current_step, current_e,IF(Iterations[[#This Row],[Step]] &gt; current_step, "",Iterations[[#This Row],[e]]))</f>
        <v/>
      </c>
      <c r="L542" s="2" t="str">
        <f>IF(Iterations[[#This Row],[Step]] =current_step, current_Total_Loss,IF(Iterations[[#This Row],[Step]] &gt; current_step, "",Iterations[[#This Row],[Total Loss]]))</f>
        <v/>
      </c>
      <c r="M542" s="6" t="s">
        <v>27</v>
      </c>
      <c r="N542" s="2" t="str">
        <f>IF(Iterations[[#This Row],[Step]] =current_step, current_Grad_a,IF(Iterations[[#This Row],[Step]] &gt; current_step, "",Iterations[[#This Row],[Grad_a]]))</f>
        <v/>
      </c>
      <c r="O542" s="2" t="str">
        <f>IF(Iterations[[#This Row],[Step]] =current_step, current_Grad_b,IF(Iterations[[#This Row],[Step]] &gt; current_step, "",Iterations[[#This Row],[Grad_b]]))</f>
        <v/>
      </c>
      <c r="P542" s="2" t="str">
        <f>IF(Iterations[[#This Row],[Step]] =current_step, current_Grad_c,IF(Iterations[[#This Row],[Step]] &gt; current_step, "",Iterations[[#This Row],[Grad_c]]))</f>
        <v/>
      </c>
      <c r="Q542" s="2" t="str">
        <f>IF(Iterations[[#This Row],[Step]] =current_step, current_Grad_d,IF(Iterations[[#This Row],[Step]] &gt; current_step, "",Iterations[[#This Row],[Grad_d]]))</f>
        <v/>
      </c>
      <c r="R542" s="2" t="str">
        <f>IF(Iterations[[#This Row],[Step]] =current_step, current_Grad_e,IF(Iterations[[#This Row],[Step]] &gt; current_step, "",Iterations[[#This Row],[Grad_e]]))</f>
        <v/>
      </c>
    </row>
    <row r="543" spans="6:18" x14ac:dyDescent="0.3">
      <c r="F543" s="2">
        <f t="shared" si="10"/>
        <v>526</v>
      </c>
      <c r="G543" s="2" t="str">
        <f>IF(Iterations[[#This Row],[Step]] =current_step, current_a,IF(Iterations[[#This Row],[Step]] &gt; current_step, "",Iterations[[#This Row],[a]]))</f>
        <v/>
      </c>
      <c r="H543" s="2" t="str">
        <f>IF(Iterations[[#This Row],[Step]] =current_step, current_b,IF(Iterations[[#This Row],[Step]] &gt; current_step, "",Iterations[[#This Row],[b]]))</f>
        <v/>
      </c>
      <c r="I543" s="2" t="str">
        <f>IF(Iterations[[#This Row],[Step]] =current_step, current_c,IF(Iterations[[#This Row],[Step]] &gt; current_step, "",Iterations[[#This Row],[c]]))</f>
        <v/>
      </c>
      <c r="J543" s="2" t="str">
        <f>IF(Iterations[[#This Row],[Step]] =current_step, current_d,IF(Iterations[[#This Row],[Step]] &gt; current_step, "",Iterations[[#This Row],[d]]))</f>
        <v/>
      </c>
      <c r="K543" s="2" t="str">
        <f>IF(Iterations[[#This Row],[Step]] =current_step, current_e,IF(Iterations[[#This Row],[Step]] &gt; current_step, "",Iterations[[#This Row],[e]]))</f>
        <v/>
      </c>
      <c r="L543" s="2" t="str">
        <f>IF(Iterations[[#This Row],[Step]] =current_step, current_Total_Loss,IF(Iterations[[#This Row],[Step]] &gt; current_step, "",Iterations[[#This Row],[Total Loss]]))</f>
        <v/>
      </c>
      <c r="M543" s="6" t="s">
        <v>27</v>
      </c>
      <c r="N543" s="2" t="str">
        <f>IF(Iterations[[#This Row],[Step]] =current_step, current_Grad_a,IF(Iterations[[#This Row],[Step]] &gt; current_step, "",Iterations[[#This Row],[Grad_a]]))</f>
        <v/>
      </c>
      <c r="O543" s="2" t="str">
        <f>IF(Iterations[[#This Row],[Step]] =current_step, current_Grad_b,IF(Iterations[[#This Row],[Step]] &gt; current_step, "",Iterations[[#This Row],[Grad_b]]))</f>
        <v/>
      </c>
      <c r="P543" s="2" t="str">
        <f>IF(Iterations[[#This Row],[Step]] =current_step, current_Grad_c,IF(Iterations[[#This Row],[Step]] &gt; current_step, "",Iterations[[#This Row],[Grad_c]]))</f>
        <v/>
      </c>
      <c r="Q543" s="2" t="str">
        <f>IF(Iterations[[#This Row],[Step]] =current_step, current_Grad_d,IF(Iterations[[#This Row],[Step]] &gt; current_step, "",Iterations[[#This Row],[Grad_d]]))</f>
        <v/>
      </c>
      <c r="R543" s="2" t="str">
        <f>IF(Iterations[[#This Row],[Step]] =current_step, current_Grad_e,IF(Iterations[[#This Row],[Step]] &gt; current_step, "",Iterations[[#This Row],[Grad_e]]))</f>
        <v/>
      </c>
    </row>
    <row r="544" spans="6:18" x14ac:dyDescent="0.3">
      <c r="F544" s="2">
        <f t="shared" si="10"/>
        <v>527</v>
      </c>
      <c r="G544" s="2" t="str">
        <f>IF(Iterations[[#This Row],[Step]] =current_step, current_a,IF(Iterations[[#This Row],[Step]] &gt; current_step, "",Iterations[[#This Row],[a]]))</f>
        <v/>
      </c>
      <c r="H544" s="2" t="str">
        <f>IF(Iterations[[#This Row],[Step]] =current_step, current_b,IF(Iterations[[#This Row],[Step]] &gt; current_step, "",Iterations[[#This Row],[b]]))</f>
        <v/>
      </c>
      <c r="I544" s="2" t="str">
        <f>IF(Iterations[[#This Row],[Step]] =current_step, current_c,IF(Iterations[[#This Row],[Step]] &gt; current_step, "",Iterations[[#This Row],[c]]))</f>
        <v/>
      </c>
      <c r="J544" s="2" t="str">
        <f>IF(Iterations[[#This Row],[Step]] =current_step, current_d,IF(Iterations[[#This Row],[Step]] &gt; current_step, "",Iterations[[#This Row],[d]]))</f>
        <v/>
      </c>
      <c r="K544" s="2" t="str">
        <f>IF(Iterations[[#This Row],[Step]] =current_step, current_e,IF(Iterations[[#This Row],[Step]] &gt; current_step, "",Iterations[[#This Row],[e]]))</f>
        <v/>
      </c>
      <c r="L544" s="2" t="str">
        <f>IF(Iterations[[#This Row],[Step]] =current_step, current_Total_Loss,IF(Iterations[[#This Row],[Step]] &gt; current_step, "",Iterations[[#This Row],[Total Loss]]))</f>
        <v/>
      </c>
      <c r="M544" s="6" t="s">
        <v>27</v>
      </c>
      <c r="N544" s="2" t="str">
        <f>IF(Iterations[[#This Row],[Step]] =current_step, current_Grad_a,IF(Iterations[[#This Row],[Step]] &gt; current_step, "",Iterations[[#This Row],[Grad_a]]))</f>
        <v/>
      </c>
      <c r="O544" s="2" t="str">
        <f>IF(Iterations[[#This Row],[Step]] =current_step, current_Grad_b,IF(Iterations[[#This Row],[Step]] &gt; current_step, "",Iterations[[#This Row],[Grad_b]]))</f>
        <v/>
      </c>
      <c r="P544" s="2" t="str">
        <f>IF(Iterations[[#This Row],[Step]] =current_step, current_Grad_c,IF(Iterations[[#This Row],[Step]] &gt; current_step, "",Iterations[[#This Row],[Grad_c]]))</f>
        <v/>
      </c>
      <c r="Q544" s="2" t="str">
        <f>IF(Iterations[[#This Row],[Step]] =current_step, current_Grad_d,IF(Iterations[[#This Row],[Step]] &gt; current_step, "",Iterations[[#This Row],[Grad_d]]))</f>
        <v/>
      </c>
      <c r="R544" s="2" t="str">
        <f>IF(Iterations[[#This Row],[Step]] =current_step, current_Grad_e,IF(Iterations[[#This Row],[Step]] &gt; current_step, "",Iterations[[#This Row],[Grad_e]]))</f>
        <v/>
      </c>
    </row>
    <row r="545" spans="6:18" x14ac:dyDescent="0.3">
      <c r="F545" s="2">
        <f t="shared" si="10"/>
        <v>528</v>
      </c>
      <c r="G545" s="2" t="str">
        <f>IF(Iterations[[#This Row],[Step]] =current_step, current_a,IF(Iterations[[#This Row],[Step]] &gt; current_step, "",Iterations[[#This Row],[a]]))</f>
        <v/>
      </c>
      <c r="H545" s="2" t="str">
        <f>IF(Iterations[[#This Row],[Step]] =current_step, current_b,IF(Iterations[[#This Row],[Step]] &gt; current_step, "",Iterations[[#This Row],[b]]))</f>
        <v/>
      </c>
      <c r="I545" s="2" t="str">
        <f>IF(Iterations[[#This Row],[Step]] =current_step, current_c,IF(Iterations[[#This Row],[Step]] &gt; current_step, "",Iterations[[#This Row],[c]]))</f>
        <v/>
      </c>
      <c r="J545" s="2" t="str">
        <f>IF(Iterations[[#This Row],[Step]] =current_step, current_d,IF(Iterations[[#This Row],[Step]] &gt; current_step, "",Iterations[[#This Row],[d]]))</f>
        <v/>
      </c>
      <c r="K545" s="2" t="str">
        <f>IF(Iterations[[#This Row],[Step]] =current_step, current_e,IF(Iterations[[#This Row],[Step]] &gt; current_step, "",Iterations[[#This Row],[e]]))</f>
        <v/>
      </c>
      <c r="L545" s="2" t="str">
        <f>IF(Iterations[[#This Row],[Step]] =current_step, current_Total_Loss,IF(Iterations[[#This Row],[Step]] &gt; current_step, "",Iterations[[#This Row],[Total Loss]]))</f>
        <v/>
      </c>
      <c r="M545" s="6" t="s">
        <v>27</v>
      </c>
      <c r="N545" s="2" t="str">
        <f>IF(Iterations[[#This Row],[Step]] =current_step, current_Grad_a,IF(Iterations[[#This Row],[Step]] &gt; current_step, "",Iterations[[#This Row],[Grad_a]]))</f>
        <v/>
      </c>
      <c r="O545" s="2" t="str">
        <f>IF(Iterations[[#This Row],[Step]] =current_step, current_Grad_b,IF(Iterations[[#This Row],[Step]] &gt; current_step, "",Iterations[[#This Row],[Grad_b]]))</f>
        <v/>
      </c>
      <c r="P545" s="2" t="str">
        <f>IF(Iterations[[#This Row],[Step]] =current_step, current_Grad_c,IF(Iterations[[#This Row],[Step]] &gt; current_step, "",Iterations[[#This Row],[Grad_c]]))</f>
        <v/>
      </c>
      <c r="Q545" s="2" t="str">
        <f>IF(Iterations[[#This Row],[Step]] =current_step, current_Grad_d,IF(Iterations[[#This Row],[Step]] &gt; current_step, "",Iterations[[#This Row],[Grad_d]]))</f>
        <v/>
      </c>
      <c r="R545" s="2" t="str">
        <f>IF(Iterations[[#This Row],[Step]] =current_step, current_Grad_e,IF(Iterations[[#This Row],[Step]] &gt; current_step, "",Iterations[[#This Row],[Grad_e]]))</f>
        <v/>
      </c>
    </row>
    <row r="546" spans="6:18" x14ac:dyDescent="0.3">
      <c r="F546" s="2">
        <f t="shared" si="10"/>
        <v>529</v>
      </c>
      <c r="G546" s="2" t="str">
        <f>IF(Iterations[[#This Row],[Step]] =current_step, current_a,IF(Iterations[[#This Row],[Step]] &gt; current_step, "",Iterations[[#This Row],[a]]))</f>
        <v/>
      </c>
      <c r="H546" s="2" t="str">
        <f>IF(Iterations[[#This Row],[Step]] =current_step, current_b,IF(Iterations[[#This Row],[Step]] &gt; current_step, "",Iterations[[#This Row],[b]]))</f>
        <v/>
      </c>
      <c r="I546" s="2" t="str">
        <f>IF(Iterations[[#This Row],[Step]] =current_step, current_c,IF(Iterations[[#This Row],[Step]] &gt; current_step, "",Iterations[[#This Row],[c]]))</f>
        <v/>
      </c>
      <c r="J546" s="2" t="str">
        <f>IF(Iterations[[#This Row],[Step]] =current_step, current_d,IF(Iterations[[#This Row],[Step]] &gt; current_step, "",Iterations[[#This Row],[d]]))</f>
        <v/>
      </c>
      <c r="K546" s="2" t="str">
        <f>IF(Iterations[[#This Row],[Step]] =current_step, current_e,IF(Iterations[[#This Row],[Step]] &gt; current_step, "",Iterations[[#This Row],[e]]))</f>
        <v/>
      </c>
      <c r="L546" s="2" t="str">
        <f>IF(Iterations[[#This Row],[Step]] =current_step, current_Total_Loss,IF(Iterations[[#This Row],[Step]] &gt; current_step, "",Iterations[[#This Row],[Total Loss]]))</f>
        <v/>
      </c>
      <c r="M546" s="6" t="s">
        <v>27</v>
      </c>
      <c r="N546" s="2" t="str">
        <f>IF(Iterations[[#This Row],[Step]] =current_step, current_Grad_a,IF(Iterations[[#This Row],[Step]] &gt; current_step, "",Iterations[[#This Row],[Grad_a]]))</f>
        <v/>
      </c>
      <c r="O546" s="2" t="str">
        <f>IF(Iterations[[#This Row],[Step]] =current_step, current_Grad_b,IF(Iterations[[#This Row],[Step]] &gt; current_step, "",Iterations[[#This Row],[Grad_b]]))</f>
        <v/>
      </c>
      <c r="P546" s="2" t="str">
        <f>IF(Iterations[[#This Row],[Step]] =current_step, current_Grad_c,IF(Iterations[[#This Row],[Step]] &gt; current_step, "",Iterations[[#This Row],[Grad_c]]))</f>
        <v/>
      </c>
      <c r="Q546" s="2" t="str">
        <f>IF(Iterations[[#This Row],[Step]] =current_step, current_Grad_d,IF(Iterations[[#This Row],[Step]] &gt; current_step, "",Iterations[[#This Row],[Grad_d]]))</f>
        <v/>
      </c>
      <c r="R546" s="2" t="str">
        <f>IF(Iterations[[#This Row],[Step]] =current_step, current_Grad_e,IF(Iterations[[#This Row],[Step]] &gt; current_step, "",Iterations[[#This Row],[Grad_e]]))</f>
        <v/>
      </c>
    </row>
    <row r="547" spans="6:18" x14ac:dyDescent="0.3">
      <c r="F547" s="2">
        <f t="shared" si="10"/>
        <v>530</v>
      </c>
      <c r="G547" s="2" t="str">
        <f>IF(Iterations[[#This Row],[Step]] =current_step, current_a,IF(Iterations[[#This Row],[Step]] &gt; current_step, "",Iterations[[#This Row],[a]]))</f>
        <v/>
      </c>
      <c r="H547" s="2" t="str">
        <f>IF(Iterations[[#This Row],[Step]] =current_step, current_b,IF(Iterations[[#This Row],[Step]] &gt; current_step, "",Iterations[[#This Row],[b]]))</f>
        <v/>
      </c>
      <c r="I547" s="2" t="str">
        <f>IF(Iterations[[#This Row],[Step]] =current_step, current_c,IF(Iterations[[#This Row],[Step]] &gt; current_step, "",Iterations[[#This Row],[c]]))</f>
        <v/>
      </c>
      <c r="J547" s="2" t="str">
        <f>IF(Iterations[[#This Row],[Step]] =current_step, current_d,IF(Iterations[[#This Row],[Step]] &gt; current_step, "",Iterations[[#This Row],[d]]))</f>
        <v/>
      </c>
      <c r="K547" s="2" t="str">
        <f>IF(Iterations[[#This Row],[Step]] =current_step, current_e,IF(Iterations[[#This Row],[Step]] &gt; current_step, "",Iterations[[#This Row],[e]]))</f>
        <v/>
      </c>
      <c r="L547" s="2" t="str">
        <f>IF(Iterations[[#This Row],[Step]] =current_step, current_Total_Loss,IF(Iterations[[#This Row],[Step]] &gt; current_step, "",Iterations[[#This Row],[Total Loss]]))</f>
        <v/>
      </c>
      <c r="M547" s="6" t="s">
        <v>27</v>
      </c>
      <c r="N547" s="2" t="str">
        <f>IF(Iterations[[#This Row],[Step]] =current_step, current_Grad_a,IF(Iterations[[#This Row],[Step]] &gt; current_step, "",Iterations[[#This Row],[Grad_a]]))</f>
        <v/>
      </c>
      <c r="O547" s="2" t="str">
        <f>IF(Iterations[[#This Row],[Step]] =current_step, current_Grad_b,IF(Iterations[[#This Row],[Step]] &gt; current_step, "",Iterations[[#This Row],[Grad_b]]))</f>
        <v/>
      </c>
      <c r="P547" s="2" t="str">
        <f>IF(Iterations[[#This Row],[Step]] =current_step, current_Grad_c,IF(Iterations[[#This Row],[Step]] &gt; current_step, "",Iterations[[#This Row],[Grad_c]]))</f>
        <v/>
      </c>
      <c r="Q547" s="2" t="str">
        <f>IF(Iterations[[#This Row],[Step]] =current_step, current_Grad_d,IF(Iterations[[#This Row],[Step]] &gt; current_step, "",Iterations[[#This Row],[Grad_d]]))</f>
        <v/>
      </c>
      <c r="R547" s="2" t="str">
        <f>IF(Iterations[[#This Row],[Step]] =current_step, current_Grad_e,IF(Iterations[[#This Row],[Step]] &gt; current_step, "",Iterations[[#This Row],[Grad_e]]))</f>
        <v/>
      </c>
    </row>
    <row r="548" spans="6:18" x14ac:dyDescent="0.3">
      <c r="F548" s="2">
        <f t="shared" si="10"/>
        <v>531</v>
      </c>
      <c r="G548" s="2" t="str">
        <f>IF(Iterations[[#This Row],[Step]] =current_step, current_a,IF(Iterations[[#This Row],[Step]] &gt; current_step, "",Iterations[[#This Row],[a]]))</f>
        <v/>
      </c>
      <c r="H548" s="2" t="str">
        <f>IF(Iterations[[#This Row],[Step]] =current_step, current_b,IF(Iterations[[#This Row],[Step]] &gt; current_step, "",Iterations[[#This Row],[b]]))</f>
        <v/>
      </c>
      <c r="I548" s="2" t="str">
        <f>IF(Iterations[[#This Row],[Step]] =current_step, current_c,IF(Iterations[[#This Row],[Step]] &gt; current_step, "",Iterations[[#This Row],[c]]))</f>
        <v/>
      </c>
      <c r="J548" s="2" t="str">
        <f>IF(Iterations[[#This Row],[Step]] =current_step, current_d,IF(Iterations[[#This Row],[Step]] &gt; current_step, "",Iterations[[#This Row],[d]]))</f>
        <v/>
      </c>
      <c r="K548" s="2" t="str">
        <f>IF(Iterations[[#This Row],[Step]] =current_step, current_e,IF(Iterations[[#This Row],[Step]] &gt; current_step, "",Iterations[[#This Row],[e]]))</f>
        <v/>
      </c>
      <c r="L548" s="2" t="str">
        <f>IF(Iterations[[#This Row],[Step]] =current_step, current_Total_Loss,IF(Iterations[[#This Row],[Step]] &gt; current_step, "",Iterations[[#This Row],[Total Loss]]))</f>
        <v/>
      </c>
      <c r="M548" s="6" t="s">
        <v>27</v>
      </c>
      <c r="N548" s="2" t="str">
        <f>IF(Iterations[[#This Row],[Step]] =current_step, current_Grad_a,IF(Iterations[[#This Row],[Step]] &gt; current_step, "",Iterations[[#This Row],[Grad_a]]))</f>
        <v/>
      </c>
      <c r="O548" s="2" t="str">
        <f>IF(Iterations[[#This Row],[Step]] =current_step, current_Grad_b,IF(Iterations[[#This Row],[Step]] &gt; current_step, "",Iterations[[#This Row],[Grad_b]]))</f>
        <v/>
      </c>
      <c r="P548" s="2" t="str">
        <f>IF(Iterations[[#This Row],[Step]] =current_step, current_Grad_c,IF(Iterations[[#This Row],[Step]] &gt; current_step, "",Iterations[[#This Row],[Grad_c]]))</f>
        <v/>
      </c>
      <c r="Q548" s="2" t="str">
        <f>IF(Iterations[[#This Row],[Step]] =current_step, current_Grad_d,IF(Iterations[[#This Row],[Step]] &gt; current_step, "",Iterations[[#This Row],[Grad_d]]))</f>
        <v/>
      </c>
      <c r="R548" s="2" t="str">
        <f>IF(Iterations[[#This Row],[Step]] =current_step, current_Grad_e,IF(Iterations[[#This Row],[Step]] &gt; current_step, "",Iterations[[#This Row],[Grad_e]]))</f>
        <v/>
      </c>
    </row>
    <row r="549" spans="6:18" x14ac:dyDescent="0.3">
      <c r="F549" s="2">
        <f t="shared" si="10"/>
        <v>532</v>
      </c>
      <c r="G549" s="2" t="str">
        <f>IF(Iterations[[#This Row],[Step]] =current_step, current_a,IF(Iterations[[#This Row],[Step]] &gt; current_step, "",Iterations[[#This Row],[a]]))</f>
        <v/>
      </c>
      <c r="H549" s="2" t="str">
        <f>IF(Iterations[[#This Row],[Step]] =current_step, current_b,IF(Iterations[[#This Row],[Step]] &gt; current_step, "",Iterations[[#This Row],[b]]))</f>
        <v/>
      </c>
      <c r="I549" s="2" t="str">
        <f>IF(Iterations[[#This Row],[Step]] =current_step, current_c,IF(Iterations[[#This Row],[Step]] &gt; current_step, "",Iterations[[#This Row],[c]]))</f>
        <v/>
      </c>
      <c r="J549" s="2" t="str">
        <f>IF(Iterations[[#This Row],[Step]] =current_step, current_d,IF(Iterations[[#This Row],[Step]] &gt; current_step, "",Iterations[[#This Row],[d]]))</f>
        <v/>
      </c>
      <c r="K549" s="2" t="str">
        <f>IF(Iterations[[#This Row],[Step]] =current_step, current_e,IF(Iterations[[#This Row],[Step]] &gt; current_step, "",Iterations[[#This Row],[e]]))</f>
        <v/>
      </c>
      <c r="L549" s="2" t="str">
        <f>IF(Iterations[[#This Row],[Step]] =current_step, current_Total_Loss,IF(Iterations[[#This Row],[Step]] &gt; current_step, "",Iterations[[#This Row],[Total Loss]]))</f>
        <v/>
      </c>
      <c r="M549" s="6" t="s">
        <v>27</v>
      </c>
      <c r="N549" s="2" t="str">
        <f>IF(Iterations[[#This Row],[Step]] =current_step, current_Grad_a,IF(Iterations[[#This Row],[Step]] &gt; current_step, "",Iterations[[#This Row],[Grad_a]]))</f>
        <v/>
      </c>
      <c r="O549" s="2" t="str">
        <f>IF(Iterations[[#This Row],[Step]] =current_step, current_Grad_b,IF(Iterations[[#This Row],[Step]] &gt; current_step, "",Iterations[[#This Row],[Grad_b]]))</f>
        <v/>
      </c>
      <c r="P549" s="2" t="str">
        <f>IF(Iterations[[#This Row],[Step]] =current_step, current_Grad_c,IF(Iterations[[#This Row],[Step]] &gt; current_step, "",Iterations[[#This Row],[Grad_c]]))</f>
        <v/>
      </c>
      <c r="Q549" s="2" t="str">
        <f>IF(Iterations[[#This Row],[Step]] =current_step, current_Grad_d,IF(Iterations[[#This Row],[Step]] &gt; current_step, "",Iterations[[#This Row],[Grad_d]]))</f>
        <v/>
      </c>
      <c r="R549" s="2" t="str">
        <f>IF(Iterations[[#This Row],[Step]] =current_step, current_Grad_e,IF(Iterations[[#This Row],[Step]] &gt; current_step, "",Iterations[[#This Row],[Grad_e]]))</f>
        <v/>
      </c>
    </row>
    <row r="550" spans="6:18" x14ac:dyDescent="0.3">
      <c r="F550" s="2">
        <f t="shared" si="10"/>
        <v>533</v>
      </c>
      <c r="G550" s="2" t="str">
        <f>IF(Iterations[[#This Row],[Step]] =current_step, current_a,IF(Iterations[[#This Row],[Step]] &gt; current_step, "",Iterations[[#This Row],[a]]))</f>
        <v/>
      </c>
      <c r="H550" s="2" t="str">
        <f>IF(Iterations[[#This Row],[Step]] =current_step, current_b,IF(Iterations[[#This Row],[Step]] &gt; current_step, "",Iterations[[#This Row],[b]]))</f>
        <v/>
      </c>
      <c r="I550" s="2" t="str">
        <f>IF(Iterations[[#This Row],[Step]] =current_step, current_c,IF(Iterations[[#This Row],[Step]] &gt; current_step, "",Iterations[[#This Row],[c]]))</f>
        <v/>
      </c>
      <c r="J550" s="2" t="str">
        <f>IF(Iterations[[#This Row],[Step]] =current_step, current_d,IF(Iterations[[#This Row],[Step]] &gt; current_step, "",Iterations[[#This Row],[d]]))</f>
        <v/>
      </c>
      <c r="K550" s="2" t="str">
        <f>IF(Iterations[[#This Row],[Step]] =current_step, current_e,IF(Iterations[[#This Row],[Step]] &gt; current_step, "",Iterations[[#This Row],[e]]))</f>
        <v/>
      </c>
      <c r="L550" s="2" t="str">
        <f>IF(Iterations[[#This Row],[Step]] =current_step, current_Total_Loss,IF(Iterations[[#This Row],[Step]] &gt; current_step, "",Iterations[[#This Row],[Total Loss]]))</f>
        <v/>
      </c>
      <c r="M550" s="6" t="s">
        <v>27</v>
      </c>
      <c r="N550" s="2" t="str">
        <f>IF(Iterations[[#This Row],[Step]] =current_step, current_Grad_a,IF(Iterations[[#This Row],[Step]] &gt; current_step, "",Iterations[[#This Row],[Grad_a]]))</f>
        <v/>
      </c>
      <c r="O550" s="2" t="str">
        <f>IF(Iterations[[#This Row],[Step]] =current_step, current_Grad_b,IF(Iterations[[#This Row],[Step]] &gt; current_step, "",Iterations[[#This Row],[Grad_b]]))</f>
        <v/>
      </c>
      <c r="P550" s="2" t="str">
        <f>IF(Iterations[[#This Row],[Step]] =current_step, current_Grad_c,IF(Iterations[[#This Row],[Step]] &gt; current_step, "",Iterations[[#This Row],[Grad_c]]))</f>
        <v/>
      </c>
      <c r="Q550" s="2" t="str">
        <f>IF(Iterations[[#This Row],[Step]] =current_step, current_Grad_d,IF(Iterations[[#This Row],[Step]] &gt; current_step, "",Iterations[[#This Row],[Grad_d]]))</f>
        <v/>
      </c>
      <c r="R550" s="2" t="str">
        <f>IF(Iterations[[#This Row],[Step]] =current_step, current_Grad_e,IF(Iterations[[#This Row],[Step]] &gt; current_step, "",Iterations[[#This Row],[Grad_e]]))</f>
        <v/>
      </c>
    </row>
    <row r="551" spans="6:18" x14ac:dyDescent="0.3">
      <c r="F551" s="2">
        <f t="shared" si="10"/>
        <v>534</v>
      </c>
      <c r="G551" s="2" t="str">
        <f>IF(Iterations[[#This Row],[Step]] =current_step, current_a,IF(Iterations[[#This Row],[Step]] &gt; current_step, "",Iterations[[#This Row],[a]]))</f>
        <v/>
      </c>
      <c r="H551" s="2" t="str">
        <f>IF(Iterations[[#This Row],[Step]] =current_step, current_b,IF(Iterations[[#This Row],[Step]] &gt; current_step, "",Iterations[[#This Row],[b]]))</f>
        <v/>
      </c>
      <c r="I551" s="2" t="str">
        <f>IF(Iterations[[#This Row],[Step]] =current_step, current_c,IF(Iterations[[#This Row],[Step]] &gt; current_step, "",Iterations[[#This Row],[c]]))</f>
        <v/>
      </c>
      <c r="J551" s="2" t="str">
        <f>IF(Iterations[[#This Row],[Step]] =current_step, current_d,IF(Iterations[[#This Row],[Step]] &gt; current_step, "",Iterations[[#This Row],[d]]))</f>
        <v/>
      </c>
      <c r="K551" s="2" t="str">
        <f>IF(Iterations[[#This Row],[Step]] =current_step, current_e,IF(Iterations[[#This Row],[Step]] &gt; current_step, "",Iterations[[#This Row],[e]]))</f>
        <v/>
      </c>
      <c r="L551" s="2" t="str">
        <f>IF(Iterations[[#This Row],[Step]] =current_step, current_Total_Loss,IF(Iterations[[#This Row],[Step]] &gt; current_step, "",Iterations[[#This Row],[Total Loss]]))</f>
        <v/>
      </c>
      <c r="M551" s="6" t="s">
        <v>27</v>
      </c>
      <c r="N551" s="2" t="str">
        <f>IF(Iterations[[#This Row],[Step]] =current_step, current_Grad_a,IF(Iterations[[#This Row],[Step]] &gt; current_step, "",Iterations[[#This Row],[Grad_a]]))</f>
        <v/>
      </c>
      <c r="O551" s="2" t="str">
        <f>IF(Iterations[[#This Row],[Step]] =current_step, current_Grad_b,IF(Iterations[[#This Row],[Step]] &gt; current_step, "",Iterations[[#This Row],[Grad_b]]))</f>
        <v/>
      </c>
      <c r="P551" s="2" t="str">
        <f>IF(Iterations[[#This Row],[Step]] =current_step, current_Grad_c,IF(Iterations[[#This Row],[Step]] &gt; current_step, "",Iterations[[#This Row],[Grad_c]]))</f>
        <v/>
      </c>
      <c r="Q551" s="2" t="str">
        <f>IF(Iterations[[#This Row],[Step]] =current_step, current_Grad_d,IF(Iterations[[#This Row],[Step]] &gt; current_step, "",Iterations[[#This Row],[Grad_d]]))</f>
        <v/>
      </c>
      <c r="R551" s="2" t="str">
        <f>IF(Iterations[[#This Row],[Step]] =current_step, current_Grad_e,IF(Iterations[[#This Row],[Step]] &gt; current_step, "",Iterations[[#This Row],[Grad_e]]))</f>
        <v/>
      </c>
    </row>
    <row r="552" spans="6:18" x14ac:dyDescent="0.3">
      <c r="F552" s="2">
        <f t="shared" si="10"/>
        <v>535</v>
      </c>
      <c r="G552" s="2" t="str">
        <f>IF(Iterations[[#This Row],[Step]] =current_step, current_a,IF(Iterations[[#This Row],[Step]] &gt; current_step, "",Iterations[[#This Row],[a]]))</f>
        <v/>
      </c>
      <c r="H552" s="2" t="str">
        <f>IF(Iterations[[#This Row],[Step]] =current_step, current_b,IF(Iterations[[#This Row],[Step]] &gt; current_step, "",Iterations[[#This Row],[b]]))</f>
        <v/>
      </c>
      <c r="I552" s="2" t="str">
        <f>IF(Iterations[[#This Row],[Step]] =current_step, current_c,IF(Iterations[[#This Row],[Step]] &gt; current_step, "",Iterations[[#This Row],[c]]))</f>
        <v/>
      </c>
      <c r="J552" s="2" t="str">
        <f>IF(Iterations[[#This Row],[Step]] =current_step, current_d,IF(Iterations[[#This Row],[Step]] &gt; current_step, "",Iterations[[#This Row],[d]]))</f>
        <v/>
      </c>
      <c r="K552" s="2" t="str">
        <f>IF(Iterations[[#This Row],[Step]] =current_step, current_e,IF(Iterations[[#This Row],[Step]] &gt; current_step, "",Iterations[[#This Row],[e]]))</f>
        <v/>
      </c>
      <c r="L552" s="2" t="str">
        <f>IF(Iterations[[#This Row],[Step]] =current_step, current_Total_Loss,IF(Iterations[[#This Row],[Step]] &gt; current_step, "",Iterations[[#This Row],[Total Loss]]))</f>
        <v/>
      </c>
      <c r="M552" s="6" t="s">
        <v>27</v>
      </c>
      <c r="N552" s="2" t="str">
        <f>IF(Iterations[[#This Row],[Step]] =current_step, current_Grad_a,IF(Iterations[[#This Row],[Step]] &gt; current_step, "",Iterations[[#This Row],[Grad_a]]))</f>
        <v/>
      </c>
      <c r="O552" s="2" t="str">
        <f>IF(Iterations[[#This Row],[Step]] =current_step, current_Grad_b,IF(Iterations[[#This Row],[Step]] &gt; current_step, "",Iterations[[#This Row],[Grad_b]]))</f>
        <v/>
      </c>
      <c r="P552" s="2" t="str">
        <f>IF(Iterations[[#This Row],[Step]] =current_step, current_Grad_c,IF(Iterations[[#This Row],[Step]] &gt; current_step, "",Iterations[[#This Row],[Grad_c]]))</f>
        <v/>
      </c>
      <c r="Q552" s="2" t="str">
        <f>IF(Iterations[[#This Row],[Step]] =current_step, current_Grad_d,IF(Iterations[[#This Row],[Step]] &gt; current_step, "",Iterations[[#This Row],[Grad_d]]))</f>
        <v/>
      </c>
      <c r="R552" s="2" t="str">
        <f>IF(Iterations[[#This Row],[Step]] =current_step, current_Grad_e,IF(Iterations[[#This Row],[Step]] &gt; current_step, "",Iterations[[#This Row],[Grad_e]]))</f>
        <v/>
      </c>
    </row>
    <row r="553" spans="6:18" x14ac:dyDescent="0.3">
      <c r="F553" s="2">
        <f t="shared" si="10"/>
        <v>536</v>
      </c>
      <c r="G553" s="2" t="str">
        <f>IF(Iterations[[#This Row],[Step]] =current_step, current_a,IF(Iterations[[#This Row],[Step]] &gt; current_step, "",Iterations[[#This Row],[a]]))</f>
        <v/>
      </c>
      <c r="H553" s="2" t="str">
        <f>IF(Iterations[[#This Row],[Step]] =current_step, current_b,IF(Iterations[[#This Row],[Step]] &gt; current_step, "",Iterations[[#This Row],[b]]))</f>
        <v/>
      </c>
      <c r="I553" s="2" t="str">
        <f>IF(Iterations[[#This Row],[Step]] =current_step, current_c,IF(Iterations[[#This Row],[Step]] &gt; current_step, "",Iterations[[#This Row],[c]]))</f>
        <v/>
      </c>
      <c r="J553" s="2" t="str">
        <f>IF(Iterations[[#This Row],[Step]] =current_step, current_d,IF(Iterations[[#This Row],[Step]] &gt; current_step, "",Iterations[[#This Row],[d]]))</f>
        <v/>
      </c>
      <c r="K553" s="2" t="str">
        <f>IF(Iterations[[#This Row],[Step]] =current_step, current_e,IF(Iterations[[#This Row],[Step]] &gt; current_step, "",Iterations[[#This Row],[e]]))</f>
        <v/>
      </c>
      <c r="L553" s="2" t="str">
        <f>IF(Iterations[[#This Row],[Step]] =current_step, current_Total_Loss,IF(Iterations[[#This Row],[Step]] &gt; current_step, "",Iterations[[#This Row],[Total Loss]]))</f>
        <v/>
      </c>
      <c r="M553" s="6" t="s">
        <v>27</v>
      </c>
      <c r="N553" s="2" t="str">
        <f>IF(Iterations[[#This Row],[Step]] =current_step, current_Grad_a,IF(Iterations[[#This Row],[Step]] &gt; current_step, "",Iterations[[#This Row],[Grad_a]]))</f>
        <v/>
      </c>
      <c r="O553" s="2" t="str">
        <f>IF(Iterations[[#This Row],[Step]] =current_step, current_Grad_b,IF(Iterations[[#This Row],[Step]] &gt; current_step, "",Iterations[[#This Row],[Grad_b]]))</f>
        <v/>
      </c>
      <c r="P553" s="2" t="str">
        <f>IF(Iterations[[#This Row],[Step]] =current_step, current_Grad_c,IF(Iterations[[#This Row],[Step]] &gt; current_step, "",Iterations[[#This Row],[Grad_c]]))</f>
        <v/>
      </c>
      <c r="Q553" s="2" t="str">
        <f>IF(Iterations[[#This Row],[Step]] =current_step, current_Grad_d,IF(Iterations[[#This Row],[Step]] &gt; current_step, "",Iterations[[#This Row],[Grad_d]]))</f>
        <v/>
      </c>
      <c r="R553" s="2" t="str">
        <f>IF(Iterations[[#This Row],[Step]] =current_step, current_Grad_e,IF(Iterations[[#This Row],[Step]] &gt; current_step, "",Iterations[[#This Row],[Grad_e]]))</f>
        <v/>
      </c>
    </row>
    <row r="554" spans="6:18" x14ac:dyDescent="0.3">
      <c r="F554" s="2">
        <f t="shared" si="10"/>
        <v>537</v>
      </c>
      <c r="G554" s="2" t="str">
        <f>IF(Iterations[[#This Row],[Step]] =current_step, current_a,IF(Iterations[[#This Row],[Step]] &gt; current_step, "",Iterations[[#This Row],[a]]))</f>
        <v/>
      </c>
      <c r="H554" s="2" t="str">
        <f>IF(Iterations[[#This Row],[Step]] =current_step, current_b,IF(Iterations[[#This Row],[Step]] &gt; current_step, "",Iterations[[#This Row],[b]]))</f>
        <v/>
      </c>
      <c r="I554" s="2" t="str">
        <f>IF(Iterations[[#This Row],[Step]] =current_step, current_c,IF(Iterations[[#This Row],[Step]] &gt; current_step, "",Iterations[[#This Row],[c]]))</f>
        <v/>
      </c>
      <c r="J554" s="2" t="str">
        <f>IF(Iterations[[#This Row],[Step]] =current_step, current_d,IF(Iterations[[#This Row],[Step]] &gt; current_step, "",Iterations[[#This Row],[d]]))</f>
        <v/>
      </c>
      <c r="K554" s="2" t="str">
        <f>IF(Iterations[[#This Row],[Step]] =current_step, current_e,IF(Iterations[[#This Row],[Step]] &gt; current_step, "",Iterations[[#This Row],[e]]))</f>
        <v/>
      </c>
      <c r="L554" s="2" t="str">
        <f>IF(Iterations[[#This Row],[Step]] =current_step, current_Total_Loss,IF(Iterations[[#This Row],[Step]] &gt; current_step, "",Iterations[[#This Row],[Total Loss]]))</f>
        <v/>
      </c>
      <c r="M554" s="6" t="s">
        <v>27</v>
      </c>
      <c r="N554" s="2" t="str">
        <f>IF(Iterations[[#This Row],[Step]] =current_step, current_Grad_a,IF(Iterations[[#This Row],[Step]] &gt; current_step, "",Iterations[[#This Row],[Grad_a]]))</f>
        <v/>
      </c>
      <c r="O554" s="2" t="str">
        <f>IF(Iterations[[#This Row],[Step]] =current_step, current_Grad_b,IF(Iterations[[#This Row],[Step]] &gt; current_step, "",Iterations[[#This Row],[Grad_b]]))</f>
        <v/>
      </c>
      <c r="P554" s="2" t="str">
        <f>IF(Iterations[[#This Row],[Step]] =current_step, current_Grad_c,IF(Iterations[[#This Row],[Step]] &gt; current_step, "",Iterations[[#This Row],[Grad_c]]))</f>
        <v/>
      </c>
      <c r="Q554" s="2" t="str">
        <f>IF(Iterations[[#This Row],[Step]] =current_step, current_Grad_d,IF(Iterations[[#This Row],[Step]] &gt; current_step, "",Iterations[[#This Row],[Grad_d]]))</f>
        <v/>
      </c>
      <c r="R554" s="2" t="str">
        <f>IF(Iterations[[#This Row],[Step]] =current_step, current_Grad_e,IF(Iterations[[#This Row],[Step]] &gt; current_step, "",Iterations[[#This Row],[Grad_e]]))</f>
        <v/>
      </c>
    </row>
    <row r="555" spans="6:18" x14ac:dyDescent="0.3">
      <c r="F555" s="2">
        <f t="shared" si="10"/>
        <v>538</v>
      </c>
      <c r="G555" s="2" t="str">
        <f>IF(Iterations[[#This Row],[Step]] =current_step, current_a,IF(Iterations[[#This Row],[Step]] &gt; current_step, "",Iterations[[#This Row],[a]]))</f>
        <v/>
      </c>
      <c r="H555" s="2" t="str">
        <f>IF(Iterations[[#This Row],[Step]] =current_step, current_b,IF(Iterations[[#This Row],[Step]] &gt; current_step, "",Iterations[[#This Row],[b]]))</f>
        <v/>
      </c>
      <c r="I555" s="2" t="str">
        <f>IF(Iterations[[#This Row],[Step]] =current_step, current_c,IF(Iterations[[#This Row],[Step]] &gt; current_step, "",Iterations[[#This Row],[c]]))</f>
        <v/>
      </c>
      <c r="J555" s="2" t="str">
        <f>IF(Iterations[[#This Row],[Step]] =current_step, current_d,IF(Iterations[[#This Row],[Step]] &gt; current_step, "",Iterations[[#This Row],[d]]))</f>
        <v/>
      </c>
      <c r="K555" s="2" t="str">
        <f>IF(Iterations[[#This Row],[Step]] =current_step, current_e,IF(Iterations[[#This Row],[Step]] &gt; current_step, "",Iterations[[#This Row],[e]]))</f>
        <v/>
      </c>
      <c r="L555" s="2" t="str">
        <f>IF(Iterations[[#This Row],[Step]] =current_step, current_Total_Loss,IF(Iterations[[#This Row],[Step]] &gt; current_step, "",Iterations[[#This Row],[Total Loss]]))</f>
        <v/>
      </c>
      <c r="M555" s="6" t="s">
        <v>27</v>
      </c>
      <c r="N555" s="2" t="str">
        <f>IF(Iterations[[#This Row],[Step]] =current_step, current_Grad_a,IF(Iterations[[#This Row],[Step]] &gt; current_step, "",Iterations[[#This Row],[Grad_a]]))</f>
        <v/>
      </c>
      <c r="O555" s="2" t="str">
        <f>IF(Iterations[[#This Row],[Step]] =current_step, current_Grad_b,IF(Iterations[[#This Row],[Step]] &gt; current_step, "",Iterations[[#This Row],[Grad_b]]))</f>
        <v/>
      </c>
      <c r="P555" s="2" t="str">
        <f>IF(Iterations[[#This Row],[Step]] =current_step, current_Grad_c,IF(Iterations[[#This Row],[Step]] &gt; current_step, "",Iterations[[#This Row],[Grad_c]]))</f>
        <v/>
      </c>
      <c r="Q555" s="2" t="str">
        <f>IF(Iterations[[#This Row],[Step]] =current_step, current_Grad_d,IF(Iterations[[#This Row],[Step]] &gt; current_step, "",Iterations[[#This Row],[Grad_d]]))</f>
        <v/>
      </c>
      <c r="R555" s="2" t="str">
        <f>IF(Iterations[[#This Row],[Step]] =current_step, current_Grad_e,IF(Iterations[[#This Row],[Step]] &gt; current_step, "",Iterations[[#This Row],[Grad_e]]))</f>
        <v/>
      </c>
    </row>
    <row r="556" spans="6:18" x14ac:dyDescent="0.3">
      <c r="F556" s="2">
        <f t="shared" si="10"/>
        <v>539</v>
      </c>
      <c r="G556" s="2" t="str">
        <f>IF(Iterations[[#This Row],[Step]] =current_step, current_a,IF(Iterations[[#This Row],[Step]] &gt; current_step, "",Iterations[[#This Row],[a]]))</f>
        <v/>
      </c>
      <c r="H556" s="2" t="str">
        <f>IF(Iterations[[#This Row],[Step]] =current_step, current_b,IF(Iterations[[#This Row],[Step]] &gt; current_step, "",Iterations[[#This Row],[b]]))</f>
        <v/>
      </c>
      <c r="I556" s="2" t="str">
        <f>IF(Iterations[[#This Row],[Step]] =current_step, current_c,IF(Iterations[[#This Row],[Step]] &gt; current_step, "",Iterations[[#This Row],[c]]))</f>
        <v/>
      </c>
      <c r="J556" s="2" t="str">
        <f>IF(Iterations[[#This Row],[Step]] =current_step, current_d,IF(Iterations[[#This Row],[Step]] &gt; current_step, "",Iterations[[#This Row],[d]]))</f>
        <v/>
      </c>
      <c r="K556" s="2" t="str">
        <f>IF(Iterations[[#This Row],[Step]] =current_step, current_e,IF(Iterations[[#This Row],[Step]] &gt; current_step, "",Iterations[[#This Row],[e]]))</f>
        <v/>
      </c>
      <c r="L556" s="2" t="str">
        <f>IF(Iterations[[#This Row],[Step]] =current_step, current_Total_Loss,IF(Iterations[[#This Row],[Step]] &gt; current_step, "",Iterations[[#This Row],[Total Loss]]))</f>
        <v/>
      </c>
      <c r="M556" s="6" t="s">
        <v>27</v>
      </c>
      <c r="N556" s="2" t="str">
        <f>IF(Iterations[[#This Row],[Step]] =current_step, current_Grad_a,IF(Iterations[[#This Row],[Step]] &gt; current_step, "",Iterations[[#This Row],[Grad_a]]))</f>
        <v/>
      </c>
      <c r="O556" s="2" t="str">
        <f>IF(Iterations[[#This Row],[Step]] =current_step, current_Grad_b,IF(Iterations[[#This Row],[Step]] &gt; current_step, "",Iterations[[#This Row],[Grad_b]]))</f>
        <v/>
      </c>
      <c r="P556" s="2" t="str">
        <f>IF(Iterations[[#This Row],[Step]] =current_step, current_Grad_c,IF(Iterations[[#This Row],[Step]] &gt; current_step, "",Iterations[[#This Row],[Grad_c]]))</f>
        <v/>
      </c>
      <c r="Q556" s="2" t="str">
        <f>IF(Iterations[[#This Row],[Step]] =current_step, current_Grad_d,IF(Iterations[[#This Row],[Step]] &gt; current_step, "",Iterations[[#This Row],[Grad_d]]))</f>
        <v/>
      </c>
      <c r="R556" s="2" t="str">
        <f>IF(Iterations[[#This Row],[Step]] =current_step, current_Grad_e,IF(Iterations[[#This Row],[Step]] &gt; current_step, "",Iterations[[#This Row],[Grad_e]]))</f>
        <v/>
      </c>
    </row>
    <row r="557" spans="6:18" x14ac:dyDescent="0.3">
      <c r="F557" s="2">
        <f t="shared" si="10"/>
        <v>540</v>
      </c>
      <c r="G557" s="2" t="str">
        <f>IF(Iterations[[#This Row],[Step]] =current_step, current_a,IF(Iterations[[#This Row],[Step]] &gt; current_step, "",Iterations[[#This Row],[a]]))</f>
        <v/>
      </c>
      <c r="H557" s="2" t="str">
        <f>IF(Iterations[[#This Row],[Step]] =current_step, current_b,IF(Iterations[[#This Row],[Step]] &gt; current_step, "",Iterations[[#This Row],[b]]))</f>
        <v/>
      </c>
      <c r="I557" s="2" t="str">
        <f>IF(Iterations[[#This Row],[Step]] =current_step, current_c,IF(Iterations[[#This Row],[Step]] &gt; current_step, "",Iterations[[#This Row],[c]]))</f>
        <v/>
      </c>
      <c r="J557" s="2" t="str">
        <f>IF(Iterations[[#This Row],[Step]] =current_step, current_d,IF(Iterations[[#This Row],[Step]] &gt; current_step, "",Iterations[[#This Row],[d]]))</f>
        <v/>
      </c>
      <c r="K557" s="2" t="str">
        <f>IF(Iterations[[#This Row],[Step]] =current_step, current_e,IF(Iterations[[#This Row],[Step]] &gt; current_step, "",Iterations[[#This Row],[e]]))</f>
        <v/>
      </c>
      <c r="L557" s="2" t="str">
        <f>IF(Iterations[[#This Row],[Step]] =current_step, current_Total_Loss,IF(Iterations[[#This Row],[Step]] &gt; current_step, "",Iterations[[#This Row],[Total Loss]]))</f>
        <v/>
      </c>
      <c r="M557" s="6" t="s">
        <v>27</v>
      </c>
      <c r="N557" s="2" t="str">
        <f>IF(Iterations[[#This Row],[Step]] =current_step, current_Grad_a,IF(Iterations[[#This Row],[Step]] &gt; current_step, "",Iterations[[#This Row],[Grad_a]]))</f>
        <v/>
      </c>
      <c r="O557" s="2" t="str">
        <f>IF(Iterations[[#This Row],[Step]] =current_step, current_Grad_b,IF(Iterations[[#This Row],[Step]] &gt; current_step, "",Iterations[[#This Row],[Grad_b]]))</f>
        <v/>
      </c>
      <c r="P557" s="2" t="str">
        <f>IF(Iterations[[#This Row],[Step]] =current_step, current_Grad_c,IF(Iterations[[#This Row],[Step]] &gt; current_step, "",Iterations[[#This Row],[Grad_c]]))</f>
        <v/>
      </c>
      <c r="Q557" s="2" t="str">
        <f>IF(Iterations[[#This Row],[Step]] =current_step, current_Grad_d,IF(Iterations[[#This Row],[Step]] &gt; current_step, "",Iterations[[#This Row],[Grad_d]]))</f>
        <v/>
      </c>
      <c r="R557" s="2" t="str">
        <f>IF(Iterations[[#This Row],[Step]] =current_step, current_Grad_e,IF(Iterations[[#This Row],[Step]] &gt; current_step, "",Iterations[[#This Row],[Grad_e]]))</f>
        <v/>
      </c>
    </row>
    <row r="558" spans="6:18" x14ac:dyDescent="0.3">
      <c r="F558" s="2">
        <f t="shared" si="10"/>
        <v>541</v>
      </c>
      <c r="G558" s="2" t="str">
        <f>IF(Iterations[[#This Row],[Step]] =current_step, current_a,IF(Iterations[[#This Row],[Step]] &gt; current_step, "",Iterations[[#This Row],[a]]))</f>
        <v/>
      </c>
      <c r="H558" s="2" t="str">
        <f>IF(Iterations[[#This Row],[Step]] =current_step, current_b,IF(Iterations[[#This Row],[Step]] &gt; current_step, "",Iterations[[#This Row],[b]]))</f>
        <v/>
      </c>
      <c r="I558" s="2" t="str">
        <f>IF(Iterations[[#This Row],[Step]] =current_step, current_c,IF(Iterations[[#This Row],[Step]] &gt; current_step, "",Iterations[[#This Row],[c]]))</f>
        <v/>
      </c>
      <c r="J558" s="2" t="str">
        <f>IF(Iterations[[#This Row],[Step]] =current_step, current_d,IF(Iterations[[#This Row],[Step]] &gt; current_step, "",Iterations[[#This Row],[d]]))</f>
        <v/>
      </c>
      <c r="K558" s="2" t="str">
        <f>IF(Iterations[[#This Row],[Step]] =current_step, current_e,IF(Iterations[[#This Row],[Step]] &gt; current_step, "",Iterations[[#This Row],[e]]))</f>
        <v/>
      </c>
      <c r="L558" s="2" t="str">
        <f>IF(Iterations[[#This Row],[Step]] =current_step, current_Total_Loss,IF(Iterations[[#This Row],[Step]] &gt; current_step, "",Iterations[[#This Row],[Total Loss]]))</f>
        <v/>
      </c>
      <c r="M558" s="6" t="s">
        <v>27</v>
      </c>
      <c r="N558" s="2" t="str">
        <f>IF(Iterations[[#This Row],[Step]] =current_step, current_Grad_a,IF(Iterations[[#This Row],[Step]] &gt; current_step, "",Iterations[[#This Row],[Grad_a]]))</f>
        <v/>
      </c>
      <c r="O558" s="2" t="str">
        <f>IF(Iterations[[#This Row],[Step]] =current_step, current_Grad_b,IF(Iterations[[#This Row],[Step]] &gt; current_step, "",Iterations[[#This Row],[Grad_b]]))</f>
        <v/>
      </c>
      <c r="P558" s="2" t="str">
        <f>IF(Iterations[[#This Row],[Step]] =current_step, current_Grad_c,IF(Iterations[[#This Row],[Step]] &gt; current_step, "",Iterations[[#This Row],[Grad_c]]))</f>
        <v/>
      </c>
      <c r="Q558" s="2" t="str">
        <f>IF(Iterations[[#This Row],[Step]] =current_step, current_Grad_d,IF(Iterations[[#This Row],[Step]] &gt; current_step, "",Iterations[[#This Row],[Grad_d]]))</f>
        <v/>
      </c>
      <c r="R558" s="2" t="str">
        <f>IF(Iterations[[#This Row],[Step]] =current_step, current_Grad_e,IF(Iterations[[#This Row],[Step]] &gt; current_step, "",Iterations[[#This Row],[Grad_e]]))</f>
        <v/>
      </c>
    </row>
    <row r="559" spans="6:18" x14ac:dyDescent="0.3">
      <c r="F559" s="2">
        <f t="shared" si="10"/>
        <v>542</v>
      </c>
      <c r="G559" s="2" t="str">
        <f>IF(Iterations[[#This Row],[Step]] =current_step, current_a,IF(Iterations[[#This Row],[Step]] &gt; current_step, "",Iterations[[#This Row],[a]]))</f>
        <v/>
      </c>
      <c r="H559" s="2" t="str">
        <f>IF(Iterations[[#This Row],[Step]] =current_step, current_b,IF(Iterations[[#This Row],[Step]] &gt; current_step, "",Iterations[[#This Row],[b]]))</f>
        <v/>
      </c>
      <c r="I559" s="2" t="str">
        <f>IF(Iterations[[#This Row],[Step]] =current_step, current_c,IF(Iterations[[#This Row],[Step]] &gt; current_step, "",Iterations[[#This Row],[c]]))</f>
        <v/>
      </c>
      <c r="J559" s="2" t="str">
        <f>IF(Iterations[[#This Row],[Step]] =current_step, current_d,IF(Iterations[[#This Row],[Step]] &gt; current_step, "",Iterations[[#This Row],[d]]))</f>
        <v/>
      </c>
      <c r="K559" s="2" t="str">
        <f>IF(Iterations[[#This Row],[Step]] =current_step, current_e,IF(Iterations[[#This Row],[Step]] &gt; current_step, "",Iterations[[#This Row],[e]]))</f>
        <v/>
      </c>
      <c r="L559" s="2" t="str">
        <f>IF(Iterations[[#This Row],[Step]] =current_step, current_Total_Loss,IF(Iterations[[#This Row],[Step]] &gt; current_step, "",Iterations[[#This Row],[Total Loss]]))</f>
        <v/>
      </c>
      <c r="M559" s="6" t="s">
        <v>27</v>
      </c>
      <c r="N559" s="2" t="str">
        <f>IF(Iterations[[#This Row],[Step]] =current_step, current_Grad_a,IF(Iterations[[#This Row],[Step]] &gt; current_step, "",Iterations[[#This Row],[Grad_a]]))</f>
        <v/>
      </c>
      <c r="O559" s="2" t="str">
        <f>IF(Iterations[[#This Row],[Step]] =current_step, current_Grad_b,IF(Iterations[[#This Row],[Step]] &gt; current_step, "",Iterations[[#This Row],[Grad_b]]))</f>
        <v/>
      </c>
      <c r="P559" s="2" t="str">
        <f>IF(Iterations[[#This Row],[Step]] =current_step, current_Grad_c,IF(Iterations[[#This Row],[Step]] &gt; current_step, "",Iterations[[#This Row],[Grad_c]]))</f>
        <v/>
      </c>
      <c r="Q559" s="2" t="str">
        <f>IF(Iterations[[#This Row],[Step]] =current_step, current_Grad_d,IF(Iterations[[#This Row],[Step]] &gt; current_step, "",Iterations[[#This Row],[Grad_d]]))</f>
        <v/>
      </c>
      <c r="R559" s="2" t="str">
        <f>IF(Iterations[[#This Row],[Step]] =current_step, current_Grad_e,IF(Iterations[[#This Row],[Step]] &gt; current_step, "",Iterations[[#This Row],[Grad_e]]))</f>
        <v/>
      </c>
    </row>
    <row r="560" spans="6:18" x14ac:dyDescent="0.3">
      <c r="F560" s="2">
        <f t="shared" si="10"/>
        <v>543</v>
      </c>
      <c r="G560" s="2" t="str">
        <f>IF(Iterations[[#This Row],[Step]] =current_step, current_a,IF(Iterations[[#This Row],[Step]] &gt; current_step, "",Iterations[[#This Row],[a]]))</f>
        <v/>
      </c>
      <c r="H560" s="2" t="str">
        <f>IF(Iterations[[#This Row],[Step]] =current_step, current_b,IF(Iterations[[#This Row],[Step]] &gt; current_step, "",Iterations[[#This Row],[b]]))</f>
        <v/>
      </c>
      <c r="I560" s="2" t="str">
        <f>IF(Iterations[[#This Row],[Step]] =current_step, current_c,IF(Iterations[[#This Row],[Step]] &gt; current_step, "",Iterations[[#This Row],[c]]))</f>
        <v/>
      </c>
      <c r="J560" s="2" t="str">
        <f>IF(Iterations[[#This Row],[Step]] =current_step, current_d,IF(Iterations[[#This Row],[Step]] &gt; current_step, "",Iterations[[#This Row],[d]]))</f>
        <v/>
      </c>
      <c r="K560" s="2" t="str">
        <f>IF(Iterations[[#This Row],[Step]] =current_step, current_e,IF(Iterations[[#This Row],[Step]] &gt; current_step, "",Iterations[[#This Row],[e]]))</f>
        <v/>
      </c>
      <c r="L560" s="2" t="str">
        <f>IF(Iterations[[#This Row],[Step]] =current_step, current_Total_Loss,IF(Iterations[[#This Row],[Step]] &gt; current_step, "",Iterations[[#This Row],[Total Loss]]))</f>
        <v/>
      </c>
      <c r="M560" s="6" t="s">
        <v>27</v>
      </c>
      <c r="N560" s="2" t="str">
        <f>IF(Iterations[[#This Row],[Step]] =current_step, current_Grad_a,IF(Iterations[[#This Row],[Step]] &gt; current_step, "",Iterations[[#This Row],[Grad_a]]))</f>
        <v/>
      </c>
      <c r="O560" s="2" t="str">
        <f>IF(Iterations[[#This Row],[Step]] =current_step, current_Grad_b,IF(Iterations[[#This Row],[Step]] &gt; current_step, "",Iterations[[#This Row],[Grad_b]]))</f>
        <v/>
      </c>
      <c r="P560" s="2" t="str">
        <f>IF(Iterations[[#This Row],[Step]] =current_step, current_Grad_c,IF(Iterations[[#This Row],[Step]] &gt; current_step, "",Iterations[[#This Row],[Grad_c]]))</f>
        <v/>
      </c>
      <c r="Q560" s="2" t="str">
        <f>IF(Iterations[[#This Row],[Step]] =current_step, current_Grad_d,IF(Iterations[[#This Row],[Step]] &gt; current_step, "",Iterations[[#This Row],[Grad_d]]))</f>
        <v/>
      </c>
      <c r="R560" s="2" t="str">
        <f>IF(Iterations[[#This Row],[Step]] =current_step, current_Grad_e,IF(Iterations[[#This Row],[Step]] &gt; current_step, "",Iterations[[#This Row],[Grad_e]]))</f>
        <v/>
      </c>
    </row>
    <row r="561" spans="6:18" x14ac:dyDescent="0.3">
      <c r="F561" s="2">
        <f t="shared" si="10"/>
        <v>544</v>
      </c>
      <c r="G561" s="2" t="str">
        <f>IF(Iterations[[#This Row],[Step]] =current_step, current_a,IF(Iterations[[#This Row],[Step]] &gt; current_step, "",Iterations[[#This Row],[a]]))</f>
        <v/>
      </c>
      <c r="H561" s="2" t="str">
        <f>IF(Iterations[[#This Row],[Step]] =current_step, current_b,IF(Iterations[[#This Row],[Step]] &gt; current_step, "",Iterations[[#This Row],[b]]))</f>
        <v/>
      </c>
      <c r="I561" s="2" t="str">
        <f>IF(Iterations[[#This Row],[Step]] =current_step, current_c,IF(Iterations[[#This Row],[Step]] &gt; current_step, "",Iterations[[#This Row],[c]]))</f>
        <v/>
      </c>
      <c r="J561" s="2" t="str">
        <f>IF(Iterations[[#This Row],[Step]] =current_step, current_d,IF(Iterations[[#This Row],[Step]] &gt; current_step, "",Iterations[[#This Row],[d]]))</f>
        <v/>
      </c>
      <c r="K561" s="2" t="str">
        <f>IF(Iterations[[#This Row],[Step]] =current_step, current_e,IF(Iterations[[#This Row],[Step]] &gt; current_step, "",Iterations[[#This Row],[e]]))</f>
        <v/>
      </c>
      <c r="L561" s="2" t="str">
        <f>IF(Iterations[[#This Row],[Step]] =current_step, current_Total_Loss,IF(Iterations[[#This Row],[Step]] &gt; current_step, "",Iterations[[#This Row],[Total Loss]]))</f>
        <v/>
      </c>
      <c r="M561" s="6" t="s">
        <v>27</v>
      </c>
      <c r="N561" s="2" t="str">
        <f>IF(Iterations[[#This Row],[Step]] =current_step, current_Grad_a,IF(Iterations[[#This Row],[Step]] &gt; current_step, "",Iterations[[#This Row],[Grad_a]]))</f>
        <v/>
      </c>
      <c r="O561" s="2" t="str">
        <f>IF(Iterations[[#This Row],[Step]] =current_step, current_Grad_b,IF(Iterations[[#This Row],[Step]] &gt; current_step, "",Iterations[[#This Row],[Grad_b]]))</f>
        <v/>
      </c>
      <c r="P561" s="2" t="str">
        <f>IF(Iterations[[#This Row],[Step]] =current_step, current_Grad_c,IF(Iterations[[#This Row],[Step]] &gt; current_step, "",Iterations[[#This Row],[Grad_c]]))</f>
        <v/>
      </c>
      <c r="Q561" s="2" t="str">
        <f>IF(Iterations[[#This Row],[Step]] =current_step, current_Grad_d,IF(Iterations[[#This Row],[Step]] &gt; current_step, "",Iterations[[#This Row],[Grad_d]]))</f>
        <v/>
      </c>
      <c r="R561" s="2" t="str">
        <f>IF(Iterations[[#This Row],[Step]] =current_step, current_Grad_e,IF(Iterations[[#This Row],[Step]] &gt; current_step, "",Iterations[[#This Row],[Grad_e]]))</f>
        <v/>
      </c>
    </row>
    <row r="562" spans="6:18" x14ac:dyDescent="0.3">
      <c r="F562" s="2">
        <f t="shared" si="10"/>
        <v>545</v>
      </c>
      <c r="G562" s="2" t="str">
        <f>IF(Iterations[[#This Row],[Step]] =current_step, current_a,IF(Iterations[[#This Row],[Step]] &gt; current_step, "",Iterations[[#This Row],[a]]))</f>
        <v/>
      </c>
      <c r="H562" s="2" t="str">
        <f>IF(Iterations[[#This Row],[Step]] =current_step, current_b,IF(Iterations[[#This Row],[Step]] &gt; current_step, "",Iterations[[#This Row],[b]]))</f>
        <v/>
      </c>
      <c r="I562" s="2" t="str">
        <f>IF(Iterations[[#This Row],[Step]] =current_step, current_c,IF(Iterations[[#This Row],[Step]] &gt; current_step, "",Iterations[[#This Row],[c]]))</f>
        <v/>
      </c>
      <c r="J562" s="2" t="str">
        <f>IF(Iterations[[#This Row],[Step]] =current_step, current_d,IF(Iterations[[#This Row],[Step]] &gt; current_step, "",Iterations[[#This Row],[d]]))</f>
        <v/>
      </c>
      <c r="K562" s="2" t="str">
        <f>IF(Iterations[[#This Row],[Step]] =current_step, current_e,IF(Iterations[[#This Row],[Step]] &gt; current_step, "",Iterations[[#This Row],[e]]))</f>
        <v/>
      </c>
      <c r="L562" s="2" t="str">
        <f>IF(Iterations[[#This Row],[Step]] =current_step, current_Total_Loss,IF(Iterations[[#This Row],[Step]] &gt; current_step, "",Iterations[[#This Row],[Total Loss]]))</f>
        <v/>
      </c>
      <c r="M562" s="6" t="s">
        <v>27</v>
      </c>
      <c r="N562" s="2" t="str">
        <f>IF(Iterations[[#This Row],[Step]] =current_step, current_Grad_a,IF(Iterations[[#This Row],[Step]] &gt; current_step, "",Iterations[[#This Row],[Grad_a]]))</f>
        <v/>
      </c>
      <c r="O562" s="2" t="str">
        <f>IF(Iterations[[#This Row],[Step]] =current_step, current_Grad_b,IF(Iterations[[#This Row],[Step]] &gt; current_step, "",Iterations[[#This Row],[Grad_b]]))</f>
        <v/>
      </c>
      <c r="P562" s="2" t="str">
        <f>IF(Iterations[[#This Row],[Step]] =current_step, current_Grad_c,IF(Iterations[[#This Row],[Step]] &gt; current_step, "",Iterations[[#This Row],[Grad_c]]))</f>
        <v/>
      </c>
      <c r="Q562" s="2" t="str">
        <f>IF(Iterations[[#This Row],[Step]] =current_step, current_Grad_d,IF(Iterations[[#This Row],[Step]] &gt; current_step, "",Iterations[[#This Row],[Grad_d]]))</f>
        <v/>
      </c>
      <c r="R562" s="2" t="str">
        <f>IF(Iterations[[#This Row],[Step]] =current_step, current_Grad_e,IF(Iterations[[#This Row],[Step]] &gt; current_step, "",Iterations[[#This Row],[Grad_e]]))</f>
        <v/>
      </c>
    </row>
    <row r="563" spans="6:18" x14ac:dyDescent="0.3">
      <c r="F563" s="2">
        <f t="shared" si="10"/>
        <v>546</v>
      </c>
      <c r="G563" s="2" t="str">
        <f>IF(Iterations[[#This Row],[Step]] =current_step, current_a,IF(Iterations[[#This Row],[Step]] &gt; current_step, "",Iterations[[#This Row],[a]]))</f>
        <v/>
      </c>
      <c r="H563" s="2" t="str">
        <f>IF(Iterations[[#This Row],[Step]] =current_step, current_b,IF(Iterations[[#This Row],[Step]] &gt; current_step, "",Iterations[[#This Row],[b]]))</f>
        <v/>
      </c>
      <c r="I563" s="2" t="str">
        <f>IF(Iterations[[#This Row],[Step]] =current_step, current_c,IF(Iterations[[#This Row],[Step]] &gt; current_step, "",Iterations[[#This Row],[c]]))</f>
        <v/>
      </c>
      <c r="J563" s="2" t="str">
        <f>IF(Iterations[[#This Row],[Step]] =current_step, current_d,IF(Iterations[[#This Row],[Step]] &gt; current_step, "",Iterations[[#This Row],[d]]))</f>
        <v/>
      </c>
      <c r="K563" s="2" t="str">
        <f>IF(Iterations[[#This Row],[Step]] =current_step, current_e,IF(Iterations[[#This Row],[Step]] &gt; current_step, "",Iterations[[#This Row],[e]]))</f>
        <v/>
      </c>
      <c r="L563" s="2" t="str">
        <f>IF(Iterations[[#This Row],[Step]] =current_step, current_Total_Loss,IF(Iterations[[#This Row],[Step]] &gt; current_step, "",Iterations[[#This Row],[Total Loss]]))</f>
        <v/>
      </c>
      <c r="M563" s="6" t="s">
        <v>27</v>
      </c>
      <c r="N563" s="2" t="str">
        <f>IF(Iterations[[#This Row],[Step]] =current_step, current_Grad_a,IF(Iterations[[#This Row],[Step]] &gt; current_step, "",Iterations[[#This Row],[Grad_a]]))</f>
        <v/>
      </c>
      <c r="O563" s="2" t="str">
        <f>IF(Iterations[[#This Row],[Step]] =current_step, current_Grad_b,IF(Iterations[[#This Row],[Step]] &gt; current_step, "",Iterations[[#This Row],[Grad_b]]))</f>
        <v/>
      </c>
      <c r="P563" s="2" t="str">
        <f>IF(Iterations[[#This Row],[Step]] =current_step, current_Grad_c,IF(Iterations[[#This Row],[Step]] &gt; current_step, "",Iterations[[#This Row],[Grad_c]]))</f>
        <v/>
      </c>
      <c r="Q563" s="2" t="str">
        <f>IF(Iterations[[#This Row],[Step]] =current_step, current_Grad_d,IF(Iterations[[#This Row],[Step]] &gt; current_step, "",Iterations[[#This Row],[Grad_d]]))</f>
        <v/>
      </c>
      <c r="R563" s="2" t="str">
        <f>IF(Iterations[[#This Row],[Step]] =current_step, current_Grad_e,IF(Iterations[[#This Row],[Step]] &gt; current_step, "",Iterations[[#This Row],[Grad_e]]))</f>
        <v/>
      </c>
    </row>
    <row r="564" spans="6:18" x14ac:dyDescent="0.3">
      <c r="F564" s="2">
        <f t="shared" si="10"/>
        <v>547</v>
      </c>
      <c r="G564" s="2" t="str">
        <f>IF(Iterations[[#This Row],[Step]] =current_step, current_a,IF(Iterations[[#This Row],[Step]] &gt; current_step, "",Iterations[[#This Row],[a]]))</f>
        <v/>
      </c>
      <c r="H564" s="2" t="str">
        <f>IF(Iterations[[#This Row],[Step]] =current_step, current_b,IF(Iterations[[#This Row],[Step]] &gt; current_step, "",Iterations[[#This Row],[b]]))</f>
        <v/>
      </c>
      <c r="I564" s="2" t="str">
        <f>IF(Iterations[[#This Row],[Step]] =current_step, current_c,IF(Iterations[[#This Row],[Step]] &gt; current_step, "",Iterations[[#This Row],[c]]))</f>
        <v/>
      </c>
      <c r="J564" s="2" t="str">
        <f>IF(Iterations[[#This Row],[Step]] =current_step, current_d,IF(Iterations[[#This Row],[Step]] &gt; current_step, "",Iterations[[#This Row],[d]]))</f>
        <v/>
      </c>
      <c r="K564" s="2" t="str">
        <f>IF(Iterations[[#This Row],[Step]] =current_step, current_e,IF(Iterations[[#This Row],[Step]] &gt; current_step, "",Iterations[[#This Row],[e]]))</f>
        <v/>
      </c>
      <c r="L564" s="2" t="str">
        <f>IF(Iterations[[#This Row],[Step]] =current_step, current_Total_Loss,IF(Iterations[[#This Row],[Step]] &gt; current_step, "",Iterations[[#This Row],[Total Loss]]))</f>
        <v/>
      </c>
      <c r="M564" s="6" t="s">
        <v>27</v>
      </c>
      <c r="N564" s="2" t="str">
        <f>IF(Iterations[[#This Row],[Step]] =current_step, current_Grad_a,IF(Iterations[[#This Row],[Step]] &gt; current_step, "",Iterations[[#This Row],[Grad_a]]))</f>
        <v/>
      </c>
      <c r="O564" s="2" t="str">
        <f>IF(Iterations[[#This Row],[Step]] =current_step, current_Grad_b,IF(Iterations[[#This Row],[Step]] &gt; current_step, "",Iterations[[#This Row],[Grad_b]]))</f>
        <v/>
      </c>
      <c r="P564" s="2" t="str">
        <f>IF(Iterations[[#This Row],[Step]] =current_step, current_Grad_c,IF(Iterations[[#This Row],[Step]] &gt; current_step, "",Iterations[[#This Row],[Grad_c]]))</f>
        <v/>
      </c>
      <c r="Q564" s="2" t="str">
        <f>IF(Iterations[[#This Row],[Step]] =current_step, current_Grad_d,IF(Iterations[[#This Row],[Step]] &gt; current_step, "",Iterations[[#This Row],[Grad_d]]))</f>
        <v/>
      </c>
      <c r="R564" s="2" t="str">
        <f>IF(Iterations[[#This Row],[Step]] =current_step, current_Grad_e,IF(Iterations[[#This Row],[Step]] &gt; current_step, "",Iterations[[#This Row],[Grad_e]]))</f>
        <v/>
      </c>
    </row>
    <row r="565" spans="6:18" x14ac:dyDescent="0.3">
      <c r="F565" s="2">
        <f t="shared" si="10"/>
        <v>548</v>
      </c>
      <c r="G565" s="2" t="str">
        <f>IF(Iterations[[#This Row],[Step]] =current_step, current_a,IF(Iterations[[#This Row],[Step]] &gt; current_step, "",Iterations[[#This Row],[a]]))</f>
        <v/>
      </c>
      <c r="H565" s="2" t="str">
        <f>IF(Iterations[[#This Row],[Step]] =current_step, current_b,IF(Iterations[[#This Row],[Step]] &gt; current_step, "",Iterations[[#This Row],[b]]))</f>
        <v/>
      </c>
      <c r="I565" s="2" t="str">
        <f>IF(Iterations[[#This Row],[Step]] =current_step, current_c,IF(Iterations[[#This Row],[Step]] &gt; current_step, "",Iterations[[#This Row],[c]]))</f>
        <v/>
      </c>
      <c r="J565" s="2" t="str">
        <f>IF(Iterations[[#This Row],[Step]] =current_step, current_d,IF(Iterations[[#This Row],[Step]] &gt; current_step, "",Iterations[[#This Row],[d]]))</f>
        <v/>
      </c>
      <c r="K565" s="2" t="str">
        <f>IF(Iterations[[#This Row],[Step]] =current_step, current_e,IF(Iterations[[#This Row],[Step]] &gt; current_step, "",Iterations[[#This Row],[e]]))</f>
        <v/>
      </c>
      <c r="L565" s="2" t="str">
        <f>IF(Iterations[[#This Row],[Step]] =current_step, current_Total_Loss,IF(Iterations[[#This Row],[Step]] &gt; current_step, "",Iterations[[#This Row],[Total Loss]]))</f>
        <v/>
      </c>
      <c r="M565" s="6" t="s">
        <v>27</v>
      </c>
      <c r="N565" s="2" t="str">
        <f>IF(Iterations[[#This Row],[Step]] =current_step, current_Grad_a,IF(Iterations[[#This Row],[Step]] &gt; current_step, "",Iterations[[#This Row],[Grad_a]]))</f>
        <v/>
      </c>
      <c r="O565" s="2" t="str">
        <f>IF(Iterations[[#This Row],[Step]] =current_step, current_Grad_b,IF(Iterations[[#This Row],[Step]] &gt; current_step, "",Iterations[[#This Row],[Grad_b]]))</f>
        <v/>
      </c>
      <c r="P565" s="2" t="str">
        <f>IF(Iterations[[#This Row],[Step]] =current_step, current_Grad_c,IF(Iterations[[#This Row],[Step]] &gt; current_step, "",Iterations[[#This Row],[Grad_c]]))</f>
        <v/>
      </c>
      <c r="Q565" s="2" t="str">
        <f>IF(Iterations[[#This Row],[Step]] =current_step, current_Grad_d,IF(Iterations[[#This Row],[Step]] &gt; current_step, "",Iterations[[#This Row],[Grad_d]]))</f>
        <v/>
      </c>
      <c r="R565" s="2" t="str">
        <f>IF(Iterations[[#This Row],[Step]] =current_step, current_Grad_e,IF(Iterations[[#This Row],[Step]] &gt; current_step, "",Iterations[[#This Row],[Grad_e]]))</f>
        <v/>
      </c>
    </row>
    <row r="566" spans="6:18" x14ac:dyDescent="0.3">
      <c r="F566" s="2">
        <f t="shared" si="10"/>
        <v>549</v>
      </c>
      <c r="G566" s="2" t="str">
        <f>IF(Iterations[[#This Row],[Step]] =current_step, current_a,IF(Iterations[[#This Row],[Step]] &gt; current_step, "",Iterations[[#This Row],[a]]))</f>
        <v/>
      </c>
      <c r="H566" s="2" t="str">
        <f>IF(Iterations[[#This Row],[Step]] =current_step, current_b,IF(Iterations[[#This Row],[Step]] &gt; current_step, "",Iterations[[#This Row],[b]]))</f>
        <v/>
      </c>
      <c r="I566" s="2" t="str">
        <f>IF(Iterations[[#This Row],[Step]] =current_step, current_c,IF(Iterations[[#This Row],[Step]] &gt; current_step, "",Iterations[[#This Row],[c]]))</f>
        <v/>
      </c>
      <c r="J566" s="2" t="str">
        <f>IF(Iterations[[#This Row],[Step]] =current_step, current_d,IF(Iterations[[#This Row],[Step]] &gt; current_step, "",Iterations[[#This Row],[d]]))</f>
        <v/>
      </c>
      <c r="K566" s="2" t="str">
        <f>IF(Iterations[[#This Row],[Step]] =current_step, current_e,IF(Iterations[[#This Row],[Step]] &gt; current_step, "",Iterations[[#This Row],[e]]))</f>
        <v/>
      </c>
      <c r="L566" s="2" t="str">
        <f>IF(Iterations[[#This Row],[Step]] =current_step, current_Total_Loss,IF(Iterations[[#This Row],[Step]] &gt; current_step, "",Iterations[[#This Row],[Total Loss]]))</f>
        <v/>
      </c>
      <c r="M566" s="6" t="s">
        <v>27</v>
      </c>
      <c r="N566" s="2" t="str">
        <f>IF(Iterations[[#This Row],[Step]] =current_step, current_Grad_a,IF(Iterations[[#This Row],[Step]] &gt; current_step, "",Iterations[[#This Row],[Grad_a]]))</f>
        <v/>
      </c>
      <c r="O566" s="2" t="str">
        <f>IF(Iterations[[#This Row],[Step]] =current_step, current_Grad_b,IF(Iterations[[#This Row],[Step]] &gt; current_step, "",Iterations[[#This Row],[Grad_b]]))</f>
        <v/>
      </c>
      <c r="P566" s="2" t="str">
        <f>IF(Iterations[[#This Row],[Step]] =current_step, current_Grad_c,IF(Iterations[[#This Row],[Step]] &gt; current_step, "",Iterations[[#This Row],[Grad_c]]))</f>
        <v/>
      </c>
      <c r="Q566" s="2" t="str">
        <f>IF(Iterations[[#This Row],[Step]] =current_step, current_Grad_d,IF(Iterations[[#This Row],[Step]] &gt; current_step, "",Iterations[[#This Row],[Grad_d]]))</f>
        <v/>
      </c>
      <c r="R566" s="2" t="str">
        <f>IF(Iterations[[#This Row],[Step]] =current_step, current_Grad_e,IF(Iterations[[#This Row],[Step]] &gt; current_step, "",Iterations[[#This Row],[Grad_e]]))</f>
        <v/>
      </c>
    </row>
    <row r="567" spans="6:18" x14ac:dyDescent="0.3">
      <c r="F567" s="2">
        <f t="shared" si="10"/>
        <v>550</v>
      </c>
      <c r="G567" s="2" t="str">
        <f>IF(Iterations[[#This Row],[Step]] =current_step, current_a,IF(Iterations[[#This Row],[Step]] &gt; current_step, "",Iterations[[#This Row],[a]]))</f>
        <v/>
      </c>
      <c r="H567" s="2" t="str">
        <f>IF(Iterations[[#This Row],[Step]] =current_step, current_b,IF(Iterations[[#This Row],[Step]] &gt; current_step, "",Iterations[[#This Row],[b]]))</f>
        <v/>
      </c>
      <c r="I567" s="2" t="str">
        <f>IF(Iterations[[#This Row],[Step]] =current_step, current_c,IF(Iterations[[#This Row],[Step]] &gt; current_step, "",Iterations[[#This Row],[c]]))</f>
        <v/>
      </c>
      <c r="J567" s="2" t="str">
        <f>IF(Iterations[[#This Row],[Step]] =current_step, current_d,IF(Iterations[[#This Row],[Step]] &gt; current_step, "",Iterations[[#This Row],[d]]))</f>
        <v/>
      </c>
      <c r="K567" s="2" t="str">
        <f>IF(Iterations[[#This Row],[Step]] =current_step, current_e,IF(Iterations[[#This Row],[Step]] &gt; current_step, "",Iterations[[#This Row],[e]]))</f>
        <v/>
      </c>
      <c r="L567" s="2" t="str">
        <f>IF(Iterations[[#This Row],[Step]] =current_step, current_Total_Loss,IF(Iterations[[#This Row],[Step]] &gt; current_step, "",Iterations[[#This Row],[Total Loss]]))</f>
        <v/>
      </c>
      <c r="M567" s="6" t="s">
        <v>27</v>
      </c>
      <c r="N567" s="2" t="str">
        <f>IF(Iterations[[#This Row],[Step]] =current_step, current_Grad_a,IF(Iterations[[#This Row],[Step]] &gt; current_step, "",Iterations[[#This Row],[Grad_a]]))</f>
        <v/>
      </c>
      <c r="O567" s="2" t="str">
        <f>IF(Iterations[[#This Row],[Step]] =current_step, current_Grad_b,IF(Iterations[[#This Row],[Step]] &gt; current_step, "",Iterations[[#This Row],[Grad_b]]))</f>
        <v/>
      </c>
      <c r="P567" s="2" t="str">
        <f>IF(Iterations[[#This Row],[Step]] =current_step, current_Grad_c,IF(Iterations[[#This Row],[Step]] &gt; current_step, "",Iterations[[#This Row],[Grad_c]]))</f>
        <v/>
      </c>
      <c r="Q567" s="2" t="str">
        <f>IF(Iterations[[#This Row],[Step]] =current_step, current_Grad_d,IF(Iterations[[#This Row],[Step]] &gt; current_step, "",Iterations[[#This Row],[Grad_d]]))</f>
        <v/>
      </c>
      <c r="R567" s="2" t="str">
        <f>IF(Iterations[[#This Row],[Step]] =current_step, current_Grad_e,IF(Iterations[[#This Row],[Step]] &gt; current_step, "",Iterations[[#This Row],[Grad_e]]))</f>
        <v/>
      </c>
    </row>
    <row r="568" spans="6:18" x14ac:dyDescent="0.3">
      <c r="F568" s="2">
        <f t="shared" si="10"/>
        <v>551</v>
      </c>
      <c r="G568" s="2" t="str">
        <f>IF(Iterations[[#This Row],[Step]] =current_step, current_a,IF(Iterations[[#This Row],[Step]] &gt; current_step, "",Iterations[[#This Row],[a]]))</f>
        <v/>
      </c>
      <c r="H568" s="2" t="str">
        <f>IF(Iterations[[#This Row],[Step]] =current_step, current_b,IF(Iterations[[#This Row],[Step]] &gt; current_step, "",Iterations[[#This Row],[b]]))</f>
        <v/>
      </c>
      <c r="I568" s="2" t="str">
        <f>IF(Iterations[[#This Row],[Step]] =current_step, current_c,IF(Iterations[[#This Row],[Step]] &gt; current_step, "",Iterations[[#This Row],[c]]))</f>
        <v/>
      </c>
      <c r="J568" s="2" t="str">
        <f>IF(Iterations[[#This Row],[Step]] =current_step, current_d,IF(Iterations[[#This Row],[Step]] &gt; current_step, "",Iterations[[#This Row],[d]]))</f>
        <v/>
      </c>
      <c r="K568" s="2" t="str">
        <f>IF(Iterations[[#This Row],[Step]] =current_step, current_e,IF(Iterations[[#This Row],[Step]] &gt; current_step, "",Iterations[[#This Row],[e]]))</f>
        <v/>
      </c>
      <c r="L568" s="2" t="str">
        <f>IF(Iterations[[#This Row],[Step]] =current_step, current_Total_Loss,IF(Iterations[[#This Row],[Step]] &gt; current_step, "",Iterations[[#This Row],[Total Loss]]))</f>
        <v/>
      </c>
      <c r="M568" s="6" t="s">
        <v>27</v>
      </c>
      <c r="N568" s="2" t="str">
        <f>IF(Iterations[[#This Row],[Step]] =current_step, current_Grad_a,IF(Iterations[[#This Row],[Step]] &gt; current_step, "",Iterations[[#This Row],[Grad_a]]))</f>
        <v/>
      </c>
      <c r="O568" s="2" t="str">
        <f>IF(Iterations[[#This Row],[Step]] =current_step, current_Grad_b,IF(Iterations[[#This Row],[Step]] &gt; current_step, "",Iterations[[#This Row],[Grad_b]]))</f>
        <v/>
      </c>
      <c r="P568" s="2" t="str">
        <f>IF(Iterations[[#This Row],[Step]] =current_step, current_Grad_c,IF(Iterations[[#This Row],[Step]] &gt; current_step, "",Iterations[[#This Row],[Grad_c]]))</f>
        <v/>
      </c>
      <c r="Q568" s="2" t="str">
        <f>IF(Iterations[[#This Row],[Step]] =current_step, current_Grad_d,IF(Iterations[[#This Row],[Step]] &gt; current_step, "",Iterations[[#This Row],[Grad_d]]))</f>
        <v/>
      </c>
      <c r="R568" s="2" t="str">
        <f>IF(Iterations[[#This Row],[Step]] =current_step, current_Grad_e,IF(Iterations[[#This Row],[Step]] &gt; current_step, "",Iterations[[#This Row],[Grad_e]]))</f>
        <v/>
      </c>
    </row>
    <row r="569" spans="6:18" x14ac:dyDescent="0.3">
      <c r="F569" s="2">
        <f t="shared" si="10"/>
        <v>552</v>
      </c>
      <c r="G569" s="2" t="str">
        <f>IF(Iterations[[#This Row],[Step]] =current_step, current_a,IF(Iterations[[#This Row],[Step]] &gt; current_step, "",Iterations[[#This Row],[a]]))</f>
        <v/>
      </c>
      <c r="H569" s="2" t="str">
        <f>IF(Iterations[[#This Row],[Step]] =current_step, current_b,IF(Iterations[[#This Row],[Step]] &gt; current_step, "",Iterations[[#This Row],[b]]))</f>
        <v/>
      </c>
      <c r="I569" s="2" t="str">
        <f>IF(Iterations[[#This Row],[Step]] =current_step, current_c,IF(Iterations[[#This Row],[Step]] &gt; current_step, "",Iterations[[#This Row],[c]]))</f>
        <v/>
      </c>
      <c r="J569" s="2" t="str">
        <f>IF(Iterations[[#This Row],[Step]] =current_step, current_d,IF(Iterations[[#This Row],[Step]] &gt; current_step, "",Iterations[[#This Row],[d]]))</f>
        <v/>
      </c>
      <c r="K569" s="2" t="str">
        <f>IF(Iterations[[#This Row],[Step]] =current_step, current_e,IF(Iterations[[#This Row],[Step]] &gt; current_step, "",Iterations[[#This Row],[e]]))</f>
        <v/>
      </c>
      <c r="L569" s="2" t="str">
        <f>IF(Iterations[[#This Row],[Step]] =current_step, current_Total_Loss,IF(Iterations[[#This Row],[Step]] &gt; current_step, "",Iterations[[#This Row],[Total Loss]]))</f>
        <v/>
      </c>
      <c r="M569" s="6" t="s">
        <v>27</v>
      </c>
      <c r="N569" s="2" t="str">
        <f>IF(Iterations[[#This Row],[Step]] =current_step, current_Grad_a,IF(Iterations[[#This Row],[Step]] &gt; current_step, "",Iterations[[#This Row],[Grad_a]]))</f>
        <v/>
      </c>
      <c r="O569" s="2" t="str">
        <f>IF(Iterations[[#This Row],[Step]] =current_step, current_Grad_b,IF(Iterations[[#This Row],[Step]] &gt; current_step, "",Iterations[[#This Row],[Grad_b]]))</f>
        <v/>
      </c>
      <c r="P569" s="2" t="str">
        <f>IF(Iterations[[#This Row],[Step]] =current_step, current_Grad_c,IF(Iterations[[#This Row],[Step]] &gt; current_step, "",Iterations[[#This Row],[Grad_c]]))</f>
        <v/>
      </c>
      <c r="Q569" s="2" t="str">
        <f>IF(Iterations[[#This Row],[Step]] =current_step, current_Grad_d,IF(Iterations[[#This Row],[Step]] &gt; current_step, "",Iterations[[#This Row],[Grad_d]]))</f>
        <v/>
      </c>
      <c r="R569" s="2" t="str">
        <f>IF(Iterations[[#This Row],[Step]] =current_step, current_Grad_e,IF(Iterations[[#This Row],[Step]] &gt; current_step, "",Iterations[[#This Row],[Grad_e]]))</f>
        <v/>
      </c>
    </row>
    <row r="570" spans="6:18" x14ac:dyDescent="0.3">
      <c r="F570" s="2">
        <f t="shared" si="10"/>
        <v>553</v>
      </c>
      <c r="G570" s="2" t="str">
        <f>IF(Iterations[[#This Row],[Step]] =current_step, current_a,IF(Iterations[[#This Row],[Step]] &gt; current_step, "",Iterations[[#This Row],[a]]))</f>
        <v/>
      </c>
      <c r="H570" s="2" t="str">
        <f>IF(Iterations[[#This Row],[Step]] =current_step, current_b,IF(Iterations[[#This Row],[Step]] &gt; current_step, "",Iterations[[#This Row],[b]]))</f>
        <v/>
      </c>
      <c r="I570" s="2" t="str">
        <f>IF(Iterations[[#This Row],[Step]] =current_step, current_c,IF(Iterations[[#This Row],[Step]] &gt; current_step, "",Iterations[[#This Row],[c]]))</f>
        <v/>
      </c>
      <c r="J570" s="2" t="str">
        <f>IF(Iterations[[#This Row],[Step]] =current_step, current_d,IF(Iterations[[#This Row],[Step]] &gt; current_step, "",Iterations[[#This Row],[d]]))</f>
        <v/>
      </c>
      <c r="K570" s="2" t="str">
        <f>IF(Iterations[[#This Row],[Step]] =current_step, current_e,IF(Iterations[[#This Row],[Step]] &gt; current_step, "",Iterations[[#This Row],[e]]))</f>
        <v/>
      </c>
      <c r="L570" s="2" t="str">
        <f>IF(Iterations[[#This Row],[Step]] =current_step, current_Total_Loss,IF(Iterations[[#This Row],[Step]] &gt; current_step, "",Iterations[[#This Row],[Total Loss]]))</f>
        <v/>
      </c>
      <c r="M570" s="6" t="s">
        <v>27</v>
      </c>
      <c r="N570" s="2" t="str">
        <f>IF(Iterations[[#This Row],[Step]] =current_step, current_Grad_a,IF(Iterations[[#This Row],[Step]] &gt; current_step, "",Iterations[[#This Row],[Grad_a]]))</f>
        <v/>
      </c>
      <c r="O570" s="2" t="str">
        <f>IF(Iterations[[#This Row],[Step]] =current_step, current_Grad_b,IF(Iterations[[#This Row],[Step]] &gt; current_step, "",Iterations[[#This Row],[Grad_b]]))</f>
        <v/>
      </c>
      <c r="P570" s="2" t="str">
        <f>IF(Iterations[[#This Row],[Step]] =current_step, current_Grad_c,IF(Iterations[[#This Row],[Step]] &gt; current_step, "",Iterations[[#This Row],[Grad_c]]))</f>
        <v/>
      </c>
      <c r="Q570" s="2" t="str">
        <f>IF(Iterations[[#This Row],[Step]] =current_step, current_Grad_d,IF(Iterations[[#This Row],[Step]] &gt; current_step, "",Iterations[[#This Row],[Grad_d]]))</f>
        <v/>
      </c>
      <c r="R570" s="2" t="str">
        <f>IF(Iterations[[#This Row],[Step]] =current_step, current_Grad_e,IF(Iterations[[#This Row],[Step]] &gt; current_step, "",Iterations[[#This Row],[Grad_e]]))</f>
        <v/>
      </c>
    </row>
    <row r="571" spans="6:18" x14ac:dyDescent="0.3">
      <c r="F571" s="2">
        <f t="shared" si="10"/>
        <v>554</v>
      </c>
      <c r="G571" s="2" t="str">
        <f>IF(Iterations[[#This Row],[Step]] =current_step, current_a,IF(Iterations[[#This Row],[Step]] &gt; current_step, "",Iterations[[#This Row],[a]]))</f>
        <v/>
      </c>
      <c r="H571" s="2" t="str">
        <f>IF(Iterations[[#This Row],[Step]] =current_step, current_b,IF(Iterations[[#This Row],[Step]] &gt; current_step, "",Iterations[[#This Row],[b]]))</f>
        <v/>
      </c>
      <c r="I571" s="2" t="str">
        <f>IF(Iterations[[#This Row],[Step]] =current_step, current_c,IF(Iterations[[#This Row],[Step]] &gt; current_step, "",Iterations[[#This Row],[c]]))</f>
        <v/>
      </c>
      <c r="J571" s="2" t="str">
        <f>IF(Iterations[[#This Row],[Step]] =current_step, current_d,IF(Iterations[[#This Row],[Step]] &gt; current_step, "",Iterations[[#This Row],[d]]))</f>
        <v/>
      </c>
      <c r="K571" s="2" t="str">
        <f>IF(Iterations[[#This Row],[Step]] =current_step, current_e,IF(Iterations[[#This Row],[Step]] &gt; current_step, "",Iterations[[#This Row],[e]]))</f>
        <v/>
      </c>
      <c r="L571" s="2" t="str">
        <f>IF(Iterations[[#This Row],[Step]] =current_step, current_Total_Loss,IF(Iterations[[#This Row],[Step]] &gt; current_step, "",Iterations[[#This Row],[Total Loss]]))</f>
        <v/>
      </c>
      <c r="M571" s="6" t="s">
        <v>27</v>
      </c>
      <c r="N571" s="2" t="str">
        <f>IF(Iterations[[#This Row],[Step]] =current_step, current_Grad_a,IF(Iterations[[#This Row],[Step]] &gt; current_step, "",Iterations[[#This Row],[Grad_a]]))</f>
        <v/>
      </c>
      <c r="O571" s="2" t="str">
        <f>IF(Iterations[[#This Row],[Step]] =current_step, current_Grad_b,IF(Iterations[[#This Row],[Step]] &gt; current_step, "",Iterations[[#This Row],[Grad_b]]))</f>
        <v/>
      </c>
      <c r="P571" s="2" t="str">
        <f>IF(Iterations[[#This Row],[Step]] =current_step, current_Grad_c,IF(Iterations[[#This Row],[Step]] &gt; current_step, "",Iterations[[#This Row],[Grad_c]]))</f>
        <v/>
      </c>
      <c r="Q571" s="2" t="str">
        <f>IF(Iterations[[#This Row],[Step]] =current_step, current_Grad_d,IF(Iterations[[#This Row],[Step]] &gt; current_step, "",Iterations[[#This Row],[Grad_d]]))</f>
        <v/>
      </c>
      <c r="R571" s="2" t="str">
        <f>IF(Iterations[[#This Row],[Step]] =current_step, current_Grad_e,IF(Iterations[[#This Row],[Step]] &gt; current_step, "",Iterations[[#This Row],[Grad_e]]))</f>
        <v/>
      </c>
    </row>
    <row r="572" spans="6:18" x14ac:dyDescent="0.3">
      <c r="F572" s="2">
        <f t="shared" si="10"/>
        <v>555</v>
      </c>
      <c r="G572" s="2" t="str">
        <f>IF(Iterations[[#This Row],[Step]] =current_step, current_a,IF(Iterations[[#This Row],[Step]] &gt; current_step, "",Iterations[[#This Row],[a]]))</f>
        <v/>
      </c>
      <c r="H572" s="2" t="str">
        <f>IF(Iterations[[#This Row],[Step]] =current_step, current_b,IF(Iterations[[#This Row],[Step]] &gt; current_step, "",Iterations[[#This Row],[b]]))</f>
        <v/>
      </c>
      <c r="I572" s="2" t="str">
        <f>IF(Iterations[[#This Row],[Step]] =current_step, current_c,IF(Iterations[[#This Row],[Step]] &gt; current_step, "",Iterations[[#This Row],[c]]))</f>
        <v/>
      </c>
      <c r="J572" s="2" t="str">
        <f>IF(Iterations[[#This Row],[Step]] =current_step, current_d,IF(Iterations[[#This Row],[Step]] &gt; current_step, "",Iterations[[#This Row],[d]]))</f>
        <v/>
      </c>
      <c r="K572" s="2" t="str">
        <f>IF(Iterations[[#This Row],[Step]] =current_step, current_e,IF(Iterations[[#This Row],[Step]] &gt; current_step, "",Iterations[[#This Row],[e]]))</f>
        <v/>
      </c>
      <c r="L572" s="2" t="str">
        <f>IF(Iterations[[#This Row],[Step]] =current_step, current_Total_Loss,IF(Iterations[[#This Row],[Step]] &gt; current_step, "",Iterations[[#This Row],[Total Loss]]))</f>
        <v/>
      </c>
      <c r="M572" s="6" t="s">
        <v>27</v>
      </c>
      <c r="N572" s="2" t="str">
        <f>IF(Iterations[[#This Row],[Step]] =current_step, current_Grad_a,IF(Iterations[[#This Row],[Step]] &gt; current_step, "",Iterations[[#This Row],[Grad_a]]))</f>
        <v/>
      </c>
      <c r="O572" s="2" t="str">
        <f>IF(Iterations[[#This Row],[Step]] =current_step, current_Grad_b,IF(Iterations[[#This Row],[Step]] &gt; current_step, "",Iterations[[#This Row],[Grad_b]]))</f>
        <v/>
      </c>
      <c r="P572" s="2" t="str">
        <f>IF(Iterations[[#This Row],[Step]] =current_step, current_Grad_c,IF(Iterations[[#This Row],[Step]] &gt; current_step, "",Iterations[[#This Row],[Grad_c]]))</f>
        <v/>
      </c>
      <c r="Q572" s="2" t="str">
        <f>IF(Iterations[[#This Row],[Step]] =current_step, current_Grad_d,IF(Iterations[[#This Row],[Step]] &gt; current_step, "",Iterations[[#This Row],[Grad_d]]))</f>
        <v/>
      </c>
      <c r="R572" s="2" t="str">
        <f>IF(Iterations[[#This Row],[Step]] =current_step, current_Grad_e,IF(Iterations[[#This Row],[Step]] &gt; current_step, "",Iterations[[#This Row],[Grad_e]]))</f>
        <v/>
      </c>
    </row>
    <row r="573" spans="6:18" x14ac:dyDescent="0.3">
      <c r="F573" s="2">
        <f t="shared" ref="F573:F630" si="11">F572+1</f>
        <v>556</v>
      </c>
      <c r="G573" s="2" t="str">
        <f>IF(Iterations[[#This Row],[Step]] =current_step, current_a,IF(Iterations[[#This Row],[Step]] &gt; current_step, "",Iterations[[#This Row],[a]]))</f>
        <v/>
      </c>
      <c r="H573" s="2" t="str">
        <f>IF(Iterations[[#This Row],[Step]] =current_step, current_b,IF(Iterations[[#This Row],[Step]] &gt; current_step, "",Iterations[[#This Row],[b]]))</f>
        <v/>
      </c>
      <c r="I573" s="2" t="str">
        <f>IF(Iterations[[#This Row],[Step]] =current_step, current_c,IF(Iterations[[#This Row],[Step]] &gt; current_step, "",Iterations[[#This Row],[c]]))</f>
        <v/>
      </c>
      <c r="J573" s="2" t="str">
        <f>IF(Iterations[[#This Row],[Step]] =current_step, current_d,IF(Iterations[[#This Row],[Step]] &gt; current_step, "",Iterations[[#This Row],[d]]))</f>
        <v/>
      </c>
      <c r="K573" s="2" t="str">
        <f>IF(Iterations[[#This Row],[Step]] =current_step, current_e,IF(Iterations[[#This Row],[Step]] &gt; current_step, "",Iterations[[#This Row],[e]]))</f>
        <v/>
      </c>
      <c r="L573" s="2" t="str">
        <f>IF(Iterations[[#This Row],[Step]] =current_step, current_Total_Loss,IF(Iterations[[#This Row],[Step]] &gt; current_step, "",Iterations[[#This Row],[Total Loss]]))</f>
        <v/>
      </c>
      <c r="M573" s="6" t="s">
        <v>27</v>
      </c>
      <c r="N573" s="2" t="str">
        <f>IF(Iterations[[#This Row],[Step]] =current_step, current_Grad_a,IF(Iterations[[#This Row],[Step]] &gt; current_step, "",Iterations[[#This Row],[Grad_a]]))</f>
        <v/>
      </c>
      <c r="O573" s="2" t="str">
        <f>IF(Iterations[[#This Row],[Step]] =current_step, current_Grad_b,IF(Iterations[[#This Row],[Step]] &gt; current_step, "",Iterations[[#This Row],[Grad_b]]))</f>
        <v/>
      </c>
      <c r="P573" s="2" t="str">
        <f>IF(Iterations[[#This Row],[Step]] =current_step, current_Grad_c,IF(Iterations[[#This Row],[Step]] &gt; current_step, "",Iterations[[#This Row],[Grad_c]]))</f>
        <v/>
      </c>
      <c r="Q573" s="2" t="str">
        <f>IF(Iterations[[#This Row],[Step]] =current_step, current_Grad_d,IF(Iterations[[#This Row],[Step]] &gt; current_step, "",Iterations[[#This Row],[Grad_d]]))</f>
        <v/>
      </c>
      <c r="R573" s="2" t="str">
        <f>IF(Iterations[[#This Row],[Step]] =current_step, current_Grad_e,IF(Iterations[[#This Row],[Step]] &gt; current_step, "",Iterations[[#This Row],[Grad_e]]))</f>
        <v/>
      </c>
    </row>
    <row r="574" spans="6:18" x14ac:dyDescent="0.3">
      <c r="F574" s="2">
        <f t="shared" si="11"/>
        <v>557</v>
      </c>
      <c r="G574" s="2" t="str">
        <f>IF(Iterations[[#This Row],[Step]] =current_step, current_a,IF(Iterations[[#This Row],[Step]] &gt; current_step, "",Iterations[[#This Row],[a]]))</f>
        <v/>
      </c>
      <c r="H574" s="2" t="str">
        <f>IF(Iterations[[#This Row],[Step]] =current_step, current_b,IF(Iterations[[#This Row],[Step]] &gt; current_step, "",Iterations[[#This Row],[b]]))</f>
        <v/>
      </c>
      <c r="I574" s="2" t="str">
        <f>IF(Iterations[[#This Row],[Step]] =current_step, current_c,IF(Iterations[[#This Row],[Step]] &gt; current_step, "",Iterations[[#This Row],[c]]))</f>
        <v/>
      </c>
      <c r="J574" s="2" t="str">
        <f>IF(Iterations[[#This Row],[Step]] =current_step, current_d,IF(Iterations[[#This Row],[Step]] &gt; current_step, "",Iterations[[#This Row],[d]]))</f>
        <v/>
      </c>
      <c r="K574" s="2" t="str">
        <f>IF(Iterations[[#This Row],[Step]] =current_step, current_e,IF(Iterations[[#This Row],[Step]] &gt; current_step, "",Iterations[[#This Row],[e]]))</f>
        <v/>
      </c>
      <c r="L574" s="2" t="str">
        <f>IF(Iterations[[#This Row],[Step]] =current_step, current_Total_Loss,IF(Iterations[[#This Row],[Step]] &gt; current_step, "",Iterations[[#This Row],[Total Loss]]))</f>
        <v/>
      </c>
      <c r="M574" s="6" t="s">
        <v>27</v>
      </c>
      <c r="N574" s="2" t="str">
        <f>IF(Iterations[[#This Row],[Step]] =current_step, current_Grad_a,IF(Iterations[[#This Row],[Step]] &gt; current_step, "",Iterations[[#This Row],[Grad_a]]))</f>
        <v/>
      </c>
      <c r="O574" s="2" t="str">
        <f>IF(Iterations[[#This Row],[Step]] =current_step, current_Grad_b,IF(Iterations[[#This Row],[Step]] &gt; current_step, "",Iterations[[#This Row],[Grad_b]]))</f>
        <v/>
      </c>
      <c r="P574" s="2" t="str">
        <f>IF(Iterations[[#This Row],[Step]] =current_step, current_Grad_c,IF(Iterations[[#This Row],[Step]] &gt; current_step, "",Iterations[[#This Row],[Grad_c]]))</f>
        <v/>
      </c>
      <c r="Q574" s="2" t="str">
        <f>IF(Iterations[[#This Row],[Step]] =current_step, current_Grad_d,IF(Iterations[[#This Row],[Step]] &gt; current_step, "",Iterations[[#This Row],[Grad_d]]))</f>
        <v/>
      </c>
      <c r="R574" s="2" t="str">
        <f>IF(Iterations[[#This Row],[Step]] =current_step, current_Grad_e,IF(Iterations[[#This Row],[Step]] &gt; current_step, "",Iterations[[#This Row],[Grad_e]]))</f>
        <v/>
      </c>
    </row>
    <row r="575" spans="6:18" x14ac:dyDescent="0.3">
      <c r="F575" s="2">
        <f t="shared" si="11"/>
        <v>558</v>
      </c>
      <c r="G575" s="2" t="str">
        <f>IF(Iterations[[#This Row],[Step]] =current_step, current_a,IF(Iterations[[#This Row],[Step]] &gt; current_step, "",Iterations[[#This Row],[a]]))</f>
        <v/>
      </c>
      <c r="H575" s="2" t="str">
        <f>IF(Iterations[[#This Row],[Step]] =current_step, current_b,IF(Iterations[[#This Row],[Step]] &gt; current_step, "",Iterations[[#This Row],[b]]))</f>
        <v/>
      </c>
      <c r="I575" s="2" t="str">
        <f>IF(Iterations[[#This Row],[Step]] =current_step, current_c,IF(Iterations[[#This Row],[Step]] &gt; current_step, "",Iterations[[#This Row],[c]]))</f>
        <v/>
      </c>
      <c r="J575" s="2" t="str">
        <f>IF(Iterations[[#This Row],[Step]] =current_step, current_d,IF(Iterations[[#This Row],[Step]] &gt; current_step, "",Iterations[[#This Row],[d]]))</f>
        <v/>
      </c>
      <c r="K575" s="2" t="str">
        <f>IF(Iterations[[#This Row],[Step]] =current_step, current_e,IF(Iterations[[#This Row],[Step]] &gt; current_step, "",Iterations[[#This Row],[e]]))</f>
        <v/>
      </c>
      <c r="L575" s="2" t="str">
        <f>IF(Iterations[[#This Row],[Step]] =current_step, current_Total_Loss,IF(Iterations[[#This Row],[Step]] &gt; current_step, "",Iterations[[#This Row],[Total Loss]]))</f>
        <v/>
      </c>
      <c r="M575" s="6" t="s">
        <v>27</v>
      </c>
      <c r="N575" s="2" t="str">
        <f>IF(Iterations[[#This Row],[Step]] =current_step, current_Grad_a,IF(Iterations[[#This Row],[Step]] &gt; current_step, "",Iterations[[#This Row],[Grad_a]]))</f>
        <v/>
      </c>
      <c r="O575" s="2" t="str">
        <f>IF(Iterations[[#This Row],[Step]] =current_step, current_Grad_b,IF(Iterations[[#This Row],[Step]] &gt; current_step, "",Iterations[[#This Row],[Grad_b]]))</f>
        <v/>
      </c>
      <c r="P575" s="2" t="str">
        <f>IF(Iterations[[#This Row],[Step]] =current_step, current_Grad_c,IF(Iterations[[#This Row],[Step]] &gt; current_step, "",Iterations[[#This Row],[Grad_c]]))</f>
        <v/>
      </c>
      <c r="Q575" s="2" t="str">
        <f>IF(Iterations[[#This Row],[Step]] =current_step, current_Grad_d,IF(Iterations[[#This Row],[Step]] &gt; current_step, "",Iterations[[#This Row],[Grad_d]]))</f>
        <v/>
      </c>
      <c r="R575" s="2" t="str">
        <f>IF(Iterations[[#This Row],[Step]] =current_step, current_Grad_e,IF(Iterations[[#This Row],[Step]] &gt; current_step, "",Iterations[[#This Row],[Grad_e]]))</f>
        <v/>
      </c>
    </row>
    <row r="576" spans="6:18" x14ac:dyDescent="0.3">
      <c r="F576" s="2">
        <f t="shared" si="11"/>
        <v>559</v>
      </c>
      <c r="G576" s="2" t="str">
        <f>IF(Iterations[[#This Row],[Step]] =current_step, current_a,IF(Iterations[[#This Row],[Step]] &gt; current_step, "",Iterations[[#This Row],[a]]))</f>
        <v/>
      </c>
      <c r="H576" s="2" t="str">
        <f>IF(Iterations[[#This Row],[Step]] =current_step, current_b,IF(Iterations[[#This Row],[Step]] &gt; current_step, "",Iterations[[#This Row],[b]]))</f>
        <v/>
      </c>
      <c r="I576" s="2" t="str">
        <f>IF(Iterations[[#This Row],[Step]] =current_step, current_c,IF(Iterations[[#This Row],[Step]] &gt; current_step, "",Iterations[[#This Row],[c]]))</f>
        <v/>
      </c>
      <c r="J576" s="2" t="str">
        <f>IF(Iterations[[#This Row],[Step]] =current_step, current_d,IF(Iterations[[#This Row],[Step]] &gt; current_step, "",Iterations[[#This Row],[d]]))</f>
        <v/>
      </c>
      <c r="K576" s="2" t="str">
        <f>IF(Iterations[[#This Row],[Step]] =current_step, current_e,IF(Iterations[[#This Row],[Step]] &gt; current_step, "",Iterations[[#This Row],[e]]))</f>
        <v/>
      </c>
      <c r="L576" s="2" t="str">
        <f>IF(Iterations[[#This Row],[Step]] =current_step, current_Total_Loss,IF(Iterations[[#This Row],[Step]] &gt; current_step, "",Iterations[[#This Row],[Total Loss]]))</f>
        <v/>
      </c>
      <c r="M576" s="6" t="s">
        <v>27</v>
      </c>
      <c r="N576" s="2" t="str">
        <f>IF(Iterations[[#This Row],[Step]] =current_step, current_Grad_a,IF(Iterations[[#This Row],[Step]] &gt; current_step, "",Iterations[[#This Row],[Grad_a]]))</f>
        <v/>
      </c>
      <c r="O576" s="2" t="str">
        <f>IF(Iterations[[#This Row],[Step]] =current_step, current_Grad_b,IF(Iterations[[#This Row],[Step]] &gt; current_step, "",Iterations[[#This Row],[Grad_b]]))</f>
        <v/>
      </c>
      <c r="P576" s="2" t="str">
        <f>IF(Iterations[[#This Row],[Step]] =current_step, current_Grad_c,IF(Iterations[[#This Row],[Step]] &gt; current_step, "",Iterations[[#This Row],[Grad_c]]))</f>
        <v/>
      </c>
      <c r="Q576" s="2" t="str">
        <f>IF(Iterations[[#This Row],[Step]] =current_step, current_Grad_d,IF(Iterations[[#This Row],[Step]] &gt; current_step, "",Iterations[[#This Row],[Grad_d]]))</f>
        <v/>
      </c>
      <c r="R576" s="2" t="str">
        <f>IF(Iterations[[#This Row],[Step]] =current_step, current_Grad_e,IF(Iterations[[#This Row],[Step]] &gt; current_step, "",Iterations[[#This Row],[Grad_e]]))</f>
        <v/>
      </c>
    </row>
    <row r="577" spans="6:18" x14ac:dyDescent="0.3">
      <c r="F577" s="2">
        <f t="shared" si="11"/>
        <v>560</v>
      </c>
      <c r="G577" s="2" t="str">
        <f>IF(Iterations[[#This Row],[Step]] =current_step, current_a,IF(Iterations[[#This Row],[Step]] &gt; current_step, "",Iterations[[#This Row],[a]]))</f>
        <v/>
      </c>
      <c r="H577" s="2" t="str">
        <f>IF(Iterations[[#This Row],[Step]] =current_step, current_b,IF(Iterations[[#This Row],[Step]] &gt; current_step, "",Iterations[[#This Row],[b]]))</f>
        <v/>
      </c>
      <c r="I577" s="2" t="str">
        <f>IF(Iterations[[#This Row],[Step]] =current_step, current_c,IF(Iterations[[#This Row],[Step]] &gt; current_step, "",Iterations[[#This Row],[c]]))</f>
        <v/>
      </c>
      <c r="J577" s="2" t="str">
        <f>IF(Iterations[[#This Row],[Step]] =current_step, current_d,IF(Iterations[[#This Row],[Step]] &gt; current_step, "",Iterations[[#This Row],[d]]))</f>
        <v/>
      </c>
      <c r="K577" s="2" t="str">
        <f>IF(Iterations[[#This Row],[Step]] =current_step, current_e,IF(Iterations[[#This Row],[Step]] &gt; current_step, "",Iterations[[#This Row],[e]]))</f>
        <v/>
      </c>
      <c r="L577" s="2" t="str">
        <f>IF(Iterations[[#This Row],[Step]] =current_step, current_Total_Loss,IF(Iterations[[#This Row],[Step]] &gt; current_step, "",Iterations[[#This Row],[Total Loss]]))</f>
        <v/>
      </c>
      <c r="M577" s="6" t="s">
        <v>27</v>
      </c>
      <c r="N577" s="2" t="str">
        <f>IF(Iterations[[#This Row],[Step]] =current_step, current_Grad_a,IF(Iterations[[#This Row],[Step]] &gt; current_step, "",Iterations[[#This Row],[Grad_a]]))</f>
        <v/>
      </c>
      <c r="O577" s="2" t="str">
        <f>IF(Iterations[[#This Row],[Step]] =current_step, current_Grad_b,IF(Iterations[[#This Row],[Step]] &gt; current_step, "",Iterations[[#This Row],[Grad_b]]))</f>
        <v/>
      </c>
      <c r="P577" s="2" t="str">
        <f>IF(Iterations[[#This Row],[Step]] =current_step, current_Grad_c,IF(Iterations[[#This Row],[Step]] &gt; current_step, "",Iterations[[#This Row],[Grad_c]]))</f>
        <v/>
      </c>
      <c r="Q577" s="2" t="str">
        <f>IF(Iterations[[#This Row],[Step]] =current_step, current_Grad_d,IF(Iterations[[#This Row],[Step]] &gt; current_step, "",Iterations[[#This Row],[Grad_d]]))</f>
        <v/>
      </c>
      <c r="R577" s="2" t="str">
        <f>IF(Iterations[[#This Row],[Step]] =current_step, current_Grad_e,IF(Iterations[[#This Row],[Step]] &gt; current_step, "",Iterations[[#This Row],[Grad_e]]))</f>
        <v/>
      </c>
    </row>
    <row r="578" spans="6:18" x14ac:dyDescent="0.3">
      <c r="F578" s="2">
        <f t="shared" si="11"/>
        <v>561</v>
      </c>
      <c r="G578" s="2" t="str">
        <f>IF(Iterations[[#This Row],[Step]] =current_step, current_a,IF(Iterations[[#This Row],[Step]] &gt; current_step, "",Iterations[[#This Row],[a]]))</f>
        <v/>
      </c>
      <c r="H578" s="2" t="str">
        <f>IF(Iterations[[#This Row],[Step]] =current_step, current_b,IF(Iterations[[#This Row],[Step]] &gt; current_step, "",Iterations[[#This Row],[b]]))</f>
        <v/>
      </c>
      <c r="I578" s="2" t="str">
        <f>IF(Iterations[[#This Row],[Step]] =current_step, current_c,IF(Iterations[[#This Row],[Step]] &gt; current_step, "",Iterations[[#This Row],[c]]))</f>
        <v/>
      </c>
      <c r="J578" s="2" t="str">
        <f>IF(Iterations[[#This Row],[Step]] =current_step, current_d,IF(Iterations[[#This Row],[Step]] &gt; current_step, "",Iterations[[#This Row],[d]]))</f>
        <v/>
      </c>
      <c r="K578" s="2" t="str">
        <f>IF(Iterations[[#This Row],[Step]] =current_step, current_e,IF(Iterations[[#This Row],[Step]] &gt; current_step, "",Iterations[[#This Row],[e]]))</f>
        <v/>
      </c>
      <c r="L578" s="2" t="str">
        <f>IF(Iterations[[#This Row],[Step]] =current_step, current_Total_Loss,IF(Iterations[[#This Row],[Step]] &gt; current_step, "",Iterations[[#This Row],[Total Loss]]))</f>
        <v/>
      </c>
      <c r="M578" s="6" t="s">
        <v>27</v>
      </c>
      <c r="N578" s="2" t="str">
        <f>IF(Iterations[[#This Row],[Step]] =current_step, current_Grad_a,IF(Iterations[[#This Row],[Step]] &gt; current_step, "",Iterations[[#This Row],[Grad_a]]))</f>
        <v/>
      </c>
      <c r="O578" s="2" t="str">
        <f>IF(Iterations[[#This Row],[Step]] =current_step, current_Grad_b,IF(Iterations[[#This Row],[Step]] &gt; current_step, "",Iterations[[#This Row],[Grad_b]]))</f>
        <v/>
      </c>
      <c r="P578" s="2" t="str">
        <f>IF(Iterations[[#This Row],[Step]] =current_step, current_Grad_c,IF(Iterations[[#This Row],[Step]] &gt; current_step, "",Iterations[[#This Row],[Grad_c]]))</f>
        <v/>
      </c>
      <c r="Q578" s="2" t="str">
        <f>IF(Iterations[[#This Row],[Step]] =current_step, current_Grad_d,IF(Iterations[[#This Row],[Step]] &gt; current_step, "",Iterations[[#This Row],[Grad_d]]))</f>
        <v/>
      </c>
      <c r="R578" s="2" t="str">
        <f>IF(Iterations[[#This Row],[Step]] =current_step, current_Grad_e,IF(Iterations[[#This Row],[Step]] &gt; current_step, "",Iterations[[#This Row],[Grad_e]]))</f>
        <v/>
      </c>
    </row>
    <row r="579" spans="6:18" x14ac:dyDescent="0.3">
      <c r="F579" s="2">
        <f t="shared" si="11"/>
        <v>562</v>
      </c>
      <c r="G579" s="2" t="str">
        <f>IF(Iterations[[#This Row],[Step]] =current_step, current_a,IF(Iterations[[#This Row],[Step]] &gt; current_step, "",Iterations[[#This Row],[a]]))</f>
        <v/>
      </c>
      <c r="H579" s="2" t="str">
        <f>IF(Iterations[[#This Row],[Step]] =current_step, current_b,IF(Iterations[[#This Row],[Step]] &gt; current_step, "",Iterations[[#This Row],[b]]))</f>
        <v/>
      </c>
      <c r="I579" s="2" t="str">
        <f>IF(Iterations[[#This Row],[Step]] =current_step, current_c,IF(Iterations[[#This Row],[Step]] &gt; current_step, "",Iterations[[#This Row],[c]]))</f>
        <v/>
      </c>
      <c r="J579" s="2" t="str">
        <f>IF(Iterations[[#This Row],[Step]] =current_step, current_d,IF(Iterations[[#This Row],[Step]] &gt; current_step, "",Iterations[[#This Row],[d]]))</f>
        <v/>
      </c>
      <c r="K579" s="2" t="str">
        <f>IF(Iterations[[#This Row],[Step]] =current_step, current_e,IF(Iterations[[#This Row],[Step]] &gt; current_step, "",Iterations[[#This Row],[e]]))</f>
        <v/>
      </c>
      <c r="L579" s="2" t="str">
        <f>IF(Iterations[[#This Row],[Step]] =current_step, current_Total_Loss,IF(Iterations[[#This Row],[Step]] &gt; current_step, "",Iterations[[#This Row],[Total Loss]]))</f>
        <v/>
      </c>
      <c r="M579" s="6" t="s">
        <v>27</v>
      </c>
      <c r="N579" s="2" t="str">
        <f>IF(Iterations[[#This Row],[Step]] =current_step, current_Grad_a,IF(Iterations[[#This Row],[Step]] &gt; current_step, "",Iterations[[#This Row],[Grad_a]]))</f>
        <v/>
      </c>
      <c r="O579" s="2" t="str">
        <f>IF(Iterations[[#This Row],[Step]] =current_step, current_Grad_b,IF(Iterations[[#This Row],[Step]] &gt; current_step, "",Iterations[[#This Row],[Grad_b]]))</f>
        <v/>
      </c>
      <c r="P579" s="2" t="str">
        <f>IF(Iterations[[#This Row],[Step]] =current_step, current_Grad_c,IF(Iterations[[#This Row],[Step]] &gt; current_step, "",Iterations[[#This Row],[Grad_c]]))</f>
        <v/>
      </c>
      <c r="Q579" s="2" t="str">
        <f>IF(Iterations[[#This Row],[Step]] =current_step, current_Grad_d,IF(Iterations[[#This Row],[Step]] &gt; current_step, "",Iterations[[#This Row],[Grad_d]]))</f>
        <v/>
      </c>
      <c r="R579" s="2" t="str">
        <f>IF(Iterations[[#This Row],[Step]] =current_step, current_Grad_e,IF(Iterations[[#This Row],[Step]] &gt; current_step, "",Iterations[[#This Row],[Grad_e]]))</f>
        <v/>
      </c>
    </row>
    <row r="580" spans="6:18" x14ac:dyDescent="0.3">
      <c r="F580" s="2">
        <f t="shared" si="11"/>
        <v>563</v>
      </c>
      <c r="G580" s="2" t="str">
        <f>IF(Iterations[[#This Row],[Step]] =current_step, current_a,IF(Iterations[[#This Row],[Step]] &gt; current_step, "",Iterations[[#This Row],[a]]))</f>
        <v/>
      </c>
      <c r="H580" s="2" t="str">
        <f>IF(Iterations[[#This Row],[Step]] =current_step, current_b,IF(Iterations[[#This Row],[Step]] &gt; current_step, "",Iterations[[#This Row],[b]]))</f>
        <v/>
      </c>
      <c r="I580" s="2" t="str">
        <f>IF(Iterations[[#This Row],[Step]] =current_step, current_c,IF(Iterations[[#This Row],[Step]] &gt; current_step, "",Iterations[[#This Row],[c]]))</f>
        <v/>
      </c>
      <c r="J580" s="2" t="str">
        <f>IF(Iterations[[#This Row],[Step]] =current_step, current_d,IF(Iterations[[#This Row],[Step]] &gt; current_step, "",Iterations[[#This Row],[d]]))</f>
        <v/>
      </c>
      <c r="K580" s="2" t="str">
        <f>IF(Iterations[[#This Row],[Step]] =current_step, current_e,IF(Iterations[[#This Row],[Step]] &gt; current_step, "",Iterations[[#This Row],[e]]))</f>
        <v/>
      </c>
      <c r="L580" s="2" t="str">
        <f>IF(Iterations[[#This Row],[Step]] =current_step, current_Total_Loss,IF(Iterations[[#This Row],[Step]] &gt; current_step, "",Iterations[[#This Row],[Total Loss]]))</f>
        <v/>
      </c>
      <c r="M580" s="6" t="s">
        <v>27</v>
      </c>
      <c r="N580" s="2" t="str">
        <f>IF(Iterations[[#This Row],[Step]] =current_step, current_Grad_a,IF(Iterations[[#This Row],[Step]] &gt; current_step, "",Iterations[[#This Row],[Grad_a]]))</f>
        <v/>
      </c>
      <c r="O580" s="2" t="str">
        <f>IF(Iterations[[#This Row],[Step]] =current_step, current_Grad_b,IF(Iterations[[#This Row],[Step]] &gt; current_step, "",Iterations[[#This Row],[Grad_b]]))</f>
        <v/>
      </c>
      <c r="P580" s="2" t="str">
        <f>IF(Iterations[[#This Row],[Step]] =current_step, current_Grad_c,IF(Iterations[[#This Row],[Step]] &gt; current_step, "",Iterations[[#This Row],[Grad_c]]))</f>
        <v/>
      </c>
      <c r="Q580" s="2" t="str">
        <f>IF(Iterations[[#This Row],[Step]] =current_step, current_Grad_d,IF(Iterations[[#This Row],[Step]] &gt; current_step, "",Iterations[[#This Row],[Grad_d]]))</f>
        <v/>
      </c>
      <c r="R580" s="2" t="str">
        <f>IF(Iterations[[#This Row],[Step]] =current_step, current_Grad_e,IF(Iterations[[#This Row],[Step]] &gt; current_step, "",Iterations[[#This Row],[Grad_e]]))</f>
        <v/>
      </c>
    </row>
    <row r="581" spans="6:18" x14ac:dyDescent="0.3">
      <c r="F581" s="2">
        <f t="shared" si="11"/>
        <v>564</v>
      </c>
      <c r="G581" s="2" t="str">
        <f>IF(Iterations[[#This Row],[Step]] =current_step, current_a,IF(Iterations[[#This Row],[Step]] &gt; current_step, "",Iterations[[#This Row],[a]]))</f>
        <v/>
      </c>
      <c r="H581" s="2" t="str">
        <f>IF(Iterations[[#This Row],[Step]] =current_step, current_b,IF(Iterations[[#This Row],[Step]] &gt; current_step, "",Iterations[[#This Row],[b]]))</f>
        <v/>
      </c>
      <c r="I581" s="2" t="str">
        <f>IF(Iterations[[#This Row],[Step]] =current_step, current_c,IF(Iterations[[#This Row],[Step]] &gt; current_step, "",Iterations[[#This Row],[c]]))</f>
        <v/>
      </c>
      <c r="J581" s="2" t="str">
        <f>IF(Iterations[[#This Row],[Step]] =current_step, current_d,IF(Iterations[[#This Row],[Step]] &gt; current_step, "",Iterations[[#This Row],[d]]))</f>
        <v/>
      </c>
      <c r="K581" s="2" t="str">
        <f>IF(Iterations[[#This Row],[Step]] =current_step, current_e,IF(Iterations[[#This Row],[Step]] &gt; current_step, "",Iterations[[#This Row],[e]]))</f>
        <v/>
      </c>
      <c r="L581" s="2" t="str">
        <f>IF(Iterations[[#This Row],[Step]] =current_step, current_Total_Loss,IF(Iterations[[#This Row],[Step]] &gt; current_step, "",Iterations[[#This Row],[Total Loss]]))</f>
        <v/>
      </c>
      <c r="M581" s="6" t="s">
        <v>27</v>
      </c>
      <c r="N581" s="2" t="str">
        <f>IF(Iterations[[#This Row],[Step]] =current_step, current_Grad_a,IF(Iterations[[#This Row],[Step]] &gt; current_step, "",Iterations[[#This Row],[Grad_a]]))</f>
        <v/>
      </c>
      <c r="O581" s="2" t="str">
        <f>IF(Iterations[[#This Row],[Step]] =current_step, current_Grad_b,IF(Iterations[[#This Row],[Step]] &gt; current_step, "",Iterations[[#This Row],[Grad_b]]))</f>
        <v/>
      </c>
      <c r="P581" s="2" t="str">
        <f>IF(Iterations[[#This Row],[Step]] =current_step, current_Grad_c,IF(Iterations[[#This Row],[Step]] &gt; current_step, "",Iterations[[#This Row],[Grad_c]]))</f>
        <v/>
      </c>
      <c r="Q581" s="2" t="str">
        <f>IF(Iterations[[#This Row],[Step]] =current_step, current_Grad_d,IF(Iterations[[#This Row],[Step]] &gt; current_step, "",Iterations[[#This Row],[Grad_d]]))</f>
        <v/>
      </c>
      <c r="R581" s="2" t="str">
        <f>IF(Iterations[[#This Row],[Step]] =current_step, current_Grad_e,IF(Iterations[[#This Row],[Step]] &gt; current_step, "",Iterations[[#This Row],[Grad_e]]))</f>
        <v/>
      </c>
    </row>
    <row r="582" spans="6:18" x14ac:dyDescent="0.3">
      <c r="F582" s="2">
        <f t="shared" si="11"/>
        <v>565</v>
      </c>
      <c r="G582" s="2" t="str">
        <f>IF(Iterations[[#This Row],[Step]] =current_step, current_a,IF(Iterations[[#This Row],[Step]] &gt; current_step, "",Iterations[[#This Row],[a]]))</f>
        <v/>
      </c>
      <c r="H582" s="2" t="str">
        <f>IF(Iterations[[#This Row],[Step]] =current_step, current_b,IF(Iterations[[#This Row],[Step]] &gt; current_step, "",Iterations[[#This Row],[b]]))</f>
        <v/>
      </c>
      <c r="I582" s="2" t="str">
        <f>IF(Iterations[[#This Row],[Step]] =current_step, current_c,IF(Iterations[[#This Row],[Step]] &gt; current_step, "",Iterations[[#This Row],[c]]))</f>
        <v/>
      </c>
      <c r="J582" s="2" t="str">
        <f>IF(Iterations[[#This Row],[Step]] =current_step, current_d,IF(Iterations[[#This Row],[Step]] &gt; current_step, "",Iterations[[#This Row],[d]]))</f>
        <v/>
      </c>
      <c r="K582" s="2" t="str">
        <f>IF(Iterations[[#This Row],[Step]] =current_step, current_e,IF(Iterations[[#This Row],[Step]] &gt; current_step, "",Iterations[[#This Row],[e]]))</f>
        <v/>
      </c>
      <c r="L582" s="2" t="str">
        <f>IF(Iterations[[#This Row],[Step]] =current_step, current_Total_Loss,IF(Iterations[[#This Row],[Step]] &gt; current_step, "",Iterations[[#This Row],[Total Loss]]))</f>
        <v/>
      </c>
      <c r="M582" s="6" t="s">
        <v>27</v>
      </c>
      <c r="N582" s="2" t="str">
        <f>IF(Iterations[[#This Row],[Step]] =current_step, current_Grad_a,IF(Iterations[[#This Row],[Step]] &gt; current_step, "",Iterations[[#This Row],[Grad_a]]))</f>
        <v/>
      </c>
      <c r="O582" s="2" t="str">
        <f>IF(Iterations[[#This Row],[Step]] =current_step, current_Grad_b,IF(Iterations[[#This Row],[Step]] &gt; current_step, "",Iterations[[#This Row],[Grad_b]]))</f>
        <v/>
      </c>
      <c r="P582" s="2" t="str">
        <f>IF(Iterations[[#This Row],[Step]] =current_step, current_Grad_c,IF(Iterations[[#This Row],[Step]] &gt; current_step, "",Iterations[[#This Row],[Grad_c]]))</f>
        <v/>
      </c>
      <c r="Q582" s="2" t="str">
        <f>IF(Iterations[[#This Row],[Step]] =current_step, current_Grad_d,IF(Iterations[[#This Row],[Step]] &gt; current_step, "",Iterations[[#This Row],[Grad_d]]))</f>
        <v/>
      </c>
      <c r="R582" s="2" t="str">
        <f>IF(Iterations[[#This Row],[Step]] =current_step, current_Grad_e,IF(Iterations[[#This Row],[Step]] &gt; current_step, "",Iterations[[#This Row],[Grad_e]]))</f>
        <v/>
      </c>
    </row>
    <row r="583" spans="6:18" x14ac:dyDescent="0.3">
      <c r="F583" s="2">
        <f t="shared" si="11"/>
        <v>566</v>
      </c>
      <c r="G583" s="2" t="str">
        <f>IF(Iterations[[#This Row],[Step]] =current_step, current_a,IF(Iterations[[#This Row],[Step]] &gt; current_step, "",Iterations[[#This Row],[a]]))</f>
        <v/>
      </c>
      <c r="H583" s="2" t="str">
        <f>IF(Iterations[[#This Row],[Step]] =current_step, current_b,IF(Iterations[[#This Row],[Step]] &gt; current_step, "",Iterations[[#This Row],[b]]))</f>
        <v/>
      </c>
      <c r="I583" s="2" t="str">
        <f>IF(Iterations[[#This Row],[Step]] =current_step, current_c,IF(Iterations[[#This Row],[Step]] &gt; current_step, "",Iterations[[#This Row],[c]]))</f>
        <v/>
      </c>
      <c r="J583" s="2" t="str">
        <f>IF(Iterations[[#This Row],[Step]] =current_step, current_d,IF(Iterations[[#This Row],[Step]] &gt; current_step, "",Iterations[[#This Row],[d]]))</f>
        <v/>
      </c>
      <c r="K583" s="2" t="str">
        <f>IF(Iterations[[#This Row],[Step]] =current_step, current_e,IF(Iterations[[#This Row],[Step]] &gt; current_step, "",Iterations[[#This Row],[e]]))</f>
        <v/>
      </c>
      <c r="L583" s="2" t="str">
        <f>IF(Iterations[[#This Row],[Step]] =current_step, current_Total_Loss,IF(Iterations[[#This Row],[Step]] &gt; current_step, "",Iterations[[#This Row],[Total Loss]]))</f>
        <v/>
      </c>
      <c r="M583" s="6" t="s">
        <v>27</v>
      </c>
      <c r="N583" s="2" t="str">
        <f>IF(Iterations[[#This Row],[Step]] =current_step, current_Grad_a,IF(Iterations[[#This Row],[Step]] &gt; current_step, "",Iterations[[#This Row],[Grad_a]]))</f>
        <v/>
      </c>
      <c r="O583" s="2" t="str">
        <f>IF(Iterations[[#This Row],[Step]] =current_step, current_Grad_b,IF(Iterations[[#This Row],[Step]] &gt; current_step, "",Iterations[[#This Row],[Grad_b]]))</f>
        <v/>
      </c>
      <c r="P583" s="2" t="str">
        <f>IF(Iterations[[#This Row],[Step]] =current_step, current_Grad_c,IF(Iterations[[#This Row],[Step]] &gt; current_step, "",Iterations[[#This Row],[Grad_c]]))</f>
        <v/>
      </c>
      <c r="Q583" s="2" t="str">
        <f>IF(Iterations[[#This Row],[Step]] =current_step, current_Grad_d,IF(Iterations[[#This Row],[Step]] &gt; current_step, "",Iterations[[#This Row],[Grad_d]]))</f>
        <v/>
      </c>
      <c r="R583" s="2" t="str">
        <f>IF(Iterations[[#This Row],[Step]] =current_step, current_Grad_e,IF(Iterations[[#This Row],[Step]] &gt; current_step, "",Iterations[[#This Row],[Grad_e]]))</f>
        <v/>
      </c>
    </row>
    <row r="584" spans="6:18" x14ac:dyDescent="0.3">
      <c r="F584" s="2">
        <f t="shared" si="11"/>
        <v>567</v>
      </c>
      <c r="G584" s="2" t="str">
        <f>IF(Iterations[[#This Row],[Step]] =current_step, current_a,IF(Iterations[[#This Row],[Step]] &gt; current_step, "",Iterations[[#This Row],[a]]))</f>
        <v/>
      </c>
      <c r="H584" s="2" t="str">
        <f>IF(Iterations[[#This Row],[Step]] =current_step, current_b,IF(Iterations[[#This Row],[Step]] &gt; current_step, "",Iterations[[#This Row],[b]]))</f>
        <v/>
      </c>
      <c r="I584" s="2" t="str">
        <f>IF(Iterations[[#This Row],[Step]] =current_step, current_c,IF(Iterations[[#This Row],[Step]] &gt; current_step, "",Iterations[[#This Row],[c]]))</f>
        <v/>
      </c>
      <c r="J584" s="2" t="str">
        <f>IF(Iterations[[#This Row],[Step]] =current_step, current_d,IF(Iterations[[#This Row],[Step]] &gt; current_step, "",Iterations[[#This Row],[d]]))</f>
        <v/>
      </c>
      <c r="K584" s="2" t="str">
        <f>IF(Iterations[[#This Row],[Step]] =current_step, current_e,IF(Iterations[[#This Row],[Step]] &gt; current_step, "",Iterations[[#This Row],[e]]))</f>
        <v/>
      </c>
      <c r="L584" s="2" t="str">
        <f>IF(Iterations[[#This Row],[Step]] =current_step, current_Total_Loss,IF(Iterations[[#This Row],[Step]] &gt; current_step, "",Iterations[[#This Row],[Total Loss]]))</f>
        <v/>
      </c>
      <c r="M584" s="6" t="s">
        <v>27</v>
      </c>
      <c r="N584" s="2" t="str">
        <f>IF(Iterations[[#This Row],[Step]] =current_step, current_Grad_a,IF(Iterations[[#This Row],[Step]] &gt; current_step, "",Iterations[[#This Row],[Grad_a]]))</f>
        <v/>
      </c>
      <c r="O584" s="2" t="str">
        <f>IF(Iterations[[#This Row],[Step]] =current_step, current_Grad_b,IF(Iterations[[#This Row],[Step]] &gt; current_step, "",Iterations[[#This Row],[Grad_b]]))</f>
        <v/>
      </c>
      <c r="P584" s="2" t="str">
        <f>IF(Iterations[[#This Row],[Step]] =current_step, current_Grad_c,IF(Iterations[[#This Row],[Step]] &gt; current_step, "",Iterations[[#This Row],[Grad_c]]))</f>
        <v/>
      </c>
      <c r="Q584" s="2" t="str">
        <f>IF(Iterations[[#This Row],[Step]] =current_step, current_Grad_d,IF(Iterations[[#This Row],[Step]] &gt; current_step, "",Iterations[[#This Row],[Grad_d]]))</f>
        <v/>
      </c>
      <c r="R584" s="2" t="str">
        <f>IF(Iterations[[#This Row],[Step]] =current_step, current_Grad_e,IF(Iterations[[#This Row],[Step]] &gt; current_step, "",Iterations[[#This Row],[Grad_e]]))</f>
        <v/>
      </c>
    </row>
    <row r="585" spans="6:18" x14ac:dyDescent="0.3">
      <c r="F585" s="2">
        <f t="shared" si="11"/>
        <v>568</v>
      </c>
      <c r="G585" s="2" t="str">
        <f>IF(Iterations[[#This Row],[Step]] =current_step, current_a,IF(Iterations[[#This Row],[Step]] &gt; current_step, "",Iterations[[#This Row],[a]]))</f>
        <v/>
      </c>
      <c r="H585" s="2" t="str">
        <f>IF(Iterations[[#This Row],[Step]] =current_step, current_b,IF(Iterations[[#This Row],[Step]] &gt; current_step, "",Iterations[[#This Row],[b]]))</f>
        <v/>
      </c>
      <c r="I585" s="2" t="str">
        <f>IF(Iterations[[#This Row],[Step]] =current_step, current_c,IF(Iterations[[#This Row],[Step]] &gt; current_step, "",Iterations[[#This Row],[c]]))</f>
        <v/>
      </c>
      <c r="J585" s="2" t="str">
        <f>IF(Iterations[[#This Row],[Step]] =current_step, current_d,IF(Iterations[[#This Row],[Step]] &gt; current_step, "",Iterations[[#This Row],[d]]))</f>
        <v/>
      </c>
      <c r="K585" s="2" t="str">
        <f>IF(Iterations[[#This Row],[Step]] =current_step, current_e,IF(Iterations[[#This Row],[Step]] &gt; current_step, "",Iterations[[#This Row],[e]]))</f>
        <v/>
      </c>
      <c r="L585" s="2" t="str">
        <f>IF(Iterations[[#This Row],[Step]] =current_step, current_Total_Loss,IF(Iterations[[#This Row],[Step]] &gt; current_step, "",Iterations[[#This Row],[Total Loss]]))</f>
        <v/>
      </c>
      <c r="M585" s="6" t="s">
        <v>27</v>
      </c>
      <c r="N585" s="2" t="str">
        <f>IF(Iterations[[#This Row],[Step]] =current_step, current_Grad_a,IF(Iterations[[#This Row],[Step]] &gt; current_step, "",Iterations[[#This Row],[Grad_a]]))</f>
        <v/>
      </c>
      <c r="O585" s="2" t="str">
        <f>IF(Iterations[[#This Row],[Step]] =current_step, current_Grad_b,IF(Iterations[[#This Row],[Step]] &gt; current_step, "",Iterations[[#This Row],[Grad_b]]))</f>
        <v/>
      </c>
      <c r="P585" s="2" t="str">
        <f>IF(Iterations[[#This Row],[Step]] =current_step, current_Grad_c,IF(Iterations[[#This Row],[Step]] &gt; current_step, "",Iterations[[#This Row],[Grad_c]]))</f>
        <v/>
      </c>
      <c r="Q585" s="2" t="str">
        <f>IF(Iterations[[#This Row],[Step]] =current_step, current_Grad_d,IF(Iterations[[#This Row],[Step]] &gt; current_step, "",Iterations[[#This Row],[Grad_d]]))</f>
        <v/>
      </c>
      <c r="R585" s="2" t="str">
        <f>IF(Iterations[[#This Row],[Step]] =current_step, current_Grad_e,IF(Iterations[[#This Row],[Step]] &gt; current_step, "",Iterations[[#This Row],[Grad_e]]))</f>
        <v/>
      </c>
    </row>
    <row r="586" spans="6:18" x14ac:dyDescent="0.3">
      <c r="F586" s="2">
        <f t="shared" si="11"/>
        <v>569</v>
      </c>
      <c r="G586" s="2" t="str">
        <f>IF(Iterations[[#This Row],[Step]] =current_step, current_a,IF(Iterations[[#This Row],[Step]] &gt; current_step, "",Iterations[[#This Row],[a]]))</f>
        <v/>
      </c>
      <c r="H586" s="2" t="str">
        <f>IF(Iterations[[#This Row],[Step]] =current_step, current_b,IF(Iterations[[#This Row],[Step]] &gt; current_step, "",Iterations[[#This Row],[b]]))</f>
        <v/>
      </c>
      <c r="I586" s="2" t="str">
        <f>IF(Iterations[[#This Row],[Step]] =current_step, current_c,IF(Iterations[[#This Row],[Step]] &gt; current_step, "",Iterations[[#This Row],[c]]))</f>
        <v/>
      </c>
      <c r="J586" s="2" t="str">
        <f>IF(Iterations[[#This Row],[Step]] =current_step, current_d,IF(Iterations[[#This Row],[Step]] &gt; current_step, "",Iterations[[#This Row],[d]]))</f>
        <v/>
      </c>
      <c r="K586" s="2" t="str">
        <f>IF(Iterations[[#This Row],[Step]] =current_step, current_e,IF(Iterations[[#This Row],[Step]] &gt; current_step, "",Iterations[[#This Row],[e]]))</f>
        <v/>
      </c>
      <c r="L586" s="2" t="str">
        <f>IF(Iterations[[#This Row],[Step]] =current_step, current_Total_Loss,IF(Iterations[[#This Row],[Step]] &gt; current_step, "",Iterations[[#This Row],[Total Loss]]))</f>
        <v/>
      </c>
      <c r="M586" s="6" t="s">
        <v>27</v>
      </c>
      <c r="N586" s="2" t="str">
        <f>IF(Iterations[[#This Row],[Step]] =current_step, current_Grad_a,IF(Iterations[[#This Row],[Step]] &gt; current_step, "",Iterations[[#This Row],[Grad_a]]))</f>
        <v/>
      </c>
      <c r="O586" s="2" t="str">
        <f>IF(Iterations[[#This Row],[Step]] =current_step, current_Grad_b,IF(Iterations[[#This Row],[Step]] &gt; current_step, "",Iterations[[#This Row],[Grad_b]]))</f>
        <v/>
      </c>
      <c r="P586" s="2" t="str">
        <f>IF(Iterations[[#This Row],[Step]] =current_step, current_Grad_c,IF(Iterations[[#This Row],[Step]] &gt; current_step, "",Iterations[[#This Row],[Grad_c]]))</f>
        <v/>
      </c>
      <c r="Q586" s="2" t="str">
        <f>IF(Iterations[[#This Row],[Step]] =current_step, current_Grad_d,IF(Iterations[[#This Row],[Step]] &gt; current_step, "",Iterations[[#This Row],[Grad_d]]))</f>
        <v/>
      </c>
      <c r="R586" s="2" t="str">
        <f>IF(Iterations[[#This Row],[Step]] =current_step, current_Grad_e,IF(Iterations[[#This Row],[Step]] &gt; current_step, "",Iterations[[#This Row],[Grad_e]]))</f>
        <v/>
      </c>
    </row>
    <row r="587" spans="6:18" x14ac:dyDescent="0.3">
      <c r="F587" s="2">
        <f t="shared" si="11"/>
        <v>570</v>
      </c>
      <c r="G587" s="2" t="str">
        <f>IF(Iterations[[#This Row],[Step]] =current_step, current_a,IF(Iterations[[#This Row],[Step]] &gt; current_step, "",Iterations[[#This Row],[a]]))</f>
        <v/>
      </c>
      <c r="H587" s="2" t="str">
        <f>IF(Iterations[[#This Row],[Step]] =current_step, current_b,IF(Iterations[[#This Row],[Step]] &gt; current_step, "",Iterations[[#This Row],[b]]))</f>
        <v/>
      </c>
      <c r="I587" s="2" t="str">
        <f>IF(Iterations[[#This Row],[Step]] =current_step, current_c,IF(Iterations[[#This Row],[Step]] &gt; current_step, "",Iterations[[#This Row],[c]]))</f>
        <v/>
      </c>
      <c r="J587" s="2" t="str">
        <f>IF(Iterations[[#This Row],[Step]] =current_step, current_d,IF(Iterations[[#This Row],[Step]] &gt; current_step, "",Iterations[[#This Row],[d]]))</f>
        <v/>
      </c>
      <c r="K587" s="2" t="str">
        <f>IF(Iterations[[#This Row],[Step]] =current_step, current_e,IF(Iterations[[#This Row],[Step]] &gt; current_step, "",Iterations[[#This Row],[e]]))</f>
        <v/>
      </c>
      <c r="L587" s="2" t="str">
        <f>IF(Iterations[[#This Row],[Step]] =current_step, current_Total_Loss,IF(Iterations[[#This Row],[Step]] &gt; current_step, "",Iterations[[#This Row],[Total Loss]]))</f>
        <v/>
      </c>
      <c r="M587" s="6" t="s">
        <v>27</v>
      </c>
      <c r="N587" s="2" t="str">
        <f>IF(Iterations[[#This Row],[Step]] =current_step, current_Grad_a,IF(Iterations[[#This Row],[Step]] &gt; current_step, "",Iterations[[#This Row],[Grad_a]]))</f>
        <v/>
      </c>
      <c r="O587" s="2" t="str">
        <f>IF(Iterations[[#This Row],[Step]] =current_step, current_Grad_b,IF(Iterations[[#This Row],[Step]] &gt; current_step, "",Iterations[[#This Row],[Grad_b]]))</f>
        <v/>
      </c>
      <c r="P587" s="2" t="str">
        <f>IF(Iterations[[#This Row],[Step]] =current_step, current_Grad_c,IF(Iterations[[#This Row],[Step]] &gt; current_step, "",Iterations[[#This Row],[Grad_c]]))</f>
        <v/>
      </c>
      <c r="Q587" s="2" t="str">
        <f>IF(Iterations[[#This Row],[Step]] =current_step, current_Grad_d,IF(Iterations[[#This Row],[Step]] &gt; current_step, "",Iterations[[#This Row],[Grad_d]]))</f>
        <v/>
      </c>
      <c r="R587" s="2" t="str">
        <f>IF(Iterations[[#This Row],[Step]] =current_step, current_Grad_e,IF(Iterations[[#This Row],[Step]] &gt; current_step, "",Iterations[[#This Row],[Grad_e]]))</f>
        <v/>
      </c>
    </row>
    <row r="588" spans="6:18" x14ac:dyDescent="0.3">
      <c r="F588" s="2">
        <f t="shared" si="11"/>
        <v>571</v>
      </c>
      <c r="G588" s="2" t="str">
        <f>IF(Iterations[[#This Row],[Step]] =current_step, current_a,IF(Iterations[[#This Row],[Step]] &gt; current_step, "",Iterations[[#This Row],[a]]))</f>
        <v/>
      </c>
      <c r="H588" s="2" t="str">
        <f>IF(Iterations[[#This Row],[Step]] =current_step, current_b,IF(Iterations[[#This Row],[Step]] &gt; current_step, "",Iterations[[#This Row],[b]]))</f>
        <v/>
      </c>
      <c r="I588" s="2" t="str">
        <f>IF(Iterations[[#This Row],[Step]] =current_step, current_c,IF(Iterations[[#This Row],[Step]] &gt; current_step, "",Iterations[[#This Row],[c]]))</f>
        <v/>
      </c>
      <c r="J588" s="2" t="str">
        <f>IF(Iterations[[#This Row],[Step]] =current_step, current_d,IF(Iterations[[#This Row],[Step]] &gt; current_step, "",Iterations[[#This Row],[d]]))</f>
        <v/>
      </c>
      <c r="K588" s="2" t="str">
        <f>IF(Iterations[[#This Row],[Step]] =current_step, current_e,IF(Iterations[[#This Row],[Step]] &gt; current_step, "",Iterations[[#This Row],[e]]))</f>
        <v/>
      </c>
      <c r="L588" s="2" t="str">
        <f>IF(Iterations[[#This Row],[Step]] =current_step, current_Total_Loss,IF(Iterations[[#This Row],[Step]] &gt; current_step, "",Iterations[[#This Row],[Total Loss]]))</f>
        <v/>
      </c>
      <c r="M588" s="6" t="s">
        <v>27</v>
      </c>
      <c r="N588" s="2" t="str">
        <f>IF(Iterations[[#This Row],[Step]] =current_step, current_Grad_a,IF(Iterations[[#This Row],[Step]] &gt; current_step, "",Iterations[[#This Row],[Grad_a]]))</f>
        <v/>
      </c>
      <c r="O588" s="2" t="str">
        <f>IF(Iterations[[#This Row],[Step]] =current_step, current_Grad_b,IF(Iterations[[#This Row],[Step]] &gt; current_step, "",Iterations[[#This Row],[Grad_b]]))</f>
        <v/>
      </c>
      <c r="P588" s="2" t="str">
        <f>IF(Iterations[[#This Row],[Step]] =current_step, current_Grad_c,IF(Iterations[[#This Row],[Step]] &gt; current_step, "",Iterations[[#This Row],[Grad_c]]))</f>
        <v/>
      </c>
      <c r="Q588" s="2" t="str">
        <f>IF(Iterations[[#This Row],[Step]] =current_step, current_Grad_d,IF(Iterations[[#This Row],[Step]] &gt; current_step, "",Iterations[[#This Row],[Grad_d]]))</f>
        <v/>
      </c>
      <c r="R588" s="2" t="str">
        <f>IF(Iterations[[#This Row],[Step]] =current_step, current_Grad_e,IF(Iterations[[#This Row],[Step]] &gt; current_step, "",Iterations[[#This Row],[Grad_e]]))</f>
        <v/>
      </c>
    </row>
    <row r="589" spans="6:18" x14ac:dyDescent="0.3">
      <c r="F589" s="2">
        <f t="shared" si="11"/>
        <v>572</v>
      </c>
      <c r="G589" s="2" t="str">
        <f>IF(Iterations[[#This Row],[Step]] =current_step, current_a,IF(Iterations[[#This Row],[Step]] &gt; current_step, "",Iterations[[#This Row],[a]]))</f>
        <v/>
      </c>
      <c r="H589" s="2" t="str">
        <f>IF(Iterations[[#This Row],[Step]] =current_step, current_b,IF(Iterations[[#This Row],[Step]] &gt; current_step, "",Iterations[[#This Row],[b]]))</f>
        <v/>
      </c>
      <c r="I589" s="2" t="str">
        <f>IF(Iterations[[#This Row],[Step]] =current_step, current_c,IF(Iterations[[#This Row],[Step]] &gt; current_step, "",Iterations[[#This Row],[c]]))</f>
        <v/>
      </c>
      <c r="J589" s="2" t="str">
        <f>IF(Iterations[[#This Row],[Step]] =current_step, current_d,IF(Iterations[[#This Row],[Step]] &gt; current_step, "",Iterations[[#This Row],[d]]))</f>
        <v/>
      </c>
      <c r="K589" s="2" t="str">
        <f>IF(Iterations[[#This Row],[Step]] =current_step, current_e,IF(Iterations[[#This Row],[Step]] &gt; current_step, "",Iterations[[#This Row],[e]]))</f>
        <v/>
      </c>
      <c r="L589" s="2" t="str">
        <f>IF(Iterations[[#This Row],[Step]] =current_step, current_Total_Loss,IF(Iterations[[#This Row],[Step]] &gt; current_step, "",Iterations[[#This Row],[Total Loss]]))</f>
        <v/>
      </c>
      <c r="M589" s="6" t="s">
        <v>27</v>
      </c>
      <c r="N589" s="2" t="str">
        <f>IF(Iterations[[#This Row],[Step]] =current_step, current_Grad_a,IF(Iterations[[#This Row],[Step]] &gt; current_step, "",Iterations[[#This Row],[Grad_a]]))</f>
        <v/>
      </c>
      <c r="O589" s="2" t="str">
        <f>IF(Iterations[[#This Row],[Step]] =current_step, current_Grad_b,IF(Iterations[[#This Row],[Step]] &gt; current_step, "",Iterations[[#This Row],[Grad_b]]))</f>
        <v/>
      </c>
      <c r="P589" s="2" t="str">
        <f>IF(Iterations[[#This Row],[Step]] =current_step, current_Grad_c,IF(Iterations[[#This Row],[Step]] &gt; current_step, "",Iterations[[#This Row],[Grad_c]]))</f>
        <v/>
      </c>
      <c r="Q589" s="2" t="str">
        <f>IF(Iterations[[#This Row],[Step]] =current_step, current_Grad_d,IF(Iterations[[#This Row],[Step]] &gt; current_step, "",Iterations[[#This Row],[Grad_d]]))</f>
        <v/>
      </c>
      <c r="R589" s="2" t="str">
        <f>IF(Iterations[[#This Row],[Step]] =current_step, current_Grad_e,IF(Iterations[[#This Row],[Step]] &gt; current_step, "",Iterations[[#This Row],[Grad_e]]))</f>
        <v/>
      </c>
    </row>
    <row r="590" spans="6:18" x14ac:dyDescent="0.3">
      <c r="F590" s="2">
        <f t="shared" si="11"/>
        <v>573</v>
      </c>
      <c r="G590" s="2" t="str">
        <f>IF(Iterations[[#This Row],[Step]] =current_step, current_a,IF(Iterations[[#This Row],[Step]] &gt; current_step, "",Iterations[[#This Row],[a]]))</f>
        <v/>
      </c>
      <c r="H590" s="2" t="str">
        <f>IF(Iterations[[#This Row],[Step]] =current_step, current_b,IF(Iterations[[#This Row],[Step]] &gt; current_step, "",Iterations[[#This Row],[b]]))</f>
        <v/>
      </c>
      <c r="I590" s="2" t="str">
        <f>IF(Iterations[[#This Row],[Step]] =current_step, current_c,IF(Iterations[[#This Row],[Step]] &gt; current_step, "",Iterations[[#This Row],[c]]))</f>
        <v/>
      </c>
      <c r="J590" s="2" t="str">
        <f>IF(Iterations[[#This Row],[Step]] =current_step, current_d,IF(Iterations[[#This Row],[Step]] &gt; current_step, "",Iterations[[#This Row],[d]]))</f>
        <v/>
      </c>
      <c r="K590" s="2" t="str">
        <f>IF(Iterations[[#This Row],[Step]] =current_step, current_e,IF(Iterations[[#This Row],[Step]] &gt; current_step, "",Iterations[[#This Row],[e]]))</f>
        <v/>
      </c>
      <c r="L590" s="2" t="str">
        <f>IF(Iterations[[#This Row],[Step]] =current_step, current_Total_Loss,IF(Iterations[[#This Row],[Step]] &gt; current_step, "",Iterations[[#This Row],[Total Loss]]))</f>
        <v/>
      </c>
      <c r="M590" s="6" t="s">
        <v>27</v>
      </c>
      <c r="N590" s="2" t="str">
        <f>IF(Iterations[[#This Row],[Step]] =current_step, current_Grad_a,IF(Iterations[[#This Row],[Step]] &gt; current_step, "",Iterations[[#This Row],[Grad_a]]))</f>
        <v/>
      </c>
      <c r="O590" s="2" t="str">
        <f>IF(Iterations[[#This Row],[Step]] =current_step, current_Grad_b,IF(Iterations[[#This Row],[Step]] &gt; current_step, "",Iterations[[#This Row],[Grad_b]]))</f>
        <v/>
      </c>
      <c r="P590" s="2" t="str">
        <f>IF(Iterations[[#This Row],[Step]] =current_step, current_Grad_c,IF(Iterations[[#This Row],[Step]] &gt; current_step, "",Iterations[[#This Row],[Grad_c]]))</f>
        <v/>
      </c>
      <c r="Q590" s="2" t="str">
        <f>IF(Iterations[[#This Row],[Step]] =current_step, current_Grad_d,IF(Iterations[[#This Row],[Step]] &gt; current_step, "",Iterations[[#This Row],[Grad_d]]))</f>
        <v/>
      </c>
      <c r="R590" s="2" t="str">
        <f>IF(Iterations[[#This Row],[Step]] =current_step, current_Grad_e,IF(Iterations[[#This Row],[Step]] &gt; current_step, "",Iterations[[#This Row],[Grad_e]]))</f>
        <v/>
      </c>
    </row>
    <row r="591" spans="6:18" x14ac:dyDescent="0.3">
      <c r="F591" s="2">
        <f t="shared" si="11"/>
        <v>574</v>
      </c>
      <c r="G591" s="2" t="str">
        <f>IF(Iterations[[#This Row],[Step]] =current_step, current_a,IF(Iterations[[#This Row],[Step]] &gt; current_step, "",Iterations[[#This Row],[a]]))</f>
        <v/>
      </c>
      <c r="H591" s="2" t="str">
        <f>IF(Iterations[[#This Row],[Step]] =current_step, current_b,IF(Iterations[[#This Row],[Step]] &gt; current_step, "",Iterations[[#This Row],[b]]))</f>
        <v/>
      </c>
      <c r="I591" s="2" t="str">
        <f>IF(Iterations[[#This Row],[Step]] =current_step, current_c,IF(Iterations[[#This Row],[Step]] &gt; current_step, "",Iterations[[#This Row],[c]]))</f>
        <v/>
      </c>
      <c r="J591" s="2" t="str">
        <f>IF(Iterations[[#This Row],[Step]] =current_step, current_d,IF(Iterations[[#This Row],[Step]] &gt; current_step, "",Iterations[[#This Row],[d]]))</f>
        <v/>
      </c>
      <c r="K591" s="2" t="str">
        <f>IF(Iterations[[#This Row],[Step]] =current_step, current_e,IF(Iterations[[#This Row],[Step]] &gt; current_step, "",Iterations[[#This Row],[e]]))</f>
        <v/>
      </c>
      <c r="L591" s="2" t="str">
        <f>IF(Iterations[[#This Row],[Step]] =current_step, current_Total_Loss,IF(Iterations[[#This Row],[Step]] &gt; current_step, "",Iterations[[#This Row],[Total Loss]]))</f>
        <v/>
      </c>
      <c r="M591" s="6" t="s">
        <v>27</v>
      </c>
      <c r="N591" s="2" t="str">
        <f>IF(Iterations[[#This Row],[Step]] =current_step, current_Grad_a,IF(Iterations[[#This Row],[Step]] &gt; current_step, "",Iterations[[#This Row],[Grad_a]]))</f>
        <v/>
      </c>
      <c r="O591" s="2" t="str">
        <f>IF(Iterations[[#This Row],[Step]] =current_step, current_Grad_b,IF(Iterations[[#This Row],[Step]] &gt; current_step, "",Iterations[[#This Row],[Grad_b]]))</f>
        <v/>
      </c>
      <c r="P591" s="2" t="str">
        <f>IF(Iterations[[#This Row],[Step]] =current_step, current_Grad_c,IF(Iterations[[#This Row],[Step]] &gt; current_step, "",Iterations[[#This Row],[Grad_c]]))</f>
        <v/>
      </c>
      <c r="Q591" s="2" t="str">
        <f>IF(Iterations[[#This Row],[Step]] =current_step, current_Grad_d,IF(Iterations[[#This Row],[Step]] &gt; current_step, "",Iterations[[#This Row],[Grad_d]]))</f>
        <v/>
      </c>
      <c r="R591" s="2" t="str">
        <f>IF(Iterations[[#This Row],[Step]] =current_step, current_Grad_e,IF(Iterations[[#This Row],[Step]] &gt; current_step, "",Iterations[[#This Row],[Grad_e]]))</f>
        <v/>
      </c>
    </row>
    <row r="592" spans="6:18" x14ac:dyDescent="0.3">
      <c r="F592" s="2">
        <f t="shared" si="11"/>
        <v>575</v>
      </c>
      <c r="G592" s="2" t="str">
        <f>IF(Iterations[[#This Row],[Step]] =current_step, current_a,IF(Iterations[[#This Row],[Step]] &gt; current_step, "",Iterations[[#This Row],[a]]))</f>
        <v/>
      </c>
      <c r="H592" s="2" t="str">
        <f>IF(Iterations[[#This Row],[Step]] =current_step, current_b,IF(Iterations[[#This Row],[Step]] &gt; current_step, "",Iterations[[#This Row],[b]]))</f>
        <v/>
      </c>
      <c r="I592" s="2" t="str">
        <f>IF(Iterations[[#This Row],[Step]] =current_step, current_c,IF(Iterations[[#This Row],[Step]] &gt; current_step, "",Iterations[[#This Row],[c]]))</f>
        <v/>
      </c>
      <c r="J592" s="2" t="str">
        <f>IF(Iterations[[#This Row],[Step]] =current_step, current_d,IF(Iterations[[#This Row],[Step]] &gt; current_step, "",Iterations[[#This Row],[d]]))</f>
        <v/>
      </c>
      <c r="K592" s="2" t="str">
        <f>IF(Iterations[[#This Row],[Step]] =current_step, current_e,IF(Iterations[[#This Row],[Step]] &gt; current_step, "",Iterations[[#This Row],[e]]))</f>
        <v/>
      </c>
      <c r="L592" s="2" t="str">
        <f>IF(Iterations[[#This Row],[Step]] =current_step, current_Total_Loss,IF(Iterations[[#This Row],[Step]] &gt; current_step, "",Iterations[[#This Row],[Total Loss]]))</f>
        <v/>
      </c>
      <c r="M592" s="6" t="s">
        <v>27</v>
      </c>
      <c r="N592" s="2" t="str">
        <f>IF(Iterations[[#This Row],[Step]] =current_step, current_Grad_a,IF(Iterations[[#This Row],[Step]] &gt; current_step, "",Iterations[[#This Row],[Grad_a]]))</f>
        <v/>
      </c>
      <c r="O592" s="2" t="str">
        <f>IF(Iterations[[#This Row],[Step]] =current_step, current_Grad_b,IF(Iterations[[#This Row],[Step]] &gt; current_step, "",Iterations[[#This Row],[Grad_b]]))</f>
        <v/>
      </c>
      <c r="P592" s="2" t="str">
        <f>IF(Iterations[[#This Row],[Step]] =current_step, current_Grad_c,IF(Iterations[[#This Row],[Step]] &gt; current_step, "",Iterations[[#This Row],[Grad_c]]))</f>
        <v/>
      </c>
      <c r="Q592" s="2" t="str">
        <f>IF(Iterations[[#This Row],[Step]] =current_step, current_Grad_d,IF(Iterations[[#This Row],[Step]] &gt; current_step, "",Iterations[[#This Row],[Grad_d]]))</f>
        <v/>
      </c>
      <c r="R592" s="2" t="str">
        <f>IF(Iterations[[#This Row],[Step]] =current_step, current_Grad_e,IF(Iterations[[#This Row],[Step]] &gt; current_step, "",Iterations[[#This Row],[Grad_e]]))</f>
        <v/>
      </c>
    </row>
    <row r="593" spans="6:18" x14ac:dyDescent="0.3">
      <c r="F593" s="2">
        <f t="shared" si="11"/>
        <v>576</v>
      </c>
      <c r="G593" s="2" t="str">
        <f>IF(Iterations[[#This Row],[Step]] =current_step, current_a,IF(Iterations[[#This Row],[Step]] &gt; current_step, "",Iterations[[#This Row],[a]]))</f>
        <v/>
      </c>
      <c r="H593" s="2" t="str">
        <f>IF(Iterations[[#This Row],[Step]] =current_step, current_b,IF(Iterations[[#This Row],[Step]] &gt; current_step, "",Iterations[[#This Row],[b]]))</f>
        <v/>
      </c>
      <c r="I593" s="2" t="str">
        <f>IF(Iterations[[#This Row],[Step]] =current_step, current_c,IF(Iterations[[#This Row],[Step]] &gt; current_step, "",Iterations[[#This Row],[c]]))</f>
        <v/>
      </c>
      <c r="J593" s="2" t="str">
        <f>IF(Iterations[[#This Row],[Step]] =current_step, current_d,IF(Iterations[[#This Row],[Step]] &gt; current_step, "",Iterations[[#This Row],[d]]))</f>
        <v/>
      </c>
      <c r="K593" s="2" t="str">
        <f>IF(Iterations[[#This Row],[Step]] =current_step, current_e,IF(Iterations[[#This Row],[Step]] &gt; current_step, "",Iterations[[#This Row],[e]]))</f>
        <v/>
      </c>
      <c r="L593" s="2" t="str">
        <f>IF(Iterations[[#This Row],[Step]] =current_step, current_Total_Loss,IF(Iterations[[#This Row],[Step]] &gt; current_step, "",Iterations[[#This Row],[Total Loss]]))</f>
        <v/>
      </c>
      <c r="M593" s="6" t="s">
        <v>27</v>
      </c>
      <c r="N593" s="2" t="str">
        <f>IF(Iterations[[#This Row],[Step]] =current_step, current_Grad_a,IF(Iterations[[#This Row],[Step]] &gt; current_step, "",Iterations[[#This Row],[Grad_a]]))</f>
        <v/>
      </c>
      <c r="O593" s="2" t="str">
        <f>IF(Iterations[[#This Row],[Step]] =current_step, current_Grad_b,IF(Iterations[[#This Row],[Step]] &gt; current_step, "",Iterations[[#This Row],[Grad_b]]))</f>
        <v/>
      </c>
      <c r="P593" s="2" t="str">
        <f>IF(Iterations[[#This Row],[Step]] =current_step, current_Grad_c,IF(Iterations[[#This Row],[Step]] &gt; current_step, "",Iterations[[#This Row],[Grad_c]]))</f>
        <v/>
      </c>
      <c r="Q593" s="2" t="str">
        <f>IF(Iterations[[#This Row],[Step]] =current_step, current_Grad_d,IF(Iterations[[#This Row],[Step]] &gt; current_step, "",Iterations[[#This Row],[Grad_d]]))</f>
        <v/>
      </c>
      <c r="R593" s="2" t="str">
        <f>IF(Iterations[[#This Row],[Step]] =current_step, current_Grad_e,IF(Iterations[[#This Row],[Step]] &gt; current_step, "",Iterations[[#This Row],[Grad_e]]))</f>
        <v/>
      </c>
    </row>
    <row r="594" spans="6:18" x14ac:dyDescent="0.3">
      <c r="F594" s="2">
        <f t="shared" si="11"/>
        <v>577</v>
      </c>
      <c r="G594" s="2" t="str">
        <f>IF(Iterations[[#This Row],[Step]] =current_step, current_a,IF(Iterations[[#This Row],[Step]] &gt; current_step, "",Iterations[[#This Row],[a]]))</f>
        <v/>
      </c>
      <c r="H594" s="2" t="str">
        <f>IF(Iterations[[#This Row],[Step]] =current_step, current_b,IF(Iterations[[#This Row],[Step]] &gt; current_step, "",Iterations[[#This Row],[b]]))</f>
        <v/>
      </c>
      <c r="I594" s="2" t="str">
        <f>IF(Iterations[[#This Row],[Step]] =current_step, current_c,IF(Iterations[[#This Row],[Step]] &gt; current_step, "",Iterations[[#This Row],[c]]))</f>
        <v/>
      </c>
      <c r="J594" s="2" t="str">
        <f>IF(Iterations[[#This Row],[Step]] =current_step, current_d,IF(Iterations[[#This Row],[Step]] &gt; current_step, "",Iterations[[#This Row],[d]]))</f>
        <v/>
      </c>
      <c r="K594" s="2" t="str">
        <f>IF(Iterations[[#This Row],[Step]] =current_step, current_e,IF(Iterations[[#This Row],[Step]] &gt; current_step, "",Iterations[[#This Row],[e]]))</f>
        <v/>
      </c>
      <c r="L594" s="2" t="str">
        <f>IF(Iterations[[#This Row],[Step]] =current_step, current_Total_Loss,IF(Iterations[[#This Row],[Step]] &gt; current_step, "",Iterations[[#This Row],[Total Loss]]))</f>
        <v/>
      </c>
      <c r="M594" s="6" t="s">
        <v>27</v>
      </c>
      <c r="N594" s="2" t="str">
        <f>IF(Iterations[[#This Row],[Step]] =current_step, current_Grad_a,IF(Iterations[[#This Row],[Step]] &gt; current_step, "",Iterations[[#This Row],[Grad_a]]))</f>
        <v/>
      </c>
      <c r="O594" s="2" t="str">
        <f>IF(Iterations[[#This Row],[Step]] =current_step, current_Grad_b,IF(Iterations[[#This Row],[Step]] &gt; current_step, "",Iterations[[#This Row],[Grad_b]]))</f>
        <v/>
      </c>
      <c r="P594" s="2" t="str">
        <f>IF(Iterations[[#This Row],[Step]] =current_step, current_Grad_c,IF(Iterations[[#This Row],[Step]] &gt; current_step, "",Iterations[[#This Row],[Grad_c]]))</f>
        <v/>
      </c>
      <c r="Q594" s="2" t="str">
        <f>IF(Iterations[[#This Row],[Step]] =current_step, current_Grad_d,IF(Iterations[[#This Row],[Step]] &gt; current_step, "",Iterations[[#This Row],[Grad_d]]))</f>
        <v/>
      </c>
      <c r="R594" s="2" t="str">
        <f>IF(Iterations[[#This Row],[Step]] =current_step, current_Grad_e,IF(Iterations[[#This Row],[Step]] &gt; current_step, "",Iterations[[#This Row],[Grad_e]]))</f>
        <v/>
      </c>
    </row>
    <row r="595" spans="6:18" x14ac:dyDescent="0.3">
      <c r="F595" s="2">
        <f t="shared" si="11"/>
        <v>578</v>
      </c>
      <c r="G595" s="2" t="str">
        <f>IF(Iterations[[#This Row],[Step]] =current_step, current_a,IF(Iterations[[#This Row],[Step]] &gt; current_step, "",Iterations[[#This Row],[a]]))</f>
        <v/>
      </c>
      <c r="H595" s="2" t="str">
        <f>IF(Iterations[[#This Row],[Step]] =current_step, current_b,IF(Iterations[[#This Row],[Step]] &gt; current_step, "",Iterations[[#This Row],[b]]))</f>
        <v/>
      </c>
      <c r="I595" s="2" t="str">
        <f>IF(Iterations[[#This Row],[Step]] =current_step, current_c,IF(Iterations[[#This Row],[Step]] &gt; current_step, "",Iterations[[#This Row],[c]]))</f>
        <v/>
      </c>
      <c r="J595" s="2" t="str">
        <f>IF(Iterations[[#This Row],[Step]] =current_step, current_d,IF(Iterations[[#This Row],[Step]] &gt; current_step, "",Iterations[[#This Row],[d]]))</f>
        <v/>
      </c>
      <c r="K595" s="2" t="str">
        <f>IF(Iterations[[#This Row],[Step]] =current_step, current_e,IF(Iterations[[#This Row],[Step]] &gt; current_step, "",Iterations[[#This Row],[e]]))</f>
        <v/>
      </c>
      <c r="L595" s="2" t="str">
        <f>IF(Iterations[[#This Row],[Step]] =current_step, current_Total_Loss,IF(Iterations[[#This Row],[Step]] &gt; current_step, "",Iterations[[#This Row],[Total Loss]]))</f>
        <v/>
      </c>
      <c r="M595" s="6" t="s">
        <v>27</v>
      </c>
      <c r="N595" s="2" t="str">
        <f>IF(Iterations[[#This Row],[Step]] =current_step, current_Grad_a,IF(Iterations[[#This Row],[Step]] &gt; current_step, "",Iterations[[#This Row],[Grad_a]]))</f>
        <v/>
      </c>
      <c r="O595" s="2" t="str">
        <f>IF(Iterations[[#This Row],[Step]] =current_step, current_Grad_b,IF(Iterations[[#This Row],[Step]] &gt; current_step, "",Iterations[[#This Row],[Grad_b]]))</f>
        <v/>
      </c>
      <c r="P595" s="2" t="str">
        <f>IF(Iterations[[#This Row],[Step]] =current_step, current_Grad_c,IF(Iterations[[#This Row],[Step]] &gt; current_step, "",Iterations[[#This Row],[Grad_c]]))</f>
        <v/>
      </c>
      <c r="Q595" s="2" t="str">
        <f>IF(Iterations[[#This Row],[Step]] =current_step, current_Grad_d,IF(Iterations[[#This Row],[Step]] &gt; current_step, "",Iterations[[#This Row],[Grad_d]]))</f>
        <v/>
      </c>
      <c r="R595" s="2" t="str">
        <f>IF(Iterations[[#This Row],[Step]] =current_step, current_Grad_e,IF(Iterations[[#This Row],[Step]] &gt; current_step, "",Iterations[[#This Row],[Grad_e]]))</f>
        <v/>
      </c>
    </row>
    <row r="596" spans="6:18" x14ac:dyDescent="0.3">
      <c r="F596" s="2">
        <f t="shared" si="11"/>
        <v>579</v>
      </c>
      <c r="G596" s="2" t="str">
        <f>IF(Iterations[[#This Row],[Step]] =current_step, current_a,IF(Iterations[[#This Row],[Step]] &gt; current_step, "",Iterations[[#This Row],[a]]))</f>
        <v/>
      </c>
      <c r="H596" s="2" t="str">
        <f>IF(Iterations[[#This Row],[Step]] =current_step, current_b,IF(Iterations[[#This Row],[Step]] &gt; current_step, "",Iterations[[#This Row],[b]]))</f>
        <v/>
      </c>
      <c r="I596" s="2" t="str">
        <f>IF(Iterations[[#This Row],[Step]] =current_step, current_c,IF(Iterations[[#This Row],[Step]] &gt; current_step, "",Iterations[[#This Row],[c]]))</f>
        <v/>
      </c>
      <c r="J596" s="2" t="str">
        <f>IF(Iterations[[#This Row],[Step]] =current_step, current_d,IF(Iterations[[#This Row],[Step]] &gt; current_step, "",Iterations[[#This Row],[d]]))</f>
        <v/>
      </c>
      <c r="K596" s="2" t="str">
        <f>IF(Iterations[[#This Row],[Step]] =current_step, current_e,IF(Iterations[[#This Row],[Step]] &gt; current_step, "",Iterations[[#This Row],[e]]))</f>
        <v/>
      </c>
      <c r="L596" s="2" t="str">
        <f>IF(Iterations[[#This Row],[Step]] =current_step, current_Total_Loss,IF(Iterations[[#This Row],[Step]] &gt; current_step, "",Iterations[[#This Row],[Total Loss]]))</f>
        <v/>
      </c>
      <c r="M596" s="6" t="s">
        <v>27</v>
      </c>
      <c r="N596" s="2" t="str">
        <f>IF(Iterations[[#This Row],[Step]] =current_step, current_Grad_a,IF(Iterations[[#This Row],[Step]] &gt; current_step, "",Iterations[[#This Row],[Grad_a]]))</f>
        <v/>
      </c>
      <c r="O596" s="2" t="str">
        <f>IF(Iterations[[#This Row],[Step]] =current_step, current_Grad_b,IF(Iterations[[#This Row],[Step]] &gt; current_step, "",Iterations[[#This Row],[Grad_b]]))</f>
        <v/>
      </c>
      <c r="P596" s="2" t="str">
        <f>IF(Iterations[[#This Row],[Step]] =current_step, current_Grad_c,IF(Iterations[[#This Row],[Step]] &gt; current_step, "",Iterations[[#This Row],[Grad_c]]))</f>
        <v/>
      </c>
      <c r="Q596" s="2" t="str">
        <f>IF(Iterations[[#This Row],[Step]] =current_step, current_Grad_d,IF(Iterations[[#This Row],[Step]] &gt; current_step, "",Iterations[[#This Row],[Grad_d]]))</f>
        <v/>
      </c>
      <c r="R596" s="2" t="str">
        <f>IF(Iterations[[#This Row],[Step]] =current_step, current_Grad_e,IF(Iterations[[#This Row],[Step]] &gt; current_step, "",Iterations[[#This Row],[Grad_e]]))</f>
        <v/>
      </c>
    </row>
    <row r="597" spans="6:18" x14ac:dyDescent="0.3">
      <c r="F597" s="2">
        <f t="shared" si="11"/>
        <v>580</v>
      </c>
      <c r="G597" s="2" t="str">
        <f>IF(Iterations[[#This Row],[Step]] =current_step, current_a,IF(Iterations[[#This Row],[Step]] &gt; current_step, "",Iterations[[#This Row],[a]]))</f>
        <v/>
      </c>
      <c r="H597" s="2" t="str">
        <f>IF(Iterations[[#This Row],[Step]] =current_step, current_b,IF(Iterations[[#This Row],[Step]] &gt; current_step, "",Iterations[[#This Row],[b]]))</f>
        <v/>
      </c>
      <c r="I597" s="2" t="str">
        <f>IF(Iterations[[#This Row],[Step]] =current_step, current_c,IF(Iterations[[#This Row],[Step]] &gt; current_step, "",Iterations[[#This Row],[c]]))</f>
        <v/>
      </c>
      <c r="J597" s="2" t="str">
        <f>IF(Iterations[[#This Row],[Step]] =current_step, current_d,IF(Iterations[[#This Row],[Step]] &gt; current_step, "",Iterations[[#This Row],[d]]))</f>
        <v/>
      </c>
      <c r="K597" s="2" t="str">
        <f>IF(Iterations[[#This Row],[Step]] =current_step, current_e,IF(Iterations[[#This Row],[Step]] &gt; current_step, "",Iterations[[#This Row],[e]]))</f>
        <v/>
      </c>
      <c r="L597" s="2" t="str">
        <f>IF(Iterations[[#This Row],[Step]] =current_step, current_Total_Loss,IF(Iterations[[#This Row],[Step]] &gt; current_step, "",Iterations[[#This Row],[Total Loss]]))</f>
        <v/>
      </c>
      <c r="M597" s="6" t="s">
        <v>27</v>
      </c>
      <c r="N597" s="2" t="str">
        <f>IF(Iterations[[#This Row],[Step]] =current_step, current_Grad_a,IF(Iterations[[#This Row],[Step]] &gt; current_step, "",Iterations[[#This Row],[Grad_a]]))</f>
        <v/>
      </c>
      <c r="O597" s="2" t="str">
        <f>IF(Iterations[[#This Row],[Step]] =current_step, current_Grad_b,IF(Iterations[[#This Row],[Step]] &gt; current_step, "",Iterations[[#This Row],[Grad_b]]))</f>
        <v/>
      </c>
      <c r="P597" s="2" t="str">
        <f>IF(Iterations[[#This Row],[Step]] =current_step, current_Grad_c,IF(Iterations[[#This Row],[Step]] &gt; current_step, "",Iterations[[#This Row],[Grad_c]]))</f>
        <v/>
      </c>
      <c r="Q597" s="2" t="str">
        <f>IF(Iterations[[#This Row],[Step]] =current_step, current_Grad_d,IF(Iterations[[#This Row],[Step]] &gt; current_step, "",Iterations[[#This Row],[Grad_d]]))</f>
        <v/>
      </c>
      <c r="R597" s="2" t="str">
        <f>IF(Iterations[[#This Row],[Step]] =current_step, current_Grad_e,IF(Iterations[[#This Row],[Step]] &gt; current_step, "",Iterations[[#This Row],[Grad_e]]))</f>
        <v/>
      </c>
    </row>
    <row r="598" spans="6:18" x14ac:dyDescent="0.3">
      <c r="F598" s="2">
        <f t="shared" si="11"/>
        <v>581</v>
      </c>
      <c r="G598" s="2" t="str">
        <f>IF(Iterations[[#This Row],[Step]] =current_step, current_a,IF(Iterations[[#This Row],[Step]] &gt; current_step, "",Iterations[[#This Row],[a]]))</f>
        <v/>
      </c>
      <c r="H598" s="2" t="str">
        <f>IF(Iterations[[#This Row],[Step]] =current_step, current_b,IF(Iterations[[#This Row],[Step]] &gt; current_step, "",Iterations[[#This Row],[b]]))</f>
        <v/>
      </c>
      <c r="I598" s="2" t="str">
        <f>IF(Iterations[[#This Row],[Step]] =current_step, current_c,IF(Iterations[[#This Row],[Step]] &gt; current_step, "",Iterations[[#This Row],[c]]))</f>
        <v/>
      </c>
      <c r="J598" s="2" t="str">
        <f>IF(Iterations[[#This Row],[Step]] =current_step, current_d,IF(Iterations[[#This Row],[Step]] &gt; current_step, "",Iterations[[#This Row],[d]]))</f>
        <v/>
      </c>
      <c r="K598" s="2" t="str">
        <f>IF(Iterations[[#This Row],[Step]] =current_step, current_e,IF(Iterations[[#This Row],[Step]] &gt; current_step, "",Iterations[[#This Row],[e]]))</f>
        <v/>
      </c>
      <c r="L598" s="2" t="str">
        <f>IF(Iterations[[#This Row],[Step]] =current_step, current_Total_Loss,IF(Iterations[[#This Row],[Step]] &gt; current_step, "",Iterations[[#This Row],[Total Loss]]))</f>
        <v/>
      </c>
      <c r="M598" s="6" t="s">
        <v>27</v>
      </c>
      <c r="N598" s="2" t="str">
        <f>IF(Iterations[[#This Row],[Step]] =current_step, current_Grad_a,IF(Iterations[[#This Row],[Step]] &gt; current_step, "",Iterations[[#This Row],[Grad_a]]))</f>
        <v/>
      </c>
      <c r="O598" s="2" t="str">
        <f>IF(Iterations[[#This Row],[Step]] =current_step, current_Grad_b,IF(Iterations[[#This Row],[Step]] &gt; current_step, "",Iterations[[#This Row],[Grad_b]]))</f>
        <v/>
      </c>
      <c r="P598" s="2" t="str">
        <f>IF(Iterations[[#This Row],[Step]] =current_step, current_Grad_c,IF(Iterations[[#This Row],[Step]] &gt; current_step, "",Iterations[[#This Row],[Grad_c]]))</f>
        <v/>
      </c>
      <c r="Q598" s="2" t="str">
        <f>IF(Iterations[[#This Row],[Step]] =current_step, current_Grad_d,IF(Iterations[[#This Row],[Step]] &gt; current_step, "",Iterations[[#This Row],[Grad_d]]))</f>
        <v/>
      </c>
      <c r="R598" s="2" t="str">
        <f>IF(Iterations[[#This Row],[Step]] =current_step, current_Grad_e,IF(Iterations[[#This Row],[Step]] &gt; current_step, "",Iterations[[#This Row],[Grad_e]]))</f>
        <v/>
      </c>
    </row>
    <row r="599" spans="6:18" x14ac:dyDescent="0.3">
      <c r="F599" s="2">
        <f t="shared" si="11"/>
        <v>582</v>
      </c>
      <c r="G599" s="2" t="str">
        <f>IF(Iterations[[#This Row],[Step]] =current_step, current_a,IF(Iterations[[#This Row],[Step]] &gt; current_step, "",Iterations[[#This Row],[a]]))</f>
        <v/>
      </c>
      <c r="H599" s="2" t="str">
        <f>IF(Iterations[[#This Row],[Step]] =current_step, current_b,IF(Iterations[[#This Row],[Step]] &gt; current_step, "",Iterations[[#This Row],[b]]))</f>
        <v/>
      </c>
      <c r="I599" s="2" t="str">
        <f>IF(Iterations[[#This Row],[Step]] =current_step, current_c,IF(Iterations[[#This Row],[Step]] &gt; current_step, "",Iterations[[#This Row],[c]]))</f>
        <v/>
      </c>
      <c r="J599" s="2" t="str">
        <f>IF(Iterations[[#This Row],[Step]] =current_step, current_d,IF(Iterations[[#This Row],[Step]] &gt; current_step, "",Iterations[[#This Row],[d]]))</f>
        <v/>
      </c>
      <c r="K599" s="2" t="str">
        <f>IF(Iterations[[#This Row],[Step]] =current_step, current_e,IF(Iterations[[#This Row],[Step]] &gt; current_step, "",Iterations[[#This Row],[e]]))</f>
        <v/>
      </c>
      <c r="L599" s="2" t="str">
        <f>IF(Iterations[[#This Row],[Step]] =current_step, current_Total_Loss,IF(Iterations[[#This Row],[Step]] &gt; current_step, "",Iterations[[#This Row],[Total Loss]]))</f>
        <v/>
      </c>
      <c r="M599" s="6" t="s">
        <v>27</v>
      </c>
      <c r="N599" s="2" t="str">
        <f>IF(Iterations[[#This Row],[Step]] =current_step, current_Grad_a,IF(Iterations[[#This Row],[Step]] &gt; current_step, "",Iterations[[#This Row],[Grad_a]]))</f>
        <v/>
      </c>
      <c r="O599" s="2" t="str">
        <f>IF(Iterations[[#This Row],[Step]] =current_step, current_Grad_b,IF(Iterations[[#This Row],[Step]] &gt; current_step, "",Iterations[[#This Row],[Grad_b]]))</f>
        <v/>
      </c>
      <c r="P599" s="2" t="str">
        <f>IF(Iterations[[#This Row],[Step]] =current_step, current_Grad_c,IF(Iterations[[#This Row],[Step]] &gt; current_step, "",Iterations[[#This Row],[Grad_c]]))</f>
        <v/>
      </c>
      <c r="Q599" s="2" t="str">
        <f>IF(Iterations[[#This Row],[Step]] =current_step, current_Grad_d,IF(Iterations[[#This Row],[Step]] &gt; current_step, "",Iterations[[#This Row],[Grad_d]]))</f>
        <v/>
      </c>
      <c r="R599" s="2" t="str">
        <f>IF(Iterations[[#This Row],[Step]] =current_step, current_Grad_e,IF(Iterations[[#This Row],[Step]] &gt; current_step, "",Iterations[[#This Row],[Grad_e]]))</f>
        <v/>
      </c>
    </row>
    <row r="600" spans="6:18" x14ac:dyDescent="0.3">
      <c r="F600" s="2">
        <f t="shared" si="11"/>
        <v>583</v>
      </c>
      <c r="G600" s="2" t="str">
        <f>IF(Iterations[[#This Row],[Step]] =current_step, current_a,IF(Iterations[[#This Row],[Step]] &gt; current_step, "",Iterations[[#This Row],[a]]))</f>
        <v/>
      </c>
      <c r="H600" s="2" t="str">
        <f>IF(Iterations[[#This Row],[Step]] =current_step, current_b,IF(Iterations[[#This Row],[Step]] &gt; current_step, "",Iterations[[#This Row],[b]]))</f>
        <v/>
      </c>
      <c r="I600" s="2" t="str">
        <f>IF(Iterations[[#This Row],[Step]] =current_step, current_c,IF(Iterations[[#This Row],[Step]] &gt; current_step, "",Iterations[[#This Row],[c]]))</f>
        <v/>
      </c>
      <c r="J600" s="2" t="str">
        <f>IF(Iterations[[#This Row],[Step]] =current_step, current_d,IF(Iterations[[#This Row],[Step]] &gt; current_step, "",Iterations[[#This Row],[d]]))</f>
        <v/>
      </c>
      <c r="K600" s="2" t="str">
        <f>IF(Iterations[[#This Row],[Step]] =current_step, current_e,IF(Iterations[[#This Row],[Step]] &gt; current_step, "",Iterations[[#This Row],[e]]))</f>
        <v/>
      </c>
      <c r="L600" s="2" t="str">
        <f>IF(Iterations[[#This Row],[Step]] =current_step, current_Total_Loss,IF(Iterations[[#This Row],[Step]] &gt; current_step, "",Iterations[[#This Row],[Total Loss]]))</f>
        <v/>
      </c>
      <c r="M600" s="6" t="s">
        <v>27</v>
      </c>
      <c r="N600" s="2" t="str">
        <f>IF(Iterations[[#This Row],[Step]] =current_step, current_Grad_a,IF(Iterations[[#This Row],[Step]] &gt; current_step, "",Iterations[[#This Row],[Grad_a]]))</f>
        <v/>
      </c>
      <c r="O600" s="2" t="str">
        <f>IF(Iterations[[#This Row],[Step]] =current_step, current_Grad_b,IF(Iterations[[#This Row],[Step]] &gt; current_step, "",Iterations[[#This Row],[Grad_b]]))</f>
        <v/>
      </c>
      <c r="P600" s="2" t="str">
        <f>IF(Iterations[[#This Row],[Step]] =current_step, current_Grad_c,IF(Iterations[[#This Row],[Step]] &gt; current_step, "",Iterations[[#This Row],[Grad_c]]))</f>
        <v/>
      </c>
      <c r="Q600" s="2" t="str">
        <f>IF(Iterations[[#This Row],[Step]] =current_step, current_Grad_d,IF(Iterations[[#This Row],[Step]] &gt; current_step, "",Iterations[[#This Row],[Grad_d]]))</f>
        <v/>
      </c>
      <c r="R600" s="2" t="str">
        <f>IF(Iterations[[#This Row],[Step]] =current_step, current_Grad_e,IF(Iterations[[#This Row],[Step]] &gt; current_step, "",Iterations[[#This Row],[Grad_e]]))</f>
        <v/>
      </c>
    </row>
    <row r="601" spans="6:18" x14ac:dyDescent="0.3">
      <c r="F601" s="2">
        <f t="shared" si="11"/>
        <v>584</v>
      </c>
      <c r="G601" s="2" t="str">
        <f>IF(Iterations[[#This Row],[Step]] =current_step, current_a,IF(Iterations[[#This Row],[Step]] &gt; current_step, "",Iterations[[#This Row],[a]]))</f>
        <v/>
      </c>
      <c r="H601" s="2" t="str">
        <f>IF(Iterations[[#This Row],[Step]] =current_step, current_b,IF(Iterations[[#This Row],[Step]] &gt; current_step, "",Iterations[[#This Row],[b]]))</f>
        <v/>
      </c>
      <c r="I601" s="2" t="str">
        <f>IF(Iterations[[#This Row],[Step]] =current_step, current_c,IF(Iterations[[#This Row],[Step]] &gt; current_step, "",Iterations[[#This Row],[c]]))</f>
        <v/>
      </c>
      <c r="J601" s="2" t="str">
        <f>IF(Iterations[[#This Row],[Step]] =current_step, current_d,IF(Iterations[[#This Row],[Step]] &gt; current_step, "",Iterations[[#This Row],[d]]))</f>
        <v/>
      </c>
      <c r="K601" s="2" t="str">
        <f>IF(Iterations[[#This Row],[Step]] =current_step, current_e,IF(Iterations[[#This Row],[Step]] &gt; current_step, "",Iterations[[#This Row],[e]]))</f>
        <v/>
      </c>
      <c r="L601" s="2" t="str">
        <f>IF(Iterations[[#This Row],[Step]] =current_step, current_Total_Loss,IF(Iterations[[#This Row],[Step]] &gt; current_step, "",Iterations[[#This Row],[Total Loss]]))</f>
        <v/>
      </c>
      <c r="M601" s="6" t="s">
        <v>27</v>
      </c>
      <c r="N601" s="2" t="str">
        <f>IF(Iterations[[#This Row],[Step]] =current_step, current_Grad_a,IF(Iterations[[#This Row],[Step]] &gt; current_step, "",Iterations[[#This Row],[Grad_a]]))</f>
        <v/>
      </c>
      <c r="O601" s="2" t="str">
        <f>IF(Iterations[[#This Row],[Step]] =current_step, current_Grad_b,IF(Iterations[[#This Row],[Step]] &gt; current_step, "",Iterations[[#This Row],[Grad_b]]))</f>
        <v/>
      </c>
      <c r="P601" s="2" t="str">
        <f>IF(Iterations[[#This Row],[Step]] =current_step, current_Grad_c,IF(Iterations[[#This Row],[Step]] &gt; current_step, "",Iterations[[#This Row],[Grad_c]]))</f>
        <v/>
      </c>
      <c r="Q601" s="2" t="str">
        <f>IF(Iterations[[#This Row],[Step]] =current_step, current_Grad_d,IF(Iterations[[#This Row],[Step]] &gt; current_step, "",Iterations[[#This Row],[Grad_d]]))</f>
        <v/>
      </c>
      <c r="R601" s="2" t="str">
        <f>IF(Iterations[[#This Row],[Step]] =current_step, current_Grad_e,IF(Iterations[[#This Row],[Step]] &gt; current_step, "",Iterations[[#This Row],[Grad_e]]))</f>
        <v/>
      </c>
    </row>
    <row r="602" spans="6:18" x14ac:dyDescent="0.3">
      <c r="F602" s="2">
        <f t="shared" si="11"/>
        <v>585</v>
      </c>
      <c r="G602" s="2" t="str">
        <f>IF(Iterations[[#This Row],[Step]] =current_step, current_a,IF(Iterations[[#This Row],[Step]] &gt; current_step, "",Iterations[[#This Row],[a]]))</f>
        <v/>
      </c>
      <c r="H602" s="2" t="str">
        <f>IF(Iterations[[#This Row],[Step]] =current_step, current_b,IF(Iterations[[#This Row],[Step]] &gt; current_step, "",Iterations[[#This Row],[b]]))</f>
        <v/>
      </c>
      <c r="I602" s="2" t="str">
        <f>IF(Iterations[[#This Row],[Step]] =current_step, current_c,IF(Iterations[[#This Row],[Step]] &gt; current_step, "",Iterations[[#This Row],[c]]))</f>
        <v/>
      </c>
      <c r="J602" s="2" t="str">
        <f>IF(Iterations[[#This Row],[Step]] =current_step, current_d,IF(Iterations[[#This Row],[Step]] &gt; current_step, "",Iterations[[#This Row],[d]]))</f>
        <v/>
      </c>
      <c r="K602" s="2" t="str">
        <f>IF(Iterations[[#This Row],[Step]] =current_step, current_e,IF(Iterations[[#This Row],[Step]] &gt; current_step, "",Iterations[[#This Row],[e]]))</f>
        <v/>
      </c>
      <c r="L602" s="2" t="str">
        <f>IF(Iterations[[#This Row],[Step]] =current_step, current_Total_Loss,IF(Iterations[[#This Row],[Step]] &gt; current_step, "",Iterations[[#This Row],[Total Loss]]))</f>
        <v/>
      </c>
      <c r="M602" s="6" t="s">
        <v>27</v>
      </c>
      <c r="N602" s="2" t="str">
        <f>IF(Iterations[[#This Row],[Step]] =current_step, current_Grad_a,IF(Iterations[[#This Row],[Step]] &gt; current_step, "",Iterations[[#This Row],[Grad_a]]))</f>
        <v/>
      </c>
      <c r="O602" s="2" t="str">
        <f>IF(Iterations[[#This Row],[Step]] =current_step, current_Grad_b,IF(Iterations[[#This Row],[Step]] &gt; current_step, "",Iterations[[#This Row],[Grad_b]]))</f>
        <v/>
      </c>
      <c r="P602" s="2" t="str">
        <f>IF(Iterations[[#This Row],[Step]] =current_step, current_Grad_c,IF(Iterations[[#This Row],[Step]] &gt; current_step, "",Iterations[[#This Row],[Grad_c]]))</f>
        <v/>
      </c>
      <c r="Q602" s="2" t="str">
        <f>IF(Iterations[[#This Row],[Step]] =current_step, current_Grad_d,IF(Iterations[[#This Row],[Step]] &gt; current_step, "",Iterations[[#This Row],[Grad_d]]))</f>
        <v/>
      </c>
      <c r="R602" s="2" t="str">
        <f>IF(Iterations[[#This Row],[Step]] =current_step, current_Grad_e,IF(Iterations[[#This Row],[Step]] &gt; current_step, "",Iterations[[#This Row],[Grad_e]]))</f>
        <v/>
      </c>
    </row>
    <row r="603" spans="6:18" x14ac:dyDescent="0.3">
      <c r="F603" s="2">
        <f t="shared" si="11"/>
        <v>586</v>
      </c>
      <c r="G603" s="2" t="str">
        <f>IF(Iterations[[#This Row],[Step]] =current_step, current_a,IF(Iterations[[#This Row],[Step]] &gt; current_step, "",Iterations[[#This Row],[a]]))</f>
        <v/>
      </c>
      <c r="H603" s="2" t="str">
        <f>IF(Iterations[[#This Row],[Step]] =current_step, current_b,IF(Iterations[[#This Row],[Step]] &gt; current_step, "",Iterations[[#This Row],[b]]))</f>
        <v/>
      </c>
      <c r="I603" s="2" t="str">
        <f>IF(Iterations[[#This Row],[Step]] =current_step, current_c,IF(Iterations[[#This Row],[Step]] &gt; current_step, "",Iterations[[#This Row],[c]]))</f>
        <v/>
      </c>
      <c r="J603" s="2" t="str">
        <f>IF(Iterations[[#This Row],[Step]] =current_step, current_d,IF(Iterations[[#This Row],[Step]] &gt; current_step, "",Iterations[[#This Row],[d]]))</f>
        <v/>
      </c>
      <c r="K603" s="2" t="str">
        <f>IF(Iterations[[#This Row],[Step]] =current_step, current_e,IF(Iterations[[#This Row],[Step]] &gt; current_step, "",Iterations[[#This Row],[e]]))</f>
        <v/>
      </c>
      <c r="L603" s="2" t="str">
        <f>IF(Iterations[[#This Row],[Step]] =current_step, current_Total_Loss,IF(Iterations[[#This Row],[Step]] &gt; current_step, "",Iterations[[#This Row],[Total Loss]]))</f>
        <v/>
      </c>
      <c r="M603" s="6" t="s">
        <v>27</v>
      </c>
      <c r="N603" s="2" t="str">
        <f>IF(Iterations[[#This Row],[Step]] =current_step, current_Grad_a,IF(Iterations[[#This Row],[Step]] &gt; current_step, "",Iterations[[#This Row],[Grad_a]]))</f>
        <v/>
      </c>
      <c r="O603" s="2" t="str">
        <f>IF(Iterations[[#This Row],[Step]] =current_step, current_Grad_b,IF(Iterations[[#This Row],[Step]] &gt; current_step, "",Iterations[[#This Row],[Grad_b]]))</f>
        <v/>
      </c>
      <c r="P603" s="2" t="str">
        <f>IF(Iterations[[#This Row],[Step]] =current_step, current_Grad_c,IF(Iterations[[#This Row],[Step]] &gt; current_step, "",Iterations[[#This Row],[Grad_c]]))</f>
        <v/>
      </c>
      <c r="Q603" s="2" t="str">
        <f>IF(Iterations[[#This Row],[Step]] =current_step, current_Grad_d,IF(Iterations[[#This Row],[Step]] &gt; current_step, "",Iterations[[#This Row],[Grad_d]]))</f>
        <v/>
      </c>
      <c r="R603" s="2" t="str">
        <f>IF(Iterations[[#This Row],[Step]] =current_step, current_Grad_e,IF(Iterations[[#This Row],[Step]] &gt; current_step, "",Iterations[[#This Row],[Grad_e]]))</f>
        <v/>
      </c>
    </row>
    <row r="604" spans="6:18" x14ac:dyDescent="0.3">
      <c r="F604" s="2">
        <f t="shared" si="11"/>
        <v>587</v>
      </c>
      <c r="G604" s="2" t="str">
        <f>IF(Iterations[[#This Row],[Step]] =current_step, current_a,IF(Iterations[[#This Row],[Step]] &gt; current_step, "",Iterations[[#This Row],[a]]))</f>
        <v/>
      </c>
      <c r="H604" s="2" t="str">
        <f>IF(Iterations[[#This Row],[Step]] =current_step, current_b,IF(Iterations[[#This Row],[Step]] &gt; current_step, "",Iterations[[#This Row],[b]]))</f>
        <v/>
      </c>
      <c r="I604" s="2" t="str">
        <f>IF(Iterations[[#This Row],[Step]] =current_step, current_c,IF(Iterations[[#This Row],[Step]] &gt; current_step, "",Iterations[[#This Row],[c]]))</f>
        <v/>
      </c>
      <c r="J604" s="2" t="str">
        <f>IF(Iterations[[#This Row],[Step]] =current_step, current_d,IF(Iterations[[#This Row],[Step]] &gt; current_step, "",Iterations[[#This Row],[d]]))</f>
        <v/>
      </c>
      <c r="K604" s="2" t="str">
        <f>IF(Iterations[[#This Row],[Step]] =current_step, current_e,IF(Iterations[[#This Row],[Step]] &gt; current_step, "",Iterations[[#This Row],[e]]))</f>
        <v/>
      </c>
      <c r="L604" s="2" t="str">
        <f>IF(Iterations[[#This Row],[Step]] =current_step, current_Total_Loss,IF(Iterations[[#This Row],[Step]] &gt; current_step, "",Iterations[[#This Row],[Total Loss]]))</f>
        <v/>
      </c>
      <c r="M604" s="6" t="s">
        <v>27</v>
      </c>
      <c r="N604" s="2" t="str">
        <f>IF(Iterations[[#This Row],[Step]] =current_step, current_Grad_a,IF(Iterations[[#This Row],[Step]] &gt; current_step, "",Iterations[[#This Row],[Grad_a]]))</f>
        <v/>
      </c>
      <c r="O604" s="2" t="str">
        <f>IF(Iterations[[#This Row],[Step]] =current_step, current_Grad_b,IF(Iterations[[#This Row],[Step]] &gt; current_step, "",Iterations[[#This Row],[Grad_b]]))</f>
        <v/>
      </c>
      <c r="P604" s="2" t="str">
        <f>IF(Iterations[[#This Row],[Step]] =current_step, current_Grad_c,IF(Iterations[[#This Row],[Step]] &gt; current_step, "",Iterations[[#This Row],[Grad_c]]))</f>
        <v/>
      </c>
      <c r="Q604" s="2" t="str">
        <f>IF(Iterations[[#This Row],[Step]] =current_step, current_Grad_d,IF(Iterations[[#This Row],[Step]] &gt; current_step, "",Iterations[[#This Row],[Grad_d]]))</f>
        <v/>
      </c>
      <c r="R604" s="2" t="str">
        <f>IF(Iterations[[#This Row],[Step]] =current_step, current_Grad_e,IF(Iterations[[#This Row],[Step]] &gt; current_step, "",Iterations[[#This Row],[Grad_e]]))</f>
        <v/>
      </c>
    </row>
    <row r="605" spans="6:18" x14ac:dyDescent="0.3">
      <c r="F605" s="2">
        <f t="shared" si="11"/>
        <v>588</v>
      </c>
      <c r="G605" s="2" t="str">
        <f>IF(Iterations[[#This Row],[Step]] =current_step, current_a,IF(Iterations[[#This Row],[Step]] &gt; current_step, "",Iterations[[#This Row],[a]]))</f>
        <v/>
      </c>
      <c r="H605" s="2" t="str">
        <f>IF(Iterations[[#This Row],[Step]] =current_step, current_b,IF(Iterations[[#This Row],[Step]] &gt; current_step, "",Iterations[[#This Row],[b]]))</f>
        <v/>
      </c>
      <c r="I605" s="2" t="str">
        <f>IF(Iterations[[#This Row],[Step]] =current_step, current_c,IF(Iterations[[#This Row],[Step]] &gt; current_step, "",Iterations[[#This Row],[c]]))</f>
        <v/>
      </c>
      <c r="J605" s="2" t="str">
        <f>IF(Iterations[[#This Row],[Step]] =current_step, current_d,IF(Iterations[[#This Row],[Step]] &gt; current_step, "",Iterations[[#This Row],[d]]))</f>
        <v/>
      </c>
      <c r="K605" s="2" t="str">
        <f>IF(Iterations[[#This Row],[Step]] =current_step, current_e,IF(Iterations[[#This Row],[Step]] &gt; current_step, "",Iterations[[#This Row],[e]]))</f>
        <v/>
      </c>
      <c r="L605" s="2" t="str">
        <f>IF(Iterations[[#This Row],[Step]] =current_step, current_Total_Loss,IF(Iterations[[#This Row],[Step]] &gt; current_step, "",Iterations[[#This Row],[Total Loss]]))</f>
        <v/>
      </c>
      <c r="M605" s="6" t="s">
        <v>27</v>
      </c>
      <c r="N605" s="2" t="str">
        <f>IF(Iterations[[#This Row],[Step]] =current_step, current_Grad_a,IF(Iterations[[#This Row],[Step]] &gt; current_step, "",Iterations[[#This Row],[Grad_a]]))</f>
        <v/>
      </c>
      <c r="O605" s="2" t="str">
        <f>IF(Iterations[[#This Row],[Step]] =current_step, current_Grad_b,IF(Iterations[[#This Row],[Step]] &gt; current_step, "",Iterations[[#This Row],[Grad_b]]))</f>
        <v/>
      </c>
      <c r="P605" s="2" t="str">
        <f>IF(Iterations[[#This Row],[Step]] =current_step, current_Grad_c,IF(Iterations[[#This Row],[Step]] &gt; current_step, "",Iterations[[#This Row],[Grad_c]]))</f>
        <v/>
      </c>
      <c r="Q605" s="2" t="str">
        <f>IF(Iterations[[#This Row],[Step]] =current_step, current_Grad_d,IF(Iterations[[#This Row],[Step]] &gt; current_step, "",Iterations[[#This Row],[Grad_d]]))</f>
        <v/>
      </c>
      <c r="R605" s="2" t="str">
        <f>IF(Iterations[[#This Row],[Step]] =current_step, current_Grad_e,IF(Iterations[[#This Row],[Step]] &gt; current_step, "",Iterations[[#This Row],[Grad_e]]))</f>
        <v/>
      </c>
    </row>
    <row r="606" spans="6:18" x14ac:dyDescent="0.3">
      <c r="F606" s="2">
        <f t="shared" si="11"/>
        <v>589</v>
      </c>
      <c r="G606" s="2" t="str">
        <f>IF(Iterations[[#This Row],[Step]] =current_step, current_a,IF(Iterations[[#This Row],[Step]] &gt; current_step, "",Iterations[[#This Row],[a]]))</f>
        <v/>
      </c>
      <c r="H606" s="2" t="str">
        <f>IF(Iterations[[#This Row],[Step]] =current_step, current_b,IF(Iterations[[#This Row],[Step]] &gt; current_step, "",Iterations[[#This Row],[b]]))</f>
        <v/>
      </c>
      <c r="I606" s="2" t="str">
        <f>IF(Iterations[[#This Row],[Step]] =current_step, current_c,IF(Iterations[[#This Row],[Step]] &gt; current_step, "",Iterations[[#This Row],[c]]))</f>
        <v/>
      </c>
      <c r="J606" s="2" t="str">
        <f>IF(Iterations[[#This Row],[Step]] =current_step, current_d,IF(Iterations[[#This Row],[Step]] &gt; current_step, "",Iterations[[#This Row],[d]]))</f>
        <v/>
      </c>
      <c r="K606" s="2" t="str">
        <f>IF(Iterations[[#This Row],[Step]] =current_step, current_e,IF(Iterations[[#This Row],[Step]] &gt; current_step, "",Iterations[[#This Row],[e]]))</f>
        <v/>
      </c>
      <c r="L606" s="2" t="str">
        <f>IF(Iterations[[#This Row],[Step]] =current_step, current_Total_Loss,IF(Iterations[[#This Row],[Step]] &gt; current_step, "",Iterations[[#This Row],[Total Loss]]))</f>
        <v/>
      </c>
      <c r="M606" s="6" t="s">
        <v>27</v>
      </c>
      <c r="N606" s="2" t="str">
        <f>IF(Iterations[[#This Row],[Step]] =current_step, current_Grad_a,IF(Iterations[[#This Row],[Step]] &gt; current_step, "",Iterations[[#This Row],[Grad_a]]))</f>
        <v/>
      </c>
      <c r="O606" s="2" t="str">
        <f>IF(Iterations[[#This Row],[Step]] =current_step, current_Grad_b,IF(Iterations[[#This Row],[Step]] &gt; current_step, "",Iterations[[#This Row],[Grad_b]]))</f>
        <v/>
      </c>
      <c r="P606" s="2" t="str">
        <f>IF(Iterations[[#This Row],[Step]] =current_step, current_Grad_c,IF(Iterations[[#This Row],[Step]] &gt; current_step, "",Iterations[[#This Row],[Grad_c]]))</f>
        <v/>
      </c>
      <c r="Q606" s="2" t="str">
        <f>IF(Iterations[[#This Row],[Step]] =current_step, current_Grad_d,IF(Iterations[[#This Row],[Step]] &gt; current_step, "",Iterations[[#This Row],[Grad_d]]))</f>
        <v/>
      </c>
      <c r="R606" s="2" t="str">
        <f>IF(Iterations[[#This Row],[Step]] =current_step, current_Grad_e,IF(Iterations[[#This Row],[Step]] &gt; current_step, "",Iterations[[#This Row],[Grad_e]]))</f>
        <v/>
      </c>
    </row>
    <row r="607" spans="6:18" x14ac:dyDescent="0.3">
      <c r="F607" s="2">
        <f t="shared" si="11"/>
        <v>590</v>
      </c>
      <c r="G607" s="2" t="str">
        <f>IF(Iterations[[#This Row],[Step]] =current_step, current_a,IF(Iterations[[#This Row],[Step]] &gt; current_step, "",Iterations[[#This Row],[a]]))</f>
        <v/>
      </c>
      <c r="H607" s="2" t="str">
        <f>IF(Iterations[[#This Row],[Step]] =current_step, current_b,IF(Iterations[[#This Row],[Step]] &gt; current_step, "",Iterations[[#This Row],[b]]))</f>
        <v/>
      </c>
      <c r="I607" s="2" t="str">
        <f>IF(Iterations[[#This Row],[Step]] =current_step, current_c,IF(Iterations[[#This Row],[Step]] &gt; current_step, "",Iterations[[#This Row],[c]]))</f>
        <v/>
      </c>
      <c r="J607" s="2" t="str">
        <f>IF(Iterations[[#This Row],[Step]] =current_step, current_d,IF(Iterations[[#This Row],[Step]] &gt; current_step, "",Iterations[[#This Row],[d]]))</f>
        <v/>
      </c>
      <c r="K607" s="2" t="str">
        <f>IF(Iterations[[#This Row],[Step]] =current_step, current_e,IF(Iterations[[#This Row],[Step]] &gt; current_step, "",Iterations[[#This Row],[e]]))</f>
        <v/>
      </c>
      <c r="L607" s="2" t="str">
        <f>IF(Iterations[[#This Row],[Step]] =current_step, current_Total_Loss,IF(Iterations[[#This Row],[Step]] &gt; current_step, "",Iterations[[#This Row],[Total Loss]]))</f>
        <v/>
      </c>
      <c r="M607" s="6" t="s">
        <v>27</v>
      </c>
      <c r="N607" s="2" t="str">
        <f>IF(Iterations[[#This Row],[Step]] =current_step, current_Grad_a,IF(Iterations[[#This Row],[Step]] &gt; current_step, "",Iterations[[#This Row],[Grad_a]]))</f>
        <v/>
      </c>
      <c r="O607" s="2" t="str">
        <f>IF(Iterations[[#This Row],[Step]] =current_step, current_Grad_b,IF(Iterations[[#This Row],[Step]] &gt; current_step, "",Iterations[[#This Row],[Grad_b]]))</f>
        <v/>
      </c>
      <c r="P607" s="2" t="str">
        <f>IF(Iterations[[#This Row],[Step]] =current_step, current_Grad_c,IF(Iterations[[#This Row],[Step]] &gt; current_step, "",Iterations[[#This Row],[Grad_c]]))</f>
        <v/>
      </c>
      <c r="Q607" s="2" t="str">
        <f>IF(Iterations[[#This Row],[Step]] =current_step, current_Grad_d,IF(Iterations[[#This Row],[Step]] &gt; current_step, "",Iterations[[#This Row],[Grad_d]]))</f>
        <v/>
      </c>
      <c r="R607" s="2" t="str">
        <f>IF(Iterations[[#This Row],[Step]] =current_step, current_Grad_e,IF(Iterations[[#This Row],[Step]] &gt; current_step, "",Iterations[[#This Row],[Grad_e]]))</f>
        <v/>
      </c>
    </row>
    <row r="608" spans="6:18" x14ac:dyDescent="0.3">
      <c r="F608" s="2">
        <f t="shared" si="11"/>
        <v>591</v>
      </c>
      <c r="G608" s="2" t="str">
        <f>IF(Iterations[[#This Row],[Step]] =current_step, current_a,IF(Iterations[[#This Row],[Step]] &gt; current_step, "",Iterations[[#This Row],[a]]))</f>
        <v/>
      </c>
      <c r="H608" s="2" t="str">
        <f>IF(Iterations[[#This Row],[Step]] =current_step, current_b,IF(Iterations[[#This Row],[Step]] &gt; current_step, "",Iterations[[#This Row],[b]]))</f>
        <v/>
      </c>
      <c r="I608" s="2" t="str">
        <f>IF(Iterations[[#This Row],[Step]] =current_step, current_c,IF(Iterations[[#This Row],[Step]] &gt; current_step, "",Iterations[[#This Row],[c]]))</f>
        <v/>
      </c>
      <c r="J608" s="2" t="str">
        <f>IF(Iterations[[#This Row],[Step]] =current_step, current_d,IF(Iterations[[#This Row],[Step]] &gt; current_step, "",Iterations[[#This Row],[d]]))</f>
        <v/>
      </c>
      <c r="K608" s="2" t="str">
        <f>IF(Iterations[[#This Row],[Step]] =current_step, current_e,IF(Iterations[[#This Row],[Step]] &gt; current_step, "",Iterations[[#This Row],[e]]))</f>
        <v/>
      </c>
      <c r="L608" s="2" t="str">
        <f>IF(Iterations[[#This Row],[Step]] =current_step, current_Total_Loss,IF(Iterations[[#This Row],[Step]] &gt; current_step, "",Iterations[[#This Row],[Total Loss]]))</f>
        <v/>
      </c>
      <c r="M608" s="6" t="s">
        <v>27</v>
      </c>
      <c r="N608" s="2" t="str">
        <f>IF(Iterations[[#This Row],[Step]] =current_step, current_Grad_a,IF(Iterations[[#This Row],[Step]] &gt; current_step, "",Iterations[[#This Row],[Grad_a]]))</f>
        <v/>
      </c>
      <c r="O608" s="2" t="str">
        <f>IF(Iterations[[#This Row],[Step]] =current_step, current_Grad_b,IF(Iterations[[#This Row],[Step]] &gt; current_step, "",Iterations[[#This Row],[Grad_b]]))</f>
        <v/>
      </c>
      <c r="P608" s="2" t="str">
        <f>IF(Iterations[[#This Row],[Step]] =current_step, current_Grad_c,IF(Iterations[[#This Row],[Step]] &gt; current_step, "",Iterations[[#This Row],[Grad_c]]))</f>
        <v/>
      </c>
      <c r="Q608" s="2" t="str">
        <f>IF(Iterations[[#This Row],[Step]] =current_step, current_Grad_d,IF(Iterations[[#This Row],[Step]] &gt; current_step, "",Iterations[[#This Row],[Grad_d]]))</f>
        <v/>
      </c>
      <c r="R608" s="2" t="str">
        <f>IF(Iterations[[#This Row],[Step]] =current_step, current_Grad_e,IF(Iterations[[#This Row],[Step]] &gt; current_step, "",Iterations[[#This Row],[Grad_e]]))</f>
        <v/>
      </c>
    </row>
    <row r="609" spans="6:18" x14ac:dyDescent="0.3">
      <c r="F609" s="2">
        <f t="shared" si="11"/>
        <v>592</v>
      </c>
      <c r="G609" s="2" t="str">
        <f>IF(Iterations[[#This Row],[Step]] =current_step, current_a,IF(Iterations[[#This Row],[Step]] &gt; current_step, "",Iterations[[#This Row],[a]]))</f>
        <v/>
      </c>
      <c r="H609" s="2" t="str">
        <f>IF(Iterations[[#This Row],[Step]] =current_step, current_b,IF(Iterations[[#This Row],[Step]] &gt; current_step, "",Iterations[[#This Row],[b]]))</f>
        <v/>
      </c>
      <c r="I609" s="2" t="str">
        <f>IF(Iterations[[#This Row],[Step]] =current_step, current_c,IF(Iterations[[#This Row],[Step]] &gt; current_step, "",Iterations[[#This Row],[c]]))</f>
        <v/>
      </c>
      <c r="J609" s="2" t="str">
        <f>IF(Iterations[[#This Row],[Step]] =current_step, current_d,IF(Iterations[[#This Row],[Step]] &gt; current_step, "",Iterations[[#This Row],[d]]))</f>
        <v/>
      </c>
      <c r="K609" s="2" t="str">
        <f>IF(Iterations[[#This Row],[Step]] =current_step, current_e,IF(Iterations[[#This Row],[Step]] &gt; current_step, "",Iterations[[#This Row],[e]]))</f>
        <v/>
      </c>
      <c r="L609" s="2" t="str">
        <f>IF(Iterations[[#This Row],[Step]] =current_step, current_Total_Loss,IF(Iterations[[#This Row],[Step]] &gt; current_step, "",Iterations[[#This Row],[Total Loss]]))</f>
        <v/>
      </c>
      <c r="M609" s="6" t="s">
        <v>27</v>
      </c>
      <c r="N609" s="2" t="str">
        <f>IF(Iterations[[#This Row],[Step]] =current_step, current_Grad_a,IF(Iterations[[#This Row],[Step]] &gt; current_step, "",Iterations[[#This Row],[Grad_a]]))</f>
        <v/>
      </c>
      <c r="O609" s="2" t="str">
        <f>IF(Iterations[[#This Row],[Step]] =current_step, current_Grad_b,IF(Iterations[[#This Row],[Step]] &gt; current_step, "",Iterations[[#This Row],[Grad_b]]))</f>
        <v/>
      </c>
      <c r="P609" s="2" t="str">
        <f>IF(Iterations[[#This Row],[Step]] =current_step, current_Grad_c,IF(Iterations[[#This Row],[Step]] &gt; current_step, "",Iterations[[#This Row],[Grad_c]]))</f>
        <v/>
      </c>
      <c r="Q609" s="2" t="str">
        <f>IF(Iterations[[#This Row],[Step]] =current_step, current_Grad_d,IF(Iterations[[#This Row],[Step]] &gt; current_step, "",Iterations[[#This Row],[Grad_d]]))</f>
        <v/>
      </c>
      <c r="R609" s="2" t="str">
        <f>IF(Iterations[[#This Row],[Step]] =current_step, current_Grad_e,IF(Iterations[[#This Row],[Step]] &gt; current_step, "",Iterations[[#This Row],[Grad_e]]))</f>
        <v/>
      </c>
    </row>
    <row r="610" spans="6:18" x14ac:dyDescent="0.3">
      <c r="F610" s="2">
        <f t="shared" si="11"/>
        <v>593</v>
      </c>
      <c r="G610" s="2" t="str">
        <f>IF(Iterations[[#This Row],[Step]] =current_step, current_a,IF(Iterations[[#This Row],[Step]] &gt; current_step, "",Iterations[[#This Row],[a]]))</f>
        <v/>
      </c>
      <c r="H610" s="2" t="str">
        <f>IF(Iterations[[#This Row],[Step]] =current_step, current_b,IF(Iterations[[#This Row],[Step]] &gt; current_step, "",Iterations[[#This Row],[b]]))</f>
        <v/>
      </c>
      <c r="I610" s="2" t="str">
        <f>IF(Iterations[[#This Row],[Step]] =current_step, current_c,IF(Iterations[[#This Row],[Step]] &gt; current_step, "",Iterations[[#This Row],[c]]))</f>
        <v/>
      </c>
      <c r="J610" s="2" t="str">
        <f>IF(Iterations[[#This Row],[Step]] =current_step, current_d,IF(Iterations[[#This Row],[Step]] &gt; current_step, "",Iterations[[#This Row],[d]]))</f>
        <v/>
      </c>
      <c r="K610" s="2" t="str">
        <f>IF(Iterations[[#This Row],[Step]] =current_step, current_e,IF(Iterations[[#This Row],[Step]] &gt; current_step, "",Iterations[[#This Row],[e]]))</f>
        <v/>
      </c>
      <c r="L610" s="2" t="str">
        <f>IF(Iterations[[#This Row],[Step]] =current_step, current_Total_Loss,IF(Iterations[[#This Row],[Step]] &gt; current_step, "",Iterations[[#This Row],[Total Loss]]))</f>
        <v/>
      </c>
      <c r="M610" s="6" t="s">
        <v>27</v>
      </c>
      <c r="N610" s="2" t="str">
        <f>IF(Iterations[[#This Row],[Step]] =current_step, current_Grad_a,IF(Iterations[[#This Row],[Step]] &gt; current_step, "",Iterations[[#This Row],[Grad_a]]))</f>
        <v/>
      </c>
      <c r="O610" s="2" t="str">
        <f>IF(Iterations[[#This Row],[Step]] =current_step, current_Grad_b,IF(Iterations[[#This Row],[Step]] &gt; current_step, "",Iterations[[#This Row],[Grad_b]]))</f>
        <v/>
      </c>
      <c r="P610" s="2" t="str">
        <f>IF(Iterations[[#This Row],[Step]] =current_step, current_Grad_c,IF(Iterations[[#This Row],[Step]] &gt; current_step, "",Iterations[[#This Row],[Grad_c]]))</f>
        <v/>
      </c>
      <c r="Q610" s="2" t="str">
        <f>IF(Iterations[[#This Row],[Step]] =current_step, current_Grad_d,IF(Iterations[[#This Row],[Step]] &gt; current_step, "",Iterations[[#This Row],[Grad_d]]))</f>
        <v/>
      </c>
      <c r="R610" s="2" t="str">
        <f>IF(Iterations[[#This Row],[Step]] =current_step, current_Grad_e,IF(Iterations[[#This Row],[Step]] &gt; current_step, "",Iterations[[#This Row],[Grad_e]]))</f>
        <v/>
      </c>
    </row>
    <row r="611" spans="6:18" x14ac:dyDescent="0.3">
      <c r="F611" s="2">
        <f t="shared" si="11"/>
        <v>594</v>
      </c>
      <c r="G611" s="2" t="str">
        <f>IF(Iterations[[#This Row],[Step]] =current_step, current_a,IF(Iterations[[#This Row],[Step]] &gt; current_step, "",Iterations[[#This Row],[a]]))</f>
        <v/>
      </c>
      <c r="H611" s="2" t="str">
        <f>IF(Iterations[[#This Row],[Step]] =current_step, current_b,IF(Iterations[[#This Row],[Step]] &gt; current_step, "",Iterations[[#This Row],[b]]))</f>
        <v/>
      </c>
      <c r="I611" s="2" t="str">
        <f>IF(Iterations[[#This Row],[Step]] =current_step, current_c,IF(Iterations[[#This Row],[Step]] &gt; current_step, "",Iterations[[#This Row],[c]]))</f>
        <v/>
      </c>
      <c r="J611" s="2" t="str">
        <f>IF(Iterations[[#This Row],[Step]] =current_step, current_d,IF(Iterations[[#This Row],[Step]] &gt; current_step, "",Iterations[[#This Row],[d]]))</f>
        <v/>
      </c>
      <c r="K611" s="2" t="str">
        <f>IF(Iterations[[#This Row],[Step]] =current_step, current_e,IF(Iterations[[#This Row],[Step]] &gt; current_step, "",Iterations[[#This Row],[e]]))</f>
        <v/>
      </c>
      <c r="L611" s="2" t="str">
        <f>IF(Iterations[[#This Row],[Step]] =current_step, current_Total_Loss,IF(Iterations[[#This Row],[Step]] &gt; current_step, "",Iterations[[#This Row],[Total Loss]]))</f>
        <v/>
      </c>
      <c r="M611" s="6" t="s">
        <v>27</v>
      </c>
      <c r="N611" s="2" t="str">
        <f>IF(Iterations[[#This Row],[Step]] =current_step, current_Grad_a,IF(Iterations[[#This Row],[Step]] &gt; current_step, "",Iterations[[#This Row],[Grad_a]]))</f>
        <v/>
      </c>
      <c r="O611" s="2" t="str">
        <f>IF(Iterations[[#This Row],[Step]] =current_step, current_Grad_b,IF(Iterations[[#This Row],[Step]] &gt; current_step, "",Iterations[[#This Row],[Grad_b]]))</f>
        <v/>
      </c>
      <c r="P611" s="2" t="str">
        <f>IF(Iterations[[#This Row],[Step]] =current_step, current_Grad_c,IF(Iterations[[#This Row],[Step]] &gt; current_step, "",Iterations[[#This Row],[Grad_c]]))</f>
        <v/>
      </c>
      <c r="Q611" s="2" t="str">
        <f>IF(Iterations[[#This Row],[Step]] =current_step, current_Grad_d,IF(Iterations[[#This Row],[Step]] &gt; current_step, "",Iterations[[#This Row],[Grad_d]]))</f>
        <v/>
      </c>
      <c r="R611" s="2" t="str">
        <f>IF(Iterations[[#This Row],[Step]] =current_step, current_Grad_e,IF(Iterations[[#This Row],[Step]] &gt; current_step, "",Iterations[[#This Row],[Grad_e]]))</f>
        <v/>
      </c>
    </row>
    <row r="612" spans="6:18" x14ac:dyDescent="0.3">
      <c r="F612" s="2">
        <f t="shared" si="11"/>
        <v>595</v>
      </c>
      <c r="G612" s="2" t="str">
        <f>IF(Iterations[[#This Row],[Step]] =current_step, current_a,IF(Iterations[[#This Row],[Step]] &gt; current_step, "",Iterations[[#This Row],[a]]))</f>
        <v/>
      </c>
      <c r="H612" s="2" t="str">
        <f>IF(Iterations[[#This Row],[Step]] =current_step, current_b,IF(Iterations[[#This Row],[Step]] &gt; current_step, "",Iterations[[#This Row],[b]]))</f>
        <v/>
      </c>
      <c r="I612" s="2" t="str">
        <f>IF(Iterations[[#This Row],[Step]] =current_step, current_c,IF(Iterations[[#This Row],[Step]] &gt; current_step, "",Iterations[[#This Row],[c]]))</f>
        <v/>
      </c>
      <c r="J612" s="2" t="str">
        <f>IF(Iterations[[#This Row],[Step]] =current_step, current_d,IF(Iterations[[#This Row],[Step]] &gt; current_step, "",Iterations[[#This Row],[d]]))</f>
        <v/>
      </c>
      <c r="K612" s="2" t="str">
        <f>IF(Iterations[[#This Row],[Step]] =current_step, current_e,IF(Iterations[[#This Row],[Step]] &gt; current_step, "",Iterations[[#This Row],[e]]))</f>
        <v/>
      </c>
      <c r="L612" s="2" t="str">
        <f>IF(Iterations[[#This Row],[Step]] =current_step, current_Total_Loss,IF(Iterations[[#This Row],[Step]] &gt; current_step, "",Iterations[[#This Row],[Total Loss]]))</f>
        <v/>
      </c>
      <c r="M612" s="6" t="s">
        <v>27</v>
      </c>
      <c r="N612" s="2" t="str">
        <f>IF(Iterations[[#This Row],[Step]] =current_step, current_Grad_a,IF(Iterations[[#This Row],[Step]] &gt; current_step, "",Iterations[[#This Row],[Grad_a]]))</f>
        <v/>
      </c>
      <c r="O612" s="2" t="str">
        <f>IF(Iterations[[#This Row],[Step]] =current_step, current_Grad_b,IF(Iterations[[#This Row],[Step]] &gt; current_step, "",Iterations[[#This Row],[Grad_b]]))</f>
        <v/>
      </c>
      <c r="P612" s="2" t="str">
        <f>IF(Iterations[[#This Row],[Step]] =current_step, current_Grad_c,IF(Iterations[[#This Row],[Step]] &gt; current_step, "",Iterations[[#This Row],[Grad_c]]))</f>
        <v/>
      </c>
      <c r="Q612" s="2" t="str">
        <f>IF(Iterations[[#This Row],[Step]] =current_step, current_Grad_d,IF(Iterations[[#This Row],[Step]] &gt; current_step, "",Iterations[[#This Row],[Grad_d]]))</f>
        <v/>
      </c>
      <c r="R612" s="2" t="str">
        <f>IF(Iterations[[#This Row],[Step]] =current_step, current_Grad_e,IF(Iterations[[#This Row],[Step]] &gt; current_step, "",Iterations[[#This Row],[Grad_e]]))</f>
        <v/>
      </c>
    </row>
    <row r="613" spans="6:18" x14ac:dyDescent="0.3">
      <c r="F613" s="2">
        <f t="shared" si="11"/>
        <v>596</v>
      </c>
      <c r="G613" s="2" t="str">
        <f>IF(Iterations[[#This Row],[Step]] =current_step, current_a,IF(Iterations[[#This Row],[Step]] &gt; current_step, "",Iterations[[#This Row],[a]]))</f>
        <v/>
      </c>
      <c r="H613" s="2" t="str">
        <f>IF(Iterations[[#This Row],[Step]] =current_step, current_b,IF(Iterations[[#This Row],[Step]] &gt; current_step, "",Iterations[[#This Row],[b]]))</f>
        <v/>
      </c>
      <c r="I613" s="2" t="str">
        <f>IF(Iterations[[#This Row],[Step]] =current_step, current_c,IF(Iterations[[#This Row],[Step]] &gt; current_step, "",Iterations[[#This Row],[c]]))</f>
        <v/>
      </c>
      <c r="J613" s="2" t="str">
        <f>IF(Iterations[[#This Row],[Step]] =current_step, current_d,IF(Iterations[[#This Row],[Step]] &gt; current_step, "",Iterations[[#This Row],[d]]))</f>
        <v/>
      </c>
      <c r="K613" s="2" t="str">
        <f>IF(Iterations[[#This Row],[Step]] =current_step, current_e,IF(Iterations[[#This Row],[Step]] &gt; current_step, "",Iterations[[#This Row],[e]]))</f>
        <v/>
      </c>
      <c r="L613" s="2" t="str">
        <f>IF(Iterations[[#This Row],[Step]] =current_step, current_Total_Loss,IF(Iterations[[#This Row],[Step]] &gt; current_step, "",Iterations[[#This Row],[Total Loss]]))</f>
        <v/>
      </c>
      <c r="M613" s="6" t="s">
        <v>27</v>
      </c>
      <c r="N613" s="2" t="str">
        <f>IF(Iterations[[#This Row],[Step]] =current_step, current_Grad_a,IF(Iterations[[#This Row],[Step]] &gt; current_step, "",Iterations[[#This Row],[Grad_a]]))</f>
        <v/>
      </c>
      <c r="O613" s="2" t="str">
        <f>IF(Iterations[[#This Row],[Step]] =current_step, current_Grad_b,IF(Iterations[[#This Row],[Step]] &gt; current_step, "",Iterations[[#This Row],[Grad_b]]))</f>
        <v/>
      </c>
      <c r="P613" s="2" t="str">
        <f>IF(Iterations[[#This Row],[Step]] =current_step, current_Grad_c,IF(Iterations[[#This Row],[Step]] &gt; current_step, "",Iterations[[#This Row],[Grad_c]]))</f>
        <v/>
      </c>
      <c r="Q613" s="2" t="str">
        <f>IF(Iterations[[#This Row],[Step]] =current_step, current_Grad_d,IF(Iterations[[#This Row],[Step]] &gt; current_step, "",Iterations[[#This Row],[Grad_d]]))</f>
        <v/>
      </c>
      <c r="R613" s="2" t="str">
        <f>IF(Iterations[[#This Row],[Step]] =current_step, current_Grad_e,IF(Iterations[[#This Row],[Step]] &gt; current_step, "",Iterations[[#This Row],[Grad_e]]))</f>
        <v/>
      </c>
    </row>
    <row r="614" spans="6:18" x14ac:dyDescent="0.3">
      <c r="F614" s="2">
        <f t="shared" si="11"/>
        <v>597</v>
      </c>
      <c r="G614" s="2" t="str">
        <f>IF(Iterations[[#This Row],[Step]] =current_step, current_a,IF(Iterations[[#This Row],[Step]] &gt; current_step, "",Iterations[[#This Row],[a]]))</f>
        <v/>
      </c>
      <c r="H614" s="2" t="str">
        <f>IF(Iterations[[#This Row],[Step]] =current_step, current_b,IF(Iterations[[#This Row],[Step]] &gt; current_step, "",Iterations[[#This Row],[b]]))</f>
        <v/>
      </c>
      <c r="I614" s="2" t="str">
        <f>IF(Iterations[[#This Row],[Step]] =current_step, current_c,IF(Iterations[[#This Row],[Step]] &gt; current_step, "",Iterations[[#This Row],[c]]))</f>
        <v/>
      </c>
      <c r="J614" s="2" t="str">
        <f>IF(Iterations[[#This Row],[Step]] =current_step, current_d,IF(Iterations[[#This Row],[Step]] &gt; current_step, "",Iterations[[#This Row],[d]]))</f>
        <v/>
      </c>
      <c r="K614" s="2" t="str">
        <f>IF(Iterations[[#This Row],[Step]] =current_step, current_e,IF(Iterations[[#This Row],[Step]] &gt; current_step, "",Iterations[[#This Row],[e]]))</f>
        <v/>
      </c>
      <c r="L614" s="2" t="str">
        <f>IF(Iterations[[#This Row],[Step]] =current_step, current_Total_Loss,IF(Iterations[[#This Row],[Step]] &gt; current_step, "",Iterations[[#This Row],[Total Loss]]))</f>
        <v/>
      </c>
      <c r="M614" s="6" t="s">
        <v>27</v>
      </c>
      <c r="N614" s="2" t="str">
        <f>IF(Iterations[[#This Row],[Step]] =current_step, current_Grad_a,IF(Iterations[[#This Row],[Step]] &gt; current_step, "",Iterations[[#This Row],[Grad_a]]))</f>
        <v/>
      </c>
      <c r="O614" s="2" t="str">
        <f>IF(Iterations[[#This Row],[Step]] =current_step, current_Grad_b,IF(Iterations[[#This Row],[Step]] &gt; current_step, "",Iterations[[#This Row],[Grad_b]]))</f>
        <v/>
      </c>
      <c r="P614" s="2" t="str">
        <f>IF(Iterations[[#This Row],[Step]] =current_step, current_Grad_c,IF(Iterations[[#This Row],[Step]] &gt; current_step, "",Iterations[[#This Row],[Grad_c]]))</f>
        <v/>
      </c>
      <c r="Q614" s="2" t="str">
        <f>IF(Iterations[[#This Row],[Step]] =current_step, current_Grad_d,IF(Iterations[[#This Row],[Step]] &gt; current_step, "",Iterations[[#This Row],[Grad_d]]))</f>
        <v/>
      </c>
      <c r="R614" s="2" t="str">
        <f>IF(Iterations[[#This Row],[Step]] =current_step, current_Grad_e,IF(Iterations[[#This Row],[Step]] &gt; current_step, "",Iterations[[#This Row],[Grad_e]]))</f>
        <v/>
      </c>
    </row>
    <row r="615" spans="6:18" x14ac:dyDescent="0.3">
      <c r="F615" s="2">
        <f t="shared" si="11"/>
        <v>598</v>
      </c>
      <c r="G615" s="2" t="str">
        <f>IF(Iterations[[#This Row],[Step]] =current_step, current_a,IF(Iterations[[#This Row],[Step]] &gt; current_step, "",Iterations[[#This Row],[a]]))</f>
        <v/>
      </c>
      <c r="H615" s="2" t="str">
        <f>IF(Iterations[[#This Row],[Step]] =current_step, current_b,IF(Iterations[[#This Row],[Step]] &gt; current_step, "",Iterations[[#This Row],[b]]))</f>
        <v/>
      </c>
      <c r="I615" s="2" t="str">
        <f>IF(Iterations[[#This Row],[Step]] =current_step, current_c,IF(Iterations[[#This Row],[Step]] &gt; current_step, "",Iterations[[#This Row],[c]]))</f>
        <v/>
      </c>
      <c r="J615" s="2" t="str">
        <f>IF(Iterations[[#This Row],[Step]] =current_step, current_d,IF(Iterations[[#This Row],[Step]] &gt; current_step, "",Iterations[[#This Row],[d]]))</f>
        <v/>
      </c>
      <c r="K615" s="2" t="str">
        <f>IF(Iterations[[#This Row],[Step]] =current_step, current_e,IF(Iterations[[#This Row],[Step]] &gt; current_step, "",Iterations[[#This Row],[e]]))</f>
        <v/>
      </c>
      <c r="L615" s="2" t="str">
        <f>IF(Iterations[[#This Row],[Step]] =current_step, current_Total_Loss,IF(Iterations[[#This Row],[Step]] &gt; current_step, "",Iterations[[#This Row],[Total Loss]]))</f>
        <v/>
      </c>
      <c r="M615" s="6" t="s">
        <v>27</v>
      </c>
      <c r="N615" s="2" t="str">
        <f>IF(Iterations[[#This Row],[Step]] =current_step, current_Grad_a,IF(Iterations[[#This Row],[Step]] &gt; current_step, "",Iterations[[#This Row],[Grad_a]]))</f>
        <v/>
      </c>
      <c r="O615" s="2" t="str">
        <f>IF(Iterations[[#This Row],[Step]] =current_step, current_Grad_b,IF(Iterations[[#This Row],[Step]] &gt; current_step, "",Iterations[[#This Row],[Grad_b]]))</f>
        <v/>
      </c>
      <c r="P615" s="2" t="str">
        <f>IF(Iterations[[#This Row],[Step]] =current_step, current_Grad_c,IF(Iterations[[#This Row],[Step]] &gt; current_step, "",Iterations[[#This Row],[Grad_c]]))</f>
        <v/>
      </c>
      <c r="Q615" s="2" t="str">
        <f>IF(Iterations[[#This Row],[Step]] =current_step, current_Grad_d,IF(Iterations[[#This Row],[Step]] &gt; current_step, "",Iterations[[#This Row],[Grad_d]]))</f>
        <v/>
      </c>
      <c r="R615" s="2" t="str">
        <f>IF(Iterations[[#This Row],[Step]] =current_step, current_Grad_e,IF(Iterations[[#This Row],[Step]] &gt; current_step, "",Iterations[[#This Row],[Grad_e]]))</f>
        <v/>
      </c>
    </row>
    <row r="616" spans="6:18" x14ac:dyDescent="0.3">
      <c r="F616" s="2">
        <f t="shared" si="11"/>
        <v>599</v>
      </c>
      <c r="G616" s="2" t="str">
        <f>IF(Iterations[[#This Row],[Step]] =current_step, current_a,IF(Iterations[[#This Row],[Step]] &gt; current_step, "",Iterations[[#This Row],[a]]))</f>
        <v/>
      </c>
      <c r="H616" s="2" t="str">
        <f>IF(Iterations[[#This Row],[Step]] =current_step, current_b,IF(Iterations[[#This Row],[Step]] &gt; current_step, "",Iterations[[#This Row],[b]]))</f>
        <v/>
      </c>
      <c r="I616" s="2" t="str">
        <f>IF(Iterations[[#This Row],[Step]] =current_step, current_c,IF(Iterations[[#This Row],[Step]] &gt; current_step, "",Iterations[[#This Row],[c]]))</f>
        <v/>
      </c>
      <c r="J616" s="2" t="str">
        <f>IF(Iterations[[#This Row],[Step]] =current_step, current_d,IF(Iterations[[#This Row],[Step]] &gt; current_step, "",Iterations[[#This Row],[d]]))</f>
        <v/>
      </c>
      <c r="K616" s="2" t="str">
        <f>IF(Iterations[[#This Row],[Step]] =current_step, current_e,IF(Iterations[[#This Row],[Step]] &gt; current_step, "",Iterations[[#This Row],[e]]))</f>
        <v/>
      </c>
      <c r="L616" s="2" t="str">
        <f>IF(Iterations[[#This Row],[Step]] =current_step, current_Total_Loss,IF(Iterations[[#This Row],[Step]] &gt; current_step, "",Iterations[[#This Row],[Total Loss]]))</f>
        <v/>
      </c>
      <c r="M616" s="6" t="s">
        <v>27</v>
      </c>
      <c r="N616" s="2" t="str">
        <f>IF(Iterations[[#This Row],[Step]] =current_step, current_Grad_a,IF(Iterations[[#This Row],[Step]] &gt; current_step, "",Iterations[[#This Row],[Grad_a]]))</f>
        <v/>
      </c>
      <c r="O616" s="2" t="str">
        <f>IF(Iterations[[#This Row],[Step]] =current_step, current_Grad_b,IF(Iterations[[#This Row],[Step]] &gt; current_step, "",Iterations[[#This Row],[Grad_b]]))</f>
        <v/>
      </c>
      <c r="P616" s="2" t="str">
        <f>IF(Iterations[[#This Row],[Step]] =current_step, current_Grad_c,IF(Iterations[[#This Row],[Step]] &gt; current_step, "",Iterations[[#This Row],[Grad_c]]))</f>
        <v/>
      </c>
      <c r="Q616" s="2" t="str">
        <f>IF(Iterations[[#This Row],[Step]] =current_step, current_Grad_d,IF(Iterations[[#This Row],[Step]] &gt; current_step, "",Iterations[[#This Row],[Grad_d]]))</f>
        <v/>
      </c>
      <c r="R616" s="2" t="str">
        <f>IF(Iterations[[#This Row],[Step]] =current_step, current_Grad_e,IF(Iterations[[#This Row],[Step]] &gt; current_step, "",Iterations[[#This Row],[Grad_e]]))</f>
        <v/>
      </c>
    </row>
    <row r="617" spans="6:18" x14ac:dyDescent="0.3">
      <c r="F617" s="2">
        <f t="shared" si="11"/>
        <v>600</v>
      </c>
      <c r="G617" s="2" t="str">
        <f>IF(Iterations[[#This Row],[Step]] =current_step, current_a,IF(Iterations[[#This Row],[Step]] &gt; current_step, "",Iterations[[#This Row],[a]]))</f>
        <v/>
      </c>
      <c r="H617" s="2" t="str">
        <f>IF(Iterations[[#This Row],[Step]] =current_step, current_b,IF(Iterations[[#This Row],[Step]] &gt; current_step, "",Iterations[[#This Row],[b]]))</f>
        <v/>
      </c>
      <c r="I617" s="2" t="str">
        <f>IF(Iterations[[#This Row],[Step]] =current_step, current_c,IF(Iterations[[#This Row],[Step]] &gt; current_step, "",Iterations[[#This Row],[c]]))</f>
        <v/>
      </c>
      <c r="J617" s="2" t="str">
        <f>IF(Iterations[[#This Row],[Step]] =current_step, current_d,IF(Iterations[[#This Row],[Step]] &gt; current_step, "",Iterations[[#This Row],[d]]))</f>
        <v/>
      </c>
      <c r="K617" s="2" t="str">
        <f>IF(Iterations[[#This Row],[Step]] =current_step, current_e,IF(Iterations[[#This Row],[Step]] &gt; current_step, "",Iterations[[#This Row],[e]]))</f>
        <v/>
      </c>
      <c r="L617" s="2" t="str">
        <f>IF(Iterations[[#This Row],[Step]] =current_step, current_Total_Loss,IF(Iterations[[#This Row],[Step]] &gt; current_step, "",Iterations[[#This Row],[Total Loss]]))</f>
        <v/>
      </c>
      <c r="M617" s="6" t="s">
        <v>27</v>
      </c>
      <c r="N617" s="2" t="str">
        <f>IF(Iterations[[#This Row],[Step]] =current_step, current_Grad_a,IF(Iterations[[#This Row],[Step]] &gt; current_step, "",Iterations[[#This Row],[Grad_a]]))</f>
        <v/>
      </c>
      <c r="O617" s="2" t="str">
        <f>IF(Iterations[[#This Row],[Step]] =current_step, current_Grad_b,IF(Iterations[[#This Row],[Step]] &gt; current_step, "",Iterations[[#This Row],[Grad_b]]))</f>
        <v/>
      </c>
      <c r="P617" s="2" t="str">
        <f>IF(Iterations[[#This Row],[Step]] =current_step, current_Grad_c,IF(Iterations[[#This Row],[Step]] &gt; current_step, "",Iterations[[#This Row],[Grad_c]]))</f>
        <v/>
      </c>
      <c r="Q617" s="2" t="str">
        <f>IF(Iterations[[#This Row],[Step]] =current_step, current_Grad_d,IF(Iterations[[#This Row],[Step]] &gt; current_step, "",Iterations[[#This Row],[Grad_d]]))</f>
        <v/>
      </c>
      <c r="R617" s="2" t="str">
        <f>IF(Iterations[[#This Row],[Step]] =current_step, current_Grad_e,IF(Iterations[[#This Row],[Step]] &gt; current_step, "",Iterations[[#This Row],[Grad_e]]))</f>
        <v/>
      </c>
    </row>
    <row r="618" spans="6:18" x14ac:dyDescent="0.3">
      <c r="F618" s="2">
        <f t="shared" si="11"/>
        <v>601</v>
      </c>
      <c r="G618" s="2" t="str">
        <f>IF(Iterations[[#This Row],[Step]] =current_step, current_a,IF(Iterations[[#This Row],[Step]] &gt; current_step, "",Iterations[[#This Row],[a]]))</f>
        <v/>
      </c>
      <c r="H618" s="2" t="str">
        <f>IF(Iterations[[#This Row],[Step]] =current_step, current_b,IF(Iterations[[#This Row],[Step]] &gt; current_step, "",Iterations[[#This Row],[b]]))</f>
        <v/>
      </c>
      <c r="I618" s="2" t="str">
        <f>IF(Iterations[[#This Row],[Step]] =current_step, current_c,IF(Iterations[[#This Row],[Step]] &gt; current_step, "",Iterations[[#This Row],[c]]))</f>
        <v/>
      </c>
      <c r="J618" s="2" t="str">
        <f>IF(Iterations[[#This Row],[Step]] =current_step, current_d,IF(Iterations[[#This Row],[Step]] &gt; current_step, "",Iterations[[#This Row],[d]]))</f>
        <v/>
      </c>
      <c r="K618" s="2" t="str">
        <f>IF(Iterations[[#This Row],[Step]] =current_step, current_e,IF(Iterations[[#This Row],[Step]] &gt; current_step, "",Iterations[[#This Row],[e]]))</f>
        <v/>
      </c>
      <c r="L618" s="2" t="str">
        <f>IF(Iterations[[#This Row],[Step]] =current_step, current_Total_Loss,IF(Iterations[[#This Row],[Step]] &gt; current_step, "",Iterations[[#This Row],[Total Loss]]))</f>
        <v/>
      </c>
      <c r="M618" s="6" t="s">
        <v>27</v>
      </c>
      <c r="N618" s="2" t="str">
        <f>IF(Iterations[[#This Row],[Step]] =current_step, current_Grad_a,IF(Iterations[[#This Row],[Step]] &gt; current_step, "",Iterations[[#This Row],[Grad_a]]))</f>
        <v/>
      </c>
      <c r="O618" s="2" t="str">
        <f>IF(Iterations[[#This Row],[Step]] =current_step, current_Grad_b,IF(Iterations[[#This Row],[Step]] &gt; current_step, "",Iterations[[#This Row],[Grad_b]]))</f>
        <v/>
      </c>
      <c r="P618" s="2" t="str">
        <f>IF(Iterations[[#This Row],[Step]] =current_step, current_Grad_c,IF(Iterations[[#This Row],[Step]] &gt; current_step, "",Iterations[[#This Row],[Grad_c]]))</f>
        <v/>
      </c>
      <c r="Q618" s="2" t="str">
        <f>IF(Iterations[[#This Row],[Step]] =current_step, current_Grad_d,IF(Iterations[[#This Row],[Step]] &gt; current_step, "",Iterations[[#This Row],[Grad_d]]))</f>
        <v/>
      </c>
      <c r="R618" s="2" t="str">
        <f>IF(Iterations[[#This Row],[Step]] =current_step, current_Grad_e,IF(Iterations[[#This Row],[Step]] &gt; current_step, "",Iterations[[#This Row],[Grad_e]]))</f>
        <v/>
      </c>
    </row>
    <row r="619" spans="6:18" x14ac:dyDescent="0.3">
      <c r="F619" s="2">
        <f t="shared" si="11"/>
        <v>602</v>
      </c>
      <c r="G619" s="2" t="str">
        <f>IF(Iterations[[#This Row],[Step]] =current_step, current_a,IF(Iterations[[#This Row],[Step]] &gt; current_step, "",Iterations[[#This Row],[a]]))</f>
        <v/>
      </c>
      <c r="H619" s="2" t="str">
        <f>IF(Iterations[[#This Row],[Step]] =current_step, current_b,IF(Iterations[[#This Row],[Step]] &gt; current_step, "",Iterations[[#This Row],[b]]))</f>
        <v/>
      </c>
      <c r="I619" s="2" t="str">
        <f>IF(Iterations[[#This Row],[Step]] =current_step, current_c,IF(Iterations[[#This Row],[Step]] &gt; current_step, "",Iterations[[#This Row],[c]]))</f>
        <v/>
      </c>
      <c r="J619" s="2" t="str">
        <f>IF(Iterations[[#This Row],[Step]] =current_step, current_d,IF(Iterations[[#This Row],[Step]] &gt; current_step, "",Iterations[[#This Row],[d]]))</f>
        <v/>
      </c>
      <c r="K619" s="2" t="str">
        <f>IF(Iterations[[#This Row],[Step]] =current_step, current_e,IF(Iterations[[#This Row],[Step]] &gt; current_step, "",Iterations[[#This Row],[e]]))</f>
        <v/>
      </c>
      <c r="L619" s="2" t="str">
        <f>IF(Iterations[[#This Row],[Step]] =current_step, current_Total_Loss,IF(Iterations[[#This Row],[Step]] &gt; current_step, "",Iterations[[#This Row],[Total Loss]]))</f>
        <v/>
      </c>
      <c r="M619" s="6" t="s">
        <v>27</v>
      </c>
      <c r="N619" s="2" t="str">
        <f>IF(Iterations[[#This Row],[Step]] =current_step, current_Grad_a,IF(Iterations[[#This Row],[Step]] &gt; current_step, "",Iterations[[#This Row],[Grad_a]]))</f>
        <v/>
      </c>
      <c r="O619" s="2" t="str">
        <f>IF(Iterations[[#This Row],[Step]] =current_step, current_Grad_b,IF(Iterations[[#This Row],[Step]] &gt; current_step, "",Iterations[[#This Row],[Grad_b]]))</f>
        <v/>
      </c>
      <c r="P619" s="2" t="str">
        <f>IF(Iterations[[#This Row],[Step]] =current_step, current_Grad_c,IF(Iterations[[#This Row],[Step]] &gt; current_step, "",Iterations[[#This Row],[Grad_c]]))</f>
        <v/>
      </c>
      <c r="Q619" s="2" t="str">
        <f>IF(Iterations[[#This Row],[Step]] =current_step, current_Grad_d,IF(Iterations[[#This Row],[Step]] &gt; current_step, "",Iterations[[#This Row],[Grad_d]]))</f>
        <v/>
      </c>
      <c r="R619" s="2" t="str">
        <f>IF(Iterations[[#This Row],[Step]] =current_step, current_Grad_e,IF(Iterations[[#This Row],[Step]] &gt; current_step, "",Iterations[[#This Row],[Grad_e]]))</f>
        <v/>
      </c>
    </row>
    <row r="620" spans="6:18" x14ac:dyDescent="0.3">
      <c r="F620" s="2">
        <f t="shared" si="11"/>
        <v>603</v>
      </c>
      <c r="G620" s="2" t="str">
        <f>IF(Iterations[[#This Row],[Step]] =current_step, current_a,IF(Iterations[[#This Row],[Step]] &gt; current_step, "",Iterations[[#This Row],[a]]))</f>
        <v/>
      </c>
      <c r="H620" s="2" t="str">
        <f>IF(Iterations[[#This Row],[Step]] =current_step, current_b,IF(Iterations[[#This Row],[Step]] &gt; current_step, "",Iterations[[#This Row],[b]]))</f>
        <v/>
      </c>
      <c r="I620" s="2" t="str">
        <f>IF(Iterations[[#This Row],[Step]] =current_step, current_c,IF(Iterations[[#This Row],[Step]] &gt; current_step, "",Iterations[[#This Row],[c]]))</f>
        <v/>
      </c>
      <c r="J620" s="2" t="str">
        <f>IF(Iterations[[#This Row],[Step]] =current_step, current_d,IF(Iterations[[#This Row],[Step]] &gt; current_step, "",Iterations[[#This Row],[d]]))</f>
        <v/>
      </c>
      <c r="K620" s="2" t="str">
        <f>IF(Iterations[[#This Row],[Step]] =current_step, current_e,IF(Iterations[[#This Row],[Step]] &gt; current_step, "",Iterations[[#This Row],[e]]))</f>
        <v/>
      </c>
      <c r="L620" s="2" t="str">
        <f>IF(Iterations[[#This Row],[Step]] =current_step, current_Total_Loss,IF(Iterations[[#This Row],[Step]] &gt; current_step, "",Iterations[[#This Row],[Total Loss]]))</f>
        <v/>
      </c>
      <c r="M620" s="6" t="s">
        <v>27</v>
      </c>
      <c r="N620" s="2" t="str">
        <f>IF(Iterations[[#This Row],[Step]] =current_step, current_Grad_a,IF(Iterations[[#This Row],[Step]] &gt; current_step, "",Iterations[[#This Row],[Grad_a]]))</f>
        <v/>
      </c>
      <c r="O620" s="2" t="str">
        <f>IF(Iterations[[#This Row],[Step]] =current_step, current_Grad_b,IF(Iterations[[#This Row],[Step]] &gt; current_step, "",Iterations[[#This Row],[Grad_b]]))</f>
        <v/>
      </c>
      <c r="P620" s="2" t="str">
        <f>IF(Iterations[[#This Row],[Step]] =current_step, current_Grad_c,IF(Iterations[[#This Row],[Step]] &gt; current_step, "",Iterations[[#This Row],[Grad_c]]))</f>
        <v/>
      </c>
      <c r="Q620" s="2" t="str">
        <f>IF(Iterations[[#This Row],[Step]] =current_step, current_Grad_d,IF(Iterations[[#This Row],[Step]] &gt; current_step, "",Iterations[[#This Row],[Grad_d]]))</f>
        <v/>
      </c>
      <c r="R620" s="2" t="str">
        <f>IF(Iterations[[#This Row],[Step]] =current_step, current_Grad_e,IF(Iterations[[#This Row],[Step]] &gt; current_step, "",Iterations[[#This Row],[Grad_e]]))</f>
        <v/>
      </c>
    </row>
    <row r="621" spans="6:18" x14ac:dyDescent="0.3">
      <c r="F621" s="2">
        <f t="shared" si="11"/>
        <v>604</v>
      </c>
      <c r="G621" s="2" t="str">
        <f>IF(Iterations[[#This Row],[Step]] =current_step, current_a,IF(Iterations[[#This Row],[Step]] &gt; current_step, "",Iterations[[#This Row],[a]]))</f>
        <v/>
      </c>
      <c r="H621" s="2" t="str">
        <f>IF(Iterations[[#This Row],[Step]] =current_step, current_b,IF(Iterations[[#This Row],[Step]] &gt; current_step, "",Iterations[[#This Row],[b]]))</f>
        <v/>
      </c>
      <c r="I621" s="2" t="str">
        <f>IF(Iterations[[#This Row],[Step]] =current_step, current_c,IF(Iterations[[#This Row],[Step]] &gt; current_step, "",Iterations[[#This Row],[c]]))</f>
        <v/>
      </c>
      <c r="J621" s="2" t="str">
        <f>IF(Iterations[[#This Row],[Step]] =current_step, current_d,IF(Iterations[[#This Row],[Step]] &gt; current_step, "",Iterations[[#This Row],[d]]))</f>
        <v/>
      </c>
      <c r="K621" s="2" t="str">
        <f>IF(Iterations[[#This Row],[Step]] =current_step, current_e,IF(Iterations[[#This Row],[Step]] &gt; current_step, "",Iterations[[#This Row],[e]]))</f>
        <v/>
      </c>
      <c r="L621" s="2" t="str">
        <f>IF(Iterations[[#This Row],[Step]] =current_step, current_Total_Loss,IF(Iterations[[#This Row],[Step]] &gt; current_step, "",Iterations[[#This Row],[Total Loss]]))</f>
        <v/>
      </c>
      <c r="M621" s="6" t="s">
        <v>27</v>
      </c>
      <c r="N621" s="2" t="str">
        <f>IF(Iterations[[#This Row],[Step]] =current_step, current_Grad_a,IF(Iterations[[#This Row],[Step]] &gt; current_step, "",Iterations[[#This Row],[Grad_a]]))</f>
        <v/>
      </c>
      <c r="O621" s="2" t="str">
        <f>IF(Iterations[[#This Row],[Step]] =current_step, current_Grad_b,IF(Iterations[[#This Row],[Step]] &gt; current_step, "",Iterations[[#This Row],[Grad_b]]))</f>
        <v/>
      </c>
      <c r="P621" s="2" t="str">
        <f>IF(Iterations[[#This Row],[Step]] =current_step, current_Grad_c,IF(Iterations[[#This Row],[Step]] &gt; current_step, "",Iterations[[#This Row],[Grad_c]]))</f>
        <v/>
      </c>
      <c r="Q621" s="2" t="str">
        <f>IF(Iterations[[#This Row],[Step]] =current_step, current_Grad_d,IF(Iterations[[#This Row],[Step]] &gt; current_step, "",Iterations[[#This Row],[Grad_d]]))</f>
        <v/>
      </c>
      <c r="R621" s="2" t="str">
        <f>IF(Iterations[[#This Row],[Step]] =current_step, current_Grad_e,IF(Iterations[[#This Row],[Step]] &gt; current_step, "",Iterations[[#This Row],[Grad_e]]))</f>
        <v/>
      </c>
    </row>
    <row r="622" spans="6:18" x14ac:dyDescent="0.3">
      <c r="F622" s="2">
        <f t="shared" si="11"/>
        <v>605</v>
      </c>
      <c r="G622" s="2" t="str">
        <f>IF(Iterations[[#This Row],[Step]] =current_step, current_a,IF(Iterations[[#This Row],[Step]] &gt; current_step, "",Iterations[[#This Row],[a]]))</f>
        <v/>
      </c>
      <c r="H622" s="2" t="str">
        <f>IF(Iterations[[#This Row],[Step]] =current_step, current_b,IF(Iterations[[#This Row],[Step]] &gt; current_step, "",Iterations[[#This Row],[b]]))</f>
        <v/>
      </c>
      <c r="I622" s="2" t="str">
        <f>IF(Iterations[[#This Row],[Step]] =current_step, current_c,IF(Iterations[[#This Row],[Step]] &gt; current_step, "",Iterations[[#This Row],[c]]))</f>
        <v/>
      </c>
      <c r="J622" s="2" t="str">
        <f>IF(Iterations[[#This Row],[Step]] =current_step, current_d,IF(Iterations[[#This Row],[Step]] &gt; current_step, "",Iterations[[#This Row],[d]]))</f>
        <v/>
      </c>
      <c r="K622" s="2" t="str">
        <f>IF(Iterations[[#This Row],[Step]] =current_step, current_e,IF(Iterations[[#This Row],[Step]] &gt; current_step, "",Iterations[[#This Row],[e]]))</f>
        <v/>
      </c>
      <c r="L622" s="2" t="str">
        <f>IF(Iterations[[#This Row],[Step]] =current_step, current_Total_Loss,IF(Iterations[[#This Row],[Step]] &gt; current_step, "",Iterations[[#This Row],[Total Loss]]))</f>
        <v/>
      </c>
      <c r="M622" s="6" t="s">
        <v>27</v>
      </c>
      <c r="N622" s="2" t="str">
        <f>IF(Iterations[[#This Row],[Step]] =current_step, current_Grad_a,IF(Iterations[[#This Row],[Step]] &gt; current_step, "",Iterations[[#This Row],[Grad_a]]))</f>
        <v/>
      </c>
      <c r="O622" s="2" t="str">
        <f>IF(Iterations[[#This Row],[Step]] =current_step, current_Grad_b,IF(Iterations[[#This Row],[Step]] &gt; current_step, "",Iterations[[#This Row],[Grad_b]]))</f>
        <v/>
      </c>
      <c r="P622" s="2" t="str">
        <f>IF(Iterations[[#This Row],[Step]] =current_step, current_Grad_c,IF(Iterations[[#This Row],[Step]] &gt; current_step, "",Iterations[[#This Row],[Grad_c]]))</f>
        <v/>
      </c>
      <c r="Q622" s="2" t="str">
        <f>IF(Iterations[[#This Row],[Step]] =current_step, current_Grad_d,IF(Iterations[[#This Row],[Step]] &gt; current_step, "",Iterations[[#This Row],[Grad_d]]))</f>
        <v/>
      </c>
      <c r="R622" s="2" t="str">
        <f>IF(Iterations[[#This Row],[Step]] =current_step, current_Grad_e,IF(Iterations[[#This Row],[Step]] &gt; current_step, "",Iterations[[#This Row],[Grad_e]]))</f>
        <v/>
      </c>
    </row>
    <row r="623" spans="6:18" x14ac:dyDescent="0.3">
      <c r="F623" s="2">
        <f t="shared" si="11"/>
        <v>606</v>
      </c>
      <c r="G623" s="2" t="str">
        <f>IF(Iterations[[#This Row],[Step]] =current_step, current_a,IF(Iterations[[#This Row],[Step]] &gt; current_step, "",Iterations[[#This Row],[a]]))</f>
        <v/>
      </c>
      <c r="H623" s="2" t="str">
        <f>IF(Iterations[[#This Row],[Step]] =current_step, current_b,IF(Iterations[[#This Row],[Step]] &gt; current_step, "",Iterations[[#This Row],[b]]))</f>
        <v/>
      </c>
      <c r="I623" s="2" t="str">
        <f>IF(Iterations[[#This Row],[Step]] =current_step, current_c,IF(Iterations[[#This Row],[Step]] &gt; current_step, "",Iterations[[#This Row],[c]]))</f>
        <v/>
      </c>
      <c r="J623" s="2" t="str">
        <f>IF(Iterations[[#This Row],[Step]] =current_step, current_d,IF(Iterations[[#This Row],[Step]] &gt; current_step, "",Iterations[[#This Row],[d]]))</f>
        <v/>
      </c>
      <c r="K623" s="2" t="str">
        <f>IF(Iterations[[#This Row],[Step]] =current_step, current_e,IF(Iterations[[#This Row],[Step]] &gt; current_step, "",Iterations[[#This Row],[e]]))</f>
        <v/>
      </c>
      <c r="L623" s="2" t="str">
        <f>IF(Iterations[[#This Row],[Step]] =current_step, current_Total_Loss,IF(Iterations[[#This Row],[Step]] &gt; current_step, "",Iterations[[#This Row],[Total Loss]]))</f>
        <v/>
      </c>
      <c r="M623" s="6" t="s">
        <v>27</v>
      </c>
      <c r="N623" s="2" t="str">
        <f>IF(Iterations[[#This Row],[Step]] =current_step, current_Grad_a,IF(Iterations[[#This Row],[Step]] &gt; current_step, "",Iterations[[#This Row],[Grad_a]]))</f>
        <v/>
      </c>
      <c r="O623" s="2" t="str">
        <f>IF(Iterations[[#This Row],[Step]] =current_step, current_Grad_b,IF(Iterations[[#This Row],[Step]] &gt; current_step, "",Iterations[[#This Row],[Grad_b]]))</f>
        <v/>
      </c>
      <c r="P623" s="2" t="str">
        <f>IF(Iterations[[#This Row],[Step]] =current_step, current_Grad_c,IF(Iterations[[#This Row],[Step]] &gt; current_step, "",Iterations[[#This Row],[Grad_c]]))</f>
        <v/>
      </c>
      <c r="Q623" s="2" t="str">
        <f>IF(Iterations[[#This Row],[Step]] =current_step, current_Grad_d,IF(Iterations[[#This Row],[Step]] &gt; current_step, "",Iterations[[#This Row],[Grad_d]]))</f>
        <v/>
      </c>
      <c r="R623" s="2" t="str">
        <f>IF(Iterations[[#This Row],[Step]] =current_step, current_Grad_e,IF(Iterations[[#This Row],[Step]] &gt; current_step, "",Iterations[[#This Row],[Grad_e]]))</f>
        <v/>
      </c>
    </row>
    <row r="624" spans="6:18" x14ac:dyDescent="0.3">
      <c r="F624" s="2">
        <f t="shared" si="11"/>
        <v>607</v>
      </c>
      <c r="G624" s="2" t="str">
        <f>IF(Iterations[[#This Row],[Step]] =current_step, current_a,IF(Iterations[[#This Row],[Step]] &gt; current_step, "",Iterations[[#This Row],[a]]))</f>
        <v/>
      </c>
      <c r="H624" s="2" t="str">
        <f>IF(Iterations[[#This Row],[Step]] =current_step, current_b,IF(Iterations[[#This Row],[Step]] &gt; current_step, "",Iterations[[#This Row],[b]]))</f>
        <v/>
      </c>
      <c r="I624" s="2" t="str">
        <f>IF(Iterations[[#This Row],[Step]] =current_step, current_c,IF(Iterations[[#This Row],[Step]] &gt; current_step, "",Iterations[[#This Row],[c]]))</f>
        <v/>
      </c>
      <c r="J624" s="2" t="str">
        <f>IF(Iterations[[#This Row],[Step]] =current_step, current_d,IF(Iterations[[#This Row],[Step]] &gt; current_step, "",Iterations[[#This Row],[d]]))</f>
        <v/>
      </c>
      <c r="K624" s="2" t="str">
        <f>IF(Iterations[[#This Row],[Step]] =current_step, current_e,IF(Iterations[[#This Row],[Step]] &gt; current_step, "",Iterations[[#This Row],[e]]))</f>
        <v/>
      </c>
      <c r="L624" s="2" t="str">
        <f>IF(Iterations[[#This Row],[Step]] =current_step, current_Total_Loss,IF(Iterations[[#This Row],[Step]] &gt; current_step, "",Iterations[[#This Row],[Total Loss]]))</f>
        <v/>
      </c>
      <c r="M624" s="6" t="s">
        <v>27</v>
      </c>
      <c r="N624" s="2" t="str">
        <f>IF(Iterations[[#This Row],[Step]] =current_step, current_Grad_a,IF(Iterations[[#This Row],[Step]] &gt; current_step, "",Iterations[[#This Row],[Grad_a]]))</f>
        <v/>
      </c>
      <c r="O624" s="2" t="str">
        <f>IF(Iterations[[#This Row],[Step]] =current_step, current_Grad_b,IF(Iterations[[#This Row],[Step]] &gt; current_step, "",Iterations[[#This Row],[Grad_b]]))</f>
        <v/>
      </c>
      <c r="P624" s="2" t="str">
        <f>IF(Iterations[[#This Row],[Step]] =current_step, current_Grad_c,IF(Iterations[[#This Row],[Step]] &gt; current_step, "",Iterations[[#This Row],[Grad_c]]))</f>
        <v/>
      </c>
      <c r="Q624" s="2" t="str">
        <f>IF(Iterations[[#This Row],[Step]] =current_step, current_Grad_d,IF(Iterations[[#This Row],[Step]] &gt; current_step, "",Iterations[[#This Row],[Grad_d]]))</f>
        <v/>
      </c>
      <c r="R624" s="2" t="str">
        <f>IF(Iterations[[#This Row],[Step]] =current_step, current_Grad_e,IF(Iterations[[#This Row],[Step]] &gt; current_step, "",Iterations[[#This Row],[Grad_e]]))</f>
        <v/>
      </c>
    </row>
    <row r="625" spans="6:18" x14ac:dyDescent="0.3">
      <c r="F625" s="2">
        <f t="shared" si="11"/>
        <v>608</v>
      </c>
      <c r="G625" s="2" t="str">
        <f>IF(Iterations[[#This Row],[Step]] =current_step, current_a,IF(Iterations[[#This Row],[Step]] &gt; current_step, "",Iterations[[#This Row],[a]]))</f>
        <v/>
      </c>
      <c r="H625" s="2" t="str">
        <f>IF(Iterations[[#This Row],[Step]] =current_step, current_b,IF(Iterations[[#This Row],[Step]] &gt; current_step, "",Iterations[[#This Row],[b]]))</f>
        <v/>
      </c>
      <c r="I625" s="2" t="str">
        <f>IF(Iterations[[#This Row],[Step]] =current_step, current_c,IF(Iterations[[#This Row],[Step]] &gt; current_step, "",Iterations[[#This Row],[c]]))</f>
        <v/>
      </c>
      <c r="J625" s="2" t="str">
        <f>IF(Iterations[[#This Row],[Step]] =current_step, current_d,IF(Iterations[[#This Row],[Step]] &gt; current_step, "",Iterations[[#This Row],[d]]))</f>
        <v/>
      </c>
      <c r="K625" s="2" t="str">
        <f>IF(Iterations[[#This Row],[Step]] =current_step, current_e,IF(Iterations[[#This Row],[Step]] &gt; current_step, "",Iterations[[#This Row],[e]]))</f>
        <v/>
      </c>
      <c r="L625" s="2" t="str">
        <f>IF(Iterations[[#This Row],[Step]] =current_step, current_Total_Loss,IF(Iterations[[#This Row],[Step]] &gt; current_step, "",Iterations[[#This Row],[Total Loss]]))</f>
        <v/>
      </c>
      <c r="M625" s="6" t="s">
        <v>27</v>
      </c>
      <c r="N625" s="2" t="str">
        <f>IF(Iterations[[#This Row],[Step]] =current_step, current_Grad_a,IF(Iterations[[#This Row],[Step]] &gt; current_step, "",Iterations[[#This Row],[Grad_a]]))</f>
        <v/>
      </c>
      <c r="O625" s="2" t="str">
        <f>IF(Iterations[[#This Row],[Step]] =current_step, current_Grad_b,IF(Iterations[[#This Row],[Step]] &gt; current_step, "",Iterations[[#This Row],[Grad_b]]))</f>
        <v/>
      </c>
      <c r="P625" s="2" t="str">
        <f>IF(Iterations[[#This Row],[Step]] =current_step, current_Grad_c,IF(Iterations[[#This Row],[Step]] &gt; current_step, "",Iterations[[#This Row],[Grad_c]]))</f>
        <v/>
      </c>
      <c r="Q625" s="2" t="str">
        <f>IF(Iterations[[#This Row],[Step]] =current_step, current_Grad_d,IF(Iterations[[#This Row],[Step]] &gt; current_step, "",Iterations[[#This Row],[Grad_d]]))</f>
        <v/>
      </c>
      <c r="R625" s="2" t="str">
        <f>IF(Iterations[[#This Row],[Step]] =current_step, current_Grad_e,IF(Iterations[[#This Row],[Step]] &gt; current_step, "",Iterations[[#This Row],[Grad_e]]))</f>
        <v/>
      </c>
    </row>
    <row r="626" spans="6:18" x14ac:dyDescent="0.3">
      <c r="F626" s="2">
        <f t="shared" si="11"/>
        <v>609</v>
      </c>
      <c r="G626" s="2" t="str">
        <f>IF(Iterations[[#This Row],[Step]] =current_step, current_a,IF(Iterations[[#This Row],[Step]] &gt; current_step, "",Iterations[[#This Row],[a]]))</f>
        <v/>
      </c>
      <c r="H626" s="2" t="str">
        <f>IF(Iterations[[#This Row],[Step]] =current_step, current_b,IF(Iterations[[#This Row],[Step]] &gt; current_step, "",Iterations[[#This Row],[b]]))</f>
        <v/>
      </c>
      <c r="I626" s="2" t="str">
        <f>IF(Iterations[[#This Row],[Step]] =current_step, current_c,IF(Iterations[[#This Row],[Step]] &gt; current_step, "",Iterations[[#This Row],[c]]))</f>
        <v/>
      </c>
      <c r="J626" s="2" t="str">
        <f>IF(Iterations[[#This Row],[Step]] =current_step, current_d,IF(Iterations[[#This Row],[Step]] &gt; current_step, "",Iterations[[#This Row],[d]]))</f>
        <v/>
      </c>
      <c r="K626" s="2" t="str">
        <f>IF(Iterations[[#This Row],[Step]] =current_step, current_e,IF(Iterations[[#This Row],[Step]] &gt; current_step, "",Iterations[[#This Row],[e]]))</f>
        <v/>
      </c>
      <c r="L626" s="2" t="str">
        <f>IF(Iterations[[#This Row],[Step]] =current_step, current_Total_Loss,IF(Iterations[[#This Row],[Step]] &gt; current_step, "",Iterations[[#This Row],[Total Loss]]))</f>
        <v/>
      </c>
      <c r="M626" s="6" t="s">
        <v>27</v>
      </c>
      <c r="N626" s="2" t="str">
        <f>IF(Iterations[[#This Row],[Step]] =current_step, current_Grad_a,IF(Iterations[[#This Row],[Step]] &gt; current_step, "",Iterations[[#This Row],[Grad_a]]))</f>
        <v/>
      </c>
      <c r="O626" s="2" t="str">
        <f>IF(Iterations[[#This Row],[Step]] =current_step, current_Grad_b,IF(Iterations[[#This Row],[Step]] &gt; current_step, "",Iterations[[#This Row],[Grad_b]]))</f>
        <v/>
      </c>
      <c r="P626" s="2" t="str">
        <f>IF(Iterations[[#This Row],[Step]] =current_step, current_Grad_c,IF(Iterations[[#This Row],[Step]] &gt; current_step, "",Iterations[[#This Row],[Grad_c]]))</f>
        <v/>
      </c>
      <c r="Q626" s="2" t="str">
        <f>IF(Iterations[[#This Row],[Step]] =current_step, current_Grad_d,IF(Iterations[[#This Row],[Step]] &gt; current_step, "",Iterations[[#This Row],[Grad_d]]))</f>
        <v/>
      </c>
      <c r="R626" s="2" t="str">
        <f>IF(Iterations[[#This Row],[Step]] =current_step, current_Grad_e,IF(Iterations[[#This Row],[Step]] &gt; current_step, "",Iterations[[#This Row],[Grad_e]]))</f>
        <v/>
      </c>
    </row>
    <row r="627" spans="6:18" x14ac:dyDescent="0.3">
      <c r="F627" s="2">
        <f t="shared" si="11"/>
        <v>610</v>
      </c>
      <c r="G627" s="2" t="str">
        <f>IF(Iterations[[#This Row],[Step]] =current_step, current_a,IF(Iterations[[#This Row],[Step]] &gt; current_step, "",Iterations[[#This Row],[a]]))</f>
        <v/>
      </c>
      <c r="H627" s="2" t="str">
        <f>IF(Iterations[[#This Row],[Step]] =current_step, current_b,IF(Iterations[[#This Row],[Step]] &gt; current_step, "",Iterations[[#This Row],[b]]))</f>
        <v/>
      </c>
      <c r="I627" s="2" t="str">
        <f>IF(Iterations[[#This Row],[Step]] =current_step, current_c,IF(Iterations[[#This Row],[Step]] &gt; current_step, "",Iterations[[#This Row],[c]]))</f>
        <v/>
      </c>
      <c r="J627" s="2" t="str">
        <f>IF(Iterations[[#This Row],[Step]] =current_step, current_d,IF(Iterations[[#This Row],[Step]] &gt; current_step, "",Iterations[[#This Row],[d]]))</f>
        <v/>
      </c>
      <c r="K627" s="2" t="str">
        <f>IF(Iterations[[#This Row],[Step]] =current_step, current_e,IF(Iterations[[#This Row],[Step]] &gt; current_step, "",Iterations[[#This Row],[e]]))</f>
        <v/>
      </c>
      <c r="L627" s="2" t="str">
        <f>IF(Iterations[[#This Row],[Step]] =current_step, current_Total_Loss,IF(Iterations[[#This Row],[Step]] &gt; current_step, "",Iterations[[#This Row],[Total Loss]]))</f>
        <v/>
      </c>
      <c r="M627" s="6" t="s">
        <v>27</v>
      </c>
      <c r="N627" s="2" t="str">
        <f>IF(Iterations[[#This Row],[Step]] =current_step, current_Grad_a,IF(Iterations[[#This Row],[Step]] &gt; current_step, "",Iterations[[#This Row],[Grad_a]]))</f>
        <v/>
      </c>
      <c r="O627" s="2" t="str">
        <f>IF(Iterations[[#This Row],[Step]] =current_step, current_Grad_b,IF(Iterations[[#This Row],[Step]] &gt; current_step, "",Iterations[[#This Row],[Grad_b]]))</f>
        <v/>
      </c>
      <c r="P627" s="2" t="str">
        <f>IF(Iterations[[#This Row],[Step]] =current_step, current_Grad_c,IF(Iterations[[#This Row],[Step]] &gt; current_step, "",Iterations[[#This Row],[Grad_c]]))</f>
        <v/>
      </c>
      <c r="Q627" s="2" t="str">
        <f>IF(Iterations[[#This Row],[Step]] =current_step, current_Grad_d,IF(Iterations[[#This Row],[Step]] &gt; current_step, "",Iterations[[#This Row],[Grad_d]]))</f>
        <v/>
      </c>
      <c r="R627" s="2" t="str">
        <f>IF(Iterations[[#This Row],[Step]] =current_step, current_Grad_e,IF(Iterations[[#This Row],[Step]] &gt; current_step, "",Iterations[[#This Row],[Grad_e]]))</f>
        <v/>
      </c>
    </row>
    <row r="628" spans="6:18" x14ac:dyDescent="0.3">
      <c r="F628" s="2">
        <f t="shared" si="11"/>
        <v>611</v>
      </c>
      <c r="G628" s="2" t="str">
        <f>IF(Iterations[[#This Row],[Step]] =current_step, current_a,IF(Iterations[[#This Row],[Step]] &gt; current_step, "",Iterations[[#This Row],[a]]))</f>
        <v/>
      </c>
      <c r="H628" s="2" t="str">
        <f>IF(Iterations[[#This Row],[Step]] =current_step, current_b,IF(Iterations[[#This Row],[Step]] &gt; current_step, "",Iterations[[#This Row],[b]]))</f>
        <v/>
      </c>
      <c r="I628" s="2" t="str">
        <f>IF(Iterations[[#This Row],[Step]] =current_step, current_c,IF(Iterations[[#This Row],[Step]] &gt; current_step, "",Iterations[[#This Row],[c]]))</f>
        <v/>
      </c>
      <c r="J628" s="2" t="str">
        <f>IF(Iterations[[#This Row],[Step]] =current_step, current_d,IF(Iterations[[#This Row],[Step]] &gt; current_step, "",Iterations[[#This Row],[d]]))</f>
        <v/>
      </c>
      <c r="K628" s="2" t="str">
        <f>IF(Iterations[[#This Row],[Step]] =current_step, current_e,IF(Iterations[[#This Row],[Step]] &gt; current_step, "",Iterations[[#This Row],[e]]))</f>
        <v/>
      </c>
      <c r="L628" s="2" t="str">
        <f>IF(Iterations[[#This Row],[Step]] =current_step, current_Total_Loss,IF(Iterations[[#This Row],[Step]] &gt; current_step, "",Iterations[[#This Row],[Total Loss]]))</f>
        <v/>
      </c>
      <c r="M628" s="6" t="s">
        <v>27</v>
      </c>
      <c r="N628" s="2" t="str">
        <f>IF(Iterations[[#This Row],[Step]] =current_step, current_Grad_a,IF(Iterations[[#This Row],[Step]] &gt; current_step, "",Iterations[[#This Row],[Grad_a]]))</f>
        <v/>
      </c>
      <c r="O628" s="2" t="str">
        <f>IF(Iterations[[#This Row],[Step]] =current_step, current_Grad_b,IF(Iterations[[#This Row],[Step]] &gt; current_step, "",Iterations[[#This Row],[Grad_b]]))</f>
        <v/>
      </c>
      <c r="P628" s="2" t="str">
        <f>IF(Iterations[[#This Row],[Step]] =current_step, current_Grad_c,IF(Iterations[[#This Row],[Step]] &gt; current_step, "",Iterations[[#This Row],[Grad_c]]))</f>
        <v/>
      </c>
      <c r="Q628" s="2" t="str">
        <f>IF(Iterations[[#This Row],[Step]] =current_step, current_Grad_d,IF(Iterations[[#This Row],[Step]] &gt; current_step, "",Iterations[[#This Row],[Grad_d]]))</f>
        <v/>
      </c>
      <c r="R628" s="2" t="str">
        <f>IF(Iterations[[#This Row],[Step]] =current_step, current_Grad_e,IF(Iterations[[#This Row],[Step]] &gt; current_step, "",Iterations[[#This Row],[Grad_e]]))</f>
        <v/>
      </c>
    </row>
    <row r="629" spans="6:18" x14ac:dyDescent="0.3">
      <c r="F629" s="2">
        <f t="shared" si="11"/>
        <v>612</v>
      </c>
      <c r="G629" s="2" t="str">
        <f>IF(Iterations[[#This Row],[Step]] =current_step, current_a,IF(Iterations[[#This Row],[Step]] &gt; current_step, "",Iterations[[#This Row],[a]]))</f>
        <v/>
      </c>
      <c r="H629" s="2" t="str">
        <f>IF(Iterations[[#This Row],[Step]] =current_step, current_b,IF(Iterations[[#This Row],[Step]] &gt; current_step, "",Iterations[[#This Row],[b]]))</f>
        <v/>
      </c>
      <c r="I629" s="2" t="str">
        <f>IF(Iterations[[#This Row],[Step]] =current_step, current_c,IF(Iterations[[#This Row],[Step]] &gt; current_step, "",Iterations[[#This Row],[c]]))</f>
        <v/>
      </c>
      <c r="J629" s="2" t="str">
        <f>IF(Iterations[[#This Row],[Step]] =current_step, current_d,IF(Iterations[[#This Row],[Step]] &gt; current_step, "",Iterations[[#This Row],[d]]))</f>
        <v/>
      </c>
      <c r="K629" s="2" t="str">
        <f>IF(Iterations[[#This Row],[Step]] =current_step, current_e,IF(Iterations[[#This Row],[Step]] &gt; current_step, "",Iterations[[#This Row],[e]]))</f>
        <v/>
      </c>
      <c r="L629" s="2" t="str">
        <f>IF(Iterations[[#This Row],[Step]] =current_step, current_Total_Loss,IF(Iterations[[#This Row],[Step]] &gt; current_step, "",Iterations[[#This Row],[Total Loss]]))</f>
        <v/>
      </c>
      <c r="M629" s="6" t="s">
        <v>27</v>
      </c>
      <c r="N629" s="2" t="str">
        <f>IF(Iterations[[#This Row],[Step]] =current_step, current_Grad_a,IF(Iterations[[#This Row],[Step]] &gt; current_step, "",Iterations[[#This Row],[Grad_a]]))</f>
        <v/>
      </c>
      <c r="O629" s="2" t="str">
        <f>IF(Iterations[[#This Row],[Step]] =current_step, current_Grad_b,IF(Iterations[[#This Row],[Step]] &gt; current_step, "",Iterations[[#This Row],[Grad_b]]))</f>
        <v/>
      </c>
      <c r="P629" s="2" t="str">
        <f>IF(Iterations[[#This Row],[Step]] =current_step, current_Grad_c,IF(Iterations[[#This Row],[Step]] &gt; current_step, "",Iterations[[#This Row],[Grad_c]]))</f>
        <v/>
      </c>
      <c r="Q629" s="2" t="str">
        <f>IF(Iterations[[#This Row],[Step]] =current_step, current_Grad_d,IF(Iterations[[#This Row],[Step]] &gt; current_step, "",Iterations[[#This Row],[Grad_d]]))</f>
        <v/>
      </c>
      <c r="R629" s="2" t="str">
        <f>IF(Iterations[[#This Row],[Step]] =current_step, current_Grad_e,IF(Iterations[[#This Row],[Step]] &gt; current_step, "",Iterations[[#This Row],[Grad_e]]))</f>
        <v/>
      </c>
    </row>
    <row r="630" spans="6:18" x14ac:dyDescent="0.3">
      <c r="F630" s="2">
        <f t="shared" si="11"/>
        <v>613</v>
      </c>
      <c r="G630" s="2" t="str">
        <f>IF(Iterations[[#This Row],[Step]] =current_step, current_a,IF(Iterations[[#This Row],[Step]] &gt; current_step, "",Iterations[[#This Row],[a]]))</f>
        <v/>
      </c>
      <c r="H630" s="2" t="str">
        <f>IF(Iterations[[#This Row],[Step]] =current_step, current_b,IF(Iterations[[#This Row],[Step]] &gt; current_step, "",Iterations[[#This Row],[b]]))</f>
        <v/>
      </c>
      <c r="I630" s="2" t="str">
        <f>IF(Iterations[[#This Row],[Step]] =current_step, current_c,IF(Iterations[[#This Row],[Step]] &gt; current_step, "",Iterations[[#This Row],[c]]))</f>
        <v/>
      </c>
      <c r="J630" s="2" t="str">
        <f>IF(Iterations[[#This Row],[Step]] =current_step, current_d,IF(Iterations[[#This Row],[Step]] &gt; current_step, "",Iterations[[#This Row],[d]]))</f>
        <v/>
      </c>
      <c r="K630" s="2" t="str">
        <f>IF(Iterations[[#This Row],[Step]] =current_step, current_e,IF(Iterations[[#This Row],[Step]] &gt; current_step, "",Iterations[[#This Row],[e]]))</f>
        <v/>
      </c>
      <c r="L630" s="2" t="str">
        <f>IF(Iterations[[#This Row],[Step]] =current_step, current_Total_Loss,IF(Iterations[[#This Row],[Step]] &gt; current_step, "",Iterations[[#This Row],[Total Loss]]))</f>
        <v/>
      </c>
      <c r="M630" s="6" t="s">
        <v>27</v>
      </c>
      <c r="N630" s="2" t="str">
        <f>IF(Iterations[[#This Row],[Step]] =current_step, current_Grad_a,IF(Iterations[[#This Row],[Step]] &gt; current_step, "",Iterations[[#This Row],[Grad_a]]))</f>
        <v/>
      </c>
      <c r="O630" s="2" t="str">
        <f>IF(Iterations[[#This Row],[Step]] =current_step, current_Grad_b,IF(Iterations[[#This Row],[Step]] &gt; current_step, "",Iterations[[#This Row],[Grad_b]]))</f>
        <v/>
      </c>
      <c r="P630" s="2" t="str">
        <f>IF(Iterations[[#This Row],[Step]] =current_step, current_Grad_c,IF(Iterations[[#This Row],[Step]] &gt; current_step, "",Iterations[[#This Row],[Grad_c]]))</f>
        <v/>
      </c>
      <c r="Q630" s="2" t="str">
        <f>IF(Iterations[[#This Row],[Step]] =current_step, current_Grad_d,IF(Iterations[[#This Row],[Step]] &gt; current_step, "",Iterations[[#This Row],[Grad_d]]))</f>
        <v/>
      </c>
      <c r="R630" s="2" t="str">
        <f>IF(Iterations[[#This Row],[Step]] =current_step, current_Grad_e,IF(Iterations[[#This Row],[Step]] &gt; current_step, "",Iterations[[#This Row],[Grad_e]]))</f>
        <v/>
      </c>
    </row>
    <row r="631" spans="6:18" x14ac:dyDescent="0.3">
      <c r="F631" s="2">
        <f t="shared" ref="F631:F694" si="12">F630+1</f>
        <v>614</v>
      </c>
      <c r="G631" s="2" t="str">
        <f>IF(Iterations[[#This Row],[Step]] =current_step, current_a,IF(Iterations[[#This Row],[Step]] &gt; current_step, "",Iterations[[#This Row],[a]]))</f>
        <v/>
      </c>
      <c r="H631" s="2" t="str">
        <f>IF(Iterations[[#This Row],[Step]] =current_step, current_b,IF(Iterations[[#This Row],[Step]] &gt; current_step, "",Iterations[[#This Row],[b]]))</f>
        <v/>
      </c>
      <c r="I631" s="2" t="str">
        <f>IF(Iterations[[#This Row],[Step]] =current_step, current_c,IF(Iterations[[#This Row],[Step]] &gt; current_step, "",Iterations[[#This Row],[c]]))</f>
        <v/>
      </c>
      <c r="J631" s="2" t="str">
        <f>IF(Iterations[[#This Row],[Step]] =current_step, current_d,IF(Iterations[[#This Row],[Step]] &gt; current_step, "",Iterations[[#This Row],[d]]))</f>
        <v/>
      </c>
      <c r="K631" s="2" t="str">
        <f>IF(Iterations[[#This Row],[Step]] =current_step, current_e,IF(Iterations[[#This Row],[Step]] &gt; current_step, "",Iterations[[#This Row],[e]]))</f>
        <v/>
      </c>
      <c r="L631" s="2" t="str">
        <f>IF(Iterations[[#This Row],[Step]] =current_step, current_Total_Loss,IF(Iterations[[#This Row],[Step]] &gt; current_step, "",Iterations[[#This Row],[Total Loss]]))</f>
        <v/>
      </c>
      <c r="M631" s="6" t="s">
        <v>27</v>
      </c>
      <c r="N631" s="2" t="str">
        <f>IF(Iterations[[#This Row],[Step]] =current_step, current_Grad_a,IF(Iterations[[#This Row],[Step]] &gt; current_step, "",Iterations[[#This Row],[Grad_a]]))</f>
        <v/>
      </c>
      <c r="O631" s="2" t="str">
        <f>IF(Iterations[[#This Row],[Step]] =current_step, current_Grad_b,IF(Iterations[[#This Row],[Step]] &gt; current_step, "",Iterations[[#This Row],[Grad_b]]))</f>
        <v/>
      </c>
      <c r="P631" s="2" t="str">
        <f>IF(Iterations[[#This Row],[Step]] =current_step, current_Grad_c,IF(Iterations[[#This Row],[Step]] &gt; current_step, "",Iterations[[#This Row],[Grad_c]]))</f>
        <v/>
      </c>
      <c r="Q631" s="2" t="str">
        <f>IF(Iterations[[#This Row],[Step]] =current_step, current_Grad_d,IF(Iterations[[#This Row],[Step]] &gt; current_step, "",Iterations[[#This Row],[Grad_d]]))</f>
        <v/>
      </c>
      <c r="R631" s="2" t="str">
        <f>IF(Iterations[[#This Row],[Step]] =current_step, current_Grad_e,IF(Iterations[[#This Row],[Step]] &gt; current_step, "",Iterations[[#This Row],[Grad_e]]))</f>
        <v/>
      </c>
    </row>
    <row r="632" spans="6:18" x14ac:dyDescent="0.3">
      <c r="F632" s="2">
        <f t="shared" si="12"/>
        <v>615</v>
      </c>
      <c r="G632" s="2" t="str">
        <f>IF(Iterations[[#This Row],[Step]] =current_step, current_a,IF(Iterations[[#This Row],[Step]] &gt; current_step, "",Iterations[[#This Row],[a]]))</f>
        <v/>
      </c>
      <c r="H632" s="2" t="str">
        <f>IF(Iterations[[#This Row],[Step]] =current_step, current_b,IF(Iterations[[#This Row],[Step]] &gt; current_step, "",Iterations[[#This Row],[b]]))</f>
        <v/>
      </c>
      <c r="I632" s="2" t="str">
        <f>IF(Iterations[[#This Row],[Step]] =current_step, current_c,IF(Iterations[[#This Row],[Step]] &gt; current_step, "",Iterations[[#This Row],[c]]))</f>
        <v/>
      </c>
      <c r="J632" s="2" t="str">
        <f>IF(Iterations[[#This Row],[Step]] =current_step, current_d,IF(Iterations[[#This Row],[Step]] &gt; current_step, "",Iterations[[#This Row],[d]]))</f>
        <v/>
      </c>
      <c r="K632" s="2" t="str">
        <f>IF(Iterations[[#This Row],[Step]] =current_step, current_e,IF(Iterations[[#This Row],[Step]] &gt; current_step, "",Iterations[[#This Row],[e]]))</f>
        <v/>
      </c>
      <c r="L632" s="2" t="str">
        <f>IF(Iterations[[#This Row],[Step]] =current_step, current_Total_Loss,IF(Iterations[[#This Row],[Step]] &gt; current_step, "",Iterations[[#This Row],[Total Loss]]))</f>
        <v/>
      </c>
      <c r="M632" s="6" t="s">
        <v>27</v>
      </c>
      <c r="N632" s="2" t="str">
        <f>IF(Iterations[[#This Row],[Step]] =current_step, current_Grad_a,IF(Iterations[[#This Row],[Step]] &gt; current_step, "",Iterations[[#This Row],[Grad_a]]))</f>
        <v/>
      </c>
      <c r="O632" s="2" t="str">
        <f>IF(Iterations[[#This Row],[Step]] =current_step, current_Grad_b,IF(Iterations[[#This Row],[Step]] &gt; current_step, "",Iterations[[#This Row],[Grad_b]]))</f>
        <v/>
      </c>
      <c r="P632" s="2" t="str">
        <f>IF(Iterations[[#This Row],[Step]] =current_step, current_Grad_c,IF(Iterations[[#This Row],[Step]] &gt; current_step, "",Iterations[[#This Row],[Grad_c]]))</f>
        <v/>
      </c>
      <c r="Q632" s="2" t="str">
        <f>IF(Iterations[[#This Row],[Step]] =current_step, current_Grad_d,IF(Iterations[[#This Row],[Step]] &gt; current_step, "",Iterations[[#This Row],[Grad_d]]))</f>
        <v/>
      </c>
      <c r="R632" s="2" t="str">
        <f>IF(Iterations[[#This Row],[Step]] =current_step, current_Grad_e,IF(Iterations[[#This Row],[Step]] &gt; current_step, "",Iterations[[#This Row],[Grad_e]]))</f>
        <v/>
      </c>
    </row>
    <row r="633" spans="6:18" x14ac:dyDescent="0.3">
      <c r="F633" s="2">
        <f t="shared" si="12"/>
        <v>616</v>
      </c>
      <c r="G633" s="2" t="str">
        <f>IF(Iterations[[#This Row],[Step]] =current_step, current_a,IF(Iterations[[#This Row],[Step]] &gt; current_step, "",Iterations[[#This Row],[a]]))</f>
        <v/>
      </c>
      <c r="H633" s="2" t="str">
        <f>IF(Iterations[[#This Row],[Step]] =current_step, current_b,IF(Iterations[[#This Row],[Step]] &gt; current_step, "",Iterations[[#This Row],[b]]))</f>
        <v/>
      </c>
      <c r="I633" s="2" t="str">
        <f>IF(Iterations[[#This Row],[Step]] =current_step, current_c,IF(Iterations[[#This Row],[Step]] &gt; current_step, "",Iterations[[#This Row],[c]]))</f>
        <v/>
      </c>
      <c r="J633" s="2" t="str">
        <f>IF(Iterations[[#This Row],[Step]] =current_step, current_d,IF(Iterations[[#This Row],[Step]] &gt; current_step, "",Iterations[[#This Row],[d]]))</f>
        <v/>
      </c>
      <c r="K633" s="2" t="str">
        <f>IF(Iterations[[#This Row],[Step]] =current_step, current_e,IF(Iterations[[#This Row],[Step]] &gt; current_step, "",Iterations[[#This Row],[e]]))</f>
        <v/>
      </c>
      <c r="L633" s="2" t="str">
        <f>IF(Iterations[[#This Row],[Step]] =current_step, current_Total_Loss,IF(Iterations[[#This Row],[Step]] &gt; current_step, "",Iterations[[#This Row],[Total Loss]]))</f>
        <v/>
      </c>
      <c r="M633" s="6" t="s">
        <v>27</v>
      </c>
      <c r="N633" s="2" t="str">
        <f>IF(Iterations[[#This Row],[Step]] =current_step, current_Grad_a,IF(Iterations[[#This Row],[Step]] &gt; current_step, "",Iterations[[#This Row],[Grad_a]]))</f>
        <v/>
      </c>
      <c r="O633" s="2" t="str">
        <f>IF(Iterations[[#This Row],[Step]] =current_step, current_Grad_b,IF(Iterations[[#This Row],[Step]] &gt; current_step, "",Iterations[[#This Row],[Grad_b]]))</f>
        <v/>
      </c>
      <c r="P633" s="2" t="str">
        <f>IF(Iterations[[#This Row],[Step]] =current_step, current_Grad_c,IF(Iterations[[#This Row],[Step]] &gt; current_step, "",Iterations[[#This Row],[Grad_c]]))</f>
        <v/>
      </c>
      <c r="Q633" s="2" t="str">
        <f>IF(Iterations[[#This Row],[Step]] =current_step, current_Grad_d,IF(Iterations[[#This Row],[Step]] &gt; current_step, "",Iterations[[#This Row],[Grad_d]]))</f>
        <v/>
      </c>
      <c r="R633" s="2" t="str">
        <f>IF(Iterations[[#This Row],[Step]] =current_step, current_Grad_e,IF(Iterations[[#This Row],[Step]] &gt; current_step, "",Iterations[[#This Row],[Grad_e]]))</f>
        <v/>
      </c>
    </row>
    <row r="634" spans="6:18" x14ac:dyDescent="0.3">
      <c r="F634" s="2">
        <f t="shared" si="12"/>
        <v>617</v>
      </c>
      <c r="G634" s="2" t="str">
        <f>IF(Iterations[[#This Row],[Step]] =current_step, current_a,IF(Iterations[[#This Row],[Step]] &gt; current_step, "",Iterations[[#This Row],[a]]))</f>
        <v/>
      </c>
      <c r="H634" s="2" t="str">
        <f>IF(Iterations[[#This Row],[Step]] =current_step, current_b,IF(Iterations[[#This Row],[Step]] &gt; current_step, "",Iterations[[#This Row],[b]]))</f>
        <v/>
      </c>
      <c r="I634" s="2" t="str">
        <f>IF(Iterations[[#This Row],[Step]] =current_step, current_c,IF(Iterations[[#This Row],[Step]] &gt; current_step, "",Iterations[[#This Row],[c]]))</f>
        <v/>
      </c>
      <c r="J634" s="2" t="str">
        <f>IF(Iterations[[#This Row],[Step]] =current_step, current_d,IF(Iterations[[#This Row],[Step]] &gt; current_step, "",Iterations[[#This Row],[d]]))</f>
        <v/>
      </c>
      <c r="K634" s="2" t="str">
        <f>IF(Iterations[[#This Row],[Step]] =current_step, current_e,IF(Iterations[[#This Row],[Step]] &gt; current_step, "",Iterations[[#This Row],[e]]))</f>
        <v/>
      </c>
      <c r="L634" s="2" t="str">
        <f>IF(Iterations[[#This Row],[Step]] =current_step, current_Total_Loss,IF(Iterations[[#This Row],[Step]] &gt; current_step, "",Iterations[[#This Row],[Total Loss]]))</f>
        <v/>
      </c>
      <c r="M634" s="6" t="s">
        <v>27</v>
      </c>
      <c r="N634" s="2" t="str">
        <f>IF(Iterations[[#This Row],[Step]] =current_step, current_Grad_a,IF(Iterations[[#This Row],[Step]] &gt; current_step, "",Iterations[[#This Row],[Grad_a]]))</f>
        <v/>
      </c>
      <c r="O634" s="2" t="str">
        <f>IF(Iterations[[#This Row],[Step]] =current_step, current_Grad_b,IF(Iterations[[#This Row],[Step]] &gt; current_step, "",Iterations[[#This Row],[Grad_b]]))</f>
        <v/>
      </c>
      <c r="P634" s="2" t="str">
        <f>IF(Iterations[[#This Row],[Step]] =current_step, current_Grad_c,IF(Iterations[[#This Row],[Step]] &gt; current_step, "",Iterations[[#This Row],[Grad_c]]))</f>
        <v/>
      </c>
      <c r="Q634" s="2" t="str">
        <f>IF(Iterations[[#This Row],[Step]] =current_step, current_Grad_d,IF(Iterations[[#This Row],[Step]] &gt; current_step, "",Iterations[[#This Row],[Grad_d]]))</f>
        <v/>
      </c>
      <c r="R634" s="2" t="str">
        <f>IF(Iterations[[#This Row],[Step]] =current_step, current_Grad_e,IF(Iterations[[#This Row],[Step]] &gt; current_step, "",Iterations[[#This Row],[Grad_e]]))</f>
        <v/>
      </c>
    </row>
    <row r="635" spans="6:18" x14ac:dyDescent="0.3">
      <c r="F635" s="2">
        <f t="shared" si="12"/>
        <v>618</v>
      </c>
      <c r="G635" s="2" t="str">
        <f>IF(Iterations[[#This Row],[Step]] =current_step, current_a,IF(Iterations[[#This Row],[Step]] &gt; current_step, "",Iterations[[#This Row],[a]]))</f>
        <v/>
      </c>
      <c r="H635" s="2" t="str">
        <f>IF(Iterations[[#This Row],[Step]] =current_step, current_b,IF(Iterations[[#This Row],[Step]] &gt; current_step, "",Iterations[[#This Row],[b]]))</f>
        <v/>
      </c>
      <c r="I635" s="2" t="str">
        <f>IF(Iterations[[#This Row],[Step]] =current_step, current_c,IF(Iterations[[#This Row],[Step]] &gt; current_step, "",Iterations[[#This Row],[c]]))</f>
        <v/>
      </c>
      <c r="J635" s="2" t="str">
        <f>IF(Iterations[[#This Row],[Step]] =current_step, current_d,IF(Iterations[[#This Row],[Step]] &gt; current_step, "",Iterations[[#This Row],[d]]))</f>
        <v/>
      </c>
      <c r="K635" s="2" t="str">
        <f>IF(Iterations[[#This Row],[Step]] =current_step, current_e,IF(Iterations[[#This Row],[Step]] &gt; current_step, "",Iterations[[#This Row],[e]]))</f>
        <v/>
      </c>
      <c r="L635" s="2" t="str">
        <f>IF(Iterations[[#This Row],[Step]] =current_step, current_Total_Loss,IF(Iterations[[#This Row],[Step]] &gt; current_step, "",Iterations[[#This Row],[Total Loss]]))</f>
        <v/>
      </c>
      <c r="M635" s="6" t="s">
        <v>27</v>
      </c>
      <c r="N635" s="2" t="str">
        <f>IF(Iterations[[#This Row],[Step]] =current_step, current_Grad_a,IF(Iterations[[#This Row],[Step]] &gt; current_step, "",Iterations[[#This Row],[Grad_a]]))</f>
        <v/>
      </c>
      <c r="O635" s="2" t="str">
        <f>IF(Iterations[[#This Row],[Step]] =current_step, current_Grad_b,IF(Iterations[[#This Row],[Step]] &gt; current_step, "",Iterations[[#This Row],[Grad_b]]))</f>
        <v/>
      </c>
      <c r="P635" s="2" t="str">
        <f>IF(Iterations[[#This Row],[Step]] =current_step, current_Grad_c,IF(Iterations[[#This Row],[Step]] &gt; current_step, "",Iterations[[#This Row],[Grad_c]]))</f>
        <v/>
      </c>
      <c r="Q635" s="2" t="str">
        <f>IF(Iterations[[#This Row],[Step]] =current_step, current_Grad_d,IF(Iterations[[#This Row],[Step]] &gt; current_step, "",Iterations[[#This Row],[Grad_d]]))</f>
        <v/>
      </c>
      <c r="R635" s="2" t="str">
        <f>IF(Iterations[[#This Row],[Step]] =current_step, current_Grad_e,IF(Iterations[[#This Row],[Step]] &gt; current_step, "",Iterations[[#This Row],[Grad_e]]))</f>
        <v/>
      </c>
    </row>
    <row r="636" spans="6:18" x14ac:dyDescent="0.3">
      <c r="F636" s="2">
        <f t="shared" si="12"/>
        <v>619</v>
      </c>
      <c r="G636" s="2" t="str">
        <f>IF(Iterations[[#This Row],[Step]] =current_step, current_a,IF(Iterations[[#This Row],[Step]] &gt; current_step, "",Iterations[[#This Row],[a]]))</f>
        <v/>
      </c>
      <c r="H636" s="2" t="str">
        <f>IF(Iterations[[#This Row],[Step]] =current_step, current_b,IF(Iterations[[#This Row],[Step]] &gt; current_step, "",Iterations[[#This Row],[b]]))</f>
        <v/>
      </c>
      <c r="I636" s="2" t="str">
        <f>IF(Iterations[[#This Row],[Step]] =current_step, current_c,IF(Iterations[[#This Row],[Step]] &gt; current_step, "",Iterations[[#This Row],[c]]))</f>
        <v/>
      </c>
      <c r="J636" s="2" t="str">
        <f>IF(Iterations[[#This Row],[Step]] =current_step, current_d,IF(Iterations[[#This Row],[Step]] &gt; current_step, "",Iterations[[#This Row],[d]]))</f>
        <v/>
      </c>
      <c r="K636" s="2" t="str">
        <f>IF(Iterations[[#This Row],[Step]] =current_step, current_e,IF(Iterations[[#This Row],[Step]] &gt; current_step, "",Iterations[[#This Row],[e]]))</f>
        <v/>
      </c>
      <c r="L636" s="2" t="str">
        <f>IF(Iterations[[#This Row],[Step]] =current_step, current_Total_Loss,IF(Iterations[[#This Row],[Step]] &gt; current_step, "",Iterations[[#This Row],[Total Loss]]))</f>
        <v/>
      </c>
      <c r="M636" s="6" t="s">
        <v>27</v>
      </c>
      <c r="N636" s="2" t="str">
        <f>IF(Iterations[[#This Row],[Step]] =current_step, current_Grad_a,IF(Iterations[[#This Row],[Step]] &gt; current_step, "",Iterations[[#This Row],[Grad_a]]))</f>
        <v/>
      </c>
      <c r="O636" s="2" t="str">
        <f>IF(Iterations[[#This Row],[Step]] =current_step, current_Grad_b,IF(Iterations[[#This Row],[Step]] &gt; current_step, "",Iterations[[#This Row],[Grad_b]]))</f>
        <v/>
      </c>
      <c r="P636" s="2" t="str">
        <f>IF(Iterations[[#This Row],[Step]] =current_step, current_Grad_c,IF(Iterations[[#This Row],[Step]] &gt; current_step, "",Iterations[[#This Row],[Grad_c]]))</f>
        <v/>
      </c>
      <c r="Q636" s="2" t="str">
        <f>IF(Iterations[[#This Row],[Step]] =current_step, current_Grad_d,IF(Iterations[[#This Row],[Step]] &gt; current_step, "",Iterations[[#This Row],[Grad_d]]))</f>
        <v/>
      </c>
      <c r="R636" s="2" t="str">
        <f>IF(Iterations[[#This Row],[Step]] =current_step, current_Grad_e,IF(Iterations[[#This Row],[Step]] &gt; current_step, "",Iterations[[#This Row],[Grad_e]]))</f>
        <v/>
      </c>
    </row>
    <row r="637" spans="6:18" x14ac:dyDescent="0.3">
      <c r="F637" s="2">
        <f t="shared" si="12"/>
        <v>620</v>
      </c>
      <c r="G637" s="2" t="str">
        <f>IF(Iterations[[#This Row],[Step]] =current_step, current_a,IF(Iterations[[#This Row],[Step]] &gt; current_step, "",Iterations[[#This Row],[a]]))</f>
        <v/>
      </c>
      <c r="H637" s="2" t="str">
        <f>IF(Iterations[[#This Row],[Step]] =current_step, current_b,IF(Iterations[[#This Row],[Step]] &gt; current_step, "",Iterations[[#This Row],[b]]))</f>
        <v/>
      </c>
      <c r="I637" s="2" t="str">
        <f>IF(Iterations[[#This Row],[Step]] =current_step, current_c,IF(Iterations[[#This Row],[Step]] &gt; current_step, "",Iterations[[#This Row],[c]]))</f>
        <v/>
      </c>
      <c r="J637" s="2" t="str">
        <f>IF(Iterations[[#This Row],[Step]] =current_step, current_d,IF(Iterations[[#This Row],[Step]] &gt; current_step, "",Iterations[[#This Row],[d]]))</f>
        <v/>
      </c>
      <c r="K637" s="2" t="str">
        <f>IF(Iterations[[#This Row],[Step]] =current_step, current_e,IF(Iterations[[#This Row],[Step]] &gt; current_step, "",Iterations[[#This Row],[e]]))</f>
        <v/>
      </c>
      <c r="L637" s="2" t="str">
        <f>IF(Iterations[[#This Row],[Step]] =current_step, current_Total_Loss,IF(Iterations[[#This Row],[Step]] &gt; current_step, "",Iterations[[#This Row],[Total Loss]]))</f>
        <v/>
      </c>
      <c r="M637" s="6" t="s">
        <v>27</v>
      </c>
      <c r="N637" s="2" t="str">
        <f>IF(Iterations[[#This Row],[Step]] =current_step, current_Grad_a,IF(Iterations[[#This Row],[Step]] &gt; current_step, "",Iterations[[#This Row],[Grad_a]]))</f>
        <v/>
      </c>
      <c r="O637" s="2" t="str">
        <f>IF(Iterations[[#This Row],[Step]] =current_step, current_Grad_b,IF(Iterations[[#This Row],[Step]] &gt; current_step, "",Iterations[[#This Row],[Grad_b]]))</f>
        <v/>
      </c>
      <c r="P637" s="2" t="str">
        <f>IF(Iterations[[#This Row],[Step]] =current_step, current_Grad_c,IF(Iterations[[#This Row],[Step]] &gt; current_step, "",Iterations[[#This Row],[Grad_c]]))</f>
        <v/>
      </c>
      <c r="Q637" s="2" t="str">
        <f>IF(Iterations[[#This Row],[Step]] =current_step, current_Grad_d,IF(Iterations[[#This Row],[Step]] &gt; current_step, "",Iterations[[#This Row],[Grad_d]]))</f>
        <v/>
      </c>
      <c r="R637" s="2" t="str">
        <f>IF(Iterations[[#This Row],[Step]] =current_step, current_Grad_e,IF(Iterations[[#This Row],[Step]] &gt; current_step, "",Iterations[[#This Row],[Grad_e]]))</f>
        <v/>
      </c>
    </row>
    <row r="638" spans="6:18" x14ac:dyDescent="0.3">
      <c r="F638" s="2">
        <f t="shared" si="12"/>
        <v>621</v>
      </c>
      <c r="G638" s="2" t="str">
        <f>IF(Iterations[[#This Row],[Step]] =current_step, current_a,IF(Iterations[[#This Row],[Step]] &gt; current_step, "",Iterations[[#This Row],[a]]))</f>
        <v/>
      </c>
      <c r="H638" s="2" t="str">
        <f>IF(Iterations[[#This Row],[Step]] =current_step, current_b,IF(Iterations[[#This Row],[Step]] &gt; current_step, "",Iterations[[#This Row],[b]]))</f>
        <v/>
      </c>
      <c r="I638" s="2" t="str">
        <f>IF(Iterations[[#This Row],[Step]] =current_step, current_c,IF(Iterations[[#This Row],[Step]] &gt; current_step, "",Iterations[[#This Row],[c]]))</f>
        <v/>
      </c>
      <c r="J638" s="2" t="str">
        <f>IF(Iterations[[#This Row],[Step]] =current_step, current_d,IF(Iterations[[#This Row],[Step]] &gt; current_step, "",Iterations[[#This Row],[d]]))</f>
        <v/>
      </c>
      <c r="K638" s="2" t="str">
        <f>IF(Iterations[[#This Row],[Step]] =current_step, current_e,IF(Iterations[[#This Row],[Step]] &gt; current_step, "",Iterations[[#This Row],[e]]))</f>
        <v/>
      </c>
      <c r="L638" s="2" t="str">
        <f>IF(Iterations[[#This Row],[Step]] =current_step, current_Total_Loss,IF(Iterations[[#This Row],[Step]] &gt; current_step, "",Iterations[[#This Row],[Total Loss]]))</f>
        <v/>
      </c>
      <c r="M638" s="6" t="s">
        <v>27</v>
      </c>
      <c r="N638" s="2" t="str">
        <f>IF(Iterations[[#This Row],[Step]] =current_step, current_Grad_a,IF(Iterations[[#This Row],[Step]] &gt; current_step, "",Iterations[[#This Row],[Grad_a]]))</f>
        <v/>
      </c>
      <c r="O638" s="2" t="str">
        <f>IF(Iterations[[#This Row],[Step]] =current_step, current_Grad_b,IF(Iterations[[#This Row],[Step]] &gt; current_step, "",Iterations[[#This Row],[Grad_b]]))</f>
        <v/>
      </c>
      <c r="P638" s="2" t="str">
        <f>IF(Iterations[[#This Row],[Step]] =current_step, current_Grad_c,IF(Iterations[[#This Row],[Step]] &gt; current_step, "",Iterations[[#This Row],[Grad_c]]))</f>
        <v/>
      </c>
      <c r="Q638" s="2" t="str">
        <f>IF(Iterations[[#This Row],[Step]] =current_step, current_Grad_d,IF(Iterations[[#This Row],[Step]] &gt; current_step, "",Iterations[[#This Row],[Grad_d]]))</f>
        <v/>
      </c>
      <c r="R638" s="2" t="str">
        <f>IF(Iterations[[#This Row],[Step]] =current_step, current_Grad_e,IF(Iterations[[#This Row],[Step]] &gt; current_step, "",Iterations[[#This Row],[Grad_e]]))</f>
        <v/>
      </c>
    </row>
    <row r="639" spans="6:18" x14ac:dyDescent="0.3">
      <c r="F639" s="2">
        <f t="shared" si="12"/>
        <v>622</v>
      </c>
      <c r="G639" s="2" t="str">
        <f>IF(Iterations[[#This Row],[Step]] =current_step, current_a,IF(Iterations[[#This Row],[Step]] &gt; current_step, "",Iterations[[#This Row],[a]]))</f>
        <v/>
      </c>
      <c r="H639" s="2" t="str">
        <f>IF(Iterations[[#This Row],[Step]] =current_step, current_b,IF(Iterations[[#This Row],[Step]] &gt; current_step, "",Iterations[[#This Row],[b]]))</f>
        <v/>
      </c>
      <c r="I639" s="2" t="str">
        <f>IF(Iterations[[#This Row],[Step]] =current_step, current_c,IF(Iterations[[#This Row],[Step]] &gt; current_step, "",Iterations[[#This Row],[c]]))</f>
        <v/>
      </c>
      <c r="J639" s="2" t="str">
        <f>IF(Iterations[[#This Row],[Step]] =current_step, current_d,IF(Iterations[[#This Row],[Step]] &gt; current_step, "",Iterations[[#This Row],[d]]))</f>
        <v/>
      </c>
      <c r="K639" s="2" t="str">
        <f>IF(Iterations[[#This Row],[Step]] =current_step, current_e,IF(Iterations[[#This Row],[Step]] &gt; current_step, "",Iterations[[#This Row],[e]]))</f>
        <v/>
      </c>
      <c r="L639" s="2" t="str">
        <f>IF(Iterations[[#This Row],[Step]] =current_step, current_Total_Loss,IF(Iterations[[#This Row],[Step]] &gt; current_step, "",Iterations[[#This Row],[Total Loss]]))</f>
        <v/>
      </c>
      <c r="M639" s="6" t="s">
        <v>27</v>
      </c>
      <c r="N639" s="2" t="str">
        <f>IF(Iterations[[#This Row],[Step]] =current_step, current_Grad_a,IF(Iterations[[#This Row],[Step]] &gt; current_step, "",Iterations[[#This Row],[Grad_a]]))</f>
        <v/>
      </c>
      <c r="O639" s="2" t="str">
        <f>IF(Iterations[[#This Row],[Step]] =current_step, current_Grad_b,IF(Iterations[[#This Row],[Step]] &gt; current_step, "",Iterations[[#This Row],[Grad_b]]))</f>
        <v/>
      </c>
      <c r="P639" s="2" t="str">
        <f>IF(Iterations[[#This Row],[Step]] =current_step, current_Grad_c,IF(Iterations[[#This Row],[Step]] &gt; current_step, "",Iterations[[#This Row],[Grad_c]]))</f>
        <v/>
      </c>
      <c r="Q639" s="2" t="str">
        <f>IF(Iterations[[#This Row],[Step]] =current_step, current_Grad_d,IF(Iterations[[#This Row],[Step]] &gt; current_step, "",Iterations[[#This Row],[Grad_d]]))</f>
        <v/>
      </c>
      <c r="R639" s="2" t="str">
        <f>IF(Iterations[[#This Row],[Step]] =current_step, current_Grad_e,IF(Iterations[[#This Row],[Step]] &gt; current_step, "",Iterations[[#This Row],[Grad_e]]))</f>
        <v/>
      </c>
    </row>
    <row r="640" spans="6:18" x14ac:dyDescent="0.3">
      <c r="F640" s="2">
        <f t="shared" si="12"/>
        <v>623</v>
      </c>
      <c r="G640" s="2" t="str">
        <f>IF(Iterations[[#This Row],[Step]] =current_step, current_a,IF(Iterations[[#This Row],[Step]] &gt; current_step, "",Iterations[[#This Row],[a]]))</f>
        <v/>
      </c>
      <c r="H640" s="2" t="str">
        <f>IF(Iterations[[#This Row],[Step]] =current_step, current_b,IF(Iterations[[#This Row],[Step]] &gt; current_step, "",Iterations[[#This Row],[b]]))</f>
        <v/>
      </c>
      <c r="I640" s="2" t="str">
        <f>IF(Iterations[[#This Row],[Step]] =current_step, current_c,IF(Iterations[[#This Row],[Step]] &gt; current_step, "",Iterations[[#This Row],[c]]))</f>
        <v/>
      </c>
      <c r="J640" s="2" t="str">
        <f>IF(Iterations[[#This Row],[Step]] =current_step, current_d,IF(Iterations[[#This Row],[Step]] &gt; current_step, "",Iterations[[#This Row],[d]]))</f>
        <v/>
      </c>
      <c r="K640" s="2" t="str">
        <f>IF(Iterations[[#This Row],[Step]] =current_step, current_e,IF(Iterations[[#This Row],[Step]] &gt; current_step, "",Iterations[[#This Row],[e]]))</f>
        <v/>
      </c>
      <c r="L640" s="2" t="str">
        <f>IF(Iterations[[#This Row],[Step]] =current_step, current_Total_Loss,IF(Iterations[[#This Row],[Step]] &gt; current_step, "",Iterations[[#This Row],[Total Loss]]))</f>
        <v/>
      </c>
      <c r="M640" s="6" t="s">
        <v>27</v>
      </c>
      <c r="N640" s="2" t="str">
        <f>IF(Iterations[[#This Row],[Step]] =current_step, current_Grad_a,IF(Iterations[[#This Row],[Step]] &gt; current_step, "",Iterations[[#This Row],[Grad_a]]))</f>
        <v/>
      </c>
      <c r="O640" s="2" t="str">
        <f>IF(Iterations[[#This Row],[Step]] =current_step, current_Grad_b,IF(Iterations[[#This Row],[Step]] &gt; current_step, "",Iterations[[#This Row],[Grad_b]]))</f>
        <v/>
      </c>
      <c r="P640" s="2" t="str">
        <f>IF(Iterations[[#This Row],[Step]] =current_step, current_Grad_c,IF(Iterations[[#This Row],[Step]] &gt; current_step, "",Iterations[[#This Row],[Grad_c]]))</f>
        <v/>
      </c>
      <c r="Q640" s="2" t="str">
        <f>IF(Iterations[[#This Row],[Step]] =current_step, current_Grad_d,IF(Iterations[[#This Row],[Step]] &gt; current_step, "",Iterations[[#This Row],[Grad_d]]))</f>
        <v/>
      </c>
      <c r="R640" s="2" t="str">
        <f>IF(Iterations[[#This Row],[Step]] =current_step, current_Grad_e,IF(Iterations[[#This Row],[Step]] &gt; current_step, "",Iterations[[#This Row],[Grad_e]]))</f>
        <v/>
      </c>
    </row>
    <row r="641" spans="6:18" x14ac:dyDescent="0.3">
      <c r="F641" s="2">
        <f t="shared" si="12"/>
        <v>624</v>
      </c>
      <c r="G641" s="2" t="str">
        <f>IF(Iterations[[#This Row],[Step]] =current_step, current_a,IF(Iterations[[#This Row],[Step]] &gt; current_step, "",Iterations[[#This Row],[a]]))</f>
        <v/>
      </c>
      <c r="H641" s="2" t="str">
        <f>IF(Iterations[[#This Row],[Step]] =current_step, current_b,IF(Iterations[[#This Row],[Step]] &gt; current_step, "",Iterations[[#This Row],[b]]))</f>
        <v/>
      </c>
      <c r="I641" s="2" t="str">
        <f>IF(Iterations[[#This Row],[Step]] =current_step, current_c,IF(Iterations[[#This Row],[Step]] &gt; current_step, "",Iterations[[#This Row],[c]]))</f>
        <v/>
      </c>
      <c r="J641" s="2" t="str">
        <f>IF(Iterations[[#This Row],[Step]] =current_step, current_d,IF(Iterations[[#This Row],[Step]] &gt; current_step, "",Iterations[[#This Row],[d]]))</f>
        <v/>
      </c>
      <c r="K641" s="2" t="str">
        <f>IF(Iterations[[#This Row],[Step]] =current_step, current_e,IF(Iterations[[#This Row],[Step]] &gt; current_step, "",Iterations[[#This Row],[e]]))</f>
        <v/>
      </c>
      <c r="L641" s="2" t="str">
        <f>IF(Iterations[[#This Row],[Step]] =current_step, current_Total_Loss,IF(Iterations[[#This Row],[Step]] &gt; current_step, "",Iterations[[#This Row],[Total Loss]]))</f>
        <v/>
      </c>
      <c r="M641" s="6" t="s">
        <v>27</v>
      </c>
      <c r="N641" s="2" t="str">
        <f>IF(Iterations[[#This Row],[Step]] =current_step, current_Grad_a,IF(Iterations[[#This Row],[Step]] &gt; current_step, "",Iterations[[#This Row],[Grad_a]]))</f>
        <v/>
      </c>
      <c r="O641" s="2" t="str">
        <f>IF(Iterations[[#This Row],[Step]] =current_step, current_Grad_b,IF(Iterations[[#This Row],[Step]] &gt; current_step, "",Iterations[[#This Row],[Grad_b]]))</f>
        <v/>
      </c>
      <c r="P641" s="2" t="str">
        <f>IF(Iterations[[#This Row],[Step]] =current_step, current_Grad_c,IF(Iterations[[#This Row],[Step]] &gt; current_step, "",Iterations[[#This Row],[Grad_c]]))</f>
        <v/>
      </c>
      <c r="Q641" s="2" t="str">
        <f>IF(Iterations[[#This Row],[Step]] =current_step, current_Grad_d,IF(Iterations[[#This Row],[Step]] &gt; current_step, "",Iterations[[#This Row],[Grad_d]]))</f>
        <v/>
      </c>
      <c r="R641" s="2" t="str">
        <f>IF(Iterations[[#This Row],[Step]] =current_step, current_Grad_e,IF(Iterations[[#This Row],[Step]] &gt; current_step, "",Iterations[[#This Row],[Grad_e]]))</f>
        <v/>
      </c>
    </row>
    <row r="642" spans="6:18" x14ac:dyDescent="0.3">
      <c r="F642" s="2">
        <f t="shared" si="12"/>
        <v>625</v>
      </c>
      <c r="G642" s="2" t="str">
        <f>IF(Iterations[[#This Row],[Step]] =current_step, current_a,IF(Iterations[[#This Row],[Step]] &gt; current_step, "",Iterations[[#This Row],[a]]))</f>
        <v/>
      </c>
      <c r="H642" s="2" t="str">
        <f>IF(Iterations[[#This Row],[Step]] =current_step, current_b,IF(Iterations[[#This Row],[Step]] &gt; current_step, "",Iterations[[#This Row],[b]]))</f>
        <v/>
      </c>
      <c r="I642" s="2" t="str">
        <f>IF(Iterations[[#This Row],[Step]] =current_step, current_c,IF(Iterations[[#This Row],[Step]] &gt; current_step, "",Iterations[[#This Row],[c]]))</f>
        <v/>
      </c>
      <c r="J642" s="2" t="str">
        <f>IF(Iterations[[#This Row],[Step]] =current_step, current_d,IF(Iterations[[#This Row],[Step]] &gt; current_step, "",Iterations[[#This Row],[d]]))</f>
        <v/>
      </c>
      <c r="K642" s="2" t="str">
        <f>IF(Iterations[[#This Row],[Step]] =current_step, current_e,IF(Iterations[[#This Row],[Step]] &gt; current_step, "",Iterations[[#This Row],[e]]))</f>
        <v/>
      </c>
      <c r="L642" s="2" t="str">
        <f>IF(Iterations[[#This Row],[Step]] =current_step, current_Total_Loss,IF(Iterations[[#This Row],[Step]] &gt; current_step, "",Iterations[[#This Row],[Total Loss]]))</f>
        <v/>
      </c>
      <c r="M642" s="6" t="s">
        <v>27</v>
      </c>
      <c r="N642" s="2" t="str">
        <f>IF(Iterations[[#This Row],[Step]] =current_step, current_Grad_a,IF(Iterations[[#This Row],[Step]] &gt; current_step, "",Iterations[[#This Row],[Grad_a]]))</f>
        <v/>
      </c>
      <c r="O642" s="2" t="str">
        <f>IF(Iterations[[#This Row],[Step]] =current_step, current_Grad_b,IF(Iterations[[#This Row],[Step]] &gt; current_step, "",Iterations[[#This Row],[Grad_b]]))</f>
        <v/>
      </c>
      <c r="P642" s="2" t="str">
        <f>IF(Iterations[[#This Row],[Step]] =current_step, current_Grad_c,IF(Iterations[[#This Row],[Step]] &gt; current_step, "",Iterations[[#This Row],[Grad_c]]))</f>
        <v/>
      </c>
      <c r="Q642" s="2" t="str">
        <f>IF(Iterations[[#This Row],[Step]] =current_step, current_Grad_d,IF(Iterations[[#This Row],[Step]] &gt; current_step, "",Iterations[[#This Row],[Grad_d]]))</f>
        <v/>
      </c>
      <c r="R642" s="2" t="str">
        <f>IF(Iterations[[#This Row],[Step]] =current_step, current_Grad_e,IF(Iterations[[#This Row],[Step]] &gt; current_step, "",Iterations[[#This Row],[Grad_e]]))</f>
        <v/>
      </c>
    </row>
    <row r="643" spans="6:18" x14ac:dyDescent="0.3">
      <c r="F643" s="2">
        <f t="shared" si="12"/>
        <v>626</v>
      </c>
      <c r="G643" s="2" t="str">
        <f>IF(Iterations[[#This Row],[Step]] =current_step, current_a,IF(Iterations[[#This Row],[Step]] &gt; current_step, "",Iterations[[#This Row],[a]]))</f>
        <v/>
      </c>
      <c r="H643" s="2" t="str">
        <f>IF(Iterations[[#This Row],[Step]] =current_step, current_b,IF(Iterations[[#This Row],[Step]] &gt; current_step, "",Iterations[[#This Row],[b]]))</f>
        <v/>
      </c>
      <c r="I643" s="2" t="str">
        <f>IF(Iterations[[#This Row],[Step]] =current_step, current_c,IF(Iterations[[#This Row],[Step]] &gt; current_step, "",Iterations[[#This Row],[c]]))</f>
        <v/>
      </c>
      <c r="J643" s="2" t="str">
        <f>IF(Iterations[[#This Row],[Step]] =current_step, current_d,IF(Iterations[[#This Row],[Step]] &gt; current_step, "",Iterations[[#This Row],[d]]))</f>
        <v/>
      </c>
      <c r="K643" s="2" t="str">
        <f>IF(Iterations[[#This Row],[Step]] =current_step, current_e,IF(Iterations[[#This Row],[Step]] &gt; current_step, "",Iterations[[#This Row],[e]]))</f>
        <v/>
      </c>
      <c r="L643" s="2" t="str">
        <f>IF(Iterations[[#This Row],[Step]] =current_step, current_Total_Loss,IF(Iterations[[#This Row],[Step]] &gt; current_step, "",Iterations[[#This Row],[Total Loss]]))</f>
        <v/>
      </c>
      <c r="M643" s="6" t="s">
        <v>27</v>
      </c>
      <c r="N643" s="2" t="str">
        <f>IF(Iterations[[#This Row],[Step]] =current_step, current_Grad_a,IF(Iterations[[#This Row],[Step]] &gt; current_step, "",Iterations[[#This Row],[Grad_a]]))</f>
        <v/>
      </c>
      <c r="O643" s="2" t="str">
        <f>IF(Iterations[[#This Row],[Step]] =current_step, current_Grad_b,IF(Iterations[[#This Row],[Step]] &gt; current_step, "",Iterations[[#This Row],[Grad_b]]))</f>
        <v/>
      </c>
      <c r="P643" s="2" t="str">
        <f>IF(Iterations[[#This Row],[Step]] =current_step, current_Grad_c,IF(Iterations[[#This Row],[Step]] &gt; current_step, "",Iterations[[#This Row],[Grad_c]]))</f>
        <v/>
      </c>
      <c r="Q643" s="2" t="str">
        <f>IF(Iterations[[#This Row],[Step]] =current_step, current_Grad_d,IF(Iterations[[#This Row],[Step]] &gt; current_step, "",Iterations[[#This Row],[Grad_d]]))</f>
        <v/>
      </c>
      <c r="R643" s="2" t="str">
        <f>IF(Iterations[[#This Row],[Step]] =current_step, current_Grad_e,IF(Iterations[[#This Row],[Step]] &gt; current_step, "",Iterations[[#This Row],[Grad_e]]))</f>
        <v/>
      </c>
    </row>
    <row r="644" spans="6:18" x14ac:dyDescent="0.3">
      <c r="F644" s="2">
        <f t="shared" si="12"/>
        <v>627</v>
      </c>
      <c r="G644" s="2" t="str">
        <f>IF(Iterations[[#This Row],[Step]] =current_step, current_a,IF(Iterations[[#This Row],[Step]] &gt; current_step, "",Iterations[[#This Row],[a]]))</f>
        <v/>
      </c>
      <c r="H644" s="2" t="str">
        <f>IF(Iterations[[#This Row],[Step]] =current_step, current_b,IF(Iterations[[#This Row],[Step]] &gt; current_step, "",Iterations[[#This Row],[b]]))</f>
        <v/>
      </c>
      <c r="I644" s="2" t="str">
        <f>IF(Iterations[[#This Row],[Step]] =current_step, current_c,IF(Iterations[[#This Row],[Step]] &gt; current_step, "",Iterations[[#This Row],[c]]))</f>
        <v/>
      </c>
      <c r="J644" s="2" t="str">
        <f>IF(Iterations[[#This Row],[Step]] =current_step, current_d,IF(Iterations[[#This Row],[Step]] &gt; current_step, "",Iterations[[#This Row],[d]]))</f>
        <v/>
      </c>
      <c r="K644" s="2" t="str">
        <f>IF(Iterations[[#This Row],[Step]] =current_step, current_e,IF(Iterations[[#This Row],[Step]] &gt; current_step, "",Iterations[[#This Row],[e]]))</f>
        <v/>
      </c>
      <c r="L644" s="2" t="str">
        <f>IF(Iterations[[#This Row],[Step]] =current_step, current_Total_Loss,IF(Iterations[[#This Row],[Step]] &gt; current_step, "",Iterations[[#This Row],[Total Loss]]))</f>
        <v/>
      </c>
      <c r="M644" s="6" t="s">
        <v>27</v>
      </c>
      <c r="N644" s="2" t="str">
        <f>IF(Iterations[[#This Row],[Step]] =current_step, current_Grad_a,IF(Iterations[[#This Row],[Step]] &gt; current_step, "",Iterations[[#This Row],[Grad_a]]))</f>
        <v/>
      </c>
      <c r="O644" s="2" t="str">
        <f>IF(Iterations[[#This Row],[Step]] =current_step, current_Grad_b,IF(Iterations[[#This Row],[Step]] &gt; current_step, "",Iterations[[#This Row],[Grad_b]]))</f>
        <v/>
      </c>
      <c r="P644" s="2" t="str">
        <f>IF(Iterations[[#This Row],[Step]] =current_step, current_Grad_c,IF(Iterations[[#This Row],[Step]] &gt; current_step, "",Iterations[[#This Row],[Grad_c]]))</f>
        <v/>
      </c>
      <c r="Q644" s="2" t="str">
        <f>IF(Iterations[[#This Row],[Step]] =current_step, current_Grad_d,IF(Iterations[[#This Row],[Step]] &gt; current_step, "",Iterations[[#This Row],[Grad_d]]))</f>
        <v/>
      </c>
      <c r="R644" s="2" t="str">
        <f>IF(Iterations[[#This Row],[Step]] =current_step, current_Grad_e,IF(Iterations[[#This Row],[Step]] &gt; current_step, "",Iterations[[#This Row],[Grad_e]]))</f>
        <v/>
      </c>
    </row>
    <row r="645" spans="6:18" x14ac:dyDescent="0.3">
      <c r="F645" s="2">
        <f t="shared" si="12"/>
        <v>628</v>
      </c>
      <c r="G645" s="2" t="str">
        <f>IF(Iterations[[#This Row],[Step]] =current_step, current_a,IF(Iterations[[#This Row],[Step]] &gt; current_step, "",Iterations[[#This Row],[a]]))</f>
        <v/>
      </c>
      <c r="H645" s="2" t="str">
        <f>IF(Iterations[[#This Row],[Step]] =current_step, current_b,IF(Iterations[[#This Row],[Step]] &gt; current_step, "",Iterations[[#This Row],[b]]))</f>
        <v/>
      </c>
      <c r="I645" s="2" t="str">
        <f>IF(Iterations[[#This Row],[Step]] =current_step, current_c,IF(Iterations[[#This Row],[Step]] &gt; current_step, "",Iterations[[#This Row],[c]]))</f>
        <v/>
      </c>
      <c r="J645" s="2" t="str">
        <f>IF(Iterations[[#This Row],[Step]] =current_step, current_d,IF(Iterations[[#This Row],[Step]] &gt; current_step, "",Iterations[[#This Row],[d]]))</f>
        <v/>
      </c>
      <c r="K645" s="2" t="str">
        <f>IF(Iterations[[#This Row],[Step]] =current_step, current_e,IF(Iterations[[#This Row],[Step]] &gt; current_step, "",Iterations[[#This Row],[e]]))</f>
        <v/>
      </c>
      <c r="L645" s="2" t="str">
        <f>IF(Iterations[[#This Row],[Step]] =current_step, current_Total_Loss,IF(Iterations[[#This Row],[Step]] &gt; current_step, "",Iterations[[#This Row],[Total Loss]]))</f>
        <v/>
      </c>
      <c r="M645" s="6" t="s">
        <v>27</v>
      </c>
      <c r="N645" s="2" t="str">
        <f>IF(Iterations[[#This Row],[Step]] =current_step, current_Grad_a,IF(Iterations[[#This Row],[Step]] &gt; current_step, "",Iterations[[#This Row],[Grad_a]]))</f>
        <v/>
      </c>
      <c r="O645" s="2" t="str">
        <f>IF(Iterations[[#This Row],[Step]] =current_step, current_Grad_b,IF(Iterations[[#This Row],[Step]] &gt; current_step, "",Iterations[[#This Row],[Grad_b]]))</f>
        <v/>
      </c>
      <c r="P645" s="2" t="str">
        <f>IF(Iterations[[#This Row],[Step]] =current_step, current_Grad_c,IF(Iterations[[#This Row],[Step]] &gt; current_step, "",Iterations[[#This Row],[Grad_c]]))</f>
        <v/>
      </c>
      <c r="Q645" s="2" t="str">
        <f>IF(Iterations[[#This Row],[Step]] =current_step, current_Grad_d,IF(Iterations[[#This Row],[Step]] &gt; current_step, "",Iterations[[#This Row],[Grad_d]]))</f>
        <v/>
      </c>
      <c r="R645" s="2" t="str">
        <f>IF(Iterations[[#This Row],[Step]] =current_step, current_Grad_e,IF(Iterations[[#This Row],[Step]] &gt; current_step, "",Iterations[[#This Row],[Grad_e]]))</f>
        <v/>
      </c>
    </row>
    <row r="646" spans="6:18" x14ac:dyDescent="0.3">
      <c r="F646" s="2">
        <f t="shared" si="12"/>
        <v>629</v>
      </c>
      <c r="G646" s="2" t="str">
        <f>IF(Iterations[[#This Row],[Step]] =current_step, current_a,IF(Iterations[[#This Row],[Step]] &gt; current_step, "",Iterations[[#This Row],[a]]))</f>
        <v/>
      </c>
      <c r="H646" s="2" t="str">
        <f>IF(Iterations[[#This Row],[Step]] =current_step, current_b,IF(Iterations[[#This Row],[Step]] &gt; current_step, "",Iterations[[#This Row],[b]]))</f>
        <v/>
      </c>
      <c r="I646" s="2" t="str">
        <f>IF(Iterations[[#This Row],[Step]] =current_step, current_c,IF(Iterations[[#This Row],[Step]] &gt; current_step, "",Iterations[[#This Row],[c]]))</f>
        <v/>
      </c>
      <c r="J646" s="2" t="str">
        <f>IF(Iterations[[#This Row],[Step]] =current_step, current_d,IF(Iterations[[#This Row],[Step]] &gt; current_step, "",Iterations[[#This Row],[d]]))</f>
        <v/>
      </c>
      <c r="K646" s="2" t="str">
        <f>IF(Iterations[[#This Row],[Step]] =current_step, current_e,IF(Iterations[[#This Row],[Step]] &gt; current_step, "",Iterations[[#This Row],[e]]))</f>
        <v/>
      </c>
      <c r="L646" s="2" t="str">
        <f>IF(Iterations[[#This Row],[Step]] =current_step, current_Total_Loss,IF(Iterations[[#This Row],[Step]] &gt; current_step, "",Iterations[[#This Row],[Total Loss]]))</f>
        <v/>
      </c>
      <c r="M646" s="6" t="s">
        <v>27</v>
      </c>
      <c r="N646" s="2" t="str">
        <f>IF(Iterations[[#This Row],[Step]] =current_step, current_Grad_a,IF(Iterations[[#This Row],[Step]] &gt; current_step, "",Iterations[[#This Row],[Grad_a]]))</f>
        <v/>
      </c>
      <c r="O646" s="2" t="str">
        <f>IF(Iterations[[#This Row],[Step]] =current_step, current_Grad_b,IF(Iterations[[#This Row],[Step]] &gt; current_step, "",Iterations[[#This Row],[Grad_b]]))</f>
        <v/>
      </c>
      <c r="P646" s="2" t="str">
        <f>IF(Iterations[[#This Row],[Step]] =current_step, current_Grad_c,IF(Iterations[[#This Row],[Step]] &gt; current_step, "",Iterations[[#This Row],[Grad_c]]))</f>
        <v/>
      </c>
      <c r="Q646" s="2" t="str">
        <f>IF(Iterations[[#This Row],[Step]] =current_step, current_Grad_d,IF(Iterations[[#This Row],[Step]] &gt; current_step, "",Iterations[[#This Row],[Grad_d]]))</f>
        <v/>
      </c>
      <c r="R646" s="2" t="str">
        <f>IF(Iterations[[#This Row],[Step]] =current_step, current_Grad_e,IF(Iterations[[#This Row],[Step]] &gt; current_step, "",Iterations[[#This Row],[Grad_e]]))</f>
        <v/>
      </c>
    </row>
    <row r="647" spans="6:18" x14ac:dyDescent="0.3">
      <c r="F647" s="2">
        <f t="shared" si="12"/>
        <v>630</v>
      </c>
      <c r="G647" s="2" t="str">
        <f>IF(Iterations[[#This Row],[Step]] =current_step, current_a,IF(Iterations[[#This Row],[Step]] &gt; current_step, "",Iterations[[#This Row],[a]]))</f>
        <v/>
      </c>
      <c r="H647" s="2" t="str">
        <f>IF(Iterations[[#This Row],[Step]] =current_step, current_b,IF(Iterations[[#This Row],[Step]] &gt; current_step, "",Iterations[[#This Row],[b]]))</f>
        <v/>
      </c>
      <c r="I647" s="2" t="str">
        <f>IF(Iterations[[#This Row],[Step]] =current_step, current_c,IF(Iterations[[#This Row],[Step]] &gt; current_step, "",Iterations[[#This Row],[c]]))</f>
        <v/>
      </c>
      <c r="J647" s="2" t="str">
        <f>IF(Iterations[[#This Row],[Step]] =current_step, current_d,IF(Iterations[[#This Row],[Step]] &gt; current_step, "",Iterations[[#This Row],[d]]))</f>
        <v/>
      </c>
      <c r="K647" s="2" t="str">
        <f>IF(Iterations[[#This Row],[Step]] =current_step, current_e,IF(Iterations[[#This Row],[Step]] &gt; current_step, "",Iterations[[#This Row],[e]]))</f>
        <v/>
      </c>
      <c r="L647" s="2" t="str">
        <f>IF(Iterations[[#This Row],[Step]] =current_step, current_Total_Loss,IF(Iterations[[#This Row],[Step]] &gt; current_step, "",Iterations[[#This Row],[Total Loss]]))</f>
        <v/>
      </c>
      <c r="M647" s="6" t="s">
        <v>27</v>
      </c>
      <c r="N647" s="2" t="str">
        <f>IF(Iterations[[#This Row],[Step]] =current_step, current_Grad_a,IF(Iterations[[#This Row],[Step]] &gt; current_step, "",Iterations[[#This Row],[Grad_a]]))</f>
        <v/>
      </c>
      <c r="O647" s="2" t="str">
        <f>IF(Iterations[[#This Row],[Step]] =current_step, current_Grad_b,IF(Iterations[[#This Row],[Step]] &gt; current_step, "",Iterations[[#This Row],[Grad_b]]))</f>
        <v/>
      </c>
      <c r="P647" s="2" t="str">
        <f>IF(Iterations[[#This Row],[Step]] =current_step, current_Grad_c,IF(Iterations[[#This Row],[Step]] &gt; current_step, "",Iterations[[#This Row],[Grad_c]]))</f>
        <v/>
      </c>
      <c r="Q647" s="2" t="str">
        <f>IF(Iterations[[#This Row],[Step]] =current_step, current_Grad_d,IF(Iterations[[#This Row],[Step]] &gt; current_step, "",Iterations[[#This Row],[Grad_d]]))</f>
        <v/>
      </c>
      <c r="R647" s="2" t="str">
        <f>IF(Iterations[[#This Row],[Step]] =current_step, current_Grad_e,IF(Iterations[[#This Row],[Step]] &gt; current_step, "",Iterations[[#This Row],[Grad_e]]))</f>
        <v/>
      </c>
    </row>
    <row r="648" spans="6:18" x14ac:dyDescent="0.3">
      <c r="F648" s="2">
        <f t="shared" si="12"/>
        <v>631</v>
      </c>
      <c r="G648" s="2" t="str">
        <f>IF(Iterations[[#This Row],[Step]] =current_step, current_a,IF(Iterations[[#This Row],[Step]] &gt; current_step, "",Iterations[[#This Row],[a]]))</f>
        <v/>
      </c>
      <c r="H648" s="2" t="str">
        <f>IF(Iterations[[#This Row],[Step]] =current_step, current_b,IF(Iterations[[#This Row],[Step]] &gt; current_step, "",Iterations[[#This Row],[b]]))</f>
        <v/>
      </c>
      <c r="I648" s="2" t="str">
        <f>IF(Iterations[[#This Row],[Step]] =current_step, current_c,IF(Iterations[[#This Row],[Step]] &gt; current_step, "",Iterations[[#This Row],[c]]))</f>
        <v/>
      </c>
      <c r="J648" s="2" t="str">
        <f>IF(Iterations[[#This Row],[Step]] =current_step, current_d,IF(Iterations[[#This Row],[Step]] &gt; current_step, "",Iterations[[#This Row],[d]]))</f>
        <v/>
      </c>
      <c r="K648" s="2" t="str">
        <f>IF(Iterations[[#This Row],[Step]] =current_step, current_e,IF(Iterations[[#This Row],[Step]] &gt; current_step, "",Iterations[[#This Row],[e]]))</f>
        <v/>
      </c>
      <c r="L648" s="2" t="str">
        <f>IF(Iterations[[#This Row],[Step]] =current_step, current_Total_Loss,IF(Iterations[[#This Row],[Step]] &gt; current_step, "",Iterations[[#This Row],[Total Loss]]))</f>
        <v/>
      </c>
      <c r="M648" s="6" t="s">
        <v>27</v>
      </c>
      <c r="N648" s="2" t="str">
        <f>IF(Iterations[[#This Row],[Step]] =current_step, current_Grad_a,IF(Iterations[[#This Row],[Step]] &gt; current_step, "",Iterations[[#This Row],[Grad_a]]))</f>
        <v/>
      </c>
      <c r="O648" s="2" t="str">
        <f>IF(Iterations[[#This Row],[Step]] =current_step, current_Grad_b,IF(Iterations[[#This Row],[Step]] &gt; current_step, "",Iterations[[#This Row],[Grad_b]]))</f>
        <v/>
      </c>
      <c r="P648" s="2" t="str">
        <f>IF(Iterations[[#This Row],[Step]] =current_step, current_Grad_c,IF(Iterations[[#This Row],[Step]] &gt; current_step, "",Iterations[[#This Row],[Grad_c]]))</f>
        <v/>
      </c>
      <c r="Q648" s="2" t="str">
        <f>IF(Iterations[[#This Row],[Step]] =current_step, current_Grad_d,IF(Iterations[[#This Row],[Step]] &gt; current_step, "",Iterations[[#This Row],[Grad_d]]))</f>
        <v/>
      </c>
      <c r="R648" s="2" t="str">
        <f>IF(Iterations[[#This Row],[Step]] =current_step, current_Grad_e,IF(Iterations[[#This Row],[Step]] &gt; current_step, "",Iterations[[#This Row],[Grad_e]]))</f>
        <v/>
      </c>
    </row>
    <row r="649" spans="6:18" x14ac:dyDescent="0.3">
      <c r="F649" s="2">
        <f t="shared" si="12"/>
        <v>632</v>
      </c>
      <c r="G649" s="2" t="str">
        <f>IF(Iterations[[#This Row],[Step]] =current_step, current_a,IF(Iterations[[#This Row],[Step]] &gt; current_step, "",Iterations[[#This Row],[a]]))</f>
        <v/>
      </c>
      <c r="H649" s="2" t="str">
        <f>IF(Iterations[[#This Row],[Step]] =current_step, current_b,IF(Iterations[[#This Row],[Step]] &gt; current_step, "",Iterations[[#This Row],[b]]))</f>
        <v/>
      </c>
      <c r="I649" s="2" t="str">
        <f>IF(Iterations[[#This Row],[Step]] =current_step, current_c,IF(Iterations[[#This Row],[Step]] &gt; current_step, "",Iterations[[#This Row],[c]]))</f>
        <v/>
      </c>
      <c r="J649" s="2" t="str">
        <f>IF(Iterations[[#This Row],[Step]] =current_step, current_d,IF(Iterations[[#This Row],[Step]] &gt; current_step, "",Iterations[[#This Row],[d]]))</f>
        <v/>
      </c>
      <c r="K649" s="2" t="str">
        <f>IF(Iterations[[#This Row],[Step]] =current_step, current_e,IF(Iterations[[#This Row],[Step]] &gt; current_step, "",Iterations[[#This Row],[e]]))</f>
        <v/>
      </c>
      <c r="L649" s="2" t="str">
        <f>IF(Iterations[[#This Row],[Step]] =current_step, current_Total_Loss,IF(Iterations[[#This Row],[Step]] &gt; current_step, "",Iterations[[#This Row],[Total Loss]]))</f>
        <v/>
      </c>
      <c r="M649" s="6" t="s">
        <v>27</v>
      </c>
      <c r="N649" s="2" t="str">
        <f>IF(Iterations[[#This Row],[Step]] =current_step, current_Grad_a,IF(Iterations[[#This Row],[Step]] &gt; current_step, "",Iterations[[#This Row],[Grad_a]]))</f>
        <v/>
      </c>
      <c r="O649" s="2" t="str">
        <f>IF(Iterations[[#This Row],[Step]] =current_step, current_Grad_b,IF(Iterations[[#This Row],[Step]] &gt; current_step, "",Iterations[[#This Row],[Grad_b]]))</f>
        <v/>
      </c>
      <c r="P649" s="2" t="str">
        <f>IF(Iterations[[#This Row],[Step]] =current_step, current_Grad_c,IF(Iterations[[#This Row],[Step]] &gt; current_step, "",Iterations[[#This Row],[Grad_c]]))</f>
        <v/>
      </c>
      <c r="Q649" s="2" t="str">
        <f>IF(Iterations[[#This Row],[Step]] =current_step, current_Grad_d,IF(Iterations[[#This Row],[Step]] &gt; current_step, "",Iterations[[#This Row],[Grad_d]]))</f>
        <v/>
      </c>
      <c r="R649" s="2" t="str">
        <f>IF(Iterations[[#This Row],[Step]] =current_step, current_Grad_e,IF(Iterations[[#This Row],[Step]] &gt; current_step, "",Iterations[[#This Row],[Grad_e]]))</f>
        <v/>
      </c>
    </row>
    <row r="650" spans="6:18" x14ac:dyDescent="0.3">
      <c r="F650" s="2">
        <f t="shared" si="12"/>
        <v>633</v>
      </c>
      <c r="G650" s="2" t="str">
        <f>IF(Iterations[[#This Row],[Step]] =current_step, current_a,IF(Iterations[[#This Row],[Step]] &gt; current_step, "",Iterations[[#This Row],[a]]))</f>
        <v/>
      </c>
      <c r="H650" s="2" t="str">
        <f>IF(Iterations[[#This Row],[Step]] =current_step, current_b,IF(Iterations[[#This Row],[Step]] &gt; current_step, "",Iterations[[#This Row],[b]]))</f>
        <v/>
      </c>
      <c r="I650" s="2" t="str">
        <f>IF(Iterations[[#This Row],[Step]] =current_step, current_c,IF(Iterations[[#This Row],[Step]] &gt; current_step, "",Iterations[[#This Row],[c]]))</f>
        <v/>
      </c>
      <c r="J650" s="2" t="str">
        <f>IF(Iterations[[#This Row],[Step]] =current_step, current_d,IF(Iterations[[#This Row],[Step]] &gt; current_step, "",Iterations[[#This Row],[d]]))</f>
        <v/>
      </c>
      <c r="K650" s="2" t="str">
        <f>IF(Iterations[[#This Row],[Step]] =current_step, current_e,IF(Iterations[[#This Row],[Step]] &gt; current_step, "",Iterations[[#This Row],[e]]))</f>
        <v/>
      </c>
      <c r="L650" s="2" t="str">
        <f>IF(Iterations[[#This Row],[Step]] =current_step, current_Total_Loss,IF(Iterations[[#This Row],[Step]] &gt; current_step, "",Iterations[[#This Row],[Total Loss]]))</f>
        <v/>
      </c>
      <c r="M650" s="6" t="s">
        <v>27</v>
      </c>
      <c r="N650" s="2" t="str">
        <f>IF(Iterations[[#This Row],[Step]] =current_step, current_Grad_a,IF(Iterations[[#This Row],[Step]] &gt; current_step, "",Iterations[[#This Row],[Grad_a]]))</f>
        <v/>
      </c>
      <c r="O650" s="2" t="str">
        <f>IF(Iterations[[#This Row],[Step]] =current_step, current_Grad_b,IF(Iterations[[#This Row],[Step]] &gt; current_step, "",Iterations[[#This Row],[Grad_b]]))</f>
        <v/>
      </c>
      <c r="P650" s="2" t="str">
        <f>IF(Iterations[[#This Row],[Step]] =current_step, current_Grad_c,IF(Iterations[[#This Row],[Step]] &gt; current_step, "",Iterations[[#This Row],[Grad_c]]))</f>
        <v/>
      </c>
      <c r="Q650" s="2" t="str">
        <f>IF(Iterations[[#This Row],[Step]] =current_step, current_Grad_d,IF(Iterations[[#This Row],[Step]] &gt; current_step, "",Iterations[[#This Row],[Grad_d]]))</f>
        <v/>
      </c>
      <c r="R650" s="2" t="str">
        <f>IF(Iterations[[#This Row],[Step]] =current_step, current_Grad_e,IF(Iterations[[#This Row],[Step]] &gt; current_step, "",Iterations[[#This Row],[Grad_e]]))</f>
        <v/>
      </c>
    </row>
    <row r="651" spans="6:18" x14ac:dyDescent="0.3">
      <c r="F651" s="2">
        <f t="shared" si="12"/>
        <v>634</v>
      </c>
      <c r="G651" s="2" t="str">
        <f>IF(Iterations[[#This Row],[Step]] =current_step, current_a,IF(Iterations[[#This Row],[Step]] &gt; current_step, "",Iterations[[#This Row],[a]]))</f>
        <v/>
      </c>
      <c r="H651" s="2" t="str">
        <f>IF(Iterations[[#This Row],[Step]] =current_step, current_b,IF(Iterations[[#This Row],[Step]] &gt; current_step, "",Iterations[[#This Row],[b]]))</f>
        <v/>
      </c>
      <c r="I651" s="2" t="str">
        <f>IF(Iterations[[#This Row],[Step]] =current_step, current_c,IF(Iterations[[#This Row],[Step]] &gt; current_step, "",Iterations[[#This Row],[c]]))</f>
        <v/>
      </c>
      <c r="J651" s="2" t="str">
        <f>IF(Iterations[[#This Row],[Step]] =current_step, current_d,IF(Iterations[[#This Row],[Step]] &gt; current_step, "",Iterations[[#This Row],[d]]))</f>
        <v/>
      </c>
      <c r="K651" s="2" t="str">
        <f>IF(Iterations[[#This Row],[Step]] =current_step, current_e,IF(Iterations[[#This Row],[Step]] &gt; current_step, "",Iterations[[#This Row],[e]]))</f>
        <v/>
      </c>
      <c r="L651" s="2" t="str">
        <f>IF(Iterations[[#This Row],[Step]] =current_step, current_Total_Loss,IF(Iterations[[#This Row],[Step]] &gt; current_step, "",Iterations[[#This Row],[Total Loss]]))</f>
        <v/>
      </c>
      <c r="M651" s="6" t="s">
        <v>27</v>
      </c>
      <c r="N651" s="2" t="str">
        <f>IF(Iterations[[#This Row],[Step]] =current_step, current_Grad_a,IF(Iterations[[#This Row],[Step]] &gt; current_step, "",Iterations[[#This Row],[Grad_a]]))</f>
        <v/>
      </c>
      <c r="O651" s="2" t="str">
        <f>IF(Iterations[[#This Row],[Step]] =current_step, current_Grad_b,IF(Iterations[[#This Row],[Step]] &gt; current_step, "",Iterations[[#This Row],[Grad_b]]))</f>
        <v/>
      </c>
      <c r="P651" s="2" t="str">
        <f>IF(Iterations[[#This Row],[Step]] =current_step, current_Grad_c,IF(Iterations[[#This Row],[Step]] &gt; current_step, "",Iterations[[#This Row],[Grad_c]]))</f>
        <v/>
      </c>
      <c r="Q651" s="2" t="str">
        <f>IF(Iterations[[#This Row],[Step]] =current_step, current_Grad_d,IF(Iterations[[#This Row],[Step]] &gt; current_step, "",Iterations[[#This Row],[Grad_d]]))</f>
        <v/>
      </c>
      <c r="R651" s="2" t="str">
        <f>IF(Iterations[[#This Row],[Step]] =current_step, current_Grad_e,IF(Iterations[[#This Row],[Step]] &gt; current_step, "",Iterations[[#This Row],[Grad_e]]))</f>
        <v/>
      </c>
    </row>
    <row r="652" spans="6:18" x14ac:dyDescent="0.3">
      <c r="F652" s="2">
        <f t="shared" si="12"/>
        <v>635</v>
      </c>
      <c r="G652" s="2" t="str">
        <f>IF(Iterations[[#This Row],[Step]] =current_step, current_a,IF(Iterations[[#This Row],[Step]] &gt; current_step, "",Iterations[[#This Row],[a]]))</f>
        <v/>
      </c>
      <c r="H652" s="2" t="str">
        <f>IF(Iterations[[#This Row],[Step]] =current_step, current_b,IF(Iterations[[#This Row],[Step]] &gt; current_step, "",Iterations[[#This Row],[b]]))</f>
        <v/>
      </c>
      <c r="I652" s="2" t="str">
        <f>IF(Iterations[[#This Row],[Step]] =current_step, current_c,IF(Iterations[[#This Row],[Step]] &gt; current_step, "",Iterations[[#This Row],[c]]))</f>
        <v/>
      </c>
      <c r="J652" s="2" t="str">
        <f>IF(Iterations[[#This Row],[Step]] =current_step, current_d,IF(Iterations[[#This Row],[Step]] &gt; current_step, "",Iterations[[#This Row],[d]]))</f>
        <v/>
      </c>
      <c r="K652" s="2" t="str">
        <f>IF(Iterations[[#This Row],[Step]] =current_step, current_e,IF(Iterations[[#This Row],[Step]] &gt; current_step, "",Iterations[[#This Row],[e]]))</f>
        <v/>
      </c>
      <c r="L652" s="2" t="str">
        <f>IF(Iterations[[#This Row],[Step]] =current_step, current_Total_Loss,IF(Iterations[[#This Row],[Step]] &gt; current_step, "",Iterations[[#This Row],[Total Loss]]))</f>
        <v/>
      </c>
      <c r="M652" s="6" t="s">
        <v>27</v>
      </c>
      <c r="N652" s="2" t="str">
        <f>IF(Iterations[[#This Row],[Step]] =current_step, current_Grad_a,IF(Iterations[[#This Row],[Step]] &gt; current_step, "",Iterations[[#This Row],[Grad_a]]))</f>
        <v/>
      </c>
      <c r="O652" s="2" t="str">
        <f>IF(Iterations[[#This Row],[Step]] =current_step, current_Grad_b,IF(Iterations[[#This Row],[Step]] &gt; current_step, "",Iterations[[#This Row],[Grad_b]]))</f>
        <v/>
      </c>
      <c r="P652" s="2" t="str">
        <f>IF(Iterations[[#This Row],[Step]] =current_step, current_Grad_c,IF(Iterations[[#This Row],[Step]] &gt; current_step, "",Iterations[[#This Row],[Grad_c]]))</f>
        <v/>
      </c>
      <c r="Q652" s="2" t="str">
        <f>IF(Iterations[[#This Row],[Step]] =current_step, current_Grad_d,IF(Iterations[[#This Row],[Step]] &gt; current_step, "",Iterations[[#This Row],[Grad_d]]))</f>
        <v/>
      </c>
      <c r="R652" s="2" t="str">
        <f>IF(Iterations[[#This Row],[Step]] =current_step, current_Grad_e,IF(Iterations[[#This Row],[Step]] &gt; current_step, "",Iterations[[#This Row],[Grad_e]]))</f>
        <v/>
      </c>
    </row>
    <row r="653" spans="6:18" x14ac:dyDescent="0.3">
      <c r="F653" s="2">
        <f t="shared" si="12"/>
        <v>636</v>
      </c>
      <c r="G653" s="2" t="str">
        <f>IF(Iterations[[#This Row],[Step]] =current_step, current_a,IF(Iterations[[#This Row],[Step]] &gt; current_step, "",Iterations[[#This Row],[a]]))</f>
        <v/>
      </c>
      <c r="H653" s="2" t="str">
        <f>IF(Iterations[[#This Row],[Step]] =current_step, current_b,IF(Iterations[[#This Row],[Step]] &gt; current_step, "",Iterations[[#This Row],[b]]))</f>
        <v/>
      </c>
      <c r="I653" s="2" t="str">
        <f>IF(Iterations[[#This Row],[Step]] =current_step, current_c,IF(Iterations[[#This Row],[Step]] &gt; current_step, "",Iterations[[#This Row],[c]]))</f>
        <v/>
      </c>
      <c r="J653" s="2" t="str">
        <f>IF(Iterations[[#This Row],[Step]] =current_step, current_d,IF(Iterations[[#This Row],[Step]] &gt; current_step, "",Iterations[[#This Row],[d]]))</f>
        <v/>
      </c>
      <c r="K653" s="2" t="str">
        <f>IF(Iterations[[#This Row],[Step]] =current_step, current_e,IF(Iterations[[#This Row],[Step]] &gt; current_step, "",Iterations[[#This Row],[e]]))</f>
        <v/>
      </c>
      <c r="L653" s="2" t="str">
        <f>IF(Iterations[[#This Row],[Step]] =current_step, current_Total_Loss,IF(Iterations[[#This Row],[Step]] &gt; current_step, "",Iterations[[#This Row],[Total Loss]]))</f>
        <v/>
      </c>
      <c r="M653" s="6" t="s">
        <v>27</v>
      </c>
      <c r="N653" s="2" t="str">
        <f>IF(Iterations[[#This Row],[Step]] =current_step, current_Grad_a,IF(Iterations[[#This Row],[Step]] &gt; current_step, "",Iterations[[#This Row],[Grad_a]]))</f>
        <v/>
      </c>
      <c r="O653" s="2" t="str">
        <f>IF(Iterations[[#This Row],[Step]] =current_step, current_Grad_b,IF(Iterations[[#This Row],[Step]] &gt; current_step, "",Iterations[[#This Row],[Grad_b]]))</f>
        <v/>
      </c>
      <c r="P653" s="2" t="str">
        <f>IF(Iterations[[#This Row],[Step]] =current_step, current_Grad_c,IF(Iterations[[#This Row],[Step]] &gt; current_step, "",Iterations[[#This Row],[Grad_c]]))</f>
        <v/>
      </c>
      <c r="Q653" s="2" t="str">
        <f>IF(Iterations[[#This Row],[Step]] =current_step, current_Grad_d,IF(Iterations[[#This Row],[Step]] &gt; current_step, "",Iterations[[#This Row],[Grad_d]]))</f>
        <v/>
      </c>
      <c r="R653" s="2" t="str">
        <f>IF(Iterations[[#This Row],[Step]] =current_step, current_Grad_e,IF(Iterations[[#This Row],[Step]] &gt; current_step, "",Iterations[[#This Row],[Grad_e]]))</f>
        <v/>
      </c>
    </row>
    <row r="654" spans="6:18" x14ac:dyDescent="0.3">
      <c r="F654" s="2">
        <f t="shared" si="12"/>
        <v>637</v>
      </c>
      <c r="G654" s="2" t="str">
        <f>IF(Iterations[[#This Row],[Step]] =current_step, current_a,IF(Iterations[[#This Row],[Step]] &gt; current_step, "",Iterations[[#This Row],[a]]))</f>
        <v/>
      </c>
      <c r="H654" s="2" t="str">
        <f>IF(Iterations[[#This Row],[Step]] =current_step, current_b,IF(Iterations[[#This Row],[Step]] &gt; current_step, "",Iterations[[#This Row],[b]]))</f>
        <v/>
      </c>
      <c r="I654" s="2" t="str">
        <f>IF(Iterations[[#This Row],[Step]] =current_step, current_c,IF(Iterations[[#This Row],[Step]] &gt; current_step, "",Iterations[[#This Row],[c]]))</f>
        <v/>
      </c>
      <c r="J654" s="2" t="str">
        <f>IF(Iterations[[#This Row],[Step]] =current_step, current_d,IF(Iterations[[#This Row],[Step]] &gt; current_step, "",Iterations[[#This Row],[d]]))</f>
        <v/>
      </c>
      <c r="K654" s="2" t="str">
        <f>IF(Iterations[[#This Row],[Step]] =current_step, current_e,IF(Iterations[[#This Row],[Step]] &gt; current_step, "",Iterations[[#This Row],[e]]))</f>
        <v/>
      </c>
      <c r="L654" s="2" t="str">
        <f>IF(Iterations[[#This Row],[Step]] =current_step, current_Total_Loss,IF(Iterations[[#This Row],[Step]] &gt; current_step, "",Iterations[[#This Row],[Total Loss]]))</f>
        <v/>
      </c>
      <c r="M654" s="6" t="s">
        <v>27</v>
      </c>
      <c r="N654" s="2" t="str">
        <f>IF(Iterations[[#This Row],[Step]] =current_step, current_Grad_a,IF(Iterations[[#This Row],[Step]] &gt; current_step, "",Iterations[[#This Row],[Grad_a]]))</f>
        <v/>
      </c>
      <c r="O654" s="2" t="str">
        <f>IF(Iterations[[#This Row],[Step]] =current_step, current_Grad_b,IF(Iterations[[#This Row],[Step]] &gt; current_step, "",Iterations[[#This Row],[Grad_b]]))</f>
        <v/>
      </c>
      <c r="P654" s="2" t="str">
        <f>IF(Iterations[[#This Row],[Step]] =current_step, current_Grad_c,IF(Iterations[[#This Row],[Step]] &gt; current_step, "",Iterations[[#This Row],[Grad_c]]))</f>
        <v/>
      </c>
      <c r="Q654" s="2" t="str">
        <f>IF(Iterations[[#This Row],[Step]] =current_step, current_Grad_d,IF(Iterations[[#This Row],[Step]] &gt; current_step, "",Iterations[[#This Row],[Grad_d]]))</f>
        <v/>
      </c>
      <c r="R654" s="2" t="str">
        <f>IF(Iterations[[#This Row],[Step]] =current_step, current_Grad_e,IF(Iterations[[#This Row],[Step]] &gt; current_step, "",Iterations[[#This Row],[Grad_e]]))</f>
        <v/>
      </c>
    </row>
    <row r="655" spans="6:18" x14ac:dyDescent="0.3">
      <c r="F655" s="2">
        <f t="shared" si="12"/>
        <v>638</v>
      </c>
      <c r="G655" s="2" t="str">
        <f>IF(Iterations[[#This Row],[Step]] =current_step, current_a,IF(Iterations[[#This Row],[Step]] &gt; current_step, "",Iterations[[#This Row],[a]]))</f>
        <v/>
      </c>
      <c r="H655" s="2" t="str">
        <f>IF(Iterations[[#This Row],[Step]] =current_step, current_b,IF(Iterations[[#This Row],[Step]] &gt; current_step, "",Iterations[[#This Row],[b]]))</f>
        <v/>
      </c>
      <c r="I655" s="2" t="str">
        <f>IF(Iterations[[#This Row],[Step]] =current_step, current_c,IF(Iterations[[#This Row],[Step]] &gt; current_step, "",Iterations[[#This Row],[c]]))</f>
        <v/>
      </c>
      <c r="J655" s="2" t="str">
        <f>IF(Iterations[[#This Row],[Step]] =current_step, current_d,IF(Iterations[[#This Row],[Step]] &gt; current_step, "",Iterations[[#This Row],[d]]))</f>
        <v/>
      </c>
      <c r="K655" s="2" t="str">
        <f>IF(Iterations[[#This Row],[Step]] =current_step, current_e,IF(Iterations[[#This Row],[Step]] &gt; current_step, "",Iterations[[#This Row],[e]]))</f>
        <v/>
      </c>
      <c r="L655" s="2" t="str">
        <f>IF(Iterations[[#This Row],[Step]] =current_step, current_Total_Loss,IF(Iterations[[#This Row],[Step]] &gt; current_step, "",Iterations[[#This Row],[Total Loss]]))</f>
        <v/>
      </c>
      <c r="M655" s="6" t="s">
        <v>27</v>
      </c>
      <c r="N655" s="2" t="str">
        <f>IF(Iterations[[#This Row],[Step]] =current_step, current_Grad_a,IF(Iterations[[#This Row],[Step]] &gt; current_step, "",Iterations[[#This Row],[Grad_a]]))</f>
        <v/>
      </c>
      <c r="O655" s="2" t="str">
        <f>IF(Iterations[[#This Row],[Step]] =current_step, current_Grad_b,IF(Iterations[[#This Row],[Step]] &gt; current_step, "",Iterations[[#This Row],[Grad_b]]))</f>
        <v/>
      </c>
      <c r="P655" s="2" t="str">
        <f>IF(Iterations[[#This Row],[Step]] =current_step, current_Grad_c,IF(Iterations[[#This Row],[Step]] &gt; current_step, "",Iterations[[#This Row],[Grad_c]]))</f>
        <v/>
      </c>
      <c r="Q655" s="2" t="str">
        <f>IF(Iterations[[#This Row],[Step]] =current_step, current_Grad_d,IF(Iterations[[#This Row],[Step]] &gt; current_step, "",Iterations[[#This Row],[Grad_d]]))</f>
        <v/>
      </c>
      <c r="R655" s="2" t="str">
        <f>IF(Iterations[[#This Row],[Step]] =current_step, current_Grad_e,IF(Iterations[[#This Row],[Step]] &gt; current_step, "",Iterations[[#This Row],[Grad_e]]))</f>
        <v/>
      </c>
    </row>
    <row r="656" spans="6:18" x14ac:dyDescent="0.3">
      <c r="F656" s="2">
        <f t="shared" si="12"/>
        <v>639</v>
      </c>
      <c r="G656" s="2" t="str">
        <f>IF(Iterations[[#This Row],[Step]] =current_step, current_a,IF(Iterations[[#This Row],[Step]] &gt; current_step, "",Iterations[[#This Row],[a]]))</f>
        <v/>
      </c>
      <c r="H656" s="2" t="str">
        <f>IF(Iterations[[#This Row],[Step]] =current_step, current_b,IF(Iterations[[#This Row],[Step]] &gt; current_step, "",Iterations[[#This Row],[b]]))</f>
        <v/>
      </c>
      <c r="I656" s="2" t="str">
        <f>IF(Iterations[[#This Row],[Step]] =current_step, current_c,IF(Iterations[[#This Row],[Step]] &gt; current_step, "",Iterations[[#This Row],[c]]))</f>
        <v/>
      </c>
      <c r="J656" s="2" t="str">
        <f>IF(Iterations[[#This Row],[Step]] =current_step, current_d,IF(Iterations[[#This Row],[Step]] &gt; current_step, "",Iterations[[#This Row],[d]]))</f>
        <v/>
      </c>
      <c r="K656" s="2" t="str">
        <f>IF(Iterations[[#This Row],[Step]] =current_step, current_e,IF(Iterations[[#This Row],[Step]] &gt; current_step, "",Iterations[[#This Row],[e]]))</f>
        <v/>
      </c>
      <c r="L656" s="2" t="str">
        <f>IF(Iterations[[#This Row],[Step]] =current_step, current_Total_Loss,IF(Iterations[[#This Row],[Step]] &gt; current_step, "",Iterations[[#This Row],[Total Loss]]))</f>
        <v/>
      </c>
      <c r="M656" s="6" t="s">
        <v>27</v>
      </c>
      <c r="N656" s="2" t="str">
        <f>IF(Iterations[[#This Row],[Step]] =current_step, current_Grad_a,IF(Iterations[[#This Row],[Step]] &gt; current_step, "",Iterations[[#This Row],[Grad_a]]))</f>
        <v/>
      </c>
      <c r="O656" s="2" t="str">
        <f>IF(Iterations[[#This Row],[Step]] =current_step, current_Grad_b,IF(Iterations[[#This Row],[Step]] &gt; current_step, "",Iterations[[#This Row],[Grad_b]]))</f>
        <v/>
      </c>
      <c r="P656" s="2" t="str">
        <f>IF(Iterations[[#This Row],[Step]] =current_step, current_Grad_c,IF(Iterations[[#This Row],[Step]] &gt; current_step, "",Iterations[[#This Row],[Grad_c]]))</f>
        <v/>
      </c>
      <c r="Q656" s="2" t="str">
        <f>IF(Iterations[[#This Row],[Step]] =current_step, current_Grad_d,IF(Iterations[[#This Row],[Step]] &gt; current_step, "",Iterations[[#This Row],[Grad_d]]))</f>
        <v/>
      </c>
      <c r="R656" s="2" t="str">
        <f>IF(Iterations[[#This Row],[Step]] =current_step, current_Grad_e,IF(Iterations[[#This Row],[Step]] &gt; current_step, "",Iterations[[#This Row],[Grad_e]]))</f>
        <v/>
      </c>
    </row>
    <row r="657" spans="6:18" x14ac:dyDescent="0.3">
      <c r="F657" s="2">
        <f t="shared" si="12"/>
        <v>640</v>
      </c>
      <c r="G657" s="2" t="str">
        <f>IF(Iterations[[#This Row],[Step]] =current_step, current_a,IF(Iterations[[#This Row],[Step]] &gt; current_step, "",Iterations[[#This Row],[a]]))</f>
        <v/>
      </c>
      <c r="H657" s="2" t="str">
        <f>IF(Iterations[[#This Row],[Step]] =current_step, current_b,IF(Iterations[[#This Row],[Step]] &gt; current_step, "",Iterations[[#This Row],[b]]))</f>
        <v/>
      </c>
      <c r="I657" s="2" t="str">
        <f>IF(Iterations[[#This Row],[Step]] =current_step, current_c,IF(Iterations[[#This Row],[Step]] &gt; current_step, "",Iterations[[#This Row],[c]]))</f>
        <v/>
      </c>
      <c r="J657" s="2" t="str">
        <f>IF(Iterations[[#This Row],[Step]] =current_step, current_d,IF(Iterations[[#This Row],[Step]] &gt; current_step, "",Iterations[[#This Row],[d]]))</f>
        <v/>
      </c>
      <c r="K657" s="2" t="str">
        <f>IF(Iterations[[#This Row],[Step]] =current_step, current_e,IF(Iterations[[#This Row],[Step]] &gt; current_step, "",Iterations[[#This Row],[e]]))</f>
        <v/>
      </c>
      <c r="L657" s="2" t="str">
        <f>IF(Iterations[[#This Row],[Step]] =current_step, current_Total_Loss,IF(Iterations[[#This Row],[Step]] &gt; current_step, "",Iterations[[#This Row],[Total Loss]]))</f>
        <v/>
      </c>
      <c r="M657" s="6" t="s">
        <v>27</v>
      </c>
      <c r="N657" s="2" t="str">
        <f>IF(Iterations[[#This Row],[Step]] =current_step, current_Grad_a,IF(Iterations[[#This Row],[Step]] &gt; current_step, "",Iterations[[#This Row],[Grad_a]]))</f>
        <v/>
      </c>
      <c r="O657" s="2" t="str">
        <f>IF(Iterations[[#This Row],[Step]] =current_step, current_Grad_b,IF(Iterations[[#This Row],[Step]] &gt; current_step, "",Iterations[[#This Row],[Grad_b]]))</f>
        <v/>
      </c>
      <c r="P657" s="2" t="str">
        <f>IF(Iterations[[#This Row],[Step]] =current_step, current_Grad_c,IF(Iterations[[#This Row],[Step]] &gt; current_step, "",Iterations[[#This Row],[Grad_c]]))</f>
        <v/>
      </c>
      <c r="Q657" s="2" t="str">
        <f>IF(Iterations[[#This Row],[Step]] =current_step, current_Grad_d,IF(Iterations[[#This Row],[Step]] &gt; current_step, "",Iterations[[#This Row],[Grad_d]]))</f>
        <v/>
      </c>
      <c r="R657" s="2" t="str">
        <f>IF(Iterations[[#This Row],[Step]] =current_step, current_Grad_e,IF(Iterations[[#This Row],[Step]] &gt; current_step, "",Iterations[[#This Row],[Grad_e]]))</f>
        <v/>
      </c>
    </row>
    <row r="658" spans="6:18" x14ac:dyDescent="0.3">
      <c r="F658" s="2">
        <f t="shared" si="12"/>
        <v>641</v>
      </c>
      <c r="G658" s="2" t="str">
        <f>IF(Iterations[[#This Row],[Step]] =current_step, current_a,IF(Iterations[[#This Row],[Step]] &gt; current_step, "",Iterations[[#This Row],[a]]))</f>
        <v/>
      </c>
      <c r="H658" s="2" t="str">
        <f>IF(Iterations[[#This Row],[Step]] =current_step, current_b,IF(Iterations[[#This Row],[Step]] &gt; current_step, "",Iterations[[#This Row],[b]]))</f>
        <v/>
      </c>
      <c r="I658" s="2" t="str">
        <f>IF(Iterations[[#This Row],[Step]] =current_step, current_c,IF(Iterations[[#This Row],[Step]] &gt; current_step, "",Iterations[[#This Row],[c]]))</f>
        <v/>
      </c>
      <c r="J658" s="2" t="str">
        <f>IF(Iterations[[#This Row],[Step]] =current_step, current_d,IF(Iterations[[#This Row],[Step]] &gt; current_step, "",Iterations[[#This Row],[d]]))</f>
        <v/>
      </c>
      <c r="K658" s="2" t="str">
        <f>IF(Iterations[[#This Row],[Step]] =current_step, current_e,IF(Iterations[[#This Row],[Step]] &gt; current_step, "",Iterations[[#This Row],[e]]))</f>
        <v/>
      </c>
      <c r="L658" s="2" t="str">
        <f>IF(Iterations[[#This Row],[Step]] =current_step, current_Total_Loss,IF(Iterations[[#This Row],[Step]] &gt; current_step, "",Iterations[[#This Row],[Total Loss]]))</f>
        <v/>
      </c>
      <c r="M658" s="6" t="s">
        <v>27</v>
      </c>
      <c r="N658" s="2" t="str">
        <f>IF(Iterations[[#This Row],[Step]] =current_step, current_Grad_a,IF(Iterations[[#This Row],[Step]] &gt; current_step, "",Iterations[[#This Row],[Grad_a]]))</f>
        <v/>
      </c>
      <c r="O658" s="2" t="str">
        <f>IF(Iterations[[#This Row],[Step]] =current_step, current_Grad_b,IF(Iterations[[#This Row],[Step]] &gt; current_step, "",Iterations[[#This Row],[Grad_b]]))</f>
        <v/>
      </c>
      <c r="P658" s="2" t="str">
        <f>IF(Iterations[[#This Row],[Step]] =current_step, current_Grad_c,IF(Iterations[[#This Row],[Step]] &gt; current_step, "",Iterations[[#This Row],[Grad_c]]))</f>
        <v/>
      </c>
      <c r="Q658" s="2" t="str">
        <f>IF(Iterations[[#This Row],[Step]] =current_step, current_Grad_d,IF(Iterations[[#This Row],[Step]] &gt; current_step, "",Iterations[[#This Row],[Grad_d]]))</f>
        <v/>
      </c>
      <c r="R658" s="2" t="str">
        <f>IF(Iterations[[#This Row],[Step]] =current_step, current_Grad_e,IF(Iterations[[#This Row],[Step]] &gt; current_step, "",Iterations[[#This Row],[Grad_e]]))</f>
        <v/>
      </c>
    </row>
    <row r="659" spans="6:18" x14ac:dyDescent="0.3">
      <c r="F659" s="2">
        <f t="shared" si="12"/>
        <v>642</v>
      </c>
      <c r="G659" s="2" t="str">
        <f>IF(Iterations[[#This Row],[Step]] =current_step, current_a,IF(Iterations[[#This Row],[Step]] &gt; current_step, "",Iterations[[#This Row],[a]]))</f>
        <v/>
      </c>
      <c r="H659" s="2" t="str">
        <f>IF(Iterations[[#This Row],[Step]] =current_step, current_b,IF(Iterations[[#This Row],[Step]] &gt; current_step, "",Iterations[[#This Row],[b]]))</f>
        <v/>
      </c>
      <c r="I659" s="2" t="str">
        <f>IF(Iterations[[#This Row],[Step]] =current_step, current_c,IF(Iterations[[#This Row],[Step]] &gt; current_step, "",Iterations[[#This Row],[c]]))</f>
        <v/>
      </c>
      <c r="J659" s="2" t="str">
        <f>IF(Iterations[[#This Row],[Step]] =current_step, current_d,IF(Iterations[[#This Row],[Step]] &gt; current_step, "",Iterations[[#This Row],[d]]))</f>
        <v/>
      </c>
      <c r="K659" s="2" t="str">
        <f>IF(Iterations[[#This Row],[Step]] =current_step, current_e,IF(Iterations[[#This Row],[Step]] &gt; current_step, "",Iterations[[#This Row],[e]]))</f>
        <v/>
      </c>
      <c r="L659" s="2" t="str">
        <f>IF(Iterations[[#This Row],[Step]] =current_step, current_Total_Loss,IF(Iterations[[#This Row],[Step]] &gt; current_step, "",Iterations[[#This Row],[Total Loss]]))</f>
        <v/>
      </c>
      <c r="M659" s="6" t="s">
        <v>27</v>
      </c>
      <c r="N659" s="2" t="str">
        <f>IF(Iterations[[#This Row],[Step]] =current_step, current_Grad_a,IF(Iterations[[#This Row],[Step]] &gt; current_step, "",Iterations[[#This Row],[Grad_a]]))</f>
        <v/>
      </c>
      <c r="O659" s="2" t="str">
        <f>IF(Iterations[[#This Row],[Step]] =current_step, current_Grad_b,IF(Iterations[[#This Row],[Step]] &gt; current_step, "",Iterations[[#This Row],[Grad_b]]))</f>
        <v/>
      </c>
      <c r="P659" s="2" t="str">
        <f>IF(Iterations[[#This Row],[Step]] =current_step, current_Grad_c,IF(Iterations[[#This Row],[Step]] &gt; current_step, "",Iterations[[#This Row],[Grad_c]]))</f>
        <v/>
      </c>
      <c r="Q659" s="2" t="str">
        <f>IF(Iterations[[#This Row],[Step]] =current_step, current_Grad_d,IF(Iterations[[#This Row],[Step]] &gt; current_step, "",Iterations[[#This Row],[Grad_d]]))</f>
        <v/>
      </c>
      <c r="R659" s="2" t="str">
        <f>IF(Iterations[[#This Row],[Step]] =current_step, current_Grad_e,IF(Iterations[[#This Row],[Step]] &gt; current_step, "",Iterations[[#This Row],[Grad_e]]))</f>
        <v/>
      </c>
    </row>
    <row r="660" spans="6:18" x14ac:dyDescent="0.3">
      <c r="F660" s="2">
        <f t="shared" si="12"/>
        <v>643</v>
      </c>
      <c r="G660" s="2" t="str">
        <f>IF(Iterations[[#This Row],[Step]] =current_step, current_a,IF(Iterations[[#This Row],[Step]] &gt; current_step, "",Iterations[[#This Row],[a]]))</f>
        <v/>
      </c>
      <c r="H660" s="2" t="str">
        <f>IF(Iterations[[#This Row],[Step]] =current_step, current_b,IF(Iterations[[#This Row],[Step]] &gt; current_step, "",Iterations[[#This Row],[b]]))</f>
        <v/>
      </c>
      <c r="I660" s="2" t="str">
        <f>IF(Iterations[[#This Row],[Step]] =current_step, current_c,IF(Iterations[[#This Row],[Step]] &gt; current_step, "",Iterations[[#This Row],[c]]))</f>
        <v/>
      </c>
      <c r="J660" s="2" t="str">
        <f>IF(Iterations[[#This Row],[Step]] =current_step, current_d,IF(Iterations[[#This Row],[Step]] &gt; current_step, "",Iterations[[#This Row],[d]]))</f>
        <v/>
      </c>
      <c r="K660" s="2" t="str">
        <f>IF(Iterations[[#This Row],[Step]] =current_step, current_e,IF(Iterations[[#This Row],[Step]] &gt; current_step, "",Iterations[[#This Row],[e]]))</f>
        <v/>
      </c>
      <c r="L660" s="2" t="str">
        <f>IF(Iterations[[#This Row],[Step]] =current_step, current_Total_Loss,IF(Iterations[[#This Row],[Step]] &gt; current_step, "",Iterations[[#This Row],[Total Loss]]))</f>
        <v/>
      </c>
      <c r="M660" s="6" t="s">
        <v>27</v>
      </c>
      <c r="N660" s="2" t="str">
        <f>IF(Iterations[[#This Row],[Step]] =current_step, current_Grad_a,IF(Iterations[[#This Row],[Step]] &gt; current_step, "",Iterations[[#This Row],[Grad_a]]))</f>
        <v/>
      </c>
      <c r="O660" s="2" t="str">
        <f>IF(Iterations[[#This Row],[Step]] =current_step, current_Grad_b,IF(Iterations[[#This Row],[Step]] &gt; current_step, "",Iterations[[#This Row],[Grad_b]]))</f>
        <v/>
      </c>
      <c r="P660" s="2" t="str">
        <f>IF(Iterations[[#This Row],[Step]] =current_step, current_Grad_c,IF(Iterations[[#This Row],[Step]] &gt; current_step, "",Iterations[[#This Row],[Grad_c]]))</f>
        <v/>
      </c>
      <c r="Q660" s="2" t="str">
        <f>IF(Iterations[[#This Row],[Step]] =current_step, current_Grad_d,IF(Iterations[[#This Row],[Step]] &gt; current_step, "",Iterations[[#This Row],[Grad_d]]))</f>
        <v/>
      </c>
      <c r="R660" s="2" t="str">
        <f>IF(Iterations[[#This Row],[Step]] =current_step, current_Grad_e,IF(Iterations[[#This Row],[Step]] &gt; current_step, "",Iterations[[#This Row],[Grad_e]]))</f>
        <v/>
      </c>
    </row>
    <row r="661" spans="6:18" x14ac:dyDescent="0.3">
      <c r="F661" s="2">
        <f t="shared" si="12"/>
        <v>644</v>
      </c>
      <c r="G661" s="2" t="str">
        <f>IF(Iterations[[#This Row],[Step]] =current_step, current_a,IF(Iterations[[#This Row],[Step]] &gt; current_step, "",Iterations[[#This Row],[a]]))</f>
        <v/>
      </c>
      <c r="H661" s="2" t="str">
        <f>IF(Iterations[[#This Row],[Step]] =current_step, current_b,IF(Iterations[[#This Row],[Step]] &gt; current_step, "",Iterations[[#This Row],[b]]))</f>
        <v/>
      </c>
      <c r="I661" s="2" t="str">
        <f>IF(Iterations[[#This Row],[Step]] =current_step, current_c,IF(Iterations[[#This Row],[Step]] &gt; current_step, "",Iterations[[#This Row],[c]]))</f>
        <v/>
      </c>
      <c r="J661" s="2" t="str">
        <f>IF(Iterations[[#This Row],[Step]] =current_step, current_d,IF(Iterations[[#This Row],[Step]] &gt; current_step, "",Iterations[[#This Row],[d]]))</f>
        <v/>
      </c>
      <c r="K661" s="2" t="str">
        <f>IF(Iterations[[#This Row],[Step]] =current_step, current_e,IF(Iterations[[#This Row],[Step]] &gt; current_step, "",Iterations[[#This Row],[e]]))</f>
        <v/>
      </c>
      <c r="L661" s="2" t="str">
        <f>IF(Iterations[[#This Row],[Step]] =current_step, current_Total_Loss,IF(Iterations[[#This Row],[Step]] &gt; current_step, "",Iterations[[#This Row],[Total Loss]]))</f>
        <v/>
      </c>
      <c r="M661" s="6" t="s">
        <v>27</v>
      </c>
      <c r="N661" s="2" t="str">
        <f>IF(Iterations[[#This Row],[Step]] =current_step, current_Grad_a,IF(Iterations[[#This Row],[Step]] &gt; current_step, "",Iterations[[#This Row],[Grad_a]]))</f>
        <v/>
      </c>
      <c r="O661" s="2" t="str">
        <f>IF(Iterations[[#This Row],[Step]] =current_step, current_Grad_b,IF(Iterations[[#This Row],[Step]] &gt; current_step, "",Iterations[[#This Row],[Grad_b]]))</f>
        <v/>
      </c>
      <c r="P661" s="2" t="str">
        <f>IF(Iterations[[#This Row],[Step]] =current_step, current_Grad_c,IF(Iterations[[#This Row],[Step]] &gt; current_step, "",Iterations[[#This Row],[Grad_c]]))</f>
        <v/>
      </c>
      <c r="Q661" s="2" t="str">
        <f>IF(Iterations[[#This Row],[Step]] =current_step, current_Grad_d,IF(Iterations[[#This Row],[Step]] &gt; current_step, "",Iterations[[#This Row],[Grad_d]]))</f>
        <v/>
      </c>
      <c r="R661" s="2" t="str">
        <f>IF(Iterations[[#This Row],[Step]] =current_step, current_Grad_e,IF(Iterations[[#This Row],[Step]] &gt; current_step, "",Iterations[[#This Row],[Grad_e]]))</f>
        <v/>
      </c>
    </row>
    <row r="662" spans="6:18" x14ac:dyDescent="0.3">
      <c r="F662" s="2">
        <f t="shared" si="12"/>
        <v>645</v>
      </c>
      <c r="G662" s="2" t="str">
        <f>IF(Iterations[[#This Row],[Step]] =current_step, current_a,IF(Iterations[[#This Row],[Step]] &gt; current_step, "",Iterations[[#This Row],[a]]))</f>
        <v/>
      </c>
      <c r="H662" s="2" t="str">
        <f>IF(Iterations[[#This Row],[Step]] =current_step, current_b,IF(Iterations[[#This Row],[Step]] &gt; current_step, "",Iterations[[#This Row],[b]]))</f>
        <v/>
      </c>
      <c r="I662" s="2" t="str">
        <f>IF(Iterations[[#This Row],[Step]] =current_step, current_c,IF(Iterations[[#This Row],[Step]] &gt; current_step, "",Iterations[[#This Row],[c]]))</f>
        <v/>
      </c>
      <c r="J662" s="2" t="str">
        <f>IF(Iterations[[#This Row],[Step]] =current_step, current_d,IF(Iterations[[#This Row],[Step]] &gt; current_step, "",Iterations[[#This Row],[d]]))</f>
        <v/>
      </c>
      <c r="K662" s="2" t="str">
        <f>IF(Iterations[[#This Row],[Step]] =current_step, current_e,IF(Iterations[[#This Row],[Step]] &gt; current_step, "",Iterations[[#This Row],[e]]))</f>
        <v/>
      </c>
      <c r="L662" s="2" t="str">
        <f>IF(Iterations[[#This Row],[Step]] =current_step, current_Total_Loss,IF(Iterations[[#This Row],[Step]] &gt; current_step, "",Iterations[[#This Row],[Total Loss]]))</f>
        <v/>
      </c>
      <c r="M662" s="6" t="s">
        <v>27</v>
      </c>
      <c r="N662" s="2" t="str">
        <f>IF(Iterations[[#This Row],[Step]] =current_step, current_Grad_a,IF(Iterations[[#This Row],[Step]] &gt; current_step, "",Iterations[[#This Row],[Grad_a]]))</f>
        <v/>
      </c>
      <c r="O662" s="2" t="str">
        <f>IF(Iterations[[#This Row],[Step]] =current_step, current_Grad_b,IF(Iterations[[#This Row],[Step]] &gt; current_step, "",Iterations[[#This Row],[Grad_b]]))</f>
        <v/>
      </c>
      <c r="P662" s="2" t="str">
        <f>IF(Iterations[[#This Row],[Step]] =current_step, current_Grad_c,IF(Iterations[[#This Row],[Step]] &gt; current_step, "",Iterations[[#This Row],[Grad_c]]))</f>
        <v/>
      </c>
      <c r="Q662" s="2" t="str">
        <f>IF(Iterations[[#This Row],[Step]] =current_step, current_Grad_d,IF(Iterations[[#This Row],[Step]] &gt; current_step, "",Iterations[[#This Row],[Grad_d]]))</f>
        <v/>
      </c>
      <c r="R662" s="2" t="str">
        <f>IF(Iterations[[#This Row],[Step]] =current_step, current_Grad_e,IF(Iterations[[#This Row],[Step]] &gt; current_step, "",Iterations[[#This Row],[Grad_e]]))</f>
        <v/>
      </c>
    </row>
    <row r="663" spans="6:18" x14ac:dyDescent="0.3">
      <c r="F663" s="2">
        <f t="shared" si="12"/>
        <v>646</v>
      </c>
      <c r="G663" s="2" t="str">
        <f>IF(Iterations[[#This Row],[Step]] =current_step, current_a,IF(Iterations[[#This Row],[Step]] &gt; current_step, "",Iterations[[#This Row],[a]]))</f>
        <v/>
      </c>
      <c r="H663" s="2" t="str">
        <f>IF(Iterations[[#This Row],[Step]] =current_step, current_b,IF(Iterations[[#This Row],[Step]] &gt; current_step, "",Iterations[[#This Row],[b]]))</f>
        <v/>
      </c>
      <c r="I663" s="2" t="str">
        <f>IF(Iterations[[#This Row],[Step]] =current_step, current_c,IF(Iterations[[#This Row],[Step]] &gt; current_step, "",Iterations[[#This Row],[c]]))</f>
        <v/>
      </c>
      <c r="J663" s="2" t="str">
        <f>IF(Iterations[[#This Row],[Step]] =current_step, current_d,IF(Iterations[[#This Row],[Step]] &gt; current_step, "",Iterations[[#This Row],[d]]))</f>
        <v/>
      </c>
      <c r="K663" s="2" t="str">
        <f>IF(Iterations[[#This Row],[Step]] =current_step, current_e,IF(Iterations[[#This Row],[Step]] &gt; current_step, "",Iterations[[#This Row],[e]]))</f>
        <v/>
      </c>
      <c r="L663" s="2" t="str">
        <f>IF(Iterations[[#This Row],[Step]] =current_step, current_Total_Loss,IF(Iterations[[#This Row],[Step]] &gt; current_step, "",Iterations[[#This Row],[Total Loss]]))</f>
        <v/>
      </c>
      <c r="M663" s="6" t="s">
        <v>27</v>
      </c>
      <c r="N663" s="2" t="str">
        <f>IF(Iterations[[#This Row],[Step]] =current_step, current_Grad_a,IF(Iterations[[#This Row],[Step]] &gt; current_step, "",Iterations[[#This Row],[Grad_a]]))</f>
        <v/>
      </c>
      <c r="O663" s="2" t="str">
        <f>IF(Iterations[[#This Row],[Step]] =current_step, current_Grad_b,IF(Iterations[[#This Row],[Step]] &gt; current_step, "",Iterations[[#This Row],[Grad_b]]))</f>
        <v/>
      </c>
      <c r="P663" s="2" t="str">
        <f>IF(Iterations[[#This Row],[Step]] =current_step, current_Grad_c,IF(Iterations[[#This Row],[Step]] &gt; current_step, "",Iterations[[#This Row],[Grad_c]]))</f>
        <v/>
      </c>
      <c r="Q663" s="2" t="str">
        <f>IF(Iterations[[#This Row],[Step]] =current_step, current_Grad_d,IF(Iterations[[#This Row],[Step]] &gt; current_step, "",Iterations[[#This Row],[Grad_d]]))</f>
        <v/>
      </c>
      <c r="R663" s="2" t="str">
        <f>IF(Iterations[[#This Row],[Step]] =current_step, current_Grad_e,IF(Iterations[[#This Row],[Step]] &gt; current_step, "",Iterations[[#This Row],[Grad_e]]))</f>
        <v/>
      </c>
    </row>
    <row r="664" spans="6:18" x14ac:dyDescent="0.3">
      <c r="F664" s="2">
        <f t="shared" si="12"/>
        <v>647</v>
      </c>
      <c r="G664" s="2" t="str">
        <f>IF(Iterations[[#This Row],[Step]] =current_step, current_a,IF(Iterations[[#This Row],[Step]] &gt; current_step, "",Iterations[[#This Row],[a]]))</f>
        <v/>
      </c>
      <c r="H664" s="2" t="str">
        <f>IF(Iterations[[#This Row],[Step]] =current_step, current_b,IF(Iterations[[#This Row],[Step]] &gt; current_step, "",Iterations[[#This Row],[b]]))</f>
        <v/>
      </c>
      <c r="I664" s="2" t="str">
        <f>IF(Iterations[[#This Row],[Step]] =current_step, current_c,IF(Iterations[[#This Row],[Step]] &gt; current_step, "",Iterations[[#This Row],[c]]))</f>
        <v/>
      </c>
      <c r="J664" s="2" t="str">
        <f>IF(Iterations[[#This Row],[Step]] =current_step, current_d,IF(Iterations[[#This Row],[Step]] &gt; current_step, "",Iterations[[#This Row],[d]]))</f>
        <v/>
      </c>
      <c r="K664" s="2" t="str">
        <f>IF(Iterations[[#This Row],[Step]] =current_step, current_e,IF(Iterations[[#This Row],[Step]] &gt; current_step, "",Iterations[[#This Row],[e]]))</f>
        <v/>
      </c>
      <c r="L664" s="2" t="str">
        <f>IF(Iterations[[#This Row],[Step]] =current_step, current_Total_Loss,IF(Iterations[[#This Row],[Step]] &gt; current_step, "",Iterations[[#This Row],[Total Loss]]))</f>
        <v/>
      </c>
      <c r="M664" s="6" t="s">
        <v>27</v>
      </c>
      <c r="N664" s="2" t="str">
        <f>IF(Iterations[[#This Row],[Step]] =current_step, current_Grad_a,IF(Iterations[[#This Row],[Step]] &gt; current_step, "",Iterations[[#This Row],[Grad_a]]))</f>
        <v/>
      </c>
      <c r="O664" s="2" t="str">
        <f>IF(Iterations[[#This Row],[Step]] =current_step, current_Grad_b,IF(Iterations[[#This Row],[Step]] &gt; current_step, "",Iterations[[#This Row],[Grad_b]]))</f>
        <v/>
      </c>
      <c r="P664" s="2" t="str">
        <f>IF(Iterations[[#This Row],[Step]] =current_step, current_Grad_c,IF(Iterations[[#This Row],[Step]] &gt; current_step, "",Iterations[[#This Row],[Grad_c]]))</f>
        <v/>
      </c>
      <c r="Q664" s="2" t="str">
        <f>IF(Iterations[[#This Row],[Step]] =current_step, current_Grad_d,IF(Iterations[[#This Row],[Step]] &gt; current_step, "",Iterations[[#This Row],[Grad_d]]))</f>
        <v/>
      </c>
      <c r="R664" s="2" t="str">
        <f>IF(Iterations[[#This Row],[Step]] =current_step, current_Grad_e,IF(Iterations[[#This Row],[Step]] &gt; current_step, "",Iterations[[#This Row],[Grad_e]]))</f>
        <v/>
      </c>
    </row>
    <row r="665" spans="6:18" x14ac:dyDescent="0.3">
      <c r="F665" s="2">
        <f t="shared" si="12"/>
        <v>648</v>
      </c>
      <c r="G665" s="2" t="str">
        <f>IF(Iterations[[#This Row],[Step]] =current_step, current_a,IF(Iterations[[#This Row],[Step]] &gt; current_step, "",Iterations[[#This Row],[a]]))</f>
        <v/>
      </c>
      <c r="H665" s="2" t="str">
        <f>IF(Iterations[[#This Row],[Step]] =current_step, current_b,IF(Iterations[[#This Row],[Step]] &gt; current_step, "",Iterations[[#This Row],[b]]))</f>
        <v/>
      </c>
      <c r="I665" s="2" t="str">
        <f>IF(Iterations[[#This Row],[Step]] =current_step, current_c,IF(Iterations[[#This Row],[Step]] &gt; current_step, "",Iterations[[#This Row],[c]]))</f>
        <v/>
      </c>
      <c r="J665" s="2" t="str">
        <f>IF(Iterations[[#This Row],[Step]] =current_step, current_d,IF(Iterations[[#This Row],[Step]] &gt; current_step, "",Iterations[[#This Row],[d]]))</f>
        <v/>
      </c>
      <c r="K665" s="2" t="str">
        <f>IF(Iterations[[#This Row],[Step]] =current_step, current_e,IF(Iterations[[#This Row],[Step]] &gt; current_step, "",Iterations[[#This Row],[e]]))</f>
        <v/>
      </c>
      <c r="L665" s="2" t="str">
        <f>IF(Iterations[[#This Row],[Step]] =current_step, current_Total_Loss,IF(Iterations[[#This Row],[Step]] &gt; current_step, "",Iterations[[#This Row],[Total Loss]]))</f>
        <v/>
      </c>
      <c r="M665" s="6" t="s">
        <v>27</v>
      </c>
      <c r="N665" s="2" t="str">
        <f>IF(Iterations[[#This Row],[Step]] =current_step, current_Grad_a,IF(Iterations[[#This Row],[Step]] &gt; current_step, "",Iterations[[#This Row],[Grad_a]]))</f>
        <v/>
      </c>
      <c r="O665" s="2" t="str">
        <f>IF(Iterations[[#This Row],[Step]] =current_step, current_Grad_b,IF(Iterations[[#This Row],[Step]] &gt; current_step, "",Iterations[[#This Row],[Grad_b]]))</f>
        <v/>
      </c>
      <c r="P665" s="2" t="str">
        <f>IF(Iterations[[#This Row],[Step]] =current_step, current_Grad_c,IF(Iterations[[#This Row],[Step]] &gt; current_step, "",Iterations[[#This Row],[Grad_c]]))</f>
        <v/>
      </c>
      <c r="Q665" s="2" t="str">
        <f>IF(Iterations[[#This Row],[Step]] =current_step, current_Grad_d,IF(Iterations[[#This Row],[Step]] &gt; current_step, "",Iterations[[#This Row],[Grad_d]]))</f>
        <v/>
      </c>
      <c r="R665" s="2" t="str">
        <f>IF(Iterations[[#This Row],[Step]] =current_step, current_Grad_e,IF(Iterations[[#This Row],[Step]] &gt; current_step, "",Iterations[[#This Row],[Grad_e]]))</f>
        <v/>
      </c>
    </row>
    <row r="666" spans="6:18" x14ac:dyDescent="0.3">
      <c r="F666" s="2">
        <f t="shared" si="12"/>
        <v>649</v>
      </c>
      <c r="G666" s="2" t="str">
        <f>IF(Iterations[[#This Row],[Step]] =current_step, current_a,IF(Iterations[[#This Row],[Step]] &gt; current_step, "",Iterations[[#This Row],[a]]))</f>
        <v/>
      </c>
      <c r="H666" s="2" t="str">
        <f>IF(Iterations[[#This Row],[Step]] =current_step, current_b,IF(Iterations[[#This Row],[Step]] &gt; current_step, "",Iterations[[#This Row],[b]]))</f>
        <v/>
      </c>
      <c r="I666" s="2" t="str">
        <f>IF(Iterations[[#This Row],[Step]] =current_step, current_c,IF(Iterations[[#This Row],[Step]] &gt; current_step, "",Iterations[[#This Row],[c]]))</f>
        <v/>
      </c>
      <c r="J666" s="2" t="str">
        <f>IF(Iterations[[#This Row],[Step]] =current_step, current_d,IF(Iterations[[#This Row],[Step]] &gt; current_step, "",Iterations[[#This Row],[d]]))</f>
        <v/>
      </c>
      <c r="K666" s="2" t="str">
        <f>IF(Iterations[[#This Row],[Step]] =current_step, current_e,IF(Iterations[[#This Row],[Step]] &gt; current_step, "",Iterations[[#This Row],[e]]))</f>
        <v/>
      </c>
      <c r="L666" s="2" t="str">
        <f>IF(Iterations[[#This Row],[Step]] =current_step, current_Total_Loss,IF(Iterations[[#This Row],[Step]] &gt; current_step, "",Iterations[[#This Row],[Total Loss]]))</f>
        <v/>
      </c>
      <c r="M666" s="6" t="s">
        <v>27</v>
      </c>
      <c r="N666" s="2" t="str">
        <f>IF(Iterations[[#This Row],[Step]] =current_step, current_Grad_a,IF(Iterations[[#This Row],[Step]] &gt; current_step, "",Iterations[[#This Row],[Grad_a]]))</f>
        <v/>
      </c>
      <c r="O666" s="2" t="str">
        <f>IF(Iterations[[#This Row],[Step]] =current_step, current_Grad_b,IF(Iterations[[#This Row],[Step]] &gt; current_step, "",Iterations[[#This Row],[Grad_b]]))</f>
        <v/>
      </c>
      <c r="P666" s="2" t="str">
        <f>IF(Iterations[[#This Row],[Step]] =current_step, current_Grad_c,IF(Iterations[[#This Row],[Step]] &gt; current_step, "",Iterations[[#This Row],[Grad_c]]))</f>
        <v/>
      </c>
      <c r="Q666" s="2" t="str">
        <f>IF(Iterations[[#This Row],[Step]] =current_step, current_Grad_d,IF(Iterations[[#This Row],[Step]] &gt; current_step, "",Iterations[[#This Row],[Grad_d]]))</f>
        <v/>
      </c>
      <c r="R666" s="2" t="str">
        <f>IF(Iterations[[#This Row],[Step]] =current_step, current_Grad_e,IF(Iterations[[#This Row],[Step]] &gt; current_step, "",Iterations[[#This Row],[Grad_e]]))</f>
        <v/>
      </c>
    </row>
    <row r="667" spans="6:18" x14ac:dyDescent="0.3">
      <c r="F667" s="2">
        <f t="shared" si="12"/>
        <v>650</v>
      </c>
      <c r="G667" s="2" t="str">
        <f>IF(Iterations[[#This Row],[Step]] =current_step, current_a,IF(Iterations[[#This Row],[Step]] &gt; current_step, "",Iterations[[#This Row],[a]]))</f>
        <v/>
      </c>
      <c r="H667" s="2" t="str">
        <f>IF(Iterations[[#This Row],[Step]] =current_step, current_b,IF(Iterations[[#This Row],[Step]] &gt; current_step, "",Iterations[[#This Row],[b]]))</f>
        <v/>
      </c>
      <c r="I667" s="2" t="str">
        <f>IF(Iterations[[#This Row],[Step]] =current_step, current_c,IF(Iterations[[#This Row],[Step]] &gt; current_step, "",Iterations[[#This Row],[c]]))</f>
        <v/>
      </c>
      <c r="J667" s="2" t="str">
        <f>IF(Iterations[[#This Row],[Step]] =current_step, current_d,IF(Iterations[[#This Row],[Step]] &gt; current_step, "",Iterations[[#This Row],[d]]))</f>
        <v/>
      </c>
      <c r="K667" s="2" t="str">
        <f>IF(Iterations[[#This Row],[Step]] =current_step, current_e,IF(Iterations[[#This Row],[Step]] &gt; current_step, "",Iterations[[#This Row],[e]]))</f>
        <v/>
      </c>
      <c r="L667" s="2" t="str">
        <f>IF(Iterations[[#This Row],[Step]] =current_step, current_Total_Loss,IF(Iterations[[#This Row],[Step]] &gt; current_step, "",Iterations[[#This Row],[Total Loss]]))</f>
        <v/>
      </c>
      <c r="M667" s="6" t="s">
        <v>27</v>
      </c>
      <c r="N667" s="2" t="str">
        <f>IF(Iterations[[#This Row],[Step]] =current_step, current_Grad_a,IF(Iterations[[#This Row],[Step]] &gt; current_step, "",Iterations[[#This Row],[Grad_a]]))</f>
        <v/>
      </c>
      <c r="O667" s="2" t="str">
        <f>IF(Iterations[[#This Row],[Step]] =current_step, current_Grad_b,IF(Iterations[[#This Row],[Step]] &gt; current_step, "",Iterations[[#This Row],[Grad_b]]))</f>
        <v/>
      </c>
      <c r="P667" s="2" t="str">
        <f>IF(Iterations[[#This Row],[Step]] =current_step, current_Grad_c,IF(Iterations[[#This Row],[Step]] &gt; current_step, "",Iterations[[#This Row],[Grad_c]]))</f>
        <v/>
      </c>
      <c r="Q667" s="2" t="str">
        <f>IF(Iterations[[#This Row],[Step]] =current_step, current_Grad_d,IF(Iterations[[#This Row],[Step]] &gt; current_step, "",Iterations[[#This Row],[Grad_d]]))</f>
        <v/>
      </c>
      <c r="R667" s="2" t="str">
        <f>IF(Iterations[[#This Row],[Step]] =current_step, current_Grad_e,IF(Iterations[[#This Row],[Step]] &gt; current_step, "",Iterations[[#This Row],[Grad_e]]))</f>
        <v/>
      </c>
    </row>
    <row r="668" spans="6:18" x14ac:dyDescent="0.3">
      <c r="F668" s="2">
        <f t="shared" si="12"/>
        <v>651</v>
      </c>
      <c r="G668" s="2" t="str">
        <f>IF(Iterations[[#This Row],[Step]] =current_step, current_a,IF(Iterations[[#This Row],[Step]] &gt; current_step, "",Iterations[[#This Row],[a]]))</f>
        <v/>
      </c>
      <c r="H668" s="2" t="str">
        <f>IF(Iterations[[#This Row],[Step]] =current_step, current_b,IF(Iterations[[#This Row],[Step]] &gt; current_step, "",Iterations[[#This Row],[b]]))</f>
        <v/>
      </c>
      <c r="I668" s="2" t="str">
        <f>IF(Iterations[[#This Row],[Step]] =current_step, current_c,IF(Iterations[[#This Row],[Step]] &gt; current_step, "",Iterations[[#This Row],[c]]))</f>
        <v/>
      </c>
      <c r="J668" s="2" t="str">
        <f>IF(Iterations[[#This Row],[Step]] =current_step, current_d,IF(Iterations[[#This Row],[Step]] &gt; current_step, "",Iterations[[#This Row],[d]]))</f>
        <v/>
      </c>
      <c r="K668" s="2" t="str">
        <f>IF(Iterations[[#This Row],[Step]] =current_step, current_e,IF(Iterations[[#This Row],[Step]] &gt; current_step, "",Iterations[[#This Row],[e]]))</f>
        <v/>
      </c>
      <c r="L668" s="2" t="str">
        <f>IF(Iterations[[#This Row],[Step]] =current_step, current_Total_Loss,IF(Iterations[[#This Row],[Step]] &gt; current_step, "",Iterations[[#This Row],[Total Loss]]))</f>
        <v/>
      </c>
      <c r="M668" s="6" t="s">
        <v>27</v>
      </c>
      <c r="N668" s="2" t="str">
        <f>IF(Iterations[[#This Row],[Step]] =current_step, current_Grad_a,IF(Iterations[[#This Row],[Step]] &gt; current_step, "",Iterations[[#This Row],[Grad_a]]))</f>
        <v/>
      </c>
      <c r="O668" s="2" t="str">
        <f>IF(Iterations[[#This Row],[Step]] =current_step, current_Grad_b,IF(Iterations[[#This Row],[Step]] &gt; current_step, "",Iterations[[#This Row],[Grad_b]]))</f>
        <v/>
      </c>
      <c r="P668" s="2" t="str">
        <f>IF(Iterations[[#This Row],[Step]] =current_step, current_Grad_c,IF(Iterations[[#This Row],[Step]] &gt; current_step, "",Iterations[[#This Row],[Grad_c]]))</f>
        <v/>
      </c>
      <c r="Q668" s="2" t="str">
        <f>IF(Iterations[[#This Row],[Step]] =current_step, current_Grad_d,IF(Iterations[[#This Row],[Step]] &gt; current_step, "",Iterations[[#This Row],[Grad_d]]))</f>
        <v/>
      </c>
      <c r="R668" s="2" t="str">
        <f>IF(Iterations[[#This Row],[Step]] =current_step, current_Grad_e,IF(Iterations[[#This Row],[Step]] &gt; current_step, "",Iterations[[#This Row],[Grad_e]]))</f>
        <v/>
      </c>
    </row>
    <row r="669" spans="6:18" x14ac:dyDescent="0.3">
      <c r="F669" s="2">
        <f t="shared" si="12"/>
        <v>652</v>
      </c>
      <c r="G669" s="2" t="str">
        <f>IF(Iterations[[#This Row],[Step]] =current_step, current_a,IF(Iterations[[#This Row],[Step]] &gt; current_step, "",Iterations[[#This Row],[a]]))</f>
        <v/>
      </c>
      <c r="H669" s="2" t="str">
        <f>IF(Iterations[[#This Row],[Step]] =current_step, current_b,IF(Iterations[[#This Row],[Step]] &gt; current_step, "",Iterations[[#This Row],[b]]))</f>
        <v/>
      </c>
      <c r="I669" s="2" t="str">
        <f>IF(Iterations[[#This Row],[Step]] =current_step, current_c,IF(Iterations[[#This Row],[Step]] &gt; current_step, "",Iterations[[#This Row],[c]]))</f>
        <v/>
      </c>
      <c r="J669" s="2" t="str">
        <f>IF(Iterations[[#This Row],[Step]] =current_step, current_d,IF(Iterations[[#This Row],[Step]] &gt; current_step, "",Iterations[[#This Row],[d]]))</f>
        <v/>
      </c>
      <c r="K669" s="2" t="str">
        <f>IF(Iterations[[#This Row],[Step]] =current_step, current_e,IF(Iterations[[#This Row],[Step]] &gt; current_step, "",Iterations[[#This Row],[e]]))</f>
        <v/>
      </c>
      <c r="L669" s="2" t="str">
        <f>IF(Iterations[[#This Row],[Step]] =current_step, current_Total_Loss,IF(Iterations[[#This Row],[Step]] &gt; current_step, "",Iterations[[#This Row],[Total Loss]]))</f>
        <v/>
      </c>
      <c r="M669" s="6" t="s">
        <v>27</v>
      </c>
      <c r="N669" s="2" t="str">
        <f>IF(Iterations[[#This Row],[Step]] =current_step, current_Grad_a,IF(Iterations[[#This Row],[Step]] &gt; current_step, "",Iterations[[#This Row],[Grad_a]]))</f>
        <v/>
      </c>
      <c r="O669" s="2" t="str">
        <f>IF(Iterations[[#This Row],[Step]] =current_step, current_Grad_b,IF(Iterations[[#This Row],[Step]] &gt; current_step, "",Iterations[[#This Row],[Grad_b]]))</f>
        <v/>
      </c>
      <c r="P669" s="2" t="str">
        <f>IF(Iterations[[#This Row],[Step]] =current_step, current_Grad_c,IF(Iterations[[#This Row],[Step]] &gt; current_step, "",Iterations[[#This Row],[Grad_c]]))</f>
        <v/>
      </c>
      <c r="Q669" s="2" t="str">
        <f>IF(Iterations[[#This Row],[Step]] =current_step, current_Grad_d,IF(Iterations[[#This Row],[Step]] &gt; current_step, "",Iterations[[#This Row],[Grad_d]]))</f>
        <v/>
      </c>
      <c r="R669" s="2" t="str">
        <f>IF(Iterations[[#This Row],[Step]] =current_step, current_Grad_e,IF(Iterations[[#This Row],[Step]] &gt; current_step, "",Iterations[[#This Row],[Grad_e]]))</f>
        <v/>
      </c>
    </row>
    <row r="670" spans="6:18" x14ac:dyDescent="0.3">
      <c r="F670" s="2">
        <f t="shared" si="12"/>
        <v>653</v>
      </c>
      <c r="G670" s="2" t="str">
        <f>IF(Iterations[[#This Row],[Step]] =current_step, current_a,IF(Iterations[[#This Row],[Step]] &gt; current_step, "",Iterations[[#This Row],[a]]))</f>
        <v/>
      </c>
      <c r="H670" s="2" t="str">
        <f>IF(Iterations[[#This Row],[Step]] =current_step, current_b,IF(Iterations[[#This Row],[Step]] &gt; current_step, "",Iterations[[#This Row],[b]]))</f>
        <v/>
      </c>
      <c r="I670" s="2" t="str">
        <f>IF(Iterations[[#This Row],[Step]] =current_step, current_c,IF(Iterations[[#This Row],[Step]] &gt; current_step, "",Iterations[[#This Row],[c]]))</f>
        <v/>
      </c>
      <c r="J670" s="2" t="str">
        <f>IF(Iterations[[#This Row],[Step]] =current_step, current_d,IF(Iterations[[#This Row],[Step]] &gt; current_step, "",Iterations[[#This Row],[d]]))</f>
        <v/>
      </c>
      <c r="K670" s="2" t="str">
        <f>IF(Iterations[[#This Row],[Step]] =current_step, current_e,IF(Iterations[[#This Row],[Step]] &gt; current_step, "",Iterations[[#This Row],[e]]))</f>
        <v/>
      </c>
      <c r="L670" s="2" t="str">
        <f>IF(Iterations[[#This Row],[Step]] =current_step, current_Total_Loss,IF(Iterations[[#This Row],[Step]] &gt; current_step, "",Iterations[[#This Row],[Total Loss]]))</f>
        <v/>
      </c>
      <c r="M670" s="6" t="s">
        <v>27</v>
      </c>
      <c r="N670" s="2" t="str">
        <f>IF(Iterations[[#This Row],[Step]] =current_step, current_Grad_a,IF(Iterations[[#This Row],[Step]] &gt; current_step, "",Iterations[[#This Row],[Grad_a]]))</f>
        <v/>
      </c>
      <c r="O670" s="2" t="str">
        <f>IF(Iterations[[#This Row],[Step]] =current_step, current_Grad_b,IF(Iterations[[#This Row],[Step]] &gt; current_step, "",Iterations[[#This Row],[Grad_b]]))</f>
        <v/>
      </c>
      <c r="P670" s="2" t="str">
        <f>IF(Iterations[[#This Row],[Step]] =current_step, current_Grad_c,IF(Iterations[[#This Row],[Step]] &gt; current_step, "",Iterations[[#This Row],[Grad_c]]))</f>
        <v/>
      </c>
      <c r="Q670" s="2" t="str">
        <f>IF(Iterations[[#This Row],[Step]] =current_step, current_Grad_d,IF(Iterations[[#This Row],[Step]] &gt; current_step, "",Iterations[[#This Row],[Grad_d]]))</f>
        <v/>
      </c>
      <c r="R670" s="2" t="str">
        <f>IF(Iterations[[#This Row],[Step]] =current_step, current_Grad_e,IF(Iterations[[#This Row],[Step]] &gt; current_step, "",Iterations[[#This Row],[Grad_e]]))</f>
        <v/>
      </c>
    </row>
    <row r="671" spans="6:18" x14ac:dyDescent="0.3">
      <c r="F671" s="2">
        <f t="shared" si="12"/>
        <v>654</v>
      </c>
      <c r="G671" s="2" t="str">
        <f>IF(Iterations[[#This Row],[Step]] =current_step, current_a,IF(Iterations[[#This Row],[Step]] &gt; current_step, "",Iterations[[#This Row],[a]]))</f>
        <v/>
      </c>
      <c r="H671" s="2" t="str">
        <f>IF(Iterations[[#This Row],[Step]] =current_step, current_b,IF(Iterations[[#This Row],[Step]] &gt; current_step, "",Iterations[[#This Row],[b]]))</f>
        <v/>
      </c>
      <c r="I671" s="2" t="str">
        <f>IF(Iterations[[#This Row],[Step]] =current_step, current_c,IF(Iterations[[#This Row],[Step]] &gt; current_step, "",Iterations[[#This Row],[c]]))</f>
        <v/>
      </c>
      <c r="J671" s="2" t="str">
        <f>IF(Iterations[[#This Row],[Step]] =current_step, current_d,IF(Iterations[[#This Row],[Step]] &gt; current_step, "",Iterations[[#This Row],[d]]))</f>
        <v/>
      </c>
      <c r="K671" s="2" t="str">
        <f>IF(Iterations[[#This Row],[Step]] =current_step, current_e,IF(Iterations[[#This Row],[Step]] &gt; current_step, "",Iterations[[#This Row],[e]]))</f>
        <v/>
      </c>
      <c r="L671" s="2" t="str">
        <f>IF(Iterations[[#This Row],[Step]] =current_step, current_Total_Loss,IF(Iterations[[#This Row],[Step]] &gt; current_step, "",Iterations[[#This Row],[Total Loss]]))</f>
        <v/>
      </c>
      <c r="M671" s="6" t="s">
        <v>27</v>
      </c>
      <c r="N671" s="2" t="str">
        <f>IF(Iterations[[#This Row],[Step]] =current_step, current_Grad_a,IF(Iterations[[#This Row],[Step]] &gt; current_step, "",Iterations[[#This Row],[Grad_a]]))</f>
        <v/>
      </c>
      <c r="O671" s="2" t="str">
        <f>IF(Iterations[[#This Row],[Step]] =current_step, current_Grad_b,IF(Iterations[[#This Row],[Step]] &gt; current_step, "",Iterations[[#This Row],[Grad_b]]))</f>
        <v/>
      </c>
      <c r="P671" s="2" t="str">
        <f>IF(Iterations[[#This Row],[Step]] =current_step, current_Grad_c,IF(Iterations[[#This Row],[Step]] &gt; current_step, "",Iterations[[#This Row],[Grad_c]]))</f>
        <v/>
      </c>
      <c r="Q671" s="2" t="str">
        <f>IF(Iterations[[#This Row],[Step]] =current_step, current_Grad_d,IF(Iterations[[#This Row],[Step]] &gt; current_step, "",Iterations[[#This Row],[Grad_d]]))</f>
        <v/>
      </c>
      <c r="R671" s="2" t="str">
        <f>IF(Iterations[[#This Row],[Step]] =current_step, current_Grad_e,IF(Iterations[[#This Row],[Step]] &gt; current_step, "",Iterations[[#This Row],[Grad_e]]))</f>
        <v/>
      </c>
    </row>
    <row r="672" spans="6:18" x14ac:dyDescent="0.3">
      <c r="F672" s="2">
        <f t="shared" si="12"/>
        <v>655</v>
      </c>
      <c r="G672" s="2" t="str">
        <f>IF(Iterations[[#This Row],[Step]] =current_step, current_a,IF(Iterations[[#This Row],[Step]] &gt; current_step, "",Iterations[[#This Row],[a]]))</f>
        <v/>
      </c>
      <c r="H672" s="2" t="str">
        <f>IF(Iterations[[#This Row],[Step]] =current_step, current_b,IF(Iterations[[#This Row],[Step]] &gt; current_step, "",Iterations[[#This Row],[b]]))</f>
        <v/>
      </c>
      <c r="I672" s="2" t="str">
        <f>IF(Iterations[[#This Row],[Step]] =current_step, current_c,IF(Iterations[[#This Row],[Step]] &gt; current_step, "",Iterations[[#This Row],[c]]))</f>
        <v/>
      </c>
      <c r="J672" s="2" t="str">
        <f>IF(Iterations[[#This Row],[Step]] =current_step, current_d,IF(Iterations[[#This Row],[Step]] &gt; current_step, "",Iterations[[#This Row],[d]]))</f>
        <v/>
      </c>
      <c r="K672" s="2" t="str">
        <f>IF(Iterations[[#This Row],[Step]] =current_step, current_e,IF(Iterations[[#This Row],[Step]] &gt; current_step, "",Iterations[[#This Row],[e]]))</f>
        <v/>
      </c>
      <c r="L672" s="2" t="str">
        <f>IF(Iterations[[#This Row],[Step]] =current_step, current_Total_Loss,IF(Iterations[[#This Row],[Step]] &gt; current_step, "",Iterations[[#This Row],[Total Loss]]))</f>
        <v/>
      </c>
      <c r="M672" s="6" t="s">
        <v>27</v>
      </c>
      <c r="N672" s="2" t="str">
        <f>IF(Iterations[[#This Row],[Step]] =current_step, current_Grad_a,IF(Iterations[[#This Row],[Step]] &gt; current_step, "",Iterations[[#This Row],[Grad_a]]))</f>
        <v/>
      </c>
      <c r="O672" s="2" t="str">
        <f>IF(Iterations[[#This Row],[Step]] =current_step, current_Grad_b,IF(Iterations[[#This Row],[Step]] &gt; current_step, "",Iterations[[#This Row],[Grad_b]]))</f>
        <v/>
      </c>
      <c r="P672" s="2" t="str">
        <f>IF(Iterations[[#This Row],[Step]] =current_step, current_Grad_c,IF(Iterations[[#This Row],[Step]] &gt; current_step, "",Iterations[[#This Row],[Grad_c]]))</f>
        <v/>
      </c>
      <c r="Q672" s="2" t="str">
        <f>IF(Iterations[[#This Row],[Step]] =current_step, current_Grad_d,IF(Iterations[[#This Row],[Step]] &gt; current_step, "",Iterations[[#This Row],[Grad_d]]))</f>
        <v/>
      </c>
      <c r="R672" s="2" t="str">
        <f>IF(Iterations[[#This Row],[Step]] =current_step, current_Grad_e,IF(Iterations[[#This Row],[Step]] &gt; current_step, "",Iterations[[#This Row],[Grad_e]]))</f>
        <v/>
      </c>
    </row>
    <row r="673" spans="6:18" x14ac:dyDescent="0.3">
      <c r="F673" s="2">
        <f t="shared" si="12"/>
        <v>656</v>
      </c>
      <c r="G673" s="2" t="str">
        <f>IF(Iterations[[#This Row],[Step]] =current_step, current_a,IF(Iterations[[#This Row],[Step]] &gt; current_step, "",Iterations[[#This Row],[a]]))</f>
        <v/>
      </c>
      <c r="H673" s="2" t="str">
        <f>IF(Iterations[[#This Row],[Step]] =current_step, current_b,IF(Iterations[[#This Row],[Step]] &gt; current_step, "",Iterations[[#This Row],[b]]))</f>
        <v/>
      </c>
      <c r="I673" s="2" t="str">
        <f>IF(Iterations[[#This Row],[Step]] =current_step, current_c,IF(Iterations[[#This Row],[Step]] &gt; current_step, "",Iterations[[#This Row],[c]]))</f>
        <v/>
      </c>
      <c r="J673" s="2" t="str">
        <f>IF(Iterations[[#This Row],[Step]] =current_step, current_d,IF(Iterations[[#This Row],[Step]] &gt; current_step, "",Iterations[[#This Row],[d]]))</f>
        <v/>
      </c>
      <c r="K673" s="2" t="str">
        <f>IF(Iterations[[#This Row],[Step]] =current_step, current_e,IF(Iterations[[#This Row],[Step]] &gt; current_step, "",Iterations[[#This Row],[e]]))</f>
        <v/>
      </c>
      <c r="L673" s="2" t="str">
        <f>IF(Iterations[[#This Row],[Step]] =current_step, current_Total_Loss,IF(Iterations[[#This Row],[Step]] &gt; current_step, "",Iterations[[#This Row],[Total Loss]]))</f>
        <v/>
      </c>
      <c r="M673" s="6" t="s">
        <v>27</v>
      </c>
      <c r="N673" s="2" t="str">
        <f>IF(Iterations[[#This Row],[Step]] =current_step, current_Grad_a,IF(Iterations[[#This Row],[Step]] &gt; current_step, "",Iterations[[#This Row],[Grad_a]]))</f>
        <v/>
      </c>
      <c r="O673" s="2" t="str">
        <f>IF(Iterations[[#This Row],[Step]] =current_step, current_Grad_b,IF(Iterations[[#This Row],[Step]] &gt; current_step, "",Iterations[[#This Row],[Grad_b]]))</f>
        <v/>
      </c>
      <c r="P673" s="2" t="str">
        <f>IF(Iterations[[#This Row],[Step]] =current_step, current_Grad_c,IF(Iterations[[#This Row],[Step]] &gt; current_step, "",Iterations[[#This Row],[Grad_c]]))</f>
        <v/>
      </c>
      <c r="Q673" s="2" t="str">
        <f>IF(Iterations[[#This Row],[Step]] =current_step, current_Grad_d,IF(Iterations[[#This Row],[Step]] &gt; current_step, "",Iterations[[#This Row],[Grad_d]]))</f>
        <v/>
      </c>
      <c r="R673" s="2" t="str">
        <f>IF(Iterations[[#This Row],[Step]] =current_step, current_Grad_e,IF(Iterations[[#This Row],[Step]] &gt; current_step, "",Iterations[[#This Row],[Grad_e]]))</f>
        <v/>
      </c>
    </row>
    <row r="674" spans="6:18" x14ac:dyDescent="0.3">
      <c r="F674" s="2">
        <f t="shared" si="12"/>
        <v>657</v>
      </c>
      <c r="G674" s="2" t="str">
        <f>IF(Iterations[[#This Row],[Step]] =current_step, current_a,IF(Iterations[[#This Row],[Step]] &gt; current_step, "",Iterations[[#This Row],[a]]))</f>
        <v/>
      </c>
      <c r="H674" s="2" t="str">
        <f>IF(Iterations[[#This Row],[Step]] =current_step, current_b,IF(Iterations[[#This Row],[Step]] &gt; current_step, "",Iterations[[#This Row],[b]]))</f>
        <v/>
      </c>
      <c r="I674" s="2" t="str">
        <f>IF(Iterations[[#This Row],[Step]] =current_step, current_c,IF(Iterations[[#This Row],[Step]] &gt; current_step, "",Iterations[[#This Row],[c]]))</f>
        <v/>
      </c>
      <c r="J674" s="2" t="str">
        <f>IF(Iterations[[#This Row],[Step]] =current_step, current_d,IF(Iterations[[#This Row],[Step]] &gt; current_step, "",Iterations[[#This Row],[d]]))</f>
        <v/>
      </c>
      <c r="K674" s="2" t="str">
        <f>IF(Iterations[[#This Row],[Step]] =current_step, current_e,IF(Iterations[[#This Row],[Step]] &gt; current_step, "",Iterations[[#This Row],[e]]))</f>
        <v/>
      </c>
      <c r="L674" s="2" t="str">
        <f>IF(Iterations[[#This Row],[Step]] =current_step, current_Total_Loss,IF(Iterations[[#This Row],[Step]] &gt; current_step, "",Iterations[[#This Row],[Total Loss]]))</f>
        <v/>
      </c>
      <c r="M674" s="6" t="s">
        <v>27</v>
      </c>
      <c r="N674" s="2" t="str">
        <f>IF(Iterations[[#This Row],[Step]] =current_step, current_Grad_a,IF(Iterations[[#This Row],[Step]] &gt; current_step, "",Iterations[[#This Row],[Grad_a]]))</f>
        <v/>
      </c>
      <c r="O674" s="2" t="str">
        <f>IF(Iterations[[#This Row],[Step]] =current_step, current_Grad_b,IF(Iterations[[#This Row],[Step]] &gt; current_step, "",Iterations[[#This Row],[Grad_b]]))</f>
        <v/>
      </c>
      <c r="P674" s="2" t="str">
        <f>IF(Iterations[[#This Row],[Step]] =current_step, current_Grad_c,IF(Iterations[[#This Row],[Step]] &gt; current_step, "",Iterations[[#This Row],[Grad_c]]))</f>
        <v/>
      </c>
      <c r="Q674" s="2" t="str">
        <f>IF(Iterations[[#This Row],[Step]] =current_step, current_Grad_d,IF(Iterations[[#This Row],[Step]] &gt; current_step, "",Iterations[[#This Row],[Grad_d]]))</f>
        <v/>
      </c>
      <c r="R674" s="2" t="str">
        <f>IF(Iterations[[#This Row],[Step]] =current_step, current_Grad_e,IF(Iterations[[#This Row],[Step]] &gt; current_step, "",Iterations[[#This Row],[Grad_e]]))</f>
        <v/>
      </c>
    </row>
    <row r="675" spans="6:18" x14ac:dyDescent="0.3">
      <c r="F675" s="2">
        <f t="shared" si="12"/>
        <v>658</v>
      </c>
      <c r="G675" s="2" t="str">
        <f>IF(Iterations[[#This Row],[Step]] =current_step, current_a,IF(Iterations[[#This Row],[Step]] &gt; current_step, "",Iterations[[#This Row],[a]]))</f>
        <v/>
      </c>
      <c r="H675" s="2" t="str">
        <f>IF(Iterations[[#This Row],[Step]] =current_step, current_b,IF(Iterations[[#This Row],[Step]] &gt; current_step, "",Iterations[[#This Row],[b]]))</f>
        <v/>
      </c>
      <c r="I675" s="2" t="str">
        <f>IF(Iterations[[#This Row],[Step]] =current_step, current_c,IF(Iterations[[#This Row],[Step]] &gt; current_step, "",Iterations[[#This Row],[c]]))</f>
        <v/>
      </c>
      <c r="J675" s="2" t="str">
        <f>IF(Iterations[[#This Row],[Step]] =current_step, current_d,IF(Iterations[[#This Row],[Step]] &gt; current_step, "",Iterations[[#This Row],[d]]))</f>
        <v/>
      </c>
      <c r="K675" s="2" t="str">
        <f>IF(Iterations[[#This Row],[Step]] =current_step, current_e,IF(Iterations[[#This Row],[Step]] &gt; current_step, "",Iterations[[#This Row],[e]]))</f>
        <v/>
      </c>
      <c r="L675" s="2" t="str">
        <f>IF(Iterations[[#This Row],[Step]] =current_step, current_Total_Loss,IF(Iterations[[#This Row],[Step]] &gt; current_step, "",Iterations[[#This Row],[Total Loss]]))</f>
        <v/>
      </c>
      <c r="M675" s="6" t="s">
        <v>27</v>
      </c>
      <c r="N675" s="2" t="str">
        <f>IF(Iterations[[#This Row],[Step]] =current_step, current_Grad_a,IF(Iterations[[#This Row],[Step]] &gt; current_step, "",Iterations[[#This Row],[Grad_a]]))</f>
        <v/>
      </c>
      <c r="O675" s="2" t="str">
        <f>IF(Iterations[[#This Row],[Step]] =current_step, current_Grad_b,IF(Iterations[[#This Row],[Step]] &gt; current_step, "",Iterations[[#This Row],[Grad_b]]))</f>
        <v/>
      </c>
      <c r="P675" s="2" t="str">
        <f>IF(Iterations[[#This Row],[Step]] =current_step, current_Grad_c,IF(Iterations[[#This Row],[Step]] &gt; current_step, "",Iterations[[#This Row],[Grad_c]]))</f>
        <v/>
      </c>
      <c r="Q675" s="2" t="str">
        <f>IF(Iterations[[#This Row],[Step]] =current_step, current_Grad_d,IF(Iterations[[#This Row],[Step]] &gt; current_step, "",Iterations[[#This Row],[Grad_d]]))</f>
        <v/>
      </c>
      <c r="R675" s="2" t="str">
        <f>IF(Iterations[[#This Row],[Step]] =current_step, current_Grad_e,IF(Iterations[[#This Row],[Step]] &gt; current_step, "",Iterations[[#This Row],[Grad_e]]))</f>
        <v/>
      </c>
    </row>
    <row r="676" spans="6:18" x14ac:dyDescent="0.3">
      <c r="F676" s="2">
        <f t="shared" si="12"/>
        <v>659</v>
      </c>
      <c r="G676" s="2" t="str">
        <f>IF(Iterations[[#This Row],[Step]] =current_step, current_a,IF(Iterations[[#This Row],[Step]] &gt; current_step, "",Iterations[[#This Row],[a]]))</f>
        <v/>
      </c>
      <c r="H676" s="2" t="str">
        <f>IF(Iterations[[#This Row],[Step]] =current_step, current_b,IF(Iterations[[#This Row],[Step]] &gt; current_step, "",Iterations[[#This Row],[b]]))</f>
        <v/>
      </c>
      <c r="I676" s="2" t="str">
        <f>IF(Iterations[[#This Row],[Step]] =current_step, current_c,IF(Iterations[[#This Row],[Step]] &gt; current_step, "",Iterations[[#This Row],[c]]))</f>
        <v/>
      </c>
      <c r="J676" s="2" t="str">
        <f>IF(Iterations[[#This Row],[Step]] =current_step, current_d,IF(Iterations[[#This Row],[Step]] &gt; current_step, "",Iterations[[#This Row],[d]]))</f>
        <v/>
      </c>
      <c r="K676" s="2" t="str">
        <f>IF(Iterations[[#This Row],[Step]] =current_step, current_e,IF(Iterations[[#This Row],[Step]] &gt; current_step, "",Iterations[[#This Row],[e]]))</f>
        <v/>
      </c>
      <c r="L676" s="2" t="str">
        <f>IF(Iterations[[#This Row],[Step]] =current_step, current_Total_Loss,IF(Iterations[[#This Row],[Step]] &gt; current_step, "",Iterations[[#This Row],[Total Loss]]))</f>
        <v/>
      </c>
      <c r="M676" s="6" t="s">
        <v>27</v>
      </c>
      <c r="N676" s="2" t="str">
        <f>IF(Iterations[[#This Row],[Step]] =current_step, current_Grad_a,IF(Iterations[[#This Row],[Step]] &gt; current_step, "",Iterations[[#This Row],[Grad_a]]))</f>
        <v/>
      </c>
      <c r="O676" s="2" t="str">
        <f>IF(Iterations[[#This Row],[Step]] =current_step, current_Grad_b,IF(Iterations[[#This Row],[Step]] &gt; current_step, "",Iterations[[#This Row],[Grad_b]]))</f>
        <v/>
      </c>
      <c r="P676" s="2" t="str">
        <f>IF(Iterations[[#This Row],[Step]] =current_step, current_Grad_c,IF(Iterations[[#This Row],[Step]] &gt; current_step, "",Iterations[[#This Row],[Grad_c]]))</f>
        <v/>
      </c>
      <c r="Q676" s="2" t="str">
        <f>IF(Iterations[[#This Row],[Step]] =current_step, current_Grad_d,IF(Iterations[[#This Row],[Step]] &gt; current_step, "",Iterations[[#This Row],[Grad_d]]))</f>
        <v/>
      </c>
      <c r="R676" s="2" t="str">
        <f>IF(Iterations[[#This Row],[Step]] =current_step, current_Grad_e,IF(Iterations[[#This Row],[Step]] &gt; current_step, "",Iterations[[#This Row],[Grad_e]]))</f>
        <v/>
      </c>
    </row>
    <row r="677" spans="6:18" x14ac:dyDescent="0.3">
      <c r="F677" s="2">
        <f t="shared" si="12"/>
        <v>660</v>
      </c>
      <c r="G677" s="2" t="str">
        <f>IF(Iterations[[#This Row],[Step]] =current_step, current_a,IF(Iterations[[#This Row],[Step]] &gt; current_step, "",Iterations[[#This Row],[a]]))</f>
        <v/>
      </c>
      <c r="H677" s="2" t="str">
        <f>IF(Iterations[[#This Row],[Step]] =current_step, current_b,IF(Iterations[[#This Row],[Step]] &gt; current_step, "",Iterations[[#This Row],[b]]))</f>
        <v/>
      </c>
      <c r="I677" s="2" t="str">
        <f>IF(Iterations[[#This Row],[Step]] =current_step, current_c,IF(Iterations[[#This Row],[Step]] &gt; current_step, "",Iterations[[#This Row],[c]]))</f>
        <v/>
      </c>
      <c r="J677" s="2" t="str">
        <f>IF(Iterations[[#This Row],[Step]] =current_step, current_d,IF(Iterations[[#This Row],[Step]] &gt; current_step, "",Iterations[[#This Row],[d]]))</f>
        <v/>
      </c>
      <c r="K677" s="2" t="str">
        <f>IF(Iterations[[#This Row],[Step]] =current_step, current_e,IF(Iterations[[#This Row],[Step]] &gt; current_step, "",Iterations[[#This Row],[e]]))</f>
        <v/>
      </c>
      <c r="L677" s="2" t="str">
        <f>IF(Iterations[[#This Row],[Step]] =current_step, current_Total_Loss,IF(Iterations[[#This Row],[Step]] &gt; current_step, "",Iterations[[#This Row],[Total Loss]]))</f>
        <v/>
      </c>
      <c r="M677" s="6" t="s">
        <v>27</v>
      </c>
      <c r="N677" s="2" t="str">
        <f>IF(Iterations[[#This Row],[Step]] =current_step, current_Grad_a,IF(Iterations[[#This Row],[Step]] &gt; current_step, "",Iterations[[#This Row],[Grad_a]]))</f>
        <v/>
      </c>
      <c r="O677" s="2" t="str">
        <f>IF(Iterations[[#This Row],[Step]] =current_step, current_Grad_b,IF(Iterations[[#This Row],[Step]] &gt; current_step, "",Iterations[[#This Row],[Grad_b]]))</f>
        <v/>
      </c>
      <c r="P677" s="2" t="str">
        <f>IF(Iterations[[#This Row],[Step]] =current_step, current_Grad_c,IF(Iterations[[#This Row],[Step]] &gt; current_step, "",Iterations[[#This Row],[Grad_c]]))</f>
        <v/>
      </c>
      <c r="Q677" s="2" t="str">
        <f>IF(Iterations[[#This Row],[Step]] =current_step, current_Grad_d,IF(Iterations[[#This Row],[Step]] &gt; current_step, "",Iterations[[#This Row],[Grad_d]]))</f>
        <v/>
      </c>
      <c r="R677" s="2" t="str">
        <f>IF(Iterations[[#This Row],[Step]] =current_step, current_Grad_e,IF(Iterations[[#This Row],[Step]] &gt; current_step, "",Iterations[[#This Row],[Grad_e]]))</f>
        <v/>
      </c>
    </row>
    <row r="678" spans="6:18" x14ac:dyDescent="0.3">
      <c r="F678" s="2">
        <f t="shared" si="12"/>
        <v>661</v>
      </c>
      <c r="G678" s="2" t="str">
        <f>IF(Iterations[[#This Row],[Step]] =current_step, current_a,IF(Iterations[[#This Row],[Step]] &gt; current_step, "",Iterations[[#This Row],[a]]))</f>
        <v/>
      </c>
      <c r="H678" s="2" t="str">
        <f>IF(Iterations[[#This Row],[Step]] =current_step, current_b,IF(Iterations[[#This Row],[Step]] &gt; current_step, "",Iterations[[#This Row],[b]]))</f>
        <v/>
      </c>
      <c r="I678" s="2" t="str">
        <f>IF(Iterations[[#This Row],[Step]] =current_step, current_c,IF(Iterations[[#This Row],[Step]] &gt; current_step, "",Iterations[[#This Row],[c]]))</f>
        <v/>
      </c>
      <c r="J678" s="2" t="str">
        <f>IF(Iterations[[#This Row],[Step]] =current_step, current_d,IF(Iterations[[#This Row],[Step]] &gt; current_step, "",Iterations[[#This Row],[d]]))</f>
        <v/>
      </c>
      <c r="K678" s="2" t="str">
        <f>IF(Iterations[[#This Row],[Step]] =current_step, current_e,IF(Iterations[[#This Row],[Step]] &gt; current_step, "",Iterations[[#This Row],[e]]))</f>
        <v/>
      </c>
      <c r="L678" s="2" t="str">
        <f>IF(Iterations[[#This Row],[Step]] =current_step, current_Total_Loss,IF(Iterations[[#This Row],[Step]] &gt; current_step, "",Iterations[[#This Row],[Total Loss]]))</f>
        <v/>
      </c>
      <c r="M678" s="6" t="s">
        <v>27</v>
      </c>
      <c r="N678" s="2" t="str">
        <f>IF(Iterations[[#This Row],[Step]] =current_step, current_Grad_a,IF(Iterations[[#This Row],[Step]] &gt; current_step, "",Iterations[[#This Row],[Grad_a]]))</f>
        <v/>
      </c>
      <c r="O678" s="2" t="str">
        <f>IF(Iterations[[#This Row],[Step]] =current_step, current_Grad_b,IF(Iterations[[#This Row],[Step]] &gt; current_step, "",Iterations[[#This Row],[Grad_b]]))</f>
        <v/>
      </c>
      <c r="P678" s="2" t="str">
        <f>IF(Iterations[[#This Row],[Step]] =current_step, current_Grad_c,IF(Iterations[[#This Row],[Step]] &gt; current_step, "",Iterations[[#This Row],[Grad_c]]))</f>
        <v/>
      </c>
      <c r="Q678" s="2" t="str">
        <f>IF(Iterations[[#This Row],[Step]] =current_step, current_Grad_d,IF(Iterations[[#This Row],[Step]] &gt; current_step, "",Iterations[[#This Row],[Grad_d]]))</f>
        <v/>
      </c>
      <c r="R678" s="2" t="str">
        <f>IF(Iterations[[#This Row],[Step]] =current_step, current_Grad_e,IF(Iterations[[#This Row],[Step]] &gt; current_step, "",Iterations[[#This Row],[Grad_e]]))</f>
        <v/>
      </c>
    </row>
    <row r="679" spans="6:18" x14ac:dyDescent="0.3">
      <c r="F679" s="2">
        <f t="shared" si="12"/>
        <v>662</v>
      </c>
      <c r="G679" s="2" t="str">
        <f>IF(Iterations[[#This Row],[Step]] =current_step, current_a,IF(Iterations[[#This Row],[Step]] &gt; current_step, "",Iterations[[#This Row],[a]]))</f>
        <v/>
      </c>
      <c r="H679" s="2" t="str">
        <f>IF(Iterations[[#This Row],[Step]] =current_step, current_b,IF(Iterations[[#This Row],[Step]] &gt; current_step, "",Iterations[[#This Row],[b]]))</f>
        <v/>
      </c>
      <c r="I679" s="2" t="str">
        <f>IF(Iterations[[#This Row],[Step]] =current_step, current_c,IF(Iterations[[#This Row],[Step]] &gt; current_step, "",Iterations[[#This Row],[c]]))</f>
        <v/>
      </c>
      <c r="J679" s="2" t="str">
        <f>IF(Iterations[[#This Row],[Step]] =current_step, current_d,IF(Iterations[[#This Row],[Step]] &gt; current_step, "",Iterations[[#This Row],[d]]))</f>
        <v/>
      </c>
      <c r="K679" s="2" t="str">
        <f>IF(Iterations[[#This Row],[Step]] =current_step, current_e,IF(Iterations[[#This Row],[Step]] &gt; current_step, "",Iterations[[#This Row],[e]]))</f>
        <v/>
      </c>
      <c r="L679" s="2" t="str">
        <f>IF(Iterations[[#This Row],[Step]] =current_step, current_Total_Loss,IF(Iterations[[#This Row],[Step]] &gt; current_step, "",Iterations[[#This Row],[Total Loss]]))</f>
        <v/>
      </c>
      <c r="M679" s="6" t="s">
        <v>27</v>
      </c>
      <c r="N679" s="2" t="str">
        <f>IF(Iterations[[#This Row],[Step]] =current_step, current_Grad_a,IF(Iterations[[#This Row],[Step]] &gt; current_step, "",Iterations[[#This Row],[Grad_a]]))</f>
        <v/>
      </c>
      <c r="O679" s="2" t="str">
        <f>IF(Iterations[[#This Row],[Step]] =current_step, current_Grad_b,IF(Iterations[[#This Row],[Step]] &gt; current_step, "",Iterations[[#This Row],[Grad_b]]))</f>
        <v/>
      </c>
      <c r="P679" s="2" t="str">
        <f>IF(Iterations[[#This Row],[Step]] =current_step, current_Grad_c,IF(Iterations[[#This Row],[Step]] &gt; current_step, "",Iterations[[#This Row],[Grad_c]]))</f>
        <v/>
      </c>
      <c r="Q679" s="2" t="str">
        <f>IF(Iterations[[#This Row],[Step]] =current_step, current_Grad_d,IF(Iterations[[#This Row],[Step]] &gt; current_step, "",Iterations[[#This Row],[Grad_d]]))</f>
        <v/>
      </c>
      <c r="R679" s="2" t="str">
        <f>IF(Iterations[[#This Row],[Step]] =current_step, current_Grad_e,IF(Iterations[[#This Row],[Step]] &gt; current_step, "",Iterations[[#This Row],[Grad_e]]))</f>
        <v/>
      </c>
    </row>
    <row r="680" spans="6:18" x14ac:dyDescent="0.3">
      <c r="F680" s="2">
        <f t="shared" si="12"/>
        <v>663</v>
      </c>
      <c r="G680" s="2" t="str">
        <f>IF(Iterations[[#This Row],[Step]] =current_step, current_a,IF(Iterations[[#This Row],[Step]] &gt; current_step, "",Iterations[[#This Row],[a]]))</f>
        <v/>
      </c>
      <c r="H680" s="2" t="str">
        <f>IF(Iterations[[#This Row],[Step]] =current_step, current_b,IF(Iterations[[#This Row],[Step]] &gt; current_step, "",Iterations[[#This Row],[b]]))</f>
        <v/>
      </c>
      <c r="I680" s="2" t="str">
        <f>IF(Iterations[[#This Row],[Step]] =current_step, current_c,IF(Iterations[[#This Row],[Step]] &gt; current_step, "",Iterations[[#This Row],[c]]))</f>
        <v/>
      </c>
      <c r="J680" s="2" t="str">
        <f>IF(Iterations[[#This Row],[Step]] =current_step, current_d,IF(Iterations[[#This Row],[Step]] &gt; current_step, "",Iterations[[#This Row],[d]]))</f>
        <v/>
      </c>
      <c r="K680" s="2" t="str">
        <f>IF(Iterations[[#This Row],[Step]] =current_step, current_e,IF(Iterations[[#This Row],[Step]] &gt; current_step, "",Iterations[[#This Row],[e]]))</f>
        <v/>
      </c>
      <c r="L680" s="2" t="str">
        <f>IF(Iterations[[#This Row],[Step]] =current_step, current_Total_Loss,IF(Iterations[[#This Row],[Step]] &gt; current_step, "",Iterations[[#This Row],[Total Loss]]))</f>
        <v/>
      </c>
      <c r="M680" s="6" t="s">
        <v>27</v>
      </c>
      <c r="N680" s="2" t="str">
        <f>IF(Iterations[[#This Row],[Step]] =current_step, current_Grad_a,IF(Iterations[[#This Row],[Step]] &gt; current_step, "",Iterations[[#This Row],[Grad_a]]))</f>
        <v/>
      </c>
      <c r="O680" s="2" t="str">
        <f>IF(Iterations[[#This Row],[Step]] =current_step, current_Grad_b,IF(Iterations[[#This Row],[Step]] &gt; current_step, "",Iterations[[#This Row],[Grad_b]]))</f>
        <v/>
      </c>
      <c r="P680" s="2" t="str">
        <f>IF(Iterations[[#This Row],[Step]] =current_step, current_Grad_c,IF(Iterations[[#This Row],[Step]] &gt; current_step, "",Iterations[[#This Row],[Grad_c]]))</f>
        <v/>
      </c>
      <c r="Q680" s="2" t="str">
        <f>IF(Iterations[[#This Row],[Step]] =current_step, current_Grad_d,IF(Iterations[[#This Row],[Step]] &gt; current_step, "",Iterations[[#This Row],[Grad_d]]))</f>
        <v/>
      </c>
      <c r="R680" s="2" t="str">
        <f>IF(Iterations[[#This Row],[Step]] =current_step, current_Grad_e,IF(Iterations[[#This Row],[Step]] &gt; current_step, "",Iterations[[#This Row],[Grad_e]]))</f>
        <v/>
      </c>
    </row>
    <row r="681" spans="6:18" x14ac:dyDescent="0.3">
      <c r="F681" s="2">
        <f t="shared" si="12"/>
        <v>664</v>
      </c>
      <c r="G681" s="2" t="str">
        <f>IF(Iterations[[#This Row],[Step]] =current_step, current_a,IF(Iterations[[#This Row],[Step]] &gt; current_step, "",Iterations[[#This Row],[a]]))</f>
        <v/>
      </c>
      <c r="H681" s="2" t="str">
        <f>IF(Iterations[[#This Row],[Step]] =current_step, current_b,IF(Iterations[[#This Row],[Step]] &gt; current_step, "",Iterations[[#This Row],[b]]))</f>
        <v/>
      </c>
      <c r="I681" s="2" t="str">
        <f>IF(Iterations[[#This Row],[Step]] =current_step, current_c,IF(Iterations[[#This Row],[Step]] &gt; current_step, "",Iterations[[#This Row],[c]]))</f>
        <v/>
      </c>
      <c r="J681" s="2" t="str">
        <f>IF(Iterations[[#This Row],[Step]] =current_step, current_d,IF(Iterations[[#This Row],[Step]] &gt; current_step, "",Iterations[[#This Row],[d]]))</f>
        <v/>
      </c>
      <c r="K681" s="2" t="str">
        <f>IF(Iterations[[#This Row],[Step]] =current_step, current_e,IF(Iterations[[#This Row],[Step]] &gt; current_step, "",Iterations[[#This Row],[e]]))</f>
        <v/>
      </c>
      <c r="L681" s="2" t="str">
        <f>IF(Iterations[[#This Row],[Step]] =current_step, current_Total_Loss,IF(Iterations[[#This Row],[Step]] &gt; current_step, "",Iterations[[#This Row],[Total Loss]]))</f>
        <v/>
      </c>
      <c r="M681" s="6" t="s">
        <v>27</v>
      </c>
      <c r="N681" s="2" t="str">
        <f>IF(Iterations[[#This Row],[Step]] =current_step, current_Grad_a,IF(Iterations[[#This Row],[Step]] &gt; current_step, "",Iterations[[#This Row],[Grad_a]]))</f>
        <v/>
      </c>
      <c r="O681" s="2" t="str">
        <f>IF(Iterations[[#This Row],[Step]] =current_step, current_Grad_b,IF(Iterations[[#This Row],[Step]] &gt; current_step, "",Iterations[[#This Row],[Grad_b]]))</f>
        <v/>
      </c>
      <c r="P681" s="2" t="str">
        <f>IF(Iterations[[#This Row],[Step]] =current_step, current_Grad_c,IF(Iterations[[#This Row],[Step]] &gt; current_step, "",Iterations[[#This Row],[Grad_c]]))</f>
        <v/>
      </c>
      <c r="Q681" s="2" t="str">
        <f>IF(Iterations[[#This Row],[Step]] =current_step, current_Grad_d,IF(Iterations[[#This Row],[Step]] &gt; current_step, "",Iterations[[#This Row],[Grad_d]]))</f>
        <v/>
      </c>
      <c r="R681" s="2" t="str">
        <f>IF(Iterations[[#This Row],[Step]] =current_step, current_Grad_e,IF(Iterations[[#This Row],[Step]] &gt; current_step, "",Iterations[[#This Row],[Grad_e]]))</f>
        <v/>
      </c>
    </row>
    <row r="682" spans="6:18" x14ac:dyDescent="0.3">
      <c r="F682" s="2">
        <f t="shared" si="12"/>
        <v>665</v>
      </c>
      <c r="G682" s="2" t="str">
        <f>IF(Iterations[[#This Row],[Step]] =current_step, current_a,IF(Iterations[[#This Row],[Step]] &gt; current_step, "",Iterations[[#This Row],[a]]))</f>
        <v/>
      </c>
      <c r="H682" s="2" t="str">
        <f>IF(Iterations[[#This Row],[Step]] =current_step, current_b,IF(Iterations[[#This Row],[Step]] &gt; current_step, "",Iterations[[#This Row],[b]]))</f>
        <v/>
      </c>
      <c r="I682" s="2" t="str">
        <f>IF(Iterations[[#This Row],[Step]] =current_step, current_c,IF(Iterations[[#This Row],[Step]] &gt; current_step, "",Iterations[[#This Row],[c]]))</f>
        <v/>
      </c>
      <c r="J682" s="2" t="str">
        <f>IF(Iterations[[#This Row],[Step]] =current_step, current_d,IF(Iterations[[#This Row],[Step]] &gt; current_step, "",Iterations[[#This Row],[d]]))</f>
        <v/>
      </c>
      <c r="K682" s="2" t="str">
        <f>IF(Iterations[[#This Row],[Step]] =current_step, current_e,IF(Iterations[[#This Row],[Step]] &gt; current_step, "",Iterations[[#This Row],[e]]))</f>
        <v/>
      </c>
      <c r="L682" s="2" t="str">
        <f>IF(Iterations[[#This Row],[Step]] =current_step, current_Total_Loss,IF(Iterations[[#This Row],[Step]] &gt; current_step, "",Iterations[[#This Row],[Total Loss]]))</f>
        <v/>
      </c>
      <c r="M682" s="6" t="s">
        <v>27</v>
      </c>
      <c r="N682" s="2" t="str">
        <f>IF(Iterations[[#This Row],[Step]] =current_step, current_Grad_a,IF(Iterations[[#This Row],[Step]] &gt; current_step, "",Iterations[[#This Row],[Grad_a]]))</f>
        <v/>
      </c>
      <c r="O682" s="2" t="str">
        <f>IF(Iterations[[#This Row],[Step]] =current_step, current_Grad_b,IF(Iterations[[#This Row],[Step]] &gt; current_step, "",Iterations[[#This Row],[Grad_b]]))</f>
        <v/>
      </c>
      <c r="P682" s="2" t="str">
        <f>IF(Iterations[[#This Row],[Step]] =current_step, current_Grad_c,IF(Iterations[[#This Row],[Step]] &gt; current_step, "",Iterations[[#This Row],[Grad_c]]))</f>
        <v/>
      </c>
      <c r="Q682" s="2" t="str">
        <f>IF(Iterations[[#This Row],[Step]] =current_step, current_Grad_d,IF(Iterations[[#This Row],[Step]] &gt; current_step, "",Iterations[[#This Row],[Grad_d]]))</f>
        <v/>
      </c>
      <c r="R682" s="2" t="str">
        <f>IF(Iterations[[#This Row],[Step]] =current_step, current_Grad_e,IF(Iterations[[#This Row],[Step]] &gt; current_step, "",Iterations[[#This Row],[Grad_e]]))</f>
        <v/>
      </c>
    </row>
    <row r="683" spans="6:18" x14ac:dyDescent="0.3">
      <c r="F683" s="2">
        <f t="shared" si="12"/>
        <v>666</v>
      </c>
      <c r="G683" s="2" t="str">
        <f>IF(Iterations[[#This Row],[Step]] =current_step, current_a,IF(Iterations[[#This Row],[Step]] &gt; current_step, "",Iterations[[#This Row],[a]]))</f>
        <v/>
      </c>
      <c r="H683" s="2" t="str">
        <f>IF(Iterations[[#This Row],[Step]] =current_step, current_b,IF(Iterations[[#This Row],[Step]] &gt; current_step, "",Iterations[[#This Row],[b]]))</f>
        <v/>
      </c>
      <c r="I683" s="2" t="str">
        <f>IF(Iterations[[#This Row],[Step]] =current_step, current_c,IF(Iterations[[#This Row],[Step]] &gt; current_step, "",Iterations[[#This Row],[c]]))</f>
        <v/>
      </c>
      <c r="J683" s="2" t="str">
        <f>IF(Iterations[[#This Row],[Step]] =current_step, current_d,IF(Iterations[[#This Row],[Step]] &gt; current_step, "",Iterations[[#This Row],[d]]))</f>
        <v/>
      </c>
      <c r="K683" s="2" t="str">
        <f>IF(Iterations[[#This Row],[Step]] =current_step, current_e,IF(Iterations[[#This Row],[Step]] &gt; current_step, "",Iterations[[#This Row],[e]]))</f>
        <v/>
      </c>
      <c r="L683" s="2" t="str">
        <f>IF(Iterations[[#This Row],[Step]] =current_step, current_Total_Loss,IF(Iterations[[#This Row],[Step]] &gt; current_step, "",Iterations[[#This Row],[Total Loss]]))</f>
        <v/>
      </c>
      <c r="M683" s="6" t="s">
        <v>27</v>
      </c>
      <c r="N683" s="2" t="str">
        <f>IF(Iterations[[#This Row],[Step]] =current_step, current_Grad_a,IF(Iterations[[#This Row],[Step]] &gt; current_step, "",Iterations[[#This Row],[Grad_a]]))</f>
        <v/>
      </c>
      <c r="O683" s="2" t="str">
        <f>IF(Iterations[[#This Row],[Step]] =current_step, current_Grad_b,IF(Iterations[[#This Row],[Step]] &gt; current_step, "",Iterations[[#This Row],[Grad_b]]))</f>
        <v/>
      </c>
      <c r="P683" s="2" t="str">
        <f>IF(Iterations[[#This Row],[Step]] =current_step, current_Grad_c,IF(Iterations[[#This Row],[Step]] &gt; current_step, "",Iterations[[#This Row],[Grad_c]]))</f>
        <v/>
      </c>
      <c r="Q683" s="2" t="str">
        <f>IF(Iterations[[#This Row],[Step]] =current_step, current_Grad_d,IF(Iterations[[#This Row],[Step]] &gt; current_step, "",Iterations[[#This Row],[Grad_d]]))</f>
        <v/>
      </c>
      <c r="R683" s="2" t="str">
        <f>IF(Iterations[[#This Row],[Step]] =current_step, current_Grad_e,IF(Iterations[[#This Row],[Step]] &gt; current_step, "",Iterations[[#This Row],[Grad_e]]))</f>
        <v/>
      </c>
    </row>
    <row r="684" spans="6:18" x14ac:dyDescent="0.3">
      <c r="F684" s="2">
        <f t="shared" si="12"/>
        <v>667</v>
      </c>
      <c r="G684" s="2" t="str">
        <f>IF(Iterations[[#This Row],[Step]] =current_step, current_a,IF(Iterations[[#This Row],[Step]] &gt; current_step, "",Iterations[[#This Row],[a]]))</f>
        <v/>
      </c>
      <c r="H684" s="2" t="str">
        <f>IF(Iterations[[#This Row],[Step]] =current_step, current_b,IF(Iterations[[#This Row],[Step]] &gt; current_step, "",Iterations[[#This Row],[b]]))</f>
        <v/>
      </c>
      <c r="I684" s="2" t="str">
        <f>IF(Iterations[[#This Row],[Step]] =current_step, current_c,IF(Iterations[[#This Row],[Step]] &gt; current_step, "",Iterations[[#This Row],[c]]))</f>
        <v/>
      </c>
      <c r="J684" s="2" t="str">
        <f>IF(Iterations[[#This Row],[Step]] =current_step, current_d,IF(Iterations[[#This Row],[Step]] &gt; current_step, "",Iterations[[#This Row],[d]]))</f>
        <v/>
      </c>
      <c r="K684" s="2" t="str">
        <f>IF(Iterations[[#This Row],[Step]] =current_step, current_e,IF(Iterations[[#This Row],[Step]] &gt; current_step, "",Iterations[[#This Row],[e]]))</f>
        <v/>
      </c>
      <c r="L684" s="2" t="str">
        <f>IF(Iterations[[#This Row],[Step]] =current_step, current_Total_Loss,IF(Iterations[[#This Row],[Step]] &gt; current_step, "",Iterations[[#This Row],[Total Loss]]))</f>
        <v/>
      </c>
      <c r="M684" s="6" t="s">
        <v>27</v>
      </c>
      <c r="N684" s="2" t="str">
        <f>IF(Iterations[[#This Row],[Step]] =current_step, current_Grad_a,IF(Iterations[[#This Row],[Step]] &gt; current_step, "",Iterations[[#This Row],[Grad_a]]))</f>
        <v/>
      </c>
      <c r="O684" s="2" t="str">
        <f>IF(Iterations[[#This Row],[Step]] =current_step, current_Grad_b,IF(Iterations[[#This Row],[Step]] &gt; current_step, "",Iterations[[#This Row],[Grad_b]]))</f>
        <v/>
      </c>
      <c r="P684" s="2" t="str">
        <f>IF(Iterations[[#This Row],[Step]] =current_step, current_Grad_c,IF(Iterations[[#This Row],[Step]] &gt; current_step, "",Iterations[[#This Row],[Grad_c]]))</f>
        <v/>
      </c>
      <c r="Q684" s="2" t="str">
        <f>IF(Iterations[[#This Row],[Step]] =current_step, current_Grad_d,IF(Iterations[[#This Row],[Step]] &gt; current_step, "",Iterations[[#This Row],[Grad_d]]))</f>
        <v/>
      </c>
      <c r="R684" s="2" t="str">
        <f>IF(Iterations[[#This Row],[Step]] =current_step, current_Grad_e,IF(Iterations[[#This Row],[Step]] &gt; current_step, "",Iterations[[#This Row],[Grad_e]]))</f>
        <v/>
      </c>
    </row>
    <row r="685" spans="6:18" x14ac:dyDescent="0.3">
      <c r="F685" s="2">
        <f t="shared" si="12"/>
        <v>668</v>
      </c>
      <c r="G685" s="2" t="str">
        <f>IF(Iterations[[#This Row],[Step]] =current_step, current_a,IF(Iterations[[#This Row],[Step]] &gt; current_step, "",Iterations[[#This Row],[a]]))</f>
        <v/>
      </c>
      <c r="H685" s="2" t="str">
        <f>IF(Iterations[[#This Row],[Step]] =current_step, current_b,IF(Iterations[[#This Row],[Step]] &gt; current_step, "",Iterations[[#This Row],[b]]))</f>
        <v/>
      </c>
      <c r="I685" s="2" t="str">
        <f>IF(Iterations[[#This Row],[Step]] =current_step, current_c,IF(Iterations[[#This Row],[Step]] &gt; current_step, "",Iterations[[#This Row],[c]]))</f>
        <v/>
      </c>
      <c r="J685" s="2" t="str">
        <f>IF(Iterations[[#This Row],[Step]] =current_step, current_d,IF(Iterations[[#This Row],[Step]] &gt; current_step, "",Iterations[[#This Row],[d]]))</f>
        <v/>
      </c>
      <c r="K685" s="2" t="str">
        <f>IF(Iterations[[#This Row],[Step]] =current_step, current_e,IF(Iterations[[#This Row],[Step]] &gt; current_step, "",Iterations[[#This Row],[e]]))</f>
        <v/>
      </c>
      <c r="L685" s="2" t="str">
        <f>IF(Iterations[[#This Row],[Step]] =current_step, current_Total_Loss,IF(Iterations[[#This Row],[Step]] &gt; current_step, "",Iterations[[#This Row],[Total Loss]]))</f>
        <v/>
      </c>
      <c r="M685" s="6" t="s">
        <v>27</v>
      </c>
      <c r="N685" s="2" t="str">
        <f>IF(Iterations[[#This Row],[Step]] =current_step, current_Grad_a,IF(Iterations[[#This Row],[Step]] &gt; current_step, "",Iterations[[#This Row],[Grad_a]]))</f>
        <v/>
      </c>
      <c r="O685" s="2" t="str">
        <f>IF(Iterations[[#This Row],[Step]] =current_step, current_Grad_b,IF(Iterations[[#This Row],[Step]] &gt; current_step, "",Iterations[[#This Row],[Grad_b]]))</f>
        <v/>
      </c>
      <c r="P685" s="2" t="str">
        <f>IF(Iterations[[#This Row],[Step]] =current_step, current_Grad_c,IF(Iterations[[#This Row],[Step]] &gt; current_step, "",Iterations[[#This Row],[Grad_c]]))</f>
        <v/>
      </c>
      <c r="Q685" s="2" t="str">
        <f>IF(Iterations[[#This Row],[Step]] =current_step, current_Grad_d,IF(Iterations[[#This Row],[Step]] &gt; current_step, "",Iterations[[#This Row],[Grad_d]]))</f>
        <v/>
      </c>
      <c r="R685" s="2" t="str">
        <f>IF(Iterations[[#This Row],[Step]] =current_step, current_Grad_e,IF(Iterations[[#This Row],[Step]] &gt; current_step, "",Iterations[[#This Row],[Grad_e]]))</f>
        <v/>
      </c>
    </row>
    <row r="686" spans="6:18" x14ac:dyDescent="0.3">
      <c r="F686" s="2">
        <f t="shared" si="12"/>
        <v>669</v>
      </c>
      <c r="G686" s="2" t="str">
        <f>IF(Iterations[[#This Row],[Step]] =current_step, current_a,IF(Iterations[[#This Row],[Step]] &gt; current_step, "",Iterations[[#This Row],[a]]))</f>
        <v/>
      </c>
      <c r="H686" s="2" t="str">
        <f>IF(Iterations[[#This Row],[Step]] =current_step, current_b,IF(Iterations[[#This Row],[Step]] &gt; current_step, "",Iterations[[#This Row],[b]]))</f>
        <v/>
      </c>
      <c r="I686" s="2" t="str">
        <f>IF(Iterations[[#This Row],[Step]] =current_step, current_c,IF(Iterations[[#This Row],[Step]] &gt; current_step, "",Iterations[[#This Row],[c]]))</f>
        <v/>
      </c>
      <c r="J686" s="2" t="str">
        <f>IF(Iterations[[#This Row],[Step]] =current_step, current_d,IF(Iterations[[#This Row],[Step]] &gt; current_step, "",Iterations[[#This Row],[d]]))</f>
        <v/>
      </c>
      <c r="K686" s="2" t="str">
        <f>IF(Iterations[[#This Row],[Step]] =current_step, current_e,IF(Iterations[[#This Row],[Step]] &gt; current_step, "",Iterations[[#This Row],[e]]))</f>
        <v/>
      </c>
      <c r="L686" s="2" t="str">
        <f>IF(Iterations[[#This Row],[Step]] =current_step, current_Total_Loss,IF(Iterations[[#This Row],[Step]] &gt; current_step, "",Iterations[[#This Row],[Total Loss]]))</f>
        <v/>
      </c>
      <c r="M686" s="6" t="s">
        <v>27</v>
      </c>
      <c r="N686" s="2" t="str">
        <f>IF(Iterations[[#This Row],[Step]] =current_step, current_Grad_a,IF(Iterations[[#This Row],[Step]] &gt; current_step, "",Iterations[[#This Row],[Grad_a]]))</f>
        <v/>
      </c>
      <c r="O686" s="2" t="str">
        <f>IF(Iterations[[#This Row],[Step]] =current_step, current_Grad_b,IF(Iterations[[#This Row],[Step]] &gt; current_step, "",Iterations[[#This Row],[Grad_b]]))</f>
        <v/>
      </c>
      <c r="P686" s="2" t="str">
        <f>IF(Iterations[[#This Row],[Step]] =current_step, current_Grad_c,IF(Iterations[[#This Row],[Step]] &gt; current_step, "",Iterations[[#This Row],[Grad_c]]))</f>
        <v/>
      </c>
      <c r="Q686" s="2" t="str">
        <f>IF(Iterations[[#This Row],[Step]] =current_step, current_Grad_d,IF(Iterations[[#This Row],[Step]] &gt; current_step, "",Iterations[[#This Row],[Grad_d]]))</f>
        <v/>
      </c>
      <c r="R686" s="2" t="str">
        <f>IF(Iterations[[#This Row],[Step]] =current_step, current_Grad_e,IF(Iterations[[#This Row],[Step]] &gt; current_step, "",Iterations[[#This Row],[Grad_e]]))</f>
        <v/>
      </c>
    </row>
    <row r="687" spans="6:18" x14ac:dyDescent="0.3">
      <c r="F687" s="2">
        <f t="shared" si="12"/>
        <v>670</v>
      </c>
      <c r="G687" s="2" t="str">
        <f>IF(Iterations[[#This Row],[Step]] =current_step, current_a,IF(Iterations[[#This Row],[Step]] &gt; current_step, "",Iterations[[#This Row],[a]]))</f>
        <v/>
      </c>
      <c r="H687" s="2" t="str">
        <f>IF(Iterations[[#This Row],[Step]] =current_step, current_b,IF(Iterations[[#This Row],[Step]] &gt; current_step, "",Iterations[[#This Row],[b]]))</f>
        <v/>
      </c>
      <c r="I687" s="2" t="str">
        <f>IF(Iterations[[#This Row],[Step]] =current_step, current_c,IF(Iterations[[#This Row],[Step]] &gt; current_step, "",Iterations[[#This Row],[c]]))</f>
        <v/>
      </c>
      <c r="J687" s="2" t="str">
        <f>IF(Iterations[[#This Row],[Step]] =current_step, current_d,IF(Iterations[[#This Row],[Step]] &gt; current_step, "",Iterations[[#This Row],[d]]))</f>
        <v/>
      </c>
      <c r="K687" s="2" t="str">
        <f>IF(Iterations[[#This Row],[Step]] =current_step, current_e,IF(Iterations[[#This Row],[Step]] &gt; current_step, "",Iterations[[#This Row],[e]]))</f>
        <v/>
      </c>
      <c r="L687" s="2" t="str">
        <f>IF(Iterations[[#This Row],[Step]] =current_step, current_Total_Loss,IF(Iterations[[#This Row],[Step]] &gt; current_step, "",Iterations[[#This Row],[Total Loss]]))</f>
        <v/>
      </c>
      <c r="M687" s="6" t="s">
        <v>27</v>
      </c>
      <c r="N687" s="2" t="str">
        <f>IF(Iterations[[#This Row],[Step]] =current_step, current_Grad_a,IF(Iterations[[#This Row],[Step]] &gt; current_step, "",Iterations[[#This Row],[Grad_a]]))</f>
        <v/>
      </c>
      <c r="O687" s="2" t="str">
        <f>IF(Iterations[[#This Row],[Step]] =current_step, current_Grad_b,IF(Iterations[[#This Row],[Step]] &gt; current_step, "",Iterations[[#This Row],[Grad_b]]))</f>
        <v/>
      </c>
      <c r="P687" s="2" t="str">
        <f>IF(Iterations[[#This Row],[Step]] =current_step, current_Grad_c,IF(Iterations[[#This Row],[Step]] &gt; current_step, "",Iterations[[#This Row],[Grad_c]]))</f>
        <v/>
      </c>
      <c r="Q687" s="2" t="str">
        <f>IF(Iterations[[#This Row],[Step]] =current_step, current_Grad_d,IF(Iterations[[#This Row],[Step]] &gt; current_step, "",Iterations[[#This Row],[Grad_d]]))</f>
        <v/>
      </c>
      <c r="R687" s="2" t="str">
        <f>IF(Iterations[[#This Row],[Step]] =current_step, current_Grad_e,IF(Iterations[[#This Row],[Step]] &gt; current_step, "",Iterations[[#This Row],[Grad_e]]))</f>
        <v/>
      </c>
    </row>
    <row r="688" spans="6:18" x14ac:dyDescent="0.3">
      <c r="F688" s="2">
        <f t="shared" si="12"/>
        <v>671</v>
      </c>
      <c r="G688" s="2" t="str">
        <f>IF(Iterations[[#This Row],[Step]] =current_step, current_a,IF(Iterations[[#This Row],[Step]] &gt; current_step, "",Iterations[[#This Row],[a]]))</f>
        <v/>
      </c>
      <c r="H688" s="2" t="str">
        <f>IF(Iterations[[#This Row],[Step]] =current_step, current_b,IF(Iterations[[#This Row],[Step]] &gt; current_step, "",Iterations[[#This Row],[b]]))</f>
        <v/>
      </c>
      <c r="I688" s="2" t="str">
        <f>IF(Iterations[[#This Row],[Step]] =current_step, current_c,IF(Iterations[[#This Row],[Step]] &gt; current_step, "",Iterations[[#This Row],[c]]))</f>
        <v/>
      </c>
      <c r="J688" s="2" t="str">
        <f>IF(Iterations[[#This Row],[Step]] =current_step, current_d,IF(Iterations[[#This Row],[Step]] &gt; current_step, "",Iterations[[#This Row],[d]]))</f>
        <v/>
      </c>
      <c r="K688" s="2" t="str">
        <f>IF(Iterations[[#This Row],[Step]] =current_step, current_e,IF(Iterations[[#This Row],[Step]] &gt; current_step, "",Iterations[[#This Row],[e]]))</f>
        <v/>
      </c>
      <c r="L688" s="2" t="str">
        <f>IF(Iterations[[#This Row],[Step]] =current_step, current_Total_Loss,IF(Iterations[[#This Row],[Step]] &gt; current_step, "",Iterations[[#This Row],[Total Loss]]))</f>
        <v/>
      </c>
      <c r="M688" s="6" t="s">
        <v>27</v>
      </c>
      <c r="N688" s="2" t="str">
        <f>IF(Iterations[[#This Row],[Step]] =current_step, current_Grad_a,IF(Iterations[[#This Row],[Step]] &gt; current_step, "",Iterations[[#This Row],[Grad_a]]))</f>
        <v/>
      </c>
      <c r="O688" s="2" t="str">
        <f>IF(Iterations[[#This Row],[Step]] =current_step, current_Grad_b,IF(Iterations[[#This Row],[Step]] &gt; current_step, "",Iterations[[#This Row],[Grad_b]]))</f>
        <v/>
      </c>
      <c r="P688" s="2" t="str">
        <f>IF(Iterations[[#This Row],[Step]] =current_step, current_Grad_c,IF(Iterations[[#This Row],[Step]] &gt; current_step, "",Iterations[[#This Row],[Grad_c]]))</f>
        <v/>
      </c>
      <c r="Q688" s="2" t="str">
        <f>IF(Iterations[[#This Row],[Step]] =current_step, current_Grad_d,IF(Iterations[[#This Row],[Step]] &gt; current_step, "",Iterations[[#This Row],[Grad_d]]))</f>
        <v/>
      </c>
      <c r="R688" s="2" t="str">
        <f>IF(Iterations[[#This Row],[Step]] =current_step, current_Grad_e,IF(Iterations[[#This Row],[Step]] &gt; current_step, "",Iterations[[#This Row],[Grad_e]]))</f>
        <v/>
      </c>
    </row>
    <row r="689" spans="6:18" x14ac:dyDescent="0.3">
      <c r="F689" s="2">
        <f t="shared" si="12"/>
        <v>672</v>
      </c>
      <c r="G689" s="2" t="str">
        <f>IF(Iterations[[#This Row],[Step]] =current_step, current_a,IF(Iterations[[#This Row],[Step]] &gt; current_step, "",Iterations[[#This Row],[a]]))</f>
        <v/>
      </c>
      <c r="H689" s="2" t="str">
        <f>IF(Iterations[[#This Row],[Step]] =current_step, current_b,IF(Iterations[[#This Row],[Step]] &gt; current_step, "",Iterations[[#This Row],[b]]))</f>
        <v/>
      </c>
      <c r="I689" s="2" t="str">
        <f>IF(Iterations[[#This Row],[Step]] =current_step, current_c,IF(Iterations[[#This Row],[Step]] &gt; current_step, "",Iterations[[#This Row],[c]]))</f>
        <v/>
      </c>
      <c r="J689" s="2" t="str">
        <f>IF(Iterations[[#This Row],[Step]] =current_step, current_d,IF(Iterations[[#This Row],[Step]] &gt; current_step, "",Iterations[[#This Row],[d]]))</f>
        <v/>
      </c>
      <c r="K689" s="2" t="str">
        <f>IF(Iterations[[#This Row],[Step]] =current_step, current_e,IF(Iterations[[#This Row],[Step]] &gt; current_step, "",Iterations[[#This Row],[e]]))</f>
        <v/>
      </c>
      <c r="L689" s="2" t="str">
        <f>IF(Iterations[[#This Row],[Step]] =current_step, current_Total_Loss,IF(Iterations[[#This Row],[Step]] &gt; current_step, "",Iterations[[#This Row],[Total Loss]]))</f>
        <v/>
      </c>
      <c r="M689" s="6" t="s">
        <v>27</v>
      </c>
      <c r="N689" s="2" t="str">
        <f>IF(Iterations[[#This Row],[Step]] =current_step, current_Grad_a,IF(Iterations[[#This Row],[Step]] &gt; current_step, "",Iterations[[#This Row],[Grad_a]]))</f>
        <v/>
      </c>
      <c r="O689" s="2" t="str">
        <f>IF(Iterations[[#This Row],[Step]] =current_step, current_Grad_b,IF(Iterations[[#This Row],[Step]] &gt; current_step, "",Iterations[[#This Row],[Grad_b]]))</f>
        <v/>
      </c>
      <c r="P689" s="2" t="str">
        <f>IF(Iterations[[#This Row],[Step]] =current_step, current_Grad_c,IF(Iterations[[#This Row],[Step]] &gt; current_step, "",Iterations[[#This Row],[Grad_c]]))</f>
        <v/>
      </c>
      <c r="Q689" s="2" t="str">
        <f>IF(Iterations[[#This Row],[Step]] =current_step, current_Grad_d,IF(Iterations[[#This Row],[Step]] &gt; current_step, "",Iterations[[#This Row],[Grad_d]]))</f>
        <v/>
      </c>
      <c r="R689" s="2" t="str">
        <f>IF(Iterations[[#This Row],[Step]] =current_step, current_Grad_e,IF(Iterations[[#This Row],[Step]] &gt; current_step, "",Iterations[[#This Row],[Grad_e]]))</f>
        <v/>
      </c>
    </row>
    <row r="690" spans="6:18" x14ac:dyDescent="0.3">
      <c r="F690" s="2">
        <f t="shared" si="12"/>
        <v>673</v>
      </c>
      <c r="G690" s="2" t="str">
        <f>IF(Iterations[[#This Row],[Step]] =current_step, current_a,IF(Iterations[[#This Row],[Step]] &gt; current_step, "",Iterations[[#This Row],[a]]))</f>
        <v/>
      </c>
      <c r="H690" s="2" t="str">
        <f>IF(Iterations[[#This Row],[Step]] =current_step, current_b,IF(Iterations[[#This Row],[Step]] &gt; current_step, "",Iterations[[#This Row],[b]]))</f>
        <v/>
      </c>
      <c r="I690" s="2" t="str">
        <f>IF(Iterations[[#This Row],[Step]] =current_step, current_c,IF(Iterations[[#This Row],[Step]] &gt; current_step, "",Iterations[[#This Row],[c]]))</f>
        <v/>
      </c>
      <c r="J690" s="2" t="str">
        <f>IF(Iterations[[#This Row],[Step]] =current_step, current_d,IF(Iterations[[#This Row],[Step]] &gt; current_step, "",Iterations[[#This Row],[d]]))</f>
        <v/>
      </c>
      <c r="K690" s="2" t="str">
        <f>IF(Iterations[[#This Row],[Step]] =current_step, current_e,IF(Iterations[[#This Row],[Step]] &gt; current_step, "",Iterations[[#This Row],[e]]))</f>
        <v/>
      </c>
      <c r="L690" s="2" t="str">
        <f>IF(Iterations[[#This Row],[Step]] =current_step, current_Total_Loss,IF(Iterations[[#This Row],[Step]] &gt; current_step, "",Iterations[[#This Row],[Total Loss]]))</f>
        <v/>
      </c>
      <c r="M690" s="6" t="s">
        <v>27</v>
      </c>
      <c r="N690" s="2" t="str">
        <f>IF(Iterations[[#This Row],[Step]] =current_step, current_Grad_a,IF(Iterations[[#This Row],[Step]] &gt; current_step, "",Iterations[[#This Row],[Grad_a]]))</f>
        <v/>
      </c>
      <c r="O690" s="2" t="str">
        <f>IF(Iterations[[#This Row],[Step]] =current_step, current_Grad_b,IF(Iterations[[#This Row],[Step]] &gt; current_step, "",Iterations[[#This Row],[Grad_b]]))</f>
        <v/>
      </c>
      <c r="P690" s="2" t="str">
        <f>IF(Iterations[[#This Row],[Step]] =current_step, current_Grad_c,IF(Iterations[[#This Row],[Step]] &gt; current_step, "",Iterations[[#This Row],[Grad_c]]))</f>
        <v/>
      </c>
      <c r="Q690" s="2" t="str">
        <f>IF(Iterations[[#This Row],[Step]] =current_step, current_Grad_d,IF(Iterations[[#This Row],[Step]] &gt; current_step, "",Iterations[[#This Row],[Grad_d]]))</f>
        <v/>
      </c>
      <c r="R690" s="2" t="str">
        <f>IF(Iterations[[#This Row],[Step]] =current_step, current_Grad_e,IF(Iterations[[#This Row],[Step]] &gt; current_step, "",Iterations[[#This Row],[Grad_e]]))</f>
        <v/>
      </c>
    </row>
    <row r="691" spans="6:18" x14ac:dyDescent="0.3">
      <c r="F691" s="2">
        <f t="shared" si="12"/>
        <v>674</v>
      </c>
      <c r="G691" s="2" t="str">
        <f>IF(Iterations[[#This Row],[Step]] =current_step, current_a,IF(Iterations[[#This Row],[Step]] &gt; current_step, "",Iterations[[#This Row],[a]]))</f>
        <v/>
      </c>
      <c r="H691" s="2" t="str">
        <f>IF(Iterations[[#This Row],[Step]] =current_step, current_b,IF(Iterations[[#This Row],[Step]] &gt; current_step, "",Iterations[[#This Row],[b]]))</f>
        <v/>
      </c>
      <c r="I691" s="2" t="str">
        <f>IF(Iterations[[#This Row],[Step]] =current_step, current_c,IF(Iterations[[#This Row],[Step]] &gt; current_step, "",Iterations[[#This Row],[c]]))</f>
        <v/>
      </c>
      <c r="J691" s="2" t="str">
        <f>IF(Iterations[[#This Row],[Step]] =current_step, current_d,IF(Iterations[[#This Row],[Step]] &gt; current_step, "",Iterations[[#This Row],[d]]))</f>
        <v/>
      </c>
      <c r="K691" s="2" t="str">
        <f>IF(Iterations[[#This Row],[Step]] =current_step, current_e,IF(Iterations[[#This Row],[Step]] &gt; current_step, "",Iterations[[#This Row],[e]]))</f>
        <v/>
      </c>
      <c r="L691" s="2" t="str">
        <f>IF(Iterations[[#This Row],[Step]] =current_step, current_Total_Loss,IF(Iterations[[#This Row],[Step]] &gt; current_step, "",Iterations[[#This Row],[Total Loss]]))</f>
        <v/>
      </c>
      <c r="M691" s="6" t="s">
        <v>27</v>
      </c>
      <c r="N691" s="2" t="str">
        <f>IF(Iterations[[#This Row],[Step]] =current_step, current_Grad_a,IF(Iterations[[#This Row],[Step]] &gt; current_step, "",Iterations[[#This Row],[Grad_a]]))</f>
        <v/>
      </c>
      <c r="O691" s="2" t="str">
        <f>IF(Iterations[[#This Row],[Step]] =current_step, current_Grad_b,IF(Iterations[[#This Row],[Step]] &gt; current_step, "",Iterations[[#This Row],[Grad_b]]))</f>
        <v/>
      </c>
      <c r="P691" s="2" t="str">
        <f>IF(Iterations[[#This Row],[Step]] =current_step, current_Grad_c,IF(Iterations[[#This Row],[Step]] &gt; current_step, "",Iterations[[#This Row],[Grad_c]]))</f>
        <v/>
      </c>
      <c r="Q691" s="2" t="str">
        <f>IF(Iterations[[#This Row],[Step]] =current_step, current_Grad_d,IF(Iterations[[#This Row],[Step]] &gt; current_step, "",Iterations[[#This Row],[Grad_d]]))</f>
        <v/>
      </c>
      <c r="R691" s="2" t="str">
        <f>IF(Iterations[[#This Row],[Step]] =current_step, current_Grad_e,IF(Iterations[[#This Row],[Step]] &gt; current_step, "",Iterations[[#This Row],[Grad_e]]))</f>
        <v/>
      </c>
    </row>
    <row r="692" spans="6:18" x14ac:dyDescent="0.3">
      <c r="F692" s="2">
        <f t="shared" si="12"/>
        <v>675</v>
      </c>
      <c r="G692" s="2" t="str">
        <f>IF(Iterations[[#This Row],[Step]] =current_step, current_a,IF(Iterations[[#This Row],[Step]] &gt; current_step, "",Iterations[[#This Row],[a]]))</f>
        <v/>
      </c>
      <c r="H692" s="2" t="str">
        <f>IF(Iterations[[#This Row],[Step]] =current_step, current_b,IF(Iterations[[#This Row],[Step]] &gt; current_step, "",Iterations[[#This Row],[b]]))</f>
        <v/>
      </c>
      <c r="I692" s="2" t="str">
        <f>IF(Iterations[[#This Row],[Step]] =current_step, current_c,IF(Iterations[[#This Row],[Step]] &gt; current_step, "",Iterations[[#This Row],[c]]))</f>
        <v/>
      </c>
      <c r="J692" s="2" t="str">
        <f>IF(Iterations[[#This Row],[Step]] =current_step, current_d,IF(Iterations[[#This Row],[Step]] &gt; current_step, "",Iterations[[#This Row],[d]]))</f>
        <v/>
      </c>
      <c r="K692" s="2" t="str">
        <f>IF(Iterations[[#This Row],[Step]] =current_step, current_e,IF(Iterations[[#This Row],[Step]] &gt; current_step, "",Iterations[[#This Row],[e]]))</f>
        <v/>
      </c>
      <c r="L692" s="2" t="str">
        <f>IF(Iterations[[#This Row],[Step]] =current_step, current_Total_Loss,IF(Iterations[[#This Row],[Step]] &gt; current_step, "",Iterations[[#This Row],[Total Loss]]))</f>
        <v/>
      </c>
      <c r="M692" s="6" t="s">
        <v>27</v>
      </c>
      <c r="N692" s="2" t="str">
        <f>IF(Iterations[[#This Row],[Step]] =current_step, current_Grad_a,IF(Iterations[[#This Row],[Step]] &gt; current_step, "",Iterations[[#This Row],[Grad_a]]))</f>
        <v/>
      </c>
      <c r="O692" s="2" t="str">
        <f>IF(Iterations[[#This Row],[Step]] =current_step, current_Grad_b,IF(Iterations[[#This Row],[Step]] &gt; current_step, "",Iterations[[#This Row],[Grad_b]]))</f>
        <v/>
      </c>
      <c r="P692" s="2" t="str">
        <f>IF(Iterations[[#This Row],[Step]] =current_step, current_Grad_c,IF(Iterations[[#This Row],[Step]] &gt; current_step, "",Iterations[[#This Row],[Grad_c]]))</f>
        <v/>
      </c>
      <c r="Q692" s="2" t="str">
        <f>IF(Iterations[[#This Row],[Step]] =current_step, current_Grad_d,IF(Iterations[[#This Row],[Step]] &gt; current_step, "",Iterations[[#This Row],[Grad_d]]))</f>
        <v/>
      </c>
      <c r="R692" s="2" t="str">
        <f>IF(Iterations[[#This Row],[Step]] =current_step, current_Grad_e,IF(Iterations[[#This Row],[Step]] &gt; current_step, "",Iterations[[#This Row],[Grad_e]]))</f>
        <v/>
      </c>
    </row>
    <row r="693" spans="6:18" x14ac:dyDescent="0.3">
      <c r="F693" s="2">
        <f t="shared" si="12"/>
        <v>676</v>
      </c>
      <c r="G693" s="2" t="str">
        <f>IF(Iterations[[#This Row],[Step]] =current_step, current_a,IF(Iterations[[#This Row],[Step]] &gt; current_step, "",Iterations[[#This Row],[a]]))</f>
        <v/>
      </c>
      <c r="H693" s="2" t="str">
        <f>IF(Iterations[[#This Row],[Step]] =current_step, current_b,IF(Iterations[[#This Row],[Step]] &gt; current_step, "",Iterations[[#This Row],[b]]))</f>
        <v/>
      </c>
      <c r="I693" s="2" t="str">
        <f>IF(Iterations[[#This Row],[Step]] =current_step, current_c,IF(Iterations[[#This Row],[Step]] &gt; current_step, "",Iterations[[#This Row],[c]]))</f>
        <v/>
      </c>
      <c r="J693" s="2" t="str">
        <f>IF(Iterations[[#This Row],[Step]] =current_step, current_d,IF(Iterations[[#This Row],[Step]] &gt; current_step, "",Iterations[[#This Row],[d]]))</f>
        <v/>
      </c>
      <c r="K693" s="2" t="str">
        <f>IF(Iterations[[#This Row],[Step]] =current_step, current_e,IF(Iterations[[#This Row],[Step]] &gt; current_step, "",Iterations[[#This Row],[e]]))</f>
        <v/>
      </c>
      <c r="L693" s="2" t="str">
        <f>IF(Iterations[[#This Row],[Step]] =current_step, current_Total_Loss,IF(Iterations[[#This Row],[Step]] &gt; current_step, "",Iterations[[#This Row],[Total Loss]]))</f>
        <v/>
      </c>
      <c r="M693" s="6" t="s">
        <v>27</v>
      </c>
      <c r="N693" s="2" t="str">
        <f>IF(Iterations[[#This Row],[Step]] =current_step, current_Grad_a,IF(Iterations[[#This Row],[Step]] &gt; current_step, "",Iterations[[#This Row],[Grad_a]]))</f>
        <v/>
      </c>
      <c r="O693" s="2" t="str">
        <f>IF(Iterations[[#This Row],[Step]] =current_step, current_Grad_b,IF(Iterations[[#This Row],[Step]] &gt; current_step, "",Iterations[[#This Row],[Grad_b]]))</f>
        <v/>
      </c>
      <c r="P693" s="2" t="str">
        <f>IF(Iterations[[#This Row],[Step]] =current_step, current_Grad_c,IF(Iterations[[#This Row],[Step]] &gt; current_step, "",Iterations[[#This Row],[Grad_c]]))</f>
        <v/>
      </c>
      <c r="Q693" s="2" t="str">
        <f>IF(Iterations[[#This Row],[Step]] =current_step, current_Grad_d,IF(Iterations[[#This Row],[Step]] &gt; current_step, "",Iterations[[#This Row],[Grad_d]]))</f>
        <v/>
      </c>
      <c r="R693" s="2" t="str">
        <f>IF(Iterations[[#This Row],[Step]] =current_step, current_Grad_e,IF(Iterations[[#This Row],[Step]] &gt; current_step, "",Iterations[[#This Row],[Grad_e]]))</f>
        <v/>
      </c>
    </row>
    <row r="694" spans="6:18" x14ac:dyDescent="0.3">
      <c r="F694" s="2">
        <f t="shared" si="12"/>
        <v>677</v>
      </c>
      <c r="G694" s="2" t="str">
        <f>IF(Iterations[[#This Row],[Step]] =current_step, current_a,IF(Iterations[[#This Row],[Step]] &gt; current_step, "",Iterations[[#This Row],[a]]))</f>
        <v/>
      </c>
      <c r="H694" s="2" t="str">
        <f>IF(Iterations[[#This Row],[Step]] =current_step, current_b,IF(Iterations[[#This Row],[Step]] &gt; current_step, "",Iterations[[#This Row],[b]]))</f>
        <v/>
      </c>
      <c r="I694" s="2" t="str">
        <f>IF(Iterations[[#This Row],[Step]] =current_step, current_c,IF(Iterations[[#This Row],[Step]] &gt; current_step, "",Iterations[[#This Row],[c]]))</f>
        <v/>
      </c>
      <c r="J694" s="2" t="str">
        <f>IF(Iterations[[#This Row],[Step]] =current_step, current_d,IF(Iterations[[#This Row],[Step]] &gt; current_step, "",Iterations[[#This Row],[d]]))</f>
        <v/>
      </c>
      <c r="K694" s="2" t="str">
        <f>IF(Iterations[[#This Row],[Step]] =current_step, current_e,IF(Iterations[[#This Row],[Step]] &gt; current_step, "",Iterations[[#This Row],[e]]))</f>
        <v/>
      </c>
      <c r="L694" s="2" t="str">
        <f>IF(Iterations[[#This Row],[Step]] =current_step, current_Total_Loss,IF(Iterations[[#This Row],[Step]] &gt; current_step, "",Iterations[[#This Row],[Total Loss]]))</f>
        <v/>
      </c>
      <c r="M694" s="6" t="s">
        <v>27</v>
      </c>
      <c r="N694" s="2" t="str">
        <f>IF(Iterations[[#This Row],[Step]] =current_step, current_Grad_a,IF(Iterations[[#This Row],[Step]] &gt; current_step, "",Iterations[[#This Row],[Grad_a]]))</f>
        <v/>
      </c>
      <c r="O694" s="2" t="str">
        <f>IF(Iterations[[#This Row],[Step]] =current_step, current_Grad_b,IF(Iterations[[#This Row],[Step]] &gt; current_step, "",Iterations[[#This Row],[Grad_b]]))</f>
        <v/>
      </c>
      <c r="P694" s="2" t="str">
        <f>IF(Iterations[[#This Row],[Step]] =current_step, current_Grad_c,IF(Iterations[[#This Row],[Step]] &gt; current_step, "",Iterations[[#This Row],[Grad_c]]))</f>
        <v/>
      </c>
      <c r="Q694" s="2" t="str">
        <f>IF(Iterations[[#This Row],[Step]] =current_step, current_Grad_d,IF(Iterations[[#This Row],[Step]] &gt; current_step, "",Iterations[[#This Row],[Grad_d]]))</f>
        <v/>
      </c>
      <c r="R694" s="2" t="str">
        <f>IF(Iterations[[#This Row],[Step]] =current_step, current_Grad_e,IF(Iterations[[#This Row],[Step]] &gt; current_step, "",Iterations[[#This Row],[Grad_e]]))</f>
        <v/>
      </c>
    </row>
    <row r="695" spans="6:18" x14ac:dyDescent="0.3">
      <c r="F695" s="2">
        <f t="shared" ref="F695:F758" si="13">F694+1</f>
        <v>678</v>
      </c>
      <c r="G695" s="2" t="str">
        <f>IF(Iterations[[#This Row],[Step]] =current_step, current_a,IF(Iterations[[#This Row],[Step]] &gt; current_step, "",Iterations[[#This Row],[a]]))</f>
        <v/>
      </c>
      <c r="H695" s="2" t="str">
        <f>IF(Iterations[[#This Row],[Step]] =current_step, current_b,IF(Iterations[[#This Row],[Step]] &gt; current_step, "",Iterations[[#This Row],[b]]))</f>
        <v/>
      </c>
      <c r="I695" s="2" t="str">
        <f>IF(Iterations[[#This Row],[Step]] =current_step, current_c,IF(Iterations[[#This Row],[Step]] &gt; current_step, "",Iterations[[#This Row],[c]]))</f>
        <v/>
      </c>
      <c r="J695" s="2" t="str">
        <f>IF(Iterations[[#This Row],[Step]] =current_step, current_d,IF(Iterations[[#This Row],[Step]] &gt; current_step, "",Iterations[[#This Row],[d]]))</f>
        <v/>
      </c>
      <c r="K695" s="2" t="str">
        <f>IF(Iterations[[#This Row],[Step]] =current_step, current_e,IF(Iterations[[#This Row],[Step]] &gt; current_step, "",Iterations[[#This Row],[e]]))</f>
        <v/>
      </c>
      <c r="L695" s="2" t="str">
        <f>IF(Iterations[[#This Row],[Step]] =current_step, current_Total_Loss,IF(Iterations[[#This Row],[Step]] &gt; current_step, "",Iterations[[#This Row],[Total Loss]]))</f>
        <v/>
      </c>
      <c r="M695" s="6" t="s">
        <v>27</v>
      </c>
      <c r="N695" s="2" t="str">
        <f>IF(Iterations[[#This Row],[Step]] =current_step, current_Grad_a,IF(Iterations[[#This Row],[Step]] &gt; current_step, "",Iterations[[#This Row],[Grad_a]]))</f>
        <v/>
      </c>
      <c r="O695" s="2" t="str">
        <f>IF(Iterations[[#This Row],[Step]] =current_step, current_Grad_b,IF(Iterations[[#This Row],[Step]] &gt; current_step, "",Iterations[[#This Row],[Grad_b]]))</f>
        <v/>
      </c>
      <c r="P695" s="2" t="str">
        <f>IF(Iterations[[#This Row],[Step]] =current_step, current_Grad_c,IF(Iterations[[#This Row],[Step]] &gt; current_step, "",Iterations[[#This Row],[Grad_c]]))</f>
        <v/>
      </c>
      <c r="Q695" s="2" t="str">
        <f>IF(Iterations[[#This Row],[Step]] =current_step, current_Grad_d,IF(Iterations[[#This Row],[Step]] &gt; current_step, "",Iterations[[#This Row],[Grad_d]]))</f>
        <v/>
      </c>
      <c r="R695" s="2" t="str">
        <f>IF(Iterations[[#This Row],[Step]] =current_step, current_Grad_e,IF(Iterations[[#This Row],[Step]] &gt; current_step, "",Iterations[[#This Row],[Grad_e]]))</f>
        <v/>
      </c>
    </row>
    <row r="696" spans="6:18" x14ac:dyDescent="0.3">
      <c r="F696" s="2">
        <f t="shared" si="13"/>
        <v>679</v>
      </c>
      <c r="G696" s="2" t="str">
        <f>IF(Iterations[[#This Row],[Step]] =current_step, current_a,IF(Iterations[[#This Row],[Step]] &gt; current_step, "",Iterations[[#This Row],[a]]))</f>
        <v/>
      </c>
      <c r="H696" s="2" t="str">
        <f>IF(Iterations[[#This Row],[Step]] =current_step, current_b,IF(Iterations[[#This Row],[Step]] &gt; current_step, "",Iterations[[#This Row],[b]]))</f>
        <v/>
      </c>
      <c r="I696" s="2" t="str">
        <f>IF(Iterations[[#This Row],[Step]] =current_step, current_c,IF(Iterations[[#This Row],[Step]] &gt; current_step, "",Iterations[[#This Row],[c]]))</f>
        <v/>
      </c>
      <c r="J696" s="2" t="str">
        <f>IF(Iterations[[#This Row],[Step]] =current_step, current_d,IF(Iterations[[#This Row],[Step]] &gt; current_step, "",Iterations[[#This Row],[d]]))</f>
        <v/>
      </c>
      <c r="K696" s="2" t="str">
        <f>IF(Iterations[[#This Row],[Step]] =current_step, current_e,IF(Iterations[[#This Row],[Step]] &gt; current_step, "",Iterations[[#This Row],[e]]))</f>
        <v/>
      </c>
      <c r="L696" s="2" t="str">
        <f>IF(Iterations[[#This Row],[Step]] =current_step, current_Total_Loss,IF(Iterations[[#This Row],[Step]] &gt; current_step, "",Iterations[[#This Row],[Total Loss]]))</f>
        <v/>
      </c>
      <c r="M696" s="6" t="s">
        <v>27</v>
      </c>
      <c r="N696" s="2" t="str">
        <f>IF(Iterations[[#This Row],[Step]] =current_step, current_Grad_a,IF(Iterations[[#This Row],[Step]] &gt; current_step, "",Iterations[[#This Row],[Grad_a]]))</f>
        <v/>
      </c>
      <c r="O696" s="2" t="str">
        <f>IF(Iterations[[#This Row],[Step]] =current_step, current_Grad_b,IF(Iterations[[#This Row],[Step]] &gt; current_step, "",Iterations[[#This Row],[Grad_b]]))</f>
        <v/>
      </c>
      <c r="P696" s="2" t="str">
        <f>IF(Iterations[[#This Row],[Step]] =current_step, current_Grad_c,IF(Iterations[[#This Row],[Step]] &gt; current_step, "",Iterations[[#This Row],[Grad_c]]))</f>
        <v/>
      </c>
      <c r="Q696" s="2" t="str">
        <f>IF(Iterations[[#This Row],[Step]] =current_step, current_Grad_d,IF(Iterations[[#This Row],[Step]] &gt; current_step, "",Iterations[[#This Row],[Grad_d]]))</f>
        <v/>
      </c>
      <c r="R696" s="2" t="str">
        <f>IF(Iterations[[#This Row],[Step]] =current_step, current_Grad_e,IF(Iterations[[#This Row],[Step]] &gt; current_step, "",Iterations[[#This Row],[Grad_e]]))</f>
        <v/>
      </c>
    </row>
    <row r="697" spans="6:18" x14ac:dyDescent="0.3">
      <c r="F697" s="2">
        <f t="shared" si="13"/>
        <v>680</v>
      </c>
      <c r="G697" s="2" t="str">
        <f>IF(Iterations[[#This Row],[Step]] =current_step, current_a,IF(Iterations[[#This Row],[Step]] &gt; current_step, "",Iterations[[#This Row],[a]]))</f>
        <v/>
      </c>
      <c r="H697" s="2" t="str">
        <f>IF(Iterations[[#This Row],[Step]] =current_step, current_b,IF(Iterations[[#This Row],[Step]] &gt; current_step, "",Iterations[[#This Row],[b]]))</f>
        <v/>
      </c>
      <c r="I697" s="2" t="str">
        <f>IF(Iterations[[#This Row],[Step]] =current_step, current_c,IF(Iterations[[#This Row],[Step]] &gt; current_step, "",Iterations[[#This Row],[c]]))</f>
        <v/>
      </c>
      <c r="J697" s="2" t="str">
        <f>IF(Iterations[[#This Row],[Step]] =current_step, current_d,IF(Iterations[[#This Row],[Step]] &gt; current_step, "",Iterations[[#This Row],[d]]))</f>
        <v/>
      </c>
      <c r="K697" s="2" t="str">
        <f>IF(Iterations[[#This Row],[Step]] =current_step, current_e,IF(Iterations[[#This Row],[Step]] &gt; current_step, "",Iterations[[#This Row],[e]]))</f>
        <v/>
      </c>
      <c r="L697" s="2" t="str">
        <f>IF(Iterations[[#This Row],[Step]] =current_step, current_Total_Loss,IF(Iterations[[#This Row],[Step]] &gt; current_step, "",Iterations[[#This Row],[Total Loss]]))</f>
        <v/>
      </c>
      <c r="M697" s="6" t="s">
        <v>27</v>
      </c>
      <c r="N697" s="2" t="str">
        <f>IF(Iterations[[#This Row],[Step]] =current_step, current_Grad_a,IF(Iterations[[#This Row],[Step]] &gt; current_step, "",Iterations[[#This Row],[Grad_a]]))</f>
        <v/>
      </c>
      <c r="O697" s="2" t="str">
        <f>IF(Iterations[[#This Row],[Step]] =current_step, current_Grad_b,IF(Iterations[[#This Row],[Step]] &gt; current_step, "",Iterations[[#This Row],[Grad_b]]))</f>
        <v/>
      </c>
      <c r="P697" s="2" t="str">
        <f>IF(Iterations[[#This Row],[Step]] =current_step, current_Grad_c,IF(Iterations[[#This Row],[Step]] &gt; current_step, "",Iterations[[#This Row],[Grad_c]]))</f>
        <v/>
      </c>
      <c r="Q697" s="2" t="str">
        <f>IF(Iterations[[#This Row],[Step]] =current_step, current_Grad_d,IF(Iterations[[#This Row],[Step]] &gt; current_step, "",Iterations[[#This Row],[Grad_d]]))</f>
        <v/>
      </c>
      <c r="R697" s="2" t="str">
        <f>IF(Iterations[[#This Row],[Step]] =current_step, current_Grad_e,IF(Iterations[[#This Row],[Step]] &gt; current_step, "",Iterations[[#This Row],[Grad_e]]))</f>
        <v/>
      </c>
    </row>
    <row r="698" spans="6:18" x14ac:dyDescent="0.3">
      <c r="F698" s="2">
        <f t="shared" si="13"/>
        <v>681</v>
      </c>
      <c r="G698" s="2" t="str">
        <f>IF(Iterations[[#This Row],[Step]] =current_step, current_a,IF(Iterations[[#This Row],[Step]] &gt; current_step, "",Iterations[[#This Row],[a]]))</f>
        <v/>
      </c>
      <c r="H698" s="2" t="str">
        <f>IF(Iterations[[#This Row],[Step]] =current_step, current_b,IF(Iterations[[#This Row],[Step]] &gt; current_step, "",Iterations[[#This Row],[b]]))</f>
        <v/>
      </c>
      <c r="I698" s="2" t="str">
        <f>IF(Iterations[[#This Row],[Step]] =current_step, current_c,IF(Iterations[[#This Row],[Step]] &gt; current_step, "",Iterations[[#This Row],[c]]))</f>
        <v/>
      </c>
      <c r="J698" s="2" t="str">
        <f>IF(Iterations[[#This Row],[Step]] =current_step, current_d,IF(Iterations[[#This Row],[Step]] &gt; current_step, "",Iterations[[#This Row],[d]]))</f>
        <v/>
      </c>
      <c r="K698" s="2" t="str">
        <f>IF(Iterations[[#This Row],[Step]] =current_step, current_e,IF(Iterations[[#This Row],[Step]] &gt; current_step, "",Iterations[[#This Row],[e]]))</f>
        <v/>
      </c>
      <c r="L698" s="2" t="str">
        <f>IF(Iterations[[#This Row],[Step]] =current_step, current_Total_Loss,IF(Iterations[[#This Row],[Step]] &gt; current_step, "",Iterations[[#This Row],[Total Loss]]))</f>
        <v/>
      </c>
      <c r="M698" s="6" t="s">
        <v>27</v>
      </c>
      <c r="N698" s="2" t="str">
        <f>IF(Iterations[[#This Row],[Step]] =current_step, current_Grad_a,IF(Iterations[[#This Row],[Step]] &gt; current_step, "",Iterations[[#This Row],[Grad_a]]))</f>
        <v/>
      </c>
      <c r="O698" s="2" t="str">
        <f>IF(Iterations[[#This Row],[Step]] =current_step, current_Grad_b,IF(Iterations[[#This Row],[Step]] &gt; current_step, "",Iterations[[#This Row],[Grad_b]]))</f>
        <v/>
      </c>
      <c r="P698" s="2" t="str">
        <f>IF(Iterations[[#This Row],[Step]] =current_step, current_Grad_c,IF(Iterations[[#This Row],[Step]] &gt; current_step, "",Iterations[[#This Row],[Grad_c]]))</f>
        <v/>
      </c>
      <c r="Q698" s="2" t="str">
        <f>IF(Iterations[[#This Row],[Step]] =current_step, current_Grad_d,IF(Iterations[[#This Row],[Step]] &gt; current_step, "",Iterations[[#This Row],[Grad_d]]))</f>
        <v/>
      </c>
      <c r="R698" s="2" t="str">
        <f>IF(Iterations[[#This Row],[Step]] =current_step, current_Grad_e,IF(Iterations[[#This Row],[Step]] &gt; current_step, "",Iterations[[#This Row],[Grad_e]]))</f>
        <v/>
      </c>
    </row>
    <row r="699" spans="6:18" x14ac:dyDescent="0.3">
      <c r="F699" s="2">
        <f t="shared" si="13"/>
        <v>682</v>
      </c>
      <c r="G699" s="2" t="str">
        <f>IF(Iterations[[#This Row],[Step]] =current_step, current_a,IF(Iterations[[#This Row],[Step]] &gt; current_step, "",Iterations[[#This Row],[a]]))</f>
        <v/>
      </c>
      <c r="H699" s="2" t="str">
        <f>IF(Iterations[[#This Row],[Step]] =current_step, current_b,IF(Iterations[[#This Row],[Step]] &gt; current_step, "",Iterations[[#This Row],[b]]))</f>
        <v/>
      </c>
      <c r="I699" s="2" t="str">
        <f>IF(Iterations[[#This Row],[Step]] =current_step, current_c,IF(Iterations[[#This Row],[Step]] &gt; current_step, "",Iterations[[#This Row],[c]]))</f>
        <v/>
      </c>
      <c r="J699" s="2" t="str">
        <f>IF(Iterations[[#This Row],[Step]] =current_step, current_d,IF(Iterations[[#This Row],[Step]] &gt; current_step, "",Iterations[[#This Row],[d]]))</f>
        <v/>
      </c>
      <c r="K699" s="2" t="str">
        <f>IF(Iterations[[#This Row],[Step]] =current_step, current_e,IF(Iterations[[#This Row],[Step]] &gt; current_step, "",Iterations[[#This Row],[e]]))</f>
        <v/>
      </c>
      <c r="L699" s="2" t="str">
        <f>IF(Iterations[[#This Row],[Step]] =current_step, current_Total_Loss,IF(Iterations[[#This Row],[Step]] &gt; current_step, "",Iterations[[#This Row],[Total Loss]]))</f>
        <v/>
      </c>
      <c r="M699" s="6" t="s">
        <v>27</v>
      </c>
      <c r="N699" s="2" t="str">
        <f>IF(Iterations[[#This Row],[Step]] =current_step, current_Grad_a,IF(Iterations[[#This Row],[Step]] &gt; current_step, "",Iterations[[#This Row],[Grad_a]]))</f>
        <v/>
      </c>
      <c r="O699" s="2" t="str">
        <f>IF(Iterations[[#This Row],[Step]] =current_step, current_Grad_b,IF(Iterations[[#This Row],[Step]] &gt; current_step, "",Iterations[[#This Row],[Grad_b]]))</f>
        <v/>
      </c>
      <c r="P699" s="2" t="str">
        <f>IF(Iterations[[#This Row],[Step]] =current_step, current_Grad_c,IF(Iterations[[#This Row],[Step]] &gt; current_step, "",Iterations[[#This Row],[Grad_c]]))</f>
        <v/>
      </c>
      <c r="Q699" s="2" t="str">
        <f>IF(Iterations[[#This Row],[Step]] =current_step, current_Grad_d,IF(Iterations[[#This Row],[Step]] &gt; current_step, "",Iterations[[#This Row],[Grad_d]]))</f>
        <v/>
      </c>
      <c r="R699" s="2" t="str">
        <f>IF(Iterations[[#This Row],[Step]] =current_step, current_Grad_e,IF(Iterations[[#This Row],[Step]] &gt; current_step, "",Iterations[[#This Row],[Grad_e]]))</f>
        <v/>
      </c>
    </row>
    <row r="700" spans="6:18" x14ac:dyDescent="0.3">
      <c r="F700" s="2">
        <f t="shared" si="13"/>
        <v>683</v>
      </c>
      <c r="G700" s="2" t="str">
        <f>IF(Iterations[[#This Row],[Step]] =current_step, current_a,IF(Iterations[[#This Row],[Step]] &gt; current_step, "",Iterations[[#This Row],[a]]))</f>
        <v/>
      </c>
      <c r="H700" s="2" t="str">
        <f>IF(Iterations[[#This Row],[Step]] =current_step, current_b,IF(Iterations[[#This Row],[Step]] &gt; current_step, "",Iterations[[#This Row],[b]]))</f>
        <v/>
      </c>
      <c r="I700" s="2" t="str">
        <f>IF(Iterations[[#This Row],[Step]] =current_step, current_c,IF(Iterations[[#This Row],[Step]] &gt; current_step, "",Iterations[[#This Row],[c]]))</f>
        <v/>
      </c>
      <c r="J700" s="2" t="str">
        <f>IF(Iterations[[#This Row],[Step]] =current_step, current_d,IF(Iterations[[#This Row],[Step]] &gt; current_step, "",Iterations[[#This Row],[d]]))</f>
        <v/>
      </c>
      <c r="K700" s="2" t="str">
        <f>IF(Iterations[[#This Row],[Step]] =current_step, current_e,IF(Iterations[[#This Row],[Step]] &gt; current_step, "",Iterations[[#This Row],[e]]))</f>
        <v/>
      </c>
      <c r="L700" s="2" t="str">
        <f>IF(Iterations[[#This Row],[Step]] =current_step, current_Total_Loss,IF(Iterations[[#This Row],[Step]] &gt; current_step, "",Iterations[[#This Row],[Total Loss]]))</f>
        <v/>
      </c>
      <c r="M700" s="6" t="s">
        <v>27</v>
      </c>
      <c r="N700" s="2" t="str">
        <f>IF(Iterations[[#This Row],[Step]] =current_step, current_Grad_a,IF(Iterations[[#This Row],[Step]] &gt; current_step, "",Iterations[[#This Row],[Grad_a]]))</f>
        <v/>
      </c>
      <c r="O700" s="2" t="str">
        <f>IF(Iterations[[#This Row],[Step]] =current_step, current_Grad_b,IF(Iterations[[#This Row],[Step]] &gt; current_step, "",Iterations[[#This Row],[Grad_b]]))</f>
        <v/>
      </c>
      <c r="P700" s="2" t="str">
        <f>IF(Iterations[[#This Row],[Step]] =current_step, current_Grad_c,IF(Iterations[[#This Row],[Step]] &gt; current_step, "",Iterations[[#This Row],[Grad_c]]))</f>
        <v/>
      </c>
      <c r="Q700" s="2" t="str">
        <f>IF(Iterations[[#This Row],[Step]] =current_step, current_Grad_d,IF(Iterations[[#This Row],[Step]] &gt; current_step, "",Iterations[[#This Row],[Grad_d]]))</f>
        <v/>
      </c>
      <c r="R700" s="2" t="str">
        <f>IF(Iterations[[#This Row],[Step]] =current_step, current_Grad_e,IF(Iterations[[#This Row],[Step]] &gt; current_step, "",Iterations[[#This Row],[Grad_e]]))</f>
        <v/>
      </c>
    </row>
    <row r="701" spans="6:18" x14ac:dyDescent="0.3">
      <c r="F701" s="2">
        <f t="shared" si="13"/>
        <v>684</v>
      </c>
      <c r="G701" s="2" t="str">
        <f>IF(Iterations[[#This Row],[Step]] =current_step, current_a,IF(Iterations[[#This Row],[Step]] &gt; current_step, "",Iterations[[#This Row],[a]]))</f>
        <v/>
      </c>
      <c r="H701" s="2" t="str">
        <f>IF(Iterations[[#This Row],[Step]] =current_step, current_b,IF(Iterations[[#This Row],[Step]] &gt; current_step, "",Iterations[[#This Row],[b]]))</f>
        <v/>
      </c>
      <c r="I701" s="2" t="str">
        <f>IF(Iterations[[#This Row],[Step]] =current_step, current_c,IF(Iterations[[#This Row],[Step]] &gt; current_step, "",Iterations[[#This Row],[c]]))</f>
        <v/>
      </c>
      <c r="J701" s="2" t="str">
        <f>IF(Iterations[[#This Row],[Step]] =current_step, current_d,IF(Iterations[[#This Row],[Step]] &gt; current_step, "",Iterations[[#This Row],[d]]))</f>
        <v/>
      </c>
      <c r="K701" s="2" t="str">
        <f>IF(Iterations[[#This Row],[Step]] =current_step, current_e,IF(Iterations[[#This Row],[Step]] &gt; current_step, "",Iterations[[#This Row],[e]]))</f>
        <v/>
      </c>
      <c r="L701" s="2" t="str">
        <f>IF(Iterations[[#This Row],[Step]] =current_step, current_Total_Loss,IF(Iterations[[#This Row],[Step]] &gt; current_step, "",Iterations[[#This Row],[Total Loss]]))</f>
        <v/>
      </c>
      <c r="M701" s="6" t="s">
        <v>27</v>
      </c>
      <c r="N701" s="2" t="str">
        <f>IF(Iterations[[#This Row],[Step]] =current_step, current_Grad_a,IF(Iterations[[#This Row],[Step]] &gt; current_step, "",Iterations[[#This Row],[Grad_a]]))</f>
        <v/>
      </c>
      <c r="O701" s="2" t="str">
        <f>IF(Iterations[[#This Row],[Step]] =current_step, current_Grad_b,IF(Iterations[[#This Row],[Step]] &gt; current_step, "",Iterations[[#This Row],[Grad_b]]))</f>
        <v/>
      </c>
      <c r="P701" s="2" t="str">
        <f>IF(Iterations[[#This Row],[Step]] =current_step, current_Grad_c,IF(Iterations[[#This Row],[Step]] &gt; current_step, "",Iterations[[#This Row],[Grad_c]]))</f>
        <v/>
      </c>
      <c r="Q701" s="2" t="str">
        <f>IF(Iterations[[#This Row],[Step]] =current_step, current_Grad_d,IF(Iterations[[#This Row],[Step]] &gt; current_step, "",Iterations[[#This Row],[Grad_d]]))</f>
        <v/>
      </c>
      <c r="R701" s="2" t="str">
        <f>IF(Iterations[[#This Row],[Step]] =current_step, current_Grad_e,IF(Iterations[[#This Row],[Step]] &gt; current_step, "",Iterations[[#This Row],[Grad_e]]))</f>
        <v/>
      </c>
    </row>
    <row r="702" spans="6:18" x14ac:dyDescent="0.3">
      <c r="F702" s="2">
        <f t="shared" si="13"/>
        <v>685</v>
      </c>
      <c r="G702" s="2" t="str">
        <f>IF(Iterations[[#This Row],[Step]] =current_step, current_a,IF(Iterations[[#This Row],[Step]] &gt; current_step, "",Iterations[[#This Row],[a]]))</f>
        <v/>
      </c>
      <c r="H702" s="2" t="str">
        <f>IF(Iterations[[#This Row],[Step]] =current_step, current_b,IF(Iterations[[#This Row],[Step]] &gt; current_step, "",Iterations[[#This Row],[b]]))</f>
        <v/>
      </c>
      <c r="I702" s="2" t="str">
        <f>IF(Iterations[[#This Row],[Step]] =current_step, current_c,IF(Iterations[[#This Row],[Step]] &gt; current_step, "",Iterations[[#This Row],[c]]))</f>
        <v/>
      </c>
      <c r="J702" s="2" t="str">
        <f>IF(Iterations[[#This Row],[Step]] =current_step, current_d,IF(Iterations[[#This Row],[Step]] &gt; current_step, "",Iterations[[#This Row],[d]]))</f>
        <v/>
      </c>
      <c r="K702" s="2" t="str">
        <f>IF(Iterations[[#This Row],[Step]] =current_step, current_e,IF(Iterations[[#This Row],[Step]] &gt; current_step, "",Iterations[[#This Row],[e]]))</f>
        <v/>
      </c>
      <c r="L702" s="2" t="str">
        <f>IF(Iterations[[#This Row],[Step]] =current_step, current_Total_Loss,IF(Iterations[[#This Row],[Step]] &gt; current_step, "",Iterations[[#This Row],[Total Loss]]))</f>
        <v/>
      </c>
      <c r="M702" s="6" t="s">
        <v>27</v>
      </c>
      <c r="N702" s="2" t="str">
        <f>IF(Iterations[[#This Row],[Step]] =current_step, current_Grad_a,IF(Iterations[[#This Row],[Step]] &gt; current_step, "",Iterations[[#This Row],[Grad_a]]))</f>
        <v/>
      </c>
      <c r="O702" s="2" t="str">
        <f>IF(Iterations[[#This Row],[Step]] =current_step, current_Grad_b,IF(Iterations[[#This Row],[Step]] &gt; current_step, "",Iterations[[#This Row],[Grad_b]]))</f>
        <v/>
      </c>
      <c r="P702" s="2" t="str">
        <f>IF(Iterations[[#This Row],[Step]] =current_step, current_Grad_c,IF(Iterations[[#This Row],[Step]] &gt; current_step, "",Iterations[[#This Row],[Grad_c]]))</f>
        <v/>
      </c>
      <c r="Q702" s="2" t="str">
        <f>IF(Iterations[[#This Row],[Step]] =current_step, current_Grad_d,IF(Iterations[[#This Row],[Step]] &gt; current_step, "",Iterations[[#This Row],[Grad_d]]))</f>
        <v/>
      </c>
      <c r="R702" s="2" t="str">
        <f>IF(Iterations[[#This Row],[Step]] =current_step, current_Grad_e,IF(Iterations[[#This Row],[Step]] &gt; current_step, "",Iterations[[#This Row],[Grad_e]]))</f>
        <v/>
      </c>
    </row>
    <row r="703" spans="6:18" x14ac:dyDescent="0.3">
      <c r="F703" s="2">
        <f t="shared" si="13"/>
        <v>686</v>
      </c>
      <c r="G703" s="2" t="str">
        <f>IF(Iterations[[#This Row],[Step]] =current_step, current_a,IF(Iterations[[#This Row],[Step]] &gt; current_step, "",Iterations[[#This Row],[a]]))</f>
        <v/>
      </c>
      <c r="H703" s="2" t="str">
        <f>IF(Iterations[[#This Row],[Step]] =current_step, current_b,IF(Iterations[[#This Row],[Step]] &gt; current_step, "",Iterations[[#This Row],[b]]))</f>
        <v/>
      </c>
      <c r="I703" s="2" t="str">
        <f>IF(Iterations[[#This Row],[Step]] =current_step, current_c,IF(Iterations[[#This Row],[Step]] &gt; current_step, "",Iterations[[#This Row],[c]]))</f>
        <v/>
      </c>
      <c r="J703" s="2" t="str">
        <f>IF(Iterations[[#This Row],[Step]] =current_step, current_d,IF(Iterations[[#This Row],[Step]] &gt; current_step, "",Iterations[[#This Row],[d]]))</f>
        <v/>
      </c>
      <c r="K703" s="2" t="str">
        <f>IF(Iterations[[#This Row],[Step]] =current_step, current_e,IF(Iterations[[#This Row],[Step]] &gt; current_step, "",Iterations[[#This Row],[e]]))</f>
        <v/>
      </c>
      <c r="L703" s="2" t="str">
        <f>IF(Iterations[[#This Row],[Step]] =current_step, current_Total_Loss,IF(Iterations[[#This Row],[Step]] &gt; current_step, "",Iterations[[#This Row],[Total Loss]]))</f>
        <v/>
      </c>
      <c r="M703" s="6" t="s">
        <v>27</v>
      </c>
      <c r="N703" s="2" t="str">
        <f>IF(Iterations[[#This Row],[Step]] =current_step, current_Grad_a,IF(Iterations[[#This Row],[Step]] &gt; current_step, "",Iterations[[#This Row],[Grad_a]]))</f>
        <v/>
      </c>
      <c r="O703" s="2" t="str">
        <f>IF(Iterations[[#This Row],[Step]] =current_step, current_Grad_b,IF(Iterations[[#This Row],[Step]] &gt; current_step, "",Iterations[[#This Row],[Grad_b]]))</f>
        <v/>
      </c>
      <c r="P703" s="2" t="str">
        <f>IF(Iterations[[#This Row],[Step]] =current_step, current_Grad_c,IF(Iterations[[#This Row],[Step]] &gt; current_step, "",Iterations[[#This Row],[Grad_c]]))</f>
        <v/>
      </c>
      <c r="Q703" s="2" t="str">
        <f>IF(Iterations[[#This Row],[Step]] =current_step, current_Grad_d,IF(Iterations[[#This Row],[Step]] &gt; current_step, "",Iterations[[#This Row],[Grad_d]]))</f>
        <v/>
      </c>
      <c r="R703" s="2" t="str">
        <f>IF(Iterations[[#This Row],[Step]] =current_step, current_Grad_e,IF(Iterations[[#This Row],[Step]] &gt; current_step, "",Iterations[[#This Row],[Grad_e]]))</f>
        <v/>
      </c>
    </row>
    <row r="704" spans="6:18" x14ac:dyDescent="0.3">
      <c r="F704" s="2">
        <f t="shared" si="13"/>
        <v>687</v>
      </c>
      <c r="G704" s="2" t="str">
        <f>IF(Iterations[[#This Row],[Step]] =current_step, current_a,IF(Iterations[[#This Row],[Step]] &gt; current_step, "",Iterations[[#This Row],[a]]))</f>
        <v/>
      </c>
      <c r="H704" s="2" t="str">
        <f>IF(Iterations[[#This Row],[Step]] =current_step, current_b,IF(Iterations[[#This Row],[Step]] &gt; current_step, "",Iterations[[#This Row],[b]]))</f>
        <v/>
      </c>
      <c r="I704" s="2" t="str">
        <f>IF(Iterations[[#This Row],[Step]] =current_step, current_c,IF(Iterations[[#This Row],[Step]] &gt; current_step, "",Iterations[[#This Row],[c]]))</f>
        <v/>
      </c>
      <c r="J704" s="2" t="str">
        <f>IF(Iterations[[#This Row],[Step]] =current_step, current_d,IF(Iterations[[#This Row],[Step]] &gt; current_step, "",Iterations[[#This Row],[d]]))</f>
        <v/>
      </c>
      <c r="K704" s="2" t="str">
        <f>IF(Iterations[[#This Row],[Step]] =current_step, current_e,IF(Iterations[[#This Row],[Step]] &gt; current_step, "",Iterations[[#This Row],[e]]))</f>
        <v/>
      </c>
      <c r="L704" s="2" t="str">
        <f>IF(Iterations[[#This Row],[Step]] =current_step, current_Total_Loss,IF(Iterations[[#This Row],[Step]] &gt; current_step, "",Iterations[[#This Row],[Total Loss]]))</f>
        <v/>
      </c>
      <c r="M704" s="6" t="s">
        <v>27</v>
      </c>
      <c r="N704" s="2" t="str">
        <f>IF(Iterations[[#This Row],[Step]] =current_step, current_Grad_a,IF(Iterations[[#This Row],[Step]] &gt; current_step, "",Iterations[[#This Row],[Grad_a]]))</f>
        <v/>
      </c>
      <c r="O704" s="2" t="str">
        <f>IF(Iterations[[#This Row],[Step]] =current_step, current_Grad_b,IF(Iterations[[#This Row],[Step]] &gt; current_step, "",Iterations[[#This Row],[Grad_b]]))</f>
        <v/>
      </c>
      <c r="P704" s="2" t="str">
        <f>IF(Iterations[[#This Row],[Step]] =current_step, current_Grad_c,IF(Iterations[[#This Row],[Step]] &gt; current_step, "",Iterations[[#This Row],[Grad_c]]))</f>
        <v/>
      </c>
      <c r="Q704" s="2" t="str">
        <f>IF(Iterations[[#This Row],[Step]] =current_step, current_Grad_d,IF(Iterations[[#This Row],[Step]] &gt; current_step, "",Iterations[[#This Row],[Grad_d]]))</f>
        <v/>
      </c>
      <c r="R704" s="2" t="str">
        <f>IF(Iterations[[#This Row],[Step]] =current_step, current_Grad_e,IF(Iterations[[#This Row],[Step]] &gt; current_step, "",Iterations[[#This Row],[Grad_e]]))</f>
        <v/>
      </c>
    </row>
    <row r="705" spans="6:18" x14ac:dyDescent="0.3">
      <c r="F705" s="2">
        <f t="shared" si="13"/>
        <v>688</v>
      </c>
      <c r="G705" s="2" t="str">
        <f>IF(Iterations[[#This Row],[Step]] =current_step, current_a,IF(Iterations[[#This Row],[Step]] &gt; current_step, "",Iterations[[#This Row],[a]]))</f>
        <v/>
      </c>
      <c r="H705" s="2" t="str">
        <f>IF(Iterations[[#This Row],[Step]] =current_step, current_b,IF(Iterations[[#This Row],[Step]] &gt; current_step, "",Iterations[[#This Row],[b]]))</f>
        <v/>
      </c>
      <c r="I705" s="2" t="str">
        <f>IF(Iterations[[#This Row],[Step]] =current_step, current_c,IF(Iterations[[#This Row],[Step]] &gt; current_step, "",Iterations[[#This Row],[c]]))</f>
        <v/>
      </c>
      <c r="J705" s="2" t="str">
        <f>IF(Iterations[[#This Row],[Step]] =current_step, current_d,IF(Iterations[[#This Row],[Step]] &gt; current_step, "",Iterations[[#This Row],[d]]))</f>
        <v/>
      </c>
      <c r="K705" s="2" t="str">
        <f>IF(Iterations[[#This Row],[Step]] =current_step, current_e,IF(Iterations[[#This Row],[Step]] &gt; current_step, "",Iterations[[#This Row],[e]]))</f>
        <v/>
      </c>
      <c r="L705" s="2" t="str">
        <f>IF(Iterations[[#This Row],[Step]] =current_step, current_Total_Loss,IF(Iterations[[#This Row],[Step]] &gt; current_step, "",Iterations[[#This Row],[Total Loss]]))</f>
        <v/>
      </c>
      <c r="M705" s="6" t="s">
        <v>27</v>
      </c>
      <c r="N705" s="2" t="str">
        <f>IF(Iterations[[#This Row],[Step]] =current_step, current_Grad_a,IF(Iterations[[#This Row],[Step]] &gt; current_step, "",Iterations[[#This Row],[Grad_a]]))</f>
        <v/>
      </c>
      <c r="O705" s="2" t="str">
        <f>IF(Iterations[[#This Row],[Step]] =current_step, current_Grad_b,IF(Iterations[[#This Row],[Step]] &gt; current_step, "",Iterations[[#This Row],[Grad_b]]))</f>
        <v/>
      </c>
      <c r="P705" s="2" t="str">
        <f>IF(Iterations[[#This Row],[Step]] =current_step, current_Grad_c,IF(Iterations[[#This Row],[Step]] &gt; current_step, "",Iterations[[#This Row],[Grad_c]]))</f>
        <v/>
      </c>
      <c r="Q705" s="2" t="str">
        <f>IF(Iterations[[#This Row],[Step]] =current_step, current_Grad_d,IF(Iterations[[#This Row],[Step]] &gt; current_step, "",Iterations[[#This Row],[Grad_d]]))</f>
        <v/>
      </c>
      <c r="R705" s="2" t="str">
        <f>IF(Iterations[[#This Row],[Step]] =current_step, current_Grad_e,IF(Iterations[[#This Row],[Step]] &gt; current_step, "",Iterations[[#This Row],[Grad_e]]))</f>
        <v/>
      </c>
    </row>
    <row r="706" spans="6:18" x14ac:dyDescent="0.3">
      <c r="F706" s="2">
        <f t="shared" si="13"/>
        <v>689</v>
      </c>
      <c r="G706" s="2" t="str">
        <f>IF(Iterations[[#This Row],[Step]] =current_step, current_a,IF(Iterations[[#This Row],[Step]] &gt; current_step, "",Iterations[[#This Row],[a]]))</f>
        <v/>
      </c>
      <c r="H706" s="2" t="str">
        <f>IF(Iterations[[#This Row],[Step]] =current_step, current_b,IF(Iterations[[#This Row],[Step]] &gt; current_step, "",Iterations[[#This Row],[b]]))</f>
        <v/>
      </c>
      <c r="I706" s="2" t="str">
        <f>IF(Iterations[[#This Row],[Step]] =current_step, current_c,IF(Iterations[[#This Row],[Step]] &gt; current_step, "",Iterations[[#This Row],[c]]))</f>
        <v/>
      </c>
      <c r="J706" s="2" t="str">
        <f>IF(Iterations[[#This Row],[Step]] =current_step, current_d,IF(Iterations[[#This Row],[Step]] &gt; current_step, "",Iterations[[#This Row],[d]]))</f>
        <v/>
      </c>
      <c r="K706" s="2" t="str">
        <f>IF(Iterations[[#This Row],[Step]] =current_step, current_e,IF(Iterations[[#This Row],[Step]] &gt; current_step, "",Iterations[[#This Row],[e]]))</f>
        <v/>
      </c>
      <c r="L706" s="2" t="str">
        <f>IF(Iterations[[#This Row],[Step]] =current_step, current_Total_Loss,IF(Iterations[[#This Row],[Step]] &gt; current_step, "",Iterations[[#This Row],[Total Loss]]))</f>
        <v/>
      </c>
      <c r="M706" s="6" t="s">
        <v>27</v>
      </c>
      <c r="N706" s="2" t="str">
        <f>IF(Iterations[[#This Row],[Step]] =current_step, current_Grad_a,IF(Iterations[[#This Row],[Step]] &gt; current_step, "",Iterations[[#This Row],[Grad_a]]))</f>
        <v/>
      </c>
      <c r="O706" s="2" t="str">
        <f>IF(Iterations[[#This Row],[Step]] =current_step, current_Grad_b,IF(Iterations[[#This Row],[Step]] &gt; current_step, "",Iterations[[#This Row],[Grad_b]]))</f>
        <v/>
      </c>
      <c r="P706" s="2" t="str">
        <f>IF(Iterations[[#This Row],[Step]] =current_step, current_Grad_c,IF(Iterations[[#This Row],[Step]] &gt; current_step, "",Iterations[[#This Row],[Grad_c]]))</f>
        <v/>
      </c>
      <c r="Q706" s="2" t="str">
        <f>IF(Iterations[[#This Row],[Step]] =current_step, current_Grad_d,IF(Iterations[[#This Row],[Step]] &gt; current_step, "",Iterations[[#This Row],[Grad_d]]))</f>
        <v/>
      </c>
      <c r="R706" s="2" t="str">
        <f>IF(Iterations[[#This Row],[Step]] =current_step, current_Grad_e,IF(Iterations[[#This Row],[Step]] &gt; current_step, "",Iterations[[#This Row],[Grad_e]]))</f>
        <v/>
      </c>
    </row>
    <row r="707" spans="6:18" x14ac:dyDescent="0.3">
      <c r="F707" s="2">
        <f t="shared" si="13"/>
        <v>690</v>
      </c>
      <c r="G707" s="2" t="str">
        <f>IF(Iterations[[#This Row],[Step]] =current_step, current_a,IF(Iterations[[#This Row],[Step]] &gt; current_step, "",Iterations[[#This Row],[a]]))</f>
        <v/>
      </c>
      <c r="H707" s="2" t="str">
        <f>IF(Iterations[[#This Row],[Step]] =current_step, current_b,IF(Iterations[[#This Row],[Step]] &gt; current_step, "",Iterations[[#This Row],[b]]))</f>
        <v/>
      </c>
      <c r="I707" s="2" t="str">
        <f>IF(Iterations[[#This Row],[Step]] =current_step, current_c,IF(Iterations[[#This Row],[Step]] &gt; current_step, "",Iterations[[#This Row],[c]]))</f>
        <v/>
      </c>
      <c r="J707" s="2" t="str">
        <f>IF(Iterations[[#This Row],[Step]] =current_step, current_d,IF(Iterations[[#This Row],[Step]] &gt; current_step, "",Iterations[[#This Row],[d]]))</f>
        <v/>
      </c>
      <c r="K707" s="2" t="str">
        <f>IF(Iterations[[#This Row],[Step]] =current_step, current_e,IF(Iterations[[#This Row],[Step]] &gt; current_step, "",Iterations[[#This Row],[e]]))</f>
        <v/>
      </c>
      <c r="L707" s="2" t="str">
        <f>IF(Iterations[[#This Row],[Step]] =current_step, current_Total_Loss,IF(Iterations[[#This Row],[Step]] &gt; current_step, "",Iterations[[#This Row],[Total Loss]]))</f>
        <v/>
      </c>
      <c r="M707" s="6" t="s">
        <v>27</v>
      </c>
      <c r="N707" s="2" t="str">
        <f>IF(Iterations[[#This Row],[Step]] =current_step, current_Grad_a,IF(Iterations[[#This Row],[Step]] &gt; current_step, "",Iterations[[#This Row],[Grad_a]]))</f>
        <v/>
      </c>
      <c r="O707" s="2" t="str">
        <f>IF(Iterations[[#This Row],[Step]] =current_step, current_Grad_b,IF(Iterations[[#This Row],[Step]] &gt; current_step, "",Iterations[[#This Row],[Grad_b]]))</f>
        <v/>
      </c>
      <c r="P707" s="2" t="str">
        <f>IF(Iterations[[#This Row],[Step]] =current_step, current_Grad_c,IF(Iterations[[#This Row],[Step]] &gt; current_step, "",Iterations[[#This Row],[Grad_c]]))</f>
        <v/>
      </c>
      <c r="Q707" s="2" t="str">
        <f>IF(Iterations[[#This Row],[Step]] =current_step, current_Grad_d,IF(Iterations[[#This Row],[Step]] &gt; current_step, "",Iterations[[#This Row],[Grad_d]]))</f>
        <v/>
      </c>
      <c r="R707" s="2" t="str">
        <f>IF(Iterations[[#This Row],[Step]] =current_step, current_Grad_e,IF(Iterations[[#This Row],[Step]] &gt; current_step, "",Iterations[[#This Row],[Grad_e]]))</f>
        <v/>
      </c>
    </row>
    <row r="708" spans="6:18" x14ac:dyDescent="0.3">
      <c r="F708" s="2">
        <f t="shared" si="13"/>
        <v>691</v>
      </c>
      <c r="G708" s="2" t="str">
        <f>IF(Iterations[[#This Row],[Step]] =current_step, current_a,IF(Iterations[[#This Row],[Step]] &gt; current_step, "",Iterations[[#This Row],[a]]))</f>
        <v/>
      </c>
      <c r="H708" s="2" t="str">
        <f>IF(Iterations[[#This Row],[Step]] =current_step, current_b,IF(Iterations[[#This Row],[Step]] &gt; current_step, "",Iterations[[#This Row],[b]]))</f>
        <v/>
      </c>
      <c r="I708" s="2" t="str">
        <f>IF(Iterations[[#This Row],[Step]] =current_step, current_c,IF(Iterations[[#This Row],[Step]] &gt; current_step, "",Iterations[[#This Row],[c]]))</f>
        <v/>
      </c>
      <c r="J708" s="2" t="str">
        <f>IF(Iterations[[#This Row],[Step]] =current_step, current_d,IF(Iterations[[#This Row],[Step]] &gt; current_step, "",Iterations[[#This Row],[d]]))</f>
        <v/>
      </c>
      <c r="K708" s="2" t="str">
        <f>IF(Iterations[[#This Row],[Step]] =current_step, current_e,IF(Iterations[[#This Row],[Step]] &gt; current_step, "",Iterations[[#This Row],[e]]))</f>
        <v/>
      </c>
      <c r="L708" s="2" t="str">
        <f>IF(Iterations[[#This Row],[Step]] =current_step, current_Total_Loss,IF(Iterations[[#This Row],[Step]] &gt; current_step, "",Iterations[[#This Row],[Total Loss]]))</f>
        <v/>
      </c>
      <c r="M708" s="6" t="s">
        <v>27</v>
      </c>
      <c r="N708" s="2" t="str">
        <f>IF(Iterations[[#This Row],[Step]] =current_step, current_Grad_a,IF(Iterations[[#This Row],[Step]] &gt; current_step, "",Iterations[[#This Row],[Grad_a]]))</f>
        <v/>
      </c>
      <c r="O708" s="2" t="str">
        <f>IF(Iterations[[#This Row],[Step]] =current_step, current_Grad_b,IF(Iterations[[#This Row],[Step]] &gt; current_step, "",Iterations[[#This Row],[Grad_b]]))</f>
        <v/>
      </c>
      <c r="P708" s="2" t="str">
        <f>IF(Iterations[[#This Row],[Step]] =current_step, current_Grad_c,IF(Iterations[[#This Row],[Step]] &gt; current_step, "",Iterations[[#This Row],[Grad_c]]))</f>
        <v/>
      </c>
      <c r="Q708" s="2" t="str">
        <f>IF(Iterations[[#This Row],[Step]] =current_step, current_Grad_d,IF(Iterations[[#This Row],[Step]] &gt; current_step, "",Iterations[[#This Row],[Grad_d]]))</f>
        <v/>
      </c>
      <c r="R708" s="2" t="str">
        <f>IF(Iterations[[#This Row],[Step]] =current_step, current_Grad_e,IF(Iterations[[#This Row],[Step]] &gt; current_step, "",Iterations[[#This Row],[Grad_e]]))</f>
        <v/>
      </c>
    </row>
    <row r="709" spans="6:18" x14ac:dyDescent="0.3">
      <c r="F709" s="2">
        <f t="shared" si="13"/>
        <v>692</v>
      </c>
      <c r="G709" s="2" t="str">
        <f>IF(Iterations[[#This Row],[Step]] =current_step, current_a,IF(Iterations[[#This Row],[Step]] &gt; current_step, "",Iterations[[#This Row],[a]]))</f>
        <v/>
      </c>
      <c r="H709" s="2" t="str">
        <f>IF(Iterations[[#This Row],[Step]] =current_step, current_b,IF(Iterations[[#This Row],[Step]] &gt; current_step, "",Iterations[[#This Row],[b]]))</f>
        <v/>
      </c>
      <c r="I709" s="2" t="str">
        <f>IF(Iterations[[#This Row],[Step]] =current_step, current_c,IF(Iterations[[#This Row],[Step]] &gt; current_step, "",Iterations[[#This Row],[c]]))</f>
        <v/>
      </c>
      <c r="J709" s="2" t="str">
        <f>IF(Iterations[[#This Row],[Step]] =current_step, current_d,IF(Iterations[[#This Row],[Step]] &gt; current_step, "",Iterations[[#This Row],[d]]))</f>
        <v/>
      </c>
      <c r="K709" s="2" t="str">
        <f>IF(Iterations[[#This Row],[Step]] =current_step, current_e,IF(Iterations[[#This Row],[Step]] &gt; current_step, "",Iterations[[#This Row],[e]]))</f>
        <v/>
      </c>
      <c r="L709" s="2" t="str">
        <f>IF(Iterations[[#This Row],[Step]] =current_step, current_Total_Loss,IF(Iterations[[#This Row],[Step]] &gt; current_step, "",Iterations[[#This Row],[Total Loss]]))</f>
        <v/>
      </c>
      <c r="M709" s="6" t="s">
        <v>27</v>
      </c>
      <c r="N709" s="2" t="str">
        <f>IF(Iterations[[#This Row],[Step]] =current_step, current_Grad_a,IF(Iterations[[#This Row],[Step]] &gt; current_step, "",Iterations[[#This Row],[Grad_a]]))</f>
        <v/>
      </c>
      <c r="O709" s="2" t="str">
        <f>IF(Iterations[[#This Row],[Step]] =current_step, current_Grad_b,IF(Iterations[[#This Row],[Step]] &gt; current_step, "",Iterations[[#This Row],[Grad_b]]))</f>
        <v/>
      </c>
      <c r="P709" s="2" t="str">
        <f>IF(Iterations[[#This Row],[Step]] =current_step, current_Grad_c,IF(Iterations[[#This Row],[Step]] &gt; current_step, "",Iterations[[#This Row],[Grad_c]]))</f>
        <v/>
      </c>
      <c r="Q709" s="2" t="str">
        <f>IF(Iterations[[#This Row],[Step]] =current_step, current_Grad_d,IF(Iterations[[#This Row],[Step]] &gt; current_step, "",Iterations[[#This Row],[Grad_d]]))</f>
        <v/>
      </c>
      <c r="R709" s="2" t="str">
        <f>IF(Iterations[[#This Row],[Step]] =current_step, current_Grad_e,IF(Iterations[[#This Row],[Step]] &gt; current_step, "",Iterations[[#This Row],[Grad_e]]))</f>
        <v/>
      </c>
    </row>
    <row r="710" spans="6:18" x14ac:dyDescent="0.3">
      <c r="F710" s="2">
        <f t="shared" si="13"/>
        <v>693</v>
      </c>
      <c r="G710" s="2" t="str">
        <f>IF(Iterations[[#This Row],[Step]] =current_step, current_a,IF(Iterations[[#This Row],[Step]] &gt; current_step, "",Iterations[[#This Row],[a]]))</f>
        <v/>
      </c>
      <c r="H710" s="2" t="str">
        <f>IF(Iterations[[#This Row],[Step]] =current_step, current_b,IF(Iterations[[#This Row],[Step]] &gt; current_step, "",Iterations[[#This Row],[b]]))</f>
        <v/>
      </c>
      <c r="I710" s="2" t="str">
        <f>IF(Iterations[[#This Row],[Step]] =current_step, current_c,IF(Iterations[[#This Row],[Step]] &gt; current_step, "",Iterations[[#This Row],[c]]))</f>
        <v/>
      </c>
      <c r="J710" s="2" t="str">
        <f>IF(Iterations[[#This Row],[Step]] =current_step, current_d,IF(Iterations[[#This Row],[Step]] &gt; current_step, "",Iterations[[#This Row],[d]]))</f>
        <v/>
      </c>
      <c r="K710" s="2" t="str">
        <f>IF(Iterations[[#This Row],[Step]] =current_step, current_e,IF(Iterations[[#This Row],[Step]] &gt; current_step, "",Iterations[[#This Row],[e]]))</f>
        <v/>
      </c>
      <c r="L710" s="2" t="str">
        <f>IF(Iterations[[#This Row],[Step]] =current_step, current_Total_Loss,IF(Iterations[[#This Row],[Step]] &gt; current_step, "",Iterations[[#This Row],[Total Loss]]))</f>
        <v/>
      </c>
      <c r="M710" s="6" t="s">
        <v>27</v>
      </c>
      <c r="N710" s="2" t="str">
        <f>IF(Iterations[[#This Row],[Step]] =current_step, current_Grad_a,IF(Iterations[[#This Row],[Step]] &gt; current_step, "",Iterations[[#This Row],[Grad_a]]))</f>
        <v/>
      </c>
      <c r="O710" s="2" t="str">
        <f>IF(Iterations[[#This Row],[Step]] =current_step, current_Grad_b,IF(Iterations[[#This Row],[Step]] &gt; current_step, "",Iterations[[#This Row],[Grad_b]]))</f>
        <v/>
      </c>
      <c r="P710" s="2" t="str">
        <f>IF(Iterations[[#This Row],[Step]] =current_step, current_Grad_c,IF(Iterations[[#This Row],[Step]] &gt; current_step, "",Iterations[[#This Row],[Grad_c]]))</f>
        <v/>
      </c>
      <c r="Q710" s="2" t="str">
        <f>IF(Iterations[[#This Row],[Step]] =current_step, current_Grad_d,IF(Iterations[[#This Row],[Step]] &gt; current_step, "",Iterations[[#This Row],[Grad_d]]))</f>
        <v/>
      </c>
      <c r="R710" s="2" t="str">
        <f>IF(Iterations[[#This Row],[Step]] =current_step, current_Grad_e,IF(Iterations[[#This Row],[Step]] &gt; current_step, "",Iterations[[#This Row],[Grad_e]]))</f>
        <v/>
      </c>
    </row>
    <row r="711" spans="6:18" x14ac:dyDescent="0.3">
      <c r="F711" s="2">
        <f t="shared" si="13"/>
        <v>694</v>
      </c>
      <c r="G711" s="2" t="str">
        <f>IF(Iterations[[#This Row],[Step]] =current_step, current_a,IF(Iterations[[#This Row],[Step]] &gt; current_step, "",Iterations[[#This Row],[a]]))</f>
        <v/>
      </c>
      <c r="H711" s="2" t="str">
        <f>IF(Iterations[[#This Row],[Step]] =current_step, current_b,IF(Iterations[[#This Row],[Step]] &gt; current_step, "",Iterations[[#This Row],[b]]))</f>
        <v/>
      </c>
      <c r="I711" s="2" t="str">
        <f>IF(Iterations[[#This Row],[Step]] =current_step, current_c,IF(Iterations[[#This Row],[Step]] &gt; current_step, "",Iterations[[#This Row],[c]]))</f>
        <v/>
      </c>
      <c r="J711" s="2" t="str">
        <f>IF(Iterations[[#This Row],[Step]] =current_step, current_d,IF(Iterations[[#This Row],[Step]] &gt; current_step, "",Iterations[[#This Row],[d]]))</f>
        <v/>
      </c>
      <c r="K711" s="2" t="str">
        <f>IF(Iterations[[#This Row],[Step]] =current_step, current_e,IF(Iterations[[#This Row],[Step]] &gt; current_step, "",Iterations[[#This Row],[e]]))</f>
        <v/>
      </c>
      <c r="L711" s="2" t="str">
        <f>IF(Iterations[[#This Row],[Step]] =current_step, current_Total_Loss,IF(Iterations[[#This Row],[Step]] &gt; current_step, "",Iterations[[#This Row],[Total Loss]]))</f>
        <v/>
      </c>
      <c r="M711" s="6" t="s">
        <v>27</v>
      </c>
      <c r="N711" s="2" t="str">
        <f>IF(Iterations[[#This Row],[Step]] =current_step, current_Grad_a,IF(Iterations[[#This Row],[Step]] &gt; current_step, "",Iterations[[#This Row],[Grad_a]]))</f>
        <v/>
      </c>
      <c r="O711" s="2" t="str">
        <f>IF(Iterations[[#This Row],[Step]] =current_step, current_Grad_b,IF(Iterations[[#This Row],[Step]] &gt; current_step, "",Iterations[[#This Row],[Grad_b]]))</f>
        <v/>
      </c>
      <c r="P711" s="2" t="str">
        <f>IF(Iterations[[#This Row],[Step]] =current_step, current_Grad_c,IF(Iterations[[#This Row],[Step]] &gt; current_step, "",Iterations[[#This Row],[Grad_c]]))</f>
        <v/>
      </c>
      <c r="Q711" s="2" t="str">
        <f>IF(Iterations[[#This Row],[Step]] =current_step, current_Grad_d,IF(Iterations[[#This Row],[Step]] &gt; current_step, "",Iterations[[#This Row],[Grad_d]]))</f>
        <v/>
      </c>
      <c r="R711" s="2" t="str">
        <f>IF(Iterations[[#This Row],[Step]] =current_step, current_Grad_e,IF(Iterations[[#This Row],[Step]] &gt; current_step, "",Iterations[[#This Row],[Grad_e]]))</f>
        <v/>
      </c>
    </row>
    <row r="712" spans="6:18" x14ac:dyDescent="0.3">
      <c r="F712" s="2">
        <f t="shared" si="13"/>
        <v>695</v>
      </c>
      <c r="G712" s="2" t="str">
        <f>IF(Iterations[[#This Row],[Step]] =current_step, current_a,IF(Iterations[[#This Row],[Step]] &gt; current_step, "",Iterations[[#This Row],[a]]))</f>
        <v/>
      </c>
      <c r="H712" s="2" t="str">
        <f>IF(Iterations[[#This Row],[Step]] =current_step, current_b,IF(Iterations[[#This Row],[Step]] &gt; current_step, "",Iterations[[#This Row],[b]]))</f>
        <v/>
      </c>
      <c r="I712" s="2" t="str">
        <f>IF(Iterations[[#This Row],[Step]] =current_step, current_c,IF(Iterations[[#This Row],[Step]] &gt; current_step, "",Iterations[[#This Row],[c]]))</f>
        <v/>
      </c>
      <c r="J712" s="2" t="str">
        <f>IF(Iterations[[#This Row],[Step]] =current_step, current_d,IF(Iterations[[#This Row],[Step]] &gt; current_step, "",Iterations[[#This Row],[d]]))</f>
        <v/>
      </c>
      <c r="K712" s="2" t="str">
        <f>IF(Iterations[[#This Row],[Step]] =current_step, current_e,IF(Iterations[[#This Row],[Step]] &gt; current_step, "",Iterations[[#This Row],[e]]))</f>
        <v/>
      </c>
      <c r="L712" s="2" t="str">
        <f>IF(Iterations[[#This Row],[Step]] =current_step, current_Total_Loss,IF(Iterations[[#This Row],[Step]] &gt; current_step, "",Iterations[[#This Row],[Total Loss]]))</f>
        <v/>
      </c>
      <c r="M712" s="6" t="s">
        <v>27</v>
      </c>
      <c r="N712" s="2" t="str">
        <f>IF(Iterations[[#This Row],[Step]] =current_step, current_Grad_a,IF(Iterations[[#This Row],[Step]] &gt; current_step, "",Iterations[[#This Row],[Grad_a]]))</f>
        <v/>
      </c>
      <c r="O712" s="2" t="str">
        <f>IF(Iterations[[#This Row],[Step]] =current_step, current_Grad_b,IF(Iterations[[#This Row],[Step]] &gt; current_step, "",Iterations[[#This Row],[Grad_b]]))</f>
        <v/>
      </c>
      <c r="P712" s="2" t="str">
        <f>IF(Iterations[[#This Row],[Step]] =current_step, current_Grad_c,IF(Iterations[[#This Row],[Step]] &gt; current_step, "",Iterations[[#This Row],[Grad_c]]))</f>
        <v/>
      </c>
      <c r="Q712" s="2" t="str">
        <f>IF(Iterations[[#This Row],[Step]] =current_step, current_Grad_d,IF(Iterations[[#This Row],[Step]] &gt; current_step, "",Iterations[[#This Row],[Grad_d]]))</f>
        <v/>
      </c>
      <c r="R712" s="2" t="str">
        <f>IF(Iterations[[#This Row],[Step]] =current_step, current_Grad_e,IF(Iterations[[#This Row],[Step]] &gt; current_step, "",Iterations[[#This Row],[Grad_e]]))</f>
        <v/>
      </c>
    </row>
    <row r="713" spans="6:18" x14ac:dyDescent="0.3">
      <c r="F713" s="2">
        <f t="shared" si="13"/>
        <v>696</v>
      </c>
      <c r="G713" s="2" t="str">
        <f>IF(Iterations[[#This Row],[Step]] =current_step, current_a,IF(Iterations[[#This Row],[Step]] &gt; current_step, "",Iterations[[#This Row],[a]]))</f>
        <v/>
      </c>
      <c r="H713" s="2" t="str">
        <f>IF(Iterations[[#This Row],[Step]] =current_step, current_b,IF(Iterations[[#This Row],[Step]] &gt; current_step, "",Iterations[[#This Row],[b]]))</f>
        <v/>
      </c>
      <c r="I713" s="2" t="str">
        <f>IF(Iterations[[#This Row],[Step]] =current_step, current_c,IF(Iterations[[#This Row],[Step]] &gt; current_step, "",Iterations[[#This Row],[c]]))</f>
        <v/>
      </c>
      <c r="J713" s="2" t="str">
        <f>IF(Iterations[[#This Row],[Step]] =current_step, current_d,IF(Iterations[[#This Row],[Step]] &gt; current_step, "",Iterations[[#This Row],[d]]))</f>
        <v/>
      </c>
      <c r="K713" s="2" t="str">
        <f>IF(Iterations[[#This Row],[Step]] =current_step, current_e,IF(Iterations[[#This Row],[Step]] &gt; current_step, "",Iterations[[#This Row],[e]]))</f>
        <v/>
      </c>
      <c r="L713" s="2" t="str">
        <f>IF(Iterations[[#This Row],[Step]] =current_step, current_Total_Loss,IF(Iterations[[#This Row],[Step]] &gt; current_step, "",Iterations[[#This Row],[Total Loss]]))</f>
        <v/>
      </c>
      <c r="M713" s="6" t="s">
        <v>27</v>
      </c>
      <c r="N713" s="2" t="str">
        <f>IF(Iterations[[#This Row],[Step]] =current_step, current_Grad_a,IF(Iterations[[#This Row],[Step]] &gt; current_step, "",Iterations[[#This Row],[Grad_a]]))</f>
        <v/>
      </c>
      <c r="O713" s="2" t="str">
        <f>IF(Iterations[[#This Row],[Step]] =current_step, current_Grad_b,IF(Iterations[[#This Row],[Step]] &gt; current_step, "",Iterations[[#This Row],[Grad_b]]))</f>
        <v/>
      </c>
      <c r="P713" s="2" t="str">
        <f>IF(Iterations[[#This Row],[Step]] =current_step, current_Grad_c,IF(Iterations[[#This Row],[Step]] &gt; current_step, "",Iterations[[#This Row],[Grad_c]]))</f>
        <v/>
      </c>
      <c r="Q713" s="2" t="str">
        <f>IF(Iterations[[#This Row],[Step]] =current_step, current_Grad_d,IF(Iterations[[#This Row],[Step]] &gt; current_step, "",Iterations[[#This Row],[Grad_d]]))</f>
        <v/>
      </c>
      <c r="R713" s="2" t="str">
        <f>IF(Iterations[[#This Row],[Step]] =current_step, current_Grad_e,IF(Iterations[[#This Row],[Step]] &gt; current_step, "",Iterations[[#This Row],[Grad_e]]))</f>
        <v/>
      </c>
    </row>
    <row r="714" spans="6:18" x14ac:dyDescent="0.3">
      <c r="F714" s="2">
        <f t="shared" si="13"/>
        <v>697</v>
      </c>
      <c r="G714" s="2" t="str">
        <f>IF(Iterations[[#This Row],[Step]] =current_step, current_a,IF(Iterations[[#This Row],[Step]] &gt; current_step, "",Iterations[[#This Row],[a]]))</f>
        <v/>
      </c>
      <c r="H714" s="2" t="str">
        <f>IF(Iterations[[#This Row],[Step]] =current_step, current_b,IF(Iterations[[#This Row],[Step]] &gt; current_step, "",Iterations[[#This Row],[b]]))</f>
        <v/>
      </c>
      <c r="I714" s="2" t="str">
        <f>IF(Iterations[[#This Row],[Step]] =current_step, current_c,IF(Iterations[[#This Row],[Step]] &gt; current_step, "",Iterations[[#This Row],[c]]))</f>
        <v/>
      </c>
      <c r="J714" s="2" t="str">
        <f>IF(Iterations[[#This Row],[Step]] =current_step, current_d,IF(Iterations[[#This Row],[Step]] &gt; current_step, "",Iterations[[#This Row],[d]]))</f>
        <v/>
      </c>
      <c r="K714" s="2" t="str">
        <f>IF(Iterations[[#This Row],[Step]] =current_step, current_e,IF(Iterations[[#This Row],[Step]] &gt; current_step, "",Iterations[[#This Row],[e]]))</f>
        <v/>
      </c>
      <c r="L714" s="2" t="str">
        <f>IF(Iterations[[#This Row],[Step]] =current_step, current_Total_Loss,IF(Iterations[[#This Row],[Step]] &gt; current_step, "",Iterations[[#This Row],[Total Loss]]))</f>
        <v/>
      </c>
      <c r="M714" s="6" t="s">
        <v>27</v>
      </c>
      <c r="N714" s="2" t="str">
        <f>IF(Iterations[[#This Row],[Step]] =current_step, current_Grad_a,IF(Iterations[[#This Row],[Step]] &gt; current_step, "",Iterations[[#This Row],[Grad_a]]))</f>
        <v/>
      </c>
      <c r="O714" s="2" t="str">
        <f>IF(Iterations[[#This Row],[Step]] =current_step, current_Grad_b,IF(Iterations[[#This Row],[Step]] &gt; current_step, "",Iterations[[#This Row],[Grad_b]]))</f>
        <v/>
      </c>
      <c r="P714" s="2" t="str">
        <f>IF(Iterations[[#This Row],[Step]] =current_step, current_Grad_c,IF(Iterations[[#This Row],[Step]] &gt; current_step, "",Iterations[[#This Row],[Grad_c]]))</f>
        <v/>
      </c>
      <c r="Q714" s="2" t="str">
        <f>IF(Iterations[[#This Row],[Step]] =current_step, current_Grad_d,IF(Iterations[[#This Row],[Step]] &gt; current_step, "",Iterations[[#This Row],[Grad_d]]))</f>
        <v/>
      </c>
      <c r="R714" s="2" t="str">
        <f>IF(Iterations[[#This Row],[Step]] =current_step, current_Grad_e,IF(Iterations[[#This Row],[Step]] &gt; current_step, "",Iterations[[#This Row],[Grad_e]]))</f>
        <v/>
      </c>
    </row>
    <row r="715" spans="6:18" x14ac:dyDescent="0.3">
      <c r="F715" s="2">
        <f t="shared" si="13"/>
        <v>698</v>
      </c>
      <c r="G715" s="2" t="str">
        <f>IF(Iterations[[#This Row],[Step]] =current_step, current_a,IF(Iterations[[#This Row],[Step]] &gt; current_step, "",Iterations[[#This Row],[a]]))</f>
        <v/>
      </c>
      <c r="H715" s="2" t="str">
        <f>IF(Iterations[[#This Row],[Step]] =current_step, current_b,IF(Iterations[[#This Row],[Step]] &gt; current_step, "",Iterations[[#This Row],[b]]))</f>
        <v/>
      </c>
      <c r="I715" s="2" t="str">
        <f>IF(Iterations[[#This Row],[Step]] =current_step, current_c,IF(Iterations[[#This Row],[Step]] &gt; current_step, "",Iterations[[#This Row],[c]]))</f>
        <v/>
      </c>
      <c r="J715" s="2" t="str">
        <f>IF(Iterations[[#This Row],[Step]] =current_step, current_d,IF(Iterations[[#This Row],[Step]] &gt; current_step, "",Iterations[[#This Row],[d]]))</f>
        <v/>
      </c>
      <c r="K715" s="2" t="str">
        <f>IF(Iterations[[#This Row],[Step]] =current_step, current_e,IF(Iterations[[#This Row],[Step]] &gt; current_step, "",Iterations[[#This Row],[e]]))</f>
        <v/>
      </c>
      <c r="L715" s="2" t="str">
        <f>IF(Iterations[[#This Row],[Step]] =current_step, current_Total_Loss,IF(Iterations[[#This Row],[Step]] &gt; current_step, "",Iterations[[#This Row],[Total Loss]]))</f>
        <v/>
      </c>
      <c r="M715" s="6" t="s">
        <v>27</v>
      </c>
      <c r="N715" s="2" t="str">
        <f>IF(Iterations[[#This Row],[Step]] =current_step, current_Grad_a,IF(Iterations[[#This Row],[Step]] &gt; current_step, "",Iterations[[#This Row],[Grad_a]]))</f>
        <v/>
      </c>
      <c r="O715" s="2" t="str">
        <f>IF(Iterations[[#This Row],[Step]] =current_step, current_Grad_b,IF(Iterations[[#This Row],[Step]] &gt; current_step, "",Iterations[[#This Row],[Grad_b]]))</f>
        <v/>
      </c>
      <c r="P715" s="2" t="str">
        <f>IF(Iterations[[#This Row],[Step]] =current_step, current_Grad_c,IF(Iterations[[#This Row],[Step]] &gt; current_step, "",Iterations[[#This Row],[Grad_c]]))</f>
        <v/>
      </c>
      <c r="Q715" s="2" t="str">
        <f>IF(Iterations[[#This Row],[Step]] =current_step, current_Grad_d,IF(Iterations[[#This Row],[Step]] &gt; current_step, "",Iterations[[#This Row],[Grad_d]]))</f>
        <v/>
      </c>
      <c r="R715" s="2" t="str">
        <f>IF(Iterations[[#This Row],[Step]] =current_step, current_Grad_e,IF(Iterations[[#This Row],[Step]] &gt; current_step, "",Iterations[[#This Row],[Grad_e]]))</f>
        <v/>
      </c>
    </row>
    <row r="716" spans="6:18" x14ac:dyDescent="0.3">
      <c r="F716" s="2">
        <f t="shared" si="13"/>
        <v>699</v>
      </c>
      <c r="G716" s="2" t="str">
        <f>IF(Iterations[[#This Row],[Step]] =current_step, current_a,IF(Iterations[[#This Row],[Step]] &gt; current_step, "",Iterations[[#This Row],[a]]))</f>
        <v/>
      </c>
      <c r="H716" s="2" t="str">
        <f>IF(Iterations[[#This Row],[Step]] =current_step, current_b,IF(Iterations[[#This Row],[Step]] &gt; current_step, "",Iterations[[#This Row],[b]]))</f>
        <v/>
      </c>
      <c r="I716" s="2" t="str">
        <f>IF(Iterations[[#This Row],[Step]] =current_step, current_c,IF(Iterations[[#This Row],[Step]] &gt; current_step, "",Iterations[[#This Row],[c]]))</f>
        <v/>
      </c>
      <c r="J716" s="2" t="str">
        <f>IF(Iterations[[#This Row],[Step]] =current_step, current_d,IF(Iterations[[#This Row],[Step]] &gt; current_step, "",Iterations[[#This Row],[d]]))</f>
        <v/>
      </c>
      <c r="K716" s="2" t="str">
        <f>IF(Iterations[[#This Row],[Step]] =current_step, current_e,IF(Iterations[[#This Row],[Step]] &gt; current_step, "",Iterations[[#This Row],[e]]))</f>
        <v/>
      </c>
      <c r="L716" s="2" t="str">
        <f>IF(Iterations[[#This Row],[Step]] =current_step, current_Total_Loss,IF(Iterations[[#This Row],[Step]] &gt; current_step, "",Iterations[[#This Row],[Total Loss]]))</f>
        <v/>
      </c>
      <c r="M716" s="6" t="s">
        <v>27</v>
      </c>
      <c r="N716" s="2" t="str">
        <f>IF(Iterations[[#This Row],[Step]] =current_step, current_Grad_a,IF(Iterations[[#This Row],[Step]] &gt; current_step, "",Iterations[[#This Row],[Grad_a]]))</f>
        <v/>
      </c>
      <c r="O716" s="2" t="str">
        <f>IF(Iterations[[#This Row],[Step]] =current_step, current_Grad_b,IF(Iterations[[#This Row],[Step]] &gt; current_step, "",Iterations[[#This Row],[Grad_b]]))</f>
        <v/>
      </c>
      <c r="P716" s="2" t="str">
        <f>IF(Iterations[[#This Row],[Step]] =current_step, current_Grad_c,IF(Iterations[[#This Row],[Step]] &gt; current_step, "",Iterations[[#This Row],[Grad_c]]))</f>
        <v/>
      </c>
      <c r="Q716" s="2" t="str">
        <f>IF(Iterations[[#This Row],[Step]] =current_step, current_Grad_d,IF(Iterations[[#This Row],[Step]] &gt; current_step, "",Iterations[[#This Row],[Grad_d]]))</f>
        <v/>
      </c>
      <c r="R716" s="2" t="str">
        <f>IF(Iterations[[#This Row],[Step]] =current_step, current_Grad_e,IF(Iterations[[#This Row],[Step]] &gt; current_step, "",Iterations[[#This Row],[Grad_e]]))</f>
        <v/>
      </c>
    </row>
    <row r="717" spans="6:18" x14ac:dyDescent="0.3">
      <c r="F717" s="2">
        <f t="shared" si="13"/>
        <v>700</v>
      </c>
      <c r="G717" s="2" t="str">
        <f>IF(Iterations[[#This Row],[Step]] =current_step, current_a,IF(Iterations[[#This Row],[Step]] &gt; current_step, "",Iterations[[#This Row],[a]]))</f>
        <v/>
      </c>
      <c r="H717" s="2" t="str">
        <f>IF(Iterations[[#This Row],[Step]] =current_step, current_b,IF(Iterations[[#This Row],[Step]] &gt; current_step, "",Iterations[[#This Row],[b]]))</f>
        <v/>
      </c>
      <c r="I717" s="2" t="str">
        <f>IF(Iterations[[#This Row],[Step]] =current_step, current_c,IF(Iterations[[#This Row],[Step]] &gt; current_step, "",Iterations[[#This Row],[c]]))</f>
        <v/>
      </c>
      <c r="J717" s="2" t="str">
        <f>IF(Iterations[[#This Row],[Step]] =current_step, current_d,IF(Iterations[[#This Row],[Step]] &gt; current_step, "",Iterations[[#This Row],[d]]))</f>
        <v/>
      </c>
      <c r="K717" s="2" t="str">
        <f>IF(Iterations[[#This Row],[Step]] =current_step, current_e,IF(Iterations[[#This Row],[Step]] &gt; current_step, "",Iterations[[#This Row],[e]]))</f>
        <v/>
      </c>
      <c r="L717" s="2" t="str">
        <f>IF(Iterations[[#This Row],[Step]] =current_step, current_Total_Loss,IF(Iterations[[#This Row],[Step]] &gt; current_step, "",Iterations[[#This Row],[Total Loss]]))</f>
        <v/>
      </c>
      <c r="M717" s="6" t="s">
        <v>27</v>
      </c>
      <c r="N717" s="2" t="str">
        <f>IF(Iterations[[#This Row],[Step]] =current_step, current_Grad_a,IF(Iterations[[#This Row],[Step]] &gt; current_step, "",Iterations[[#This Row],[Grad_a]]))</f>
        <v/>
      </c>
      <c r="O717" s="2" t="str">
        <f>IF(Iterations[[#This Row],[Step]] =current_step, current_Grad_b,IF(Iterations[[#This Row],[Step]] &gt; current_step, "",Iterations[[#This Row],[Grad_b]]))</f>
        <v/>
      </c>
      <c r="P717" s="2" t="str">
        <f>IF(Iterations[[#This Row],[Step]] =current_step, current_Grad_c,IF(Iterations[[#This Row],[Step]] &gt; current_step, "",Iterations[[#This Row],[Grad_c]]))</f>
        <v/>
      </c>
      <c r="Q717" s="2" t="str">
        <f>IF(Iterations[[#This Row],[Step]] =current_step, current_Grad_d,IF(Iterations[[#This Row],[Step]] &gt; current_step, "",Iterations[[#This Row],[Grad_d]]))</f>
        <v/>
      </c>
      <c r="R717" s="2" t="str">
        <f>IF(Iterations[[#This Row],[Step]] =current_step, current_Grad_e,IF(Iterations[[#This Row],[Step]] &gt; current_step, "",Iterations[[#This Row],[Grad_e]]))</f>
        <v/>
      </c>
    </row>
    <row r="718" spans="6:18" x14ac:dyDescent="0.3">
      <c r="F718" s="2">
        <f t="shared" si="13"/>
        <v>701</v>
      </c>
      <c r="G718" s="2" t="str">
        <f>IF(Iterations[[#This Row],[Step]] =current_step, current_a,IF(Iterations[[#This Row],[Step]] &gt; current_step, "",Iterations[[#This Row],[a]]))</f>
        <v/>
      </c>
      <c r="H718" s="2" t="str">
        <f>IF(Iterations[[#This Row],[Step]] =current_step, current_b,IF(Iterations[[#This Row],[Step]] &gt; current_step, "",Iterations[[#This Row],[b]]))</f>
        <v/>
      </c>
      <c r="I718" s="2" t="str">
        <f>IF(Iterations[[#This Row],[Step]] =current_step, current_c,IF(Iterations[[#This Row],[Step]] &gt; current_step, "",Iterations[[#This Row],[c]]))</f>
        <v/>
      </c>
      <c r="J718" s="2" t="str">
        <f>IF(Iterations[[#This Row],[Step]] =current_step, current_d,IF(Iterations[[#This Row],[Step]] &gt; current_step, "",Iterations[[#This Row],[d]]))</f>
        <v/>
      </c>
      <c r="K718" s="2" t="str">
        <f>IF(Iterations[[#This Row],[Step]] =current_step, current_e,IF(Iterations[[#This Row],[Step]] &gt; current_step, "",Iterations[[#This Row],[e]]))</f>
        <v/>
      </c>
      <c r="L718" s="2" t="str">
        <f>IF(Iterations[[#This Row],[Step]] =current_step, current_Total_Loss,IF(Iterations[[#This Row],[Step]] &gt; current_step, "",Iterations[[#This Row],[Total Loss]]))</f>
        <v/>
      </c>
      <c r="M718" s="6" t="s">
        <v>27</v>
      </c>
      <c r="N718" s="2" t="str">
        <f>IF(Iterations[[#This Row],[Step]] =current_step, current_Grad_a,IF(Iterations[[#This Row],[Step]] &gt; current_step, "",Iterations[[#This Row],[Grad_a]]))</f>
        <v/>
      </c>
      <c r="O718" s="2" t="str">
        <f>IF(Iterations[[#This Row],[Step]] =current_step, current_Grad_b,IF(Iterations[[#This Row],[Step]] &gt; current_step, "",Iterations[[#This Row],[Grad_b]]))</f>
        <v/>
      </c>
      <c r="P718" s="2" t="str">
        <f>IF(Iterations[[#This Row],[Step]] =current_step, current_Grad_c,IF(Iterations[[#This Row],[Step]] &gt; current_step, "",Iterations[[#This Row],[Grad_c]]))</f>
        <v/>
      </c>
      <c r="Q718" s="2" t="str">
        <f>IF(Iterations[[#This Row],[Step]] =current_step, current_Grad_d,IF(Iterations[[#This Row],[Step]] &gt; current_step, "",Iterations[[#This Row],[Grad_d]]))</f>
        <v/>
      </c>
      <c r="R718" s="2" t="str">
        <f>IF(Iterations[[#This Row],[Step]] =current_step, current_Grad_e,IF(Iterations[[#This Row],[Step]] &gt; current_step, "",Iterations[[#This Row],[Grad_e]]))</f>
        <v/>
      </c>
    </row>
    <row r="719" spans="6:18" x14ac:dyDescent="0.3">
      <c r="F719" s="2">
        <f t="shared" si="13"/>
        <v>702</v>
      </c>
      <c r="G719" s="2" t="str">
        <f>IF(Iterations[[#This Row],[Step]] =current_step, current_a,IF(Iterations[[#This Row],[Step]] &gt; current_step, "",Iterations[[#This Row],[a]]))</f>
        <v/>
      </c>
      <c r="H719" s="2" t="str">
        <f>IF(Iterations[[#This Row],[Step]] =current_step, current_b,IF(Iterations[[#This Row],[Step]] &gt; current_step, "",Iterations[[#This Row],[b]]))</f>
        <v/>
      </c>
      <c r="I719" s="2" t="str">
        <f>IF(Iterations[[#This Row],[Step]] =current_step, current_c,IF(Iterations[[#This Row],[Step]] &gt; current_step, "",Iterations[[#This Row],[c]]))</f>
        <v/>
      </c>
      <c r="J719" s="2" t="str">
        <f>IF(Iterations[[#This Row],[Step]] =current_step, current_d,IF(Iterations[[#This Row],[Step]] &gt; current_step, "",Iterations[[#This Row],[d]]))</f>
        <v/>
      </c>
      <c r="K719" s="2" t="str">
        <f>IF(Iterations[[#This Row],[Step]] =current_step, current_e,IF(Iterations[[#This Row],[Step]] &gt; current_step, "",Iterations[[#This Row],[e]]))</f>
        <v/>
      </c>
      <c r="L719" s="2" t="str">
        <f>IF(Iterations[[#This Row],[Step]] =current_step, current_Total_Loss,IF(Iterations[[#This Row],[Step]] &gt; current_step, "",Iterations[[#This Row],[Total Loss]]))</f>
        <v/>
      </c>
      <c r="M719" s="6" t="s">
        <v>27</v>
      </c>
      <c r="N719" s="2" t="str">
        <f>IF(Iterations[[#This Row],[Step]] =current_step, current_Grad_a,IF(Iterations[[#This Row],[Step]] &gt; current_step, "",Iterations[[#This Row],[Grad_a]]))</f>
        <v/>
      </c>
      <c r="O719" s="2" t="str">
        <f>IF(Iterations[[#This Row],[Step]] =current_step, current_Grad_b,IF(Iterations[[#This Row],[Step]] &gt; current_step, "",Iterations[[#This Row],[Grad_b]]))</f>
        <v/>
      </c>
      <c r="P719" s="2" t="str">
        <f>IF(Iterations[[#This Row],[Step]] =current_step, current_Grad_c,IF(Iterations[[#This Row],[Step]] &gt; current_step, "",Iterations[[#This Row],[Grad_c]]))</f>
        <v/>
      </c>
      <c r="Q719" s="2" t="str">
        <f>IF(Iterations[[#This Row],[Step]] =current_step, current_Grad_d,IF(Iterations[[#This Row],[Step]] &gt; current_step, "",Iterations[[#This Row],[Grad_d]]))</f>
        <v/>
      </c>
      <c r="R719" s="2" t="str">
        <f>IF(Iterations[[#This Row],[Step]] =current_step, current_Grad_e,IF(Iterations[[#This Row],[Step]] &gt; current_step, "",Iterations[[#This Row],[Grad_e]]))</f>
        <v/>
      </c>
    </row>
    <row r="720" spans="6:18" x14ac:dyDescent="0.3">
      <c r="F720" s="2">
        <f t="shared" si="13"/>
        <v>703</v>
      </c>
      <c r="G720" s="2" t="str">
        <f>IF(Iterations[[#This Row],[Step]] =current_step, current_a,IF(Iterations[[#This Row],[Step]] &gt; current_step, "",Iterations[[#This Row],[a]]))</f>
        <v/>
      </c>
      <c r="H720" s="2" t="str">
        <f>IF(Iterations[[#This Row],[Step]] =current_step, current_b,IF(Iterations[[#This Row],[Step]] &gt; current_step, "",Iterations[[#This Row],[b]]))</f>
        <v/>
      </c>
      <c r="I720" s="2" t="str">
        <f>IF(Iterations[[#This Row],[Step]] =current_step, current_c,IF(Iterations[[#This Row],[Step]] &gt; current_step, "",Iterations[[#This Row],[c]]))</f>
        <v/>
      </c>
      <c r="J720" s="2" t="str">
        <f>IF(Iterations[[#This Row],[Step]] =current_step, current_d,IF(Iterations[[#This Row],[Step]] &gt; current_step, "",Iterations[[#This Row],[d]]))</f>
        <v/>
      </c>
      <c r="K720" s="2" t="str">
        <f>IF(Iterations[[#This Row],[Step]] =current_step, current_e,IF(Iterations[[#This Row],[Step]] &gt; current_step, "",Iterations[[#This Row],[e]]))</f>
        <v/>
      </c>
      <c r="L720" s="2" t="str">
        <f>IF(Iterations[[#This Row],[Step]] =current_step, current_Total_Loss,IF(Iterations[[#This Row],[Step]] &gt; current_step, "",Iterations[[#This Row],[Total Loss]]))</f>
        <v/>
      </c>
      <c r="M720" s="6" t="s">
        <v>27</v>
      </c>
      <c r="N720" s="2" t="str">
        <f>IF(Iterations[[#This Row],[Step]] =current_step, current_Grad_a,IF(Iterations[[#This Row],[Step]] &gt; current_step, "",Iterations[[#This Row],[Grad_a]]))</f>
        <v/>
      </c>
      <c r="O720" s="2" t="str">
        <f>IF(Iterations[[#This Row],[Step]] =current_step, current_Grad_b,IF(Iterations[[#This Row],[Step]] &gt; current_step, "",Iterations[[#This Row],[Grad_b]]))</f>
        <v/>
      </c>
      <c r="P720" s="2" t="str">
        <f>IF(Iterations[[#This Row],[Step]] =current_step, current_Grad_c,IF(Iterations[[#This Row],[Step]] &gt; current_step, "",Iterations[[#This Row],[Grad_c]]))</f>
        <v/>
      </c>
      <c r="Q720" s="2" t="str">
        <f>IF(Iterations[[#This Row],[Step]] =current_step, current_Grad_d,IF(Iterations[[#This Row],[Step]] &gt; current_step, "",Iterations[[#This Row],[Grad_d]]))</f>
        <v/>
      </c>
      <c r="R720" s="2" t="str">
        <f>IF(Iterations[[#This Row],[Step]] =current_step, current_Grad_e,IF(Iterations[[#This Row],[Step]] &gt; current_step, "",Iterations[[#This Row],[Grad_e]]))</f>
        <v/>
      </c>
    </row>
    <row r="721" spans="6:18" x14ac:dyDescent="0.3">
      <c r="F721" s="2">
        <f t="shared" si="13"/>
        <v>704</v>
      </c>
      <c r="G721" s="2" t="str">
        <f>IF(Iterations[[#This Row],[Step]] =current_step, current_a,IF(Iterations[[#This Row],[Step]] &gt; current_step, "",Iterations[[#This Row],[a]]))</f>
        <v/>
      </c>
      <c r="H721" s="2" t="str">
        <f>IF(Iterations[[#This Row],[Step]] =current_step, current_b,IF(Iterations[[#This Row],[Step]] &gt; current_step, "",Iterations[[#This Row],[b]]))</f>
        <v/>
      </c>
      <c r="I721" s="2" t="str">
        <f>IF(Iterations[[#This Row],[Step]] =current_step, current_c,IF(Iterations[[#This Row],[Step]] &gt; current_step, "",Iterations[[#This Row],[c]]))</f>
        <v/>
      </c>
      <c r="J721" s="2" t="str">
        <f>IF(Iterations[[#This Row],[Step]] =current_step, current_d,IF(Iterations[[#This Row],[Step]] &gt; current_step, "",Iterations[[#This Row],[d]]))</f>
        <v/>
      </c>
      <c r="K721" s="2" t="str">
        <f>IF(Iterations[[#This Row],[Step]] =current_step, current_e,IF(Iterations[[#This Row],[Step]] &gt; current_step, "",Iterations[[#This Row],[e]]))</f>
        <v/>
      </c>
      <c r="L721" s="2" t="str">
        <f>IF(Iterations[[#This Row],[Step]] =current_step, current_Total_Loss,IF(Iterations[[#This Row],[Step]] &gt; current_step, "",Iterations[[#This Row],[Total Loss]]))</f>
        <v/>
      </c>
      <c r="M721" s="6" t="s">
        <v>27</v>
      </c>
      <c r="N721" s="2" t="str">
        <f>IF(Iterations[[#This Row],[Step]] =current_step, current_Grad_a,IF(Iterations[[#This Row],[Step]] &gt; current_step, "",Iterations[[#This Row],[Grad_a]]))</f>
        <v/>
      </c>
      <c r="O721" s="2" t="str">
        <f>IF(Iterations[[#This Row],[Step]] =current_step, current_Grad_b,IF(Iterations[[#This Row],[Step]] &gt; current_step, "",Iterations[[#This Row],[Grad_b]]))</f>
        <v/>
      </c>
      <c r="P721" s="2" t="str">
        <f>IF(Iterations[[#This Row],[Step]] =current_step, current_Grad_c,IF(Iterations[[#This Row],[Step]] &gt; current_step, "",Iterations[[#This Row],[Grad_c]]))</f>
        <v/>
      </c>
      <c r="Q721" s="2" t="str">
        <f>IF(Iterations[[#This Row],[Step]] =current_step, current_Grad_d,IF(Iterations[[#This Row],[Step]] &gt; current_step, "",Iterations[[#This Row],[Grad_d]]))</f>
        <v/>
      </c>
      <c r="R721" s="2" t="str">
        <f>IF(Iterations[[#This Row],[Step]] =current_step, current_Grad_e,IF(Iterations[[#This Row],[Step]] &gt; current_step, "",Iterations[[#This Row],[Grad_e]]))</f>
        <v/>
      </c>
    </row>
    <row r="722" spans="6:18" x14ac:dyDescent="0.3">
      <c r="F722" s="2">
        <f t="shared" si="13"/>
        <v>705</v>
      </c>
      <c r="G722" s="2" t="str">
        <f>IF(Iterations[[#This Row],[Step]] =current_step, current_a,IF(Iterations[[#This Row],[Step]] &gt; current_step, "",Iterations[[#This Row],[a]]))</f>
        <v/>
      </c>
      <c r="H722" s="2" t="str">
        <f>IF(Iterations[[#This Row],[Step]] =current_step, current_b,IF(Iterations[[#This Row],[Step]] &gt; current_step, "",Iterations[[#This Row],[b]]))</f>
        <v/>
      </c>
      <c r="I722" s="2" t="str">
        <f>IF(Iterations[[#This Row],[Step]] =current_step, current_c,IF(Iterations[[#This Row],[Step]] &gt; current_step, "",Iterations[[#This Row],[c]]))</f>
        <v/>
      </c>
      <c r="J722" s="2" t="str">
        <f>IF(Iterations[[#This Row],[Step]] =current_step, current_d,IF(Iterations[[#This Row],[Step]] &gt; current_step, "",Iterations[[#This Row],[d]]))</f>
        <v/>
      </c>
      <c r="K722" s="2" t="str">
        <f>IF(Iterations[[#This Row],[Step]] =current_step, current_e,IF(Iterations[[#This Row],[Step]] &gt; current_step, "",Iterations[[#This Row],[e]]))</f>
        <v/>
      </c>
      <c r="L722" s="2" t="str">
        <f>IF(Iterations[[#This Row],[Step]] =current_step, current_Total_Loss,IF(Iterations[[#This Row],[Step]] &gt; current_step, "",Iterations[[#This Row],[Total Loss]]))</f>
        <v/>
      </c>
      <c r="M722" s="6" t="s">
        <v>27</v>
      </c>
      <c r="N722" s="2" t="str">
        <f>IF(Iterations[[#This Row],[Step]] =current_step, current_Grad_a,IF(Iterations[[#This Row],[Step]] &gt; current_step, "",Iterations[[#This Row],[Grad_a]]))</f>
        <v/>
      </c>
      <c r="O722" s="2" t="str">
        <f>IF(Iterations[[#This Row],[Step]] =current_step, current_Grad_b,IF(Iterations[[#This Row],[Step]] &gt; current_step, "",Iterations[[#This Row],[Grad_b]]))</f>
        <v/>
      </c>
      <c r="P722" s="2" t="str">
        <f>IF(Iterations[[#This Row],[Step]] =current_step, current_Grad_c,IF(Iterations[[#This Row],[Step]] &gt; current_step, "",Iterations[[#This Row],[Grad_c]]))</f>
        <v/>
      </c>
      <c r="Q722" s="2" t="str">
        <f>IF(Iterations[[#This Row],[Step]] =current_step, current_Grad_d,IF(Iterations[[#This Row],[Step]] &gt; current_step, "",Iterations[[#This Row],[Grad_d]]))</f>
        <v/>
      </c>
      <c r="R722" s="2" t="str">
        <f>IF(Iterations[[#This Row],[Step]] =current_step, current_Grad_e,IF(Iterations[[#This Row],[Step]] &gt; current_step, "",Iterations[[#This Row],[Grad_e]]))</f>
        <v/>
      </c>
    </row>
    <row r="723" spans="6:18" x14ac:dyDescent="0.3">
      <c r="F723" s="2">
        <f t="shared" si="13"/>
        <v>706</v>
      </c>
      <c r="G723" s="2" t="str">
        <f>IF(Iterations[[#This Row],[Step]] =current_step, current_a,IF(Iterations[[#This Row],[Step]] &gt; current_step, "",Iterations[[#This Row],[a]]))</f>
        <v/>
      </c>
      <c r="H723" s="2" t="str">
        <f>IF(Iterations[[#This Row],[Step]] =current_step, current_b,IF(Iterations[[#This Row],[Step]] &gt; current_step, "",Iterations[[#This Row],[b]]))</f>
        <v/>
      </c>
      <c r="I723" s="2" t="str">
        <f>IF(Iterations[[#This Row],[Step]] =current_step, current_c,IF(Iterations[[#This Row],[Step]] &gt; current_step, "",Iterations[[#This Row],[c]]))</f>
        <v/>
      </c>
      <c r="J723" s="2" t="str">
        <f>IF(Iterations[[#This Row],[Step]] =current_step, current_d,IF(Iterations[[#This Row],[Step]] &gt; current_step, "",Iterations[[#This Row],[d]]))</f>
        <v/>
      </c>
      <c r="K723" s="2" t="str">
        <f>IF(Iterations[[#This Row],[Step]] =current_step, current_e,IF(Iterations[[#This Row],[Step]] &gt; current_step, "",Iterations[[#This Row],[e]]))</f>
        <v/>
      </c>
      <c r="L723" s="2" t="str">
        <f>IF(Iterations[[#This Row],[Step]] =current_step, current_Total_Loss,IF(Iterations[[#This Row],[Step]] &gt; current_step, "",Iterations[[#This Row],[Total Loss]]))</f>
        <v/>
      </c>
      <c r="M723" s="6" t="s">
        <v>27</v>
      </c>
      <c r="N723" s="2" t="str">
        <f>IF(Iterations[[#This Row],[Step]] =current_step, current_Grad_a,IF(Iterations[[#This Row],[Step]] &gt; current_step, "",Iterations[[#This Row],[Grad_a]]))</f>
        <v/>
      </c>
      <c r="O723" s="2" t="str">
        <f>IF(Iterations[[#This Row],[Step]] =current_step, current_Grad_b,IF(Iterations[[#This Row],[Step]] &gt; current_step, "",Iterations[[#This Row],[Grad_b]]))</f>
        <v/>
      </c>
      <c r="P723" s="2" t="str">
        <f>IF(Iterations[[#This Row],[Step]] =current_step, current_Grad_c,IF(Iterations[[#This Row],[Step]] &gt; current_step, "",Iterations[[#This Row],[Grad_c]]))</f>
        <v/>
      </c>
      <c r="Q723" s="2" t="str">
        <f>IF(Iterations[[#This Row],[Step]] =current_step, current_Grad_d,IF(Iterations[[#This Row],[Step]] &gt; current_step, "",Iterations[[#This Row],[Grad_d]]))</f>
        <v/>
      </c>
      <c r="R723" s="2" t="str">
        <f>IF(Iterations[[#This Row],[Step]] =current_step, current_Grad_e,IF(Iterations[[#This Row],[Step]] &gt; current_step, "",Iterations[[#This Row],[Grad_e]]))</f>
        <v/>
      </c>
    </row>
    <row r="724" spans="6:18" x14ac:dyDescent="0.3">
      <c r="F724" s="2">
        <f t="shared" si="13"/>
        <v>707</v>
      </c>
      <c r="G724" s="2" t="str">
        <f>IF(Iterations[[#This Row],[Step]] =current_step, current_a,IF(Iterations[[#This Row],[Step]] &gt; current_step, "",Iterations[[#This Row],[a]]))</f>
        <v/>
      </c>
      <c r="H724" s="2" t="str">
        <f>IF(Iterations[[#This Row],[Step]] =current_step, current_b,IF(Iterations[[#This Row],[Step]] &gt; current_step, "",Iterations[[#This Row],[b]]))</f>
        <v/>
      </c>
      <c r="I724" s="2" t="str">
        <f>IF(Iterations[[#This Row],[Step]] =current_step, current_c,IF(Iterations[[#This Row],[Step]] &gt; current_step, "",Iterations[[#This Row],[c]]))</f>
        <v/>
      </c>
      <c r="J724" s="2" t="str">
        <f>IF(Iterations[[#This Row],[Step]] =current_step, current_d,IF(Iterations[[#This Row],[Step]] &gt; current_step, "",Iterations[[#This Row],[d]]))</f>
        <v/>
      </c>
      <c r="K724" s="2" t="str">
        <f>IF(Iterations[[#This Row],[Step]] =current_step, current_e,IF(Iterations[[#This Row],[Step]] &gt; current_step, "",Iterations[[#This Row],[e]]))</f>
        <v/>
      </c>
      <c r="L724" s="2" t="str">
        <f>IF(Iterations[[#This Row],[Step]] =current_step, current_Total_Loss,IF(Iterations[[#This Row],[Step]] &gt; current_step, "",Iterations[[#This Row],[Total Loss]]))</f>
        <v/>
      </c>
      <c r="M724" s="6" t="s">
        <v>27</v>
      </c>
      <c r="N724" s="2" t="str">
        <f>IF(Iterations[[#This Row],[Step]] =current_step, current_Grad_a,IF(Iterations[[#This Row],[Step]] &gt; current_step, "",Iterations[[#This Row],[Grad_a]]))</f>
        <v/>
      </c>
      <c r="O724" s="2" t="str">
        <f>IF(Iterations[[#This Row],[Step]] =current_step, current_Grad_b,IF(Iterations[[#This Row],[Step]] &gt; current_step, "",Iterations[[#This Row],[Grad_b]]))</f>
        <v/>
      </c>
      <c r="P724" s="2" t="str">
        <f>IF(Iterations[[#This Row],[Step]] =current_step, current_Grad_c,IF(Iterations[[#This Row],[Step]] &gt; current_step, "",Iterations[[#This Row],[Grad_c]]))</f>
        <v/>
      </c>
      <c r="Q724" s="2" t="str">
        <f>IF(Iterations[[#This Row],[Step]] =current_step, current_Grad_d,IF(Iterations[[#This Row],[Step]] &gt; current_step, "",Iterations[[#This Row],[Grad_d]]))</f>
        <v/>
      </c>
      <c r="R724" s="2" t="str">
        <f>IF(Iterations[[#This Row],[Step]] =current_step, current_Grad_e,IF(Iterations[[#This Row],[Step]] &gt; current_step, "",Iterations[[#This Row],[Grad_e]]))</f>
        <v/>
      </c>
    </row>
    <row r="725" spans="6:18" x14ac:dyDescent="0.3">
      <c r="F725" s="2">
        <f t="shared" si="13"/>
        <v>708</v>
      </c>
      <c r="G725" s="2" t="str">
        <f>IF(Iterations[[#This Row],[Step]] =current_step, current_a,IF(Iterations[[#This Row],[Step]] &gt; current_step, "",Iterations[[#This Row],[a]]))</f>
        <v/>
      </c>
      <c r="H725" s="2" t="str">
        <f>IF(Iterations[[#This Row],[Step]] =current_step, current_b,IF(Iterations[[#This Row],[Step]] &gt; current_step, "",Iterations[[#This Row],[b]]))</f>
        <v/>
      </c>
      <c r="I725" s="2" t="str">
        <f>IF(Iterations[[#This Row],[Step]] =current_step, current_c,IF(Iterations[[#This Row],[Step]] &gt; current_step, "",Iterations[[#This Row],[c]]))</f>
        <v/>
      </c>
      <c r="J725" s="2" t="str">
        <f>IF(Iterations[[#This Row],[Step]] =current_step, current_d,IF(Iterations[[#This Row],[Step]] &gt; current_step, "",Iterations[[#This Row],[d]]))</f>
        <v/>
      </c>
      <c r="K725" s="2" t="str">
        <f>IF(Iterations[[#This Row],[Step]] =current_step, current_e,IF(Iterations[[#This Row],[Step]] &gt; current_step, "",Iterations[[#This Row],[e]]))</f>
        <v/>
      </c>
      <c r="L725" s="2" t="str">
        <f>IF(Iterations[[#This Row],[Step]] =current_step, current_Total_Loss,IF(Iterations[[#This Row],[Step]] &gt; current_step, "",Iterations[[#This Row],[Total Loss]]))</f>
        <v/>
      </c>
      <c r="M725" s="6" t="s">
        <v>27</v>
      </c>
      <c r="N725" s="2" t="str">
        <f>IF(Iterations[[#This Row],[Step]] =current_step, current_Grad_a,IF(Iterations[[#This Row],[Step]] &gt; current_step, "",Iterations[[#This Row],[Grad_a]]))</f>
        <v/>
      </c>
      <c r="O725" s="2" t="str">
        <f>IF(Iterations[[#This Row],[Step]] =current_step, current_Grad_b,IF(Iterations[[#This Row],[Step]] &gt; current_step, "",Iterations[[#This Row],[Grad_b]]))</f>
        <v/>
      </c>
      <c r="P725" s="2" t="str">
        <f>IF(Iterations[[#This Row],[Step]] =current_step, current_Grad_c,IF(Iterations[[#This Row],[Step]] &gt; current_step, "",Iterations[[#This Row],[Grad_c]]))</f>
        <v/>
      </c>
      <c r="Q725" s="2" t="str">
        <f>IF(Iterations[[#This Row],[Step]] =current_step, current_Grad_d,IF(Iterations[[#This Row],[Step]] &gt; current_step, "",Iterations[[#This Row],[Grad_d]]))</f>
        <v/>
      </c>
      <c r="R725" s="2" t="str">
        <f>IF(Iterations[[#This Row],[Step]] =current_step, current_Grad_e,IF(Iterations[[#This Row],[Step]] &gt; current_step, "",Iterations[[#This Row],[Grad_e]]))</f>
        <v/>
      </c>
    </row>
    <row r="726" spans="6:18" x14ac:dyDescent="0.3">
      <c r="F726" s="2">
        <f t="shared" si="13"/>
        <v>709</v>
      </c>
      <c r="G726" s="2" t="str">
        <f>IF(Iterations[[#This Row],[Step]] =current_step, current_a,IF(Iterations[[#This Row],[Step]] &gt; current_step, "",Iterations[[#This Row],[a]]))</f>
        <v/>
      </c>
      <c r="H726" s="2" t="str">
        <f>IF(Iterations[[#This Row],[Step]] =current_step, current_b,IF(Iterations[[#This Row],[Step]] &gt; current_step, "",Iterations[[#This Row],[b]]))</f>
        <v/>
      </c>
      <c r="I726" s="2" t="str">
        <f>IF(Iterations[[#This Row],[Step]] =current_step, current_c,IF(Iterations[[#This Row],[Step]] &gt; current_step, "",Iterations[[#This Row],[c]]))</f>
        <v/>
      </c>
      <c r="J726" s="2" t="str">
        <f>IF(Iterations[[#This Row],[Step]] =current_step, current_d,IF(Iterations[[#This Row],[Step]] &gt; current_step, "",Iterations[[#This Row],[d]]))</f>
        <v/>
      </c>
      <c r="K726" s="2" t="str">
        <f>IF(Iterations[[#This Row],[Step]] =current_step, current_e,IF(Iterations[[#This Row],[Step]] &gt; current_step, "",Iterations[[#This Row],[e]]))</f>
        <v/>
      </c>
      <c r="L726" s="2" t="str">
        <f>IF(Iterations[[#This Row],[Step]] =current_step, current_Total_Loss,IF(Iterations[[#This Row],[Step]] &gt; current_step, "",Iterations[[#This Row],[Total Loss]]))</f>
        <v/>
      </c>
      <c r="M726" s="6" t="s">
        <v>27</v>
      </c>
      <c r="N726" s="2" t="str">
        <f>IF(Iterations[[#This Row],[Step]] =current_step, current_Grad_a,IF(Iterations[[#This Row],[Step]] &gt; current_step, "",Iterations[[#This Row],[Grad_a]]))</f>
        <v/>
      </c>
      <c r="O726" s="2" t="str">
        <f>IF(Iterations[[#This Row],[Step]] =current_step, current_Grad_b,IF(Iterations[[#This Row],[Step]] &gt; current_step, "",Iterations[[#This Row],[Grad_b]]))</f>
        <v/>
      </c>
      <c r="P726" s="2" t="str">
        <f>IF(Iterations[[#This Row],[Step]] =current_step, current_Grad_c,IF(Iterations[[#This Row],[Step]] &gt; current_step, "",Iterations[[#This Row],[Grad_c]]))</f>
        <v/>
      </c>
      <c r="Q726" s="2" t="str">
        <f>IF(Iterations[[#This Row],[Step]] =current_step, current_Grad_d,IF(Iterations[[#This Row],[Step]] &gt; current_step, "",Iterations[[#This Row],[Grad_d]]))</f>
        <v/>
      </c>
      <c r="R726" s="2" t="str">
        <f>IF(Iterations[[#This Row],[Step]] =current_step, current_Grad_e,IF(Iterations[[#This Row],[Step]] &gt; current_step, "",Iterations[[#This Row],[Grad_e]]))</f>
        <v/>
      </c>
    </row>
    <row r="727" spans="6:18" x14ac:dyDescent="0.3">
      <c r="F727" s="2">
        <f t="shared" si="13"/>
        <v>710</v>
      </c>
      <c r="G727" s="2" t="str">
        <f>IF(Iterations[[#This Row],[Step]] =current_step, current_a,IF(Iterations[[#This Row],[Step]] &gt; current_step, "",Iterations[[#This Row],[a]]))</f>
        <v/>
      </c>
      <c r="H727" s="2" t="str">
        <f>IF(Iterations[[#This Row],[Step]] =current_step, current_b,IF(Iterations[[#This Row],[Step]] &gt; current_step, "",Iterations[[#This Row],[b]]))</f>
        <v/>
      </c>
      <c r="I727" s="2" t="str">
        <f>IF(Iterations[[#This Row],[Step]] =current_step, current_c,IF(Iterations[[#This Row],[Step]] &gt; current_step, "",Iterations[[#This Row],[c]]))</f>
        <v/>
      </c>
      <c r="J727" s="2" t="str">
        <f>IF(Iterations[[#This Row],[Step]] =current_step, current_d,IF(Iterations[[#This Row],[Step]] &gt; current_step, "",Iterations[[#This Row],[d]]))</f>
        <v/>
      </c>
      <c r="K727" s="2" t="str">
        <f>IF(Iterations[[#This Row],[Step]] =current_step, current_e,IF(Iterations[[#This Row],[Step]] &gt; current_step, "",Iterations[[#This Row],[e]]))</f>
        <v/>
      </c>
      <c r="L727" s="2" t="str">
        <f>IF(Iterations[[#This Row],[Step]] =current_step, current_Total_Loss,IF(Iterations[[#This Row],[Step]] &gt; current_step, "",Iterations[[#This Row],[Total Loss]]))</f>
        <v/>
      </c>
      <c r="M727" s="6" t="s">
        <v>27</v>
      </c>
      <c r="N727" s="2" t="str">
        <f>IF(Iterations[[#This Row],[Step]] =current_step, current_Grad_a,IF(Iterations[[#This Row],[Step]] &gt; current_step, "",Iterations[[#This Row],[Grad_a]]))</f>
        <v/>
      </c>
      <c r="O727" s="2" t="str">
        <f>IF(Iterations[[#This Row],[Step]] =current_step, current_Grad_b,IF(Iterations[[#This Row],[Step]] &gt; current_step, "",Iterations[[#This Row],[Grad_b]]))</f>
        <v/>
      </c>
      <c r="P727" s="2" t="str">
        <f>IF(Iterations[[#This Row],[Step]] =current_step, current_Grad_c,IF(Iterations[[#This Row],[Step]] &gt; current_step, "",Iterations[[#This Row],[Grad_c]]))</f>
        <v/>
      </c>
      <c r="Q727" s="2" t="str">
        <f>IF(Iterations[[#This Row],[Step]] =current_step, current_Grad_d,IF(Iterations[[#This Row],[Step]] &gt; current_step, "",Iterations[[#This Row],[Grad_d]]))</f>
        <v/>
      </c>
      <c r="R727" s="2" t="str">
        <f>IF(Iterations[[#This Row],[Step]] =current_step, current_Grad_e,IF(Iterations[[#This Row],[Step]] &gt; current_step, "",Iterations[[#This Row],[Grad_e]]))</f>
        <v/>
      </c>
    </row>
    <row r="728" spans="6:18" x14ac:dyDescent="0.3">
      <c r="F728" s="2">
        <f t="shared" si="13"/>
        <v>711</v>
      </c>
      <c r="G728" s="2" t="str">
        <f>IF(Iterations[[#This Row],[Step]] =current_step, current_a,IF(Iterations[[#This Row],[Step]] &gt; current_step, "",Iterations[[#This Row],[a]]))</f>
        <v/>
      </c>
      <c r="H728" s="2" t="str">
        <f>IF(Iterations[[#This Row],[Step]] =current_step, current_b,IF(Iterations[[#This Row],[Step]] &gt; current_step, "",Iterations[[#This Row],[b]]))</f>
        <v/>
      </c>
      <c r="I728" s="2" t="str">
        <f>IF(Iterations[[#This Row],[Step]] =current_step, current_c,IF(Iterations[[#This Row],[Step]] &gt; current_step, "",Iterations[[#This Row],[c]]))</f>
        <v/>
      </c>
      <c r="J728" s="2" t="str">
        <f>IF(Iterations[[#This Row],[Step]] =current_step, current_d,IF(Iterations[[#This Row],[Step]] &gt; current_step, "",Iterations[[#This Row],[d]]))</f>
        <v/>
      </c>
      <c r="K728" s="2" t="str">
        <f>IF(Iterations[[#This Row],[Step]] =current_step, current_e,IF(Iterations[[#This Row],[Step]] &gt; current_step, "",Iterations[[#This Row],[e]]))</f>
        <v/>
      </c>
      <c r="L728" s="2" t="str">
        <f>IF(Iterations[[#This Row],[Step]] =current_step, current_Total_Loss,IF(Iterations[[#This Row],[Step]] &gt; current_step, "",Iterations[[#This Row],[Total Loss]]))</f>
        <v/>
      </c>
      <c r="M728" s="6" t="s">
        <v>27</v>
      </c>
      <c r="N728" s="2" t="str">
        <f>IF(Iterations[[#This Row],[Step]] =current_step, current_Grad_a,IF(Iterations[[#This Row],[Step]] &gt; current_step, "",Iterations[[#This Row],[Grad_a]]))</f>
        <v/>
      </c>
      <c r="O728" s="2" t="str">
        <f>IF(Iterations[[#This Row],[Step]] =current_step, current_Grad_b,IF(Iterations[[#This Row],[Step]] &gt; current_step, "",Iterations[[#This Row],[Grad_b]]))</f>
        <v/>
      </c>
      <c r="P728" s="2" t="str">
        <f>IF(Iterations[[#This Row],[Step]] =current_step, current_Grad_c,IF(Iterations[[#This Row],[Step]] &gt; current_step, "",Iterations[[#This Row],[Grad_c]]))</f>
        <v/>
      </c>
      <c r="Q728" s="2" t="str">
        <f>IF(Iterations[[#This Row],[Step]] =current_step, current_Grad_d,IF(Iterations[[#This Row],[Step]] &gt; current_step, "",Iterations[[#This Row],[Grad_d]]))</f>
        <v/>
      </c>
      <c r="R728" s="2" t="str">
        <f>IF(Iterations[[#This Row],[Step]] =current_step, current_Grad_e,IF(Iterations[[#This Row],[Step]] &gt; current_step, "",Iterations[[#This Row],[Grad_e]]))</f>
        <v/>
      </c>
    </row>
    <row r="729" spans="6:18" x14ac:dyDescent="0.3">
      <c r="F729" s="2">
        <f t="shared" si="13"/>
        <v>712</v>
      </c>
      <c r="G729" s="2" t="str">
        <f>IF(Iterations[[#This Row],[Step]] =current_step, current_a,IF(Iterations[[#This Row],[Step]] &gt; current_step, "",Iterations[[#This Row],[a]]))</f>
        <v/>
      </c>
      <c r="H729" s="2" t="str">
        <f>IF(Iterations[[#This Row],[Step]] =current_step, current_b,IF(Iterations[[#This Row],[Step]] &gt; current_step, "",Iterations[[#This Row],[b]]))</f>
        <v/>
      </c>
      <c r="I729" s="2" t="str">
        <f>IF(Iterations[[#This Row],[Step]] =current_step, current_c,IF(Iterations[[#This Row],[Step]] &gt; current_step, "",Iterations[[#This Row],[c]]))</f>
        <v/>
      </c>
      <c r="J729" s="2" t="str">
        <f>IF(Iterations[[#This Row],[Step]] =current_step, current_d,IF(Iterations[[#This Row],[Step]] &gt; current_step, "",Iterations[[#This Row],[d]]))</f>
        <v/>
      </c>
      <c r="K729" s="2" t="str">
        <f>IF(Iterations[[#This Row],[Step]] =current_step, current_e,IF(Iterations[[#This Row],[Step]] &gt; current_step, "",Iterations[[#This Row],[e]]))</f>
        <v/>
      </c>
      <c r="L729" s="2" t="str">
        <f>IF(Iterations[[#This Row],[Step]] =current_step, current_Total_Loss,IF(Iterations[[#This Row],[Step]] &gt; current_step, "",Iterations[[#This Row],[Total Loss]]))</f>
        <v/>
      </c>
      <c r="M729" s="6" t="s">
        <v>27</v>
      </c>
      <c r="N729" s="2" t="str">
        <f>IF(Iterations[[#This Row],[Step]] =current_step, current_Grad_a,IF(Iterations[[#This Row],[Step]] &gt; current_step, "",Iterations[[#This Row],[Grad_a]]))</f>
        <v/>
      </c>
      <c r="O729" s="2" t="str">
        <f>IF(Iterations[[#This Row],[Step]] =current_step, current_Grad_b,IF(Iterations[[#This Row],[Step]] &gt; current_step, "",Iterations[[#This Row],[Grad_b]]))</f>
        <v/>
      </c>
      <c r="P729" s="2" t="str">
        <f>IF(Iterations[[#This Row],[Step]] =current_step, current_Grad_c,IF(Iterations[[#This Row],[Step]] &gt; current_step, "",Iterations[[#This Row],[Grad_c]]))</f>
        <v/>
      </c>
      <c r="Q729" s="2" t="str">
        <f>IF(Iterations[[#This Row],[Step]] =current_step, current_Grad_d,IF(Iterations[[#This Row],[Step]] &gt; current_step, "",Iterations[[#This Row],[Grad_d]]))</f>
        <v/>
      </c>
      <c r="R729" s="2" t="str">
        <f>IF(Iterations[[#This Row],[Step]] =current_step, current_Grad_e,IF(Iterations[[#This Row],[Step]] &gt; current_step, "",Iterations[[#This Row],[Grad_e]]))</f>
        <v/>
      </c>
    </row>
    <row r="730" spans="6:18" x14ac:dyDescent="0.3">
      <c r="F730" s="2">
        <f t="shared" si="13"/>
        <v>713</v>
      </c>
      <c r="G730" s="2" t="str">
        <f>IF(Iterations[[#This Row],[Step]] =current_step, current_a,IF(Iterations[[#This Row],[Step]] &gt; current_step, "",Iterations[[#This Row],[a]]))</f>
        <v/>
      </c>
      <c r="H730" s="2" t="str">
        <f>IF(Iterations[[#This Row],[Step]] =current_step, current_b,IF(Iterations[[#This Row],[Step]] &gt; current_step, "",Iterations[[#This Row],[b]]))</f>
        <v/>
      </c>
      <c r="I730" s="2" t="str">
        <f>IF(Iterations[[#This Row],[Step]] =current_step, current_c,IF(Iterations[[#This Row],[Step]] &gt; current_step, "",Iterations[[#This Row],[c]]))</f>
        <v/>
      </c>
      <c r="J730" s="2" t="str">
        <f>IF(Iterations[[#This Row],[Step]] =current_step, current_d,IF(Iterations[[#This Row],[Step]] &gt; current_step, "",Iterations[[#This Row],[d]]))</f>
        <v/>
      </c>
      <c r="K730" s="2" t="str">
        <f>IF(Iterations[[#This Row],[Step]] =current_step, current_e,IF(Iterations[[#This Row],[Step]] &gt; current_step, "",Iterations[[#This Row],[e]]))</f>
        <v/>
      </c>
      <c r="L730" s="2" t="str">
        <f>IF(Iterations[[#This Row],[Step]] =current_step, current_Total_Loss,IF(Iterations[[#This Row],[Step]] &gt; current_step, "",Iterations[[#This Row],[Total Loss]]))</f>
        <v/>
      </c>
      <c r="M730" s="6" t="s">
        <v>27</v>
      </c>
      <c r="N730" s="2" t="str">
        <f>IF(Iterations[[#This Row],[Step]] =current_step, current_Grad_a,IF(Iterations[[#This Row],[Step]] &gt; current_step, "",Iterations[[#This Row],[Grad_a]]))</f>
        <v/>
      </c>
      <c r="O730" s="2" t="str">
        <f>IF(Iterations[[#This Row],[Step]] =current_step, current_Grad_b,IF(Iterations[[#This Row],[Step]] &gt; current_step, "",Iterations[[#This Row],[Grad_b]]))</f>
        <v/>
      </c>
      <c r="P730" s="2" t="str">
        <f>IF(Iterations[[#This Row],[Step]] =current_step, current_Grad_c,IF(Iterations[[#This Row],[Step]] &gt; current_step, "",Iterations[[#This Row],[Grad_c]]))</f>
        <v/>
      </c>
      <c r="Q730" s="2" t="str">
        <f>IF(Iterations[[#This Row],[Step]] =current_step, current_Grad_d,IF(Iterations[[#This Row],[Step]] &gt; current_step, "",Iterations[[#This Row],[Grad_d]]))</f>
        <v/>
      </c>
      <c r="R730" s="2" t="str">
        <f>IF(Iterations[[#This Row],[Step]] =current_step, current_Grad_e,IF(Iterations[[#This Row],[Step]] &gt; current_step, "",Iterations[[#This Row],[Grad_e]]))</f>
        <v/>
      </c>
    </row>
    <row r="731" spans="6:18" x14ac:dyDescent="0.3">
      <c r="F731" s="2">
        <f t="shared" si="13"/>
        <v>714</v>
      </c>
      <c r="G731" s="2" t="str">
        <f>IF(Iterations[[#This Row],[Step]] =current_step, current_a,IF(Iterations[[#This Row],[Step]] &gt; current_step, "",Iterations[[#This Row],[a]]))</f>
        <v/>
      </c>
      <c r="H731" s="2" t="str">
        <f>IF(Iterations[[#This Row],[Step]] =current_step, current_b,IF(Iterations[[#This Row],[Step]] &gt; current_step, "",Iterations[[#This Row],[b]]))</f>
        <v/>
      </c>
      <c r="I731" s="2" t="str">
        <f>IF(Iterations[[#This Row],[Step]] =current_step, current_c,IF(Iterations[[#This Row],[Step]] &gt; current_step, "",Iterations[[#This Row],[c]]))</f>
        <v/>
      </c>
      <c r="J731" s="2" t="str">
        <f>IF(Iterations[[#This Row],[Step]] =current_step, current_d,IF(Iterations[[#This Row],[Step]] &gt; current_step, "",Iterations[[#This Row],[d]]))</f>
        <v/>
      </c>
      <c r="K731" s="2" t="str">
        <f>IF(Iterations[[#This Row],[Step]] =current_step, current_e,IF(Iterations[[#This Row],[Step]] &gt; current_step, "",Iterations[[#This Row],[e]]))</f>
        <v/>
      </c>
      <c r="L731" s="2" t="str">
        <f>IF(Iterations[[#This Row],[Step]] =current_step, current_Total_Loss,IF(Iterations[[#This Row],[Step]] &gt; current_step, "",Iterations[[#This Row],[Total Loss]]))</f>
        <v/>
      </c>
      <c r="M731" s="6" t="s">
        <v>27</v>
      </c>
      <c r="N731" s="2" t="str">
        <f>IF(Iterations[[#This Row],[Step]] =current_step, current_Grad_a,IF(Iterations[[#This Row],[Step]] &gt; current_step, "",Iterations[[#This Row],[Grad_a]]))</f>
        <v/>
      </c>
      <c r="O731" s="2" t="str">
        <f>IF(Iterations[[#This Row],[Step]] =current_step, current_Grad_b,IF(Iterations[[#This Row],[Step]] &gt; current_step, "",Iterations[[#This Row],[Grad_b]]))</f>
        <v/>
      </c>
      <c r="P731" s="2" t="str">
        <f>IF(Iterations[[#This Row],[Step]] =current_step, current_Grad_c,IF(Iterations[[#This Row],[Step]] &gt; current_step, "",Iterations[[#This Row],[Grad_c]]))</f>
        <v/>
      </c>
      <c r="Q731" s="2" t="str">
        <f>IF(Iterations[[#This Row],[Step]] =current_step, current_Grad_d,IF(Iterations[[#This Row],[Step]] &gt; current_step, "",Iterations[[#This Row],[Grad_d]]))</f>
        <v/>
      </c>
      <c r="R731" s="2" t="str">
        <f>IF(Iterations[[#This Row],[Step]] =current_step, current_Grad_e,IF(Iterations[[#This Row],[Step]] &gt; current_step, "",Iterations[[#This Row],[Grad_e]]))</f>
        <v/>
      </c>
    </row>
    <row r="732" spans="6:18" x14ac:dyDescent="0.3">
      <c r="F732" s="2">
        <f t="shared" si="13"/>
        <v>715</v>
      </c>
      <c r="G732" s="2" t="str">
        <f>IF(Iterations[[#This Row],[Step]] =current_step, current_a,IF(Iterations[[#This Row],[Step]] &gt; current_step, "",Iterations[[#This Row],[a]]))</f>
        <v/>
      </c>
      <c r="H732" s="2" t="str">
        <f>IF(Iterations[[#This Row],[Step]] =current_step, current_b,IF(Iterations[[#This Row],[Step]] &gt; current_step, "",Iterations[[#This Row],[b]]))</f>
        <v/>
      </c>
      <c r="I732" s="2" t="str">
        <f>IF(Iterations[[#This Row],[Step]] =current_step, current_c,IF(Iterations[[#This Row],[Step]] &gt; current_step, "",Iterations[[#This Row],[c]]))</f>
        <v/>
      </c>
      <c r="J732" s="2" t="str">
        <f>IF(Iterations[[#This Row],[Step]] =current_step, current_d,IF(Iterations[[#This Row],[Step]] &gt; current_step, "",Iterations[[#This Row],[d]]))</f>
        <v/>
      </c>
      <c r="K732" s="2" t="str">
        <f>IF(Iterations[[#This Row],[Step]] =current_step, current_e,IF(Iterations[[#This Row],[Step]] &gt; current_step, "",Iterations[[#This Row],[e]]))</f>
        <v/>
      </c>
      <c r="L732" s="2" t="str">
        <f>IF(Iterations[[#This Row],[Step]] =current_step, current_Total_Loss,IF(Iterations[[#This Row],[Step]] &gt; current_step, "",Iterations[[#This Row],[Total Loss]]))</f>
        <v/>
      </c>
      <c r="M732" s="6" t="s">
        <v>27</v>
      </c>
      <c r="N732" s="2" t="str">
        <f>IF(Iterations[[#This Row],[Step]] =current_step, current_Grad_a,IF(Iterations[[#This Row],[Step]] &gt; current_step, "",Iterations[[#This Row],[Grad_a]]))</f>
        <v/>
      </c>
      <c r="O732" s="2" t="str">
        <f>IF(Iterations[[#This Row],[Step]] =current_step, current_Grad_b,IF(Iterations[[#This Row],[Step]] &gt; current_step, "",Iterations[[#This Row],[Grad_b]]))</f>
        <v/>
      </c>
      <c r="P732" s="2" t="str">
        <f>IF(Iterations[[#This Row],[Step]] =current_step, current_Grad_c,IF(Iterations[[#This Row],[Step]] &gt; current_step, "",Iterations[[#This Row],[Grad_c]]))</f>
        <v/>
      </c>
      <c r="Q732" s="2" t="str">
        <f>IF(Iterations[[#This Row],[Step]] =current_step, current_Grad_d,IF(Iterations[[#This Row],[Step]] &gt; current_step, "",Iterations[[#This Row],[Grad_d]]))</f>
        <v/>
      </c>
      <c r="R732" s="2" t="str">
        <f>IF(Iterations[[#This Row],[Step]] =current_step, current_Grad_e,IF(Iterations[[#This Row],[Step]] &gt; current_step, "",Iterations[[#This Row],[Grad_e]]))</f>
        <v/>
      </c>
    </row>
    <row r="733" spans="6:18" x14ac:dyDescent="0.3">
      <c r="F733" s="2">
        <f t="shared" si="13"/>
        <v>716</v>
      </c>
      <c r="G733" s="2" t="str">
        <f>IF(Iterations[[#This Row],[Step]] =current_step, current_a,IF(Iterations[[#This Row],[Step]] &gt; current_step, "",Iterations[[#This Row],[a]]))</f>
        <v/>
      </c>
      <c r="H733" s="2" t="str">
        <f>IF(Iterations[[#This Row],[Step]] =current_step, current_b,IF(Iterations[[#This Row],[Step]] &gt; current_step, "",Iterations[[#This Row],[b]]))</f>
        <v/>
      </c>
      <c r="I733" s="2" t="str">
        <f>IF(Iterations[[#This Row],[Step]] =current_step, current_c,IF(Iterations[[#This Row],[Step]] &gt; current_step, "",Iterations[[#This Row],[c]]))</f>
        <v/>
      </c>
      <c r="J733" s="2" t="str">
        <f>IF(Iterations[[#This Row],[Step]] =current_step, current_d,IF(Iterations[[#This Row],[Step]] &gt; current_step, "",Iterations[[#This Row],[d]]))</f>
        <v/>
      </c>
      <c r="K733" s="2" t="str">
        <f>IF(Iterations[[#This Row],[Step]] =current_step, current_e,IF(Iterations[[#This Row],[Step]] &gt; current_step, "",Iterations[[#This Row],[e]]))</f>
        <v/>
      </c>
      <c r="L733" s="2" t="str">
        <f>IF(Iterations[[#This Row],[Step]] =current_step, current_Total_Loss,IF(Iterations[[#This Row],[Step]] &gt; current_step, "",Iterations[[#This Row],[Total Loss]]))</f>
        <v/>
      </c>
      <c r="M733" s="6" t="s">
        <v>27</v>
      </c>
      <c r="N733" s="2" t="str">
        <f>IF(Iterations[[#This Row],[Step]] =current_step, current_Grad_a,IF(Iterations[[#This Row],[Step]] &gt; current_step, "",Iterations[[#This Row],[Grad_a]]))</f>
        <v/>
      </c>
      <c r="O733" s="2" t="str">
        <f>IF(Iterations[[#This Row],[Step]] =current_step, current_Grad_b,IF(Iterations[[#This Row],[Step]] &gt; current_step, "",Iterations[[#This Row],[Grad_b]]))</f>
        <v/>
      </c>
      <c r="P733" s="2" t="str">
        <f>IF(Iterations[[#This Row],[Step]] =current_step, current_Grad_c,IF(Iterations[[#This Row],[Step]] &gt; current_step, "",Iterations[[#This Row],[Grad_c]]))</f>
        <v/>
      </c>
      <c r="Q733" s="2" t="str">
        <f>IF(Iterations[[#This Row],[Step]] =current_step, current_Grad_d,IF(Iterations[[#This Row],[Step]] &gt; current_step, "",Iterations[[#This Row],[Grad_d]]))</f>
        <v/>
      </c>
      <c r="R733" s="2" t="str">
        <f>IF(Iterations[[#This Row],[Step]] =current_step, current_Grad_e,IF(Iterations[[#This Row],[Step]] &gt; current_step, "",Iterations[[#This Row],[Grad_e]]))</f>
        <v/>
      </c>
    </row>
    <row r="734" spans="6:18" x14ac:dyDescent="0.3">
      <c r="F734" s="2">
        <f t="shared" si="13"/>
        <v>717</v>
      </c>
      <c r="G734" s="2" t="str">
        <f>IF(Iterations[[#This Row],[Step]] =current_step, current_a,IF(Iterations[[#This Row],[Step]] &gt; current_step, "",Iterations[[#This Row],[a]]))</f>
        <v/>
      </c>
      <c r="H734" s="2" t="str">
        <f>IF(Iterations[[#This Row],[Step]] =current_step, current_b,IF(Iterations[[#This Row],[Step]] &gt; current_step, "",Iterations[[#This Row],[b]]))</f>
        <v/>
      </c>
      <c r="I734" s="2" t="str">
        <f>IF(Iterations[[#This Row],[Step]] =current_step, current_c,IF(Iterations[[#This Row],[Step]] &gt; current_step, "",Iterations[[#This Row],[c]]))</f>
        <v/>
      </c>
      <c r="J734" s="2" t="str">
        <f>IF(Iterations[[#This Row],[Step]] =current_step, current_d,IF(Iterations[[#This Row],[Step]] &gt; current_step, "",Iterations[[#This Row],[d]]))</f>
        <v/>
      </c>
      <c r="K734" s="2" t="str">
        <f>IF(Iterations[[#This Row],[Step]] =current_step, current_e,IF(Iterations[[#This Row],[Step]] &gt; current_step, "",Iterations[[#This Row],[e]]))</f>
        <v/>
      </c>
      <c r="L734" s="2" t="str">
        <f>IF(Iterations[[#This Row],[Step]] =current_step, current_Total_Loss,IF(Iterations[[#This Row],[Step]] &gt; current_step, "",Iterations[[#This Row],[Total Loss]]))</f>
        <v/>
      </c>
      <c r="M734" s="6" t="s">
        <v>27</v>
      </c>
      <c r="N734" s="2" t="str">
        <f>IF(Iterations[[#This Row],[Step]] =current_step, current_Grad_a,IF(Iterations[[#This Row],[Step]] &gt; current_step, "",Iterations[[#This Row],[Grad_a]]))</f>
        <v/>
      </c>
      <c r="O734" s="2" t="str">
        <f>IF(Iterations[[#This Row],[Step]] =current_step, current_Grad_b,IF(Iterations[[#This Row],[Step]] &gt; current_step, "",Iterations[[#This Row],[Grad_b]]))</f>
        <v/>
      </c>
      <c r="P734" s="2" t="str">
        <f>IF(Iterations[[#This Row],[Step]] =current_step, current_Grad_c,IF(Iterations[[#This Row],[Step]] &gt; current_step, "",Iterations[[#This Row],[Grad_c]]))</f>
        <v/>
      </c>
      <c r="Q734" s="2" t="str">
        <f>IF(Iterations[[#This Row],[Step]] =current_step, current_Grad_d,IF(Iterations[[#This Row],[Step]] &gt; current_step, "",Iterations[[#This Row],[Grad_d]]))</f>
        <v/>
      </c>
      <c r="R734" s="2" t="str">
        <f>IF(Iterations[[#This Row],[Step]] =current_step, current_Grad_e,IF(Iterations[[#This Row],[Step]] &gt; current_step, "",Iterations[[#This Row],[Grad_e]]))</f>
        <v/>
      </c>
    </row>
    <row r="735" spans="6:18" x14ac:dyDescent="0.3">
      <c r="F735" s="2">
        <f t="shared" si="13"/>
        <v>718</v>
      </c>
      <c r="G735" s="2" t="str">
        <f>IF(Iterations[[#This Row],[Step]] =current_step, current_a,IF(Iterations[[#This Row],[Step]] &gt; current_step, "",Iterations[[#This Row],[a]]))</f>
        <v/>
      </c>
      <c r="H735" s="2" t="str">
        <f>IF(Iterations[[#This Row],[Step]] =current_step, current_b,IF(Iterations[[#This Row],[Step]] &gt; current_step, "",Iterations[[#This Row],[b]]))</f>
        <v/>
      </c>
      <c r="I735" s="2" t="str">
        <f>IF(Iterations[[#This Row],[Step]] =current_step, current_c,IF(Iterations[[#This Row],[Step]] &gt; current_step, "",Iterations[[#This Row],[c]]))</f>
        <v/>
      </c>
      <c r="J735" s="2" t="str">
        <f>IF(Iterations[[#This Row],[Step]] =current_step, current_d,IF(Iterations[[#This Row],[Step]] &gt; current_step, "",Iterations[[#This Row],[d]]))</f>
        <v/>
      </c>
      <c r="K735" s="2" t="str">
        <f>IF(Iterations[[#This Row],[Step]] =current_step, current_e,IF(Iterations[[#This Row],[Step]] &gt; current_step, "",Iterations[[#This Row],[e]]))</f>
        <v/>
      </c>
      <c r="L735" s="2" t="str">
        <f>IF(Iterations[[#This Row],[Step]] =current_step, current_Total_Loss,IF(Iterations[[#This Row],[Step]] &gt; current_step, "",Iterations[[#This Row],[Total Loss]]))</f>
        <v/>
      </c>
      <c r="M735" s="6" t="s">
        <v>27</v>
      </c>
      <c r="N735" s="2" t="str">
        <f>IF(Iterations[[#This Row],[Step]] =current_step, current_Grad_a,IF(Iterations[[#This Row],[Step]] &gt; current_step, "",Iterations[[#This Row],[Grad_a]]))</f>
        <v/>
      </c>
      <c r="O735" s="2" t="str">
        <f>IF(Iterations[[#This Row],[Step]] =current_step, current_Grad_b,IF(Iterations[[#This Row],[Step]] &gt; current_step, "",Iterations[[#This Row],[Grad_b]]))</f>
        <v/>
      </c>
      <c r="P735" s="2" t="str">
        <f>IF(Iterations[[#This Row],[Step]] =current_step, current_Grad_c,IF(Iterations[[#This Row],[Step]] &gt; current_step, "",Iterations[[#This Row],[Grad_c]]))</f>
        <v/>
      </c>
      <c r="Q735" s="2" t="str">
        <f>IF(Iterations[[#This Row],[Step]] =current_step, current_Grad_d,IF(Iterations[[#This Row],[Step]] &gt; current_step, "",Iterations[[#This Row],[Grad_d]]))</f>
        <v/>
      </c>
      <c r="R735" s="2" t="str">
        <f>IF(Iterations[[#This Row],[Step]] =current_step, current_Grad_e,IF(Iterations[[#This Row],[Step]] &gt; current_step, "",Iterations[[#This Row],[Grad_e]]))</f>
        <v/>
      </c>
    </row>
    <row r="736" spans="6:18" x14ac:dyDescent="0.3">
      <c r="F736" s="2">
        <f t="shared" si="13"/>
        <v>719</v>
      </c>
      <c r="G736" s="2" t="str">
        <f>IF(Iterations[[#This Row],[Step]] =current_step, current_a,IF(Iterations[[#This Row],[Step]] &gt; current_step, "",Iterations[[#This Row],[a]]))</f>
        <v/>
      </c>
      <c r="H736" s="2" t="str">
        <f>IF(Iterations[[#This Row],[Step]] =current_step, current_b,IF(Iterations[[#This Row],[Step]] &gt; current_step, "",Iterations[[#This Row],[b]]))</f>
        <v/>
      </c>
      <c r="I736" s="2" t="str">
        <f>IF(Iterations[[#This Row],[Step]] =current_step, current_c,IF(Iterations[[#This Row],[Step]] &gt; current_step, "",Iterations[[#This Row],[c]]))</f>
        <v/>
      </c>
      <c r="J736" s="2" t="str">
        <f>IF(Iterations[[#This Row],[Step]] =current_step, current_d,IF(Iterations[[#This Row],[Step]] &gt; current_step, "",Iterations[[#This Row],[d]]))</f>
        <v/>
      </c>
      <c r="K736" s="2" t="str">
        <f>IF(Iterations[[#This Row],[Step]] =current_step, current_e,IF(Iterations[[#This Row],[Step]] &gt; current_step, "",Iterations[[#This Row],[e]]))</f>
        <v/>
      </c>
      <c r="L736" s="2" t="str">
        <f>IF(Iterations[[#This Row],[Step]] =current_step, current_Total_Loss,IF(Iterations[[#This Row],[Step]] &gt; current_step, "",Iterations[[#This Row],[Total Loss]]))</f>
        <v/>
      </c>
      <c r="M736" s="6" t="s">
        <v>27</v>
      </c>
      <c r="N736" s="2" t="str">
        <f>IF(Iterations[[#This Row],[Step]] =current_step, current_Grad_a,IF(Iterations[[#This Row],[Step]] &gt; current_step, "",Iterations[[#This Row],[Grad_a]]))</f>
        <v/>
      </c>
      <c r="O736" s="2" t="str">
        <f>IF(Iterations[[#This Row],[Step]] =current_step, current_Grad_b,IF(Iterations[[#This Row],[Step]] &gt; current_step, "",Iterations[[#This Row],[Grad_b]]))</f>
        <v/>
      </c>
      <c r="P736" s="2" t="str">
        <f>IF(Iterations[[#This Row],[Step]] =current_step, current_Grad_c,IF(Iterations[[#This Row],[Step]] &gt; current_step, "",Iterations[[#This Row],[Grad_c]]))</f>
        <v/>
      </c>
      <c r="Q736" s="2" t="str">
        <f>IF(Iterations[[#This Row],[Step]] =current_step, current_Grad_d,IF(Iterations[[#This Row],[Step]] &gt; current_step, "",Iterations[[#This Row],[Grad_d]]))</f>
        <v/>
      </c>
      <c r="R736" s="2" t="str">
        <f>IF(Iterations[[#This Row],[Step]] =current_step, current_Grad_e,IF(Iterations[[#This Row],[Step]] &gt; current_step, "",Iterations[[#This Row],[Grad_e]]))</f>
        <v/>
      </c>
    </row>
    <row r="737" spans="6:18" x14ac:dyDescent="0.3">
      <c r="F737" s="2">
        <f t="shared" si="13"/>
        <v>720</v>
      </c>
      <c r="G737" s="2" t="str">
        <f>IF(Iterations[[#This Row],[Step]] =current_step, current_a,IF(Iterations[[#This Row],[Step]] &gt; current_step, "",Iterations[[#This Row],[a]]))</f>
        <v/>
      </c>
      <c r="H737" s="2" t="str">
        <f>IF(Iterations[[#This Row],[Step]] =current_step, current_b,IF(Iterations[[#This Row],[Step]] &gt; current_step, "",Iterations[[#This Row],[b]]))</f>
        <v/>
      </c>
      <c r="I737" s="2" t="str">
        <f>IF(Iterations[[#This Row],[Step]] =current_step, current_c,IF(Iterations[[#This Row],[Step]] &gt; current_step, "",Iterations[[#This Row],[c]]))</f>
        <v/>
      </c>
      <c r="J737" s="2" t="str">
        <f>IF(Iterations[[#This Row],[Step]] =current_step, current_d,IF(Iterations[[#This Row],[Step]] &gt; current_step, "",Iterations[[#This Row],[d]]))</f>
        <v/>
      </c>
      <c r="K737" s="2" t="str">
        <f>IF(Iterations[[#This Row],[Step]] =current_step, current_e,IF(Iterations[[#This Row],[Step]] &gt; current_step, "",Iterations[[#This Row],[e]]))</f>
        <v/>
      </c>
      <c r="L737" s="2" t="str">
        <f>IF(Iterations[[#This Row],[Step]] =current_step, current_Total_Loss,IF(Iterations[[#This Row],[Step]] &gt; current_step, "",Iterations[[#This Row],[Total Loss]]))</f>
        <v/>
      </c>
      <c r="M737" s="6" t="s">
        <v>27</v>
      </c>
      <c r="N737" s="2" t="str">
        <f>IF(Iterations[[#This Row],[Step]] =current_step, current_Grad_a,IF(Iterations[[#This Row],[Step]] &gt; current_step, "",Iterations[[#This Row],[Grad_a]]))</f>
        <v/>
      </c>
      <c r="O737" s="2" t="str">
        <f>IF(Iterations[[#This Row],[Step]] =current_step, current_Grad_b,IF(Iterations[[#This Row],[Step]] &gt; current_step, "",Iterations[[#This Row],[Grad_b]]))</f>
        <v/>
      </c>
      <c r="P737" s="2" t="str">
        <f>IF(Iterations[[#This Row],[Step]] =current_step, current_Grad_c,IF(Iterations[[#This Row],[Step]] &gt; current_step, "",Iterations[[#This Row],[Grad_c]]))</f>
        <v/>
      </c>
      <c r="Q737" s="2" t="str">
        <f>IF(Iterations[[#This Row],[Step]] =current_step, current_Grad_d,IF(Iterations[[#This Row],[Step]] &gt; current_step, "",Iterations[[#This Row],[Grad_d]]))</f>
        <v/>
      </c>
      <c r="R737" s="2" t="str">
        <f>IF(Iterations[[#This Row],[Step]] =current_step, current_Grad_e,IF(Iterations[[#This Row],[Step]] &gt; current_step, "",Iterations[[#This Row],[Grad_e]]))</f>
        <v/>
      </c>
    </row>
    <row r="738" spans="6:18" x14ac:dyDescent="0.3">
      <c r="F738" s="2">
        <f t="shared" si="13"/>
        <v>721</v>
      </c>
      <c r="G738" s="2" t="str">
        <f>IF(Iterations[[#This Row],[Step]] =current_step, current_a,IF(Iterations[[#This Row],[Step]] &gt; current_step, "",Iterations[[#This Row],[a]]))</f>
        <v/>
      </c>
      <c r="H738" s="2" t="str">
        <f>IF(Iterations[[#This Row],[Step]] =current_step, current_b,IF(Iterations[[#This Row],[Step]] &gt; current_step, "",Iterations[[#This Row],[b]]))</f>
        <v/>
      </c>
      <c r="I738" s="2" t="str">
        <f>IF(Iterations[[#This Row],[Step]] =current_step, current_c,IF(Iterations[[#This Row],[Step]] &gt; current_step, "",Iterations[[#This Row],[c]]))</f>
        <v/>
      </c>
      <c r="J738" s="2" t="str">
        <f>IF(Iterations[[#This Row],[Step]] =current_step, current_d,IF(Iterations[[#This Row],[Step]] &gt; current_step, "",Iterations[[#This Row],[d]]))</f>
        <v/>
      </c>
      <c r="K738" s="2" t="str">
        <f>IF(Iterations[[#This Row],[Step]] =current_step, current_e,IF(Iterations[[#This Row],[Step]] &gt; current_step, "",Iterations[[#This Row],[e]]))</f>
        <v/>
      </c>
      <c r="L738" s="2" t="str">
        <f>IF(Iterations[[#This Row],[Step]] =current_step, current_Total_Loss,IF(Iterations[[#This Row],[Step]] &gt; current_step, "",Iterations[[#This Row],[Total Loss]]))</f>
        <v/>
      </c>
      <c r="M738" s="6" t="s">
        <v>27</v>
      </c>
      <c r="N738" s="2" t="str">
        <f>IF(Iterations[[#This Row],[Step]] =current_step, current_Grad_a,IF(Iterations[[#This Row],[Step]] &gt; current_step, "",Iterations[[#This Row],[Grad_a]]))</f>
        <v/>
      </c>
      <c r="O738" s="2" t="str">
        <f>IF(Iterations[[#This Row],[Step]] =current_step, current_Grad_b,IF(Iterations[[#This Row],[Step]] &gt; current_step, "",Iterations[[#This Row],[Grad_b]]))</f>
        <v/>
      </c>
      <c r="P738" s="2" t="str">
        <f>IF(Iterations[[#This Row],[Step]] =current_step, current_Grad_c,IF(Iterations[[#This Row],[Step]] &gt; current_step, "",Iterations[[#This Row],[Grad_c]]))</f>
        <v/>
      </c>
      <c r="Q738" s="2" t="str">
        <f>IF(Iterations[[#This Row],[Step]] =current_step, current_Grad_d,IF(Iterations[[#This Row],[Step]] &gt; current_step, "",Iterations[[#This Row],[Grad_d]]))</f>
        <v/>
      </c>
      <c r="R738" s="2" t="str">
        <f>IF(Iterations[[#This Row],[Step]] =current_step, current_Grad_e,IF(Iterations[[#This Row],[Step]] &gt; current_step, "",Iterations[[#This Row],[Grad_e]]))</f>
        <v/>
      </c>
    </row>
    <row r="739" spans="6:18" x14ac:dyDescent="0.3">
      <c r="F739" s="2">
        <f t="shared" si="13"/>
        <v>722</v>
      </c>
      <c r="G739" s="2" t="str">
        <f>IF(Iterations[[#This Row],[Step]] =current_step, current_a,IF(Iterations[[#This Row],[Step]] &gt; current_step, "",Iterations[[#This Row],[a]]))</f>
        <v/>
      </c>
      <c r="H739" s="2" t="str">
        <f>IF(Iterations[[#This Row],[Step]] =current_step, current_b,IF(Iterations[[#This Row],[Step]] &gt; current_step, "",Iterations[[#This Row],[b]]))</f>
        <v/>
      </c>
      <c r="I739" s="2" t="str">
        <f>IF(Iterations[[#This Row],[Step]] =current_step, current_c,IF(Iterations[[#This Row],[Step]] &gt; current_step, "",Iterations[[#This Row],[c]]))</f>
        <v/>
      </c>
      <c r="J739" s="2" t="str">
        <f>IF(Iterations[[#This Row],[Step]] =current_step, current_d,IF(Iterations[[#This Row],[Step]] &gt; current_step, "",Iterations[[#This Row],[d]]))</f>
        <v/>
      </c>
      <c r="K739" s="2" t="str">
        <f>IF(Iterations[[#This Row],[Step]] =current_step, current_e,IF(Iterations[[#This Row],[Step]] &gt; current_step, "",Iterations[[#This Row],[e]]))</f>
        <v/>
      </c>
      <c r="L739" s="2" t="str">
        <f>IF(Iterations[[#This Row],[Step]] =current_step, current_Total_Loss,IF(Iterations[[#This Row],[Step]] &gt; current_step, "",Iterations[[#This Row],[Total Loss]]))</f>
        <v/>
      </c>
      <c r="M739" s="6" t="s">
        <v>27</v>
      </c>
      <c r="N739" s="2" t="str">
        <f>IF(Iterations[[#This Row],[Step]] =current_step, current_Grad_a,IF(Iterations[[#This Row],[Step]] &gt; current_step, "",Iterations[[#This Row],[Grad_a]]))</f>
        <v/>
      </c>
      <c r="O739" s="2" t="str">
        <f>IF(Iterations[[#This Row],[Step]] =current_step, current_Grad_b,IF(Iterations[[#This Row],[Step]] &gt; current_step, "",Iterations[[#This Row],[Grad_b]]))</f>
        <v/>
      </c>
      <c r="P739" s="2" t="str">
        <f>IF(Iterations[[#This Row],[Step]] =current_step, current_Grad_c,IF(Iterations[[#This Row],[Step]] &gt; current_step, "",Iterations[[#This Row],[Grad_c]]))</f>
        <v/>
      </c>
      <c r="Q739" s="2" t="str">
        <f>IF(Iterations[[#This Row],[Step]] =current_step, current_Grad_d,IF(Iterations[[#This Row],[Step]] &gt; current_step, "",Iterations[[#This Row],[Grad_d]]))</f>
        <v/>
      </c>
      <c r="R739" s="2" t="str">
        <f>IF(Iterations[[#This Row],[Step]] =current_step, current_Grad_e,IF(Iterations[[#This Row],[Step]] &gt; current_step, "",Iterations[[#This Row],[Grad_e]]))</f>
        <v/>
      </c>
    </row>
    <row r="740" spans="6:18" x14ac:dyDescent="0.3">
      <c r="F740" s="2">
        <f t="shared" si="13"/>
        <v>723</v>
      </c>
      <c r="G740" s="2" t="str">
        <f>IF(Iterations[[#This Row],[Step]] =current_step, current_a,IF(Iterations[[#This Row],[Step]] &gt; current_step, "",Iterations[[#This Row],[a]]))</f>
        <v/>
      </c>
      <c r="H740" s="2" t="str">
        <f>IF(Iterations[[#This Row],[Step]] =current_step, current_b,IF(Iterations[[#This Row],[Step]] &gt; current_step, "",Iterations[[#This Row],[b]]))</f>
        <v/>
      </c>
      <c r="I740" s="2" t="str">
        <f>IF(Iterations[[#This Row],[Step]] =current_step, current_c,IF(Iterations[[#This Row],[Step]] &gt; current_step, "",Iterations[[#This Row],[c]]))</f>
        <v/>
      </c>
      <c r="J740" s="2" t="str">
        <f>IF(Iterations[[#This Row],[Step]] =current_step, current_d,IF(Iterations[[#This Row],[Step]] &gt; current_step, "",Iterations[[#This Row],[d]]))</f>
        <v/>
      </c>
      <c r="K740" s="2" t="str">
        <f>IF(Iterations[[#This Row],[Step]] =current_step, current_e,IF(Iterations[[#This Row],[Step]] &gt; current_step, "",Iterations[[#This Row],[e]]))</f>
        <v/>
      </c>
      <c r="L740" s="2" t="str">
        <f>IF(Iterations[[#This Row],[Step]] =current_step, current_Total_Loss,IF(Iterations[[#This Row],[Step]] &gt; current_step, "",Iterations[[#This Row],[Total Loss]]))</f>
        <v/>
      </c>
      <c r="M740" s="6" t="s">
        <v>27</v>
      </c>
      <c r="N740" s="2" t="str">
        <f>IF(Iterations[[#This Row],[Step]] =current_step, current_Grad_a,IF(Iterations[[#This Row],[Step]] &gt; current_step, "",Iterations[[#This Row],[Grad_a]]))</f>
        <v/>
      </c>
      <c r="O740" s="2" t="str">
        <f>IF(Iterations[[#This Row],[Step]] =current_step, current_Grad_b,IF(Iterations[[#This Row],[Step]] &gt; current_step, "",Iterations[[#This Row],[Grad_b]]))</f>
        <v/>
      </c>
      <c r="P740" s="2" t="str">
        <f>IF(Iterations[[#This Row],[Step]] =current_step, current_Grad_c,IF(Iterations[[#This Row],[Step]] &gt; current_step, "",Iterations[[#This Row],[Grad_c]]))</f>
        <v/>
      </c>
      <c r="Q740" s="2" t="str">
        <f>IF(Iterations[[#This Row],[Step]] =current_step, current_Grad_d,IF(Iterations[[#This Row],[Step]] &gt; current_step, "",Iterations[[#This Row],[Grad_d]]))</f>
        <v/>
      </c>
      <c r="R740" s="2" t="str">
        <f>IF(Iterations[[#This Row],[Step]] =current_step, current_Grad_e,IF(Iterations[[#This Row],[Step]] &gt; current_step, "",Iterations[[#This Row],[Grad_e]]))</f>
        <v/>
      </c>
    </row>
    <row r="741" spans="6:18" x14ac:dyDescent="0.3">
      <c r="F741" s="2">
        <f t="shared" si="13"/>
        <v>724</v>
      </c>
      <c r="G741" s="2" t="str">
        <f>IF(Iterations[[#This Row],[Step]] =current_step, current_a,IF(Iterations[[#This Row],[Step]] &gt; current_step, "",Iterations[[#This Row],[a]]))</f>
        <v/>
      </c>
      <c r="H741" s="2" t="str">
        <f>IF(Iterations[[#This Row],[Step]] =current_step, current_b,IF(Iterations[[#This Row],[Step]] &gt; current_step, "",Iterations[[#This Row],[b]]))</f>
        <v/>
      </c>
      <c r="I741" s="2" t="str">
        <f>IF(Iterations[[#This Row],[Step]] =current_step, current_c,IF(Iterations[[#This Row],[Step]] &gt; current_step, "",Iterations[[#This Row],[c]]))</f>
        <v/>
      </c>
      <c r="J741" s="2" t="str">
        <f>IF(Iterations[[#This Row],[Step]] =current_step, current_d,IF(Iterations[[#This Row],[Step]] &gt; current_step, "",Iterations[[#This Row],[d]]))</f>
        <v/>
      </c>
      <c r="K741" s="2" t="str">
        <f>IF(Iterations[[#This Row],[Step]] =current_step, current_e,IF(Iterations[[#This Row],[Step]] &gt; current_step, "",Iterations[[#This Row],[e]]))</f>
        <v/>
      </c>
      <c r="L741" s="2" t="str">
        <f>IF(Iterations[[#This Row],[Step]] =current_step, current_Total_Loss,IF(Iterations[[#This Row],[Step]] &gt; current_step, "",Iterations[[#This Row],[Total Loss]]))</f>
        <v/>
      </c>
      <c r="M741" s="6" t="s">
        <v>27</v>
      </c>
      <c r="N741" s="2" t="str">
        <f>IF(Iterations[[#This Row],[Step]] =current_step, current_Grad_a,IF(Iterations[[#This Row],[Step]] &gt; current_step, "",Iterations[[#This Row],[Grad_a]]))</f>
        <v/>
      </c>
      <c r="O741" s="2" t="str">
        <f>IF(Iterations[[#This Row],[Step]] =current_step, current_Grad_b,IF(Iterations[[#This Row],[Step]] &gt; current_step, "",Iterations[[#This Row],[Grad_b]]))</f>
        <v/>
      </c>
      <c r="P741" s="2" t="str">
        <f>IF(Iterations[[#This Row],[Step]] =current_step, current_Grad_c,IF(Iterations[[#This Row],[Step]] &gt; current_step, "",Iterations[[#This Row],[Grad_c]]))</f>
        <v/>
      </c>
      <c r="Q741" s="2" t="str">
        <f>IF(Iterations[[#This Row],[Step]] =current_step, current_Grad_d,IF(Iterations[[#This Row],[Step]] &gt; current_step, "",Iterations[[#This Row],[Grad_d]]))</f>
        <v/>
      </c>
      <c r="R741" s="2" t="str">
        <f>IF(Iterations[[#This Row],[Step]] =current_step, current_Grad_e,IF(Iterations[[#This Row],[Step]] &gt; current_step, "",Iterations[[#This Row],[Grad_e]]))</f>
        <v/>
      </c>
    </row>
    <row r="742" spans="6:18" x14ac:dyDescent="0.3">
      <c r="F742" s="2">
        <f t="shared" si="13"/>
        <v>725</v>
      </c>
      <c r="G742" s="2" t="str">
        <f>IF(Iterations[[#This Row],[Step]] =current_step, current_a,IF(Iterations[[#This Row],[Step]] &gt; current_step, "",Iterations[[#This Row],[a]]))</f>
        <v/>
      </c>
      <c r="H742" s="2" t="str">
        <f>IF(Iterations[[#This Row],[Step]] =current_step, current_b,IF(Iterations[[#This Row],[Step]] &gt; current_step, "",Iterations[[#This Row],[b]]))</f>
        <v/>
      </c>
      <c r="I742" s="2" t="str">
        <f>IF(Iterations[[#This Row],[Step]] =current_step, current_c,IF(Iterations[[#This Row],[Step]] &gt; current_step, "",Iterations[[#This Row],[c]]))</f>
        <v/>
      </c>
      <c r="J742" s="2" t="str">
        <f>IF(Iterations[[#This Row],[Step]] =current_step, current_d,IF(Iterations[[#This Row],[Step]] &gt; current_step, "",Iterations[[#This Row],[d]]))</f>
        <v/>
      </c>
      <c r="K742" s="2" t="str">
        <f>IF(Iterations[[#This Row],[Step]] =current_step, current_e,IF(Iterations[[#This Row],[Step]] &gt; current_step, "",Iterations[[#This Row],[e]]))</f>
        <v/>
      </c>
      <c r="L742" s="2" t="str">
        <f>IF(Iterations[[#This Row],[Step]] =current_step, current_Total_Loss,IF(Iterations[[#This Row],[Step]] &gt; current_step, "",Iterations[[#This Row],[Total Loss]]))</f>
        <v/>
      </c>
      <c r="M742" s="6" t="s">
        <v>27</v>
      </c>
      <c r="N742" s="2" t="str">
        <f>IF(Iterations[[#This Row],[Step]] =current_step, current_Grad_a,IF(Iterations[[#This Row],[Step]] &gt; current_step, "",Iterations[[#This Row],[Grad_a]]))</f>
        <v/>
      </c>
      <c r="O742" s="2" t="str">
        <f>IF(Iterations[[#This Row],[Step]] =current_step, current_Grad_b,IF(Iterations[[#This Row],[Step]] &gt; current_step, "",Iterations[[#This Row],[Grad_b]]))</f>
        <v/>
      </c>
      <c r="P742" s="2" t="str">
        <f>IF(Iterations[[#This Row],[Step]] =current_step, current_Grad_c,IF(Iterations[[#This Row],[Step]] &gt; current_step, "",Iterations[[#This Row],[Grad_c]]))</f>
        <v/>
      </c>
      <c r="Q742" s="2" t="str">
        <f>IF(Iterations[[#This Row],[Step]] =current_step, current_Grad_d,IF(Iterations[[#This Row],[Step]] &gt; current_step, "",Iterations[[#This Row],[Grad_d]]))</f>
        <v/>
      </c>
      <c r="R742" s="2" t="str">
        <f>IF(Iterations[[#This Row],[Step]] =current_step, current_Grad_e,IF(Iterations[[#This Row],[Step]] &gt; current_step, "",Iterations[[#This Row],[Grad_e]]))</f>
        <v/>
      </c>
    </row>
    <row r="743" spans="6:18" x14ac:dyDescent="0.3">
      <c r="F743" s="2">
        <f t="shared" si="13"/>
        <v>726</v>
      </c>
      <c r="G743" s="2" t="str">
        <f>IF(Iterations[[#This Row],[Step]] =current_step, current_a,IF(Iterations[[#This Row],[Step]] &gt; current_step, "",Iterations[[#This Row],[a]]))</f>
        <v/>
      </c>
      <c r="H743" s="2" t="str">
        <f>IF(Iterations[[#This Row],[Step]] =current_step, current_b,IF(Iterations[[#This Row],[Step]] &gt; current_step, "",Iterations[[#This Row],[b]]))</f>
        <v/>
      </c>
      <c r="I743" s="2" t="str">
        <f>IF(Iterations[[#This Row],[Step]] =current_step, current_c,IF(Iterations[[#This Row],[Step]] &gt; current_step, "",Iterations[[#This Row],[c]]))</f>
        <v/>
      </c>
      <c r="J743" s="2" t="str">
        <f>IF(Iterations[[#This Row],[Step]] =current_step, current_d,IF(Iterations[[#This Row],[Step]] &gt; current_step, "",Iterations[[#This Row],[d]]))</f>
        <v/>
      </c>
      <c r="K743" s="2" t="str">
        <f>IF(Iterations[[#This Row],[Step]] =current_step, current_e,IF(Iterations[[#This Row],[Step]] &gt; current_step, "",Iterations[[#This Row],[e]]))</f>
        <v/>
      </c>
      <c r="L743" s="2" t="str">
        <f>IF(Iterations[[#This Row],[Step]] =current_step, current_Total_Loss,IF(Iterations[[#This Row],[Step]] &gt; current_step, "",Iterations[[#This Row],[Total Loss]]))</f>
        <v/>
      </c>
      <c r="M743" s="6" t="s">
        <v>27</v>
      </c>
      <c r="N743" s="2" t="str">
        <f>IF(Iterations[[#This Row],[Step]] =current_step, current_Grad_a,IF(Iterations[[#This Row],[Step]] &gt; current_step, "",Iterations[[#This Row],[Grad_a]]))</f>
        <v/>
      </c>
      <c r="O743" s="2" t="str">
        <f>IF(Iterations[[#This Row],[Step]] =current_step, current_Grad_b,IF(Iterations[[#This Row],[Step]] &gt; current_step, "",Iterations[[#This Row],[Grad_b]]))</f>
        <v/>
      </c>
      <c r="P743" s="2" t="str">
        <f>IF(Iterations[[#This Row],[Step]] =current_step, current_Grad_c,IF(Iterations[[#This Row],[Step]] &gt; current_step, "",Iterations[[#This Row],[Grad_c]]))</f>
        <v/>
      </c>
      <c r="Q743" s="2" t="str">
        <f>IF(Iterations[[#This Row],[Step]] =current_step, current_Grad_d,IF(Iterations[[#This Row],[Step]] &gt; current_step, "",Iterations[[#This Row],[Grad_d]]))</f>
        <v/>
      </c>
      <c r="R743" s="2" t="str">
        <f>IF(Iterations[[#This Row],[Step]] =current_step, current_Grad_e,IF(Iterations[[#This Row],[Step]] &gt; current_step, "",Iterations[[#This Row],[Grad_e]]))</f>
        <v/>
      </c>
    </row>
    <row r="744" spans="6:18" x14ac:dyDescent="0.3">
      <c r="F744" s="2">
        <f t="shared" si="13"/>
        <v>727</v>
      </c>
      <c r="G744" s="2" t="str">
        <f>IF(Iterations[[#This Row],[Step]] =current_step, current_a,IF(Iterations[[#This Row],[Step]] &gt; current_step, "",Iterations[[#This Row],[a]]))</f>
        <v/>
      </c>
      <c r="H744" s="2" t="str">
        <f>IF(Iterations[[#This Row],[Step]] =current_step, current_b,IF(Iterations[[#This Row],[Step]] &gt; current_step, "",Iterations[[#This Row],[b]]))</f>
        <v/>
      </c>
      <c r="I744" s="2" t="str">
        <f>IF(Iterations[[#This Row],[Step]] =current_step, current_c,IF(Iterations[[#This Row],[Step]] &gt; current_step, "",Iterations[[#This Row],[c]]))</f>
        <v/>
      </c>
      <c r="J744" s="2" t="str">
        <f>IF(Iterations[[#This Row],[Step]] =current_step, current_d,IF(Iterations[[#This Row],[Step]] &gt; current_step, "",Iterations[[#This Row],[d]]))</f>
        <v/>
      </c>
      <c r="K744" s="2" t="str">
        <f>IF(Iterations[[#This Row],[Step]] =current_step, current_e,IF(Iterations[[#This Row],[Step]] &gt; current_step, "",Iterations[[#This Row],[e]]))</f>
        <v/>
      </c>
      <c r="L744" s="2" t="str">
        <f>IF(Iterations[[#This Row],[Step]] =current_step, current_Total_Loss,IF(Iterations[[#This Row],[Step]] &gt; current_step, "",Iterations[[#This Row],[Total Loss]]))</f>
        <v/>
      </c>
      <c r="M744" s="6" t="s">
        <v>27</v>
      </c>
      <c r="N744" s="2" t="str">
        <f>IF(Iterations[[#This Row],[Step]] =current_step, current_Grad_a,IF(Iterations[[#This Row],[Step]] &gt; current_step, "",Iterations[[#This Row],[Grad_a]]))</f>
        <v/>
      </c>
      <c r="O744" s="2" t="str">
        <f>IF(Iterations[[#This Row],[Step]] =current_step, current_Grad_b,IF(Iterations[[#This Row],[Step]] &gt; current_step, "",Iterations[[#This Row],[Grad_b]]))</f>
        <v/>
      </c>
      <c r="P744" s="2" t="str">
        <f>IF(Iterations[[#This Row],[Step]] =current_step, current_Grad_c,IF(Iterations[[#This Row],[Step]] &gt; current_step, "",Iterations[[#This Row],[Grad_c]]))</f>
        <v/>
      </c>
      <c r="Q744" s="2" t="str">
        <f>IF(Iterations[[#This Row],[Step]] =current_step, current_Grad_d,IF(Iterations[[#This Row],[Step]] &gt; current_step, "",Iterations[[#This Row],[Grad_d]]))</f>
        <v/>
      </c>
      <c r="R744" s="2" t="str">
        <f>IF(Iterations[[#This Row],[Step]] =current_step, current_Grad_e,IF(Iterations[[#This Row],[Step]] &gt; current_step, "",Iterations[[#This Row],[Grad_e]]))</f>
        <v/>
      </c>
    </row>
    <row r="745" spans="6:18" x14ac:dyDescent="0.3">
      <c r="F745" s="2">
        <f t="shared" si="13"/>
        <v>728</v>
      </c>
      <c r="G745" s="2" t="str">
        <f>IF(Iterations[[#This Row],[Step]] =current_step, current_a,IF(Iterations[[#This Row],[Step]] &gt; current_step, "",Iterations[[#This Row],[a]]))</f>
        <v/>
      </c>
      <c r="H745" s="2" t="str">
        <f>IF(Iterations[[#This Row],[Step]] =current_step, current_b,IF(Iterations[[#This Row],[Step]] &gt; current_step, "",Iterations[[#This Row],[b]]))</f>
        <v/>
      </c>
      <c r="I745" s="2" t="str">
        <f>IF(Iterations[[#This Row],[Step]] =current_step, current_c,IF(Iterations[[#This Row],[Step]] &gt; current_step, "",Iterations[[#This Row],[c]]))</f>
        <v/>
      </c>
      <c r="J745" s="2" t="str">
        <f>IF(Iterations[[#This Row],[Step]] =current_step, current_d,IF(Iterations[[#This Row],[Step]] &gt; current_step, "",Iterations[[#This Row],[d]]))</f>
        <v/>
      </c>
      <c r="K745" s="2" t="str">
        <f>IF(Iterations[[#This Row],[Step]] =current_step, current_e,IF(Iterations[[#This Row],[Step]] &gt; current_step, "",Iterations[[#This Row],[e]]))</f>
        <v/>
      </c>
      <c r="L745" s="2" t="str">
        <f>IF(Iterations[[#This Row],[Step]] =current_step, current_Total_Loss,IF(Iterations[[#This Row],[Step]] &gt; current_step, "",Iterations[[#This Row],[Total Loss]]))</f>
        <v/>
      </c>
      <c r="M745" s="6" t="s">
        <v>27</v>
      </c>
      <c r="N745" s="2" t="str">
        <f>IF(Iterations[[#This Row],[Step]] =current_step, current_Grad_a,IF(Iterations[[#This Row],[Step]] &gt; current_step, "",Iterations[[#This Row],[Grad_a]]))</f>
        <v/>
      </c>
      <c r="O745" s="2" t="str">
        <f>IF(Iterations[[#This Row],[Step]] =current_step, current_Grad_b,IF(Iterations[[#This Row],[Step]] &gt; current_step, "",Iterations[[#This Row],[Grad_b]]))</f>
        <v/>
      </c>
      <c r="P745" s="2" t="str">
        <f>IF(Iterations[[#This Row],[Step]] =current_step, current_Grad_c,IF(Iterations[[#This Row],[Step]] &gt; current_step, "",Iterations[[#This Row],[Grad_c]]))</f>
        <v/>
      </c>
      <c r="Q745" s="2" t="str">
        <f>IF(Iterations[[#This Row],[Step]] =current_step, current_Grad_d,IF(Iterations[[#This Row],[Step]] &gt; current_step, "",Iterations[[#This Row],[Grad_d]]))</f>
        <v/>
      </c>
      <c r="R745" s="2" t="str">
        <f>IF(Iterations[[#This Row],[Step]] =current_step, current_Grad_e,IF(Iterations[[#This Row],[Step]] &gt; current_step, "",Iterations[[#This Row],[Grad_e]]))</f>
        <v/>
      </c>
    </row>
    <row r="746" spans="6:18" x14ac:dyDescent="0.3">
      <c r="F746" s="2">
        <f t="shared" si="13"/>
        <v>729</v>
      </c>
      <c r="G746" s="2" t="str">
        <f>IF(Iterations[[#This Row],[Step]] =current_step, current_a,IF(Iterations[[#This Row],[Step]] &gt; current_step, "",Iterations[[#This Row],[a]]))</f>
        <v/>
      </c>
      <c r="H746" s="2" t="str">
        <f>IF(Iterations[[#This Row],[Step]] =current_step, current_b,IF(Iterations[[#This Row],[Step]] &gt; current_step, "",Iterations[[#This Row],[b]]))</f>
        <v/>
      </c>
      <c r="I746" s="2" t="str">
        <f>IF(Iterations[[#This Row],[Step]] =current_step, current_c,IF(Iterations[[#This Row],[Step]] &gt; current_step, "",Iterations[[#This Row],[c]]))</f>
        <v/>
      </c>
      <c r="J746" s="2" t="str">
        <f>IF(Iterations[[#This Row],[Step]] =current_step, current_d,IF(Iterations[[#This Row],[Step]] &gt; current_step, "",Iterations[[#This Row],[d]]))</f>
        <v/>
      </c>
      <c r="K746" s="2" t="str">
        <f>IF(Iterations[[#This Row],[Step]] =current_step, current_e,IF(Iterations[[#This Row],[Step]] &gt; current_step, "",Iterations[[#This Row],[e]]))</f>
        <v/>
      </c>
      <c r="L746" s="2" t="str">
        <f>IF(Iterations[[#This Row],[Step]] =current_step, current_Total_Loss,IF(Iterations[[#This Row],[Step]] &gt; current_step, "",Iterations[[#This Row],[Total Loss]]))</f>
        <v/>
      </c>
      <c r="M746" s="6" t="s">
        <v>27</v>
      </c>
      <c r="N746" s="2" t="str">
        <f>IF(Iterations[[#This Row],[Step]] =current_step, current_Grad_a,IF(Iterations[[#This Row],[Step]] &gt; current_step, "",Iterations[[#This Row],[Grad_a]]))</f>
        <v/>
      </c>
      <c r="O746" s="2" t="str">
        <f>IF(Iterations[[#This Row],[Step]] =current_step, current_Grad_b,IF(Iterations[[#This Row],[Step]] &gt; current_step, "",Iterations[[#This Row],[Grad_b]]))</f>
        <v/>
      </c>
      <c r="P746" s="2" t="str">
        <f>IF(Iterations[[#This Row],[Step]] =current_step, current_Grad_c,IF(Iterations[[#This Row],[Step]] &gt; current_step, "",Iterations[[#This Row],[Grad_c]]))</f>
        <v/>
      </c>
      <c r="Q746" s="2" t="str">
        <f>IF(Iterations[[#This Row],[Step]] =current_step, current_Grad_d,IF(Iterations[[#This Row],[Step]] &gt; current_step, "",Iterations[[#This Row],[Grad_d]]))</f>
        <v/>
      </c>
      <c r="R746" s="2" t="str">
        <f>IF(Iterations[[#This Row],[Step]] =current_step, current_Grad_e,IF(Iterations[[#This Row],[Step]] &gt; current_step, "",Iterations[[#This Row],[Grad_e]]))</f>
        <v/>
      </c>
    </row>
    <row r="747" spans="6:18" x14ac:dyDescent="0.3">
      <c r="F747" s="2">
        <f t="shared" si="13"/>
        <v>730</v>
      </c>
      <c r="G747" s="2" t="str">
        <f>IF(Iterations[[#This Row],[Step]] =current_step, current_a,IF(Iterations[[#This Row],[Step]] &gt; current_step, "",Iterations[[#This Row],[a]]))</f>
        <v/>
      </c>
      <c r="H747" s="2" t="str">
        <f>IF(Iterations[[#This Row],[Step]] =current_step, current_b,IF(Iterations[[#This Row],[Step]] &gt; current_step, "",Iterations[[#This Row],[b]]))</f>
        <v/>
      </c>
      <c r="I747" s="2" t="str">
        <f>IF(Iterations[[#This Row],[Step]] =current_step, current_c,IF(Iterations[[#This Row],[Step]] &gt; current_step, "",Iterations[[#This Row],[c]]))</f>
        <v/>
      </c>
      <c r="J747" s="2" t="str">
        <f>IF(Iterations[[#This Row],[Step]] =current_step, current_d,IF(Iterations[[#This Row],[Step]] &gt; current_step, "",Iterations[[#This Row],[d]]))</f>
        <v/>
      </c>
      <c r="K747" s="2" t="str">
        <f>IF(Iterations[[#This Row],[Step]] =current_step, current_e,IF(Iterations[[#This Row],[Step]] &gt; current_step, "",Iterations[[#This Row],[e]]))</f>
        <v/>
      </c>
      <c r="L747" s="2" t="str">
        <f>IF(Iterations[[#This Row],[Step]] =current_step, current_Total_Loss,IF(Iterations[[#This Row],[Step]] &gt; current_step, "",Iterations[[#This Row],[Total Loss]]))</f>
        <v/>
      </c>
      <c r="M747" s="6" t="s">
        <v>27</v>
      </c>
      <c r="N747" s="2" t="str">
        <f>IF(Iterations[[#This Row],[Step]] =current_step, current_Grad_a,IF(Iterations[[#This Row],[Step]] &gt; current_step, "",Iterations[[#This Row],[Grad_a]]))</f>
        <v/>
      </c>
      <c r="O747" s="2" t="str">
        <f>IF(Iterations[[#This Row],[Step]] =current_step, current_Grad_b,IF(Iterations[[#This Row],[Step]] &gt; current_step, "",Iterations[[#This Row],[Grad_b]]))</f>
        <v/>
      </c>
      <c r="P747" s="2" t="str">
        <f>IF(Iterations[[#This Row],[Step]] =current_step, current_Grad_c,IF(Iterations[[#This Row],[Step]] &gt; current_step, "",Iterations[[#This Row],[Grad_c]]))</f>
        <v/>
      </c>
      <c r="Q747" s="2" t="str">
        <f>IF(Iterations[[#This Row],[Step]] =current_step, current_Grad_d,IF(Iterations[[#This Row],[Step]] &gt; current_step, "",Iterations[[#This Row],[Grad_d]]))</f>
        <v/>
      </c>
      <c r="R747" s="2" t="str">
        <f>IF(Iterations[[#This Row],[Step]] =current_step, current_Grad_e,IF(Iterations[[#This Row],[Step]] &gt; current_step, "",Iterations[[#This Row],[Grad_e]]))</f>
        <v/>
      </c>
    </row>
    <row r="748" spans="6:18" x14ac:dyDescent="0.3">
      <c r="F748" s="2">
        <f t="shared" si="13"/>
        <v>731</v>
      </c>
      <c r="G748" s="2" t="str">
        <f>IF(Iterations[[#This Row],[Step]] =current_step, current_a,IF(Iterations[[#This Row],[Step]] &gt; current_step, "",Iterations[[#This Row],[a]]))</f>
        <v/>
      </c>
      <c r="H748" s="2" t="str">
        <f>IF(Iterations[[#This Row],[Step]] =current_step, current_b,IF(Iterations[[#This Row],[Step]] &gt; current_step, "",Iterations[[#This Row],[b]]))</f>
        <v/>
      </c>
      <c r="I748" s="2" t="str">
        <f>IF(Iterations[[#This Row],[Step]] =current_step, current_c,IF(Iterations[[#This Row],[Step]] &gt; current_step, "",Iterations[[#This Row],[c]]))</f>
        <v/>
      </c>
      <c r="J748" s="2" t="str">
        <f>IF(Iterations[[#This Row],[Step]] =current_step, current_d,IF(Iterations[[#This Row],[Step]] &gt; current_step, "",Iterations[[#This Row],[d]]))</f>
        <v/>
      </c>
      <c r="K748" s="2" t="str">
        <f>IF(Iterations[[#This Row],[Step]] =current_step, current_e,IF(Iterations[[#This Row],[Step]] &gt; current_step, "",Iterations[[#This Row],[e]]))</f>
        <v/>
      </c>
      <c r="L748" s="2" t="str">
        <f>IF(Iterations[[#This Row],[Step]] =current_step, current_Total_Loss,IF(Iterations[[#This Row],[Step]] &gt; current_step, "",Iterations[[#This Row],[Total Loss]]))</f>
        <v/>
      </c>
      <c r="M748" s="6" t="s">
        <v>27</v>
      </c>
      <c r="N748" s="2" t="str">
        <f>IF(Iterations[[#This Row],[Step]] =current_step, current_Grad_a,IF(Iterations[[#This Row],[Step]] &gt; current_step, "",Iterations[[#This Row],[Grad_a]]))</f>
        <v/>
      </c>
      <c r="O748" s="2" t="str">
        <f>IF(Iterations[[#This Row],[Step]] =current_step, current_Grad_b,IF(Iterations[[#This Row],[Step]] &gt; current_step, "",Iterations[[#This Row],[Grad_b]]))</f>
        <v/>
      </c>
      <c r="P748" s="2" t="str">
        <f>IF(Iterations[[#This Row],[Step]] =current_step, current_Grad_c,IF(Iterations[[#This Row],[Step]] &gt; current_step, "",Iterations[[#This Row],[Grad_c]]))</f>
        <v/>
      </c>
      <c r="Q748" s="2" t="str">
        <f>IF(Iterations[[#This Row],[Step]] =current_step, current_Grad_d,IF(Iterations[[#This Row],[Step]] &gt; current_step, "",Iterations[[#This Row],[Grad_d]]))</f>
        <v/>
      </c>
      <c r="R748" s="2" t="str">
        <f>IF(Iterations[[#This Row],[Step]] =current_step, current_Grad_e,IF(Iterations[[#This Row],[Step]] &gt; current_step, "",Iterations[[#This Row],[Grad_e]]))</f>
        <v/>
      </c>
    </row>
    <row r="749" spans="6:18" x14ac:dyDescent="0.3">
      <c r="F749" s="2">
        <f t="shared" si="13"/>
        <v>732</v>
      </c>
      <c r="G749" s="2" t="str">
        <f>IF(Iterations[[#This Row],[Step]] =current_step, current_a,IF(Iterations[[#This Row],[Step]] &gt; current_step, "",Iterations[[#This Row],[a]]))</f>
        <v/>
      </c>
      <c r="H749" s="2" t="str">
        <f>IF(Iterations[[#This Row],[Step]] =current_step, current_b,IF(Iterations[[#This Row],[Step]] &gt; current_step, "",Iterations[[#This Row],[b]]))</f>
        <v/>
      </c>
      <c r="I749" s="2" t="str">
        <f>IF(Iterations[[#This Row],[Step]] =current_step, current_c,IF(Iterations[[#This Row],[Step]] &gt; current_step, "",Iterations[[#This Row],[c]]))</f>
        <v/>
      </c>
      <c r="J749" s="2" t="str">
        <f>IF(Iterations[[#This Row],[Step]] =current_step, current_d,IF(Iterations[[#This Row],[Step]] &gt; current_step, "",Iterations[[#This Row],[d]]))</f>
        <v/>
      </c>
      <c r="K749" s="2" t="str">
        <f>IF(Iterations[[#This Row],[Step]] =current_step, current_e,IF(Iterations[[#This Row],[Step]] &gt; current_step, "",Iterations[[#This Row],[e]]))</f>
        <v/>
      </c>
      <c r="L749" s="2" t="str">
        <f>IF(Iterations[[#This Row],[Step]] =current_step, current_Total_Loss,IF(Iterations[[#This Row],[Step]] &gt; current_step, "",Iterations[[#This Row],[Total Loss]]))</f>
        <v/>
      </c>
      <c r="M749" s="6" t="s">
        <v>27</v>
      </c>
      <c r="N749" s="2" t="str">
        <f>IF(Iterations[[#This Row],[Step]] =current_step, current_Grad_a,IF(Iterations[[#This Row],[Step]] &gt; current_step, "",Iterations[[#This Row],[Grad_a]]))</f>
        <v/>
      </c>
      <c r="O749" s="2" t="str">
        <f>IF(Iterations[[#This Row],[Step]] =current_step, current_Grad_b,IF(Iterations[[#This Row],[Step]] &gt; current_step, "",Iterations[[#This Row],[Grad_b]]))</f>
        <v/>
      </c>
      <c r="P749" s="2" t="str">
        <f>IF(Iterations[[#This Row],[Step]] =current_step, current_Grad_c,IF(Iterations[[#This Row],[Step]] &gt; current_step, "",Iterations[[#This Row],[Grad_c]]))</f>
        <v/>
      </c>
      <c r="Q749" s="2" t="str">
        <f>IF(Iterations[[#This Row],[Step]] =current_step, current_Grad_d,IF(Iterations[[#This Row],[Step]] &gt; current_step, "",Iterations[[#This Row],[Grad_d]]))</f>
        <v/>
      </c>
      <c r="R749" s="2" t="str">
        <f>IF(Iterations[[#This Row],[Step]] =current_step, current_Grad_e,IF(Iterations[[#This Row],[Step]] &gt; current_step, "",Iterations[[#This Row],[Grad_e]]))</f>
        <v/>
      </c>
    </row>
    <row r="750" spans="6:18" x14ac:dyDescent="0.3">
      <c r="F750" s="2">
        <f t="shared" si="13"/>
        <v>733</v>
      </c>
      <c r="G750" s="2" t="str">
        <f>IF(Iterations[[#This Row],[Step]] =current_step, current_a,IF(Iterations[[#This Row],[Step]] &gt; current_step, "",Iterations[[#This Row],[a]]))</f>
        <v/>
      </c>
      <c r="H750" s="2" t="str">
        <f>IF(Iterations[[#This Row],[Step]] =current_step, current_b,IF(Iterations[[#This Row],[Step]] &gt; current_step, "",Iterations[[#This Row],[b]]))</f>
        <v/>
      </c>
      <c r="I750" s="2" t="str">
        <f>IF(Iterations[[#This Row],[Step]] =current_step, current_c,IF(Iterations[[#This Row],[Step]] &gt; current_step, "",Iterations[[#This Row],[c]]))</f>
        <v/>
      </c>
      <c r="J750" s="2" t="str">
        <f>IF(Iterations[[#This Row],[Step]] =current_step, current_d,IF(Iterations[[#This Row],[Step]] &gt; current_step, "",Iterations[[#This Row],[d]]))</f>
        <v/>
      </c>
      <c r="K750" s="2" t="str">
        <f>IF(Iterations[[#This Row],[Step]] =current_step, current_e,IF(Iterations[[#This Row],[Step]] &gt; current_step, "",Iterations[[#This Row],[e]]))</f>
        <v/>
      </c>
      <c r="L750" s="2" t="str">
        <f>IF(Iterations[[#This Row],[Step]] =current_step, current_Total_Loss,IF(Iterations[[#This Row],[Step]] &gt; current_step, "",Iterations[[#This Row],[Total Loss]]))</f>
        <v/>
      </c>
      <c r="M750" s="6" t="s">
        <v>27</v>
      </c>
      <c r="N750" s="2" t="str">
        <f>IF(Iterations[[#This Row],[Step]] =current_step, current_Grad_a,IF(Iterations[[#This Row],[Step]] &gt; current_step, "",Iterations[[#This Row],[Grad_a]]))</f>
        <v/>
      </c>
      <c r="O750" s="2" t="str">
        <f>IF(Iterations[[#This Row],[Step]] =current_step, current_Grad_b,IF(Iterations[[#This Row],[Step]] &gt; current_step, "",Iterations[[#This Row],[Grad_b]]))</f>
        <v/>
      </c>
      <c r="P750" s="2" t="str">
        <f>IF(Iterations[[#This Row],[Step]] =current_step, current_Grad_c,IF(Iterations[[#This Row],[Step]] &gt; current_step, "",Iterations[[#This Row],[Grad_c]]))</f>
        <v/>
      </c>
      <c r="Q750" s="2" t="str">
        <f>IF(Iterations[[#This Row],[Step]] =current_step, current_Grad_d,IF(Iterations[[#This Row],[Step]] &gt; current_step, "",Iterations[[#This Row],[Grad_d]]))</f>
        <v/>
      </c>
      <c r="R750" s="2" t="str">
        <f>IF(Iterations[[#This Row],[Step]] =current_step, current_Grad_e,IF(Iterations[[#This Row],[Step]] &gt; current_step, "",Iterations[[#This Row],[Grad_e]]))</f>
        <v/>
      </c>
    </row>
    <row r="751" spans="6:18" x14ac:dyDescent="0.3">
      <c r="F751" s="2">
        <f t="shared" si="13"/>
        <v>734</v>
      </c>
      <c r="G751" s="2" t="str">
        <f>IF(Iterations[[#This Row],[Step]] =current_step, current_a,IF(Iterations[[#This Row],[Step]] &gt; current_step, "",Iterations[[#This Row],[a]]))</f>
        <v/>
      </c>
      <c r="H751" s="2" t="str">
        <f>IF(Iterations[[#This Row],[Step]] =current_step, current_b,IF(Iterations[[#This Row],[Step]] &gt; current_step, "",Iterations[[#This Row],[b]]))</f>
        <v/>
      </c>
      <c r="I751" s="2" t="str">
        <f>IF(Iterations[[#This Row],[Step]] =current_step, current_c,IF(Iterations[[#This Row],[Step]] &gt; current_step, "",Iterations[[#This Row],[c]]))</f>
        <v/>
      </c>
      <c r="J751" s="2" t="str">
        <f>IF(Iterations[[#This Row],[Step]] =current_step, current_d,IF(Iterations[[#This Row],[Step]] &gt; current_step, "",Iterations[[#This Row],[d]]))</f>
        <v/>
      </c>
      <c r="K751" s="2" t="str">
        <f>IF(Iterations[[#This Row],[Step]] =current_step, current_e,IF(Iterations[[#This Row],[Step]] &gt; current_step, "",Iterations[[#This Row],[e]]))</f>
        <v/>
      </c>
      <c r="L751" s="2" t="str">
        <f>IF(Iterations[[#This Row],[Step]] =current_step, current_Total_Loss,IF(Iterations[[#This Row],[Step]] &gt; current_step, "",Iterations[[#This Row],[Total Loss]]))</f>
        <v/>
      </c>
      <c r="M751" s="6" t="s">
        <v>27</v>
      </c>
      <c r="N751" s="2" t="str">
        <f>IF(Iterations[[#This Row],[Step]] =current_step, current_Grad_a,IF(Iterations[[#This Row],[Step]] &gt; current_step, "",Iterations[[#This Row],[Grad_a]]))</f>
        <v/>
      </c>
      <c r="O751" s="2" t="str">
        <f>IF(Iterations[[#This Row],[Step]] =current_step, current_Grad_b,IF(Iterations[[#This Row],[Step]] &gt; current_step, "",Iterations[[#This Row],[Grad_b]]))</f>
        <v/>
      </c>
      <c r="P751" s="2" t="str">
        <f>IF(Iterations[[#This Row],[Step]] =current_step, current_Grad_c,IF(Iterations[[#This Row],[Step]] &gt; current_step, "",Iterations[[#This Row],[Grad_c]]))</f>
        <v/>
      </c>
      <c r="Q751" s="2" t="str">
        <f>IF(Iterations[[#This Row],[Step]] =current_step, current_Grad_d,IF(Iterations[[#This Row],[Step]] &gt; current_step, "",Iterations[[#This Row],[Grad_d]]))</f>
        <v/>
      </c>
      <c r="R751" s="2" t="str">
        <f>IF(Iterations[[#This Row],[Step]] =current_step, current_Grad_e,IF(Iterations[[#This Row],[Step]] &gt; current_step, "",Iterations[[#This Row],[Grad_e]]))</f>
        <v/>
      </c>
    </row>
    <row r="752" spans="6:18" x14ac:dyDescent="0.3">
      <c r="F752" s="2">
        <f t="shared" si="13"/>
        <v>735</v>
      </c>
      <c r="G752" s="2" t="str">
        <f>IF(Iterations[[#This Row],[Step]] =current_step, current_a,IF(Iterations[[#This Row],[Step]] &gt; current_step, "",Iterations[[#This Row],[a]]))</f>
        <v/>
      </c>
      <c r="H752" s="2" t="str">
        <f>IF(Iterations[[#This Row],[Step]] =current_step, current_b,IF(Iterations[[#This Row],[Step]] &gt; current_step, "",Iterations[[#This Row],[b]]))</f>
        <v/>
      </c>
      <c r="I752" s="2" t="str">
        <f>IF(Iterations[[#This Row],[Step]] =current_step, current_c,IF(Iterations[[#This Row],[Step]] &gt; current_step, "",Iterations[[#This Row],[c]]))</f>
        <v/>
      </c>
      <c r="J752" s="2" t="str">
        <f>IF(Iterations[[#This Row],[Step]] =current_step, current_d,IF(Iterations[[#This Row],[Step]] &gt; current_step, "",Iterations[[#This Row],[d]]))</f>
        <v/>
      </c>
      <c r="K752" s="2" t="str">
        <f>IF(Iterations[[#This Row],[Step]] =current_step, current_e,IF(Iterations[[#This Row],[Step]] &gt; current_step, "",Iterations[[#This Row],[e]]))</f>
        <v/>
      </c>
      <c r="L752" s="2" t="str">
        <f>IF(Iterations[[#This Row],[Step]] =current_step, current_Total_Loss,IF(Iterations[[#This Row],[Step]] &gt; current_step, "",Iterations[[#This Row],[Total Loss]]))</f>
        <v/>
      </c>
      <c r="M752" s="6" t="s">
        <v>27</v>
      </c>
      <c r="N752" s="2" t="str">
        <f>IF(Iterations[[#This Row],[Step]] =current_step, current_Grad_a,IF(Iterations[[#This Row],[Step]] &gt; current_step, "",Iterations[[#This Row],[Grad_a]]))</f>
        <v/>
      </c>
      <c r="O752" s="2" t="str">
        <f>IF(Iterations[[#This Row],[Step]] =current_step, current_Grad_b,IF(Iterations[[#This Row],[Step]] &gt; current_step, "",Iterations[[#This Row],[Grad_b]]))</f>
        <v/>
      </c>
      <c r="P752" s="2" t="str">
        <f>IF(Iterations[[#This Row],[Step]] =current_step, current_Grad_c,IF(Iterations[[#This Row],[Step]] &gt; current_step, "",Iterations[[#This Row],[Grad_c]]))</f>
        <v/>
      </c>
      <c r="Q752" s="2" t="str">
        <f>IF(Iterations[[#This Row],[Step]] =current_step, current_Grad_d,IF(Iterations[[#This Row],[Step]] &gt; current_step, "",Iterations[[#This Row],[Grad_d]]))</f>
        <v/>
      </c>
      <c r="R752" s="2" t="str">
        <f>IF(Iterations[[#This Row],[Step]] =current_step, current_Grad_e,IF(Iterations[[#This Row],[Step]] &gt; current_step, "",Iterations[[#This Row],[Grad_e]]))</f>
        <v/>
      </c>
    </row>
    <row r="753" spans="6:18" x14ac:dyDescent="0.3">
      <c r="F753" s="2">
        <f t="shared" si="13"/>
        <v>736</v>
      </c>
      <c r="G753" s="2" t="str">
        <f>IF(Iterations[[#This Row],[Step]] =current_step, current_a,IF(Iterations[[#This Row],[Step]] &gt; current_step, "",Iterations[[#This Row],[a]]))</f>
        <v/>
      </c>
      <c r="H753" s="2" t="str">
        <f>IF(Iterations[[#This Row],[Step]] =current_step, current_b,IF(Iterations[[#This Row],[Step]] &gt; current_step, "",Iterations[[#This Row],[b]]))</f>
        <v/>
      </c>
      <c r="I753" s="2" t="str">
        <f>IF(Iterations[[#This Row],[Step]] =current_step, current_c,IF(Iterations[[#This Row],[Step]] &gt; current_step, "",Iterations[[#This Row],[c]]))</f>
        <v/>
      </c>
      <c r="J753" s="2" t="str">
        <f>IF(Iterations[[#This Row],[Step]] =current_step, current_d,IF(Iterations[[#This Row],[Step]] &gt; current_step, "",Iterations[[#This Row],[d]]))</f>
        <v/>
      </c>
      <c r="K753" s="2" t="str">
        <f>IF(Iterations[[#This Row],[Step]] =current_step, current_e,IF(Iterations[[#This Row],[Step]] &gt; current_step, "",Iterations[[#This Row],[e]]))</f>
        <v/>
      </c>
      <c r="L753" s="2" t="str">
        <f>IF(Iterations[[#This Row],[Step]] =current_step, current_Total_Loss,IF(Iterations[[#This Row],[Step]] &gt; current_step, "",Iterations[[#This Row],[Total Loss]]))</f>
        <v/>
      </c>
      <c r="M753" s="6" t="s">
        <v>27</v>
      </c>
      <c r="N753" s="2" t="str">
        <f>IF(Iterations[[#This Row],[Step]] =current_step, current_Grad_a,IF(Iterations[[#This Row],[Step]] &gt; current_step, "",Iterations[[#This Row],[Grad_a]]))</f>
        <v/>
      </c>
      <c r="O753" s="2" t="str">
        <f>IF(Iterations[[#This Row],[Step]] =current_step, current_Grad_b,IF(Iterations[[#This Row],[Step]] &gt; current_step, "",Iterations[[#This Row],[Grad_b]]))</f>
        <v/>
      </c>
      <c r="P753" s="2" t="str">
        <f>IF(Iterations[[#This Row],[Step]] =current_step, current_Grad_c,IF(Iterations[[#This Row],[Step]] &gt; current_step, "",Iterations[[#This Row],[Grad_c]]))</f>
        <v/>
      </c>
      <c r="Q753" s="2" t="str">
        <f>IF(Iterations[[#This Row],[Step]] =current_step, current_Grad_d,IF(Iterations[[#This Row],[Step]] &gt; current_step, "",Iterations[[#This Row],[Grad_d]]))</f>
        <v/>
      </c>
      <c r="R753" s="2" t="str">
        <f>IF(Iterations[[#This Row],[Step]] =current_step, current_Grad_e,IF(Iterations[[#This Row],[Step]] &gt; current_step, "",Iterations[[#This Row],[Grad_e]]))</f>
        <v/>
      </c>
    </row>
    <row r="754" spans="6:18" x14ac:dyDescent="0.3">
      <c r="F754" s="2">
        <f t="shared" si="13"/>
        <v>737</v>
      </c>
      <c r="G754" s="2" t="str">
        <f>IF(Iterations[[#This Row],[Step]] =current_step, current_a,IF(Iterations[[#This Row],[Step]] &gt; current_step, "",Iterations[[#This Row],[a]]))</f>
        <v/>
      </c>
      <c r="H754" s="2" t="str">
        <f>IF(Iterations[[#This Row],[Step]] =current_step, current_b,IF(Iterations[[#This Row],[Step]] &gt; current_step, "",Iterations[[#This Row],[b]]))</f>
        <v/>
      </c>
      <c r="I754" s="2" t="str">
        <f>IF(Iterations[[#This Row],[Step]] =current_step, current_c,IF(Iterations[[#This Row],[Step]] &gt; current_step, "",Iterations[[#This Row],[c]]))</f>
        <v/>
      </c>
      <c r="J754" s="2" t="str">
        <f>IF(Iterations[[#This Row],[Step]] =current_step, current_d,IF(Iterations[[#This Row],[Step]] &gt; current_step, "",Iterations[[#This Row],[d]]))</f>
        <v/>
      </c>
      <c r="K754" s="2" t="str">
        <f>IF(Iterations[[#This Row],[Step]] =current_step, current_e,IF(Iterations[[#This Row],[Step]] &gt; current_step, "",Iterations[[#This Row],[e]]))</f>
        <v/>
      </c>
      <c r="L754" s="2" t="str">
        <f>IF(Iterations[[#This Row],[Step]] =current_step, current_Total_Loss,IF(Iterations[[#This Row],[Step]] &gt; current_step, "",Iterations[[#This Row],[Total Loss]]))</f>
        <v/>
      </c>
      <c r="M754" s="6" t="s">
        <v>27</v>
      </c>
      <c r="N754" s="2" t="str">
        <f>IF(Iterations[[#This Row],[Step]] =current_step, current_Grad_a,IF(Iterations[[#This Row],[Step]] &gt; current_step, "",Iterations[[#This Row],[Grad_a]]))</f>
        <v/>
      </c>
      <c r="O754" s="2" t="str">
        <f>IF(Iterations[[#This Row],[Step]] =current_step, current_Grad_b,IF(Iterations[[#This Row],[Step]] &gt; current_step, "",Iterations[[#This Row],[Grad_b]]))</f>
        <v/>
      </c>
      <c r="P754" s="2" t="str">
        <f>IF(Iterations[[#This Row],[Step]] =current_step, current_Grad_c,IF(Iterations[[#This Row],[Step]] &gt; current_step, "",Iterations[[#This Row],[Grad_c]]))</f>
        <v/>
      </c>
      <c r="Q754" s="2" t="str">
        <f>IF(Iterations[[#This Row],[Step]] =current_step, current_Grad_d,IF(Iterations[[#This Row],[Step]] &gt; current_step, "",Iterations[[#This Row],[Grad_d]]))</f>
        <v/>
      </c>
      <c r="R754" s="2" t="str">
        <f>IF(Iterations[[#This Row],[Step]] =current_step, current_Grad_e,IF(Iterations[[#This Row],[Step]] &gt; current_step, "",Iterations[[#This Row],[Grad_e]]))</f>
        <v/>
      </c>
    </row>
    <row r="755" spans="6:18" x14ac:dyDescent="0.3">
      <c r="F755" s="2">
        <f t="shared" si="13"/>
        <v>738</v>
      </c>
      <c r="G755" s="2" t="str">
        <f>IF(Iterations[[#This Row],[Step]] =current_step, current_a,IF(Iterations[[#This Row],[Step]] &gt; current_step, "",Iterations[[#This Row],[a]]))</f>
        <v/>
      </c>
      <c r="H755" s="2" t="str">
        <f>IF(Iterations[[#This Row],[Step]] =current_step, current_b,IF(Iterations[[#This Row],[Step]] &gt; current_step, "",Iterations[[#This Row],[b]]))</f>
        <v/>
      </c>
      <c r="I755" s="2" t="str">
        <f>IF(Iterations[[#This Row],[Step]] =current_step, current_c,IF(Iterations[[#This Row],[Step]] &gt; current_step, "",Iterations[[#This Row],[c]]))</f>
        <v/>
      </c>
      <c r="J755" s="2" t="str">
        <f>IF(Iterations[[#This Row],[Step]] =current_step, current_d,IF(Iterations[[#This Row],[Step]] &gt; current_step, "",Iterations[[#This Row],[d]]))</f>
        <v/>
      </c>
      <c r="K755" s="2" t="str">
        <f>IF(Iterations[[#This Row],[Step]] =current_step, current_e,IF(Iterations[[#This Row],[Step]] &gt; current_step, "",Iterations[[#This Row],[e]]))</f>
        <v/>
      </c>
      <c r="L755" s="2" t="str">
        <f>IF(Iterations[[#This Row],[Step]] =current_step, current_Total_Loss,IF(Iterations[[#This Row],[Step]] &gt; current_step, "",Iterations[[#This Row],[Total Loss]]))</f>
        <v/>
      </c>
      <c r="M755" s="6" t="s">
        <v>27</v>
      </c>
      <c r="N755" s="2" t="str">
        <f>IF(Iterations[[#This Row],[Step]] =current_step, current_Grad_a,IF(Iterations[[#This Row],[Step]] &gt; current_step, "",Iterations[[#This Row],[Grad_a]]))</f>
        <v/>
      </c>
      <c r="O755" s="2" t="str">
        <f>IF(Iterations[[#This Row],[Step]] =current_step, current_Grad_b,IF(Iterations[[#This Row],[Step]] &gt; current_step, "",Iterations[[#This Row],[Grad_b]]))</f>
        <v/>
      </c>
      <c r="P755" s="2" t="str">
        <f>IF(Iterations[[#This Row],[Step]] =current_step, current_Grad_c,IF(Iterations[[#This Row],[Step]] &gt; current_step, "",Iterations[[#This Row],[Grad_c]]))</f>
        <v/>
      </c>
      <c r="Q755" s="2" t="str">
        <f>IF(Iterations[[#This Row],[Step]] =current_step, current_Grad_d,IF(Iterations[[#This Row],[Step]] &gt; current_step, "",Iterations[[#This Row],[Grad_d]]))</f>
        <v/>
      </c>
      <c r="R755" s="2" t="str">
        <f>IF(Iterations[[#This Row],[Step]] =current_step, current_Grad_e,IF(Iterations[[#This Row],[Step]] &gt; current_step, "",Iterations[[#This Row],[Grad_e]]))</f>
        <v/>
      </c>
    </row>
    <row r="756" spans="6:18" x14ac:dyDescent="0.3">
      <c r="F756" s="2">
        <f t="shared" si="13"/>
        <v>739</v>
      </c>
      <c r="G756" s="2" t="str">
        <f>IF(Iterations[[#This Row],[Step]] =current_step, current_a,IF(Iterations[[#This Row],[Step]] &gt; current_step, "",Iterations[[#This Row],[a]]))</f>
        <v/>
      </c>
      <c r="H756" s="2" t="str">
        <f>IF(Iterations[[#This Row],[Step]] =current_step, current_b,IF(Iterations[[#This Row],[Step]] &gt; current_step, "",Iterations[[#This Row],[b]]))</f>
        <v/>
      </c>
      <c r="I756" s="2" t="str">
        <f>IF(Iterations[[#This Row],[Step]] =current_step, current_c,IF(Iterations[[#This Row],[Step]] &gt; current_step, "",Iterations[[#This Row],[c]]))</f>
        <v/>
      </c>
      <c r="J756" s="2" t="str">
        <f>IF(Iterations[[#This Row],[Step]] =current_step, current_d,IF(Iterations[[#This Row],[Step]] &gt; current_step, "",Iterations[[#This Row],[d]]))</f>
        <v/>
      </c>
      <c r="K756" s="2" t="str">
        <f>IF(Iterations[[#This Row],[Step]] =current_step, current_e,IF(Iterations[[#This Row],[Step]] &gt; current_step, "",Iterations[[#This Row],[e]]))</f>
        <v/>
      </c>
      <c r="L756" s="2" t="str">
        <f>IF(Iterations[[#This Row],[Step]] =current_step, current_Total_Loss,IF(Iterations[[#This Row],[Step]] &gt; current_step, "",Iterations[[#This Row],[Total Loss]]))</f>
        <v/>
      </c>
      <c r="M756" s="6" t="s">
        <v>27</v>
      </c>
      <c r="N756" s="2" t="str">
        <f>IF(Iterations[[#This Row],[Step]] =current_step, current_Grad_a,IF(Iterations[[#This Row],[Step]] &gt; current_step, "",Iterations[[#This Row],[Grad_a]]))</f>
        <v/>
      </c>
      <c r="O756" s="2" t="str">
        <f>IF(Iterations[[#This Row],[Step]] =current_step, current_Grad_b,IF(Iterations[[#This Row],[Step]] &gt; current_step, "",Iterations[[#This Row],[Grad_b]]))</f>
        <v/>
      </c>
      <c r="P756" s="2" t="str">
        <f>IF(Iterations[[#This Row],[Step]] =current_step, current_Grad_c,IF(Iterations[[#This Row],[Step]] &gt; current_step, "",Iterations[[#This Row],[Grad_c]]))</f>
        <v/>
      </c>
      <c r="Q756" s="2" t="str">
        <f>IF(Iterations[[#This Row],[Step]] =current_step, current_Grad_d,IF(Iterations[[#This Row],[Step]] &gt; current_step, "",Iterations[[#This Row],[Grad_d]]))</f>
        <v/>
      </c>
      <c r="R756" s="2" t="str">
        <f>IF(Iterations[[#This Row],[Step]] =current_step, current_Grad_e,IF(Iterations[[#This Row],[Step]] &gt; current_step, "",Iterations[[#This Row],[Grad_e]]))</f>
        <v/>
      </c>
    </row>
    <row r="757" spans="6:18" x14ac:dyDescent="0.3">
      <c r="F757" s="2">
        <f t="shared" si="13"/>
        <v>740</v>
      </c>
      <c r="G757" s="2" t="str">
        <f>IF(Iterations[[#This Row],[Step]] =current_step, current_a,IF(Iterations[[#This Row],[Step]] &gt; current_step, "",Iterations[[#This Row],[a]]))</f>
        <v/>
      </c>
      <c r="H757" s="2" t="str">
        <f>IF(Iterations[[#This Row],[Step]] =current_step, current_b,IF(Iterations[[#This Row],[Step]] &gt; current_step, "",Iterations[[#This Row],[b]]))</f>
        <v/>
      </c>
      <c r="I757" s="2" t="str">
        <f>IF(Iterations[[#This Row],[Step]] =current_step, current_c,IF(Iterations[[#This Row],[Step]] &gt; current_step, "",Iterations[[#This Row],[c]]))</f>
        <v/>
      </c>
      <c r="J757" s="2" t="str">
        <f>IF(Iterations[[#This Row],[Step]] =current_step, current_d,IF(Iterations[[#This Row],[Step]] &gt; current_step, "",Iterations[[#This Row],[d]]))</f>
        <v/>
      </c>
      <c r="K757" s="2" t="str">
        <f>IF(Iterations[[#This Row],[Step]] =current_step, current_e,IF(Iterations[[#This Row],[Step]] &gt; current_step, "",Iterations[[#This Row],[e]]))</f>
        <v/>
      </c>
      <c r="L757" s="2" t="str">
        <f>IF(Iterations[[#This Row],[Step]] =current_step, current_Total_Loss,IF(Iterations[[#This Row],[Step]] &gt; current_step, "",Iterations[[#This Row],[Total Loss]]))</f>
        <v/>
      </c>
      <c r="M757" s="6" t="s">
        <v>27</v>
      </c>
      <c r="N757" s="2" t="str">
        <f>IF(Iterations[[#This Row],[Step]] =current_step, current_Grad_a,IF(Iterations[[#This Row],[Step]] &gt; current_step, "",Iterations[[#This Row],[Grad_a]]))</f>
        <v/>
      </c>
      <c r="O757" s="2" t="str">
        <f>IF(Iterations[[#This Row],[Step]] =current_step, current_Grad_b,IF(Iterations[[#This Row],[Step]] &gt; current_step, "",Iterations[[#This Row],[Grad_b]]))</f>
        <v/>
      </c>
      <c r="P757" s="2" t="str">
        <f>IF(Iterations[[#This Row],[Step]] =current_step, current_Grad_c,IF(Iterations[[#This Row],[Step]] &gt; current_step, "",Iterations[[#This Row],[Grad_c]]))</f>
        <v/>
      </c>
      <c r="Q757" s="2" t="str">
        <f>IF(Iterations[[#This Row],[Step]] =current_step, current_Grad_d,IF(Iterations[[#This Row],[Step]] &gt; current_step, "",Iterations[[#This Row],[Grad_d]]))</f>
        <v/>
      </c>
      <c r="R757" s="2" t="str">
        <f>IF(Iterations[[#This Row],[Step]] =current_step, current_Grad_e,IF(Iterations[[#This Row],[Step]] &gt; current_step, "",Iterations[[#This Row],[Grad_e]]))</f>
        <v/>
      </c>
    </row>
    <row r="758" spans="6:18" x14ac:dyDescent="0.3">
      <c r="F758" s="2">
        <f t="shared" si="13"/>
        <v>741</v>
      </c>
      <c r="G758" s="2" t="str">
        <f>IF(Iterations[[#This Row],[Step]] =current_step, current_a,IF(Iterations[[#This Row],[Step]] &gt; current_step, "",Iterations[[#This Row],[a]]))</f>
        <v/>
      </c>
      <c r="H758" s="2" t="str">
        <f>IF(Iterations[[#This Row],[Step]] =current_step, current_b,IF(Iterations[[#This Row],[Step]] &gt; current_step, "",Iterations[[#This Row],[b]]))</f>
        <v/>
      </c>
      <c r="I758" s="2" t="str">
        <f>IF(Iterations[[#This Row],[Step]] =current_step, current_c,IF(Iterations[[#This Row],[Step]] &gt; current_step, "",Iterations[[#This Row],[c]]))</f>
        <v/>
      </c>
      <c r="J758" s="2" t="str">
        <f>IF(Iterations[[#This Row],[Step]] =current_step, current_d,IF(Iterations[[#This Row],[Step]] &gt; current_step, "",Iterations[[#This Row],[d]]))</f>
        <v/>
      </c>
      <c r="K758" s="2" t="str">
        <f>IF(Iterations[[#This Row],[Step]] =current_step, current_e,IF(Iterations[[#This Row],[Step]] &gt; current_step, "",Iterations[[#This Row],[e]]))</f>
        <v/>
      </c>
      <c r="L758" s="2" t="str">
        <f>IF(Iterations[[#This Row],[Step]] =current_step, current_Total_Loss,IF(Iterations[[#This Row],[Step]] &gt; current_step, "",Iterations[[#This Row],[Total Loss]]))</f>
        <v/>
      </c>
      <c r="M758" s="6" t="s">
        <v>27</v>
      </c>
      <c r="N758" s="2" t="str">
        <f>IF(Iterations[[#This Row],[Step]] =current_step, current_Grad_a,IF(Iterations[[#This Row],[Step]] &gt; current_step, "",Iterations[[#This Row],[Grad_a]]))</f>
        <v/>
      </c>
      <c r="O758" s="2" t="str">
        <f>IF(Iterations[[#This Row],[Step]] =current_step, current_Grad_b,IF(Iterations[[#This Row],[Step]] &gt; current_step, "",Iterations[[#This Row],[Grad_b]]))</f>
        <v/>
      </c>
      <c r="P758" s="2" t="str">
        <f>IF(Iterations[[#This Row],[Step]] =current_step, current_Grad_c,IF(Iterations[[#This Row],[Step]] &gt; current_step, "",Iterations[[#This Row],[Grad_c]]))</f>
        <v/>
      </c>
      <c r="Q758" s="2" t="str">
        <f>IF(Iterations[[#This Row],[Step]] =current_step, current_Grad_d,IF(Iterations[[#This Row],[Step]] &gt; current_step, "",Iterations[[#This Row],[Grad_d]]))</f>
        <v/>
      </c>
      <c r="R758" s="2" t="str">
        <f>IF(Iterations[[#This Row],[Step]] =current_step, current_Grad_e,IF(Iterations[[#This Row],[Step]] &gt; current_step, "",Iterations[[#This Row],[Grad_e]]))</f>
        <v/>
      </c>
    </row>
    <row r="759" spans="6:18" x14ac:dyDescent="0.3">
      <c r="F759" s="2">
        <f t="shared" ref="F759:F817" si="14">F758+1</f>
        <v>742</v>
      </c>
      <c r="G759" s="2" t="str">
        <f>IF(Iterations[[#This Row],[Step]] =current_step, current_a,IF(Iterations[[#This Row],[Step]] &gt; current_step, "",Iterations[[#This Row],[a]]))</f>
        <v/>
      </c>
      <c r="H759" s="2" t="str">
        <f>IF(Iterations[[#This Row],[Step]] =current_step, current_b,IF(Iterations[[#This Row],[Step]] &gt; current_step, "",Iterations[[#This Row],[b]]))</f>
        <v/>
      </c>
      <c r="I759" s="2" t="str">
        <f>IF(Iterations[[#This Row],[Step]] =current_step, current_c,IF(Iterations[[#This Row],[Step]] &gt; current_step, "",Iterations[[#This Row],[c]]))</f>
        <v/>
      </c>
      <c r="J759" s="2" t="str">
        <f>IF(Iterations[[#This Row],[Step]] =current_step, current_d,IF(Iterations[[#This Row],[Step]] &gt; current_step, "",Iterations[[#This Row],[d]]))</f>
        <v/>
      </c>
      <c r="K759" s="2" t="str">
        <f>IF(Iterations[[#This Row],[Step]] =current_step, current_e,IF(Iterations[[#This Row],[Step]] &gt; current_step, "",Iterations[[#This Row],[e]]))</f>
        <v/>
      </c>
      <c r="L759" s="2" t="str">
        <f>IF(Iterations[[#This Row],[Step]] =current_step, current_Total_Loss,IF(Iterations[[#This Row],[Step]] &gt; current_step, "",Iterations[[#This Row],[Total Loss]]))</f>
        <v/>
      </c>
      <c r="M759" s="6" t="s">
        <v>27</v>
      </c>
      <c r="N759" s="2" t="str">
        <f>IF(Iterations[[#This Row],[Step]] =current_step, current_Grad_a,IF(Iterations[[#This Row],[Step]] &gt; current_step, "",Iterations[[#This Row],[Grad_a]]))</f>
        <v/>
      </c>
      <c r="O759" s="2" t="str">
        <f>IF(Iterations[[#This Row],[Step]] =current_step, current_Grad_b,IF(Iterations[[#This Row],[Step]] &gt; current_step, "",Iterations[[#This Row],[Grad_b]]))</f>
        <v/>
      </c>
      <c r="P759" s="2" t="str">
        <f>IF(Iterations[[#This Row],[Step]] =current_step, current_Grad_c,IF(Iterations[[#This Row],[Step]] &gt; current_step, "",Iterations[[#This Row],[Grad_c]]))</f>
        <v/>
      </c>
      <c r="Q759" s="2" t="str">
        <f>IF(Iterations[[#This Row],[Step]] =current_step, current_Grad_d,IF(Iterations[[#This Row],[Step]] &gt; current_step, "",Iterations[[#This Row],[Grad_d]]))</f>
        <v/>
      </c>
      <c r="R759" s="2" t="str">
        <f>IF(Iterations[[#This Row],[Step]] =current_step, current_Grad_e,IF(Iterations[[#This Row],[Step]] &gt; current_step, "",Iterations[[#This Row],[Grad_e]]))</f>
        <v/>
      </c>
    </row>
    <row r="760" spans="6:18" x14ac:dyDescent="0.3">
      <c r="F760" s="2">
        <f t="shared" si="14"/>
        <v>743</v>
      </c>
      <c r="G760" s="2" t="str">
        <f>IF(Iterations[[#This Row],[Step]] =current_step, current_a,IF(Iterations[[#This Row],[Step]] &gt; current_step, "",Iterations[[#This Row],[a]]))</f>
        <v/>
      </c>
      <c r="H760" s="2" t="str">
        <f>IF(Iterations[[#This Row],[Step]] =current_step, current_b,IF(Iterations[[#This Row],[Step]] &gt; current_step, "",Iterations[[#This Row],[b]]))</f>
        <v/>
      </c>
      <c r="I760" s="2" t="str">
        <f>IF(Iterations[[#This Row],[Step]] =current_step, current_c,IF(Iterations[[#This Row],[Step]] &gt; current_step, "",Iterations[[#This Row],[c]]))</f>
        <v/>
      </c>
      <c r="J760" s="2" t="str">
        <f>IF(Iterations[[#This Row],[Step]] =current_step, current_d,IF(Iterations[[#This Row],[Step]] &gt; current_step, "",Iterations[[#This Row],[d]]))</f>
        <v/>
      </c>
      <c r="K760" s="2" t="str">
        <f>IF(Iterations[[#This Row],[Step]] =current_step, current_e,IF(Iterations[[#This Row],[Step]] &gt; current_step, "",Iterations[[#This Row],[e]]))</f>
        <v/>
      </c>
      <c r="L760" s="2" t="str">
        <f>IF(Iterations[[#This Row],[Step]] =current_step, current_Total_Loss,IF(Iterations[[#This Row],[Step]] &gt; current_step, "",Iterations[[#This Row],[Total Loss]]))</f>
        <v/>
      </c>
      <c r="M760" s="6" t="s">
        <v>27</v>
      </c>
      <c r="N760" s="2" t="str">
        <f>IF(Iterations[[#This Row],[Step]] =current_step, current_Grad_a,IF(Iterations[[#This Row],[Step]] &gt; current_step, "",Iterations[[#This Row],[Grad_a]]))</f>
        <v/>
      </c>
      <c r="O760" s="2" t="str">
        <f>IF(Iterations[[#This Row],[Step]] =current_step, current_Grad_b,IF(Iterations[[#This Row],[Step]] &gt; current_step, "",Iterations[[#This Row],[Grad_b]]))</f>
        <v/>
      </c>
      <c r="P760" s="2" t="str">
        <f>IF(Iterations[[#This Row],[Step]] =current_step, current_Grad_c,IF(Iterations[[#This Row],[Step]] &gt; current_step, "",Iterations[[#This Row],[Grad_c]]))</f>
        <v/>
      </c>
      <c r="Q760" s="2" t="str">
        <f>IF(Iterations[[#This Row],[Step]] =current_step, current_Grad_d,IF(Iterations[[#This Row],[Step]] &gt; current_step, "",Iterations[[#This Row],[Grad_d]]))</f>
        <v/>
      </c>
      <c r="R760" s="2" t="str">
        <f>IF(Iterations[[#This Row],[Step]] =current_step, current_Grad_e,IF(Iterations[[#This Row],[Step]] &gt; current_step, "",Iterations[[#This Row],[Grad_e]]))</f>
        <v/>
      </c>
    </row>
    <row r="761" spans="6:18" x14ac:dyDescent="0.3">
      <c r="F761" s="2">
        <f t="shared" si="14"/>
        <v>744</v>
      </c>
      <c r="G761" s="2" t="str">
        <f>IF(Iterations[[#This Row],[Step]] =current_step, current_a,IF(Iterations[[#This Row],[Step]] &gt; current_step, "",Iterations[[#This Row],[a]]))</f>
        <v/>
      </c>
      <c r="H761" s="2" t="str">
        <f>IF(Iterations[[#This Row],[Step]] =current_step, current_b,IF(Iterations[[#This Row],[Step]] &gt; current_step, "",Iterations[[#This Row],[b]]))</f>
        <v/>
      </c>
      <c r="I761" s="2" t="str">
        <f>IF(Iterations[[#This Row],[Step]] =current_step, current_c,IF(Iterations[[#This Row],[Step]] &gt; current_step, "",Iterations[[#This Row],[c]]))</f>
        <v/>
      </c>
      <c r="J761" s="2" t="str">
        <f>IF(Iterations[[#This Row],[Step]] =current_step, current_d,IF(Iterations[[#This Row],[Step]] &gt; current_step, "",Iterations[[#This Row],[d]]))</f>
        <v/>
      </c>
      <c r="K761" s="2" t="str">
        <f>IF(Iterations[[#This Row],[Step]] =current_step, current_e,IF(Iterations[[#This Row],[Step]] &gt; current_step, "",Iterations[[#This Row],[e]]))</f>
        <v/>
      </c>
      <c r="L761" s="2" t="str">
        <f>IF(Iterations[[#This Row],[Step]] =current_step, current_Total_Loss,IF(Iterations[[#This Row],[Step]] &gt; current_step, "",Iterations[[#This Row],[Total Loss]]))</f>
        <v/>
      </c>
      <c r="M761" s="6" t="s">
        <v>27</v>
      </c>
      <c r="N761" s="2" t="str">
        <f>IF(Iterations[[#This Row],[Step]] =current_step, current_Grad_a,IF(Iterations[[#This Row],[Step]] &gt; current_step, "",Iterations[[#This Row],[Grad_a]]))</f>
        <v/>
      </c>
      <c r="O761" s="2" t="str">
        <f>IF(Iterations[[#This Row],[Step]] =current_step, current_Grad_b,IF(Iterations[[#This Row],[Step]] &gt; current_step, "",Iterations[[#This Row],[Grad_b]]))</f>
        <v/>
      </c>
      <c r="P761" s="2" t="str">
        <f>IF(Iterations[[#This Row],[Step]] =current_step, current_Grad_c,IF(Iterations[[#This Row],[Step]] &gt; current_step, "",Iterations[[#This Row],[Grad_c]]))</f>
        <v/>
      </c>
      <c r="Q761" s="2" t="str">
        <f>IF(Iterations[[#This Row],[Step]] =current_step, current_Grad_d,IF(Iterations[[#This Row],[Step]] &gt; current_step, "",Iterations[[#This Row],[Grad_d]]))</f>
        <v/>
      </c>
      <c r="R761" s="2" t="str">
        <f>IF(Iterations[[#This Row],[Step]] =current_step, current_Grad_e,IF(Iterations[[#This Row],[Step]] &gt; current_step, "",Iterations[[#This Row],[Grad_e]]))</f>
        <v/>
      </c>
    </row>
    <row r="762" spans="6:18" x14ac:dyDescent="0.3">
      <c r="F762" s="2">
        <f t="shared" si="14"/>
        <v>745</v>
      </c>
      <c r="G762" s="2" t="str">
        <f>IF(Iterations[[#This Row],[Step]] =current_step, current_a,IF(Iterations[[#This Row],[Step]] &gt; current_step, "",Iterations[[#This Row],[a]]))</f>
        <v/>
      </c>
      <c r="H762" s="2" t="str">
        <f>IF(Iterations[[#This Row],[Step]] =current_step, current_b,IF(Iterations[[#This Row],[Step]] &gt; current_step, "",Iterations[[#This Row],[b]]))</f>
        <v/>
      </c>
      <c r="I762" s="2" t="str">
        <f>IF(Iterations[[#This Row],[Step]] =current_step, current_c,IF(Iterations[[#This Row],[Step]] &gt; current_step, "",Iterations[[#This Row],[c]]))</f>
        <v/>
      </c>
      <c r="J762" s="2" t="str">
        <f>IF(Iterations[[#This Row],[Step]] =current_step, current_d,IF(Iterations[[#This Row],[Step]] &gt; current_step, "",Iterations[[#This Row],[d]]))</f>
        <v/>
      </c>
      <c r="K762" s="2" t="str">
        <f>IF(Iterations[[#This Row],[Step]] =current_step, current_e,IF(Iterations[[#This Row],[Step]] &gt; current_step, "",Iterations[[#This Row],[e]]))</f>
        <v/>
      </c>
      <c r="L762" s="2" t="str">
        <f>IF(Iterations[[#This Row],[Step]] =current_step, current_Total_Loss,IF(Iterations[[#This Row],[Step]] &gt; current_step, "",Iterations[[#This Row],[Total Loss]]))</f>
        <v/>
      </c>
      <c r="M762" s="6" t="s">
        <v>27</v>
      </c>
      <c r="N762" s="2" t="str">
        <f>IF(Iterations[[#This Row],[Step]] =current_step, current_Grad_a,IF(Iterations[[#This Row],[Step]] &gt; current_step, "",Iterations[[#This Row],[Grad_a]]))</f>
        <v/>
      </c>
      <c r="O762" s="2" t="str">
        <f>IF(Iterations[[#This Row],[Step]] =current_step, current_Grad_b,IF(Iterations[[#This Row],[Step]] &gt; current_step, "",Iterations[[#This Row],[Grad_b]]))</f>
        <v/>
      </c>
      <c r="P762" s="2" t="str">
        <f>IF(Iterations[[#This Row],[Step]] =current_step, current_Grad_c,IF(Iterations[[#This Row],[Step]] &gt; current_step, "",Iterations[[#This Row],[Grad_c]]))</f>
        <v/>
      </c>
      <c r="Q762" s="2" t="str">
        <f>IF(Iterations[[#This Row],[Step]] =current_step, current_Grad_d,IF(Iterations[[#This Row],[Step]] &gt; current_step, "",Iterations[[#This Row],[Grad_d]]))</f>
        <v/>
      </c>
      <c r="R762" s="2" t="str">
        <f>IF(Iterations[[#This Row],[Step]] =current_step, current_Grad_e,IF(Iterations[[#This Row],[Step]] &gt; current_step, "",Iterations[[#This Row],[Grad_e]]))</f>
        <v/>
      </c>
    </row>
    <row r="763" spans="6:18" x14ac:dyDescent="0.3">
      <c r="F763" s="2">
        <f t="shared" si="14"/>
        <v>746</v>
      </c>
      <c r="G763" s="2" t="str">
        <f>IF(Iterations[[#This Row],[Step]] =current_step, current_a,IF(Iterations[[#This Row],[Step]] &gt; current_step, "",Iterations[[#This Row],[a]]))</f>
        <v/>
      </c>
      <c r="H763" s="2" t="str">
        <f>IF(Iterations[[#This Row],[Step]] =current_step, current_b,IF(Iterations[[#This Row],[Step]] &gt; current_step, "",Iterations[[#This Row],[b]]))</f>
        <v/>
      </c>
      <c r="I763" s="2" t="str">
        <f>IF(Iterations[[#This Row],[Step]] =current_step, current_c,IF(Iterations[[#This Row],[Step]] &gt; current_step, "",Iterations[[#This Row],[c]]))</f>
        <v/>
      </c>
      <c r="J763" s="2" t="str">
        <f>IF(Iterations[[#This Row],[Step]] =current_step, current_d,IF(Iterations[[#This Row],[Step]] &gt; current_step, "",Iterations[[#This Row],[d]]))</f>
        <v/>
      </c>
      <c r="K763" s="2" t="str">
        <f>IF(Iterations[[#This Row],[Step]] =current_step, current_e,IF(Iterations[[#This Row],[Step]] &gt; current_step, "",Iterations[[#This Row],[e]]))</f>
        <v/>
      </c>
      <c r="L763" s="2" t="str">
        <f>IF(Iterations[[#This Row],[Step]] =current_step, current_Total_Loss,IF(Iterations[[#This Row],[Step]] &gt; current_step, "",Iterations[[#This Row],[Total Loss]]))</f>
        <v/>
      </c>
      <c r="M763" s="6" t="s">
        <v>27</v>
      </c>
      <c r="N763" s="2" t="str">
        <f>IF(Iterations[[#This Row],[Step]] =current_step, current_Grad_a,IF(Iterations[[#This Row],[Step]] &gt; current_step, "",Iterations[[#This Row],[Grad_a]]))</f>
        <v/>
      </c>
      <c r="O763" s="2" t="str">
        <f>IF(Iterations[[#This Row],[Step]] =current_step, current_Grad_b,IF(Iterations[[#This Row],[Step]] &gt; current_step, "",Iterations[[#This Row],[Grad_b]]))</f>
        <v/>
      </c>
      <c r="P763" s="2" t="str">
        <f>IF(Iterations[[#This Row],[Step]] =current_step, current_Grad_c,IF(Iterations[[#This Row],[Step]] &gt; current_step, "",Iterations[[#This Row],[Grad_c]]))</f>
        <v/>
      </c>
      <c r="Q763" s="2" t="str">
        <f>IF(Iterations[[#This Row],[Step]] =current_step, current_Grad_d,IF(Iterations[[#This Row],[Step]] &gt; current_step, "",Iterations[[#This Row],[Grad_d]]))</f>
        <v/>
      </c>
      <c r="R763" s="2" t="str">
        <f>IF(Iterations[[#This Row],[Step]] =current_step, current_Grad_e,IF(Iterations[[#This Row],[Step]] &gt; current_step, "",Iterations[[#This Row],[Grad_e]]))</f>
        <v/>
      </c>
    </row>
    <row r="764" spans="6:18" x14ac:dyDescent="0.3">
      <c r="F764" s="2">
        <f t="shared" si="14"/>
        <v>747</v>
      </c>
      <c r="G764" s="2" t="str">
        <f>IF(Iterations[[#This Row],[Step]] =current_step, current_a,IF(Iterations[[#This Row],[Step]] &gt; current_step, "",Iterations[[#This Row],[a]]))</f>
        <v/>
      </c>
      <c r="H764" s="2" t="str">
        <f>IF(Iterations[[#This Row],[Step]] =current_step, current_b,IF(Iterations[[#This Row],[Step]] &gt; current_step, "",Iterations[[#This Row],[b]]))</f>
        <v/>
      </c>
      <c r="I764" s="2" t="str">
        <f>IF(Iterations[[#This Row],[Step]] =current_step, current_c,IF(Iterations[[#This Row],[Step]] &gt; current_step, "",Iterations[[#This Row],[c]]))</f>
        <v/>
      </c>
      <c r="J764" s="2" t="str">
        <f>IF(Iterations[[#This Row],[Step]] =current_step, current_d,IF(Iterations[[#This Row],[Step]] &gt; current_step, "",Iterations[[#This Row],[d]]))</f>
        <v/>
      </c>
      <c r="K764" s="2" t="str">
        <f>IF(Iterations[[#This Row],[Step]] =current_step, current_e,IF(Iterations[[#This Row],[Step]] &gt; current_step, "",Iterations[[#This Row],[e]]))</f>
        <v/>
      </c>
      <c r="L764" s="2" t="str">
        <f>IF(Iterations[[#This Row],[Step]] =current_step, current_Total_Loss,IF(Iterations[[#This Row],[Step]] &gt; current_step, "",Iterations[[#This Row],[Total Loss]]))</f>
        <v/>
      </c>
      <c r="M764" s="6" t="s">
        <v>27</v>
      </c>
      <c r="N764" s="2" t="str">
        <f>IF(Iterations[[#This Row],[Step]] =current_step, current_Grad_a,IF(Iterations[[#This Row],[Step]] &gt; current_step, "",Iterations[[#This Row],[Grad_a]]))</f>
        <v/>
      </c>
      <c r="O764" s="2" t="str">
        <f>IF(Iterations[[#This Row],[Step]] =current_step, current_Grad_b,IF(Iterations[[#This Row],[Step]] &gt; current_step, "",Iterations[[#This Row],[Grad_b]]))</f>
        <v/>
      </c>
      <c r="P764" s="2" t="str">
        <f>IF(Iterations[[#This Row],[Step]] =current_step, current_Grad_c,IF(Iterations[[#This Row],[Step]] &gt; current_step, "",Iterations[[#This Row],[Grad_c]]))</f>
        <v/>
      </c>
      <c r="Q764" s="2" t="str">
        <f>IF(Iterations[[#This Row],[Step]] =current_step, current_Grad_d,IF(Iterations[[#This Row],[Step]] &gt; current_step, "",Iterations[[#This Row],[Grad_d]]))</f>
        <v/>
      </c>
      <c r="R764" s="2" t="str">
        <f>IF(Iterations[[#This Row],[Step]] =current_step, current_Grad_e,IF(Iterations[[#This Row],[Step]] &gt; current_step, "",Iterations[[#This Row],[Grad_e]]))</f>
        <v/>
      </c>
    </row>
    <row r="765" spans="6:18" x14ac:dyDescent="0.3">
      <c r="F765" s="2">
        <f t="shared" si="14"/>
        <v>748</v>
      </c>
      <c r="G765" s="2" t="str">
        <f>IF(Iterations[[#This Row],[Step]] =current_step, current_a,IF(Iterations[[#This Row],[Step]] &gt; current_step, "",Iterations[[#This Row],[a]]))</f>
        <v/>
      </c>
      <c r="H765" s="2" t="str">
        <f>IF(Iterations[[#This Row],[Step]] =current_step, current_b,IF(Iterations[[#This Row],[Step]] &gt; current_step, "",Iterations[[#This Row],[b]]))</f>
        <v/>
      </c>
      <c r="I765" s="2" t="str">
        <f>IF(Iterations[[#This Row],[Step]] =current_step, current_c,IF(Iterations[[#This Row],[Step]] &gt; current_step, "",Iterations[[#This Row],[c]]))</f>
        <v/>
      </c>
      <c r="J765" s="2" t="str">
        <f>IF(Iterations[[#This Row],[Step]] =current_step, current_d,IF(Iterations[[#This Row],[Step]] &gt; current_step, "",Iterations[[#This Row],[d]]))</f>
        <v/>
      </c>
      <c r="K765" s="2" t="str">
        <f>IF(Iterations[[#This Row],[Step]] =current_step, current_e,IF(Iterations[[#This Row],[Step]] &gt; current_step, "",Iterations[[#This Row],[e]]))</f>
        <v/>
      </c>
      <c r="L765" s="2" t="str">
        <f>IF(Iterations[[#This Row],[Step]] =current_step, current_Total_Loss,IF(Iterations[[#This Row],[Step]] &gt; current_step, "",Iterations[[#This Row],[Total Loss]]))</f>
        <v/>
      </c>
      <c r="M765" s="6" t="s">
        <v>27</v>
      </c>
      <c r="N765" s="2" t="str">
        <f>IF(Iterations[[#This Row],[Step]] =current_step, current_Grad_a,IF(Iterations[[#This Row],[Step]] &gt; current_step, "",Iterations[[#This Row],[Grad_a]]))</f>
        <v/>
      </c>
      <c r="O765" s="2" t="str">
        <f>IF(Iterations[[#This Row],[Step]] =current_step, current_Grad_b,IF(Iterations[[#This Row],[Step]] &gt; current_step, "",Iterations[[#This Row],[Grad_b]]))</f>
        <v/>
      </c>
      <c r="P765" s="2" t="str">
        <f>IF(Iterations[[#This Row],[Step]] =current_step, current_Grad_c,IF(Iterations[[#This Row],[Step]] &gt; current_step, "",Iterations[[#This Row],[Grad_c]]))</f>
        <v/>
      </c>
      <c r="Q765" s="2" t="str">
        <f>IF(Iterations[[#This Row],[Step]] =current_step, current_Grad_d,IF(Iterations[[#This Row],[Step]] &gt; current_step, "",Iterations[[#This Row],[Grad_d]]))</f>
        <v/>
      </c>
      <c r="R765" s="2" t="str">
        <f>IF(Iterations[[#This Row],[Step]] =current_step, current_Grad_e,IF(Iterations[[#This Row],[Step]] &gt; current_step, "",Iterations[[#This Row],[Grad_e]]))</f>
        <v/>
      </c>
    </row>
    <row r="766" spans="6:18" x14ac:dyDescent="0.3">
      <c r="F766" s="2">
        <f t="shared" si="14"/>
        <v>749</v>
      </c>
      <c r="G766" s="2" t="str">
        <f>IF(Iterations[[#This Row],[Step]] =current_step, current_a,IF(Iterations[[#This Row],[Step]] &gt; current_step, "",Iterations[[#This Row],[a]]))</f>
        <v/>
      </c>
      <c r="H766" s="2" t="str">
        <f>IF(Iterations[[#This Row],[Step]] =current_step, current_b,IF(Iterations[[#This Row],[Step]] &gt; current_step, "",Iterations[[#This Row],[b]]))</f>
        <v/>
      </c>
      <c r="I766" s="2" t="str">
        <f>IF(Iterations[[#This Row],[Step]] =current_step, current_c,IF(Iterations[[#This Row],[Step]] &gt; current_step, "",Iterations[[#This Row],[c]]))</f>
        <v/>
      </c>
      <c r="J766" s="2" t="str">
        <f>IF(Iterations[[#This Row],[Step]] =current_step, current_d,IF(Iterations[[#This Row],[Step]] &gt; current_step, "",Iterations[[#This Row],[d]]))</f>
        <v/>
      </c>
      <c r="K766" s="2" t="str">
        <f>IF(Iterations[[#This Row],[Step]] =current_step, current_e,IF(Iterations[[#This Row],[Step]] &gt; current_step, "",Iterations[[#This Row],[e]]))</f>
        <v/>
      </c>
      <c r="L766" s="2" t="str">
        <f>IF(Iterations[[#This Row],[Step]] =current_step, current_Total_Loss,IF(Iterations[[#This Row],[Step]] &gt; current_step, "",Iterations[[#This Row],[Total Loss]]))</f>
        <v/>
      </c>
      <c r="M766" s="6" t="s">
        <v>27</v>
      </c>
      <c r="N766" s="2" t="str">
        <f>IF(Iterations[[#This Row],[Step]] =current_step, current_Grad_a,IF(Iterations[[#This Row],[Step]] &gt; current_step, "",Iterations[[#This Row],[Grad_a]]))</f>
        <v/>
      </c>
      <c r="O766" s="2" t="str">
        <f>IF(Iterations[[#This Row],[Step]] =current_step, current_Grad_b,IF(Iterations[[#This Row],[Step]] &gt; current_step, "",Iterations[[#This Row],[Grad_b]]))</f>
        <v/>
      </c>
      <c r="P766" s="2" t="str">
        <f>IF(Iterations[[#This Row],[Step]] =current_step, current_Grad_c,IF(Iterations[[#This Row],[Step]] &gt; current_step, "",Iterations[[#This Row],[Grad_c]]))</f>
        <v/>
      </c>
      <c r="Q766" s="2" t="str">
        <f>IF(Iterations[[#This Row],[Step]] =current_step, current_Grad_d,IF(Iterations[[#This Row],[Step]] &gt; current_step, "",Iterations[[#This Row],[Grad_d]]))</f>
        <v/>
      </c>
      <c r="R766" s="2" t="str">
        <f>IF(Iterations[[#This Row],[Step]] =current_step, current_Grad_e,IF(Iterations[[#This Row],[Step]] &gt; current_step, "",Iterations[[#This Row],[Grad_e]]))</f>
        <v/>
      </c>
    </row>
    <row r="767" spans="6:18" x14ac:dyDescent="0.3">
      <c r="F767" s="2">
        <f t="shared" si="14"/>
        <v>750</v>
      </c>
      <c r="G767" s="2" t="str">
        <f>IF(Iterations[[#This Row],[Step]] =current_step, current_a,IF(Iterations[[#This Row],[Step]] &gt; current_step, "",Iterations[[#This Row],[a]]))</f>
        <v/>
      </c>
      <c r="H767" s="2" t="str">
        <f>IF(Iterations[[#This Row],[Step]] =current_step, current_b,IF(Iterations[[#This Row],[Step]] &gt; current_step, "",Iterations[[#This Row],[b]]))</f>
        <v/>
      </c>
      <c r="I767" s="2" t="str">
        <f>IF(Iterations[[#This Row],[Step]] =current_step, current_c,IF(Iterations[[#This Row],[Step]] &gt; current_step, "",Iterations[[#This Row],[c]]))</f>
        <v/>
      </c>
      <c r="J767" s="2" t="str">
        <f>IF(Iterations[[#This Row],[Step]] =current_step, current_d,IF(Iterations[[#This Row],[Step]] &gt; current_step, "",Iterations[[#This Row],[d]]))</f>
        <v/>
      </c>
      <c r="K767" s="2" t="str">
        <f>IF(Iterations[[#This Row],[Step]] =current_step, current_e,IF(Iterations[[#This Row],[Step]] &gt; current_step, "",Iterations[[#This Row],[e]]))</f>
        <v/>
      </c>
      <c r="L767" s="2" t="str">
        <f>IF(Iterations[[#This Row],[Step]] =current_step, current_Total_Loss,IF(Iterations[[#This Row],[Step]] &gt; current_step, "",Iterations[[#This Row],[Total Loss]]))</f>
        <v/>
      </c>
      <c r="M767" s="6" t="s">
        <v>27</v>
      </c>
      <c r="N767" s="2" t="str">
        <f>IF(Iterations[[#This Row],[Step]] =current_step, current_Grad_a,IF(Iterations[[#This Row],[Step]] &gt; current_step, "",Iterations[[#This Row],[Grad_a]]))</f>
        <v/>
      </c>
      <c r="O767" s="2" t="str">
        <f>IF(Iterations[[#This Row],[Step]] =current_step, current_Grad_b,IF(Iterations[[#This Row],[Step]] &gt; current_step, "",Iterations[[#This Row],[Grad_b]]))</f>
        <v/>
      </c>
      <c r="P767" s="2" t="str">
        <f>IF(Iterations[[#This Row],[Step]] =current_step, current_Grad_c,IF(Iterations[[#This Row],[Step]] &gt; current_step, "",Iterations[[#This Row],[Grad_c]]))</f>
        <v/>
      </c>
      <c r="Q767" s="2" t="str">
        <f>IF(Iterations[[#This Row],[Step]] =current_step, current_Grad_d,IF(Iterations[[#This Row],[Step]] &gt; current_step, "",Iterations[[#This Row],[Grad_d]]))</f>
        <v/>
      </c>
      <c r="R767" s="2" t="str">
        <f>IF(Iterations[[#This Row],[Step]] =current_step, current_Grad_e,IF(Iterations[[#This Row],[Step]] &gt; current_step, "",Iterations[[#This Row],[Grad_e]]))</f>
        <v/>
      </c>
    </row>
    <row r="768" spans="6:18" x14ac:dyDescent="0.3">
      <c r="F768" s="2">
        <f t="shared" si="14"/>
        <v>751</v>
      </c>
      <c r="G768" s="2" t="str">
        <f>IF(Iterations[[#This Row],[Step]] =current_step, current_a,IF(Iterations[[#This Row],[Step]] &gt; current_step, "",Iterations[[#This Row],[a]]))</f>
        <v/>
      </c>
      <c r="H768" s="2" t="str">
        <f>IF(Iterations[[#This Row],[Step]] =current_step, current_b,IF(Iterations[[#This Row],[Step]] &gt; current_step, "",Iterations[[#This Row],[b]]))</f>
        <v/>
      </c>
      <c r="I768" s="2" t="str">
        <f>IF(Iterations[[#This Row],[Step]] =current_step, current_c,IF(Iterations[[#This Row],[Step]] &gt; current_step, "",Iterations[[#This Row],[c]]))</f>
        <v/>
      </c>
      <c r="J768" s="2" t="str">
        <f>IF(Iterations[[#This Row],[Step]] =current_step, current_d,IF(Iterations[[#This Row],[Step]] &gt; current_step, "",Iterations[[#This Row],[d]]))</f>
        <v/>
      </c>
      <c r="K768" s="2" t="str">
        <f>IF(Iterations[[#This Row],[Step]] =current_step, current_e,IF(Iterations[[#This Row],[Step]] &gt; current_step, "",Iterations[[#This Row],[e]]))</f>
        <v/>
      </c>
      <c r="L768" s="2" t="str">
        <f>IF(Iterations[[#This Row],[Step]] =current_step, current_Total_Loss,IF(Iterations[[#This Row],[Step]] &gt; current_step, "",Iterations[[#This Row],[Total Loss]]))</f>
        <v/>
      </c>
      <c r="M768" s="6" t="s">
        <v>27</v>
      </c>
      <c r="N768" s="2" t="str">
        <f>IF(Iterations[[#This Row],[Step]] =current_step, current_Grad_a,IF(Iterations[[#This Row],[Step]] &gt; current_step, "",Iterations[[#This Row],[Grad_a]]))</f>
        <v/>
      </c>
      <c r="O768" s="2" t="str">
        <f>IF(Iterations[[#This Row],[Step]] =current_step, current_Grad_b,IF(Iterations[[#This Row],[Step]] &gt; current_step, "",Iterations[[#This Row],[Grad_b]]))</f>
        <v/>
      </c>
      <c r="P768" s="2" t="str">
        <f>IF(Iterations[[#This Row],[Step]] =current_step, current_Grad_c,IF(Iterations[[#This Row],[Step]] &gt; current_step, "",Iterations[[#This Row],[Grad_c]]))</f>
        <v/>
      </c>
      <c r="Q768" s="2" t="str">
        <f>IF(Iterations[[#This Row],[Step]] =current_step, current_Grad_d,IF(Iterations[[#This Row],[Step]] &gt; current_step, "",Iterations[[#This Row],[Grad_d]]))</f>
        <v/>
      </c>
      <c r="R768" s="2" t="str">
        <f>IF(Iterations[[#This Row],[Step]] =current_step, current_Grad_e,IF(Iterations[[#This Row],[Step]] &gt; current_step, "",Iterations[[#This Row],[Grad_e]]))</f>
        <v/>
      </c>
    </row>
    <row r="769" spans="6:18" x14ac:dyDescent="0.3">
      <c r="F769" s="2">
        <f t="shared" si="14"/>
        <v>752</v>
      </c>
      <c r="G769" s="2" t="str">
        <f>IF(Iterations[[#This Row],[Step]] =current_step, current_a,IF(Iterations[[#This Row],[Step]] &gt; current_step, "",Iterations[[#This Row],[a]]))</f>
        <v/>
      </c>
      <c r="H769" s="2" t="str">
        <f>IF(Iterations[[#This Row],[Step]] =current_step, current_b,IF(Iterations[[#This Row],[Step]] &gt; current_step, "",Iterations[[#This Row],[b]]))</f>
        <v/>
      </c>
      <c r="I769" s="2" t="str">
        <f>IF(Iterations[[#This Row],[Step]] =current_step, current_c,IF(Iterations[[#This Row],[Step]] &gt; current_step, "",Iterations[[#This Row],[c]]))</f>
        <v/>
      </c>
      <c r="J769" s="2" t="str">
        <f>IF(Iterations[[#This Row],[Step]] =current_step, current_d,IF(Iterations[[#This Row],[Step]] &gt; current_step, "",Iterations[[#This Row],[d]]))</f>
        <v/>
      </c>
      <c r="K769" s="2" t="str">
        <f>IF(Iterations[[#This Row],[Step]] =current_step, current_e,IF(Iterations[[#This Row],[Step]] &gt; current_step, "",Iterations[[#This Row],[e]]))</f>
        <v/>
      </c>
      <c r="L769" s="2" t="str">
        <f>IF(Iterations[[#This Row],[Step]] =current_step, current_Total_Loss,IF(Iterations[[#This Row],[Step]] &gt; current_step, "",Iterations[[#This Row],[Total Loss]]))</f>
        <v/>
      </c>
      <c r="M769" s="6" t="s">
        <v>27</v>
      </c>
      <c r="N769" s="2" t="str">
        <f>IF(Iterations[[#This Row],[Step]] =current_step, current_Grad_a,IF(Iterations[[#This Row],[Step]] &gt; current_step, "",Iterations[[#This Row],[Grad_a]]))</f>
        <v/>
      </c>
      <c r="O769" s="2" t="str">
        <f>IF(Iterations[[#This Row],[Step]] =current_step, current_Grad_b,IF(Iterations[[#This Row],[Step]] &gt; current_step, "",Iterations[[#This Row],[Grad_b]]))</f>
        <v/>
      </c>
      <c r="P769" s="2" t="str">
        <f>IF(Iterations[[#This Row],[Step]] =current_step, current_Grad_c,IF(Iterations[[#This Row],[Step]] &gt; current_step, "",Iterations[[#This Row],[Grad_c]]))</f>
        <v/>
      </c>
      <c r="Q769" s="2" t="str">
        <f>IF(Iterations[[#This Row],[Step]] =current_step, current_Grad_d,IF(Iterations[[#This Row],[Step]] &gt; current_step, "",Iterations[[#This Row],[Grad_d]]))</f>
        <v/>
      </c>
      <c r="R769" s="2" t="str">
        <f>IF(Iterations[[#This Row],[Step]] =current_step, current_Grad_e,IF(Iterations[[#This Row],[Step]] &gt; current_step, "",Iterations[[#This Row],[Grad_e]]))</f>
        <v/>
      </c>
    </row>
    <row r="770" spans="6:18" x14ac:dyDescent="0.3">
      <c r="F770" s="2">
        <f t="shared" si="14"/>
        <v>753</v>
      </c>
      <c r="G770" s="2" t="str">
        <f>IF(Iterations[[#This Row],[Step]] =current_step, current_a,IF(Iterations[[#This Row],[Step]] &gt; current_step, "",Iterations[[#This Row],[a]]))</f>
        <v/>
      </c>
      <c r="H770" s="2" t="str">
        <f>IF(Iterations[[#This Row],[Step]] =current_step, current_b,IF(Iterations[[#This Row],[Step]] &gt; current_step, "",Iterations[[#This Row],[b]]))</f>
        <v/>
      </c>
      <c r="I770" s="2" t="str">
        <f>IF(Iterations[[#This Row],[Step]] =current_step, current_c,IF(Iterations[[#This Row],[Step]] &gt; current_step, "",Iterations[[#This Row],[c]]))</f>
        <v/>
      </c>
      <c r="J770" s="2" t="str">
        <f>IF(Iterations[[#This Row],[Step]] =current_step, current_d,IF(Iterations[[#This Row],[Step]] &gt; current_step, "",Iterations[[#This Row],[d]]))</f>
        <v/>
      </c>
      <c r="K770" s="2" t="str">
        <f>IF(Iterations[[#This Row],[Step]] =current_step, current_e,IF(Iterations[[#This Row],[Step]] &gt; current_step, "",Iterations[[#This Row],[e]]))</f>
        <v/>
      </c>
      <c r="L770" s="2" t="str">
        <f>IF(Iterations[[#This Row],[Step]] =current_step, current_Total_Loss,IF(Iterations[[#This Row],[Step]] &gt; current_step, "",Iterations[[#This Row],[Total Loss]]))</f>
        <v/>
      </c>
      <c r="M770" s="6" t="s">
        <v>27</v>
      </c>
      <c r="N770" s="2" t="str">
        <f>IF(Iterations[[#This Row],[Step]] =current_step, current_Grad_a,IF(Iterations[[#This Row],[Step]] &gt; current_step, "",Iterations[[#This Row],[Grad_a]]))</f>
        <v/>
      </c>
      <c r="O770" s="2" t="str">
        <f>IF(Iterations[[#This Row],[Step]] =current_step, current_Grad_b,IF(Iterations[[#This Row],[Step]] &gt; current_step, "",Iterations[[#This Row],[Grad_b]]))</f>
        <v/>
      </c>
      <c r="P770" s="2" t="str">
        <f>IF(Iterations[[#This Row],[Step]] =current_step, current_Grad_c,IF(Iterations[[#This Row],[Step]] &gt; current_step, "",Iterations[[#This Row],[Grad_c]]))</f>
        <v/>
      </c>
      <c r="Q770" s="2" t="str">
        <f>IF(Iterations[[#This Row],[Step]] =current_step, current_Grad_d,IF(Iterations[[#This Row],[Step]] &gt; current_step, "",Iterations[[#This Row],[Grad_d]]))</f>
        <v/>
      </c>
      <c r="R770" s="2" t="str">
        <f>IF(Iterations[[#This Row],[Step]] =current_step, current_Grad_e,IF(Iterations[[#This Row],[Step]] &gt; current_step, "",Iterations[[#This Row],[Grad_e]]))</f>
        <v/>
      </c>
    </row>
    <row r="771" spans="6:18" x14ac:dyDescent="0.3">
      <c r="F771" s="2">
        <f t="shared" si="14"/>
        <v>754</v>
      </c>
      <c r="G771" s="2" t="str">
        <f>IF(Iterations[[#This Row],[Step]] =current_step, current_a,IF(Iterations[[#This Row],[Step]] &gt; current_step, "",Iterations[[#This Row],[a]]))</f>
        <v/>
      </c>
      <c r="H771" s="2" t="str">
        <f>IF(Iterations[[#This Row],[Step]] =current_step, current_b,IF(Iterations[[#This Row],[Step]] &gt; current_step, "",Iterations[[#This Row],[b]]))</f>
        <v/>
      </c>
      <c r="I771" s="2" t="str">
        <f>IF(Iterations[[#This Row],[Step]] =current_step, current_c,IF(Iterations[[#This Row],[Step]] &gt; current_step, "",Iterations[[#This Row],[c]]))</f>
        <v/>
      </c>
      <c r="J771" s="2" t="str">
        <f>IF(Iterations[[#This Row],[Step]] =current_step, current_d,IF(Iterations[[#This Row],[Step]] &gt; current_step, "",Iterations[[#This Row],[d]]))</f>
        <v/>
      </c>
      <c r="K771" s="2" t="str">
        <f>IF(Iterations[[#This Row],[Step]] =current_step, current_e,IF(Iterations[[#This Row],[Step]] &gt; current_step, "",Iterations[[#This Row],[e]]))</f>
        <v/>
      </c>
      <c r="L771" s="2" t="str">
        <f>IF(Iterations[[#This Row],[Step]] =current_step, current_Total_Loss,IF(Iterations[[#This Row],[Step]] &gt; current_step, "",Iterations[[#This Row],[Total Loss]]))</f>
        <v/>
      </c>
      <c r="M771" s="6" t="s">
        <v>27</v>
      </c>
      <c r="N771" s="2" t="str">
        <f>IF(Iterations[[#This Row],[Step]] =current_step, current_Grad_a,IF(Iterations[[#This Row],[Step]] &gt; current_step, "",Iterations[[#This Row],[Grad_a]]))</f>
        <v/>
      </c>
      <c r="O771" s="2" t="str">
        <f>IF(Iterations[[#This Row],[Step]] =current_step, current_Grad_b,IF(Iterations[[#This Row],[Step]] &gt; current_step, "",Iterations[[#This Row],[Grad_b]]))</f>
        <v/>
      </c>
      <c r="P771" s="2" t="str">
        <f>IF(Iterations[[#This Row],[Step]] =current_step, current_Grad_c,IF(Iterations[[#This Row],[Step]] &gt; current_step, "",Iterations[[#This Row],[Grad_c]]))</f>
        <v/>
      </c>
      <c r="Q771" s="2" t="str">
        <f>IF(Iterations[[#This Row],[Step]] =current_step, current_Grad_d,IF(Iterations[[#This Row],[Step]] &gt; current_step, "",Iterations[[#This Row],[Grad_d]]))</f>
        <v/>
      </c>
      <c r="R771" s="2" t="str">
        <f>IF(Iterations[[#This Row],[Step]] =current_step, current_Grad_e,IF(Iterations[[#This Row],[Step]] &gt; current_step, "",Iterations[[#This Row],[Grad_e]]))</f>
        <v/>
      </c>
    </row>
    <row r="772" spans="6:18" x14ac:dyDescent="0.3">
      <c r="F772" s="2">
        <f t="shared" si="14"/>
        <v>755</v>
      </c>
      <c r="G772" s="2" t="str">
        <f>IF(Iterations[[#This Row],[Step]] =current_step, current_a,IF(Iterations[[#This Row],[Step]] &gt; current_step, "",Iterations[[#This Row],[a]]))</f>
        <v/>
      </c>
      <c r="H772" s="2" t="str">
        <f>IF(Iterations[[#This Row],[Step]] =current_step, current_b,IF(Iterations[[#This Row],[Step]] &gt; current_step, "",Iterations[[#This Row],[b]]))</f>
        <v/>
      </c>
      <c r="I772" s="2" t="str">
        <f>IF(Iterations[[#This Row],[Step]] =current_step, current_c,IF(Iterations[[#This Row],[Step]] &gt; current_step, "",Iterations[[#This Row],[c]]))</f>
        <v/>
      </c>
      <c r="J772" s="2" t="str">
        <f>IF(Iterations[[#This Row],[Step]] =current_step, current_d,IF(Iterations[[#This Row],[Step]] &gt; current_step, "",Iterations[[#This Row],[d]]))</f>
        <v/>
      </c>
      <c r="K772" s="2" t="str">
        <f>IF(Iterations[[#This Row],[Step]] =current_step, current_e,IF(Iterations[[#This Row],[Step]] &gt; current_step, "",Iterations[[#This Row],[e]]))</f>
        <v/>
      </c>
      <c r="L772" s="2" t="str">
        <f>IF(Iterations[[#This Row],[Step]] =current_step, current_Total_Loss,IF(Iterations[[#This Row],[Step]] &gt; current_step, "",Iterations[[#This Row],[Total Loss]]))</f>
        <v/>
      </c>
      <c r="M772" s="6" t="s">
        <v>27</v>
      </c>
      <c r="N772" s="2" t="str">
        <f>IF(Iterations[[#This Row],[Step]] =current_step, current_Grad_a,IF(Iterations[[#This Row],[Step]] &gt; current_step, "",Iterations[[#This Row],[Grad_a]]))</f>
        <v/>
      </c>
      <c r="O772" s="2" t="str">
        <f>IF(Iterations[[#This Row],[Step]] =current_step, current_Grad_b,IF(Iterations[[#This Row],[Step]] &gt; current_step, "",Iterations[[#This Row],[Grad_b]]))</f>
        <v/>
      </c>
      <c r="P772" s="2" t="str">
        <f>IF(Iterations[[#This Row],[Step]] =current_step, current_Grad_c,IF(Iterations[[#This Row],[Step]] &gt; current_step, "",Iterations[[#This Row],[Grad_c]]))</f>
        <v/>
      </c>
      <c r="Q772" s="2" t="str">
        <f>IF(Iterations[[#This Row],[Step]] =current_step, current_Grad_d,IF(Iterations[[#This Row],[Step]] &gt; current_step, "",Iterations[[#This Row],[Grad_d]]))</f>
        <v/>
      </c>
      <c r="R772" s="2" t="str">
        <f>IF(Iterations[[#This Row],[Step]] =current_step, current_Grad_e,IF(Iterations[[#This Row],[Step]] &gt; current_step, "",Iterations[[#This Row],[Grad_e]]))</f>
        <v/>
      </c>
    </row>
    <row r="773" spans="6:18" x14ac:dyDescent="0.3">
      <c r="F773" s="2">
        <f t="shared" si="14"/>
        <v>756</v>
      </c>
      <c r="G773" s="2" t="str">
        <f>IF(Iterations[[#This Row],[Step]] =current_step, current_a,IF(Iterations[[#This Row],[Step]] &gt; current_step, "",Iterations[[#This Row],[a]]))</f>
        <v/>
      </c>
      <c r="H773" s="2" t="str">
        <f>IF(Iterations[[#This Row],[Step]] =current_step, current_b,IF(Iterations[[#This Row],[Step]] &gt; current_step, "",Iterations[[#This Row],[b]]))</f>
        <v/>
      </c>
      <c r="I773" s="2" t="str">
        <f>IF(Iterations[[#This Row],[Step]] =current_step, current_c,IF(Iterations[[#This Row],[Step]] &gt; current_step, "",Iterations[[#This Row],[c]]))</f>
        <v/>
      </c>
      <c r="J773" s="2" t="str">
        <f>IF(Iterations[[#This Row],[Step]] =current_step, current_d,IF(Iterations[[#This Row],[Step]] &gt; current_step, "",Iterations[[#This Row],[d]]))</f>
        <v/>
      </c>
      <c r="K773" s="2" t="str">
        <f>IF(Iterations[[#This Row],[Step]] =current_step, current_e,IF(Iterations[[#This Row],[Step]] &gt; current_step, "",Iterations[[#This Row],[e]]))</f>
        <v/>
      </c>
      <c r="L773" s="2" t="str">
        <f>IF(Iterations[[#This Row],[Step]] =current_step, current_Total_Loss,IF(Iterations[[#This Row],[Step]] &gt; current_step, "",Iterations[[#This Row],[Total Loss]]))</f>
        <v/>
      </c>
      <c r="M773" s="6" t="s">
        <v>27</v>
      </c>
      <c r="N773" s="2" t="str">
        <f>IF(Iterations[[#This Row],[Step]] =current_step, current_Grad_a,IF(Iterations[[#This Row],[Step]] &gt; current_step, "",Iterations[[#This Row],[Grad_a]]))</f>
        <v/>
      </c>
      <c r="O773" s="2" t="str">
        <f>IF(Iterations[[#This Row],[Step]] =current_step, current_Grad_b,IF(Iterations[[#This Row],[Step]] &gt; current_step, "",Iterations[[#This Row],[Grad_b]]))</f>
        <v/>
      </c>
      <c r="P773" s="2" t="str">
        <f>IF(Iterations[[#This Row],[Step]] =current_step, current_Grad_c,IF(Iterations[[#This Row],[Step]] &gt; current_step, "",Iterations[[#This Row],[Grad_c]]))</f>
        <v/>
      </c>
      <c r="Q773" s="2" t="str">
        <f>IF(Iterations[[#This Row],[Step]] =current_step, current_Grad_d,IF(Iterations[[#This Row],[Step]] &gt; current_step, "",Iterations[[#This Row],[Grad_d]]))</f>
        <v/>
      </c>
      <c r="R773" s="2" t="str">
        <f>IF(Iterations[[#This Row],[Step]] =current_step, current_Grad_e,IF(Iterations[[#This Row],[Step]] &gt; current_step, "",Iterations[[#This Row],[Grad_e]]))</f>
        <v/>
      </c>
    </row>
    <row r="774" spans="6:18" x14ac:dyDescent="0.3">
      <c r="F774" s="2">
        <f t="shared" si="14"/>
        <v>757</v>
      </c>
      <c r="G774" s="2" t="str">
        <f>IF(Iterations[[#This Row],[Step]] =current_step, current_a,IF(Iterations[[#This Row],[Step]] &gt; current_step, "",Iterations[[#This Row],[a]]))</f>
        <v/>
      </c>
      <c r="H774" s="2" t="str">
        <f>IF(Iterations[[#This Row],[Step]] =current_step, current_b,IF(Iterations[[#This Row],[Step]] &gt; current_step, "",Iterations[[#This Row],[b]]))</f>
        <v/>
      </c>
      <c r="I774" s="2" t="str">
        <f>IF(Iterations[[#This Row],[Step]] =current_step, current_c,IF(Iterations[[#This Row],[Step]] &gt; current_step, "",Iterations[[#This Row],[c]]))</f>
        <v/>
      </c>
      <c r="J774" s="2" t="str">
        <f>IF(Iterations[[#This Row],[Step]] =current_step, current_d,IF(Iterations[[#This Row],[Step]] &gt; current_step, "",Iterations[[#This Row],[d]]))</f>
        <v/>
      </c>
      <c r="K774" s="2" t="str">
        <f>IF(Iterations[[#This Row],[Step]] =current_step, current_e,IF(Iterations[[#This Row],[Step]] &gt; current_step, "",Iterations[[#This Row],[e]]))</f>
        <v/>
      </c>
      <c r="L774" s="2" t="str">
        <f>IF(Iterations[[#This Row],[Step]] =current_step, current_Total_Loss,IF(Iterations[[#This Row],[Step]] &gt; current_step, "",Iterations[[#This Row],[Total Loss]]))</f>
        <v/>
      </c>
      <c r="M774" s="6" t="s">
        <v>27</v>
      </c>
      <c r="N774" s="2" t="str">
        <f>IF(Iterations[[#This Row],[Step]] =current_step, current_Grad_a,IF(Iterations[[#This Row],[Step]] &gt; current_step, "",Iterations[[#This Row],[Grad_a]]))</f>
        <v/>
      </c>
      <c r="O774" s="2" t="str">
        <f>IF(Iterations[[#This Row],[Step]] =current_step, current_Grad_b,IF(Iterations[[#This Row],[Step]] &gt; current_step, "",Iterations[[#This Row],[Grad_b]]))</f>
        <v/>
      </c>
      <c r="P774" s="2" t="str">
        <f>IF(Iterations[[#This Row],[Step]] =current_step, current_Grad_c,IF(Iterations[[#This Row],[Step]] &gt; current_step, "",Iterations[[#This Row],[Grad_c]]))</f>
        <v/>
      </c>
      <c r="Q774" s="2" t="str">
        <f>IF(Iterations[[#This Row],[Step]] =current_step, current_Grad_d,IF(Iterations[[#This Row],[Step]] &gt; current_step, "",Iterations[[#This Row],[Grad_d]]))</f>
        <v/>
      </c>
      <c r="R774" s="2" t="str">
        <f>IF(Iterations[[#This Row],[Step]] =current_step, current_Grad_e,IF(Iterations[[#This Row],[Step]] &gt; current_step, "",Iterations[[#This Row],[Grad_e]]))</f>
        <v/>
      </c>
    </row>
    <row r="775" spans="6:18" x14ac:dyDescent="0.3">
      <c r="F775" s="2">
        <f t="shared" si="14"/>
        <v>758</v>
      </c>
      <c r="G775" s="2" t="str">
        <f>IF(Iterations[[#This Row],[Step]] =current_step, current_a,IF(Iterations[[#This Row],[Step]] &gt; current_step, "",Iterations[[#This Row],[a]]))</f>
        <v/>
      </c>
      <c r="H775" s="2" t="str">
        <f>IF(Iterations[[#This Row],[Step]] =current_step, current_b,IF(Iterations[[#This Row],[Step]] &gt; current_step, "",Iterations[[#This Row],[b]]))</f>
        <v/>
      </c>
      <c r="I775" s="2" t="str">
        <f>IF(Iterations[[#This Row],[Step]] =current_step, current_c,IF(Iterations[[#This Row],[Step]] &gt; current_step, "",Iterations[[#This Row],[c]]))</f>
        <v/>
      </c>
      <c r="J775" s="2" t="str">
        <f>IF(Iterations[[#This Row],[Step]] =current_step, current_d,IF(Iterations[[#This Row],[Step]] &gt; current_step, "",Iterations[[#This Row],[d]]))</f>
        <v/>
      </c>
      <c r="K775" s="2" t="str">
        <f>IF(Iterations[[#This Row],[Step]] =current_step, current_e,IF(Iterations[[#This Row],[Step]] &gt; current_step, "",Iterations[[#This Row],[e]]))</f>
        <v/>
      </c>
      <c r="L775" s="2" t="str">
        <f>IF(Iterations[[#This Row],[Step]] =current_step, current_Total_Loss,IF(Iterations[[#This Row],[Step]] &gt; current_step, "",Iterations[[#This Row],[Total Loss]]))</f>
        <v/>
      </c>
      <c r="M775" s="6" t="s">
        <v>27</v>
      </c>
      <c r="N775" s="2" t="str">
        <f>IF(Iterations[[#This Row],[Step]] =current_step, current_Grad_a,IF(Iterations[[#This Row],[Step]] &gt; current_step, "",Iterations[[#This Row],[Grad_a]]))</f>
        <v/>
      </c>
      <c r="O775" s="2" t="str">
        <f>IF(Iterations[[#This Row],[Step]] =current_step, current_Grad_b,IF(Iterations[[#This Row],[Step]] &gt; current_step, "",Iterations[[#This Row],[Grad_b]]))</f>
        <v/>
      </c>
      <c r="P775" s="2" t="str">
        <f>IF(Iterations[[#This Row],[Step]] =current_step, current_Grad_c,IF(Iterations[[#This Row],[Step]] &gt; current_step, "",Iterations[[#This Row],[Grad_c]]))</f>
        <v/>
      </c>
      <c r="Q775" s="2" t="str">
        <f>IF(Iterations[[#This Row],[Step]] =current_step, current_Grad_d,IF(Iterations[[#This Row],[Step]] &gt; current_step, "",Iterations[[#This Row],[Grad_d]]))</f>
        <v/>
      </c>
      <c r="R775" s="2" t="str">
        <f>IF(Iterations[[#This Row],[Step]] =current_step, current_Grad_e,IF(Iterations[[#This Row],[Step]] &gt; current_step, "",Iterations[[#This Row],[Grad_e]]))</f>
        <v/>
      </c>
    </row>
    <row r="776" spans="6:18" x14ac:dyDescent="0.3">
      <c r="F776" s="2">
        <f t="shared" si="14"/>
        <v>759</v>
      </c>
      <c r="G776" s="2" t="str">
        <f>IF(Iterations[[#This Row],[Step]] =current_step, current_a,IF(Iterations[[#This Row],[Step]] &gt; current_step, "",Iterations[[#This Row],[a]]))</f>
        <v/>
      </c>
      <c r="H776" s="2" t="str">
        <f>IF(Iterations[[#This Row],[Step]] =current_step, current_b,IF(Iterations[[#This Row],[Step]] &gt; current_step, "",Iterations[[#This Row],[b]]))</f>
        <v/>
      </c>
      <c r="I776" s="2" t="str">
        <f>IF(Iterations[[#This Row],[Step]] =current_step, current_c,IF(Iterations[[#This Row],[Step]] &gt; current_step, "",Iterations[[#This Row],[c]]))</f>
        <v/>
      </c>
      <c r="J776" s="2" t="str">
        <f>IF(Iterations[[#This Row],[Step]] =current_step, current_d,IF(Iterations[[#This Row],[Step]] &gt; current_step, "",Iterations[[#This Row],[d]]))</f>
        <v/>
      </c>
      <c r="K776" s="2" t="str">
        <f>IF(Iterations[[#This Row],[Step]] =current_step, current_e,IF(Iterations[[#This Row],[Step]] &gt; current_step, "",Iterations[[#This Row],[e]]))</f>
        <v/>
      </c>
      <c r="L776" s="2" t="str">
        <f>IF(Iterations[[#This Row],[Step]] =current_step, current_Total_Loss,IF(Iterations[[#This Row],[Step]] &gt; current_step, "",Iterations[[#This Row],[Total Loss]]))</f>
        <v/>
      </c>
      <c r="M776" s="6" t="s">
        <v>27</v>
      </c>
      <c r="N776" s="2" t="str">
        <f>IF(Iterations[[#This Row],[Step]] =current_step, current_Grad_a,IF(Iterations[[#This Row],[Step]] &gt; current_step, "",Iterations[[#This Row],[Grad_a]]))</f>
        <v/>
      </c>
      <c r="O776" s="2" t="str">
        <f>IF(Iterations[[#This Row],[Step]] =current_step, current_Grad_b,IF(Iterations[[#This Row],[Step]] &gt; current_step, "",Iterations[[#This Row],[Grad_b]]))</f>
        <v/>
      </c>
      <c r="P776" s="2" t="str">
        <f>IF(Iterations[[#This Row],[Step]] =current_step, current_Grad_c,IF(Iterations[[#This Row],[Step]] &gt; current_step, "",Iterations[[#This Row],[Grad_c]]))</f>
        <v/>
      </c>
      <c r="Q776" s="2" t="str">
        <f>IF(Iterations[[#This Row],[Step]] =current_step, current_Grad_d,IF(Iterations[[#This Row],[Step]] &gt; current_step, "",Iterations[[#This Row],[Grad_d]]))</f>
        <v/>
      </c>
      <c r="R776" s="2" t="str">
        <f>IF(Iterations[[#This Row],[Step]] =current_step, current_Grad_e,IF(Iterations[[#This Row],[Step]] &gt; current_step, "",Iterations[[#This Row],[Grad_e]]))</f>
        <v/>
      </c>
    </row>
    <row r="777" spans="6:18" x14ac:dyDescent="0.3">
      <c r="F777" s="2">
        <f t="shared" si="14"/>
        <v>760</v>
      </c>
      <c r="G777" s="2" t="str">
        <f>IF(Iterations[[#This Row],[Step]] =current_step, current_a,IF(Iterations[[#This Row],[Step]] &gt; current_step, "",Iterations[[#This Row],[a]]))</f>
        <v/>
      </c>
      <c r="H777" s="2" t="str">
        <f>IF(Iterations[[#This Row],[Step]] =current_step, current_b,IF(Iterations[[#This Row],[Step]] &gt; current_step, "",Iterations[[#This Row],[b]]))</f>
        <v/>
      </c>
      <c r="I777" s="2" t="str">
        <f>IF(Iterations[[#This Row],[Step]] =current_step, current_c,IF(Iterations[[#This Row],[Step]] &gt; current_step, "",Iterations[[#This Row],[c]]))</f>
        <v/>
      </c>
      <c r="J777" s="2" t="str">
        <f>IF(Iterations[[#This Row],[Step]] =current_step, current_d,IF(Iterations[[#This Row],[Step]] &gt; current_step, "",Iterations[[#This Row],[d]]))</f>
        <v/>
      </c>
      <c r="K777" s="2" t="str">
        <f>IF(Iterations[[#This Row],[Step]] =current_step, current_e,IF(Iterations[[#This Row],[Step]] &gt; current_step, "",Iterations[[#This Row],[e]]))</f>
        <v/>
      </c>
      <c r="L777" s="2" t="str">
        <f>IF(Iterations[[#This Row],[Step]] =current_step, current_Total_Loss,IF(Iterations[[#This Row],[Step]] &gt; current_step, "",Iterations[[#This Row],[Total Loss]]))</f>
        <v/>
      </c>
      <c r="M777" s="6" t="s">
        <v>27</v>
      </c>
      <c r="N777" s="2" t="str">
        <f>IF(Iterations[[#This Row],[Step]] =current_step, current_Grad_a,IF(Iterations[[#This Row],[Step]] &gt; current_step, "",Iterations[[#This Row],[Grad_a]]))</f>
        <v/>
      </c>
      <c r="O777" s="2" t="str">
        <f>IF(Iterations[[#This Row],[Step]] =current_step, current_Grad_b,IF(Iterations[[#This Row],[Step]] &gt; current_step, "",Iterations[[#This Row],[Grad_b]]))</f>
        <v/>
      </c>
      <c r="P777" s="2" t="str">
        <f>IF(Iterations[[#This Row],[Step]] =current_step, current_Grad_c,IF(Iterations[[#This Row],[Step]] &gt; current_step, "",Iterations[[#This Row],[Grad_c]]))</f>
        <v/>
      </c>
      <c r="Q777" s="2" t="str">
        <f>IF(Iterations[[#This Row],[Step]] =current_step, current_Grad_d,IF(Iterations[[#This Row],[Step]] &gt; current_step, "",Iterations[[#This Row],[Grad_d]]))</f>
        <v/>
      </c>
      <c r="R777" s="2" t="str">
        <f>IF(Iterations[[#This Row],[Step]] =current_step, current_Grad_e,IF(Iterations[[#This Row],[Step]] &gt; current_step, "",Iterations[[#This Row],[Grad_e]]))</f>
        <v/>
      </c>
    </row>
    <row r="778" spans="6:18" x14ac:dyDescent="0.3">
      <c r="F778" s="2">
        <f t="shared" si="14"/>
        <v>761</v>
      </c>
      <c r="G778" s="2" t="str">
        <f>IF(Iterations[[#This Row],[Step]] =current_step, current_a,IF(Iterations[[#This Row],[Step]] &gt; current_step, "",Iterations[[#This Row],[a]]))</f>
        <v/>
      </c>
      <c r="H778" s="2" t="str">
        <f>IF(Iterations[[#This Row],[Step]] =current_step, current_b,IF(Iterations[[#This Row],[Step]] &gt; current_step, "",Iterations[[#This Row],[b]]))</f>
        <v/>
      </c>
      <c r="I778" s="2" t="str">
        <f>IF(Iterations[[#This Row],[Step]] =current_step, current_c,IF(Iterations[[#This Row],[Step]] &gt; current_step, "",Iterations[[#This Row],[c]]))</f>
        <v/>
      </c>
      <c r="J778" s="2" t="str">
        <f>IF(Iterations[[#This Row],[Step]] =current_step, current_d,IF(Iterations[[#This Row],[Step]] &gt; current_step, "",Iterations[[#This Row],[d]]))</f>
        <v/>
      </c>
      <c r="K778" s="2" t="str">
        <f>IF(Iterations[[#This Row],[Step]] =current_step, current_e,IF(Iterations[[#This Row],[Step]] &gt; current_step, "",Iterations[[#This Row],[e]]))</f>
        <v/>
      </c>
      <c r="L778" s="2" t="str">
        <f>IF(Iterations[[#This Row],[Step]] =current_step, current_Total_Loss,IF(Iterations[[#This Row],[Step]] &gt; current_step, "",Iterations[[#This Row],[Total Loss]]))</f>
        <v/>
      </c>
      <c r="M778" s="6" t="s">
        <v>27</v>
      </c>
      <c r="N778" s="2" t="str">
        <f>IF(Iterations[[#This Row],[Step]] =current_step, current_Grad_a,IF(Iterations[[#This Row],[Step]] &gt; current_step, "",Iterations[[#This Row],[Grad_a]]))</f>
        <v/>
      </c>
      <c r="O778" s="2" t="str">
        <f>IF(Iterations[[#This Row],[Step]] =current_step, current_Grad_b,IF(Iterations[[#This Row],[Step]] &gt; current_step, "",Iterations[[#This Row],[Grad_b]]))</f>
        <v/>
      </c>
      <c r="P778" s="2" t="str">
        <f>IF(Iterations[[#This Row],[Step]] =current_step, current_Grad_c,IF(Iterations[[#This Row],[Step]] &gt; current_step, "",Iterations[[#This Row],[Grad_c]]))</f>
        <v/>
      </c>
      <c r="Q778" s="2" t="str">
        <f>IF(Iterations[[#This Row],[Step]] =current_step, current_Grad_d,IF(Iterations[[#This Row],[Step]] &gt; current_step, "",Iterations[[#This Row],[Grad_d]]))</f>
        <v/>
      </c>
      <c r="R778" s="2" t="str">
        <f>IF(Iterations[[#This Row],[Step]] =current_step, current_Grad_e,IF(Iterations[[#This Row],[Step]] &gt; current_step, "",Iterations[[#This Row],[Grad_e]]))</f>
        <v/>
      </c>
    </row>
    <row r="779" spans="6:18" x14ac:dyDescent="0.3">
      <c r="F779" s="2">
        <f t="shared" si="14"/>
        <v>762</v>
      </c>
      <c r="G779" s="2" t="str">
        <f>IF(Iterations[[#This Row],[Step]] =current_step, current_a,IF(Iterations[[#This Row],[Step]] &gt; current_step, "",Iterations[[#This Row],[a]]))</f>
        <v/>
      </c>
      <c r="H779" s="2" t="str">
        <f>IF(Iterations[[#This Row],[Step]] =current_step, current_b,IF(Iterations[[#This Row],[Step]] &gt; current_step, "",Iterations[[#This Row],[b]]))</f>
        <v/>
      </c>
      <c r="I779" s="2" t="str">
        <f>IF(Iterations[[#This Row],[Step]] =current_step, current_c,IF(Iterations[[#This Row],[Step]] &gt; current_step, "",Iterations[[#This Row],[c]]))</f>
        <v/>
      </c>
      <c r="J779" s="2" t="str">
        <f>IF(Iterations[[#This Row],[Step]] =current_step, current_d,IF(Iterations[[#This Row],[Step]] &gt; current_step, "",Iterations[[#This Row],[d]]))</f>
        <v/>
      </c>
      <c r="K779" s="2" t="str">
        <f>IF(Iterations[[#This Row],[Step]] =current_step, current_e,IF(Iterations[[#This Row],[Step]] &gt; current_step, "",Iterations[[#This Row],[e]]))</f>
        <v/>
      </c>
      <c r="L779" s="2" t="str">
        <f>IF(Iterations[[#This Row],[Step]] =current_step, current_Total_Loss,IF(Iterations[[#This Row],[Step]] &gt; current_step, "",Iterations[[#This Row],[Total Loss]]))</f>
        <v/>
      </c>
      <c r="M779" s="6" t="s">
        <v>27</v>
      </c>
      <c r="N779" s="2" t="str">
        <f>IF(Iterations[[#This Row],[Step]] =current_step, current_Grad_a,IF(Iterations[[#This Row],[Step]] &gt; current_step, "",Iterations[[#This Row],[Grad_a]]))</f>
        <v/>
      </c>
      <c r="O779" s="2" t="str">
        <f>IF(Iterations[[#This Row],[Step]] =current_step, current_Grad_b,IF(Iterations[[#This Row],[Step]] &gt; current_step, "",Iterations[[#This Row],[Grad_b]]))</f>
        <v/>
      </c>
      <c r="P779" s="2" t="str">
        <f>IF(Iterations[[#This Row],[Step]] =current_step, current_Grad_c,IF(Iterations[[#This Row],[Step]] &gt; current_step, "",Iterations[[#This Row],[Grad_c]]))</f>
        <v/>
      </c>
      <c r="Q779" s="2" t="str">
        <f>IF(Iterations[[#This Row],[Step]] =current_step, current_Grad_d,IF(Iterations[[#This Row],[Step]] &gt; current_step, "",Iterations[[#This Row],[Grad_d]]))</f>
        <v/>
      </c>
      <c r="R779" s="2" t="str">
        <f>IF(Iterations[[#This Row],[Step]] =current_step, current_Grad_e,IF(Iterations[[#This Row],[Step]] &gt; current_step, "",Iterations[[#This Row],[Grad_e]]))</f>
        <v/>
      </c>
    </row>
    <row r="780" spans="6:18" x14ac:dyDescent="0.3">
      <c r="F780" s="2">
        <f t="shared" si="14"/>
        <v>763</v>
      </c>
      <c r="G780" s="2" t="str">
        <f>IF(Iterations[[#This Row],[Step]] =current_step, current_a,IF(Iterations[[#This Row],[Step]] &gt; current_step, "",Iterations[[#This Row],[a]]))</f>
        <v/>
      </c>
      <c r="H780" s="2" t="str">
        <f>IF(Iterations[[#This Row],[Step]] =current_step, current_b,IF(Iterations[[#This Row],[Step]] &gt; current_step, "",Iterations[[#This Row],[b]]))</f>
        <v/>
      </c>
      <c r="I780" s="2" t="str">
        <f>IF(Iterations[[#This Row],[Step]] =current_step, current_c,IF(Iterations[[#This Row],[Step]] &gt; current_step, "",Iterations[[#This Row],[c]]))</f>
        <v/>
      </c>
      <c r="J780" s="2" t="str">
        <f>IF(Iterations[[#This Row],[Step]] =current_step, current_d,IF(Iterations[[#This Row],[Step]] &gt; current_step, "",Iterations[[#This Row],[d]]))</f>
        <v/>
      </c>
      <c r="K780" s="2" t="str">
        <f>IF(Iterations[[#This Row],[Step]] =current_step, current_e,IF(Iterations[[#This Row],[Step]] &gt; current_step, "",Iterations[[#This Row],[e]]))</f>
        <v/>
      </c>
      <c r="L780" s="2" t="str">
        <f>IF(Iterations[[#This Row],[Step]] =current_step, current_Total_Loss,IF(Iterations[[#This Row],[Step]] &gt; current_step, "",Iterations[[#This Row],[Total Loss]]))</f>
        <v/>
      </c>
      <c r="M780" s="6" t="s">
        <v>27</v>
      </c>
      <c r="N780" s="2" t="str">
        <f>IF(Iterations[[#This Row],[Step]] =current_step, current_Grad_a,IF(Iterations[[#This Row],[Step]] &gt; current_step, "",Iterations[[#This Row],[Grad_a]]))</f>
        <v/>
      </c>
      <c r="O780" s="2" t="str">
        <f>IF(Iterations[[#This Row],[Step]] =current_step, current_Grad_b,IF(Iterations[[#This Row],[Step]] &gt; current_step, "",Iterations[[#This Row],[Grad_b]]))</f>
        <v/>
      </c>
      <c r="P780" s="2" t="str">
        <f>IF(Iterations[[#This Row],[Step]] =current_step, current_Grad_c,IF(Iterations[[#This Row],[Step]] &gt; current_step, "",Iterations[[#This Row],[Grad_c]]))</f>
        <v/>
      </c>
      <c r="Q780" s="2" t="str">
        <f>IF(Iterations[[#This Row],[Step]] =current_step, current_Grad_d,IF(Iterations[[#This Row],[Step]] &gt; current_step, "",Iterations[[#This Row],[Grad_d]]))</f>
        <v/>
      </c>
      <c r="R780" s="2" t="str">
        <f>IF(Iterations[[#This Row],[Step]] =current_step, current_Grad_e,IF(Iterations[[#This Row],[Step]] &gt; current_step, "",Iterations[[#This Row],[Grad_e]]))</f>
        <v/>
      </c>
    </row>
    <row r="781" spans="6:18" x14ac:dyDescent="0.3">
      <c r="F781" s="2">
        <f t="shared" si="14"/>
        <v>764</v>
      </c>
      <c r="G781" s="2" t="str">
        <f>IF(Iterations[[#This Row],[Step]] =current_step, current_a,IF(Iterations[[#This Row],[Step]] &gt; current_step, "",Iterations[[#This Row],[a]]))</f>
        <v/>
      </c>
      <c r="H781" s="2" t="str">
        <f>IF(Iterations[[#This Row],[Step]] =current_step, current_b,IF(Iterations[[#This Row],[Step]] &gt; current_step, "",Iterations[[#This Row],[b]]))</f>
        <v/>
      </c>
      <c r="I781" s="2" t="str">
        <f>IF(Iterations[[#This Row],[Step]] =current_step, current_c,IF(Iterations[[#This Row],[Step]] &gt; current_step, "",Iterations[[#This Row],[c]]))</f>
        <v/>
      </c>
      <c r="J781" s="2" t="str">
        <f>IF(Iterations[[#This Row],[Step]] =current_step, current_d,IF(Iterations[[#This Row],[Step]] &gt; current_step, "",Iterations[[#This Row],[d]]))</f>
        <v/>
      </c>
      <c r="K781" s="2" t="str">
        <f>IF(Iterations[[#This Row],[Step]] =current_step, current_e,IF(Iterations[[#This Row],[Step]] &gt; current_step, "",Iterations[[#This Row],[e]]))</f>
        <v/>
      </c>
      <c r="L781" s="2" t="str">
        <f>IF(Iterations[[#This Row],[Step]] =current_step, current_Total_Loss,IF(Iterations[[#This Row],[Step]] &gt; current_step, "",Iterations[[#This Row],[Total Loss]]))</f>
        <v/>
      </c>
      <c r="M781" s="6" t="s">
        <v>27</v>
      </c>
      <c r="N781" s="2" t="str">
        <f>IF(Iterations[[#This Row],[Step]] =current_step, current_Grad_a,IF(Iterations[[#This Row],[Step]] &gt; current_step, "",Iterations[[#This Row],[Grad_a]]))</f>
        <v/>
      </c>
      <c r="O781" s="2" t="str">
        <f>IF(Iterations[[#This Row],[Step]] =current_step, current_Grad_b,IF(Iterations[[#This Row],[Step]] &gt; current_step, "",Iterations[[#This Row],[Grad_b]]))</f>
        <v/>
      </c>
      <c r="P781" s="2" t="str">
        <f>IF(Iterations[[#This Row],[Step]] =current_step, current_Grad_c,IF(Iterations[[#This Row],[Step]] &gt; current_step, "",Iterations[[#This Row],[Grad_c]]))</f>
        <v/>
      </c>
      <c r="Q781" s="2" t="str">
        <f>IF(Iterations[[#This Row],[Step]] =current_step, current_Grad_d,IF(Iterations[[#This Row],[Step]] &gt; current_step, "",Iterations[[#This Row],[Grad_d]]))</f>
        <v/>
      </c>
      <c r="R781" s="2" t="str">
        <f>IF(Iterations[[#This Row],[Step]] =current_step, current_Grad_e,IF(Iterations[[#This Row],[Step]] &gt; current_step, "",Iterations[[#This Row],[Grad_e]]))</f>
        <v/>
      </c>
    </row>
    <row r="782" spans="6:18" x14ac:dyDescent="0.3">
      <c r="F782" s="2">
        <f t="shared" si="14"/>
        <v>765</v>
      </c>
      <c r="G782" s="2" t="str">
        <f>IF(Iterations[[#This Row],[Step]] =current_step, current_a,IF(Iterations[[#This Row],[Step]] &gt; current_step, "",Iterations[[#This Row],[a]]))</f>
        <v/>
      </c>
      <c r="H782" s="2" t="str">
        <f>IF(Iterations[[#This Row],[Step]] =current_step, current_b,IF(Iterations[[#This Row],[Step]] &gt; current_step, "",Iterations[[#This Row],[b]]))</f>
        <v/>
      </c>
      <c r="I782" s="2" t="str">
        <f>IF(Iterations[[#This Row],[Step]] =current_step, current_c,IF(Iterations[[#This Row],[Step]] &gt; current_step, "",Iterations[[#This Row],[c]]))</f>
        <v/>
      </c>
      <c r="J782" s="2" t="str">
        <f>IF(Iterations[[#This Row],[Step]] =current_step, current_d,IF(Iterations[[#This Row],[Step]] &gt; current_step, "",Iterations[[#This Row],[d]]))</f>
        <v/>
      </c>
      <c r="K782" s="2" t="str">
        <f>IF(Iterations[[#This Row],[Step]] =current_step, current_e,IF(Iterations[[#This Row],[Step]] &gt; current_step, "",Iterations[[#This Row],[e]]))</f>
        <v/>
      </c>
      <c r="L782" s="2" t="str">
        <f>IF(Iterations[[#This Row],[Step]] =current_step, current_Total_Loss,IF(Iterations[[#This Row],[Step]] &gt; current_step, "",Iterations[[#This Row],[Total Loss]]))</f>
        <v/>
      </c>
      <c r="M782" s="6" t="s">
        <v>27</v>
      </c>
      <c r="N782" s="2" t="str">
        <f>IF(Iterations[[#This Row],[Step]] =current_step, current_Grad_a,IF(Iterations[[#This Row],[Step]] &gt; current_step, "",Iterations[[#This Row],[Grad_a]]))</f>
        <v/>
      </c>
      <c r="O782" s="2" t="str">
        <f>IF(Iterations[[#This Row],[Step]] =current_step, current_Grad_b,IF(Iterations[[#This Row],[Step]] &gt; current_step, "",Iterations[[#This Row],[Grad_b]]))</f>
        <v/>
      </c>
      <c r="P782" s="2" t="str">
        <f>IF(Iterations[[#This Row],[Step]] =current_step, current_Grad_c,IF(Iterations[[#This Row],[Step]] &gt; current_step, "",Iterations[[#This Row],[Grad_c]]))</f>
        <v/>
      </c>
      <c r="Q782" s="2" t="str">
        <f>IF(Iterations[[#This Row],[Step]] =current_step, current_Grad_d,IF(Iterations[[#This Row],[Step]] &gt; current_step, "",Iterations[[#This Row],[Grad_d]]))</f>
        <v/>
      </c>
      <c r="R782" s="2" t="str">
        <f>IF(Iterations[[#This Row],[Step]] =current_step, current_Grad_e,IF(Iterations[[#This Row],[Step]] &gt; current_step, "",Iterations[[#This Row],[Grad_e]]))</f>
        <v/>
      </c>
    </row>
    <row r="783" spans="6:18" x14ac:dyDescent="0.3">
      <c r="F783" s="2">
        <f t="shared" si="14"/>
        <v>766</v>
      </c>
      <c r="G783" s="2" t="str">
        <f>IF(Iterations[[#This Row],[Step]] =current_step, current_a,IF(Iterations[[#This Row],[Step]] &gt; current_step, "",Iterations[[#This Row],[a]]))</f>
        <v/>
      </c>
      <c r="H783" s="2" t="str">
        <f>IF(Iterations[[#This Row],[Step]] =current_step, current_b,IF(Iterations[[#This Row],[Step]] &gt; current_step, "",Iterations[[#This Row],[b]]))</f>
        <v/>
      </c>
      <c r="I783" s="2" t="str">
        <f>IF(Iterations[[#This Row],[Step]] =current_step, current_c,IF(Iterations[[#This Row],[Step]] &gt; current_step, "",Iterations[[#This Row],[c]]))</f>
        <v/>
      </c>
      <c r="J783" s="2" t="str">
        <f>IF(Iterations[[#This Row],[Step]] =current_step, current_d,IF(Iterations[[#This Row],[Step]] &gt; current_step, "",Iterations[[#This Row],[d]]))</f>
        <v/>
      </c>
      <c r="K783" s="2" t="str">
        <f>IF(Iterations[[#This Row],[Step]] =current_step, current_e,IF(Iterations[[#This Row],[Step]] &gt; current_step, "",Iterations[[#This Row],[e]]))</f>
        <v/>
      </c>
      <c r="L783" s="2" t="str">
        <f>IF(Iterations[[#This Row],[Step]] =current_step, current_Total_Loss,IF(Iterations[[#This Row],[Step]] &gt; current_step, "",Iterations[[#This Row],[Total Loss]]))</f>
        <v/>
      </c>
      <c r="M783" s="6" t="s">
        <v>27</v>
      </c>
      <c r="N783" s="2" t="str">
        <f>IF(Iterations[[#This Row],[Step]] =current_step, current_Grad_a,IF(Iterations[[#This Row],[Step]] &gt; current_step, "",Iterations[[#This Row],[Grad_a]]))</f>
        <v/>
      </c>
      <c r="O783" s="2" t="str">
        <f>IF(Iterations[[#This Row],[Step]] =current_step, current_Grad_b,IF(Iterations[[#This Row],[Step]] &gt; current_step, "",Iterations[[#This Row],[Grad_b]]))</f>
        <v/>
      </c>
      <c r="P783" s="2" t="str">
        <f>IF(Iterations[[#This Row],[Step]] =current_step, current_Grad_c,IF(Iterations[[#This Row],[Step]] &gt; current_step, "",Iterations[[#This Row],[Grad_c]]))</f>
        <v/>
      </c>
      <c r="Q783" s="2" t="str">
        <f>IF(Iterations[[#This Row],[Step]] =current_step, current_Grad_d,IF(Iterations[[#This Row],[Step]] &gt; current_step, "",Iterations[[#This Row],[Grad_d]]))</f>
        <v/>
      </c>
      <c r="R783" s="2" t="str">
        <f>IF(Iterations[[#This Row],[Step]] =current_step, current_Grad_e,IF(Iterations[[#This Row],[Step]] &gt; current_step, "",Iterations[[#This Row],[Grad_e]]))</f>
        <v/>
      </c>
    </row>
    <row r="784" spans="6:18" x14ac:dyDescent="0.3">
      <c r="F784" s="2">
        <f t="shared" si="14"/>
        <v>767</v>
      </c>
      <c r="G784" s="2" t="str">
        <f>IF(Iterations[[#This Row],[Step]] =current_step, current_a,IF(Iterations[[#This Row],[Step]] &gt; current_step, "",Iterations[[#This Row],[a]]))</f>
        <v/>
      </c>
      <c r="H784" s="2" t="str">
        <f>IF(Iterations[[#This Row],[Step]] =current_step, current_b,IF(Iterations[[#This Row],[Step]] &gt; current_step, "",Iterations[[#This Row],[b]]))</f>
        <v/>
      </c>
      <c r="I784" s="2" t="str">
        <f>IF(Iterations[[#This Row],[Step]] =current_step, current_c,IF(Iterations[[#This Row],[Step]] &gt; current_step, "",Iterations[[#This Row],[c]]))</f>
        <v/>
      </c>
      <c r="J784" s="2" t="str">
        <f>IF(Iterations[[#This Row],[Step]] =current_step, current_d,IF(Iterations[[#This Row],[Step]] &gt; current_step, "",Iterations[[#This Row],[d]]))</f>
        <v/>
      </c>
      <c r="K784" s="2" t="str">
        <f>IF(Iterations[[#This Row],[Step]] =current_step, current_e,IF(Iterations[[#This Row],[Step]] &gt; current_step, "",Iterations[[#This Row],[e]]))</f>
        <v/>
      </c>
      <c r="L784" s="2" t="str">
        <f>IF(Iterations[[#This Row],[Step]] =current_step, current_Total_Loss,IF(Iterations[[#This Row],[Step]] &gt; current_step, "",Iterations[[#This Row],[Total Loss]]))</f>
        <v/>
      </c>
      <c r="M784" s="6" t="s">
        <v>27</v>
      </c>
      <c r="N784" s="2" t="str">
        <f>IF(Iterations[[#This Row],[Step]] =current_step, current_Grad_a,IF(Iterations[[#This Row],[Step]] &gt; current_step, "",Iterations[[#This Row],[Grad_a]]))</f>
        <v/>
      </c>
      <c r="O784" s="2" t="str">
        <f>IF(Iterations[[#This Row],[Step]] =current_step, current_Grad_b,IF(Iterations[[#This Row],[Step]] &gt; current_step, "",Iterations[[#This Row],[Grad_b]]))</f>
        <v/>
      </c>
      <c r="P784" s="2" t="str">
        <f>IF(Iterations[[#This Row],[Step]] =current_step, current_Grad_c,IF(Iterations[[#This Row],[Step]] &gt; current_step, "",Iterations[[#This Row],[Grad_c]]))</f>
        <v/>
      </c>
      <c r="Q784" s="2" t="str">
        <f>IF(Iterations[[#This Row],[Step]] =current_step, current_Grad_d,IF(Iterations[[#This Row],[Step]] &gt; current_step, "",Iterations[[#This Row],[Grad_d]]))</f>
        <v/>
      </c>
      <c r="R784" s="2" t="str">
        <f>IF(Iterations[[#This Row],[Step]] =current_step, current_Grad_e,IF(Iterations[[#This Row],[Step]] &gt; current_step, "",Iterations[[#This Row],[Grad_e]]))</f>
        <v/>
      </c>
    </row>
    <row r="785" spans="6:18" x14ac:dyDescent="0.3">
      <c r="F785" s="2">
        <f t="shared" si="14"/>
        <v>768</v>
      </c>
      <c r="G785" s="2" t="str">
        <f>IF(Iterations[[#This Row],[Step]] =current_step, current_a,IF(Iterations[[#This Row],[Step]] &gt; current_step, "",Iterations[[#This Row],[a]]))</f>
        <v/>
      </c>
      <c r="H785" s="2" t="str">
        <f>IF(Iterations[[#This Row],[Step]] =current_step, current_b,IF(Iterations[[#This Row],[Step]] &gt; current_step, "",Iterations[[#This Row],[b]]))</f>
        <v/>
      </c>
      <c r="I785" s="2" t="str">
        <f>IF(Iterations[[#This Row],[Step]] =current_step, current_c,IF(Iterations[[#This Row],[Step]] &gt; current_step, "",Iterations[[#This Row],[c]]))</f>
        <v/>
      </c>
      <c r="J785" s="2" t="str">
        <f>IF(Iterations[[#This Row],[Step]] =current_step, current_d,IF(Iterations[[#This Row],[Step]] &gt; current_step, "",Iterations[[#This Row],[d]]))</f>
        <v/>
      </c>
      <c r="K785" s="2" t="str">
        <f>IF(Iterations[[#This Row],[Step]] =current_step, current_e,IF(Iterations[[#This Row],[Step]] &gt; current_step, "",Iterations[[#This Row],[e]]))</f>
        <v/>
      </c>
      <c r="L785" s="2" t="str">
        <f>IF(Iterations[[#This Row],[Step]] =current_step, current_Total_Loss,IF(Iterations[[#This Row],[Step]] &gt; current_step, "",Iterations[[#This Row],[Total Loss]]))</f>
        <v/>
      </c>
      <c r="M785" s="6" t="s">
        <v>27</v>
      </c>
      <c r="N785" s="2" t="str">
        <f>IF(Iterations[[#This Row],[Step]] =current_step, current_Grad_a,IF(Iterations[[#This Row],[Step]] &gt; current_step, "",Iterations[[#This Row],[Grad_a]]))</f>
        <v/>
      </c>
      <c r="O785" s="2" t="str">
        <f>IF(Iterations[[#This Row],[Step]] =current_step, current_Grad_b,IF(Iterations[[#This Row],[Step]] &gt; current_step, "",Iterations[[#This Row],[Grad_b]]))</f>
        <v/>
      </c>
      <c r="P785" s="2" t="str">
        <f>IF(Iterations[[#This Row],[Step]] =current_step, current_Grad_c,IF(Iterations[[#This Row],[Step]] &gt; current_step, "",Iterations[[#This Row],[Grad_c]]))</f>
        <v/>
      </c>
      <c r="Q785" s="2" t="str">
        <f>IF(Iterations[[#This Row],[Step]] =current_step, current_Grad_d,IF(Iterations[[#This Row],[Step]] &gt; current_step, "",Iterations[[#This Row],[Grad_d]]))</f>
        <v/>
      </c>
      <c r="R785" s="2" t="str">
        <f>IF(Iterations[[#This Row],[Step]] =current_step, current_Grad_e,IF(Iterations[[#This Row],[Step]] &gt; current_step, "",Iterations[[#This Row],[Grad_e]]))</f>
        <v/>
      </c>
    </row>
    <row r="786" spans="6:18" x14ac:dyDescent="0.3">
      <c r="F786" s="2">
        <f t="shared" si="14"/>
        <v>769</v>
      </c>
      <c r="G786" s="2" t="str">
        <f>IF(Iterations[[#This Row],[Step]] =current_step, current_a,IF(Iterations[[#This Row],[Step]] &gt; current_step, "",Iterations[[#This Row],[a]]))</f>
        <v/>
      </c>
      <c r="H786" s="2" t="str">
        <f>IF(Iterations[[#This Row],[Step]] =current_step, current_b,IF(Iterations[[#This Row],[Step]] &gt; current_step, "",Iterations[[#This Row],[b]]))</f>
        <v/>
      </c>
      <c r="I786" s="2" t="str">
        <f>IF(Iterations[[#This Row],[Step]] =current_step, current_c,IF(Iterations[[#This Row],[Step]] &gt; current_step, "",Iterations[[#This Row],[c]]))</f>
        <v/>
      </c>
      <c r="J786" s="2" t="str">
        <f>IF(Iterations[[#This Row],[Step]] =current_step, current_d,IF(Iterations[[#This Row],[Step]] &gt; current_step, "",Iterations[[#This Row],[d]]))</f>
        <v/>
      </c>
      <c r="K786" s="2" t="str">
        <f>IF(Iterations[[#This Row],[Step]] =current_step, current_e,IF(Iterations[[#This Row],[Step]] &gt; current_step, "",Iterations[[#This Row],[e]]))</f>
        <v/>
      </c>
      <c r="L786" s="2" t="str">
        <f>IF(Iterations[[#This Row],[Step]] =current_step, current_Total_Loss,IF(Iterations[[#This Row],[Step]] &gt; current_step, "",Iterations[[#This Row],[Total Loss]]))</f>
        <v/>
      </c>
      <c r="M786" s="6" t="s">
        <v>27</v>
      </c>
      <c r="N786" s="2" t="str">
        <f>IF(Iterations[[#This Row],[Step]] =current_step, current_Grad_a,IF(Iterations[[#This Row],[Step]] &gt; current_step, "",Iterations[[#This Row],[Grad_a]]))</f>
        <v/>
      </c>
      <c r="O786" s="2" t="str">
        <f>IF(Iterations[[#This Row],[Step]] =current_step, current_Grad_b,IF(Iterations[[#This Row],[Step]] &gt; current_step, "",Iterations[[#This Row],[Grad_b]]))</f>
        <v/>
      </c>
      <c r="P786" s="2" t="str">
        <f>IF(Iterations[[#This Row],[Step]] =current_step, current_Grad_c,IF(Iterations[[#This Row],[Step]] &gt; current_step, "",Iterations[[#This Row],[Grad_c]]))</f>
        <v/>
      </c>
      <c r="Q786" s="2" t="str">
        <f>IF(Iterations[[#This Row],[Step]] =current_step, current_Grad_d,IF(Iterations[[#This Row],[Step]] &gt; current_step, "",Iterations[[#This Row],[Grad_d]]))</f>
        <v/>
      </c>
      <c r="R786" s="2" t="str">
        <f>IF(Iterations[[#This Row],[Step]] =current_step, current_Grad_e,IF(Iterations[[#This Row],[Step]] &gt; current_step, "",Iterations[[#This Row],[Grad_e]]))</f>
        <v/>
      </c>
    </row>
    <row r="787" spans="6:18" x14ac:dyDescent="0.3">
      <c r="F787" s="2">
        <f t="shared" si="14"/>
        <v>770</v>
      </c>
      <c r="G787" s="2" t="str">
        <f>IF(Iterations[[#This Row],[Step]] =current_step, current_a,IF(Iterations[[#This Row],[Step]] &gt; current_step, "",Iterations[[#This Row],[a]]))</f>
        <v/>
      </c>
      <c r="H787" s="2" t="str">
        <f>IF(Iterations[[#This Row],[Step]] =current_step, current_b,IF(Iterations[[#This Row],[Step]] &gt; current_step, "",Iterations[[#This Row],[b]]))</f>
        <v/>
      </c>
      <c r="I787" s="2" t="str">
        <f>IF(Iterations[[#This Row],[Step]] =current_step, current_c,IF(Iterations[[#This Row],[Step]] &gt; current_step, "",Iterations[[#This Row],[c]]))</f>
        <v/>
      </c>
      <c r="J787" s="2" t="str">
        <f>IF(Iterations[[#This Row],[Step]] =current_step, current_d,IF(Iterations[[#This Row],[Step]] &gt; current_step, "",Iterations[[#This Row],[d]]))</f>
        <v/>
      </c>
      <c r="K787" s="2" t="str">
        <f>IF(Iterations[[#This Row],[Step]] =current_step, current_e,IF(Iterations[[#This Row],[Step]] &gt; current_step, "",Iterations[[#This Row],[e]]))</f>
        <v/>
      </c>
      <c r="L787" s="2" t="str">
        <f>IF(Iterations[[#This Row],[Step]] =current_step, current_Total_Loss,IF(Iterations[[#This Row],[Step]] &gt; current_step, "",Iterations[[#This Row],[Total Loss]]))</f>
        <v/>
      </c>
      <c r="M787" s="6" t="s">
        <v>27</v>
      </c>
      <c r="N787" s="2" t="str">
        <f>IF(Iterations[[#This Row],[Step]] =current_step, current_Grad_a,IF(Iterations[[#This Row],[Step]] &gt; current_step, "",Iterations[[#This Row],[Grad_a]]))</f>
        <v/>
      </c>
      <c r="O787" s="2" t="str">
        <f>IF(Iterations[[#This Row],[Step]] =current_step, current_Grad_b,IF(Iterations[[#This Row],[Step]] &gt; current_step, "",Iterations[[#This Row],[Grad_b]]))</f>
        <v/>
      </c>
      <c r="P787" s="2" t="str">
        <f>IF(Iterations[[#This Row],[Step]] =current_step, current_Grad_c,IF(Iterations[[#This Row],[Step]] &gt; current_step, "",Iterations[[#This Row],[Grad_c]]))</f>
        <v/>
      </c>
      <c r="Q787" s="2" t="str">
        <f>IF(Iterations[[#This Row],[Step]] =current_step, current_Grad_d,IF(Iterations[[#This Row],[Step]] &gt; current_step, "",Iterations[[#This Row],[Grad_d]]))</f>
        <v/>
      </c>
      <c r="R787" s="2" t="str">
        <f>IF(Iterations[[#This Row],[Step]] =current_step, current_Grad_e,IF(Iterations[[#This Row],[Step]] &gt; current_step, "",Iterations[[#This Row],[Grad_e]]))</f>
        <v/>
      </c>
    </row>
    <row r="788" spans="6:18" x14ac:dyDescent="0.3">
      <c r="F788" s="2">
        <f t="shared" si="14"/>
        <v>771</v>
      </c>
      <c r="G788" s="2" t="str">
        <f>IF(Iterations[[#This Row],[Step]] =current_step, current_a,IF(Iterations[[#This Row],[Step]] &gt; current_step, "",Iterations[[#This Row],[a]]))</f>
        <v/>
      </c>
      <c r="H788" s="2" t="str">
        <f>IF(Iterations[[#This Row],[Step]] =current_step, current_b,IF(Iterations[[#This Row],[Step]] &gt; current_step, "",Iterations[[#This Row],[b]]))</f>
        <v/>
      </c>
      <c r="I788" s="2" t="str">
        <f>IF(Iterations[[#This Row],[Step]] =current_step, current_c,IF(Iterations[[#This Row],[Step]] &gt; current_step, "",Iterations[[#This Row],[c]]))</f>
        <v/>
      </c>
      <c r="J788" s="2" t="str">
        <f>IF(Iterations[[#This Row],[Step]] =current_step, current_d,IF(Iterations[[#This Row],[Step]] &gt; current_step, "",Iterations[[#This Row],[d]]))</f>
        <v/>
      </c>
      <c r="K788" s="2" t="str">
        <f>IF(Iterations[[#This Row],[Step]] =current_step, current_e,IF(Iterations[[#This Row],[Step]] &gt; current_step, "",Iterations[[#This Row],[e]]))</f>
        <v/>
      </c>
      <c r="L788" s="2" t="str">
        <f>IF(Iterations[[#This Row],[Step]] =current_step, current_Total_Loss,IF(Iterations[[#This Row],[Step]] &gt; current_step, "",Iterations[[#This Row],[Total Loss]]))</f>
        <v/>
      </c>
      <c r="M788" s="6" t="s">
        <v>27</v>
      </c>
      <c r="N788" s="2" t="str">
        <f>IF(Iterations[[#This Row],[Step]] =current_step, current_Grad_a,IF(Iterations[[#This Row],[Step]] &gt; current_step, "",Iterations[[#This Row],[Grad_a]]))</f>
        <v/>
      </c>
      <c r="O788" s="2" t="str">
        <f>IF(Iterations[[#This Row],[Step]] =current_step, current_Grad_b,IF(Iterations[[#This Row],[Step]] &gt; current_step, "",Iterations[[#This Row],[Grad_b]]))</f>
        <v/>
      </c>
      <c r="P788" s="2" t="str">
        <f>IF(Iterations[[#This Row],[Step]] =current_step, current_Grad_c,IF(Iterations[[#This Row],[Step]] &gt; current_step, "",Iterations[[#This Row],[Grad_c]]))</f>
        <v/>
      </c>
      <c r="Q788" s="2" t="str">
        <f>IF(Iterations[[#This Row],[Step]] =current_step, current_Grad_d,IF(Iterations[[#This Row],[Step]] &gt; current_step, "",Iterations[[#This Row],[Grad_d]]))</f>
        <v/>
      </c>
      <c r="R788" s="2" t="str">
        <f>IF(Iterations[[#This Row],[Step]] =current_step, current_Grad_e,IF(Iterations[[#This Row],[Step]] &gt; current_step, "",Iterations[[#This Row],[Grad_e]]))</f>
        <v/>
      </c>
    </row>
    <row r="789" spans="6:18" x14ac:dyDescent="0.3">
      <c r="F789" s="2">
        <f t="shared" si="14"/>
        <v>772</v>
      </c>
      <c r="G789" s="2" t="str">
        <f>IF(Iterations[[#This Row],[Step]] =current_step, current_a,IF(Iterations[[#This Row],[Step]] &gt; current_step, "",Iterations[[#This Row],[a]]))</f>
        <v/>
      </c>
      <c r="H789" s="2" t="str">
        <f>IF(Iterations[[#This Row],[Step]] =current_step, current_b,IF(Iterations[[#This Row],[Step]] &gt; current_step, "",Iterations[[#This Row],[b]]))</f>
        <v/>
      </c>
      <c r="I789" s="2" t="str">
        <f>IF(Iterations[[#This Row],[Step]] =current_step, current_c,IF(Iterations[[#This Row],[Step]] &gt; current_step, "",Iterations[[#This Row],[c]]))</f>
        <v/>
      </c>
      <c r="J789" s="2" t="str">
        <f>IF(Iterations[[#This Row],[Step]] =current_step, current_d,IF(Iterations[[#This Row],[Step]] &gt; current_step, "",Iterations[[#This Row],[d]]))</f>
        <v/>
      </c>
      <c r="K789" s="2" t="str">
        <f>IF(Iterations[[#This Row],[Step]] =current_step, current_e,IF(Iterations[[#This Row],[Step]] &gt; current_step, "",Iterations[[#This Row],[e]]))</f>
        <v/>
      </c>
      <c r="L789" s="2" t="str">
        <f>IF(Iterations[[#This Row],[Step]] =current_step, current_Total_Loss,IF(Iterations[[#This Row],[Step]] &gt; current_step, "",Iterations[[#This Row],[Total Loss]]))</f>
        <v/>
      </c>
      <c r="M789" s="6" t="s">
        <v>27</v>
      </c>
      <c r="N789" s="2" t="str">
        <f>IF(Iterations[[#This Row],[Step]] =current_step, current_Grad_a,IF(Iterations[[#This Row],[Step]] &gt; current_step, "",Iterations[[#This Row],[Grad_a]]))</f>
        <v/>
      </c>
      <c r="O789" s="2" t="str">
        <f>IF(Iterations[[#This Row],[Step]] =current_step, current_Grad_b,IF(Iterations[[#This Row],[Step]] &gt; current_step, "",Iterations[[#This Row],[Grad_b]]))</f>
        <v/>
      </c>
      <c r="P789" s="2" t="str">
        <f>IF(Iterations[[#This Row],[Step]] =current_step, current_Grad_c,IF(Iterations[[#This Row],[Step]] &gt; current_step, "",Iterations[[#This Row],[Grad_c]]))</f>
        <v/>
      </c>
      <c r="Q789" s="2" t="str">
        <f>IF(Iterations[[#This Row],[Step]] =current_step, current_Grad_d,IF(Iterations[[#This Row],[Step]] &gt; current_step, "",Iterations[[#This Row],[Grad_d]]))</f>
        <v/>
      </c>
      <c r="R789" s="2" t="str">
        <f>IF(Iterations[[#This Row],[Step]] =current_step, current_Grad_e,IF(Iterations[[#This Row],[Step]] &gt; current_step, "",Iterations[[#This Row],[Grad_e]]))</f>
        <v/>
      </c>
    </row>
    <row r="790" spans="6:18" x14ac:dyDescent="0.3">
      <c r="F790" s="2">
        <f t="shared" si="14"/>
        <v>773</v>
      </c>
      <c r="G790" s="2" t="str">
        <f>IF(Iterations[[#This Row],[Step]] =current_step, current_a,IF(Iterations[[#This Row],[Step]] &gt; current_step, "",Iterations[[#This Row],[a]]))</f>
        <v/>
      </c>
      <c r="H790" s="2" t="str">
        <f>IF(Iterations[[#This Row],[Step]] =current_step, current_b,IF(Iterations[[#This Row],[Step]] &gt; current_step, "",Iterations[[#This Row],[b]]))</f>
        <v/>
      </c>
      <c r="I790" s="2" t="str">
        <f>IF(Iterations[[#This Row],[Step]] =current_step, current_c,IF(Iterations[[#This Row],[Step]] &gt; current_step, "",Iterations[[#This Row],[c]]))</f>
        <v/>
      </c>
      <c r="J790" s="2" t="str">
        <f>IF(Iterations[[#This Row],[Step]] =current_step, current_d,IF(Iterations[[#This Row],[Step]] &gt; current_step, "",Iterations[[#This Row],[d]]))</f>
        <v/>
      </c>
      <c r="K790" s="2" t="str">
        <f>IF(Iterations[[#This Row],[Step]] =current_step, current_e,IF(Iterations[[#This Row],[Step]] &gt; current_step, "",Iterations[[#This Row],[e]]))</f>
        <v/>
      </c>
      <c r="L790" s="2" t="str">
        <f>IF(Iterations[[#This Row],[Step]] =current_step, current_Total_Loss,IF(Iterations[[#This Row],[Step]] &gt; current_step, "",Iterations[[#This Row],[Total Loss]]))</f>
        <v/>
      </c>
      <c r="M790" s="6" t="s">
        <v>27</v>
      </c>
      <c r="N790" s="2" t="str">
        <f>IF(Iterations[[#This Row],[Step]] =current_step, current_Grad_a,IF(Iterations[[#This Row],[Step]] &gt; current_step, "",Iterations[[#This Row],[Grad_a]]))</f>
        <v/>
      </c>
      <c r="O790" s="2" t="str">
        <f>IF(Iterations[[#This Row],[Step]] =current_step, current_Grad_b,IF(Iterations[[#This Row],[Step]] &gt; current_step, "",Iterations[[#This Row],[Grad_b]]))</f>
        <v/>
      </c>
      <c r="P790" s="2" t="str">
        <f>IF(Iterations[[#This Row],[Step]] =current_step, current_Grad_c,IF(Iterations[[#This Row],[Step]] &gt; current_step, "",Iterations[[#This Row],[Grad_c]]))</f>
        <v/>
      </c>
      <c r="Q790" s="2" t="str">
        <f>IF(Iterations[[#This Row],[Step]] =current_step, current_Grad_d,IF(Iterations[[#This Row],[Step]] &gt; current_step, "",Iterations[[#This Row],[Grad_d]]))</f>
        <v/>
      </c>
      <c r="R790" s="2" t="str">
        <f>IF(Iterations[[#This Row],[Step]] =current_step, current_Grad_e,IF(Iterations[[#This Row],[Step]] &gt; current_step, "",Iterations[[#This Row],[Grad_e]]))</f>
        <v/>
      </c>
    </row>
    <row r="791" spans="6:18" x14ac:dyDescent="0.3">
      <c r="F791" s="2">
        <f t="shared" si="14"/>
        <v>774</v>
      </c>
      <c r="G791" s="2" t="str">
        <f>IF(Iterations[[#This Row],[Step]] =current_step, current_a,IF(Iterations[[#This Row],[Step]] &gt; current_step, "",Iterations[[#This Row],[a]]))</f>
        <v/>
      </c>
      <c r="H791" s="2" t="str">
        <f>IF(Iterations[[#This Row],[Step]] =current_step, current_b,IF(Iterations[[#This Row],[Step]] &gt; current_step, "",Iterations[[#This Row],[b]]))</f>
        <v/>
      </c>
      <c r="I791" s="2" t="str">
        <f>IF(Iterations[[#This Row],[Step]] =current_step, current_c,IF(Iterations[[#This Row],[Step]] &gt; current_step, "",Iterations[[#This Row],[c]]))</f>
        <v/>
      </c>
      <c r="J791" s="2" t="str">
        <f>IF(Iterations[[#This Row],[Step]] =current_step, current_d,IF(Iterations[[#This Row],[Step]] &gt; current_step, "",Iterations[[#This Row],[d]]))</f>
        <v/>
      </c>
      <c r="K791" s="2" t="str">
        <f>IF(Iterations[[#This Row],[Step]] =current_step, current_e,IF(Iterations[[#This Row],[Step]] &gt; current_step, "",Iterations[[#This Row],[e]]))</f>
        <v/>
      </c>
      <c r="L791" s="2" t="str">
        <f>IF(Iterations[[#This Row],[Step]] =current_step, current_Total_Loss,IF(Iterations[[#This Row],[Step]] &gt; current_step, "",Iterations[[#This Row],[Total Loss]]))</f>
        <v/>
      </c>
      <c r="M791" s="6" t="s">
        <v>27</v>
      </c>
      <c r="N791" s="2" t="str">
        <f>IF(Iterations[[#This Row],[Step]] =current_step, current_Grad_a,IF(Iterations[[#This Row],[Step]] &gt; current_step, "",Iterations[[#This Row],[Grad_a]]))</f>
        <v/>
      </c>
      <c r="O791" s="2" t="str">
        <f>IF(Iterations[[#This Row],[Step]] =current_step, current_Grad_b,IF(Iterations[[#This Row],[Step]] &gt; current_step, "",Iterations[[#This Row],[Grad_b]]))</f>
        <v/>
      </c>
      <c r="P791" s="2" t="str">
        <f>IF(Iterations[[#This Row],[Step]] =current_step, current_Grad_c,IF(Iterations[[#This Row],[Step]] &gt; current_step, "",Iterations[[#This Row],[Grad_c]]))</f>
        <v/>
      </c>
      <c r="Q791" s="2" t="str">
        <f>IF(Iterations[[#This Row],[Step]] =current_step, current_Grad_d,IF(Iterations[[#This Row],[Step]] &gt; current_step, "",Iterations[[#This Row],[Grad_d]]))</f>
        <v/>
      </c>
      <c r="R791" s="2" t="str">
        <f>IF(Iterations[[#This Row],[Step]] =current_step, current_Grad_e,IF(Iterations[[#This Row],[Step]] &gt; current_step, "",Iterations[[#This Row],[Grad_e]]))</f>
        <v/>
      </c>
    </row>
    <row r="792" spans="6:18" x14ac:dyDescent="0.3">
      <c r="F792" s="2">
        <f t="shared" si="14"/>
        <v>775</v>
      </c>
      <c r="G792" s="2" t="str">
        <f>IF(Iterations[[#This Row],[Step]] =current_step, current_a,IF(Iterations[[#This Row],[Step]] &gt; current_step, "",Iterations[[#This Row],[a]]))</f>
        <v/>
      </c>
      <c r="H792" s="2" t="str">
        <f>IF(Iterations[[#This Row],[Step]] =current_step, current_b,IF(Iterations[[#This Row],[Step]] &gt; current_step, "",Iterations[[#This Row],[b]]))</f>
        <v/>
      </c>
      <c r="I792" s="2" t="str">
        <f>IF(Iterations[[#This Row],[Step]] =current_step, current_c,IF(Iterations[[#This Row],[Step]] &gt; current_step, "",Iterations[[#This Row],[c]]))</f>
        <v/>
      </c>
      <c r="J792" s="2" t="str">
        <f>IF(Iterations[[#This Row],[Step]] =current_step, current_d,IF(Iterations[[#This Row],[Step]] &gt; current_step, "",Iterations[[#This Row],[d]]))</f>
        <v/>
      </c>
      <c r="K792" s="2" t="str">
        <f>IF(Iterations[[#This Row],[Step]] =current_step, current_e,IF(Iterations[[#This Row],[Step]] &gt; current_step, "",Iterations[[#This Row],[e]]))</f>
        <v/>
      </c>
      <c r="L792" s="2" t="str">
        <f>IF(Iterations[[#This Row],[Step]] =current_step, current_Total_Loss,IF(Iterations[[#This Row],[Step]] &gt; current_step, "",Iterations[[#This Row],[Total Loss]]))</f>
        <v/>
      </c>
      <c r="M792" s="6" t="s">
        <v>27</v>
      </c>
      <c r="N792" s="2" t="str">
        <f>IF(Iterations[[#This Row],[Step]] =current_step, current_Grad_a,IF(Iterations[[#This Row],[Step]] &gt; current_step, "",Iterations[[#This Row],[Grad_a]]))</f>
        <v/>
      </c>
      <c r="O792" s="2" t="str">
        <f>IF(Iterations[[#This Row],[Step]] =current_step, current_Grad_b,IF(Iterations[[#This Row],[Step]] &gt; current_step, "",Iterations[[#This Row],[Grad_b]]))</f>
        <v/>
      </c>
      <c r="P792" s="2" t="str">
        <f>IF(Iterations[[#This Row],[Step]] =current_step, current_Grad_c,IF(Iterations[[#This Row],[Step]] &gt; current_step, "",Iterations[[#This Row],[Grad_c]]))</f>
        <v/>
      </c>
      <c r="Q792" s="2" t="str">
        <f>IF(Iterations[[#This Row],[Step]] =current_step, current_Grad_d,IF(Iterations[[#This Row],[Step]] &gt; current_step, "",Iterations[[#This Row],[Grad_d]]))</f>
        <v/>
      </c>
      <c r="R792" s="2" t="str">
        <f>IF(Iterations[[#This Row],[Step]] =current_step, current_Grad_e,IF(Iterations[[#This Row],[Step]] &gt; current_step, "",Iterations[[#This Row],[Grad_e]]))</f>
        <v/>
      </c>
    </row>
    <row r="793" spans="6:18" x14ac:dyDescent="0.3">
      <c r="F793" s="2">
        <f t="shared" si="14"/>
        <v>776</v>
      </c>
      <c r="G793" s="2" t="str">
        <f>IF(Iterations[[#This Row],[Step]] =current_step, current_a,IF(Iterations[[#This Row],[Step]] &gt; current_step, "",Iterations[[#This Row],[a]]))</f>
        <v/>
      </c>
      <c r="H793" s="2" t="str">
        <f>IF(Iterations[[#This Row],[Step]] =current_step, current_b,IF(Iterations[[#This Row],[Step]] &gt; current_step, "",Iterations[[#This Row],[b]]))</f>
        <v/>
      </c>
      <c r="I793" s="2" t="str">
        <f>IF(Iterations[[#This Row],[Step]] =current_step, current_c,IF(Iterations[[#This Row],[Step]] &gt; current_step, "",Iterations[[#This Row],[c]]))</f>
        <v/>
      </c>
      <c r="J793" s="2" t="str">
        <f>IF(Iterations[[#This Row],[Step]] =current_step, current_d,IF(Iterations[[#This Row],[Step]] &gt; current_step, "",Iterations[[#This Row],[d]]))</f>
        <v/>
      </c>
      <c r="K793" s="2" t="str">
        <f>IF(Iterations[[#This Row],[Step]] =current_step, current_e,IF(Iterations[[#This Row],[Step]] &gt; current_step, "",Iterations[[#This Row],[e]]))</f>
        <v/>
      </c>
      <c r="L793" s="2" t="str">
        <f>IF(Iterations[[#This Row],[Step]] =current_step, current_Total_Loss,IF(Iterations[[#This Row],[Step]] &gt; current_step, "",Iterations[[#This Row],[Total Loss]]))</f>
        <v/>
      </c>
      <c r="M793" s="6" t="s">
        <v>27</v>
      </c>
      <c r="N793" s="2" t="str">
        <f>IF(Iterations[[#This Row],[Step]] =current_step, current_Grad_a,IF(Iterations[[#This Row],[Step]] &gt; current_step, "",Iterations[[#This Row],[Grad_a]]))</f>
        <v/>
      </c>
      <c r="O793" s="2" t="str">
        <f>IF(Iterations[[#This Row],[Step]] =current_step, current_Grad_b,IF(Iterations[[#This Row],[Step]] &gt; current_step, "",Iterations[[#This Row],[Grad_b]]))</f>
        <v/>
      </c>
      <c r="P793" s="2" t="str">
        <f>IF(Iterations[[#This Row],[Step]] =current_step, current_Grad_c,IF(Iterations[[#This Row],[Step]] &gt; current_step, "",Iterations[[#This Row],[Grad_c]]))</f>
        <v/>
      </c>
      <c r="Q793" s="2" t="str">
        <f>IF(Iterations[[#This Row],[Step]] =current_step, current_Grad_d,IF(Iterations[[#This Row],[Step]] &gt; current_step, "",Iterations[[#This Row],[Grad_d]]))</f>
        <v/>
      </c>
      <c r="R793" s="2" t="str">
        <f>IF(Iterations[[#This Row],[Step]] =current_step, current_Grad_e,IF(Iterations[[#This Row],[Step]] &gt; current_step, "",Iterations[[#This Row],[Grad_e]]))</f>
        <v/>
      </c>
    </row>
    <row r="794" spans="6:18" x14ac:dyDescent="0.3">
      <c r="F794" s="2">
        <f t="shared" si="14"/>
        <v>777</v>
      </c>
      <c r="G794" s="2" t="str">
        <f>IF(Iterations[[#This Row],[Step]] =current_step, current_a,IF(Iterations[[#This Row],[Step]] &gt; current_step, "",Iterations[[#This Row],[a]]))</f>
        <v/>
      </c>
      <c r="H794" s="2" t="str">
        <f>IF(Iterations[[#This Row],[Step]] =current_step, current_b,IF(Iterations[[#This Row],[Step]] &gt; current_step, "",Iterations[[#This Row],[b]]))</f>
        <v/>
      </c>
      <c r="I794" s="2" t="str">
        <f>IF(Iterations[[#This Row],[Step]] =current_step, current_c,IF(Iterations[[#This Row],[Step]] &gt; current_step, "",Iterations[[#This Row],[c]]))</f>
        <v/>
      </c>
      <c r="J794" s="2" t="str">
        <f>IF(Iterations[[#This Row],[Step]] =current_step, current_d,IF(Iterations[[#This Row],[Step]] &gt; current_step, "",Iterations[[#This Row],[d]]))</f>
        <v/>
      </c>
      <c r="K794" s="2" t="str">
        <f>IF(Iterations[[#This Row],[Step]] =current_step, current_e,IF(Iterations[[#This Row],[Step]] &gt; current_step, "",Iterations[[#This Row],[e]]))</f>
        <v/>
      </c>
      <c r="L794" s="2" t="str">
        <f>IF(Iterations[[#This Row],[Step]] =current_step, current_Total_Loss,IF(Iterations[[#This Row],[Step]] &gt; current_step, "",Iterations[[#This Row],[Total Loss]]))</f>
        <v/>
      </c>
      <c r="M794" s="6" t="s">
        <v>27</v>
      </c>
      <c r="N794" s="2" t="str">
        <f>IF(Iterations[[#This Row],[Step]] =current_step, current_Grad_a,IF(Iterations[[#This Row],[Step]] &gt; current_step, "",Iterations[[#This Row],[Grad_a]]))</f>
        <v/>
      </c>
      <c r="O794" s="2" t="str">
        <f>IF(Iterations[[#This Row],[Step]] =current_step, current_Grad_b,IF(Iterations[[#This Row],[Step]] &gt; current_step, "",Iterations[[#This Row],[Grad_b]]))</f>
        <v/>
      </c>
      <c r="P794" s="2" t="str">
        <f>IF(Iterations[[#This Row],[Step]] =current_step, current_Grad_c,IF(Iterations[[#This Row],[Step]] &gt; current_step, "",Iterations[[#This Row],[Grad_c]]))</f>
        <v/>
      </c>
      <c r="Q794" s="2" t="str">
        <f>IF(Iterations[[#This Row],[Step]] =current_step, current_Grad_d,IF(Iterations[[#This Row],[Step]] &gt; current_step, "",Iterations[[#This Row],[Grad_d]]))</f>
        <v/>
      </c>
      <c r="R794" s="2" t="str">
        <f>IF(Iterations[[#This Row],[Step]] =current_step, current_Grad_e,IF(Iterations[[#This Row],[Step]] &gt; current_step, "",Iterations[[#This Row],[Grad_e]]))</f>
        <v/>
      </c>
    </row>
    <row r="795" spans="6:18" x14ac:dyDescent="0.3">
      <c r="F795" s="2">
        <f t="shared" si="14"/>
        <v>778</v>
      </c>
      <c r="G795" s="2" t="str">
        <f>IF(Iterations[[#This Row],[Step]] =current_step, current_a,IF(Iterations[[#This Row],[Step]] &gt; current_step, "",Iterations[[#This Row],[a]]))</f>
        <v/>
      </c>
      <c r="H795" s="2" t="str">
        <f>IF(Iterations[[#This Row],[Step]] =current_step, current_b,IF(Iterations[[#This Row],[Step]] &gt; current_step, "",Iterations[[#This Row],[b]]))</f>
        <v/>
      </c>
      <c r="I795" s="2" t="str">
        <f>IF(Iterations[[#This Row],[Step]] =current_step, current_c,IF(Iterations[[#This Row],[Step]] &gt; current_step, "",Iterations[[#This Row],[c]]))</f>
        <v/>
      </c>
      <c r="J795" s="2" t="str">
        <f>IF(Iterations[[#This Row],[Step]] =current_step, current_d,IF(Iterations[[#This Row],[Step]] &gt; current_step, "",Iterations[[#This Row],[d]]))</f>
        <v/>
      </c>
      <c r="K795" s="2" t="str">
        <f>IF(Iterations[[#This Row],[Step]] =current_step, current_e,IF(Iterations[[#This Row],[Step]] &gt; current_step, "",Iterations[[#This Row],[e]]))</f>
        <v/>
      </c>
      <c r="L795" s="2" t="str">
        <f>IF(Iterations[[#This Row],[Step]] =current_step, current_Total_Loss,IF(Iterations[[#This Row],[Step]] &gt; current_step, "",Iterations[[#This Row],[Total Loss]]))</f>
        <v/>
      </c>
      <c r="M795" s="6" t="s">
        <v>27</v>
      </c>
      <c r="N795" s="2" t="str">
        <f>IF(Iterations[[#This Row],[Step]] =current_step, current_Grad_a,IF(Iterations[[#This Row],[Step]] &gt; current_step, "",Iterations[[#This Row],[Grad_a]]))</f>
        <v/>
      </c>
      <c r="O795" s="2" t="str">
        <f>IF(Iterations[[#This Row],[Step]] =current_step, current_Grad_b,IF(Iterations[[#This Row],[Step]] &gt; current_step, "",Iterations[[#This Row],[Grad_b]]))</f>
        <v/>
      </c>
      <c r="P795" s="2" t="str">
        <f>IF(Iterations[[#This Row],[Step]] =current_step, current_Grad_c,IF(Iterations[[#This Row],[Step]] &gt; current_step, "",Iterations[[#This Row],[Grad_c]]))</f>
        <v/>
      </c>
      <c r="Q795" s="2" t="str">
        <f>IF(Iterations[[#This Row],[Step]] =current_step, current_Grad_d,IF(Iterations[[#This Row],[Step]] &gt; current_step, "",Iterations[[#This Row],[Grad_d]]))</f>
        <v/>
      </c>
      <c r="R795" s="2" t="str">
        <f>IF(Iterations[[#This Row],[Step]] =current_step, current_Grad_e,IF(Iterations[[#This Row],[Step]] &gt; current_step, "",Iterations[[#This Row],[Grad_e]]))</f>
        <v/>
      </c>
    </row>
    <row r="796" spans="6:18" x14ac:dyDescent="0.3">
      <c r="F796" s="2">
        <f t="shared" si="14"/>
        <v>779</v>
      </c>
      <c r="G796" s="2" t="str">
        <f>IF(Iterations[[#This Row],[Step]] =current_step, current_a,IF(Iterations[[#This Row],[Step]] &gt; current_step, "",Iterations[[#This Row],[a]]))</f>
        <v/>
      </c>
      <c r="H796" s="2" t="str">
        <f>IF(Iterations[[#This Row],[Step]] =current_step, current_b,IF(Iterations[[#This Row],[Step]] &gt; current_step, "",Iterations[[#This Row],[b]]))</f>
        <v/>
      </c>
      <c r="I796" s="2" t="str">
        <f>IF(Iterations[[#This Row],[Step]] =current_step, current_c,IF(Iterations[[#This Row],[Step]] &gt; current_step, "",Iterations[[#This Row],[c]]))</f>
        <v/>
      </c>
      <c r="J796" s="2" t="str">
        <f>IF(Iterations[[#This Row],[Step]] =current_step, current_d,IF(Iterations[[#This Row],[Step]] &gt; current_step, "",Iterations[[#This Row],[d]]))</f>
        <v/>
      </c>
      <c r="K796" s="2" t="str">
        <f>IF(Iterations[[#This Row],[Step]] =current_step, current_e,IF(Iterations[[#This Row],[Step]] &gt; current_step, "",Iterations[[#This Row],[e]]))</f>
        <v/>
      </c>
      <c r="L796" s="2" t="str">
        <f>IF(Iterations[[#This Row],[Step]] =current_step, current_Total_Loss,IF(Iterations[[#This Row],[Step]] &gt; current_step, "",Iterations[[#This Row],[Total Loss]]))</f>
        <v/>
      </c>
      <c r="M796" s="6" t="s">
        <v>27</v>
      </c>
      <c r="N796" s="2" t="str">
        <f>IF(Iterations[[#This Row],[Step]] =current_step, current_Grad_a,IF(Iterations[[#This Row],[Step]] &gt; current_step, "",Iterations[[#This Row],[Grad_a]]))</f>
        <v/>
      </c>
      <c r="O796" s="2" t="str">
        <f>IF(Iterations[[#This Row],[Step]] =current_step, current_Grad_b,IF(Iterations[[#This Row],[Step]] &gt; current_step, "",Iterations[[#This Row],[Grad_b]]))</f>
        <v/>
      </c>
      <c r="P796" s="2" t="str">
        <f>IF(Iterations[[#This Row],[Step]] =current_step, current_Grad_c,IF(Iterations[[#This Row],[Step]] &gt; current_step, "",Iterations[[#This Row],[Grad_c]]))</f>
        <v/>
      </c>
      <c r="Q796" s="2" t="str">
        <f>IF(Iterations[[#This Row],[Step]] =current_step, current_Grad_d,IF(Iterations[[#This Row],[Step]] &gt; current_step, "",Iterations[[#This Row],[Grad_d]]))</f>
        <v/>
      </c>
      <c r="R796" s="2" t="str">
        <f>IF(Iterations[[#This Row],[Step]] =current_step, current_Grad_e,IF(Iterations[[#This Row],[Step]] &gt; current_step, "",Iterations[[#This Row],[Grad_e]]))</f>
        <v/>
      </c>
    </row>
    <row r="797" spans="6:18" x14ac:dyDescent="0.3">
      <c r="F797" s="2">
        <f t="shared" si="14"/>
        <v>780</v>
      </c>
      <c r="G797" s="2" t="str">
        <f>IF(Iterations[[#This Row],[Step]] =current_step, current_a,IF(Iterations[[#This Row],[Step]] &gt; current_step, "",Iterations[[#This Row],[a]]))</f>
        <v/>
      </c>
      <c r="H797" s="2" t="str">
        <f>IF(Iterations[[#This Row],[Step]] =current_step, current_b,IF(Iterations[[#This Row],[Step]] &gt; current_step, "",Iterations[[#This Row],[b]]))</f>
        <v/>
      </c>
      <c r="I797" s="2" t="str">
        <f>IF(Iterations[[#This Row],[Step]] =current_step, current_c,IF(Iterations[[#This Row],[Step]] &gt; current_step, "",Iterations[[#This Row],[c]]))</f>
        <v/>
      </c>
      <c r="J797" s="2" t="str">
        <f>IF(Iterations[[#This Row],[Step]] =current_step, current_d,IF(Iterations[[#This Row],[Step]] &gt; current_step, "",Iterations[[#This Row],[d]]))</f>
        <v/>
      </c>
      <c r="K797" s="2" t="str">
        <f>IF(Iterations[[#This Row],[Step]] =current_step, current_e,IF(Iterations[[#This Row],[Step]] &gt; current_step, "",Iterations[[#This Row],[e]]))</f>
        <v/>
      </c>
      <c r="L797" s="2" t="str">
        <f>IF(Iterations[[#This Row],[Step]] =current_step, current_Total_Loss,IF(Iterations[[#This Row],[Step]] &gt; current_step, "",Iterations[[#This Row],[Total Loss]]))</f>
        <v/>
      </c>
      <c r="M797" s="6" t="s">
        <v>27</v>
      </c>
      <c r="N797" s="2" t="str">
        <f>IF(Iterations[[#This Row],[Step]] =current_step, current_Grad_a,IF(Iterations[[#This Row],[Step]] &gt; current_step, "",Iterations[[#This Row],[Grad_a]]))</f>
        <v/>
      </c>
      <c r="O797" s="2" t="str">
        <f>IF(Iterations[[#This Row],[Step]] =current_step, current_Grad_b,IF(Iterations[[#This Row],[Step]] &gt; current_step, "",Iterations[[#This Row],[Grad_b]]))</f>
        <v/>
      </c>
      <c r="P797" s="2" t="str">
        <f>IF(Iterations[[#This Row],[Step]] =current_step, current_Grad_c,IF(Iterations[[#This Row],[Step]] &gt; current_step, "",Iterations[[#This Row],[Grad_c]]))</f>
        <v/>
      </c>
      <c r="Q797" s="2" t="str">
        <f>IF(Iterations[[#This Row],[Step]] =current_step, current_Grad_d,IF(Iterations[[#This Row],[Step]] &gt; current_step, "",Iterations[[#This Row],[Grad_d]]))</f>
        <v/>
      </c>
      <c r="R797" s="2" t="str">
        <f>IF(Iterations[[#This Row],[Step]] =current_step, current_Grad_e,IF(Iterations[[#This Row],[Step]] &gt; current_step, "",Iterations[[#This Row],[Grad_e]]))</f>
        <v/>
      </c>
    </row>
    <row r="798" spans="6:18" x14ac:dyDescent="0.3">
      <c r="F798" s="2">
        <f t="shared" si="14"/>
        <v>781</v>
      </c>
      <c r="G798" s="2" t="str">
        <f>IF(Iterations[[#This Row],[Step]] =current_step, current_a,IF(Iterations[[#This Row],[Step]] &gt; current_step, "",Iterations[[#This Row],[a]]))</f>
        <v/>
      </c>
      <c r="H798" s="2" t="str">
        <f>IF(Iterations[[#This Row],[Step]] =current_step, current_b,IF(Iterations[[#This Row],[Step]] &gt; current_step, "",Iterations[[#This Row],[b]]))</f>
        <v/>
      </c>
      <c r="I798" s="2" t="str">
        <f>IF(Iterations[[#This Row],[Step]] =current_step, current_c,IF(Iterations[[#This Row],[Step]] &gt; current_step, "",Iterations[[#This Row],[c]]))</f>
        <v/>
      </c>
      <c r="J798" s="2" t="str">
        <f>IF(Iterations[[#This Row],[Step]] =current_step, current_d,IF(Iterations[[#This Row],[Step]] &gt; current_step, "",Iterations[[#This Row],[d]]))</f>
        <v/>
      </c>
      <c r="K798" s="2" t="str">
        <f>IF(Iterations[[#This Row],[Step]] =current_step, current_e,IF(Iterations[[#This Row],[Step]] &gt; current_step, "",Iterations[[#This Row],[e]]))</f>
        <v/>
      </c>
      <c r="L798" s="2" t="str">
        <f>IF(Iterations[[#This Row],[Step]] =current_step, current_Total_Loss,IF(Iterations[[#This Row],[Step]] &gt; current_step, "",Iterations[[#This Row],[Total Loss]]))</f>
        <v/>
      </c>
      <c r="M798" s="6" t="s">
        <v>27</v>
      </c>
      <c r="N798" s="2" t="str">
        <f>IF(Iterations[[#This Row],[Step]] =current_step, current_Grad_a,IF(Iterations[[#This Row],[Step]] &gt; current_step, "",Iterations[[#This Row],[Grad_a]]))</f>
        <v/>
      </c>
      <c r="O798" s="2" t="str">
        <f>IF(Iterations[[#This Row],[Step]] =current_step, current_Grad_b,IF(Iterations[[#This Row],[Step]] &gt; current_step, "",Iterations[[#This Row],[Grad_b]]))</f>
        <v/>
      </c>
      <c r="P798" s="2" t="str">
        <f>IF(Iterations[[#This Row],[Step]] =current_step, current_Grad_c,IF(Iterations[[#This Row],[Step]] &gt; current_step, "",Iterations[[#This Row],[Grad_c]]))</f>
        <v/>
      </c>
      <c r="Q798" s="2" t="str">
        <f>IF(Iterations[[#This Row],[Step]] =current_step, current_Grad_d,IF(Iterations[[#This Row],[Step]] &gt; current_step, "",Iterations[[#This Row],[Grad_d]]))</f>
        <v/>
      </c>
      <c r="R798" s="2" t="str">
        <f>IF(Iterations[[#This Row],[Step]] =current_step, current_Grad_e,IF(Iterations[[#This Row],[Step]] &gt; current_step, "",Iterations[[#This Row],[Grad_e]]))</f>
        <v/>
      </c>
    </row>
    <row r="799" spans="6:18" x14ac:dyDescent="0.3">
      <c r="F799" s="2">
        <f t="shared" si="14"/>
        <v>782</v>
      </c>
      <c r="G799" s="2" t="str">
        <f>IF(Iterations[[#This Row],[Step]] =current_step, current_a,IF(Iterations[[#This Row],[Step]] &gt; current_step, "",Iterations[[#This Row],[a]]))</f>
        <v/>
      </c>
      <c r="H799" s="2" t="str">
        <f>IF(Iterations[[#This Row],[Step]] =current_step, current_b,IF(Iterations[[#This Row],[Step]] &gt; current_step, "",Iterations[[#This Row],[b]]))</f>
        <v/>
      </c>
      <c r="I799" s="2" t="str">
        <f>IF(Iterations[[#This Row],[Step]] =current_step, current_c,IF(Iterations[[#This Row],[Step]] &gt; current_step, "",Iterations[[#This Row],[c]]))</f>
        <v/>
      </c>
      <c r="J799" s="2" t="str">
        <f>IF(Iterations[[#This Row],[Step]] =current_step, current_d,IF(Iterations[[#This Row],[Step]] &gt; current_step, "",Iterations[[#This Row],[d]]))</f>
        <v/>
      </c>
      <c r="K799" s="2" t="str">
        <f>IF(Iterations[[#This Row],[Step]] =current_step, current_e,IF(Iterations[[#This Row],[Step]] &gt; current_step, "",Iterations[[#This Row],[e]]))</f>
        <v/>
      </c>
      <c r="L799" s="2" t="str">
        <f>IF(Iterations[[#This Row],[Step]] =current_step, current_Total_Loss,IF(Iterations[[#This Row],[Step]] &gt; current_step, "",Iterations[[#This Row],[Total Loss]]))</f>
        <v/>
      </c>
      <c r="M799" s="6" t="s">
        <v>27</v>
      </c>
      <c r="N799" s="2" t="str">
        <f>IF(Iterations[[#This Row],[Step]] =current_step, current_Grad_a,IF(Iterations[[#This Row],[Step]] &gt; current_step, "",Iterations[[#This Row],[Grad_a]]))</f>
        <v/>
      </c>
      <c r="O799" s="2" t="str">
        <f>IF(Iterations[[#This Row],[Step]] =current_step, current_Grad_b,IF(Iterations[[#This Row],[Step]] &gt; current_step, "",Iterations[[#This Row],[Grad_b]]))</f>
        <v/>
      </c>
      <c r="P799" s="2" t="str">
        <f>IF(Iterations[[#This Row],[Step]] =current_step, current_Grad_c,IF(Iterations[[#This Row],[Step]] &gt; current_step, "",Iterations[[#This Row],[Grad_c]]))</f>
        <v/>
      </c>
      <c r="Q799" s="2" t="str">
        <f>IF(Iterations[[#This Row],[Step]] =current_step, current_Grad_d,IF(Iterations[[#This Row],[Step]] &gt; current_step, "",Iterations[[#This Row],[Grad_d]]))</f>
        <v/>
      </c>
      <c r="R799" s="2" t="str">
        <f>IF(Iterations[[#This Row],[Step]] =current_step, current_Grad_e,IF(Iterations[[#This Row],[Step]] &gt; current_step, "",Iterations[[#This Row],[Grad_e]]))</f>
        <v/>
      </c>
    </row>
    <row r="800" spans="6:18" x14ac:dyDescent="0.3">
      <c r="F800" s="2">
        <f t="shared" si="14"/>
        <v>783</v>
      </c>
      <c r="G800" s="2" t="str">
        <f>IF(Iterations[[#This Row],[Step]] =current_step, current_a,IF(Iterations[[#This Row],[Step]] &gt; current_step, "",Iterations[[#This Row],[a]]))</f>
        <v/>
      </c>
      <c r="H800" s="2" t="str">
        <f>IF(Iterations[[#This Row],[Step]] =current_step, current_b,IF(Iterations[[#This Row],[Step]] &gt; current_step, "",Iterations[[#This Row],[b]]))</f>
        <v/>
      </c>
      <c r="I800" s="2" t="str">
        <f>IF(Iterations[[#This Row],[Step]] =current_step, current_c,IF(Iterations[[#This Row],[Step]] &gt; current_step, "",Iterations[[#This Row],[c]]))</f>
        <v/>
      </c>
      <c r="J800" s="2" t="str">
        <f>IF(Iterations[[#This Row],[Step]] =current_step, current_d,IF(Iterations[[#This Row],[Step]] &gt; current_step, "",Iterations[[#This Row],[d]]))</f>
        <v/>
      </c>
      <c r="K800" s="2" t="str">
        <f>IF(Iterations[[#This Row],[Step]] =current_step, current_e,IF(Iterations[[#This Row],[Step]] &gt; current_step, "",Iterations[[#This Row],[e]]))</f>
        <v/>
      </c>
      <c r="L800" s="2" t="str">
        <f>IF(Iterations[[#This Row],[Step]] =current_step, current_Total_Loss,IF(Iterations[[#This Row],[Step]] &gt; current_step, "",Iterations[[#This Row],[Total Loss]]))</f>
        <v/>
      </c>
      <c r="M800" s="6" t="s">
        <v>27</v>
      </c>
      <c r="N800" s="2" t="str">
        <f>IF(Iterations[[#This Row],[Step]] =current_step, current_Grad_a,IF(Iterations[[#This Row],[Step]] &gt; current_step, "",Iterations[[#This Row],[Grad_a]]))</f>
        <v/>
      </c>
      <c r="O800" s="2" t="str">
        <f>IF(Iterations[[#This Row],[Step]] =current_step, current_Grad_b,IF(Iterations[[#This Row],[Step]] &gt; current_step, "",Iterations[[#This Row],[Grad_b]]))</f>
        <v/>
      </c>
      <c r="P800" s="2" t="str">
        <f>IF(Iterations[[#This Row],[Step]] =current_step, current_Grad_c,IF(Iterations[[#This Row],[Step]] &gt; current_step, "",Iterations[[#This Row],[Grad_c]]))</f>
        <v/>
      </c>
      <c r="Q800" s="2" t="str">
        <f>IF(Iterations[[#This Row],[Step]] =current_step, current_Grad_d,IF(Iterations[[#This Row],[Step]] &gt; current_step, "",Iterations[[#This Row],[Grad_d]]))</f>
        <v/>
      </c>
      <c r="R800" s="2" t="str">
        <f>IF(Iterations[[#This Row],[Step]] =current_step, current_Grad_e,IF(Iterations[[#This Row],[Step]] &gt; current_step, "",Iterations[[#This Row],[Grad_e]]))</f>
        <v/>
      </c>
    </row>
    <row r="801" spans="6:18" x14ac:dyDescent="0.3">
      <c r="F801" s="2">
        <f t="shared" si="14"/>
        <v>784</v>
      </c>
      <c r="G801" s="2" t="str">
        <f>IF(Iterations[[#This Row],[Step]] =current_step, current_a,IF(Iterations[[#This Row],[Step]] &gt; current_step, "",Iterations[[#This Row],[a]]))</f>
        <v/>
      </c>
      <c r="H801" s="2" t="str">
        <f>IF(Iterations[[#This Row],[Step]] =current_step, current_b,IF(Iterations[[#This Row],[Step]] &gt; current_step, "",Iterations[[#This Row],[b]]))</f>
        <v/>
      </c>
      <c r="I801" s="2" t="str">
        <f>IF(Iterations[[#This Row],[Step]] =current_step, current_c,IF(Iterations[[#This Row],[Step]] &gt; current_step, "",Iterations[[#This Row],[c]]))</f>
        <v/>
      </c>
      <c r="J801" s="2" t="str">
        <f>IF(Iterations[[#This Row],[Step]] =current_step, current_d,IF(Iterations[[#This Row],[Step]] &gt; current_step, "",Iterations[[#This Row],[d]]))</f>
        <v/>
      </c>
      <c r="K801" s="2" t="str">
        <f>IF(Iterations[[#This Row],[Step]] =current_step, current_e,IF(Iterations[[#This Row],[Step]] &gt; current_step, "",Iterations[[#This Row],[e]]))</f>
        <v/>
      </c>
      <c r="L801" s="2" t="str">
        <f>IF(Iterations[[#This Row],[Step]] =current_step, current_Total_Loss,IF(Iterations[[#This Row],[Step]] &gt; current_step, "",Iterations[[#This Row],[Total Loss]]))</f>
        <v/>
      </c>
      <c r="M801" s="6" t="s">
        <v>27</v>
      </c>
      <c r="N801" s="2" t="str">
        <f>IF(Iterations[[#This Row],[Step]] =current_step, current_Grad_a,IF(Iterations[[#This Row],[Step]] &gt; current_step, "",Iterations[[#This Row],[Grad_a]]))</f>
        <v/>
      </c>
      <c r="O801" s="2" t="str">
        <f>IF(Iterations[[#This Row],[Step]] =current_step, current_Grad_b,IF(Iterations[[#This Row],[Step]] &gt; current_step, "",Iterations[[#This Row],[Grad_b]]))</f>
        <v/>
      </c>
      <c r="P801" s="2" t="str">
        <f>IF(Iterations[[#This Row],[Step]] =current_step, current_Grad_c,IF(Iterations[[#This Row],[Step]] &gt; current_step, "",Iterations[[#This Row],[Grad_c]]))</f>
        <v/>
      </c>
      <c r="Q801" s="2" t="str">
        <f>IF(Iterations[[#This Row],[Step]] =current_step, current_Grad_d,IF(Iterations[[#This Row],[Step]] &gt; current_step, "",Iterations[[#This Row],[Grad_d]]))</f>
        <v/>
      </c>
      <c r="R801" s="2" t="str">
        <f>IF(Iterations[[#This Row],[Step]] =current_step, current_Grad_e,IF(Iterations[[#This Row],[Step]] &gt; current_step, "",Iterations[[#This Row],[Grad_e]]))</f>
        <v/>
      </c>
    </row>
    <row r="802" spans="6:18" x14ac:dyDescent="0.3">
      <c r="F802" s="2">
        <f t="shared" si="14"/>
        <v>785</v>
      </c>
      <c r="G802" s="2" t="str">
        <f>IF(Iterations[[#This Row],[Step]] =current_step, current_a,IF(Iterations[[#This Row],[Step]] &gt; current_step, "",Iterations[[#This Row],[a]]))</f>
        <v/>
      </c>
      <c r="H802" s="2" t="str">
        <f>IF(Iterations[[#This Row],[Step]] =current_step, current_b,IF(Iterations[[#This Row],[Step]] &gt; current_step, "",Iterations[[#This Row],[b]]))</f>
        <v/>
      </c>
      <c r="I802" s="2" t="str">
        <f>IF(Iterations[[#This Row],[Step]] =current_step, current_c,IF(Iterations[[#This Row],[Step]] &gt; current_step, "",Iterations[[#This Row],[c]]))</f>
        <v/>
      </c>
      <c r="J802" s="2" t="str">
        <f>IF(Iterations[[#This Row],[Step]] =current_step, current_d,IF(Iterations[[#This Row],[Step]] &gt; current_step, "",Iterations[[#This Row],[d]]))</f>
        <v/>
      </c>
      <c r="K802" s="2" t="str">
        <f>IF(Iterations[[#This Row],[Step]] =current_step, current_e,IF(Iterations[[#This Row],[Step]] &gt; current_step, "",Iterations[[#This Row],[e]]))</f>
        <v/>
      </c>
      <c r="L802" s="2" t="str">
        <f>IF(Iterations[[#This Row],[Step]] =current_step, current_Total_Loss,IF(Iterations[[#This Row],[Step]] &gt; current_step, "",Iterations[[#This Row],[Total Loss]]))</f>
        <v/>
      </c>
      <c r="M802" s="6" t="s">
        <v>27</v>
      </c>
      <c r="N802" s="2" t="str">
        <f>IF(Iterations[[#This Row],[Step]] =current_step, current_Grad_a,IF(Iterations[[#This Row],[Step]] &gt; current_step, "",Iterations[[#This Row],[Grad_a]]))</f>
        <v/>
      </c>
      <c r="O802" s="2" t="str">
        <f>IF(Iterations[[#This Row],[Step]] =current_step, current_Grad_b,IF(Iterations[[#This Row],[Step]] &gt; current_step, "",Iterations[[#This Row],[Grad_b]]))</f>
        <v/>
      </c>
      <c r="P802" s="2" t="str">
        <f>IF(Iterations[[#This Row],[Step]] =current_step, current_Grad_c,IF(Iterations[[#This Row],[Step]] &gt; current_step, "",Iterations[[#This Row],[Grad_c]]))</f>
        <v/>
      </c>
      <c r="Q802" s="2" t="str">
        <f>IF(Iterations[[#This Row],[Step]] =current_step, current_Grad_d,IF(Iterations[[#This Row],[Step]] &gt; current_step, "",Iterations[[#This Row],[Grad_d]]))</f>
        <v/>
      </c>
      <c r="R802" s="2" t="str">
        <f>IF(Iterations[[#This Row],[Step]] =current_step, current_Grad_e,IF(Iterations[[#This Row],[Step]] &gt; current_step, "",Iterations[[#This Row],[Grad_e]]))</f>
        <v/>
      </c>
    </row>
    <row r="803" spans="6:18" x14ac:dyDescent="0.3">
      <c r="F803" s="2">
        <f t="shared" si="14"/>
        <v>786</v>
      </c>
      <c r="G803" s="2" t="str">
        <f>IF(Iterations[[#This Row],[Step]] =current_step, current_a,IF(Iterations[[#This Row],[Step]] &gt; current_step, "",Iterations[[#This Row],[a]]))</f>
        <v/>
      </c>
      <c r="H803" s="2" t="str">
        <f>IF(Iterations[[#This Row],[Step]] =current_step, current_b,IF(Iterations[[#This Row],[Step]] &gt; current_step, "",Iterations[[#This Row],[b]]))</f>
        <v/>
      </c>
      <c r="I803" s="2" t="str">
        <f>IF(Iterations[[#This Row],[Step]] =current_step, current_c,IF(Iterations[[#This Row],[Step]] &gt; current_step, "",Iterations[[#This Row],[c]]))</f>
        <v/>
      </c>
      <c r="J803" s="2" t="str">
        <f>IF(Iterations[[#This Row],[Step]] =current_step, current_d,IF(Iterations[[#This Row],[Step]] &gt; current_step, "",Iterations[[#This Row],[d]]))</f>
        <v/>
      </c>
      <c r="K803" s="2" t="str">
        <f>IF(Iterations[[#This Row],[Step]] =current_step, current_e,IF(Iterations[[#This Row],[Step]] &gt; current_step, "",Iterations[[#This Row],[e]]))</f>
        <v/>
      </c>
      <c r="L803" s="2" t="str">
        <f>IF(Iterations[[#This Row],[Step]] =current_step, current_Total_Loss,IF(Iterations[[#This Row],[Step]] &gt; current_step, "",Iterations[[#This Row],[Total Loss]]))</f>
        <v/>
      </c>
      <c r="M803" s="6" t="s">
        <v>27</v>
      </c>
      <c r="N803" s="2" t="str">
        <f>IF(Iterations[[#This Row],[Step]] =current_step, current_Grad_a,IF(Iterations[[#This Row],[Step]] &gt; current_step, "",Iterations[[#This Row],[Grad_a]]))</f>
        <v/>
      </c>
      <c r="O803" s="2" t="str">
        <f>IF(Iterations[[#This Row],[Step]] =current_step, current_Grad_b,IF(Iterations[[#This Row],[Step]] &gt; current_step, "",Iterations[[#This Row],[Grad_b]]))</f>
        <v/>
      </c>
      <c r="P803" s="2" t="str">
        <f>IF(Iterations[[#This Row],[Step]] =current_step, current_Grad_c,IF(Iterations[[#This Row],[Step]] &gt; current_step, "",Iterations[[#This Row],[Grad_c]]))</f>
        <v/>
      </c>
      <c r="Q803" s="2" t="str">
        <f>IF(Iterations[[#This Row],[Step]] =current_step, current_Grad_d,IF(Iterations[[#This Row],[Step]] &gt; current_step, "",Iterations[[#This Row],[Grad_d]]))</f>
        <v/>
      </c>
      <c r="R803" s="2" t="str">
        <f>IF(Iterations[[#This Row],[Step]] =current_step, current_Grad_e,IF(Iterations[[#This Row],[Step]] &gt; current_step, "",Iterations[[#This Row],[Grad_e]]))</f>
        <v/>
      </c>
    </row>
    <row r="804" spans="6:18" x14ac:dyDescent="0.3">
      <c r="F804" s="2">
        <f t="shared" si="14"/>
        <v>787</v>
      </c>
      <c r="G804" s="2" t="str">
        <f>IF(Iterations[[#This Row],[Step]] =current_step, current_a,IF(Iterations[[#This Row],[Step]] &gt; current_step, "",Iterations[[#This Row],[a]]))</f>
        <v/>
      </c>
      <c r="H804" s="2" t="str">
        <f>IF(Iterations[[#This Row],[Step]] =current_step, current_b,IF(Iterations[[#This Row],[Step]] &gt; current_step, "",Iterations[[#This Row],[b]]))</f>
        <v/>
      </c>
      <c r="I804" s="2" t="str">
        <f>IF(Iterations[[#This Row],[Step]] =current_step, current_c,IF(Iterations[[#This Row],[Step]] &gt; current_step, "",Iterations[[#This Row],[c]]))</f>
        <v/>
      </c>
      <c r="J804" s="2" t="str">
        <f>IF(Iterations[[#This Row],[Step]] =current_step, current_d,IF(Iterations[[#This Row],[Step]] &gt; current_step, "",Iterations[[#This Row],[d]]))</f>
        <v/>
      </c>
      <c r="K804" s="2" t="str">
        <f>IF(Iterations[[#This Row],[Step]] =current_step, current_e,IF(Iterations[[#This Row],[Step]] &gt; current_step, "",Iterations[[#This Row],[e]]))</f>
        <v/>
      </c>
      <c r="L804" s="2" t="str">
        <f>IF(Iterations[[#This Row],[Step]] =current_step, current_Total_Loss,IF(Iterations[[#This Row],[Step]] &gt; current_step, "",Iterations[[#This Row],[Total Loss]]))</f>
        <v/>
      </c>
      <c r="M804" s="6" t="s">
        <v>27</v>
      </c>
      <c r="N804" s="2" t="str">
        <f>IF(Iterations[[#This Row],[Step]] =current_step, current_Grad_a,IF(Iterations[[#This Row],[Step]] &gt; current_step, "",Iterations[[#This Row],[Grad_a]]))</f>
        <v/>
      </c>
      <c r="O804" s="2" t="str">
        <f>IF(Iterations[[#This Row],[Step]] =current_step, current_Grad_b,IF(Iterations[[#This Row],[Step]] &gt; current_step, "",Iterations[[#This Row],[Grad_b]]))</f>
        <v/>
      </c>
      <c r="P804" s="2" t="str">
        <f>IF(Iterations[[#This Row],[Step]] =current_step, current_Grad_c,IF(Iterations[[#This Row],[Step]] &gt; current_step, "",Iterations[[#This Row],[Grad_c]]))</f>
        <v/>
      </c>
      <c r="Q804" s="2" t="str">
        <f>IF(Iterations[[#This Row],[Step]] =current_step, current_Grad_d,IF(Iterations[[#This Row],[Step]] &gt; current_step, "",Iterations[[#This Row],[Grad_d]]))</f>
        <v/>
      </c>
      <c r="R804" s="2" t="str">
        <f>IF(Iterations[[#This Row],[Step]] =current_step, current_Grad_e,IF(Iterations[[#This Row],[Step]] &gt; current_step, "",Iterations[[#This Row],[Grad_e]]))</f>
        <v/>
      </c>
    </row>
    <row r="805" spans="6:18" x14ac:dyDescent="0.3">
      <c r="F805" s="2">
        <f t="shared" si="14"/>
        <v>788</v>
      </c>
      <c r="G805" s="2" t="str">
        <f>IF(Iterations[[#This Row],[Step]] =current_step, current_a,IF(Iterations[[#This Row],[Step]] &gt; current_step, "",Iterations[[#This Row],[a]]))</f>
        <v/>
      </c>
      <c r="H805" s="2" t="str">
        <f>IF(Iterations[[#This Row],[Step]] =current_step, current_b,IF(Iterations[[#This Row],[Step]] &gt; current_step, "",Iterations[[#This Row],[b]]))</f>
        <v/>
      </c>
      <c r="I805" s="2" t="str">
        <f>IF(Iterations[[#This Row],[Step]] =current_step, current_c,IF(Iterations[[#This Row],[Step]] &gt; current_step, "",Iterations[[#This Row],[c]]))</f>
        <v/>
      </c>
      <c r="J805" s="2" t="str">
        <f>IF(Iterations[[#This Row],[Step]] =current_step, current_d,IF(Iterations[[#This Row],[Step]] &gt; current_step, "",Iterations[[#This Row],[d]]))</f>
        <v/>
      </c>
      <c r="K805" s="2" t="str">
        <f>IF(Iterations[[#This Row],[Step]] =current_step, current_e,IF(Iterations[[#This Row],[Step]] &gt; current_step, "",Iterations[[#This Row],[e]]))</f>
        <v/>
      </c>
      <c r="L805" s="2" t="str">
        <f>IF(Iterations[[#This Row],[Step]] =current_step, current_Total_Loss,IF(Iterations[[#This Row],[Step]] &gt; current_step, "",Iterations[[#This Row],[Total Loss]]))</f>
        <v/>
      </c>
      <c r="M805" s="6" t="s">
        <v>27</v>
      </c>
      <c r="N805" s="2" t="str">
        <f>IF(Iterations[[#This Row],[Step]] =current_step, current_Grad_a,IF(Iterations[[#This Row],[Step]] &gt; current_step, "",Iterations[[#This Row],[Grad_a]]))</f>
        <v/>
      </c>
      <c r="O805" s="2" t="str">
        <f>IF(Iterations[[#This Row],[Step]] =current_step, current_Grad_b,IF(Iterations[[#This Row],[Step]] &gt; current_step, "",Iterations[[#This Row],[Grad_b]]))</f>
        <v/>
      </c>
      <c r="P805" s="2" t="str">
        <f>IF(Iterations[[#This Row],[Step]] =current_step, current_Grad_c,IF(Iterations[[#This Row],[Step]] &gt; current_step, "",Iterations[[#This Row],[Grad_c]]))</f>
        <v/>
      </c>
      <c r="Q805" s="2" t="str">
        <f>IF(Iterations[[#This Row],[Step]] =current_step, current_Grad_d,IF(Iterations[[#This Row],[Step]] &gt; current_step, "",Iterations[[#This Row],[Grad_d]]))</f>
        <v/>
      </c>
      <c r="R805" s="2" t="str">
        <f>IF(Iterations[[#This Row],[Step]] =current_step, current_Grad_e,IF(Iterations[[#This Row],[Step]] &gt; current_step, "",Iterations[[#This Row],[Grad_e]]))</f>
        <v/>
      </c>
    </row>
    <row r="806" spans="6:18" x14ac:dyDescent="0.3">
      <c r="F806" s="2">
        <f t="shared" si="14"/>
        <v>789</v>
      </c>
      <c r="G806" s="2" t="str">
        <f>IF(Iterations[[#This Row],[Step]] =current_step, current_a,IF(Iterations[[#This Row],[Step]] &gt; current_step, "",Iterations[[#This Row],[a]]))</f>
        <v/>
      </c>
      <c r="H806" s="2" t="str">
        <f>IF(Iterations[[#This Row],[Step]] =current_step, current_b,IF(Iterations[[#This Row],[Step]] &gt; current_step, "",Iterations[[#This Row],[b]]))</f>
        <v/>
      </c>
      <c r="I806" s="2" t="str">
        <f>IF(Iterations[[#This Row],[Step]] =current_step, current_c,IF(Iterations[[#This Row],[Step]] &gt; current_step, "",Iterations[[#This Row],[c]]))</f>
        <v/>
      </c>
      <c r="J806" s="2" t="str">
        <f>IF(Iterations[[#This Row],[Step]] =current_step, current_d,IF(Iterations[[#This Row],[Step]] &gt; current_step, "",Iterations[[#This Row],[d]]))</f>
        <v/>
      </c>
      <c r="K806" s="2" t="str">
        <f>IF(Iterations[[#This Row],[Step]] =current_step, current_e,IF(Iterations[[#This Row],[Step]] &gt; current_step, "",Iterations[[#This Row],[e]]))</f>
        <v/>
      </c>
      <c r="L806" s="2" t="str">
        <f>IF(Iterations[[#This Row],[Step]] =current_step, current_Total_Loss,IF(Iterations[[#This Row],[Step]] &gt; current_step, "",Iterations[[#This Row],[Total Loss]]))</f>
        <v/>
      </c>
      <c r="M806" s="6" t="s">
        <v>27</v>
      </c>
      <c r="N806" s="2" t="str">
        <f>IF(Iterations[[#This Row],[Step]] =current_step, current_Grad_a,IF(Iterations[[#This Row],[Step]] &gt; current_step, "",Iterations[[#This Row],[Grad_a]]))</f>
        <v/>
      </c>
      <c r="O806" s="2" t="str">
        <f>IF(Iterations[[#This Row],[Step]] =current_step, current_Grad_b,IF(Iterations[[#This Row],[Step]] &gt; current_step, "",Iterations[[#This Row],[Grad_b]]))</f>
        <v/>
      </c>
      <c r="P806" s="2" t="str">
        <f>IF(Iterations[[#This Row],[Step]] =current_step, current_Grad_c,IF(Iterations[[#This Row],[Step]] &gt; current_step, "",Iterations[[#This Row],[Grad_c]]))</f>
        <v/>
      </c>
      <c r="Q806" s="2" t="str">
        <f>IF(Iterations[[#This Row],[Step]] =current_step, current_Grad_d,IF(Iterations[[#This Row],[Step]] &gt; current_step, "",Iterations[[#This Row],[Grad_d]]))</f>
        <v/>
      </c>
      <c r="R806" s="2" t="str">
        <f>IF(Iterations[[#This Row],[Step]] =current_step, current_Grad_e,IF(Iterations[[#This Row],[Step]] &gt; current_step, "",Iterations[[#This Row],[Grad_e]]))</f>
        <v/>
      </c>
    </row>
    <row r="807" spans="6:18" x14ac:dyDescent="0.3">
      <c r="F807" s="2">
        <f t="shared" si="14"/>
        <v>790</v>
      </c>
      <c r="G807" s="2" t="str">
        <f>IF(Iterations[[#This Row],[Step]] =current_step, current_a,IF(Iterations[[#This Row],[Step]] &gt; current_step, "",Iterations[[#This Row],[a]]))</f>
        <v/>
      </c>
      <c r="H807" s="2" t="str">
        <f>IF(Iterations[[#This Row],[Step]] =current_step, current_b,IF(Iterations[[#This Row],[Step]] &gt; current_step, "",Iterations[[#This Row],[b]]))</f>
        <v/>
      </c>
      <c r="I807" s="2" t="str">
        <f>IF(Iterations[[#This Row],[Step]] =current_step, current_c,IF(Iterations[[#This Row],[Step]] &gt; current_step, "",Iterations[[#This Row],[c]]))</f>
        <v/>
      </c>
      <c r="J807" s="2" t="str">
        <f>IF(Iterations[[#This Row],[Step]] =current_step, current_d,IF(Iterations[[#This Row],[Step]] &gt; current_step, "",Iterations[[#This Row],[d]]))</f>
        <v/>
      </c>
      <c r="K807" s="2" t="str">
        <f>IF(Iterations[[#This Row],[Step]] =current_step, current_e,IF(Iterations[[#This Row],[Step]] &gt; current_step, "",Iterations[[#This Row],[e]]))</f>
        <v/>
      </c>
      <c r="L807" s="2" t="str">
        <f>IF(Iterations[[#This Row],[Step]] =current_step, current_Total_Loss,IF(Iterations[[#This Row],[Step]] &gt; current_step, "",Iterations[[#This Row],[Total Loss]]))</f>
        <v/>
      </c>
      <c r="M807" s="6" t="s">
        <v>27</v>
      </c>
      <c r="N807" s="2" t="str">
        <f>IF(Iterations[[#This Row],[Step]] =current_step, current_Grad_a,IF(Iterations[[#This Row],[Step]] &gt; current_step, "",Iterations[[#This Row],[Grad_a]]))</f>
        <v/>
      </c>
      <c r="O807" s="2" t="str">
        <f>IF(Iterations[[#This Row],[Step]] =current_step, current_Grad_b,IF(Iterations[[#This Row],[Step]] &gt; current_step, "",Iterations[[#This Row],[Grad_b]]))</f>
        <v/>
      </c>
      <c r="P807" s="2" t="str">
        <f>IF(Iterations[[#This Row],[Step]] =current_step, current_Grad_c,IF(Iterations[[#This Row],[Step]] &gt; current_step, "",Iterations[[#This Row],[Grad_c]]))</f>
        <v/>
      </c>
      <c r="Q807" s="2" t="str">
        <f>IF(Iterations[[#This Row],[Step]] =current_step, current_Grad_d,IF(Iterations[[#This Row],[Step]] &gt; current_step, "",Iterations[[#This Row],[Grad_d]]))</f>
        <v/>
      </c>
      <c r="R807" s="2" t="str">
        <f>IF(Iterations[[#This Row],[Step]] =current_step, current_Grad_e,IF(Iterations[[#This Row],[Step]] &gt; current_step, "",Iterations[[#This Row],[Grad_e]]))</f>
        <v/>
      </c>
    </row>
    <row r="808" spans="6:18" x14ac:dyDescent="0.3">
      <c r="F808" s="2">
        <f t="shared" si="14"/>
        <v>791</v>
      </c>
      <c r="G808" s="2" t="str">
        <f>IF(Iterations[[#This Row],[Step]] =current_step, current_a,IF(Iterations[[#This Row],[Step]] &gt; current_step, "",Iterations[[#This Row],[a]]))</f>
        <v/>
      </c>
      <c r="H808" s="2" t="str">
        <f>IF(Iterations[[#This Row],[Step]] =current_step, current_b,IF(Iterations[[#This Row],[Step]] &gt; current_step, "",Iterations[[#This Row],[b]]))</f>
        <v/>
      </c>
      <c r="I808" s="2" t="str">
        <f>IF(Iterations[[#This Row],[Step]] =current_step, current_c,IF(Iterations[[#This Row],[Step]] &gt; current_step, "",Iterations[[#This Row],[c]]))</f>
        <v/>
      </c>
      <c r="J808" s="2" t="str">
        <f>IF(Iterations[[#This Row],[Step]] =current_step, current_d,IF(Iterations[[#This Row],[Step]] &gt; current_step, "",Iterations[[#This Row],[d]]))</f>
        <v/>
      </c>
      <c r="K808" s="2" t="str">
        <f>IF(Iterations[[#This Row],[Step]] =current_step, current_e,IF(Iterations[[#This Row],[Step]] &gt; current_step, "",Iterations[[#This Row],[e]]))</f>
        <v/>
      </c>
      <c r="L808" s="2" t="str">
        <f>IF(Iterations[[#This Row],[Step]] =current_step, current_Total_Loss,IF(Iterations[[#This Row],[Step]] &gt; current_step, "",Iterations[[#This Row],[Total Loss]]))</f>
        <v/>
      </c>
      <c r="M808" s="6" t="s">
        <v>27</v>
      </c>
      <c r="N808" s="2" t="str">
        <f>IF(Iterations[[#This Row],[Step]] =current_step, current_Grad_a,IF(Iterations[[#This Row],[Step]] &gt; current_step, "",Iterations[[#This Row],[Grad_a]]))</f>
        <v/>
      </c>
      <c r="O808" s="2" t="str">
        <f>IF(Iterations[[#This Row],[Step]] =current_step, current_Grad_b,IF(Iterations[[#This Row],[Step]] &gt; current_step, "",Iterations[[#This Row],[Grad_b]]))</f>
        <v/>
      </c>
      <c r="P808" s="2" t="str">
        <f>IF(Iterations[[#This Row],[Step]] =current_step, current_Grad_c,IF(Iterations[[#This Row],[Step]] &gt; current_step, "",Iterations[[#This Row],[Grad_c]]))</f>
        <v/>
      </c>
      <c r="Q808" s="2" t="str">
        <f>IF(Iterations[[#This Row],[Step]] =current_step, current_Grad_d,IF(Iterations[[#This Row],[Step]] &gt; current_step, "",Iterations[[#This Row],[Grad_d]]))</f>
        <v/>
      </c>
      <c r="R808" s="2" t="str">
        <f>IF(Iterations[[#This Row],[Step]] =current_step, current_Grad_e,IF(Iterations[[#This Row],[Step]] &gt; current_step, "",Iterations[[#This Row],[Grad_e]]))</f>
        <v/>
      </c>
    </row>
    <row r="809" spans="6:18" x14ac:dyDescent="0.3">
      <c r="F809" s="2">
        <f t="shared" si="14"/>
        <v>792</v>
      </c>
      <c r="G809" s="2" t="str">
        <f>IF(Iterations[[#This Row],[Step]] =current_step, current_a,IF(Iterations[[#This Row],[Step]] &gt; current_step, "",Iterations[[#This Row],[a]]))</f>
        <v/>
      </c>
      <c r="H809" s="2" t="str">
        <f>IF(Iterations[[#This Row],[Step]] =current_step, current_b,IF(Iterations[[#This Row],[Step]] &gt; current_step, "",Iterations[[#This Row],[b]]))</f>
        <v/>
      </c>
      <c r="I809" s="2" t="str">
        <f>IF(Iterations[[#This Row],[Step]] =current_step, current_c,IF(Iterations[[#This Row],[Step]] &gt; current_step, "",Iterations[[#This Row],[c]]))</f>
        <v/>
      </c>
      <c r="J809" s="2" t="str">
        <f>IF(Iterations[[#This Row],[Step]] =current_step, current_d,IF(Iterations[[#This Row],[Step]] &gt; current_step, "",Iterations[[#This Row],[d]]))</f>
        <v/>
      </c>
      <c r="K809" s="2" t="str">
        <f>IF(Iterations[[#This Row],[Step]] =current_step, current_e,IF(Iterations[[#This Row],[Step]] &gt; current_step, "",Iterations[[#This Row],[e]]))</f>
        <v/>
      </c>
      <c r="L809" s="2" t="str">
        <f>IF(Iterations[[#This Row],[Step]] =current_step, current_Total_Loss,IF(Iterations[[#This Row],[Step]] &gt; current_step, "",Iterations[[#This Row],[Total Loss]]))</f>
        <v/>
      </c>
      <c r="M809" s="6" t="s">
        <v>27</v>
      </c>
      <c r="N809" s="2" t="str">
        <f>IF(Iterations[[#This Row],[Step]] =current_step, current_Grad_a,IF(Iterations[[#This Row],[Step]] &gt; current_step, "",Iterations[[#This Row],[Grad_a]]))</f>
        <v/>
      </c>
      <c r="O809" s="2" t="str">
        <f>IF(Iterations[[#This Row],[Step]] =current_step, current_Grad_b,IF(Iterations[[#This Row],[Step]] &gt; current_step, "",Iterations[[#This Row],[Grad_b]]))</f>
        <v/>
      </c>
      <c r="P809" s="2" t="str">
        <f>IF(Iterations[[#This Row],[Step]] =current_step, current_Grad_c,IF(Iterations[[#This Row],[Step]] &gt; current_step, "",Iterations[[#This Row],[Grad_c]]))</f>
        <v/>
      </c>
      <c r="Q809" s="2" t="str">
        <f>IF(Iterations[[#This Row],[Step]] =current_step, current_Grad_d,IF(Iterations[[#This Row],[Step]] &gt; current_step, "",Iterations[[#This Row],[Grad_d]]))</f>
        <v/>
      </c>
      <c r="R809" s="2" t="str">
        <f>IF(Iterations[[#This Row],[Step]] =current_step, current_Grad_e,IF(Iterations[[#This Row],[Step]] &gt; current_step, "",Iterations[[#This Row],[Grad_e]]))</f>
        <v/>
      </c>
    </row>
    <row r="810" spans="6:18" x14ac:dyDescent="0.3">
      <c r="F810" s="2">
        <f t="shared" si="14"/>
        <v>793</v>
      </c>
      <c r="G810" s="2" t="str">
        <f>IF(Iterations[[#This Row],[Step]] =current_step, current_a,IF(Iterations[[#This Row],[Step]] &gt; current_step, "",Iterations[[#This Row],[a]]))</f>
        <v/>
      </c>
      <c r="H810" s="2" t="str">
        <f>IF(Iterations[[#This Row],[Step]] =current_step, current_b,IF(Iterations[[#This Row],[Step]] &gt; current_step, "",Iterations[[#This Row],[b]]))</f>
        <v/>
      </c>
      <c r="I810" s="2" t="str">
        <f>IF(Iterations[[#This Row],[Step]] =current_step, current_c,IF(Iterations[[#This Row],[Step]] &gt; current_step, "",Iterations[[#This Row],[c]]))</f>
        <v/>
      </c>
      <c r="J810" s="2" t="str">
        <f>IF(Iterations[[#This Row],[Step]] =current_step, current_d,IF(Iterations[[#This Row],[Step]] &gt; current_step, "",Iterations[[#This Row],[d]]))</f>
        <v/>
      </c>
      <c r="K810" s="2" t="str">
        <f>IF(Iterations[[#This Row],[Step]] =current_step, current_e,IF(Iterations[[#This Row],[Step]] &gt; current_step, "",Iterations[[#This Row],[e]]))</f>
        <v/>
      </c>
      <c r="L810" s="2" t="str">
        <f>IF(Iterations[[#This Row],[Step]] =current_step, current_Total_Loss,IF(Iterations[[#This Row],[Step]] &gt; current_step, "",Iterations[[#This Row],[Total Loss]]))</f>
        <v/>
      </c>
      <c r="M810" s="6" t="s">
        <v>27</v>
      </c>
      <c r="N810" s="2" t="str">
        <f>IF(Iterations[[#This Row],[Step]] =current_step, current_Grad_a,IF(Iterations[[#This Row],[Step]] &gt; current_step, "",Iterations[[#This Row],[Grad_a]]))</f>
        <v/>
      </c>
      <c r="O810" s="2" t="str">
        <f>IF(Iterations[[#This Row],[Step]] =current_step, current_Grad_b,IF(Iterations[[#This Row],[Step]] &gt; current_step, "",Iterations[[#This Row],[Grad_b]]))</f>
        <v/>
      </c>
      <c r="P810" s="2" t="str">
        <f>IF(Iterations[[#This Row],[Step]] =current_step, current_Grad_c,IF(Iterations[[#This Row],[Step]] &gt; current_step, "",Iterations[[#This Row],[Grad_c]]))</f>
        <v/>
      </c>
      <c r="Q810" s="2" t="str">
        <f>IF(Iterations[[#This Row],[Step]] =current_step, current_Grad_d,IF(Iterations[[#This Row],[Step]] &gt; current_step, "",Iterations[[#This Row],[Grad_d]]))</f>
        <v/>
      </c>
      <c r="R810" s="2" t="str">
        <f>IF(Iterations[[#This Row],[Step]] =current_step, current_Grad_e,IF(Iterations[[#This Row],[Step]] &gt; current_step, "",Iterations[[#This Row],[Grad_e]]))</f>
        <v/>
      </c>
    </row>
    <row r="811" spans="6:18" x14ac:dyDescent="0.3">
      <c r="F811" s="2">
        <f t="shared" si="14"/>
        <v>794</v>
      </c>
      <c r="G811" s="2" t="str">
        <f>IF(Iterations[[#This Row],[Step]] =current_step, current_a,IF(Iterations[[#This Row],[Step]] &gt; current_step, "",Iterations[[#This Row],[a]]))</f>
        <v/>
      </c>
      <c r="H811" s="2" t="str">
        <f>IF(Iterations[[#This Row],[Step]] =current_step, current_b,IF(Iterations[[#This Row],[Step]] &gt; current_step, "",Iterations[[#This Row],[b]]))</f>
        <v/>
      </c>
      <c r="I811" s="2" t="str">
        <f>IF(Iterations[[#This Row],[Step]] =current_step, current_c,IF(Iterations[[#This Row],[Step]] &gt; current_step, "",Iterations[[#This Row],[c]]))</f>
        <v/>
      </c>
      <c r="J811" s="2" t="str">
        <f>IF(Iterations[[#This Row],[Step]] =current_step, current_d,IF(Iterations[[#This Row],[Step]] &gt; current_step, "",Iterations[[#This Row],[d]]))</f>
        <v/>
      </c>
      <c r="K811" s="2" t="str">
        <f>IF(Iterations[[#This Row],[Step]] =current_step, current_e,IF(Iterations[[#This Row],[Step]] &gt; current_step, "",Iterations[[#This Row],[e]]))</f>
        <v/>
      </c>
      <c r="L811" s="2" t="str">
        <f>IF(Iterations[[#This Row],[Step]] =current_step, current_Total_Loss,IF(Iterations[[#This Row],[Step]] &gt; current_step, "",Iterations[[#This Row],[Total Loss]]))</f>
        <v/>
      </c>
      <c r="M811" s="6" t="s">
        <v>27</v>
      </c>
      <c r="N811" s="2" t="str">
        <f>IF(Iterations[[#This Row],[Step]] =current_step, current_Grad_a,IF(Iterations[[#This Row],[Step]] &gt; current_step, "",Iterations[[#This Row],[Grad_a]]))</f>
        <v/>
      </c>
      <c r="O811" s="2" t="str">
        <f>IF(Iterations[[#This Row],[Step]] =current_step, current_Grad_b,IF(Iterations[[#This Row],[Step]] &gt; current_step, "",Iterations[[#This Row],[Grad_b]]))</f>
        <v/>
      </c>
      <c r="P811" s="2" t="str">
        <f>IF(Iterations[[#This Row],[Step]] =current_step, current_Grad_c,IF(Iterations[[#This Row],[Step]] &gt; current_step, "",Iterations[[#This Row],[Grad_c]]))</f>
        <v/>
      </c>
      <c r="Q811" s="2" t="str">
        <f>IF(Iterations[[#This Row],[Step]] =current_step, current_Grad_d,IF(Iterations[[#This Row],[Step]] &gt; current_step, "",Iterations[[#This Row],[Grad_d]]))</f>
        <v/>
      </c>
      <c r="R811" s="2" t="str">
        <f>IF(Iterations[[#This Row],[Step]] =current_step, current_Grad_e,IF(Iterations[[#This Row],[Step]] &gt; current_step, "",Iterations[[#This Row],[Grad_e]]))</f>
        <v/>
      </c>
    </row>
    <row r="812" spans="6:18" x14ac:dyDescent="0.3">
      <c r="F812" s="2">
        <f t="shared" si="14"/>
        <v>795</v>
      </c>
      <c r="G812" s="2" t="str">
        <f>IF(Iterations[[#This Row],[Step]] =current_step, current_a,IF(Iterations[[#This Row],[Step]] &gt; current_step, "",Iterations[[#This Row],[a]]))</f>
        <v/>
      </c>
      <c r="H812" s="2" t="str">
        <f>IF(Iterations[[#This Row],[Step]] =current_step, current_b,IF(Iterations[[#This Row],[Step]] &gt; current_step, "",Iterations[[#This Row],[b]]))</f>
        <v/>
      </c>
      <c r="I812" s="2" t="str">
        <f>IF(Iterations[[#This Row],[Step]] =current_step, current_c,IF(Iterations[[#This Row],[Step]] &gt; current_step, "",Iterations[[#This Row],[c]]))</f>
        <v/>
      </c>
      <c r="J812" s="2" t="str">
        <f>IF(Iterations[[#This Row],[Step]] =current_step, current_d,IF(Iterations[[#This Row],[Step]] &gt; current_step, "",Iterations[[#This Row],[d]]))</f>
        <v/>
      </c>
      <c r="K812" s="2" t="str">
        <f>IF(Iterations[[#This Row],[Step]] =current_step, current_e,IF(Iterations[[#This Row],[Step]] &gt; current_step, "",Iterations[[#This Row],[e]]))</f>
        <v/>
      </c>
      <c r="L812" s="2" t="str">
        <f>IF(Iterations[[#This Row],[Step]] =current_step, current_Total_Loss,IF(Iterations[[#This Row],[Step]] &gt; current_step, "",Iterations[[#This Row],[Total Loss]]))</f>
        <v/>
      </c>
      <c r="M812" s="6" t="s">
        <v>27</v>
      </c>
      <c r="N812" s="2" t="str">
        <f>IF(Iterations[[#This Row],[Step]] =current_step, current_Grad_a,IF(Iterations[[#This Row],[Step]] &gt; current_step, "",Iterations[[#This Row],[Grad_a]]))</f>
        <v/>
      </c>
      <c r="O812" s="2" t="str">
        <f>IF(Iterations[[#This Row],[Step]] =current_step, current_Grad_b,IF(Iterations[[#This Row],[Step]] &gt; current_step, "",Iterations[[#This Row],[Grad_b]]))</f>
        <v/>
      </c>
      <c r="P812" s="2" t="str">
        <f>IF(Iterations[[#This Row],[Step]] =current_step, current_Grad_c,IF(Iterations[[#This Row],[Step]] &gt; current_step, "",Iterations[[#This Row],[Grad_c]]))</f>
        <v/>
      </c>
      <c r="Q812" s="2" t="str">
        <f>IF(Iterations[[#This Row],[Step]] =current_step, current_Grad_d,IF(Iterations[[#This Row],[Step]] &gt; current_step, "",Iterations[[#This Row],[Grad_d]]))</f>
        <v/>
      </c>
      <c r="R812" s="2" t="str">
        <f>IF(Iterations[[#This Row],[Step]] =current_step, current_Grad_e,IF(Iterations[[#This Row],[Step]] &gt; current_step, "",Iterations[[#This Row],[Grad_e]]))</f>
        <v/>
      </c>
    </row>
    <row r="813" spans="6:18" x14ac:dyDescent="0.3">
      <c r="F813" s="2">
        <f t="shared" si="14"/>
        <v>796</v>
      </c>
      <c r="G813" s="2" t="str">
        <f>IF(Iterations[[#This Row],[Step]] =current_step, current_a,IF(Iterations[[#This Row],[Step]] &gt; current_step, "",Iterations[[#This Row],[a]]))</f>
        <v/>
      </c>
      <c r="H813" s="2" t="str">
        <f>IF(Iterations[[#This Row],[Step]] =current_step, current_b,IF(Iterations[[#This Row],[Step]] &gt; current_step, "",Iterations[[#This Row],[b]]))</f>
        <v/>
      </c>
      <c r="I813" s="2" t="str">
        <f>IF(Iterations[[#This Row],[Step]] =current_step, current_c,IF(Iterations[[#This Row],[Step]] &gt; current_step, "",Iterations[[#This Row],[c]]))</f>
        <v/>
      </c>
      <c r="J813" s="2" t="str">
        <f>IF(Iterations[[#This Row],[Step]] =current_step, current_d,IF(Iterations[[#This Row],[Step]] &gt; current_step, "",Iterations[[#This Row],[d]]))</f>
        <v/>
      </c>
      <c r="K813" s="2" t="str">
        <f>IF(Iterations[[#This Row],[Step]] =current_step, current_e,IF(Iterations[[#This Row],[Step]] &gt; current_step, "",Iterations[[#This Row],[e]]))</f>
        <v/>
      </c>
      <c r="L813" s="2" t="str">
        <f>IF(Iterations[[#This Row],[Step]] =current_step, current_Total_Loss,IF(Iterations[[#This Row],[Step]] &gt; current_step, "",Iterations[[#This Row],[Total Loss]]))</f>
        <v/>
      </c>
      <c r="M813" s="6" t="s">
        <v>27</v>
      </c>
      <c r="N813" s="2" t="str">
        <f>IF(Iterations[[#This Row],[Step]] =current_step, current_Grad_a,IF(Iterations[[#This Row],[Step]] &gt; current_step, "",Iterations[[#This Row],[Grad_a]]))</f>
        <v/>
      </c>
      <c r="O813" s="2" t="str">
        <f>IF(Iterations[[#This Row],[Step]] =current_step, current_Grad_b,IF(Iterations[[#This Row],[Step]] &gt; current_step, "",Iterations[[#This Row],[Grad_b]]))</f>
        <v/>
      </c>
      <c r="P813" s="2" t="str">
        <f>IF(Iterations[[#This Row],[Step]] =current_step, current_Grad_c,IF(Iterations[[#This Row],[Step]] &gt; current_step, "",Iterations[[#This Row],[Grad_c]]))</f>
        <v/>
      </c>
      <c r="Q813" s="2" t="str">
        <f>IF(Iterations[[#This Row],[Step]] =current_step, current_Grad_d,IF(Iterations[[#This Row],[Step]] &gt; current_step, "",Iterations[[#This Row],[Grad_d]]))</f>
        <v/>
      </c>
      <c r="R813" s="2" t="str">
        <f>IF(Iterations[[#This Row],[Step]] =current_step, current_Grad_e,IF(Iterations[[#This Row],[Step]] &gt; current_step, "",Iterations[[#This Row],[Grad_e]]))</f>
        <v/>
      </c>
    </row>
    <row r="814" spans="6:18" x14ac:dyDescent="0.3">
      <c r="F814" s="2">
        <f t="shared" si="14"/>
        <v>797</v>
      </c>
      <c r="G814" s="2" t="str">
        <f>IF(Iterations[[#This Row],[Step]] =current_step, current_a,IF(Iterations[[#This Row],[Step]] &gt; current_step, "",Iterations[[#This Row],[a]]))</f>
        <v/>
      </c>
      <c r="H814" s="2" t="str">
        <f>IF(Iterations[[#This Row],[Step]] =current_step, current_b,IF(Iterations[[#This Row],[Step]] &gt; current_step, "",Iterations[[#This Row],[b]]))</f>
        <v/>
      </c>
      <c r="I814" s="2" t="str">
        <f>IF(Iterations[[#This Row],[Step]] =current_step, current_c,IF(Iterations[[#This Row],[Step]] &gt; current_step, "",Iterations[[#This Row],[c]]))</f>
        <v/>
      </c>
      <c r="J814" s="2" t="str">
        <f>IF(Iterations[[#This Row],[Step]] =current_step, current_d,IF(Iterations[[#This Row],[Step]] &gt; current_step, "",Iterations[[#This Row],[d]]))</f>
        <v/>
      </c>
      <c r="K814" s="2" t="str">
        <f>IF(Iterations[[#This Row],[Step]] =current_step, current_e,IF(Iterations[[#This Row],[Step]] &gt; current_step, "",Iterations[[#This Row],[e]]))</f>
        <v/>
      </c>
      <c r="L814" s="2" t="str">
        <f>IF(Iterations[[#This Row],[Step]] =current_step, current_Total_Loss,IF(Iterations[[#This Row],[Step]] &gt; current_step, "",Iterations[[#This Row],[Total Loss]]))</f>
        <v/>
      </c>
      <c r="M814" s="6" t="s">
        <v>27</v>
      </c>
      <c r="N814" s="2" t="str">
        <f>IF(Iterations[[#This Row],[Step]] =current_step, current_Grad_a,IF(Iterations[[#This Row],[Step]] &gt; current_step, "",Iterations[[#This Row],[Grad_a]]))</f>
        <v/>
      </c>
      <c r="O814" s="2" t="str">
        <f>IF(Iterations[[#This Row],[Step]] =current_step, current_Grad_b,IF(Iterations[[#This Row],[Step]] &gt; current_step, "",Iterations[[#This Row],[Grad_b]]))</f>
        <v/>
      </c>
      <c r="P814" s="2" t="str">
        <f>IF(Iterations[[#This Row],[Step]] =current_step, current_Grad_c,IF(Iterations[[#This Row],[Step]] &gt; current_step, "",Iterations[[#This Row],[Grad_c]]))</f>
        <v/>
      </c>
      <c r="Q814" s="2" t="str">
        <f>IF(Iterations[[#This Row],[Step]] =current_step, current_Grad_d,IF(Iterations[[#This Row],[Step]] &gt; current_step, "",Iterations[[#This Row],[Grad_d]]))</f>
        <v/>
      </c>
      <c r="R814" s="2" t="str">
        <f>IF(Iterations[[#This Row],[Step]] =current_step, current_Grad_e,IF(Iterations[[#This Row],[Step]] &gt; current_step, "",Iterations[[#This Row],[Grad_e]]))</f>
        <v/>
      </c>
    </row>
    <row r="815" spans="6:18" x14ac:dyDescent="0.3">
      <c r="F815" s="2">
        <f t="shared" si="14"/>
        <v>798</v>
      </c>
      <c r="G815" s="2" t="str">
        <f>IF(Iterations[[#This Row],[Step]] =current_step, current_a,IF(Iterations[[#This Row],[Step]] &gt; current_step, "",Iterations[[#This Row],[a]]))</f>
        <v/>
      </c>
      <c r="H815" s="2" t="str">
        <f>IF(Iterations[[#This Row],[Step]] =current_step, current_b,IF(Iterations[[#This Row],[Step]] &gt; current_step, "",Iterations[[#This Row],[b]]))</f>
        <v/>
      </c>
      <c r="I815" s="2" t="str">
        <f>IF(Iterations[[#This Row],[Step]] =current_step, current_c,IF(Iterations[[#This Row],[Step]] &gt; current_step, "",Iterations[[#This Row],[c]]))</f>
        <v/>
      </c>
      <c r="J815" s="2" t="str">
        <f>IF(Iterations[[#This Row],[Step]] =current_step, current_d,IF(Iterations[[#This Row],[Step]] &gt; current_step, "",Iterations[[#This Row],[d]]))</f>
        <v/>
      </c>
      <c r="K815" s="2" t="str">
        <f>IF(Iterations[[#This Row],[Step]] =current_step, current_e,IF(Iterations[[#This Row],[Step]] &gt; current_step, "",Iterations[[#This Row],[e]]))</f>
        <v/>
      </c>
      <c r="L815" s="2" t="str">
        <f>IF(Iterations[[#This Row],[Step]] =current_step, current_Total_Loss,IF(Iterations[[#This Row],[Step]] &gt; current_step, "",Iterations[[#This Row],[Total Loss]]))</f>
        <v/>
      </c>
      <c r="M815" s="6" t="s">
        <v>27</v>
      </c>
      <c r="N815" s="2" t="str">
        <f>IF(Iterations[[#This Row],[Step]] =current_step, current_Grad_a,IF(Iterations[[#This Row],[Step]] &gt; current_step, "",Iterations[[#This Row],[Grad_a]]))</f>
        <v/>
      </c>
      <c r="O815" s="2" t="str">
        <f>IF(Iterations[[#This Row],[Step]] =current_step, current_Grad_b,IF(Iterations[[#This Row],[Step]] &gt; current_step, "",Iterations[[#This Row],[Grad_b]]))</f>
        <v/>
      </c>
      <c r="P815" s="2" t="str">
        <f>IF(Iterations[[#This Row],[Step]] =current_step, current_Grad_c,IF(Iterations[[#This Row],[Step]] &gt; current_step, "",Iterations[[#This Row],[Grad_c]]))</f>
        <v/>
      </c>
      <c r="Q815" s="2" t="str">
        <f>IF(Iterations[[#This Row],[Step]] =current_step, current_Grad_d,IF(Iterations[[#This Row],[Step]] &gt; current_step, "",Iterations[[#This Row],[Grad_d]]))</f>
        <v/>
      </c>
      <c r="R815" s="2" t="str">
        <f>IF(Iterations[[#This Row],[Step]] =current_step, current_Grad_e,IF(Iterations[[#This Row],[Step]] &gt; current_step, "",Iterations[[#This Row],[Grad_e]]))</f>
        <v/>
      </c>
    </row>
    <row r="816" spans="6:18" x14ac:dyDescent="0.3">
      <c r="F816" s="2">
        <f t="shared" si="14"/>
        <v>799</v>
      </c>
      <c r="G816" s="2" t="str">
        <f>IF(Iterations[[#This Row],[Step]] =current_step, current_a,IF(Iterations[[#This Row],[Step]] &gt; current_step, "",Iterations[[#This Row],[a]]))</f>
        <v/>
      </c>
      <c r="H816" s="2" t="str">
        <f>IF(Iterations[[#This Row],[Step]] =current_step, current_b,IF(Iterations[[#This Row],[Step]] &gt; current_step, "",Iterations[[#This Row],[b]]))</f>
        <v/>
      </c>
      <c r="I816" s="2" t="str">
        <f>IF(Iterations[[#This Row],[Step]] =current_step, current_c,IF(Iterations[[#This Row],[Step]] &gt; current_step, "",Iterations[[#This Row],[c]]))</f>
        <v/>
      </c>
      <c r="J816" s="2" t="str">
        <f>IF(Iterations[[#This Row],[Step]] =current_step, current_d,IF(Iterations[[#This Row],[Step]] &gt; current_step, "",Iterations[[#This Row],[d]]))</f>
        <v/>
      </c>
      <c r="K816" s="2" t="str">
        <f>IF(Iterations[[#This Row],[Step]] =current_step, current_e,IF(Iterations[[#This Row],[Step]] &gt; current_step, "",Iterations[[#This Row],[e]]))</f>
        <v/>
      </c>
      <c r="L816" s="2" t="str">
        <f>IF(Iterations[[#This Row],[Step]] =current_step, current_Total_Loss,IF(Iterations[[#This Row],[Step]] &gt; current_step, "",Iterations[[#This Row],[Total Loss]]))</f>
        <v/>
      </c>
      <c r="M816" s="6" t="s">
        <v>27</v>
      </c>
      <c r="N816" s="2" t="str">
        <f>IF(Iterations[[#This Row],[Step]] =current_step, current_Grad_a,IF(Iterations[[#This Row],[Step]] &gt; current_step, "",Iterations[[#This Row],[Grad_a]]))</f>
        <v/>
      </c>
      <c r="O816" s="2" t="str">
        <f>IF(Iterations[[#This Row],[Step]] =current_step, current_Grad_b,IF(Iterations[[#This Row],[Step]] &gt; current_step, "",Iterations[[#This Row],[Grad_b]]))</f>
        <v/>
      </c>
      <c r="P816" s="2" t="str">
        <f>IF(Iterations[[#This Row],[Step]] =current_step, current_Grad_c,IF(Iterations[[#This Row],[Step]] &gt; current_step, "",Iterations[[#This Row],[Grad_c]]))</f>
        <v/>
      </c>
      <c r="Q816" s="2" t="str">
        <f>IF(Iterations[[#This Row],[Step]] =current_step, current_Grad_d,IF(Iterations[[#This Row],[Step]] &gt; current_step, "",Iterations[[#This Row],[Grad_d]]))</f>
        <v/>
      </c>
      <c r="R816" s="2" t="str">
        <f>IF(Iterations[[#This Row],[Step]] =current_step, current_Grad_e,IF(Iterations[[#This Row],[Step]] &gt; current_step, "",Iterations[[#This Row],[Grad_e]]))</f>
        <v/>
      </c>
    </row>
    <row r="817" spans="6:18" x14ac:dyDescent="0.3">
      <c r="F817" s="2">
        <f t="shared" si="14"/>
        <v>800</v>
      </c>
      <c r="G817" s="2" t="str">
        <f>IF(Iterations[[#This Row],[Step]] =current_step, current_a,IF(Iterations[[#This Row],[Step]] &gt; current_step, "",Iterations[[#This Row],[a]]))</f>
        <v/>
      </c>
      <c r="H817" s="2" t="str">
        <f>IF(Iterations[[#This Row],[Step]] =current_step, current_b,IF(Iterations[[#This Row],[Step]] &gt; current_step, "",Iterations[[#This Row],[b]]))</f>
        <v/>
      </c>
      <c r="I817" s="2" t="str">
        <f>IF(Iterations[[#This Row],[Step]] =current_step, current_c,IF(Iterations[[#This Row],[Step]] &gt; current_step, "",Iterations[[#This Row],[c]]))</f>
        <v/>
      </c>
      <c r="J817" s="2" t="str">
        <f>IF(Iterations[[#This Row],[Step]] =current_step, current_d,IF(Iterations[[#This Row],[Step]] &gt; current_step, "",Iterations[[#This Row],[d]]))</f>
        <v/>
      </c>
      <c r="K817" s="2" t="str">
        <f>IF(Iterations[[#This Row],[Step]] =current_step, current_e,IF(Iterations[[#This Row],[Step]] &gt; current_step, "",Iterations[[#This Row],[e]]))</f>
        <v/>
      </c>
      <c r="L817" s="2" t="str">
        <f>IF(Iterations[[#This Row],[Step]] =current_step, current_Total_Loss,IF(Iterations[[#This Row],[Step]] &gt; current_step, "",Iterations[[#This Row],[Total Loss]]))</f>
        <v/>
      </c>
      <c r="M817" s="6" t="s">
        <v>27</v>
      </c>
      <c r="N817" s="2" t="str">
        <f>IF(Iterations[[#This Row],[Step]] =current_step, current_Grad_a,IF(Iterations[[#This Row],[Step]] &gt; current_step, "",Iterations[[#This Row],[Grad_a]]))</f>
        <v/>
      </c>
      <c r="O817" s="2" t="str">
        <f>IF(Iterations[[#This Row],[Step]] =current_step, current_Grad_b,IF(Iterations[[#This Row],[Step]] &gt; current_step, "",Iterations[[#This Row],[Grad_b]]))</f>
        <v/>
      </c>
      <c r="P817" s="2" t="str">
        <f>IF(Iterations[[#This Row],[Step]] =current_step, current_Grad_c,IF(Iterations[[#This Row],[Step]] &gt; current_step, "",Iterations[[#This Row],[Grad_c]]))</f>
        <v/>
      </c>
      <c r="Q817" s="2" t="str">
        <f>IF(Iterations[[#This Row],[Step]] =current_step, current_Grad_d,IF(Iterations[[#This Row],[Step]] &gt; current_step, "",Iterations[[#This Row],[Grad_d]]))</f>
        <v/>
      </c>
      <c r="R817" s="2" t="str">
        <f>IF(Iterations[[#This Row],[Step]] =current_step, current_Grad_e,IF(Iterations[[#This Row],[Step]] &gt; current_step, "",Iterations[[#This Row],[Grad_e]]))</f>
        <v/>
      </c>
    </row>
    <row r="818" spans="6:18" x14ac:dyDescent="0.3">
      <c r="F818" s="2">
        <f t="shared" ref="F818:F881" si="15">F817+1</f>
        <v>801</v>
      </c>
      <c r="G818" s="2" t="str">
        <f>IF(Iterations[[#This Row],[Step]] =current_step, current_a,IF(Iterations[[#This Row],[Step]] &gt; current_step, "",Iterations[[#This Row],[a]]))</f>
        <v/>
      </c>
      <c r="H818" s="2" t="str">
        <f>IF(Iterations[[#This Row],[Step]] =current_step, current_b,IF(Iterations[[#This Row],[Step]] &gt; current_step, "",Iterations[[#This Row],[b]]))</f>
        <v/>
      </c>
      <c r="I818" s="2" t="str">
        <f>IF(Iterations[[#This Row],[Step]] =current_step, current_c,IF(Iterations[[#This Row],[Step]] &gt; current_step, "",Iterations[[#This Row],[c]]))</f>
        <v/>
      </c>
      <c r="J818" s="2" t="str">
        <f>IF(Iterations[[#This Row],[Step]] =current_step, current_d,IF(Iterations[[#This Row],[Step]] &gt; current_step, "",Iterations[[#This Row],[d]]))</f>
        <v/>
      </c>
      <c r="K818" s="2" t="str">
        <f>IF(Iterations[[#This Row],[Step]] =current_step, current_e,IF(Iterations[[#This Row],[Step]] &gt; current_step, "",Iterations[[#This Row],[e]]))</f>
        <v/>
      </c>
      <c r="L818" s="2" t="str">
        <f>IF(Iterations[[#This Row],[Step]] =current_step, current_Total_Loss,IF(Iterations[[#This Row],[Step]] &gt; current_step, "",Iterations[[#This Row],[Total Loss]]))</f>
        <v/>
      </c>
      <c r="M818" s="6" t="s">
        <v>27</v>
      </c>
      <c r="N818" s="2" t="str">
        <f>IF(Iterations[[#This Row],[Step]] =current_step, current_Grad_a,IF(Iterations[[#This Row],[Step]] &gt; current_step, "",Iterations[[#This Row],[Grad_a]]))</f>
        <v/>
      </c>
      <c r="O818" s="2" t="str">
        <f>IF(Iterations[[#This Row],[Step]] =current_step, current_Grad_b,IF(Iterations[[#This Row],[Step]] &gt; current_step, "",Iterations[[#This Row],[Grad_b]]))</f>
        <v/>
      </c>
      <c r="P818" s="2" t="str">
        <f>IF(Iterations[[#This Row],[Step]] =current_step, current_Grad_c,IF(Iterations[[#This Row],[Step]] &gt; current_step, "",Iterations[[#This Row],[Grad_c]]))</f>
        <v/>
      </c>
      <c r="Q818" s="2" t="str">
        <f>IF(Iterations[[#This Row],[Step]] =current_step, current_Grad_d,IF(Iterations[[#This Row],[Step]] &gt; current_step, "",Iterations[[#This Row],[Grad_d]]))</f>
        <v/>
      </c>
      <c r="R818" s="2" t="str">
        <f>IF(Iterations[[#This Row],[Step]] =current_step, current_Grad_e,IF(Iterations[[#This Row],[Step]] &gt; current_step, "",Iterations[[#This Row],[Grad_e]]))</f>
        <v/>
      </c>
    </row>
    <row r="819" spans="6:18" x14ac:dyDescent="0.3">
      <c r="F819" s="2">
        <f t="shared" si="15"/>
        <v>802</v>
      </c>
      <c r="G819" s="2" t="str">
        <f>IF(Iterations[[#This Row],[Step]] =current_step, current_a,IF(Iterations[[#This Row],[Step]] &gt; current_step, "",Iterations[[#This Row],[a]]))</f>
        <v/>
      </c>
      <c r="H819" s="2" t="str">
        <f>IF(Iterations[[#This Row],[Step]] =current_step, current_b,IF(Iterations[[#This Row],[Step]] &gt; current_step, "",Iterations[[#This Row],[b]]))</f>
        <v/>
      </c>
      <c r="I819" s="2" t="str">
        <f>IF(Iterations[[#This Row],[Step]] =current_step, current_c,IF(Iterations[[#This Row],[Step]] &gt; current_step, "",Iterations[[#This Row],[c]]))</f>
        <v/>
      </c>
      <c r="J819" s="2" t="str">
        <f>IF(Iterations[[#This Row],[Step]] =current_step, current_d,IF(Iterations[[#This Row],[Step]] &gt; current_step, "",Iterations[[#This Row],[d]]))</f>
        <v/>
      </c>
      <c r="K819" s="2" t="str">
        <f>IF(Iterations[[#This Row],[Step]] =current_step, current_e,IF(Iterations[[#This Row],[Step]] &gt; current_step, "",Iterations[[#This Row],[e]]))</f>
        <v/>
      </c>
      <c r="L819" s="2" t="str">
        <f>IF(Iterations[[#This Row],[Step]] =current_step, current_Total_Loss,IF(Iterations[[#This Row],[Step]] &gt; current_step, "",Iterations[[#This Row],[Total Loss]]))</f>
        <v/>
      </c>
      <c r="M819" s="6" t="s">
        <v>27</v>
      </c>
      <c r="N819" s="2" t="str">
        <f>IF(Iterations[[#This Row],[Step]] =current_step, current_Grad_a,IF(Iterations[[#This Row],[Step]] &gt; current_step, "",Iterations[[#This Row],[Grad_a]]))</f>
        <v/>
      </c>
      <c r="O819" s="2" t="str">
        <f>IF(Iterations[[#This Row],[Step]] =current_step, current_Grad_b,IF(Iterations[[#This Row],[Step]] &gt; current_step, "",Iterations[[#This Row],[Grad_b]]))</f>
        <v/>
      </c>
      <c r="P819" s="2" t="str">
        <f>IF(Iterations[[#This Row],[Step]] =current_step, current_Grad_c,IF(Iterations[[#This Row],[Step]] &gt; current_step, "",Iterations[[#This Row],[Grad_c]]))</f>
        <v/>
      </c>
      <c r="Q819" s="2" t="str">
        <f>IF(Iterations[[#This Row],[Step]] =current_step, current_Grad_d,IF(Iterations[[#This Row],[Step]] &gt; current_step, "",Iterations[[#This Row],[Grad_d]]))</f>
        <v/>
      </c>
      <c r="R819" s="2" t="str">
        <f>IF(Iterations[[#This Row],[Step]] =current_step, current_Grad_e,IF(Iterations[[#This Row],[Step]] &gt; current_step, "",Iterations[[#This Row],[Grad_e]]))</f>
        <v/>
      </c>
    </row>
    <row r="820" spans="6:18" x14ac:dyDescent="0.3">
      <c r="F820" s="2">
        <f t="shared" si="15"/>
        <v>803</v>
      </c>
      <c r="G820" s="2" t="str">
        <f>IF(Iterations[[#This Row],[Step]] =current_step, current_a,IF(Iterations[[#This Row],[Step]] &gt; current_step, "",Iterations[[#This Row],[a]]))</f>
        <v/>
      </c>
      <c r="H820" s="2" t="str">
        <f>IF(Iterations[[#This Row],[Step]] =current_step, current_b,IF(Iterations[[#This Row],[Step]] &gt; current_step, "",Iterations[[#This Row],[b]]))</f>
        <v/>
      </c>
      <c r="I820" s="2" t="str">
        <f>IF(Iterations[[#This Row],[Step]] =current_step, current_c,IF(Iterations[[#This Row],[Step]] &gt; current_step, "",Iterations[[#This Row],[c]]))</f>
        <v/>
      </c>
      <c r="J820" s="2" t="str">
        <f>IF(Iterations[[#This Row],[Step]] =current_step, current_d,IF(Iterations[[#This Row],[Step]] &gt; current_step, "",Iterations[[#This Row],[d]]))</f>
        <v/>
      </c>
      <c r="K820" s="2" t="str">
        <f>IF(Iterations[[#This Row],[Step]] =current_step, current_e,IF(Iterations[[#This Row],[Step]] &gt; current_step, "",Iterations[[#This Row],[e]]))</f>
        <v/>
      </c>
      <c r="L820" s="2" t="str">
        <f>IF(Iterations[[#This Row],[Step]] =current_step, current_Total_Loss,IF(Iterations[[#This Row],[Step]] &gt; current_step, "",Iterations[[#This Row],[Total Loss]]))</f>
        <v/>
      </c>
      <c r="M820" s="6" t="s">
        <v>27</v>
      </c>
      <c r="N820" s="2" t="str">
        <f>IF(Iterations[[#This Row],[Step]] =current_step, current_Grad_a,IF(Iterations[[#This Row],[Step]] &gt; current_step, "",Iterations[[#This Row],[Grad_a]]))</f>
        <v/>
      </c>
      <c r="O820" s="2" t="str">
        <f>IF(Iterations[[#This Row],[Step]] =current_step, current_Grad_b,IF(Iterations[[#This Row],[Step]] &gt; current_step, "",Iterations[[#This Row],[Grad_b]]))</f>
        <v/>
      </c>
      <c r="P820" s="2" t="str">
        <f>IF(Iterations[[#This Row],[Step]] =current_step, current_Grad_c,IF(Iterations[[#This Row],[Step]] &gt; current_step, "",Iterations[[#This Row],[Grad_c]]))</f>
        <v/>
      </c>
      <c r="Q820" s="2" t="str">
        <f>IF(Iterations[[#This Row],[Step]] =current_step, current_Grad_d,IF(Iterations[[#This Row],[Step]] &gt; current_step, "",Iterations[[#This Row],[Grad_d]]))</f>
        <v/>
      </c>
      <c r="R820" s="2" t="str">
        <f>IF(Iterations[[#This Row],[Step]] =current_step, current_Grad_e,IF(Iterations[[#This Row],[Step]] &gt; current_step, "",Iterations[[#This Row],[Grad_e]]))</f>
        <v/>
      </c>
    </row>
    <row r="821" spans="6:18" x14ac:dyDescent="0.3">
      <c r="F821" s="2">
        <f t="shared" si="15"/>
        <v>804</v>
      </c>
      <c r="G821" s="2" t="str">
        <f>IF(Iterations[[#This Row],[Step]] =current_step, current_a,IF(Iterations[[#This Row],[Step]] &gt; current_step, "",Iterations[[#This Row],[a]]))</f>
        <v/>
      </c>
      <c r="H821" s="2" t="str">
        <f>IF(Iterations[[#This Row],[Step]] =current_step, current_b,IF(Iterations[[#This Row],[Step]] &gt; current_step, "",Iterations[[#This Row],[b]]))</f>
        <v/>
      </c>
      <c r="I821" s="2" t="str">
        <f>IF(Iterations[[#This Row],[Step]] =current_step, current_c,IF(Iterations[[#This Row],[Step]] &gt; current_step, "",Iterations[[#This Row],[c]]))</f>
        <v/>
      </c>
      <c r="J821" s="2" t="str">
        <f>IF(Iterations[[#This Row],[Step]] =current_step, current_d,IF(Iterations[[#This Row],[Step]] &gt; current_step, "",Iterations[[#This Row],[d]]))</f>
        <v/>
      </c>
      <c r="K821" s="2" t="str">
        <f>IF(Iterations[[#This Row],[Step]] =current_step, current_e,IF(Iterations[[#This Row],[Step]] &gt; current_step, "",Iterations[[#This Row],[e]]))</f>
        <v/>
      </c>
      <c r="L821" s="2" t="str">
        <f>IF(Iterations[[#This Row],[Step]] =current_step, current_Total_Loss,IF(Iterations[[#This Row],[Step]] &gt; current_step, "",Iterations[[#This Row],[Total Loss]]))</f>
        <v/>
      </c>
      <c r="M821" s="6" t="s">
        <v>27</v>
      </c>
      <c r="N821" s="2" t="str">
        <f>IF(Iterations[[#This Row],[Step]] =current_step, current_Grad_a,IF(Iterations[[#This Row],[Step]] &gt; current_step, "",Iterations[[#This Row],[Grad_a]]))</f>
        <v/>
      </c>
      <c r="O821" s="2" t="str">
        <f>IF(Iterations[[#This Row],[Step]] =current_step, current_Grad_b,IF(Iterations[[#This Row],[Step]] &gt; current_step, "",Iterations[[#This Row],[Grad_b]]))</f>
        <v/>
      </c>
      <c r="P821" s="2" t="str">
        <f>IF(Iterations[[#This Row],[Step]] =current_step, current_Grad_c,IF(Iterations[[#This Row],[Step]] &gt; current_step, "",Iterations[[#This Row],[Grad_c]]))</f>
        <v/>
      </c>
      <c r="Q821" s="2" t="str">
        <f>IF(Iterations[[#This Row],[Step]] =current_step, current_Grad_d,IF(Iterations[[#This Row],[Step]] &gt; current_step, "",Iterations[[#This Row],[Grad_d]]))</f>
        <v/>
      </c>
      <c r="R821" s="2" t="str">
        <f>IF(Iterations[[#This Row],[Step]] =current_step, current_Grad_e,IF(Iterations[[#This Row],[Step]] &gt; current_step, "",Iterations[[#This Row],[Grad_e]]))</f>
        <v/>
      </c>
    </row>
    <row r="822" spans="6:18" x14ac:dyDescent="0.3">
      <c r="F822" s="2">
        <f t="shared" si="15"/>
        <v>805</v>
      </c>
      <c r="G822" s="2" t="str">
        <f>IF(Iterations[[#This Row],[Step]] =current_step, current_a,IF(Iterations[[#This Row],[Step]] &gt; current_step, "",Iterations[[#This Row],[a]]))</f>
        <v/>
      </c>
      <c r="H822" s="2" t="str">
        <f>IF(Iterations[[#This Row],[Step]] =current_step, current_b,IF(Iterations[[#This Row],[Step]] &gt; current_step, "",Iterations[[#This Row],[b]]))</f>
        <v/>
      </c>
      <c r="I822" s="2" t="str">
        <f>IF(Iterations[[#This Row],[Step]] =current_step, current_c,IF(Iterations[[#This Row],[Step]] &gt; current_step, "",Iterations[[#This Row],[c]]))</f>
        <v/>
      </c>
      <c r="J822" s="2" t="str">
        <f>IF(Iterations[[#This Row],[Step]] =current_step, current_d,IF(Iterations[[#This Row],[Step]] &gt; current_step, "",Iterations[[#This Row],[d]]))</f>
        <v/>
      </c>
      <c r="K822" s="2" t="str">
        <f>IF(Iterations[[#This Row],[Step]] =current_step, current_e,IF(Iterations[[#This Row],[Step]] &gt; current_step, "",Iterations[[#This Row],[e]]))</f>
        <v/>
      </c>
      <c r="L822" s="2" t="str">
        <f>IF(Iterations[[#This Row],[Step]] =current_step, current_Total_Loss,IF(Iterations[[#This Row],[Step]] &gt; current_step, "",Iterations[[#This Row],[Total Loss]]))</f>
        <v/>
      </c>
      <c r="M822" s="6" t="s">
        <v>27</v>
      </c>
      <c r="N822" s="2" t="str">
        <f>IF(Iterations[[#This Row],[Step]] =current_step, current_Grad_a,IF(Iterations[[#This Row],[Step]] &gt; current_step, "",Iterations[[#This Row],[Grad_a]]))</f>
        <v/>
      </c>
      <c r="O822" s="2" t="str">
        <f>IF(Iterations[[#This Row],[Step]] =current_step, current_Grad_b,IF(Iterations[[#This Row],[Step]] &gt; current_step, "",Iterations[[#This Row],[Grad_b]]))</f>
        <v/>
      </c>
      <c r="P822" s="2" t="str">
        <f>IF(Iterations[[#This Row],[Step]] =current_step, current_Grad_c,IF(Iterations[[#This Row],[Step]] &gt; current_step, "",Iterations[[#This Row],[Grad_c]]))</f>
        <v/>
      </c>
      <c r="Q822" s="2" t="str">
        <f>IF(Iterations[[#This Row],[Step]] =current_step, current_Grad_d,IF(Iterations[[#This Row],[Step]] &gt; current_step, "",Iterations[[#This Row],[Grad_d]]))</f>
        <v/>
      </c>
      <c r="R822" s="2" t="str">
        <f>IF(Iterations[[#This Row],[Step]] =current_step, current_Grad_e,IF(Iterations[[#This Row],[Step]] &gt; current_step, "",Iterations[[#This Row],[Grad_e]]))</f>
        <v/>
      </c>
    </row>
    <row r="823" spans="6:18" x14ac:dyDescent="0.3">
      <c r="F823" s="2">
        <f t="shared" si="15"/>
        <v>806</v>
      </c>
      <c r="G823" s="2" t="str">
        <f>IF(Iterations[[#This Row],[Step]] =current_step, current_a,IF(Iterations[[#This Row],[Step]] &gt; current_step, "",Iterations[[#This Row],[a]]))</f>
        <v/>
      </c>
      <c r="H823" s="2" t="str">
        <f>IF(Iterations[[#This Row],[Step]] =current_step, current_b,IF(Iterations[[#This Row],[Step]] &gt; current_step, "",Iterations[[#This Row],[b]]))</f>
        <v/>
      </c>
      <c r="I823" s="2" t="str">
        <f>IF(Iterations[[#This Row],[Step]] =current_step, current_c,IF(Iterations[[#This Row],[Step]] &gt; current_step, "",Iterations[[#This Row],[c]]))</f>
        <v/>
      </c>
      <c r="J823" s="2" t="str">
        <f>IF(Iterations[[#This Row],[Step]] =current_step, current_d,IF(Iterations[[#This Row],[Step]] &gt; current_step, "",Iterations[[#This Row],[d]]))</f>
        <v/>
      </c>
      <c r="K823" s="2" t="str">
        <f>IF(Iterations[[#This Row],[Step]] =current_step, current_e,IF(Iterations[[#This Row],[Step]] &gt; current_step, "",Iterations[[#This Row],[e]]))</f>
        <v/>
      </c>
      <c r="L823" s="2" t="str">
        <f>IF(Iterations[[#This Row],[Step]] =current_step, current_Total_Loss,IF(Iterations[[#This Row],[Step]] &gt; current_step, "",Iterations[[#This Row],[Total Loss]]))</f>
        <v/>
      </c>
      <c r="M823" s="6" t="s">
        <v>27</v>
      </c>
      <c r="N823" s="2" t="str">
        <f>IF(Iterations[[#This Row],[Step]] =current_step, current_Grad_a,IF(Iterations[[#This Row],[Step]] &gt; current_step, "",Iterations[[#This Row],[Grad_a]]))</f>
        <v/>
      </c>
      <c r="O823" s="2" t="str">
        <f>IF(Iterations[[#This Row],[Step]] =current_step, current_Grad_b,IF(Iterations[[#This Row],[Step]] &gt; current_step, "",Iterations[[#This Row],[Grad_b]]))</f>
        <v/>
      </c>
      <c r="P823" s="2" t="str">
        <f>IF(Iterations[[#This Row],[Step]] =current_step, current_Grad_c,IF(Iterations[[#This Row],[Step]] &gt; current_step, "",Iterations[[#This Row],[Grad_c]]))</f>
        <v/>
      </c>
      <c r="Q823" s="2" t="str">
        <f>IF(Iterations[[#This Row],[Step]] =current_step, current_Grad_d,IF(Iterations[[#This Row],[Step]] &gt; current_step, "",Iterations[[#This Row],[Grad_d]]))</f>
        <v/>
      </c>
      <c r="R823" s="2" t="str">
        <f>IF(Iterations[[#This Row],[Step]] =current_step, current_Grad_e,IF(Iterations[[#This Row],[Step]] &gt; current_step, "",Iterations[[#This Row],[Grad_e]]))</f>
        <v/>
      </c>
    </row>
    <row r="824" spans="6:18" x14ac:dyDescent="0.3">
      <c r="F824" s="2">
        <f t="shared" si="15"/>
        <v>807</v>
      </c>
      <c r="G824" s="2" t="str">
        <f>IF(Iterations[[#This Row],[Step]] =current_step, current_a,IF(Iterations[[#This Row],[Step]] &gt; current_step, "",Iterations[[#This Row],[a]]))</f>
        <v/>
      </c>
      <c r="H824" s="2" t="str">
        <f>IF(Iterations[[#This Row],[Step]] =current_step, current_b,IF(Iterations[[#This Row],[Step]] &gt; current_step, "",Iterations[[#This Row],[b]]))</f>
        <v/>
      </c>
      <c r="I824" s="2" t="str">
        <f>IF(Iterations[[#This Row],[Step]] =current_step, current_c,IF(Iterations[[#This Row],[Step]] &gt; current_step, "",Iterations[[#This Row],[c]]))</f>
        <v/>
      </c>
      <c r="J824" s="2" t="str">
        <f>IF(Iterations[[#This Row],[Step]] =current_step, current_d,IF(Iterations[[#This Row],[Step]] &gt; current_step, "",Iterations[[#This Row],[d]]))</f>
        <v/>
      </c>
      <c r="K824" s="2" t="str">
        <f>IF(Iterations[[#This Row],[Step]] =current_step, current_e,IF(Iterations[[#This Row],[Step]] &gt; current_step, "",Iterations[[#This Row],[e]]))</f>
        <v/>
      </c>
      <c r="L824" s="2" t="str">
        <f>IF(Iterations[[#This Row],[Step]] =current_step, current_Total_Loss,IF(Iterations[[#This Row],[Step]] &gt; current_step, "",Iterations[[#This Row],[Total Loss]]))</f>
        <v/>
      </c>
      <c r="M824" s="6" t="s">
        <v>27</v>
      </c>
      <c r="N824" s="2" t="str">
        <f>IF(Iterations[[#This Row],[Step]] =current_step, current_Grad_a,IF(Iterations[[#This Row],[Step]] &gt; current_step, "",Iterations[[#This Row],[Grad_a]]))</f>
        <v/>
      </c>
      <c r="O824" s="2" t="str">
        <f>IF(Iterations[[#This Row],[Step]] =current_step, current_Grad_b,IF(Iterations[[#This Row],[Step]] &gt; current_step, "",Iterations[[#This Row],[Grad_b]]))</f>
        <v/>
      </c>
      <c r="P824" s="2" t="str">
        <f>IF(Iterations[[#This Row],[Step]] =current_step, current_Grad_c,IF(Iterations[[#This Row],[Step]] &gt; current_step, "",Iterations[[#This Row],[Grad_c]]))</f>
        <v/>
      </c>
      <c r="Q824" s="2" t="str">
        <f>IF(Iterations[[#This Row],[Step]] =current_step, current_Grad_d,IF(Iterations[[#This Row],[Step]] &gt; current_step, "",Iterations[[#This Row],[Grad_d]]))</f>
        <v/>
      </c>
      <c r="R824" s="2" t="str">
        <f>IF(Iterations[[#This Row],[Step]] =current_step, current_Grad_e,IF(Iterations[[#This Row],[Step]] &gt; current_step, "",Iterations[[#This Row],[Grad_e]]))</f>
        <v/>
      </c>
    </row>
    <row r="825" spans="6:18" x14ac:dyDescent="0.3">
      <c r="F825" s="2">
        <f t="shared" si="15"/>
        <v>808</v>
      </c>
      <c r="G825" s="2" t="str">
        <f>IF(Iterations[[#This Row],[Step]] =current_step, current_a,IF(Iterations[[#This Row],[Step]] &gt; current_step, "",Iterations[[#This Row],[a]]))</f>
        <v/>
      </c>
      <c r="H825" s="2" t="str">
        <f>IF(Iterations[[#This Row],[Step]] =current_step, current_b,IF(Iterations[[#This Row],[Step]] &gt; current_step, "",Iterations[[#This Row],[b]]))</f>
        <v/>
      </c>
      <c r="I825" s="2" t="str">
        <f>IF(Iterations[[#This Row],[Step]] =current_step, current_c,IF(Iterations[[#This Row],[Step]] &gt; current_step, "",Iterations[[#This Row],[c]]))</f>
        <v/>
      </c>
      <c r="J825" s="2" t="str">
        <f>IF(Iterations[[#This Row],[Step]] =current_step, current_d,IF(Iterations[[#This Row],[Step]] &gt; current_step, "",Iterations[[#This Row],[d]]))</f>
        <v/>
      </c>
      <c r="K825" s="2" t="str">
        <f>IF(Iterations[[#This Row],[Step]] =current_step, current_e,IF(Iterations[[#This Row],[Step]] &gt; current_step, "",Iterations[[#This Row],[e]]))</f>
        <v/>
      </c>
      <c r="L825" s="2" t="str">
        <f>IF(Iterations[[#This Row],[Step]] =current_step, current_Total_Loss,IF(Iterations[[#This Row],[Step]] &gt; current_step, "",Iterations[[#This Row],[Total Loss]]))</f>
        <v/>
      </c>
      <c r="M825" s="6" t="s">
        <v>27</v>
      </c>
      <c r="N825" s="2" t="str">
        <f>IF(Iterations[[#This Row],[Step]] =current_step, current_Grad_a,IF(Iterations[[#This Row],[Step]] &gt; current_step, "",Iterations[[#This Row],[Grad_a]]))</f>
        <v/>
      </c>
      <c r="O825" s="2" t="str">
        <f>IF(Iterations[[#This Row],[Step]] =current_step, current_Grad_b,IF(Iterations[[#This Row],[Step]] &gt; current_step, "",Iterations[[#This Row],[Grad_b]]))</f>
        <v/>
      </c>
      <c r="P825" s="2" t="str">
        <f>IF(Iterations[[#This Row],[Step]] =current_step, current_Grad_c,IF(Iterations[[#This Row],[Step]] &gt; current_step, "",Iterations[[#This Row],[Grad_c]]))</f>
        <v/>
      </c>
      <c r="Q825" s="2" t="str">
        <f>IF(Iterations[[#This Row],[Step]] =current_step, current_Grad_d,IF(Iterations[[#This Row],[Step]] &gt; current_step, "",Iterations[[#This Row],[Grad_d]]))</f>
        <v/>
      </c>
      <c r="R825" s="2" t="str">
        <f>IF(Iterations[[#This Row],[Step]] =current_step, current_Grad_e,IF(Iterations[[#This Row],[Step]] &gt; current_step, "",Iterations[[#This Row],[Grad_e]]))</f>
        <v/>
      </c>
    </row>
    <row r="826" spans="6:18" x14ac:dyDescent="0.3">
      <c r="F826" s="2">
        <f t="shared" si="15"/>
        <v>809</v>
      </c>
      <c r="G826" s="2" t="str">
        <f>IF(Iterations[[#This Row],[Step]] =current_step, current_a,IF(Iterations[[#This Row],[Step]] &gt; current_step, "",Iterations[[#This Row],[a]]))</f>
        <v/>
      </c>
      <c r="H826" s="2" t="str">
        <f>IF(Iterations[[#This Row],[Step]] =current_step, current_b,IF(Iterations[[#This Row],[Step]] &gt; current_step, "",Iterations[[#This Row],[b]]))</f>
        <v/>
      </c>
      <c r="I826" s="2" t="str">
        <f>IF(Iterations[[#This Row],[Step]] =current_step, current_c,IF(Iterations[[#This Row],[Step]] &gt; current_step, "",Iterations[[#This Row],[c]]))</f>
        <v/>
      </c>
      <c r="J826" s="2" t="str">
        <f>IF(Iterations[[#This Row],[Step]] =current_step, current_d,IF(Iterations[[#This Row],[Step]] &gt; current_step, "",Iterations[[#This Row],[d]]))</f>
        <v/>
      </c>
      <c r="K826" s="2" t="str">
        <f>IF(Iterations[[#This Row],[Step]] =current_step, current_e,IF(Iterations[[#This Row],[Step]] &gt; current_step, "",Iterations[[#This Row],[e]]))</f>
        <v/>
      </c>
      <c r="L826" s="2" t="str">
        <f>IF(Iterations[[#This Row],[Step]] =current_step, current_Total_Loss,IF(Iterations[[#This Row],[Step]] &gt; current_step, "",Iterations[[#This Row],[Total Loss]]))</f>
        <v/>
      </c>
      <c r="M826" s="6" t="s">
        <v>27</v>
      </c>
      <c r="N826" s="2" t="str">
        <f>IF(Iterations[[#This Row],[Step]] =current_step, current_Grad_a,IF(Iterations[[#This Row],[Step]] &gt; current_step, "",Iterations[[#This Row],[Grad_a]]))</f>
        <v/>
      </c>
      <c r="O826" s="2" t="str">
        <f>IF(Iterations[[#This Row],[Step]] =current_step, current_Grad_b,IF(Iterations[[#This Row],[Step]] &gt; current_step, "",Iterations[[#This Row],[Grad_b]]))</f>
        <v/>
      </c>
      <c r="P826" s="2" t="str">
        <f>IF(Iterations[[#This Row],[Step]] =current_step, current_Grad_c,IF(Iterations[[#This Row],[Step]] &gt; current_step, "",Iterations[[#This Row],[Grad_c]]))</f>
        <v/>
      </c>
      <c r="Q826" s="2" t="str">
        <f>IF(Iterations[[#This Row],[Step]] =current_step, current_Grad_d,IF(Iterations[[#This Row],[Step]] &gt; current_step, "",Iterations[[#This Row],[Grad_d]]))</f>
        <v/>
      </c>
      <c r="R826" s="2" t="str">
        <f>IF(Iterations[[#This Row],[Step]] =current_step, current_Grad_e,IF(Iterations[[#This Row],[Step]] &gt; current_step, "",Iterations[[#This Row],[Grad_e]]))</f>
        <v/>
      </c>
    </row>
    <row r="827" spans="6:18" x14ac:dyDescent="0.3">
      <c r="F827" s="2">
        <f t="shared" si="15"/>
        <v>810</v>
      </c>
      <c r="G827" s="2" t="str">
        <f>IF(Iterations[[#This Row],[Step]] =current_step, current_a,IF(Iterations[[#This Row],[Step]] &gt; current_step, "",Iterations[[#This Row],[a]]))</f>
        <v/>
      </c>
      <c r="H827" s="2" t="str">
        <f>IF(Iterations[[#This Row],[Step]] =current_step, current_b,IF(Iterations[[#This Row],[Step]] &gt; current_step, "",Iterations[[#This Row],[b]]))</f>
        <v/>
      </c>
      <c r="I827" s="2" t="str">
        <f>IF(Iterations[[#This Row],[Step]] =current_step, current_c,IF(Iterations[[#This Row],[Step]] &gt; current_step, "",Iterations[[#This Row],[c]]))</f>
        <v/>
      </c>
      <c r="J827" s="2" t="str">
        <f>IF(Iterations[[#This Row],[Step]] =current_step, current_d,IF(Iterations[[#This Row],[Step]] &gt; current_step, "",Iterations[[#This Row],[d]]))</f>
        <v/>
      </c>
      <c r="K827" s="2" t="str">
        <f>IF(Iterations[[#This Row],[Step]] =current_step, current_e,IF(Iterations[[#This Row],[Step]] &gt; current_step, "",Iterations[[#This Row],[e]]))</f>
        <v/>
      </c>
      <c r="L827" s="2" t="str">
        <f>IF(Iterations[[#This Row],[Step]] =current_step, current_Total_Loss,IF(Iterations[[#This Row],[Step]] &gt; current_step, "",Iterations[[#This Row],[Total Loss]]))</f>
        <v/>
      </c>
      <c r="M827" s="6" t="s">
        <v>27</v>
      </c>
      <c r="N827" s="2" t="str">
        <f>IF(Iterations[[#This Row],[Step]] =current_step, current_Grad_a,IF(Iterations[[#This Row],[Step]] &gt; current_step, "",Iterations[[#This Row],[Grad_a]]))</f>
        <v/>
      </c>
      <c r="O827" s="2" t="str">
        <f>IF(Iterations[[#This Row],[Step]] =current_step, current_Grad_b,IF(Iterations[[#This Row],[Step]] &gt; current_step, "",Iterations[[#This Row],[Grad_b]]))</f>
        <v/>
      </c>
      <c r="P827" s="2" t="str">
        <f>IF(Iterations[[#This Row],[Step]] =current_step, current_Grad_c,IF(Iterations[[#This Row],[Step]] &gt; current_step, "",Iterations[[#This Row],[Grad_c]]))</f>
        <v/>
      </c>
      <c r="Q827" s="2" t="str">
        <f>IF(Iterations[[#This Row],[Step]] =current_step, current_Grad_d,IF(Iterations[[#This Row],[Step]] &gt; current_step, "",Iterations[[#This Row],[Grad_d]]))</f>
        <v/>
      </c>
      <c r="R827" s="2" t="str">
        <f>IF(Iterations[[#This Row],[Step]] =current_step, current_Grad_e,IF(Iterations[[#This Row],[Step]] &gt; current_step, "",Iterations[[#This Row],[Grad_e]]))</f>
        <v/>
      </c>
    </row>
    <row r="828" spans="6:18" x14ac:dyDescent="0.3">
      <c r="F828" s="2">
        <f t="shared" si="15"/>
        <v>811</v>
      </c>
      <c r="G828" s="2" t="str">
        <f>IF(Iterations[[#This Row],[Step]] =current_step, current_a,IF(Iterations[[#This Row],[Step]] &gt; current_step, "",Iterations[[#This Row],[a]]))</f>
        <v/>
      </c>
      <c r="H828" s="2" t="str">
        <f>IF(Iterations[[#This Row],[Step]] =current_step, current_b,IF(Iterations[[#This Row],[Step]] &gt; current_step, "",Iterations[[#This Row],[b]]))</f>
        <v/>
      </c>
      <c r="I828" s="2" t="str">
        <f>IF(Iterations[[#This Row],[Step]] =current_step, current_c,IF(Iterations[[#This Row],[Step]] &gt; current_step, "",Iterations[[#This Row],[c]]))</f>
        <v/>
      </c>
      <c r="J828" s="2" t="str">
        <f>IF(Iterations[[#This Row],[Step]] =current_step, current_d,IF(Iterations[[#This Row],[Step]] &gt; current_step, "",Iterations[[#This Row],[d]]))</f>
        <v/>
      </c>
      <c r="K828" s="2" t="str">
        <f>IF(Iterations[[#This Row],[Step]] =current_step, current_e,IF(Iterations[[#This Row],[Step]] &gt; current_step, "",Iterations[[#This Row],[e]]))</f>
        <v/>
      </c>
      <c r="L828" s="2" t="str">
        <f>IF(Iterations[[#This Row],[Step]] =current_step, current_Total_Loss,IF(Iterations[[#This Row],[Step]] &gt; current_step, "",Iterations[[#This Row],[Total Loss]]))</f>
        <v/>
      </c>
      <c r="M828" s="6" t="s">
        <v>27</v>
      </c>
      <c r="N828" s="2" t="str">
        <f>IF(Iterations[[#This Row],[Step]] =current_step, current_Grad_a,IF(Iterations[[#This Row],[Step]] &gt; current_step, "",Iterations[[#This Row],[Grad_a]]))</f>
        <v/>
      </c>
      <c r="O828" s="2" t="str">
        <f>IF(Iterations[[#This Row],[Step]] =current_step, current_Grad_b,IF(Iterations[[#This Row],[Step]] &gt; current_step, "",Iterations[[#This Row],[Grad_b]]))</f>
        <v/>
      </c>
      <c r="P828" s="2" t="str">
        <f>IF(Iterations[[#This Row],[Step]] =current_step, current_Grad_c,IF(Iterations[[#This Row],[Step]] &gt; current_step, "",Iterations[[#This Row],[Grad_c]]))</f>
        <v/>
      </c>
      <c r="Q828" s="2" t="str">
        <f>IF(Iterations[[#This Row],[Step]] =current_step, current_Grad_d,IF(Iterations[[#This Row],[Step]] &gt; current_step, "",Iterations[[#This Row],[Grad_d]]))</f>
        <v/>
      </c>
      <c r="R828" s="2" t="str">
        <f>IF(Iterations[[#This Row],[Step]] =current_step, current_Grad_e,IF(Iterations[[#This Row],[Step]] &gt; current_step, "",Iterations[[#This Row],[Grad_e]]))</f>
        <v/>
      </c>
    </row>
    <row r="829" spans="6:18" x14ac:dyDescent="0.3">
      <c r="F829" s="2">
        <f t="shared" si="15"/>
        <v>812</v>
      </c>
      <c r="G829" s="2" t="str">
        <f>IF(Iterations[[#This Row],[Step]] =current_step, current_a,IF(Iterations[[#This Row],[Step]] &gt; current_step, "",Iterations[[#This Row],[a]]))</f>
        <v/>
      </c>
      <c r="H829" s="2" t="str">
        <f>IF(Iterations[[#This Row],[Step]] =current_step, current_b,IF(Iterations[[#This Row],[Step]] &gt; current_step, "",Iterations[[#This Row],[b]]))</f>
        <v/>
      </c>
      <c r="I829" s="2" t="str">
        <f>IF(Iterations[[#This Row],[Step]] =current_step, current_c,IF(Iterations[[#This Row],[Step]] &gt; current_step, "",Iterations[[#This Row],[c]]))</f>
        <v/>
      </c>
      <c r="J829" s="2" t="str">
        <f>IF(Iterations[[#This Row],[Step]] =current_step, current_d,IF(Iterations[[#This Row],[Step]] &gt; current_step, "",Iterations[[#This Row],[d]]))</f>
        <v/>
      </c>
      <c r="K829" s="2" t="str">
        <f>IF(Iterations[[#This Row],[Step]] =current_step, current_e,IF(Iterations[[#This Row],[Step]] &gt; current_step, "",Iterations[[#This Row],[e]]))</f>
        <v/>
      </c>
      <c r="L829" s="2" t="str">
        <f>IF(Iterations[[#This Row],[Step]] =current_step, current_Total_Loss,IF(Iterations[[#This Row],[Step]] &gt; current_step, "",Iterations[[#This Row],[Total Loss]]))</f>
        <v/>
      </c>
      <c r="M829" s="6" t="s">
        <v>27</v>
      </c>
      <c r="N829" s="2" t="str">
        <f>IF(Iterations[[#This Row],[Step]] =current_step, current_Grad_a,IF(Iterations[[#This Row],[Step]] &gt; current_step, "",Iterations[[#This Row],[Grad_a]]))</f>
        <v/>
      </c>
      <c r="O829" s="2" t="str">
        <f>IF(Iterations[[#This Row],[Step]] =current_step, current_Grad_b,IF(Iterations[[#This Row],[Step]] &gt; current_step, "",Iterations[[#This Row],[Grad_b]]))</f>
        <v/>
      </c>
      <c r="P829" s="2" t="str">
        <f>IF(Iterations[[#This Row],[Step]] =current_step, current_Grad_c,IF(Iterations[[#This Row],[Step]] &gt; current_step, "",Iterations[[#This Row],[Grad_c]]))</f>
        <v/>
      </c>
      <c r="Q829" s="2" t="str">
        <f>IF(Iterations[[#This Row],[Step]] =current_step, current_Grad_d,IF(Iterations[[#This Row],[Step]] &gt; current_step, "",Iterations[[#This Row],[Grad_d]]))</f>
        <v/>
      </c>
      <c r="R829" s="2" t="str">
        <f>IF(Iterations[[#This Row],[Step]] =current_step, current_Grad_e,IF(Iterations[[#This Row],[Step]] &gt; current_step, "",Iterations[[#This Row],[Grad_e]]))</f>
        <v/>
      </c>
    </row>
    <row r="830" spans="6:18" x14ac:dyDescent="0.3">
      <c r="F830" s="2">
        <f t="shared" si="15"/>
        <v>813</v>
      </c>
      <c r="G830" s="2" t="str">
        <f>IF(Iterations[[#This Row],[Step]] =current_step, current_a,IF(Iterations[[#This Row],[Step]] &gt; current_step, "",Iterations[[#This Row],[a]]))</f>
        <v/>
      </c>
      <c r="H830" s="2" t="str">
        <f>IF(Iterations[[#This Row],[Step]] =current_step, current_b,IF(Iterations[[#This Row],[Step]] &gt; current_step, "",Iterations[[#This Row],[b]]))</f>
        <v/>
      </c>
      <c r="I830" s="2" t="str">
        <f>IF(Iterations[[#This Row],[Step]] =current_step, current_c,IF(Iterations[[#This Row],[Step]] &gt; current_step, "",Iterations[[#This Row],[c]]))</f>
        <v/>
      </c>
      <c r="J830" s="2" t="str">
        <f>IF(Iterations[[#This Row],[Step]] =current_step, current_d,IF(Iterations[[#This Row],[Step]] &gt; current_step, "",Iterations[[#This Row],[d]]))</f>
        <v/>
      </c>
      <c r="K830" s="2" t="str">
        <f>IF(Iterations[[#This Row],[Step]] =current_step, current_e,IF(Iterations[[#This Row],[Step]] &gt; current_step, "",Iterations[[#This Row],[e]]))</f>
        <v/>
      </c>
      <c r="L830" s="2" t="str">
        <f>IF(Iterations[[#This Row],[Step]] =current_step, current_Total_Loss,IF(Iterations[[#This Row],[Step]] &gt; current_step, "",Iterations[[#This Row],[Total Loss]]))</f>
        <v/>
      </c>
      <c r="M830" s="6" t="s">
        <v>27</v>
      </c>
      <c r="N830" s="2" t="str">
        <f>IF(Iterations[[#This Row],[Step]] =current_step, current_Grad_a,IF(Iterations[[#This Row],[Step]] &gt; current_step, "",Iterations[[#This Row],[Grad_a]]))</f>
        <v/>
      </c>
      <c r="O830" s="2" t="str">
        <f>IF(Iterations[[#This Row],[Step]] =current_step, current_Grad_b,IF(Iterations[[#This Row],[Step]] &gt; current_step, "",Iterations[[#This Row],[Grad_b]]))</f>
        <v/>
      </c>
      <c r="P830" s="2" t="str">
        <f>IF(Iterations[[#This Row],[Step]] =current_step, current_Grad_c,IF(Iterations[[#This Row],[Step]] &gt; current_step, "",Iterations[[#This Row],[Grad_c]]))</f>
        <v/>
      </c>
      <c r="Q830" s="2" t="str">
        <f>IF(Iterations[[#This Row],[Step]] =current_step, current_Grad_d,IF(Iterations[[#This Row],[Step]] &gt; current_step, "",Iterations[[#This Row],[Grad_d]]))</f>
        <v/>
      </c>
      <c r="R830" s="2" t="str">
        <f>IF(Iterations[[#This Row],[Step]] =current_step, current_Grad_e,IF(Iterations[[#This Row],[Step]] &gt; current_step, "",Iterations[[#This Row],[Grad_e]]))</f>
        <v/>
      </c>
    </row>
    <row r="831" spans="6:18" x14ac:dyDescent="0.3">
      <c r="F831" s="2">
        <f t="shared" si="15"/>
        <v>814</v>
      </c>
      <c r="G831" s="2" t="str">
        <f>IF(Iterations[[#This Row],[Step]] =current_step, current_a,IF(Iterations[[#This Row],[Step]] &gt; current_step, "",Iterations[[#This Row],[a]]))</f>
        <v/>
      </c>
      <c r="H831" s="2" t="str">
        <f>IF(Iterations[[#This Row],[Step]] =current_step, current_b,IF(Iterations[[#This Row],[Step]] &gt; current_step, "",Iterations[[#This Row],[b]]))</f>
        <v/>
      </c>
      <c r="I831" s="2" t="str">
        <f>IF(Iterations[[#This Row],[Step]] =current_step, current_c,IF(Iterations[[#This Row],[Step]] &gt; current_step, "",Iterations[[#This Row],[c]]))</f>
        <v/>
      </c>
      <c r="J831" s="2" t="str">
        <f>IF(Iterations[[#This Row],[Step]] =current_step, current_d,IF(Iterations[[#This Row],[Step]] &gt; current_step, "",Iterations[[#This Row],[d]]))</f>
        <v/>
      </c>
      <c r="K831" s="2" t="str">
        <f>IF(Iterations[[#This Row],[Step]] =current_step, current_e,IF(Iterations[[#This Row],[Step]] &gt; current_step, "",Iterations[[#This Row],[e]]))</f>
        <v/>
      </c>
      <c r="L831" s="2" t="str">
        <f>IF(Iterations[[#This Row],[Step]] =current_step, current_Total_Loss,IF(Iterations[[#This Row],[Step]] &gt; current_step, "",Iterations[[#This Row],[Total Loss]]))</f>
        <v/>
      </c>
      <c r="M831" s="6" t="s">
        <v>27</v>
      </c>
      <c r="N831" s="2" t="str">
        <f>IF(Iterations[[#This Row],[Step]] =current_step, current_Grad_a,IF(Iterations[[#This Row],[Step]] &gt; current_step, "",Iterations[[#This Row],[Grad_a]]))</f>
        <v/>
      </c>
      <c r="O831" s="2" t="str">
        <f>IF(Iterations[[#This Row],[Step]] =current_step, current_Grad_b,IF(Iterations[[#This Row],[Step]] &gt; current_step, "",Iterations[[#This Row],[Grad_b]]))</f>
        <v/>
      </c>
      <c r="P831" s="2" t="str">
        <f>IF(Iterations[[#This Row],[Step]] =current_step, current_Grad_c,IF(Iterations[[#This Row],[Step]] &gt; current_step, "",Iterations[[#This Row],[Grad_c]]))</f>
        <v/>
      </c>
      <c r="Q831" s="2" t="str">
        <f>IF(Iterations[[#This Row],[Step]] =current_step, current_Grad_d,IF(Iterations[[#This Row],[Step]] &gt; current_step, "",Iterations[[#This Row],[Grad_d]]))</f>
        <v/>
      </c>
      <c r="R831" s="2" t="str">
        <f>IF(Iterations[[#This Row],[Step]] =current_step, current_Grad_e,IF(Iterations[[#This Row],[Step]] &gt; current_step, "",Iterations[[#This Row],[Grad_e]]))</f>
        <v/>
      </c>
    </row>
    <row r="832" spans="6:18" x14ac:dyDescent="0.3">
      <c r="F832" s="2">
        <f t="shared" si="15"/>
        <v>815</v>
      </c>
      <c r="G832" s="2" t="str">
        <f>IF(Iterations[[#This Row],[Step]] =current_step, current_a,IF(Iterations[[#This Row],[Step]] &gt; current_step, "",Iterations[[#This Row],[a]]))</f>
        <v/>
      </c>
      <c r="H832" s="2" t="str">
        <f>IF(Iterations[[#This Row],[Step]] =current_step, current_b,IF(Iterations[[#This Row],[Step]] &gt; current_step, "",Iterations[[#This Row],[b]]))</f>
        <v/>
      </c>
      <c r="I832" s="2" t="str">
        <f>IF(Iterations[[#This Row],[Step]] =current_step, current_c,IF(Iterations[[#This Row],[Step]] &gt; current_step, "",Iterations[[#This Row],[c]]))</f>
        <v/>
      </c>
      <c r="J832" s="2" t="str">
        <f>IF(Iterations[[#This Row],[Step]] =current_step, current_d,IF(Iterations[[#This Row],[Step]] &gt; current_step, "",Iterations[[#This Row],[d]]))</f>
        <v/>
      </c>
      <c r="K832" s="2" t="str">
        <f>IF(Iterations[[#This Row],[Step]] =current_step, current_e,IF(Iterations[[#This Row],[Step]] &gt; current_step, "",Iterations[[#This Row],[e]]))</f>
        <v/>
      </c>
      <c r="L832" s="2" t="str">
        <f>IF(Iterations[[#This Row],[Step]] =current_step, current_Total_Loss,IF(Iterations[[#This Row],[Step]] &gt; current_step, "",Iterations[[#This Row],[Total Loss]]))</f>
        <v/>
      </c>
      <c r="M832" s="6" t="s">
        <v>27</v>
      </c>
      <c r="N832" s="2" t="str">
        <f>IF(Iterations[[#This Row],[Step]] =current_step, current_Grad_a,IF(Iterations[[#This Row],[Step]] &gt; current_step, "",Iterations[[#This Row],[Grad_a]]))</f>
        <v/>
      </c>
      <c r="O832" s="2" t="str">
        <f>IF(Iterations[[#This Row],[Step]] =current_step, current_Grad_b,IF(Iterations[[#This Row],[Step]] &gt; current_step, "",Iterations[[#This Row],[Grad_b]]))</f>
        <v/>
      </c>
      <c r="P832" s="2" t="str">
        <f>IF(Iterations[[#This Row],[Step]] =current_step, current_Grad_c,IF(Iterations[[#This Row],[Step]] &gt; current_step, "",Iterations[[#This Row],[Grad_c]]))</f>
        <v/>
      </c>
      <c r="Q832" s="2" t="str">
        <f>IF(Iterations[[#This Row],[Step]] =current_step, current_Grad_d,IF(Iterations[[#This Row],[Step]] &gt; current_step, "",Iterations[[#This Row],[Grad_d]]))</f>
        <v/>
      </c>
      <c r="R832" s="2" t="str">
        <f>IF(Iterations[[#This Row],[Step]] =current_step, current_Grad_e,IF(Iterations[[#This Row],[Step]] &gt; current_step, "",Iterations[[#This Row],[Grad_e]]))</f>
        <v/>
      </c>
    </row>
    <row r="833" spans="6:18" x14ac:dyDescent="0.3">
      <c r="F833" s="2">
        <f t="shared" si="15"/>
        <v>816</v>
      </c>
      <c r="G833" s="2" t="str">
        <f>IF(Iterations[[#This Row],[Step]] =current_step, current_a,IF(Iterations[[#This Row],[Step]] &gt; current_step, "",Iterations[[#This Row],[a]]))</f>
        <v/>
      </c>
      <c r="H833" s="2" t="str">
        <f>IF(Iterations[[#This Row],[Step]] =current_step, current_b,IF(Iterations[[#This Row],[Step]] &gt; current_step, "",Iterations[[#This Row],[b]]))</f>
        <v/>
      </c>
      <c r="I833" s="2" t="str">
        <f>IF(Iterations[[#This Row],[Step]] =current_step, current_c,IF(Iterations[[#This Row],[Step]] &gt; current_step, "",Iterations[[#This Row],[c]]))</f>
        <v/>
      </c>
      <c r="J833" s="2" t="str">
        <f>IF(Iterations[[#This Row],[Step]] =current_step, current_d,IF(Iterations[[#This Row],[Step]] &gt; current_step, "",Iterations[[#This Row],[d]]))</f>
        <v/>
      </c>
      <c r="K833" s="2" t="str">
        <f>IF(Iterations[[#This Row],[Step]] =current_step, current_e,IF(Iterations[[#This Row],[Step]] &gt; current_step, "",Iterations[[#This Row],[e]]))</f>
        <v/>
      </c>
      <c r="L833" s="2" t="str">
        <f>IF(Iterations[[#This Row],[Step]] =current_step, current_Total_Loss,IF(Iterations[[#This Row],[Step]] &gt; current_step, "",Iterations[[#This Row],[Total Loss]]))</f>
        <v/>
      </c>
      <c r="M833" s="6" t="s">
        <v>27</v>
      </c>
      <c r="N833" s="2" t="str">
        <f>IF(Iterations[[#This Row],[Step]] =current_step, current_Grad_a,IF(Iterations[[#This Row],[Step]] &gt; current_step, "",Iterations[[#This Row],[Grad_a]]))</f>
        <v/>
      </c>
      <c r="O833" s="2" t="str">
        <f>IF(Iterations[[#This Row],[Step]] =current_step, current_Grad_b,IF(Iterations[[#This Row],[Step]] &gt; current_step, "",Iterations[[#This Row],[Grad_b]]))</f>
        <v/>
      </c>
      <c r="P833" s="2" t="str">
        <f>IF(Iterations[[#This Row],[Step]] =current_step, current_Grad_c,IF(Iterations[[#This Row],[Step]] &gt; current_step, "",Iterations[[#This Row],[Grad_c]]))</f>
        <v/>
      </c>
      <c r="Q833" s="2" t="str">
        <f>IF(Iterations[[#This Row],[Step]] =current_step, current_Grad_d,IF(Iterations[[#This Row],[Step]] &gt; current_step, "",Iterations[[#This Row],[Grad_d]]))</f>
        <v/>
      </c>
      <c r="R833" s="2" t="str">
        <f>IF(Iterations[[#This Row],[Step]] =current_step, current_Grad_e,IF(Iterations[[#This Row],[Step]] &gt; current_step, "",Iterations[[#This Row],[Grad_e]]))</f>
        <v/>
      </c>
    </row>
    <row r="834" spans="6:18" x14ac:dyDescent="0.3">
      <c r="F834" s="2">
        <f t="shared" si="15"/>
        <v>817</v>
      </c>
      <c r="G834" s="2" t="str">
        <f>IF(Iterations[[#This Row],[Step]] =current_step, current_a,IF(Iterations[[#This Row],[Step]] &gt; current_step, "",Iterations[[#This Row],[a]]))</f>
        <v/>
      </c>
      <c r="H834" s="2" t="str">
        <f>IF(Iterations[[#This Row],[Step]] =current_step, current_b,IF(Iterations[[#This Row],[Step]] &gt; current_step, "",Iterations[[#This Row],[b]]))</f>
        <v/>
      </c>
      <c r="I834" s="2" t="str">
        <f>IF(Iterations[[#This Row],[Step]] =current_step, current_c,IF(Iterations[[#This Row],[Step]] &gt; current_step, "",Iterations[[#This Row],[c]]))</f>
        <v/>
      </c>
      <c r="J834" s="2" t="str">
        <f>IF(Iterations[[#This Row],[Step]] =current_step, current_d,IF(Iterations[[#This Row],[Step]] &gt; current_step, "",Iterations[[#This Row],[d]]))</f>
        <v/>
      </c>
      <c r="K834" s="2" t="str">
        <f>IF(Iterations[[#This Row],[Step]] =current_step, current_e,IF(Iterations[[#This Row],[Step]] &gt; current_step, "",Iterations[[#This Row],[e]]))</f>
        <v/>
      </c>
      <c r="L834" s="2" t="str">
        <f>IF(Iterations[[#This Row],[Step]] =current_step, current_Total_Loss,IF(Iterations[[#This Row],[Step]] &gt; current_step, "",Iterations[[#This Row],[Total Loss]]))</f>
        <v/>
      </c>
      <c r="M834" s="6" t="s">
        <v>27</v>
      </c>
      <c r="N834" s="2" t="str">
        <f>IF(Iterations[[#This Row],[Step]] =current_step, current_Grad_a,IF(Iterations[[#This Row],[Step]] &gt; current_step, "",Iterations[[#This Row],[Grad_a]]))</f>
        <v/>
      </c>
      <c r="O834" s="2" t="str">
        <f>IF(Iterations[[#This Row],[Step]] =current_step, current_Grad_b,IF(Iterations[[#This Row],[Step]] &gt; current_step, "",Iterations[[#This Row],[Grad_b]]))</f>
        <v/>
      </c>
      <c r="P834" s="2" t="str">
        <f>IF(Iterations[[#This Row],[Step]] =current_step, current_Grad_c,IF(Iterations[[#This Row],[Step]] &gt; current_step, "",Iterations[[#This Row],[Grad_c]]))</f>
        <v/>
      </c>
      <c r="Q834" s="2" t="str">
        <f>IF(Iterations[[#This Row],[Step]] =current_step, current_Grad_d,IF(Iterations[[#This Row],[Step]] &gt; current_step, "",Iterations[[#This Row],[Grad_d]]))</f>
        <v/>
      </c>
      <c r="R834" s="2" t="str">
        <f>IF(Iterations[[#This Row],[Step]] =current_step, current_Grad_e,IF(Iterations[[#This Row],[Step]] &gt; current_step, "",Iterations[[#This Row],[Grad_e]]))</f>
        <v/>
      </c>
    </row>
    <row r="835" spans="6:18" x14ac:dyDescent="0.3">
      <c r="F835" s="2">
        <f t="shared" si="15"/>
        <v>818</v>
      </c>
      <c r="G835" s="2" t="str">
        <f>IF(Iterations[[#This Row],[Step]] =current_step, current_a,IF(Iterations[[#This Row],[Step]] &gt; current_step, "",Iterations[[#This Row],[a]]))</f>
        <v/>
      </c>
      <c r="H835" s="2" t="str">
        <f>IF(Iterations[[#This Row],[Step]] =current_step, current_b,IF(Iterations[[#This Row],[Step]] &gt; current_step, "",Iterations[[#This Row],[b]]))</f>
        <v/>
      </c>
      <c r="I835" s="2" t="str">
        <f>IF(Iterations[[#This Row],[Step]] =current_step, current_c,IF(Iterations[[#This Row],[Step]] &gt; current_step, "",Iterations[[#This Row],[c]]))</f>
        <v/>
      </c>
      <c r="J835" s="2" t="str">
        <f>IF(Iterations[[#This Row],[Step]] =current_step, current_d,IF(Iterations[[#This Row],[Step]] &gt; current_step, "",Iterations[[#This Row],[d]]))</f>
        <v/>
      </c>
      <c r="K835" s="2" t="str">
        <f>IF(Iterations[[#This Row],[Step]] =current_step, current_e,IF(Iterations[[#This Row],[Step]] &gt; current_step, "",Iterations[[#This Row],[e]]))</f>
        <v/>
      </c>
      <c r="L835" s="2" t="str">
        <f>IF(Iterations[[#This Row],[Step]] =current_step, current_Total_Loss,IF(Iterations[[#This Row],[Step]] &gt; current_step, "",Iterations[[#This Row],[Total Loss]]))</f>
        <v/>
      </c>
      <c r="M835" s="6" t="s">
        <v>27</v>
      </c>
      <c r="N835" s="2" t="str">
        <f>IF(Iterations[[#This Row],[Step]] =current_step, current_Grad_a,IF(Iterations[[#This Row],[Step]] &gt; current_step, "",Iterations[[#This Row],[Grad_a]]))</f>
        <v/>
      </c>
      <c r="O835" s="2" t="str">
        <f>IF(Iterations[[#This Row],[Step]] =current_step, current_Grad_b,IF(Iterations[[#This Row],[Step]] &gt; current_step, "",Iterations[[#This Row],[Grad_b]]))</f>
        <v/>
      </c>
      <c r="P835" s="2" t="str">
        <f>IF(Iterations[[#This Row],[Step]] =current_step, current_Grad_c,IF(Iterations[[#This Row],[Step]] &gt; current_step, "",Iterations[[#This Row],[Grad_c]]))</f>
        <v/>
      </c>
      <c r="Q835" s="2" t="str">
        <f>IF(Iterations[[#This Row],[Step]] =current_step, current_Grad_d,IF(Iterations[[#This Row],[Step]] &gt; current_step, "",Iterations[[#This Row],[Grad_d]]))</f>
        <v/>
      </c>
      <c r="R835" s="2" t="str">
        <f>IF(Iterations[[#This Row],[Step]] =current_step, current_Grad_e,IF(Iterations[[#This Row],[Step]] &gt; current_step, "",Iterations[[#This Row],[Grad_e]]))</f>
        <v/>
      </c>
    </row>
    <row r="836" spans="6:18" x14ac:dyDescent="0.3">
      <c r="F836" s="2">
        <f t="shared" si="15"/>
        <v>819</v>
      </c>
      <c r="G836" s="2" t="str">
        <f>IF(Iterations[[#This Row],[Step]] =current_step, current_a,IF(Iterations[[#This Row],[Step]] &gt; current_step, "",Iterations[[#This Row],[a]]))</f>
        <v/>
      </c>
      <c r="H836" s="2" t="str">
        <f>IF(Iterations[[#This Row],[Step]] =current_step, current_b,IF(Iterations[[#This Row],[Step]] &gt; current_step, "",Iterations[[#This Row],[b]]))</f>
        <v/>
      </c>
      <c r="I836" s="2" t="str">
        <f>IF(Iterations[[#This Row],[Step]] =current_step, current_c,IF(Iterations[[#This Row],[Step]] &gt; current_step, "",Iterations[[#This Row],[c]]))</f>
        <v/>
      </c>
      <c r="J836" s="2" t="str">
        <f>IF(Iterations[[#This Row],[Step]] =current_step, current_d,IF(Iterations[[#This Row],[Step]] &gt; current_step, "",Iterations[[#This Row],[d]]))</f>
        <v/>
      </c>
      <c r="K836" s="2" t="str">
        <f>IF(Iterations[[#This Row],[Step]] =current_step, current_e,IF(Iterations[[#This Row],[Step]] &gt; current_step, "",Iterations[[#This Row],[e]]))</f>
        <v/>
      </c>
      <c r="L836" s="2" t="str">
        <f>IF(Iterations[[#This Row],[Step]] =current_step, current_Total_Loss,IF(Iterations[[#This Row],[Step]] &gt; current_step, "",Iterations[[#This Row],[Total Loss]]))</f>
        <v/>
      </c>
      <c r="M836" s="6" t="s">
        <v>27</v>
      </c>
      <c r="N836" s="2" t="str">
        <f>IF(Iterations[[#This Row],[Step]] =current_step, current_Grad_a,IF(Iterations[[#This Row],[Step]] &gt; current_step, "",Iterations[[#This Row],[Grad_a]]))</f>
        <v/>
      </c>
      <c r="O836" s="2" t="str">
        <f>IF(Iterations[[#This Row],[Step]] =current_step, current_Grad_b,IF(Iterations[[#This Row],[Step]] &gt; current_step, "",Iterations[[#This Row],[Grad_b]]))</f>
        <v/>
      </c>
      <c r="P836" s="2" t="str">
        <f>IF(Iterations[[#This Row],[Step]] =current_step, current_Grad_c,IF(Iterations[[#This Row],[Step]] &gt; current_step, "",Iterations[[#This Row],[Grad_c]]))</f>
        <v/>
      </c>
      <c r="Q836" s="2" t="str">
        <f>IF(Iterations[[#This Row],[Step]] =current_step, current_Grad_d,IF(Iterations[[#This Row],[Step]] &gt; current_step, "",Iterations[[#This Row],[Grad_d]]))</f>
        <v/>
      </c>
      <c r="R836" s="2" t="str">
        <f>IF(Iterations[[#This Row],[Step]] =current_step, current_Grad_e,IF(Iterations[[#This Row],[Step]] &gt; current_step, "",Iterations[[#This Row],[Grad_e]]))</f>
        <v/>
      </c>
    </row>
    <row r="837" spans="6:18" x14ac:dyDescent="0.3">
      <c r="F837" s="2">
        <f t="shared" si="15"/>
        <v>820</v>
      </c>
      <c r="G837" s="2" t="str">
        <f>IF(Iterations[[#This Row],[Step]] =current_step, current_a,IF(Iterations[[#This Row],[Step]] &gt; current_step, "",Iterations[[#This Row],[a]]))</f>
        <v/>
      </c>
      <c r="H837" s="2" t="str">
        <f>IF(Iterations[[#This Row],[Step]] =current_step, current_b,IF(Iterations[[#This Row],[Step]] &gt; current_step, "",Iterations[[#This Row],[b]]))</f>
        <v/>
      </c>
      <c r="I837" s="2" t="str">
        <f>IF(Iterations[[#This Row],[Step]] =current_step, current_c,IF(Iterations[[#This Row],[Step]] &gt; current_step, "",Iterations[[#This Row],[c]]))</f>
        <v/>
      </c>
      <c r="J837" s="2" t="str">
        <f>IF(Iterations[[#This Row],[Step]] =current_step, current_d,IF(Iterations[[#This Row],[Step]] &gt; current_step, "",Iterations[[#This Row],[d]]))</f>
        <v/>
      </c>
      <c r="K837" s="2" t="str">
        <f>IF(Iterations[[#This Row],[Step]] =current_step, current_e,IF(Iterations[[#This Row],[Step]] &gt; current_step, "",Iterations[[#This Row],[e]]))</f>
        <v/>
      </c>
      <c r="L837" s="2" t="str">
        <f>IF(Iterations[[#This Row],[Step]] =current_step, current_Total_Loss,IF(Iterations[[#This Row],[Step]] &gt; current_step, "",Iterations[[#This Row],[Total Loss]]))</f>
        <v/>
      </c>
      <c r="M837" s="6" t="s">
        <v>27</v>
      </c>
      <c r="N837" s="2" t="str">
        <f>IF(Iterations[[#This Row],[Step]] =current_step, current_Grad_a,IF(Iterations[[#This Row],[Step]] &gt; current_step, "",Iterations[[#This Row],[Grad_a]]))</f>
        <v/>
      </c>
      <c r="O837" s="2" t="str">
        <f>IF(Iterations[[#This Row],[Step]] =current_step, current_Grad_b,IF(Iterations[[#This Row],[Step]] &gt; current_step, "",Iterations[[#This Row],[Grad_b]]))</f>
        <v/>
      </c>
      <c r="P837" s="2" t="str">
        <f>IF(Iterations[[#This Row],[Step]] =current_step, current_Grad_c,IF(Iterations[[#This Row],[Step]] &gt; current_step, "",Iterations[[#This Row],[Grad_c]]))</f>
        <v/>
      </c>
      <c r="Q837" s="2" t="str">
        <f>IF(Iterations[[#This Row],[Step]] =current_step, current_Grad_d,IF(Iterations[[#This Row],[Step]] &gt; current_step, "",Iterations[[#This Row],[Grad_d]]))</f>
        <v/>
      </c>
      <c r="R837" s="2" t="str">
        <f>IF(Iterations[[#This Row],[Step]] =current_step, current_Grad_e,IF(Iterations[[#This Row],[Step]] &gt; current_step, "",Iterations[[#This Row],[Grad_e]]))</f>
        <v/>
      </c>
    </row>
    <row r="838" spans="6:18" x14ac:dyDescent="0.3">
      <c r="F838" s="2">
        <f t="shared" si="15"/>
        <v>821</v>
      </c>
      <c r="G838" s="2" t="str">
        <f>IF(Iterations[[#This Row],[Step]] =current_step, current_a,IF(Iterations[[#This Row],[Step]] &gt; current_step, "",Iterations[[#This Row],[a]]))</f>
        <v/>
      </c>
      <c r="H838" s="2" t="str">
        <f>IF(Iterations[[#This Row],[Step]] =current_step, current_b,IF(Iterations[[#This Row],[Step]] &gt; current_step, "",Iterations[[#This Row],[b]]))</f>
        <v/>
      </c>
      <c r="I838" s="2" t="str">
        <f>IF(Iterations[[#This Row],[Step]] =current_step, current_c,IF(Iterations[[#This Row],[Step]] &gt; current_step, "",Iterations[[#This Row],[c]]))</f>
        <v/>
      </c>
      <c r="J838" s="2" t="str">
        <f>IF(Iterations[[#This Row],[Step]] =current_step, current_d,IF(Iterations[[#This Row],[Step]] &gt; current_step, "",Iterations[[#This Row],[d]]))</f>
        <v/>
      </c>
      <c r="K838" s="2" t="str">
        <f>IF(Iterations[[#This Row],[Step]] =current_step, current_e,IF(Iterations[[#This Row],[Step]] &gt; current_step, "",Iterations[[#This Row],[e]]))</f>
        <v/>
      </c>
      <c r="L838" s="2" t="str">
        <f>IF(Iterations[[#This Row],[Step]] =current_step, current_Total_Loss,IF(Iterations[[#This Row],[Step]] &gt; current_step, "",Iterations[[#This Row],[Total Loss]]))</f>
        <v/>
      </c>
      <c r="M838" s="6" t="s">
        <v>27</v>
      </c>
      <c r="N838" s="2" t="str">
        <f>IF(Iterations[[#This Row],[Step]] =current_step, current_Grad_a,IF(Iterations[[#This Row],[Step]] &gt; current_step, "",Iterations[[#This Row],[Grad_a]]))</f>
        <v/>
      </c>
      <c r="O838" s="2" t="str">
        <f>IF(Iterations[[#This Row],[Step]] =current_step, current_Grad_b,IF(Iterations[[#This Row],[Step]] &gt; current_step, "",Iterations[[#This Row],[Grad_b]]))</f>
        <v/>
      </c>
      <c r="P838" s="2" t="str">
        <f>IF(Iterations[[#This Row],[Step]] =current_step, current_Grad_c,IF(Iterations[[#This Row],[Step]] &gt; current_step, "",Iterations[[#This Row],[Grad_c]]))</f>
        <v/>
      </c>
      <c r="Q838" s="2" t="str">
        <f>IF(Iterations[[#This Row],[Step]] =current_step, current_Grad_d,IF(Iterations[[#This Row],[Step]] &gt; current_step, "",Iterations[[#This Row],[Grad_d]]))</f>
        <v/>
      </c>
      <c r="R838" s="2" t="str">
        <f>IF(Iterations[[#This Row],[Step]] =current_step, current_Grad_e,IF(Iterations[[#This Row],[Step]] &gt; current_step, "",Iterations[[#This Row],[Grad_e]]))</f>
        <v/>
      </c>
    </row>
    <row r="839" spans="6:18" x14ac:dyDescent="0.3">
      <c r="F839" s="2">
        <f t="shared" si="15"/>
        <v>822</v>
      </c>
      <c r="G839" s="2" t="str">
        <f>IF(Iterations[[#This Row],[Step]] =current_step, current_a,IF(Iterations[[#This Row],[Step]] &gt; current_step, "",Iterations[[#This Row],[a]]))</f>
        <v/>
      </c>
      <c r="H839" s="2" t="str">
        <f>IF(Iterations[[#This Row],[Step]] =current_step, current_b,IF(Iterations[[#This Row],[Step]] &gt; current_step, "",Iterations[[#This Row],[b]]))</f>
        <v/>
      </c>
      <c r="I839" s="2" t="str">
        <f>IF(Iterations[[#This Row],[Step]] =current_step, current_c,IF(Iterations[[#This Row],[Step]] &gt; current_step, "",Iterations[[#This Row],[c]]))</f>
        <v/>
      </c>
      <c r="J839" s="2" t="str">
        <f>IF(Iterations[[#This Row],[Step]] =current_step, current_d,IF(Iterations[[#This Row],[Step]] &gt; current_step, "",Iterations[[#This Row],[d]]))</f>
        <v/>
      </c>
      <c r="K839" s="2" t="str">
        <f>IF(Iterations[[#This Row],[Step]] =current_step, current_e,IF(Iterations[[#This Row],[Step]] &gt; current_step, "",Iterations[[#This Row],[e]]))</f>
        <v/>
      </c>
      <c r="L839" s="2" t="str">
        <f>IF(Iterations[[#This Row],[Step]] =current_step, current_Total_Loss,IF(Iterations[[#This Row],[Step]] &gt; current_step, "",Iterations[[#This Row],[Total Loss]]))</f>
        <v/>
      </c>
      <c r="M839" s="6" t="s">
        <v>27</v>
      </c>
      <c r="N839" s="2" t="str">
        <f>IF(Iterations[[#This Row],[Step]] =current_step, current_Grad_a,IF(Iterations[[#This Row],[Step]] &gt; current_step, "",Iterations[[#This Row],[Grad_a]]))</f>
        <v/>
      </c>
      <c r="O839" s="2" t="str">
        <f>IF(Iterations[[#This Row],[Step]] =current_step, current_Grad_b,IF(Iterations[[#This Row],[Step]] &gt; current_step, "",Iterations[[#This Row],[Grad_b]]))</f>
        <v/>
      </c>
      <c r="P839" s="2" t="str">
        <f>IF(Iterations[[#This Row],[Step]] =current_step, current_Grad_c,IF(Iterations[[#This Row],[Step]] &gt; current_step, "",Iterations[[#This Row],[Grad_c]]))</f>
        <v/>
      </c>
      <c r="Q839" s="2" t="str">
        <f>IF(Iterations[[#This Row],[Step]] =current_step, current_Grad_d,IF(Iterations[[#This Row],[Step]] &gt; current_step, "",Iterations[[#This Row],[Grad_d]]))</f>
        <v/>
      </c>
      <c r="R839" s="2" t="str">
        <f>IF(Iterations[[#This Row],[Step]] =current_step, current_Grad_e,IF(Iterations[[#This Row],[Step]] &gt; current_step, "",Iterations[[#This Row],[Grad_e]]))</f>
        <v/>
      </c>
    </row>
    <row r="840" spans="6:18" x14ac:dyDescent="0.3">
      <c r="F840" s="2">
        <f t="shared" si="15"/>
        <v>823</v>
      </c>
      <c r="G840" s="2" t="str">
        <f>IF(Iterations[[#This Row],[Step]] =current_step, current_a,IF(Iterations[[#This Row],[Step]] &gt; current_step, "",Iterations[[#This Row],[a]]))</f>
        <v/>
      </c>
      <c r="H840" s="2" t="str">
        <f>IF(Iterations[[#This Row],[Step]] =current_step, current_b,IF(Iterations[[#This Row],[Step]] &gt; current_step, "",Iterations[[#This Row],[b]]))</f>
        <v/>
      </c>
      <c r="I840" s="2" t="str">
        <f>IF(Iterations[[#This Row],[Step]] =current_step, current_c,IF(Iterations[[#This Row],[Step]] &gt; current_step, "",Iterations[[#This Row],[c]]))</f>
        <v/>
      </c>
      <c r="J840" s="2" t="str">
        <f>IF(Iterations[[#This Row],[Step]] =current_step, current_d,IF(Iterations[[#This Row],[Step]] &gt; current_step, "",Iterations[[#This Row],[d]]))</f>
        <v/>
      </c>
      <c r="K840" s="2" t="str">
        <f>IF(Iterations[[#This Row],[Step]] =current_step, current_e,IF(Iterations[[#This Row],[Step]] &gt; current_step, "",Iterations[[#This Row],[e]]))</f>
        <v/>
      </c>
      <c r="L840" s="2" t="str">
        <f>IF(Iterations[[#This Row],[Step]] =current_step, current_Total_Loss,IF(Iterations[[#This Row],[Step]] &gt; current_step, "",Iterations[[#This Row],[Total Loss]]))</f>
        <v/>
      </c>
      <c r="M840" s="6" t="s">
        <v>27</v>
      </c>
      <c r="N840" s="2" t="str">
        <f>IF(Iterations[[#This Row],[Step]] =current_step, current_Grad_a,IF(Iterations[[#This Row],[Step]] &gt; current_step, "",Iterations[[#This Row],[Grad_a]]))</f>
        <v/>
      </c>
      <c r="O840" s="2" t="str">
        <f>IF(Iterations[[#This Row],[Step]] =current_step, current_Grad_b,IF(Iterations[[#This Row],[Step]] &gt; current_step, "",Iterations[[#This Row],[Grad_b]]))</f>
        <v/>
      </c>
      <c r="P840" s="2" t="str">
        <f>IF(Iterations[[#This Row],[Step]] =current_step, current_Grad_c,IF(Iterations[[#This Row],[Step]] &gt; current_step, "",Iterations[[#This Row],[Grad_c]]))</f>
        <v/>
      </c>
      <c r="Q840" s="2" t="str">
        <f>IF(Iterations[[#This Row],[Step]] =current_step, current_Grad_d,IF(Iterations[[#This Row],[Step]] &gt; current_step, "",Iterations[[#This Row],[Grad_d]]))</f>
        <v/>
      </c>
      <c r="R840" s="2" t="str">
        <f>IF(Iterations[[#This Row],[Step]] =current_step, current_Grad_e,IF(Iterations[[#This Row],[Step]] &gt; current_step, "",Iterations[[#This Row],[Grad_e]]))</f>
        <v/>
      </c>
    </row>
    <row r="841" spans="6:18" x14ac:dyDescent="0.3">
      <c r="F841" s="2">
        <f t="shared" si="15"/>
        <v>824</v>
      </c>
      <c r="G841" s="2" t="str">
        <f>IF(Iterations[[#This Row],[Step]] =current_step, current_a,IF(Iterations[[#This Row],[Step]] &gt; current_step, "",Iterations[[#This Row],[a]]))</f>
        <v/>
      </c>
      <c r="H841" s="2" t="str">
        <f>IF(Iterations[[#This Row],[Step]] =current_step, current_b,IF(Iterations[[#This Row],[Step]] &gt; current_step, "",Iterations[[#This Row],[b]]))</f>
        <v/>
      </c>
      <c r="I841" s="2" t="str">
        <f>IF(Iterations[[#This Row],[Step]] =current_step, current_c,IF(Iterations[[#This Row],[Step]] &gt; current_step, "",Iterations[[#This Row],[c]]))</f>
        <v/>
      </c>
      <c r="J841" s="2" t="str">
        <f>IF(Iterations[[#This Row],[Step]] =current_step, current_d,IF(Iterations[[#This Row],[Step]] &gt; current_step, "",Iterations[[#This Row],[d]]))</f>
        <v/>
      </c>
      <c r="K841" s="2" t="str">
        <f>IF(Iterations[[#This Row],[Step]] =current_step, current_e,IF(Iterations[[#This Row],[Step]] &gt; current_step, "",Iterations[[#This Row],[e]]))</f>
        <v/>
      </c>
      <c r="L841" s="2" t="str">
        <f>IF(Iterations[[#This Row],[Step]] =current_step, current_Total_Loss,IF(Iterations[[#This Row],[Step]] &gt; current_step, "",Iterations[[#This Row],[Total Loss]]))</f>
        <v/>
      </c>
      <c r="M841" s="6" t="s">
        <v>27</v>
      </c>
      <c r="N841" s="2" t="str">
        <f>IF(Iterations[[#This Row],[Step]] =current_step, current_Grad_a,IF(Iterations[[#This Row],[Step]] &gt; current_step, "",Iterations[[#This Row],[Grad_a]]))</f>
        <v/>
      </c>
      <c r="O841" s="2" t="str">
        <f>IF(Iterations[[#This Row],[Step]] =current_step, current_Grad_b,IF(Iterations[[#This Row],[Step]] &gt; current_step, "",Iterations[[#This Row],[Grad_b]]))</f>
        <v/>
      </c>
      <c r="P841" s="2" t="str">
        <f>IF(Iterations[[#This Row],[Step]] =current_step, current_Grad_c,IF(Iterations[[#This Row],[Step]] &gt; current_step, "",Iterations[[#This Row],[Grad_c]]))</f>
        <v/>
      </c>
      <c r="Q841" s="2" t="str">
        <f>IF(Iterations[[#This Row],[Step]] =current_step, current_Grad_d,IF(Iterations[[#This Row],[Step]] &gt; current_step, "",Iterations[[#This Row],[Grad_d]]))</f>
        <v/>
      </c>
      <c r="R841" s="2" t="str">
        <f>IF(Iterations[[#This Row],[Step]] =current_step, current_Grad_e,IF(Iterations[[#This Row],[Step]] &gt; current_step, "",Iterations[[#This Row],[Grad_e]]))</f>
        <v/>
      </c>
    </row>
    <row r="842" spans="6:18" x14ac:dyDescent="0.3">
      <c r="F842" s="2">
        <f t="shared" si="15"/>
        <v>825</v>
      </c>
      <c r="G842" s="2" t="str">
        <f>IF(Iterations[[#This Row],[Step]] =current_step, current_a,IF(Iterations[[#This Row],[Step]] &gt; current_step, "",Iterations[[#This Row],[a]]))</f>
        <v/>
      </c>
      <c r="H842" s="2" t="str">
        <f>IF(Iterations[[#This Row],[Step]] =current_step, current_b,IF(Iterations[[#This Row],[Step]] &gt; current_step, "",Iterations[[#This Row],[b]]))</f>
        <v/>
      </c>
      <c r="I842" s="2" t="str">
        <f>IF(Iterations[[#This Row],[Step]] =current_step, current_c,IF(Iterations[[#This Row],[Step]] &gt; current_step, "",Iterations[[#This Row],[c]]))</f>
        <v/>
      </c>
      <c r="J842" s="2" t="str">
        <f>IF(Iterations[[#This Row],[Step]] =current_step, current_d,IF(Iterations[[#This Row],[Step]] &gt; current_step, "",Iterations[[#This Row],[d]]))</f>
        <v/>
      </c>
      <c r="K842" s="2" t="str">
        <f>IF(Iterations[[#This Row],[Step]] =current_step, current_e,IF(Iterations[[#This Row],[Step]] &gt; current_step, "",Iterations[[#This Row],[e]]))</f>
        <v/>
      </c>
      <c r="L842" s="2" t="str">
        <f>IF(Iterations[[#This Row],[Step]] =current_step, current_Total_Loss,IF(Iterations[[#This Row],[Step]] &gt; current_step, "",Iterations[[#This Row],[Total Loss]]))</f>
        <v/>
      </c>
      <c r="M842" s="6" t="s">
        <v>27</v>
      </c>
      <c r="N842" s="2" t="str">
        <f>IF(Iterations[[#This Row],[Step]] =current_step, current_Grad_a,IF(Iterations[[#This Row],[Step]] &gt; current_step, "",Iterations[[#This Row],[Grad_a]]))</f>
        <v/>
      </c>
      <c r="O842" s="2" t="str">
        <f>IF(Iterations[[#This Row],[Step]] =current_step, current_Grad_b,IF(Iterations[[#This Row],[Step]] &gt; current_step, "",Iterations[[#This Row],[Grad_b]]))</f>
        <v/>
      </c>
      <c r="P842" s="2" t="str">
        <f>IF(Iterations[[#This Row],[Step]] =current_step, current_Grad_c,IF(Iterations[[#This Row],[Step]] &gt; current_step, "",Iterations[[#This Row],[Grad_c]]))</f>
        <v/>
      </c>
      <c r="Q842" s="2" t="str">
        <f>IF(Iterations[[#This Row],[Step]] =current_step, current_Grad_d,IF(Iterations[[#This Row],[Step]] &gt; current_step, "",Iterations[[#This Row],[Grad_d]]))</f>
        <v/>
      </c>
      <c r="R842" s="2" t="str">
        <f>IF(Iterations[[#This Row],[Step]] =current_step, current_Grad_e,IF(Iterations[[#This Row],[Step]] &gt; current_step, "",Iterations[[#This Row],[Grad_e]]))</f>
        <v/>
      </c>
    </row>
    <row r="843" spans="6:18" x14ac:dyDescent="0.3">
      <c r="F843" s="2">
        <f t="shared" si="15"/>
        <v>826</v>
      </c>
      <c r="G843" s="2" t="str">
        <f>IF(Iterations[[#This Row],[Step]] =current_step, current_a,IF(Iterations[[#This Row],[Step]] &gt; current_step, "",Iterations[[#This Row],[a]]))</f>
        <v/>
      </c>
      <c r="H843" s="2" t="str">
        <f>IF(Iterations[[#This Row],[Step]] =current_step, current_b,IF(Iterations[[#This Row],[Step]] &gt; current_step, "",Iterations[[#This Row],[b]]))</f>
        <v/>
      </c>
      <c r="I843" s="2" t="str">
        <f>IF(Iterations[[#This Row],[Step]] =current_step, current_c,IF(Iterations[[#This Row],[Step]] &gt; current_step, "",Iterations[[#This Row],[c]]))</f>
        <v/>
      </c>
      <c r="J843" s="2" t="str">
        <f>IF(Iterations[[#This Row],[Step]] =current_step, current_d,IF(Iterations[[#This Row],[Step]] &gt; current_step, "",Iterations[[#This Row],[d]]))</f>
        <v/>
      </c>
      <c r="K843" s="2" t="str">
        <f>IF(Iterations[[#This Row],[Step]] =current_step, current_e,IF(Iterations[[#This Row],[Step]] &gt; current_step, "",Iterations[[#This Row],[e]]))</f>
        <v/>
      </c>
      <c r="L843" s="2" t="str">
        <f>IF(Iterations[[#This Row],[Step]] =current_step, current_Total_Loss,IF(Iterations[[#This Row],[Step]] &gt; current_step, "",Iterations[[#This Row],[Total Loss]]))</f>
        <v/>
      </c>
      <c r="M843" s="6" t="s">
        <v>27</v>
      </c>
      <c r="N843" s="2" t="str">
        <f>IF(Iterations[[#This Row],[Step]] =current_step, current_Grad_a,IF(Iterations[[#This Row],[Step]] &gt; current_step, "",Iterations[[#This Row],[Grad_a]]))</f>
        <v/>
      </c>
      <c r="O843" s="2" t="str">
        <f>IF(Iterations[[#This Row],[Step]] =current_step, current_Grad_b,IF(Iterations[[#This Row],[Step]] &gt; current_step, "",Iterations[[#This Row],[Grad_b]]))</f>
        <v/>
      </c>
      <c r="P843" s="2" t="str">
        <f>IF(Iterations[[#This Row],[Step]] =current_step, current_Grad_c,IF(Iterations[[#This Row],[Step]] &gt; current_step, "",Iterations[[#This Row],[Grad_c]]))</f>
        <v/>
      </c>
      <c r="Q843" s="2" t="str">
        <f>IF(Iterations[[#This Row],[Step]] =current_step, current_Grad_d,IF(Iterations[[#This Row],[Step]] &gt; current_step, "",Iterations[[#This Row],[Grad_d]]))</f>
        <v/>
      </c>
      <c r="R843" s="2" t="str">
        <f>IF(Iterations[[#This Row],[Step]] =current_step, current_Grad_e,IF(Iterations[[#This Row],[Step]] &gt; current_step, "",Iterations[[#This Row],[Grad_e]]))</f>
        <v/>
      </c>
    </row>
    <row r="844" spans="6:18" x14ac:dyDescent="0.3">
      <c r="F844" s="2">
        <f t="shared" si="15"/>
        <v>827</v>
      </c>
      <c r="G844" s="2" t="str">
        <f>IF(Iterations[[#This Row],[Step]] =current_step, current_a,IF(Iterations[[#This Row],[Step]] &gt; current_step, "",Iterations[[#This Row],[a]]))</f>
        <v/>
      </c>
      <c r="H844" s="2" t="str">
        <f>IF(Iterations[[#This Row],[Step]] =current_step, current_b,IF(Iterations[[#This Row],[Step]] &gt; current_step, "",Iterations[[#This Row],[b]]))</f>
        <v/>
      </c>
      <c r="I844" s="2" t="str">
        <f>IF(Iterations[[#This Row],[Step]] =current_step, current_c,IF(Iterations[[#This Row],[Step]] &gt; current_step, "",Iterations[[#This Row],[c]]))</f>
        <v/>
      </c>
      <c r="J844" s="2" t="str">
        <f>IF(Iterations[[#This Row],[Step]] =current_step, current_d,IF(Iterations[[#This Row],[Step]] &gt; current_step, "",Iterations[[#This Row],[d]]))</f>
        <v/>
      </c>
      <c r="K844" s="2" t="str">
        <f>IF(Iterations[[#This Row],[Step]] =current_step, current_e,IF(Iterations[[#This Row],[Step]] &gt; current_step, "",Iterations[[#This Row],[e]]))</f>
        <v/>
      </c>
      <c r="L844" s="2" t="str">
        <f>IF(Iterations[[#This Row],[Step]] =current_step, current_Total_Loss,IF(Iterations[[#This Row],[Step]] &gt; current_step, "",Iterations[[#This Row],[Total Loss]]))</f>
        <v/>
      </c>
      <c r="M844" s="6" t="s">
        <v>27</v>
      </c>
      <c r="N844" s="2" t="str">
        <f>IF(Iterations[[#This Row],[Step]] =current_step, current_Grad_a,IF(Iterations[[#This Row],[Step]] &gt; current_step, "",Iterations[[#This Row],[Grad_a]]))</f>
        <v/>
      </c>
      <c r="O844" s="2" t="str">
        <f>IF(Iterations[[#This Row],[Step]] =current_step, current_Grad_b,IF(Iterations[[#This Row],[Step]] &gt; current_step, "",Iterations[[#This Row],[Grad_b]]))</f>
        <v/>
      </c>
      <c r="P844" s="2" t="str">
        <f>IF(Iterations[[#This Row],[Step]] =current_step, current_Grad_c,IF(Iterations[[#This Row],[Step]] &gt; current_step, "",Iterations[[#This Row],[Grad_c]]))</f>
        <v/>
      </c>
      <c r="Q844" s="2" t="str">
        <f>IF(Iterations[[#This Row],[Step]] =current_step, current_Grad_d,IF(Iterations[[#This Row],[Step]] &gt; current_step, "",Iterations[[#This Row],[Grad_d]]))</f>
        <v/>
      </c>
      <c r="R844" s="2" t="str">
        <f>IF(Iterations[[#This Row],[Step]] =current_step, current_Grad_e,IF(Iterations[[#This Row],[Step]] &gt; current_step, "",Iterations[[#This Row],[Grad_e]]))</f>
        <v/>
      </c>
    </row>
    <row r="845" spans="6:18" x14ac:dyDescent="0.3">
      <c r="F845" s="2">
        <f t="shared" si="15"/>
        <v>828</v>
      </c>
      <c r="G845" s="2" t="str">
        <f>IF(Iterations[[#This Row],[Step]] =current_step, current_a,IF(Iterations[[#This Row],[Step]] &gt; current_step, "",Iterations[[#This Row],[a]]))</f>
        <v/>
      </c>
      <c r="H845" s="2" t="str">
        <f>IF(Iterations[[#This Row],[Step]] =current_step, current_b,IF(Iterations[[#This Row],[Step]] &gt; current_step, "",Iterations[[#This Row],[b]]))</f>
        <v/>
      </c>
      <c r="I845" s="2" t="str">
        <f>IF(Iterations[[#This Row],[Step]] =current_step, current_c,IF(Iterations[[#This Row],[Step]] &gt; current_step, "",Iterations[[#This Row],[c]]))</f>
        <v/>
      </c>
      <c r="J845" s="2" t="str">
        <f>IF(Iterations[[#This Row],[Step]] =current_step, current_d,IF(Iterations[[#This Row],[Step]] &gt; current_step, "",Iterations[[#This Row],[d]]))</f>
        <v/>
      </c>
      <c r="K845" s="2" t="str">
        <f>IF(Iterations[[#This Row],[Step]] =current_step, current_e,IF(Iterations[[#This Row],[Step]] &gt; current_step, "",Iterations[[#This Row],[e]]))</f>
        <v/>
      </c>
      <c r="L845" s="2" t="str">
        <f>IF(Iterations[[#This Row],[Step]] =current_step, current_Total_Loss,IF(Iterations[[#This Row],[Step]] &gt; current_step, "",Iterations[[#This Row],[Total Loss]]))</f>
        <v/>
      </c>
      <c r="M845" s="6" t="s">
        <v>27</v>
      </c>
      <c r="N845" s="2" t="str">
        <f>IF(Iterations[[#This Row],[Step]] =current_step, current_Grad_a,IF(Iterations[[#This Row],[Step]] &gt; current_step, "",Iterations[[#This Row],[Grad_a]]))</f>
        <v/>
      </c>
      <c r="O845" s="2" t="str">
        <f>IF(Iterations[[#This Row],[Step]] =current_step, current_Grad_b,IF(Iterations[[#This Row],[Step]] &gt; current_step, "",Iterations[[#This Row],[Grad_b]]))</f>
        <v/>
      </c>
      <c r="P845" s="2" t="str">
        <f>IF(Iterations[[#This Row],[Step]] =current_step, current_Grad_c,IF(Iterations[[#This Row],[Step]] &gt; current_step, "",Iterations[[#This Row],[Grad_c]]))</f>
        <v/>
      </c>
      <c r="Q845" s="2" t="str">
        <f>IF(Iterations[[#This Row],[Step]] =current_step, current_Grad_d,IF(Iterations[[#This Row],[Step]] &gt; current_step, "",Iterations[[#This Row],[Grad_d]]))</f>
        <v/>
      </c>
      <c r="R845" s="2" t="str">
        <f>IF(Iterations[[#This Row],[Step]] =current_step, current_Grad_e,IF(Iterations[[#This Row],[Step]] &gt; current_step, "",Iterations[[#This Row],[Grad_e]]))</f>
        <v/>
      </c>
    </row>
    <row r="846" spans="6:18" x14ac:dyDescent="0.3">
      <c r="F846" s="2">
        <f t="shared" si="15"/>
        <v>829</v>
      </c>
      <c r="G846" s="2" t="str">
        <f>IF(Iterations[[#This Row],[Step]] =current_step, current_a,IF(Iterations[[#This Row],[Step]] &gt; current_step, "",Iterations[[#This Row],[a]]))</f>
        <v/>
      </c>
      <c r="H846" s="2" t="str">
        <f>IF(Iterations[[#This Row],[Step]] =current_step, current_b,IF(Iterations[[#This Row],[Step]] &gt; current_step, "",Iterations[[#This Row],[b]]))</f>
        <v/>
      </c>
      <c r="I846" s="2" t="str">
        <f>IF(Iterations[[#This Row],[Step]] =current_step, current_c,IF(Iterations[[#This Row],[Step]] &gt; current_step, "",Iterations[[#This Row],[c]]))</f>
        <v/>
      </c>
      <c r="J846" s="2" t="str">
        <f>IF(Iterations[[#This Row],[Step]] =current_step, current_d,IF(Iterations[[#This Row],[Step]] &gt; current_step, "",Iterations[[#This Row],[d]]))</f>
        <v/>
      </c>
      <c r="K846" s="2" t="str">
        <f>IF(Iterations[[#This Row],[Step]] =current_step, current_e,IF(Iterations[[#This Row],[Step]] &gt; current_step, "",Iterations[[#This Row],[e]]))</f>
        <v/>
      </c>
      <c r="L846" s="2" t="str">
        <f>IF(Iterations[[#This Row],[Step]] =current_step, current_Total_Loss,IF(Iterations[[#This Row],[Step]] &gt; current_step, "",Iterations[[#This Row],[Total Loss]]))</f>
        <v/>
      </c>
      <c r="M846" s="6" t="s">
        <v>27</v>
      </c>
      <c r="N846" s="2" t="str">
        <f>IF(Iterations[[#This Row],[Step]] =current_step, current_Grad_a,IF(Iterations[[#This Row],[Step]] &gt; current_step, "",Iterations[[#This Row],[Grad_a]]))</f>
        <v/>
      </c>
      <c r="O846" s="2" t="str">
        <f>IF(Iterations[[#This Row],[Step]] =current_step, current_Grad_b,IF(Iterations[[#This Row],[Step]] &gt; current_step, "",Iterations[[#This Row],[Grad_b]]))</f>
        <v/>
      </c>
      <c r="P846" s="2" t="str">
        <f>IF(Iterations[[#This Row],[Step]] =current_step, current_Grad_c,IF(Iterations[[#This Row],[Step]] &gt; current_step, "",Iterations[[#This Row],[Grad_c]]))</f>
        <v/>
      </c>
      <c r="Q846" s="2" t="str">
        <f>IF(Iterations[[#This Row],[Step]] =current_step, current_Grad_d,IF(Iterations[[#This Row],[Step]] &gt; current_step, "",Iterations[[#This Row],[Grad_d]]))</f>
        <v/>
      </c>
      <c r="R846" s="2" t="str">
        <f>IF(Iterations[[#This Row],[Step]] =current_step, current_Grad_e,IF(Iterations[[#This Row],[Step]] &gt; current_step, "",Iterations[[#This Row],[Grad_e]]))</f>
        <v/>
      </c>
    </row>
    <row r="847" spans="6:18" x14ac:dyDescent="0.3">
      <c r="F847" s="2">
        <f t="shared" si="15"/>
        <v>830</v>
      </c>
      <c r="G847" s="2" t="str">
        <f>IF(Iterations[[#This Row],[Step]] =current_step, current_a,IF(Iterations[[#This Row],[Step]] &gt; current_step, "",Iterations[[#This Row],[a]]))</f>
        <v/>
      </c>
      <c r="H847" s="2" t="str">
        <f>IF(Iterations[[#This Row],[Step]] =current_step, current_b,IF(Iterations[[#This Row],[Step]] &gt; current_step, "",Iterations[[#This Row],[b]]))</f>
        <v/>
      </c>
      <c r="I847" s="2" t="str">
        <f>IF(Iterations[[#This Row],[Step]] =current_step, current_c,IF(Iterations[[#This Row],[Step]] &gt; current_step, "",Iterations[[#This Row],[c]]))</f>
        <v/>
      </c>
      <c r="J847" s="2" t="str">
        <f>IF(Iterations[[#This Row],[Step]] =current_step, current_d,IF(Iterations[[#This Row],[Step]] &gt; current_step, "",Iterations[[#This Row],[d]]))</f>
        <v/>
      </c>
      <c r="K847" s="2" t="str">
        <f>IF(Iterations[[#This Row],[Step]] =current_step, current_e,IF(Iterations[[#This Row],[Step]] &gt; current_step, "",Iterations[[#This Row],[e]]))</f>
        <v/>
      </c>
      <c r="L847" s="2" t="str">
        <f>IF(Iterations[[#This Row],[Step]] =current_step, current_Total_Loss,IF(Iterations[[#This Row],[Step]] &gt; current_step, "",Iterations[[#This Row],[Total Loss]]))</f>
        <v/>
      </c>
      <c r="M847" s="6" t="s">
        <v>27</v>
      </c>
      <c r="N847" s="2" t="str">
        <f>IF(Iterations[[#This Row],[Step]] =current_step, current_Grad_a,IF(Iterations[[#This Row],[Step]] &gt; current_step, "",Iterations[[#This Row],[Grad_a]]))</f>
        <v/>
      </c>
      <c r="O847" s="2" t="str">
        <f>IF(Iterations[[#This Row],[Step]] =current_step, current_Grad_b,IF(Iterations[[#This Row],[Step]] &gt; current_step, "",Iterations[[#This Row],[Grad_b]]))</f>
        <v/>
      </c>
      <c r="P847" s="2" t="str">
        <f>IF(Iterations[[#This Row],[Step]] =current_step, current_Grad_c,IF(Iterations[[#This Row],[Step]] &gt; current_step, "",Iterations[[#This Row],[Grad_c]]))</f>
        <v/>
      </c>
      <c r="Q847" s="2" t="str">
        <f>IF(Iterations[[#This Row],[Step]] =current_step, current_Grad_d,IF(Iterations[[#This Row],[Step]] &gt; current_step, "",Iterations[[#This Row],[Grad_d]]))</f>
        <v/>
      </c>
      <c r="R847" s="2" t="str">
        <f>IF(Iterations[[#This Row],[Step]] =current_step, current_Grad_e,IF(Iterations[[#This Row],[Step]] &gt; current_step, "",Iterations[[#This Row],[Grad_e]]))</f>
        <v/>
      </c>
    </row>
    <row r="848" spans="6:18" x14ac:dyDescent="0.3">
      <c r="F848" s="2">
        <f t="shared" si="15"/>
        <v>831</v>
      </c>
      <c r="G848" s="2" t="str">
        <f>IF(Iterations[[#This Row],[Step]] =current_step, current_a,IF(Iterations[[#This Row],[Step]] &gt; current_step, "",Iterations[[#This Row],[a]]))</f>
        <v/>
      </c>
      <c r="H848" s="2" t="str">
        <f>IF(Iterations[[#This Row],[Step]] =current_step, current_b,IF(Iterations[[#This Row],[Step]] &gt; current_step, "",Iterations[[#This Row],[b]]))</f>
        <v/>
      </c>
      <c r="I848" s="2" t="str">
        <f>IF(Iterations[[#This Row],[Step]] =current_step, current_c,IF(Iterations[[#This Row],[Step]] &gt; current_step, "",Iterations[[#This Row],[c]]))</f>
        <v/>
      </c>
      <c r="J848" s="2" t="str">
        <f>IF(Iterations[[#This Row],[Step]] =current_step, current_d,IF(Iterations[[#This Row],[Step]] &gt; current_step, "",Iterations[[#This Row],[d]]))</f>
        <v/>
      </c>
      <c r="K848" s="2" t="str">
        <f>IF(Iterations[[#This Row],[Step]] =current_step, current_e,IF(Iterations[[#This Row],[Step]] &gt; current_step, "",Iterations[[#This Row],[e]]))</f>
        <v/>
      </c>
      <c r="L848" s="2" t="str">
        <f>IF(Iterations[[#This Row],[Step]] =current_step, current_Total_Loss,IF(Iterations[[#This Row],[Step]] &gt; current_step, "",Iterations[[#This Row],[Total Loss]]))</f>
        <v/>
      </c>
      <c r="M848" s="6" t="s">
        <v>27</v>
      </c>
      <c r="N848" s="2" t="str">
        <f>IF(Iterations[[#This Row],[Step]] =current_step, current_Grad_a,IF(Iterations[[#This Row],[Step]] &gt; current_step, "",Iterations[[#This Row],[Grad_a]]))</f>
        <v/>
      </c>
      <c r="O848" s="2" t="str">
        <f>IF(Iterations[[#This Row],[Step]] =current_step, current_Grad_b,IF(Iterations[[#This Row],[Step]] &gt; current_step, "",Iterations[[#This Row],[Grad_b]]))</f>
        <v/>
      </c>
      <c r="P848" s="2" t="str">
        <f>IF(Iterations[[#This Row],[Step]] =current_step, current_Grad_c,IF(Iterations[[#This Row],[Step]] &gt; current_step, "",Iterations[[#This Row],[Grad_c]]))</f>
        <v/>
      </c>
      <c r="Q848" s="2" t="str">
        <f>IF(Iterations[[#This Row],[Step]] =current_step, current_Grad_d,IF(Iterations[[#This Row],[Step]] &gt; current_step, "",Iterations[[#This Row],[Grad_d]]))</f>
        <v/>
      </c>
      <c r="R848" s="2" t="str">
        <f>IF(Iterations[[#This Row],[Step]] =current_step, current_Grad_e,IF(Iterations[[#This Row],[Step]] &gt; current_step, "",Iterations[[#This Row],[Grad_e]]))</f>
        <v/>
      </c>
    </row>
    <row r="849" spans="6:18" x14ac:dyDescent="0.3">
      <c r="F849" s="2">
        <f t="shared" si="15"/>
        <v>832</v>
      </c>
      <c r="G849" s="2" t="str">
        <f>IF(Iterations[[#This Row],[Step]] =current_step, current_a,IF(Iterations[[#This Row],[Step]] &gt; current_step, "",Iterations[[#This Row],[a]]))</f>
        <v/>
      </c>
      <c r="H849" s="2" t="str">
        <f>IF(Iterations[[#This Row],[Step]] =current_step, current_b,IF(Iterations[[#This Row],[Step]] &gt; current_step, "",Iterations[[#This Row],[b]]))</f>
        <v/>
      </c>
      <c r="I849" s="2" t="str">
        <f>IF(Iterations[[#This Row],[Step]] =current_step, current_c,IF(Iterations[[#This Row],[Step]] &gt; current_step, "",Iterations[[#This Row],[c]]))</f>
        <v/>
      </c>
      <c r="J849" s="2" t="str">
        <f>IF(Iterations[[#This Row],[Step]] =current_step, current_d,IF(Iterations[[#This Row],[Step]] &gt; current_step, "",Iterations[[#This Row],[d]]))</f>
        <v/>
      </c>
      <c r="K849" s="2" t="str">
        <f>IF(Iterations[[#This Row],[Step]] =current_step, current_e,IF(Iterations[[#This Row],[Step]] &gt; current_step, "",Iterations[[#This Row],[e]]))</f>
        <v/>
      </c>
      <c r="L849" s="2" t="str">
        <f>IF(Iterations[[#This Row],[Step]] =current_step, current_Total_Loss,IF(Iterations[[#This Row],[Step]] &gt; current_step, "",Iterations[[#This Row],[Total Loss]]))</f>
        <v/>
      </c>
      <c r="M849" s="6" t="s">
        <v>27</v>
      </c>
      <c r="N849" s="2" t="str">
        <f>IF(Iterations[[#This Row],[Step]] =current_step, current_Grad_a,IF(Iterations[[#This Row],[Step]] &gt; current_step, "",Iterations[[#This Row],[Grad_a]]))</f>
        <v/>
      </c>
      <c r="O849" s="2" t="str">
        <f>IF(Iterations[[#This Row],[Step]] =current_step, current_Grad_b,IF(Iterations[[#This Row],[Step]] &gt; current_step, "",Iterations[[#This Row],[Grad_b]]))</f>
        <v/>
      </c>
      <c r="P849" s="2" t="str">
        <f>IF(Iterations[[#This Row],[Step]] =current_step, current_Grad_c,IF(Iterations[[#This Row],[Step]] &gt; current_step, "",Iterations[[#This Row],[Grad_c]]))</f>
        <v/>
      </c>
      <c r="Q849" s="2" t="str">
        <f>IF(Iterations[[#This Row],[Step]] =current_step, current_Grad_d,IF(Iterations[[#This Row],[Step]] &gt; current_step, "",Iterations[[#This Row],[Grad_d]]))</f>
        <v/>
      </c>
      <c r="R849" s="2" t="str">
        <f>IF(Iterations[[#This Row],[Step]] =current_step, current_Grad_e,IF(Iterations[[#This Row],[Step]] &gt; current_step, "",Iterations[[#This Row],[Grad_e]]))</f>
        <v/>
      </c>
    </row>
    <row r="850" spans="6:18" x14ac:dyDescent="0.3">
      <c r="F850" s="2">
        <f t="shared" si="15"/>
        <v>833</v>
      </c>
      <c r="G850" s="2" t="str">
        <f>IF(Iterations[[#This Row],[Step]] =current_step, current_a,IF(Iterations[[#This Row],[Step]] &gt; current_step, "",Iterations[[#This Row],[a]]))</f>
        <v/>
      </c>
      <c r="H850" s="2" t="str">
        <f>IF(Iterations[[#This Row],[Step]] =current_step, current_b,IF(Iterations[[#This Row],[Step]] &gt; current_step, "",Iterations[[#This Row],[b]]))</f>
        <v/>
      </c>
      <c r="I850" s="2" t="str">
        <f>IF(Iterations[[#This Row],[Step]] =current_step, current_c,IF(Iterations[[#This Row],[Step]] &gt; current_step, "",Iterations[[#This Row],[c]]))</f>
        <v/>
      </c>
      <c r="J850" s="2" t="str">
        <f>IF(Iterations[[#This Row],[Step]] =current_step, current_d,IF(Iterations[[#This Row],[Step]] &gt; current_step, "",Iterations[[#This Row],[d]]))</f>
        <v/>
      </c>
      <c r="K850" s="2" t="str">
        <f>IF(Iterations[[#This Row],[Step]] =current_step, current_e,IF(Iterations[[#This Row],[Step]] &gt; current_step, "",Iterations[[#This Row],[e]]))</f>
        <v/>
      </c>
      <c r="L850" s="2" t="str">
        <f>IF(Iterations[[#This Row],[Step]] =current_step, current_Total_Loss,IF(Iterations[[#This Row],[Step]] &gt; current_step, "",Iterations[[#This Row],[Total Loss]]))</f>
        <v/>
      </c>
      <c r="M850" s="6" t="s">
        <v>27</v>
      </c>
      <c r="N850" s="2" t="str">
        <f>IF(Iterations[[#This Row],[Step]] =current_step, current_Grad_a,IF(Iterations[[#This Row],[Step]] &gt; current_step, "",Iterations[[#This Row],[Grad_a]]))</f>
        <v/>
      </c>
      <c r="O850" s="2" t="str">
        <f>IF(Iterations[[#This Row],[Step]] =current_step, current_Grad_b,IF(Iterations[[#This Row],[Step]] &gt; current_step, "",Iterations[[#This Row],[Grad_b]]))</f>
        <v/>
      </c>
      <c r="P850" s="2" t="str">
        <f>IF(Iterations[[#This Row],[Step]] =current_step, current_Grad_c,IF(Iterations[[#This Row],[Step]] &gt; current_step, "",Iterations[[#This Row],[Grad_c]]))</f>
        <v/>
      </c>
      <c r="Q850" s="2" t="str">
        <f>IF(Iterations[[#This Row],[Step]] =current_step, current_Grad_d,IF(Iterations[[#This Row],[Step]] &gt; current_step, "",Iterations[[#This Row],[Grad_d]]))</f>
        <v/>
      </c>
      <c r="R850" s="2" t="str">
        <f>IF(Iterations[[#This Row],[Step]] =current_step, current_Grad_e,IF(Iterations[[#This Row],[Step]] &gt; current_step, "",Iterations[[#This Row],[Grad_e]]))</f>
        <v/>
      </c>
    </row>
    <row r="851" spans="6:18" x14ac:dyDescent="0.3">
      <c r="F851" s="2">
        <f t="shared" si="15"/>
        <v>834</v>
      </c>
      <c r="G851" s="2" t="str">
        <f>IF(Iterations[[#This Row],[Step]] =current_step, current_a,IF(Iterations[[#This Row],[Step]] &gt; current_step, "",Iterations[[#This Row],[a]]))</f>
        <v/>
      </c>
      <c r="H851" s="2" t="str">
        <f>IF(Iterations[[#This Row],[Step]] =current_step, current_b,IF(Iterations[[#This Row],[Step]] &gt; current_step, "",Iterations[[#This Row],[b]]))</f>
        <v/>
      </c>
      <c r="I851" s="2" t="str">
        <f>IF(Iterations[[#This Row],[Step]] =current_step, current_c,IF(Iterations[[#This Row],[Step]] &gt; current_step, "",Iterations[[#This Row],[c]]))</f>
        <v/>
      </c>
      <c r="J851" s="2" t="str">
        <f>IF(Iterations[[#This Row],[Step]] =current_step, current_d,IF(Iterations[[#This Row],[Step]] &gt; current_step, "",Iterations[[#This Row],[d]]))</f>
        <v/>
      </c>
      <c r="K851" s="2" t="str">
        <f>IF(Iterations[[#This Row],[Step]] =current_step, current_e,IF(Iterations[[#This Row],[Step]] &gt; current_step, "",Iterations[[#This Row],[e]]))</f>
        <v/>
      </c>
      <c r="L851" s="2" t="str">
        <f>IF(Iterations[[#This Row],[Step]] =current_step, current_Total_Loss,IF(Iterations[[#This Row],[Step]] &gt; current_step, "",Iterations[[#This Row],[Total Loss]]))</f>
        <v/>
      </c>
      <c r="M851" s="6" t="s">
        <v>27</v>
      </c>
      <c r="N851" s="2" t="str">
        <f>IF(Iterations[[#This Row],[Step]] =current_step, current_Grad_a,IF(Iterations[[#This Row],[Step]] &gt; current_step, "",Iterations[[#This Row],[Grad_a]]))</f>
        <v/>
      </c>
      <c r="O851" s="2" t="str">
        <f>IF(Iterations[[#This Row],[Step]] =current_step, current_Grad_b,IF(Iterations[[#This Row],[Step]] &gt; current_step, "",Iterations[[#This Row],[Grad_b]]))</f>
        <v/>
      </c>
      <c r="P851" s="2" t="str">
        <f>IF(Iterations[[#This Row],[Step]] =current_step, current_Grad_c,IF(Iterations[[#This Row],[Step]] &gt; current_step, "",Iterations[[#This Row],[Grad_c]]))</f>
        <v/>
      </c>
      <c r="Q851" s="2" t="str">
        <f>IF(Iterations[[#This Row],[Step]] =current_step, current_Grad_d,IF(Iterations[[#This Row],[Step]] &gt; current_step, "",Iterations[[#This Row],[Grad_d]]))</f>
        <v/>
      </c>
      <c r="R851" s="2" t="str">
        <f>IF(Iterations[[#This Row],[Step]] =current_step, current_Grad_e,IF(Iterations[[#This Row],[Step]] &gt; current_step, "",Iterations[[#This Row],[Grad_e]]))</f>
        <v/>
      </c>
    </row>
    <row r="852" spans="6:18" x14ac:dyDescent="0.3">
      <c r="F852" s="2">
        <f t="shared" si="15"/>
        <v>835</v>
      </c>
      <c r="G852" s="2" t="str">
        <f>IF(Iterations[[#This Row],[Step]] =current_step, current_a,IF(Iterations[[#This Row],[Step]] &gt; current_step, "",Iterations[[#This Row],[a]]))</f>
        <v/>
      </c>
      <c r="H852" s="2" t="str">
        <f>IF(Iterations[[#This Row],[Step]] =current_step, current_b,IF(Iterations[[#This Row],[Step]] &gt; current_step, "",Iterations[[#This Row],[b]]))</f>
        <v/>
      </c>
      <c r="I852" s="2" t="str">
        <f>IF(Iterations[[#This Row],[Step]] =current_step, current_c,IF(Iterations[[#This Row],[Step]] &gt; current_step, "",Iterations[[#This Row],[c]]))</f>
        <v/>
      </c>
      <c r="J852" s="2" t="str">
        <f>IF(Iterations[[#This Row],[Step]] =current_step, current_d,IF(Iterations[[#This Row],[Step]] &gt; current_step, "",Iterations[[#This Row],[d]]))</f>
        <v/>
      </c>
      <c r="K852" s="2" t="str">
        <f>IF(Iterations[[#This Row],[Step]] =current_step, current_e,IF(Iterations[[#This Row],[Step]] &gt; current_step, "",Iterations[[#This Row],[e]]))</f>
        <v/>
      </c>
      <c r="L852" s="2" t="str">
        <f>IF(Iterations[[#This Row],[Step]] =current_step, current_Total_Loss,IF(Iterations[[#This Row],[Step]] &gt; current_step, "",Iterations[[#This Row],[Total Loss]]))</f>
        <v/>
      </c>
      <c r="M852" s="6" t="s">
        <v>27</v>
      </c>
      <c r="N852" s="2" t="str">
        <f>IF(Iterations[[#This Row],[Step]] =current_step, current_Grad_a,IF(Iterations[[#This Row],[Step]] &gt; current_step, "",Iterations[[#This Row],[Grad_a]]))</f>
        <v/>
      </c>
      <c r="O852" s="2" t="str">
        <f>IF(Iterations[[#This Row],[Step]] =current_step, current_Grad_b,IF(Iterations[[#This Row],[Step]] &gt; current_step, "",Iterations[[#This Row],[Grad_b]]))</f>
        <v/>
      </c>
      <c r="P852" s="2" t="str">
        <f>IF(Iterations[[#This Row],[Step]] =current_step, current_Grad_c,IF(Iterations[[#This Row],[Step]] &gt; current_step, "",Iterations[[#This Row],[Grad_c]]))</f>
        <v/>
      </c>
      <c r="Q852" s="2" t="str">
        <f>IF(Iterations[[#This Row],[Step]] =current_step, current_Grad_d,IF(Iterations[[#This Row],[Step]] &gt; current_step, "",Iterations[[#This Row],[Grad_d]]))</f>
        <v/>
      </c>
      <c r="R852" s="2" t="str">
        <f>IF(Iterations[[#This Row],[Step]] =current_step, current_Grad_e,IF(Iterations[[#This Row],[Step]] &gt; current_step, "",Iterations[[#This Row],[Grad_e]]))</f>
        <v/>
      </c>
    </row>
    <row r="853" spans="6:18" x14ac:dyDescent="0.3">
      <c r="F853" s="2">
        <f t="shared" si="15"/>
        <v>836</v>
      </c>
      <c r="G853" s="2" t="str">
        <f>IF(Iterations[[#This Row],[Step]] =current_step, current_a,IF(Iterations[[#This Row],[Step]] &gt; current_step, "",Iterations[[#This Row],[a]]))</f>
        <v/>
      </c>
      <c r="H853" s="2" t="str">
        <f>IF(Iterations[[#This Row],[Step]] =current_step, current_b,IF(Iterations[[#This Row],[Step]] &gt; current_step, "",Iterations[[#This Row],[b]]))</f>
        <v/>
      </c>
      <c r="I853" s="2" t="str">
        <f>IF(Iterations[[#This Row],[Step]] =current_step, current_c,IF(Iterations[[#This Row],[Step]] &gt; current_step, "",Iterations[[#This Row],[c]]))</f>
        <v/>
      </c>
      <c r="J853" s="2" t="str">
        <f>IF(Iterations[[#This Row],[Step]] =current_step, current_d,IF(Iterations[[#This Row],[Step]] &gt; current_step, "",Iterations[[#This Row],[d]]))</f>
        <v/>
      </c>
      <c r="K853" s="2" t="str">
        <f>IF(Iterations[[#This Row],[Step]] =current_step, current_e,IF(Iterations[[#This Row],[Step]] &gt; current_step, "",Iterations[[#This Row],[e]]))</f>
        <v/>
      </c>
      <c r="L853" s="2" t="str">
        <f>IF(Iterations[[#This Row],[Step]] =current_step, current_Total_Loss,IF(Iterations[[#This Row],[Step]] &gt; current_step, "",Iterations[[#This Row],[Total Loss]]))</f>
        <v/>
      </c>
      <c r="M853" s="6" t="s">
        <v>27</v>
      </c>
      <c r="N853" s="2" t="str">
        <f>IF(Iterations[[#This Row],[Step]] =current_step, current_Grad_a,IF(Iterations[[#This Row],[Step]] &gt; current_step, "",Iterations[[#This Row],[Grad_a]]))</f>
        <v/>
      </c>
      <c r="O853" s="2" t="str">
        <f>IF(Iterations[[#This Row],[Step]] =current_step, current_Grad_b,IF(Iterations[[#This Row],[Step]] &gt; current_step, "",Iterations[[#This Row],[Grad_b]]))</f>
        <v/>
      </c>
      <c r="P853" s="2" t="str">
        <f>IF(Iterations[[#This Row],[Step]] =current_step, current_Grad_c,IF(Iterations[[#This Row],[Step]] &gt; current_step, "",Iterations[[#This Row],[Grad_c]]))</f>
        <v/>
      </c>
      <c r="Q853" s="2" t="str">
        <f>IF(Iterations[[#This Row],[Step]] =current_step, current_Grad_d,IF(Iterations[[#This Row],[Step]] &gt; current_step, "",Iterations[[#This Row],[Grad_d]]))</f>
        <v/>
      </c>
      <c r="R853" s="2" t="str">
        <f>IF(Iterations[[#This Row],[Step]] =current_step, current_Grad_e,IF(Iterations[[#This Row],[Step]] &gt; current_step, "",Iterations[[#This Row],[Grad_e]]))</f>
        <v/>
      </c>
    </row>
    <row r="854" spans="6:18" x14ac:dyDescent="0.3">
      <c r="F854" s="2">
        <f t="shared" si="15"/>
        <v>837</v>
      </c>
      <c r="G854" s="2" t="str">
        <f>IF(Iterations[[#This Row],[Step]] =current_step, current_a,IF(Iterations[[#This Row],[Step]] &gt; current_step, "",Iterations[[#This Row],[a]]))</f>
        <v/>
      </c>
      <c r="H854" s="2" t="str">
        <f>IF(Iterations[[#This Row],[Step]] =current_step, current_b,IF(Iterations[[#This Row],[Step]] &gt; current_step, "",Iterations[[#This Row],[b]]))</f>
        <v/>
      </c>
      <c r="I854" s="2" t="str">
        <f>IF(Iterations[[#This Row],[Step]] =current_step, current_c,IF(Iterations[[#This Row],[Step]] &gt; current_step, "",Iterations[[#This Row],[c]]))</f>
        <v/>
      </c>
      <c r="J854" s="2" t="str">
        <f>IF(Iterations[[#This Row],[Step]] =current_step, current_d,IF(Iterations[[#This Row],[Step]] &gt; current_step, "",Iterations[[#This Row],[d]]))</f>
        <v/>
      </c>
      <c r="K854" s="2" t="str">
        <f>IF(Iterations[[#This Row],[Step]] =current_step, current_e,IF(Iterations[[#This Row],[Step]] &gt; current_step, "",Iterations[[#This Row],[e]]))</f>
        <v/>
      </c>
      <c r="L854" s="2" t="str">
        <f>IF(Iterations[[#This Row],[Step]] =current_step, current_Total_Loss,IF(Iterations[[#This Row],[Step]] &gt; current_step, "",Iterations[[#This Row],[Total Loss]]))</f>
        <v/>
      </c>
      <c r="M854" s="6" t="s">
        <v>27</v>
      </c>
      <c r="N854" s="2" t="str">
        <f>IF(Iterations[[#This Row],[Step]] =current_step, current_Grad_a,IF(Iterations[[#This Row],[Step]] &gt; current_step, "",Iterations[[#This Row],[Grad_a]]))</f>
        <v/>
      </c>
      <c r="O854" s="2" t="str">
        <f>IF(Iterations[[#This Row],[Step]] =current_step, current_Grad_b,IF(Iterations[[#This Row],[Step]] &gt; current_step, "",Iterations[[#This Row],[Grad_b]]))</f>
        <v/>
      </c>
      <c r="P854" s="2" t="str">
        <f>IF(Iterations[[#This Row],[Step]] =current_step, current_Grad_c,IF(Iterations[[#This Row],[Step]] &gt; current_step, "",Iterations[[#This Row],[Grad_c]]))</f>
        <v/>
      </c>
      <c r="Q854" s="2" t="str">
        <f>IF(Iterations[[#This Row],[Step]] =current_step, current_Grad_d,IF(Iterations[[#This Row],[Step]] &gt; current_step, "",Iterations[[#This Row],[Grad_d]]))</f>
        <v/>
      </c>
      <c r="R854" s="2" t="str">
        <f>IF(Iterations[[#This Row],[Step]] =current_step, current_Grad_e,IF(Iterations[[#This Row],[Step]] &gt; current_step, "",Iterations[[#This Row],[Grad_e]]))</f>
        <v/>
      </c>
    </row>
    <row r="855" spans="6:18" x14ac:dyDescent="0.3">
      <c r="F855" s="2">
        <f t="shared" si="15"/>
        <v>838</v>
      </c>
      <c r="G855" s="2" t="str">
        <f>IF(Iterations[[#This Row],[Step]] =current_step, current_a,IF(Iterations[[#This Row],[Step]] &gt; current_step, "",Iterations[[#This Row],[a]]))</f>
        <v/>
      </c>
      <c r="H855" s="2" t="str">
        <f>IF(Iterations[[#This Row],[Step]] =current_step, current_b,IF(Iterations[[#This Row],[Step]] &gt; current_step, "",Iterations[[#This Row],[b]]))</f>
        <v/>
      </c>
      <c r="I855" s="2" t="str">
        <f>IF(Iterations[[#This Row],[Step]] =current_step, current_c,IF(Iterations[[#This Row],[Step]] &gt; current_step, "",Iterations[[#This Row],[c]]))</f>
        <v/>
      </c>
      <c r="J855" s="2" t="str">
        <f>IF(Iterations[[#This Row],[Step]] =current_step, current_d,IF(Iterations[[#This Row],[Step]] &gt; current_step, "",Iterations[[#This Row],[d]]))</f>
        <v/>
      </c>
      <c r="K855" s="2" t="str">
        <f>IF(Iterations[[#This Row],[Step]] =current_step, current_e,IF(Iterations[[#This Row],[Step]] &gt; current_step, "",Iterations[[#This Row],[e]]))</f>
        <v/>
      </c>
      <c r="L855" s="2" t="str">
        <f>IF(Iterations[[#This Row],[Step]] =current_step, current_Total_Loss,IF(Iterations[[#This Row],[Step]] &gt; current_step, "",Iterations[[#This Row],[Total Loss]]))</f>
        <v/>
      </c>
      <c r="M855" s="6" t="s">
        <v>27</v>
      </c>
      <c r="N855" s="2" t="str">
        <f>IF(Iterations[[#This Row],[Step]] =current_step, current_Grad_a,IF(Iterations[[#This Row],[Step]] &gt; current_step, "",Iterations[[#This Row],[Grad_a]]))</f>
        <v/>
      </c>
      <c r="O855" s="2" t="str">
        <f>IF(Iterations[[#This Row],[Step]] =current_step, current_Grad_b,IF(Iterations[[#This Row],[Step]] &gt; current_step, "",Iterations[[#This Row],[Grad_b]]))</f>
        <v/>
      </c>
      <c r="P855" s="2" t="str">
        <f>IF(Iterations[[#This Row],[Step]] =current_step, current_Grad_c,IF(Iterations[[#This Row],[Step]] &gt; current_step, "",Iterations[[#This Row],[Grad_c]]))</f>
        <v/>
      </c>
      <c r="Q855" s="2" t="str">
        <f>IF(Iterations[[#This Row],[Step]] =current_step, current_Grad_d,IF(Iterations[[#This Row],[Step]] &gt; current_step, "",Iterations[[#This Row],[Grad_d]]))</f>
        <v/>
      </c>
      <c r="R855" s="2" t="str">
        <f>IF(Iterations[[#This Row],[Step]] =current_step, current_Grad_e,IF(Iterations[[#This Row],[Step]] &gt; current_step, "",Iterations[[#This Row],[Grad_e]]))</f>
        <v/>
      </c>
    </row>
    <row r="856" spans="6:18" x14ac:dyDescent="0.3">
      <c r="F856" s="2">
        <f t="shared" si="15"/>
        <v>839</v>
      </c>
      <c r="G856" s="2" t="str">
        <f>IF(Iterations[[#This Row],[Step]] =current_step, current_a,IF(Iterations[[#This Row],[Step]] &gt; current_step, "",Iterations[[#This Row],[a]]))</f>
        <v/>
      </c>
      <c r="H856" s="2" t="str">
        <f>IF(Iterations[[#This Row],[Step]] =current_step, current_b,IF(Iterations[[#This Row],[Step]] &gt; current_step, "",Iterations[[#This Row],[b]]))</f>
        <v/>
      </c>
      <c r="I856" s="2" t="str">
        <f>IF(Iterations[[#This Row],[Step]] =current_step, current_c,IF(Iterations[[#This Row],[Step]] &gt; current_step, "",Iterations[[#This Row],[c]]))</f>
        <v/>
      </c>
      <c r="J856" s="2" t="str">
        <f>IF(Iterations[[#This Row],[Step]] =current_step, current_d,IF(Iterations[[#This Row],[Step]] &gt; current_step, "",Iterations[[#This Row],[d]]))</f>
        <v/>
      </c>
      <c r="K856" s="2" t="str">
        <f>IF(Iterations[[#This Row],[Step]] =current_step, current_e,IF(Iterations[[#This Row],[Step]] &gt; current_step, "",Iterations[[#This Row],[e]]))</f>
        <v/>
      </c>
      <c r="L856" s="2" t="str">
        <f>IF(Iterations[[#This Row],[Step]] =current_step, current_Total_Loss,IF(Iterations[[#This Row],[Step]] &gt; current_step, "",Iterations[[#This Row],[Total Loss]]))</f>
        <v/>
      </c>
      <c r="M856" s="6" t="s">
        <v>27</v>
      </c>
      <c r="N856" s="2" t="str">
        <f>IF(Iterations[[#This Row],[Step]] =current_step, current_Grad_a,IF(Iterations[[#This Row],[Step]] &gt; current_step, "",Iterations[[#This Row],[Grad_a]]))</f>
        <v/>
      </c>
      <c r="O856" s="2" t="str">
        <f>IF(Iterations[[#This Row],[Step]] =current_step, current_Grad_b,IF(Iterations[[#This Row],[Step]] &gt; current_step, "",Iterations[[#This Row],[Grad_b]]))</f>
        <v/>
      </c>
      <c r="P856" s="2" t="str">
        <f>IF(Iterations[[#This Row],[Step]] =current_step, current_Grad_c,IF(Iterations[[#This Row],[Step]] &gt; current_step, "",Iterations[[#This Row],[Grad_c]]))</f>
        <v/>
      </c>
      <c r="Q856" s="2" t="str">
        <f>IF(Iterations[[#This Row],[Step]] =current_step, current_Grad_d,IF(Iterations[[#This Row],[Step]] &gt; current_step, "",Iterations[[#This Row],[Grad_d]]))</f>
        <v/>
      </c>
      <c r="R856" s="2" t="str">
        <f>IF(Iterations[[#This Row],[Step]] =current_step, current_Grad_e,IF(Iterations[[#This Row],[Step]] &gt; current_step, "",Iterations[[#This Row],[Grad_e]]))</f>
        <v/>
      </c>
    </row>
    <row r="857" spans="6:18" x14ac:dyDescent="0.3">
      <c r="F857" s="2">
        <f t="shared" si="15"/>
        <v>840</v>
      </c>
      <c r="G857" s="2" t="str">
        <f>IF(Iterations[[#This Row],[Step]] =current_step, current_a,IF(Iterations[[#This Row],[Step]] &gt; current_step, "",Iterations[[#This Row],[a]]))</f>
        <v/>
      </c>
      <c r="H857" s="2" t="str">
        <f>IF(Iterations[[#This Row],[Step]] =current_step, current_b,IF(Iterations[[#This Row],[Step]] &gt; current_step, "",Iterations[[#This Row],[b]]))</f>
        <v/>
      </c>
      <c r="I857" s="2" t="str">
        <f>IF(Iterations[[#This Row],[Step]] =current_step, current_c,IF(Iterations[[#This Row],[Step]] &gt; current_step, "",Iterations[[#This Row],[c]]))</f>
        <v/>
      </c>
      <c r="J857" s="2" t="str">
        <f>IF(Iterations[[#This Row],[Step]] =current_step, current_d,IF(Iterations[[#This Row],[Step]] &gt; current_step, "",Iterations[[#This Row],[d]]))</f>
        <v/>
      </c>
      <c r="K857" s="2" t="str">
        <f>IF(Iterations[[#This Row],[Step]] =current_step, current_e,IF(Iterations[[#This Row],[Step]] &gt; current_step, "",Iterations[[#This Row],[e]]))</f>
        <v/>
      </c>
      <c r="L857" s="2" t="str">
        <f>IF(Iterations[[#This Row],[Step]] =current_step, current_Total_Loss,IF(Iterations[[#This Row],[Step]] &gt; current_step, "",Iterations[[#This Row],[Total Loss]]))</f>
        <v/>
      </c>
      <c r="M857" s="6" t="s">
        <v>27</v>
      </c>
      <c r="N857" s="2" t="str">
        <f>IF(Iterations[[#This Row],[Step]] =current_step, current_Grad_a,IF(Iterations[[#This Row],[Step]] &gt; current_step, "",Iterations[[#This Row],[Grad_a]]))</f>
        <v/>
      </c>
      <c r="O857" s="2" t="str">
        <f>IF(Iterations[[#This Row],[Step]] =current_step, current_Grad_b,IF(Iterations[[#This Row],[Step]] &gt; current_step, "",Iterations[[#This Row],[Grad_b]]))</f>
        <v/>
      </c>
      <c r="P857" s="2" t="str">
        <f>IF(Iterations[[#This Row],[Step]] =current_step, current_Grad_c,IF(Iterations[[#This Row],[Step]] &gt; current_step, "",Iterations[[#This Row],[Grad_c]]))</f>
        <v/>
      </c>
      <c r="Q857" s="2" t="str">
        <f>IF(Iterations[[#This Row],[Step]] =current_step, current_Grad_d,IF(Iterations[[#This Row],[Step]] &gt; current_step, "",Iterations[[#This Row],[Grad_d]]))</f>
        <v/>
      </c>
      <c r="R857" s="2" t="str">
        <f>IF(Iterations[[#This Row],[Step]] =current_step, current_Grad_e,IF(Iterations[[#This Row],[Step]] &gt; current_step, "",Iterations[[#This Row],[Grad_e]]))</f>
        <v/>
      </c>
    </row>
    <row r="858" spans="6:18" x14ac:dyDescent="0.3">
      <c r="F858" s="2">
        <f t="shared" si="15"/>
        <v>841</v>
      </c>
      <c r="G858" s="2" t="str">
        <f>IF(Iterations[[#This Row],[Step]] =current_step, current_a,IF(Iterations[[#This Row],[Step]] &gt; current_step, "",Iterations[[#This Row],[a]]))</f>
        <v/>
      </c>
      <c r="H858" s="2" t="str">
        <f>IF(Iterations[[#This Row],[Step]] =current_step, current_b,IF(Iterations[[#This Row],[Step]] &gt; current_step, "",Iterations[[#This Row],[b]]))</f>
        <v/>
      </c>
      <c r="I858" s="2" t="str">
        <f>IF(Iterations[[#This Row],[Step]] =current_step, current_c,IF(Iterations[[#This Row],[Step]] &gt; current_step, "",Iterations[[#This Row],[c]]))</f>
        <v/>
      </c>
      <c r="J858" s="2" t="str">
        <f>IF(Iterations[[#This Row],[Step]] =current_step, current_d,IF(Iterations[[#This Row],[Step]] &gt; current_step, "",Iterations[[#This Row],[d]]))</f>
        <v/>
      </c>
      <c r="K858" s="2" t="str">
        <f>IF(Iterations[[#This Row],[Step]] =current_step, current_e,IF(Iterations[[#This Row],[Step]] &gt; current_step, "",Iterations[[#This Row],[e]]))</f>
        <v/>
      </c>
      <c r="L858" s="2" t="str">
        <f>IF(Iterations[[#This Row],[Step]] =current_step, current_Total_Loss,IF(Iterations[[#This Row],[Step]] &gt; current_step, "",Iterations[[#This Row],[Total Loss]]))</f>
        <v/>
      </c>
      <c r="M858" s="6" t="s">
        <v>27</v>
      </c>
      <c r="N858" s="2" t="str">
        <f>IF(Iterations[[#This Row],[Step]] =current_step, current_Grad_a,IF(Iterations[[#This Row],[Step]] &gt; current_step, "",Iterations[[#This Row],[Grad_a]]))</f>
        <v/>
      </c>
      <c r="O858" s="2" t="str">
        <f>IF(Iterations[[#This Row],[Step]] =current_step, current_Grad_b,IF(Iterations[[#This Row],[Step]] &gt; current_step, "",Iterations[[#This Row],[Grad_b]]))</f>
        <v/>
      </c>
      <c r="P858" s="2" t="str">
        <f>IF(Iterations[[#This Row],[Step]] =current_step, current_Grad_c,IF(Iterations[[#This Row],[Step]] &gt; current_step, "",Iterations[[#This Row],[Grad_c]]))</f>
        <v/>
      </c>
      <c r="Q858" s="2" t="str">
        <f>IF(Iterations[[#This Row],[Step]] =current_step, current_Grad_d,IF(Iterations[[#This Row],[Step]] &gt; current_step, "",Iterations[[#This Row],[Grad_d]]))</f>
        <v/>
      </c>
      <c r="R858" s="2" t="str">
        <f>IF(Iterations[[#This Row],[Step]] =current_step, current_Grad_e,IF(Iterations[[#This Row],[Step]] &gt; current_step, "",Iterations[[#This Row],[Grad_e]]))</f>
        <v/>
      </c>
    </row>
    <row r="859" spans="6:18" x14ac:dyDescent="0.3">
      <c r="F859" s="2">
        <f t="shared" si="15"/>
        <v>842</v>
      </c>
      <c r="G859" s="2" t="str">
        <f>IF(Iterations[[#This Row],[Step]] =current_step, current_a,IF(Iterations[[#This Row],[Step]] &gt; current_step, "",Iterations[[#This Row],[a]]))</f>
        <v/>
      </c>
      <c r="H859" s="2" t="str">
        <f>IF(Iterations[[#This Row],[Step]] =current_step, current_b,IF(Iterations[[#This Row],[Step]] &gt; current_step, "",Iterations[[#This Row],[b]]))</f>
        <v/>
      </c>
      <c r="I859" s="2" t="str">
        <f>IF(Iterations[[#This Row],[Step]] =current_step, current_c,IF(Iterations[[#This Row],[Step]] &gt; current_step, "",Iterations[[#This Row],[c]]))</f>
        <v/>
      </c>
      <c r="J859" s="2" t="str">
        <f>IF(Iterations[[#This Row],[Step]] =current_step, current_d,IF(Iterations[[#This Row],[Step]] &gt; current_step, "",Iterations[[#This Row],[d]]))</f>
        <v/>
      </c>
      <c r="K859" s="2" t="str">
        <f>IF(Iterations[[#This Row],[Step]] =current_step, current_e,IF(Iterations[[#This Row],[Step]] &gt; current_step, "",Iterations[[#This Row],[e]]))</f>
        <v/>
      </c>
      <c r="L859" s="2" t="str">
        <f>IF(Iterations[[#This Row],[Step]] =current_step, current_Total_Loss,IF(Iterations[[#This Row],[Step]] &gt; current_step, "",Iterations[[#This Row],[Total Loss]]))</f>
        <v/>
      </c>
      <c r="M859" s="6" t="s">
        <v>27</v>
      </c>
      <c r="N859" s="2" t="str">
        <f>IF(Iterations[[#This Row],[Step]] =current_step, current_Grad_a,IF(Iterations[[#This Row],[Step]] &gt; current_step, "",Iterations[[#This Row],[Grad_a]]))</f>
        <v/>
      </c>
      <c r="O859" s="2" t="str">
        <f>IF(Iterations[[#This Row],[Step]] =current_step, current_Grad_b,IF(Iterations[[#This Row],[Step]] &gt; current_step, "",Iterations[[#This Row],[Grad_b]]))</f>
        <v/>
      </c>
      <c r="P859" s="2" t="str">
        <f>IF(Iterations[[#This Row],[Step]] =current_step, current_Grad_c,IF(Iterations[[#This Row],[Step]] &gt; current_step, "",Iterations[[#This Row],[Grad_c]]))</f>
        <v/>
      </c>
      <c r="Q859" s="2" t="str">
        <f>IF(Iterations[[#This Row],[Step]] =current_step, current_Grad_d,IF(Iterations[[#This Row],[Step]] &gt; current_step, "",Iterations[[#This Row],[Grad_d]]))</f>
        <v/>
      </c>
      <c r="R859" s="2" t="str">
        <f>IF(Iterations[[#This Row],[Step]] =current_step, current_Grad_e,IF(Iterations[[#This Row],[Step]] &gt; current_step, "",Iterations[[#This Row],[Grad_e]]))</f>
        <v/>
      </c>
    </row>
    <row r="860" spans="6:18" x14ac:dyDescent="0.3">
      <c r="F860" s="2">
        <f t="shared" si="15"/>
        <v>843</v>
      </c>
      <c r="G860" s="2" t="str">
        <f>IF(Iterations[[#This Row],[Step]] =current_step, current_a,IF(Iterations[[#This Row],[Step]] &gt; current_step, "",Iterations[[#This Row],[a]]))</f>
        <v/>
      </c>
      <c r="H860" s="2" t="str">
        <f>IF(Iterations[[#This Row],[Step]] =current_step, current_b,IF(Iterations[[#This Row],[Step]] &gt; current_step, "",Iterations[[#This Row],[b]]))</f>
        <v/>
      </c>
      <c r="I860" s="2" t="str">
        <f>IF(Iterations[[#This Row],[Step]] =current_step, current_c,IF(Iterations[[#This Row],[Step]] &gt; current_step, "",Iterations[[#This Row],[c]]))</f>
        <v/>
      </c>
      <c r="J860" s="2" t="str">
        <f>IF(Iterations[[#This Row],[Step]] =current_step, current_d,IF(Iterations[[#This Row],[Step]] &gt; current_step, "",Iterations[[#This Row],[d]]))</f>
        <v/>
      </c>
      <c r="K860" s="2" t="str">
        <f>IF(Iterations[[#This Row],[Step]] =current_step, current_e,IF(Iterations[[#This Row],[Step]] &gt; current_step, "",Iterations[[#This Row],[e]]))</f>
        <v/>
      </c>
      <c r="L860" s="2" t="str">
        <f>IF(Iterations[[#This Row],[Step]] =current_step, current_Total_Loss,IF(Iterations[[#This Row],[Step]] &gt; current_step, "",Iterations[[#This Row],[Total Loss]]))</f>
        <v/>
      </c>
      <c r="M860" s="6" t="s">
        <v>27</v>
      </c>
      <c r="N860" s="2" t="str">
        <f>IF(Iterations[[#This Row],[Step]] =current_step, current_Grad_a,IF(Iterations[[#This Row],[Step]] &gt; current_step, "",Iterations[[#This Row],[Grad_a]]))</f>
        <v/>
      </c>
      <c r="O860" s="2" t="str">
        <f>IF(Iterations[[#This Row],[Step]] =current_step, current_Grad_b,IF(Iterations[[#This Row],[Step]] &gt; current_step, "",Iterations[[#This Row],[Grad_b]]))</f>
        <v/>
      </c>
      <c r="P860" s="2" t="str">
        <f>IF(Iterations[[#This Row],[Step]] =current_step, current_Grad_c,IF(Iterations[[#This Row],[Step]] &gt; current_step, "",Iterations[[#This Row],[Grad_c]]))</f>
        <v/>
      </c>
      <c r="Q860" s="2" t="str">
        <f>IF(Iterations[[#This Row],[Step]] =current_step, current_Grad_d,IF(Iterations[[#This Row],[Step]] &gt; current_step, "",Iterations[[#This Row],[Grad_d]]))</f>
        <v/>
      </c>
      <c r="R860" s="2" t="str">
        <f>IF(Iterations[[#This Row],[Step]] =current_step, current_Grad_e,IF(Iterations[[#This Row],[Step]] &gt; current_step, "",Iterations[[#This Row],[Grad_e]]))</f>
        <v/>
      </c>
    </row>
    <row r="861" spans="6:18" x14ac:dyDescent="0.3">
      <c r="F861" s="2">
        <f t="shared" si="15"/>
        <v>844</v>
      </c>
      <c r="G861" s="2" t="str">
        <f>IF(Iterations[[#This Row],[Step]] =current_step, current_a,IF(Iterations[[#This Row],[Step]] &gt; current_step, "",Iterations[[#This Row],[a]]))</f>
        <v/>
      </c>
      <c r="H861" s="2" t="str">
        <f>IF(Iterations[[#This Row],[Step]] =current_step, current_b,IF(Iterations[[#This Row],[Step]] &gt; current_step, "",Iterations[[#This Row],[b]]))</f>
        <v/>
      </c>
      <c r="I861" s="2" t="str">
        <f>IF(Iterations[[#This Row],[Step]] =current_step, current_c,IF(Iterations[[#This Row],[Step]] &gt; current_step, "",Iterations[[#This Row],[c]]))</f>
        <v/>
      </c>
      <c r="J861" s="2" t="str">
        <f>IF(Iterations[[#This Row],[Step]] =current_step, current_d,IF(Iterations[[#This Row],[Step]] &gt; current_step, "",Iterations[[#This Row],[d]]))</f>
        <v/>
      </c>
      <c r="K861" s="2" t="str">
        <f>IF(Iterations[[#This Row],[Step]] =current_step, current_e,IF(Iterations[[#This Row],[Step]] &gt; current_step, "",Iterations[[#This Row],[e]]))</f>
        <v/>
      </c>
      <c r="L861" s="2" t="str">
        <f>IF(Iterations[[#This Row],[Step]] =current_step, current_Total_Loss,IF(Iterations[[#This Row],[Step]] &gt; current_step, "",Iterations[[#This Row],[Total Loss]]))</f>
        <v/>
      </c>
      <c r="M861" s="6" t="s">
        <v>27</v>
      </c>
      <c r="N861" s="2" t="str">
        <f>IF(Iterations[[#This Row],[Step]] =current_step, current_Grad_a,IF(Iterations[[#This Row],[Step]] &gt; current_step, "",Iterations[[#This Row],[Grad_a]]))</f>
        <v/>
      </c>
      <c r="O861" s="2" t="str">
        <f>IF(Iterations[[#This Row],[Step]] =current_step, current_Grad_b,IF(Iterations[[#This Row],[Step]] &gt; current_step, "",Iterations[[#This Row],[Grad_b]]))</f>
        <v/>
      </c>
      <c r="P861" s="2" t="str">
        <f>IF(Iterations[[#This Row],[Step]] =current_step, current_Grad_c,IF(Iterations[[#This Row],[Step]] &gt; current_step, "",Iterations[[#This Row],[Grad_c]]))</f>
        <v/>
      </c>
      <c r="Q861" s="2" t="str">
        <f>IF(Iterations[[#This Row],[Step]] =current_step, current_Grad_d,IF(Iterations[[#This Row],[Step]] &gt; current_step, "",Iterations[[#This Row],[Grad_d]]))</f>
        <v/>
      </c>
      <c r="R861" s="2" t="str">
        <f>IF(Iterations[[#This Row],[Step]] =current_step, current_Grad_e,IF(Iterations[[#This Row],[Step]] &gt; current_step, "",Iterations[[#This Row],[Grad_e]]))</f>
        <v/>
      </c>
    </row>
    <row r="862" spans="6:18" x14ac:dyDescent="0.3">
      <c r="F862" s="2">
        <f t="shared" si="15"/>
        <v>845</v>
      </c>
      <c r="G862" s="2" t="str">
        <f>IF(Iterations[[#This Row],[Step]] =current_step, current_a,IF(Iterations[[#This Row],[Step]] &gt; current_step, "",Iterations[[#This Row],[a]]))</f>
        <v/>
      </c>
      <c r="H862" s="2" t="str">
        <f>IF(Iterations[[#This Row],[Step]] =current_step, current_b,IF(Iterations[[#This Row],[Step]] &gt; current_step, "",Iterations[[#This Row],[b]]))</f>
        <v/>
      </c>
      <c r="I862" s="2" t="str">
        <f>IF(Iterations[[#This Row],[Step]] =current_step, current_c,IF(Iterations[[#This Row],[Step]] &gt; current_step, "",Iterations[[#This Row],[c]]))</f>
        <v/>
      </c>
      <c r="J862" s="2" t="str">
        <f>IF(Iterations[[#This Row],[Step]] =current_step, current_d,IF(Iterations[[#This Row],[Step]] &gt; current_step, "",Iterations[[#This Row],[d]]))</f>
        <v/>
      </c>
      <c r="K862" s="2" t="str">
        <f>IF(Iterations[[#This Row],[Step]] =current_step, current_e,IF(Iterations[[#This Row],[Step]] &gt; current_step, "",Iterations[[#This Row],[e]]))</f>
        <v/>
      </c>
      <c r="L862" s="2" t="str">
        <f>IF(Iterations[[#This Row],[Step]] =current_step, current_Total_Loss,IF(Iterations[[#This Row],[Step]] &gt; current_step, "",Iterations[[#This Row],[Total Loss]]))</f>
        <v/>
      </c>
      <c r="M862" s="6" t="s">
        <v>27</v>
      </c>
      <c r="N862" s="2" t="str">
        <f>IF(Iterations[[#This Row],[Step]] =current_step, current_Grad_a,IF(Iterations[[#This Row],[Step]] &gt; current_step, "",Iterations[[#This Row],[Grad_a]]))</f>
        <v/>
      </c>
      <c r="O862" s="2" t="str">
        <f>IF(Iterations[[#This Row],[Step]] =current_step, current_Grad_b,IF(Iterations[[#This Row],[Step]] &gt; current_step, "",Iterations[[#This Row],[Grad_b]]))</f>
        <v/>
      </c>
      <c r="P862" s="2" t="str">
        <f>IF(Iterations[[#This Row],[Step]] =current_step, current_Grad_c,IF(Iterations[[#This Row],[Step]] &gt; current_step, "",Iterations[[#This Row],[Grad_c]]))</f>
        <v/>
      </c>
      <c r="Q862" s="2" t="str">
        <f>IF(Iterations[[#This Row],[Step]] =current_step, current_Grad_d,IF(Iterations[[#This Row],[Step]] &gt; current_step, "",Iterations[[#This Row],[Grad_d]]))</f>
        <v/>
      </c>
      <c r="R862" s="2" t="str">
        <f>IF(Iterations[[#This Row],[Step]] =current_step, current_Grad_e,IF(Iterations[[#This Row],[Step]] &gt; current_step, "",Iterations[[#This Row],[Grad_e]]))</f>
        <v/>
      </c>
    </row>
    <row r="863" spans="6:18" x14ac:dyDescent="0.3">
      <c r="F863" s="2">
        <f t="shared" si="15"/>
        <v>846</v>
      </c>
      <c r="G863" s="2" t="str">
        <f>IF(Iterations[[#This Row],[Step]] =current_step, current_a,IF(Iterations[[#This Row],[Step]] &gt; current_step, "",Iterations[[#This Row],[a]]))</f>
        <v/>
      </c>
      <c r="H863" s="2" t="str">
        <f>IF(Iterations[[#This Row],[Step]] =current_step, current_b,IF(Iterations[[#This Row],[Step]] &gt; current_step, "",Iterations[[#This Row],[b]]))</f>
        <v/>
      </c>
      <c r="I863" s="2" t="str">
        <f>IF(Iterations[[#This Row],[Step]] =current_step, current_c,IF(Iterations[[#This Row],[Step]] &gt; current_step, "",Iterations[[#This Row],[c]]))</f>
        <v/>
      </c>
      <c r="J863" s="2" t="str">
        <f>IF(Iterations[[#This Row],[Step]] =current_step, current_d,IF(Iterations[[#This Row],[Step]] &gt; current_step, "",Iterations[[#This Row],[d]]))</f>
        <v/>
      </c>
      <c r="K863" s="2" t="str">
        <f>IF(Iterations[[#This Row],[Step]] =current_step, current_e,IF(Iterations[[#This Row],[Step]] &gt; current_step, "",Iterations[[#This Row],[e]]))</f>
        <v/>
      </c>
      <c r="L863" s="2" t="str">
        <f>IF(Iterations[[#This Row],[Step]] =current_step, current_Total_Loss,IF(Iterations[[#This Row],[Step]] &gt; current_step, "",Iterations[[#This Row],[Total Loss]]))</f>
        <v/>
      </c>
      <c r="M863" s="6" t="s">
        <v>27</v>
      </c>
      <c r="N863" s="2" t="str">
        <f>IF(Iterations[[#This Row],[Step]] =current_step, current_Grad_a,IF(Iterations[[#This Row],[Step]] &gt; current_step, "",Iterations[[#This Row],[Grad_a]]))</f>
        <v/>
      </c>
      <c r="O863" s="2" t="str">
        <f>IF(Iterations[[#This Row],[Step]] =current_step, current_Grad_b,IF(Iterations[[#This Row],[Step]] &gt; current_step, "",Iterations[[#This Row],[Grad_b]]))</f>
        <v/>
      </c>
      <c r="P863" s="2" t="str">
        <f>IF(Iterations[[#This Row],[Step]] =current_step, current_Grad_c,IF(Iterations[[#This Row],[Step]] &gt; current_step, "",Iterations[[#This Row],[Grad_c]]))</f>
        <v/>
      </c>
      <c r="Q863" s="2" t="str">
        <f>IF(Iterations[[#This Row],[Step]] =current_step, current_Grad_d,IF(Iterations[[#This Row],[Step]] &gt; current_step, "",Iterations[[#This Row],[Grad_d]]))</f>
        <v/>
      </c>
      <c r="R863" s="2" t="str">
        <f>IF(Iterations[[#This Row],[Step]] =current_step, current_Grad_e,IF(Iterations[[#This Row],[Step]] &gt; current_step, "",Iterations[[#This Row],[Grad_e]]))</f>
        <v/>
      </c>
    </row>
    <row r="864" spans="6:18" x14ac:dyDescent="0.3">
      <c r="F864" s="2">
        <f t="shared" si="15"/>
        <v>847</v>
      </c>
      <c r="G864" s="2" t="str">
        <f>IF(Iterations[[#This Row],[Step]] =current_step, current_a,IF(Iterations[[#This Row],[Step]] &gt; current_step, "",Iterations[[#This Row],[a]]))</f>
        <v/>
      </c>
      <c r="H864" s="2" t="str">
        <f>IF(Iterations[[#This Row],[Step]] =current_step, current_b,IF(Iterations[[#This Row],[Step]] &gt; current_step, "",Iterations[[#This Row],[b]]))</f>
        <v/>
      </c>
      <c r="I864" s="2" t="str">
        <f>IF(Iterations[[#This Row],[Step]] =current_step, current_c,IF(Iterations[[#This Row],[Step]] &gt; current_step, "",Iterations[[#This Row],[c]]))</f>
        <v/>
      </c>
      <c r="J864" s="2" t="str">
        <f>IF(Iterations[[#This Row],[Step]] =current_step, current_d,IF(Iterations[[#This Row],[Step]] &gt; current_step, "",Iterations[[#This Row],[d]]))</f>
        <v/>
      </c>
      <c r="K864" s="2" t="str">
        <f>IF(Iterations[[#This Row],[Step]] =current_step, current_e,IF(Iterations[[#This Row],[Step]] &gt; current_step, "",Iterations[[#This Row],[e]]))</f>
        <v/>
      </c>
      <c r="L864" s="2" t="str">
        <f>IF(Iterations[[#This Row],[Step]] =current_step, current_Total_Loss,IF(Iterations[[#This Row],[Step]] &gt; current_step, "",Iterations[[#This Row],[Total Loss]]))</f>
        <v/>
      </c>
      <c r="M864" s="6" t="s">
        <v>27</v>
      </c>
      <c r="N864" s="2" t="str">
        <f>IF(Iterations[[#This Row],[Step]] =current_step, current_Grad_a,IF(Iterations[[#This Row],[Step]] &gt; current_step, "",Iterations[[#This Row],[Grad_a]]))</f>
        <v/>
      </c>
      <c r="O864" s="2" t="str">
        <f>IF(Iterations[[#This Row],[Step]] =current_step, current_Grad_b,IF(Iterations[[#This Row],[Step]] &gt; current_step, "",Iterations[[#This Row],[Grad_b]]))</f>
        <v/>
      </c>
      <c r="P864" s="2" t="str">
        <f>IF(Iterations[[#This Row],[Step]] =current_step, current_Grad_c,IF(Iterations[[#This Row],[Step]] &gt; current_step, "",Iterations[[#This Row],[Grad_c]]))</f>
        <v/>
      </c>
      <c r="Q864" s="2" t="str">
        <f>IF(Iterations[[#This Row],[Step]] =current_step, current_Grad_d,IF(Iterations[[#This Row],[Step]] &gt; current_step, "",Iterations[[#This Row],[Grad_d]]))</f>
        <v/>
      </c>
      <c r="R864" s="2" t="str">
        <f>IF(Iterations[[#This Row],[Step]] =current_step, current_Grad_e,IF(Iterations[[#This Row],[Step]] &gt; current_step, "",Iterations[[#This Row],[Grad_e]]))</f>
        <v/>
      </c>
    </row>
    <row r="865" spans="6:18" x14ac:dyDescent="0.3">
      <c r="F865" s="2">
        <f t="shared" si="15"/>
        <v>848</v>
      </c>
      <c r="G865" s="2" t="str">
        <f>IF(Iterations[[#This Row],[Step]] =current_step, current_a,IF(Iterations[[#This Row],[Step]] &gt; current_step, "",Iterations[[#This Row],[a]]))</f>
        <v/>
      </c>
      <c r="H865" s="2" t="str">
        <f>IF(Iterations[[#This Row],[Step]] =current_step, current_b,IF(Iterations[[#This Row],[Step]] &gt; current_step, "",Iterations[[#This Row],[b]]))</f>
        <v/>
      </c>
      <c r="I865" s="2" t="str">
        <f>IF(Iterations[[#This Row],[Step]] =current_step, current_c,IF(Iterations[[#This Row],[Step]] &gt; current_step, "",Iterations[[#This Row],[c]]))</f>
        <v/>
      </c>
      <c r="J865" s="2" t="str">
        <f>IF(Iterations[[#This Row],[Step]] =current_step, current_d,IF(Iterations[[#This Row],[Step]] &gt; current_step, "",Iterations[[#This Row],[d]]))</f>
        <v/>
      </c>
      <c r="K865" s="2" t="str">
        <f>IF(Iterations[[#This Row],[Step]] =current_step, current_e,IF(Iterations[[#This Row],[Step]] &gt; current_step, "",Iterations[[#This Row],[e]]))</f>
        <v/>
      </c>
      <c r="L865" s="2" t="str">
        <f>IF(Iterations[[#This Row],[Step]] =current_step, current_Total_Loss,IF(Iterations[[#This Row],[Step]] &gt; current_step, "",Iterations[[#This Row],[Total Loss]]))</f>
        <v/>
      </c>
      <c r="M865" s="6" t="s">
        <v>27</v>
      </c>
      <c r="N865" s="2" t="str">
        <f>IF(Iterations[[#This Row],[Step]] =current_step, current_Grad_a,IF(Iterations[[#This Row],[Step]] &gt; current_step, "",Iterations[[#This Row],[Grad_a]]))</f>
        <v/>
      </c>
      <c r="O865" s="2" t="str">
        <f>IF(Iterations[[#This Row],[Step]] =current_step, current_Grad_b,IF(Iterations[[#This Row],[Step]] &gt; current_step, "",Iterations[[#This Row],[Grad_b]]))</f>
        <v/>
      </c>
      <c r="P865" s="2" t="str">
        <f>IF(Iterations[[#This Row],[Step]] =current_step, current_Grad_c,IF(Iterations[[#This Row],[Step]] &gt; current_step, "",Iterations[[#This Row],[Grad_c]]))</f>
        <v/>
      </c>
      <c r="Q865" s="2" t="str">
        <f>IF(Iterations[[#This Row],[Step]] =current_step, current_Grad_d,IF(Iterations[[#This Row],[Step]] &gt; current_step, "",Iterations[[#This Row],[Grad_d]]))</f>
        <v/>
      </c>
      <c r="R865" s="2" t="str">
        <f>IF(Iterations[[#This Row],[Step]] =current_step, current_Grad_e,IF(Iterations[[#This Row],[Step]] &gt; current_step, "",Iterations[[#This Row],[Grad_e]]))</f>
        <v/>
      </c>
    </row>
    <row r="866" spans="6:18" x14ac:dyDescent="0.3">
      <c r="F866" s="2">
        <f t="shared" si="15"/>
        <v>849</v>
      </c>
      <c r="G866" s="2" t="str">
        <f>IF(Iterations[[#This Row],[Step]] =current_step, current_a,IF(Iterations[[#This Row],[Step]] &gt; current_step, "",Iterations[[#This Row],[a]]))</f>
        <v/>
      </c>
      <c r="H866" s="2" t="str">
        <f>IF(Iterations[[#This Row],[Step]] =current_step, current_b,IF(Iterations[[#This Row],[Step]] &gt; current_step, "",Iterations[[#This Row],[b]]))</f>
        <v/>
      </c>
      <c r="I866" s="2" t="str">
        <f>IF(Iterations[[#This Row],[Step]] =current_step, current_c,IF(Iterations[[#This Row],[Step]] &gt; current_step, "",Iterations[[#This Row],[c]]))</f>
        <v/>
      </c>
      <c r="J866" s="2" t="str">
        <f>IF(Iterations[[#This Row],[Step]] =current_step, current_d,IF(Iterations[[#This Row],[Step]] &gt; current_step, "",Iterations[[#This Row],[d]]))</f>
        <v/>
      </c>
      <c r="K866" s="2" t="str">
        <f>IF(Iterations[[#This Row],[Step]] =current_step, current_e,IF(Iterations[[#This Row],[Step]] &gt; current_step, "",Iterations[[#This Row],[e]]))</f>
        <v/>
      </c>
      <c r="L866" s="2" t="str">
        <f>IF(Iterations[[#This Row],[Step]] =current_step, current_Total_Loss,IF(Iterations[[#This Row],[Step]] &gt; current_step, "",Iterations[[#This Row],[Total Loss]]))</f>
        <v/>
      </c>
      <c r="M866" s="6" t="s">
        <v>27</v>
      </c>
      <c r="N866" s="2" t="str">
        <f>IF(Iterations[[#This Row],[Step]] =current_step, current_Grad_a,IF(Iterations[[#This Row],[Step]] &gt; current_step, "",Iterations[[#This Row],[Grad_a]]))</f>
        <v/>
      </c>
      <c r="O866" s="2" t="str">
        <f>IF(Iterations[[#This Row],[Step]] =current_step, current_Grad_b,IF(Iterations[[#This Row],[Step]] &gt; current_step, "",Iterations[[#This Row],[Grad_b]]))</f>
        <v/>
      </c>
      <c r="P866" s="2" t="str">
        <f>IF(Iterations[[#This Row],[Step]] =current_step, current_Grad_c,IF(Iterations[[#This Row],[Step]] &gt; current_step, "",Iterations[[#This Row],[Grad_c]]))</f>
        <v/>
      </c>
      <c r="Q866" s="2" t="str">
        <f>IF(Iterations[[#This Row],[Step]] =current_step, current_Grad_d,IF(Iterations[[#This Row],[Step]] &gt; current_step, "",Iterations[[#This Row],[Grad_d]]))</f>
        <v/>
      </c>
      <c r="R866" s="2" t="str">
        <f>IF(Iterations[[#This Row],[Step]] =current_step, current_Grad_e,IF(Iterations[[#This Row],[Step]] &gt; current_step, "",Iterations[[#This Row],[Grad_e]]))</f>
        <v/>
      </c>
    </row>
    <row r="867" spans="6:18" x14ac:dyDescent="0.3">
      <c r="F867" s="2">
        <f t="shared" si="15"/>
        <v>850</v>
      </c>
      <c r="G867" s="2" t="str">
        <f>IF(Iterations[[#This Row],[Step]] =current_step, current_a,IF(Iterations[[#This Row],[Step]] &gt; current_step, "",Iterations[[#This Row],[a]]))</f>
        <v/>
      </c>
      <c r="H867" s="2" t="str">
        <f>IF(Iterations[[#This Row],[Step]] =current_step, current_b,IF(Iterations[[#This Row],[Step]] &gt; current_step, "",Iterations[[#This Row],[b]]))</f>
        <v/>
      </c>
      <c r="I867" s="2" t="str">
        <f>IF(Iterations[[#This Row],[Step]] =current_step, current_c,IF(Iterations[[#This Row],[Step]] &gt; current_step, "",Iterations[[#This Row],[c]]))</f>
        <v/>
      </c>
      <c r="J867" s="2" t="str">
        <f>IF(Iterations[[#This Row],[Step]] =current_step, current_d,IF(Iterations[[#This Row],[Step]] &gt; current_step, "",Iterations[[#This Row],[d]]))</f>
        <v/>
      </c>
      <c r="K867" s="2" t="str">
        <f>IF(Iterations[[#This Row],[Step]] =current_step, current_e,IF(Iterations[[#This Row],[Step]] &gt; current_step, "",Iterations[[#This Row],[e]]))</f>
        <v/>
      </c>
      <c r="L867" s="2" t="str">
        <f>IF(Iterations[[#This Row],[Step]] =current_step, current_Total_Loss,IF(Iterations[[#This Row],[Step]] &gt; current_step, "",Iterations[[#This Row],[Total Loss]]))</f>
        <v/>
      </c>
      <c r="M867" s="6" t="s">
        <v>27</v>
      </c>
      <c r="N867" s="2" t="str">
        <f>IF(Iterations[[#This Row],[Step]] =current_step, current_Grad_a,IF(Iterations[[#This Row],[Step]] &gt; current_step, "",Iterations[[#This Row],[Grad_a]]))</f>
        <v/>
      </c>
      <c r="O867" s="2" t="str">
        <f>IF(Iterations[[#This Row],[Step]] =current_step, current_Grad_b,IF(Iterations[[#This Row],[Step]] &gt; current_step, "",Iterations[[#This Row],[Grad_b]]))</f>
        <v/>
      </c>
      <c r="P867" s="2" t="str">
        <f>IF(Iterations[[#This Row],[Step]] =current_step, current_Grad_c,IF(Iterations[[#This Row],[Step]] &gt; current_step, "",Iterations[[#This Row],[Grad_c]]))</f>
        <v/>
      </c>
      <c r="Q867" s="2" t="str">
        <f>IF(Iterations[[#This Row],[Step]] =current_step, current_Grad_d,IF(Iterations[[#This Row],[Step]] &gt; current_step, "",Iterations[[#This Row],[Grad_d]]))</f>
        <v/>
      </c>
      <c r="R867" s="2" t="str">
        <f>IF(Iterations[[#This Row],[Step]] =current_step, current_Grad_e,IF(Iterations[[#This Row],[Step]] &gt; current_step, "",Iterations[[#This Row],[Grad_e]]))</f>
        <v/>
      </c>
    </row>
    <row r="868" spans="6:18" x14ac:dyDescent="0.3">
      <c r="F868" s="2">
        <f t="shared" si="15"/>
        <v>851</v>
      </c>
      <c r="G868" s="2" t="str">
        <f>IF(Iterations[[#This Row],[Step]] =current_step, current_a,IF(Iterations[[#This Row],[Step]] &gt; current_step, "",Iterations[[#This Row],[a]]))</f>
        <v/>
      </c>
      <c r="H868" s="2" t="str">
        <f>IF(Iterations[[#This Row],[Step]] =current_step, current_b,IF(Iterations[[#This Row],[Step]] &gt; current_step, "",Iterations[[#This Row],[b]]))</f>
        <v/>
      </c>
      <c r="I868" s="2" t="str">
        <f>IF(Iterations[[#This Row],[Step]] =current_step, current_c,IF(Iterations[[#This Row],[Step]] &gt; current_step, "",Iterations[[#This Row],[c]]))</f>
        <v/>
      </c>
      <c r="J868" s="2" t="str">
        <f>IF(Iterations[[#This Row],[Step]] =current_step, current_d,IF(Iterations[[#This Row],[Step]] &gt; current_step, "",Iterations[[#This Row],[d]]))</f>
        <v/>
      </c>
      <c r="K868" s="2" t="str">
        <f>IF(Iterations[[#This Row],[Step]] =current_step, current_e,IF(Iterations[[#This Row],[Step]] &gt; current_step, "",Iterations[[#This Row],[e]]))</f>
        <v/>
      </c>
      <c r="L868" s="2" t="str">
        <f>IF(Iterations[[#This Row],[Step]] =current_step, current_Total_Loss,IF(Iterations[[#This Row],[Step]] &gt; current_step, "",Iterations[[#This Row],[Total Loss]]))</f>
        <v/>
      </c>
      <c r="M868" s="6" t="s">
        <v>27</v>
      </c>
      <c r="N868" s="2" t="str">
        <f>IF(Iterations[[#This Row],[Step]] =current_step, current_Grad_a,IF(Iterations[[#This Row],[Step]] &gt; current_step, "",Iterations[[#This Row],[Grad_a]]))</f>
        <v/>
      </c>
      <c r="O868" s="2" t="str">
        <f>IF(Iterations[[#This Row],[Step]] =current_step, current_Grad_b,IF(Iterations[[#This Row],[Step]] &gt; current_step, "",Iterations[[#This Row],[Grad_b]]))</f>
        <v/>
      </c>
      <c r="P868" s="2" t="str">
        <f>IF(Iterations[[#This Row],[Step]] =current_step, current_Grad_c,IF(Iterations[[#This Row],[Step]] &gt; current_step, "",Iterations[[#This Row],[Grad_c]]))</f>
        <v/>
      </c>
      <c r="Q868" s="2" t="str">
        <f>IF(Iterations[[#This Row],[Step]] =current_step, current_Grad_d,IF(Iterations[[#This Row],[Step]] &gt; current_step, "",Iterations[[#This Row],[Grad_d]]))</f>
        <v/>
      </c>
      <c r="R868" s="2" t="str">
        <f>IF(Iterations[[#This Row],[Step]] =current_step, current_Grad_e,IF(Iterations[[#This Row],[Step]] &gt; current_step, "",Iterations[[#This Row],[Grad_e]]))</f>
        <v/>
      </c>
    </row>
    <row r="869" spans="6:18" x14ac:dyDescent="0.3">
      <c r="F869" s="2">
        <f t="shared" si="15"/>
        <v>852</v>
      </c>
      <c r="G869" s="2" t="str">
        <f>IF(Iterations[[#This Row],[Step]] =current_step, current_a,IF(Iterations[[#This Row],[Step]] &gt; current_step, "",Iterations[[#This Row],[a]]))</f>
        <v/>
      </c>
      <c r="H869" s="2" t="str">
        <f>IF(Iterations[[#This Row],[Step]] =current_step, current_b,IF(Iterations[[#This Row],[Step]] &gt; current_step, "",Iterations[[#This Row],[b]]))</f>
        <v/>
      </c>
      <c r="I869" s="2" t="str">
        <f>IF(Iterations[[#This Row],[Step]] =current_step, current_c,IF(Iterations[[#This Row],[Step]] &gt; current_step, "",Iterations[[#This Row],[c]]))</f>
        <v/>
      </c>
      <c r="J869" s="2" t="str">
        <f>IF(Iterations[[#This Row],[Step]] =current_step, current_d,IF(Iterations[[#This Row],[Step]] &gt; current_step, "",Iterations[[#This Row],[d]]))</f>
        <v/>
      </c>
      <c r="K869" s="2" t="str">
        <f>IF(Iterations[[#This Row],[Step]] =current_step, current_e,IF(Iterations[[#This Row],[Step]] &gt; current_step, "",Iterations[[#This Row],[e]]))</f>
        <v/>
      </c>
      <c r="L869" s="2" t="str">
        <f>IF(Iterations[[#This Row],[Step]] =current_step, current_Total_Loss,IF(Iterations[[#This Row],[Step]] &gt; current_step, "",Iterations[[#This Row],[Total Loss]]))</f>
        <v/>
      </c>
      <c r="M869" s="6" t="s">
        <v>27</v>
      </c>
      <c r="N869" s="2" t="str">
        <f>IF(Iterations[[#This Row],[Step]] =current_step, current_Grad_a,IF(Iterations[[#This Row],[Step]] &gt; current_step, "",Iterations[[#This Row],[Grad_a]]))</f>
        <v/>
      </c>
      <c r="O869" s="2" t="str">
        <f>IF(Iterations[[#This Row],[Step]] =current_step, current_Grad_b,IF(Iterations[[#This Row],[Step]] &gt; current_step, "",Iterations[[#This Row],[Grad_b]]))</f>
        <v/>
      </c>
      <c r="P869" s="2" t="str">
        <f>IF(Iterations[[#This Row],[Step]] =current_step, current_Grad_c,IF(Iterations[[#This Row],[Step]] &gt; current_step, "",Iterations[[#This Row],[Grad_c]]))</f>
        <v/>
      </c>
      <c r="Q869" s="2" t="str">
        <f>IF(Iterations[[#This Row],[Step]] =current_step, current_Grad_d,IF(Iterations[[#This Row],[Step]] &gt; current_step, "",Iterations[[#This Row],[Grad_d]]))</f>
        <v/>
      </c>
      <c r="R869" s="2" t="str">
        <f>IF(Iterations[[#This Row],[Step]] =current_step, current_Grad_e,IF(Iterations[[#This Row],[Step]] &gt; current_step, "",Iterations[[#This Row],[Grad_e]]))</f>
        <v/>
      </c>
    </row>
    <row r="870" spans="6:18" x14ac:dyDescent="0.3">
      <c r="F870" s="2">
        <f t="shared" si="15"/>
        <v>853</v>
      </c>
      <c r="G870" s="2" t="str">
        <f>IF(Iterations[[#This Row],[Step]] =current_step, current_a,IF(Iterations[[#This Row],[Step]] &gt; current_step, "",Iterations[[#This Row],[a]]))</f>
        <v/>
      </c>
      <c r="H870" s="2" t="str">
        <f>IF(Iterations[[#This Row],[Step]] =current_step, current_b,IF(Iterations[[#This Row],[Step]] &gt; current_step, "",Iterations[[#This Row],[b]]))</f>
        <v/>
      </c>
      <c r="I870" s="2" t="str">
        <f>IF(Iterations[[#This Row],[Step]] =current_step, current_c,IF(Iterations[[#This Row],[Step]] &gt; current_step, "",Iterations[[#This Row],[c]]))</f>
        <v/>
      </c>
      <c r="J870" s="2" t="str">
        <f>IF(Iterations[[#This Row],[Step]] =current_step, current_d,IF(Iterations[[#This Row],[Step]] &gt; current_step, "",Iterations[[#This Row],[d]]))</f>
        <v/>
      </c>
      <c r="K870" s="2" t="str">
        <f>IF(Iterations[[#This Row],[Step]] =current_step, current_e,IF(Iterations[[#This Row],[Step]] &gt; current_step, "",Iterations[[#This Row],[e]]))</f>
        <v/>
      </c>
      <c r="L870" s="2" t="str">
        <f>IF(Iterations[[#This Row],[Step]] =current_step, current_Total_Loss,IF(Iterations[[#This Row],[Step]] &gt; current_step, "",Iterations[[#This Row],[Total Loss]]))</f>
        <v/>
      </c>
      <c r="M870" s="6" t="s">
        <v>27</v>
      </c>
      <c r="N870" s="2" t="str">
        <f>IF(Iterations[[#This Row],[Step]] =current_step, current_Grad_a,IF(Iterations[[#This Row],[Step]] &gt; current_step, "",Iterations[[#This Row],[Grad_a]]))</f>
        <v/>
      </c>
      <c r="O870" s="2" t="str">
        <f>IF(Iterations[[#This Row],[Step]] =current_step, current_Grad_b,IF(Iterations[[#This Row],[Step]] &gt; current_step, "",Iterations[[#This Row],[Grad_b]]))</f>
        <v/>
      </c>
      <c r="P870" s="2" t="str">
        <f>IF(Iterations[[#This Row],[Step]] =current_step, current_Grad_c,IF(Iterations[[#This Row],[Step]] &gt; current_step, "",Iterations[[#This Row],[Grad_c]]))</f>
        <v/>
      </c>
      <c r="Q870" s="2" t="str">
        <f>IF(Iterations[[#This Row],[Step]] =current_step, current_Grad_d,IF(Iterations[[#This Row],[Step]] &gt; current_step, "",Iterations[[#This Row],[Grad_d]]))</f>
        <v/>
      </c>
      <c r="R870" s="2" t="str">
        <f>IF(Iterations[[#This Row],[Step]] =current_step, current_Grad_e,IF(Iterations[[#This Row],[Step]] &gt; current_step, "",Iterations[[#This Row],[Grad_e]]))</f>
        <v/>
      </c>
    </row>
    <row r="871" spans="6:18" x14ac:dyDescent="0.3">
      <c r="F871" s="2">
        <f t="shared" si="15"/>
        <v>854</v>
      </c>
      <c r="G871" s="2" t="str">
        <f>IF(Iterations[[#This Row],[Step]] =current_step, current_a,IF(Iterations[[#This Row],[Step]] &gt; current_step, "",Iterations[[#This Row],[a]]))</f>
        <v/>
      </c>
      <c r="H871" s="2" t="str">
        <f>IF(Iterations[[#This Row],[Step]] =current_step, current_b,IF(Iterations[[#This Row],[Step]] &gt; current_step, "",Iterations[[#This Row],[b]]))</f>
        <v/>
      </c>
      <c r="I871" s="2" t="str">
        <f>IF(Iterations[[#This Row],[Step]] =current_step, current_c,IF(Iterations[[#This Row],[Step]] &gt; current_step, "",Iterations[[#This Row],[c]]))</f>
        <v/>
      </c>
      <c r="J871" s="2" t="str">
        <f>IF(Iterations[[#This Row],[Step]] =current_step, current_d,IF(Iterations[[#This Row],[Step]] &gt; current_step, "",Iterations[[#This Row],[d]]))</f>
        <v/>
      </c>
      <c r="K871" s="2" t="str">
        <f>IF(Iterations[[#This Row],[Step]] =current_step, current_e,IF(Iterations[[#This Row],[Step]] &gt; current_step, "",Iterations[[#This Row],[e]]))</f>
        <v/>
      </c>
      <c r="L871" s="2" t="str">
        <f>IF(Iterations[[#This Row],[Step]] =current_step, current_Total_Loss,IF(Iterations[[#This Row],[Step]] &gt; current_step, "",Iterations[[#This Row],[Total Loss]]))</f>
        <v/>
      </c>
      <c r="M871" s="6" t="s">
        <v>27</v>
      </c>
      <c r="N871" s="2" t="str">
        <f>IF(Iterations[[#This Row],[Step]] =current_step, current_Grad_a,IF(Iterations[[#This Row],[Step]] &gt; current_step, "",Iterations[[#This Row],[Grad_a]]))</f>
        <v/>
      </c>
      <c r="O871" s="2" t="str">
        <f>IF(Iterations[[#This Row],[Step]] =current_step, current_Grad_b,IF(Iterations[[#This Row],[Step]] &gt; current_step, "",Iterations[[#This Row],[Grad_b]]))</f>
        <v/>
      </c>
      <c r="P871" s="2" t="str">
        <f>IF(Iterations[[#This Row],[Step]] =current_step, current_Grad_c,IF(Iterations[[#This Row],[Step]] &gt; current_step, "",Iterations[[#This Row],[Grad_c]]))</f>
        <v/>
      </c>
      <c r="Q871" s="2" t="str">
        <f>IF(Iterations[[#This Row],[Step]] =current_step, current_Grad_d,IF(Iterations[[#This Row],[Step]] &gt; current_step, "",Iterations[[#This Row],[Grad_d]]))</f>
        <v/>
      </c>
      <c r="R871" s="2" t="str">
        <f>IF(Iterations[[#This Row],[Step]] =current_step, current_Grad_e,IF(Iterations[[#This Row],[Step]] &gt; current_step, "",Iterations[[#This Row],[Grad_e]]))</f>
        <v/>
      </c>
    </row>
    <row r="872" spans="6:18" x14ac:dyDescent="0.3">
      <c r="F872" s="2">
        <f t="shared" si="15"/>
        <v>855</v>
      </c>
      <c r="G872" s="2" t="str">
        <f>IF(Iterations[[#This Row],[Step]] =current_step, current_a,IF(Iterations[[#This Row],[Step]] &gt; current_step, "",Iterations[[#This Row],[a]]))</f>
        <v/>
      </c>
      <c r="H872" s="2" t="str">
        <f>IF(Iterations[[#This Row],[Step]] =current_step, current_b,IF(Iterations[[#This Row],[Step]] &gt; current_step, "",Iterations[[#This Row],[b]]))</f>
        <v/>
      </c>
      <c r="I872" s="2" t="str">
        <f>IF(Iterations[[#This Row],[Step]] =current_step, current_c,IF(Iterations[[#This Row],[Step]] &gt; current_step, "",Iterations[[#This Row],[c]]))</f>
        <v/>
      </c>
      <c r="J872" s="2" t="str">
        <f>IF(Iterations[[#This Row],[Step]] =current_step, current_d,IF(Iterations[[#This Row],[Step]] &gt; current_step, "",Iterations[[#This Row],[d]]))</f>
        <v/>
      </c>
      <c r="K872" s="2" t="str">
        <f>IF(Iterations[[#This Row],[Step]] =current_step, current_e,IF(Iterations[[#This Row],[Step]] &gt; current_step, "",Iterations[[#This Row],[e]]))</f>
        <v/>
      </c>
      <c r="L872" s="2" t="str">
        <f>IF(Iterations[[#This Row],[Step]] =current_step, current_Total_Loss,IF(Iterations[[#This Row],[Step]] &gt; current_step, "",Iterations[[#This Row],[Total Loss]]))</f>
        <v/>
      </c>
      <c r="M872" s="6" t="s">
        <v>27</v>
      </c>
      <c r="N872" s="2" t="str">
        <f>IF(Iterations[[#This Row],[Step]] =current_step, current_Grad_a,IF(Iterations[[#This Row],[Step]] &gt; current_step, "",Iterations[[#This Row],[Grad_a]]))</f>
        <v/>
      </c>
      <c r="O872" s="2" t="str">
        <f>IF(Iterations[[#This Row],[Step]] =current_step, current_Grad_b,IF(Iterations[[#This Row],[Step]] &gt; current_step, "",Iterations[[#This Row],[Grad_b]]))</f>
        <v/>
      </c>
      <c r="P872" s="2" t="str">
        <f>IF(Iterations[[#This Row],[Step]] =current_step, current_Grad_c,IF(Iterations[[#This Row],[Step]] &gt; current_step, "",Iterations[[#This Row],[Grad_c]]))</f>
        <v/>
      </c>
      <c r="Q872" s="2" t="str">
        <f>IF(Iterations[[#This Row],[Step]] =current_step, current_Grad_d,IF(Iterations[[#This Row],[Step]] &gt; current_step, "",Iterations[[#This Row],[Grad_d]]))</f>
        <v/>
      </c>
      <c r="R872" s="2" t="str">
        <f>IF(Iterations[[#This Row],[Step]] =current_step, current_Grad_e,IF(Iterations[[#This Row],[Step]] &gt; current_step, "",Iterations[[#This Row],[Grad_e]]))</f>
        <v/>
      </c>
    </row>
    <row r="873" spans="6:18" x14ac:dyDescent="0.3">
      <c r="F873" s="2">
        <f t="shared" si="15"/>
        <v>856</v>
      </c>
      <c r="G873" s="2" t="str">
        <f>IF(Iterations[[#This Row],[Step]] =current_step, current_a,IF(Iterations[[#This Row],[Step]] &gt; current_step, "",Iterations[[#This Row],[a]]))</f>
        <v/>
      </c>
      <c r="H873" s="2" t="str">
        <f>IF(Iterations[[#This Row],[Step]] =current_step, current_b,IF(Iterations[[#This Row],[Step]] &gt; current_step, "",Iterations[[#This Row],[b]]))</f>
        <v/>
      </c>
      <c r="I873" s="2" t="str">
        <f>IF(Iterations[[#This Row],[Step]] =current_step, current_c,IF(Iterations[[#This Row],[Step]] &gt; current_step, "",Iterations[[#This Row],[c]]))</f>
        <v/>
      </c>
      <c r="J873" s="2" t="str">
        <f>IF(Iterations[[#This Row],[Step]] =current_step, current_d,IF(Iterations[[#This Row],[Step]] &gt; current_step, "",Iterations[[#This Row],[d]]))</f>
        <v/>
      </c>
      <c r="K873" s="2" t="str">
        <f>IF(Iterations[[#This Row],[Step]] =current_step, current_e,IF(Iterations[[#This Row],[Step]] &gt; current_step, "",Iterations[[#This Row],[e]]))</f>
        <v/>
      </c>
      <c r="L873" s="2" t="str">
        <f>IF(Iterations[[#This Row],[Step]] =current_step, current_Total_Loss,IF(Iterations[[#This Row],[Step]] &gt; current_step, "",Iterations[[#This Row],[Total Loss]]))</f>
        <v/>
      </c>
      <c r="M873" s="6" t="s">
        <v>27</v>
      </c>
      <c r="N873" s="2" t="str">
        <f>IF(Iterations[[#This Row],[Step]] =current_step, current_Grad_a,IF(Iterations[[#This Row],[Step]] &gt; current_step, "",Iterations[[#This Row],[Grad_a]]))</f>
        <v/>
      </c>
      <c r="O873" s="2" t="str">
        <f>IF(Iterations[[#This Row],[Step]] =current_step, current_Grad_b,IF(Iterations[[#This Row],[Step]] &gt; current_step, "",Iterations[[#This Row],[Grad_b]]))</f>
        <v/>
      </c>
      <c r="P873" s="2" t="str">
        <f>IF(Iterations[[#This Row],[Step]] =current_step, current_Grad_c,IF(Iterations[[#This Row],[Step]] &gt; current_step, "",Iterations[[#This Row],[Grad_c]]))</f>
        <v/>
      </c>
      <c r="Q873" s="2" t="str">
        <f>IF(Iterations[[#This Row],[Step]] =current_step, current_Grad_d,IF(Iterations[[#This Row],[Step]] &gt; current_step, "",Iterations[[#This Row],[Grad_d]]))</f>
        <v/>
      </c>
      <c r="R873" s="2" t="str">
        <f>IF(Iterations[[#This Row],[Step]] =current_step, current_Grad_e,IF(Iterations[[#This Row],[Step]] &gt; current_step, "",Iterations[[#This Row],[Grad_e]]))</f>
        <v/>
      </c>
    </row>
    <row r="874" spans="6:18" x14ac:dyDescent="0.3">
      <c r="F874" s="2">
        <f t="shared" si="15"/>
        <v>857</v>
      </c>
      <c r="G874" s="2" t="str">
        <f>IF(Iterations[[#This Row],[Step]] =current_step, current_a,IF(Iterations[[#This Row],[Step]] &gt; current_step, "",Iterations[[#This Row],[a]]))</f>
        <v/>
      </c>
      <c r="H874" s="2" t="str">
        <f>IF(Iterations[[#This Row],[Step]] =current_step, current_b,IF(Iterations[[#This Row],[Step]] &gt; current_step, "",Iterations[[#This Row],[b]]))</f>
        <v/>
      </c>
      <c r="I874" s="2" t="str">
        <f>IF(Iterations[[#This Row],[Step]] =current_step, current_c,IF(Iterations[[#This Row],[Step]] &gt; current_step, "",Iterations[[#This Row],[c]]))</f>
        <v/>
      </c>
      <c r="J874" s="2" t="str">
        <f>IF(Iterations[[#This Row],[Step]] =current_step, current_d,IF(Iterations[[#This Row],[Step]] &gt; current_step, "",Iterations[[#This Row],[d]]))</f>
        <v/>
      </c>
      <c r="K874" s="2" t="str">
        <f>IF(Iterations[[#This Row],[Step]] =current_step, current_e,IF(Iterations[[#This Row],[Step]] &gt; current_step, "",Iterations[[#This Row],[e]]))</f>
        <v/>
      </c>
      <c r="L874" s="2" t="str">
        <f>IF(Iterations[[#This Row],[Step]] =current_step, current_Total_Loss,IF(Iterations[[#This Row],[Step]] &gt; current_step, "",Iterations[[#This Row],[Total Loss]]))</f>
        <v/>
      </c>
      <c r="M874" s="6" t="s">
        <v>27</v>
      </c>
      <c r="N874" s="2" t="str">
        <f>IF(Iterations[[#This Row],[Step]] =current_step, current_Grad_a,IF(Iterations[[#This Row],[Step]] &gt; current_step, "",Iterations[[#This Row],[Grad_a]]))</f>
        <v/>
      </c>
      <c r="O874" s="2" t="str">
        <f>IF(Iterations[[#This Row],[Step]] =current_step, current_Grad_b,IF(Iterations[[#This Row],[Step]] &gt; current_step, "",Iterations[[#This Row],[Grad_b]]))</f>
        <v/>
      </c>
      <c r="P874" s="2" t="str">
        <f>IF(Iterations[[#This Row],[Step]] =current_step, current_Grad_c,IF(Iterations[[#This Row],[Step]] &gt; current_step, "",Iterations[[#This Row],[Grad_c]]))</f>
        <v/>
      </c>
      <c r="Q874" s="2" t="str">
        <f>IF(Iterations[[#This Row],[Step]] =current_step, current_Grad_d,IF(Iterations[[#This Row],[Step]] &gt; current_step, "",Iterations[[#This Row],[Grad_d]]))</f>
        <v/>
      </c>
      <c r="R874" s="2" t="str">
        <f>IF(Iterations[[#This Row],[Step]] =current_step, current_Grad_e,IF(Iterations[[#This Row],[Step]] &gt; current_step, "",Iterations[[#This Row],[Grad_e]]))</f>
        <v/>
      </c>
    </row>
    <row r="875" spans="6:18" x14ac:dyDescent="0.3">
      <c r="F875" s="2">
        <f t="shared" si="15"/>
        <v>858</v>
      </c>
      <c r="G875" s="2" t="str">
        <f>IF(Iterations[[#This Row],[Step]] =current_step, current_a,IF(Iterations[[#This Row],[Step]] &gt; current_step, "",Iterations[[#This Row],[a]]))</f>
        <v/>
      </c>
      <c r="H875" s="2" t="str">
        <f>IF(Iterations[[#This Row],[Step]] =current_step, current_b,IF(Iterations[[#This Row],[Step]] &gt; current_step, "",Iterations[[#This Row],[b]]))</f>
        <v/>
      </c>
      <c r="I875" s="2" t="str">
        <f>IF(Iterations[[#This Row],[Step]] =current_step, current_c,IF(Iterations[[#This Row],[Step]] &gt; current_step, "",Iterations[[#This Row],[c]]))</f>
        <v/>
      </c>
      <c r="J875" s="2" t="str">
        <f>IF(Iterations[[#This Row],[Step]] =current_step, current_d,IF(Iterations[[#This Row],[Step]] &gt; current_step, "",Iterations[[#This Row],[d]]))</f>
        <v/>
      </c>
      <c r="K875" s="2" t="str">
        <f>IF(Iterations[[#This Row],[Step]] =current_step, current_e,IF(Iterations[[#This Row],[Step]] &gt; current_step, "",Iterations[[#This Row],[e]]))</f>
        <v/>
      </c>
      <c r="L875" s="2" t="str">
        <f>IF(Iterations[[#This Row],[Step]] =current_step, current_Total_Loss,IF(Iterations[[#This Row],[Step]] &gt; current_step, "",Iterations[[#This Row],[Total Loss]]))</f>
        <v/>
      </c>
      <c r="M875" s="6" t="s">
        <v>27</v>
      </c>
      <c r="N875" s="2" t="str">
        <f>IF(Iterations[[#This Row],[Step]] =current_step, current_Grad_a,IF(Iterations[[#This Row],[Step]] &gt; current_step, "",Iterations[[#This Row],[Grad_a]]))</f>
        <v/>
      </c>
      <c r="O875" s="2" t="str">
        <f>IF(Iterations[[#This Row],[Step]] =current_step, current_Grad_b,IF(Iterations[[#This Row],[Step]] &gt; current_step, "",Iterations[[#This Row],[Grad_b]]))</f>
        <v/>
      </c>
      <c r="P875" s="2" t="str">
        <f>IF(Iterations[[#This Row],[Step]] =current_step, current_Grad_c,IF(Iterations[[#This Row],[Step]] &gt; current_step, "",Iterations[[#This Row],[Grad_c]]))</f>
        <v/>
      </c>
      <c r="Q875" s="2" t="str">
        <f>IF(Iterations[[#This Row],[Step]] =current_step, current_Grad_d,IF(Iterations[[#This Row],[Step]] &gt; current_step, "",Iterations[[#This Row],[Grad_d]]))</f>
        <v/>
      </c>
      <c r="R875" s="2" t="str">
        <f>IF(Iterations[[#This Row],[Step]] =current_step, current_Grad_e,IF(Iterations[[#This Row],[Step]] &gt; current_step, "",Iterations[[#This Row],[Grad_e]]))</f>
        <v/>
      </c>
    </row>
    <row r="876" spans="6:18" x14ac:dyDescent="0.3">
      <c r="F876" s="2">
        <f t="shared" si="15"/>
        <v>859</v>
      </c>
      <c r="G876" s="2" t="str">
        <f>IF(Iterations[[#This Row],[Step]] =current_step, current_a,IF(Iterations[[#This Row],[Step]] &gt; current_step, "",Iterations[[#This Row],[a]]))</f>
        <v/>
      </c>
      <c r="H876" s="2" t="str">
        <f>IF(Iterations[[#This Row],[Step]] =current_step, current_b,IF(Iterations[[#This Row],[Step]] &gt; current_step, "",Iterations[[#This Row],[b]]))</f>
        <v/>
      </c>
      <c r="I876" s="2" t="str">
        <f>IF(Iterations[[#This Row],[Step]] =current_step, current_c,IF(Iterations[[#This Row],[Step]] &gt; current_step, "",Iterations[[#This Row],[c]]))</f>
        <v/>
      </c>
      <c r="J876" s="2" t="str">
        <f>IF(Iterations[[#This Row],[Step]] =current_step, current_d,IF(Iterations[[#This Row],[Step]] &gt; current_step, "",Iterations[[#This Row],[d]]))</f>
        <v/>
      </c>
      <c r="K876" s="2" t="str">
        <f>IF(Iterations[[#This Row],[Step]] =current_step, current_e,IF(Iterations[[#This Row],[Step]] &gt; current_step, "",Iterations[[#This Row],[e]]))</f>
        <v/>
      </c>
      <c r="L876" s="2" t="str">
        <f>IF(Iterations[[#This Row],[Step]] =current_step, current_Total_Loss,IF(Iterations[[#This Row],[Step]] &gt; current_step, "",Iterations[[#This Row],[Total Loss]]))</f>
        <v/>
      </c>
      <c r="M876" s="6" t="s">
        <v>27</v>
      </c>
      <c r="N876" s="2" t="str">
        <f>IF(Iterations[[#This Row],[Step]] =current_step, current_Grad_a,IF(Iterations[[#This Row],[Step]] &gt; current_step, "",Iterations[[#This Row],[Grad_a]]))</f>
        <v/>
      </c>
      <c r="O876" s="2" t="str">
        <f>IF(Iterations[[#This Row],[Step]] =current_step, current_Grad_b,IF(Iterations[[#This Row],[Step]] &gt; current_step, "",Iterations[[#This Row],[Grad_b]]))</f>
        <v/>
      </c>
      <c r="P876" s="2" t="str">
        <f>IF(Iterations[[#This Row],[Step]] =current_step, current_Grad_c,IF(Iterations[[#This Row],[Step]] &gt; current_step, "",Iterations[[#This Row],[Grad_c]]))</f>
        <v/>
      </c>
      <c r="Q876" s="2" t="str">
        <f>IF(Iterations[[#This Row],[Step]] =current_step, current_Grad_d,IF(Iterations[[#This Row],[Step]] &gt; current_step, "",Iterations[[#This Row],[Grad_d]]))</f>
        <v/>
      </c>
      <c r="R876" s="2" t="str">
        <f>IF(Iterations[[#This Row],[Step]] =current_step, current_Grad_e,IF(Iterations[[#This Row],[Step]] &gt; current_step, "",Iterations[[#This Row],[Grad_e]]))</f>
        <v/>
      </c>
    </row>
    <row r="877" spans="6:18" x14ac:dyDescent="0.3">
      <c r="F877" s="2">
        <f t="shared" si="15"/>
        <v>860</v>
      </c>
      <c r="G877" s="2" t="str">
        <f>IF(Iterations[[#This Row],[Step]] =current_step, current_a,IF(Iterations[[#This Row],[Step]] &gt; current_step, "",Iterations[[#This Row],[a]]))</f>
        <v/>
      </c>
      <c r="H877" s="2" t="str">
        <f>IF(Iterations[[#This Row],[Step]] =current_step, current_b,IF(Iterations[[#This Row],[Step]] &gt; current_step, "",Iterations[[#This Row],[b]]))</f>
        <v/>
      </c>
      <c r="I877" s="2" t="str">
        <f>IF(Iterations[[#This Row],[Step]] =current_step, current_c,IF(Iterations[[#This Row],[Step]] &gt; current_step, "",Iterations[[#This Row],[c]]))</f>
        <v/>
      </c>
      <c r="J877" s="2" t="str">
        <f>IF(Iterations[[#This Row],[Step]] =current_step, current_d,IF(Iterations[[#This Row],[Step]] &gt; current_step, "",Iterations[[#This Row],[d]]))</f>
        <v/>
      </c>
      <c r="K877" s="2" t="str">
        <f>IF(Iterations[[#This Row],[Step]] =current_step, current_e,IF(Iterations[[#This Row],[Step]] &gt; current_step, "",Iterations[[#This Row],[e]]))</f>
        <v/>
      </c>
      <c r="L877" s="2" t="str">
        <f>IF(Iterations[[#This Row],[Step]] =current_step, current_Total_Loss,IF(Iterations[[#This Row],[Step]] &gt; current_step, "",Iterations[[#This Row],[Total Loss]]))</f>
        <v/>
      </c>
      <c r="M877" s="6" t="s">
        <v>27</v>
      </c>
      <c r="N877" s="2" t="str">
        <f>IF(Iterations[[#This Row],[Step]] =current_step, current_Grad_a,IF(Iterations[[#This Row],[Step]] &gt; current_step, "",Iterations[[#This Row],[Grad_a]]))</f>
        <v/>
      </c>
      <c r="O877" s="2" t="str">
        <f>IF(Iterations[[#This Row],[Step]] =current_step, current_Grad_b,IF(Iterations[[#This Row],[Step]] &gt; current_step, "",Iterations[[#This Row],[Grad_b]]))</f>
        <v/>
      </c>
      <c r="P877" s="2" t="str">
        <f>IF(Iterations[[#This Row],[Step]] =current_step, current_Grad_c,IF(Iterations[[#This Row],[Step]] &gt; current_step, "",Iterations[[#This Row],[Grad_c]]))</f>
        <v/>
      </c>
      <c r="Q877" s="2" t="str">
        <f>IF(Iterations[[#This Row],[Step]] =current_step, current_Grad_d,IF(Iterations[[#This Row],[Step]] &gt; current_step, "",Iterations[[#This Row],[Grad_d]]))</f>
        <v/>
      </c>
      <c r="R877" s="2" t="str">
        <f>IF(Iterations[[#This Row],[Step]] =current_step, current_Grad_e,IF(Iterations[[#This Row],[Step]] &gt; current_step, "",Iterations[[#This Row],[Grad_e]]))</f>
        <v/>
      </c>
    </row>
    <row r="878" spans="6:18" x14ac:dyDescent="0.3">
      <c r="F878" s="2">
        <f t="shared" si="15"/>
        <v>861</v>
      </c>
      <c r="G878" s="2" t="str">
        <f>IF(Iterations[[#This Row],[Step]] =current_step, current_a,IF(Iterations[[#This Row],[Step]] &gt; current_step, "",Iterations[[#This Row],[a]]))</f>
        <v/>
      </c>
      <c r="H878" s="2" t="str">
        <f>IF(Iterations[[#This Row],[Step]] =current_step, current_b,IF(Iterations[[#This Row],[Step]] &gt; current_step, "",Iterations[[#This Row],[b]]))</f>
        <v/>
      </c>
      <c r="I878" s="2" t="str">
        <f>IF(Iterations[[#This Row],[Step]] =current_step, current_c,IF(Iterations[[#This Row],[Step]] &gt; current_step, "",Iterations[[#This Row],[c]]))</f>
        <v/>
      </c>
      <c r="J878" s="2" t="str">
        <f>IF(Iterations[[#This Row],[Step]] =current_step, current_d,IF(Iterations[[#This Row],[Step]] &gt; current_step, "",Iterations[[#This Row],[d]]))</f>
        <v/>
      </c>
      <c r="K878" s="2" t="str">
        <f>IF(Iterations[[#This Row],[Step]] =current_step, current_e,IF(Iterations[[#This Row],[Step]] &gt; current_step, "",Iterations[[#This Row],[e]]))</f>
        <v/>
      </c>
      <c r="L878" s="2" t="str">
        <f>IF(Iterations[[#This Row],[Step]] =current_step, current_Total_Loss,IF(Iterations[[#This Row],[Step]] &gt; current_step, "",Iterations[[#This Row],[Total Loss]]))</f>
        <v/>
      </c>
      <c r="M878" s="6" t="s">
        <v>27</v>
      </c>
      <c r="N878" s="2" t="str">
        <f>IF(Iterations[[#This Row],[Step]] =current_step, current_Grad_a,IF(Iterations[[#This Row],[Step]] &gt; current_step, "",Iterations[[#This Row],[Grad_a]]))</f>
        <v/>
      </c>
      <c r="O878" s="2" t="str">
        <f>IF(Iterations[[#This Row],[Step]] =current_step, current_Grad_b,IF(Iterations[[#This Row],[Step]] &gt; current_step, "",Iterations[[#This Row],[Grad_b]]))</f>
        <v/>
      </c>
      <c r="P878" s="2" t="str">
        <f>IF(Iterations[[#This Row],[Step]] =current_step, current_Grad_c,IF(Iterations[[#This Row],[Step]] &gt; current_step, "",Iterations[[#This Row],[Grad_c]]))</f>
        <v/>
      </c>
      <c r="Q878" s="2" t="str">
        <f>IF(Iterations[[#This Row],[Step]] =current_step, current_Grad_d,IF(Iterations[[#This Row],[Step]] &gt; current_step, "",Iterations[[#This Row],[Grad_d]]))</f>
        <v/>
      </c>
      <c r="R878" s="2" t="str">
        <f>IF(Iterations[[#This Row],[Step]] =current_step, current_Grad_e,IF(Iterations[[#This Row],[Step]] &gt; current_step, "",Iterations[[#This Row],[Grad_e]]))</f>
        <v/>
      </c>
    </row>
    <row r="879" spans="6:18" x14ac:dyDescent="0.3">
      <c r="F879" s="2">
        <f t="shared" si="15"/>
        <v>862</v>
      </c>
      <c r="G879" s="2" t="str">
        <f>IF(Iterations[[#This Row],[Step]] =current_step, current_a,IF(Iterations[[#This Row],[Step]] &gt; current_step, "",Iterations[[#This Row],[a]]))</f>
        <v/>
      </c>
      <c r="H879" s="2" t="str">
        <f>IF(Iterations[[#This Row],[Step]] =current_step, current_b,IF(Iterations[[#This Row],[Step]] &gt; current_step, "",Iterations[[#This Row],[b]]))</f>
        <v/>
      </c>
      <c r="I879" s="2" t="str">
        <f>IF(Iterations[[#This Row],[Step]] =current_step, current_c,IF(Iterations[[#This Row],[Step]] &gt; current_step, "",Iterations[[#This Row],[c]]))</f>
        <v/>
      </c>
      <c r="J879" s="2" t="str">
        <f>IF(Iterations[[#This Row],[Step]] =current_step, current_d,IF(Iterations[[#This Row],[Step]] &gt; current_step, "",Iterations[[#This Row],[d]]))</f>
        <v/>
      </c>
      <c r="K879" s="2" t="str">
        <f>IF(Iterations[[#This Row],[Step]] =current_step, current_e,IF(Iterations[[#This Row],[Step]] &gt; current_step, "",Iterations[[#This Row],[e]]))</f>
        <v/>
      </c>
      <c r="L879" s="2" t="str">
        <f>IF(Iterations[[#This Row],[Step]] =current_step, current_Total_Loss,IF(Iterations[[#This Row],[Step]] &gt; current_step, "",Iterations[[#This Row],[Total Loss]]))</f>
        <v/>
      </c>
      <c r="M879" s="6" t="s">
        <v>27</v>
      </c>
      <c r="N879" s="2" t="str">
        <f>IF(Iterations[[#This Row],[Step]] =current_step, current_Grad_a,IF(Iterations[[#This Row],[Step]] &gt; current_step, "",Iterations[[#This Row],[Grad_a]]))</f>
        <v/>
      </c>
      <c r="O879" s="2" t="str">
        <f>IF(Iterations[[#This Row],[Step]] =current_step, current_Grad_b,IF(Iterations[[#This Row],[Step]] &gt; current_step, "",Iterations[[#This Row],[Grad_b]]))</f>
        <v/>
      </c>
      <c r="P879" s="2" t="str">
        <f>IF(Iterations[[#This Row],[Step]] =current_step, current_Grad_c,IF(Iterations[[#This Row],[Step]] &gt; current_step, "",Iterations[[#This Row],[Grad_c]]))</f>
        <v/>
      </c>
      <c r="Q879" s="2" t="str">
        <f>IF(Iterations[[#This Row],[Step]] =current_step, current_Grad_d,IF(Iterations[[#This Row],[Step]] &gt; current_step, "",Iterations[[#This Row],[Grad_d]]))</f>
        <v/>
      </c>
      <c r="R879" s="2" t="str">
        <f>IF(Iterations[[#This Row],[Step]] =current_step, current_Grad_e,IF(Iterations[[#This Row],[Step]] &gt; current_step, "",Iterations[[#This Row],[Grad_e]]))</f>
        <v/>
      </c>
    </row>
    <row r="880" spans="6:18" x14ac:dyDescent="0.3">
      <c r="F880" s="2">
        <f t="shared" si="15"/>
        <v>863</v>
      </c>
      <c r="G880" s="2" t="str">
        <f>IF(Iterations[[#This Row],[Step]] =current_step, current_a,IF(Iterations[[#This Row],[Step]] &gt; current_step, "",Iterations[[#This Row],[a]]))</f>
        <v/>
      </c>
      <c r="H880" s="2" t="str">
        <f>IF(Iterations[[#This Row],[Step]] =current_step, current_b,IF(Iterations[[#This Row],[Step]] &gt; current_step, "",Iterations[[#This Row],[b]]))</f>
        <v/>
      </c>
      <c r="I880" s="2" t="str">
        <f>IF(Iterations[[#This Row],[Step]] =current_step, current_c,IF(Iterations[[#This Row],[Step]] &gt; current_step, "",Iterations[[#This Row],[c]]))</f>
        <v/>
      </c>
      <c r="J880" s="2" t="str">
        <f>IF(Iterations[[#This Row],[Step]] =current_step, current_d,IF(Iterations[[#This Row],[Step]] &gt; current_step, "",Iterations[[#This Row],[d]]))</f>
        <v/>
      </c>
      <c r="K880" s="2" t="str">
        <f>IF(Iterations[[#This Row],[Step]] =current_step, current_e,IF(Iterations[[#This Row],[Step]] &gt; current_step, "",Iterations[[#This Row],[e]]))</f>
        <v/>
      </c>
      <c r="L880" s="2" t="str">
        <f>IF(Iterations[[#This Row],[Step]] =current_step, current_Total_Loss,IF(Iterations[[#This Row],[Step]] &gt; current_step, "",Iterations[[#This Row],[Total Loss]]))</f>
        <v/>
      </c>
      <c r="M880" s="6" t="s">
        <v>27</v>
      </c>
      <c r="N880" s="2" t="str">
        <f>IF(Iterations[[#This Row],[Step]] =current_step, current_Grad_a,IF(Iterations[[#This Row],[Step]] &gt; current_step, "",Iterations[[#This Row],[Grad_a]]))</f>
        <v/>
      </c>
      <c r="O880" s="2" t="str">
        <f>IF(Iterations[[#This Row],[Step]] =current_step, current_Grad_b,IF(Iterations[[#This Row],[Step]] &gt; current_step, "",Iterations[[#This Row],[Grad_b]]))</f>
        <v/>
      </c>
      <c r="P880" s="2" t="str">
        <f>IF(Iterations[[#This Row],[Step]] =current_step, current_Grad_c,IF(Iterations[[#This Row],[Step]] &gt; current_step, "",Iterations[[#This Row],[Grad_c]]))</f>
        <v/>
      </c>
      <c r="Q880" s="2" t="str">
        <f>IF(Iterations[[#This Row],[Step]] =current_step, current_Grad_d,IF(Iterations[[#This Row],[Step]] &gt; current_step, "",Iterations[[#This Row],[Grad_d]]))</f>
        <v/>
      </c>
      <c r="R880" s="2" t="str">
        <f>IF(Iterations[[#This Row],[Step]] =current_step, current_Grad_e,IF(Iterations[[#This Row],[Step]] &gt; current_step, "",Iterations[[#This Row],[Grad_e]]))</f>
        <v/>
      </c>
    </row>
    <row r="881" spans="6:18" x14ac:dyDescent="0.3">
      <c r="F881" s="2">
        <f t="shared" si="15"/>
        <v>864</v>
      </c>
      <c r="G881" s="2" t="str">
        <f>IF(Iterations[[#This Row],[Step]] =current_step, current_a,IF(Iterations[[#This Row],[Step]] &gt; current_step, "",Iterations[[#This Row],[a]]))</f>
        <v/>
      </c>
      <c r="H881" s="2" t="str">
        <f>IF(Iterations[[#This Row],[Step]] =current_step, current_b,IF(Iterations[[#This Row],[Step]] &gt; current_step, "",Iterations[[#This Row],[b]]))</f>
        <v/>
      </c>
      <c r="I881" s="2" t="str">
        <f>IF(Iterations[[#This Row],[Step]] =current_step, current_c,IF(Iterations[[#This Row],[Step]] &gt; current_step, "",Iterations[[#This Row],[c]]))</f>
        <v/>
      </c>
      <c r="J881" s="2" t="str">
        <f>IF(Iterations[[#This Row],[Step]] =current_step, current_d,IF(Iterations[[#This Row],[Step]] &gt; current_step, "",Iterations[[#This Row],[d]]))</f>
        <v/>
      </c>
      <c r="K881" s="2" t="str">
        <f>IF(Iterations[[#This Row],[Step]] =current_step, current_e,IF(Iterations[[#This Row],[Step]] &gt; current_step, "",Iterations[[#This Row],[e]]))</f>
        <v/>
      </c>
      <c r="L881" s="2" t="str">
        <f>IF(Iterations[[#This Row],[Step]] =current_step, current_Total_Loss,IF(Iterations[[#This Row],[Step]] &gt; current_step, "",Iterations[[#This Row],[Total Loss]]))</f>
        <v/>
      </c>
      <c r="M881" s="6" t="s">
        <v>27</v>
      </c>
      <c r="N881" s="2" t="str">
        <f>IF(Iterations[[#This Row],[Step]] =current_step, current_Grad_a,IF(Iterations[[#This Row],[Step]] &gt; current_step, "",Iterations[[#This Row],[Grad_a]]))</f>
        <v/>
      </c>
      <c r="O881" s="2" t="str">
        <f>IF(Iterations[[#This Row],[Step]] =current_step, current_Grad_b,IF(Iterations[[#This Row],[Step]] &gt; current_step, "",Iterations[[#This Row],[Grad_b]]))</f>
        <v/>
      </c>
      <c r="P881" s="2" t="str">
        <f>IF(Iterations[[#This Row],[Step]] =current_step, current_Grad_c,IF(Iterations[[#This Row],[Step]] &gt; current_step, "",Iterations[[#This Row],[Grad_c]]))</f>
        <v/>
      </c>
      <c r="Q881" s="2" t="str">
        <f>IF(Iterations[[#This Row],[Step]] =current_step, current_Grad_d,IF(Iterations[[#This Row],[Step]] &gt; current_step, "",Iterations[[#This Row],[Grad_d]]))</f>
        <v/>
      </c>
      <c r="R881" s="2" t="str">
        <f>IF(Iterations[[#This Row],[Step]] =current_step, current_Grad_e,IF(Iterations[[#This Row],[Step]] &gt; current_step, "",Iterations[[#This Row],[Grad_e]]))</f>
        <v/>
      </c>
    </row>
    <row r="882" spans="6:18" x14ac:dyDescent="0.3">
      <c r="F882" s="2">
        <f t="shared" ref="F882:F945" si="16">F881+1</f>
        <v>865</v>
      </c>
      <c r="G882" s="2" t="str">
        <f>IF(Iterations[[#This Row],[Step]] =current_step, current_a,IF(Iterations[[#This Row],[Step]] &gt; current_step, "",Iterations[[#This Row],[a]]))</f>
        <v/>
      </c>
      <c r="H882" s="2" t="str">
        <f>IF(Iterations[[#This Row],[Step]] =current_step, current_b,IF(Iterations[[#This Row],[Step]] &gt; current_step, "",Iterations[[#This Row],[b]]))</f>
        <v/>
      </c>
      <c r="I882" s="2" t="str">
        <f>IF(Iterations[[#This Row],[Step]] =current_step, current_c,IF(Iterations[[#This Row],[Step]] &gt; current_step, "",Iterations[[#This Row],[c]]))</f>
        <v/>
      </c>
      <c r="J882" s="2" t="str">
        <f>IF(Iterations[[#This Row],[Step]] =current_step, current_d,IF(Iterations[[#This Row],[Step]] &gt; current_step, "",Iterations[[#This Row],[d]]))</f>
        <v/>
      </c>
      <c r="K882" s="2" t="str">
        <f>IF(Iterations[[#This Row],[Step]] =current_step, current_e,IF(Iterations[[#This Row],[Step]] &gt; current_step, "",Iterations[[#This Row],[e]]))</f>
        <v/>
      </c>
      <c r="L882" s="2" t="str">
        <f>IF(Iterations[[#This Row],[Step]] =current_step, current_Total_Loss,IF(Iterations[[#This Row],[Step]] &gt; current_step, "",Iterations[[#This Row],[Total Loss]]))</f>
        <v/>
      </c>
      <c r="M882" s="6" t="s">
        <v>27</v>
      </c>
      <c r="N882" s="2" t="str">
        <f>IF(Iterations[[#This Row],[Step]] =current_step, current_Grad_a,IF(Iterations[[#This Row],[Step]] &gt; current_step, "",Iterations[[#This Row],[Grad_a]]))</f>
        <v/>
      </c>
      <c r="O882" s="2" t="str">
        <f>IF(Iterations[[#This Row],[Step]] =current_step, current_Grad_b,IF(Iterations[[#This Row],[Step]] &gt; current_step, "",Iterations[[#This Row],[Grad_b]]))</f>
        <v/>
      </c>
      <c r="P882" s="2" t="str">
        <f>IF(Iterations[[#This Row],[Step]] =current_step, current_Grad_c,IF(Iterations[[#This Row],[Step]] &gt; current_step, "",Iterations[[#This Row],[Grad_c]]))</f>
        <v/>
      </c>
      <c r="Q882" s="2" t="str">
        <f>IF(Iterations[[#This Row],[Step]] =current_step, current_Grad_d,IF(Iterations[[#This Row],[Step]] &gt; current_step, "",Iterations[[#This Row],[Grad_d]]))</f>
        <v/>
      </c>
      <c r="R882" s="2" t="str">
        <f>IF(Iterations[[#This Row],[Step]] =current_step, current_Grad_e,IF(Iterations[[#This Row],[Step]] &gt; current_step, "",Iterations[[#This Row],[Grad_e]]))</f>
        <v/>
      </c>
    </row>
    <row r="883" spans="6:18" x14ac:dyDescent="0.3">
      <c r="F883" s="2">
        <f t="shared" si="16"/>
        <v>866</v>
      </c>
      <c r="G883" s="2" t="str">
        <f>IF(Iterations[[#This Row],[Step]] =current_step, current_a,IF(Iterations[[#This Row],[Step]] &gt; current_step, "",Iterations[[#This Row],[a]]))</f>
        <v/>
      </c>
      <c r="H883" s="2" t="str">
        <f>IF(Iterations[[#This Row],[Step]] =current_step, current_b,IF(Iterations[[#This Row],[Step]] &gt; current_step, "",Iterations[[#This Row],[b]]))</f>
        <v/>
      </c>
      <c r="I883" s="2" t="str">
        <f>IF(Iterations[[#This Row],[Step]] =current_step, current_c,IF(Iterations[[#This Row],[Step]] &gt; current_step, "",Iterations[[#This Row],[c]]))</f>
        <v/>
      </c>
      <c r="J883" s="2" t="str">
        <f>IF(Iterations[[#This Row],[Step]] =current_step, current_d,IF(Iterations[[#This Row],[Step]] &gt; current_step, "",Iterations[[#This Row],[d]]))</f>
        <v/>
      </c>
      <c r="K883" s="2" t="str">
        <f>IF(Iterations[[#This Row],[Step]] =current_step, current_e,IF(Iterations[[#This Row],[Step]] &gt; current_step, "",Iterations[[#This Row],[e]]))</f>
        <v/>
      </c>
      <c r="L883" s="2" t="str">
        <f>IF(Iterations[[#This Row],[Step]] =current_step, current_Total_Loss,IF(Iterations[[#This Row],[Step]] &gt; current_step, "",Iterations[[#This Row],[Total Loss]]))</f>
        <v/>
      </c>
      <c r="M883" s="6" t="s">
        <v>27</v>
      </c>
      <c r="N883" s="2" t="str">
        <f>IF(Iterations[[#This Row],[Step]] =current_step, current_Grad_a,IF(Iterations[[#This Row],[Step]] &gt; current_step, "",Iterations[[#This Row],[Grad_a]]))</f>
        <v/>
      </c>
      <c r="O883" s="2" t="str">
        <f>IF(Iterations[[#This Row],[Step]] =current_step, current_Grad_b,IF(Iterations[[#This Row],[Step]] &gt; current_step, "",Iterations[[#This Row],[Grad_b]]))</f>
        <v/>
      </c>
      <c r="P883" s="2" t="str">
        <f>IF(Iterations[[#This Row],[Step]] =current_step, current_Grad_c,IF(Iterations[[#This Row],[Step]] &gt; current_step, "",Iterations[[#This Row],[Grad_c]]))</f>
        <v/>
      </c>
      <c r="Q883" s="2" t="str">
        <f>IF(Iterations[[#This Row],[Step]] =current_step, current_Grad_d,IF(Iterations[[#This Row],[Step]] &gt; current_step, "",Iterations[[#This Row],[Grad_d]]))</f>
        <v/>
      </c>
      <c r="R883" s="2" t="str">
        <f>IF(Iterations[[#This Row],[Step]] =current_step, current_Grad_e,IF(Iterations[[#This Row],[Step]] &gt; current_step, "",Iterations[[#This Row],[Grad_e]]))</f>
        <v/>
      </c>
    </row>
    <row r="884" spans="6:18" x14ac:dyDescent="0.3">
      <c r="F884" s="2">
        <f t="shared" si="16"/>
        <v>867</v>
      </c>
      <c r="G884" s="2" t="str">
        <f>IF(Iterations[[#This Row],[Step]] =current_step, current_a,IF(Iterations[[#This Row],[Step]] &gt; current_step, "",Iterations[[#This Row],[a]]))</f>
        <v/>
      </c>
      <c r="H884" s="2" t="str">
        <f>IF(Iterations[[#This Row],[Step]] =current_step, current_b,IF(Iterations[[#This Row],[Step]] &gt; current_step, "",Iterations[[#This Row],[b]]))</f>
        <v/>
      </c>
      <c r="I884" s="2" t="str">
        <f>IF(Iterations[[#This Row],[Step]] =current_step, current_c,IF(Iterations[[#This Row],[Step]] &gt; current_step, "",Iterations[[#This Row],[c]]))</f>
        <v/>
      </c>
      <c r="J884" s="2" t="str">
        <f>IF(Iterations[[#This Row],[Step]] =current_step, current_d,IF(Iterations[[#This Row],[Step]] &gt; current_step, "",Iterations[[#This Row],[d]]))</f>
        <v/>
      </c>
      <c r="K884" s="2" t="str">
        <f>IF(Iterations[[#This Row],[Step]] =current_step, current_e,IF(Iterations[[#This Row],[Step]] &gt; current_step, "",Iterations[[#This Row],[e]]))</f>
        <v/>
      </c>
      <c r="L884" s="2" t="str">
        <f>IF(Iterations[[#This Row],[Step]] =current_step, current_Total_Loss,IF(Iterations[[#This Row],[Step]] &gt; current_step, "",Iterations[[#This Row],[Total Loss]]))</f>
        <v/>
      </c>
      <c r="M884" s="6" t="s">
        <v>27</v>
      </c>
      <c r="N884" s="2" t="str">
        <f>IF(Iterations[[#This Row],[Step]] =current_step, current_Grad_a,IF(Iterations[[#This Row],[Step]] &gt; current_step, "",Iterations[[#This Row],[Grad_a]]))</f>
        <v/>
      </c>
      <c r="O884" s="2" t="str">
        <f>IF(Iterations[[#This Row],[Step]] =current_step, current_Grad_b,IF(Iterations[[#This Row],[Step]] &gt; current_step, "",Iterations[[#This Row],[Grad_b]]))</f>
        <v/>
      </c>
      <c r="P884" s="2" t="str">
        <f>IF(Iterations[[#This Row],[Step]] =current_step, current_Grad_c,IF(Iterations[[#This Row],[Step]] &gt; current_step, "",Iterations[[#This Row],[Grad_c]]))</f>
        <v/>
      </c>
      <c r="Q884" s="2" t="str">
        <f>IF(Iterations[[#This Row],[Step]] =current_step, current_Grad_d,IF(Iterations[[#This Row],[Step]] &gt; current_step, "",Iterations[[#This Row],[Grad_d]]))</f>
        <v/>
      </c>
      <c r="R884" s="2" t="str">
        <f>IF(Iterations[[#This Row],[Step]] =current_step, current_Grad_e,IF(Iterations[[#This Row],[Step]] &gt; current_step, "",Iterations[[#This Row],[Grad_e]]))</f>
        <v/>
      </c>
    </row>
    <row r="885" spans="6:18" x14ac:dyDescent="0.3">
      <c r="F885" s="2">
        <f t="shared" si="16"/>
        <v>868</v>
      </c>
      <c r="G885" s="2" t="str">
        <f>IF(Iterations[[#This Row],[Step]] =current_step, current_a,IF(Iterations[[#This Row],[Step]] &gt; current_step, "",Iterations[[#This Row],[a]]))</f>
        <v/>
      </c>
      <c r="H885" s="2" t="str">
        <f>IF(Iterations[[#This Row],[Step]] =current_step, current_b,IF(Iterations[[#This Row],[Step]] &gt; current_step, "",Iterations[[#This Row],[b]]))</f>
        <v/>
      </c>
      <c r="I885" s="2" t="str">
        <f>IF(Iterations[[#This Row],[Step]] =current_step, current_c,IF(Iterations[[#This Row],[Step]] &gt; current_step, "",Iterations[[#This Row],[c]]))</f>
        <v/>
      </c>
      <c r="J885" s="2" t="str">
        <f>IF(Iterations[[#This Row],[Step]] =current_step, current_d,IF(Iterations[[#This Row],[Step]] &gt; current_step, "",Iterations[[#This Row],[d]]))</f>
        <v/>
      </c>
      <c r="K885" s="2" t="str">
        <f>IF(Iterations[[#This Row],[Step]] =current_step, current_e,IF(Iterations[[#This Row],[Step]] &gt; current_step, "",Iterations[[#This Row],[e]]))</f>
        <v/>
      </c>
      <c r="L885" s="2" t="str">
        <f>IF(Iterations[[#This Row],[Step]] =current_step, current_Total_Loss,IF(Iterations[[#This Row],[Step]] &gt; current_step, "",Iterations[[#This Row],[Total Loss]]))</f>
        <v/>
      </c>
      <c r="M885" s="6" t="s">
        <v>27</v>
      </c>
      <c r="N885" s="2" t="str">
        <f>IF(Iterations[[#This Row],[Step]] =current_step, current_Grad_a,IF(Iterations[[#This Row],[Step]] &gt; current_step, "",Iterations[[#This Row],[Grad_a]]))</f>
        <v/>
      </c>
      <c r="O885" s="2" t="str">
        <f>IF(Iterations[[#This Row],[Step]] =current_step, current_Grad_b,IF(Iterations[[#This Row],[Step]] &gt; current_step, "",Iterations[[#This Row],[Grad_b]]))</f>
        <v/>
      </c>
      <c r="P885" s="2" t="str">
        <f>IF(Iterations[[#This Row],[Step]] =current_step, current_Grad_c,IF(Iterations[[#This Row],[Step]] &gt; current_step, "",Iterations[[#This Row],[Grad_c]]))</f>
        <v/>
      </c>
      <c r="Q885" s="2" t="str">
        <f>IF(Iterations[[#This Row],[Step]] =current_step, current_Grad_d,IF(Iterations[[#This Row],[Step]] &gt; current_step, "",Iterations[[#This Row],[Grad_d]]))</f>
        <v/>
      </c>
      <c r="R885" s="2" t="str">
        <f>IF(Iterations[[#This Row],[Step]] =current_step, current_Grad_e,IF(Iterations[[#This Row],[Step]] &gt; current_step, "",Iterations[[#This Row],[Grad_e]]))</f>
        <v/>
      </c>
    </row>
    <row r="886" spans="6:18" x14ac:dyDescent="0.3">
      <c r="F886" s="2">
        <f t="shared" si="16"/>
        <v>869</v>
      </c>
      <c r="G886" s="2" t="str">
        <f>IF(Iterations[[#This Row],[Step]] =current_step, current_a,IF(Iterations[[#This Row],[Step]] &gt; current_step, "",Iterations[[#This Row],[a]]))</f>
        <v/>
      </c>
      <c r="H886" s="2" t="str">
        <f>IF(Iterations[[#This Row],[Step]] =current_step, current_b,IF(Iterations[[#This Row],[Step]] &gt; current_step, "",Iterations[[#This Row],[b]]))</f>
        <v/>
      </c>
      <c r="I886" s="2" t="str">
        <f>IF(Iterations[[#This Row],[Step]] =current_step, current_c,IF(Iterations[[#This Row],[Step]] &gt; current_step, "",Iterations[[#This Row],[c]]))</f>
        <v/>
      </c>
      <c r="J886" s="2" t="str">
        <f>IF(Iterations[[#This Row],[Step]] =current_step, current_d,IF(Iterations[[#This Row],[Step]] &gt; current_step, "",Iterations[[#This Row],[d]]))</f>
        <v/>
      </c>
      <c r="K886" s="2" t="str">
        <f>IF(Iterations[[#This Row],[Step]] =current_step, current_e,IF(Iterations[[#This Row],[Step]] &gt; current_step, "",Iterations[[#This Row],[e]]))</f>
        <v/>
      </c>
      <c r="L886" s="2" t="str">
        <f>IF(Iterations[[#This Row],[Step]] =current_step, current_Total_Loss,IF(Iterations[[#This Row],[Step]] &gt; current_step, "",Iterations[[#This Row],[Total Loss]]))</f>
        <v/>
      </c>
      <c r="M886" s="6" t="s">
        <v>27</v>
      </c>
      <c r="N886" s="2" t="str">
        <f>IF(Iterations[[#This Row],[Step]] =current_step, current_Grad_a,IF(Iterations[[#This Row],[Step]] &gt; current_step, "",Iterations[[#This Row],[Grad_a]]))</f>
        <v/>
      </c>
      <c r="O886" s="2" t="str">
        <f>IF(Iterations[[#This Row],[Step]] =current_step, current_Grad_b,IF(Iterations[[#This Row],[Step]] &gt; current_step, "",Iterations[[#This Row],[Grad_b]]))</f>
        <v/>
      </c>
      <c r="P886" s="2" t="str">
        <f>IF(Iterations[[#This Row],[Step]] =current_step, current_Grad_c,IF(Iterations[[#This Row],[Step]] &gt; current_step, "",Iterations[[#This Row],[Grad_c]]))</f>
        <v/>
      </c>
      <c r="Q886" s="2" t="str">
        <f>IF(Iterations[[#This Row],[Step]] =current_step, current_Grad_d,IF(Iterations[[#This Row],[Step]] &gt; current_step, "",Iterations[[#This Row],[Grad_d]]))</f>
        <v/>
      </c>
      <c r="R886" s="2" t="str">
        <f>IF(Iterations[[#This Row],[Step]] =current_step, current_Grad_e,IF(Iterations[[#This Row],[Step]] &gt; current_step, "",Iterations[[#This Row],[Grad_e]]))</f>
        <v/>
      </c>
    </row>
    <row r="887" spans="6:18" x14ac:dyDescent="0.3">
      <c r="F887" s="2">
        <f t="shared" si="16"/>
        <v>870</v>
      </c>
      <c r="G887" s="2" t="str">
        <f>IF(Iterations[[#This Row],[Step]] =current_step, current_a,IF(Iterations[[#This Row],[Step]] &gt; current_step, "",Iterations[[#This Row],[a]]))</f>
        <v/>
      </c>
      <c r="H887" s="2" t="str">
        <f>IF(Iterations[[#This Row],[Step]] =current_step, current_b,IF(Iterations[[#This Row],[Step]] &gt; current_step, "",Iterations[[#This Row],[b]]))</f>
        <v/>
      </c>
      <c r="I887" s="2" t="str">
        <f>IF(Iterations[[#This Row],[Step]] =current_step, current_c,IF(Iterations[[#This Row],[Step]] &gt; current_step, "",Iterations[[#This Row],[c]]))</f>
        <v/>
      </c>
      <c r="J887" s="2" t="str">
        <f>IF(Iterations[[#This Row],[Step]] =current_step, current_d,IF(Iterations[[#This Row],[Step]] &gt; current_step, "",Iterations[[#This Row],[d]]))</f>
        <v/>
      </c>
      <c r="K887" s="2" t="str">
        <f>IF(Iterations[[#This Row],[Step]] =current_step, current_e,IF(Iterations[[#This Row],[Step]] &gt; current_step, "",Iterations[[#This Row],[e]]))</f>
        <v/>
      </c>
      <c r="L887" s="2" t="str">
        <f>IF(Iterations[[#This Row],[Step]] =current_step, current_Total_Loss,IF(Iterations[[#This Row],[Step]] &gt; current_step, "",Iterations[[#This Row],[Total Loss]]))</f>
        <v/>
      </c>
      <c r="M887" s="6" t="s">
        <v>27</v>
      </c>
      <c r="N887" s="2" t="str">
        <f>IF(Iterations[[#This Row],[Step]] =current_step, current_Grad_a,IF(Iterations[[#This Row],[Step]] &gt; current_step, "",Iterations[[#This Row],[Grad_a]]))</f>
        <v/>
      </c>
      <c r="O887" s="2" t="str">
        <f>IF(Iterations[[#This Row],[Step]] =current_step, current_Grad_b,IF(Iterations[[#This Row],[Step]] &gt; current_step, "",Iterations[[#This Row],[Grad_b]]))</f>
        <v/>
      </c>
      <c r="P887" s="2" t="str">
        <f>IF(Iterations[[#This Row],[Step]] =current_step, current_Grad_c,IF(Iterations[[#This Row],[Step]] &gt; current_step, "",Iterations[[#This Row],[Grad_c]]))</f>
        <v/>
      </c>
      <c r="Q887" s="2" t="str">
        <f>IF(Iterations[[#This Row],[Step]] =current_step, current_Grad_d,IF(Iterations[[#This Row],[Step]] &gt; current_step, "",Iterations[[#This Row],[Grad_d]]))</f>
        <v/>
      </c>
      <c r="R887" s="2" t="str">
        <f>IF(Iterations[[#This Row],[Step]] =current_step, current_Grad_e,IF(Iterations[[#This Row],[Step]] &gt; current_step, "",Iterations[[#This Row],[Grad_e]]))</f>
        <v/>
      </c>
    </row>
    <row r="888" spans="6:18" x14ac:dyDescent="0.3">
      <c r="F888" s="2">
        <f t="shared" si="16"/>
        <v>871</v>
      </c>
      <c r="G888" s="2" t="str">
        <f>IF(Iterations[[#This Row],[Step]] =current_step, current_a,IF(Iterations[[#This Row],[Step]] &gt; current_step, "",Iterations[[#This Row],[a]]))</f>
        <v/>
      </c>
      <c r="H888" s="2" t="str">
        <f>IF(Iterations[[#This Row],[Step]] =current_step, current_b,IF(Iterations[[#This Row],[Step]] &gt; current_step, "",Iterations[[#This Row],[b]]))</f>
        <v/>
      </c>
      <c r="I888" s="2" t="str">
        <f>IF(Iterations[[#This Row],[Step]] =current_step, current_c,IF(Iterations[[#This Row],[Step]] &gt; current_step, "",Iterations[[#This Row],[c]]))</f>
        <v/>
      </c>
      <c r="J888" s="2" t="str">
        <f>IF(Iterations[[#This Row],[Step]] =current_step, current_d,IF(Iterations[[#This Row],[Step]] &gt; current_step, "",Iterations[[#This Row],[d]]))</f>
        <v/>
      </c>
      <c r="K888" s="2" t="str">
        <f>IF(Iterations[[#This Row],[Step]] =current_step, current_e,IF(Iterations[[#This Row],[Step]] &gt; current_step, "",Iterations[[#This Row],[e]]))</f>
        <v/>
      </c>
      <c r="L888" s="2" t="str">
        <f>IF(Iterations[[#This Row],[Step]] =current_step, current_Total_Loss,IF(Iterations[[#This Row],[Step]] &gt; current_step, "",Iterations[[#This Row],[Total Loss]]))</f>
        <v/>
      </c>
      <c r="M888" s="6" t="s">
        <v>27</v>
      </c>
      <c r="N888" s="2" t="str">
        <f>IF(Iterations[[#This Row],[Step]] =current_step, current_Grad_a,IF(Iterations[[#This Row],[Step]] &gt; current_step, "",Iterations[[#This Row],[Grad_a]]))</f>
        <v/>
      </c>
      <c r="O888" s="2" t="str">
        <f>IF(Iterations[[#This Row],[Step]] =current_step, current_Grad_b,IF(Iterations[[#This Row],[Step]] &gt; current_step, "",Iterations[[#This Row],[Grad_b]]))</f>
        <v/>
      </c>
      <c r="P888" s="2" t="str">
        <f>IF(Iterations[[#This Row],[Step]] =current_step, current_Grad_c,IF(Iterations[[#This Row],[Step]] &gt; current_step, "",Iterations[[#This Row],[Grad_c]]))</f>
        <v/>
      </c>
      <c r="Q888" s="2" t="str">
        <f>IF(Iterations[[#This Row],[Step]] =current_step, current_Grad_d,IF(Iterations[[#This Row],[Step]] &gt; current_step, "",Iterations[[#This Row],[Grad_d]]))</f>
        <v/>
      </c>
      <c r="R888" s="2" t="str">
        <f>IF(Iterations[[#This Row],[Step]] =current_step, current_Grad_e,IF(Iterations[[#This Row],[Step]] &gt; current_step, "",Iterations[[#This Row],[Grad_e]]))</f>
        <v/>
      </c>
    </row>
    <row r="889" spans="6:18" x14ac:dyDescent="0.3">
      <c r="F889" s="2">
        <f t="shared" si="16"/>
        <v>872</v>
      </c>
      <c r="G889" s="2" t="str">
        <f>IF(Iterations[[#This Row],[Step]] =current_step, current_a,IF(Iterations[[#This Row],[Step]] &gt; current_step, "",Iterations[[#This Row],[a]]))</f>
        <v/>
      </c>
      <c r="H889" s="2" t="str">
        <f>IF(Iterations[[#This Row],[Step]] =current_step, current_b,IF(Iterations[[#This Row],[Step]] &gt; current_step, "",Iterations[[#This Row],[b]]))</f>
        <v/>
      </c>
      <c r="I889" s="2" t="str">
        <f>IF(Iterations[[#This Row],[Step]] =current_step, current_c,IF(Iterations[[#This Row],[Step]] &gt; current_step, "",Iterations[[#This Row],[c]]))</f>
        <v/>
      </c>
      <c r="J889" s="2" t="str">
        <f>IF(Iterations[[#This Row],[Step]] =current_step, current_d,IF(Iterations[[#This Row],[Step]] &gt; current_step, "",Iterations[[#This Row],[d]]))</f>
        <v/>
      </c>
      <c r="K889" s="2" t="str">
        <f>IF(Iterations[[#This Row],[Step]] =current_step, current_e,IF(Iterations[[#This Row],[Step]] &gt; current_step, "",Iterations[[#This Row],[e]]))</f>
        <v/>
      </c>
      <c r="L889" s="2" t="str">
        <f>IF(Iterations[[#This Row],[Step]] =current_step, current_Total_Loss,IF(Iterations[[#This Row],[Step]] &gt; current_step, "",Iterations[[#This Row],[Total Loss]]))</f>
        <v/>
      </c>
      <c r="M889" s="6" t="s">
        <v>27</v>
      </c>
      <c r="N889" s="2" t="str">
        <f>IF(Iterations[[#This Row],[Step]] =current_step, current_Grad_a,IF(Iterations[[#This Row],[Step]] &gt; current_step, "",Iterations[[#This Row],[Grad_a]]))</f>
        <v/>
      </c>
      <c r="O889" s="2" t="str">
        <f>IF(Iterations[[#This Row],[Step]] =current_step, current_Grad_b,IF(Iterations[[#This Row],[Step]] &gt; current_step, "",Iterations[[#This Row],[Grad_b]]))</f>
        <v/>
      </c>
      <c r="P889" s="2" t="str">
        <f>IF(Iterations[[#This Row],[Step]] =current_step, current_Grad_c,IF(Iterations[[#This Row],[Step]] &gt; current_step, "",Iterations[[#This Row],[Grad_c]]))</f>
        <v/>
      </c>
      <c r="Q889" s="2" t="str">
        <f>IF(Iterations[[#This Row],[Step]] =current_step, current_Grad_d,IF(Iterations[[#This Row],[Step]] &gt; current_step, "",Iterations[[#This Row],[Grad_d]]))</f>
        <v/>
      </c>
      <c r="R889" s="2" t="str">
        <f>IF(Iterations[[#This Row],[Step]] =current_step, current_Grad_e,IF(Iterations[[#This Row],[Step]] &gt; current_step, "",Iterations[[#This Row],[Grad_e]]))</f>
        <v/>
      </c>
    </row>
    <row r="890" spans="6:18" x14ac:dyDescent="0.3">
      <c r="F890" s="2">
        <f t="shared" si="16"/>
        <v>873</v>
      </c>
      <c r="G890" s="2" t="str">
        <f>IF(Iterations[[#This Row],[Step]] =current_step, current_a,IF(Iterations[[#This Row],[Step]] &gt; current_step, "",Iterations[[#This Row],[a]]))</f>
        <v/>
      </c>
      <c r="H890" s="2" t="str">
        <f>IF(Iterations[[#This Row],[Step]] =current_step, current_b,IF(Iterations[[#This Row],[Step]] &gt; current_step, "",Iterations[[#This Row],[b]]))</f>
        <v/>
      </c>
      <c r="I890" s="2" t="str">
        <f>IF(Iterations[[#This Row],[Step]] =current_step, current_c,IF(Iterations[[#This Row],[Step]] &gt; current_step, "",Iterations[[#This Row],[c]]))</f>
        <v/>
      </c>
      <c r="J890" s="2" t="str">
        <f>IF(Iterations[[#This Row],[Step]] =current_step, current_d,IF(Iterations[[#This Row],[Step]] &gt; current_step, "",Iterations[[#This Row],[d]]))</f>
        <v/>
      </c>
      <c r="K890" s="2" t="str">
        <f>IF(Iterations[[#This Row],[Step]] =current_step, current_e,IF(Iterations[[#This Row],[Step]] &gt; current_step, "",Iterations[[#This Row],[e]]))</f>
        <v/>
      </c>
      <c r="L890" s="2" t="str">
        <f>IF(Iterations[[#This Row],[Step]] =current_step, current_Total_Loss,IF(Iterations[[#This Row],[Step]] &gt; current_step, "",Iterations[[#This Row],[Total Loss]]))</f>
        <v/>
      </c>
      <c r="M890" s="6" t="s">
        <v>27</v>
      </c>
      <c r="N890" s="2" t="str">
        <f>IF(Iterations[[#This Row],[Step]] =current_step, current_Grad_a,IF(Iterations[[#This Row],[Step]] &gt; current_step, "",Iterations[[#This Row],[Grad_a]]))</f>
        <v/>
      </c>
      <c r="O890" s="2" t="str">
        <f>IF(Iterations[[#This Row],[Step]] =current_step, current_Grad_b,IF(Iterations[[#This Row],[Step]] &gt; current_step, "",Iterations[[#This Row],[Grad_b]]))</f>
        <v/>
      </c>
      <c r="P890" s="2" t="str">
        <f>IF(Iterations[[#This Row],[Step]] =current_step, current_Grad_c,IF(Iterations[[#This Row],[Step]] &gt; current_step, "",Iterations[[#This Row],[Grad_c]]))</f>
        <v/>
      </c>
      <c r="Q890" s="2" t="str">
        <f>IF(Iterations[[#This Row],[Step]] =current_step, current_Grad_d,IF(Iterations[[#This Row],[Step]] &gt; current_step, "",Iterations[[#This Row],[Grad_d]]))</f>
        <v/>
      </c>
      <c r="R890" s="2" t="str">
        <f>IF(Iterations[[#This Row],[Step]] =current_step, current_Grad_e,IF(Iterations[[#This Row],[Step]] &gt; current_step, "",Iterations[[#This Row],[Grad_e]]))</f>
        <v/>
      </c>
    </row>
    <row r="891" spans="6:18" x14ac:dyDescent="0.3">
      <c r="F891" s="2">
        <f t="shared" si="16"/>
        <v>874</v>
      </c>
      <c r="G891" s="2" t="str">
        <f>IF(Iterations[[#This Row],[Step]] =current_step, current_a,IF(Iterations[[#This Row],[Step]] &gt; current_step, "",Iterations[[#This Row],[a]]))</f>
        <v/>
      </c>
      <c r="H891" s="2" t="str">
        <f>IF(Iterations[[#This Row],[Step]] =current_step, current_b,IF(Iterations[[#This Row],[Step]] &gt; current_step, "",Iterations[[#This Row],[b]]))</f>
        <v/>
      </c>
      <c r="I891" s="2" t="str">
        <f>IF(Iterations[[#This Row],[Step]] =current_step, current_c,IF(Iterations[[#This Row],[Step]] &gt; current_step, "",Iterations[[#This Row],[c]]))</f>
        <v/>
      </c>
      <c r="J891" s="2" t="str">
        <f>IF(Iterations[[#This Row],[Step]] =current_step, current_d,IF(Iterations[[#This Row],[Step]] &gt; current_step, "",Iterations[[#This Row],[d]]))</f>
        <v/>
      </c>
      <c r="K891" s="2" t="str">
        <f>IF(Iterations[[#This Row],[Step]] =current_step, current_e,IF(Iterations[[#This Row],[Step]] &gt; current_step, "",Iterations[[#This Row],[e]]))</f>
        <v/>
      </c>
      <c r="L891" s="2" t="str">
        <f>IF(Iterations[[#This Row],[Step]] =current_step, current_Total_Loss,IF(Iterations[[#This Row],[Step]] &gt; current_step, "",Iterations[[#This Row],[Total Loss]]))</f>
        <v/>
      </c>
      <c r="M891" s="6" t="s">
        <v>27</v>
      </c>
      <c r="N891" s="2" t="str">
        <f>IF(Iterations[[#This Row],[Step]] =current_step, current_Grad_a,IF(Iterations[[#This Row],[Step]] &gt; current_step, "",Iterations[[#This Row],[Grad_a]]))</f>
        <v/>
      </c>
      <c r="O891" s="2" t="str">
        <f>IF(Iterations[[#This Row],[Step]] =current_step, current_Grad_b,IF(Iterations[[#This Row],[Step]] &gt; current_step, "",Iterations[[#This Row],[Grad_b]]))</f>
        <v/>
      </c>
      <c r="P891" s="2" t="str">
        <f>IF(Iterations[[#This Row],[Step]] =current_step, current_Grad_c,IF(Iterations[[#This Row],[Step]] &gt; current_step, "",Iterations[[#This Row],[Grad_c]]))</f>
        <v/>
      </c>
      <c r="Q891" s="2" t="str">
        <f>IF(Iterations[[#This Row],[Step]] =current_step, current_Grad_d,IF(Iterations[[#This Row],[Step]] &gt; current_step, "",Iterations[[#This Row],[Grad_d]]))</f>
        <v/>
      </c>
      <c r="R891" s="2" t="str">
        <f>IF(Iterations[[#This Row],[Step]] =current_step, current_Grad_e,IF(Iterations[[#This Row],[Step]] &gt; current_step, "",Iterations[[#This Row],[Grad_e]]))</f>
        <v/>
      </c>
    </row>
    <row r="892" spans="6:18" x14ac:dyDescent="0.3">
      <c r="F892" s="2">
        <f t="shared" si="16"/>
        <v>875</v>
      </c>
      <c r="G892" s="2" t="str">
        <f>IF(Iterations[[#This Row],[Step]] =current_step, current_a,IF(Iterations[[#This Row],[Step]] &gt; current_step, "",Iterations[[#This Row],[a]]))</f>
        <v/>
      </c>
      <c r="H892" s="2" t="str">
        <f>IF(Iterations[[#This Row],[Step]] =current_step, current_b,IF(Iterations[[#This Row],[Step]] &gt; current_step, "",Iterations[[#This Row],[b]]))</f>
        <v/>
      </c>
      <c r="I892" s="2" t="str">
        <f>IF(Iterations[[#This Row],[Step]] =current_step, current_c,IF(Iterations[[#This Row],[Step]] &gt; current_step, "",Iterations[[#This Row],[c]]))</f>
        <v/>
      </c>
      <c r="J892" s="2" t="str">
        <f>IF(Iterations[[#This Row],[Step]] =current_step, current_d,IF(Iterations[[#This Row],[Step]] &gt; current_step, "",Iterations[[#This Row],[d]]))</f>
        <v/>
      </c>
      <c r="K892" s="2" t="str">
        <f>IF(Iterations[[#This Row],[Step]] =current_step, current_e,IF(Iterations[[#This Row],[Step]] &gt; current_step, "",Iterations[[#This Row],[e]]))</f>
        <v/>
      </c>
      <c r="L892" s="2" t="str">
        <f>IF(Iterations[[#This Row],[Step]] =current_step, current_Total_Loss,IF(Iterations[[#This Row],[Step]] &gt; current_step, "",Iterations[[#This Row],[Total Loss]]))</f>
        <v/>
      </c>
      <c r="M892" s="6" t="s">
        <v>27</v>
      </c>
      <c r="N892" s="2" t="str">
        <f>IF(Iterations[[#This Row],[Step]] =current_step, current_Grad_a,IF(Iterations[[#This Row],[Step]] &gt; current_step, "",Iterations[[#This Row],[Grad_a]]))</f>
        <v/>
      </c>
      <c r="O892" s="2" t="str">
        <f>IF(Iterations[[#This Row],[Step]] =current_step, current_Grad_b,IF(Iterations[[#This Row],[Step]] &gt; current_step, "",Iterations[[#This Row],[Grad_b]]))</f>
        <v/>
      </c>
      <c r="P892" s="2" t="str">
        <f>IF(Iterations[[#This Row],[Step]] =current_step, current_Grad_c,IF(Iterations[[#This Row],[Step]] &gt; current_step, "",Iterations[[#This Row],[Grad_c]]))</f>
        <v/>
      </c>
      <c r="Q892" s="2" t="str">
        <f>IF(Iterations[[#This Row],[Step]] =current_step, current_Grad_d,IF(Iterations[[#This Row],[Step]] &gt; current_step, "",Iterations[[#This Row],[Grad_d]]))</f>
        <v/>
      </c>
      <c r="R892" s="2" t="str">
        <f>IF(Iterations[[#This Row],[Step]] =current_step, current_Grad_e,IF(Iterations[[#This Row],[Step]] &gt; current_step, "",Iterations[[#This Row],[Grad_e]]))</f>
        <v/>
      </c>
    </row>
    <row r="893" spans="6:18" x14ac:dyDescent="0.3">
      <c r="F893" s="2">
        <f t="shared" si="16"/>
        <v>876</v>
      </c>
      <c r="G893" s="2" t="str">
        <f>IF(Iterations[[#This Row],[Step]] =current_step, current_a,IF(Iterations[[#This Row],[Step]] &gt; current_step, "",Iterations[[#This Row],[a]]))</f>
        <v/>
      </c>
      <c r="H893" s="2" t="str">
        <f>IF(Iterations[[#This Row],[Step]] =current_step, current_b,IF(Iterations[[#This Row],[Step]] &gt; current_step, "",Iterations[[#This Row],[b]]))</f>
        <v/>
      </c>
      <c r="I893" s="2" t="str">
        <f>IF(Iterations[[#This Row],[Step]] =current_step, current_c,IF(Iterations[[#This Row],[Step]] &gt; current_step, "",Iterations[[#This Row],[c]]))</f>
        <v/>
      </c>
      <c r="J893" s="2" t="str">
        <f>IF(Iterations[[#This Row],[Step]] =current_step, current_d,IF(Iterations[[#This Row],[Step]] &gt; current_step, "",Iterations[[#This Row],[d]]))</f>
        <v/>
      </c>
      <c r="K893" s="2" t="str">
        <f>IF(Iterations[[#This Row],[Step]] =current_step, current_e,IF(Iterations[[#This Row],[Step]] &gt; current_step, "",Iterations[[#This Row],[e]]))</f>
        <v/>
      </c>
      <c r="L893" s="2" t="str">
        <f>IF(Iterations[[#This Row],[Step]] =current_step, current_Total_Loss,IF(Iterations[[#This Row],[Step]] &gt; current_step, "",Iterations[[#This Row],[Total Loss]]))</f>
        <v/>
      </c>
      <c r="M893" s="6" t="s">
        <v>27</v>
      </c>
      <c r="N893" s="2" t="str">
        <f>IF(Iterations[[#This Row],[Step]] =current_step, current_Grad_a,IF(Iterations[[#This Row],[Step]] &gt; current_step, "",Iterations[[#This Row],[Grad_a]]))</f>
        <v/>
      </c>
      <c r="O893" s="2" t="str">
        <f>IF(Iterations[[#This Row],[Step]] =current_step, current_Grad_b,IF(Iterations[[#This Row],[Step]] &gt; current_step, "",Iterations[[#This Row],[Grad_b]]))</f>
        <v/>
      </c>
      <c r="P893" s="2" t="str">
        <f>IF(Iterations[[#This Row],[Step]] =current_step, current_Grad_c,IF(Iterations[[#This Row],[Step]] &gt; current_step, "",Iterations[[#This Row],[Grad_c]]))</f>
        <v/>
      </c>
      <c r="Q893" s="2" t="str">
        <f>IF(Iterations[[#This Row],[Step]] =current_step, current_Grad_d,IF(Iterations[[#This Row],[Step]] &gt; current_step, "",Iterations[[#This Row],[Grad_d]]))</f>
        <v/>
      </c>
      <c r="R893" s="2" t="str">
        <f>IF(Iterations[[#This Row],[Step]] =current_step, current_Grad_e,IF(Iterations[[#This Row],[Step]] &gt; current_step, "",Iterations[[#This Row],[Grad_e]]))</f>
        <v/>
      </c>
    </row>
    <row r="894" spans="6:18" x14ac:dyDescent="0.3">
      <c r="F894" s="2">
        <f t="shared" si="16"/>
        <v>877</v>
      </c>
      <c r="G894" s="2" t="str">
        <f>IF(Iterations[[#This Row],[Step]] =current_step, current_a,IF(Iterations[[#This Row],[Step]] &gt; current_step, "",Iterations[[#This Row],[a]]))</f>
        <v/>
      </c>
      <c r="H894" s="2" t="str">
        <f>IF(Iterations[[#This Row],[Step]] =current_step, current_b,IF(Iterations[[#This Row],[Step]] &gt; current_step, "",Iterations[[#This Row],[b]]))</f>
        <v/>
      </c>
      <c r="I894" s="2" t="str">
        <f>IF(Iterations[[#This Row],[Step]] =current_step, current_c,IF(Iterations[[#This Row],[Step]] &gt; current_step, "",Iterations[[#This Row],[c]]))</f>
        <v/>
      </c>
      <c r="J894" s="2" t="str">
        <f>IF(Iterations[[#This Row],[Step]] =current_step, current_d,IF(Iterations[[#This Row],[Step]] &gt; current_step, "",Iterations[[#This Row],[d]]))</f>
        <v/>
      </c>
      <c r="K894" s="2" t="str">
        <f>IF(Iterations[[#This Row],[Step]] =current_step, current_e,IF(Iterations[[#This Row],[Step]] &gt; current_step, "",Iterations[[#This Row],[e]]))</f>
        <v/>
      </c>
      <c r="L894" s="2" t="str">
        <f>IF(Iterations[[#This Row],[Step]] =current_step, current_Total_Loss,IF(Iterations[[#This Row],[Step]] &gt; current_step, "",Iterations[[#This Row],[Total Loss]]))</f>
        <v/>
      </c>
      <c r="M894" s="6" t="s">
        <v>27</v>
      </c>
      <c r="N894" s="2" t="str">
        <f>IF(Iterations[[#This Row],[Step]] =current_step, current_Grad_a,IF(Iterations[[#This Row],[Step]] &gt; current_step, "",Iterations[[#This Row],[Grad_a]]))</f>
        <v/>
      </c>
      <c r="O894" s="2" t="str">
        <f>IF(Iterations[[#This Row],[Step]] =current_step, current_Grad_b,IF(Iterations[[#This Row],[Step]] &gt; current_step, "",Iterations[[#This Row],[Grad_b]]))</f>
        <v/>
      </c>
      <c r="P894" s="2" t="str">
        <f>IF(Iterations[[#This Row],[Step]] =current_step, current_Grad_c,IF(Iterations[[#This Row],[Step]] &gt; current_step, "",Iterations[[#This Row],[Grad_c]]))</f>
        <v/>
      </c>
      <c r="Q894" s="2" t="str">
        <f>IF(Iterations[[#This Row],[Step]] =current_step, current_Grad_d,IF(Iterations[[#This Row],[Step]] &gt; current_step, "",Iterations[[#This Row],[Grad_d]]))</f>
        <v/>
      </c>
      <c r="R894" s="2" t="str">
        <f>IF(Iterations[[#This Row],[Step]] =current_step, current_Grad_e,IF(Iterations[[#This Row],[Step]] &gt; current_step, "",Iterations[[#This Row],[Grad_e]]))</f>
        <v/>
      </c>
    </row>
    <row r="895" spans="6:18" x14ac:dyDescent="0.3">
      <c r="F895" s="2">
        <f t="shared" si="16"/>
        <v>878</v>
      </c>
      <c r="G895" s="2" t="str">
        <f>IF(Iterations[[#This Row],[Step]] =current_step, current_a,IF(Iterations[[#This Row],[Step]] &gt; current_step, "",Iterations[[#This Row],[a]]))</f>
        <v/>
      </c>
      <c r="H895" s="2" t="str">
        <f>IF(Iterations[[#This Row],[Step]] =current_step, current_b,IF(Iterations[[#This Row],[Step]] &gt; current_step, "",Iterations[[#This Row],[b]]))</f>
        <v/>
      </c>
      <c r="I895" s="2" t="str">
        <f>IF(Iterations[[#This Row],[Step]] =current_step, current_c,IF(Iterations[[#This Row],[Step]] &gt; current_step, "",Iterations[[#This Row],[c]]))</f>
        <v/>
      </c>
      <c r="J895" s="2" t="str">
        <f>IF(Iterations[[#This Row],[Step]] =current_step, current_d,IF(Iterations[[#This Row],[Step]] &gt; current_step, "",Iterations[[#This Row],[d]]))</f>
        <v/>
      </c>
      <c r="K895" s="2" t="str">
        <f>IF(Iterations[[#This Row],[Step]] =current_step, current_e,IF(Iterations[[#This Row],[Step]] &gt; current_step, "",Iterations[[#This Row],[e]]))</f>
        <v/>
      </c>
      <c r="L895" s="2" t="str">
        <f>IF(Iterations[[#This Row],[Step]] =current_step, current_Total_Loss,IF(Iterations[[#This Row],[Step]] &gt; current_step, "",Iterations[[#This Row],[Total Loss]]))</f>
        <v/>
      </c>
      <c r="M895" s="6" t="s">
        <v>27</v>
      </c>
      <c r="N895" s="2" t="str">
        <f>IF(Iterations[[#This Row],[Step]] =current_step, current_Grad_a,IF(Iterations[[#This Row],[Step]] &gt; current_step, "",Iterations[[#This Row],[Grad_a]]))</f>
        <v/>
      </c>
      <c r="O895" s="2" t="str">
        <f>IF(Iterations[[#This Row],[Step]] =current_step, current_Grad_b,IF(Iterations[[#This Row],[Step]] &gt; current_step, "",Iterations[[#This Row],[Grad_b]]))</f>
        <v/>
      </c>
      <c r="P895" s="2" t="str">
        <f>IF(Iterations[[#This Row],[Step]] =current_step, current_Grad_c,IF(Iterations[[#This Row],[Step]] &gt; current_step, "",Iterations[[#This Row],[Grad_c]]))</f>
        <v/>
      </c>
      <c r="Q895" s="2" t="str">
        <f>IF(Iterations[[#This Row],[Step]] =current_step, current_Grad_d,IF(Iterations[[#This Row],[Step]] &gt; current_step, "",Iterations[[#This Row],[Grad_d]]))</f>
        <v/>
      </c>
      <c r="R895" s="2" t="str">
        <f>IF(Iterations[[#This Row],[Step]] =current_step, current_Grad_e,IF(Iterations[[#This Row],[Step]] &gt; current_step, "",Iterations[[#This Row],[Grad_e]]))</f>
        <v/>
      </c>
    </row>
    <row r="896" spans="6:18" x14ac:dyDescent="0.3">
      <c r="F896" s="2">
        <f t="shared" si="16"/>
        <v>879</v>
      </c>
      <c r="G896" s="2" t="str">
        <f>IF(Iterations[[#This Row],[Step]] =current_step, current_a,IF(Iterations[[#This Row],[Step]] &gt; current_step, "",Iterations[[#This Row],[a]]))</f>
        <v/>
      </c>
      <c r="H896" s="2" t="str">
        <f>IF(Iterations[[#This Row],[Step]] =current_step, current_b,IF(Iterations[[#This Row],[Step]] &gt; current_step, "",Iterations[[#This Row],[b]]))</f>
        <v/>
      </c>
      <c r="I896" s="2" t="str">
        <f>IF(Iterations[[#This Row],[Step]] =current_step, current_c,IF(Iterations[[#This Row],[Step]] &gt; current_step, "",Iterations[[#This Row],[c]]))</f>
        <v/>
      </c>
      <c r="J896" s="2" t="str">
        <f>IF(Iterations[[#This Row],[Step]] =current_step, current_d,IF(Iterations[[#This Row],[Step]] &gt; current_step, "",Iterations[[#This Row],[d]]))</f>
        <v/>
      </c>
      <c r="K896" s="2" t="str">
        <f>IF(Iterations[[#This Row],[Step]] =current_step, current_e,IF(Iterations[[#This Row],[Step]] &gt; current_step, "",Iterations[[#This Row],[e]]))</f>
        <v/>
      </c>
      <c r="L896" s="2" t="str">
        <f>IF(Iterations[[#This Row],[Step]] =current_step, current_Total_Loss,IF(Iterations[[#This Row],[Step]] &gt; current_step, "",Iterations[[#This Row],[Total Loss]]))</f>
        <v/>
      </c>
      <c r="M896" s="6" t="s">
        <v>27</v>
      </c>
      <c r="N896" s="2" t="str">
        <f>IF(Iterations[[#This Row],[Step]] =current_step, current_Grad_a,IF(Iterations[[#This Row],[Step]] &gt; current_step, "",Iterations[[#This Row],[Grad_a]]))</f>
        <v/>
      </c>
      <c r="O896" s="2" t="str">
        <f>IF(Iterations[[#This Row],[Step]] =current_step, current_Grad_b,IF(Iterations[[#This Row],[Step]] &gt; current_step, "",Iterations[[#This Row],[Grad_b]]))</f>
        <v/>
      </c>
      <c r="P896" s="2" t="str">
        <f>IF(Iterations[[#This Row],[Step]] =current_step, current_Grad_c,IF(Iterations[[#This Row],[Step]] &gt; current_step, "",Iterations[[#This Row],[Grad_c]]))</f>
        <v/>
      </c>
      <c r="Q896" s="2" t="str">
        <f>IF(Iterations[[#This Row],[Step]] =current_step, current_Grad_d,IF(Iterations[[#This Row],[Step]] &gt; current_step, "",Iterations[[#This Row],[Grad_d]]))</f>
        <v/>
      </c>
      <c r="R896" s="2" t="str">
        <f>IF(Iterations[[#This Row],[Step]] =current_step, current_Grad_e,IF(Iterations[[#This Row],[Step]] &gt; current_step, "",Iterations[[#This Row],[Grad_e]]))</f>
        <v/>
      </c>
    </row>
    <row r="897" spans="6:18" x14ac:dyDescent="0.3">
      <c r="F897" s="2">
        <f t="shared" si="16"/>
        <v>880</v>
      </c>
      <c r="G897" s="2" t="str">
        <f>IF(Iterations[[#This Row],[Step]] =current_step, current_a,IF(Iterations[[#This Row],[Step]] &gt; current_step, "",Iterations[[#This Row],[a]]))</f>
        <v/>
      </c>
      <c r="H897" s="2" t="str">
        <f>IF(Iterations[[#This Row],[Step]] =current_step, current_b,IF(Iterations[[#This Row],[Step]] &gt; current_step, "",Iterations[[#This Row],[b]]))</f>
        <v/>
      </c>
      <c r="I897" s="2" t="str">
        <f>IF(Iterations[[#This Row],[Step]] =current_step, current_c,IF(Iterations[[#This Row],[Step]] &gt; current_step, "",Iterations[[#This Row],[c]]))</f>
        <v/>
      </c>
      <c r="J897" s="2" t="str">
        <f>IF(Iterations[[#This Row],[Step]] =current_step, current_d,IF(Iterations[[#This Row],[Step]] &gt; current_step, "",Iterations[[#This Row],[d]]))</f>
        <v/>
      </c>
      <c r="K897" s="2" t="str">
        <f>IF(Iterations[[#This Row],[Step]] =current_step, current_e,IF(Iterations[[#This Row],[Step]] &gt; current_step, "",Iterations[[#This Row],[e]]))</f>
        <v/>
      </c>
      <c r="L897" s="2" t="str">
        <f>IF(Iterations[[#This Row],[Step]] =current_step, current_Total_Loss,IF(Iterations[[#This Row],[Step]] &gt; current_step, "",Iterations[[#This Row],[Total Loss]]))</f>
        <v/>
      </c>
      <c r="M897" s="6" t="s">
        <v>27</v>
      </c>
      <c r="N897" s="2" t="str">
        <f>IF(Iterations[[#This Row],[Step]] =current_step, current_Grad_a,IF(Iterations[[#This Row],[Step]] &gt; current_step, "",Iterations[[#This Row],[Grad_a]]))</f>
        <v/>
      </c>
      <c r="O897" s="2" t="str">
        <f>IF(Iterations[[#This Row],[Step]] =current_step, current_Grad_b,IF(Iterations[[#This Row],[Step]] &gt; current_step, "",Iterations[[#This Row],[Grad_b]]))</f>
        <v/>
      </c>
      <c r="P897" s="2" t="str">
        <f>IF(Iterations[[#This Row],[Step]] =current_step, current_Grad_c,IF(Iterations[[#This Row],[Step]] &gt; current_step, "",Iterations[[#This Row],[Grad_c]]))</f>
        <v/>
      </c>
      <c r="Q897" s="2" t="str">
        <f>IF(Iterations[[#This Row],[Step]] =current_step, current_Grad_d,IF(Iterations[[#This Row],[Step]] &gt; current_step, "",Iterations[[#This Row],[Grad_d]]))</f>
        <v/>
      </c>
      <c r="R897" s="2" t="str">
        <f>IF(Iterations[[#This Row],[Step]] =current_step, current_Grad_e,IF(Iterations[[#This Row],[Step]] &gt; current_step, "",Iterations[[#This Row],[Grad_e]]))</f>
        <v/>
      </c>
    </row>
    <row r="898" spans="6:18" x14ac:dyDescent="0.3">
      <c r="F898" s="2">
        <f t="shared" si="16"/>
        <v>881</v>
      </c>
      <c r="G898" s="2" t="str">
        <f>IF(Iterations[[#This Row],[Step]] =current_step, current_a,IF(Iterations[[#This Row],[Step]] &gt; current_step, "",Iterations[[#This Row],[a]]))</f>
        <v/>
      </c>
      <c r="H898" s="2" t="str">
        <f>IF(Iterations[[#This Row],[Step]] =current_step, current_b,IF(Iterations[[#This Row],[Step]] &gt; current_step, "",Iterations[[#This Row],[b]]))</f>
        <v/>
      </c>
      <c r="I898" s="2" t="str">
        <f>IF(Iterations[[#This Row],[Step]] =current_step, current_c,IF(Iterations[[#This Row],[Step]] &gt; current_step, "",Iterations[[#This Row],[c]]))</f>
        <v/>
      </c>
      <c r="J898" s="2" t="str">
        <f>IF(Iterations[[#This Row],[Step]] =current_step, current_d,IF(Iterations[[#This Row],[Step]] &gt; current_step, "",Iterations[[#This Row],[d]]))</f>
        <v/>
      </c>
      <c r="K898" s="2" t="str">
        <f>IF(Iterations[[#This Row],[Step]] =current_step, current_e,IF(Iterations[[#This Row],[Step]] &gt; current_step, "",Iterations[[#This Row],[e]]))</f>
        <v/>
      </c>
      <c r="L898" s="2" t="str">
        <f>IF(Iterations[[#This Row],[Step]] =current_step, current_Total_Loss,IF(Iterations[[#This Row],[Step]] &gt; current_step, "",Iterations[[#This Row],[Total Loss]]))</f>
        <v/>
      </c>
      <c r="M898" s="6" t="s">
        <v>27</v>
      </c>
      <c r="N898" s="2" t="str">
        <f>IF(Iterations[[#This Row],[Step]] =current_step, current_Grad_a,IF(Iterations[[#This Row],[Step]] &gt; current_step, "",Iterations[[#This Row],[Grad_a]]))</f>
        <v/>
      </c>
      <c r="O898" s="2" t="str">
        <f>IF(Iterations[[#This Row],[Step]] =current_step, current_Grad_b,IF(Iterations[[#This Row],[Step]] &gt; current_step, "",Iterations[[#This Row],[Grad_b]]))</f>
        <v/>
      </c>
      <c r="P898" s="2" t="str">
        <f>IF(Iterations[[#This Row],[Step]] =current_step, current_Grad_c,IF(Iterations[[#This Row],[Step]] &gt; current_step, "",Iterations[[#This Row],[Grad_c]]))</f>
        <v/>
      </c>
      <c r="Q898" s="2" t="str">
        <f>IF(Iterations[[#This Row],[Step]] =current_step, current_Grad_d,IF(Iterations[[#This Row],[Step]] &gt; current_step, "",Iterations[[#This Row],[Grad_d]]))</f>
        <v/>
      </c>
      <c r="R898" s="2" t="str">
        <f>IF(Iterations[[#This Row],[Step]] =current_step, current_Grad_e,IF(Iterations[[#This Row],[Step]] &gt; current_step, "",Iterations[[#This Row],[Grad_e]]))</f>
        <v/>
      </c>
    </row>
    <row r="899" spans="6:18" x14ac:dyDescent="0.3">
      <c r="F899" s="2">
        <f t="shared" si="16"/>
        <v>882</v>
      </c>
      <c r="G899" s="2" t="str">
        <f>IF(Iterations[[#This Row],[Step]] =current_step, current_a,IF(Iterations[[#This Row],[Step]] &gt; current_step, "",Iterations[[#This Row],[a]]))</f>
        <v/>
      </c>
      <c r="H899" s="2" t="str">
        <f>IF(Iterations[[#This Row],[Step]] =current_step, current_b,IF(Iterations[[#This Row],[Step]] &gt; current_step, "",Iterations[[#This Row],[b]]))</f>
        <v/>
      </c>
      <c r="I899" s="2" t="str">
        <f>IF(Iterations[[#This Row],[Step]] =current_step, current_c,IF(Iterations[[#This Row],[Step]] &gt; current_step, "",Iterations[[#This Row],[c]]))</f>
        <v/>
      </c>
      <c r="J899" s="2" t="str">
        <f>IF(Iterations[[#This Row],[Step]] =current_step, current_d,IF(Iterations[[#This Row],[Step]] &gt; current_step, "",Iterations[[#This Row],[d]]))</f>
        <v/>
      </c>
      <c r="K899" s="2" t="str">
        <f>IF(Iterations[[#This Row],[Step]] =current_step, current_e,IF(Iterations[[#This Row],[Step]] &gt; current_step, "",Iterations[[#This Row],[e]]))</f>
        <v/>
      </c>
      <c r="L899" s="2" t="str">
        <f>IF(Iterations[[#This Row],[Step]] =current_step, current_Total_Loss,IF(Iterations[[#This Row],[Step]] &gt; current_step, "",Iterations[[#This Row],[Total Loss]]))</f>
        <v/>
      </c>
      <c r="M899" s="6" t="s">
        <v>27</v>
      </c>
      <c r="N899" s="2" t="str">
        <f>IF(Iterations[[#This Row],[Step]] =current_step, current_Grad_a,IF(Iterations[[#This Row],[Step]] &gt; current_step, "",Iterations[[#This Row],[Grad_a]]))</f>
        <v/>
      </c>
      <c r="O899" s="2" t="str">
        <f>IF(Iterations[[#This Row],[Step]] =current_step, current_Grad_b,IF(Iterations[[#This Row],[Step]] &gt; current_step, "",Iterations[[#This Row],[Grad_b]]))</f>
        <v/>
      </c>
      <c r="P899" s="2" t="str">
        <f>IF(Iterations[[#This Row],[Step]] =current_step, current_Grad_c,IF(Iterations[[#This Row],[Step]] &gt; current_step, "",Iterations[[#This Row],[Grad_c]]))</f>
        <v/>
      </c>
      <c r="Q899" s="2" t="str">
        <f>IF(Iterations[[#This Row],[Step]] =current_step, current_Grad_d,IF(Iterations[[#This Row],[Step]] &gt; current_step, "",Iterations[[#This Row],[Grad_d]]))</f>
        <v/>
      </c>
      <c r="R899" s="2" t="str">
        <f>IF(Iterations[[#This Row],[Step]] =current_step, current_Grad_e,IF(Iterations[[#This Row],[Step]] &gt; current_step, "",Iterations[[#This Row],[Grad_e]]))</f>
        <v/>
      </c>
    </row>
    <row r="900" spans="6:18" x14ac:dyDescent="0.3">
      <c r="F900" s="2">
        <f t="shared" si="16"/>
        <v>883</v>
      </c>
      <c r="G900" s="2" t="str">
        <f>IF(Iterations[[#This Row],[Step]] =current_step, current_a,IF(Iterations[[#This Row],[Step]] &gt; current_step, "",Iterations[[#This Row],[a]]))</f>
        <v/>
      </c>
      <c r="H900" s="2" t="str">
        <f>IF(Iterations[[#This Row],[Step]] =current_step, current_b,IF(Iterations[[#This Row],[Step]] &gt; current_step, "",Iterations[[#This Row],[b]]))</f>
        <v/>
      </c>
      <c r="I900" s="2" t="str">
        <f>IF(Iterations[[#This Row],[Step]] =current_step, current_c,IF(Iterations[[#This Row],[Step]] &gt; current_step, "",Iterations[[#This Row],[c]]))</f>
        <v/>
      </c>
      <c r="J900" s="2" t="str">
        <f>IF(Iterations[[#This Row],[Step]] =current_step, current_d,IF(Iterations[[#This Row],[Step]] &gt; current_step, "",Iterations[[#This Row],[d]]))</f>
        <v/>
      </c>
      <c r="K900" s="2" t="str">
        <f>IF(Iterations[[#This Row],[Step]] =current_step, current_e,IF(Iterations[[#This Row],[Step]] &gt; current_step, "",Iterations[[#This Row],[e]]))</f>
        <v/>
      </c>
      <c r="L900" s="2" t="str">
        <f>IF(Iterations[[#This Row],[Step]] =current_step, current_Total_Loss,IF(Iterations[[#This Row],[Step]] &gt; current_step, "",Iterations[[#This Row],[Total Loss]]))</f>
        <v/>
      </c>
      <c r="M900" s="6" t="s">
        <v>27</v>
      </c>
      <c r="N900" s="2" t="str">
        <f>IF(Iterations[[#This Row],[Step]] =current_step, current_Grad_a,IF(Iterations[[#This Row],[Step]] &gt; current_step, "",Iterations[[#This Row],[Grad_a]]))</f>
        <v/>
      </c>
      <c r="O900" s="2" t="str">
        <f>IF(Iterations[[#This Row],[Step]] =current_step, current_Grad_b,IF(Iterations[[#This Row],[Step]] &gt; current_step, "",Iterations[[#This Row],[Grad_b]]))</f>
        <v/>
      </c>
      <c r="P900" s="2" t="str">
        <f>IF(Iterations[[#This Row],[Step]] =current_step, current_Grad_c,IF(Iterations[[#This Row],[Step]] &gt; current_step, "",Iterations[[#This Row],[Grad_c]]))</f>
        <v/>
      </c>
      <c r="Q900" s="2" t="str">
        <f>IF(Iterations[[#This Row],[Step]] =current_step, current_Grad_d,IF(Iterations[[#This Row],[Step]] &gt; current_step, "",Iterations[[#This Row],[Grad_d]]))</f>
        <v/>
      </c>
      <c r="R900" s="2" t="str">
        <f>IF(Iterations[[#This Row],[Step]] =current_step, current_Grad_e,IF(Iterations[[#This Row],[Step]] &gt; current_step, "",Iterations[[#This Row],[Grad_e]]))</f>
        <v/>
      </c>
    </row>
    <row r="901" spans="6:18" x14ac:dyDescent="0.3">
      <c r="F901" s="2">
        <f t="shared" si="16"/>
        <v>884</v>
      </c>
      <c r="G901" s="2" t="str">
        <f>IF(Iterations[[#This Row],[Step]] =current_step, current_a,IF(Iterations[[#This Row],[Step]] &gt; current_step, "",Iterations[[#This Row],[a]]))</f>
        <v/>
      </c>
      <c r="H901" s="2" t="str">
        <f>IF(Iterations[[#This Row],[Step]] =current_step, current_b,IF(Iterations[[#This Row],[Step]] &gt; current_step, "",Iterations[[#This Row],[b]]))</f>
        <v/>
      </c>
      <c r="I901" s="2" t="str">
        <f>IF(Iterations[[#This Row],[Step]] =current_step, current_c,IF(Iterations[[#This Row],[Step]] &gt; current_step, "",Iterations[[#This Row],[c]]))</f>
        <v/>
      </c>
      <c r="J901" s="2" t="str">
        <f>IF(Iterations[[#This Row],[Step]] =current_step, current_d,IF(Iterations[[#This Row],[Step]] &gt; current_step, "",Iterations[[#This Row],[d]]))</f>
        <v/>
      </c>
      <c r="K901" s="2" t="str">
        <f>IF(Iterations[[#This Row],[Step]] =current_step, current_e,IF(Iterations[[#This Row],[Step]] &gt; current_step, "",Iterations[[#This Row],[e]]))</f>
        <v/>
      </c>
      <c r="L901" s="2" t="str">
        <f>IF(Iterations[[#This Row],[Step]] =current_step, current_Total_Loss,IF(Iterations[[#This Row],[Step]] &gt; current_step, "",Iterations[[#This Row],[Total Loss]]))</f>
        <v/>
      </c>
      <c r="M901" s="6" t="s">
        <v>27</v>
      </c>
      <c r="N901" s="2" t="str">
        <f>IF(Iterations[[#This Row],[Step]] =current_step, current_Grad_a,IF(Iterations[[#This Row],[Step]] &gt; current_step, "",Iterations[[#This Row],[Grad_a]]))</f>
        <v/>
      </c>
      <c r="O901" s="2" t="str">
        <f>IF(Iterations[[#This Row],[Step]] =current_step, current_Grad_b,IF(Iterations[[#This Row],[Step]] &gt; current_step, "",Iterations[[#This Row],[Grad_b]]))</f>
        <v/>
      </c>
      <c r="P901" s="2" t="str">
        <f>IF(Iterations[[#This Row],[Step]] =current_step, current_Grad_c,IF(Iterations[[#This Row],[Step]] &gt; current_step, "",Iterations[[#This Row],[Grad_c]]))</f>
        <v/>
      </c>
      <c r="Q901" s="2" t="str">
        <f>IF(Iterations[[#This Row],[Step]] =current_step, current_Grad_d,IF(Iterations[[#This Row],[Step]] &gt; current_step, "",Iterations[[#This Row],[Grad_d]]))</f>
        <v/>
      </c>
      <c r="R901" s="2" t="str">
        <f>IF(Iterations[[#This Row],[Step]] =current_step, current_Grad_e,IF(Iterations[[#This Row],[Step]] &gt; current_step, "",Iterations[[#This Row],[Grad_e]]))</f>
        <v/>
      </c>
    </row>
    <row r="902" spans="6:18" x14ac:dyDescent="0.3">
      <c r="F902" s="2">
        <f t="shared" si="16"/>
        <v>885</v>
      </c>
      <c r="G902" s="2" t="str">
        <f>IF(Iterations[[#This Row],[Step]] =current_step, current_a,IF(Iterations[[#This Row],[Step]] &gt; current_step, "",Iterations[[#This Row],[a]]))</f>
        <v/>
      </c>
      <c r="H902" s="2" t="str">
        <f>IF(Iterations[[#This Row],[Step]] =current_step, current_b,IF(Iterations[[#This Row],[Step]] &gt; current_step, "",Iterations[[#This Row],[b]]))</f>
        <v/>
      </c>
      <c r="I902" s="2" t="str">
        <f>IF(Iterations[[#This Row],[Step]] =current_step, current_c,IF(Iterations[[#This Row],[Step]] &gt; current_step, "",Iterations[[#This Row],[c]]))</f>
        <v/>
      </c>
      <c r="J902" s="2" t="str">
        <f>IF(Iterations[[#This Row],[Step]] =current_step, current_d,IF(Iterations[[#This Row],[Step]] &gt; current_step, "",Iterations[[#This Row],[d]]))</f>
        <v/>
      </c>
      <c r="K902" s="2" t="str">
        <f>IF(Iterations[[#This Row],[Step]] =current_step, current_e,IF(Iterations[[#This Row],[Step]] &gt; current_step, "",Iterations[[#This Row],[e]]))</f>
        <v/>
      </c>
      <c r="L902" s="2" t="str">
        <f>IF(Iterations[[#This Row],[Step]] =current_step, current_Total_Loss,IF(Iterations[[#This Row],[Step]] &gt; current_step, "",Iterations[[#This Row],[Total Loss]]))</f>
        <v/>
      </c>
      <c r="M902" s="6" t="s">
        <v>27</v>
      </c>
      <c r="N902" s="2" t="str">
        <f>IF(Iterations[[#This Row],[Step]] =current_step, current_Grad_a,IF(Iterations[[#This Row],[Step]] &gt; current_step, "",Iterations[[#This Row],[Grad_a]]))</f>
        <v/>
      </c>
      <c r="O902" s="2" t="str">
        <f>IF(Iterations[[#This Row],[Step]] =current_step, current_Grad_b,IF(Iterations[[#This Row],[Step]] &gt; current_step, "",Iterations[[#This Row],[Grad_b]]))</f>
        <v/>
      </c>
      <c r="P902" s="2" t="str">
        <f>IF(Iterations[[#This Row],[Step]] =current_step, current_Grad_c,IF(Iterations[[#This Row],[Step]] &gt; current_step, "",Iterations[[#This Row],[Grad_c]]))</f>
        <v/>
      </c>
      <c r="Q902" s="2" t="str">
        <f>IF(Iterations[[#This Row],[Step]] =current_step, current_Grad_d,IF(Iterations[[#This Row],[Step]] &gt; current_step, "",Iterations[[#This Row],[Grad_d]]))</f>
        <v/>
      </c>
      <c r="R902" s="2" t="str">
        <f>IF(Iterations[[#This Row],[Step]] =current_step, current_Grad_e,IF(Iterations[[#This Row],[Step]] &gt; current_step, "",Iterations[[#This Row],[Grad_e]]))</f>
        <v/>
      </c>
    </row>
    <row r="903" spans="6:18" x14ac:dyDescent="0.3">
      <c r="F903" s="2">
        <f t="shared" si="16"/>
        <v>886</v>
      </c>
      <c r="G903" s="2" t="str">
        <f>IF(Iterations[[#This Row],[Step]] =current_step, current_a,IF(Iterations[[#This Row],[Step]] &gt; current_step, "",Iterations[[#This Row],[a]]))</f>
        <v/>
      </c>
      <c r="H903" s="2" t="str">
        <f>IF(Iterations[[#This Row],[Step]] =current_step, current_b,IF(Iterations[[#This Row],[Step]] &gt; current_step, "",Iterations[[#This Row],[b]]))</f>
        <v/>
      </c>
      <c r="I903" s="2" t="str">
        <f>IF(Iterations[[#This Row],[Step]] =current_step, current_c,IF(Iterations[[#This Row],[Step]] &gt; current_step, "",Iterations[[#This Row],[c]]))</f>
        <v/>
      </c>
      <c r="J903" s="2" t="str">
        <f>IF(Iterations[[#This Row],[Step]] =current_step, current_d,IF(Iterations[[#This Row],[Step]] &gt; current_step, "",Iterations[[#This Row],[d]]))</f>
        <v/>
      </c>
      <c r="K903" s="2" t="str">
        <f>IF(Iterations[[#This Row],[Step]] =current_step, current_e,IF(Iterations[[#This Row],[Step]] &gt; current_step, "",Iterations[[#This Row],[e]]))</f>
        <v/>
      </c>
      <c r="L903" s="2" t="str">
        <f>IF(Iterations[[#This Row],[Step]] =current_step, current_Total_Loss,IF(Iterations[[#This Row],[Step]] &gt; current_step, "",Iterations[[#This Row],[Total Loss]]))</f>
        <v/>
      </c>
      <c r="M903" s="6" t="s">
        <v>27</v>
      </c>
      <c r="N903" s="2" t="str">
        <f>IF(Iterations[[#This Row],[Step]] =current_step, current_Grad_a,IF(Iterations[[#This Row],[Step]] &gt; current_step, "",Iterations[[#This Row],[Grad_a]]))</f>
        <v/>
      </c>
      <c r="O903" s="2" t="str">
        <f>IF(Iterations[[#This Row],[Step]] =current_step, current_Grad_b,IF(Iterations[[#This Row],[Step]] &gt; current_step, "",Iterations[[#This Row],[Grad_b]]))</f>
        <v/>
      </c>
      <c r="P903" s="2" t="str">
        <f>IF(Iterations[[#This Row],[Step]] =current_step, current_Grad_c,IF(Iterations[[#This Row],[Step]] &gt; current_step, "",Iterations[[#This Row],[Grad_c]]))</f>
        <v/>
      </c>
      <c r="Q903" s="2" t="str">
        <f>IF(Iterations[[#This Row],[Step]] =current_step, current_Grad_d,IF(Iterations[[#This Row],[Step]] &gt; current_step, "",Iterations[[#This Row],[Grad_d]]))</f>
        <v/>
      </c>
      <c r="R903" s="2" t="str">
        <f>IF(Iterations[[#This Row],[Step]] =current_step, current_Grad_e,IF(Iterations[[#This Row],[Step]] &gt; current_step, "",Iterations[[#This Row],[Grad_e]]))</f>
        <v/>
      </c>
    </row>
    <row r="904" spans="6:18" x14ac:dyDescent="0.3">
      <c r="F904" s="2">
        <f t="shared" si="16"/>
        <v>887</v>
      </c>
      <c r="G904" s="2" t="str">
        <f>IF(Iterations[[#This Row],[Step]] =current_step, current_a,IF(Iterations[[#This Row],[Step]] &gt; current_step, "",Iterations[[#This Row],[a]]))</f>
        <v/>
      </c>
      <c r="H904" s="2" t="str">
        <f>IF(Iterations[[#This Row],[Step]] =current_step, current_b,IF(Iterations[[#This Row],[Step]] &gt; current_step, "",Iterations[[#This Row],[b]]))</f>
        <v/>
      </c>
      <c r="I904" s="2" t="str">
        <f>IF(Iterations[[#This Row],[Step]] =current_step, current_c,IF(Iterations[[#This Row],[Step]] &gt; current_step, "",Iterations[[#This Row],[c]]))</f>
        <v/>
      </c>
      <c r="J904" s="2" t="str">
        <f>IF(Iterations[[#This Row],[Step]] =current_step, current_d,IF(Iterations[[#This Row],[Step]] &gt; current_step, "",Iterations[[#This Row],[d]]))</f>
        <v/>
      </c>
      <c r="K904" s="2" t="str">
        <f>IF(Iterations[[#This Row],[Step]] =current_step, current_e,IF(Iterations[[#This Row],[Step]] &gt; current_step, "",Iterations[[#This Row],[e]]))</f>
        <v/>
      </c>
      <c r="L904" s="2" t="str">
        <f>IF(Iterations[[#This Row],[Step]] =current_step, current_Total_Loss,IF(Iterations[[#This Row],[Step]] &gt; current_step, "",Iterations[[#This Row],[Total Loss]]))</f>
        <v/>
      </c>
      <c r="M904" s="6" t="s">
        <v>27</v>
      </c>
      <c r="N904" s="2" t="str">
        <f>IF(Iterations[[#This Row],[Step]] =current_step, current_Grad_a,IF(Iterations[[#This Row],[Step]] &gt; current_step, "",Iterations[[#This Row],[Grad_a]]))</f>
        <v/>
      </c>
      <c r="O904" s="2" t="str">
        <f>IF(Iterations[[#This Row],[Step]] =current_step, current_Grad_b,IF(Iterations[[#This Row],[Step]] &gt; current_step, "",Iterations[[#This Row],[Grad_b]]))</f>
        <v/>
      </c>
      <c r="P904" s="2" t="str">
        <f>IF(Iterations[[#This Row],[Step]] =current_step, current_Grad_c,IF(Iterations[[#This Row],[Step]] &gt; current_step, "",Iterations[[#This Row],[Grad_c]]))</f>
        <v/>
      </c>
      <c r="Q904" s="2" t="str">
        <f>IF(Iterations[[#This Row],[Step]] =current_step, current_Grad_d,IF(Iterations[[#This Row],[Step]] &gt; current_step, "",Iterations[[#This Row],[Grad_d]]))</f>
        <v/>
      </c>
      <c r="R904" s="2" t="str">
        <f>IF(Iterations[[#This Row],[Step]] =current_step, current_Grad_e,IF(Iterations[[#This Row],[Step]] &gt; current_step, "",Iterations[[#This Row],[Grad_e]]))</f>
        <v/>
      </c>
    </row>
    <row r="905" spans="6:18" x14ac:dyDescent="0.3">
      <c r="F905" s="2">
        <f t="shared" si="16"/>
        <v>888</v>
      </c>
      <c r="G905" s="2" t="str">
        <f>IF(Iterations[[#This Row],[Step]] =current_step, current_a,IF(Iterations[[#This Row],[Step]] &gt; current_step, "",Iterations[[#This Row],[a]]))</f>
        <v/>
      </c>
      <c r="H905" s="2" t="str">
        <f>IF(Iterations[[#This Row],[Step]] =current_step, current_b,IF(Iterations[[#This Row],[Step]] &gt; current_step, "",Iterations[[#This Row],[b]]))</f>
        <v/>
      </c>
      <c r="I905" s="2" t="str">
        <f>IF(Iterations[[#This Row],[Step]] =current_step, current_c,IF(Iterations[[#This Row],[Step]] &gt; current_step, "",Iterations[[#This Row],[c]]))</f>
        <v/>
      </c>
      <c r="J905" s="2" t="str">
        <f>IF(Iterations[[#This Row],[Step]] =current_step, current_d,IF(Iterations[[#This Row],[Step]] &gt; current_step, "",Iterations[[#This Row],[d]]))</f>
        <v/>
      </c>
      <c r="K905" s="2" t="str">
        <f>IF(Iterations[[#This Row],[Step]] =current_step, current_e,IF(Iterations[[#This Row],[Step]] &gt; current_step, "",Iterations[[#This Row],[e]]))</f>
        <v/>
      </c>
      <c r="L905" s="2" t="str">
        <f>IF(Iterations[[#This Row],[Step]] =current_step, current_Total_Loss,IF(Iterations[[#This Row],[Step]] &gt; current_step, "",Iterations[[#This Row],[Total Loss]]))</f>
        <v/>
      </c>
      <c r="M905" s="6" t="s">
        <v>27</v>
      </c>
      <c r="N905" s="2" t="str">
        <f>IF(Iterations[[#This Row],[Step]] =current_step, current_Grad_a,IF(Iterations[[#This Row],[Step]] &gt; current_step, "",Iterations[[#This Row],[Grad_a]]))</f>
        <v/>
      </c>
      <c r="O905" s="2" t="str">
        <f>IF(Iterations[[#This Row],[Step]] =current_step, current_Grad_b,IF(Iterations[[#This Row],[Step]] &gt; current_step, "",Iterations[[#This Row],[Grad_b]]))</f>
        <v/>
      </c>
      <c r="P905" s="2" t="str">
        <f>IF(Iterations[[#This Row],[Step]] =current_step, current_Grad_c,IF(Iterations[[#This Row],[Step]] &gt; current_step, "",Iterations[[#This Row],[Grad_c]]))</f>
        <v/>
      </c>
      <c r="Q905" s="2" t="str">
        <f>IF(Iterations[[#This Row],[Step]] =current_step, current_Grad_d,IF(Iterations[[#This Row],[Step]] &gt; current_step, "",Iterations[[#This Row],[Grad_d]]))</f>
        <v/>
      </c>
      <c r="R905" s="2" t="str">
        <f>IF(Iterations[[#This Row],[Step]] =current_step, current_Grad_e,IF(Iterations[[#This Row],[Step]] &gt; current_step, "",Iterations[[#This Row],[Grad_e]]))</f>
        <v/>
      </c>
    </row>
    <row r="906" spans="6:18" x14ac:dyDescent="0.3">
      <c r="F906" s="2">
        <f t="shared" si="16"/>
        <v>889</v>
      </c>
      <c r="G906" s="2" t="str">
        <f>IF(Iterations[[#This Row],[Step]] =current_step, current_a,IF(Iterations[[#This Row],[Step]] &gt; current_step, "",Iterations[[#This Row],[a]]))</f>
        <v/>
      </c>
      <c r="H906" s="2" t="str">
        <f>IF(Iterations[[#This Row],[Step]] =current_step, current_b,IF(Iterations[[#This Row],[Step]] &gt; current_step, "",Iterations[[#This Row],[b]]))</f>
        <v/>
      </c>
      <c r="I906" s="2" t="str">
        <f>IF(Iterations[[#This Row],[Step]] =current_step, current_c,IF(Iterations[[#This Row],[Step]] &gt; current_step, "",Iterations[[#This Row],[c]]))</f>
        <v/>
      </c>
      <c r="J906" s="2" t="str">
        <f>IF(Iterations[[#This Row],[Step]] =current_step, current_d,IF(Iterations[[#This Row],[Step]] &gt; current_step, "",Iterations[[#This Row],[d]]))</f>
        <v/>
      </c>
      <c r="K906" s="2" t="str">
        <f>IF(Iterations[[#This Row],[Step]] =current_step, current_e,IF(Iterations[[#This Row],[Step]] &gt; current_step, "",Iterations[[#This Row],[e]]))</f>
        <v/>
      </c>
      <c r="L906" s="2" t="str">
        <f>IF(Iterations[[#This Row],[Step]] =current_step, current_Total_Loss,IF(Iterations[[#This Row],[Step]] &gt; current_step, "",Iterations[[#This Row],[Total Loss]]))</f>
        <v/>
      </c>
      <c r="M906" s="6" t="s">
        <v>27</v>
      </c>
      <c r="N906" s="2" t="str">
        <f>IF(Iterations[[#This Row],[Step]] =current_step, current_Grad_a,IF(Iterations[[#This Row],[Step]] &gt; current_step, "",Iterations[[#This Row],[Grad_a]]))</f>
        <v/>
      </c>
      <c r="O906" s="2" t="str">
        <f>IF(Iterations[[#This Row],[Step]] =current_step, current_Grad_b,IF(Iterations[[#This Row],[Step]] &gt; current_step, "",Iterations[[#This Row],[Grad_b]]))</f>
        <v/>
      </c>
      <c r="P906" s="2" t="str">
        <f>IF(Iterations[[#This Row],[Step]] =current_step, current_Grad_c,IF(Iterations[[#This Row],[Step]] &gt; current_step, "",Iterations[[#This Row],[Grad_c]]))</f>
        <v/>
      </c>
      <c r="Q906" s="2" t="str">
        <f>IF(Iterations[[#This Row],[Step]] =current_step, current_Grad_d,IF(Iterations[[#This Row],[Step]] &gt; current_step, "",Iterations[[#This Row],[Grad_d]]))</f>
        <v/>
      </c>
      <c r="R906" s="2" t="str">
        <f>IF(Iterations[[#This Row],[Step]] =current_step, current_Grad_e,IF(Iterations[[#This Row],[Step]] &gt; current_step, "",Iterations[[#This Row],[Grad_e]]))</f>
        <v/>
      </c>
    </row>
    <row r="907" spans="6:18" x14ac:dyDescent="0.3">
      <c r="F907" s="2">
        <f t="shared" si="16"/>
        <v>890</v>
      </c>
      <c r="G907" s="2" t="str">
        <f>IF(Iterations[[#This Row],[Step]] =current_step, current_a,IF(Iterations[[#This Row],[Step]] &gt; current_step, "",Iterations[[#This Row],[a]]))</f>
        <v/>
      </c>
      <c r="H907" s="2" t="str">
        <f>IF(Iterations[[#This Row],[Step]] =current_step, current_b,IF(Iterations[[#This Row],[Step]] &gt; current_step, "",Iterations[[#This Row],[b]]))</f>
        <v/>
      </c>
      <c r="I907" s="2" t="str">
        <f>IF(Iterations[[#This Row],[Step]] =current_step, current_c,IF(Iterations[[#This Row],[Step]] &gt; current_step, "",Iterations[[#This Row],[c]]))</f>
        <v/>
      </c>
      <c r="J907" s="2" t="str">
        <f>IF(Iterations[[#This Row],[Step]] =current_step, current_d,IF(Iterations[[#This Row],[Step]] &gt; current_step, "",Iterations[[#This Row],[d]]))</f>
        <v/>
      </c>
      <c r="K907" s="2" t="str">
        <f>IF(Iterations[[#This Row],[Step]] =current_step, current_e,IF(Iterations[[#This Row],[Step]] &gt; current_step, "",Iterations[[#This Row],[e]]))</f>
        <v/>
      </c>
      <c r="L907" s="2" t="str">
        <f>IF(Iterations[[#This Row],[Step]] =current_step, current_Total_Loss,IF(Iterations[[#This Row],[Step]] &gt; current_step, "",Iterations[[#This Row],[Total Loss]]))</f>
        <v/>
      </c>
      <c r="M907" s="6" t="s">
        <v>27</v>
      </c>
      <c r="N907" s="2" t="str">
        <f>IF(Iterations[[#This Row],[Step]] =current_step, current_Grad_a,IF(Iterations[[#This Row],[Step]] &gt; current_step, "",Iterations[[#This Row],[Grad_a]]))</f>
        <v/>
      </c>
      <c r="O907" s="2" t="str">
        <f>IF(Iterations[[#This Row],[Step]] =current_step, current_Grad_b,IF(Iterations[[#This Row],[Step]] &gt; current_step, "",Iterations[[#This Row],[Grad_b]]))</f>
        <v/>
      </c>
      <c r="P907" s="2" t="str">
        <f>IF(Iterations[[#This Row],[Step]] =current_step, current_Grad_c,IF(Iterations[[#This Row],[Step]] &gt; current_step, "",Iterations[[#This Row],[Grad_c]]))</f>
        <v/>
      </c>
      <c r="Q907" s="2" t="str">
        <f>IF(Iterations[[#This Row],[Step]] =current_step, current_Grad_d,IF(Iterations[[#This Row],[Step]] &gt; current_step, "",Iterations[[#This Row],[Grad_d]]))</f>
        <v/>
      </c>
      <c r="R907" s="2" t="str">
        <f>IF(Iterations[[#This Row],[Step]] =current_step, current_Grad_e,IF(Iterations[[#This Row],[Step]] &gt; current_step, "",Iterations[[#This Row],[Grad_e]]))</f>
        <v/>
      </c>
    </row>
    <row r="908" spans="6:18" x14ac:dyDescent="0.3">
      <c r="F908" s="2">
        <f t="shared" si="16"/>
        <v>891</v>
      </c>
      <c r="G908" s="2" t="str">
        <f>IF(Iterations[[#This Row],[Step]] =current_step, current_a,IF(Iterations[[#This Row],[Step]] &gt; current_step, "",Iterations[[#This Row],[a]]))</f>
        <v/>
      </c>
      <c r="H908" s="2" t="str">
        <f>IF(Iterations[[#This Row],[Step]] =current_step, current_b,IF(Iterations[[#This Row],[Step]] &gt; current_step, "",Iterations[[#This Row],[b]]))</f>
        <v/>
      </c>
      <c r="I908" s="2" t="str">
        <f>IF(Iterations[[#This Row],[Step]] =current_step, current_c,IF(Iterations[[#This Row],[Step]] &gt; current_step, "",Iterations[[#This Row],[c]]))</f>
        <v/>
      </c>
      <c r="J908" s="2" t="str">
        <f>IF(Iterations[[#This Row],[Step]] =current_step, current_d,IF(Iterations[[#This Row],[Step]] &gt; current_step, "",Iterations[[#This Row],[d]]))</f>
        <v/>
      </c>
      <c r="K908" s="2" t="str">
        <f>IF(Iterations[[#This Row],[Step]] =current_step, current_e,IF(Iterations[[#This Row],[Step]] &gt; current_step, "",Iterations[[#This Row],[e]]))</f>
        <v/>
      </c>
      <c r="L908" s="2" t="str">
        <f>IF(Iterations[[#This Row],[Step]] =current_step, current_Total_Loss,IF(Iterations[[#This Row],[Step]] &gt; current_step, "",Iterations[[#This Row],[Total Loss]]))</f>
        <v/>
      </c>
      <c r="M908" s="6" t="s">
        <v>27</v>
      </c>
      <c r="N908" s="2" t="str">
        <f>IF(Iterations[[#This Row],[Step]] =current_step, current_Grad_a,IF(Iterations[[#This Row],[Step]] &gt; current_step, "",Iterations[[#This Row],[Grad_a]]))</f>
        <v/>
      </c>
      <c r="O908" s="2" t="str">
        <f>IF(Iterations[[#This Row],[Step]] =current_step, current_Grad_b,IF(Iterations[[#This Row],[Step]] &gt; current_step, "",Iterations[[#This Row],[Grad_b]]))</f>
        <v/>
      </c>
      <c r="P908" s="2" t="str">
        <f>IF(Iterations[[#This Row],[Step]] =current_step, current_Grad_c,IF(Iterations[[#This Row],[Step]] &gt; current_step, "",Iterations[[#This Row],[Grad_c]]))</f>
        <v/>
      </c>
      <c r="Q908" s="2" t="str">
        <f>IF(Iterations[[#This Row],[Step]] =current_step, current_Grad_d,IF(Iterations[[#This Row],[Step]] &gt; current_step, "",Iterations[[#This Row],[Grad_d]]))</f>
        <v/>
      </c>
      <c r="R908" s="2" t="str">
        <f>IF(Iterations[[#This Row],[Step]] =current_step, current_Grad_e,IF(Iterations[[#This Row],[Step]] &gt; current_step, "",Iterations[[#This Row],[Grad_e]]))</f>
        <v/>
      </c>
    </row>
    <row r="909" spans="6:18" x14ac:dyDescent="0.3">
      <c r="F909" s="2">
        <f t="shared" si="16"/>
        <v>892</v>
      </c>
      <c r="G909" s="2" t="str">
        <f>IF(Iterations[[#This Row],[Step]] =current_step, current_a,IF(Iterations[[#This Row],[Step]] &gt; current_step, "",Iterations[[#This Row],[a]]))</f>
        <v/>
      </c>
      <c r="H909" s="2" t="str">
        <f>IF(Iterations[[#This Row],[Step]] =current_step, current_b,IF(Iterations[[#This Row],[Step]] &gt; current_step, "",Iterations[[#This Row],[b]]))</f>
        <v/>
      </c>
      <c r="I909" s="2" t="str">
        <f>IF(Iterations[[#This Row],[Step]] =current_step, current_c,IF(Iterations[[#This Row],[Step]] &gt; current_step, "",Iterations[[#This Row],[c]]))</f>
        <v/>
      </c>
      <c r="J909" s="2" t="str">
        <f>IF(Iterations[[#This Row],[Step]] =current_step, current_d,IF(Iterations[[#This Row],[Step]] &gt; current_step, "",Iterations[[#This Row],[d]]))</f>
        <v/>
      </c>
      <c r="K909" s="2" t="str">
        <f>IF(Iterations[[#This Row],[Step]] =current_step, current_e,IF(Iterations[[#This Row],[Step]] &gt; current_step, "",Iterations[[#This Row],[e]]))</f>
        <v/>
      </c>
      <c r="L909" s="2" t="str">
        <f>IF(Iterations[[#This Row],[Step]] =current_step, current_Total_Loss,IF(Iterations[[#This Row],[Step]] &gt; current_step, "",Iterations[[#This Row],[Total Loss]]))</f>
        <v/>
      </c>
      <c r="M909" s="6" t="s">
        <v>27</v>
      </c>
      <c r="N909" s="2" t="str">
        <f>IF(Iterations[[#This Row],[Step]] =current_step, current_Grad_a,IF(Iterations[[#This Row],[Step]] &gt; current_step, "",Iterations[[#This Row],[Grad_a]]))</f>
        <v/>
      </c>
      <c r="O909" s="2" t="str">
        <f>IF(Iterations[[#This Row],[Step]] =current_step, current_Grad_b,IF(Iterations[[#This Row],[Step]] &gt; current_step, "",Iterations[[#This Row],[Grad_b]]))</f>
        <v/>
      </c>
      <c r="P909" s="2" t="str">
        <f>IF(Iterations[[#This Row],[Step]] =current_step, current_Grad_c,IF(Iterations[[#This Row],[Step]] &gt; current_step, "",Iterations[[#This Row],[Grad_c]]))</f>
        <v/>
      </c>
      <c r="Q909" s="2" t="str">
        <f>IF(Iterations[[#This Row],[Step]] =current_step, current_Grad_d,IF(Iterations[[#This Row],[Step]] &gt; current_step, "",Iterations[[#This Row],[Grad_d]]))</f>
        <v/>
      </c>
      <c r="R909" s="2" t="str">
        <f>IF(Iterations[[#This Row],[Step]] =current_step, current_Grad_e,IF(Iterations[[#This Row],[Step]] &gt; current_step, "",Iterations[[#This Row],[Grad_e]]))</f>
        <v/>
      </c>
    </row>
    <row r="910" spans="6:18" x14ac:dyDescent="0.3">
      <c r="F910" s="2">
        <f t="shared" si="16"/>
        <v>893</v>
      </c>
      <c r="G910" s="2" t="str">
        <f>IF(Iterations[[#This Row],[Step]] =current_step, current_a,IF(Iterations[[#This Row],[Step]] &gt; current_step, "",Iterations[[#This Row],[a]]))</f>
        <v/>
      </c>
      <c r="H910" s="2" t="str">
        <f>IF(Iterations[[#This Row],[Step]] =current_step, current_b,IF(Iterations[[#This Row],[Step]] &gt; current_step, "",Iterations[[#This Row],[b]]))</f>
        <v/>
      </c>
      <c r="I910" s="2" t="str">
        <f>IF(Iterations[[#This Row],[Step]] =current_step, current_c,IF(Iterations[[#This Row],[Step]] &gt; current_step, "",Iterations[[#This Row],[c]]))</f>
        <v/>
      </c>
      <c r="J910" s="2" t="str">
        <f>IF(Iterations[[#This Row],[Step]] =current_step, current_d,IF(Iterations[[#This Row],[Step]] &gt; current_step, "",Iterations[[#This Row],[d]]))</f>
        <v/>
      </c>
      <c r="K910" s="2" t="str">
        <f>IF(Iterations[[#This Row],[Step]] =current_step, current_e,IF(Iterations[[#This Row],[Step]] &gt; current_step, "",Iterations[[#This Row],[e]]))</f>
        <v/>
      </c>
      <c r="L910" s="2" t="str">
        <f>IF(Iterations[[#This Row],[Step]] =current_step, current_Total_Loss,IF(Iterations[[#This Row],[Step]] &gt; current_step, "",Iterations[[#This Row],[Total Loss]]))</f>
        <v/>
      </c>
      <c r="M910" s="6" t="s">
        <v>27</v>
      </c>
      <c r="N910" s="2" t="str">
        <f>IF(Iterations[[#This Row],[Step]] =current_step, current_Grad_a,IF(Iterations[[#This Row],[Step]] &gt; current_step, "",Iterations[[#This Row],[Grad_a]]))</f>
        <v/>
      </c>
      <c r="O910" s="2" t="str">
        <f>IF(Iterations[[#This Row],[Step]] =current_step, current_Grad_b,IF(Iterations[[#This Row],[Step]] &gt; current_step, "",Iterations[[#This Row],[Grad_b]]))</f>
        <v/>
      </c>
      <c r="P910" s="2" t="str">
        <f>IF(Iterations[[#This Row],[Step]] =current_step, current_Grad_c,IF(Iterations[[#This Row],[Step]] &gt; current_step, "",Iterations[[#This Row],[Grad_c]]))</f>
        <v/>
      </c>
      <c r="Q910" s="2" t="str">
        <f>IF(Iterations[[#This Row],[Step]] =current_step, current_Grad_d,IF(Iterations[[#This Row],[Step]] &gt; current_step, "",Iterations[[#This Row],[Grad_d]]))</f>
        <v/>
      </c>
      <c r="R910" s="2" t="str">
        <f>IF(Iterations[[#This Row],[Step]] =current_step, current_Grad_e,IF(Iterations[[#This Row],[Step]] &gt; current_step, "",Iterations[[#This Row],[Grad_e]]))</f>
        <v/>
      </c>
    </row>
    <row r="911" spans="6:18" x14ac:dyDescent="0.3">
      <c r="F911" s="2">
        <f t="shared" si="16"/>
        <v>894</v>
      </c>
      <c r="G911" s="2" t="str">
        <f>IF(Iterations[[#This Row],[Step]] =current_step, current_a,IF(Iterations[[#This Row],[Step]] &gt; current_step, "",Iterations[[#This Row],[a]]))</f>
        <v/>
      </c>
      <c r="H911" s="2" t="str">
        <f>IF(Iterations[[#This Row],[Step]] =current_step, current_b,IF(Iterations[[#This Row],[Step]] &gt; current_step, "",Iterations[[#This Row],[b]]))</f>
        <v/>
      </c>
      <c r="I911" s="2" t="str">
        <f>IF(Iterations[[#This Row],[Step]] =current_step, current_c,IF(Iterations[[#This Row],[Step]] &gt; current_step, "",Iterations[[#This Row],[c]]))</f>
        <v/>
      </c>
      <c r="J911" s="2" t="str">
        <f>IF(Iterations[[#This Row],[Step]] =current_step, current_d,IF(Iterations[[#This Row],[Step]] &gt; current_step, "",Iterations[[#This Row],[d]]))</f>
        <v/>
      </c>
      <c r="K911" s="2" t="str">
        <f>IF(Iterations[[#This Row],[Step]] =current_step, current_e,IF(Iterations[[#This Row],[Step]] &gt; current_step, "",Iterations[[#This Row],[e]]))</f>
        <v/>
      </c>
      <c r="L911" s="2" t="str">
        <f>IF(Iterations[[#This Row],[Step]] =current_step, current_Total_Loss,IF(Iterations[[#This Row],[Step]] &gt; current_step, "",Iterations[[#This Row],[Total Loss]]))</f>
        <v/>
      </c>
      <c r="M911" s="6" t="s">
        <v>27</v>
      </c>
      <c r="N911" s="2" t="str">
        <f>IF(Iterations[[#This Row],[Step]] =current_step, current_Grad_a,IF(Iterations[[#This Row],[Step]] &gt; current_step, "",Iterations[[#This Row],[Grad_a]]))</f>
        <v/>
      </c>
      <c r="O911" s="2" t="str">
        <f>IF(Iterations[[#This Row],[Step]] =current_step, current_Grad_b,IF(Iterations[[#This Row],[Step]] &gt; current_step, "",Iterations[[#This Row],[Grad_b]]))</f>
        <v/>
      </c>
      <c r="P911" s="2" t="str">
        <f>IF(Iterations[[#This Row],[Step]] =current_step, current_Grad_c,IF(Iterations[[#This Row],[Step]] &gt; current_step, "",Iterations[[#This Row],[Grad_c]]))</f>
        <v/>
      </c>
      <c r="Q911" s="2" t="str">
        <f>IF(Iterations[[#This Row],[Step]] =current_step, current_Grad_d,IF(Iterations[[#This Row],[Step]] &gt; current_step, "",Iterations[[#This Row],[Grad_d]]))</f>
        <v/>
      </c>
      <c r="R911" s="2" t="str">
        <f>IF(Iterations[[#This Row],[Step]] =current_step, current_Grad_e,IF(Iterations[[#This Row],[Step]] &gt; current_step, "",Iterations[[#This Row],[Grad_e]]))</f>
        <v/>
      </c>
    </row>
    <row r="912" spans="6:18" x14ac:dyDescent="0.3">
      <c r="F912" s="2">
        <f t="shared" si="16"/>
        <v>895</v>
      </c>
      <c r="G912" s="2" t="str">
        <f>IF(Iterations[[#This Row],[Step]] =current_step, current_a,IF(Iterations[[#This Row],[Step]] &gt; current_step, "",Iterations[[#This Row],[a]]))</f>
        <v/>
      </c>
      <c r="H912" s="2" t="str">
        <f>IF(Iterations[[#This Row],[Step]] =current_step, current_b,IF(Iterations[[#This Row],[Step]] &gt; current_step, "",Iterations[[#This Row],[b]]))</f>
        <v/>
      </c>
      <c r="I912" s="2" t="str">
        <f>IF(Iterations[[#This Row],[Step]] =current_step, current_c,IF(Iterations[[#This Row],[Step]] &gt; current_step, "",Iterations[[#This Row],[c]]))</f>
        <v/>
      </c>
      <c r="J912" s="2" t="str">
        <f>IF(Iterations[[#This Row],[Step]] =current_step, current_d,IF(Iterations[[#This Row],[Step]] &gt; current_step, "",Iterations[[#This Row],[d]]))</f>
        <v/>
      </c>
      <c r="K912" s="2" t="str">
        <f>IF(Iterations[[#This Row],[Step]] =current_step, current_e,IF(Iterations[[#This Row],[Step]] &gt; current_step, "",Iterations[[#This Row],[e]]))</f>
        <v/>
      </c>
      <c r="L912" s="2" t="str">
        <f>IF(Iterations[[#This Row],[Step]] =current_step, current_Total_Loss,IF(Iterations[[#This Row],[Step]] &gt; current_step, "",Iterations[[#This Row],[Total Loss]]))</f>
        <v/>
      </c>
      <c r="M912" s="6" t="s">
        <v>27</v>
      </c>
      <c r="N912" s="2" t="str">
        <f>IF(Iterations[[#This Row],[Step]] =current_step, current_Grad_a,IF(Iterations[[#This Row],[Step]] &gt; current_step, "",Iterations[[#This Row],[Grad_a]]))</f>
        <v/>
      </c>
      <c r="O912" s="2" t="str">
        <f>IF(Iterations[[#This Row],[Step]] =current_step, current_Grad_b,IF(Iterations[[#This Row],[Step]] &gt; current_step, "",Iterations[[#This Row],[Grad_b]]))</f>
        <v/>
      </c>
      <c r="P912" s="2" t="str">
        <f>IF(Iterations[[#This Row],[Step]] =current_step, current_Grad_c,IF(Iterations[[#This Row],[Step]] &gt; current_step, "",Iterations[[#This Row],[Grad_c]]))</f>
        <v/>
      </c>
      <c r="Q912" s="2" t="str">
        <f>IF(Iterations[[#This Row],[Step]] =current_step, current_Grad_d,IF(Iterations[[#This Row],[Step]] &gt; current_step, "",Iterations[[#This Row],[Grad_d]]))</f>
        <v/>
      </c>
      <c r="R912" s="2" t="str">
        <f>IF(Iterations[[#This Row],[Step]] =current_step, current_Grad_e,IF(Iterations[[#This Row],[Step]] &gt; current_step, "",Iterations[[#This Row],[Grad_e]]))</f>
        <v/>
      </c>
    </row>
    <row r="913" spans="6:18" x14ac:dyDescent="0.3">
      <c r="F913" s="2">
        <f t="shared" si="16"/>
        <v>896</v>
      </c>
      <c r="G913" s="2" t="str">
        <f>IF(Iterations[[#This Row],[Step]] =current_step, current_a,IF(Iterations[[#This Row],[Step]] &gt; current_step, "",Iterations[[#This Row],[a]]))</f>
        <v/>
      </c>
      <c r="H913" s="2" t="str">
        <f>IF(Iterations[[#This Row],[Step]] =current_step, current_b,IF(Iterations[[#This Row],[Step]] &gt; current_step, "",Iterations[[#This Row],[b]]))</f>
        <v/>
      </c>
      <c r="I913" s="2" t="str">
        <f>IF(Iterations[[#This Row],[Step]] =current_step, current_c,IF(Iterations[[#This Row],[Step]] &gt; current_step, "",Iterations[[#This Row],[c]]))</f>
        <v/>
      </c>
      <c r="J913" s="2" t="str">
        <f>IF(Iterations[[#This Row],[Step]] =current_step, current_d,IF(Iterations[[#This Row],[Step]] &gt; current_step, "",Iterations[[#This Row],[d]]))</f>
        <v/>
      </c>
      <c r="K913" s="2" t="str">
        <f>IF(Iterations[[#This Row],[Step]] =current_step, current_e,IF(Iterations[[#This Row],[Step]] &gt; current_step, "",Iterations[[#This Row],[e]]))</f>
        <v/>
      </c>
      <c r="L913" s="2" t="str">
        <f>IF(Iterations[[#This Row],[Step]] =current_step, current_Total_Loss,IF(Iterations[[#This Row],[Step]] &gt; current_step, "",Iterations[[#This Row],[Total Loss]]))</f>
        <v/>
      </c>
      <c r="M913" s="6" t="s">
        <v>27</v>
      </c>
      <c r="N913" s="2" t="str">
        <f>IF(Iterations[[#This Row],[Step]] =current_step, current_Grad_a,IF(Iterations[[#This Row],[Step]] &gt; current_step, "",Iterations[[#This Row],[Grad_a]]))</f>
        <v/>
      </c>
      <c r="O913" s="2" t="str">
        <f>IF(Iterations[[#This Row],[Step]] =current_step, current_Grad_b,IF(Iterations[[#This Row],[Step]] &gt; current_step, "",Iterations[[#This Row],[Grad_b]]))</f>
        <v/>
      </c>
      <c r="P913" s="2" t="str">
        <f>IF(Iterations[[#This Row],[Step]] =current_step, current_Grad_c,IF(Iterations[[#This Row],[Step]] &gt; current_step, "",Iterations[[#This Row],[Grad_c]]))</f>
        <v/>
      </c>
      <c r="Q913" s="2" t="str">
        <f>IF(Iterations[[#This Row],[Step]] =current_step, current_Grad_d,IF(Iterations[[#This Row],[Step]] &gt; current_step, "",Iterations[[#This Row],[Grad_d]]))</f>
        <v/>
      </c>
      <c r="R913" s="2" t="str">
        <f>IF(Iterations[[#This Row],[Step]] =current_step, current_Grad_e,IF(Iterations[[#This Row],[Step]] &gt; current_step, "",Iterations[[#This Row],[Grad_e]]))</f>
        <v/>
      </c>
    </row>
    <row r="914" spans="6:18" x14ac:dyDescent="0.3">
      <c r="F914" s="2">
        <f t="shared" si="16"/>
        <v>897</v>
      </c>
      <c r="G914" s="2" t="str">
        <f>IF(Iterations[[#This Row],[Step]] =current_step, current_a,IF(Iterations[[#This Row],[Step]] &gt; current_step, "",Iterations[[#This Row],[a]]))</f>
        <v/>
      </c>
      <c r="H914" s="2" t="str">
        <f>IF(Iterations[[#This Row],[Step]] =current_step, current_b,IF(Iterations[[#This Row],[Step]] &gt; current_step, "",Iterations[[#This Row],[b]]))</f>
        <v/>
      </c>
      <c r="I914" s="2" t="str">
        <f>IF(Iterations[[#This Row],[Step]] =current_step, current_c,IF(Iterations[[#This Row],[Step]] &gt; current_step, "",Iterations[[#This Row],[c]]))</f>
        <v/>
      </c>
      <c r="J914" s="2" t="str">
        <f>IF(Iterations[[#This Row],[Step]] =current_step, current_d,IF(Iterations[[#This Row],[Step]] &gt; current_step, "",Iterations[[#This Row],[d]]))</f>
        <v/>
      </c>
      <c r="K914" s="2" t="str">
        <f>IF(Iterations[[#This Row],[Step]] =current_step, current_e,IF(Iterations[[#This Row],[Step]] &gt; current_step, "",Iterations[[#This Row],[e]]))</f>
        <v/>
      </c>
      <c r="L914" s="2" t="str">
        <f>IF(Iterations[[#This Row],[Step]] =current_step, current_Total_Loss,IF(Iterations[[#This Row],[Step]] &gt; current_step, "",Iterations[[#This Row],[Total Loss]]))</f>
        <v/>
      </c>
      <c r="M914" s="6" t="s">
        <v>27</v>
      </c>
      <c r="N914" s="2" t="str">
        <f>IF(Iterations[[#This Row],[Step]] =current_step, current_Grad_a,IF(Iterations[[#This Row],[Step]] &gt; current_step, "",Iterations[[#This Row],[Grad_a]]))</f>
        <v/>
      </c>
      <c r="O914" s="2" t="str">
        <f>IF(Iterations[[#This Row],[Step]] =current_step, current_Grad_b,IF(Iterations[[#This Row],[Step]] &gt; current_step, "",Iterations[[#This Row],[Grad_b]]))</f>
        <v/>
      </c>
      <c r="P914" s="2" t="str">
        <f>IF(Iterations[[#This Row],[Step]] =current_step, current_Grad_c,IF(Iterations[[#This Row],[Step]] &gt; current_step, "",Iterations[[#This Row],[Grad_c]]))</f>
        <v/>
      </c>
      <c r="Q914" s="2" t="str">
        <f>IF(Iterations[[#This Row],[Step]] =current_step, current_Grad_d,IF(Iterations[[#This Row],[Step]] &gt; current_step, "",Iterations[[#This Row],[Grad_d]]))</f>
        <v/>
      </c>
      <c r="R914" s="2" t="str">
        <f>IF(Iterations[[#This Row],[Step]] =current_step, current_Grad_e,IF(Iterations[[#This Row],[Step]] &gt; current_step, "",Iterations[[#This Row],[Grad_e]]))</f>
        <v/>
      </c>
    </row>
    <row r="915" spans="6:18" x14ac:dyDescent="0.3">
      <c r="F915" s="2">
        <f t="shared" si="16"/>
        <v>898</v>
      </c>
      <c r="G915" s="2" t="str">
        <f>IF(Iterations[[#This Row],[Step]] =current_step, current_a,IF(Iterations[[#This Row],[Step]] &gt; current_step, "",Iterations[[#This Row],[a]]))</f>
        <v/>
      </c>
      <c r="H915" s="2" t="str">
        <f>IF(Iterations[[#This Row],[Step]] =current_step, current_b,IF(Iterations[[#This Row],[Step]] &gt; current_step, "",Iterations[[#This Row],[b]]))</f>
        <v/>
      </c>
      <c r="I915" s="2" t="str">
        <f>IF(Iterations[[#This Row],[Step]] =current_step, current_c,IF(Iterations[[#This Row],[Step]] &gt; current_step, "",Iterations[[#This Row],[c]]))</f>
        <v/>
      </c>
      <c r="J915" s="2" t="str">
        <f>IF(Iterations[[#This Row],[Step]] =current_step, current_d,IF(Iterations[[#This Row],[Step]] &gt; current_step, "",Iterations[[#This Row],[d]]))</f>
        <v/>
      </c>
      <c r="K915" s="2" t="str">
        <f>IF(Iterations[[#This Row],[Step]] =current_step, current_e,IF(Iterations[[#This Row],[Step]] &gt; current_step, "",Iterations[[#This Row],[e]]))</f>
        <v/>
      </c>
      <c r="L915" s="2" t="str">
        <f>IF(Iterations[[#This Row],[Step]] =current_step, current_Total_Loss,IF(Iterations[[#This Row],[Step]] &gt; current_step, "",Iterations[[#This Row],[Total Loss]]))</f>
        <v/>
      </c>
      <c r="M915" s="6" t="s">
        <v>27</v>
      </c>
      <c r="N915" s="2" t="str">
        <f>IF(Iterations[[#This Row],[Step]] =current_step, current_Grad_a,IF(Iterations[[#This Row],[Step]] &gt; current_step, "",Iterations[[#This Row],[Grad_a]]))</f>
        <v/>
      </c>
      <c r="O915" s="2" t="str">
        <f>IF(Iterations[[#This Row],[Step]] =current_step, current_Grad_b,IF(Iterations[[#This Row],[Step]] &gt; current_step, "",Iterations[[#This Row],[Grad_b]]))</f>
        <v/>
      </c>
      <c r="P915" s="2" t="str">
        <f>IF(Iterations[[#This Row],[Step]] =current_step, current_Grad_c,IF(Iterations[[#This Row],[Step]] &gt; current_step, "",Iterations[[#This Row],[Grad_c]]))</f>
        <v/>
      </c>
      <c r="Q915" s="2" t="str">
        <f>IF(Iterations[[#This Row],[Step]] =current_step, current_Grad_d,IF(Iterations[[#This Row],[Step]] &gt; current_step, "",Iterations[[#This Row],[Grad_d]]))</f>
        <v/>
      </c>
      <c r="R915" s="2" t="str">
        <f>IF(Iterations[[#This Row],[Step]] =current_step, current_Grad_e,IF(Iterations[[#This Row],[Step]] &gt; current_step, "",Iterations[[#This Row],[Grad_e]]))</f>
        <v/>
      </c>
    </row>
    <row r="916" spans="6:18" x14ac:dyDescent="0.3">
      <c r="F916" s="2">
        <f t="shared" si="16"/>
        <v>899</v>
      </c>
      <c r="G916" s="2" t="str">
        <f>IF(Iterations[[#This Row],[Step]] =current_step, current_a,IF(Iterations[[#This Row],[Step]] &gt; current_step, "",Iterations[[#This Row],[a]]))</f>
        <v/>
      </c>
      <c r="H916" s="2" t="str">
        <f>IF(Iterations[[#This Row],[Step]] =current_step, current_b,IF(Iterations[[#This Row],[Step]] &gt; current_step, "",Iterations[[#This Row],[b]]))</f>
        <v/>
      </c>
      <c r="I916" s="2" t="str">
        <f>IF(Iterations[[#This Row],[Step]] =current_step, current_c,IF(Iterations[[#This Row],[Step]] &gt; current_step, "",Iterations[[#This Row],[c]]))</f>
        <v/>
      </c>
      <c r="J916" s="2" t="str">
        <f>IF(Iterations[[#This Row],[Step]] =current_step, current_d,IF(Iterations[[#This Row],[Step]] &gt; current_step, "",Iterations[[#This Row],[d]]))</f>
        <v/>
      </c>
      <c r="K916" s="2" t="str">
        <f>IF(Iterations[[#This Row],[Step]] =current_step, current_e,IF(Iterations[[#This Row],[Step]] &gt; current_step, "",Iterations[[#This Row],[e]]))</f>
        <v/>
      </c>
      <c r="L916" s="2" t="str">
        <f>IF(Iterations[[#This Row],[Step]] =current_step, current_Total_Loss,IF(Iterations[[#This Row],[Step]] &gt; current_step, "",Iterations[[#This Row],[Total Loss]]))</f>
        <v/>
      </c>
      <c r="M916" s="6" t="s">
        <v>27</v>
      </c>
      <c r="N916" s="2" t="str">
        <f>IF(Iterations[[#This Row],[Step]] =current_step, current_Grad_a,IF(Iterations[[#This Row],[Step]] &gt; current_step, "",Iterations[[#This Row],[Grad_a]]))</f>
        <v/>
      </c>
      <c r="O916" s="2" t="str">
        <f>IF(Iterations[[#This Row],[Step]] =current_step, current_Grad_b,IF(Iterations[[#This Row],[Step]] &gt; current_step, "",Iterations[[#This Row],[Grad_b]]))</f>
        <v/>
      </c>
      <c r="P916" s="2" t="str">
        <f>IF(Iterations[[#This Row],[Step]] =current_step, current_Grad_c,IF(Iterations[[#This Row],[Step]] &gt; current_step, "",Iterations[[#This Row],[Grad_c]]))</f>
        <v/>
      </c>
      <c r="Q916" s="2" t="str">
        <f>IF(Iterations[[#This Row],[Step]] =current_step, current_Grad_d,IF(Iterations[[#This Row],[Step]] &gt; current_step, "",Iterations[[#This Row],[Grad_d]]))</f>
        <v/>
      </c>
      <c r="R916" s="2" t="str">
        <f>IF(Iterations[[#This Row],[Step]] =current_step, current_Grad_e,IF(Iterations[[#This Row],[Step]] &gt; current_step, "",Iterations[[#This Row],[Grad_e]]))</f>
        <v/>
      </c>
    </row>
    <row r="917" spans="6:18" x14ac:dyDescent="0.3">
      <c r="F917" s="2">
        <f t="shared" si="16"/>
        <v>900</v>
      </c>
      <c r="G917" s="2" t="str">
        <f>IF(Iterations[[#This Row],[Step]] =current_step, current_a,IF(Iterations[[#This Row],[Step]] &gt; current_step, "",Iterations[[#This Row],[a]]))</f>
        <v/>
      </c>
      <c r="H917" s="2" t="str">
        <f>IF(Iterations[[#This Row],[Step]] =current_step, current_b,IF(Iterations[[#This Row],[Step]] &gt; current_step, "",Iterations[[#This Row],[b]]))</f>
        <v/>
      </c>
      <c r="I917" s="2" t="str">
        <f>IF(Iterations[[#This Row],[Step]] =current_step, current_c,IF(Iterations[[#This Row],[Step]] &gt; current_step, "",Iterations[[#This Row],[c]]))</f>
        <v/>
      </c>
      <c r="J917" s="2" t="str">
        <f>IF(Iterations[[#This Row],[Step]] =current_step, current_d,IF(Iterations[[#This Row],[Step]] &gt; current_step, "",Iterations[[#This Row],[d]]))</f>
        <v/>
      </c>
      <c r="K917" s="2" t="str">
        <f>IF(Iterations[[#This Row],[Step]] =current_step, current_e,IF(Iterations[[#This Row],[Step]] &gt; current_step, "",Iterations[[#This Row],[e]]))</f>
        <v/>
      </c>
      <c r="L917" s="2" t="str">
        <f>IF(Iterations[[#This Row],[Step]] =current_step, current_Total_Loss,IF(Iterations[[#This Row],[Step]] &gt; current_step, "",Iterations[[#This Row],[Total Loss]]))</f>
        <v/>
      </c>
      <c r="M917" s="6" t="s">
        <v>27</v>
      </c>
      <c r="N917" s="2" t="str">
        <f>IF(Iterations[[#This Row],[Step]] =current_step, current_Grad_a,IF(Iterations[[#This Row],[Step]] &gt; current_step, "",Iterations[[#This Row],[Grad_a]]))</f>
        <v/>
      </c>
      <c r="O917" s="2" t="str">
        <f>IF(Iterations[[#This Row],[Step]] =current_step, current_Grad_b,IF(Iterations[[#This Row],[Step]] &gt; current_step, "",Iterations[[#This Row],[Grad_b]]))</f>
        <v/>
      </c>
      <c r="P917" s="2" t="str">
        <f>IF(Iterations[[#This Row],[Step]] =current_step, current_Grad_c,IF(Iterations[[#This Row],[Step]] &gt; current_step, "",Iterations[[#This Row],[Grad_c]]))</f>
        <v/>
      </c>
      <c r="Q917" s="2" t="str">
        <f>IF(Iterations[[#This Row],[Step]] =current_step, current_Grad_d,IF(Iterations[[#This Row],[Step]] &gt; current_step, "",Iterations[[#This Row],[Grad_d]]))</f>
        <v/>
      </c>
      <c r="R917" s="2" t="str">
        <f>IF(Iterations[[#This Row],[Step]] =current_step, current_Grad_e,IF(Iterations[[#This Row],[Step]] &gt; current_step, "",Iterations[[#This Row],[Grad_e]]))</f>
        <v/>
      </c>
    </row>
    <row r="918" spans="6:18" x14ac:dyDescent="0.3">
      <c r="F918" s="2">
        <f t="shared" si="16"/>
        <v>901</v>
      </c>
      <c r="G918" s="2" t="str">
        <f>IF(Iterations[[#This Row],[Step]] =current_step, current_a,IF(Iterations[[#This Row],[Step]] &gt; current_step, "",Iterations[[#This Row],[a]]))</f>
        <v/>
      </c>
      <c r="H918" s="2" t="str">
        <f>IF(Iterations[[#This Row],[Step]] =current_step, current_b,IF(Iterations[[#This Row],[Step]] &gt; current_step, "",Iterations[[#This Row],[b]]))</f>
        <v/>
      </c>
      <c r="I918" s="2" t="str">
        <f>IF(Iterations[[#This Row],[Step]] =current_step, current_c,IF(Iterations[[#This Row],[Step]] &gt; current_step, "",Iterations[[#This Row],[c]]))</f>
        <v/>
      </c>
      <c r="J918" s="2" t="str">
        <f>IF(Iterations[[#This Row],[Step]] =current_step, current_d,IF(Iterations[[#This Row],[Step]] &gt; current_step, "",Iterations[[#This Row],[d]]))</f>
        <v/>
      </c>
      <c r="K918" s="2" t="str">
        <f>IF(Iterations[[#This Row],[Step]] =current_step, current_e,IF(Iterations[[#This Row],[Step]] &gt; current_step, "",Iterations[[#This Row],[e]]))</f>
        <v/>
      </c>
      <c r="L918" s="2" t="str">
        <f>IF(Iterations[[#This Row],[Step]] =current_step, current_Total_Loss,IF(Iterations[[#This Row],[Step]] &gt; current_step, "",Iterations[[#This Row],[Total Loss]]))</f>
        <v/>
      </c>
      <c r="M918" s="6" t="s">
        <v>27</v>
      </c>
      <c r="N918" s="2" t="str">
        <f>IF(Iterations[[#This Row],[Step]] =current_step, current_Grad_a,IF(Iterations[[#This Row],[Step]] &gt; current_step, "",Iterations[[#This Row],[Grad_a]]))</f>
        <v/>
      </c>
      <c r="O918" s="2" t="str">
        <f>IF(Iterations[[#This Row],[Step]] =current_step, current_Grad_b,IF(Iterations[[#This Row],[Step]] &gt; current_step, "",Iterations[[#This Row],[Grad_b]]))</f>
        <v/>
      </c>
      <c r="P918" s="2" t="str">
        <f>IF(Iterations[[#This Row],[Step]] =current_step, current_Grad_c,IF(Iterations[[#This Row],[Step]] &gt; current_step, "",Iterations[[#This Row],[Grad_c]]))</f>
        <v/>
      </c>
      <c r="Q918" s="2" t="str">
        <f>IF(Iterations[[#This Row],[Step]] =current_step, current_Grad_d,IF(Iterations[[#This Row],[Step]] &gt; current_step, "",Iterations[[#This Row],[Grad_d]]))</f>
        <v/>
      </c>
      <c r="R918" s="2" t="str">
        <f>IF(Iterations[[#This Row],[Step]] =current_step, current_Grad_e,IF(Iterations[[#This Row],[Step]] &gt; current_step, "",Iterations[[#This Row],[Grad_e]]))</f>
        <v/>
      </c>
    </row>
    <row r="919" spans="6:18" x14ac:dyDescent="0.3">
      <c r="F919" s="2">
        <f t="shared" si="16"/>
        <v>902</v>
      </c>
      <c r="G919" s="2" t="str">
        <f>IF(Iterations[[#This Row],[Step]] =current_step, current_a,IF(Iterations[[#This Row],[Step]] &gt; current_step, "",Iterations[[#This Row],[a]]))</f>
        <v/>
      </c>
      <c r="H919" s="2" t="str">
        <f>IF(Iterations[[#This Row],[Step]] =current_step, current_b,IF(Iterations[[#This Row],[Step]] &gt; current_step, "",Iterations[[#This Row],[b]]))</f>
        <v/>
      </c>
      <c r="I919" s="2" t="str">
        <f>IF(Iterations[[#This Row],[Step]] =current_step, current_c,IF(Iterations[[#This Row],[Step]] &gt; current_step, "",Iterations[[#This Row],[c]]))</f>
        <v/>
      </c>
      <c r="J919" s="2" t="str">
        <f>IF(Iterations[[#This Row],[Step]] =current_step, current_d,IF(Iterations[[#This Row],[Step]] &gt; current_step, "",Iterations[[#This Row],[d]]))</f>
        <v/>
      </c>
      <c r="K919" s="2" t="str">
        <f>IF(Iterations[[#This Row],[Step]] =current_step, current_e,IF(Iterations[[#This Row],[Step]] &gt; current_step, "",Iterations[[#This Row],[e]]))</f>
        <v/>
      </c>
      <c r="L919" s="2" t="str">
        <f>IF(Iterations[[#This Row],[Step]] =current_step, current_Total_Loss,IF(Iterations[[#This Row],[Step]] &gt; current_step, "",Iterations[[#This Row],[Total Loss]]))</f>
        <v/>
      </c>
      <c r="M919" s="6" t="s">
        <v>27</v>
      </c>
      <c r="N919" s="2" t="str">
        <f>IF(Iterations[[#This Row],[Step]] =current_step, current_Grad_a,IF(Iterations[[#This Row],[Step]] &gt; current_step, "",Iterations[[#This Row],[Grad_a]]))</f>
        <v/>
      </c>
      <c r="O919" s="2" t="str">
        <f>IF(Iterations[[#This Row],[Step]] =current_step, current_Grad_b,IF(Iterations[[#This Row],[Step]] &gt; current_step, "",Iterations[[#This Row],[Grad_b]]))</f>
        <v/>
      </c>
      <c r="P919" s="2" t="str">
        <f>IF(Iterations[[#This Row],[Step]] =current_step, current_Grad_c,IF(Iterations[[#This Row],[Step]] &gt; current_step, "",Iterations[[#This Row],[Grad_c]]))</f>
        <v/>
      </c>
      <c r="Q919" s="2" t="str">
        <f>IF(Iterations[[#This Row],[Step]] =current_step, current_Grad_d,IF(Iterations[[#This Row],[Step]] &gt; current_step, "",Iterations[[#This Row],[Grad_d]]))</f>
        <v/>
      </c>
      <c r="R919" s="2" t="str">
        <f>IF(Iterations[[#This Row],[Step]] =current_step, current_Grad_e,IF(Iterations[[#This Row],[Step]] &gt; current_step, "",Iterations[[#This Row],[Grad_e]]))</f>
        <v/>
      </c>
    </row>
    <row r="920" spans="6:18" x14ac:dyDescent="0.3">
      <c r="F920" s="2">
        <f t="shared" si="16"/>
        <v>903</v>
      </c>
      <c r="G920" s="2" t="str">
        <f>IF(Iterations[[#This Row],[Step]] =current_step, current_a,IF(Iterations[[#This Row],[Step]] &gt; current_step, "",Iterations[[#This Row],[a]]))</f>
        <v/>
      </c>
      <c r="H920" s="2" t="str">
        <f>IF(Iterations[[#This Row],[Step]] =current_step, current_b,IF(Iterations[[#This Row],[Step]] &gt; current_step, "",Iterations[[#This Row],[b]]))</f>
        <v/>
      </c>
      <c r="I920" s="2" t="str">
        <f>IF(Iterations[[#This Row],[Step]] =current_step, current_c,IF(Iterations[[#This Row],[Step]] &gt; current_step, "",Iterations[[#This Row],[c]]))</f>
        <v/>
      </c>
      <c r="J920" s="2" t="str">
        <f>IF(Iterations[[#This Row],[Step]] =current_step, current_d,IF(Iterations[[#This Row],[Step]] &gt; current_step, "",Iterations[[#This Row],[d]]))</f>
        <v/>
      </c>
      <c r="K920" s="2" t="str">
        <f>IF(Iterations[[#This Row],[Step]] =current_step, current_e,IF(Iterations[[#This Row],[Step]] &gt; current_step, "",Iterations[[#This Row],[e]]))</f>
        <v/>
      </c>
      <c r="L920" s="2" t="str">
        <f>IF(Iterations[[#This Row],[Step]] =current_step, current_Total_Loss,IF(Iterations[[#This Row],[Step]] &gt; current_step, "",Iterations[[#This Row],[Total Loss]]))</f>
        <v/>
      </c>
      <c r="M920" s="6" t="s">
        <v>27</v>
      </c>
      <c r="N920" s="2" t="str">
        <f>IF(Iterations[[#This Row],[Step]] =current_step, current_Grad_a,IF(Iterations[[#This Row],[Step]] &gt; current_step, "",Iterations[[#This Row],[Grad_a]]))</f>
        <v/>
      </c>
      <c r="O920" s="2" t="str">
        <f>IF(Iterations[[#This Row],[Step]] =current_step, current_Grad_b,IF(Iterations[[#This Row],[Step]] &gt; current_step, "",Iterations[[#This Row],[Grad_b]]))</f>
        <v/>
      </c>
      <c r="P920" s="2" t="str">
        <f>IF(Iterations[[#This Row],[Step]] =current_step, current_Grad_c,IF(Iterations[[#This Row],[Step]] &gt; current_step, "",Iterations[[#This Row],[Grad_c]]))</f>
        <v/>
      </c>
      <c r="Q920" s="2" t="str">
        <f>IF(Iterations[[#This Row],[Step]] =current_step, current_Grad_d,IF(Iterations[[#This Row],[Step]] &gt; current_step, "",Iterations[[#This Row],[Grad_d]]))</f>
        <v/>
      </c>
      <c r="R920" s="2" t="str">
        <f>IF(Iterations[[#This Row],[Step]] =current_step, current_Grad_e,IF(Iterations[[#This Row],[Step]] &gt; current_step, "",Iterations[[#This Row],[Grad_e]]))</f>
        <v/>
      </c>
    </row>
    <row r="921" spans="6:18" x14ac:dyDescent="0.3">
      <c r="F921" s="2">
        <f t="shared" si="16"/>
        <v>904</v>
      </c>
      <c r="G921" s="2" t="str">
        <f>IF(Iterations[[#This Row],[Step]] =current_step, current_a,IF(Iterations[[#This Row],[Step]] &gt; current_step, "",Iterations[[#This Row],[a]]))</f>
        <v/>
      </c>
      <c r="H921" s="2" t="str">
        <f>IF(Iterations[[#This Row],[Step]] =current_step, current_b,IF(Iterations[[#This Row],[Step]] &gt; current_step, "",Iterations[[#This Row],[b]]))</f>
        <v/>
      </c>
      <c r="I921" s="2" t="str">
        <f>IF(Iterations[[#This Row],[Step]] =current_step, current_c,IF(Iterations[[#This Row],[Step]] &gt; current_step, "",Iterations[[#This Row],[c]]))</f>
        <v/>
      </c>
      <c r="J921" s="2" t="str">
        <f>IF(Iterations[[#This Row],[Step]] =current_step, current_d,IF(Iterations[[#This Row],[Step]] &gt; current_step, "",Iterations[[#This Row],[d]]))</f>
        <v/>
      </c>
      <c r="K921" s="2" t="str">
        <f>IF(Iterations[[#This Row],[Step]] =current_step, current_e,IF(Iterations[[#This Row],[Step]] &gt; current_step, "",Iterations[[#This Row],[e]]))</f>
        <v/>
      </c>
      <c r="L921" s="2" t="str">
        <f>IF(Iterations[[#This Row],[Step]] =current_step, current_Total_Loss,IF(Iterations[[#This Row],[Step]] &gt; current_step, "",Iterations[[#This Row],[Total Loss]]))</f>
        <v/>
      </c>
      <c r="M921" s="6" t="s">
        <v>27</v>
      </c>
      <c r="N921" s="2" t="str">
        <f>IF(Iterations[[#This Row],[Step]] =current_step, current_Grad_a,IF(Iterations[[#This Row],[Step]] &gt; current_step, "",Iterations[[#This Row],[Grad_a]]))</f>
        <v/>
      </c>
      <c r="O921" s="2" t="str">
        <f>IF(Iterations[[#This Row],[Step]] =current_step, current_Grad_b,IF(Iterations[[#This Row],[Step]] &gt; current_step, "",Iterations[[#This Row],[Grad_b]]))</f>
        <v/>
      </c>
      <c r="P921" s="2" t="str">
        <f>IF(Iterations[[#This Row],[Step]] =current_step, current_Grad_c,IF(Iterations[[#This Row],[Step]] &gt; current_step, "",Iterations[[#This Row],[Grad_c]]))</f>
        <v/>
      </c>
      <c r="Q921" s="2" t="str">
        <f>IF(Iterations[[#This Row],[Step]] =current_step, current_Grad_d,IF(Iterations[[#This Row],[Step]] &gt; current_step, "",Iterations[[#This Row],[Grad_d]]))</f>
        <v/>
      </c>
      <c r="R921" s="2" t="str">
        <f>IF(Iterations[[#This Row],[Step]] =current_step, current_Grad_e,IF(Iterations[[#This Row],[Step]] &gt; current_step, "",Iterations[[#This Row],[Grad_e]]))</f>
        <v/>
      </c>
    </row>
    <row r="922" spans="6:18" x14ac:dyDescent="0.3">
      <c r="F922" s="2">
        <f t="shared" si="16"/>
        <v>905</v>
      </c>
      <c r="G922" s="2" t="str">
        <f>IF(Iterations[[#This Row],[Step]] =current_step, current_a,IF(Iterations[[#This Row],[Step]] &gt; current_step, "",Iterations[[#This Row],[a]]))</f>
        <v/>
      </c>
      <c r="H922" s="2" t="str">
        <f>IF(Iterations[[#This Row],[Step]] =current_step, current_b,IF(Iterations[[#This Row],[Step]] &gt; current_step, "",Iterations[[#This Row],[b]]))</f>
        <v/>
      </c>
      <c r="I922" s="2" t="str">
        <f>IF(Iterations[[#This Row],[Step]] =current_step, current_c,IF(Iterations[[#This Row],[Step]] &gt; current_step, "",Iterations[[#This Row],[c]]))</f>
        <v/>
      </c>
      <c r="J922" s="2" t="str">
        <f>IF(Iterations[[#This Row],[Step]] =current_step, current_d,IF(Iterations[[#This Row],[Step]] &gt; current_step, "",Iterations[[#This Row],[d]]))</f>
        <v/>
      </c>
      <c r="K922" s="2" t="str">
        <f>IF(Iterations[[#This Row],[Step]] =current_step, current_e,IF(Iterations[[#This Row],[Step]] &gt; current_step, "",Iterations[[#This Row],[e]]))</f>
        <v/>
      </c>
      <c r="L922" s="2" t="str">
        <f>IF(Iterations[[#This Row],[Step]] =current_step, current_Total_Loss,IF(Iterations[[#This Row],[Step]] &gt; current_step, "",Iterations[[#This Row],[Total Loss]]))</f>
        <v/>
      </c>
      <c r="M922" s="6" t="s">
        <v>27</v>
      </c>
      <c r="N922" s="2" t="str">
        <f>IF(Iterations[[#This Row],[Step]] =current_step, current_Grad_a,IF(Iterations[[#This Row],[Step]] &gt; current_step, "",Iterations[[#This Row],[Grad_a]]))</f>
        <v/>
      </c>
      <c r="O922" s="2" t="str">
        <f>IF(Iterations[[#This Row],[Step]] =current_step, current_Grad_b,IF(Iterations[[#This Row],[Step]] &gt; current_step, "",Iterations[[#This Row],[Grad_b]]))</f>
        <v/>
      </c>
      <c r="P922" s="2" t="str">
        <f>IF(Iterations[[#This Row],[Step]] =current_step, current_Grad_c,IF(Iterations[[#This Row],[Step]] &gt; current_step, "",Iterations[[#This Row],[Grad_c]]))</f>
        <v/>
      </c>
      <c r="Q922" s="2" t="str">
        <f>IF(Iterations[[#This Row],[Step]] =current_step, current_Grad_d,IF(Iterations[[#This Row],[Step]] &gt; current_step, "",Iterations[[#This Row],[Grad_d]]))</f>
        <v/>
      </c>
      <c r="R922" s="2" t="str">
        <f>IF(Iterations[[#This Row],[Step]] =current_step, current_Grad_e,IF(Iterations[[#This Row],[Step]] &gt; current_step, "",Iterations[[#This Row],[Grad_e]]))</f>
        <v/>
      </c>
    </row>
    <row r="923" spans="6:18" x14ac:dyDescent="0.3">
      <c r="F923" s="2">
        <f t="shared" si="16"/>
        <v>906</v>
      </c>
      <c r="G923" s="2" t="str">
        <f>IF(Iterations[[#This Row],[Step]] =current_step, current_a,IF(Iterations[[#This Row],[Step]] &gt; current_step, "",Iterations[[#This Row],[a]]))</f>
        <v/>
      </c>
      <c r="H923" s="2" t="str">
        <f>IF(Iterations[[#This Row],[Step]] =current_step, current_b,IF(Iterations[[#This Row],[Step]] &gt; current_step, "",Iterations[[#This Row],[b]]))</f>
        <v/>
      </c>
      <c r="I923" s="2" t="str">
        <f>IF(Iterations[[#This Row],[Step]] =current_step, current_c,IF(Iterations[[#This Row],[Step]] &gt; current_step, "",Iterations[[#This Row],[c]]))</f>
        <v/>
      </c>
      <c r="J923" s="2" t="str">
        <f>IF(Iterations[[#This Row],[Step]] =current_step, current_d,IF(Iterations[[#This Row],[Step]] &gt; current_step, "",Iterations[[#This Row],[d]]))</f>
        <v/>
      </c>
      <c r="K923" s="2" t="str">
        <f>IF(Iterations[[#This Row],[Step]] =current_step, current_e,IF(Iterations[[#This Row],[Step]] &gt; current_step, "",Iterations[[#This Row],[e]]))</f>
        <v/>
      </c>
      <c r="L923" s="2" t="str">
        <f>IF(Iterations[[#This Row],[Step]] =current_step, current_Total_Loss,IF(Iterations[[#This Row],[Step]] &gt; current_step, "",Iterations[[#This Row],[Total Loss]]))</f>
        <v/>
      </c>
      <c r="M923" s="6" t="s">
        <v>27</v>
      </c>
      <c r="N923" s="2" t="str">
        <f>IF(Iterations[[#This Row],[Step]] =current_step, current_Grad_a,IF(Iterations[[#This Row],[Step]] &gt; current_step, "",Iterations[[#This Row],[Grad_a]]))</f>
        <v/>
      </c>
      <c r="O923" s="2" t="str">
        <f>IF(Iterations[[#This Row],[Step]] =current_step, current_Grad_b,IF(Iterations[[#This Row],[Step]] &gt; current_step, "",Iterations[[#This Row],[Grad_b]]))</f>
        <v/>
      </c>
      <c r="P923" s="2" t="str">
        <f>IF(Iterations[[#This Row],[Step]] =current_step, current_Grad_c,IF(Iterations[[#This Row],[Step]] &gt; current_step, "",Iterations[[#This Row],[Grad_c]]))</f>
        <v/>
      </c>
      <c r="Q923" s="2" t="str">
        <f>IF(Iterations[[#This Row],[Step]] =current_step, current_Grad_d,IF(Iterations[[#This Row],[Step]] &gt; current_step, "",Iterations[[#This Row],[Grad_d]]))</f>
        <v/>
      </c>
      <c r="R923" s="2" t="str">
        <f>IF(Iterations[[#This Row],[Step]] =current_step, current_Grad_e,IF(Iterations[[#This Row],[Step]] &gt; current_step, "",Iterations[[#This Row],[Grad_e]]))</f>
        <v/>
      </c>
    </row>
    <row r="924" spans="6:18" x14ac:dyDescent="0.3">
      <c r="F924" s="2">
        <f t="shared" si="16"/>
        <v>907</v>
      </c>
      <c r="G924" s="2" t="str">
        <f>IF(Iterations[[#This Row],[Step]] =current_step, current_a,IF(Iterations[[#This Row],[Step]] &gt; current_step, "",Iterations[[#This Row],[a]]))</f>
        <v/>
      </c>
      <c r="H924" s="2" t="str">
        <f>IF(Iterations[[#This Row],[Step]] =current_step, current_b,IF(Iterations[[#This Row],[Step]] &gt; current_step, "",Iterations[[#This Row],[b]]))</f>
        <v/>
      </c>
      <c r="I924" s="2" t="str">
        <f>IF(Iterations[[#This Row],[Step]] =current_step, current_c,IF(Iterations[[#This Row],[Step]] &gt; current_step, "",Iterations[[#This Row],[c]]))</f>
        <v/>
      </c>
      <c r="J924" s="2" t="str">
        <f>IF(Iterations[[#This Row],[Step]] =current_step, current_d,IF(Iterations[[#This Row],[Step]] &gt; current_step, "",Iterations[[#This Row],[d]]))</f>
        <v/>
      </c>
      <c r="K924" s="2" t="str">
        <f>IF(Iterations[[#This Row],[Step]] =current_step, current_e,IF(Iterations[[#This Row],[Step]] &gt; current_step, "",Iterations[[#This Row],[e]]))</f>
        <v/>
      </c>
      <c r="L924" s="2" t="str">
        <f>IF(Iterations[[#This Row],[Step]] =current_step, current_Total_Loss,IF(Iterations[[#This Row],[Step]] &gt; current_step, "",Iterations[[#This Row],[Total Loss]]))</f>
        <v/>
      </c>
      <c r="M924" s="6" t="s">
        <v>27</v>
      </c>
      <c r="N924" s="2" t="str">
        <f>IF(Iterations[[#This Row],[Step]] =current_step, current_Grad_a,IF(Iterations[[#This Row],[Step]] &gt; current_step, "",Iterations[[#This Row],[Grad_a]]))</f>
        <v/>
      </c>
      <c r="O924" s="2" t="str">
        <f>IF(Iterations[[#This Row],[Step]] =current_step, current_Grad_b,IF(Iterations[[#This Row],[Step]] &gt; current_step, "",Iterations[[#This Row],[Grad_b]]))</f>
        <v/>
      </c>
      <c r="P924" s="2" t="str">
        <f>IF(Iterations[[#This Row],[Step]] =current_step, current_Grad_c,IF(Iterations[[#This Row],[Step]] &gt; current_step, "",Iterations[[#This Row],[Grad_c]]))</f>
        <v/>
      </c>
      <c r="Q924" s="2" t="str">
        <f>IF(Iterations[[#This Row],[Step]] =current_step, current_Grad_d,IF(Iterations[[#This Row],[Step]] &gt; current_step, "",Iterations[[#This Row],[Grad_d]]))</f>
        <v/>
      </c>
      <c r="R924" s="2" t="str">
        <f>IF(Iterations[[#This Row],[Step]] =current_step, current_Grad_e,IF(Iterations[[#This Row],[Step]] &gt; current_step, "",Iterations[[#This Row],[Grad_e]]))</f>
        <v/>
      </c>
    </row>
    <row r="925" spans="6:18" x14ac:dyDescent="0.3">
      <c r="F925" s="2">
        <f t="shared" si="16"/>
        <v>908</v>
      </c>
      <c r="G925" s="2" t="str">
        <f>IF(Iterations[[#This Row],[Step]] =current_step, current_a,IF(Iterations[[#This Row],[Step]] &gt; current_step, "",Iterations[[#This Row],[a]]))</f>
        <v/>
      </c>
      <c r="H925" s="2" t="str">
        <f>IF(Iterations[[#This Row],[Step]] =current_step, current_b,IF(Iterations[[#This Row],[Step]] &gt; current_step, "",Iterations[[#This Row],[b]]))</f>
        <v/>
      </c>
      <c r="I925" s="2" t="str">
        <f>IF(Iterations[[#This Row],[Step]] =current_step, current_c,IF(Iterations[[#This Row],[Step]] &gt; current_step, "",Iterations[[#This Row],[c]]))</f>
        <v/>
      </c>
      <c r="J925" s="2" t="str">
        <f>IF(Iterations[[#This Row],[Step]] =current_step, current_d,IF(Iterations[[#This Row],[Step]] &gt; current_step, "",Iterations[[#This Row],[d]]))</f>
        <v/>
      </c>
      <c r="K925" s="2" t="str">
        <f>IF(Iterations[[#This Row],[Step]] =current_step, current_e,IF(Iterations[[#This Row],[Step]] &gt; current_step, "",Iterations[[#This Row],[e]]))</f>
        <v/>
      </c>
      <c r="L925" s="2" t="str">
        <f>IF(Iterations[[#This Row],[Step]] =current_step, current_Total_Loss,IF(Iterations[[#This Row],[Step]] &gt; current_step, "",Iterations[[#This Row],[Total Loss]]))</f>
        <v/>
      </c>
      <c r="M925" s="6" t="s">
        <v>27</v>
      </c>
      <c r="N925" s="2" t="str">
        <f>IF(Iterations[[#This Row],[Step]] =current_step, current_Grad_a,IF(Iterations[[#This Row],[Step]] &gt; current_step, "",Iterations[[#This Row],[Grad_a]]))</f>
        <v/>
      </c>
      <c r="O925" s="2" t="str">
        <f>IF(Iterations[[#This Row],[Step]] =current_step, current_Grad_b,IF(Iterations[[#This Row],[Step]] &gt; current_step, "",Iterations[[#This Row],[Grad_b]]))</f>
        <v/>
      </c>
      <c r="P925" s="2" t="str">
        <f>IF(Iterations[[#This Row],[Step]] =current_step, current_Grad_c,IF(Iterations[[#This Row],[Step]] &gt; current_step, "",Iterations[[#This Row],[Grad_c]]))</f>
        <v/>
      </c>
      <c r="Q925" s="2" t="str">
        <f>IF(Iterations[[#This Row],[Step]] =current_step, current_Grad_d,IF(Iterations[[#This Row],[Step]] &gt; current_step, "",Iterations[[#This Row],[Grad_d]]))</f>
        <v/>
      </c>
      <c r="R925" s="2" t="str">
        <f>IF(Iterations[[#This Row],[Step]] =current_step, current_Grad_e,IF(Iterations[[#This Row],[Step]] &gt; current_step, "",Iterations[[#This Row],[Grad_e]]))</f>
        <v/>
      </c>
    </row>
    <row r="926" spans="6:18" x14ac:dyDescent="0.3">
      <c r="F926" s="2">
        <f t="shared" si="16"/>
        <v>909</v>
      </c>
      <c r="G926" s="2" t="str">
        <f>IF(Iterations[[#This Row],[Step]] =current_step, current_a,IF(Iterations[[#This Row],[Step]] &gt; current_step, "",Iterations[[#This Row],[a]]))</f>
        <v/>
      </c>
      <c r="H926" s="2" t="str">
        <f>IF(Iterations[[#This Row],[Step]] =current_step, current_b,IF(Iterations[[#This Row],[Step]] &gt; current_step, "",Iterations[[#This Row],[b]]))</f>
        <v/>
      </c>
      <c r="I926" s="2" t="str">
        <f>IF(Iterations[[#This Row],[Step]] =current_step, current_c,IF(Iterations[[#This Row],[Step]] &gt; current_step, "",Iterations[[#This Row],[c]]))</f>
        <v/>
      </c>
      <c r="J926" s="2" t="str">
        <f>IF(Iterations[[#This Row],[Step]] =current_step, current_d,IF(Iterations[[#This Row],[Step]] &gt; current_step, "",Iterations[[#This Row],[d]]))</f>
        <v/>
      </c>
      <c r="K926" s="2" t="str">
        <f>IF(Iterations[[#This Row],[Step]] =current_step, current_e,IF(Iterations[[#This Row],[Step]] &gt; current_step, "",Iterations[[#This Row],[e]]))</f>
        <v/>
      </c>
      <c r="L926" s="2" t="str">
        <f>IF(Iterations[[#This Row],[Step]] =current_step, current_Total_Loss,IF(Iterations[[#This Row],[Step]] &gt; current_step, "",Iterations[[#This Row],[Total Loss]]))</f>
        <v/>
      </c>
      <c r="M926" s="6" t="s">
        <v>27</v>
      </c>
      <c r="N926" s="2" t="str">
        <f>IF(Iterations[[#This Row],[Step]] =current_step, current_Grad_a,IF(Iterations[[#This Row],[Step]] &gt; current_step, "",Iterations[[#This Row],[Grad_a]]))</f>
        <v/>
      </c>
      <c r="O926" s="2" t="str">
        <f>IF(Iterations[[#This Row],[Step]] =current_step, current_Grad_b,IF(Iterations[[#This Row],[Step]] &gt; current_step, "",Iterations[[#This Row],[Grad_b]]))</f>
        <v/>
      </c>
      <c r="P926" s="2" t="str">
        <f>IF(Iterations[[#This Row],[Step]] =current_step, current_Grad_c,IF(Iterations[[#This Row],[Step]] &gt; current_step, "",Iterations[[#This Row],[Grad_c]]))</f>
        <v/>
      </c>
      <c r="Q926" s="2" t="str">
        <f>IF(Iterations[[#This Row],[Step]] =current_step, current_Grad_d,IF(Iterations[[#This Row],[Step]] &gt; current_step, "",Iterations[[#This Row],[Grad_d]]))</f>
        <v/>
      </c>
      <c r="R926" s="2" t="str">
        <f>IF(Iterations[[#This Row],[Step]] =current_step, current_Grad_e,IF(Iterations[[#This Row],[Step]] &gt; current_step, "",Iterations[[#This Row],[Grad_e]]))</f>
        <v/>
      </c>
    </row>
    <row r="927" spans="6:18" x14ac:dyDescent="0.3">
      <c r="F927" s="2">
        <f t="shared" si="16"/>
        <v>910</v>
      </c>
      <c r="G927" s="2" t="str">
        <f>IF(Iterations[[#This Row],[Step]] =current_step, current_a,IF(Iterations[[#This Row],[Step]] &gt; current_step, "",Iterations[[#This Row],[a]]))</f>
        <v/>
      </c>
      <c r="H927" s="2" t="str">
        <f>IF(Iterations[[#This Row],[Step]] =current_step, current_b,IF(Iterations[[#This Row],[Step]] &gt; current_step, "",Iterations[[#This Row],[b]]))</f>
        <v/>
      </c>
      <c r="I927" s="2" t="str">
        <f>IF(Iterations[[#This Row],[Step]] =current_step, current_c,IF(Iterations[[#This Row],[Step]] &gt; current_step, "",Iterations[[#This Row],[c]]))</f>
        <v/>
      </c>
      <c r="J927" s="2" t="str">
        <f>IF(Iterations[[#This Row],[Step]] =current_step, current_d,IF(Iterations[[#This Row],[Step]] &gt; current_step, "",Iterations[[#This Row],[d]]))</f>
        <v/>
      </c>
      <c r="K927" s="2" t="str">
        <f>IF(Iterations[[#This Row],[Step]] =current_step, current_e,IF(Iterations[[#This Row],[Step]] &gt; current_step, "",Iterations[[#This Row],[e]]))</f>
        <v/>
      </c>
      <c r="L927" s="2" t="str">
        <f>IF(Iterations[[#This Row],[Step]] =current_step, current_Total_Loss,IF(Iterations[[#This Row],[Step]] &gt; current_step, "",Iterations[[#This Row],[Total Loss]]))</f>
        <v/>
      </c>
      <c r="M927" s="6" t="s">
        <v>27</v>
      </c>
      <c r="N927" s="2" t="str">
        <f>IF(Iterations[[#This Row],[Step]] =current_step, current_Grad_a,IF(Iterations[[#This Row],[Step]] &gt; current_step, "",Iterations[[#This Row],[Grad_a]]))</f>
        <v/>
      </c>
      <c r="O927" s="2" t="str">
        <f>IF(Iterations[[#This Row],[Step]] =current_step, current_Grad_b,IF(Iterations[[#This Row],[Step]] &gt; current_step, "",Iterations[[#This Row],[Grad_b]]))</f>
        <v/>
      </c>
      <c r="P927" s="2" t="str">
        <f>IF(Iterations[[#This Row],[Step]] =current_step, current_Grad_c,IF(Iterations[[#This Row],[Step]] &gt; current_step, "",Iterations[[#This Row],[Grad_c]]))</f>
        <v/>
      </c>
      <c r="Q927" s="2" t="str">
        <f>IF(Iterations[[#This Row],[Step]] =current_step, current_Grad_d,IF(Iterations[[#This Row],[Step]] &gt; current_step, "",Iterations[[#This Row],[Grad_d]]))</f>
        <v/>
      </c>
      <c r="R927" s="2" t="str">
        <f>IF(Iterations[[#This Row],[Step]] =current_step, current_Grad_e,IF(Iterations[[#This Row],[Step]] &gt; current_step, "",Iterations[[#This Row],[Grad_e]]))</f>
        <v/>
      </c>
    </row>
    <row r="928" spans="6:18" x14ac:dyDescent="0.3">
      <c r="F928" s="2">
        <f t="shared" si="16"/>
        <v>911</v>
      </c>
      <c r="G928" s="2" t="str">
        <f>IF(Iterations[[#This Row],[Step]] =current_step, current_a,IF(Iterations[[#This Row],[Step]] &gt; current_step, "",Iterations[[#This Row],[a]]))</f>
        <v/>
      </c>
      <c r="H928" s="2" t="str">
        <f>IF(Iterations[[#This Row],[Step]] =current_step, current_b,IF(Iterations[[#This Row],[Step]] &gt; current_step, "",Iterations[[#This Row],[b]]))</f>
        <v/>
      </c>
      <c r="I928" s="2" t="str">
        <f>IF(Iterations[[#This Row],[Step]] =current_step, current_c,IF(Iterations[[#This Row],[Step]] &gt; current_step, "",Iterations[[#This Row],[c]]))</f>
        <v/>
      </c>
      <c r="J928" s="2" t="str">
        <f>IF(Iterations[[#This Row],[Step]] =current_step, current_d,IF(Iterations[[#This Row],[Step]] &gt; current_step, "",Iterations[[#This Row],[d]]))</f>
        <v/>
      </c>
      <c r="K928" s="2" t="str">
        <f>IF(Iterations[[#This Row],[Step]] =current_step, current_e,IF(Iterations[[#This Row],[Step]] &gt; current_step, "",Iterations[[#This Row],[e]]))</f>
        <v/>
      </c>
      <c r="L928" s="2" t="str">
        <f>IF(Iterations[[#This Row],[Step]] =current_step, current_Total_Loss,IF(Iterations[[#This Row],[Step]] &gt; current_step, "",Iterations[[#This Row],[Total Loss]]))</f>
        <v/>
      </c>
      <c r="M928" s="6" t="s">
        <v>27</v>
      </c>
      <c r="N928" s="2" t="str">
        <f>IF(Iterations[[#This Row],[Step]] =current_step, current_Grad_a,IF(Iterations[[#This Row],[Step]] &gt; current_step, "",Iterations[[#This Row],[Grad_a]]))</f>
        <v/>
      </c>
      <c r="O928" s="2" t="str">
        <f>IF(Iterations[[#This Row],[Step]] =current_step, current_Grad_b,IF(Iterations[[#This Row],[Step]] &gt; current_step, "",Iterations[[#This Row],[Grad_b]]))</f>
        <v/>
      </c>
      <c r="P928" s="2" t="str">
        <f>IF(Iterations[[#This Row],[Step]] =current_step, current_Grad_c,IF(Iterations[[#This Row],[Step]] &gt; current_step, "",Iterations[[#This Row],[Grad_c]]))</f>
        <v/>
      </c>
      <c r="Q928" s="2" t="str">
        <f>IF(Iterations[[#This Row],[Step]] =current_step, current_Grad_d,IF(Iterations[[#This Row],[Step]] &gt; current_step, "",Iterations[[#This Row],[Grad_d]]))</f>
        <v/>
      </c>
      <c r="R928" s="2" t="str">
        <f>IF(Iterations[[#This Row],[Step]] =current_step, current_Grad_e,IF(Iterations[[#This Row],[Step]] &gt; current_step, "",Iterations[[#This Row],[Grad_e]]))</f>
        <v/>
      </c>
    </row>
    <row r="929" spans="6:18" x14ac:dyDescent="0.3">
      <c r="F929" s="2">
        <f t="shared" si="16"/>
        <v>912</v>
      </c>
      <c r="G929" s="2" t="str">
        <f>IF(Iterations[[#This Row],[Step]] =current_step, current_a,IF(Iterations[[#This Row],[Step]] &gt; current_step, "",Iterations[[#This Row],[a]]))</f>
        <v/>
      </c>
      <c r="H929" s="2" t="str">
        <f>IF(Iterations[[#This Row],[Step]] =current_step, current_b,IF(Iterations[[#This Row],[Step]] &gt; current_step, "",Iterations[[#This Row],[b]]))</f>
        <v/>
      </c>
      <c r="I929" s="2" t="str">
        <f>IF(Iterations[[#This Row],[Step]] =current_step, current_c,IF(Iterations[[#This Row],[Step]] &gt; current_step, "",Iterations[[#This Row],[c]]))</f>
        <v/>
      </c>
      <c r="J929" s="2" t="str">
        <f>IF(Iterations[[#This Row],[Step]] =current_step, current_d,IF(Iterations[[#This Row],[Step]] &gt; current_step, "",Iterations[[#This Row],[d]]))</f>
        <v/>
      </c>
      <c r="K929" s="2" t="str">
        <f>IF(Iterations[[#This Row],[Step]] =current_step, current_e,IF(Iterations[[#This Row],[Step]] &gt; current_step, "",Iterations[[#This Row],[e]]))</f>
        <v/>
      </c>
      <c r="L929" s="2" t="str">
        <f>IF(Iterations[[#This Row],[Step]] =current_step, current_Total_Loss,IF(Iterations[[#This Row],[Step]] &gt; current_step, "",Iterations[[#This Row],[Total Loss]]))</f>
        <v/>
      </c>
      <c r="M929" s="6" t="s">
        <v>27</v>
      </c>
      <c r="N929" s="2" t="str">
        <f>IF(Iterations[[#This Row],[Step]] =current_step, current_Grad_a,IF(Iterations[[#This Row],[Step]] &gt; current_step, "",Iterations[[#This Row],[Grad_a]]))</f>
        <v/>
      </c>
      <c r="O929" s="2" t="str">
        <f>IF(Iterations[[#This Row],[Step]] =current_step, current_Grad_b,IF(Iterations[[#This Row],[Step]] &gt; current_step, "",Iterations[[#This Row],[Grad_b]]))</f>
        <v/>
      </c>
      <c r="P929" s="2" t="str">
        <f>IF(Iterations[[#This Row],[Step]] =current_step, current_Grad_c,IF(Iterations[[#This Row],[Step]] &gt; current_step, "",Iterations[[#This Row],[Grad_c]]))</f>
        <v/>
      </c>
      <c r="Q929" s="2" t="str">
        <f>IF(Iterations[[#This Row],[Step]] =current_step, current_Grad_d,IF(Iterations[[#This Row],[Step]] &gt; current_step, "",Iterations[[#This Row],[Grad_d]]))</f>
        <v/>
      </c>
      <c r="R929" s="2" t="str">
        <f>IF(Iterations[[#This Row],[Step]] =current_step, current_Grad_e,IF(Iterations[[#This Row],[Step]] &gt; current_step, "",Iterations[[#This Row],[Grad_e]]))</f>
        <v/>
      </c>
    </row>
    <row r="930" spans="6:18" x14ac:dyDescent="0.3">
      <c r="F930" s="2">
        <f t="shared" si="16"/>
        <v>913</v>
      </c>
      <c r="G930" s="2" t="str">
        <f>IF(Iterations[[#This Row],[Step]] =current_step, current_a,IF(Iterations[[#This Row],[Step]] &gt; current_step, "",Iterations[[#This Row],[a]]))</f>
        <v/>
      </c>
      <c r="H930" s="2" t="str">
        <f>IF(Iterations[[#This Row],[Step]] =current_step, current_b,IF(Iterations[[#This Row],[Step]] &gt; current_step, "",Iterations[[#This Row],[b]]))</f>
        <v/>
      </c>
      <c r="I930" s="2" t="str">
        <f>IF(Iterations[[#This Row],[Step]] =current_step, current_c,IF(Iterations[[#This Row],[Step]] &gt; current_step, "",Iterations[[#This Row],[c]]))</f>
        <v/>
      </c>
      <c r="J930" s="2" t="str">
        <f>IF(Iterations[[#This Row],[Step]] =current_step, current_d,IF(Iterations[[#This Row],[Step]] &gt; current_step, "",Iterations[[#This Row],[d]]))</f>
        <v/>
      </c>
      <c r="K930" s="2" t="str">
        <f>IF(Iterations[[#This Row],[Step]] =current_step, current_e,IF(Iterations[[#This Row],[Step]] &gt; current_step, "",Iterations[[#This Row],[e]]))</f>
        <v/>
      </c>
      <c r="L930" s="2" t="str">
        <f>IF(Iterations[[#This Row],[Step]] =current_step, current_Total_Loss,IF(Iterations[[#This Row],[Step]] &gt; current_step, "",Iterations[[#This Row],[Total Loss]]))</f>
        <v/>
      </c>
      <c r="M930" s="6" t="s">
        <v>27</v>
      </c>
      <c r="N930" s="2" t="str">
        <f>IF(Iterations[[#This Row],[Step]] =current_step, current_Grad_a,IF(Iterations[[#This Row],[Step]] &gt; current_step, "",Iterations[[#This Row],[Grad_a]]))</f>
        <v/>
      </c>
      <c r="O930" s="2" t="str">
        <f>IF(Iterations[[#This Row],[Step]] =current_step, current_Grad_b,IF(Iterations[[#This Row],[Step]] &gt; current_step, "",Iterations[[#This Row],[Grad_b]]))</f>
        <v/>
      </c>
      <c r="P930" s="2" t="str">
        <f>IF(Iterations[[#This Row],[Step]] =current_step, current_Grad_c,IF(Iterations[[#This Row],[Step]] &gt; current_step, "",Iterations[[#This Row],[Grad_c]]))</f>
        <v/>
      </c>
      <c r="Q930" s="2" t="str">
        <f>IF(Iterations[[#This Row],[Step]] =current_step, current_Grad_d,IF(Iterations[[#This Row],[Step]] &gt; current_step, "",Iterations[[#This Row],[Grad_d]]))</f>
        <v/>
      </c>
      <c r="R930" s="2" t="str">
        <f>IF(Iterations[[#This Row],[Step]] =current_step, current_Grad_e,IF(Iterations[[#This Row],[Step]] &gt; current_step, "",Iterations[[#This Row],[Grad_e]]))</f>
        <v/>
      </c>
    </row>
    <row r="931" spans="6:18" x14ac:dyDescent="0.3">
      <c r="F931" s="2">
        <f t="shared" si="16"/>
        <v>914</v>
      </c>
      <c r="G931" s="2" t="str">
        <f>IF(Iterations[[#This Row],[Step]] =current_step, current_a,IF(Iterations[[#This Row],[Step]] &gt; current_step, "",Iterations[[#This Row],[a]]))</f>
        <v/>
      </c>
      <c r="H931" s="2" t="str">
        <f>IF(Iterations[[#This Row],[Step]] =current_step, current_b,IF(Iterations[[#This Row],[Step]] &gt; current_step, "",Iterations[[#This Row],[b]]))</f>
        <v/>
      </c>
      <c r="I931" s="2" t="str">
        <f>IF(Iterations[[#This Row],[Step]] =current_step, current_c,IF(Iterations[[#This Row],[Step]] &gt; current_step, "",Iterations[[#This Row],[c]]))</f>
        <v/>
      </c>
      <c r="J931" s="2" t="str">
        <f>IF(Iterations[[#This Row],[Step]] =current_step, current_d,IF(Iterations[[#This Row],[Step]] &gt; current_step, "",Iterations[[#This Row],[d]]))</f>
        <v/>
      </c>
      <c r="K931" s="2" t="str">
        <f>IF(Iterations[[#This Row],[Step]] =current_step, current_e,IF(Iterations[[#This Row],[Step]] &gt; current_step, "",Iterations[[#This Row],[e]]))</f>
        <v/>
      </c>
      <c r="L931" s="2" t="str">
        <f>IF(Iterations[[#This Row],[Step]] =current_step, current_Total_Loss,IF(Iterations[[#This Row],[Step]] &gt; current_step, "",Iterations[[#This Row],[Total Loss]]))</f>
        <v/>
      </c>
      <c r="M931" s="6" t="s">
        <v>27</v>
      </c>
      <c r="N931" s="2" t="str">
        <f>IF(Iterations[[#This Row],[Step]] =current_step, current_Grad_a,IF(Iterations[[#This Row],[Step]] &gt; current_step, "",Iterations[[#This Row],[Grad_a]]))</f>
        <v/>
      </c>
      <c r="O931" s="2" t="str">
        <f>IF(Iterations[[#This Row],[Step]] =current_step, current_Grad_b,IF(Iterations[[#This Row],[Step]] &gt; current_step, "",Iterations[[#This Row],[Grad_b]]))</f>
        <v/>
      </c>
      <c r="P931" s="2" t="str">
        <f>IF(Iterations[[#This Row],[Step]] =current_step, current_Grad_c,IF(Iterations[[#This Row],[Step]] &gt; current_step, "",Iterations[[#This Row],[Grad_c]]))</f>
        <v/>
      </c>
      <c r="Q931" s="2" t="str">
        <f>IF(Iterations[[#This Row],[Step]] =current_step, current_Grad_d,IF(Iterations[[#This Row],[Step]] &gt; current_step, "",Iterations[[#This Row],[Grad_d]]))</f>
        <v/>
      </c>
      <c r="R931" s="2" t="str">
        <f>IF(Iterations[[#This Row],[Step]] =current_step, current_Grad_e,IF(Iterations[[#This Row],[Step]] &gt; current_step, "",Iterations[[#This Row],[Grad_e]]))</f>
        <v/>
      </c>
    </row>
    <row r="932" spans="6:18" x14ac:dyDescent="0.3">
      <c r="F932" s="2">
        <f t="shared" si="16"/>
        <v>915</v>
      </c>
      <c r="G932" s="2" t="str">
        <f>IF(Iterations[[#This Row],[Step]] =current_step, current_a,IF(Iterations[[#This Row],[Step]] &gt; current_step, "",Iterations[[#This Row],[a]]))</f>
        <v/>
      </c>
      <c r="H932" s="2" t="str">
        <f>IF(Iterations[[#This Row],[Step]] =current_step, current_b,IF(Iterations[[#This Row],[Step]] &gt; current_step, "",Iterations[[#This Row],[b]]))</f>
        <v/>
      </c>
      <c r="I932" s="2" t="str">
        <f>IF(Iterations[[#This Row],[Step]] =current_step, current_c,IF(Iterations[[#This Row],[Step]] &gt; current_step, "",Iterations[[#This Row],[c]]))</f>
        <v/>
      </c>
      <c r="J932" s="2" t="str">
        <f>IF(Iterations[[#This Row],[Step]] =current_step, current_d,IF(Iterations[[#This Row],[Step]] &gt; current_step, "",Iterations[[#This Row],[d]]))</f>
        <v/>
      </c>
      <c r="K932" s="2" t="str">
        <f>IF(Iterations[[#This Row],[Step]] =current_step, current_e,IF(Iterations[[#This Row],[Step]] &gt; current_step, "",Iterations[[#This Row],[e]]))</f>
        <v/>
      </c>
      <c r="L932" s="2" t="str">
        <f>IF(Iterations[[#This Row],[Step]] =current_step, current_Total_Loss,IF(Iterations[[#This Row],[Step]] &gt; current_step, "",Iterations[[#This Row],[Total Loss]]))</f>
        <v/>
      </c>
      <c r="M932" s="6" t="s">
        <v>27</v>
      </c>
      <c r="N932" s="2" t="str">
        <f>IF(Iterations[[#This Row],[Step]] =current_step, current_Grad_a,IF(Iterations[[#This Row],[Step]] &gt; current_step, "",Iterations[[#This Row],[Grad_a]]))</f>
        <v/>
      </c>
      <c r="O932" s="2" t="str">
        <f>IF(Iterations[[#This Row],[Step]] =current_step, current_Grad_b,IF(Iterations[[#This Row],[Step]] &gt; current_step, "",Iterations[[#This Row],[Grad_b]]))</f>
        <v/>
      </c>
      <c r="P932" s="2" t="str">
        <f>IF(Iterations[[#This Row],[Step]] =current_step, current_Grad_c,IF(Iterations[[#This Row],[Step]] &gt; current_step, "",Iterations[[#This Row],[Grad_c]]))</f>
        <v/>
      </c>
      <c r="Q932" s="2" t="str">
        <f>IF(Iterations[[#This Row],[Step]] =current_step, current_Grad_d,IF(Iterations[[#This Row],[Step]] &gt; current_step, "",Iterations[[#This Row],[Grad_d]]))</f>
        <v/>
      </c>
      <c r="R932" s="2" t="str">
        <f>IF(Iterations[[#This Row],[Step]] =current_step, current_Grad_e,IF(Iterations[[#This Row],[Step]] &gt; current_step, "",Iterations[[#This Row],[Grad_e]]))</f>
        <v/>
      </c>
    </row>
    <row r="933" spans="6:18" x14ac:dyDescent="0.3">
      <c r="F933" s="2">
        <f t="shared" si="16"/>
        <v>916</v>
      </c>
      <c r="G933" s="2" t="str">
        <f>IF(Iterations[[#This Row],[Step]] =current_step, current_a,IF(Iterations[[#This Row],[Step]] &gt; current_step, "",Iterations[[#This Row],[a]]))</f>
        <v/>
      </c>
      <c r="H933" s="2" t="str">
        <f>IF(Iterations[[#This Row],[Step]] =current_step, current_b,IF(Iterations[[#This Row],[Step]] &gt; current_step, "",Iterations[[#This Row],[b]]))</f>
        <v/>
      </c>
      <c r="I933" s="2" t="str">
        <f>IF(Iterations[[#This Row],[Step]] =current_step, current_c,IF(Iterations[[#This Row],[Step]] &gt; current_step, "",Iterations[[#This Row],[c]]))</f>
        <v/>
      </c>
      <c r="J933" s="2" t="str">
        <f>IF(Iterations[[#This Row],[Step]] =current_step, current_d,IF(Iterations[[#This Row],[Step]] &gt; current_step, "",Iterations[[#This Row],[d]]))</f>
        <v/>
      </c>
      <c r="K933" s="2" t="str">
        <f>IF(Iterations[[#This Row],[Step]] =current_step, current_e,IF(Iterations[[#This Row],[Step]] &gt; current_step, "",Iterations[[#This Row],[e]]))</f>
        <v/>
      </c>
      <c r="L933" s="2" t="str">
        <f>IF(Iterations[[#This Row],[Step]] =current_step, current_Total_Loss,IF(Iterations[[#This Row],[Step]] &gt; current_step, "",Iterations[[#This Row],[Total Loss]]))</f>
        <v/>
      </c>
      <c r="M933" s="6" t="s">
        <v>27</v>
      </c>
      <c r="N933" s="2" t="str">
        <f>IF(Iterations[[#This Row],[Step]] =current_step, current_Grad_a,IF(Iterations[[#This Row],[Step]] &gt; current_step, "",Iterations[[#This Row],[Grad_a]]))</f>
        <v/>
      </c>
      <c r="O933" s="2" t="str">
        <f>IF(Iterations[[#This Row],[Step]] =current_step, current_Grad_b,IF(Iterations[[#This Row],[Step]] &gt; current_step, "",Iterations[[#This Row],[Grad_b]]))</f>
        <v/>
      </c>
      <c r="P933" s="2" t="str">
        <f>IF(Iterations[[#This Row],[Step]] =current_step, current_Grad_c,IF(Iterations[[#This Row],[Step]] &gt; current_step, "",Iterations[[#This Row],[Grad_c]]))</f>
        <v/>
      </c>
      <c r="Q933" s="2" t="str">
        <f>IF(Iterations[[#This Row],[Step]] =current_step, current_Grad_d,IF(Iterations[[#This Row],[Step]] &gt; current_step, "",Iterations[[#This Row],[Grad_d]]))</f>
        <v/>
      </c>
      <c r="R933" s="2" t="str">
        <f>IF(Iterations[[#This Row],[Step]] =current_step, current_Grad_e,IF(Iterations[[#This Row],[Step]] &gt; current_step, "",Iterations[[#This Row],[Grad_e]]))</f>
        <v/>
      </c>
    </row>
    <row r="934" spans="6:18" x14ac:dyDescent="0.3">
      <c r="F934" s="2">
        <f t="shared" si="16"/>
        <v>917</v>
      </c>
      <c r="G934" s="2" t="str">
        <f>IF(Iterations[[#This Row],[Step]] =current_step, current_a,IF(Iterations[[#This Row],[Step]] &gt; current_step, "",Iterations[[#This Row],[a]]))</f>
        <v/>
      </c>
      <c r="H934" s="2" t="str">
        <f>IF(Iterations[[#This Row],[Step]] =current_step, current_b,IF(Iterations[[#This Row],[Step]] &gt; current_step, "",Iterations[[#This Row],[b]]))</f>
        <v/>
      </c>
      <c r="I934" s="2" t="str">
        <f>IF(Iterations[[#This Row],[Step]] =current_step, current_c,IF(Iterations[[#This Row],[Step]] &gt; current_step, "",Iterations[[#This Row],[c]]))</f>
        <v/>
      </c>
      <c r="J934" s="2" t="str">
        <f>IF(Iterations[[#This Row],[Step]] =current_step, current_d,IF(Iterations[[#This Row],[Step]] &gt; current_step, "",Iterations[[#This Row],[d]]))</f>
        <v/>
      </c>
      <c r="K934" s="2" t="str">
        <f>IF(Iterations[[#This Row],[Step]] =current_step, current_e,IF(Iterations[[#This Row],[Step]] &gt; current_step, "",Iterations[[#This Row],[e]]))</f>
        <v/>
      </c>
      <c r="L934" s="2" t="str">
        <f>IF(Iterations[[#This Row],[Step]] =current_step, current_Total_Loss,IF(Iterations[[#This Row],[Step]] &gt; current_step, "",Iterations[[#This Row],[Total Loss]]))</f>
        <v/>
      </c>
      <c r="M934" s="6" t="s">
        <v>27</v>
      </c>
      <c r="N934" s="2" t="str">
        <f>IF(Iterations[[#This Row],[Step]] =current_step, current_Grad_a,IF(Iterations[[#This Row],[Step]] &gt; current_step, "",Iterations[[#This Row],[Grad_a]]))</f>
        <v/>
      </c>
      <c r="O934" s="2" t="str">
        <f>IF(Iterations[[#This Row],[Step]] =current_step, current_Grad_b,IF(Iterations[[#This Row],[Step]] &gt; current_step, "",Iterations[[#This Row],[Grad_b]]))</f>
        <v/>
      </c>
      <c r="P934" s="2" t="str">
        <f>IF(Iterations[[#This Row],[Step]] =current_step, current_Grad_c,IF(Iterations[[#This Row],[Step]] &gt; current_step, "",Iterations[[#This Row],[Grad_c]]))</f>
        <v/>
      </c>
      <c r="Q934" s="2" t="str">
        <f>IF(Iterations[[#This Row],[Step]] =current_step, current_Grad_d,IF(Iterations[[#This Row],[Step]] &gt; current_step, "",Iterations[[#This Row],[Grad_d]]))</f>
        <v/>
      </c>
      <c r="R934" s="2" t="str">
        <f>IF(Iterations[[#This Row],[Step]] =current_step, current_Grad_e,IF(Iterations[[#This Row],[Step]] &gt; current_step, "",Iterations[[#This Row],[Grad_e]]))</f>
        <v/>
      </c>
    </row>
    <row r="935" spans="6:18" x14ac:dyDescent="0.3">
      <c r="F935" s="2">
        <f t="shared" si="16"/>
        <v>918</v>
      </c>
      <c r="G935" s="2" t="str">
        <f>IF(Iterations[[#This Row],[Step]] =current_step, current_a,IF(Iterations[[#This Row],[Step]] &gt; current_step, "",Iterations[[#This Row],[a]]))</f>
        <v/>
      </c>
      <c r="H935" s="2" t="str">
        <f>IF(Iterations[[#This Row],[Step]] =current_step, current_b,IF(Iterations[[#This Row],[Step]] &gt; current_step, "",Iterations[[#This Row],[b]]))</f>
        <v/>
      </c>
      <c r="I935" s="2" t="str">
        <f>IF(Iterations[[#This Row],[Step]] =current_step, current_c,IF(Iterations[[#This Row],[Step]] &gt; current_step, "",Iterations[[#This Row],[c]]))</f>
        <v/>
      </c>
      <c r="J935" s="2" t="str">
        <f>IF(Iterations[[#This Row],[Step]] =current_step, current_d,IF(Iterations[[#This Row],[Step]] &gt; current_step, "",Iterations[[#This Row],[d]]))</f>
        <v/>
      </c>
      <c r="K935" s="2" t="str">
        <f>IF(Iterations[[#This Row],[Step]] =current_step, current_e,IF(Iterations[[#This Row],[Step]] &gt; current_step, "",Iterations[[#This Row],[e]]))</f>
        <v/>
      </c>
      <c r="L935" s="2" t="str">
        <f>IF(Iterations[[#This Row],[Step]] =current_step, current_Total_Loss,IF(Iterations[[#This Row],[Step]] &gt; current_step, "",Iterations[[#This Row],[Total Loss]]))</f>
        <v/>
      </c>
      <c r="M935" s="6" t="s">
        <v>27</v>
      </c>
      <c r="N935" s="2" t="str">
        <f>IF(Iterations[[#This Row],[Step]] =current_step, current_Grad_a,IF(Iterations[[#This Row],[Step]] &gt; current_step, "",Iterations[[#This Row],[Grad_a]]))</f>
        <v/>
      </c>
      <c r="O935" s="2" t="str">
        <f>IF(Iterations[[#This Row],[Step]] =current_step, current_Grad_b,IF(Iterations[[#This Row],[Step]] &gt; current_step, "",Iterations[[#This Row],[Grad_b]]))</f>
        <v/>
      </c>
      <c r="P935" s="2" t="str">
        <f>IF(Iterations[[#This Row],[Step]] =current_step, current_Grad_c,IF(Iterations[[#This Row],[Step]] &gt; current_step, "",Iterations[[#This Row],[Grad_c]]))</f>
        <v/>
      </c>
      <c r="Q935" s="2" t="str">
        <f>IF(Iterations[[#This Row],[Step]] =current_step, current_Grad_d,IF(Iterations[[#This Row],[Step]] &gt; current_step, "",Iterations[[#This Row],[Grad_d]]))</f>
        <v/>
      </c>
      <c r="R935" s="2" t="str">
        <f>IF(Iterations[[#This Row],[Step]] =current_step, current_Grad_e,IF(Iterations[[#This Row],[Step]] &gt; current_step, "",Iterations[[#This Row],[Grad_e]]))</f>
        <v/>
      </c>
    </row>
    <row r="936" spans="6:18" x14ac:dyDescent="0.3">
      <c r="F936" s="2">
        <f t="shared" si="16"/>
        <v>919</v>
      </c>
      <c r="G936" s="2" t="str">
        <f>IF(Iterations[[#This Row],[Step]] =current_step, current_a,IF(Iterations[[#This Row],[Step]] &gt; current_step, "",Iterations[[#This Row],[a]]))</f>
        <v/>
      </c>
      <c r="H936" s="2" t="str">
        <f>IF(Iterations[[#This Row],[Step]] =current_step, current_b,IF(Iterations[[#This Row],[Step]] &gt; current_step, "",Iterations[[#This Row],[b]]))</f>
        <v/>
      </c>
      <c r="I936" s="2" t="str">
        <f>IF(Iterations[[#This Row],[Step]] =current_step, current_c,IF(Iterations[[#This Row],[Step]] &gt; current_step, "",Iterations[[#This Row],[c]]))</f>
        <v/>
      </c>
      <c r="J936" s="2" t="str">
        <f>IF(Iterations[[#This Row],[Step]] =current_step, current_d,IF(Iterations[[#This Row],[Step]] &gt; current_step, "",Iterations[[#This Row],[d]]))</f>
        <v/>
      </c>
      <c r="K936" s="2" t="str">
        <f>IF(Iterations[[#This Row],[Step]] =current_step, current_e,IF(Iterations[[#This Row],[Step]] &gt; current_step, "",Iterations[[#This Row],[e]]))</f>
        <v/>
      </c>
      <c r="L936" s="2" t="str">
        <f>IF(Iterations[[#This Row],[Step]] =current_step, current_Total_Loss,IF(Iterations[[#This Row],[Step]] &gt; current_step, "",Iterations[[#This Row],[Total Loss]]))</f>
        <v/>
      </c>
      <c r="M936" s="6" t="s">
        <v>27</v>
      </c>
      <c r="N936" s="2" t="str">
        <f>IF(Iterations[[#This Row],[Step]] =current_step, current_Grad_a,IF(Iterations[[#This Row],[Step]] &gt; current_step, "",Iterations[[#This Row],[Grad_a]]))</f>
        <v/>
      </c>
      <c r="O936" s="2" t="str">
        <f>IF(Iterations[[#This Row],[Step]] =current_step, current_Grad_b,IF(Iterations[[#This Row],[Step]] &gt; current_step, "",Iterations[[#This Row],[Grad_b]]))</f>
        <v/>
      </c>
      <c r="P936" s="2" t="str">
        <f>IF(Iterations[[#This Row],[Step]] =current_step, current_Grad_c,IF(Iterations[[#This Row],[Step]] &gt; current_step, "",Iterations[[#This Row],[Grad_c]]))</f>
        <v/>
      </c>
      <c r="Q936" s="2" t="str">
        <f>IF(Iterations[[#This Row],[Step]] =current_step, current_Grad_d,IF(Iterations[[#This Row],[Step]] &gt; current_step, "",Iterations[[#This Row],[Grad_d]]))</f>
        <v/>
      </c>
      <c r="R936" s="2" t="str">
        <f>IF(Iterations[[#This Row],[Step]] =current_step, current_Grad_e,IF(Iterations[[#This Row],[Step]] &gt; current_step, "",Iterations[[#This Row],[Grad_e]]))</f>
        <v/>
      </c>
    </row>
    <row r="937" spans="6:18" x14ac:dyDescent="0.3">
      <c r="F937" s="2">
        <f t="shared" si="16"/>
        <v>920</v>
      </c>
      <c r="G937" s="2" t="str">
        <f>IF(Iterations[[#This Row],[Step]] =current_step, current_a,IF(Iterations[[#This Row],[Step]] &gt; current_step, "",Iterations[[#This Row],[a]]))</f>
        <v/>
      </c>
      <c r="H937" s="2" t="str">
        <f>IF(Iterations[[#This Row],[Step]] =current_step, current_b,IF(Iterations[[#This Row],[Step]] &gt; current_step, "",Iterations[[#This Row],[b]]))</f>
        <v/>
      </c>
      <c r="I937" s="2" t="str">
        <f>IF(Iterations[[#This Row],[Step]] =current_step, current_c,IF(Iterations[[#This Row],[Step]] &gt; current_step, "",Iterations[[#This Row],[c]]))</f>
        <v/>
      </c>
      <c r="J937" s="2" t="str">
        <f>IF(Iterations[[#This Row],[Step]] =current_step, current_d,IF(Iterations[[#This Row],[Step]] &gt; current_step, "",Iterations[[#This Row],[d]]))</f>
        <v/>
      </c>
      <c r="K937" s="2" t="str">
        <f>IF(Iterations[[#This Row],[Step]] =current_step, current_e,IF(Iterations[[#This Row],[Step]] &gt; current_step, "",Iterations[[#This Row],[e]]))</f>
        <v/>
      </c>
      <c r="L937" s="2" t="str">
        <f>IF(Iterations[[#This Row],[Step]] =current_step, current_Total_Loss,IF(Iterations[[#This Row],[Step]] &gt; current_step, "",Iterations[[#This Row],[Total Loss]]))</f>
        <v/>
      </c>
      <c r="M937" s="6" t="s">
        <v>27</v>
      </c>
      <c r="N937" s="2" t="str">
        <f>IF(Iterations[[#This Row],[Step]] =current_step, current_Grad_a,IF(Iterations[[#This Row],[Step]] &gt; current_step, "",Iterations[[#This Row],[Grad_a]]))</f>
        <v/>
      </c>
      <c r="O937" s="2" t="str">
        <f>IF(Iterations[[#This Row],[Step]] =current_step, current_Grad_b,IF(Iterations[[#This Row],[Step]] &gt; current_step, "",Iterations[[#This Row],[Grad_b]]))</f>
        <v/>
      </c>
      <c r="P937" s="2" t="str">
        <f>IF(Iterations[[#This Row],[Step]] =current_step, current_Grad_c,IF(Iterations[[#This Row],[Step]] &gt; current_step, "",Iterations[[#This Row],[Grad_c]]))</f>
        <v/>
      </c>
      <c r="Q937" s="2" t="str">
        <f>IF(Iterations[[#This Row],[Step]] =current_step, current_Grad_d,IF(Iterations[[#This Row],[Step]] &gt; current_step, "",Iterations[[#This Row],[Grad_d]]))</f>
        <v/>
      </c>
      <c r="R937" s="2" t="str">
        <f>IF(Iterations[[#This Row],[Step]] =current_step, current_Grad_e,IF(Iterations[[#This Row],[Step]] &gt; current_step, "",Iterations[[#This Row],[Grad_e]]))</f>
        <v/>
      </c>
    </row>
    <row r="938" spans="6:18" x14ac:dyDescent="0.3">
      <c r="F938" s="2">
        <f t="shared" si="16"/>
        <v>921</v>
      </c>
      <c r="G938" s="2" t="str">
        <f>IF(Iterations[[#This Row],[Step]] =current_step, current_a,IF(Iterations[[#This Row],[Step]] &gt; current_step, "",Iterations[[#This Row],[a]]))</f>
        <v/>
      </c>
      <c r="H938" s="2" t="str">
        <f>IF(Iterations[[#This Row],[Step]] =current_step, current_b,IF(Iterations[[#This Row],[Step]] &gt; current_step, "",Iterations[[#This Row],[b]]))</f>
        <v/>
      </c>
      <c r="I938" s="2" t="str">
        <f>IF(Iterations[[#This Row],[Step]] =current_step, current_c,IF(Iterations[[#This Row],[Step]] &gt; current_step, "",Iterations[[#This Row],[c]]))</f>
        <v/>
      </c>
      <c r="J938" s="2" t="str">
        <f>IF(Iterations[[#This Row],[Step]] =current_step, current_d,IF(Iterations[[#This Row],[Step]] &gt; current_step, "",Iterations[[#This Row],[d]]))</f>
        <v/>
      </c>
      <c r="K938" s="2" t="str">
        <f>IF(Iterations[[#This Row],[Step]] =current_step, current_e,IF(Iterations[[#This Row],[Step]] &gt; current_step, "",Iterations[[#This Row],[e]]))</f>
        <v/>
      </c>
      <c r="L938" s="2" t="str">
        <f>IF(Iterations[[#This Row],[Step]] =current_step, current_Total_Loss,IF(Iterations[[#This Row],[Step]] &gt; current_step, "",Iterations[[#This Row],[Total Loss]]))</f>
        <v/>
      </c>
      <c r="M938" s="6" t="s">
        <v>27</v>
      </c>
      <c r="N938" s="2" t="str">
        <f>IF(Iterations[[#This Row],[Step]] =current_step, current_Grad_a,IF(Iterations[[#This Row],[Step]] &gt; current_step, "",Iterations[[#This Row],[Grad_a]]))</f>
        <v/>
      </c>
      <c r="O938" s="2" t="str">
        <f>IF(Iterations[[#This Row],[Step]] =current_step, current_Grad_b,IF(Iterations[[#This Row],[Step]] &gt; current_step, "",Iterations[[#This Row],[Grad_b]]))</f>
        <v/>
      </c>
      <c r="P938" s="2" t="str">
        <f>IF(Iterations[[#This Row],[Step]] =current_step, current_Grad_c,IF(Iterations[[#This Row],[Step]] &gt; current_step, "",Iterations[[#This Row],[Grad_c]]))</f>
        <v/>
      </c>
      <c r="Q938" s="2" t="str">
        <f>IF(Iterations[[#This Row],[Step]] =current_step, current_Grad_d,IF(Iterations[[#This Row],[Step]] &gt; current_step, "",Iterations[[#This Row],[Grad_d]]))</f>
        <v/>
      </c>
      <c r="R938" s="2" t="str">
        <f>IF(Iterations[[#This Row],[Step]] =current_step, current_Grad_e,IF(Iterations[[#This Row],[Step]] &gt; current_step, "",Iterations[[#This Row],[Grad_e]]))</f>
        <v/>
      </c>
    </row>
    <row r="939" spans="6:18" x14ac:dyDescent="0.3">
      <c r="F939" s="2">
        <f t="shared" si="16"/>
        <v>922</v>
      </c>
      <c r="G939" s="2" t="str">
        <f>IF(Iterations[[#This Row],[Step]] =current_step, current_a,IF(Iterations[[#This Row],[Step]] &gt; current_step, "",Iterations[[#This Row],[a]]))</f>
        <v/>
      </c>
      <c r="H939" s="2" t="str">
        <f>IF(Iterations[[#This Row],[Step]] =current_step, current_b,IF(Iterations[[#This Row],[Step]] &gt; current_step, "",Iterations[[#This Row],[b]]))</f>
        <v/>
      </c>
      <c r="I939" s="2" t="str">
        <f>IF(Iterations[[#This Row],[Step]] =current_step, current_c,IF(Iterations[[#This Row],[Step]] &gt; current_step, "",Iterations[[#This Row],[c]]))</f>
        <v/>
      </c>
      <c r="J939" s="2" t="str">
        <f>IF(Iterations[[#This Row],[Step]] =current_step, current_d,IF(Iterations[[#This Row],[Step]] &gt; current_step, "",Iterations[[#This Row],[d]]))</f>
        <v/>
      </c>
      <c r="K939" s="2" t="str">
        <f>IF(Iterations[[#This Row],[Step]] =current_step, current_e,IF(Iterations[[#This Row],[Step]] &gt; current_step, "",Iterations[[#This Row],[e]]))</f>
        <v/>
      </c>
      <c r="L939" s="2" t="str">
        <f>IF(Iterations[[#This Row],[Step]] =current_step, current_Total_Loss,IF(Iterations[[#This Row],[Step]] &gt; current_step, "",Iterations[[#This Row],[Total Loss]]))</f>
        <v/>
      </c>
      <c r="M939" s="6" t="s">
        <v>27</v>
      </c>
      <c r="N939" s="2" t="str">
        <f>IF(Iterations[[#This Row],[Step]] =current_step, current_Grad_a,IF(Iterations[[#This Row],[Step]] &gt; current_step, "",Iterations[[#This Row],[Grad_a]]))</f>
        <v/>
      </c>
      <c r="O939" s="2" t="str">
        <f>IF(Iterations[[#This Row],[Step]] =current_step, current_Grad_b,IF(Iterations[[#This Row],[Step]] &gt; current_step, "",Iterations[[#This Row],[Grad_b]]))</f>
        <v/>
      </c>
      <c r="P939" s="2" t="str">
        <f>IF(Iterations[[#This Row],[Step]] =current_step, current_Grad_c,IF(Iterations[[#This Row],[Step]] &gt; current_step, "",Iterations[[#This Row],[Grad_c]]))</f>
        <v/>
      </c>
      <c r="Q939" s="2" t="str">
        <f>IF(Iterations[[#This Row],[Step]] =current_step, current_Grad_d,IF(Iterations[[#This Row],[Step]] &gt; current_step, "",Iterations[[#This Row],[Grad_d]]))</f>
        <v/>
      </c>
      <c r="R939" s="2" t="str">
        <f>IF(Iterations[[#This Row],[Step]] =current_step, current_Grad_e,IF(Iterations[[#This Row],[Step]] &gt; current_step, "",Iterations[[#This Row],[Grad_e]]))</f>
        <v/>
      </c>
    </row>
    <row r="940" spans="6:18" x14ac:dyDescent="0.3">
      <c r="F940" s="2">
        <f t="shared" si="16"/>
        <v>923</v>
      </c>
      <c r="G940" s="2" t="str">
        <f>IF(Iterations[[#This Row],[Step]] =current_step, current_a,IF(Iterations[[#This Row],[Step]] &gt; current_step, "",Iterations[[#This Row],[a]]))</f>
        <v/>
      </c>
      <c r="H940" s="2" t="str">
        <f>IF(Iterations[[#This Row],[Step]] =current_step, current_b,IF(Iterations[[#This Row],[Step]] &gt; current_step, "",Iterations[[#This Row],[b]]))</f>
        <v/>
      </c>
      <c r="I940" s="2" t="str">
        <f>IF(Iterations[[#This Row],[Step]] =current_step, current_c,IF(Iterations[[#This Row],[Step]] &gt; current_step, "",Iterations[[#This Row],[c]]))</f>
        <v/>
      </c>
      <c r="J940" s="2" t="str">
        <f>IF(Iterations[[#This Row],[Step]] =current_step, current_d,IF(Iterations[[#This Row],[Step]] &gt; current_step, "",Iterations[[#This Row],[d]]))</f>
        <v/>
      </c>
      <c r="K940" s="2" t="str">
        <f>IF(Iterations[[#This Row],[Step]] =current_step, current_e,IF(Iterations[[#This Row],[Step]] &gt; current_step, "",Iterations[[#This Row],[e]]))</f>
        <v/>
      </c>
      <c r="L940" s="2" t="str">
        <f>IF(Iterations[[#This Row],[Step]] =current_step, current_Total_Loss,IF(Iterations[[#This Row],[Step]] &gt; current_step, "",Iterations[[#This Row],[Total Loss]]))</f>
        <v/>
      </c>
      <c r="M940" s="6" t="s">
        <v>27</v>
      </c>
      <c r="N940" s="2" t="str">
        <f>IF(Iterations[[#This Row],[Step]] =current_step, current_Grad_a,IF(Iterations[[#This Row],[Step]] &gt; current_step, "",Iterations[[#This Row],[Grad_a]]))</f>
        <v/>
      </c>
      <c r="O940" s="2" t="str">
        <f>IF(Iterations[[#This Row],[Step]] =current_step, current_Grad_b,IF(Iterations[[#This Row],[Step]] &gt; current_step, "",Iterations[[#This Row],[Grad_b]]))</f>
        <v/>
      </c>
      <c r="P940" s="2" t="str">
        <f>IF(Iterations[[#This Row],[Step]] =current_step, current_Grad_c,IF(Iterations[[#This Row],[Step]] &gt; current_step, "",Iterations[[#This Row],[Grad_c]]))</f>
        <v/>
      </c>
      <c r="Q940" s="2" t="str">
        <f>IF(Iterations[[#This Row],[Step]] =current_step, current_Grad_d,IF(Iterations[[#This Row],[Step]] &gt; current_step, "",Iterations[[#This Row],[Grad_d]]))</f>
        <v/>
      </c>
      <c r="R940" s="2" t="str">
        <f>IF(Iterations[[#This Row],[Step]] =current_step, current_Grad_e,IF(Iterations[[#This Row],[Step]] &gt; current_step, "",Iterations[[#This Row],[Grad_e]]))</f>
        <v/>
      </c>
    </row>
    <row r="941" spans="6:18" x14ac:dyDescent="0.3">
      <c r="F941" s="2">
        <f t="shared" si="16"/>
        <v>924</v>
      </c>
      <c r="G941" s="2" t="str">
        <f>IF(Iterations[[#This Row],[Step]] =current_step, current_a,IF(Iterations[[#This Row],[Step]] &gt; current_step, "",Iterations[[#This Row],[a]]))</f>
        <v/>
      </c>
      <c r="H941" s="2" t="str">
        <f>IF(Iterations[[#This Row],[Step]] =current_step, current_b,IF(Iterations[[#This Row],[Step]] &gt; current_step, "",Iterations[[#This Row],[b]]))</f>
        <v/>
      </c>
      <c r="I941" s="2" t="str">
        <f>IF(Iterations[[#This Row],[Step]] =current_step, current_c,IF(Iterations[[#This Row],[Step]] &gt; current_step, "",Iterations[[#This Row],[c]]))</f>
        <v/>
      </c>
      <c r="J941" s="2" t="str">
        <f>IF(Iterations[[#This Row],[Step]] =current_step, current_d,IF(Iterations[[#This Row],[Step]] &gt; current_step, "",Iterations[[#This Row],[d]]))</f>
        <v/>
      </c>
      <c r="K941" s="2" t="str">
        <f>IF(Iterations[[#This Row],[Step]] =current_step, current_e,IF(Iterations[[#This Row],[Step]] &gt; current_step, "",Iterations[[#This Row],[e]]))</f>
        <v/>
      </c>
      <c r="L941" s="2" t="str">
        <f>IF(Iterations[[#This Row],[Step]] =current_step, current_Total_Loss,IF(Iterations[[#This Row],[Step]] &gt; current_step, "",Iterations[[#This Row],[Total Loss]]))</f>
        <v/>
      </c>
      <c r="M941" s="6" t="s">
        <v>27</v>
      </c>
      <c r="N941" s="2" t="str">
        <f>IF(Iterations[[#This Row],[Step]] =current_step, current_Grad_a,IF(Iterations[[#This Row],[Step]] &gt; current_step, "",Iterations[[#This Row],[Grad_a]]))</f>
        <v/>
      </c>
      <c r="O941" s="2" t="str">
        <f>IF(Iterations[[#This Row],[Step]] =current_step, current_Grad_b,IF(Iterations[[#This Row],[Step]] &gt; current_step, "",Iterations[[#This Row],[Grad_b]]))</f>
        <v/>
      </c>
      <c r="P941" s="2" t="str">
        <f>IF(Iterations[[#This Row],[Step]] =current_step, current_Grad_c,IF(Iterations[[#This Row],[Step]] &gt; current_step, "",Iterations[[#This Row],[Grad_c]]))</f>
        <v/>
      </c>
      <c r="Q941" s="2" t="str">
        <f>IF(Iterations[[#This Row],[Step]] =current_step, current_Grad_d,IF(Iterations[[#This Row],[Step]] &gt; current_step, "",Iterations[[#This Row],[Grad_d]]))</f>
        <v/>
      </c>
      <c r="R941" s="2" t="str">
        <f>IF(Iterations[[#This Row],[Step]] =current_step, current_Grad_e,IF(Iterations[[#This Row],[Step]] &gt; current_step, "",Iterations[[#This Row],[Grad_e]]))</f>
        <v/>
      </c>
    </row>
    <row r="942" spans="6:18" x14ac:dyDescent="0.3">
      <c r="F942" s="2">
        <f t="shared" si="16"/>
        <v>925</v>
      </c>
      <c r="G942" s="2" t="str">
        <f>IF(Iterations[[#This Row],[Step]] =current_step, current_a,IF(Iterations[[#This Row],[Step]] &gt; current_step, "",Iterations[[#This Row],[a]]))</f>
        <v/>
      </c>
      <c r="H942" s="2" t="str">
        <f>IF(Iterations[[#This Row],[Step]] =current_step, current_b,IF(Iterations[[#This Row],[Step]] &gt; current_step, "",Iterations[[#This Row],[b]]))</f>
        <v/>
      </c>
      <c r="I942" s="2" t="str">
        <f>IF(Iterations[[#This Row],[Step]] =current_step, current_c,IF(Iterations[[#This Row],[Step]] &gt; current_step, "",Iterations[[#This Row],[c]]))</f>
        <v/>
      </c>
      <c r="J942" s="2" t="str">
        <f>IF(Iterations[[#This Row],[Step]] =current_step, current_d,IF(Iterations[[#This Row],[Step]] &gt; current_step, "",Iterations[[#This Row],[d]]))</f>
        <v/>
      </c>
      <c r="K942" s="2" t="str">
        <f>IF(Iterations[[#This Row],[Step]] =current_step, current_e,IF(Iterations[[#This Row],[Step]] &gt; current_step, "",Iterations[[#This Row],[e]]))</f>
        <v/>
      </c>
      <c r="L942" s="2" t="str">
        <f>IF(Iterations[[#This Row],[Step]] =current_step, current_Total_Loss,IF(Iterations[[#This Row],[Step]] &gt; current_step, "",Iterations[[#This Row],[Total Loss]]))</f>
        <v/>
      </c>
      <c r="M942" s="6" t="s">
        <v>27</v>
      </c>
      <c r="N942" s="2" t="str">
        <f>IF(Iterations[[#This Row],[Step]] =current_step, current_Grad_a,IF(Iterations[[#This Row],[Step]] &gt; current_step, "",Iterations[[#This Row],[Grad_a]]))</f>
        <v/>
      </c>
      <c r="O942" s="2" t="str">
        <f>IF(Iterations[[#This Row],[Step]] =current_step, current_Grad_b,IF(Iterations[[#This Row],[Step]] &gt; current_step, "",Iterations[[#This Row],[Grad_b]]))</f>
        <v/>
      </c>
      <c r="P942" s="2" t="str">
        <f>IF(Iterations[[#This Row],[Step]] =current_step, current_Grad_c,IF(Iterations[[#This Row],[Step]] &gt; current_step, "",Iterations[[#This Row],[Grad_c]]))</f>
        <v/>
      </c>
      <c r="Q942" s="2" t="str">
        <f>IF(Iterations[[#This Row],[Step]] =current_step, current_Grad_d,IF(Iterations[[#This Row],[Step]] &gt; current_step, "",Iterations[[#This Row],[Grad_d]]))</f>
        <v/>
      </c>
      <c r="R942" s="2" t="str">
        <f>IF(Iterations[[#This Row],[Step]] =current_step, current_Grad_e,IF(Iterations[[#This Row],[Step]] &gt; current_step, "",Iterations[[#This Row],[Grad_e]]))</f>
        <v/>
      </c>
    </row>
    <row r="943" spans="6:18" x14ac:dyDescent="0.3">
      <c r="F943" s="2">
        <f t="shared" si="16"/>
        <v>926</v>
      </c>
      <c r="G943" s="2" t="str">
        <f>IF(Iterations[[#This Row],[Step]] =current_step, current_a,IF(Iterations[[#This Row],[Step]] &gt; current_step, "",Iterations[[#This Row],[a]]))</f>
        <v/>
      </c>
      <c r="H943" s="2" t="str">
        <f>IF(Iterations[[#This Row],[Step]] =current_step, current_b,IF(Iterations[[#This Row],[Step]] &gt; current_step, "",Iterations[[#This Row],[b]]))</f>
        <v/>
      </c>
      <c r="I943" s="2" t="str">
        <f>IF(Iterations[[#This Row],[Step]] =current_step, current_c,IF(Iterations[[#This Row],[Step]] &gt; current_step, "",Iterations[[#This Row],[c]]))</f>
        <v/>
      </c>
      <c r="J943" s="2" t="str">
        <f>IF(Iterations[[#This Row],[Step]] =current_step, current_d,IF(Iterations[[#This Row],[Step]] &gt; current_step, "",Iterations[[#This Row],[d]]))</f>
        <v/>
      </c>
      <c r="K943" s="2" t="str">
        <f>IF(Iterations[[#This Row],[Step]] =current_step, current_e,IF(Iterations[[#This Row],[Step]] &gt; current_step, "",Iterations[[#This Row],[e]]))</f>
        <v/>
      </c>
      <c r="L943" s="2" t="str">
        <f>IF(Iterations[[#This Row],[Step]] =current_step, current_Total_Loss,IF(Iterations[[#This Row],[Step]] &gt; current_step, "",Iterations[[#This Row],[Total Loss]]))</f>
        <v/>
      </c>
      <c r="M943" s="6" t="s">
        <v>27</v>
      </c>
      <c r="N943" s="2" t="str">
        <f>IF(Iterations[[#This Row],[Step]] =current_step, current_Grad_a,IF(Iterations[[#This Row],[Step]] &gt; current_step, "",Iterations[[#This Row],[Grad_a]]))</f>
        <v/>
      </c>
      <c r="O943" s="2" t="str">
        <f>IF(Iterations[[#This Row],[Step]] =current_step, current_Grad_b,IF(Iterations[[#This Row],[Step]] &gt; current_step, "",Iterations[[#This Row],[Grad_b]]))</f>
        <v/>
      </c>
      <c r="P943" s="2" t="str">
        <f>IF(Iterations[[#This Row],[Step]] =current_step, current_Grad_c,IF(Iterations[[#This Row],[Step]] &gt; current_step, "",Iterations[[#This Row],[Grad_c]]))</f>
        <v/>
      </c>
      <c r="Q943" s="2" t="str">
        <f>IF(Iterations[[#This Row],[Step]] =current_step, current_Grad_d,IF(Iterations[[#This Row],[Step]] &gt; current_step, "",Iterations[[#This Row],[Grad_d]]))</f>
        <v/>
      </c>
      <c r="R943" s="2" t="str">
        <f>IF(Iterations[[#This Row],[Step]] =current_step, current_Grad_e,IF(Iterations[[#This Row],[Step]] &gt; current_step, "",Iterations[[#This Row],[Grad_e]]))</f>
        <v/>
      </c>
    </row>
    <row r="944" spans="6:18" x14ac:dyDescent="0.3">
      <c r="F944" s="2">
        <f t="shared" si="16"/>
        <v>927</v>
      </c>
      <c r="G944" s="2" t="str">
        <f>IF(Iterations[[#This Row],[Step]] =current_step, current_a,IF(Iterations[[#This Row],[Step]] &gt; current_step, "",Iterations[[#This Row],[a]]))</f>
        <v/>
      </c>
      <c r="H944" s="2" t="str">
        <f>IF(Iterations[[#This Row],[Step]] =current_step, current_b,IF(Iterations[[#This Row],[Step]] &gt; current_step, "",Iterations[[#This Row],[b]]))</f>
        <v/>
      </c>
      <c r="I944" s="2" t="str">
        <f>IF(Iterations[[#This Row],[Step]] =current_step, current_c,IF(Iterations[[#This Row],[Step]] &gt; current_step, "",Iterations[[#This Row],[c]]))</f>
        <v/>
      </c>
      <c r="J944" s="2" t="str">
        <f>IF(Iterations[[#This Row],[Step]] =current_step, current_d,IF(Iterations[[#This Row],[Step]] &gt; current_step, "",Iterations[[#This Row],[d]]))</f>
        <v/>
      </c>
      <c r="K944" s="2" t="str">
        <f>IF(Iterations[[#This Row],[Step]] =current_step, current_e,IF(Iterations[[#This Row],[Step]] &gt; current_step, "",Iterations[[#This Row],[e]]))</f>
        <v/>
      </c>
      <c r="L944" s="2" t="str">
        <f>IF(Iterations[[#This Row],[Step]] =current_step, current_Total_Loss,IF(Iterations[[#This Row],[Step]] &gt; current_step, "",Iterations[[#This Row],[Total Loss]]))</f>
        <v/>
      </c>
      <c r="M944" s="6" t="s">
        <v>27</v>
      </c>
      <c r="N944" s="2" t="str">
        <f>IF(Iterations[[#This Row],[Step]] =current_step, current_Grad_a,IF(Iterations[[#This Row],[Step]] &gt; current_step, "",Iterations[[#This Row],[Grad_a]]))</f>
        <v/>
      </c>
      <c r="O944" s="2" t="str">
        <f>IF(Iterations[[#This Row],[Step]] =current_step, current_Grad_b,IF(Iterations[[#This Row],[Step]] &gt; current_step, "",Iterations[[#This Row],[Grad_b]]))</f>
        <v/>
      </c>
      <c r="P944" s="2" t="str">
        <f>IF(Iterations[[#This Row],[Step]] =current_step, current_Grad_c,IF(Iterations[[#This Row],[Step]] &gt; current_step, "",Iterations[[#This Row],[Grad_c]]))</f>
        <v/>
      </c>
      <c r="Q944" s="2" t="str">
        <f>IF(Iterations[[#This Row],[Step]] =current_step, current_Grad_d,IF(Iterations[[#This Row],[Step]] &gt; current_step, "",Iterations[[#This Row],[Grad_d]]))</f>
        <v/>
      </c>
      <c r="R944" s="2" t="str">
        <f>IF(Iterations[[#This Row],[Step]] =current_step, current_Grad_e,IF(Iterations[[#This Row],[Step]] &gt; current_step, "",Iterations[[#This Row],[Grad_e]]))</f>
        <v/>
      </c>
    </row>
    <row r="945" spans="6:18" x14ac:dyDescent="0.3">
      <c r="F945" s="2">
        <f t="shared" si="16"/>
        <v>928</v>
      </c>
      <c r="G945" s="2" t="str">
        <f>IF(Iterations[[#This Row],[Step]] =current_step, current_a,IF(Iterations[[#This Row],[Step]] &gt; current_step, "",Iterations[[#This Row],[a]]))</f>
        <v/>
      </c>
      <c r="H945" s="2" t="str">
        <f>IF(Iterations[[#This Row],[Step]] =current_step, current_b,IF(Iterations[[#This Row],[Step]] &gt; current_step, "",Iterations[[#This Row],[b]]))</f>
        <v/>
      </c>
      <c r="I945" s="2" t="str">
        <f>IF(Iterations[[#This Row],[Step]] =current_step, current_c,IF(Iterations[[#This Row],[Step]] &gt; current_step, "",Iterations[[#This Row],[c]]))</f>
        <v/>
      </c>
      <c r="J945" s="2" t="str">
        <f>IF(Iterations[[#This Row],[Step]] =current_step, current_d,IF(Iterations[[#This Row],[Step]] &gt; current_step, "",Iterations[[#This Row],[d]]))</f>
        <v/>
      </c>
      <c r="K945" s="2" t="str">
        <f>IF(Iterations[[#This Row],[Step]] =current_step, current_e,IF(Iterations[[#This Row],[Step]] &gt; current_step, "",Iterations[[#This Row],[e]]))</f>
        <v/>
      </c>
      <c r="L945" s="2" t="str">
        <f>IF(Iterations[[#This Row],[Step]] =current_step, current_Total_Loss,IF(Iterations[[#This Row],[Step]] &gt; current_step, "",Iterations[[#This Row],[Total Loss]]))</f>
        <v/>
      </c>
      <c r="M945" s="6" t="s">
        <v>27</v>
      </c>
      <c r="N945" s="2" t="str">
        <f>IF(Iterations[[#This Row],[Step]] =current_step, current_Grad_a,IF(Iterations[[#This Row],[Step]] &gt; current_step, "",Iterations[[#This Row],[Grad_a]]))</f>
        <v/>
      </c>
      <c r="O945" s="2" t="str">
        <f>IF(Iterations[[#This Row],[Step]] =current_step, current_Grad_b,IF(Iterations[[#This Row],[Step]] &gt; current_step, "",Iterations[[#This Row],[Grad_b]]))</f>
        <v/>
      </c>
      <c r="P945" s="2" t="str">
        <f>IF(Iterations[[#This Row],[Step]] =current_step, current_Grad_c,IF(Iterations[[#This Row],[Step]] &gt; current_step, "",Iterations[[#This Row],[Grad_c]]))</f>
        <v/>
      </c>
      <c r="Q945" s="2" t="str">
        <f>IF(Iterations[[#This Row],[Step]] =current_step, current_Grad_d,IF(Iterations[[#This Row],[Step]] &gt; current_step, "",Iterations[[#This Row],[Grad_d]]))</f>
        <v/>
      </c>
      <c r="R945" s="2" t="str">
        <f>IF(Iterations[[#This Row],[Step]] =current_step, current_Grad_e,IF(Iterations[[#This Row],[Step]] &gt; current_step, "",Iterations[[#This Row],[Grad_e]]))</f>
        <v/>
      </c>
    </row>
    <row r="946" spans="6:18" x14ac:dyDescent="0.3">
      <c r="F946" s="2">
        <f t="shared" ref="F946:F957" si="17">F945+1</f>
        <v>929</v>
      </c>
      <c r="G946" s="2" t="str">
        <f>IF(Iterations[[#This Row],[Step]] =current_step, current_a,IF(Iterations[[#This Row],[Step]] &gt; current_step, "",Iterations[[#This Row],[a]]))</f>
        <v/>
      </c>
      <c r="H946" s="2" t="str">
        <f>IF(Iterations[[#This Row],[Step]] =current_step, current_b,IF(Iterations[[#This Row],[Step]] &gt; current_step, "",Iterations[[#This Row],[b]]))</f>
        <v/>
      </c>
      <c r="I946" s="2" t="str">
        <f>IF(Iterations[[#This Row],[Step]] =current_step, current_c,IF(Iterations[[#This Row],[Step]] &gt; current_step, "",Iterations[[#This Row],[c]]))</f>
        <v/>
      </c>
      <c r="J946" s="2" t="str">
        <f>IF(Iterations[[#This Row],[Step]] =current_step, current_d,IF(Iterations[[#This Row],[Step]] &gt; current_step, "",Iterations[[#This Row],[d]]))</f>
        <v/>
      </c>
      <c r="K946" s="2" t="str">
        <f>IF(Iterations[[#This Row],[Step]] =current_step, current_e,IF(Iterations[[#This Row],[Step]] &gt; current_step, "",Iterations[[#This Row],[e]]))</f>
        <v/>
      </c>
      <c r="L946" s="2" t="str">
        <f>IF(Iterations[[#This Row],[Step]] =current_step, current_Total_Loss,IF(Iterations[[#This Row],[Step]] &gt; current_step, "",Iterations[[#This Row],[Total Loss]]))</f>
        <v/>
      </c>
      <c r="M946" s="6" t="s">
        <v>27</v>
      </c>
      <c r="N946" s="2" t="str">
        <f>IF(Iterations[[#This Row],[Step]] =current_step, current_Grad_a,IF(Iterations[[#This Row],[Step]] &gt; current_step, "",Iterations[[#This Row],[Grad_a]]))</f>
        <v/>
      </c>
      <c r="O946" s="2" t="str">
        <f>IF(Iterations[[#This Row],[Step]] =current_step, current_Grad_b,IF(Iterations[[#This Row],[Step]] &gt; current_step, "",Iterations[[#This Row],[Grad_b]]))</f>
        <v/>
      </c>
      <c r="P946" s="2" t="str">
        <f>IF(Iterations[[#This Row],[Step]] =current_step, current_Grad_c,IF(Iterations[[#This Row],[Step]] &gt; current_step, "",Iterations[[#This Row],[Grad_c]]))</f>
        <v/>
      </c>
      <c r="Q946" s="2" t="str">
        <f>IF(Iterations[[#This Row],[Step]] =current_step, current_Grad_d,IF(Iterations[[#This Row],[Step]] &gt; current_step, "",Iterations[[#This Row],[Grad_d]]))</f>
        <v/>
      </c>
      <c r="R946" s="2" t="str">
        <f>IF(Iterations[[#This Row],[Step]] =current_step, current_Grad_e,IF(Iterations[[#This Row],[Step]] &gt; current_step, "",Iterations[[#This Row],[Grad_e]]))</f>
        <v/>
      </c>
    </row>
    <row r="947" spans="6:18" x14ac:dyDescent="0.3">
      <c r="F947" s="2">
        <f t="shared" si="17"/>
        <v>930</v>
      </c>
      <c r="G947" s="2" t="str">
        <f>IF(Iterations[[#This Row],[Step]] =current_step, current_a,IF(Iterations[[#This Row],[Step]] &gt; current_step, "",Iterations[[#This Row],[a]]))</f>
        <v/>
      </c>
      <c r="H947" s="2" t="str">
        <f>IF(Iterations[[#This Row],[Step]] =current_step, current_b,IF(Iterations[[#This Row],[Step]] &gt; current_step, "",Iterations[[#This Row],[b]]))</f>
        <v/>
      </c>
      <c r="I947" s="2" t="str">
        <f>IF(Iterations[[#This Row],[Step]] =current_step, current_c,IF(Iterations[[#This Row],[Step]] &gt; current_step, "",Iterations[[#This Row],[c]]))</f>
        <v/>
      </c>
      <c r="J947" s="2" t="str">
        <f>IF(Iterations[[#This Row],[Step]] =current_step, current_d,IF(Iterations[[#This Row],[Step]] &gt; current_step, "",Iterations[[#This Row],[d]]))</f>
        <v/>
      </c>
      <c r="K947" s="2" t="str">
        <f>IF(Iterations[[#This Row],[Step]] =current_step, current_e,IF(Iterations[[#This Row],[Step]] &gt; current_step, "",Iterations[[#This Row],[e]]))</f>
        <v/>
      </c>
      <c r="L947" s="2" t="str">
        <f>IF(Iterations[[#This Row],[Step]] =current_step, current_Total_Loss,IF(Iterations[[#This Row],[Step]] &gt; current_step, "",Iterations[[#This Row],[Total Loss]]))</f>
        <v/>
      </c>
      <c r="M947" s="6" t="s">
        <v>27</v>
      </c>
      <c r="N947" s="2" t="str">
        <f>IF(Iterations[[#This Row],[Step]] =current_step, current_Grad_a,IF(Iterations[[#This Row],[Step]] &gt; current_step, "",Iterations[[#This Row],[Grad_a]]))</f>
        <v/>
      </c>
      <c r="O947" s="2" t="str">
        <f>IF(Iterations[[#This Row],[Step]] =current_step, current_Grad_b,IF(Iterations[[#This Row],[Step]] &gt; current_step, "",Iterations[[#This Row],[Grad_b]]))</f>
        <v/>
      </c>
      <c r="P947" s="2" t="str">
        <f>IF(Iterations[[#This Row],[Step]] =current_step, current_Grad_c,IF(Iterations[[#This Row],[Step]] &gt; current_step, "",Iterations[[#This Row],[Grad_c]]))</f>
        <v/>
      </c>
      <c r="Q947" s="2" t="str">
        <f>IF(Iterations[[#This Row],[Step]] =current_step, current_Grad_d,IF(Iterations[[#This Row],[Step]] &gt; current_step, "",Iterations[[#This Row],[Grad_d]]))</f>
        <v/>
      </c>
      <c r="R947" s="2" t="str">
        <f>IF(Iterations[[#This Row],[Step]] =current_step, current_Grad_e,IF(Iterations[[#This Row],[Step]] &gt; current_step, "",Iterations[[#This Row],[Grad_e]]))</f>
        <v/>
      </c>
    </row>
    <row r="948" spans="6:18" x14ac:dyDescent="0.3">
      <c r="F948" s="2">
        <f t="shared" si="17"/>
        <v>931</v>
      </c>
      <c r="G948" s="2" t="str">
        <f>IF(Iterations[[#This Row],[Step]] =current_step, current_a,IF(Iterations[[#This Row],[Step]] &gt; current_step, "",Iterations[[#This Row],[a]]))</f>
        <v/>
      </c>
      <c r="H948" s="2" t="str">
        <f>IF(Iterations[[#This Row],[Step]] =current_step, current_b,IF(Iterations[[#This Row],[Step]] &gt; current_step, "",Iterations[[#This Row],[b]]))</f>
        <v/>
      </c>
      <c r="I948" s="2" t="str">
        <f>IF(Iterations[[#This Row],[Step]] =current_step, current_c,IF(Iterations[[#This Row],[Step]] &gt; current_step, "",Iterations[[#This Row],[c]]))</f>
        <v/>
      </c>
      <c r="J948" s="2" t="str">
        <f>IF(Iterations[[#This Row],[Step]] =current_step, current_d,IF(Iterations[[#This Row],[Step]] &gt; current_step, "",Iterations[[#This Row],[d]]))</f>
        <v/>
      </c>
      <c r="K948" s="2" t="str">
        <f>IF(Iterations[[#This Row],[Step]] =current_step, current_e,IF(Iterations[[#This Row],[Step]] &gt; current_step, "",Iterations[[#This Row],[e]]))</f>
        <v/>
      </c>
      <c r="L948" s="2" t="str">
        <f>IF(Iterations[[#This Row],[Step]] =current_step, current_Total_Loss,IF(Iterations[[#This Row],[Step]] &gt; current_step, "",Iterations[[#This Row],[Total Loss]]))</f>
        <v/>
      </c>
      <c r="M948" s="6" t="s">
        <v>27</v>
      </c>
      <c r="N948" s="2" t="str">
        <f>IF(Iterations[[#This Row],[Step]] =current_step, current_Grad_a,IF(Iterations[[#This Row],[Step]] &gt; current_step, "",Iterations[[#This Row],[Grad_a]]))</f>
        <v/>
      </c>
      <c r="O948" s="2" t="str">
        <f>IF(Iterations[[#This Row],[Step]] =current_step, current_Grad_b,IF(Iterations[[#This Row],[Step]] &gt; current_step, "",Iterations[[#This Row],[Grad_b]]))</f>
        <v/>
      </c>
      <c r="P948" s="2" t="str">
        <f>IF(Iterations[[#This Row],[Step]] =current_step, current_Grad_c,IF(Iterations[[#This Row],[Step]] &gt; current_step, "",Iterations[[#This Row],[Grad_c]]))</f>
        <v/>
      </c>
      <c r="Q948" s="2" t="str">
        <f>IF(Iterations[[#This Row],[Step]] =current_step, current_Grad_d,IF(Iterations[[#This Row],[Step]] &gt; current_step, "",Iterations[[#This Row],[Grad_d]]))</f>
        <v/>
      </c>
      <c r="R948" s="2" t="str">
        <f>IF(Iterations[[#This Row],[Step]] =current_step, current_Grad_e,IF(Iterations[[#This Row],[Step]] &gt; current_step, "",Iterations[[#This Row],[Grad_e]]))</f>
        <v/>
      </c>
    </row>
    <row r="949" spans="6:18" x14ac:dyDescent="0.3">
      <c r="F949" s="2">
        <f t="shared" si="17"/>
        <v>932</v>
      </c>
      <c r="G949" s="2" t="str">
        <f>IF(Iterations[[#This Row],[Step]] =current_step, current_a,IF(Iterations[[#This Row],[Step]] &gt; current_step, "",Iterations[[#This Row],[a]]))</f>
        <v/>
      </c>
      <c r="H949" s="2" t="str">
        <f>IF(Iterations[[#This Row],[Step]] =current_step, current_b,IF(Iterations[[#This Row],[Step]] &gt; current_step, "",Iterations[[#This Row],[b]]))</f>
        <v/>
      </c>
      <c r="I949" s="2" t="str">
        <f>IF(Iterations[[#This Row],[Step]] =current_step, current_c,IF(Iterations[[#This Row],[Step]] &gt; current_step, "",Iterations[[#This Row],[c]]))</f>
        <v/>
      </c>
      <c r="J949" s="2" t="str">
        <f>IF(Iterations[[#This Row],[Step]] =current_step, current_d,IF(Iterations[[#This Row],[Step]] &gt; current_step, "",Iterations[[#This Row],[d]]))</f>
        <v/>
      </c>
      <c r="K949" s="2" t="str">
        <f>IF(Iterations[[#This Row],[Step]] =current_step, current_e,IF(Iterations[[#This Row],[Step]] &gt; current_step, "",Iterations[[#This Row],[e]]))</f>
        <v/>
      </c>
      <c r="L949" s="2" t="str">
        <f>IF(Iterations[[#This Row],[Step]] =current_step, current_Total_Loss,IF(Iterations[[#This Row],[Step]] &gt; current_step, "",Iterations[[#This Row],[Total Loss]]))</f>
        <v/>
      </c>
      <c r="M949" s="6" t="s">
        <v>27</v>
      </c>
      <c r="N949" s="2" t="str">
        <f>IF(Iterations[[#This Row],[Step]] =current_step, current_Grad_a,IF(Iterations[[#This Row],[Step]] &gt; current_step, "",Iterations[[#This Row],[Grad_a]]))</f>
        <v/>
      </c>
      <c r="O949" s="2" t="str">
        <f>IF(Iterations[[#This Row],[Step]] =current_step, current_Grad_b,IF(Iterations[[#This Row],[Step]] &gt; current_step, "",Iterations[[#This Row],[Grad_b]]))</f>
        <v/>
      </c>
      <c r="P949" s="2" t="str">
        <f>IF(Iterations[[#This Row],[Step]] =current_step, current_Grad_c,IF(Iterations[[#This Row],[Step]] &gt; current_step, "",Iterations[[#This Row],[Grad_c]]))</f>
        <v/>
      </c>
      <c r="Q949" s="2" t="str">
        <f>IF(Iterations[[#This Row],[Step]] =current_step, current_Grad_d,IF(Iterations[[#This Row],[Step]] &gt; current_step, "",Iterations[[#This Row],[Grad_d]]))</f>
        <v/>
      </c>
      <c r="R949" s="2" t="str">
        <f>IF(Iterations[[#This Row],[Step]] =current_step, current_Grad_e,IF(Iterations[[#This Row],[Step]] &gt; current_step, "",Iterations[[#This Row],[Grad_e]]))</f>
        <v/>
      </c>
    </row>
    <row r="950" spans="6:18" x14ac:dyDescent="0.3">
      <c r="F950" s="2">
        <f t="shared" si="17"/>
        <v>933</v>
      </c>
      <c r="G950" s="2" t="str">
        <f>IF(Iterations[[#This Row],[Step]] =current_step, current_a,IF(Iterations[[#This Row],[Step]] &gt; current_step, "",Iterations[[#This Row],[a]]))</f>
        <v/>
      </c>
      <c r="H950" s="2" t="str">
        <f>IF(Iterations[[#This Row],[Step]] =current_step, current_b,IF(Iterations[[#This Row],[Step]] &gt; current_step, "",Iterations[[#This Row],[b]]))</f>
        <v/>
      </c>
      <c r="I950" s="2" t="str">
        <f>IF(Iterations[[#This Row],[Step]] =current_step, current_c,IF(Iterations[[#This Row],[Step]] &gt; current_step, "",Iterations[[#This Row],[c]]))</f>
        <v/>
      </c>
      <c r="J950" s="2" t="str">
        <f>IF(Iterations[[#This Row],[Step]] =current_step, current_d,IF(Iterations[[#This Row],[Step]] &gt; current_step, "",Iterations[[#This Row],[d]]))</f>
        <v/>
      </c>
      <c r="K950" s="2" t="str">
        <f>IF(Iterations[[#This Row],[Step]] =current_step, current_e,IF(Iterations[[#This Row],[Step]] &gt; current_step, "",Iterations[[#This Row],[e]]))</f>
        <v/>
      </c>
      <c r="L950" s="2" t="str">
        <f>IF(Iterations[[#This Row],[Step]] =current_step, current_Total_Loss,IF(Iterations[[#This Row],[Step]] &gt; current_step, "",Iterations[[#This Row],[Total Loss]]))</f>
        <v/>
      </c>
      <c r="M950" s="6" t="s">
        <v>27</v>
      </c>
      <c r="N950" s="2" t="str">
        <f>IF(Iterations[[#This Row],[Step]] =current_step, current_Grad_a,IF(Iterations[[#This Row],[Step]] &gt; current_step, "",Iterations[[#This Row],[Grad_a]]))</f>
        <v/>
      </c>
      <c r="O950" s="2" t="str">
        <f>IF(Iterations[[#This Row],[Step]] =current_step, current_Grad_b,IF(Iterations[[#This Row],[Step]] &gt; current_step, "",Iterations[[#This Row],[Grad_b]]))</f>
        <v/>
      </c>
      <c r="P950" s="2" t="str">
        <f>IF(Iterations[[#This Row],[Step]] =current_step, current_Grad_c,IF(Iterations[[#This Row],[Step]] &gt; current_step, "",Iterations[[#This Row],[Grad_c]]))</f>
        <v/>
      </c>
      <c r="Q950" s="2" t="str">
        <f>IF(Iterations[[#This Row],[Step]] =current_step, current_Grad_d,IF(Iterations[[#This Row],[Step]] &gt; current_step, "",Iterations[[#This Row],[Grad_d]]))</f>
        <v/>
      </c>
      <c r="R950" s="2" t="str">
        <f>IF(Iterations[[#This Row],[Step]] =current_step, current_Grad_e,IF(Iterations[[#This Row],[Step]] &gt; current_step, "",Iterations[[#This Row],[Grad_e]]))</f>
        <v/>
      </c>
    </row>
    <row r="951" spans="6:18" x14ac:dyDescent="0.3">
      <c r="F951" s="2">
        <f t="shared" si="17"/>
        <v>934</v>
      </c>
      <c r="G951" s="2" t="str">
        <f>IF(Iterations[[#This Row],[Step]] =current_step, current_a,IF(Iterations[[#This Row],[Step]] &gt; current_step, "",Iterations[[#This Row],[a]]))</f>
        <v/>
      </c>
      <c r="H951" s="2" t="str">
        <f>IF(Iterations[[#This Row],[Step]] =current_step, current_b,IF(Iterations[[#This Row],[Step]] &gt; current_step, "",Iterations[[#This Row],[b]]))</f>
        <v/>
      </c>
      <c r="I951" s="2" t="str">
        <f>IF(Iterations[[#This Row],[Step]] =current_step, current_c,IF(Iterations[[#This Row],[Step]] &gt; current_step, "",Iterations[[#This Row],[c]]))</f>
        <v/>
      </c>
      <c r="J951" s="2" t="str">
        <f>IF(Iterations[[#This Row],[Step]] =current_step, current_d,IF(Iterations[[#This Row],[Step]] &gt; current_step, "",Iterations[[#This Row],[d]]))</f>
        <v/>
      </c>
      <c r="K951" s="2" t="str">
        <f>IF(Iterations[[#This Row],[Step]] =current_step, current_e,IF(Iterations[[#This Row],[Step]] &gt; current_step, "",Iterations[[#This Row],[e]]))</f>
        <v/>
      </c>
      <c r="L951" s="2" t="str">
        <f>IF(Iterations[[#This Row],[Step]] =current_step, current_Total_Loss,IF(Iterations[[#This Row],[Step]] &gt; current_step, "",Iterations[[#This Row],[Total Loss]]))</f>
        <v/>
      </c>
      <c r="M951" s="6" t="s">
        <v>27</v>
      </c>
      <c r="N951" s="2" t="str">
        <f>IF(Iterations[[#This Row],[Step]] =current_step, current_Grad_a,IF(Iterations[[#This Row],[Step]] &gt; current_step, "",Iterations[[#This Row],[Grad_a]]))</f>
        <v/>
      </c>
      <c r="O951" s="2" t="str">
        <f>IF(Iterations[[#This Row],[Step]] =current_step, current_Grad_b,IF(Iterations[[#This Row],[Step]] &gt; current_step, "",Iterations[[#This Row],[Grad_b]]))</f>
        <v/>
      </c>
      <c r="P951" s="2" t="str">
        <f>IF(Iterations[[#This Row],[Step]] =current_step, current_Grad_c,IF(Iterations[[#This Row],[Step]] &gt; current_step, "",Iterations[[#This Row],[Grad_c]]))</f>
        <v/>
      </c>
      <c r="Q951" s="2" t="str">
        <f>IF(Iterations[[#This Row],[Step]] =current_step, current_Grad_d,IF(Iterations[[#This Row],[Step]] &gt; current_step, "",Iterations[[#This Row],[Grad_d]]))</f>
        <v/>
      </c>
      <c r="R951" s="2" t="str">
        <f>IF(Iterations[[#This Row],[Step]] =current_step, current_Grad_e,IF(Iterations[[#This Row],[Step]] &gt; current_step, "",Iterations[[#This Row],[Grad_e]]))</f>
        <v/>
      </c>
    </row>
    <row r="952" spans="6:18" x14ac:dyDescent="0.3">
      <c r="F952" s="2">
        <f t="shared" si="17"/>
        <v>935</v>
      </c>
      <c r="G952" s="2" t="str">
        <f>IF(Iterations[[#This Row],[Step]] =current_step, current_a,IF(Iterations[[#This Row],[Step]] &gt; current_step, "",Iterations[[#This Row],[a]]))</f>
        <v/>
      </c>
      <c r="H952" s="2" t="str">
        <f>IF(Iterations[[#This Row],[Step]] =current_step, current_b,IF(Iterations[[#This Row],[Step]] &gt; current_step, "",Iterations[[#This Row],[b]]))</f>
        <v/>
      </c>
      <c r="I952" s="2" t="str">
        <f>IF(Iterations[[#This Row],[Step]] =current_step, current_c,IF(Iterations[[#This Row],[Step]] &gt; current_step, "",Iterations[[#This Row],[c]]))</f>
        <v/>
      </c>
      <c r="J952" s="2" t="str">
        <f>IF(Iterations[[#This Row],[Step]] =current_step, current_d,IF(Iterations[[#This Row],[Step]] &gt; current_step, "",Iterations[[#This Row],[d]]))</f>
        <v/>
      </c>
      <c r="K952" s="2" t="str">
        <f>IF(Iterations[[#This Row],[Step]] =current_step, current_e,IF(Iterations[[#This Row],[Step]] &gt; current_step, "",Iterations[[#This Row],[e]]))</f>
        <v/>
      </c>
      <c r="L952" s="2" t="str">
        <f>IF(Iterations[[#This Row],[Step]] =current_step, current_Total_Loss,IF(Iterations[[#This Row],[Step]] &gt; current_step, "",Iterations[[#This Row],[Total Loss]]))</f>
        <v/>
      </c>
      <c r="M952" s="6" t="s">
        <v>27</v>
      </c>
      <c r="N952" s="2" t="str">
        <f>IF(Iterations[[#This Row],[Step]] =current_step, current_Grad_a,IF(Iterations[[#This Row],[Step]] &gt; current_step, "",Iterations[[#This Row],[Grad_a]]))</f>
        <v/>
      </c>
      <c r="O952" s="2" t="str">
        <f>IF(Iterations[[#This Row],[Step]] =current_step, current_Grad_b,IF(Iterations[[#This Row],[Step]] &gt; current_step, "",Iterations[[#This Row],[Grad_b]]))</f>
        <v/>
      </c>
      <c r="P952" s="2" t="str">
        <f>IF(Iterations[[#This Row],[Step]] =current_step, current_Grad_c,IF(Iterations[[#This Row],[Step]] &gt; current_step, "",Iterations[[#This Row],[Grad_c]]))</f>
        <v/>
      </c>
      <c r="Q952" s="2" t="str">
        <f>IF(Iterations[[#This Row],[Step]] =current_step, current_Grad_d,IF(Iterations[[#This Row],[Step]] &gt; current_step, "",Iterations[[#This Row],[Grad_d]]))</f>
        <v/>
      </c>
      <c r="R952" s="2" t="str">
        <f>IF(Iterations[[#This Row],[Step]] =current_step, current_Grad_e,IF(Iterations[[#This Row],[Step]] &gt; current_step, "",Iterations[[#This Row],[Grad_e]]))</f>
        <v/>
      </c>
    </row>
    <row r="953" spans="6:18" x14ac:dyDescent="0.3">
      <c r="F953" s="2">
        <f t="shared" si="17"/>
        <v>936</v>
      </c>
      <c r="G953" s="2" t="str">
        <f>IF(Iterations[[#This Row],[Step]] =current_step, current_a,IF(Iterations[[#This Row],[Step]] &gt; current_step, "",Iterations[[#This Row],[a]]))</f>
        <v/>
      </c>
      <c r="H953" s="2" t="str">
        <f>IF(Iterations[[#This Row],[Step]] =current_step, current_b,IF(Iterations[[#This Row],[Step]] &gt; current_step, "",Iterations[[#This Row],[b]]))</f>
        <v/>
      </c>
      <c r="I953" s="2" t="str">
        <f>IF(Iterations[[#This Row],[Step]] =current_step, current_c,IF(Iterations[[#This Row],[Step]] &gt; current_step, "",Iterations[[#This Row],[c]]))</f>
        <v/>
      </c>
      <c r="J953" s="2" t="str">
        <f>IF(Iterations[[#This Row],[Step]] =current_step, current_d,IF(Iterations[[#This Row],[Step]] &gt; current_step, "",Iterations[[#This Row],[d]]))</f>
        <v/>
      </c>
      <c r="K953" s="2" t="str">
        <f>IF(Iterations[[#This Row],[Step]] =current_step, current_e,IF(Iterations[[#This Row],[Step]] &gt; current_step, "",Iterations[[#This Row],[e]]))</f>
        <v/>
      </c>
      <c r="L953" s="2" t="str">
        <f>IF(Iterations[[#This Row],[Step]] =current_step, current_Total_Loss,IF(Iterations[[#This Row],[Step]] &gt; current_step, "",Iterations[[#This Row],[Total Loss]]))</f>
        <v/>
      </c>
      <c r="M953" s="6" t="s">
        <v>27</v>
      </c>
      <c r="N953" s="2" t="str">
        <f>IF(Iterations[[#This Row],[Step]] =current_step, current_Grad_a,IF(Iterations[[#This Row],[Step]] &gt; current_step, "",Iterations[[#This Row],[Grad_a]]))</f>
        <v/>
      </c>
      <c r="O953" s="2" t="str">
        <f>IF(Iterations[[#This Row],[Step]] =current_step, current_Grad_b,IF(Iterations[[#This Row],[Step]] &gt; current_step, "",Iterations[[#This Row],[Grad_b]]))</f>
        <v/>
      </c>
      <c r="P953" s="2" t="str">
        <f>IF(Iterations[[#This Row],[Step]] =current_step, current_Grad_c,IF(Iterations[[#This Row],[Step]] &gt; current_step, "",Iterations[[#This Row],[Grad_c]]))</f>
        <v/>
      </c>
      <c r="Q953" s="2" t="str">
        <f>IF(Iterations[[#This Row],[Step]] =current_step, current_Grad_d,IF(Iterations[[#This Row],[Step]] &gt; current_step, "",Iterations[[#This Row],[Grad_d]]))</f>
        <v/>
      </c>
      <c r="R953" s="2" t="str">
        <f>IF(Iterations[[#This Row],[Step]] =current_step, current_Grad_e,IF(Iterations[[#This Row],[Step]] &gt; current_step, "",Iterations[[#This Row],[Grad_e]]))</f>
        <v/>
      </c>
    </row>
    <row r="954" spans="6:18" x14ac:dyDescent="0.3">
      <c r="F954" s="2">
        <f t="shared" si="17"/>
        <v>937</v>
      </c>
      <c r="G954" s="2" t="str">
        <f>IF(Iterations[[#This Row],[Step]] =current_step, current_a,IF(Iterations[[#This Row],[Step]] &gt; current_step, "",Iterations[[#This Row],[a]]))</f>
        <v/>
      </c>
      <c r="H954" s="2" t="str">
        <f>IF(Iterations[[#This Row],[Step]] =current_step, current_b,IF(Iterations[[#This Row],[Step]] &gt; current_step, "",Iterations[[#This Row],[b]]))</f>
        <v/>
      </c>
      <c r="I954" s="2" t="str">
        <f>IF(Iterations[[#This Row],[Step]] =current_step, current_c,IF(Iterations[[#This Row],[Step]] &gt; current_step, "",Iterations[[#This Row],[c]]))</f>
        <v/>
      </c>
      <c r="J954" s="2" t="str">
        <f>IF(Iterations[[#This Row],[Step]] =current_step, current_d,IF(Iterations[[#This Row],[Step]] &gt; current_step, "",Iterations[[#This Row],[d]]))</f>
        <v/>
      </c>
      <c r="K954" s="2" t="str">
        <f>IF(Iterations[[#This Row],[Step]] =current_step, current_e,IF(Iterations[[#This Row],[Step]] &gt; current_step, "",Iterations[[#This Row],[e]]))</f>
        <v/>
      </c>
      <c r="L954" s="2" t="str">
        <f>IF(Iterations[[#This Row],[Step]] =current_step, current_Total_Loss,IF(Iterations[[#This Row],[Step]] &gt; current_step, "",Iterations[[#This Row],[Total Loss]]))</f>
        <v/>
      </c>
      <c r="M954" s="6" t="s">
        <v>27</v>
      </c>
      <c r="N954" s="2" t="str">
        <f>IF(Iterations[[#This Row],[Step]] =current_step, current_Grad_a,IF(Iterations[[#This Row],[Step]] &gt; current_step, "",Iterations[[#This Row],[Grad_a]]))</f>
        <v/>
      </c>
      <c r="O954" s="2" t="str">
        <f>IF(Iterations[[#This Row],[Step]] =current_step, current_Grad_b,IF(Iterations[[#This Row],[Step]] &gt; current_step, "",Iterations[[#This Row],[Grad_b]]))</f>
        <v/>
      </c>
      <c r="P954" s="2" t="str">
        <f>IF(Iterations[[#This Row],[Step]] =current_step, current_Grad_c,IF(Iterations[[#This Row],[Step]] &gt; current_step, "",Iterations[[#This Row],[Grad_c]]))</f>
        <v/>
      </c>
      <c r="Q954" s="2" t="str">
        <f>IF(Iterations[[#This Row],[Step]] =current_step, current_Grad_d,IF(Iterations[[#This Row],[Step]] &gt; current_step, "",Iterations[[#This Row],[Grad_d]]))</f>
        <v/>
      </c>
      <c r="R954" s="2" t="str">
        <f>IF(Iterations[[#This Row],[Step]] =current_step, current_Grad_e,IF(Iterations[[#This Row],[Step]] &gt; current_step, "",Iterations[[#This Row],[Grad_e]]))</f>
        <v/>
      </c>
    </row>
    <row r="955" spans="6:18" x14ac:dyDescent="0.3">
      <c r="F955" s="2">
        <f t="shared" si="17"/>
        <v>938</v>
      </c>
      <c r="G955" s="2" t="str">
        <f>IF(Iterations[[#This Row],[Step]] =current_step, current_a,IF(Iterations[[#This Row],[Step]] &gt; current_step, "",Iterations[[#This Row],[a]]))</f>
        <v/>
      </c>
      <c r="H955" s="2" t="str">
        <f>IF(Iterations[[#This Row],[Step]] =current_step, current_b,IF(Iterations[[#This Row],[Step]] &gt; current_step, "",Iterations[[#This Row],[b]]))</f>
        <v/>
      </c>
      <c r="I955" s="2" t="str">
        <f>IF(Iterations[[#This Row],[Step]] =current_step, current_c,IF(Iterations[[#This Row],[Step]] &gt; current_step, "",Iterations[[#This Row],[c]]))</f>
        <v/>
      </c>
      <c r="J955" s="2" t="str">
        <f>IF(Iterations[[#This Row],[Step]] =current_step, current_d,IF(Iterations[[#This Row],[Step]] &gt; current_step, "",Iterations[[#This Row],[d]]))</f>
        <v/>
      </c>
      <c r="K955" s="2" t="str">
        <f>IF(Iterations[[#This Row],[Step]] =current_step, current_e,IF(Iterations[[#This Row],[Step]] &gt; current_step, "",Iterations[[#This Row],[e]]))</f>
        <v/>
      </c>
      <c r="L955" s="2" t="str">
        <f>IF(Iterations[[#This Row],[Step]] =current_step, current_Total_Loss,IF(Iterations[[#This Row],[Step]] &gt; current_step, "",Iterations[[#This Row],[Total Loss]]))</f>
        <v/>
      </c>
      <c r="M955" s="6" t="s">
        <v>27</v>
      </c>
      <c r="N955" s="2" t="str">
        <f>IF(Iterations[[#This Row],[Step]] =current_step, current_Grad_a,IF(Iterations[[#This Row],[Step]] &gt; current_step, "",Iterations[[#This Row],[Grad_a]]))</f>
        <v/>
      </c>
      <c r="O955" s="2" t="str">
        <f>IF(Iterations[[#This Row],[Step]] =current_step, current_Grad_b,IF(Iterations[[#This Row],[Step]] &gt; current_step, "",Iterations[[#This Row],[Grad_b]]))</f>
        <v/>
      </c>
      <c r="P955" s="2" t="str">
        <f>IF(Iterations[[#This Row],[Step]] =current_step, current_Grad_c,IF(Iterations[[#This Row],[Step]] &gt; current_step, "",Iterations[[#This Row],[Grad_c]]))</f>
        <v/>
      </c>
      <c r="Q955" s="2" t="str">
        <f>IF(Iterations[[#This Row],[Step]] =current_step, current_Grad_d,IF(Iterations[[#This Row],[Step]] &gt; current_step, "",Iterations[[#This Row],[Grad_d]]))</f>
        <v/>
      </c>
      <c r="R955" s="2" t="str">
        <f>IF(Iterations[[#This Row],[Step]] =current_step, current_Grad_e,IF(Iterations[[#This Row],[Step]] &gt; current_step, "",Iterations[[#This Row],[Grad_e]]))</f>
        <v/>
      </c>
    </row>
    <row r="956" spans="6:18" x14ac:dyDescent="0.3">
      <c r="F956" s="2">
        <f t="shared" si="17"/>
        <v>939</v>
      </c>
      <c r="G956" s="2" t="str">
        <f>IF(Iterations[[#This Row],[Step]] =current_step, current_a,IF(Iterations[[#This Row],[Step]] &gt; current_step, "",Iterations[[#This Row],[a]]))</f>
        <v/>
      </c>
      <c r="H956" s="2" t="str">
        <f>IF(Iterations[[#This Row],[Step]] =current_step, current_b,IF(Iterations[[#This Row],[Step]] &gt; current_step, "",Iterations[[#This Row],[b]]))</f>
        <v/>
      </c>
      <c r="I956" s="2" t="str">
        <f>IF(Iterations[[#This Row],[Step]] =current_step, current_c,IF(Iterations[[#This Row],[Step]] &gt; current_step, "",Iterations[[#This Row],[c]]))</f>
        <v/>
      </c>
      <c r="J956" s="2" t="str">
        <f>IF(Iterations[[#This Row],[Step]] =current_step, current_d,IF(Iterations[[#This Row],[Step]] &gt; current_step, "",Iterations[[#This Row],[d]]))</f>
        <v/>
      </c>
      <c r="K956" s="2" t="str">
        <f>IF(Iterations[[#This Row],[Step]] =current_step, current_e,IF(Iterations[[#This Row],[Step]] &gt; current_step, "",Iterations[[#This Row],[e]]))</f>
        <v/>
      </c>
      <c r="L956" s="2" t="str">
        <f>IF(Iterations[[#This Row],[Step]] =current_step, current_Total_Loss,IF(Iterations[[#This Row],[Step]] &gt; current_step, "",Iterations[[#This Row],[Total Loss]]))</f>
        <v/>
      </c>
      <c r="M956" s="6" t="s">
        <v>27</v>
      </c>
      <c r="N956" s="2" t="str">
        <f>IF(Iterations[[#This Row],[Step]] =current_step, current_Grad_a,IF(Iterations[[#This Row],[Step]] &gt; current_step, "",Iterations[[#This Row],[Grad_a]]))</f>
        <v/>
      </c>
      <c r="O956" s="2" t="str">
        <f>IF(Iterations[[#This Row],[Step]] =current_step, current_Grad_b,IF(Iterations[[#This Row],[Step]] &gt; current_step, "",Iterations[[#This Row],[Grad_b]]))</f>
        <v/>
      </c>
      <c r="P956" s="2" t="str">
        <f>IF(Iterations[[#This Row],[Step]] =current_step, current_Grad_c,IF(Iterations[[#This Row],[Step]] &gt; current_step, "",Iterations[[#This Row],[Grad_c]]))</f>
        <v/>
      </c>
      <c r="Q956" s="2" t="str">
        <f>IF(Iterations[[#This Row],[Step]] =current_step, current_Grad_d,IF(Iterations[[#This Row],[Step]] &gt; current_step, "",Iterations[[#This Row],[Grad_d]]))</f>
        <v/>
      </c>
      <c r="R956" s="2" t="str">
        <f>IF(Iterations[[#This Row],[Step]] =current_step, current_Grad_e,IF(Iterations[[#This Row],[Step]] &gt; current_step, "",Iterations[[#This Row],[Grad_e]]))</f>
        <v/>
      </c>
    </row>
    <row r="957" spans="6:18" x14ac:dyDescent="0.3">
      <c r="F957" s="2">
        <f t="shared" si="17"/>
        <v>940</v>
      </c>
      <c r="G957" s="2" t="str">
        <f>IF(Iterations[[#This Row],[Step]] =current_step, current_a,IF(Iterations[[#This Row],[Step]] &gt; current_step, "",Iterations[[#This Row],[a]]))</f>
        <v/>
      </c>
      <c r="H957" s="2" t="str">
        <f>IF(Iterations[[#This Row],[Step]] =current_step, current_b,IF(Iterations[[#This Row],[Step]] &gt; current_step, "",Iterations[[#This Row],[b]]))</f>
        <v/>
      </c>
      <c r="I957" s="2" t="str">
        <f>IF(Iterations[[#This Row],[Step]] =current_step, current_c,IF(Iterations[[#This Row],[Step]] &gt; current_step, "",Iterations[[#This Row],[c]]))</f>
        <v/>
      </c>
      <c r="J957" s="2" t="str">
        <f>IF(Iterations[[#This Row],[Step]] =current_step, current_d,IF(Iterations[[#This Row],[Step]] &gt; current_step, "",Iterations[[#This Row],[d]]))</f>
        <v/>
      </c>
      <c r="K957" s="2" t="str">
        <f>IF(Iterations[[#This Row],[Step]] =current_step, current_e,IF(Iterations[[#This Row],[Step]] &gt; current_step, "",Iterations[[#This Row],[e]]))</f>
        <v/>
      </c>
      <c r="L957" s="2" t="str">
        <f>IF(Iterations[[#This Row],[Step]] =current_step, current_Total_Loss,IF(Iterations[[#This Row],[Step]] &gt; current_step, "",Iterations[[#This Row],[Total Loss]]))</f>
        <v/>
      </c>
      <c r="M957" s="6" t="s">
        <v>27</v>
      </c>
      <c r="N957" s="2" t="str">
        <f>IF(Iterations[[#This Row],[Step]] =current_step, current_Grad_a,IF(Iterations[[#This Row],[Step]] &gt; current_step, "",Iterations[[#This Row],[Grad_a]]))</f>
        <v/>
      </c>
      <c r="O957" s="2" t="str">
        <f>IF(Iterations[[#This Row],[Step]] =current_step, current_Grad_b,IF(Iterations[[#This Row],[Step]] &gt; current_step, "",Iterations[[#This Row],[Grad_b]]))</f>
        <v/>
      </c>
      <c r="P957" s="2" t="str">
        <f>IF(Iterations[[#This Row],[Step]] =current_step, current_Grad_c,IF(Iterations[[#This Row],[Step]] &gt; current_step, "",Iterations[[#This Row],[Grad_c]]))</f>
        <v/>
      </c>
      <c r="Q957" s="2" t="str">
        <f>IF(Iterations[[#This Row],[Step]] =current_step, current_Grad_d,IF(Iterations[[#This Row],[Step]] &gt; current_step, "",Iterations[[#This Row],[Grad_d]]))</f>
        <v/>
      </c>
      <c r="R957" s="2" t="str">
        <f>IF(Iterations[[#This Row],[Step]] =current_step, current_Grad_e,IF(Iterations[[#This Row],[Step]] &gt; current_step, "",Iterations[[#This Row],[Grad_e]]))</f>
        <v/>
      </c>
    </row>
    <row r="958" spans="6:18" x14ac:dyDescent="0.3">
      <c r="F958" s="2">
        <f t="shared" ref="F958:F982" si="18">F957+1</f>
        <v>941</v>
      </c>
      <c r="G958" s="2" t="str">
        <f>IF(Iterations[[#This Row],[Step]] =current_step, current_a,IF(Iterations[[#This Row],[Step]] &gt; current_step, "",Iterations[[#This Row],[a]]))</f>
        <v/>
      </c>
      <c r="H958" s="2" t="str">
        <f>IF(Iterations[[#This Row],[Step]] =current_step, current_b,IF(Iterations[[#This Row],[Step]] &gt; current_step, "",Iterations[[#This Row],[b]]))</f>
        <v/>
      </c>
      <c r="I958" s="2" t="str">
        <f>IF(Iterations[[#This Row],[Step]] =current_step, current_c,IF(Iterations[[#This Row],[Step]] &gt; current_step, "",Iterations[[#This Row],[c]]))</f>
        <v/>
      </c>
      <c r="J958" s="2" t="str">
        <f>IF(Iterations[[#This Row],[Step]] =current_step, current_d,IF(Iterations[[#This Row],[Step]] &gt; current_step, "",Iterations[[#This Row],[d]]))</f>
        <v/>
      </c>
      <c r="K958" s="2" t="str">
        <f>IF(Iterations[[#This Row],[Step]] =current_step, current_e,IF(Iterations[[#This Row],[Step]] &gt; current_step, "",Iterations[[#This Row],[e]]))</f>
        <v/>
      </c>
      <c r="L958" s="2" t="str">
        <f>IF(Iterations[[#This Row],[Step]] =current_step, current_Total_Loss,IF(Iterations[[#This Row],[Step]] &gt; current_step, "",Iterations[[#This Row],[Total Loss]]))</f>
        <v/>
      </c>
      <c r="M958" s="6" t="s">
        <v>27</v>
      </c>
      <c r="N958" s="2" t="str">
        <f>IF(Iterations[[#This Row],[Step]] =current_step, current_Grad_a,IF(Iterations[[#This Row],[Step]] &gt; current_step, "",Iterations[[#This Row],[Grad_a]]))</f>
        <v/>
      </c>
      <c r="O958" s="2" t="str">
        <f>IF(Iterations[[#This Row],[Step]] =current_step, current_Grad_b,IF(Iterations[[#This Row],[Step]] &gt; current_step, "",Iterations[[#This Row],[Grad_b]]))</f>
        <v/>
      </c>
      <c r="P958" s="2" t="str">
        <f>IF(Iterations[[#This Row],[Step]] =current_step, current_Grad_c,IF(Iterations[[#This Row],[Step]] &gt; current_step, "",Iterations[[#This Row],[Grad_c]]))</f>
        <v/>
      </c>
      <c r="Q958" s="2" t="str">
        <f>IF(Iterations[[#This Row],[Step]] =current_step, current_Grad_d,IF(Iterations[[#This Row],[Step]] &gt; current_step, "",Iterations[[#This Row],[Grad_d]]))</f>
        <v/>
      </c>
      <c r="R958" s="2" t="str">
        <f>IF(Iterations[[#This Row],[Step]] =current_step, current_Grad_e,IF(Iterations[[#This Row],[Step]] &gt; current_step, "",Iterations[[#This Row],[Grad_e]]))</f>
        <v/>
      </c>
    </row>
    <row r="959" spans="6:18" x14ac:dyDescent="0.3">
      <c r="F959" s="2">
        <f t="shared" si="18"/>
        <v>942</v>
      </c>
      <c r="G959" s="2" t="str">
        <f>IF(Iterations[[#This Row],[Step]] =current_step, current_a,IF(Iterations[[#This Row],[Step]] &gt; current_step, "",Iterations[[#This Row],[a]]))</f>
        <v/>
      </c>
      <c r="H959" s="2" t="str">
        <f>IF(Iterations[[#This Row],[Step]] =current_step, current_b,IF(Iterations[[#This Row],[Step]] &gt; current_step, "",Iterations[[#This Row],[b]]))</f>
        <v/>
      </c>
      <c r="I959" s="2" t="str">
        <f>IF(Iterations[[#This Row],[Step]] =current_step, current_c,IF(Iterations[[#This Row],[Step]] &gt; current_step, "",Iterations[[#This Row],[c]]))</f>
        <v/>
      </c>
      <c r="J959" s="2" t="str">
        <f>IF(Iterations[[#This Row],[Step]] =current_step, current_d,IF(Iterations[[#This Row],[Step]] &gt; current_step, "",Iterations[[#This Row],[d]]))</f>
        <v/>
      </c>
      <c r="K959" s="2" t="str">
        <f>IF(Iterations[[#This Row],[Step]] =current_step, current_e,IF(Iterations[[#This Row],[Step]] &gt; current_step, "",Iterations[[#This Row],[e]]))</f>
        <v/>
      </c>
      <c r="L959" s="2" t="str">
        <f>IF(Iterations[[#This Row],[Step]] =current_step, current_Total_Loss,IF(Iterations[[#This Row],[Step]] &gt; current_step, "",Iterations[[#This Row],[Total Loss]]))</f>
        <v/>
      </c>
      <c r="M959" s="6" t="s">
        <v>27</v>
      </c>
      <c r="N959" s="2" t="str">
        <f>IF(Iterations[[#This Row],[Step]] =current_step, current_Grad_a,IF(Iterations[[#This Row],[Step]] &gt; current_step, "",Iterations[[#This Row],[Grad_a]]))</f>
        <v/>
      </c>
      <c r="O959" s="2" t="str">
        <f>IF(Iterations[[#This Row],[Step]] =current_step, current_Grad_b,IF(Iterations[[#This Row],[Step]] &gt; current_step, "",Iterations[[#This Row],[Grad_b]]))</f>
        <v/>
      </c>
      <c r="P959" s="2" t="str">
        <f>IF(Iterations[[#This Row],[Step]] =current_step, current_Grad_c,IF(Iterations[[#This Row],[Step]] &gt; current_step, "",Iterations[[#This Row],[Grad_c]]))</f>
        <v/>
      </c>
      <c r="Q959" s="2" t="str">
        <f>IF(Iterations[[#This Row],[Step]] =current_step, current_Grad_d,IF(Iterations[[#This Row],[Step]] &gt; current_step, "",Iterations[[#This Row],[Grad_d]]))</f>
        <v/>
      </c>
      <c r="R959" s="2" t="str">
        <f>IF(Iterations[[#This Row],[Step]] =current_step, current_Grad_e,IF(Iterations[[#This Row],[Step]] &gt; current_step, "",Iterations[[#This Row],[Grad_e]]))</f>
        <v/>
      </c>
    </row>
    <row r="960" spans="6:18" x14ac:dyDescent="0.3">
      <c r="F960" s="2">
        <f t="shared" si="18"/>
        <v>943</v>
      </c>
      <c r="G960" s="2" t="str">
        <f>IF(Iterations[[#This Row],[Step]] =current_step, current_a,IF(Iterations[[#This Row],[Step]] &gt; current_step, "",Iterations[[#This Row],[a]]))</f>
        <v/>
      </c>
      <c r="H960" s="2" t="str">
        <f>IF(Iterations[[#This Row],[Step]] =current_step, current_b,IF(Iterations[[#This Row],[Step]] &gt; current_step, "",Iterations[[#This Row],[b]]))</f>
        <v/>
      </c>
      <c r="I960" s="2" t="str">
        <f>IF(Iterations[[#This Row],[Step]] =current_step, current_c,IF(Iterations[[#This Row],[Step]] &gt; current_step, "",Iterations[[#This Row],[c]]))</f>
        <v/>
      </c>
      <c r="J960" s="2" t="str">
        <f>IF(Iterations[[#This Row],[Step]] =current_step, current_d,IF(Iterations[[#This Row],[Step]] &gt; current_step, "",Iterations[[#This Row],[d]]))</f>
        <v/>
      </c>
      <c r="K960" s="2" t="str">
        <f>IF(Iterations[[#This Row],[Step]] =current_step, current_e,IF(Iterations[[#This Row],[Step]] &gt; current_step, "",Iterations[[#This Row],[e]]))</f>
        <v/>
      </c>
      <c r="L960" s="2" t="str">
        <f>IF(Iterations[[#This Row],[Step]] =current_step, current_Total_Loss,IF(Iterations[[#This Row],[Step]] &gt; current_step, "",Iterations[[#This Row],[Total Loss]]))</f>
        <v/>
      </c>
      <c r="M960" s="6" t="s">
        <v>27</v>
      </c>
      <c r="N960" s="2" t="str">
        <f>IF(Iterations[[#This Row],[Step]] =current_step, current_Grad_a,IF(Iterations[[#This Row],[Step]] &gt; current_step, "",Iterations[[#This Row],[Grad_a]]))</f>
        <v/>
      </c>
      <c r="O960" s="2" t="str">
        <f>IF(Iterations[[#This Row],[Step]] =current_step, current_Grad_b,IF(Iterations[[#This Row],[Step]] &gt; current_step, "",Iterations[[#This Row],[Grad_b]]))</f>
        <v/>
      </c>
      <c r="P960" s="2" t="str">
        <f>IF(Iterations[[#This Row],[Step]] =current_step, current_Grad_c,IF(Iterations[[#This Row],[Step]] &gt; current_step, "",Iterations[[#This Row],[Grad_c]]))</f>
        <v/>
      </c>
      <c r="Q960" s="2" t="str">
        <f>IF(Iterations[[#This Row],[Step]] =current_step, current_Grad_d,IF(Iterations[[#This Row],[Step]] &gt; current_step, "",Iterations[[#This Row],[Grad_d]]))</f>
        <v/>
      </c>
      <c r="R960" s="2" t="str">
        <f>IF(Iterations[[#This Row],[Step]] =current_step, current_Grad_e,IF(Iterations[[#This Row],[Step]] &gt; current_step, "",Iterations[[#This Row],[Grad_e]]))</f>
        <v/>
      </c>
    </row>
    <row r="961" spans="6:18" x14ac:dyDescent="0.3">
      <c r="F961" s="2">
        <f t="shared" si="18"/>
        <v>944</v>
      </c>
      <c r="G961" s="2" t="str">
        <f>IF(Iterations[[#This Row],[Step]] =current_step, current_a,IF(Iterations[[#This Row],[Step]] &gt; current_step, "",Iterations[[#This Row],[a]]))</f>
        <v/>
      </c>
      <c r="H961" s="2" t="str">
        <f>IF(Iterations[[#This Row],[Step]] =current_step, current_b,IF(Iterations[[#This Row],[Step]] &gt; current_step, "",Iterations[[#This Row],[b]]))</f>
        <v/>
      </c>
      <c r="I961" s="2" t="str">
        <f>IF(Iterations[[#This Row],[Step]] =current_step, current_c,IF(Iterations[[#This Row],[Step]] &gt; current_step, "",Iterations[[#This Row],[c]]))</f>
        <v/>
      </c>
      <c r="J961" s="2" t="str">
        <f>IF(Iterations[[#This Row],[Step]] =current_step, current_d,IF(Iterations[[#This Row],[Step]] &gt; current_step, "",Iterations[[#This Row],[d]]))</f>
        <v/>
      </c>
      <c r="K961" s="2" t="str">
        <f>IF(Iterations[[#This Row],[Step]] =current_step, current_e,IF(Iterations[[#This Row],[Step]] &gt; current_step, "",Iterations[[#This Row],[e]]))</f>
        <v/>
      </c>
      <c r="L961" s="2" t="str">
        <f>IF(Iterations[[#This Row],[Step]] =current_step, current_Total_Loss,IF(Iterations[[#This Row],[Step]] &gt; current_step, "",Iterations[[#This Row],[Total Loss]]))</f>
        <v/>
      </c>
      <c r="M961" s="6" t="s">
        <v>27</v>
      </c>
      <c r="N961" s="2" t="str">
        <f>IF(Iterations[[#This Row],[Step]] =current_step, current_Grad_a,IF(Iterations[[#This Row],[Step]] &gt; current_step, "",Iterations[[#This Row],[Grad_a]]))</f>
        <v/>
      </c>
      <c r="O961" s="2" t="str">
        <f>IF(Iterations[[#This Row],[Step]] =current_step, current_Grad_b,IF(Iterations[[#This Row],[Step]] &gt; current_step, "",Iterations[[#This Row],[Grad_b]]))</f>
        <v/>
      </c>
      <c r="P961" s="2" t="str">
        <f>IF(Iterations[[#This Row],[Step]] =current_step, current_Grad_c,IF(Iterations[[#This Row],[Step]] &gt; current_step, "",Iterations[[#This Row],[Grad_c]]))</f>
        <v/>
      </c>
      <c r="Q961" s="2" t="str">
        <f>IF(Iterations[[#This Row],[Step]] =current_step, current_Grad_d,IF(Iterations[[#This Row],[Step]] &gt; current_step, "",Iterations[[#This Row],[Grad_d]]))</f>
        <v/>
      </c>
      <c r="R961" s="2" t="str">
        <f>IF(Iterations[[#This Row],[Step]] =current_step, current_Grad_e,IF(Iterations[[#This Row],[Step]] &gt; current_step, "",Iterations[[#This Row],[Grad_e]]))</f>
        <v/>
      </c>
    </row>
    <row r="962" spans="6:18" x14ac:dyDescent="0.3">
      <c r="F962" s="2">
        <f t="shared" si="18"/>
        <v>945</v>
      </c>
      <c r="G962" s="2" t="str">
        <f>IF(Iterations[[#This Row],[Step]] =current_step, current_a,IF(Iterations[[#This Row],[Step]] &gt; current_step, "",Iterations[[#This Row],[a]]))</f>
        <v/>
      </c>
      <c r="H962" s="2" t="str">
        <f>IF(Iterations[[#This Row],[Step]] =current_step, current_b,IF(Iterations[[#This Row],[Step]] &gt; current_step, "",Iterations[[#This Row],[b]]))</f>
        <v/>
      </c>
      <c r="I962" s="2" t="str">
        <f>IF(Iterations[[#This Row],[Step]] =current_step, current_c,IF(Iterations[[#This Row],[Step]] &gt; current_step, "",Iterations[[#This Row],[c]]))</f>
        <v/>
      </c>
      <c r="J962" s="2" t="str">
        <f>IF(Iterations[[#This Row],[Step]] =current_step, current_d,IF(Iterations[[#This Row],[Step]] &gt; current_step, "",Iterations[[#This Row],[d]]))</f>
        <v/>
      </c>
      <c r="K962" s="2" t="str">
        <f>IF(Iterations[[#This Row],[Step]] =current_step, current_e,IF(Iterations[[#This Row],[Step]] &gt; current_step, "",Iterations[[#This Row],[e]]))</f>
        <v/>
      </c>
      <c r="L962" s="2" t="str">
        <f>IF(Iterations[[#This Row],[Step]] =current_step, current_Total_Loss,IF(Iterations[[#This Row],[Step]] &gt; current_step, "",Iterations[[#This Row],[Total Loss]]))</f>
        <v/>
      </c>
      <c r="M962" s="6" t="s">
        <v>27</v>
      </c>
      <c r="N962" s="2" t="str">
        <f>IF(Iterations[[#This Row],[Step]] =current_step, current_Grad_a,IF(Iterations[[#This Row],[Step]] &gt; current_step, "",Iterations[[#This Row],[Grad_a]]))</f>
        <v/>
      </c>
      <c r="O962" s="2" t="str">
        <f>IF(Iterations[[#This Row],[Step]] =current_step, current_Grad_b,IF(Iterations[[#This Row],[Step]] &gt; current_step, "",Iterations[[#This Row],[Grad_b]]))</f>
        <v/>
      </c>
      <c r="P962" s="2" t="str">
        <f>IF(Iterations[[#This Row],[Step]] =current_step, current_Grad_c,IF(Iterations[[#This Row],[Step]] &gt; current_step, "",Iterations[[#This Row],[Grad_c]]))</f>
        <v/>
      </c>
      <c r="Q962" s="2" t="str">
        <f>IF(Iterations[[#This Row],[Step]] =current_step, current_Grad_d,IF(Iterations[[#This Row],[Step]] &gt; current_step, "",Iterations[[#This Row],[Grad_d]]))</f>
        <v/>
      </c>
      <c r="R962" s="2" t="str">
        <f>IF(Iterations[[#This Row],[Step]] =current_step, current_Grad_e,IF(Iterations[[#This Row],[Step]] &gt; current_step, "",Iterations[[#This Row],[Grad_e]]))</f>
        <v/>
      </c>
    </row>
    <row r="963" spans="6:18" x14ac:dyDescent="0.3">
      <c r="F963" s="2">
        <f t="shared" si="18"/>
        <v>946</v>
      </c>
      <c r="G963" s="2" t="str">
        <f>IF(Iterations[[#This Row],[Step]] =current_step, current_a,IF(Iterations[[#This Row],[Step]] &gt; current_step, "",Iterations[[#This Row],[a]]))</f>
        <v/>
      </c>
      <c r="H963" s="2" t="str">
        <f>IF(Iterations[[#This Row],[Step]] =current_step, current_b,IF(Iterations[[#This Row],[Step]] &gt; current_step, "",Iterations[[#This Row],[b]]))</f>
        <v/>
      </c>
      <c r="I963" s="2" t="str">
        <f>IF(Iterations[[#This Row],[Step]] =current_step, current_c,IF(Iterations[[#This Row],[Step]] &gt; current_step, "",Iterations[[#This Row],[c]]))</f>
        <v/>
      </c>
      <c r="J963" s="2" t="str">
        <f>IF(Iterations[[#This Row],[Step]] =current_step, current_d,IF(Iterations[[#This Row],[Step]] &gt; current_step, "",Iterations[[#This Row],[d]]))</f>
        <v/>
      </c>
      <c r="K963" s="2" t="str">
        <f>IF(Iterations[[#This Row],[Step]] =current_step, current_e,IF(Iterations[[#This Row],[Step]] &gt; current_step, "",Iterations[[#This Row],[e]]))</f>
        <v/>
      </c>
      <c r="L963" s="2" t="str">
        <f>IF(Iterations[[#This Row],[Step]] =current_step, current_Total_Loss,IF(Iterations[[#This Row],[Step]] &gt; current_step, "",Iterations[[#This Row],[Total Loss]]))</f>
        <v/>
      </c>
      <c r="M963" s="6" t="s">
        <v>27</v>
      </c>
      <c r="N963" s="2" t="str">
        <f>IF(Iterations[[#This Row],[Step]] =current_step, current_Grad_a,IF(Iterations[[#This Row],[Step]] &gt; current_step, "",Iterations[[#This Row],[Grad_a]]))</f>
        <v/>
      </c>
      <c r="O963" s="2" t="str">
        <f>IF(Iterations[[#This Row],[Step]] =current_step, current_Grad_b,IF(Iterations[[#This Row],[Step]] &gt; current_step, "",Iterations[[#This Row],[Grad_b]]))</f>
        <v/>
      </c>
      <c r="P963" s="2" t="str">
        <f>IF(Iterations[[#This Row],[Step]] =current_step, current_Grad_c,IF(Iterations[[#This Row],[Step]] &gt; current_step, "",Iterations[[#This Row],[Grad_c]]))</f>
        <v/>
      </c>
      <c r="Q963" s="2" t="str">
        <f>IF(Iterations[[#This Row],[Step]] =current_step, current_Grad_d,IF(Iterations[[#This Row],[Step]] &gt; current_step, "",Iterations[[#This Row],[Grad_d]]))</f>
        <v/>
      </c>
      <c r="R963" s="2" t="str">
        <f>IF(Iterations[[#This Row],[Step]] =current_step, current_Grad_e,IF(Iterations[[#This Row],[Step]] &gt; current_step, "",Iterations[[#This Row],[Grad_e]]))</f>
        <v/>
      </c>
    </row>
    <row r="964" spans="6:18" x14ac:dyDescent="0.3">
      <c r="F964" s="2">
        <f t="shared" si="18"/>
        <v>947</v>
      </c>
      <c r="G964" s="2" t="str">
        <f>IF(Iterations[[#This Row],[Step]] =current_step, current_a,IF(Iterations[[#This Row],[Step]] &gt; current_step, "",Iterations[[#This Row],[a]]))</f>
        <v/>
      </c>
      <c r="H964" s="2" t="str">
        <f>IF(Iterations[[#This Row],[Step]] =current_step, current_b,IF(Iterations[[#This Row],[Step]] &gt; current_step, "",Iterations[[#This Row],[b]]))</f>
        <v/>
      </c>
      <c r="I964" s="2" t="str">
        <f>IF(Iterations[[#This Row],[Step]] =current_step, current_c,IF(Iterations[[#This Row],[Step]] &gt; current_step, "",Iterations[[#This Row],[c]]))</f>
        <v/>
      </c>
      <c r="J964" s="2" t="str">
        <f>IF(Iterations[[#This Row],[Step]] =current_step, current_d,IF(Iterations[[#This Row],[Step]] &gt; current_step, "",Iterations[[#This Row],[d]]))</f>
        <v/>
      </c>
      <c r="K964" s="2" t="str">
        <f>IF(Iterations[[#This Row],[Step]] =current_step, current_e,IF(Iterations[[#This Row],[Step]] &gt; current_step, "",Iterations[[#This Row],[e]]))</f>
        <v/>
      </c>
      <c r="L964" s="2" t="str">
        <f>IF(Iterations[[#This Row],[Step]] =current_step, current_Total_Loss,IF(Iterations[[#This Row],[Step]] &gt; current_step, "",Iterations[[#This Row],[Total Loss]]))</f>
        <v/>
      </c>
      <c r="M964" s="6" t="s">
        <v>27</v>
      </c>
      <c r="N964" s="2" t="str">
        <f>IF(Iterations[[#This Row],[Step]] =current_step, current_Grad_a,IF(Iterations[[#This Row],[Step]] &gt; current_step, "",Iterations[[#This Row],[Grad_a]]))</f>
        <v/>
      </c>
      <c r="O964" s="2" t="str">
        <f>IF(Iterations[[#This Row],[Step]] =current_step, current_Grad_b,IF(Iterations[[#This Row],[Step]] &gt; current_step, "",Iterations[[#This Row],[Grad_b]]))</f>
        <v/>
      </c>
      <c r="P964" s="2" t="str">
        <f>IF(Iterations[[#This Row],[Step]] =current_step, current_Grad_c,IF(Iterations[[#This Row],[Step]] &gt; current_step, "",Iterations[[#This Row],[Grad_c]]))</f>
        <v/>
      </c>
      <c r="Q964" s="2" t="str">
        <f>IF(Iterations[[#This Row],[Step]] =current_step, current_Grad_d,IF(Iterations[[#This Row],[Step]] &gt; current_step, "",Iterations[[#This Row],[Grad_d]]))</f>
        <v/>
      </c>
      <c r="R964" s="2" t="str">
        <f>IF(Iterations[[#This Row],[Step]] =current_step, current_Grad_e,IF(Iterations[[#This Row],[Step]] &gt; current_step, "",Iterations[[#This Row],[Grad_e]]))</f>
        <v/>
      </c>
    </row>
    <row r="965" spans="6:18" x14ac:dyDescent="0.3">
      <c r="F965" s="2">
        <f t="shared" si="18"/>
        <v>948</v>
      </c>
      <c r="G965" s="2" t="str">
        <f>IF(Iterations[[#This Row],[Step]] =current_step, current_a,IF(Iterations[[#This Row],[Step]] &gt; current_step, "",Iterations[[#This Row],[a]]))</f>
        <v/>
      </c>
      <c r="H965" s="2" t="str">
        <f>IF(Iterations[[#This Row],[Step]] =current_step, current_b,IF(Iterations[[#This Row],[Step]] &gt; current_step, "",Iterations[[#This Row],[b]]))</f>
        <v/>
      </c>
      <c r="I965" s="2" t="str">
        <f>IF(Iterations[[#This Row],[Step]] =current_step, current_c,IF(Iterations[[#This Row],[Step]] &gt; current_step, "",Iterations[[#This Row],[c]]))</f>
        <v/>
      </c>
      <c r="J965" s="2" t="str">
        <f>IF(Iterations[[#This Row],[Step]] =current_step, current_d,IF(Iterations[[#This Row],[Step]] &gt; current_step, "",Iterations[[#This Row],[d]]))</f>
        <v/>
      </c>
      <c r="K965" s="2" t="str">
        <f>IF(Iterations[[#This Row],[Step]] =current_step, current_e,IF(Iterations[[#This Row],[Step]] &gt; current_step, "",Iterations[[#This Row],[e]]))</f>
        <v/>
      </c>
      <c r="L965" s="2" t="str">
        <f>IF(Iterations[[#This Row],[Step]] =current_step, current_Total_Loss,IF(Iterations[[#This Row],[Step]] &gt; current_step, "",Iterations[[#This Row],[Total Loss]]))</f>
        <v/>
      </c>
      <c r="M965" s="6" t="s">
        <v>27</v>
      </c>
      <c r="N965" s="2" t="str">
        <f>IF(Iterations[[#This Row],[Step]] =current_step, current_Grad_a,IF(Iterations[[#This Row],[Step]] &gt; current_step, "",Iterations[[#This Row],[Grad_a]]))</f>
        <v/>
      </c>
      <c r="O965" s="2" t="str">
        <f>IF(Iterations[[#This Row],[Step]] =current_step, current_Grad_b,IF(Iterations[[#This Row],[Step]] &gt; current_step, "",Iterations[[#This Row],[Grad_b]]))</f>
        <v/>
      </c>
      <c r="P965" s="2" t="str">
        <f>IF(Iterations[[#This Row],[Step]] =current_step, current_Grad_c,IF(Iterations[[#This Row],[Step]] &gt; current_step, "",Iterations[[#This Row],[Grad_c]]))</f>
        <v/>
      </c>
      <c r="Q965" s="2" t="str">
        <f>IF(Iterations[[#This Row],[Step]] =current_step, current_Grad_d,IF(Iterations[[#This Row],[Step]] &gt; current_step, "",Iterations[[#This Row],[Grad_d]]))</f>
        <v/>
      </c>
      <c r="R965" s="2" t="str">
        <f>IF(Iterations[[#This Row],[Step]] =current_step, current_Grad_e,IF(Iterations[[#This Row],[Step]] &gt; current_step, "",Iterations[[#This Row],[Grad_e]]))</f>
        <v/>
      </c>
    </row>
    <row r="966" spans="6:18" x14ac:dyDescent="0.3">
      <c r="F966" s="2">
        <f t="shared" si="18"/>
        <v>949</v>
      </c>
      <c r="G966" s="2" t="str">
        <f>IF(Iterations[[#This Row],[Step]] =current_step, current_a,IF(Iterations[[#This Row],[Step]] &gt; current_step, "",Iterations[[#This Row],[a]]))</f>
        <v/>
      </c>
      <c r="H966" s="2" t="str">
        <f>IF(Iterations[[#This Row],[Step]] =current_step, current_b,IF(Iterations[[#This Row],[Step]] &gt; current_step, "",Iterations[[#This Row],[b]]))</f>
        <v/>
      </c>
      <c r="I966" s="2" t="str">
        <f>IF(Iterations[[#This Row],[Step]] =current_step, current_c,IF(Iterations[[#This Row],[Step]] &gt; current_step, "",Iterations[[#This Row],[c]]))</f>
        <v/>
      </c>
      <c r="J966" s="2" t="str">
        <f>IF(Iterations[[#This Row],[Step]] =current_step, current_d,IF(Iterations[[#This Row],[Step]] &gt; current_step, "",Iterations[[#This Row],[d]]))</f>
        <v/>
      </c>
      <c r="K966" s="2" t="str">
        <f>IF(Iterations[[#This Row],[Step]] =current_step, current_e,IF(Iterations[[#This Row],[Step]] &gt; current_step, "",Iterations[[#This Row],[e]]))</f>
        <v/>
      </c>
      <c r="L966" s="2" t="str">
        <f>IF(Iterations[[#This Row],[Step]] =current_step, current_Total_Loss,IF(Iterations[[#This Row],[Step]] &gt; current_step, "",Iterations[[#This Row],[Total Loss]]))</f>
        <v/>
      </c>
      <c r="M966" s="6" t="s">
        <v>27</v>
      </c>
      <c r="N966" s="2" t="str">
        <f>IF(Iterations[[#This Row],[Step]] =current_step, current_Grad_a,IF(Iterations[[#This Row],[Step]] &gt; current_step, "",Iterations[[#This Row],[Grad_a]]))</f>
        <v/>
      </c>
      <c r="O966" s="2" t="str">
        <f>IF(Iterations[[#This Row],[Step]] =current_step, current_Grad_b,IF(Iterations[[#This Row],[Step]] &gt; current_step, "",Iterations[[#This Row],[Grad_b]]))</f>
        <v/>
      </c>
      <c r="P966" s="2" t="str">
        <f>IF(Iterations[[#This Row],[Step]] =current_step, current_Grad_c,IF(Iterations[[#This Row],[Step]] &gt; current_step, "",Iterations[[#This Row],[Grad_c]]))</f>
        <v/>
      </c>
      <c r="Q966" s="2" t="str">
        <f>IF(Iterations[[#This Row],[Step]] =current_step, current_Grad_d,IF(Iterations[[#This Row],[Step]] &gt; current_step, "",Iterations[[#This Row],[Grad_d]]))</f>
        <v/>
      </c>
      <c r="R966" s="2" t="str">
        <f>IF(Iterations[[#This Row],[Step]] =current_step, current_Grad_e,IF(Iterations[[#This Row],[Step]] &gt; current_step, "",Iterations[[#This Row],[Grad_e]]))</f>
        <v/>
      </c>
    </row>
    <row r="967" spans="6:18" x14ac:dyDescent="0.3">
      <c r="F967" s="2">
        <f t="shared" si="18"/>
        <v>950</v>
      </c>
      <c r="G967" s="2" t="str">
        <f>IF(Iterations[[#This Row],[Step]] =current_step, current_a,IF(Iterations[[#This Row],[Step]] &gt; current_step, "",Iterations[[#This Row],[a]]))</f>
        <v/>
      </c>
      <c r="H967" s="2" t="str">
        <f>IF(Iterations[[#This Row],[Step]] =current_step, current_b,IF(Iterations[[#This Row],[Step]] &gt; current_step, "",Iterations[[#This Row],[b]]))</f>
        <v/>
      </c>
      <c r="I967" s="2" t="str">
        <f>IF(Iterations[[#This Row],[Step]] =current_step, current_c,IF(Iterations[[#This Row],[Step]] &gt; current_step, "",Iterations[[#This Row],[c]]))</f>
        <v/>
      </c>
      <c r="J967" s="2" t="str">
        <f>IF(Iterations[[#This Row],[Step]] =current_step, current_d,IF(Iterations[[#This Row],[Step]] &gt; current_step, "",Iterations[[#This Row],[d]]))</f>
        <v/>
      </c>
      <c r="K967" s="2" t="str">
        <f>IF(Iterations[[#This Row],[Step]] =current_step, current_e,IF(Iterations[[#This Row],[Step]] &gt; current_step, "",Iterations[[#This Row],[e]]))</f>
        <v/>
      </c>
      <c r="L967" s="2" t="str">
        <f>IF(Iterations[[#This Row],[Step]] =current_step, current_Total_Loss,IF(Iterations[[#This Row],[Step]] &gt; current_step, "",Iterations[[#This Row],[Total Loss]]))</f>
        <v/>
      </c>
      <c r="M967" s="6" t="s">
        <v>27</v>
      </c>
      <c r="N967" s="2" t="str">
        <f>IF(Iterations[[#This Row],[Step]] =current_step, current_Grad_a,IF(Iterations[[#This Row],[Step]] &gt; current_step, "",Iterations[[#This Row],[Grad_a]]))</f>
        <v/>
      </c>
      <c r="O967" s="2" t="str">
        <f>IF(Iterations[[#This Row],[Step]] =current_step, current_Grad_b,IF(Iterations[[#This Row],[Step]] &gt; current_step, "",Iterations[[#This Row],[Grad_b]]))</f>
        <v/>
      </c>
      <c r="P967" s="2" t="str">
        <f>IF(Iterations[[#This Row],[Step]] =current_step, current_Grad_c,IF(Iterations[[#This Row],[Step]] &gt; current_step, "",Iterations[[#This Row],[Grad_c]]))</f>
        <v/>
      </c>
      <c r="Q967" s="2" t="str">
        <f>IF(Iterations[[#This Row],[Step]] =current_step, current_Grad_d,IF(Iterations[[#This Row],[Step]] &gt; current_step, "",Iterations[[#This Row],[Grad_d]]))</f>
        <v/>
      </c>
      <c r="R967" s="2" t="str">
        <f>IF(Iterations[[#This Row],[Step]] =current_step, current_Grad_e,IF(Iterations[[#This Row],[Step]] &gt; current_step, "",Iterations[[#This Row],[Grad_e]]))</f>
        <v/>
      </c>
    </row>
    <row r="968" spans="6:18" x14ac:dyDescent="0.3">
      <c r="F968" s="2">
        <f t="shared" si="18"/>
        <v>951</v>
      </c>
      <c r="G968" s="2" t="str">
        <f>IF(Iterations[[#This Row],[Step]] =current_step, current_a,IF(Iterations[[#This Row],[Step]] &gt; current_step, "",Iterations[[#This Row],[a]]))</f>
        <v/>
      </c>
      <c r="H968" s="2" t="str">
        <f>IF(Iterations[[#This Row],[Step]] =current_step, current_b,IF(Iterations[[#This Row],[Step]] &gt; current_step, "",Iterations[[#This Row],[b]]))</f>
        <v/>
      </c>
      <c r="I968" s="2" t="str">
        <f>IF(Iterations[[#This Row],[Step]] =current_step, current_c,IF(Iterations[[#This Row],[Step]] &gt; current_step, "",Iterations[[#This Row],[c]]))</f>
        <v/>
      </c>
      <c r="J968" s="2" t="str">
        <f>IF(Iterations[[#This Row],[Step]] =current_step, current_d,IF(Iterations[[#This Row],[Step]] &gt; current_step, "",Iterations[[#This Row],[d]]))</f>
        <v/>
      </c>
      <c r="K968" s="2" t="str">
        <f>IF(Iterations[[#This Row],[Step]] =current_step, current_e,IF(Iterations[[#This Row],[Step]] &gt; current_step, "",Iterations[[#This Row],[e]]))</f>
        <v/>
      </c>
      <c r="L968" s="2" t="str">
        <f>IF(Iterations[[#This Row],[Step]] =current_step, current_Total_Loss,IF(Iterations[[#This Row],[Step]] &gt; current_step, "",Iterations[[#This Row],[Total Loss]]))</f>
        <v/>
      </c>
      <c r="M968" s="6" t="s">
        <v>27</v>
      </c>
      <c r="N968" s="2" t="str">
        <f>IF(Iterations[[#This Row],[Step]] =current_step, current_Grad_a,IF(Iterations[[#This Row],[Step]] &gt; current_step, "",Iterations[[#This Row],[Grad_a]]))</f>
        <v/>
      </c>
      <c r="O968" s="2" t="str">
        <f>IF(Iterations[[#This Row],[Step]] =current_step, current_Grad_b,IF(Iterations[[#This Row],[Step]] &gt; current_step, "",Iterations[[#This Row],[Grad_b]]))</f>
        <v/>
      </c>
      <c r="P968" s="2" t="str">
        <f>IF(Iterations[[#This Row],[Step]] =current_step, current_Grad_c,IF(Iterations[[#This Row],[Step]] &gt; current_step, "",Iterations[[#This Row],[Grad_c]]))</f>
        <v/>
      </c>
      <c r="Q968" s="2" t="str">
        <f>IF(Iterations[[#This Row],[Step]] =current_step, current_Grad_d,IF(Iterations[[#This Row],[Step]] &gt; current_step, "",Iterations[[#This Row],[Grad_d]]))</f>
        <v/>
      </c>
      <c r="R968" s="2" t="str">
        <f>IF(Iterations[[#This Row],[Step]] =current_step, current_Grad_e,IF(Iterations[[#This Row],[Step]] &gt; current_step, "",Iterations[[#This Row],[Grad_e]]))</f>
        <v/>
      </c>
    </row>
    <row r="969" spans="6:18" x14ac:dyDescent="0.3">
      <c r="F969" s="2">
        <f t="shared" si="18"/>
        <v>952</v>
      </c>
      <c r="G969" s="2" t="str">
        <f>IF(Iterations[[#This Row],[Step]] =current_step, current_a,IF(Iterations[[#This Row],[Step]] &gt; current_step, "",Iterations[[#This Row],[a]]))</f>
        <v/>
      </c>
      <c r="H969" s="2" t="str">
        <f>IF(Iterations[[#This Row],[Step]] =current_step, current_b,IF(Iterations[[#This Row],[Step]] &gt; current_step, "",Iterations[[#This Row],[b]]))</f>
        <v/>
      </c>
      <c r="I969" s="2" t="str">
        <f>IF(Iterations[[#This Row],[Step]] =current_step, current_c,IF(Iterations[[#This Row],[Step]] &gt; current_step, "",Iterations[[#This Row],[c]]))</f>
        <v/>
      </c>
      <c r="J969" s="2" t="str">
        <f>IF(Iterations[[#This Row],[Step]] =current_step, current_d,IF(Iterations[[#This Row],[Step]] &gt; current_step, "",Iterations[[#This Row],[d]]))</f>
        <v/>
      </c>
      <c r="K969" s="2" t="str">
        <f>IF(Iterations[[#This Row],[Step]] =current_step, current_e,IF(Iterations[[#This Row],[Step]] &gt; current_step, "",Iterations[[#This Row],[e]]))</f>
        <v/>
      </c>
      <c r="L969" s="2" t="str">
        <f>IF(Iterations[[#This Row],[Step]] =current_step, current_Total_Loss,IF(Iterations[[#This Row],[Step]] &gt; current_step, "",Iterations[[#This Row],[Total Loss]]))</f>
        <v/>
      </c>
      <c r="M969" s="6" t="s">
        <v>27</v>
      </c>
      <c r="N969" s="2" t="str">
        <f>IF(Iterations[[#This Row],[Step]] =current_step, current_Grad_a,IF(Iterations[[#This Row],[Step]] &gt; current_step, "",Iterations[[#This Row],[Grad_a]]))</f>
        <v/>
      </c>
      <c r="O969" s="2" t="str">
        <f>IF(Iterations[[#This Row],[Step]] =current_step, current_Grad_b,IF(Iterations[[#This Row],[Step]] &gt; current_step, "",Iterations[[#This Row],[Grad_b]]))</f>
        <v/>
      </c>
      <c r="P969" s="2" t="str">
        <f>IF(Iterations[[#This Row],[Step]] =current_step, current_Grad_c,IF(Iterations[[#This Row],[Step]] &gt; current_step, "",Iterations[[#This Row],[Grad_c]]))</f>
        <v/>
      </c>
      <c r="Q969" s="2" t="str">
        <f>IF(Iterations[[#This Row],[Step]] =current_step, current_Grad_d,IF(Iterations[[#This Row],[Step]] &gt; current_step, "",Iterations[[#This Row],[Grad_d]]))</f>
        <v/>
      </c>
      <c r="R969" s="2" t="str">
        <f>IF(Iterations[[#This Row],[Step]] =current_step, current_Grad_e,IF(Iterations[[#This Row],[Step]] &gt; current_step, "",Iterations[[#This Row],[Grad_e]]))</f>
        <v/>
      </c>
    </row>
    <row r="970" spans="6:18" x14ac:dyDescent="0.3">
      <c r="F970" s="2">
        <f t="shared" si="18"/>
        <v>953</v>
      </c>
      <c r="G970" s="2" t="str">
        <f>IF(Iterations[[#This Row],[Step]] =current_step, current_a,IF(Iterations[[#This Row],[Step]] &gt; current_step, "",Iterations[[#This Row],[a]]))</f>
        <v/>
      </c>
      <c r="H970" s="2" t="str">
        <f>IF(Iterations[[#This Row],[Step]] =current_step, current_b,IF(Iterations[[#This Row],[Step]] &gt; current_step, "",Iterations[[#This Row],[b]]))</f>
        <v/>
      </c>
      <c r="I970" s="2" t="str">
        <f>IF(Iterations[[#This Row],[Step]] =current_step, current_c,IF(Iterations[[#This Row],[Step]] &gt; current_step, "",Iterations[[#This Row],[c]]))</f>
        <v/>
      </c>
      <c r="J970" s="2" t="str">
        <f>IF(Iterations[[#This Row],[Step]] =current_step, current_d,IF(Iterations[[#This Row],[Step]] &gt; current_step, "",Iterations[[#This Row],[d]]))</f>
        <v/>
      </c>
      <c r="K970" s="2" t="str">
        <f>IF(Iterations[[#This Row],[Step]] =current_step, current_e,IF(Iterations[[#This Row],[Step]] &gt; current_step, "",Iterations[[#This Row],[e]]))</f>
        <v/>
      </c>
      <c r="L970" s="2" t="str">
        <f>IF(Iterations[[#This Row],[Step]] =current_step, current_Total_Loss,IF(Iterations[[#This Row],[Step]] &gt; current_step, "",Iterations[[#This Row],[Total Loss]]))</f>
        <v/>
      </c>
      <c r="M970" s="6" t="s">
        <v>27</v>
      </c>
      <c r="N970" s="2" t="str">
        <f>IF(Iterations[[#This Row],[Step]] =current_step, current_Grad_a,IF(Iterations[[#This Row],[Step]] &gt; current_step, "",Iterations[[#This Row],[Grad_a]]))</f>
        <v/>
      </c>
      <c r="O970" s="2" t="str">
        <f>IF(Iterations[[#This Row],[Step]] =current_step, current_Grad_b,IF(Iterations[[#This Row],[Step]] &gt; current_step, "",Iterations[[#This Row],[Grad_b]]))</f>
        <v/>
      </c>
      <c r="P970" s="2" t="str">
        <f>IF(Iterations[[#This Row],[Step]] =current_step, current_Grad_c,IF(Iterations[[#This Row],[Step]] &gt; current_step, "",Iterations[[#This Row],[Grad_c]]))</f>
        <v/>
      </c>
      <c r="Q970" s="2" t="str">
        <f>IF(Iterations[[#This Row],[Step]] =current_step, current_Grad_d,IF(Iterations[[#This Row],[Step]] &gt; current_step, "",Iterations[[#This Row],[Grad_d]]))</f>
        <v/>
      </c>
      <c r="R970" s="2" t="str">
        <f>IF(Iterations[[#This Row],[Step]] =current_step, current_Grad_e,IF(Iterations[[#This Row],[Step]] &gt; current_step, "",Iterations[[#This Row],[Grad_e]]))</f>
        <v/>
      </c>
    </row>
    <row r="971" spans="6:18" x14ac:dyDescent="0.3">
      <c r="F971" s="2">
        <f t="shared" si="18"/>
        <v>954</v>
      </c>
      <c r="G971" s="2" t="str">
        <f>IF(Iterations[[#This Row],[Step]] =current_step, current_a,IF(Iterations[[#This Row],[Step]] &gt; current_step, "",Iterations[[#This Row],[a]]))</f>
        <v/>
      </c>
      <c r="H971" s="2" t="str">
        <f>IF(Iterations[[#This Row],[Step]] =current_step, current_b,IF(Iterations[[#This Row],[Step]] &gt; current_step, "",Iterations[[#This Row],[b]]))</f>
        <v/>
      </c>
      <c r="I971" s="2" t="str">
        <f>IF(Iterations[[#This Row],[Step]] =current_step, current_c,IF(Iterations[[#This Row],[Step]] &gt; current_step, "",Iterations[[#This Row],[c]]))</f>
        <v/>
      </c>
      <c r="J971" s="2" t="str">
        <f>IF(Iterations[[#This Row],[Step]] =current_step, current_d,IF(Iterations[[#This Row],[Step]] &gt; current_step, "",Iterations[[#This Row],[d]]))</f>
        <v/>
      </c>
      <c r="K971" s="2" t="str">
        <f>IF(Iterations[[#This Row],[Step]] =current_step, current_e,IF(Iterations[[#This Row],[Step]] &gt; current_step, "",Iterations[[#This Row],[e]]))</f>
        <v/>
      </c>
      <c r="L971" s="2" t="str">
        <f>IF(Iterations[[#This Row],[Step]] =current_step, current_Total_Loss,IF(Iterations[[#This Row],[Step]] &gt; current_step, "",Iterations[[#This Row],[Total Loss]]))</f>
        <v/>
      </c>
      <c r="M971" s="6" t="s">
        <v>27</v>
      </c>
      <c r="N971" s="2" t="str">
        <f>IF(Iterations[[#This Row],[Step]] =current_step, current_Grad_a,IF(Iterations[[#This Row],[Step]] &gt; current_step, "",Iterations[[#This Row],[Grad_a]]))</f>
        <v/>
      </c>
      <c r="O971" s="2" t="str">
        <f>IF(Iterations[[#This Row],[Step]] =current_step, current_Grad_b,IF(Iterations[[#This Row],[Step]] &gt; current_step, "",Iterations[[#This Row],[Grad_b]]))</f>
        <v/>
      </c>
      <c r="P971" s="2" t="str">
        <f>IF(Iterations[[#This Row],[Step]] =current_step, current_Grad_c,IF(Iterations[[#This Row],[Step]] &gt; current_step, "",Iterations[[#This Row],[Grad_c]]))</f>
        <v/>
      </c>
      <c r="Q971" s="2" t="str">
        <f>IF(Iterations[[#This Row],[Step]] =current_step, current_Grad_d,IF(Iterations[[#This Row],[Step]] &gt; current_step, "",Iterations[[#This Row],[Grad_d]]))</f>
        <v/>
      </c>
      <c r="R971" s="2" t="str">
        <f>IF(Iterations[[#This Row],[Step]] =current_step, current_Grad_e,IF(Iterations[[#This Row],[Step]] &gt; current_step, "",Iterations[[#This Row],[Grad_e]]))</f>
        <v/>
      </c>
    </row>
    <row r="972" spans="6:18" x14ac:dyDescent="0.3">
      <c r="F972" s="2">
        <f t="shared" si="18"/>
        <v>955</v>
      </c>
      <c r="G972" s="2" t="str">
        <f>IF(Iterations[[#This Row],[Step]] =current_step, current_a,IF(Iterations[[#This Row],[Step]] &gt; current_step, "",Iterations[[#This Row],[a]]))</f>
        <v/>
      </c>
      <c r="H972" s="2" t="str">
        <f>IF(Iterations[[#This Row],[Step]] =current_step, current_b,IF(Iterations[[#This Row],[Step]] &gt; current_step, "",Iterations[[#This Row],[b]]))</f>
        <v/>
      </c>
      <c r="I972" s="2" t="str">
        <f>IF(Iterations[[#This Row],[Step]] =current_step, current_c,IF(Iterations[[#This Row],[Step]] &gt; current_step, "",Iterations[[#This Row],[c]]))</f>
        <v/>
      </c>
      <c r="J972" s="2" t="str">
        <f>IF(Iterations[[#This Row],[Step]] =current_step, current_d,IF(Iterations[[#This Row],[Step]] &gt; current_step, "",Iterations[[#This Row],[d]]))</f>
        <v/>
      </c>
      <c r="K972" s="2" t="str">
        <f>IF(Iterations[[#This Row],[Step]] =current_step, current_e,IF(Iterations[[#This Row],[Step]] &gt; current_step, "",Iterations[[#This Row],[e]]))</f>
        <v/>
      </c>
      <c r="L972" s="2" t="str">
        <f>IF(Iterations[[#This Row],[Step]] =current_step, current_Total_Loss,IF(Iterations[[#This Row],[Step]] &gt; current_step, "",Iterations[[#This Row],[Total Loss]]))</f>
        <v/>
      </c>
      <c r="M972" s="6" t="s">
        <v>27</v>
      </c>
      <c r="N972" s="2" t="str">
        <f>IF(Iterations[[#This Row],[Step]] =current_step, current_Grad_a,IF(Iterations[[#This Row],[Step]] &gt; current_step, "",Iterations[[#This Row],[Grad_a]]))</f>
        <v/>
      </c>
      <c r="O972" s="2" t="str">
        <f>IF(Iterations[[#This Row],[Step]] =current_step, current_Grad_b,IF(Iterations[[#This Row],[Step]] &gt; current_step, "",Iterations[[#This Row],[Grad_b]]))</f>
        <v/>
      </c>
      <c r="P972" s="2" t="str">
        <f>IF(Iterations[[#This Row],[Step]] =current_step, current_Grad_c,IF(Iterations[[#This Row],[Step]] &gt; current_step, "",Iterations[[#This Row],[Grad_c]]))</f>
        <v/>
      </c>
      <c r="Q972" s="2" t="str">
        <f>IF(Iterations[[#This Row],[Step]] =current_step, current_Grad_d,IF(Iterations[[#This Row],[Step]] &gt; current_step, "",Iterations[[#This Row],[Grad_d]]))</f>
        <v/>
      </c>
      <c r="R972" s="2" t="str">
        <f>IF(Iterations[[#This Row],[Step]] =current_step, current_Grad_e,IF(Iterations[[#This Row],[Step]] &gt; current_step, "",Iterations[[#This Row],[Grad_e]]))</f>
        <v/>
      </c>
    </row>
    <row r="973" spans="6:18" x14ac:dyDescent="0.3">
      <c r="F973" s="2">
        <f t="shared" si="18"/>
        <v>956</v>
      </c>
      <c r="G973" s="2" t="str">
        <f>IF(Iterations[[#This Row],[Step]] =current_step, current_a,IF(Iterations[[#This Row],[Step]] &gt; current_step, "",Iterations[[#This Row],[a]]))</f>
        <v/>
      </c>
      <c r="H973" s="2" t="str">
        <f>IF(Iterations[[#This Row],[Step]] =current_step, current_b,IF(Iterations[[#This Row],[Step]] &gt; current_step, "",Iterations[[#This Row],[b]]))</f>
        <v/>
      </c>
      <c r="I973" s="2" t="str">
        <f>IF(Iterations[[#This Row],[Step]] =current_step, current_c,IF(Iterations[[#This Row],[Step]] &gt; current_step, "",Iterations[[#This Row],[c]]))</f>
        <v/>
      </c>
      <c r="J973" s="2" t="str">
        <f>IF(Iterations[[#This Row],[Step]] =current_step, current_d,IF(Iterations[[#This Row],[Step]] &gt; current_step, "",Iterations[[#This Row],[d]]))</f>
        <v/>
      </c>
      <c r="K973" s="2" t="str">
        <f>IF(Iterations[[#This Row],[Step]] =current_step, current_e,IF(Iterations[[#This Row],[Step]] &gt; current_step, "",Iterations[[#This Row],[e]]))</f>
        <v/>
      </c>
      <c r="L973" s="2" t="str">
        <f>IF(Iterations[[#This Row],[Step]] =current_step, current_Total_Loss,IF(Iterations[[#This Row],[Step]] &gt; current_step, "",Iterations[[#This Row],[Total Loss]]))</f>
        <v/>
      </c>
      <c r="M973" s="6" t="s">
        <v>27</v>
      </c>
      <c r="N973" s="2" t="str">
        <f>IF(Iterations[[#This Row],[Step]] =current_step, current_Grad_a,IF(Iterations[[#This Row],[Step]] &gt; current_step, "",Iterations[[#This Row],[Grad_a]]))</f>
        <v/>
      </c>
      <c r="O973" s="2" t="str">
        <f>IF(Iterations[[#This Row],[Step]] =current_step, current_Grad_b,IF(Iterations[[#This Row],[Step]] &gt; current_step, "",Iterations[[#This Row],[Grad_b]]))</f>
        <v/>
      </c>
      <c r="P973" s="2" t="str">
        <f>IF(Iterations[[#This Row],[Step]] =current_step, current_Grad_c,IF(Iterations[[#This Row],[Step]] &gt; current_step, "",Iterations[[#This Row],[Grad_c]]))</f>
        <v/>
      </c>
      <c r="Q973" s="2" t="str">
        <f>IF(Iterations[[#This Row],[Step]] =current_step, current_Grad_d,IF(Iterations[[#This Row],[Step]] &gt; current_step, "",Iterations[[#This Row],[Grad_d]]))</f>
        <v/>
      </c>
      <c r="R973" s="2" t="str">
        <f>IF(Iterations[[#This Row],[Step]] =current_step, current_Grad_e,IF(Iterations[[#This Row],[Step]] &gt; current_step, "",Iterations[[#This Row],[Grad_e]]))</f>
        <v/>
      </c>
    </row>
    <row r="974" spans="6:18" x14ac:dyDescent="0.3">
      <c r="F974" s="2">
        <f t="shared" si="18"/>
        <v>957</v>
      </c>
      <c r="G974" s="2" t="str">
        <f>IF(Iterations[[#This Row],[Step]] =current_step, current_a,IF(Iterations[[#This Row],[Step]] &gt; current_step, "",Iterations[[#This Row],[a]]))</f>
        <v/>
      </c>
      <c r="H974" s="2" t="str">
        <f>IF(Iterations[[#This Row],[Step]] =current_step, current_b,IF(Iterations[[#This Row],[Step]] &gt; current_step, "",Iterations[[#This Row],[b]]))</f>
        <v/>
      </c>
      <c r="I974" s="2" t="str">
        <f>IF(Iterations[[#This Row],[Step]] =current_step, current_c,IF(Iterations[[#This Row],[Step]] &gt; current_step, "",Iterations[[#This Row],[c]]))</f>
        <v/>
      </c>
      <c r="J974" s="2" t="str">
        <f>IF(Iterations[[#This Row],[Step]] =current_step, current_d,IF(Iterations[[#This Row],[Step]] &gt; current_step, "",Iterations[[#This Row],[d]]))</f>
        <v/>
      </c>
      <c r="K974" s="2" t="str">
        <f>IF(Iterations[[#This Row],[Step]] =current_step, current_e,IF(Iterations[[#This Row],[Step]] &gt; current_step, "",Iterations[[#This Row],[e]]))</f>
        <v/>
      </c>
      <c r="L974" s="2" t="str">
        <f>IF(Iterations[[#This Row],[Step]] =current_step, current_Total_Loss,IF(Iterations[[#This Row],[Step]] &gt; current_step, "",Iterations[[#This Row],[Total Loss]]))</f>
        <v/>
      </c>
      <c r="M974" s="6" t="s">
        <v>27</v>
      </c>
      <c r="N974" s="2" t="str">
        <f>IF(Iterations[[#This Row],[Step]] =current_step, current_Grad_a,IF(Iterations[[#This Row],[Step]] &gt; current_step, "",Iterations[[#This Row],[Grad_a]]))</f>
        <v/>
      </c>
      <c r="O974" s="2" t="str">
        <f>IF(Iterations[[#This Row],[Step]] =current_step, current_Grad_b,IF(Iterations[[#This Row],[Step]] &gt; current_step, "",Iterations[[#This Row],[Grad_b]]))</f>
        <v/>
      </c>
      <c r="P974" s="2" t="str">
        <f>IF(Iterations[[#This Row],[Step]] =current_step, current_Grad_c,IF(Iterations[[#This Row],[Step]] &gt; current_step, "",Iterations[[#This Row],[Grad_c]]))</f>
        <v/>
      </c>
      <c r="Q974" s="2" t="str">
        <f>IF(Iterations[[#This Row],[Step]] =current_step, current_Grad_d,IF(Iterations[[#This Row],[Step]] &gt; current_step, "",Iterations[[#This Row],[Grad_d]]))</f>
        <v/>
      </c>
      <c r="R974" s="2" t="str">
        <f>IF(Iterations[[#This Row],[Step]] =current_step, current_Grad_e,IF(Iterations[[#This Row],[Step]] &gt; current_step, "",Iterations[[#This Row],[Grad_e]]))</f>
        <v/>
      </c>
    </row>
    <row r="975" spans="6:18" x14ac:dyDescent="0.3">
      <c r="F975" s="2">
        <f t="shared" si="18"/>
        <v>958</v>
      </c>
      <c r="G975" s="2" t="str">
        <f>IF(Iterations[[#This Row],[Step]] =current_step, current_a,IF(Iterations[[#This Row],[Step]] &gt; current_step, "",Iterations[[#This Row],[a]]))</f>
        <v/>
      </c>
      <c r="H975" s="2" t="str">
        <f>IF(Iterations[[#This Row],[Step]] =current_step, current_b,IF(Iterations[[#This Row],[Step]] &gt; current_step, "",Iterations[[#This Row],[b]]))</f>
        <v/>
      </c>
      <c r="I975" s="2" t="str">
        <f>IF(Iterations[[#This Row],[Step]] =current_step, current_c,IF(Iterations[[#This Row],[Step]] &gt; current_step, "",Iterations[[#This Row],[c]]))</f>
        <v/>
      </c>
      <c r="J975" s="2" t="str">
        <f>IF(Iterations[[#This Row],[Step]] =current_step, current_d,IF(Iterations[[#This Row],[Step]] &gt; current_step, "",Iterations[[#This Row],[d]]))</f>
        <v/>
      </c>
      <c r="K975" s="2" t="str">
        <f>IF(Iterations[[#This Row],[Step]] =current_step, current_e,IF(Iterations[[#This Row],[Step]] &gt; current_step, "",Iterations[[#This Row],[e]]))</f>
        <v/>
      </c>
      <c r="L975" s="2" t="str">
        <f>IF(Iterations[[#This Row],[Step]] =current_step, current_Total_Loss,IF(Iterations[[#This Row],[Step]] &gt; current_step, "",Iterations[[#This Row],[Total Loss]]))</f>
        <v/>
      </c>
      <c r="M975" s="6" t="s">
        <v>27</v>
      </c>
      <c r="N975" s="2" t="str">
        <f>IF(Iterations[[#This Row],[Step]] =current_step, current_Grad_a,IF(Iterations[[#This Row],[Step]] &gt; current_step, "",Iterations[[#This Row],[Grad_a]]))</f>
        <v/>
      </c>
      <c r="O975" s="2" t="str">
        <f>IF(Iterations[[#This Row],[Step]] =current_step, current_Grad_b,IF(Iterations[[#This Row],[Step]] &gt; current_step, "",Iterations[[#This Row],[Grad_b]]))</f>
        <v/>
      </c>
      <c r="P975" s="2" t="str">
        <f>IF(Iterations[[#This Row],[Step]] =current_step, current_Grad_c,IF(Iterations[[#This Row],[Step]] &gt; current_step, "",Iterations[[#This Row],[Grad_c]]))</f>
        <v/>
      </c>
      <c r="Q975" s="2" t="str">
        <f>IF(Iterations[[#This Row],[Step]] =current_step, current_Grad_d,IF(Iterations[[#This Row],[Step]] &gt; current_step, "",Iterations[[#This Row],[Grad_d]]))</f>
        <v/>
      </c>
      <c r="R975" s="2" t="str">
        <f>IF(Iterations[[#This Row],[Step]] =current_step, current_Grad_e,IF(Iterations[[#This Row],[Step]] &gt; current_step, "",Iterations[[#This Row],[Grad_e]]))</f>
        <v/>
      </c>
    </row>
    <row r="976" spans="6:18" x14ac:dyDescent="0.3">
      <c r="F976" s="2">
        <f t="shared" si="18"/>
        <v>959</v>
      </c>
      <c r="G976" s="2" t="str">
        <f>IF(Iterations[[#This Row],[Step]] =current_step, current_a,IF(Iterations[[#This Row],[Step]] &gt; current_step, "",Iterations[[#This Row],[a]]))</f>
        <v/>
      </c>
      <c r="H976" s="2" t="str">
        <f>IF(Iterations[[#This Row],[Step]] =current_step, current_b,IF(Iterations[[#This Row],[Step]] &gt; current_step, "",Iterations[[#This Row],[b]]))</f>
        <v/>
      </c>
      <c r="I976" s="2" t="str">
        <f>IF(Iterations[[#This Row],[Step]] =current_step, current_c,IF(Iterations[[#This Row],[Step]] &gt; current_step, "",Iterations[[#This Row],[c]]))</f>
        <v/>
      </c>
      <c r="J976" s="2" t="str">
        <f>IF(Iterations[[#This Row],[Step]] =current_step, current_d,IF(Iterations[[#This Row],[Step]] &gt; current_step, "",Iterations[[#This Row],[d]]))</f>
        <v/>
      </c>
      <c r="K976" s="2" t="str">
        <f>IF(Iterations[[#This Row],[Step]] =current_step, current_e,IF(Iterations[[#This Row],[Step]] &gt; current_step, "",Iterations[[#This Row],[e]]))</f>
        <v/>
      </c>
      <c r="L976" s="2" t="str">
        <f>IF(Iterations[[#This Row],[Step]] =current_step, current_Total_Loss,IF(Iterations[[#This Row],[Step]] &gt; current_step, "",Iterations[[#This Row],[Total Loss]]))</f>
        <v/>
      </c>
      <c r="M976" s="6" t="s">
        <v>27</v>
      </c>
      <c r="N976" s="2" t="str">
        <f>IF(Iterations[[#This Row],[Step]] =current_step, current_Grad_a,IF(Iterations[[#This Row],[Step]] &gt; current_step, "",Iterations[[#This Row],[Grad_a]]))</f>
        <v/>
      </c>
      <c r="O976" s="2" t="str">
        <f>IF(Iterations[[#This Row],[Step]] =current_step, current_Grad_b,IF(Iterations[[#This Row],[Step]] &gt; current_step, "",Iterations[[#This Row],[Grad_b]]))</f>
        <v/>
      </c>
      <c r="P976" s="2" t="str">
        <f>IF(Iterations[[#This Row],[Step]] =current_step, current_Grad_c,IF(Iterations[[#This Row],[Step]] &gt; current_step, "",Iterations[[#This Row],[Grad_c]]))</f>
        <v/>
      </c>
      <c r="Q976" s="2" t="str">
        <f>IF(Iterations[[#This Row],[Step]] =current_step, current_Grad_d,IF(Iterations[[#This Row],[Step]] &gt; current_step, "",Iterations[[#This Row],[Grad_d]]))</f>
        <v/>
      </c>
      <c r="R976" s="2" t="str">
        <f>IF(Iterations[[#This Row],[Step]] =current_step, current_Grad_e,IF(Iterations[[#This Row],[Step]] &gt; current_step, "",Iterations[[#This Row],[Grad_e]]))</f>
        <v/>
      </c>
    </row>
    <row r="977" spans="6:18" x14ac:dyDescent="0.3">
      <c r="F977" s="2">
        <f t="shared" si="18"/>
        <v>960</v>
      </c>
      <c r="G977" s="2" t="str">
        <f>IF(Iterations[[#This Row],[Step]] =current_step, current_a,IF(Iterations[[#This Row],[Step]] &gt; current_step, "",Iterations[[#This Row],[a]]))</f>
        <v/>
      </c>
      <c r="H977" s="2" t="str">
        <f>IF(Iterations[[#This Row],[Step]] =current_step, current_b,IF(Iterations[[#This Row],[Step]] &gt; current_step, "",Iterations[[#This Row],[b]]))</f>
        <v/>
      </c>
      <c r="I977" s="2" t="str">
        <f>IF(Iterations[[#This Row],[Step]] =current_step, current_c,IF(Iterations[[#This Row],[Step]] &gt; current_step, "",Iterations[[#This Row],[c]]))</f>
        <v/>
      </c>
      <c r="J977" s="2" t="str">
        <f>IF(Iterations[[#This Row],[Step]] =current_step, current_d,IF(Iterations[[#This Row],[Step]] &gt; current_step, "",Iterations[[#This Row],[d]]))</f>
        <v/>
      </c>
      <c r="K977" s="2" t="str">
        <f>IF(Iterations[[#This Row],[Step]] =current_step, current_e,IF(Iterations[[#This Row],[Step]] &gt; current_step, "",Iterations[[#This Row],[e]]))</f>
        <v/>
      </c>
      <c r="L977" s="2" t="str">
        <f>IF(Iterations[[#This Row],[Step]] =current_step, current_Total_Loss,IF(Iterations[[#This Row],[Step]] &gt; current_step, "",Iterations[[#This Row],[Total Loss]]))</f>
        <v/>
      </c>
      <c r="M977" s="6" t="s">
        <v>27</v>
      </c>
      <c r="N977" s="2" t="str">
        <f>IF(Iterations[[#This Row],[Step]] =current_step, current_Grad_a,IF(Iterations[[#This Row],[Step]] &gt; current_step, "",Iterations[[#This Row],[Grad_a]]))</f>
        <v/>
      </c>
      <c r="O977" s="2" t="str">
        <f>IF(Iterations[[#This Row],[Step]] =current_step, current_Grad_b,IF(Iterations[[#This Row],[Step]] &gt; current_step, "",Iterations[[#This Row],[Grad_b]]))</f>
        <v/>
      </c>
      <c r="P977" s="2" t="str">
        <f>IF(Iterations[[#This Row],[Step]] =current_step, current_Grad_c,IF(Iterations[[#This Row],[Step]] &gt; current_step, "",Iterations[[#This Row],[Grad_c]]))</f>
        <v/>
      </c>
      <c r="Q977" s="2" t="str">
        <f>IF(Iterations[[#This Row],[Step]] =current_step, current_Grad_d,IF(Iterations[[#This Row],[Step]] &gt; current_step, "",Iterations[[#This Row],[Grad_d]]))</f>
        <v/>
      </c>
      <c r="R977" s="2" t="str">
        <f>IF(Iterations[[#This Row],[Step]] =current_step, current_Grad_e,IF(Iterations[[#This Row],[Step]] &gt; current_step, "",Iterations[[#This Row],[Grad_e]]))</f>
        <v/>
      </c>
    </row>
    <row r="978" spans="6:18" x14ac:dyDescent="0.3">
      <c r="F978" s="2">
        <f t="shared" si="18"/>
        <v>961</v>
      </c>
      <c r="G978" s="2" t="str">
        <f>IF(Iterations[[#This Row],[Step]] =current_step, current_a,IF(Iterations[[#This Row],[Step]] &gt; current_step, "",Iterations[[#This Row],[a]]))</f>
        <v/>
      </c>
      <c r="H978" s="2" t="str">
        <f>IF(Iterations[[#This Row],[Step]] =current_step, current_b,IF(Iterations[[#This Row],[Step]] &gt; current_step, "",Iterations[[#This Row],[b]]))</f>
        <v/>
      </c>
      <c r="I978" s="2" t="str">
        <f>IF(Iterations[[#This Row],[Step]] =current_step, current_c,IF(Iterations[[#This Row],[Step]] &gt; current_step, "",Iterations[[#This Row],[c]]))</f>
        <v/>
      </c>
      <c r="J978" s="2" t="str">
        <f>IF(Iterations[[#This Row],[Step]] =current_step, current_d,IF(Iterations[[#This Row],[Step]] &gt; current_step, "",Iterations[[#This Row],[d]]))</f>
        <v/>
      </c>
      <c r="K978" s="2" t="str">
        <f>IF(Iterations[[#This Row],[Step]] =current_step, current_e,IF(Iterations[[#This Row],[Step]] &gt; current_step, "",Iterations[[#This Row],[e]]))</f>
        <v/>
      </c>
      <c r="L978" s="2" t="str">
        <f>IF(Iterations[[#This Row],[Step]] =current_step, current_Total_Loss,IF(Iterations[[#This Row],[Step]] &gt; current_step, "",Iterations[[#This Row],[Total Loss]]))</f>
        <v/>
      </c>
      <c r="M978" s="6" t="s">
        <v>27</v>
      </c>
      <c r="N978" s="2" t="str">
        <f>IF(Iterations[[#This Row],[Step]] =current_step, current_Grad_a,IF(Iterations[[#This Row],[Step]] &gt; current_step, "",Iterations[[#This Row],[Grad_a]]))</f>
        <v/>
      </c>
      <c r="O978" s="2" t="str">
        <f>IF(Iterations[[#This Row],[Step]] =current_step, current_Grad_b,IF(Iterations[[#This Row],[Step]] &gt; current_step, "",Iterations[[#This Row],[Grad_b]]))</f>
        <v/>
      </c>
      <c r="P978" s="2" t="str">
        <f>IF(Iterations[[#This Row],[Step]] =current_step, current_Grad_c,IF(Iterations[[#This Row],[Step]] &gt; current_step, "",Iterations[[#This Row],[Grad_c]]))</f>
        <v/>
      </c>
      <c r="Q978" s="2" t="str">
        <f>IF(Iterations[[#This Row],[Step]] =current_step, current_Grad_d,IF(Iterations[[#This Row],[Step]] &gt; current_step, "",Iterations[[#This Row],[Grad_d]]))</f>
        <v/>
      </c>
      <c r="R978" s="2" t="str">
        <f>IF(Iterations[[#This Row],[Step]] =current_step, current_Grad_e,IF(Iterations[[#This Row],[Step]] &gt; current_step, "",Iterations[[#This Row],[Grad_e]]))</f>
        <v/>
      </c>
    </row>
    <row r="979" spans="6:18" x14ac:dyDescent="0.3">
      <c r="F979" s="2">
        <f t="shared" si="18"/>
        <v>962</v>
      </c>
      <c r="G979" s="2" t="str">
        <f>IF(Iterations[[#This Row],[Step]] =current_step, current_a,IF(Iterations[[#This Row],[Step]] &gt; current_step, "",Iterations[[#This Row],[a]]))</f>
        <v/>
      </c>
      <c r="H979" s="2" t="str">
        <f>IF(Iterations[[#This Row],[Step]] =current_step, current_b,IF(Iterations[[#This Row],[Step]] &gt; current_step, "",Iterations[[#This Row],[b]]))</f>
        <v/>
      </c>
      <c r="I979" s="2" t="str">
        <f>IF(Iterations[[#This Row],[Step]] =current_step, current_c,IF(Iterations[[#This Row],[Step]] &gt; current_step, "",Iterations[[#This Row],[c]]))</f>
        <v/>
      </c>
      <c r="J979" s="2" t="str">
        <f>IF(Iterations[[#This Row],[Step]] =current_step, current_d,IF(Iterations[[#This Row],[Step]] &gt; current_step, "",Iterations[[#This Row],[d]]))</f>
        <v/>
      </c>
      <c r="K979" s="2" t="str">
        <f>IF(Iterations[[#This Row],[Step]] =current_step, current_e,IF(Iterations[[#This Row],[Step]] &gt; current_step, "",Iterations[[#This Row],[e]]))</f>
        <v/>
      </c>
      <c r="L979" s="2" t="str">
        <f>IF(Iterations[[#This Row],[Step]] =current_step, current_Total_Loss,IF(Iterations[[#This Row],[Step]] &gt; current_step, "",Iterations[[#This Row],[Total Loss]]))</f>
        <v/>
      </c>
      <c r="M979" s="6" t="s">
        <v>27</v>
      </c>
      <c r="N979" s="2" t="str">
        <f>IF(Iterations[[#This Row],[Step]] =current_step, current_Grad_a,IF(Iterations[[#This Row],[Step]] &gt; current_step, "",Iterations[[#This Row],[Grad_a]]))</f>
        <v/>
      </c>
      <c r="O979" s="2" t="str">
        <f>IF(Iterations[[#This Row],[Step]] =current_step, current_Grad_b,IF(Iterations[[#This Row],[Step]] &gt; current_step, "",Iterations[[#This Row],[Grad_b]]))</f>
        <v/>
      </c>
      <c r="P979" s="2" t="str">
        <f>IF(Iterations[[#This Row],[Step]] =current_step, current_Grad_c,IF(Iterations[[#This Row],[Step]] &gt; current_step, "",Iterations[[#This Row],[Grad_c]]))</f>
        <v/>
      </c>
      <c r="Q979" s="2" t="str">
        <f>IF(Iterations[[#This Row],[Step]] =current_step, current_Grad_d,IF(Iterations[[#This Row],[Step]] &gt; current_step, "",Iterations[[#This Row],[Grad_d]]))</f>
        <v/>
      </c>
      <c r="R979" s="2" t="str">
        <f>IF(Iterations[[#This Row],[Step]] =current_step, current_Grad_e,IF(Iterations[[#This Row],[Step]] &gt; current_step, "",Iterations[[#This Row],[Grad_e]]))</f>
        <v/>
      </c>
    </row>
    <row r="980" spans="6:18" x14ac:dyDescent="0.3">
      <c r="F980" s="2">
        <f t="shared" si="18"/>
        <v>963</v>
      </c>
      <c r="G980" s="2" t="str">
        <f>IF(Iterations[[#This Row],[Step]] =current_step, current_a,IF(Iterations[[#This Row],[Step]] &gt; current_step, "",Iterations[[#This Row],[a]]))</f>
        <v/>
      </c>
      <c r="H980" s="2" t="str">
        <f>IF(Iterations[[#This Row],[Step]] =current_step, current_b,IF(Iterations[[#This Row],[Step]] &gt; current_step, "",Iterations[[#This Row],[b]]))</f>
        <v/>
      </c>
      <c r="I980" s="2" t="str">
        <f>IF(Iterations[[#This Row],[Step]] =current_step, current_c,IF(Iterations[[#This Row],[Step]] &gt; current_step, "",Iterations[[#This Row],[c]]))</f>
        <v/>
      </c>
      <c r="J980" s="2" t="str">
        <f>IF(Iterations[[#This Row],[Step]] =current_step, current_d,IF(Iterations[[#This Row],[Step]] &gt; current_step, "",Iterations[[#This Row],[d]]))</f>
        <v/>
      </c>
      <c r="K980" s="2" t="str">
        <f>IF(Iterations[[#This Row],[Step]] =current_step, current_e,IF(Iterations[[#This Row],[Step]] &gt; current_step, "",Iterations[[#This Row],[e]]))</f>
        <v/>
      </c>
      <c r="L980" s="2" t="str">
        <f>IF(Iterations[[#This Row],[Step]] =current_step, current_Total_Loss,IF(Iterations[[#This Row],[Step]] &gt; current_step, "",Iterations[[#This Row],[Total Loss]]))</f>
        <v/>
      </c>
      <c r="M980" s="6" t="s">
        <v>27</v>
      </c>
      <c r="N980" s="2" t="str">
        <f>IF(Iterations[[#This Row],[Step]] =current_step, current_Grad_a,IF(Iterations[[#This Row],[Step]] &gt; current_step, "",Iterations[[#This Row],[Grad_a]]))</f>
        <v/>
      </c>
      <c r="O980" s="2" t="str">
        <f>IF(Iterations[[#This Row],[Step]] =current_step, current_Grad_b,IF(Iterations[[#This Row],[Step]] &gt; current_step, "",Iterations[[#This Row],[Grad_b]]))</f>
        <v/>
      </c>
      <c r="P980" s="2" t="str">
        <f>IF(Iterations[[#This Row],[Step]] =current_step, current_Grad_c,IF(Iterations[[#This Row],[Step]] &gt; current_step, "",Iterations[[#This Row],[Grad_c]]))</f>
        <v/>
      </c>
      <c r="Q980" s="2" t="str">
        <f>IF(Iterations[[#This Row],[Step]] =current_step, current_Grad_d,IF(Iterations[[#This Row],[Step]] &gt; current_step, "",Iterations[[#This Row],[Grad_d]]))</f>
        <v/>
      </c>
      <c r="R980" s="2" t="str">
        <f>IF(Iterations[[#This Row],[Step]] =current_step, current_Grad_e,IF(Iterations[[#This Row],[Step]] &gt; current_step, "",Iterations[[#This Row],[Grad_e]]))</f>
        <v/>
      </c>
    </row>
    <row r="981" spans="6:18" x14ac:dyDescent="0.3">
      <c r="F981" s="2">
        <f t="shared" si="18"/>
        <v>964</v>
      </c>
      <c r="G981" s="2" t="str">
        <f>IF(Iterations[[#This Row],[Step]] =current_step, current_a,IF(Iterations[[#This Row],[Step]] &gt; current_step, "",Iterations[[#This Row],[a]]))</f>
        <v/>
      </c>
      <c r="H981" s="2" t="str">
        <f>IF(Iterations[[#This Row],[Step]] =current_step, current_b,IF(Iterations[[#This Row],[Step]] &gt; current_step, "",Iterations[[#This Row],[b]]))</f>
        <v/>
      </c>
      <c r="I981" s="2" t="str">
        <f>IF(Iterations[[#This Row],[Step]] =current_step, current_c,IF(Iterations[[#This Row],[Step]] &gt; current_step, "",Iterations[[#This Row],[c]]))</f>
        <v/>
      </c>
      <c r="J981" s="2" t="str">
        <f>IF(Iterations[[#This Row],[Step]] =current_step, current_d,IF(Iterations[[#This Row],[Step]] &gt; current_step, "",Iterations[[#This Row],[d]]))</f>
        <v/>
      </c>
      <c r="K981" s="2" t="str">
        <f>IF(Iterations[[#This Row],[Step]] =current_step, current_e,IF(Iterations[[#This Row],[Step]] &gt; current_step, "",Iterations[[#This Row],[e]]))</f>
        <v/>
      </c>
      <c r="L981" s="2" t="str">
        <f>IF(Iterations[[#This Row],[Step]] =current_step, current_Total_Loss,IF(Iterations[[#This Row],[Step]] &gt; current_step, "",Iterations[[#This Row],[Total Loss]]))</f>
        <v/>
      </c>
      <c r="M981" s="6" t="s">
        <v>27</v>
      </c>
      <c r="N981" s="2" t="str">
        <f>IF(Iterations[[#This Row],[Step]] =current_step, current_Grad_a,IF(Iterations[[#This Row],[Step]] &gt; current_step, "",Iterations[[#This Row],[Grad_a]]))</f>
        <v/>
      </c>
      <c r="O981" s="2" t="str">
        <f>IF(Iterations[[#This Row],[Step]] =current_step, current_Grad_b,IF(Iterations[[#This Row],[Step]] &gt; current_step, "",Iterations[[#This Row],[Grad_b]]))</f>
        <v/>
      </c>
      <c r="P981" s="2" t="str">
        <f>IF(Iterations[[#This Row],[Step]] =current_step, current_Grad_c,IF(Iterations[[#This Row],[Step]] &gt; current_step, "",Iterations[[#This Row],[Grad_c]]))</f>
        <v/>
      </c>
      <c r="Q981" s="2" t="str">
        <f>IF(Iterations[[#This Row],[Step]] =current_step, current_Grad_d,IF(Iterations[[#This Row],[Step]] &gt; current_step, "",Iterations[[#This Row],[Grad_d]]))</f>
        <v/>
      </c>
      <c r="R981" s="2" t="str">
        <f>IF(Iterations[[#This Row],[Step]] =current_step, current_Grad_e,IF(Iterations[[#This Row],[Step]] &gt; current_step, "",Iterations[[#This Row],[Grad_e]]))</f>
        <v/>
      </c>
    </row>
    <row r="982" spans="6:18" x14ac:dyDescent="0.3">
      <c r="F982" s="2">
        <f t="shared" si="18"/>
        <v>965</v>
      </c>
      <c r="G982" s="2" t="str">
        <f>IF(Iterations[[#This Row],[Step]] =current_step, current_a,IF(Iterations[[#This Row],[Step]] &gt; current_step, "",Iterations[[#This Row],[a]]))</f>
        <v/>
      </c>
      <c r="H982" s="2" t="str">
        <f>IF(Iterations[[#This Row],[Step]] =current_step, current_b,IF(Iterations[[#This Row],[Step]] &gt; current_step, "",Iterations[[#This Row],[b]]))</f>
        <v/>
      </c>
      <c r="I982" s="2" t="str">
        <f>IF(Iterations[[#This Row],[Step]] =current_step, current_c,IF(Iterations[[#This Row],[Step]] &gt; current_step, "",Iterations[[#This Row],[c]]))</f>
        <v/>
      </c>
      <c r="J982" s="2" t="str">
        <f>IF(Iterations[[#This Row],[Step]] =current_step, current_d,IF(Iterations[[#This Row],[Step]] &gt; current_step, "",Iterations[[#This Row],[d]]))</f>
        <v/>
      </c>
      <c r="K982" s="2" t="str">
        <f>IF(Iterations[[#This Row],[Step]] =current_step, current_e,IF(Iterations[[#This Row],[Step]] &gt; current_step, "",Iterations[[#This Row],[e]]))</f>
        <v/>
      </c>
      <c r="L982" s="2" t="str">
        <f>IF(Iterations[[#This Row],[Step]] =current_step, current_Total_Loss,IF(Iterations[[#This Row],[Step]] &gt; current_step, "",Iterations[[#This Row],[Total Loss]]))</f>
        <v/>
      </c>
      <c r="M982" s="6" t="s">
        <v>27</v>
      </c>
      <c r="N982" s="2" t="str">
        <f>IF(Iterations[[#This Row],[Step]] =current_step, current_Grad_a,IF(Iterations[[#This Row],[Step]] &gt; current_step, "",Iterations[[#This Row],[Grad_a]]))</f>
        <v/>
      </c>
      <c r="O982" s="2" t="str">
        <f>IF(Iterations[[#This Row],[Step]] =current_step, current_Grad_b,IF(Iterations[[#This Row],[Step]] &gt; current_step, "",Iterations[[#This Row],[Grad_b]]))</f>
        <v/>
      </c>
      <c r="P982" s="2" t="str">
        <f>IF(Iterations[[#This Row],[Step]] =current_step, current_Grad_c,IF(Iterations[[#This Row],[Step]] &gt; current_step, "",Iterations[[#This Row],[Grad_c]]))</f>
        <v/>
      </c>
      <c r="Q982" s="2" t="str">
        <f>IF(Iterations[[#This Row],[Step]] =current_step, current_Grad_d,IF(Iterations[[#This Row],[Step]] &gt; current_step, "",Iterations[[#This Row],[Grad_d]]))</f>
        <v/>
      </c>
      <c r="R982" s="2" t="str">
        <f>IF(Iterations[[#This Row],[Step]] =current_step, current_Grad_e,IF(Iterations[[#This Row],[Step]] &gt; current_step, "",Iterations[[#This Row],[Grad_e]]))</f>
        <v/>
      </c>
    </row>
    <row r="983" spans="6:18" x14ac:dyDescent="0.3">
      <c r="F983" s="2">
        <f t="shared" ref="F983:F1002" si="19">F982+1</f>
        <v>966</v>
      </c>
      <c r="G983" s="2" t="str">
        <f>IF(Iterations[[#This Row],[Step]] =current_step, current_a,IF(Iterations[[#This Row],[Step]] &gt; current_step, "",Iterations[[#This Row],[a]]))</f>
        <v/>
      </c>
      <c r="H983" s="2" t="str">
        <f>IF(Iterations[[#This Row],[Step]] =current_step, current_b,IF(Iterations[[#This Row],[Step]] &gt; current_step, "",Iterations[[#This Row],[b]]))</f>
        <v/>
      </c>
      <c r="I983" s="2" t="str">
        <f>IF(Iterations[[#This Row],[Step]] =current_step, current_c,IF(Iterations[[#This Row],[Step]] &gt; current_step, "",Iterations[[#This Row],[c]]))</f>
        <v/>
      </c>
      <c r="J983" s="2" t="str">
        <f>IF(Iterations[[#This Row],[Step]] =current_step, current_d,IF(Iterations[[#This Row],[Step]] &gt; current_step, "",Iterations[[#This Row],[d]]))</f>
        <v/>
      </c>
      <c r="K983" s="2" t="str">
        <f>IF(Iterations[[#This Row],[Step]] =current_step, current_e,IF(Iterations[[#This Row],[Step]] &gt; current_step, "",Iterations[[#This Row],[e]]))</f>
        <v/>
      </c>
      <c r="L983" s="2" t="str">
        <f>IF(Iterations[[#This Row],[Step]] =current_step, current_Total_Loss,IF(Iterations[[#This Row],[Step]] &gt; current_step, "",Iterations[[#This Row],[Total Loss]]))</f>
        <v/>
      </c>
      <c r="M983" s="6" t="s">
        <v>27</v>
      </c>
      <c r="N983" s="2" t="str">
        <f>IF(Iterations[[#This Row],[Step]] =current_step, current_Grad_a,IF(Iterations[[#This Row],[Step]] &gt; current_step, "",Iterations[[#This Row],[Grad_a]]))</f>
        <v/>
      </c>
      <c r="O983" s="2" t="str">
        <f>IF(Iterations[[#This Row],[Step]] =current_step, current_Grad_b,IF(Iterations[[#This Row],[Step]] &gt; current_step, "",Iterations[[#This Row],[Grad_b]]))</f>
        <v/>
      </c>
      <c r="P983" s="2" t="str">
        <f>IF(Iterations[[#This Row],[Step]] =current_step, current_Grad_c,IF(Iterations[[#This Row],[Step]] &gt; current_step, "",Iterations[[#This Row],[Grad_c]]))</f>
        <v/>
      </c>
      <c r="Q983" s="2" t="str">
        <f>IF(Iterations[[#This Row],[Step]] =current_step, current_Grad_d,IF(Iterations[[#This Row],[Step]] &gt; current_step, "",Iterations[[#This Row],[Grad_d]]))</f>
        <v/>
      </c>
      <c r="R983" s="2" t="str">
        <f>IF(Iterations[[#This Row],[Step]] =current_step, current_Grad_e,IF(Iterations[[#This Row],[Step]] &gt; current_step, "",Iterations[[#This Row],[Grad_e]]))</f>
        <v/>
      </c>
    </row>
    <row r="984" spans="6:18" x14ac:dyDescent="0.3">
      <c r="F984" s="2">
        <f t="shared" si="19"/>
        <v>967</v>
      </c>
      <c r="G984" s="2" t="str">
        <f>IF(Iterations[[#This Row],[Step]] =current_step, current_a,IF(Iterations[[#This Row],[Step]] &gt; current_step, "",Iterations[[#This Row],[a]]))</f>
        <v/>
      </c>
      <c r="H984" s="2" t="str">
        <f>IF(Iterations[[#This Row],[Step]] =current_step, current_b,IF(Iterations[[#This Row],[Step]] &gt; current_step, "",Iterations[[#This Row],[b]]))</f>
        <v/>
      </c>
      <c r="I984" s="2" t="str">
        <f>IF(Iterations[[#This Row],[Step]] =current_step, current_c,IF(Iterations[[#This Row],[Step]] &gt; current_step, "",Iterations[[#This Row],[c]]))</f>
        <v/>
      </c>
      <c r="J984" s="2" t="str">
        <f>IF(Iterations[[#This Row],[Step]] =current_step, current_d,IF(Iterations[[#This Row],[Step]] &gt; current_step, "",Iterations[[#This Row],[d]]))</f>
        <v/>
      </c>
      <c r="K984" s="2" t="str">
        <f>IF(Iterations[[#This Row],[Step]] =current_step, current_e,IF(Iterations[[#This Row],[Step]] &gt; current_step, "",Iterations[[#This Row],[e]]))</f>
        <v/>
      </c>
      <c r="L984" s="2" t="str">
        <f>IF(Iterations[[#This Row],[Step]] =current_step, current_Total_Loss,IF(Iterations[[#This Row],[Step]] &gt; current_step, "",Iterations[[#This Row],[Total Loss]]))</f>
        <v/>
      </c>
      <c r="M984" s="6" t="s">
        <v>27</v>
      </c>
      <c r="N984" s="2" t="str">
        <f>IF(Iterations[[#This Row],[Step]] =current_step, current_Grad_a,IF(Iterations[[#This Row],[Step]] &gt; current_step, "",Iterations[[#This Row],[Grad_a]]))</f>
        <v/>
      </c>
      <c r="O984" s="2" t="str">
        <f>IF(Iterations[[#This Row],[Step]] =current_step, current_Grad_b,IF(Iterations[[#This Row],[Step]] &gt; current_step, "",Iterations[[#This Row],[Grad_b]]))</f>
        <v/>
      </c>
      <c r="P984" s="2" t="str">
        <f>IF(Iterations[[#This Row],[Step]] =current_step, current_Grad_c,IF(Iterations[[#This Row],[Step]] &gt; current_step, "",Iterations[[#This Row],[Grad_c]]))</f>
        <v/>
      </c>
      <c r="Q984" s="2" t="str">
        <f>IF(Iterations[[#This Row],[Step]] =current_step, current_Grad_d,IF(Iterations[[#This Row],[Step]] &gt; current_step, "",Iterations[[#This Row],[Grad_d]]))</f>
        <v/>
      </c>
      <c r="R984" s="2" t="str">
        <f>IF(Iterations[[#This Row],[Step]] =current_step, current_Grad_e,IF(Iterations[[#This Row],[Step]] &gt; current_step, "",Iterations[[#This Row],[Grad_e]]))</f>
        <v/>
      </c>
    </row>
    <row r="985" spans="6:18" x14ac:dyDescent="0.3">
      <c r="F985" s="2">
        <f t="shared" si="19"/>
        <v>968</v>
      </c>
      <c r="G985" s="2" t="str">
        <f>IF(Iterations[[#This Row],[Step]] =current_step, current_a,IF(Iterations[[#This Row],[Step]] &gt; current_step, "",Iterations[[#This Row],[a]]))</f>
        <v/>
      </c>
      <c r="H985" s="2" t="str">
        <f>IF(Iterations[[#This Row],[Step]] =current_step, current_b,IF(Iterations[[#This Row],[Step]] &gt; current_step, "",Iterations[[#This Row],[b]]))</f>
        <v/>
      </c>
      <c r="I985" s="2" t="str">
        <f>IF(Iterations[[#This Row],[Step]] =current_step, current_c,IF(Iterations[[#This Row],[Step]] &gt; current_step, "",Iterations[[#This Row],[c]]))</f>
        <v/>
      </c>
      <c r="J985" s="2" t="str">
        <f>IF(Iterations[[#This Row],[Step]] =current_step, current_d,IF(Iterations[[#This Row],[Step]] &gt; current_step, "",Iterations[[#This Row],[d]]))</f>
        <v/>
      </c>
      <c r="K985" s="2" t="str">
        <f>IF(Iterations[[#This Row],[Step]] =current_step, current_e,IF(Iterations[[#This Row],[Step]] &gt; current_step, "",Iterations[[#This Row],[e]]))</f>
        <v/>
      </c>
      <c r="L985" s="2" t="str">
        <f>IF(Iterations[[#This Row],[Step]] =current_step, current_Total_Loss,IF(Iterations[[#This Row],[Step]] &gt; current_step, "",Iterations[[#This Row],[Total Loss]]))</f>
        <v/>
      </c>
      <c r="M985" s="6" t="s">
        <v>27</v>
      </c>
      <c r="N985" s="2" t="str">
        <f>IF(Iterations[[#This Row],[Step]] =current_step, current_Grad_a,IF(Iterations[[#This Row],[Step]] &gt; current_step, "",Iterations[[#This Row],[Grad_a]]))</f>
        <v/>
      </c>
      <c r="O985" s="2" t="str">
        <f>IF(Iterations[[#This Row],[Step]] =current_step, current_Grad_b,IF(Iterations[[#This Row],[Step]] &gt; current_step, "",Iterations[[#This Row],[Grad_b]]))</f>
        <v/>
      </c>
      <c r="P985" s="2" t="str">
        <f>IF(Iterations[[#This Row],[Step]] =current_step, current_Grad_c,IF(Iterations[[#This Row],[Step]] &gt; current_step, "",Iterations[[#This Row],[Grad_c]]))</f>
        <v/>
      </c>
      <c r="Q985" s="2" t="str">
        <f>IF(Iterations[[#This Row],[Step]] =current_step, current_Grad_d,IF(Iterations[[#This Row],[Step]] &gt; current_step, "",Iterations[[#This Row],[Grad_d]]))</f>
        <v/>
      </c>
      <c r="R985" s="2" t="str">
        <f>IF(Iterations[[#This Row],[Step]] =current_step, current_Grad_e,IF(Iterations[[#This Row],[Step]] &gt; current_step, "",Iterations[[#This Row],[Grad_e]]))</f>
        <v/>
      </c>
    </row>
    <row r="986" spans="6:18" x14ac:dyDescent="0.3">
      <c r="F986" s="2">
        <f t="shared" si="19"/>
        <v>969</v>
      </c>
      <c r="G986" s="2" t="str">
        <f>IF(Iterations[[#This Row],[Step]] =current_step, current_a,IF(Iterations[[#This Row],[Step]] &gt; current_step, "",Iterations[[#This Row],[a]]))</f>
        <v/>
      </c>
      <c r="H986" s="2" t="str">
        <f>IF(Iterations[[#This Row],[Step]] =current_step, current_b,IF(Iterations[[#This Row],[Step]] &gt; current_step, "",Iterations[[#This Row],[b]]))</f>
        <v/>
      </c>
      <c r="I986" s="2" t="str">
        <f>IF(Iterations[[#This Row],[Step]] =current_step, current_c,IF(Iterations[[#This Row],[Step]] &gt; current_step, "",Iterations[[#This Row],[c]]))</f>
        <v/>
      </c>
      <c r="J986" s="2" t="str">
        <f>IF(Iterations[[#This Row],[Step]] =current_step, current_d,IF(Iterations[[#This Row],[Step]] &gt; current_step, "",Iterations[[#This Row],[d]]))</f>
        <v/>
      </c>
      <c r="K986" s="2" t="str">
        <f>IF(Iterations[[#This Row],[Step]] =current_step, current_e,IF(Iterations[[#This Row],[Step]] &gt; current_step, "",Iterations[[#This Row],[e]]))</f>
        <v/>
      </c>
      <c r="L986" s="2" t="str">
        <f>IF(Iterations[[#This Row],[Step]] =current_step, current_Total_Loss,IF(Iterations[[#This Row],[Step]] &gt; current_step, "",Iterations[[#This Row],[Total Loss]]))</f>
        <v/>
      </c>
      <c r="M986" s="6" t="s">
        <v>27</v>
      </c>
      <c r="N986" s="2" t="str">
        <f>IF(Iterations[[#This Row],[Step]] =current_step, current_Grad_a,IF(Iterations[[#This Row],[Step]] &gt; current_step, "",Iterations[[#This Row],[Grad_a]]))</f>
        <v/>
      </c>
      <c r="O986" s="2" t="str">
        <f>IF(Iterations[[#This Row],[Step]] =current_step, current_Grad_b,IF(Iterations[[#This Row],[Step]] &gt; current_step, "",Iterations[[#This Row],[Grad_b]]))</f>
        <v/>
      </c>
      <c r="P986" s="2" t="str">
        <f>IF(Iterations[[#This Row],[Step]] =current_step, current_Grad_c,IF(Iterations[[#This Row],[Step]] &gt; current_step, "",Iterations[[#This Row],[Grad_c]]))</f>
        <v/>
      </c>
      <c r="Q986" s="2" t="str">
        <f>IF(Iterations[[#This Row],[Step]] =current_step, current_Grad_d,IF(Iterations[[#This Row],[Step]] &gt; current_step, "",Iterations[[#This Row],[Grad_d]]))</f>
        <v/>
      </c>
      <c r="R986" s="2" t="str">
        <f>IF(Iterations[[#This Row],[Step]] =current_step, current_Grad_e,IF(Iterations[[#This Row],[Step]] &gt; current_step, "",Iterations[[#This Row],[Grad_e]]))</f>
        <v/>
      </c>
    </row>
    <row r="987" spans="6:18" x14ac:dyDescent="0.3">
      <c r="F987" s="2">
        <f t="shared" si="19"/>
        <v>970</v>
      </c>
      <c r="G987" s="2" t="str">
        <f>IF(Iterations[[#This Row],[Step]] =current_step, current_a,IF(Iterations[[#This Row],[Step]] &gt; current_step, "",Iterations[[#This Row],[a]]))</f>
        <v/>
      </c>
      <c r="H987" s="2" t="str">
        <f>IF(Iterations[[#This Row],[Step]] =current_step, current_b,IF(Iterations[[#This Row],[Step]] &gt; current_step, "",Iterations[[#This Row],[b]]))</f>
        <v/>
      </c>
      <c r="I987" s="2" t="str">
        <f>IF(Iterations[[#This Row],[Step]] =current_step, current_c,IF(Iterations[[#This Row],[Step]] &gt; current_step, "",Iterations[[#This Row],[c]]))</f>
        <v/>
      </c>
      <c r="J987" s="2" t="str">
        <f>IF(Iterations[[#This Row],[Step]] =current_step, current_d,IF(Iterations[[#This Row],[Step]] &gt; current_step, "",Iterations[[#This Row],[d]]))</f>
        <v/>
      </c>
      <c r="K987" s="2" t="str">
        <f>IF(Iterations[[#This Row],[Step]] =current_step, current_e,IF(Iterations[[#This Row],[Step]] &gt; current_step, "",Iterations[[#This Row],[e]]))</f>
        <v/>
      </c>
      <c r="L987" s="2" t="str">
        <f>IF(Iterations[[#This Row],[Step]] =current_step, current_Total_Loss,IF(Iterations[[#This Row],[Step]] &gt; current_step, "",Iterations[[#This Row],[Total Loss]]))</f>
        <v/>
      </c>
      <c r="M987" s="6" t="s">
        <v>27</v>
      </c>
      <c r="N987" s="2" t="str">
        <f>IF(Iterations[[#This Row],[Step]] =current_step, current_Grad_a,IF(Iterations[[#This Row],[Step]] &gt; current_step, "",Iterations[[#This Row],[Grad_a]]))</f>
        <v/>
      </c>
      <c r="O987" s="2" t="str">
        <f>IF(Iterations[[#This Row],[Step]] =current_step, current_Grad_b,IF(Iterations[[#This Row],[Step]] &gt; current_step, "",Iterations[[#This Row],[Grad_b]]))</f>
        <v/>
      </c>
      <c r="P987" s="2" t="str">
        <f>IF(Iterations[[#This Row],[Step]] =current_step, current_Grad_c,IF(Iterations[[#This Row],[Step]] &gt; current_step, "",Iterations[[#This Row],[Grad_c]]))</f>
        <v/>
      </c>
      <c r="Q987" s="2" t="str">
        <f>IF(Iterations[[#This Row],[Step]] =current_step, current_Grad_d,IF(Iterations[[#This Row],[Step]] &gt; current_step, "",Iterations[[#This Row],[Grad_d]]))</f>
        <v/>
      </c>
      <c r="R987" s="2" t="str">
        <f>IF(Iterations[[#This Row],[Step]] =current_step, current_Grad_e,IF(Iterations[[#This Row],[Step]] &gt; current_step, "",Iterations[[#This Row],[Grad_e]]))</f>
        <v/>
      </c>
    </row>
    <row r="988" spans="6:18" x14ac:dyDescent="0.3">
      <c r="F988" s="2">
        <f t="shared" si="19"/>
        <v>971</v>
      </c>
      <c r="G988" s="2" t="str">
        <f>IF(Iterations[[#This Row],[Step]] =current_step, current_a,IF(Iterations[[#This Row],[Step]] &gt; current_step, "",Iterations[[#This Row],[a]]))</f>
        <v/>
      </c>
      <c r="H988" s="2" t="str">
        <f>IF(Iterations[[#This Row],[Step]] =current_step, current_b,IF(Iterations[[#This Row],[Step]] &gt; current_step, "",Iterations[[#This Row],[b]]))</f>
        <v/>
      </c>
      <c r="I988" s="2" t="str">
        <f>IF(Iterations[[#This Row],[Step]] =current_step, current_c,IF(Iterations[[#This Row],[Step]] &gt; current_step, "",Iterations[[#This Row],[c]]))</f>
        <v/>
      </c>
      <c r="J988" s="2" t="str">
        <f>IF(Iterations[[#This Row],[Step]] =current_step, current_d,IF(Iterations[[#This Row],[Step]] &gt; current_step, "",Iterations[[#This Row],[d]]))</f>
        <v/>
      </c>
      <c r="K988" s="2" t="str">
        <f>IF(Iterations[[#This Row],[Step]] =current_step, current_e,IF(Iterations[[#This Row],[Step]] &gt; current_step, "",Iterations[[#This Row],[e]]))</f>
        <v/>
      </c>
      <c r="L988" s="2" t="str">
        <f>IF(Iterations[[#This Row],[Step]] =current_step, current_Total_Loss,IF(Iterations[[#This Row],[Step]] &gt; current_step, "",Iterations[[#This Row],[Total Loss]]))</f>
        <v/>
      </c>
      <c r="M988" s="6" t="s">
        <v>27</v>
      </c>
      <c r="N988" s="2" t="str">
        <f>IF(Iterations[[#This Row],[Step]] =current_step, current_Grad_a,IF(Iterations[[#This Row],[Step]] &gt; current_step, "",Iterations[[#This Row],[Grad_a]]))</f>
        <v/>
      </c>
      <c r="O988" s="2" t="str">
        <f>IF(Iterations[[#This Row],[Step]] =current_step, current_Grad_b,IF(Iterations[[#This Row],[Step]] &gt; current_step, "",Iterations[[#This Row],[Grad_b]]))</f>
        <v/>
      </c>
      <c r="P988" s="2" t="str">
        <f>IF(Iterations[[#This Row],[Step]] =current_step, current_Grad_c,IF(Iterations[[#This Row],[Step]] &gt; current_step, "",Iterations[[#This Row],[Grad_c]]))</f>
        <v/>
      </c>
      <c r="Q988" s="2" t="str">
        <f>IF(Iterations[[#This Row],[Step]] =current_step, current_Grad_d,IF(Iterations[[#This Row],[Step]] &gt; current_step, "",Iterations[[#This Row],[Grad_d]]))</f>
        <v/>
      </c>
      <c r="R988" s="2" t="str">
        <f>IF(Iterations[[#This Row],[Step]] =current_step, current_Grad_e,IF(Iterations[[#This Row],[Step]] &gt; current_step, "",Iterations[[#This Row],[Grad_e]]))</f>
        <v/>
      </c>
    </row>
    <row r="989" spans="6:18" x14ac:dyDescent="0.3">
      <c r="F989" s="2">
        <f t="shared" si="19"/>
        <v>972</v>
      </c>
      <c r="G989" s="2" t="str">
        <f>IF(Iterations[[#This Row],[Step]] =current_step, current_a,IF(Iterations[[#This Row],[Step]] &gt; current_step, "",Iterations[[#This Row],[a]]))</f>
        <v/>
      </c>
      <c r="H989" s="2" t="str">
        <f>IF(Iterations[[#This Row],[Step]] =current_step, current_b,IF(Iterations[[#This Row],[Step]] &gt; current_step, "",Iterations[[#This Row],[b]]))</f>
        <v/>
      </c>
      <c r="I989" s="2" t="str">
        <f>IF(Iterations[[#This Row],[Step]] =current_step, current_c,IF(Iterations[[#This Row],[Step]] &gt; current_step, "",Iterations[[#This Row],[c]]))</f>
        <v/>
      </c>
      <c r="J989" s="2" t="str">
        <f>IF(Iterations[[#This Row],[Step]] =current_step, current_d,IF(Iterations[[#This Row],[Step]] &gt; current_step, "",Iterations[[#This Row],[d]]))</f>
        <v/>
      </c>
      <c r="K989" s="2" t="str">
        <f>IF(Iterations[[#This Row],[Step]] =current_step, current_e,IF(Iterations[[#This Row],[Step]] &gt; current_step, "",Iterations[[#This Row],[e]]))</f>
        <v/>
      </c>
      <c r="L989" s="2" t="str">
        <f>IF(Iterations[[#This Row],[Step]] =current_step, current_Total_Loss,IF(Iterations[[#This Row],[Step]] &gt; current_step, "",Iterations[[#This Row],[Total Loss]]))</f>
        <v/>
      </c>
      <c r="M989" s="6" t="s">
        <v>27</v>
      </c>
      <c r="N989" s="2" t="str">
        <f>IF(Iterations[[#This Row],[Step]] =current_step, current_Grad_a,IF(Iterations[[#This Row],[Step]] &gt; current_step, "",Iterations[[#This Row],[Grad_a]]))</f>
        <v/>
      </c>
      <c r="O989" s="2" t="str">
        <f>IF(Iterations[[#This Row],[Step]] =current_step, current_Grad_b,IF(Iterations[[#This Row],[Step]] &gt; current_step, "",Iterations[[#This Row],[Grad_b]]))</f>
        <v/>
      </c>
      <c r="P989" s="2" t="str">
        <f>IF(Iterations[[#This Row],[Step]] =current_step, current_Grad_c,IF(Iterations[[#This Row],[Step]] &gt; current_step, "",Iterations[[#This Row],[Grad_c]]))</f>
        <v/>
      </c>
      <c r="Q989" s="2" t="str">
        <f>IF(Iterations[[#This Row],[Step]] =current_step, current_Grad_d,IF(Iterations[[#This Row],[Step]] &gt; current_step, "",Iterations[[#This Row],[Grad_d]]))</f>
        <v/>
      </c>
      <c r="R989" s="2" t="str">
        <f>IF(Iterations[[#This Row],[Step]] =current_step, current_Grad_e,IF(Iterations[[#This Row],[Step]] &gt; current_step, "",Iterations[[#This Row],[Grad_e]]))</f>
        <v/>
      </c>
    </row>
    <row r="990" spans="6:18" x14ac:dyDescent="0.3">
      <c r="F990" s="2">
        <f t="shared" si="19"/>
        <v>973</v>
      </c>
      <c r="G990" s="2" t="str">
        <f>IF(Iterations[[#This Row],[Step]] =current_step, current_a,IF(Iterations[[#This Row],[Step]] &gt; current_step, "",Iterations[[#This Row],[a]]))</f>
        <v/>
      </c>
      <c r="H990" s="2" t="str">
        <f>IF(Iterations[[#This Row],[Step]] =current_step, current_b,IF(Iterations[[#This Row],[Step]] &gt; current_step, "",Iterations[[#This Row],[b]]))</f>
        <v/>
      </c>
      <c r="I990" s="2" t="str">
        <f>IF(Iterations[[#This Row],[Step]] =current_step, current_c,IF(Iterations[[#This Row],[Step]] &gt; current_step, "",Iterations[[#This Row],[c]]))</f>
        <v/>
      </c>
      <c r="J990" s="2" t="str">
        <f>IF(Iterations[[#This Row],[Step]] =current_step, current_d,IF(Iterations[[#This Row],[Step]] &gt; current_step, "",Iterations[[#This Row],[d]]))</f>
        <v/>
      </c>
      <c r="K990" s="2" t="str">
        <f>IF(Iterations[[#This Row],[Step]] =current_step, current_e,IF(Iterations[[#This Row],[Step]] &gt; current_step, "",Iterations[[#This Row],[e]]))</f>
        <v/>
      </c>
      <c r="L990" s="2" t="str">
        <f>IF(Iterations[[#This Row],[Step]] =current_step, current_Total_Loss,IF(Iterations[[#This Row],[Step]] &gt; current_step, "",Iterations[[#This Row],[Total Loss]]))</f>
        <v/>
      </c>
      <c r="M990" s="6" t="s">
        <v>27</v>
      </c>
      <c r="N990" s="2" t="str">
        <f>IF(Iterations[[#This Row],[Step]] =current_step, current_Grad_a,IF(Iterations[[#This Row],[Step]] &gt; current_step, "",Iterations[[#This Row],[Grad_a]]))</f>
        <v/>
      </c>
      <c r="O990" s="2" t="str">
        <f>IF(Iterations[[#This Row],[Step]] =current_step, current_Grad_b,IF(Iterations[[#This Row],[Step]] &gt; current_step, "",Iterations[[#This Row],[Grad_b]]))</f>
        <v/>
      </c>
      <c r="P990" s="2" t="str">
        <f>IF(Iterations[[#This Row],[Step]] =current_step, current_Grad_c,IF(Iterations[[#This Row],[Step]] &gt; current_step, "",Iterations[[#This Row],[Grad_c]]))</f>
        <v/>
      </c>
      <c r="Q990" s="2" t="str">
        <f>IF(Iterations[[#This Row],[Step]] =current_step, current_Grad_d,IF(Iterations[[#This Row],[Step]] &gt; current_step, "",Iterations[[#This Row],[Grad_d]]))</f>
        <v/>
      </c>
      <c r="R990" s="2" t="str">
        <f>IF(Iterations[[#This Row],[Step]] =current_step, current_Grad_e,IF(Iterations[[#This Row],[Step]] &gt; current_step, "",Iterations[[#This Row],[Grad_e]]))</f>
        <v/>
      </c>
    </row>
    <row r="991" spans="6:18" x14ac:dyDescent="0.3">
      <c r="F991" s="2">
        <f t="shared" si="19"/>
        <v>974</v>
      </c>
      <c r="G991" s="2" t="str">
        <f>IF(Iterations[[#This Row],[Step]] =current_step, current_a,IF(Iterations[[#This Row],[Step]] &gt; current_step, "",Iterations[[#This Row],[a]]))</f>
        <v/>
      </c>
      <c r="H991" s="2" t="str">
        <f>IF(Iterations[[#This Row],[Step]] =current_step, current_b,IF(Iterations[[#This Row],[Step]] &gt; current_step, "",Iterations[[#This Row],[b]]))</f>
        <v/>
      </c>
      <c r="I991" s="2" t="str">
        <f>IF(Iterations[[#This Row],[Step]] =current_step, current_c,IF(Iterations[[#This Row],[Step]] &gt; current_step, "",Iterations[[#This Row],[c]]))</f>
        <v/>
      </c>
      <c r="J991" s="2" t="str">
        <f>IF(Iterations[[#This Row],[Step]] =current_step, current_d,IF(Iterations[[#This Row],[Step]] &gt; current_step, "",Iterations[[#This Row],[d]]))</f>
        <v/>
      </c>
      <c r="K991" s="2" t="str">
        <f>IF(Iterations[[#This Row],[Step]] =current_step, current_e,IF(Iterations[[#This Row],[Step]] &gt; current_step, "",Iterations[[#This Row],[e]]))</f>
        <v/>
      </c>
      <c r="L991" s="2" t="str">
        <f>IF(Iterations[[#This Row],[Step]] =current_step, current_Total_Loss,IF(Iterations[[#This Row],[Step]] &gt; current_step, "",Iterations[[#This Row],[Total Loss]]))</f>
        <v/>
      </c>
      <c r="M991" s="6" t="s">
        <v>27</v>
      </c>
      <c r="N991" s="2" t="str">
        <f>IF(Iterations[[#This Row],[Step]] =current_step, current_Grad_a,IF(Iterations[[#This Row],[Step]] &gt; current_step, "",Iterations[[#This Row],[Grad_a]]))</f>
        <v/>
      </c>
      <c r="O991" s="2" t="str">
        <f>IF(Iterations[[#This Row],[Step]] =current_step, current_Grad_b,IF(Iterations[[#This Row],[Step]] &gt; current_step, "",Iterations[[#This Row],[Grad_b]]))</f>
        <v/>
      </c>
      <c r="P991" s="2" t="str">
        <f>IF(Iterations[[#This Row],[Step]] =current_step, current_Grad_c,IF(Iterations[[#This Row],[Step]] &gt; current_step, "",Iterations[[#This Row],[Grad_c]]))</f>
        <v/>
      </c>
      <c r="Q991" s="2" t="str">
        <f>IF(Iterations[[#This Row],[Step]] =current_step, current_Grad_d,IF(Iterations[[#This Row],[Step]] &gt; current_step, "",Iterations[[#This Row],[Grad_d]]))</f>
        <v/>
      </c>
      <c r="R991" s="2" t="str">
        <f>IF(Iterations[[#This Row],[Step]] =current_step, current_Grad_e,IF(Iterations[[#This Row],[Step]] &gt; current_step, "",Iterations[[#This Row],[Grad_e]]))</f>
        <v/>
      </c>
    </row>
    <row r="992" spans="6:18" x14ac:dyDescent="0.3">
      <c r="F992" s="2">
        <f t="shared" si="19"/>
        <v>975</v>
      </c>
      <c r="G992" s="2" t="str">
        <f>IF(Iterations[[#This Row],[Step]] =current_step, current_a,IF(Iterations[[#This Row],[Step]] &gt; current_step, "",Iterations[[#This Row],[a]]))</f>
        <v/>
      </c>
      <c r="H992" s="2" t="str">
        <f>IF(Iterations[[#This Row],[Step]] =current_step, current_b,IF(Iterations[[#This Row],[Step]] &gt; current_step, "",Iterations[[#This Row],[b]]))</f>
        <v/>
      </c>
      <c r="I992" s="2" t="str">
        <f>IF(Iterations[[#This Row],[Step]] =current_step, current_c,IF(Iterations[[#This Row],[Step]] &gt; current_step, "",Iterations[[#This Row],[c]]))</f>
        <v/>
      </c>
      <c r="J992" s="2" t="str">
        <f>IF(Iterations[[#This Row],[Step]] =current_step, current_d,IF(Iterations[[#This Row],[Step]] &gt; current_step, "",Iterations[[#This Row],[d]]))</f>
        <v/>
      </c>
      <c r="K992" s="2" t="str">
        <f>IF(Iterations[[#This Row],[Step]] =current_step, current_e,IF(Iterations[[#This Row],[Step]] &gt; current_step, "",Iterations[[#This Row],[e]]))</f>
        <v/>
      </c>
      <c r="L992" s="2" t="str">
        <f>IF(Iterations[[#This Row],[Step]] =current_step, current_Total_Loss,IF(Iterations[[#This Row],[Step]] &gt; current_step, "",Iterations[[#This Row],[Total Loss]]))</f>
        <v/>
      </c>
      <c r="M992" s="6" t="s">
        <v>27</v>
      </c>
      <c r="N992" s="2" t="str">
        <f>IF(Iterations[[#This Row],[Step]] =current_step, current_Grad_a,IF(Iterations[[#This Row],[Step]] &gt; current_step, "",Iterations[[#This Row],[Grad_a]]))</f>
        <v/>
      </c>
      <c r="O992" s="2" t="str">
        <f>IF(Iterations[[#This Row],[Step]] =current_step, current_Grad_b,IF(Iterations[[#This Row],[Step]] &gt; current_step, "",Iterations[[#This Row],[Grad_b]]))</f>
        <v/>
      </c>
      <c r="P992" s="2" t="str">
        <f>IF(Iterations[[#This Row],[Step]] =current_step, current_Grad_c,IF(Iterations[[#This Row],[Step]] &gt; current_step, "",Iterations[[#This Row],[Grad_c]]))</f>
        <v/>
      </c>
      <c r="Q992" s="2" t="str">
        <f>IF(Iterations[[#This Row],[Step]] =current_step, current_Grad_d,IF(Iterations[[#This Row],[Step]] &gt; current_step, "",Iterations[[#This Row],[Grad_d]]))</f>
        <v/>
      </c>
      <c r="R992" s="2" t="str">
        <f>IF(Iterations[[#This Row],[Step]] =current_step, current_Grad_e,IF(Iterations[[#This Row],[Step]] &gt; current_step, "",Iterations[[#This Row],[Grad_e]]))</f>
        <v/>
      </c>
    </row>
    <row r="993" spans="6:18" x14ac:dyDescent="0.3">
      <c r="F993" s="2">
        <f t="shared" si="19"/>
        <v>976</v>
      </c>
      <c r="G993" s="2" t="str">
        <f>IF(Iterations[[#This Row],[Step]] =current_step, current_a,IF(Iterations[[#This Row],[Step]] &gt; current_step, "",Iterations[[#This Row],[a]]))</f>
        <v/>
      </c>
      <c r="H993" s="2" t="str">
        <f>IF(Iterations[[#This Row],[Step]] =current_step, current_b,IF(Iterations[[#This Row],[Step]] &gt; current_step, "",Iterations[[#This Row],[b]]))</f>
        <v/>
      </c>
      <c r="I993" s="2" t="str">
        <f>IF(Iterations[[#This Row],[Step]] =current_step, current_c,IF(Iterations[[#This Row],[Step]] &gt; current_step, "",Iterations[[#This Row],[c]]))</f>
        <v/>
      </c>
      <c r="J993" s="2" t="str">
        <f>IF(Iterations[[#This Row],[Step]] =current_step, current_d,IF(Iterations[[#This Row],[Step]] &gt; current_step, "",Iterations[[#This Row],[d]]))</f>
        <v/>
      </c>
      <c r="K993" s="2" t="str">
        <f>IF(Iterations[[#This Row],[Step]] =current_step, current_e,IF(Iterations[[#This Row],[Step]] &gt; current_step, "",Iterations[[#This Row],[e]]))</f>
        <v/>
      </c>
      <c r="L993" s="2" t="str">
        <f>IF(Iterations[[#This Row],[Step]] =current_step, current_Total_Loss,IF(Iterations[[#This Row],[Step]] &gt; current_step, "",Iterations[[#This Row],[Total Loss]]))</f>
        <v/>
      </c>
      <c r="M993" s="6" t="s">
        <v>27</v>
      </c>
      <c r="N993" s="2" t="str">
        <f>IF(Iterations[[#This Row],[Step]] =current_step, current_Grad_a,IF(Iterations[[#This Row],[Step]] &gt; current_step, "",Iterations[[#This Row],[Grad_a]]))</f>
        <v/>
      </c>
      <c r="O993" s="2" t="str">
        <f>IF(Iterations[[#This Row],[Step]] =current_step, current_Grad_b,IF(Iterations[[#This Row],[Step]] &gt; current_step, "",Iterations[[#This Row],[Grad_b]]))</f>
        <v/>
      </c>
      <c r="P993" s="2" t="str">
        <f>IF(Iterations[[#This Row],[Step]] =current_step, current_Grad_c,IF(Iterations[[#This Row],[Step]] &gt; current_step, "",Iterations[[#This Row],[Grad_c]]))</f>
        <v/>
      </c>
      <c r="Q993" s="2" t="str">
        <f>IF(Iterations[[#This Row],[Step]] =current_step, current_Grad_d,IF(Iterations[[#This Row],[Step]] &gt; current_step, "",Iterations[[#This Row],[Grad_d]]))</f>
        <v/>
      </c>
      <c r="R993" s="2" t="str">
        <f>IF(Iterations[[#This Row],[Step]] =current_step, current_Grad_e,IF(Iterations[[#This Row],[Step]] &gt; current_step, "",Iterations[[#This Row],[Grad_e]]))</f>
        <v/>
      </c>
    </row>
    <row r="994" spans="6:18" x14ac:dyDescent="0.3">
      <c r="F994" s="2">
        <f t="shared" si="19"/>
        <v>977</v>
      </c>
      <c r="G994" s="2" t="str">
        <f>IF(Iterations[[#This Row],[Step]] =current_step, current_a,IF(Iterations[[#This Row],[Step]] &gt; current_step, "",Iterations[[#This Row],[a]]))</f>
        <v/>
      </c>
      <c r="H994" s="2" t="str">
        <f>IF(Iterations[[#This Row],[Step]] =current_step, current_b,IF(Iterations[[#This Row],[Step]] &gt; current_step, "",Iterations[[#This Row],[b]]))</f>
        <v/>
      </c>
      <c r="I994" s="2" t="str">
        <f>IF(Iterations[[#This Row],[Step]] =current_step, current_c,IF(Iterations[[#This Row],[Step]] &gt; current_step, "",Iterations[[#This Row],[c]]))</f>
        <v/>
      </c>
      <c r="J994" s="2" t="str">
        <f>IF(Iterations[[#This Row],[Step]] =current_step, current_d,IF(Iterations[[#This Row],[Step]] &gt; current_step, "",Iterations[[#This Row],[d]]))</f>
        <v/>
      </c>
      <c r="K994" s="2" t="str">
        <f>IF(Iterations[[#This Row],[Step]] =current_step, current_e,IF(Iterations[[#This Row],[Step]] &gt; current_step, "",Iterations[[#This Row],[e]]))</f>
        <v/>
      </c>
      <c r="L994" s="2" t="str">
        <f>IF(Iterations[[#This Row],[Step]] =current_step, current_Total_Loss,IF(Iterations[[#This Row],[Step]] &gt; current_step, "",Iterations[[#This Row],[Total Loss]]))</f>
        <v/>
      </c>
      <c r="M994" s="6" t="s">
        <v>27</v>
      </c>
      <c r="N994" s="2" t="str">
        <f>IF(Iterations[[#This Row],[Step]] =current_step, current_Grad_a,IF(Iterations[[#This Row],[Step]] &gt; current_step, "",Iterations[[#This Row],[Grad_a]]))</f>
        <v/>
      </c>
      <c r="O994" s="2" t="str">
        <f>IF(Iterations[[#This Row],[Step]] =current_step, current_Grad_b,IF(Iterations[[#This Row],[Step]] &gt; current_step, "",Iterations[[#This Row],[Grad_b]]))</f>
        <v/>
      </c>
      <c r="P994" s="2" t="str">
        <f>IF(Iterations[[#This Row],[Step]] =current_step, current_Grad_c,IF(Iterations[[#This Row],[Step]] &gt; current_step, "",Iterations[[#This Row],[Grad_c]]))</f>
        <v/>
      </c>
      <c r="Q994" s="2" t="str">
        <f>IF(Iterations[[#This Row],[Step]] =current_step, current_Grad_d,IF(Iterations[[#This Row],[Step]] &gt; current_step, "",Iterations[[#This Row],[Grad_d]]))</f>
        <v/>
      </c>
      <c r="R994" s="2" t="str">
        <f>IF(Iterations[[#This Row],[Step]] =current_step, current_Grad_e,IF(Iterations[[#This Row],[Step]] &gt; current_step, "",Iterations[[#This Row],[Grad_e]]))</f>
        <v/>
      </c>
    </row>
    <row r="995" spans="6:18" x14ac:dyDescent="0.3">
      <c r="F995" s="2">
        <f t="shared" si="19"/>
        <v>978</v>
      </c>
      <c r="G995" s="2" t="str">
        <f>IF(Iterations[[#This Row],[Step]] =current_step, current_a,IF(Iterations[[#This Row],[Step]] &gt; current_step, "",Iterations[[#This Row],[a]]))</f>
        <v/>
      </c>
      <c r="H995" s="2" t="str">
        <f>IF(Iterations[[#This Row],[Step]] =current_step, current_b,IF(Iterations[[#This Row],[Step]] &gt; current_step, "",Iterations[[#This Row],[b]]))</f>
        <v/>
      </c>
      <c r="I995" s="2" t="str">
        <f>IF(Iterations[[#This Row],[Step]] =current_step, current_c,IF(Iterations[[#This Row],[Step]] &gt; current_step, "",Iterations[[#This Row],[c]]))</f>
        <v/>
      </c>
      <c r="J995" s="2" t="str">
        <f>IF(Iterations[[#This Row],[Step]] =current_step, current_d,IF(Iterations[[#This Row],[Step]] &gt; current_step, "",Iterations[[#This Row],[d]]))</f>
        <v/>
      </c>
      <c r="K995" s="2" t="str">
        <f>IF(Iterations[[#This Row],[Step]] =current_step, current_e,IF(Iterations[[#This Row],[Step]] &gt; current_step, "",Iterations[[#This Row],[e]]))</f>
        <v/>
      </c>
      <c r="L995" s="2" t="str">
        <f>IF(Iterations[[#This Row],[Step]] =current_step, current_Total_Loss,IF(Iterations[[#This Row],[Step]] &gt; current_step, "",Iterations[[#This Row],[Total Loss]]))</f>
        <v/>
      </c>
      <c r="M995" s="6" t="s">
        <v>27</v>
      </c>
      <c r="N995" s="2" t="str">
        <f>IF(Iterations[[#This Row],[Step]] =current_step, current_Grad_a,IF(Iterations[[#This Row],[Step]] &gt; current_step, "",Iterations[[#This Row],[Grad_a]]))</f>
        <v/>
      </c>
      <c r="O995" s="2" t="str">
        <f>IF(Iterations[[#This Row],[Step]] =current_step, current_Grad_b,IF(Iterations[[#This Row],[Step]] &gt; current_step, "",Iterations[[#This Row],[Grad_b]]))</f>
        <v/>
      </c>
      <c r="P995" s="2" t="str">
        <f>IF(Iterations[[#This Row],[Step]] =current_step, current_Grad_c,IF(Iterations[[#This Row],[Step]] &gt; current_step, "",Iterations[[#This Row],[Grad_c]]))</f>
        <v/>
      </c>
      <c r="Q995" s="2" t="str">
        <f>IF(Iterations[[#This Row],[Step]] =current_step, current_Grad_d,IF(Iterations[[#This Row],[Step]] &gt; current_step, "",Iterations[[#This Row],[Grad_d]]))</f>
        <v/>
      </c>
      <c r="R995" s="2" t="str">
        <f>IF(Iterations[[#This Row],[Step]] =current_step, current_Grad_e,IF(Iterations[[#This Row],[Step]] &gt; current_step, "",Iterations[[#This Row],[Grad_e]]))</f>
        <v/>
      </c>
    </row>
    <row r="996" spans="6:18" x14ac:dyDescent="0.3">
      <c r="F996" s="2">
        <f t="shared" si="19"/>
        <v>979</v>
      </c>
      <c r="G996" s="2" t="str">
        <f>IF(Iterations[[#This Row],[Step]] =current_step, current_a,IF(Iterations[[#This Row],[Step]] &gt; current_step, "",Iterations[[#This Row],[a]]))</f>
        <v/>
      </c>
      <c r="H996" s="2" t="str">
        <f>IF(Iterations[[#This Row],[Step]] =current_step, current_b,IF(Iterations[[#This Row],[Step]] &gt; current_step, "",Iterations[[#This Row],[b]]))</f>
        <v/>
      </c>
      <c r="I996" s="2" t="str">
        <f>IF(Iterations[[#This Row],[Step]] =current_step, current_c,IF(Iterations[[#This Row],[Step]] &gt; current_step, "",Iterations[[#This Row],[c]]))</f>
        <v/>
      </c>
      <c r="J996" s="2" t="str">
        <f>IF(Iterations[[#This Row],[Step]] =current_step, current_d,IF(Iterations[[#This Row],[Step]] &gt; current_step, "",Iterations[[#This Row],[d]]))</f>
        <v/>
      </c>
      <c r="K996" s="2" t="str">
        <f>IF(Iterations[[#This Row],[Step]] =current_step, current_e,IF(Iterations[[#This Row],[Step]] &gt; current_step, "",Iterations[[#This Row],[e]]))</f>
        <v/>
      </c>
      <c r="L996" s="2" t="str">
        <f>IF(Iterations[[#This Row],[Step]] =current_step, current_Total_Loss,IF(Iterations[[#This Row],[Step]] &gt; current_step, "",Iterations[[#This Row],[Total Loss]]))</f>
        <v/>
      </c>
      <c r="M996" s="6" t="s">
        <v>27</v>
      </c>
      <c r="N996" s="2" t="str">
        <f>IF(Iterations[[#This Row],[Step]] =current_step, current_Grad_a,IF(Iterations[[#This Row],[Step]] &gt; current_step, "",Iterations[[#This Row],[Grad_a]]))</f>
        <v/>
      </c>
      <c r="O996" s="2" t="str">
        <f>IF(Iterations[[#This Row],[Step]] =current_step, current_Grad_b,IF(Iterations[[#This Row],[Step]] &gt; current_step, "",Iterations[[#This Row],[Grad_b]]))</f>
        <v/>
      </c>
      <c r="P996" s="2" t="str">
        <f>IF(Iterations[[#This Row],[Step]] =current_step, current_Grad_c,IF(Iterations[[#This Row],[Step]] &gt; current_step, "",Iterations[[#This Row],[Grad_c]]))</f>
        <v/>
      </c>
      <c r="Q996" s="2" t="str">
        <f>IF(Iterations[[#This Row],[Step]] =current_step, current_Grad_d,IF(Iterations[[#This Row],[Step]] &gt; current_step, "",Iterations[[#This Row],[Grad_d]]))</f>
        <v/>
      </c>
      <c r="R996" s="2" t="str">
        <f>IF(Iterations[[#This Row],[Step]] =current_step, current_Grad_e,IF(Iterations[[#This Row],[Step]] &gt; current_step, "",Iterations[[#This Row],[Grad_e]]))</f>
        <v/>
      </c>
    </row>
    <row r="997" spans="6:18" x14ac:dyDescent="0.3">
      <c r="F997" s="2">
        <f t="shared" si="19"/>
        <v>980</v>
      </c>
      <c r="G997" s="2" t="str">
        <f>IF(Iterations[[#This Row],[Step]] =current_step, current_a,IF(Iterations[[#This Row],[Step]] &gt; current_step, "",Iterations[[#This Row],[a]]))</f>
        <v/>
      </c>
      <c r="H997" s="2" t="str">
        <f>IF(Iterations[[#This Row],[Step]] =current_step, current_b,IF(Iterations[[#This Row],[Step]] &gt; current_step, "",Iterations[[#This Row],[b]]))</f>
        <v/>
      </c>
      <c r="I997" s="2" t="str">
        <f>IF(Iterations[[#This Row],[Step]] =current_step, current_c,IF(Iterations[[#This Row],[Step]] &gt; current_step, "",Iterations[[#This Row],[c]]))</f>
        <v/>
      </c>
      <c r="J997" s="2" t="str">
        <f>IF(Iterations[[#This Row],[Step]] =current_step, current_d,IF(Iterations[[#This Row],[Step]] &gt; current_step, "",Iterations[[#This Row],[d]]))</f>
        <v/>
      </c>
      <c r="K997" s="2" t="str">
        <f>IF(Iterations[[#This Row],[Step]] =current_step, current_e,IF(Iterations[[#This Row],[Step]] &gt; current_step, "",Iterations[[#This Row],[e]]))</f>
        <v/>
      </c>
      <c r="L997" s="2" t="str">
        <f>IF(Iterations[[#This Row],[Step]] =current_step, current_Total_Loss,IF(Iterations[[#This Row],[Step]] &gt; current_step, "",Iterations[[#This Row],[Total Loss]]))</f>
        <v/>
      </c>
      <c r="M997" s="6" t="s">
        <v>27</v>
      </c>
      <c r="N997" s="2" t="str">
        <f>IF(Iterations[[#This Row],[Step]] =current_step, current_Grad_a,IF(Iterations[[#This Row],[Step]] &gt; current_step, "",Iterations[[#This Row],[Grad_a]]))</f>
        <v/>
      </c>
      <c r="O997" s="2" t="str">
        <f>IF(Iterations[[#This Row],[Step]] =current_step, current_Grad_b,IF(Iterations[[#This Row],[Step]] &gt; current_step, "",Iterations[[#This Row],[Grad_b]]))</f>
        <v/>
      </c>
      <c r="P997" s="2" t="str">
        <f>IF(Iterations[[#This Row],[Step]] =current_step, current_Grad_c,IF(Iterations[[#This Row],[Step]] &gt; current_step, "",Iterations[[#This Row],[Grad_c]]))</f>
        <v/>
      </c>
      <c r="Q997" s="2" t="str">
        <f>IF(Iterations[[#This Row],[Step]] =current_step, current_Grad_d,IF(Iterations[[#This Row],[Step]] &gt; current_step, "",Iterations[[#This Row],[Grad_d]]))</f>
        <v/>
      </c>
      <c r="R997" s="2" t="str">
        <f>IF(Iterations[[#This Row],[Step]] =current_step, current_Grad_e,IF(Iterations[[#This Row],[Step]] &gt; current_step, "",Iterations[[#This Row],[Grad_e]]))</f>
        <v/>
      </c>
    </row>
    <row r="998" spans="6:18" x14ac:dyDescent="0.3">
      <c r="F998" s="2">
        <f t="shared" si="19"/>
        <v>981</v>
      </c>
      <c r="G998" s="2" t="str">
        <f>IF(Iterations[[#This Row],[Step]] =current_step, current_a,IF(Iterations[[#This Row],[Step]] &gt; current_step, "",Iterations[[#This Row],[a]]))</f>
        <v/>
      </c>
      <c r="H998" s="2" t="str">
        <f>IF(Iterations[[#This Row],[Step]] =current_step, current_b,IF(Iterations[[#This Row],[Step]] &gt; current_step, "",Iterations[[#This Row],[b]]))</f>
        <v/>
      </c>
      <c r="I998" s="2" t="str">
        <f>IF(Iterations[[#This Row],[Step]] =current_step, current_c,IF(Iterations[[#This Row],[Step]] &gt; current_step, "",Iterations[[#This Row],[c]]))</f>
        <v/>
      </c>
      <c r="J998" s="2" t="str">
        <f>IF(Iterations[[#This Row],[Step]] =current_step, current_d,IF(Iterations[[#This Row],[Step]] &gt; current_step, "",Iterations[[#This Row],[d]]))</f>
        <v/>
      </c>
      <c r="K998" s="2" t="str">
        <f>IF(Iterations[[#This Row],[Step]] =current_step, current_e,IF(Iterations[[#This Row],[Step]] &gt; current_step, "",Iterations[[#This Row],[e]]))</f>
        <v/>
      </c>
      <c r="L998" s="2" t="str">
        <f>IF(Iterations[[#This Row],[Step]] =current_step, current_Total_Loss,IF(Iterations[[#This Row],[Step]] &gt; current_step, "",Iterations[[#This Row],[Total Loss]]))</f>
        <v/>
      </c>
      <c r="M998" s="6" t="s">
        <v>27</v>
      </c>
      <c r="N998" s="2" t="str">
        <f>IF(Iterations[[#This Row],[Step]] =current_step, current_Grad_a,IF(Iterations[[#This Row],[Step]] &gt; current_step, "",Iterations[[#This Row],[Grad_a]]))</f>
        <v/>
      </c>
      <c r="O998" s="2" t="str">
        <f>IF(Iterations[[#This Row],[Step]] =current_step, current_Grad_b,IF(Iterations[[#This Row],[Step]] &gt; current_step, "",Iterations[[#This Row],[Grad_b]]))</f>
        <v/>
      </c>
      <c r="P998" s="2" t="str">
        <f>IF(Iterations[[#This Row],[Step]] =current_step, current_Grad_c,IF(Iterations[[#This Row],[Step]] &gt; current_step, "",Iterations[[#This Row],[Grad_c]]))</f>
        <v/>
      </c>
      <c r="Q998" s="2" t="str">
        <f>IF(Iterations[[#This Row],[Step]] =current_step, current_Grad_d,IF(Iterations[[#This Row],[Step]] &gt; current_step, "",Iterations[[#This Row],[Grad_d]]))</f>
        <v/>
      </c>
      <c r="R998" s="2" t="str">
        <f>IF(Iterations[[#This Row],[Step]] =current_step, current_Grad_e,IF(Iterations[[#This Row],[Step]] &gt; current_step, "",Iterations[[#This Row],[Grad_e]]))</f>
        <v/>
      </c>
    </row>
    <row r="999" spans="6:18" x14ac:dyDescent="0.3">
      <c r="F999" s="2">
        <f t="shared" si="19"/>
        <v>982</v>
      </c>
      <c r="G999" s="2" t="str">
        <f>IF(Iterations[[#This Row],[Step]] =current_step, current_a,IF(Iterations[[#This Row],[Step]] &gt; current_step, "",Iterations[[#This Row],[a]]))</f>
        <v/>
      </c>
      <c r="H999" s="2" t="str">
        <f>IF(Iterations[[#This Row],[Step]] =current_step, current_b,IF(Iterations[[#This Row],[Step]] &gt; current_step, "",Iterations[[#This Row],[b]]))</f>
        <v/>
      </c>
      <c r="I999" s="2" t="str">
        <f>IF(Iterations[[#This Row],[Step]] =current_step, current_c,IF(Iterations[[#This Row],[Step]] &gt; current_step, "",Iterations[[#This Row],[c]]))</f>
        <v/>
      </c>
      <c r="J999" s="2" t="str">
        <f>IF(Iterations[[#This Row],[Step]] =current_step, current_d,IF(Iterations[[#This Row],[Step]] &gt; current_step, "",Iterations[[#This Row],[d]]))</f>
        <v/>
      </c>
      <c r="K999" s="2" t="str">
        <f>IF(Iterations[[#This Row],[Step]] =current_step, current_e,IF(Iterations[[#This Row],[Step]] &gt; current_step, "",Iterations[[#This Row],[e]]))</f>
        <v/>
      </c>
      <c r="L999" s="2" t="str">
        <f>IF(Iterations[[#This Row],[Step]] =current_step, current_Total_Loss,IF(Iterations[[#This Row],[Step]] &gt; current_step, "",Iterations[[#This Row],[Total Loss]]))</f>
        <v/>
      </c>
      <c r="M999" s="6" t="s">
        <v>27</v>
      </c>
      <c r="N999" s="2" t="str">
        <f>IF(Iterations[[#This Row],[Step]] =current_step, current_Grad_a,IF(Iterations[[#This Row],[Step]] &gt; current_step, "",Iterations[[#This Row],[Grad_a]]))</f>
        <v/>
      </c>
      <c r="O999" s="2" t="str">
        <f>IF(Iterations[[#This Row],[Step]] =current_step, current_Grad_b,IF(Iterations[[#This Row],[Step]] &gt; current_step, "",Iterations[[#This Row],[Grad_b]]))</f>
        <v/>
      </c>
      <c r="P999" s="2" t="str">
        <f>IF(Iterations[[#This Row],[Step]] =current_step, current_Grad_c,IF(Iterations[[#This Row],[Step]] &gt; current_step, "",Iterations[[#This Row],[Grad_c]]))</f>
        <v/>
      </c>
      <c r="Q999" s="2" t="str">
        <f>IF(Iterations[[#This Row],[Step]] =current_step, current_Grad_d,IF(Iterations[[#This Row],[Step]] &gt; current_step, "",Iterations[[#This Row],[Grad_d]]))</f>
        <v/>
      </c>
      <c r="R999" s="2" t="str">
        <f>IF(Iterations[[#This Row],[Step]] =current_step, current_Grad_e,IF(Iterations[[#This Row],[Step]] &gt; current_step, "",Iterations[[#This Row],[Grad_e]]))</f>
        <v/>
      </c>
    </row>
    <row r="1000" spans="6:18" x14ac:dyDescent="0.3">
      <c r="F1000" s="2">
        <f t="shared" si="19"/>
        <v>983</v>
      </c>
      <c r="G1000" s="2" t="str">
        <f>IF(Iterations[[#This Row],[Step]] =current_step, current_a,IF(Iterations[[#This Row],[Step]] &gt; current_step, "",Iterations[[#This Row],[a]]))</f>
        <v/>
      </c>
      <c r="H1000" s="2" t="str">
        <f>IF(Iterations[[#This Row],[Step]] =current_step, current_b,IF(Iterations[[#This Row],[Step]] &gt; current_step, "",Iterations[[#This Row],[b]]))</f>
        <v/>
      </c>
      <c r="I1000" s="2" t="str">
        <f>IF(Iterations[[#This Row],[Step]] =current_step, current_c,IF(Iterations[[#This Row],[Step]] &gt; current_step, "",Iterations[[#This Row],[c]]))</f>
        <v/>
      </c>
      <c r="J1000" s="2" t="str">
        <f>IF(Iterations[[#This Row],[Step]] =current_step, current_d,IF(Iterations[[#This Row],[Step]] &gt; current_step, "",Iterations[[#This Row],[d]]))</f>
        <v/>
      </c>
      <c r="K1000" s="2" t="str">
        <f>IF(Iterations[[#This Row],[Step]] =current_step, current_e,IF(Iterations[[#This Row],[Step]] &gt; current_step, "",Iterations[[#This Row],[e]]))</f>
        <v/>
      </c>
      <c r="L1000" s="2" t="str">
        <f>IF(Iterations[[#This Row],[Step]] =current_step, current_Total_Loss,IF(Iterations[[#This Row],[Step]] &gt; current_step, "",Iterations[[#This Row],[Total Loss]]))</f>
        <v/>
      </c>
      <c r="M1000" s="6" t="s">
        <v>27</v>
      </c>
      <c r="N1000" s="2" t="str">
        <f>IF(Iterations[[#This Row],[Step]] =current_step, current_Grad_a,IF(Iterations[[#This Row],[Step]] &gt; current_step, "",Iterations[[#This Row],[Grad_a]]))</f>
        <v/>
      </c>
      <c r="O1000" s="2" t="str">
        <f>IF(Iterations[[#This Row],[Step]] =current_step, current_Grad_b,IF(Iterations[[#This Row],[Step]] &gt; current_step, "",Iterations[[#This Row],[Grad_b]]))</f>
        <v/>
      </c>
      <c r="P1000" s="2" t="str">
        <f>IF(Iterations[[#This Row],[Step]] =current_step, current_Grad_c,IF(Iterations[[#This Row],[Step]] &gt; current_step, "",Iterations[[#This Row],[Grad_c]]))</f>
        <v/>
      </c>
      <c r="Q1000" s="2" t="str">
        <f>IF(Iterations[[#This Row],[Step]] =current_step, current_Grad_d,IF(Iterations[[#This Row],[Step]] &gt; current_step, "",Iterations[[#This Row],[Grad_d]]))</f>
        <v/>
      </c>
      <c r="R1000" s="2" t="str">
        <f>IF(Iterations[[#This Row],[Step]] =current_step, current_Grad_e,IF(Iterations[[#This Row],[Step]] &gt; current_step, "",Iterations[[#This Row],[Grad_e]]))</f>
        <v/>
      </c>
    </row>
    <row r="1001" spans="6:18" x14ac:dyDescent="0.3">
      <c r="F1001" s="2">
        <f t="shared" si="19"/>
        <v>984</v>
      </c>
      <c r="G1001" s="2" t="str">
        <f>IF(Iterations[[#This Row],[Step]] =current_step, current_a,IF(Iterations[[#This Row],[Step]] &gt; current_step, "",Iterations[[#This Row],[a]]))</f>
        <v/>
      </c>
      <c r="H1001" s="2" t="str">
        <f>IF(Iterations[[#This Row],[Step]] =current_step, current_b,IF(Iterations[[#This Row],[Step]] &gt; current_step, "",Iterations[[#This Row],[b]]))</f>
        <v/>
      </c>
      <c r="I1001" s="2" t="str">
        <f>IF(Iterations[[#This Row],[Step]] =current_step, current_c,IF(Iterations[[#This Row],[Step]] &gt; current_step, "",Iterations[[#This Row],[c]]))</f>
        <v/>
      </c>
      <c r="J1001" s="2" t="str">
        <f>IF(Iterations[[#This Row],[Step]] =current_step, current_d,IF(Iterations[[#This Row],[Step]] &gt; current_step, "",Iterations[[#This Row],[d]]))</f>
        <v/>
      </c>
      <c r="K1001" s="2" t="str">
        <f>IF(Iterations[[#This Row],[Step]] =current_step, current_e,IF(Iterations[[#This Row],[Step]] &gt; current_step, "",Iterations[[#This Row],[e]]))</f>
        <v/>
      </c>
      <c r="L1001" s="2" t="str">
        <f>IF(Iterations[[#This Row],[Step]] =current_step, current_Total_Loss,IF(Iterations[[#This Row],[Step]] &gt; current_step, "",Iterations[[#This Row],[Total Loss]]))</f>
        <v/>
      </c>
      <c r="M1001" s="6" t="s">
        <v>27</v>
      </c>
      <c r="N1001" s="2" t="str">
        <f>IF(Iterations[[#This Row],[Step]] =current_step, current_Grad_a,IF(Iterations[[#This Row],[Step]] &gt; current_step, "",Iterations[[#This Row],[Grad_a]]))</f>
        <v/>
      </c>
      <c r="O1001" s="2" t="str">
        <f>IF(Iterations[[#This Row],[Step]] =current_step, current_Grad_b,IF(Iterations[[#This Row],[Step]] &gt; current_step, "",Iterations[[#This Row],[Grad_b]]))</f>
        <v/>
      </c>
      <c r="P1001" s="2" t="str">
        <f>IF(Iterations[[#This Row],[Step]] =current_step, current_Grad_c,IF(Iterations[[#This Row],[Step]] &gt; current_step, "",Iterations[[#This Row],[Grad_c]]))</f>
        <v/>
      </c>
      <c r="Q1001" s="2" t="str">
        <f>IF(Iterations[[#This Row],[Step]] =current_step, current_Grad_d,IF(Iterations[[#This Row],[Step]] &gt; current_step, "",Iterations[[#This Row],[Grad_d]]))</f>
        <v/>
      </c>
      <c r="R1001" s="2" t="str">
        <f>IF(Iterations[[#This Row],[Step]] =current_step, current_Grad_e,IF(Iterations[[#This Row],[Step]] &gt; current_step, "",Iterations[[#This Row],[Grad_e]]))</f>
        <v/>
      </c>
    </row>
    <row r="1002" spans="6:18" x14ac:dyDescent="0.3">
      <c r="F1002" s="2">
        <f t="shared" si="19"/>
        <v>985</v>
      </c>
      <c r="G1002" s="2" t="str">
        <f>IF(Iterations[[#This Row],[Step]] =current_step, current_a,IF(Iterations[[#This Row],[Step]] &gt; current_step, "",Iterations[[#This Row],[a]]))</f>
        <v/>
      </c>
      <c r="H1002" s="2" t="str">
        <f>IF(Iterations[[#This Row],[Step]] =current_step, current_b,IF(Iterations[[#This Row],[Step]] &gt; current_step, "",Iterations[[#This Row],[b]]))</f>
        <v/>
      </c>
      <c r="I1002" s="2" t="str">
        <f>IF(Iterations[[#This Row],[Step]] =current_step, current_c,IF(Iterations[[#This Row],[Step]] &gt; current_step, "",Iterations[[#This Row],[c]]))</f>
        <v/>
      </c>
      <c r="J1002" s="2" t="str">
        <f>IF(Iterations[[#This Row],[Step]] =current_step, current_d,IF(Iterations[[#This Row],[Step]] &gt; current_step, "",Iterations[[#This Row],[d]]))</f>
        <v/>
      </c>
      <c r="K1002" s="2" t="str">
        <f>IF(Iterations[[#This Row],[Step]] =current_step, current_e,IF(Iterations[[#This Row],[Step]] &gt; current_step, "",Iterations[[#This Row],[e]]))</f>
        <v/>
      </c>
      <c r="L1002" s="2" t="str">
        <f>IF(Iterations[[#This Row],[Step]] =current_step, current_Total_Loss,IF(Iterations[[#This Row],[Step]] &gt; current_step, "",Iterations[[#This Row],[Total Loss]]))</f>
        <v/>
      </c>
      <c r="M1002" s="6" t="s">
        <v>27</v>
      </c>
      <c r="N1002" s="2" t="str">
        <f>IF(Iterations[[#This Row],[Step]] =current_step, current_Grad_a,IF(Iterations[[#This Row],[Step]] &gt; current_step, "",Iterations[[#This Row],[Grad_a]]))</f>
        <v/>
      </c>
      <c r="O1002" s="2" t="str">
        <f>IF(Iterations[[#This Row],[Step]] =current_step, current_Grad_b,IF(Iterations[[#This Row],[Step]] &gt; current_step, "",Iterations[[#This Row],[Grad_b]]))</f>
        <v/>
      </c>
      <c r="P1002" s="2" t="str">
        <f>IF(Iterations[[#This Row],[Step]] =current_step, current_Grad_c,IF(Iterations[[#This Row],[Step]] &gt; current_step, "",Iterations[[#This Row],[Grad_c]]))</f>
        <v/>
      </c>
      <c r="Q1002" s="2" t="str">
        <f>IF(Iterations[[#This Row],[Step]] =current_step, current_Grad_d,IF(Iterations[[#This Row],[Step]] &gt; current_step, "",Iterations[[#This Row],[Grad_d]]))</f>
        <v/>
      </c>
      <c r="R1002" s="2" t="str">
        <f>IF(Iterations[[#This Row],[Step]] =current_step, current_Grad_e,IF(Iterations[[#This Row],[Step]] &gt; current_step, "",Iterations[[#This Row],[Grad_e]]))</f>
        <v/>
      </c>
    </row>
    <row r="1003" spans="6:18" x14ac:dyDescent="0.3">
      <c r="F1003" s="2">
        <f t="shared" ref="F1003:F1015" si="20">F1002+1</f>
        <v>986</v>
      </c>
      <c r="G1003" s="2" t="str">
        <f>IF(Iterations[[#This Row],[Step]] =current_step, current_a,IF(Iterations[[#This Row],[Step]] &gt; current_step, "",Iterations[[#This Row],[a]]))</f>
        <v/>
      </c>
      <c r="H1003" s="2" t="str">
        <f>IF(Iterations[[#This Row],[Step]] =current_step, current_b,IF(Iterations[[#This Row],[Step]] &gt; current_step, "",Iterations[[#This Row],[b]]))</f>
        <v/>
      </c>
      <c r="I1003" s="2" t="str">
        <f>IF(Iterations[[#This Row],[Step]] =current_step, current_c,IF(Iterations[[#This Row],[Step]] &gt; current_step, "",Iterations[[#This Row],[c]]))</f>
        <v/>
      </c>
      <c r="J1003" s="2" t="str">
        <f>IF(Iterations[[#This Row],[Step]] =current_step, current_d,IF(Iterations[[#This Row],[Step]] &gt; current_step, "",Iterations[[#This Row],[d]]))</f>
        <v/>
      </c>
      <c r="K1003" s="2" t="str">
        <f>IF(Iterations[[#This Row],[Step]] =current_step, current_e,IF(Iterations[[#This Row],[Step]] &gt; current_step, "",Iterations[[#This Row],[e]]))</f>
        <v/>
      </c>
      <c r="L1003" s="2" t="str">
        <f>IF(Iterations[[#This Row],[Step]] =current_step, current_Total_Loss,IF(Iterations[[#This Row],[Step]] &gt; current_step, "",Iterations[[#This Row],[Total Loss]]))</f>
        <v/>
      </c>
      <c r="M1003" s="6" t="s">
        <v>27</v>
      </c>
      <c r="N1003" s="2" t="str">
        <f>IF(Iterations[[#This Row],[Step]] =current_step, current_Grad_a,IF(Iterations[[#This Row],[Step]] &gt; current_step, "",Iterations[[#This Row],[Grad_a]]))</f>
        <v/>
      </c>
      <c r="O1003" s="2" t="str">
        <f>IF(Iterations[[#This Row],[Step]] =current_step, current_Grad_b,IF(Iterations[[#This Row],[Step]] &gt; current_step, "",Iterations[[#This Row],[Grad_b]]))</f>
        <v/>
      </c>
      <c r="P1003" s="2" t="str">
        <f>IF(Iterations[[#This Row],[Step]] =current_step, current_Grad_c,IF(Iterations[[#This Row],[Step]] &gt; current_step, "",Iterations[[#This Row],[Grad_c]]))</f>
        <v/>
      </c>
      <c r="Q1003" s="2" t="str">
        <f>IF(Iterations[[#This Row],[Step]] =current_step, current_Grad_d,IF(Iterations[[#This Row],[Step]] &gt; current_step, "",Iterations[[#This Row],[Grad_d]]))</f>
        <v/>
      </c>
      <c r="R1003" s="2" t="str">
        <f>IF(Iterations[[#This Row],[Step]] =current_step, current_Grad_e,IF(Iterations[[#This Row],[Step]] &gt; current_step, "",Iterations[[#This Row],[Grad_e]]))</f>
        <v/>
      </c>
    </row>
    <row r="1004" spans="6:18" x14ac:dyDescent="0.3">
      <c r="F1004" s="2">
        <f t="shared" si="20"/>
        <v>987</v>
      </c>
      <c r="G1004" s="2" t="str">
        <f>IF(Iterations[[#This Row],[Step]] =current_step, current_a,IF(Iterations[[#This Row],[Step]] &gt; current_step, "",Iterations[[#This Row],[a]]))</f>
        <v/>
      </c>
      <c r="H1004" s="2" t="str">
        <f>IF(Iterations[[#This Row],[Step]] =current_step, current_b,IF(Iterations[[#This Row],[Step]] &gt; current_step, "",Iterations[[#This Row],[b]]))</f>
        <v/>
      </c>
      <c r="I1004" s="2" t="str">
        <f>IF(Iterations[[#This Row],[Step]] =current_step, current_c,IF(Iterations[[#This Row],[Step]] &gt; current_step, "",Iterations[[#This Row],[c]]))</f>
        <v/>
      </c>
      <c r="J1004" s="2" t="str">
        <f>IF(Iterations[[#This Row],[Step]] =current_step, current_d,IF(Iterations[[#This Row],[Step]] &gt; current_step, "",Iterations[[#This Row],[d]]))</f>
        <v/>
      </c>
      <c r="K1004" s="2" t="str">
        <f>IF(Iterations[[#This Row],[Step]] =current_step, current_e,IF(Iterations[[#This Row],[Step]] &gt; current_step, "",Iterations[[#This Row],[e]]))</f>
        <v/>
      </c>
      <c r="L1004" s="2" t="str">
        <f>IF(Iterations[[#This Row],[Step]] =current_step, current_Total_Loss,IF(Iterations[[#This Row],[Step]] &gt; current_step, "",Iterations[[#This Row],[Total Loss]]))</f>
        <v/>
      </c>
      <c r="M1004" s="6" t="s">
        <v>27</v>
      </c>
      <c r="N1004" s="2" t="str">
        <f>IF(Iterations[[#This Row],[Step]] =current_step, current_Grad_a,IF(Iterations[[#This Row],[Step]] &gt; current_step, "",Iterations[[#This Row],[Grad_a]]))</f>
        <v/>
      </c>
      <c r="O1004" s="2" t="str">
        <f>IF(Iterations[[#This Row],[Step]] =current_step, current_Grad_b,IF(Iterations[[#This Row],[Step]] &gt; current_step, "",Iterations[[#This Row],[Grad_b]]))</f>
        <v/>
      </c>
      <c r="P1004" s="2" t="str">
        <f>IF(Iterations[[#This Row],[Step]] =current_step, current_Grad_c,IF(Iterations[[#This Row],[Step]] &gt; current_step, "",Iterations[[#This Row],[Grad_c]]))</f>
        <v/>
      </c>
      <c r="Q1004" s="2" t="str">
        <f>IF(Iterations[[#This Row],[Step]] =current_step, current_Grad_d,IF(Iterations[[#This Row],[Step]] &gt; current_step, "",Iterations[[#This Row],[Grad_d]]))</f>
        <v/>
      </c>
      <c r="R1004" s="2" t="str">
        <f>IF(Iterations[[#This Row],[Step]] =current_step, current_Grad_e,IF(Iterations[[#This Row],[Step]] &gt; current_step, "",Iterations[[#This Row],[Grad_e]]))</f>
        <v/>
      </c>
    </row>
    <row r="1005" spans="6:18" x14ac:dyDescent="0.3">
      <c r="F1005" s="2">
        <f t="shared" si="20"/>
        <v>988</v>
      </c>
      <c r="G1005" s="2" t="str">
        <f>IF(Iterations[[#This Row],[Step]] =current_step, current_a,IF(Iterations[[#This Row],[Step]] &gt; current_step, "",Iterations[[#This Row],[a]]))</f>
        <v/>
      </c>
      <c r="H1005" s="2" t="str">
        <f>IF(Iterations[[#This Row],[Step]] =current_step, current_b,IF(Iterations[[#This Row],[Step]] &gt; current_step, "",Iterations[[#This Row],[b]]))</f>
        <v/>
      </c>
      <c r="I1005" s="2" t="str">
        <f>IF(Iterations[[#This Row],[Step]] =current_step, current_c,IF(Iterations[[#This Row],[Step]] &gt; current_step, "",Iterations[[#This Row],[c]]))</f>
        <v/>
      </c>
      <c r="J1005" s="2" t="str">
        <f>IF(Iterations[[#This Row],[Step]] =current_step, current_d,IF(Iterations[[#This Row],[Step]] &gt; current_step, "",Iterations[[#This Row],[d]]))</f>
        <v/>
      </c>
      <c r="K1005" s="2" t="str">
        <f>IF(Iterations[[#This Row],[Step]] =current_step, current_e,IF(Iterations[[#This Row],[Step]] &gt; current_step, "",Iterations[[#This Row],[e]]))</f>
        <v/>
      </c>
      <c r="L1005" s="2" t="str">
        <f>IF(Iterations[[#This Row],[Step]] =current_step, current_Total_Loss,IF(Iterations[[#This Row],[Step]] &gt; current_step, "",Iterations[[#This Row],[Total Loss]]))</f>
        <v/>
      </c>
      <c r="M1005" s="6" t="s">
        <v>27</v>
      </c>
      <c r="N1005" s="2" t="str">
        <f>IF(Iterations[[#This Row],[Step]] =current_step, current_Grad_a,IF(Iterations[[#This Row],[Step]] &gt; current_step, "",Iterations[[#This Row],[Grad_a]]))</f>
        <v/>
      </c>
      <c r="O1005" s="2" t="str">
        <f>IF(Iterations[[#This Row],[Step]] =current_step, current_Grad_b,IF(Iterations[[#This Row],[Step]] &gt; current_step, "",Iterations[[#This Row],[Grad_b]]))</f>
        <v/>
      </c>
      <c r="P1005" s="2" t="str">
        <f>IF(Iterations[[#This Row],[Step]] =current_step, current_Grad_c,IF(Iterations[[#This Row],[Step]] &gt; current_step, "",Iterations[[#This Row],[Grad_c]]))</f>
        <v/>
      </c>
      <c r="Q1005" s="2" t="str">
        <f>IF(Iterations[[#This Row],[Step]] =current_step, current_Grad_d,IF(Iterations[[#This Row],[Step]] &gt; current_step, "",Iterations[[#This Row],[Grad_d]]))</f>
        <v/>
      </c>
      <c r="R1005" s="2" t="str">
        <f>IF(Iterations[[#This Row],[Step]] =current_step, current_Grad_e,IF(Iterations[[#This Row],[Step]] &gt; current_step, "",Iterations[[#This Row],[Grad_e]]))</f>
        <v/>
      </c>
    </row>
    <row r="1006" spans="6:18" x14ac:dyDescent="0.3">
      <c r="F1006" s="2">
        <f t="shared" si="20"/>
        <v>989</v>
      </c>
      <c r="G1006" s="2" t="str">
        <f>IF(Iterations[[#This Row],[Step]] =current_step, current_a,IF(Iterations[[#This Row],[Step]] &gt; current_step, "",Iterations[[#This Row],[a]]))</f>
        <v/>
      </c>
      <c r="H1006" s="2" t="str">
        <f>IF(Iterations[[#This Row],[Step]] =current_step, current_b,IF(Iterations[[#This Row],[Step]] &gt; current_step, "",Iterations[[#This Row],[b]]))</f>
        <v/>
      </c>
      <c r="I1006" s="2" t="str">
        <f>IF(Iterations[[#This Row],[Step]] =current_step, current_c,IF(Iterations[[#This Row],[Step]] &gt; current_step, "",Iterations[[#This Row],[c]]))</f>
        <v/>
      </c>
      <c r="J1006" s="2" t="str">
        <f>IF(Iterations[[#This Row],[Step]] =current_step, current_d,IF(Iterations[[#This Row],[Step]] &gt; current_step, "",Iterations[[#This Row],[d]]))</f>
        <v/>
      </c>
      <c r="K1006" s="2" t="str">
        <f>IF(Iterations[[#This Row],[Step]] =current_step, current_e,IF(Iterations[[#This Row],[Step]] &gt; current_step, "",Iterations[[#This Row],[e]]))</f>
        <v/>
      </c>
      <c r="L1006" s="2" t="str">
        <f>IF(Iterations[[#This Row],[Step]] =current_step, current_Total_Loss,IF(Iterations[[#This Row],[Step]] &gt; current_step, "",Iterations[[#This Row],[Total Loss]]))</f>
        <v/>
      </c>
      <c r="M1006" s="6" t="s">
        <v>27</v>
      </c>
      <c r="N1006" s="2" t="str">
        <f>IF(Iterations[[#This Row],[Step]] =current_step, current_Grad_a,IF(Iterations[[#This Row],[Step]] &gt; current_step, "",Iterations[[#This Row],[Grad_a]]))</f>
        <v/>
      </c>
      <c r="O1006" s="2" t="str">
        <f>IF(Iterations[[#This Row],[Step]] =current_step, current_Grad_b,IF(Iterations[[#This Row],[Step]] &gt; current_step, "",Iterations[[#This Row],[Grad_b]]))</f>
        <v/>
      </c>
      <c r="P1006" s="2" t="str">
        <f>IF(Iterations[[#This Row],[Step]] =current_step, current_Grad_c,IF(Iterations[[#This Row],[Step]] &gt; current_step, "",Iterations[[#This Row],[Grad_c]]))</f>
        <v/>
      </c>
      <c r="Q1006" s="2" t="str">
        <f>IF(Iterations[[#This Row],[Step]] =current_step, current_Grad_d,IF(Iterations[[#This Row],[Step]] &gt; current_step, "",Iterations[[#This Row],[Grad_d]]))</f>
        <v/>
      </c>
      <c r="R1006" s="2" t="str">
        <f>IF(Iterations[[#This Row],[Step]] =current_step, current_Grad_e,IF(Iterations[[#This Row],[Step]] &gt; current_step, "",Iterations[[#This Row],[Grad_e]]))</f>
        <v/>
      </c>
    </row>
    <row r="1007" spans="6:18" x14ac:dyDescent="0.3">
      <c r="F1007" s="2">
        <f t="shared" si="20"/>
        <v>990</v>
      </c>
      <c r="G1007" s="2" t="str">
        <f>IF(Iterations[[#This Row],[Step]] =current_step, current_a,IF(Iterations[[#This Row],[Step]] &gt; current_step, "",Iterations[[#This Row],[a]]))</f>
        <v/>
      </c>
      <c r="H1007" s="2" t="str">
        <f>IF(Iterations[[#This Row],[Step]] =current_step, current_b,IF(Iterations[[#This Row],[Step]] &gt; current_step, "",Iterations[[#This Row],[b]]))</f>
        <v/>
      </c>
      <c r="I1007" s="2" t="str">
        <f>IF(Iterations[[#This Row],[Step]] =current_step, current_c,IF(Iterations[[#This Row],[Step]] &gt; current_step, "",Iterations[[#This Row],[c]]))</f>
        <v/>
      </c>
      <c r="J1007" s="2" t="str">
        <f>IF(Iterations[[#This Row],[Step]] =current_step, current_d,IF(Iterations[[#This Row],[Step]] &gt; current_step, "",Iterations[[#This Row],[d]]))</f>
        <v/>
      </c>
      <c r="K1007" s="2" t="str">
        <f>IF(Iterations[[#This Row],[Step]] =current_step, current_e,IF(Iterations[[#This Row],[Step]] &gt; current_step, "",Iterations[[#This Row],[e]]))</f>
        <v/>
      </c>
      <c r="L1007" s="2" t="str">
        <f>IF(Iterations[[#This Row],[Step]] =current_step, current_Total_Loss,IF(Iterations[[#This Row],[Step]] &gt; current_step, "",Iterations[[#This Row],[Total Loss]]))</f>
        <v/>
      </c>
      <c r="M1007" s="6" t="s">
        <v>27</v>
      </c>
      <c r="N1007" s="2" t="str">
        <f>IF(Iterations[[#This Row],[Step]] =current_step, current_Grad_a,IF(Iterations[[#This Row],[Step]] &gt; current_step, "",Iterations[[#This Row],[Grad_a]]))</f>
        <v/>
      </c>
      <c r="O1007" s="2" t="str">
        <f>IF(Iterations[[#This Row],[Step]] =current_step, current_Grad_b,IF(Iterations[[#This Row],[Step]] &gt; current_step, "",Iterations[[#This Row],[Grad_b]]))</f>
        <v/>
      </c>
      <c r="P1007" s="2" t="str">
        <f>IF(Iterations[[#This Row],[Step]] =current_step, current_Grad_c,IF(Iterations[[#This Row],[Step]] &gt; current_step, "",Iterations[[#This Row],[Grad_c]]))</f>
        <v/>
      </c>
      <c r="Q1007" s="2" t="str">
        <f>IF(Iterations[[#This Row],[Step]] =current_step, current_Grad_d,IF(Iterations[[#This Row],[Step]] &gt; current_step, "",Iterations[[#This Row],[Grad_d]]))</f>
        <v/>
      </c>
      <c r="R1007" s="2" t="str">
        <f>IF(Iterations[[#This Row],[Step]] =current_step, current_Grad_e,IF(Iterations[[#This Row],[Step]] &gt; current_step, "",Iterations[[#This Row],[Grad_e]]))</f>
        <v/>
      </c>
    </row>
    <row r="1008" spans="6:18" x14ac:dyDescent="0.3">
      <c r="F1008" s="2">
        <f t="shared" si="20"/>
        <v>991</v>
      </c>
      <c r="G1008" s="2" t="str">
        <f>IF(Iterations[[#This Row],[Step]] =current_step, current_a,IF(Iterations[[#This Row],[Step]] &gt; current_step, "",Iterations[[#This Row],[a]]))</f>
        <v/>
      </c>
      <c r="H1008" s="2" t="str">
        <f>IF(Iterations[[#This Row],[Step]] =current_step, current_b,IF(Iterations[[#This Row],[Step]] &gt; current_step, "",Iterations[[#This Row],[b]]))</f>
        <v/>
      </c>
      <c r="I1008" s="2" t="str">
        <f>IF(Iterations[[#This Row],[Step]] =current_step, current_c,IF(Iterations[[#This Row],[Step]] &gt; current_step, "",Iterations[[#This Row],[c]]))</f>
        <v/>
      </c>
      <c r="J1008" s="2" t="str">
        <f>IF(Iterations[[#This Row],[Step]] =current_step, current_d,IF(Iterations[[#This Row],[Step]] &gt; current_step, "",Iterations[[#This Row],[d]]))</f>
        <v/>
      </c>
      <c r="K1008" s="2" t="str">
        <f>IF(Iterations[[#This Row],[Step]] =current_step, current_e,IF(Iterations[[#This Row],[Step]] &gt; current_step, "",Iterations[[#This Row],[e]]))</f>
        <v/>
      </c>
      <c r="L1008" s="2" t="str">
        <f>IF(Iterations[[#This Row],[Step]] =current_step, current_Total_Loss,IF(Iterations[[#This Row],[Step]] &gt; current_step, "",Iterations[[#This Row],[Total Loss]]))</f>
        <v/>
      </c>
      <c r="M1008" s="6" t="s">
        <v>27</v>
      </c>
      <c r="N1008" s="2" t="str">
        <f>IF(Iterations[[#This Row],[Step]] =current_step, current_Grad_a,IF(Iterations[[#This Row],[Step]] &gt; current_step, "",Iterations[[#This Row],[Grad_a]]))</f>
        <v/>
      </c>
      <c r="O1008" s="2" t="str">
        <f>IF(Iterations[[#This Row],[Step]] =current_step, current_Grad_b,IF(Iterations[[#This Row],[Step]] &gt; current_step, "",Iterations[[#This Row],[Grad_b]]))</f>
        <v/>
      </c>
      <c r="P1008" s="2" t="str">
        <f>IF(Iterations[[#This Row],[Step]] =current_step, current_Grad_c,IF(Iterations[[#This Row],[Step]] &gt; current_step, "",Iterations[[#This Row],[Grad_c]]))</f>
        <v/>
      </c>
      <c r="Q1008" s="2" t="str">
        <f>IF(Iterations[[#This Row],[Step]] =current_step, current_Grad_d,IF(Iterations[[#This Row],[Step]] &gt; current_step, "",Iterations[[#This Row],[Grad_d]]))</f>
        <v/>
      </c>
      <c r="R1008" s="2" t="str">
        <f>IF(Iterations[[#This Row],[Step]] =current_step, current_Grad_e,IF(Iterations[[#This Row],[Step]] &gt; current_step, "",Iterations[[#This Row],[Grad_e]]))</f>
        <v/>
      </c>
    </row>
    <row r="1009" spans="6:18" x14ac:dyDescent="0.3">
      <c r="F1009" s="2">
        <f t="shared" si="20"/>
        <v>992</v>
      </c>
      <c r="G1009" s="2" t="str">
        <f>IF(Iterations[[#This Row],[Step]] =current_step, current_a,IF(Iterations[[#This Row],[Step]] &gt; current_step, "",Iterations[[#This Row],[a]]))</f>
        <v/>
      </c>
      <c r="H1009" s="2" t="str">
        <f>IF(Iterations[[#This Row],[Step]] =current_step, current_b,IF(Iterations[[#This Row],[Step]] &gt; current_step, "",Iterations[[#This Row],[b]]))</f>
        <v/>
      </c>
      <c r="I1009" s="2" t="str">
        <f>IF(Iterations[[#This Row],[Step]] =current_step, current_c,IF(Iterations[[#This Row],[Step]] &gt; current_step, "",Iterations[[#This Row],[c]]))</f>
        <v/>
      </c>
      <c r="J1009" s="2" t="str">
        <f>IF(Iterations[[#This Row],[Step]] =current_step, current_d,IF(Iterations[[#This Row],[Step]] &gt; current_step, "",Iterations[[#This Row],[d]]))</f>
        <v/>
      </c>
      <c r="K1009" s="2" t="str">
        <f>IF(Iterations[[#This Row],[Step]] =current_step, current_e,IF(Iterations[[#This Row],[Step]] &gt; current_step, "",Iterations[[#This Row],[e]]))</f>
        <v/>
      </c>
      <c r="L1009" s="2" t="str">
        <f>IF(Iterations[[#This Row],[Step]] =current_step, current_Total_Loss,IF(Iterations[[#This Row],[Step]] &gt; current_step, "",Iterations[[#This Row],[Total Loss]]))</f>
        <v/>
      </c>
      <c r="M1009" s="6" t="s">
        <v>27</v>
      </c>
      <c r="N1009" s="2" t="str">
        <f>IF(Iterations[[#This Row],[Step]] =current_step, current_Grad_a,IF(Iterations[[#This Row],[Step]] &gt; current_step, "",Iterations[[#This Row],[Grad_a]]))</f>
        <v/>
      </c>
      <c r="O1009" s="2" t="str">
        <f>IF(Iterations[[#This Row],[Step]] =current_step, current_Grad_b,IF(Iterations[[#This Row],[Step]] &gt; current_step, "",Iterations[[#This Row],[Grad_b]]))</f>
        <v/>
      </c>
      <c r="P1009" s="2" t="str">
        <f>IF(Iterations[[#This Row],[Step]] =current_step, current_Grad_c,IF(Iterations[[#This Row],[Step]] &gt; current_step, "",Iterations[[#This Row],[Grad_c]]))</f>
        <v/>
      </c>
      <c r="Q1009" s="2" t="str">
        <f>IF(Iterations[[#This Row],[Step]] =current_step, current_Grad_d,IF(Iterations[[#This Row],[Step]] &gt; current_step, "",Iterations[[#This Row],[Grad_d]]))</f>
        <v/>
      </c>
      <c r="R1009" s="2" t="str">
        <f>IF(Iterations[[#This Row],[Step]] =current_step, current_Grad_e,IF(Iterations[[#This Row],[Step]] &gt; current_step, "",Iterations[[#This Row],[Grad_e]]))</f>
        <v/>
      </c>
    </row>
    <row r="1010" spans="6:18" x14ac:dyDescent="0.3">
      <c r="F1010" s="2">
        <f t="shared" si="20"/>
        <v>993</v>
      </c>
      <c r="G1010" s="2" t="str">
        <f>IF(Iterations[[#This Row],[Step]] =current_step, current_a,IF(Iterations[[#This Row],[Step]] &gt; current_step, "",Iterations[[#This Row],[a]]))</f>
        <v/>
      </c>
      <c r="H1010" s="2" t="str">
        <f>IF(Iterations[[#This Row],[Step]] =current_step, current_b,IF(Iterations[[#This Row],[Step]] &gt; current_step, "",Iterations[[#This Row],[b]]))</f>
        <v/>
      </c>
      <c r="I1010" s="2" t="str">
        <f>IF(Iterations[[#This Row],[Step]] =current_step, current_c,IF(Iterations[[#This Row],[Step]] &gt; current_step, "",Iterations[[#This Row],[c]]))</f>
        <v/>
      </c>
      <c r="J1010" s="2" t="str">
        <f>IF(Iterations[[#This Row],[Step]] =current_step, current_d,IF(Iterations[[#This Row],[Step]] &gt; current_step, "",Iterations[[#This Row],[d]]))</f>
        <v/>
      </c>
      <c r="K1010" s="2" t="str">
        <f>IF(Iterations[[#This Row],[Step]] =current_step, current_e,IF(Iterations[[#This Row],[Step]] &gt; current_step, "",Iterations[[#This Row],[e]]))</f>
        <v/>
      </c>
      <c r="L1010" s="2" t="str">
        <f>IF(Iterations[[#This Row],[Step]] =current_step, current_Total_Loss,IF(Iterations[[#This Row],[Step]] &gt; current_step, "",Iterations[[#This Row],[Total Loss]]))</f>
        <v/>
      </c>
      <c r="M1010" s="6" t="s">
        <v>27</v>
      </c>
      <c r="N1010" s="2" t="str">
        <f>IF(Iterations[[#This Row],[Step]] =current_step, current_Grad_a,IF(Iterations[[#This Row],[Step]] &gt; current_step, "",Iterations[[#This Row],[Grad_a]]))</f>
        <v/>
      </c>
      <c r="O1010" s="2" t="str">
        <f>IF(Iterations[[#This Row],[Step]] =current_step, current_Grad_b,IF(Iterations[[#This Row],[Step]] &gt; current_step, "",Iterations[[#This Row],[Grad_b]]))</f>
        <v/>
      </c>
      <c r="P1010" s="2" t="str">
        <f>IF(Iterations[[#This Row],[Step]] =current_step, current_Grad_c,IF(Iterations[[#This Row],[Step]] &gt; current_step, "",Iterations[[#This Row],[Grad_c]]))</f>
        <v/>
      </c>
      <c r="Q1010" s="2" t="str">
        <f>IF(Iterations[[#This Row],[Step]] =current_step, current_Grad_d,IF(Iterations[[#This Row],[Step]] &gt; current_step, "",Iterations[[#This Row],[Grad_d]]))</f>
        <v/>
      </c>
      <c r="R1010" s="2" t="str">
        <f>IF(Iterations[[#This Row],[Step]] =current_step, current_Grad_e,IF(Iterations[[#This Row],[Step]] &gt; current_step, "",Iterations[[#This Row],[Grad_e]]))</f>
        <v/>
      </c>
    </row>
    <row r="1011" spans="6:18" x14ac:dyDescent="0.3">
      <c r="F1011" s="2">
        <f t="shared" si="20"/>
        <v>994</v>
      </c>
      <c r="G1011" s="2" t="str">
        <f>IF(Iterations[[#This Row],[Step]] =current_step, current_a,IF(Iterations[[#This Row],[Step]] &gt; current_step, "",Iterations[[#This Row],[a]]))</f>
        <v/>
      </c>
      <c r="H1011" s="2" t="str">
        <f>IF(Iterations[[#This Row],[Step]] =current_step, current_b,IF(Iterations[[#This Row],[Step]] &gt; current_step, "",Iterations[[#This Row],[b]]))</f>
        <v/>
      </c>
      <c r="I1011" s="2" t="str">
        <f>IF(Iterations[[#This Row],[Step]] =current_step, current_c,IF(Iterations[[#This Row],[Step]] &gt; current_step, "",Iterations[[#This Row],[c]]))</f>
        <v/>
      </c>
      <c r="J1011" s="2" t="str">
        <f>IF(Iterations[[#This Row],[Step]] =current_step, current_d,IF(Iterations[[#This Row],[Step]] &gt; current_step, "",Iterations[[#This Row],[d]]))</f>
        <v/>
      </c>
      <c r="K1011" s="2" t="str">
        <f>IF(Iterations[[#This Row],[Step]] =current_step, current_e,IF(Iterations[[#This Row],[Step]] &gt; current_step, "",Iterations[[#This Row],[e]]))</f>
        <v/>
      </c>
      <c r="L1011" s="2" t="str">
        <f>IF(Iterations[[#This Row],[Step]] =current_step, current_Total_Loss,IF(Iterations[[#This Row],[Step]] &gt; current_step, "",Iterations[[#This Row],[Total Loss]]))</f>
        <v/>
      </c>
      <c r="M1011" s="6" t="s">
        <v>27</v>
      </c>
      <c r="N1011" s="2" t="str">
        <f>IF(Iterations[[#This Row],[Step]] =current_step, current_Grad_a,IF(Iterations[[#This Row],[Step]] &gt; current_step, "",Iterations[[#This Row],[Grad_a]]))</f>
        <v/>
      </c>
      <c r="O1011" s="2" t="str">
        <f>IF(Iterations[[#This Row],[Step]] =current_step, current_Grad_b,IF(Iterations[[#This Row],[Step]] &gt; current_step, "",Iterations[[#This Row],[Grad_b]]))</f>
        <v/>
      </c>
      <c r="P1011" s="2" t="str">
        <f>IF(Iterations[[#This Row],[Step]] =current_step, current_Grad_c,IF(Iterations[[#This Row],[Step]] &gt; current_step, "",Iterations[[#This Row],[Grad_c]]))</f>
        <v/>
      </c>
      <c r="Q1011" s="2" t="str">
        <f>IF(Iterations[[#This Row],[Step]] =current_step, current_Grad_d,IF(Iterations[[#This Row],[Step]] &gt; current_step, "",Iterations[[#This Row],[Grad_d]]))</f>
        <v/>
      </c>
      <c r="R1011" s="2" t="str">
        <f>IF(Iterations[[#This Row],[Step]] =current_step, current_Grad_e,IF(Iterations[[#This Row],[Step]] &gt; current_step, "",Iterations[[#This Row],[Grad_e]]))</f>
        <v/>
      </c>
    </row>
    <row r="1012" spans="6:18" x14ac:dyDescent="0.3">
      <c r="F1012" s="2">
        <f t="shared" si="20"/>
        <v>995</v>
      </c>
      <c r="G1012" s="2" t="str">
        <f>IF(Iterations[[#This Row],[Step]] =current_step, current_a,IF(Iterations[[#This Row],[Step]] &gt; current_step, "",Iterations[[#This Row],[a]]))</f>
        <v/>
      </c>
      <c r="H1012" s="2" t="str">
        <f>IF(Iterations[[#This Row],[Step]] =current_step, current_b,IF(Iterations[[#This Row],[Step]] &gt; current_step, "",Iterations[[#This Row],[b]]))</f>
        <v/>
      </c>
      <c r="I1012" s="2" t="str">
        <f>IF(Iterations[[#This Row],[Step]] =current_step, current_c,IF(Iterations[[#This Row],[Step]] &gt; current_step, "",Iterations[[#This Row],[c]]))</f>
        <v/>
      </c>
      <c r="J1012" s="2" t="str">
        <f>IF(Iterations[[#This Row],[Step]] =current_step, current_d,IF(Iterations[[#This Row],[Step]] &gt; current_step, "",Iterations[[#This Row],[d]]))</f>
        <v/>
      </c>
      <c r="K1012" s="2" t="str">
        <f>IF(Iterations[[#This Row],[Step]] =current_step, current_e,IF(Iterations[[#This Row],[Step]] &gt; current_step, "",Iterations[[#This Row],[e]]))</f>
        <v/>
      </c>
      <c r="L1012" s="2" t="str">
        <f>IF(Iterations[[#This Row],[Step]] =current_step, current_Total_Loss,IF(Iterations[[#This Row],[Step]] &gt; current_step, "",Iterations[[#This Row],[Total Loss]]))</f>
        <v/>
      </c>
      <c r="M1012" s="6" t="s">
        <v>27</v>
      </c>
      <c r="N1012" s="2" t="str">
        <f>IF(Iterations[[#This Row],[Step]] =current_step, current_Grad_a,IF(Iterations[[#This Row],[Step]] &gt; current_step, "",Iterations[[#This Row],[Grad_a]]))</f>
        <v/>
      </c>
      <c r="O1012" s="2" t="str">
        <f>IF(Iterations[[#This Row],[Step]] =current_step, current_Grad_b,IF(Iterations[[#This Row],[Step]] &gt; current_step, "",Iterations[[#This Row],[Grad_b]]))</f>
        <v/>
      </c>
      <c r="P1012" s="2" t="str">
        <f>IF(Iterations[[#This Row],[Step]] =current_step, current_Grad_c,IF(Iterations[[#This Row],[Step]] &gt; current_step, "",Iterations[[#This Row],[Grad_c]]))</f>
        <v/>
      </c>
      <c r="Q1012" s="2" t="str">
        <f>IF(Iterations[[#This Row],[Step]] =current_step, current_Grad_d,IF(Iterations[[#This Row],[Step]] &gt; current_step, "",Iterations[[#This Row],[Grad_d]]))</f>
        <v/>
      </c>
      <c r="R1012" s="2" t="str">
        <f>IF(Iterations[[#This Row],[Step]] =current_step, current_Grad_e,IF(Iterations[[#This Row],[Step]] &gt; current_step, "",Iterations[[#This Row],[Grad_e]]))</f>
        <v/>
      </c>
    </row>
    <row r="1013" spans="6:18" x14ac:dyDescent="0.3">
      <c r="F1013" s="2">
        <f t="shared" si="20"/>
        <v>996</v>
      </c>
      <c r="G1013" s="2" t="str">
        <f>IF(Iterations[[#This Row],[Step]] =current_step, current_a,IF(Iterations[[#This Row],[Step]] &gt; current_step, "",Iterations[[#This Row],[a]]))</f>
        <v/>
      </c>
      <c r="H1013" s="2" t="str">
        <f>IF(Iterations[[#This Row],[Step]] =current_step, current_b,IF(Iterations[[#This Row],[Step]] &gt; current_step, "",Iterations[[#This Row],[b]]))</f>
        <v/>
      </c>
      <c r="I1013" s="2" t="str">
        <f>IF(Iterations[[#This Row],[Step]] =current_step, current_c,IF(Iterations[[#This Row],[Step]] &gt; current_step, "",Iterations[[#This Row],[c]]))</f>
        <v/>
      </c>
      <c r="J1013" s="2" t="str">
        <f>IF(Iterations[[#This Row],[Step]] =current_step, current_d,IF(Iterations[[#This Row],[Step]] &gt; current_step, "",Iterations[[#This Row],[d]]))</f>
        <v/>
      </c>
      <c r="K1013" s="2" t="str">
        <f>IF(Iterations[[#This Row],[Step]] =current_step, current_e,IF(Iterations[[#This Row],[Step]] &gt; current_step, "",Iterations[[#This Row],[e]]))</f>
        <v/>
      </c>
      <c r="L1013" s="2" t="str">
        <f>IF(Iterations[[#This Row],[Step]] =current_step, current_Total_Loss,IF(Iterations[[#This Row],[Step]] &gt; current_step, "",Iterations[[#This Row],[Total Loss]]))</f>
        <v/>
      </c>
      <c r="M1013" s="6" t="s">
        <v>27</v>
      </c>
      <c r="N1013" s="2" t="str">
        <f>IF(Iterations[[#This Row],[Step]] =current_step, current_Grad_a,IF(Iterations[[#This Row],[Step]] &gt; current_step, "",Iterations[[#This Row],[Grad_a]]))</f>
        <v/>
      </c>
      <c r="O1013" s="2" t="str">
        <f>IF(Iterations[[#This Row],[Step]] =current_step, current_Grad_b,IF(Iterations[[#This Row],[Step]] &gt; current_step, "",Iterations[[#This Row],[Grad_b]]))</f>
        <v/>
      </c>
      <c r="P1013" s="2" t="str">
        <f>IF(Iterations[[#This Row],[Step]] =current_step, current_Grad_c,IF(Iterations[[#This Row],[Step]] &gt; current_step, "",Iterations[[#This Row],[Grad_c]]))</f>
        <v/>
      </c>
      <c r="Q1013" s="2" t="str">
        <f>IF(Iterations[[#This Row],[Step]] =current_step, current_Grad_d,IF(Iterations[[#This Row],[Step]] &gt; current_step, "",Iterations[[#This Row],[Grad_d]]))</f>
        <v/>
      </c>
      <c r="R1013" s="2" t="str">
        <f>IF(Iterations[[#This Row],[Step]] =current_step, current_Grad_e,IF(Iterations[[#This Row],[Step]] &gt; current_step, "",Iterations[[#This Row],[Grad_e]]))</f>
        <v/>
      </c>
    </row>
    <row r="1014" spans="6:18" x14ac:dyDescent="0.3">
      <c r="F1014" s="2">
        <f t="shared" si="20"/>
        <v>997</v>
      </c>
      <c r="G1014" s="2" t="str">
        <f>IF(Iterations[[#This Row],[Step]] =current_step, current_a,IF(Iterations[[#This Row],[Step]] &gt; current_step, "",Iterations[[#This Row],[a]]))</f>
        <v/>
      </c>
      <c r="H1014" s="2" t="str">
        <f>IF(Iterations[[#This Row],[Step]] =current_step, current_b,IF(Iterations[[#This Row],[Step]] &gt; current_step, "",Iterations[[#This Row],[b]]))</f>
        <v/>
      </c>
      <c r="I1014" s="2" t="str">
        <f>IF(Iterations[[#This Row],[Step]] =current_step, current_c,IF(Iterations[[#This Row],[Step]] &gt; current_step, "",Iterations[[#This Row],[c]]))</f>
        <v/>
      </c>
      <c r="J1014" s="2" t="str">
        <f>IF(Iterations[[#This Row],[Step]] =current_step, current_d,IF(Iterations[[#This Row],[Step]] &gt; current_step, "",Iterations[[#This Row],[d]]))</f>
        <v/>
      </c>
      <c r="K1014" s="2" t="str">
        <f>IF(Iterations[[#This Row],[Step]] =current_step, current_e,IF(Iterations[[#This Row],[Step]] &gt; current_step, "",Iterations[[#This Row],[e]]))</f>
        <v/>
      </c>
      <c r="L1014" s="2" t="str">
        <f>IF(Iterations[[#This Row],[Step]] =current_step, current_Total_Loss,IF(Iterations[[#This Row],[Step]] &gt; current_step, "",Iterations[[#This Row],[Total Loss]]))</f>
        <v/>
      </c>
      <c r="M1014" s="6" t="s">
        <v>27</v>
      </c>
      <c r="N1014" s="2" t="str">
        <f>IF(Iterations[[#This Row],[Step]] =current_step, current_Grad_a,IF(Iterations[[#This Row],[Step]] &gt; current_step, "",Iterations[[#This Row],[Grad_a]]))</f>
        <v/>
      </c>
      <c r="O1014" s="2" t="str">
        <f>IF(Iterations[[#This Row],[Step]] =current_step, current_Grad_b,IF(Iterations[[#This Row],[Step]] &gt; current_step, "",Iterations[[#This Row],[Grad_b]]))</f>
        <v/>
      </c>
      <c r="P1014" s="2" t="str">
        <f>IF(Iterations[[#This Row],[Step]] =current_step, current_Grad_c,IF(Iterations[[#This Row],[Step]] &gt; current_step, "",Iterations[[#This Row],[Grad_c]]))</f>
        <v/>
      </c>
      <c r="Q1014" s="2" t="str">
        <f>IF(Iterations[[#This Row],[Step]] =current_step, current_Grad_d,IF(Iterations[[#This Row],[Step]] &gt; current_step, "",Iterations[[#This Row],[Grad_d]]))</f>
        <v/>
      </c>
      <c r="R1014" s="2" t="str">
        <f>IF(Iterations[[#This Row],[Step]] =current_step, current_Grad_e,IF(Iterations[[#This Row],[Step]] &gt; current_step, "",Iterations[[#This Row],[Grad_e]]))</f>
        <v/>
      </c>
    </row>
    <row r="1015" spans="6:18" x14ac:dyDescent="0.3">
      <c r="F1015" s="2">
        <f t="shared" si="20"/>
        <v>998</v>
      </c>
      <c r="G1015" s="2" t="str">
        <f>IF(Iterations[[#This Row],[Step]] =current_step, current_a,IF(Iterations[[#This Row],[Step]] &gt; current_step, "",Iterations[[#This Row],[a]]))</f>
        <v/>
      </c>
      <c r="H1015" s="2" t="str">
        <f>IF(Iterations[[#This Row],[Step]] =current_step, current_b,IF(Iterations[[#This Row],[Step]] &gt; current_step, "",Iterations[[#This Row],[b]]))</f>
        <v/>
      </c>
      <c r="I1015" s="2" t="str">
        <f>IF(Iterations[[#This Row],[Step]] =current_step, current_c,IF(Iterations[[#This Row],[Step]] &gt; current_step, "",Iterations[[#This Row],[c]]))</f>
        <v/>
      </c>
      <c r="J1015" s="2" t="str">
        <f>IF(Iterations[[#This Row],[Step]] =current_step, current_d,IF(Iterations[[#This Row],[Step]] &gt; current_step, "",Iterations[[#This Row],[d]]))</f>
        <v/>
      </c>
      <c r="K1015" s="2" t="str">
        <f>IF(Iterations[[#This Row],[Step]] =current_step, current_e,IF(Iterations[[#This Row],[Step]] &gt; current_step, "",Iterations[[#This Row],[e]]))</f>
        <v/>
      </c>
      <c r="L1015" s="2" t="str">
        <f>IF(Iterations[[#This Row],[Step]] =current_step, current_Total_Loss,IF(Iterations[[#This Row],[Step]] &gt; current_step, "",Iterations[[#This Row],[Total Loss]]))</f>
        <v/>
      </c>
      <c r="M1015" s="6" t="s">
        <v>27</v>
      </c>
      <c r="N1015" s="2" t="str">
        <f>IF(Iterations[[#This Row],[Step]] =current_step, current_Grad_a,IF(Iterations[[#This Row],[Step]] &gt; current_step, "",Iterations[[#This Row],[Grad_a]]))</f>
        <v/>
      </c>
      <c r="O1015" s="2" t="str">
        <f>IF(Iterations[[#This Row],[Step]] =current_step, current_Grad_b,IF(Iterations[[#This Row],[Step]] &gt; current_step, "",Iterations[[#This Row],[Grad_b]]))</f>
        <v/>
      </c>
      <c r="P1015" s="2" t="str">
        <f>IF(Iterations[[#This Row],[Step]] =current_step, current_Grad_c,IF(Iterations[[#This Row],[Step]] &gt; current_step, "",Iterations[[#This Row],[Grad_c]]))</f>
        <v/>
      </c>
      <c r="Q1015" s="2" t="str">
        <f>IF(Iterations[[#This Row],[Step]] =current_step, current_Grad_d,IF(Iterations[[#This Row],[Step]] &gt; current_step, "",Iterations[[#This Row],[Grad_d]]))</f>
        <v/>
      </c>
      <c r="R1015" s="2" t="str">
        <f>IF(Iterations[[#This Row],[Step]] =current_step, current_Grad_e,IF(Iterations[[#This Row],[Step]] &gt; current_step, "",Iterations[[#This Row],[Grad_e]]))</f>
        <v/>
      </c>
    </row>
    <row r="1016" spans="6:18" x14ac:dyDescent="0.3">
      <c r="F1016" s="2">
        <f t="shared" ref="F1016:F1079" si="21">F1015+1</f>
        <v>999</v>
      </c>
      <c r="G1016" s="2" t="str">
        <f>IF(Iterations[[#This Row],[Step]] =current_step, current_a,IF(Iterations[[#This Row],[Step]] &gt; current_step, "",Iterations[[#This Row],[a]]))</f>
        <v/>
      </c>
      <c r="H1016" s="2" t="str">
        <f>IF(Iterations[[#This Row],[Step]] =current_step, current_b,IF(Iterations[[#This Row],[Step]] &gt; current_step, "",Iterations[[#This Row],[b]]))</f>
        <v/>
      </c>
      <c r="I1016" s="2" t="str">
        <f>IF(Iterations[[#This Row],[Step]] =current_step, current_c,IF(Iterations[[#This Row],[Step]] &gt; current_step, "",Iterations[[#This Row],[c]]))</f>
        <v/>
      </c>
      <c r="J1016" s="2" t="str">
        <f>IF(Iterations[[#This Row],[Step]] =current_step, current_d,IF(Iterations[[#This Row],[Step]] &gt; current_step, "",Iterations[[#This Row],[d]]))</f>
        <v/>
      </c>
      <c r="K1016" s="2" t="str">
        <f>IF(Iterations[[#This Row],[Step]] =current_step, current_e,IF(Iterations[[#This Row],[Step]] &gt; current_step, "",Iterations[[#This Row],[e]]))</f>
        <v/>
      </c>
      <c r="L1016" s="2" t="str">
        <f>IF(Iterations[[#This Row],[Step]] =current_step, current_Total_Loss,IF(Iterations[[#This Row],[Step]] &gt; current_step, "",Iterations[[#This Row],[Total Loss]]))</f>
        <v/>
      </c>
      <c r="M1016" s="6" t="s">
        <v>27</v>
      </c>
      <c r="N1016" s="2" t="str">
        <f>IF(Iterations[[#This Row],[Step]] =current_step, current_Grad_a,IF(Iterations[[#This Row],[Step]] &gt; current_step, "",Iterations[[#This Row],[Grad_a]]))</f>
        <v/>
      </c>
      <c r="O1016" s="2" t="str">
        <f>IF(Iterations[[#This Row],[Step]] =current_step, current_Grad_b,IF(Iterations[[#This Row],[Step]] &gt; current_step, "",Iterations[[#This Row],[Grad_b]]))</f>
        <v/>
      </c>
      <c r="P1016" s="2" t="str">
        <f>IF(Iterations[[#This Row],[Step]] =current_step, current_Grad_c,IF(Iterations[[#This Row],[Step]] &gt; current_step, "",Iterations[[#This Row],[Grad_c]]))</f>
        <v/>
      </c>
      <c r="Q1016" s="2" t="str">
        <f>IF(Iterations[[#This Row],[Step]] =current_step, current_Grad_d,IF(Iterations[[#This Row],[Step]] &gt; current_step, "",Iterations[[#This Row],[Grad_d]]))</f>
        <v/>
      </c>
      <c r="R1016" s="2" t="str">
        <f>IF(Iterations[[#This Row],[Step]] =current_step, current_Grad_e,IF(Iterations[[#This Row],[Step]] &gt; current_step, "",Iterations[[#This Row],[Grad_e]]))</f>
        <v/>
      </c>
    </row>
    <row r="1017" spans="6:18" x14ac:dyDescent="0.3">
      <c r="F1017" s="2">
        <f t="shared" si="21"/>
        <v>1000</v>
      </c>
      <c r="G1017" s="2" t="str">
        <f>IF(Iterations[[#This Row],[Step]] =current_step, current_a,IF(Iterations[[#This Row],[Step]] &gt; current_step, "",Iterations[[#This Row],[a]]))</f>
        <v/>
      </c>
      <c r="H1017" s="2" t="str">
        <f>IF(Iterations[[#This Row],[Step]] =current_step, current_b,IF(Iterations[[#This Row],[Step]] &gt; current_step, "",Iterations[[#This Row],[b]]))</f>
        <v/>
      </c>
      <c r="I1017" s="2" t="str">
        <f>IF(Iterations[[#This Row],[Step]] =current_step, current_c,IF(Iterations[[#This Row],[Step]] &gt; current_step, "",Iterations[[#This Row],[c]]))</f>
        <v/>
      </c>
      <c r="J1017" s="2" t="str">
        <f>IF(Iterations[[#This Row],[Step]] =current_step, current_d,IF(Iterations[[#This Row],[Step]] &gt; current_step, "",Iterations[[#This Row],[d]]))</f>
        <v/>
      </c>
      <c r="K1017" s="2" t="str">
        <f>IF(Iterations[[#This Row],[Step]] =current_step, current_e,IF(Iterations[[#This Row],[Step]] &gt; current_step, "",Iterations[[#This Row],[e]]))</f>
        <v/>
      </c>
      <c r="L1017" s="2" t="str">
        <f>IF(Iterations[[#This Row],[Step]] =current_step, current_Total_Loss,IF(Iterations[[#This Row],[Step]] &gt; current_step, "",Iterations[[#This Row],[Total Loss]]))</f>
        <v/>
      </c>
      <c r="M1017" s="6" t="s">
        <v>27</v>
      </c>
      <c r="N1017" s="2" t="str">
        <f>IF(Iterations[[#This Row],[Step]] =current_step, current_Grad_a,IF(Iterations[[#This Row],[Step]] &gt; current_step, "",Iterations[[#This Row],[Grad_a]]))</f>
        <v/>
      </c>
      <c r="O1017" s="2" t="str">
        <f>IF(Iterations[[#This Row],[Step]] =current_step, current_Grad_b,IF(Iterations[[#This Row],[Step]] &gt; current_step, "",Iterations[[#This Row],[Grad_b]]))</f>
        <v/>
      </c>
      <c r="P1017" s="2" t="str">
        <f>IF(Iterations[[#This Row],[Step]] =current_step, current_Grad_c,IF(Iterations[[#This Row],[Step]] &gt; current_step, "",Iterations[[#This Row],[Grad_c]]))</f>
        <v/>
      </c>
      <c r="Q1017" s="2" t="str">
        <f>IF(Iterations[[#This Row],[Step]] =current_step, current_Grad_d,IF(Iterations[[#This Row],[Step]] &gt; current_step, "",Iterations[[#This Row],[Grad_d]]))</f>
        <v/>
      </c>
      <c r="R1017" s="2" t="str">
        <f>IF(Iterations[[#This Row],[Step]] =current_step, current_Grad_e,IF(Iterations[[#This Row],[Step]] &gt; current_step, "",Iterations[[#This Row],[Grad_e]]))</f>
        <v/>
      </c>
    </row>
    <row r="1018" spans="6:18" x14ac:dyDescent="0.3">
      <c r="F1018" s="2">
        <f t="shared" si="21"/>
        <v>1001</v>
      </c>
      <c r="G1018" s="2" t="str">
        <f>IF(Iterations[[#This Row],[Step]] =current_step, current_a,IF(Iterations[[#This Row],[Step]] &gt; current_step, "",Iterations[[#This Row],[a]]))</f>
        <v/>
      </c>
      <c r="H1018" s="2" t="str">
        <f>IF(Iterations[[#This Row],[Step]] =current_step, current_b,IF(Iterations[[#This Row],[Step]] &gt; current_step, "",Iterations[[#This Row],[b]]))</f>
        <v/>
      </c>
      <c r="I1018" s="2" t="str">
        <f>IF(Iterations[[#This Row],[Step]] =current_step, current_c,IF(Iterations[[#This Row],[Step]] &gt; current_step, "",Iterations[[#This Row],[c]]))</f>
        <v/>
      </c>
      <c r="J1018" s="2" t="str">
        <f>IF(Iterations[[#This Row],[Step]] =current_step, current_d,IF(Iterations[[#This Row],[Step]] &gt; current_step, "",Iterations[[#This Row],[d]]))</f>
        <v/>
      </c>
      <c r="K1018" s="2" t="str">
        <f>IF(Iterations[[#This Row],[Step]] =current_step, current_e,IF(Iterations[[#This Row],[Step]] &gt; current_step, "",Iterations[[#This Row],[e]]))</f>
        <v/>
      </c>
      <c r="L1018" s="2" t="str">
        <f>IF(Iterations[[#This Row],[Step]] =current_step, current_Total_Loss,IF(Iterations[[#This Row],[Step]] &gt; current_step, "",Iterations[[#This Row],[Total Loss]]))</f>
        <v/>
      </c>
      <c r="M1018" s="6" t="s">
        <v>27</v>
      </c>
      <c r="N1018" s="2" t="str">
        <f>IF(Iterations[[#This Row],[Step]] =current_step, current_Grad_a,IF(Iterations[[#This Row],[Step]] &gt; current_step, "",Iterations[[#This Row],[Grad_a]]))</f>
        <v/>
      </c>
      <c r="O1018" s="2" t="str">
        <f>IF(Iterations[[#This Row],[Step]] =current_step, current_Grad_b,IF(Iterations[[#This Row],[Step]] &gt; current_step, "",Iterations[[#This Row],[Grad_b]]))</f>
        <v/>
      </c>
      <c r="P1018" s="2" t="str">
        <f>IF(Iterations[[#This Row],[Step]] =current_step, current_Grad_c,IF(Iterations[[#This Row],[Step]] &gt; current_step, "",Iterations[[#This Row],[Grad_c]]))</f>
        <v/>
      </c>
      <c r="Q1018" s="2" t="str">
        <f>IF(Iterations[[#This Row],[Step]] =current_step, current_Grad_d,IF(Iterations[[#This Row],[Step]] &gt; current_step, "",Iterations[[#This Row],[Grad_d]]))</f>
        <v/>
      </c>
      <c r="R1018" s="2" t="str">
        <f>IF(Iterations[[#This Row],[Step]] =current_step, current_Grad_e,IF(Iterations[[#This Row],[Step]] &gt; current_step, "",Iterations[[#This Row],[Grad_e]]))</f>
        <v/>
      </c>
    </row>
    <row r="1019" spans="6:18" x14ac:dyDescent="0.3">
      <c r="F1019" s="2">
        <f t="shared" si="21"/>
        <v>1002</v>
      </c>
      <c r="G1019" s="2" t="str">
        <f>IF(Iterations[[#This Row],[Step]] =current_step, current_a,IF(Iterations[[#This Row],[Step]] &gt; current_step, "",Iterations[[#This Row],[a]]))</f>
        <v/>
      </c>
      <c r="H1019" s="2" t="str">
        <f>IF(Iterations[[#This Row],[Step]] =current_step, current_b,IF(Iterations[[#This Row],[Step]] &gt; current_step, "",Iterations[[#This Row],[b]]))</f>
        <v/>
      </c>
      <c r="I1019" s="2" t="str">
        <f>IF(Iterations[[#This Row],[Step]] =current_step, current_c,IF(Iterations[[#This Row],[Step]] &gt; current_step, "",Iterations[[#This Row],[c]]))</f>
        <v/>
      </c>
      <c r="J1019" s="2" t="str">
        <f>IF(Iterations[[#This Row],[Step]] =current_step, current_d,IF(Iterations[[#This Row],[Step]] &gt; current_step, "",Iterations[[#This Row],[d]]))</f>
        <v/>
      </c>
      <c r="K1019" s="2" t="str">
        <f>IF(Iterations[[#This Row],[Step]] =current_step, current_e,IF(Iterations[[#This Row],[Step]] &gt; current_step, "",Iterations[[#This Row],[e]]))</f>
        <v/>
      </c>
      <c r="L1019" s="2" t="str">
        <f>IF(Iterations[[#This Row],[Step]] =current_step, current_Total_Loss,IF(Iterations[[#This Row],[Step]] &gt; current_step, "",Iterations[[#This Row],[Total Loss]]))</f>
        <v/>
      </c>
      <c r="M1019" s="6" t="s">
        <v>27</v>
      </c>
      <c r="N1019" s="2" t="str">
        <f>IF(Iterations[[#This Row],[Step]] =current_step, current_Grad_a,IF(Iterations[[#This Row],[Step]] &gt; current_step, "",Iterations[[#This Row],[Grad_a]]))</f>
        <v/>
      </c>
      <c r="O1019" s="2" t="str">
        <f>IF(Iterations[[#This Row],[Step]] =current_step, current_Grad_b,IF(Iterations[[#This Row],[Step]] &gt; current_step, "",Iterations[[#This Row],[Grad_b]]))</f>
        <v/>
      </c>
      <c r="P1019" s="2" t="str">
        <f>IF(Iterations[[#This Row],[Step]] =current_step, current_Grad_c,IF(Iterations[[#This Row],[Step]] &gt; current_step, "",Iterations[[#This Row],[Grad_c]]))</f>
        <v/>
      </c>
      <c r="Q1019" s="2" t="str">
        <f>IF(Iterations[[#This Row],[Step]] =current_step, current_Grad_d,IF(Iterations[[#This Row],[Step]] &gt; current_step, "",Iterations[[#This Row],[Grad_d]]))</f>
        <v/>
      </c>
      <c r="R1019" s="2" t="str">
        <f>IF(Iterations[[#This Row],[Step]] =current_step, current_Grad_e,IF(Iterations[[#This Row],[Step]] &gt; current_step, "",Iterations[[#This Row],[Grad_e]]))</f>
        <v/>
      </c>
    </row>
    <row r="1020" spans="6:18" x14ac:dyDescent="0.3">
      <c r="F1020" s="2">
        <f t="shared" si="21"/>
        <v>1003</v>
      </c>
      <c r="G1020" s="2" t="str">
        <f>IF(Iterations[[#This Row],[Step]] =current_step, current_a,IF(Iterations[[#This Row],[Step]] &gt; current_step, "",Iterations[[#This Row],[a]]))</f>
        <v/>
      </c>
      <c r="H1020" s="2" t="str">
        <f>IF(Iterations[[#This Row],[Step]] =current_step, current_b,IF(Iterations[[#This Row],[Step]] &gt; current_step, "",Iterations[[#This Row],[b]]))</f>
        <v/>
      </c>
      <c r="I1020" s="2" t="str">
        <f>IF(Iterations[[#This Row],[Step]] =current_step, current_c,IF(Iterations[[#This Row],[Step]] &gt; current_step, "",Iterations[[#This Row],[c]]))</f>
        <v/>
      </c>
      <c r="J1020" s="2" t="str">
        <f>IF(Iterations[[#This Row],[Step]] =current_step, current_d,IF(Iterations[[#This Row],[Step]] &gt; current_step, "",Iterations[[#This Row],[d]]))</f>
        <v/>
      </c>
      <c r="K1020" s="2" t="str">
        <f>IF(Iterations[[#This Row],[Step]] =current_step, current_e,IF(Iterations[[#This Row],[Step]] &gt; current_step, "",Iterations[[#This Row],[e]]))</f>
        <v/>
      </c>
      <c r="L1020" s="2" t="str">
        <f>IF(Iterations[[#This Row],[Step]] =current_step, current_Total_Loss,IF(Iterations[[#This Row],[Step]] &gt; current_step, "",Iterations[[#This Row],[Total Loss]]))</f>
        <v/>
      </c>
      <c r="M1020" s="6" t="s">
        <v>27</v>
      </c>
      <c r="N1020" s="2" t="str">
        <f>IF(Iterations[[#This Row],[Step]] =current_step, current_Grad_a,IF(Iterations[[#This Row],[Step]] &gt; current_step, "",Iterations[[#This Row],[Grad_a]]))</f>
        <v/>
      </c>
      <c r="O1020" s="2" t="str">
        <f>IF(Iterations[[#This Row],[Step]] =current_step, current_Grad_b,IF(Iterations[[#This Row],[Step]] &gt; current_step, "",Iterations[[#This Row],[Grad_b]]))</f>
        <v/>
      </c>
      <c r="P1020" s="2" t="str">
        <f>IF(Iterations[[#This Row],[Step]] =current_step, current_Grad_c,IF(Iterations[[#This Row],[Step]] &gt; current_step, "",Iterations[[#This Row],[Grad_c]]))</f>
        <v/>
      </c>
      <c r="Q1020" s="2" t="str">
        <f>IF(Iterations[[#This Row],[Step]] =current_step, current_Grad_d,IF(Iterations[[#This Row],[Step]] &gt; current_step, "",Iterations[[#This Row],[Grad_d]]))</f>
        <v/>
      </c>
      <c r="R1020" s="2" t="str">
        <f>IF(Iterations[[#This Row],[Step]] =current_step, current_Grad_e,IF(Iterations[[#This Row],[Step]] &gt; current_step, "",Iterations[[#This Row],[Grad_e]]))</f>
        <v/>
      </c>
    </row>
    <row r="1021" spans="6:18" x14ac:dyDescent="0.3">
      <c r="F1021" s="2">
        <f t="shared" si="21"/>
        <v>1004</v>
      </c>
      <c r="G1021" s="2" t="str">
        <f>IF(Iterations[[#This Row],[Step]] =current_step, current_a,IF(Iterations[[#This Row],[Step]] &gt; current_step, "",Iterations[[#This Row],[a]]))</f>
        <v/>
      </c>
      <c r="H1021" s="2" t="str">
        <f>IF(Iterations[[#This Row],[Step]] =current_step, current_b,IF(Iterations[[#This Row],[Step]] &gt; current_step, "",Iterations[[#This Row],[b]]))</f>
        <v/>
      </c>
      <c r="I1021" s="2" t="str">
        <f>IF(Iterations[[#This Row],[Step]] =current_step, current_c,IF(Iterations[[#This Row],[Step]] &gt; current_step, "",Iterations[[#This Row],[c]]))</f>
        <v/>
      </c>
      <c r="J1021" s="2" t="str">
        <f>IF(Iterations[[#This Row],[Step]] =current_step, current_d,IF(Iterations[[#This Row],[Step]] &gt; current_step, "",Iterations[[#This Row],[d]]))</f>
        <v/>
      </c>
      <c r="K1021" s="2" t="str">
        <f>IF(Iterations[[#This Row],[Step]] =current_step, current_e,IF(Iterations[[#This Row],[Step]] &gt; current_step, "",Iterations[[#This Row],[e]]))</f>
        <v/>
      </c>
      <c r="L1021" s="2" t="str">
        <f>IF(Iterations[[#This Row],[Step]] =current_step, current_Total_Loss,IF(Iterations[[#This Row],[Step]] &gt; current_step, "",Iterations[[#This Row],[Total Loss]]))</f>
        <v/>
      </c>
      <c r="M1021" s="6" t="s">
        <v>27</v>
      </c>
      <c r="N1021" s="2" t="str">
        <f>IF(Iterations[[#This Row],[Step]] =current_step, current_Grad_a,IF(Iterations[[#This Row],[Step]] &gt; current_step, "",Iterations[[#This Row],[Grad_a]]))</f>
        <v/>
      </c>
      <c r="O1021" s="2" t="str">
        <f>IF(Iterations[[#This Row],[Step]] =current_step, current_Grad_b,IF(Iterations[[#This Row],[Step]] &gt; current_step, "",Iterations[[#This Row],[Grad_b]]))</f>
        <v/>
      </c>
      <c r="P1021" s="2" t="str">
        <f>IF(Iterations[[#This Row],[Step]] =current_step, current_Grad_c,IF(Iterations[[#This Row],[Step]] &gt; current_step, "",Iterations[[#This Row],[Grad_c]]))</f>
        <v/>
      </c>
      <c r="Q1021" s="2" t="str">
        <f>IF(Iterations[[#This Row],[Step]] =current_step, current_Grad_d,IF(Iterations[[#This Row],[Step]] &gt; current_step, "",Iterations[[#This Row],[Grad_d]]))</f>
        <v/>
      </c>
      <c r="R1021" s="2" t="str">
        <f>IF(Iterations[[#This Row],[Step]] =current_step, current_Grad_e,IF(Iterations[[#This Row],[Step]] &gt; current_step, "",Iterations[[#This Row],[Grad_e]]))</f>
        <v/>
      </c>
    </row>
    <row r="1022" spans="6:18" x14ac:dyDescent="0.3">
      <c r="F1022" s="2">
        <f t="shared" si="21"/>
        <v>1005</v>
      </c>
      <c r="G1022" s="2" t="str">
        <f>IF(Iterations[[#This Row],[Step]] =current_step, current_a,IF(Iterations[[#This Row],[Step]] &gt; current_step, "",Iterations[[#This Row],[a]]))</f>
        <v/>
      </c>
      <c r="H1022" s="2" t="str">
        <f>IF(Iterations[[#This Row],[Step]] =current_step, current_b,IF(Iterations[[#This Row],[Step]] &gt; current_step, "",Iterations[[#This Row],[b]]))</f>
        <v/>
      </c>
      <c r="I1022" s="2" t="str">
        <f>IF(Iterations[[#This Row],[Step]] =current_step, current_c,IF(Iterations[[#This Row],[Step]] &gt; current_step, "",Iterations[[#This Row],[c]]))</f>
        <v/>
      </c>
      <c r="J1022" s="2" t="str">
        <f>IF(Iterations[[#This Row],[Step]] =current_step, current_d,IF(Iterations[[#This Row],[Step]] &gt; current_step, "",Iterations[[#This Row],[d]]))</f>
        <v/>
      </c>
      <c r="K1022" s="2" t="str">
        <f>IF(Iterations[[#This Row],[Step]] =current_step, current_e,IF(Iterations[[#This Row],[Step]] &gt; current_step, "",Iterations[[#This Row],[e]]))</f>
        <v/>
      </c>
      <c r="L1022" s="2" t="str">
        <f>IF(Iterations[[#This Row],[Step]] =current_step, current_Total_Loss,IF(Iterations[[#This Row],[Step]] &gt; current_step, "",Iterations[[#This Row],[Total Loss]]))</f>
        <v/>
      </c>
      <c r="M1022" s="6" t="s">
        <v>27</v>
      </c>
      <c r="N1022" s="2" t="str">
        <f>IF(Iterations[[#This Row],[Step]] =current_step, current_Grad_a,IF(Iterations[[#This Row],[Step]] &gt; current_step, "",Iterations[[#This Row],[Grad_a]]))</f>
        <v/>
      </c>
      <c r="O1022" s="2" t="str">
        <f>IF(Iterations[[#This Row],[Step]] =current_step, current_Grad_b,IF(Iterations[[#This Row],[Step]] &gt; current_step, "",Iterations[[#This Row],[Grad_b]]))</f>
        <v/>
      </c>
      <c r="P1022" s="2" t="str">
        <f>IF(Iterations[[#This Row],[Step]] =current_step, current_Grad_c,IF(Iterations[[#This Row],[Step]] &gt; current_step, "",Iterations[[#This Row],[Grad_c]]))</f>
        <v/>
      </c>
      <c r="Q1022" s="2" t="str">
        <f>IF(Iterations[[#This Row],[Step]] =current_step, current_Grad_d,IF(Iterations[[#This Row],[Step]] &gt; current_step, "",Iterations[[#This Row],[Grad_d]]))</f>
        <v/>
      </c>
      <c r="R1022" s="2" t="str">
        <f>IF(Iterations[[#This Row],[Step]] =current_step, current_Grad_e,IF(Iterations[[#This Row],[Step]] &gt; current_step, "",Iterations[[#This Row],[Grad_e]]))</f>
        <v/>
      </c>
    </row>
    <row r="1023" spans="6:18" x14ac:dyDescent="0.3">
      <c r="F1023" s="2">
        <f t="shared" si="21"/>
        <v>1006</v>
      </c>
      <c r="G1023" s="2" t="str">
        <f>IF(Iterations[[#This Row],[Step]] =current_step, current_a,IF(Iterations[[#This Row],[Step]] &gt; current_step, "",Iterations[[#This Row],[a]]))</f>
        <v/>
      </c>
      <c r="H1023" s="2" t="str">
        <f>IF(Iterations[[#This Row],[Step]] =current_step, current_b,IF(Iterations[[#This Row],[Step]] &gt; current_step, "",Iterations[[#This Row],[b]]))</f>
        <v/>
      </c>
      <c r="I1023" s="2" t="str">
        <f>IF(Iterations[[#This Row],[Step]] =current_step, current_c,IF(Iterations[[#This Row],[Step]] &gt; current_step, "",Iterations[[#This Row],[c]]))</f>
        <v/>
      </c>
      <c r="J1023" s="2" t="str">
        <f>IF(Iterations[[#This Row],[Step]] =current_step, current_d,IF(Iterations[[#This Row],[Step]] &gt; current_step, "",Iterations[[#This Row],[d]]))</f>
        <v/>
      </c>
      <c r="K1023" s="2" t="str">
        <f>IF(Iterations[[#This Row],[Step]] =current_step, current_e,IF(Iterations[[#This Row],[Step]] &gt; current_step, "",Iterations[[#This Row],[e]]))</f>
        <v/>
      </c>
      <c r="L1023" s="2" t="str">
        <f>IF(Iterations[[#This Row],[Step]] =current_step, current_Total_Loss,IF(Iterations[[#This Row],[Step]] &gt; current_step, "",Iterations[[#This Row],[Total Loss]]))</f>
        <v/>
      </c>
      <c r="M1023" s="6" t="s">
        <v>27</v>
      </c>
      <c r="N1023" s="2" t="str">
        <f>IF(Iterations[[#This Row],[Step]] =current_step, current_Grad_a,IF(Iterations[[#This Row],[Step]] &gt; current_step, "",Iterations[[#This Row],[Grad_a]]))</f>
        <v/>
      </c>
      <c r="O1023" s="2" t="str">
        <f>IF(Iterations[[#This Row],[Step]] =current_step, current_Grad_b,IF(Iterations[[#This Row],[Step]] &gt; current_step, "",Iterations[[#This Row],[Grad_b]]))</f>
        <v/>
      </c>
      <c r="P1023" s="2" t="str">
        <f>IF(Iterations[[#This Row],[Step]] =current_step, current_Grad_c,IF(Iterations[[#This Row],[Step]] &gt; current_step, "",Iterations[[#This Row],[Grad_c]]))</f>
        <v/>
      </c>
      <c r="Q1023" s="2" t="str">
        <f>IF(Iterations[[#This Row],[Step]] =current_step, current_Grad_d,IF(Iterations[[#This Row],[Step]] &gt; current_step, "",Iterations[[#This Row],[Grad_d]]))</f>
        <v/>
      </c>
      <c r="R1023" s="2" t="str">
        <f>IF(Iterations[[#This Row],[Step]] =current_step, current_Grad_e,IF(Iterations[[#This Row],[Step]] &gt; current_step, "",Iterations[[#This Row],[Grad_e]]))</f>
        <v/>
      </c>
    </row>
    <row r="1024" spans="6:18" x14ac:dyDescent="0.3">
      <c r="F1024" s="2">
        <f t="shared" si="21"/>
        <v>1007</v>
      </c>
      <c r="G1024" s="2" t="str">
        <f>IF(Iterations[[#This Row],[Step]] =current_step, current_a,IF(Iterations[[#This Row],[Step]] &gt; current_step, "",Iterations[[#This Row],[a]]))</f>
        <v/>
      </c>
      <c r="H1024" s="2" t="str">
        <f>IF(Iterations[[#This Row],[Step]] =current_step, current_b,IF(Iterations[[#This Row],[Step]] &gt; current_step, "",Iterations[[#This Row],[b]]))</f>
        <v/>
      </c>
      <c r="I1024" s="2" t="str">
        <f>IF(Iterations[[#This Row],[Step]] =current_step, current_c,IF(Iterations[[#This Row],[Step]] &gt; current_step, "",Iterations[[#This Row],[c]]))</f>
        <v/>
      </c>
      <c r="J1024" s="2" t="str">
        <f>IF(Iterations[[#This Row],[Step]] =current_step, current_d,IF(Iterations[[#This Row],[Step]] &gt; current_step, "",Iterations[[#This Row],[d]]))</f>
        <v/>
      </c>
      <c r="K1024" s="2" t="str">
        <f>IF(Iterations[[#This Row],[Step]] =current_step, current_e,IF(Iterations[[#This Row],[Step]] &gt; current_step, "",Iterations[[#This Row],[e]]))</f>
        <v/>
      </c>
      <c r="L1024" s="2" t="str">
        <f>IF(Iterations[[#This Row],[Step]] =current_step, current_Total_Loss,IF(Iterations[[#This Row],[Step]] &gt; current_step, "",Iterations[[#This Row],[Total Loss]]))</f>
        <v/>
      </c>
      <c r="M1024" s="6" t="s">
        <v>27</v>
      </c>
      <c r="N1024" s="2" t="str">
        <f>IF(Iterations[[#This Row],[Step]] =current_step, current_Grad_a,IF(Iterations[[#This Row],[Step]] &gt; current_step, "",Iterations[[#This Row],[Grad_a]]))</f>
        <v/>
      </c>
      <c r="O1024" s="2" t="str">
        <f>IF(Iterations[[#This Row],[Step]] =current_step, current_Grad_b,IF(Iterations[[#This Row],[Step]] &gt; current_step, "",Iterations[[#This Row],[Grad_b]]))</f>
        <v/>
      </c>
      <c r="P1024" s="2" t="str">
        <f>IF(Iterations[[#This Row],[Step]] =current_step, current_Grad_c,IF(Iterations[[#This Row],[Step]] &gt; current_step, "",Iterations[[#This Row],[Grad_c]]))</f>
        <v/>
      </c>
      <c r="Q1024" s="2" t="str">
        <f>IF(Iterations[[#This Row],[Step]] =current_step, current_Grad_d,IF(Iterations[[#This Row],[Step]] &gt; current_step, "",Iterations[[#This Row],[Grad_d]]))</f>
        <v/>
      </c>
      <c r="R1024" s="2" t="str">
        <f>IF(Iterations[[#This Row],[Step]] =current_step, current_Grad_e,IF(Iterations[[#This Row],[Step]] &gt; current_step, "",Iterations[[#This Row],[Grad_e]]))</f>
        <v/>
      </c>
    </row>
    <row r="1025" spans="6:18" x14ac:dyDescent="0.3">
      <c r="F1025" s="2">
        <f t="shared" si="21"/>
        <v>1008</v>
      </c>
      <c r="G1025" s="2" t="str">
        <f>IF(Iterations[[#This Row],[Step]] =current_step, current_a,IF(Iterations[[#This Row],[Step]] &gt; current_step, "",Iterations[[#This Row],[a]]))</f>
        <v/>
      </c>
      <c r="H1025" s="2" t="str">
        <f>IF(Iterations[[#This Row],[Step]] =current_step, current_b,IF(Iterations[[#This Row],[Step]] &gt; current_step, "",Iterations[[#This Row],[b]]))</f>
        <v/>
      </c>
      <c r="I1025" s="2" t="str">
        <f>IF(Iterations[[#This Row],[Step]] =current_step, current_c,IF(Iterations[[#This Row],[Step]] &gt; current_step, "",Iterations[[#This Row],[c]]))</f>
        <v/>
      </c>
      <c r="J1025" s="2" t="str">
        <f>IF(Iterations[[#This Row],[Step]] =current_step, current_d,IF(Iterations[[#This Row],[Step]] &gt; current_step, "",Iterations[[#This Row],[d]]))</f>
        <v/>
      </c>
      <c r="K1025" s="2" t="str">
        <f>IF(Iterations[[#This Row],[Step]] =current_step, current_e,IF(Iterations[[#This Row],[Step]] &gt; current_step, "",Iterations[[#This Row],[e]]))</f>
        <v/>
      </c>
      <c r="L1025" s="2" t="str">
        <f>IF(Iterations[[#This Row],[Step]] =current_step, current_Total_Loss,IF(Iterations[[#This Row],[Step]] &gt; current_step, "",Iterations[[#This Row],[Total Loss]]))</f>
        <v/>
      </c>
      <c r="M1025" s="6" t="s">
        <v>27</v>
      </c>
      <c r="N1025" s="2" t="str">
        <f>IF(Iterations[[#This Row],[Step]] =current_step, current_Grad_a,IF(Iterations[[#This Row],[Step]] &gt; current_step, "",Iterations[[#This Row],[Grad_a]]))</f>
        <v/>
      </c>
      <c r="O1025" s="2" t="str">
        <f>IF(Iterations[[#This Row],[Step]] =current_step, current_Grad_b,IF(Iterations[[#This Row],[Step]] &gt; current_step, "",Iterations[[#This Row],[Grad_b]]))</f>
        <v/>
      </c>
      <c r="P1025" s="2" t="str">
        <f>IF(Iterations[[#This Row],[Step]] =current_step, current_Grad_c,IF(Iterations[[#This Row],[Step]] &gt; current_step, "",Iterations[[#This Row],[Grad_c]]))</f>
        <v/>
      </c>
      <c r="Q1025" s="2" t="str">
        <f>IF(Iterations[[#This Row],[Step]] =current_step, current_Grad_d,IF(Iterations[[#This Row],[Step]] &gt; current_step, "",Iterations[[#This Row],[Grad_d]]))</f>
        <v/>
      </c>
      <c r="R1025" s="2" t="str">
        <f>IF(Iterations[[#This Row],[Step]] =current_step, current_Grad_e,IF(Iterations[[#This Row],[Step]] &gt; current_step, "",Iterations[[#This Row],[Grad_e]]))</f>
        <v/>
      </c>
    </row>
    <row r="1026" spans="6:18" x14ac:dyDescent="0.3">
      <c r="F1026" s="2">
        <f t="shared" si="21"/>
        <v>1009</v>
      </c>
      <c r="G1026" s="2" t="str">
        <f>IF(Iterations[[#This Row],[Step]] =current_step, current_a,IF(Iterations[[#This Row],[Step]] &gt; current_step, "",Iterations[[#This Row],[a]]))</f>
        <v/>
      </c>
      <c r="H1026" s="2" t="str">
        <f>IF(Iterations[[#This Row],[Step]] =current_step, current_b,IF(Iterations[[#This Row],[Step]] &gt; current_step, "",Iterations[[#This Row],[b]]))</f>
        <v/>
      </c>
      <c r="I1026" s="2" t="str">
        <f>IF(Iterations[[#This Row],[Step]] =current_step, current_c,IF(Iterations[[#This Row],[Step]] &gt; current_step, "",Iterations[[#This Row],[c]]))</f>
        <v/>
      </c>
      <c r="J1026" s="2" t="str">
        <f>IF(Iterations[[#This Row],[Step]] =current_step, current_d,IF(Iterations[[#This Row],[Step]] &gt; current_step, "",Iterations[[#This Row],[d]]))</f>
        <v/>
      </c>
      <c r="K1026" s="2" t="str">
        <f>IF(Iterations[[#This Row],[Step]] =current_step, current_e,IF(Iterations[[#This Row],[Step]] &gt; current_step, "",Iterations[[#This Row],[e]]))</f>
        <v/>
      </c>
      <c r="L1026" s="2" t="str">
        <f>IF(Iterations[[#This Row],[Step]] =current_step, current_Total_Loss,IF(Iterations[[#This Row],[Step]] &gt; current_step, "",Iterations[[#This Row],[Total Loss]]))</f>
        <v/>
      </c>
      <c r="M1026" s="6" t="s">
        <v>27</v>
      </c>
      <c r="N1026" s="2" t="str">
        <f>IF(Iterations[[#This Row],[Step]] =current_step, current_Grad_a,IF(Iterations[[#This Row],[Step]] &gt; current_step, "",Iterations[[#This Row],[Grad_a]]))</f>
        <v/>
      </c>
      <c r="O1026" s="2" t="str">
        <f>IF(Iterations[[#This Row],[Step]] =current_step, current_Grad_b,IF(Iterations[[#This Row],[Step]] &gt; current_step, "",Iterations[[#This Row],[Grad_b]]))</f>
        <v/>
      </c>
      <c r="P1026" s="2" t="str">
        <f>IF(Iterations[[#This Row],[Step]] =current_step, current_Grad_c,IF(Iterations[[#This Row],[Step]] &gt; current_step, "",Iterations[[#This Row],[Grad_c]]))</f>
        <v/>
      </c>
      <c r="Q1026" s="2" t="str">
        <f>IF(Iterations[[#This Row],[Step]] =current_step, current_Grad_d,IF(Iterations[[#This Row],[Step]] &gt; current_step, "",Iterations[[#This Row],[Grad_d]]))</f>
        <v/>
      </c>
      <c r="R1026" s="2" t="str">
        <f>IF(Iterations[[#This Row],[Step]] =current_step, current_Grad_e,IF(Iterations[[#This Row],[Step]] &gt; current_step, "",Iterations[[#This Row],[Grad_e]]))</f>
        <v/>
      </c>
    </row>
    <row r="1027" spans="6:18" x14ac:dyDescent="0.3">
      <c r="F1027" s="2">
        <f t="shared" si="21"/>
        <v>1010</v>
      </c>
      <c r="G1027" s="2" t="str">
        <f>IF(Iterations[[#This Row],[Step]] =current_step, current_a,IF(Iterations[[#This Row],[Step]] &gt; current_step, "",Iterations[[#This Row],[a]]))</f>
        <v/>
      </c>
      <c r="H1027" s="2" t="str">
        <f>IF(Iterations[[#This Row],[Step]] =current_step, current_b,IF(Iterations[[#This Row],[Step]] &gt; current_step, "",Iterations[[#This Row],[b]]))</f>
        <v/>
      </c>
      <c r="I1027" s="2" t="str">
        <f>IF(Iterations[[#This Row],[Step]] =current_step, current_c,IF(Iterations[[#This Row],[Step]] &gt; current_step, "",Iterations[[#This Row],[c]]))</f>
        <v/>
      </c>
      <c r="J1027" s="2" t="str">
        <f>IF(Iterations[[#This Row],[Step]] =current_step, current_d,IF(Iterations[[#This Row],[Step]] &gt; current_step, "",Iterations[[#This Row],[d]]))</f>
        <v/>
      </c>
      <c r="K1027" s="2" t="str">
        <f>IF(Iterations[[#This Row],[Step]] =current_step, current_e,IF(Iterations[[#This Row],[Step]] &gt; current_step, "",Iterations[[#This Row],[e]]))</f>
        <v/>
      </c>
      <c r="L1027" s="2" t="str">
        <f>IF(Iterations[[#This Row],[Step]] =current_step, current_Total_Loss,IF(Iterations[[#This Row],[Step]] &gt; current_step, "",Iterations[[#This Row],[Total Loss]]))</f>
        <v/>
      </c>
      <c r="M1027" s="6" t="s">
        <v>27</v>
      </c>
      <c r="N1027" s="2" t="str">
        <f>IF(Iterations[[#This Row],[Step]] =current_step, current_Grad_a,IF(Iterations[[#This Row],[Step]] &gt; current_step, "",Iterations[[#This Row],[Grad_a]]))</f>
        <v/>
      </c>
      <c r="O1027" s="2" t="str">
        <f>IF(Iterations[[#This Row],[Step]] =current_step, current_Grad_b,IF(Iterations[[#This Row],[Step]] &gt; current_step, "",Iterations[[#This Row],[Grad_b]]))</f>
        <v/>
      </c>
      <c r="P1027" s="2" t="str">
        <f>IF(Iterations[[#This Row],[Step]] =current_step, current_Grad_c,IF(Iterations[[#This Row],[Step]] &gt; current_step, "",Iterations[[#This Row],[Grad_c]]))</f>
        <v/>
      </c>
      <c r="Q1027" s="2" t="str">
        <f>IF(Iterations[[#This Row],[Step]] =current_step, current_Grad_d,IF(Iterations[[#This Row],[Step]] &gt; current_step, "",Iterations[[#This Row],[Grad_d]]))</f>
        <v/>
      </c>
      <c r="R1027" s="2" t="str">
        <f>IF(Iterations[[#This Row],[Step]] =current_step, current_Grad_e,IF(Iterations[[#This Row],[Step]] &gt; current_step, "",Iterations[[#This Row],[Grad_e]]))</f>
        <v/>
      </c>
    </row>
    <row r="1028" spans="6:18" x14ac:dyDescent="0.3">
      <c r="F1028" s="2">
        <f t="shared" si="21"/>
        <v>1011</v>
      </c>
      <c r="G1028" s="2" t="str">
        <f>IF(Iterations[[#This Row],[Step]] =current_step, current_a,IF(Iterations[[#This Row],[Step]] &gt; current_step, "",Iterations[[#This Row],[a]]))</f>
        <v/>
      </c>
      <c r="H1028" s="2" t="str">
        <f>IF(Iterations[[#This Row],[Step]] =current_step, current_b,IF(Iterations[[#This Row],[Step]] &gt; current_step, "",Iterations[[#This Row],[b]]))</f>
        <v/>
      </c>
      <c r="I1028" s="2" t="str">
        <f>IF(Iterations[[#This Row],[Step]] =current_step, current_c,IF(Iterations[[#This Row],[Step]] &gt; current_step, "",Iterations[[#This Row],[c]]))</f>
        <v/>
      </c>
      <c r="J1028" s="2" t="str">
        <f>IF(Iterations[[#This Row],[Step]] =current_step, current_d,IF(Iterations[[#This Row],[Step]] &gt; current_step, "",Iterations[[#This Row],[d]]))</f>
        <v/>
      </c>
      <c r="K1028" s="2" t="str">
        <f>IF(Iterations[[#This Row],[Step]] =current_step, current_e,IF(Iterations[[#This Row],[Step]] &gt; current_step, "",Iterations[[#This Row],[e]]))</f>
        <v/>
      </c>
      <c r="L1028" s="2" t="str">
        <f>IF(Iterations[[#This Row],[Step]] =current_step, current_Total_Loss,IF(Iterations[[#This Row],[Step]] &gt; current_step, "",Iterations[[#This Row],[Total Loss]]))</f>
        <v/>
      </c>
      <c r="M1028" s="6" t="s">
        <v>27</v>
      </c>
      <c r="N1028" s="2" t="str">
        <f>IF(Iterations[[#This Row],[Step]] =current_step, current_Grad_a,IF(Iterations[[#This Row],[Step]] &gt; current_step, "",Iterations[[#This Row],[Grad_a]]))</f>
        <v/>
      </c>
      <c r="O1028" s="2" t="str">
        <f>IF(Iterations[[#This Row],[Step]] =current_step, current_Grad_b,IF(Iterations[[#This Row],[Step]] &gt; current_step, "",Iterations[[#This Row],[Grad_b]]))</f>
        <v/>
      </c>
      <c r="P1028" s="2" t="str">
        <f>IF(Iterations[[#This Row],[Step]] =current_step, current_Grad_c,IF(Iterations[[#This Row],[Step]] &gt; current_step, "",Iterations[[#This Row],[Grad_c]]))</f>
        <v/>
      </c>
      <c r="Q1028" s="2" t="str">
        <f>IF(Iterations[[#This Row],[Step]] =current_step, current_Grad_d,IF(Iterations[[#This Row],[Step]] &gt; current_step, "",Iterations[[#This Row],[Grad_d]]))</f>
        <v/>
      </c>
      <c r="R1028" s="2" t="str">
        <f>IF(Iterations[[#This Row],[Step]] =current_step, current_Grad_e,IF(Iterations[[#This Row],[Step]] &gt; current_step, "",Iterations[[#This Row],[Grad_e]]))</f>
        <v/>
      </c>
    </row>
    <row r="1029" spans="6:18" x14ac:dyDescent="0.3">
      <c r="F1029" s="2">
        <f t="shared" si="21"/>
        <v>1012</v>
      </c>
      <c r="G1029" s="2" t="str">
        <f>IF(Iterations[[#This Row],[Step]] =current_step, current_a,IF(Iterations[[#This Row],[Step]] &gt; current_step, "",Iterations[[#This Row],[a]]))</f>
        <v/>
      </c>
      <c r="H1029" s="2" t="str">
        <f>IF(Iterations[[#This Row],[Step]] =current_step, current_b,IF(Iterations[[#This Row],[Step]] &gt; current_step, "",Iterations[[#This Row],[b]]))</f>
        <v/>
      </c>
      <c r="I1029" s="2" t="str">
        <f>IF(Iterations[[#This Row],[Step]] =current_step, current_c,IF(Iterations[[#This Row],[Step]] &gt; current_step, "",Iterations[[#This Row],[c]]))</f>
        <v/>
      </c>
      <c r="J1029" s="2" t="str">
        <f>IF(Iterations[[#This Row],[Step]] =current_step, current_d,IF(Iterations[[#This Row],[Step]] &gt; current_step, "",Iterations[[#This Row],[d]]))</f>
        <v/>
      </c>
      <c r="K1029" s="2" t="str">
        <f>IF(Iterations[[#This Row],[Step]] =current_step, current_e,IF(Iterations[[#This Row],[Step]] &gt; current_step, "",Iterations[[#This Row],[e]]))</f>
        <v/>
      </c>
      <c r="L1029" s="2" t="str">
        <f>IF(Iterations[[#This Row],[Step]] =current_step, current_Total_Loss,IF(Iterations[[#This Row],[Step]] &gt; current_step, "",Iterations[[#This Row],[Total Loss]]))</f>
        <v/>
      </c>
      <c r="M1029" s="6" t="s">
        <v>27</v>
      </c>
      <c r="N1029" s="2" t="str">
        <f>IF(Iterations[[#This Row],[Step]] =current_step, current_Grad_a,IF(Iterations[[#This Row],[Step]] &gt; current_step, "",Iterations[[#This Row],[Grad_a]]))</f>
        <v/>
      </c>
      <c r="O1029" s="2" t="str">
        <f>IF(Iterations[[#This Row],[Step]] =current_step, current_Grad_b,IF(Iterations[[#This Row],[Step]] &gt; current_step, "",Iterations[[#This Row],[Grad_b]]))</f>
        <v/>
      </c>
      <c r="P1029" s="2" t="str">
        <f>IF(Iterations[[#This Row],[Step]] =current_step, current_Grad_c,IF(Iterations[[#This Row],[Step]] &gt; current_step, "",Iterations[[#This Row],[Grad_c]]))</f>
        <v/>
      </c>
      <c r="Q1029" s="2" t="str">
        <f>IF(Iterations[[#This Row],[Step]] =current_step, current_Grad_d,IF(Iterations[[#This Row],[Step]] &gt; current_step, "",Iterations[[#This Row],[Grad_d]]))</f>
        <v/>
      </c>
      <c r="R1029" s="2" t="str">
        <f>IF(Iterations[[#This Row],[Step]] =current_step, current_Grad_e,IF(Iterations[[#This Row],[Step]] &gt; current_step, "",Iterations[[#This Row],[Grad_e]]))</f>
        <v/>
      </c>
    </row>
    <row r="1030" spans="6:18" x14ac:dyDescent="0.3">
      <c r="F1030" s="2">
        <f t="shared" si="21"/>
        <v>1013</v>
      </c>
      <c r="G1030" s="2" t="str">
        <f>IF(Iterations[[#This Row],[Step]] =current_step, current_a,IF(Iterations[[#This Row],[Step]] &gt; current_step, "",Iterations[[#This Row],[a]]))</f>
        <v/>
      </c>
      <c r="H1030" s="2" t="str">
        <f>IF(Iterations[[#This Row],[Step]] =current_step, current_b,IF(Iterations[[#This Row],[Step]] &gt; current_step, "",Iterations[[#This Row],[b]]))</f>
        <v/>
      </c>
      <c r="I1030" s="2" t="str">
        <f>IF(Iterations[[#This Row],[Step]] =current_step, current_c,IF(Iterations[[#This Row],[Step]] &gt; current_step, "",Iterations[[#This Row],[c]]))</f>
        <v/>
      </c>
      <c r="J1030" s="2" t="str">
        <f>IF(Iterations[[#This Row],[Step]] =current_step, current_d,IF(Iterations[[#This Row],[Step]] &gt; current_step, "",Iterations[[#This Row],[d]]))</f>
        <v/>
      </c>
      <c r="K1030" s="2" t="str">
        <f>IF(Iterations[[#This Row],[Step]] =current_step, current_e,IF(Iterations[[#This Row],[Step]] &gt; current_step, "",Iterations[[#This Row],[e]]))</f>
        <v/>
      </c>
      <c r="L1030" s="2" t="str">
        <f>IF(Iterations[[#This Row],[Step]] =current_step, current_Total_Loss,IF(Iterations[[#This Row],[Step]] &gt; current_step, "",Iterations[[#This Row],[Total Loss]]))</f>
        <v/>
      </c>
      <c r="M1030" s="6" t="s">
        <v>27</v>
      </c>
      <c r="N1030" s="2" t="str">
        <f>IF(Iterations[[#This Row],[Step]] =current_step, current_Grad_a,IF(Iterations[[#This Row],[Step]] &gt; current_step, "",Iterations[[#This Row],[Grad_a]]))</f>
        <v/>
      </c>
      <c r="O1030" s="2" t="str">
        <f>IF(Iterations[[#This Row],[Step]] =current_step, current_Grad_b,IF(Iterations[[#This Row],[Step]] &gt; current_step, "",Iterations[[#This Row],[Grad_b]]))</f>
        <v/>
      </c>
      <c r="P1030" s="2" t="str">
        <f>IF(Iterations[[#This Row],[Step]] =current_step, current_Grad_c,IF(Iterations[[#This Row],[Step]] &gt; current_step, "",Iterations[[#This Row],[Grad_c]]))</f>
        <v/>
      </c>
      <c r="Q1030" s="2" t="str">
        <f>IF(Iterations[[#This Row],[Step]] =current_step, current_Grad_d,IF(Iterations[[#This Row],[Step]] &gt; current_step, "",Iterations[[#This Row],[Grad_d]]))</f>
        <v/>
      </c>
      <c r="R1030" s="2" t="str">
        <f>IF(Iterations[[#This Row],[Step]] =current_step, current_Grad_e,IF(Iterations[[#This Row],[Step]] &gt; current_step, "",Iterations[[#This Row],[Grad_e]]))</f>
        <v/>
      </c>
    </row>
    <row r="1031" spans="6:18" x14ac:dyDescent="0.3">
      <c r="F1031" s="2">
        <f t="shared" si="21"/>
        <v>1014</v>
      </c>
      <c r="G1031" s="2" t="str">
        <f>IF(Iterations[[#This Row],[Step]] =current_step, current_a,IF(Iterations[[#This Row],[Step]] &gt; current_step, "",Iterations[[#This Row],[a]]))</f>
        <v/>
      </c>
      <c r="H1031" s="2" t="str">
        <f>IF(Iterations[[#This Row],[Step]] =current_step, current_b,IF(Iterations[[#This Row],[Step]] &gt; current_step, "",Iterations[[#This Row],[b]]))</f>
        <v/>
      </c>
      <c r="I1031" s="2" t="str">
        <f>IF(Iterations[[#This Row],[Step]] =current_step, current_c,IF(Iterations[[#This Row],[Step]] &gt; current_step, "",Iterations[[#This Row],[c]]))</f>
        <v/>
      </c>
      <c r="J1031" s="2" t="str">
        <f>IF(Iterations[[#This Row],[Step]] =current_step, current_d,IF(Iterations[[#This Row],[Step]] &gt; current_step, "",Iterations[[#This Row],[d]]))</f>
        <v/>
      </c>
      <c r="K1031" s="2" t="str">
        <f>IF(Iterations[[#This Row],[Step]] =current_step, current_e,IF(Iterations[[#This Row],[Step]] &gt; current_step, "",Iterations[[#This Row],[e]]))</f>
        <v/>
      </c>
      <c r="L1031" s="2" t="str">
        <f>IF(Iterations[[#This Row],[Step]] =current_step, current_Total_Loss,IF(Iterations[[#This Row],[Step]] &gt; current_step, "",Iterations[[#This Row],[Total Loss]]))</f>
        <v/>
      </c>
      <c r="M1031" s="6" t="s">
        <v>27</v>
      </c>
      <c r="N1031" s="2" t="str">
        <f>IF(Iterations[[#This Row],[Step]] =current_step, current_Grad_a,IF(Iterations[[#This Row],[Step]] &gt; current_step, "",Iterations[[#This Row],[Grad_a]]))</f>
        <v/>
      </c>
      <c r="O1031" s="2" t="str">
        <f>IF(Iterations[[#This Row],[Step]] =current_step, current_Grad_b,IF(Iterations[[#This Row],[Step]] &gt; current_step, "",Iterations[[#This Row],[Grad_b]]))</f>
        <v/>
      </c>
      <c r="P1031" s="2" t="str">
        <f>IF(Iterations[[#This Row],[Step]] =current_step, current_Grad_c,IF(Iterations[[#This Row],[Step]] &gt; current_step, "",Iterations[[#This Row],[Grad_c]]))</f>
        <v/>
      </c>
      <c r="Q1031" s="2" t="str">
        <f>IF(Iterations[[#This Row],[Step]] =current_step, current_Grad_d,IF(Iterations[[#This Row],[Step]] &gt; current_step, "",Iterations[[#This Row],[Grad_d]]))</f>
        <v/>
      </c>
      <c r="R1031" s="2" t="str">
        <f>IF(Iterations[[#This Row],[Step]] =current_step, current_Grad_e,IF(Iterations[[#This Row],[Step]] &gt; current_step, "",Iterations[[#This Row],[Grad_e]]))</f>
        <v/>
      </c>
    </row>
    <row r="1032" spans="6:18" x14ac:dyDescent="0.3">
      <c r="F1032" s="2">
        <f t="shared" si="21"/>
        <v>1015</v>
      </c>
      <c r="G1032" s="2" t="str">
        <f>IF(Iterations[[#This Row],[Step]] =current_step, current_a,IF(Iterations[[#This Row],[Step]] &gt; current_step, "",Iterations[[#This Row],[a]]))</f>
        <v/>
      </c>
      <c r="H1032" s="2" t="str">
        <f>IF(Iterations[[#This Row],[Step]] =current_step, current_b,IF(Iterations[[#This Row],[Step]] &gt; current_step, "",Iterations[[#This Row],[b]]))</f>
        <v/>
      </c>
      <c r="I1032" s="2" t="str">
        <f>IF(Iterations[[#This Row],[Step]] =current_step, current_c,IF(Iterations[[#This Row],[Step]] &gt; current_step, "",Iterations[[#This Row],[c]]))</f>
        <v/>
      </c>
      <c r="J1032" s="2" t="str">
        <f>IF(Iterations[[#This Row],[Step]] =current_step, current_d,IF(Iterations[[#This Row],[Step]] &gt; current_step, "",Iterations[[#This Row],[d]]))</f>
        <v/>
      </c>
      <c r="K1032" s="2" t="str">
        <f>IF(Iterations[[#This Row],[Step]] =current_step, current_e,IF(Iterations[[#This Row],[Step]] &gt; current_step, "",Iterations[[#This Row],[e]]))</f>
        <v/>
      </c>
      <c r="L1032" s="2" t="str">
        <f>IF(Iterations[[#This Row],[Step]] =current_step, current_Total_Loss,IF(Iterations[[#This Row],[Step]] &gt; current_step, "",Iterations[[#This Row],[Total Loss]]))</f>
        <v/>
      </c>
      <c r="M1032" s="6" t="s">
        <v>27</v>
      </c>
      <c r="N1032" s="2" t="str">
        <f>IF(Iterations[[#This Row],[Step]] =current_step, current_Grad_a,IF(Iterations[[#This Row],[Step]] &gt; current_step, "",Iterations[[#This Row],[Grad_a]]))</f>
        <v/>
      </c>
      <c r="O1032" s="2" t="str">
        <f>IF(Iterations[[#This Row],[Step]] =current_step, current_Grad_b,IF(Iterations[[#This Row],[Step]] &gt; current_step, "",Iterations[[#This Row],[Grad_b]]))</f>
        <v/>
      </c>
      <c r="P1032" s="2" t="str">
        <f>IF(Iterations[[#This Row],[Step]] =current_step, current_Grad_c,IF(Iterations[[#This Row],[Step]] &gt; current_step, "",Iterations[[#This Row],[Grad_c]]))</f>
        <v/>
      </c>
      <c r="Q1032" s="2" t="str">
        <f>IF(Iterations[[#This Row],[Step]] =current_step, current_Grad_d,IF(Iterations[[#This Row],[Step]] &gt; current_step, "",Iterations[[#This Row],[Grad_d]]))</f>
        <v/>
      </c>
      <c r="R1032" s="2" t="str">
        <f>IF(Iterations[[#This Row],[Step]] =current_step, current_Grad_e,IF(Iterations[[#This Row],[Step]] &gt; current_step, "",Iterations[[#This Row],[Grad_e]]))</f>
        <v/>
      </c>
    </row>
    <row r="1033" spans="6:18" x14ac:dyDescent="0.3">
      <c r="F1033" s="2">
        <f t="shared" si="21"/>
        <v>1016</v>
      </c>
      <c r="G1033" s="2" t="str">
        <f>IF(Iterations[[#This Row],[Step]] =current_step, current_a,IF(Iterations[[#This Row],[Step]] &gt; current_step, "",Iterations[[#This Row],[a]]))</f>
        <v/>
      </c>
      <c r="H1033" s="2" t="str">
        <f>IF(Iterations[[#This Row],[Step]] =current_step, current_b,IF(Iterations[[#This Row],[Step]] &gt; current_step, "",Iterations[[#This Row],[b]]))</f>
        <v/>
      </c>
      <c r="I1033" s="2" t="str">
        <f>IF(Iterations[[#This Row],[Step]] =current_step, current_c,IF(Iterations[[#This Row],[Step]] &gt; current_step, "",Iterations[[#This Row],[c]]))</f>
        <v/>
      </c>
      <c r="J1033" s="2" t="str">
        <f>IF(Iterations[[#This Row],[Step]] =current_step, current_d,IF(Iterations[[#This Row],[Step]] &gt; current_step, "",Iterations[[#This Row],[d]]))</f>
        <v/>
      </c>
      <c r="K1033" s="2" t="str">
        <f>IF(Iterations[[#This Row],[Step]] =current_step, current_e,IF(Iterations[[#This Row],[Step]] &gt; current_step, "",Iterations[[#This Row],[e]]))</f>
        <v/>
      </c>
      <c r="L1033" s="2" t="str">
        <f>IF(Iterations[[#This Row],[Step]] =current_step, current_Total_Loss,IF(Iterations[[#This Row],[Step]] &gt; current_step, "",Iterations[[#This Row],[Total Loss]]))</f>
        <v/>
      </c>
      <c r="M1033" s="6" t="s">
        <v>27</v>
      </c>
      <c r="N1033" s="2" t="str">
        <f>IF(Iterations[[#This Row],[Step]] =current_step, current_Grad_a,IF(Iterations[[#This Row],[Step]] &gt; current_step, "",Iterations[[#This Row],[Grad_a]]))</f>
        <v/>
      </c>
      <c r="O1033" s="2" t="str">
        <f>IF(Iterations[[#This Row],[Step]] =current_step, current_Grad_b,IF(Iterations[[#This Row],[Step]] &gt; current_step, "",Iterations[[#This Row],[Grad_b]]))</f>
        <v/>
      </c>
      <c r="P1033" s="2" t="str">
        <f>IF(Iterations[[#This Row],[Step]] =current_step, current_Grad_c,IF(Iterations[[#This Row],[Step]] &gt; current_step, "",Iterations[[#This Row],[Grad_c]]))</f>
        <v/>
      </c>
      <c r="Q1033" s="2" t="str">
        <f>IF(Iterations[[#This Row],[Step]] =current_step, current_Grad_d,IF(Iterations[[#This Row],[Step]] &gt; current_step, "",Iterations[[#This Row],[Grad_d]]))</f>
        <v/>
      </c>
      <c r="R1033" s="2" t="str">
        <f>IF(Iterations[[#This Row],[Step]] =current_step, current_Grad_e,IF(Iterations[[#This Row],[Step]] &gt; current_step, "",Iterations[[#This Row],[Grad_e]]))</f>
        <v/>
      </c>
    </row>
    <row r="1034" spans="6:18" x14ac:dyDescent="0.3">
      <c r="F1034" s="2">
        <f t="shared" si="21"/>
        <v>1017</v>
      </c>
      <c r="G1034" s="2" t="str">
        <f>IF(Iterations[[#This Row],[Step]] =current_step, current_a,IF(Iterations[[#This Row],[Step]] &gt; current_step, "",Iterations[[#This Row],[a]]))</f>
        <v/>
      </c>
      <c r="H1034" s="2" t="str">
        <f>IF(Iterations[[#This Row],[Step]] =current_step, current_b,IF(Iterations[[#This Row],[Step]] &gt; current_step, "",Iterations[[#This Row],[b]]))</f>
        <v/>
      </c>
      <c r="I1034" s="2" t="str">
        <f>IF(Iterations[[#This Row],[Step]] =current_step, current_c,IF(Iterations[[#This Row],[Step]] &gt; current_step, "",Iterations[[#This Row],[c]]))</f>
        <v/>
      </c>
      <c r="J1034" s="2" t="str">
        <f>IF(Iterations[[#This Row],[Step]] =current_step, current_d,IF(Iterations[[#This Row],[Step]] &gt; current_step, "",Iterations[[#This Row],[d]]))</f>
        <v/>
      </c>
      <c r="K1034" s="2" t="str">
        <f>IF(Iterations[[#This Row],[Step]] =current_step, current_e,IF(Iterations[[#This Row],[Step]] &gt; current_step, "",Iterations[[#This Row],[e]]))</f>
        <v/>
      </c>
      <c r="L1034" s="2" t="str">
        <f>IF(Iterations[[#This Row],[Step]] =current_step, current_Total_Loss,IF(Iterations[[#This Row],[Step]] &gt; current_step, "",Iterations[[#This Row],[Total Loss]]))</f>
        <v/>
      </c>
      <c r="M1034" s="6" t="s">
        <v>27</v>
      </c>
      <c r="N1034" s="2" t="str">
        <f>IF(Iterations[[#This Row],[Step]] =current_step, current_Grad_a,IF(Iterations[[#This Row],[Step]] &gt; current_step, "",Iterations[[#This Row],[Grad_a]]))</f>
        <v/>
      </c>
      <c r="O1034" s="2" t="str">
        <f>IF(Iterations[[#This Row],[Step]] =current_step, current_Grad_b,IF(Iterations[[#This Row],[Step]] &gt; current_step, "",Iterations[[#This Row],[Grad_b]]))</f>
        <v/>
      </c>
      <c r="P1034" s="2" t="str">
        <f>IF(Iterations[[#This Row],[Step]] =current_step, current_Grad_c,IF(Iterations[[#This Row],[Step]] &gt; current_step, "",Iterations[[#This Row],[Grad_c]]))</f>
        <v/>
      </c>
      <c r="Q1034" s="2" t="str">
        <f>IF(Iterations[[#This Row],[Step]] =current_step, current_Grad_d,IF(Iterations[[#This Row],[Step]] &gt; current_step, "",Iterations[[#This Row],[Grad_d]]))</f>
        <v/>
      </c>
      <c r="R1034" s="2" t="str">
        <f>IF(Iterations[[#This Row],[Step]] =current_step, current_Grad_e,IF(Iterations[[#This Row],[Step]] &gt; current_step, "",Iterations[[#This Row],[Grad_e]]))</f>
        <v/>
      </c>
    </row>
    <row r="1035" spans="6:18" x14ac:dyDescent="0.3">
      <c r="F1035" s="2">
        <f t="shared" si="21"/>
        <v>1018</v>
      </c>
      <c r="G1035" s="2" t="str">
        <f>IF(Iterations[[#This Row],[Step]] =current_step, current_a,IF(Iterations[[#This Row],[Step]] &gt; current_step, "",Iterations[[#This Row],[a]]))</f>
        <v/>
      </c>
      <c r="H1035" s="2" t="str">
        <f>IF(Iterations[[#This Row],[Step]] =current_step, current_b,IF(Iterations[[#This Row],[Step]] &gt; current_step, "",Iterations[[#This Row],[b]]))</f>
        <v/>
      </c>
      <c r="I1035" s="2" t="str">
        <f>IF(Iterations[[#This Row],[Step]] =current_step, current_c,IF(Iterations[[#This Row],[Step]] &gt; current_step, "",Iterations[[#This Row],[c]]))</f>
        <v/>
      </c>
      <c r="J1035" s="2" t="str">
        <f>IF(Iterations[[#This Row],[Step]] =current_step, current_d,IF(Iterations[[#This Row],[Step]] &gt; current_step, "",Iterations[[#This Row],[d]]))</f>
        <v/>
      </c>
      <c r="K1035" s="2" t="str">
        <f>IF(Iterations[[#This Row],[Step]] =current_step, current_e,IF(Iterations[[#This Row],[Step]] &gt; current_step, "",Iterations[[#This Row],[e]]))</f>
        <v/>
      </c>
      <c r="L1035" s="2" t="str">
        <f>IF(Iterations[[#This Row],[Step]] =current_step, current_Total_Loss,IF(Iterations[[#This Row],[Step]] &gt; current_step, "",Iterations[[#This Row],[Total Loss]]))</f>
        <v/>
      </c>
      <c r="M1035" s="6" t="s">
        <v>27</v>
      </c>
      <c r="N1035" s="2" t="str">
        <f>IF(Iterations[[#This Row],[Step]] =current_step, current_Grad_a,IF(Iterations[[#This Row],[Step]] &gt; current_step, "",Iterations[[#This Row],[Grad_a]]))</f>
        <v/>
      </c>
      <c r="O1035" s="2" t="str">
        <f>IF(Iterations[[#This Row],[Step]] =current_step, current_Grad_b,IF(Iterations[[#This Row],[Step]] &gt; current_step, "",Iterations[[#This Row],[Grad_b]]))</f>
        <v/>
      </c>
      <c r="P1035" s="2" t="str">
        <f>IF(Iterations[[#This Row],[Step]] =current_step, current_Grad_c,IF(Iterations[[#This Row],[Step]] &gt; current_step, "",Iterations[[#This Row],[Grad_c]]))</f>
        <v/>
      </c>
      <c r="Q1035" s="2" t="str">
        <f>IF(Iterations[[#This Row],[Step]] =current_step, current_Grad_d,IF(Iterations[[#This Row],[Step]] &gt; current_step, "",Iterations[[#This Row],[Grad_d]]))</f>
        <v/>
      </c>
      <c r="R1035" s="2" t="str">
        <f>IF(Iterations[[#This Row],[Step]] =current_step, current_Grad_e,IF(Iterations[[#This Row],[Step]] &gt; current_step, "",Iterations[[#This Row],[Grad_e]]))</f>
        <v/>
      </c>
    </row>
    <row r="1036" spans="6:18" x14ac:dyDescent="0.3">
      <c r="F1036" s="2">
        <f t="shared" si="21"/>
        <v>1019</v>
      </c>
      <c r="G1036" s="2" t="str">
        <f>IF(Iterations[[#This Row],[Step]] =current_step, current_a,IF(Iterations[[#This Row],[Step]] &gt; current_step, "",Iterations[[#This Row],[a]]))</f>
        <v/>
      </c>
      <c r="H1036" s="2" t="str">
        <f>IF(Iterations[[#This Row],[Step]] =current_step, current_b,IF(Iterations[[#This Row],[Step]] &gt; current_step, "",Iterations[[#This Row],[b]]))</f>
        <v/>
      </c>
      <c r="I1036" s="2" t="str">
        <f>IF(Iterations[[#This Row],[Step]] =current_step, current_c,IF(Iterations[[#This Row],[Step]] &gt; current_step, "",Iterations[[#This Row],[c]]))</f>
        <v/>
      </c>
      <c r="J1036" s="2" t="str">
        <f>IF(Iterations[[#This Row],[Step]] =current_step, current_d,IF(Iterations[[#This Row],[Step]] &gt; current_step, "",Iterations[[#This Row],[d]]))</f>
        <v/>
      </c>
      <c r="K1036" s="2" t="str">
        <f>IF(Iterations[[#This Row],[Step]] =current_step, current_e,IF(Iterations[[#This Row],[Step]] &gt; current_step, "",Iterations[[#This Row],[e]]))</f>
        <v/>
      </c>
      <c r="L1036" s="2" t="str">
        <f>IF(Iterations[[#This Row],[Step]] =current_step, current_Total_Loss,IF(Iterations[[#This Row],[Step]] &gt; current_step, "",Iterations[[#This Row],[Total Loss]]))</f>
        <v/>
      </c>
      <c r="M1036" s="6" t="s">
        <v>27</v>
      </c>
      <c r="N1036" s="2" t="str">
        <f>IF(Iterations[[#This Row],[Step]] =current_step, current_Grad_a,IF(Iterations[[#This Row],[Step]] &gt; current_step, "",Iterations[[#This Row],[Grad_a]]))</f>
        <v/>
      </c>
      <c r="O1036" s="2" t="str">
        <f>IF(Iterations[[#This Row],[Step]] =current_step, current_Grad_b,IF(Iterations[[#This Row],[Step]] &gt; current_step, "",Iterations[[#This Row],[Grad_b]]))</f>
        <v/>
      </c>
      <c r="P1036" s="2" t="str">
        <f>IF(Iterations[[#This Row],[Step]] =current_step, current_Grad_c,IF(Iterations[[#This Row],[Step]] &gt; current_step, "",Iterations[[#This Row],[Grad_c]]))</f>
        <v/>
      </c>
      <c r="Q1036" s="2" t="str">
        <f>IF(Iterations[[#This Row],[Step]] =current_step, current_Grad_d,IF(Iterations[[#This Row],[Step]] &gt; current_step, "",Iterations[[#This Row],[Grad_d]]))</f>
        <v/>
      </c>
      <c r="R1036" s="2" t="str">
        <f>IF(Iterations[[#This Row],[Step]] =current_step, current_Grad_e,IF(Iterations[[#This Row],[Step]] &gt; current_step, "",Iterations[[#This Row],[Grad_e]]))</f>
        <v/>
      </c>
    </row>
    <row r="1037" spans="6:18" x14ac:dyDescent="0.3">
      <c r="F1037" s="2">
        <f t="shared" si="21"/>
        <v>1020</v>
      </c>
      <c r="G1037" s="2" t="str">
        <f>IF(Iterations[[#This Row],[Step]] =current_step, current_a,IF(Iterations[[#This Row],[Step]] &gt; current_step, "",Iterations[[#This Row],[a]]))</f>
        <v/>
      </c>
      <c r="H1037" s="2" t="str">
        <f>IF(Iterations[[#This Row],[Step]] =current_step, current_b,IF(Iterations[[#This Row],[Step]] &gt; current_step, "",Iterations[[#This Row],[b]]))</f>
        <v/>
      </c>
      <c r="I1037" s="2" t="str">
        <f>IF(Iterations[[#This Row],[Step]] =current_step, current_c,IF(Iterations[[#This Row],[Step]] &gt; current_step, "",Iterations[[#This Row],[c]]))</f>
        <v/>
      </c>
      <c r="J1037" s="2" t="str">
        <f>IF(Iterations[[#This Row],[Step]] =current_step, current_d,IF(Iterations[[#This Row],[Step]] &gt; current_step, "",Iterations[[#This Row],[d]]))</f>
        <v/>
      </c>
      <c r="K1037" s="2" t="str">
        <f>IF(Iterations[[#This Row],[Step]] =current_step, current_e,IF(Iterations[[#This Row],[Step]] &gt; current_step, "",Iterations[[#This Row],[e]]))</f>
        <v/>
      </c>
      <c r="L1037" s="2" t="str">
        <f>IF(Iterations[[#This Row],[Step]] =current_step, current_Total_Loss,IF(Iterations[[#This Row],[Step]] &gt; current_step, "",Iterations[[#This Row],[Total Loss]]))</f>
        <v/>
      </c>
      <c r="M1037" s="6" t="s">
        <v>27</v>
      </c>
      <c r="N1037" s="2" t="str">
        <f>IF(Iterations[[#This Row],[Step]] =current_step, current_Grad_a,IF(Iterations[[#This Row],[Step]] &gt; current_step, "",Iterations[[#This Row],[Grad_a]]))</f>
        <v/>
      </c>
      <c r="O1037" s="2" t="str">
        <f>IF(Iterations[[#This Row],[Step]] =current_step, current_Grad_b,IF(Iterations[[#This Row],[Step]] &gt; current_step, "",Iterations[[#This Row],[Grad_b]]))</f>
        <v/>
      </c>
      <c r="P1037" s="2" t="str">
        <f>IF(Iterations[[#This Row],[Step]] =current_step, current_Grad_c,IF(Iterations[[#This Row],[Step]] &gt; current_step, "",Iterations[[#This Row],[Grad_c]]))</f>
        <v/>
      </c>
      <c r="Q1037" s="2" t="str">
        <f>IF(Iterations[[#This Row],[Step]] =current_step, current_Grad_d,IF(Iterations[[#This Row],[Step]] &gt; current_step, "",Iterations[[#This Row],[Grad_d]]))</f>
        <v/>
      </c>
      <c r="R1037" s="2" t="str">
        <f>IF(Iterations[[#This Row],[Step]] =current_step, current_Grad_e,IF(Iterations[[#This Row],[Step]] &gt; current_step, "",Iterations[[#This Row],[Grad_e]]))</f>
        <v/>
      </c>
    </row>
    <row r="1038" spans="6:18" x14ac:dyDescent="0.3">
      <c r="F1038" s="2">
        <f t="shared" si="21"/>
        <v>1021</v>
      </c>
      <c r="G1038" s="2" t="str">
        <f>IF(Iterations[[#This Row],[Step]] =current_step, current_a,IF(Iterations[[#This Row],[Step]] &gt; current_step, "",Iterations[[#This Row],[a]]))</f>
        <v/>
      </c>
      <c r="H1038" s="2" t="str">
        <f>IF(Iterations[[#This Row],[Step]] =current_step, current_b,IF(Iterations[[#This Row],[Step]] &gt; current_step, "",Iterations[[#This Row],[b]]))</f>
        <v/>
      </c>
      <c r="I1038" s="2" t="str">
        <f>IF(Iterations[[#This Row],[Step]] =current_step, current_c,IF(Iterations[[#This Row],[Step]] &gt; current_step, "",Iterations[[#This Row],[c]]))</f>
        <v/>
      </c>
      <c r="J1038" s="2" t="str">
        <f>IF(Iterations[[#This Row],[Step]] =current_step, current_d,IF(Iterations[[#This Row],[Step]] &gt; current_step, "",Iterations[[#This Row],[d]]))</f>
        <v/>
      </c>
      <c r="K1038" s="2" t="str">
        <f>IF(Iterations[[#This Row],[Step]] =current_step, current_e,IF(Iterations[[#This Row],[Step]] &gt; current_step, "",Iterations[[#This Row],[e]]))</f>
        <v/>
      </c>
      <c r="L1038" s="2" t="str">
        <f>IF(Iterations[[#This Row],[Step]] =current_step, current_Total_Loss,IF(Iterations[[#This Row],[Step]] &gt; current_step, "",Iterations[[#This Row],[Total Loss]]))</f>
        <v/>
      </c>
      <c r="M1038" s="6" t="s">
        <v>27</v>
      </c>
      <c r="N1038" s="2" t="str">
        <f>IF(Iterations[[#This Row],[Step]] =current_step, current_Grad_a,IF(Iterations[[#This Row],[Step]] &gt; current_step, "",Iterations[[#This Row],[Grad_a]]))</f>
        <v/>
      </c>
      <c r="O1038" s="2" t="str">
        <f>IF(Iterations[[#This Row],[Step]] =current_step, current_Grad_b,IF(Iterations[[#This Row],[Step]] &gt; current_step, "",Iterations[[#This Row],[Grad_b]]))</f>
        <v/>
      </c>
      <c r="P1038" s="2" t="str">
        <f>IF(Iterations[[#This Row],[Step]] =current_step, current_Grad_c,IF(Iterations[[#This Row],[Step]] &gt; current_step, "",Iterations[[#This Row],[Grad_c]]))</f>
        <v/>
      </c>
      <c r="Q1038" s="2" t="str">
        <f>IF(Iterations[[#This Row],[Step]] =current_step, current_Grad_d,IF(Iterations[[#This Row],[Step]] &gt; current_step, "",Iterations[[#This Row],[Grad_d]]))</f>
        <v/>
      </c>
      <c r="R1038" s="2" t="str">
        <f>IF(Iterations[[#This Row],[Step]] =current_step, current_Grad_e,IF(Iterations[[#This Row],[Step]] &gt; current_step, "",Iterations[[#This Row],[Grad_e]]))</f>
        <v/>
      </c>
    </row>
    <row r="1039" spans="6:18" x14ac:dyDescent="0.3">
      <c r="F1039" s="2">
        <f t="shared" si="21"/>
        <v>1022</v>
      </c>
      <c r="G1039" s="2" t="str">
        <f>IF(Iterations[[#This Row],[Step]] =current_step, current_a,IF(Iterations[[#This Row],[Step]] &gt; current_step, "",Iterations[[#This Row],[a]]))</f>
        <v/>
      </c>
      <c r="H1039" s="2" t="str">
        <f>IF(Iterations[[#This Row],[Step]] =current_step, current_b,IF(Iterations[[#This Row],[Step]] &gt; current_step, "",Iterations[[#This Row],[b]]))</f>
        <v/>
      </c>
      <c r="I1039" s="2" t="str">
        <f>IF(Iterations[[#This Row],[Step]] =current_step, current_c,IF(Iterations[[#This Row],[Step]] &gt; current_step, "",Iterations[[#This Row],[c]]))</f>
        <v/>
      </c>
      <c r="J1039" s="2" t="str">
        <f>IF(Iterations[[#This Row],[Step]] =current_step, current_d,IF(Iterations[[#This Row],[Step]] &gt; current_step, "",Iterations[[#This Row],[d]]))</f>
        <v/>
      </c>
      <c r="K1039" s="2" t="str">
        <f>IF(Iterations[[#This Row],[Step]] =current_step, current_e,IF(Iterations[[#This Row],[Step]] &gt; current_step, "",Iterations[[#This Row],[e]]))</f>
        <v/>
      </c>
      <c r="L1039" s="2" t="str">
        <f>IF(Iterations[[#This Row],[Step]] =current_step, current_Total_Loss,IF(Iterations[[#This Row],[Step]] &gt; current_step, "",Iterations[[#This Row],[Total Loss]]))</f>
        <v/>
      </c>
      <c r="M1039" s="6" t="s">
        <v>27</v>
      </c>
      <c r="N1039" s="2" t="str">
        <f>IF(Iterations[[#This Row],[Step]] =current_step, current_Grad_a,IF(Iterations[[#This Row],[Step]] &gt; current_step, "",Iterations[[#This Row],[Grad_a]]))</f>
        <v/>
      </c>
      <c r="O1039" s="2" t="str">
        <f>IF(Iterations[[#This Row],[Step]] =current_step, current_Grad_b,IF(Iterations[[#This Row],[Step]] &gt; current_step, "",Iterations[[#This Row],[Grad_b]]))</f>
        <v/>
      </c>
      <c r="P1039" s="2" t="str">
        <f>IF(Iterations[[#This Row],[Step]] =current_step, current_Grad_c,IF(Iterations[[#This Row],[Step]] &gt; current_step, "",Iterations[[#This Row],[Grad_c]]))</f>
        <v/>
      </c>
      <c r="Q1039" s="2" t="str">
        <f>IF(Iterations[[#This Row],[Step]] =current_step, current_Grad_d,IF(Iterations[[#This Row],[Step]] &gt; current_step, "",Iterations[[#This Row],[Grad_d]]))</f>
        <v/>
      </c>
      <c r="R1039" s="2" t="str">
        <f>IF(Iterations[[#This Row],[Step]] =current_step, current_Grad_e,IF(Iterations[[#This Row],[Step]] &gt; current_step, "",Iterations[[#This Row],[Grad_e]]))</f>
        <v/>
      </c>
    </row>
    <row r="1040" spans="6:18" x14ac:dyDescent="0.3">
      <c r="F1040" s="2">
        <f t="shared" si="21"/>
        <v>1023</v>
      </c>
      <c r="G1040" s="2" t="str">
        <f>IF(Iterations[[#This Row],[Step]] =current_step, current_a,IF(Iterations[[#This Row],[Step]] &gt; current_step, "",Iterations[[#This Row],[a]]))</f>
        <v/>
      </c>
      <c r="H1040" s="2" t="str">
        <f>IF(Iterations[[#This Row],[Step]] =current_step, current_b,IF(Iterations[[#This Row],[Step]] &gt; current_step, "",Iterations[[#This Row],[b]]))</f>
        <v/>
      </c>
      <c r="I1040" s="2" t="str">
        <f>IF(Iterations[[#This Row],[Step]] =current_step, current_c,IF(Iterations[[#This Row],[Step]] &gt; current_step, "",Iterations[[#This Row],[c]]))</f>
        <v/>
      </c>
      <c r="J1040" s="2" t="str">
        <f>IF(Iterations[[#This Row],[Step]] =current_step, current_d,IF(Iterations[[#This Row],[Step]] &gt; current_step, "",Iterations[[#This Row],[d]]))</f>
        <v/>
      </c>
      <c r="K1040" s="2" t="str">
        <f>IF(Iterations[[#This Row],[Step]] =current_step, current_e,IF(Iterations[[#This Row],[Step]] &gt; current_step, "",Iterations[[#This Row],[e]]))</f>
        <v/>
      </c>
      <c r="L1040" s="2" t="str">
        <f>IF(Iterations[[#This Row],[Step]] =current_step, current_Total_Loss,IF(Iterations[[#This Row],[Step]] &gt; current_step, "",Iterations[[#This Row],[Total Loss]]))</f>
        <v/>
      </c>
      <c r="M1040" s="6" t="s">
        <v>27</v>
      </c>
      <c r="N1040" s="2" t="str">
        <f>IF(Iterations[[#This Row],[Step]] =current_step, current_Grad_a,IF(Iterations[[#This Row],[Step]] &gt; current_step, "",Iterations[[#This Row],[Grad_a]]))</f>
        <v/>
      </c>
      <c r="O1040" s="2" t="str">
        <f>IF(Iterations[[#This Row],[Step]] =current_step, current_Grad_b,IF(Iterations[[#This Row],[Step]] &gt; current_step, "",Iterations[[#This Row],[Grad_b]]))</f>
        <v/>
      </c>
      <c r="P1040" s="2" t="str">
        <f>IF(Iterations[[#This Row],[Step]] =current_step, current_Grad_c,IF(Iterations[[#This Row],[Step]] &gt; current_step, "",Iterations[[#This Row],[Grad_c]]))</f>
        <v/>
      </c>
      <c r="Q1040" s="2" t="str">
        <f>IF(Iterations[[#This Row],[Step]] =current_step, current_Grad_d,IF(Iterations[[#This Row],[Step]] &gt; current_step, "",Iterations[[#This Row],[Grad_d]]))</f>
        <v/>
      </c>
      <c r="R1040" s="2" t="str">
        <f>IF(Iterations[[#This Row],[Step]] =current_step, current_Grad_e,IF(Iterations[[#This Row],[Step]] &gt; current_step, "",Iterations[[#This Row],[Grad_e]]))</f>
        <v/>
      </c>
    </row>
    <row r="1041" spans="6:18" x14ac:dyDescent="0.3">
      <c r="F1041" s="2">
        <f t="shared" si="21"/>
        <v>1024</v>
      </c>
      <c r="G1041" s="2" t="str">
        <f>IF(Iterations[[#This Row],[Step]] =current_step, current_a,IF(Iterations[[#This Row],[Step]] &gt; current_step, "",Iterations[[#This Row],[a]]))</f>
        <v/>
      </c>
      <c r="H1041" s="2" t="str">
        <f>IF(Iterations[[#This Row],[Step]] =current_step, current_b,IF(Iterations[[#This Row],[Step]] &gt; current_step, "",Iterations[[#This Row],[b]]))</f>
        <v/>
      </c>
      <c r="I1041" s="2" t="str">
        <f>IF(Iterations[[#This Row],[Step]] =current_step, current_c,IF(Iterations[[#This Row],[Step]] &gt; current_step, "",Iterations[[#This Row],[c]]))</f>
        <v/>
      </c>
      <c r="J1041" s="2" t="str">
        <f>IF(Iterations[[#This Row],[Step]] =current_step, current_d,IF(Iterations[[#This Row],[Step]] &gt; current_step, "",Iterations[[#This Row],[d]]))</f>
        <v/>
      </c>
      <c r="K1041" s="2" t="str">
        <f>IF(Iterations[[#This Row],[Step]] =current_step, current_e,IF(Iterations[[#This Row],[Step]] &gt; current_step, "",Iterations[[#This Row],[e]]))</f>
        <v/>
      </c>
      <c r="L1041" s="2" t="str">
        <f>IF(Iterations[[#This Row],[Step]] =current_step, current_Total_Loss,IF(Iterations[[#This Row],[Step]] &gt; current_step, "",Iterations[[#This Row],[Total Loss]]))</f>
        <v/>
      </c>
      <c r="M1041" s="6" t="s">
        <v>27</v>
      </c>
      <c r="N1041" s="2" t="str">
        <f>IF(Iterations[[#This Row],[Step]] =current_step, current_Grad_a,IF(Iterations[[#This Row],[Step]] &gt; current_step, "",Iterations[[#This Row],[Grad_a]]))</f>
        <v/>
      </c>
      <c r="O1041" s="2" t="str">
        <f>IF(Iterations[[#This Row],[Step]] =current_step, current_Grad_b,IF(Iterations[[#This Row],[Step]] &gt; current_step, "",Iterations[[#This Row],[Grad_b]]))</f>
        <v/>
      </c>
      <c r="P1041" s="2" t="str">
        <f>IF(Iterations[[#This Row],[Step]] =current_step, current_Grad_c,IF(Iterations[[#This Row],[Step]] &gt; current_step, "",Iterations[[#This Row],[Grad_c]]))</f>
        <v/>
      </c>
      <c r="Q1041" s="2" t="str">
        <f>IF(Iterations[[#This Row],[Step]] =current_step, current_Grad_d,IF(Iterations[[#This Row],[Step]] &gt; current_step, "",Iterations[[#This Row],[Grad_d]]))</f>
        <v/>
      </c>
      <c r="R1041" s="2" t="str">
        <f>IF(Iterations[[#This Row],[Step]] =current_step, current_Grad_e,IF(Iterations[[#This Row],[Step]] &gt; current_step, "",Iterations[[#This Row],[Grad_e]]))</f>
        <v/>
      </c>
    </row>
    <row r="1042" spans="6:18" x14ac:dyDescent="0.3">
      <c r="F1042" s="2">
        <f t="shared" si="21"/>
        <v>1025</v>
      </c>
      <c r="G1042" s="2" t="str">
        <f>IF(Iterations[[#This Row],[Step]] =current_step, current_a,IF(Iterations[[#This Row],[Step]] &gt; current_step, "",Iterations[[#This Row],[a]]))</f>
        <v/>
      </c>
      <c r="H1042" s="2" t="str">
        <f>IF(Iterations[[#This Row],[Step]] =current_step, current_b,IF(Iterations[[#This Row],[Step]] &gt; current_step, "",Iterations[[#This Row],[b]]))</f>
        <v/>
      </c>
      <c r="I1042" s="2" t="str">
        <f>IF(Iterations[[#This Row],[Step]] =current_step, current_c,IF(Iterations[[#This Row],[Step]] &gt; current_step, "",Iterations[[#This Row],[c]]))</f>
        <v/>
      </c>
      <c r="J1042" s="2" t="str">
        <f>IF(Iterations[[#This Row],[Step]] =current_step, current_d,IF(Iterations[[#This Row],[Step]] &gt; current_step, "",Iterations[[#This Row],[d]]))</f>
        <v/>
      </c>
      <c r="K1042" s="2" t="str">
        <f>IF(Iterations[[#This Row],[Step]] =current_step, current_e,IF(Iterations[[#This Row],[Step]] &gt; current_step, "",Iterations[[#This Row],[e]]))</f>
        <v/>
      </c>
      <c r="L1042" s="2" t="str">
        <f>IF(Iterations[[#This Row],[Step]] =current_step, current_Total_Loss,IF(Iterations[[#This Row],[Step]] &gt; current_step, "",Iterations[[#This Row],[Total Loss]]))</f>
        <v/>
      </c>
      <c r="M1042" s="6" t="s">
        <v>27</v>
      </c>
      <c r="N1042" s="2" t="str">
        <f>IF(Iterations[[#This Row],[Step]] =current_step, current_Grad_a,IF(Iterations[[#This Row],[Step]] &gt; current_step, "",Iterations[[#This Row],[Grad_a]]))</f>
        <v/>
      </c>
      <c r="O1042" s="2" t="str">
        <f>IF(Iterations[[#This Row],[Step]] =current_step, current_Grad_b,IF(Iterations[[#This Row],[Step]] &gt; current_step, "",Iterations[[#This Row],[Grad_b]]))</f>
        <v/>
      </c>
      <c r="P1042" s="2" t="str">
        <f>IF(Iterations[[#This Row],[Step]] =current_step, current_Grad_c,IF(Iterations[[#This Row],[Step]] &gt; current_step, "",Iterations[[#This Row],[Grad_c]]))</f>
        <v/>
      </c>
      <c r="Q1042" s="2" t="str">
        <f>IF(Iterations[[#This Row],[Step]] =current_step, current_Grad_d,IF(Iterations[[#This Row],[Step]] &gt; current_step, "",Iterations[[#This Row],[Grad_d]]))</f>
        <v/>
      </c>
      <c r="R1042" s="2" t="str">
        <f>IF(Iterations[[#This Row],[Step]] =current_step, current_Grad_e,IF(Iterations[[#This Row],[Step]] &gt; current_step, "",Iterations[[#This Row],[Grad_e]]))</f>
        <v/>
      </c>
    </row>
    <row r="1043" spans="6:18" x14ac:dyDescent="0.3">
      <c r="F1043" s="2">
        <f t="shared" si="21"/>
        <v>1026</v>
      </c>
      <c r="G1043" s="2" t="str">
        <f>IF(Iterations[[#This Row],[Step]] =current_step, current_a,IF(Iterations[[#This Row],[Step]] &gt; current_step, "",Iterations[[#This Row],[a]]))</f>
        <v/>
      </c>
      <c r="H1043" s="2" t="str">
        <f>IF(Iterations[[#This Row],[Step]] =current_step, current_b,IF(Iterations[[#This Row],[Step]] &gt; current_step, "",Iterations[[#This Row],[b]]))</f>
        <v/>
      </c>
      <c r="I1043" s="2" t="str">
        <f>IF(Iterations[[#This Row],[Step]] =current_step, current_c,IF(Iterations[[#This Row],[Step]] &gt; current_step, "",Iterations[[#This Row],[c]]))</f>
        <v/>
      </c>
      <c r="J1043" s="2" t="str">
        <f>IF(Iterations[[#This Row],[Step]] =current_step, current_d,IF(Iterations[[#This Row],[Step]] &gt; current_step, "",Iterations[[#This Row],[d]]))</f>
        <v/>
      </c>
      <c r="K1043" s="2" t="str">
        <f>IF(Iterations[[#This Row],[Step]] =current_step, current_e,IF(Iterations[[#This Row],[Step]] &gt; current_step, "",Iterations[[#This Row],[e]]))</f>
        <v/>
      </c>
      <c r="L1043" s="2" t="str">
        <f>IF(Iterations[[#This Row],[Step]] =current_step, current_Total_Loss,IF(Iterations[[#This Row],[Step]] &gt; current_step, "",Iterations[[#This Row],[Total Loss]]))</f>
        <v/>
      </c>
      <c r="M1043" s="6" t="s">
        <v>27</v>
      </c>
      <c r="N1043" s="2" t="str">
        <f>IF(Iterations[[#This Row],[Step]] =current_step, current_Grad_a,IF(Iterations[[#This Row],[Step]] &gt; current_step, "",Iterations[[#This Row],[Grad_a]]))</f>
        <v/>
      </c>
      <c r="O1043" s="2" t="str">
        <f>IF(Iterations[[#This Row],[Step]] =current_step, current_Grad_b,IF(Iterations[[#This Row],[Step]] &gt; current_step, "",Iterations[[#This Row],[Grad_b]]))</f>
        <v/>
      </c>
      <c r="P1043" s="2" t="str">
        <f>IF(Iterations[[#This Row],[Step]] =current_step, current_Grad_c,IF(Iterations[[#This Row],[Step]] &gt; current_step, "",Iterations[[#This Row],[Grad_c]]))</f>
        <v/>
      </c>
      <c r="Q1043" s="2" t="str">
        <f>IF(Iterations[[#This Row],[Step]] =current_step, current_Grad_d,IF(Iterations[[#This Row],[Step]] &gt; current_step, "",Iterations[[#This Row],[Grad_d]]))</f>
        <v/>
      </c>
      <c r="R1043" s="2" t="str">
        <f>IF(Iterations[[#This Row],[Step]] =current_step, current_Grad_e,IF(Iterations[[#This Row],[Step]] &gt; current_step, "",Iterations[[#This Row],[Grad_e]]))</f>
        <v/>
      </c>
    </row>
    <row r="1044" spans="6:18" x14ac:dyDescent="0.3">
      <c r="F1044" s="2">
        <f t="shared" si="21"/>
        <v>1027</v>
      </c>
      <c r="G1044" s="2" t="str">
        <f>IF(Iterations[[#This Row],[Step]] =current_step, current_a,IF(Iterations[[#This Row],[Step]] &gt; current_step, "",Iterations[[#This Row],[a]]))</f>
        <v/>
      </c>
      <c r="H1044" s="2" t="str">
        <f>IF(Iterations[[#This Row],[Step]] =current_step, current_b,IF(Iterations[[#This Row],[Step]] &gt; current_step, "",Iterations[[#This Row],[b]]))</f>
        <v/>
      </c>
      <c r="I1044" s="2" t="str">
        <f>IF(Iterations[[#This Row],[Step]] =current_step, current_c,IF(Iterations[[#This Row],[Step]] &gt; current_step, "",Iterations[[#This Row],[c]]))</f>
        <v/>
      </c>
      <c r="J1044" s="2" t="str">
        <f>IF(Iterations[[#This Row],[Step]] =current_step, current_d,IF(Iterations[[#This Row],[Step]] &gt; current_step, "",Iterations[[#This Row],[d]]))</f>
        <v/>
      </c>
      <c r="K1044" s="2" t="str">
        <f>IF(Iterations[[#This Row],[Step]] =current_step, current_e,IF(Iterations[[#This Row],[Step]] &gt; current_step, "",Iterations[[#This Row],[e]]))</f>
        <v/>
      </c>
      <c r="L1044" s="2" t="str">
        <f>IF(Iterations[[#This Row],[Step]] =current_step, current_Total_Loss,IF(Iterations[[#This Row],[Step]] &gt; current_step, "",Iterations[[#This Row],[Total Loss]]))</f>
        <v/>
      </c>
      <c r="M1044" s="6" t="s">
        <v>27</v>
      </c>
      <c r="N1044" s="2" t="str">
        <f>IF(Iterations[[#This Row],[Step]] =current_step, current_Grad_a,IF(Iterations[[#This Row],[Step]] &gt; current_step, "",Iterations[[#This Row],[Grad_a]]))</f>
        <v/>
      </c>
      <c r="O1044" s="2" t="str">
        <f>IF(Iterations[[#This Row],[Step]] =current_step, current_Grad_b,IF(Iterations[[#This Row],[Step]] &gt; current_step, "",Iterations[[#This Row],[Grad_b]]))</f>
        <v/>
      </c>
      <c r="P1044" s="2" t="str">
        <f>IF(Iterations[[#This Row],[Step]] =current_step, current_Grad_c,IF(Iterations[[#This Row],[Step]] &gt; current_step, "",Iterations[[#This Row],[Grad_c]]))</f>
        <v/>
      </c>
      <c r="Q1044" s="2" t="str">
        <f>IF(Iterations[[#This Row],[Step]] =current_step, current_Grad_d,IF(Iterations[[#This Row],[Step]] &gt; current_step, "",Iterations[[#This Row],[Grad_d]]))</f>
        <v/>
      </c>
      <c r="R1044" s="2" t="str">
        <f>IF(Iterations[[#This Row],[Step]] =current_step, current_Grad_e,IF(Iterations[[#This Row],[Step]] &gt; current_step, "",Iterations[[#This Row],[Grad_e]]))</f>
        <v/>
      </c>
    </row>
    <row r="1045" spans="6:18" x14ac:dyDescent="0.3">
      <c r="F1045" s="2">
        <f t="shared" si="21"/>
        <v>1028</v>
      </c>
      <c r="G1045" s="2" t="str">
        <f>IF(Iterations[[#This Row],[Step]] =current_step, current_a,IF(Iterations[[#This Row],[Step]] &gt; current_step, "",Iterations[[#This Row],[a]]))</f>
        <v/>
      </c>
      <c r="H1045" s="2" t="str">
        <f>IF(Iterations[[#This Row],[Step]] =current_step, current_b,IF(Iterations[[#This Row],[Step]] &gt; current_step, "",Iterations[[#This Row],[b]]))</f>
        <v/>
      </c>
      <c r="I1045" s="2" t="str">
        <f>IF(Iterations[[#This Row],[Step]] =current_step, current_c,IF(Iterations[[#This Row],[Step]] &gt; current_step, "",Iterations[[#This Row],[c]]))</f>
        <v/>
      </c>
      <c r="J1045" s="2" t="str">
        <f>IF(Iterations[[#This Row],[Step]] =current_step, current_d,IF(Iterations[[#This Row],[Step]] &gt; current_step, "",Iterations[[#This Row],[d]]))</f>
        <v/>
      </c>
      <c r="K1045" s="2" t="str">
        <f>IF(Iterations[[#This Row],[Step]] =current_step, current_e,IF(Iterations[[#This Row],[Step]] &gt; current_step, "",Iterations[[#This Row],[e]]))</f>
        <v/>
      </c>
      <c r="L1045" s="2" t="str">
        <f>IF(Iterations[[#This Row],[Step]] =current_step, current_Total_Loss,IF(Iterations[[#This Row],[Step]] &gt; current_step, "",Iterations[[#This Row],[Total Loss]]))</f>
        <v/>
      </c>
      <c r="M1045" s="6" t="s">
        <v>27</v>
      </c>
      <c r="N1045" s="2" t="str">
        <f>IF(Iterations[[#This Row],[Step]] =current_step, current_Grad_a,IF(Iterations[[#This Row],[Step]] &gt; current_step, "",Iterations[[#This Row],[Grad_a]]))</f>
        <v/>
      </c>
      <c r="O1045" s="2" t="str">
        <f>IF(Iterations[[#This Row],[Step]] =current_step, current_Grad_b,IF(Iterations[[#This Row],[Step]] &gt; current_step, "",Iterations[[#This Row],[Grad_b]]))</f>
        <v/>
      </c>
      <c r="P1045" s="2" t="str">
        <f>IF(Iterations[[#This Row],[Step]] =current_step, current_Grad_c,IF(Iterations[[#This Row],[Step]] &gt; current_step, "",Iterations[[#This Row],[Grad_c]]))</f>
        <v/>
      </c>
      <c r="Q1045" s="2" t="str">
        <f>IF(Iterations[[#This Row],[Step]] =current_step, current_Grad_d,IF(Iterations[[#This Row],[Step]] &gt; current_step, "",Iterations[[#This Row],[Grad_d]]))</f>
        <v/>
      </c>
      <c r="R1045" s="2" t="str">
        <f>IF(Iterations[[#This Row],[Step]] =current_step, current_Grad_e,IF(Iterations[[#This Row],[Step]] &gt; current_step, "",Iterations[[#This Row],[Grad_e]]))</f>
        <v/>
      </c>
    </row>
    <row r="1046" spans="6:18" x14ac:dyDescent="0.3">
      <c r="F1046" s="2">
        <f t="shared" si="21"/>
        <v>1029</v>
      </c>
      <c r="G1046" s="2" t="str">
        <f>IF(Iterations[[#This Row],[Step]] =current_step, current_a,IF(Iterations[[#This Row],[Step]] &gt; current_step, "",Iterations[[#This Row],[a]]))</f>
        <v/>
      </c>
      <c r="H1046" s="2" t="str">
        <f>IF(Iterations[[#This Row],[Step]] =current_step, current_b,IF(Iterations[[#This Row],[Step]] &gt; current_step, "",Iterations[[#This Row],[b]]))</f>
        <v/>
      </c>
      <c r="I1046" s="2" t="str">
        <f>IF(Iterations[[#This Row],[Step]] =current_step, current_c,IF(Iterations[[#This Row],[Step]] &gt; current_step, "",Iterations[[#This Row],[c]]))</f>
        <v/>
      </c>
      <c r="J1046" s="2" t="str">
        <f>IF(Iterations[[#This Row],[Step]] =current_step, current_d,IF(Iterations[[#This Row],[Step]] &gt; current_step, "",Iterations[[#This Row],[d]]))</f>
        <v/>
      </c>
      <c r="K1046" s="2" t="str">
        <f>IF(Iterations[[#This Row],[Step]] =current_step, current_e,IF(Iterations[[#This Row],[Step]] &gt; current_step, "",Iterations[[#This Row],[e]]))</f>
        <v/>
      </c>
      <c r="L1046" s="2" t="str">
        <f>IF(Iterations[[#This Row],[Step]] =current_step, current_Total_Loss,IF(Iterations[[#This Row],[Step]] &gt; current_step, "",Iterations[[#This Row],[Total Loss]]))</f>
        <v/>
      </c>
      <c r="M1046" s="6" t="s">
        <v>27</v>
      </c>
      <c r="N1046" s="2" t="str">
        <f>IF(Iterations[[#This Row],[Step]] =current_step, current_Grad_a,IF(Iterations[[#This Row],[Step]] &gt; current_step, "",Iterations[[#This Row],[Grad_a]]))</f>
        <v/>
      </c>
      <c r="O1046" s="2" t="str">
        <f>IF(Iterations[[#This Row],[Step]] =current_step, current_Grad_b,IF(Iterations[[#This Row],[Step]] &gt; current_step, "",Iterations[[#This Row],[Grad_b]]))</f>
        <v/>
      </c>
      <c r="P1046" s="2" t="str">
        <f>IF(Iterations[[#This Row],[Step]] =current_step, current_Grad_c,IF(Iterations[[#This Row],[Step]] &gt; current_step, "",Iterations[[#This Row],[Grad_c]]))</f>
        <v/>
      </c>
      <c r="Q1046" s="2" t="str">
        <f>IF(Iterations[[#This Row],[Step]] =current_step, current_Grad_d,IF(Iterations[[#This Row],[Step]] &gt; current_step, "",Iterations[[#This Row],[Grad_d]]))</f>
        <v/>
      </c>
      <c r="R1046" s="2" t="str">
        <f>IF(Iterations[[#This Row],[Step]] =current_step, current_Grad_e,IF(Iterations[[#This Row],[Step]] &gt; current_step, "",Iterations[[#This Row],[Grad_e]]))</f>
        <v/>
      </c>
    </row>
    <row r="1047" spans="6:18" x14ac:dyDescent="0.3">
      <c r="F1047" s="2">
        <f t="shared" si="21"/>
        <v>1030</v>
      </c>
      <c r="G1047" s="2" t="str">
        <f>IF(Iterations[[#This Row],[Step]] =current_step, current_a,IF(Iterations[[#This Row],[Step]] &gt; current_step, "",Iterations[[#This Row],[a]]))</f>
        <v/>
      </c>
      <c r="H1047" s="2" t="str">
        <f>IF(Iterations[[#This Row],[Step]] =current_step, current_b,IF(Iterations[[#This Row],[Step]] &gt; current_step, "",Iterations[[#This Row],[b]]))</f>
        <v/>
      </c>
      <c r="I1047" s="2" t="str">
        <f>IF(Iterations[[#This Row],[Step]] =current_step, current_c,IF(Iterations[[#This Row],[Step]] &gt; current_step, "",Iterations[[#This Row],[c]]))</f>
        <v/>
      </c>
      <c r="J1047" s="2" t="str">
        <f>IF(Iterations[[#This Row],[Step]] =current_step, current_d,IF(Iterations[[#This Row],[Step]] &gt; current_step, "",Iterations[[#This Row],[d]]))</f>
        <v/>
      </c>
      <c r="K1047" s="2" t="str">
        <f>IF(Iterations[[#This Row],[Step]] =current_step, current_e,IF(Iterations[[#This Row],[Step]] &gt; current_step, "",Iterations[[#This Row],[e]]))</f>
        <v/>
      </c>
      <c r="L1047" s="2" t="str">
        <f>IF(Iterations[[#This Row],[Step]] =current_step, current_Total_Loss,IF(Iterations[[#This Row],[Step]] &gt; current_step, "",Iterations[[#This Row],[Total Loss]]))</f>
        <v/>
      </c>
      <c r="M1047" s="6" t="s">
        <v>27</v>
      </c>
      <c r="N1047" s="2" t="str">
        <f>IF(Iterations[[#This Row],[Step]] =current_step, current_Grad_a,IF(Iterations[[#This Row],[Step]] &gt; current_step, "",Iterations[[#This Row],[Grad_a]]))</f>
        <v/>
      </c>
      <c r="O1047" s="2" t="str">
        <f>IF(Iterations[[#This Row],[Step]] =current_step, current_Grad_b,IF(Iterations[[#This Row],[Step]] &gt; current_step, "",Iterations[[#This Row],[Grad_b]]))</f>
        <v/>
      </c>
      <c r="P1047" s="2" t="str">
        <f>IF(Iterations[[#This Row],[Step]] =current_step, current_Grad_c,IF(Iterations[[#This Row],[Step]] &gt; current_step, "",Iterations[[#This Row],[Grad_c]]))</f>
        <v/>
      </c>
      <c r="Q1047" s="2" t="str">
        <f>IF(Iterations[[#This Row],[Step]] =current_step, current_Grad_d,IF(Iterations[[#This Row],[Step]] &gt; current_step, "",Iterations[[#This Row],[Grad_d]]))</f>
        <v/>
      </c>
      <c r="R1047" s="2" t="str">
        <f>IF(Iterations[[#This Row],[Step]] =current_step, current_Grad_e,IF(Iterations[[#This Row],[Step]] &gt; current_step, "",Iterations[[#This Row],[Grad_e]]))</f>
        <v/>
      </c>
    </row>
    <row r="1048" spans="6:18" x14ac:dyDescent="0.3">
      <c r="F1048" s="2">
        <f t="shared" si="21"/>
        <v>1031</v>
      </c>
      <c r="G1048" s="2" t="str">
        <f>IF(Iterations[[#This Row],[Step]] =current_step, current_a,IF(Iterations[[#This Row],[Step]] &gt; current_step, "",Iterations[[#This Row],[a]]))</f>
        <v/>
      </c>
      <c r="H1048" s="2" t="str">
        <f>IF(Iterations[[#This Row],[Step]] =current_step, current_b,IF(Iterations[[#This Row],[Step]] &gt; current_step, "",Iterations[[#This Row],[b]]))</f>
        <v/>
      </c>
      <c r="I1048" s="2" t="str">
        <f>IF(Iterations[[#This Row],[Step]] =current_step, current_c,IF(Iterations[[#This Row],[Step]] &gt; current_step, "",Iterations[[#This Row],[c]]))</f>
        <v/>
      </c>
      <c r="J1048" s="2" t="str">
        <f>IF(Iterations[[#This Row],[Step]] =current_step, current_d,IF(Iterations[[#This Row],[Step]] &gt; current_step, "",Iterations[[#This Row],[d]]))</f>
        <v/>
      </c>
      <c r="K1048" s="2" t="str">
        <f>IF(Iterations[[#This Row],[Step]] =current_step, current_e,IF(Iterations[[#This Row],[Step]] &gt; current_step, "",Iterations[[#This Row],[e]]))</f>
        <v/>
      </c>
      <c r="L1048" s="2" t="str">
        <f>IF(Iterations[[#This Row],[Step]] =current_step, current_Total_Loss,IF(Iterations[[#This Row],[Step]] &gt; current_step, "",Iterations[[#This Row],[Total Loss]]))</f>
        <v/>
      </c>
      <c r="M1048" s="6" t="s">
        <v>27</v>
      </c>
      <c r="N1048" s="2" t="str">
        <f>IF(Iterations[[#This Row],[Step]] =current_step, current_Grad_a,IF(Iterations[[#This Row],[Step]] &gt; current_step, "",Iterations[[#This Row],[Grad_a]]))</f>
        <v/>
      </c>
      <c r="O1048" s="2" t="str">
        <f>IF(Iterations[[#This Row],[Step]] =current_step, current_Grad_b,IF(Iterations[[#This Row],[Step]] &gt; current_step, "",Iterations[[#This Row],[Grad_b]]))</f>
        <v/>
      </c>
      <c r="P1048" s="2" t="str">
        <f>IF(Iterations[[#This Row],[Step]] =current_step, current_Grad_c,IF(Iterations[[#This Row],[Step]] &gt; current_step, "",Iterations[[#This Row],[Grad_c]]))</f>
        <v/>
      </c>
      <c r="Q1048" s="2" t="str">
        <f>IF(Iterations[[#This Row],[Step]] =current_step, current_Grad_d,IF(Iterations[[#This Row],[Step]] &gt; current_step, "",Iterations[[#This Row],[Grad_d]]))</f>
        <v/>
      </c>
      <c r="R1048" s="2" t="str">
        <f>IF(Iterations[[#This Row],[Step]] =current_step, current_Grad_e,IF(Iterations[[#This Row],[Step]] &gt; current_step, "",Iterations[[#This Row],[Grad_e]]))</f>
        <v/>
      </c>
    </row>
    <row r="1049" spans="6:18" x14ac:dyDescent="0.3">
      <c r="F1049" s="2">
        <f t="shared" si="21"/>
        <v>1032</v>
      </c>
      <c r="G1049" s="2" t="str">
        <f>IF(Iterations[[#This Row],[Step]] =current_step, current_a,IF(Iterations[[#This Row],[Step]] &gt; current_step, "",Iterations[[#This Row],[a]]))</f>
        <v/>
      </c>
      <c r="H1049" s="2" t="str">
        <f>IF(Iterations[[#This Row],[Step]] =current_step, current_b,IF(Iterations[[#This Row],[Step]] &gt; current_step, "",Iterations[[#This Row],[b]]))</f>
        <v/>
      </c>
      <c r="I1049" s="2" t="str">
        <f>IF(Iterations[[#This Row],[Step]] =current_step, current_c,IF(Iterations[[#This Row],[Step]] &gt; current_step, "",Iterations[[#This Row],[c]]))</f>
        <v/>
      </c>
      <c r="J1049" s="2" t="str">
        <f>IF(Iterations[[#This Row],[Step]] =current_step, current_d,IF(Iterations[[#This Row],[Step]] &gt; current_step, "",Iterations[[#This Row],[d]]))</f>
        <v/>
      </c>
      <c r="K1049" s="2" t="str">
        <f>IF(Iterations[[#This Row],[Step]] =current_step, current_e,IF(Iterations[[#This Row],[Step]] &gt; current_step, "",Iterations[[#This Row],[e]]))</f>
        <v/>
      </c>
      <c r="L1049" s="2" t="str">
        <f>IF(Iterations[[#This Row],[Step]] =current_step, current_Total_Loss,IF(Iterations[[#This Row],[Step]] &gt; current_step, "",Iterations[[#This Row],[Total Loss]]))</f>
        <v/>
      </c>
      <c r="M1049" s="6" t="s">
        <v>27</v>
      </c>
      <c r="N1049" s="2" t="str">
        <f>IF(Iterations[[#This Row],[Step]] =current_step, current_Grad_a,IF(Iterations[[#This Row],[Step]] &gt; current_step, "",Iterations[[#This Row],[Grad_a]]))</f>
        <v/>
      </c>
      <c r="O1049" s="2" t="str">
        <f>IF(Iterations[[#This Row],[Step]] =current_step, current_Grad_b,IF(Iterations[[#This Row],[Step]] &gt; current_step, "",Iterations[[#This Row],[Grad_b]]))</f>
        <v/>
      </c>
      <c r="P1049" s="2" t="str">
        <f>IF(Iterations[[#This Row],[Step]] =current_step, current_Grad_c,IF(Iterations[[#This Row],[Step]] &gt; current_step, "",Iterations[[#This Row],[Grad_c]]))</f>
        <v/>
      </c>
      <c r="Q1049" s="2" t="str">
        <f>IF(Iterations[[#This Row],[Step]] =current_step, current_Grad_d,IF(Iterations[[#This Row],[Step]] &gt; current_step, "",Iterations[[#This Row],[Grad_d]]))</f>
        <v/>
      </c>
      <c r="R1049" s="2" t="str">
        <f>IF(Iterations[[#This Row],[Step]] =current_step, current_Grad_e,IF(Iterations[[#This Row],[Step]] &gt; current_step, "",Iterations[[#This Row],[Grad_e]]))</f>
        <v/>
      </c>
    </row>
    <row r="1050" spans="6:18" x14ac:dyDescent="0.3">
      <c r="F1050" s="2">
        <f t="shared" si="21"/>
        <v>1033</v>
      </c>
      <c r="G1050" s="2" t="str">
        <f>IF(Iterations[[#This Row],[Step]] =current_step, current_a,IF(Iterations[[#This Row],[Step]] &gt; current_step, "",Iterations[[#This Row],[a]]))</f>
        <v/>
      </c>
      <c r="H1050" s="2" t="str">
        <f>IF(Iterations[[#This Row],[Step]] =current_step, current_b,IF(Iterations[[#This Row],[Step]] &gt; current_step, "",Iterations[[#This Row],[b]]))</f>
        <v/>
      </c>
      <c r="I1050" s="2" t="str">
        <f>IF(Iterations[[#This Row],[Step]] =current_step, current_c,IF(Iterations[[#This Row],[Step]] &gt; current_step, "",Iterations[[#This Row],[c]]))</f>
        <v/>
      </c>
      <c r="J1050" s="2" t="str">
        <f>IF(Iterations[[#This Row],[Step]] =current_step, current_d,IF(Iterations[[#This Row],[Step]] &gt; current_step, "",Iterations[[#This Row],[d]]))</f>
        <v/>
      </c>
      <c r="K1050" s="2" t="str">
        <f>IF(Iterations[[#This Row],[Step]] =current_step, current_e,IF(Iterations[[#This Row],[Step]] &gt; current_step, "",Iterations[[#This Row],[e]]))</f>
        <v/>
      </c>
      <c r="L1050" s="2" t="str">
        <f>IF(Iterations[[#This Row],[Step]] =current_step, current_Total_Loss,IF(Iterations[[#This Row],[Step]] &gt; current_step, "",Iterations[[#This Row],[Total Loss]]))</f>
        <v/>
      </c>
      <c r="M1050" s="6" t="s">
        <v>27</v>
      </c>
      <c r="N1050" s="2" t="str">
        <f>IF(Iterations[[#This Row],[Step]] =current_step, current_Grad_a,IF(Iterations[[#This Row],[Step]] &gt; current_step, "",Iterations[[#This Row],[Grad_a]]))</f>
        <v/>
      </c>
      <c r="O1050" s="2" t="str">
        <f>IF(Iterations[[#This Row],[Step]] =current_step, current_Grad_b,IF(Iterations[[#This Row],[Step]] &gt; current_step, "",Iterations[[#This Row],[Grad_b]]))</f>
        <v/>
      </c>
      <c r="P1050" s="2" t="str">
        <f>IF(Iterations[[#This Row],[Step]] =current_step, current_Grad_c,IF(Iterations[[#This Row],[Step]] &gt; current_step, "",Iterations[[#This Row],[Grad_c]]))</f>
        <v/>
      </c>
      <c r="Q1050" s="2" t="str">
        <f>IF(Iterations[[#This Row],[Step]] =current_step, current_Grad_d,IF(Iterations[[#This Row],[Step]] &gt; current_step, "",Iterations[[#This Row],[Grad_d]]))</f>
        <v/>
      </c>
      <c r="R1050" s="2" t="str">
        <f>IF(Iterations[[#This Row],[Step]] =current_step, current_Grad_e,IF(Iterations[[#This Row],[Step]] &gt; current_step, "",Iterations[[#This Row],[Grad_e]]))</f>
        <v/>
      </c>
    </row>
    <row r="1051" spans="6:18" x14ac:dyDescent="0.3">
      <c r="F1051" s="2">
        <f t="shared" si="21"/>
        <v>1034</v>
      </c>
      <c r="G1051" s="2" t="str">
        <f>IF(Iterations[[#This Row],[Step]] =current_step, current_a,IF(Iterations[[#This Row],[Step]] &gt; current_step, "",Iterations[[#This Row],[a]]))</f>
        <v/>
      </c>
      <c r="H1051" s="2" t="str">
        <f>IF(Iterations[[#This Row],[Step]] =current_step, current_b,IF(Iterations[[#This Row],[Step]] &gt; current_step, "",Iterations[[#This Row],[b]]))</f>
        <v/>
      </c>
      <c r="I1051" s="2" t="str">
        <f>IF(Iterations[[#This Row],[Step]] =current_step, current_c,IF(Iterations[[#This Row],[Step]] &gt; current_step, "",Iterations[[#This Row],[c]]))</f>
        <v/>
      </c>
      <c r="J1051" s="2" t="str">
        <f>IF(Iterations[[#This Row],[Step]] =current_step, current_d,IF(Iterations[[#This Row],[Step]] &gt; current_step, "",Iterations[[#This Row],[d]]))</f>
        <v/>
      </c>
      <c r="K1051" s="2" t="str">
        <f>IF(Iterations[[#This Row],[Step]] =current_step, current_e,IF(Iterations[[#This Row],[Step]] &gt; current_step, "",Iterations[[#This Row],[e]]))</f>
        <v/>
      </c>
      <c r="L1051" s="2" t="str">
        <f>IF(Iterations[[#This Row],[Step]] =current_step, current_Total_Loss,IF(Iterations[[#This Row],[Step]] &gt; current_step, "",Iterations[[#This Row],[Total Loss]]))</f>
        <v/>
      </c>
      <c r="M1051" s="6" t="s">
        <v>27</v>
      </c>
      <c r="N1051" s="2" t="str">
        <f>IF(Iterations[[#This Row],[Step]] =current_step, current_Grad_a,IF(Iterations[[#This Row],[Step]] &gt; current_step, "",Iterations[[#This Row],[Grad_a]]))</f>
        <v/>
      </c>
      <c r="O1051" s="2" t="str">
        <f>IF(Iterations[[#This Row],[Step]] =current_step, current_Grad_b,IF(Iterations[[#This Row],[Step]] &gt; current_step, "",Iterations[[#This Row],[Grad_b]]))</f>
        <v/>
      </c>
      <c r="P1051" s="2" t="str">
        <f>IF(Iterations[[#This Row],[Step]] =current_step, current_Grad_c,IF(Iterations[[#This Row],[Step]] &gt; current_step, "",Iterations[[#This Row],[Grad_c]]))</f>
        <v/>
      </c>
      <c r="Q1051" s="2" t="str">
        <f>IF(Iterations[[#This Row],[Step]] =current_step, current_Grad_d,IF(Iterations[[#This Row],[Step]] &gt; current_step, "",Iterations[[#This Row],[Grad_d]]))</f>
        <v/>
      </c>
      <c r="R1051" s="2" t="str">
        <f>IF(Iterations[[#This Row],[Step]] =current_step, current_Grad_e,IF(Iterations[[#This Row],[Step]] &gt; current_step, "",Iterations[[#This Row],[Grad_e]]))</f>
        <v/>
      </c>
    </row>
    <row r="1052" spans="6:18" x14ac:dyDescent="0.3">
      <c r="F1052" s="2">
        <f t="shared" si="21"/>
        <v>1035</v>
      </c>
      <c r="G1052" s="2" t="str">
        <f>IF(Iterations[[#This Row],[Step]] =current_step, current_a,IF(Iterations[[#This Row],[Step]] &gt; current_step, "",Iterations[[#This Row],[a]]))</f>
        <v/>
      </c>
      <c r="H1052" s="2" t="str">
        <f>IF(Iterations[[#This Row],[Step]] =current_step, current_b,IF(Iterations[[#This Row],[Step]] &gt; current_step, "",Iterations[[#This Row],[b]]))</f>
        <v/>
      </c>
      <c r="I1052" s="2" t="str">
        <f>IF(Iterations[[#This Row],[Step]] =current_step, current_c,IF(Iterations[[#This Row],[Step]] &gt; current_step, "",Iterations[[#This Row],[c]]))</f>
        <v/>
      </c>
      <c r="J1052" s="2" t="str">
        <f>IF(Iterations[[#This Row],[Step]] =current_step, current_d,IF(Iterations[[#This Row],[Step]] &gt; current_step, "",Iterations[[#This Row],[d]]))</f>
        <v/>
      </c>
      <c r="K1052" s="2" t="str">
        <f>IF(Iterations[[#This Row],[Step]] =current_step, current_e,IF(Iterations[[#This Row],[Step]] &gt; current_step, "",Iterations[[#This Row],[e]]))</f>
        <v/>
      </c>
      <c r="L1052" s="2" t="str">
        <f>IF(Iterations[[#This Row],[Step]] =current_step, current_Total_Loss,IF(Iterations[[#This Row],[Step]] &gt; current_step, "",Iterations[[#This Row],[Total Loss]]))</f>
        <v/>
      </c>
      <c r="M1052" s="6" t="s">
        <v>27</v>
      </c>
      <c r="N1052" s="2" t="str">
        <f>IF(Iterations[[#This Row],[Step]] =current_step, current_Grad_a,IF(Iterations[[#This Row],[Step]] &gt; current_step, "",Iterations[[#This Row],[Grad_a]]))</f>
        <v/>
      </c>
      <c r="O1052" s="2" t="str">
        <f>IF(Iterations[[#This Row],[Step]] =current_step, current_Grad_b,IF(Iterations[[#This Row],[Step]] &gt; current_step, "",Iterations[[#This Row],[Grad_b]]))</f>
        <v/>
      </c>
      <c r="P1052" s="2" t="str">
        <f>IF(Iterations[[#This Row],[Step]] =current_step, current_Grad_c,IF(Iterations[[#This Row],[Step]] &gt; current_step, "",Iterations[[#This Row],[Grad_c]]))</f>
        <v/>
      </c>
      <c r="Q1052" s="2" t="str">
        <f>IF(Iterations[[#This Row],[Step]] =current_step, current_Grad_d,IF(Iterations[[#This Row],[Step]] &gt; current_step, "",Iterations[[#This Row],[Grad_d]]))</f>
        <v/>
      </c>
      <c r="R1052" s="2" t="str">
        <f>IF(Iterations[[#This Row],[Step]] =current_step, current_Grad_e,IF(Iterations[[#This Row],[Step]] &gt; current_step, "",Iterations[[#This Row],[Grad_e]]))</f>
        <v/>
      </c>
    </row>
    <row r="1053" spans="6:18" x14ac:dyDescent="0.3">
      <c r="F1053" s="2">
        <f t="shared" si="21"/>
        <v>1036</v>
      </c>
      <c r="G1053" s="2" t="str">
        <f>IF(Iterations[[#This Row],[Step]] =current_step, current_a,IF(Iterations[[#This Row],[Step]] &gt; current_step, "",Iterations[[#This Row],[a]]))</f>
        <v/>
      </c>
      <c r="H1053" s="2" t="str">
        <f>IF(Iterations[[#This Row],[Step]] =current_step, current_b,IF(Iterations[[#This Row],[Step]] &gt; current_step, "",Iterations[[#This Row],[b]]))</f>
        <v/>
      </c>
      <c r="I1053" s="2" t="str">
        <f>IF(Iterations[[#This Row],[Step]] =current_step, current_c,IF(Iterations[[#This Row],[Step]] &gt; current_step, "",Iterations[[#This Row],[c]]))</f>
        <v/>
      </c>
      <c r="J1053" s="2" t="str">
        <f>IF(Iterations[[#This Row],[Step]] =current_step, current_d,IF(Iterations[[#This Row],[Step]] &gt; current_step, "",Iterations[[#This Row],[d]]))</f>
        <v/>
      </c>
      <c r="K1053" s="2" t="str">
        <f>IF(Iterations[[#This Row],[Step]] =current_step, current_e,IF(Iterations[[#This Row],[Step]] &gt; current_step, "",Iterations[[#This Row],[e]]))</f>
        <v/>
      </c>
      <c r="L1053" s="2" t="str">
        <f>IF(Iterations[[#This Row],[Step]] =current_step, current_Total_Loss,IF(Iterations[[#This Row],[Step]] &gt; current_step, "",Iterations[[#This Row],[Total Loss]]))</f>
        <v/>
      </c>
      <c r="M1053" s="6" t="s">
        <v>27</v>
      </c>
      <c r="N1053" s="2" t="str">
        <f>IF(Iterations[[#This Row],[Step]] =current_step, current_Grad_a,IF(Iterations[[#This Row],[Step]] &gt; current_step, "",Iterations[[#This Row],[Grad_a]]))</f>
        <v/>
      </c>
      <c r="O1053" s="2" t="str">
        <f>IF(Iterations[[#This Row],[Step]] =current_step, current_Grad_b,IF(Iterations[[#This Row],[Step]] &gt; current_step, "",Iterations[[#This Row],[Grad_b]]))</f>
        <v/>
      </c>
      <c r="P1053" s="2" t="str">
        <f>IF(Iterations[[#This Row],[Step]] =current_step, current_Grad_c,IF(Iterations[[#This Row],[Step]] &gt; current_step, "",Iterations[[#This Row],[Grad_c]]))</f>
        <v/>
      </c>
      <c r="Q1053" s="2" t="str">
        <f>IF(Iterations[[#This Row],[Step]] =current_step, current_Grad_d,IF(Iterations[[#This Row],[Step]] &gt; current_step, "",Iterations[[#This Row],[Grad_d]]))</f>
        <v/>
      </c>
      <c r="R1053" s="2" t="str">
        <f>IF(Iterations[[#This Row],[Step]] =current_step, current_Grad_e,IF(Iterations[[#This Row],[Step]] &gt; current_step, "",Iterations[[#This Row],[Grad_e]]))</f>
        <v/>
      </c>
    </row>
    <row r="1054" spans="6:18" x14ac:dyDescent="0.3">
      <c r="F1054" s="2">
        <f t="shared" si="21"/>
        <v>1037</v>
      </c>
      <c r="G1054" s="2" t="str">
        <f>IF(Iterations[[#This Row],[Step]] =current_step, current_a,IF(Iterations[[#This Row],[Step]] &gt; current_step, "",Iterations[[#This Row],[a]]))</f>
        <v/>
      </c>
      <c r="H1054" s="2" t="str">
        <f>IF(Iterations[[#This Row],[Step]] =current_step, current_b,IF(Iterations[[#This Row],[Step]] &gt; current_step, "",Iterations[[#This Row],[b]]))</f>
        <v/>
      </c>
      <c r="I1054" s="2" t="str">
        <f>IF(Iterations[[#This Row],[Step]] =current_step, current_c,IF(Iterations[[#This Row],[Step]] &gt; current_step, "",Iterations[[#This Row],[c]]))</f>
        <v/>
      </c>
      <c r="J1054" s="2" t="str">
        <f>IF(Iterations[[#This Row],[Step]] =current_step, current_d,IF(Iterations[[#This Row],[Step]] &gt; current_step, "",Iterations[[#This Row],[d]]))</f>
        <v/>
      </c>
      <c r="K1054" s="2" t="str">
        <f>IF(Iterations[[#This Row],[Step]] =current_step, current_e,IF(Iterations[[#This Row],[Step]] &gt; current_step, "",Iterations[[#This Row],[e]]))</f>
        <v/>
      </c>
      <c r="L1054" s="2" t="str">
        <f>IF(Iterations[[#This Row],[Step]] =current_step, current_Total_Loss,IF(Iterations[[#This Row],[Step]] &gt; current_step, "",Iterations[[#This Row],[Total Loss]]))</f>
        <v/>
      </c>
      <c r="M1054" s="6" t="s">
        <v>27</v>
      </c>
      <c r="N1054" s="2" t="str">
        <f>IF(Iterations[[#This Row],[Step]] =current_step, current_Grad_a,IF(Iterations[[#This Row],[Step]] &gt; current_step, "",Iterations[[#This Row],[Grad_a]]))</f>
        <v/>
      </c>
      <c r="O1054" s="2" t="str">
        <f>IF(Iterations[[#This Row],[Step]] =current_step, current_Grad_b,IF(Iterations[[#This Row],[Step]] &gt; current_step, "",Iterations[[#This Row],[Grad_b]]))</f>
        <v/>
      </c>
      <c r="P1054" s="2" t="str">
        <f>IF(Iterations[[#This Row],[Step]] =current_step, current_Grad_c,IF(Iterations[[#This Row],[Step]] &gt; current_step, "",Iterations[[#This Row],[Grad_c]]))</f>
        <v/>
      </c>
      <c r="Q1054" s="2" t="str">
        <f>IF(Iterations[[#This Row],[Step]] =current_step, current_Grad_d,IF(Iterations[[#This Row],[Step]] &gt; current_step, "",Iterations[[#This Row],[Grad_d]]))</f>
        <v/>
      </c>
      <c r="R1054" s="2" t="str">
        <f>IF(Iterations[[#This Row],[Step]] =current_step, current_Grad_e,IF(Iterations[[#This Row],[Step]] &gt; current_step, "",Iterations[[#This Row],[Grad_e]]))</f>
        <v/>
      </c>
    </row>
    <row r="1055" spans="6:18" x14ac:dyDescent="0.3">
      <c r="F1055" s="2">
        <f t="shared" si="21"/>
        <v>1038</v>
      </c>
      <c r="G1055" s="2" t="str">
        <f>IF(Iterations[[#This Row],[Step]] =current_step, current_a,IF(Iterations[[#This Row],[Step]] &gt; current_step, "",Iterations[[#This Row],[a]]))</f>
        <v/>
      </c>
      <c r="H1055" s="2" t="str">
        <f>IF(Iterations[[#This Row],[Step]] =current_step, current_b,IF(Iterations[[#This Row],[Step]] &gt; current_step, "",Iterations[[#This Row],[b]]))</f>
        <v/>
      </c>
      <c r="I1055" s="2" t="str">
        <f>IF(Iterations[[#This Row],[Step]] =current_step, current_c,IF(Iterations[[#This Row],[Step]] &gt; current_step, "",Iterations[[#This Row],[c]]))</f>
        <v/>
      </c>
      <c r="J1055" s="2" t="str">
        <f>IF(Iterations[[#This Row],[Step]] =current_step, current_d,IF(Iterations[[#This Row],[Step]] &gt; current_step, "",Iterations[[#This Row],[d]]))</f>
        <v/>
      </c>
      <c r="K1055" s="2" t="str">
        <f>IF(Iterations[[#This Row],[Step]] =current_step, current_e,IF(Iterations[[#This Row],[Step]] &gt; current_step, "",Iterations[[#This Row],[e]]))</f>
        <v/>
      </c>
      <c r="L1055" s="2" t="str">
        <f>IF(Iterations[[#This Row],[Step]] =current_step, current_Total_Loss,IF(Iterations[[#This Row],[Step]] &gt; current_step, "",Iterations[[#This Row],[Total Loss]]))</f>
        <v/>
      </c>
      <c r="M1055" s="6" t="s">
        <v>27</v>
      </c>
      <c r="N1055" s="2" t="str">
        <f>IF(Iterations[[#This Row],[Step]] =current_step, current_Grad_a,IF(Iterations[[#This Row],[Step]] &gt; current_step, "",Iterations[[#This Row],[Grad_a]]))</f>
        <v/>
      </c>
      <c r="O1055" s="2" t="str">
        <f>IF(Iterations[[#This Row],[Step]] =current_step, current_Grad_b,IF(Iterations[[#This Row],[Step]] &gt; current_step, "",Iterations[[#This Row],[Grad_b]]))</f>
        <v/>
      </c>
      <c r="P1055" s="2" t="str">
        <f>IF(Iterations[[#This Row],[Step]] =current_step, current_Grad_c,IF(Iterations[[#This Row],[Step]] &gt; current_step, "",Iterations[[#This Row],[Grad_c]]))</f>
        <v/>
      </c>
      <c r="Q1055" s="2" t="str">
        <f>IF(Iterations[[#This Row],[Step]] =current_step, current_Grad_d,IF(Iterations[[#This Row],[Step]] &gt; current_step, "",Iterations[[#This Row],[Grad_d]]))</f>
        <v/>
      </c>
      <c r="R1055" s="2" t="str">
        <f>IF(Iterations[[#This Row],[Step]] =current_step, current_Grad_e,IF(Iterations[[#This Row],[Step]] &gt; current_step, "",Iterations[[#This Row],[Grad_e]]))</f>
        <v/>
      </c>
    </row>
    <row r="1056" spans="6:18" x14ac:dyDescent="0.3">
      <c r="F1056" s="2">
        <f t="shared" si="21"/>
        <v>1039</v>
      </c>
      <c r="G1056" s="2" t="str">
        <f>IF(Iterations[[#This Row],[Step]] =current_step, current_a,IF(Iterations[[#This Row],[Step]] &gt; current_step, "",Iterations[[#This Row],[a]]))</f>
        <v/>
      </c>
      <c r="H1056" s="2" t="str">
        <f>IF(Iterations[[#This Row],[Step]] =current_step, current_b,IF(Iterations[[#This Row],[Step]] &gt; current_step, "",Iterations[[#This Row],[b]]))</f>
        <v/>
      </c>
      <c r="I1056" s="2" t="str">
        <f>IF(Iterations[[#This Row],[Step]] =current_step, current_c,IF(Iterations[[#This Row],[Step]] &gt; current_step, "",Iterations[[#This Row],[c]]))</f>
        <v/>
      </c>
      <c r="J1056" s="2" t="str">
        <f>IF(Iterations[[#This Row],[Step]] =current_step, current_d,IF(Iterations[[#This Row],[Step]] &gt; current_step, "",Iterations[[#This Row],[d]]))</f>
        <v/>
      </c>
      <c r="K1056" s="2" t="str">
        <f>IF(Iterations[[#This Row],[Step]] =current_step, current_e,IF(Iterations[[#This Row],[Step]] &gt; current_step, "",Iterations[[#This Row],[e]]))</f>
        <v/>
      </c>
      <c r="L1056" s="2" t="str">
        <f>IF(Iterations[[#This Row],[Step]] =current_step, current_Total_Loss,IF(Iterations[[#This Row],[Step]] &gt; current_step, "",Iterations[[#This Row],[Total Loss]]))</f>
        <v/>
      </c>
      <c r="M1056" s="6" t="s">
        <v>27</v>
      </c>
      <c r="N1056" s="2" t="str">
        <f>IF(Iterations[[#This Row],[Step]] =current_step, current_Grad_a,IF(Iterations[[#This Row],[Step]] &gt; current_step, "",Iterations[[#This Row],[Grad_a]]))</f>
        <v/>
      </c>
      <c r="O1056" s="2" t="str">
        <f>IF(Iterations[[#This Row],[Step]] =current_step, current_Grad_b,IF(Iterations[[#This Row],[Step]] &gt; current_step, "",Iterations[[#This Row],[Grad_b]]))</f>
        <v/>
      </c>
      <c r="P1056" s="2" t="str">
        <f>IF(Iterations[[#This Row],[Step]] =current_step, current_Grad_c,IF(Iterations[[#This Row],[Step]] &gt; current_step, "",Iterations[[#This Row],[Grad_c]]))</f>
        <v/>
      </c>
      <c r="Q1056" s="2" t="str">
        <f>IF(Iterations[[#This Row],[Step]] =current_step, current_Grad_d,IF(Iterations[[#This Row],[Step]] &gt; current_step, "",Iterations[[#This Row],[Grad_d]]))</f>
        <v/>
      </c>
      <c r="R1056" s="2" t="str">
        <f>IF(Iterations[[#This Row],[Step]] =current_step, current_Grad_e,IF(Iterations[[#This Row],[Step]] &gt; current_step, "",Iterations[[#This Row],[Grad_e]]))</f>
        <v/>
      </c>
    </row>
    <row r="1057" spans="6:18" x14ac:dyDescent="0.3">
      <c r="F1057" s="2">
        <f t="shared" si="21"/>
        <v>1040</v>
      </c>
      <c r="G1057" s="2" t="str">
        <f>IF(Iterations[[#This Row],[Step]] =current_step, current_a,IF(Iterations[[#This Row],[Step]] &gt; current_step, "",Iterations[[#This Row],[a]]))</f>
        <v/>
      </c>
      <c r="H1057" s="2" t="str">
        <f>IF(Iterations[[#This Row],[Step]] =current_step, current_b,IF(Iterations[[#This Row],[Step]] &gt; current_step, "",Iterations[[#This Row],[b]]))</f>
        <v/>
      </c>
      <c r="I1057" s="2" t="str">
        <f>IF(Iterations[[#This Row],[Step]] =current_step, current_c,IF(Iterations[[#This Row],[Step]] &gt; current_step, "",Iterations[[#This Row],[c]]))</f>
        <v/>
      </c>
      <c r="J1057" s="2" t="str">
        <f>IF(Iterations[[#This Row],[Step]] =current_step, current_d,IF(Iterations[[#This Row],[Step]] &gt; current_step, "",Iterations[[#This Row],[d]]))</f>
        <v/>
      </c>
      <c r="K1057" s="2" t="str">
        <f>IF(Iterations[[#This Row],[Step]] =current_step, current_e,IF(Iterations[[#This Row],[Step]] &gt; current_step, "",Iterations[[#This Row],[e]]))</f>
        <v/>
      </c>
      <c r="L1057" s="2" t="str">
        <f>IF(Iterations[[#This Row],[Step]] =current_step, current_Total_Loss,IF(Iterations[[#This Row],[Step]] &gt; current_step, "",Iterations[[#This Row],[Total Loss]]))</f>
        <v/>
      </c>
      <c r="M1057" s="6" t="s">
        <v>27</v>
      </c>
      <c r="N1057" s="2" t="str">
        <f>IF(Iterations[[#This Row],[Step]] =current_step, current_Grad_a,IF(Iterations[[#This Row],[Step]] &gt; current_step, "",Iterations[[#This Row],[Grad_a]]))</f>
        <v/>
      </c>
      <c r="O1057" s="2" t="str">
        <f>IF(Iterations[[#This Row],[Step]] =current_step, current_Grad_b,IF(Iterations[[#This Row],[Step]] &gt; current_step, "",Iterations[[#This Row],[Grad_b]]))</f>
        <v/>
      </c>
      <c r="P1057" s="2" t="str">
        <f>IF(Iterations[[#This Row],[Step]] =current_step, current_Grad_c,IF(Iterations[[#This Row],[Step]] &gt; current_step, "",Iterations[[#This Row],[Grad_c]]))</f>
        <v/>
      </c>
      <c r="Q1057" s="2" t="str">
        <f>IF(Iterations[[#This Row],[Step]] =current_step, current_Grad_d,IF(Iterations[[#This Row],[Step]] &gt; current_step, "",Iterations[[#This Row],[Grad_d]]))</f>
        <v/>
      </c>
      <c r="R1057" s="2" t="str">
        <f>IF(Iterations[[#This Row],[Step]] =current_step, current_Grad_e,IF(Iterations[[#This Row],[Step]] &gt; current_step, "",Iterations[[#This Row],[Grad_e]]))</f>
        <v/>
      </c>
    </row>
    <row r="1058" spans="6:18" x14ac:dyDescent="0.3">
      <c r="F1058" s="2">
        <f t="shared" si="21"/>
        <v>1041</v>
      </c>
      <c r="G1058" s="2" t="str">
        <f>IF(Iterations[[#This Row],[Step]] =current_step, current_a,IF(Iterations[[#This Row],[Step]] &gt; current_step, "",Iterations[[#This Row],[a]]))</f>
        <v/>
      </c>
      <c r="H1058" s="2" t="str">
        <f>IF(Iterations[[#This Row],[Step]] =current_step, current_b,IF(Iterations[[#This Row],[Step]] &gt; current_step, "",Iterations[[#This Row],[b]]))</f>
        <v/>
      </c>
      <c r="I1058" s="2" t="str">
        <f>IF(Iterations[[#This Row],[Step]] =current_step, current_c,IF(Iterations[[#This Row],[Step]] &gt; current_step, "",Iterations[[#This Row],[c]]))</f>
        <v/>
      </c>
      <c r="J1058" s="2" t="str">
        <f>IF(Iterations[[#This Row],[Step]] =current_step, current_d,IF(Iterations[[#This Row],[Step]] &gt; current_step, "",Iterations[[#This Row],[d]]))</f>
        <v/>
      </c>
      <c r="K1058" s="2" t="str">
        <f>IF(Iterations[[#This Row],[Step]] =current_step, current_e,IF(Iterations[[#This Row],[Step]] &gt; current_step, "",Iterations[[#This Row],[e]]))</f>
        <v/>
      </c>
      <c r="L1058" s="2" t="str">
        <f>IF(Iterations[[#This Row],[Step]] =current_step, current_Total_Loss,IF(Iterations[[#This Row],[Step]] &gt; current_step, "",Iterations[[#This Row],[Total Loss]]))</f>
        <v/>
      </c>
      <c r="M1058" s="6" t="s">
        <v>27</v>
      </c>
      <c r="N1058" s="2" t="str">
        <f>IF(Iterations[[#This Row],[Step]] =current_step, current_Grad_a,IF(Iterations[[#This Row],[Step]] &gt; current_step, "",Iterations[[#This Row],[Grad_a]]))</f>
        <v/>
      </c>
      <c r="O1058" s="2" t="str">
        <f>IF(Iterations[[#This Row],[Step]] =current_step, current_Grad_b,IF(Iterations[[#This Row],[Step]] &gt; current_step, "",Iterations[[#This Row],[Grad_b]]))</f>
        <v/>
      </c>
      <c r="P1058" s="2" t="str">
        <f>IF(Iterations[[#This Row],[Step]] =current_step, current_Grad_c,IF(Iterations[[#This Row],[Step]] &gt; current_step, "",Iterations[[#This Row],[Grad_c]]))</f>
        <v/>
      </c>
      <c r="Q1058" s="2" t="str">
        <f>IF(Iterations[[#This Row],[Step]] =current_step, current_Grad_d,IF(Iterations[[#This Row],[Step]] &gt; current_step, "",Iterations[[#This Row],[Grad_d]]))</f>
        <v/>
      </c>
      <c r="R1058" s="2" t="str">
        <f>IF(Iterations[[#This Row],[Step]] =current_step, current_Grad_e,IF(Iterations[[#This Row],[Step]] &gt; current_step, "",Iterations[[#This Row],[Grad_e]]))</f>
        <v/>
      </c>
    </row>
    <row r="1059" spans="6:18" x14ac:dyDescent="0.3">
      <c r="F1059" s="2">
        <f t="shared" si="21"/>
        <v>1042</v>
      </c>
      <c r="G1059" s="2" t="str">
        <f>IF(Iterations[[#This Row],[Step]] =current_step, current_a,IF(Iterations[[#This Row],[Step]] &gt; current_step, "",Iterations[[#This Row],[a]]))</f>
        <v/>
      </c>
      <c r="H1059" s="2" t="str">
        <f>IF(Iterations[[#This Row],[Step]] =current_step, current_b,IF(Iterations[[#This Row],[Step]] &gt; current_step, "",Iterations[[#This Row],[b]]))</f>
        <v/>
      </c>
      <c r="I1059" s="2" t="str">
        <f>IF(Iterations[[#This Row],[Step]] =current_step, current_c,IF(Iterations[[#This Row],[Step]] &gt; current_step, "",Iterations[[#This Row],[c]]))</f>
        <v/>
      </c>
      <c r="J1059" s="2" t="str">
        <f>IF(Iterations[[#This Row],[Step]] =current_step, current_d,IF(Iterations[[#This Row],[Step]] &gt; current_step, "",Iterations[[#This Row],[d]]))</f>
        <v/>
      </c>
      <c r="K1059" s="2" t="str">
        <f>IF(Iterations[[#This Row],[Step]] =current_step, current_e,IF(Iterations[[#This Row],[Step]] &gt; current_step, "",Iterations[[#This Row],[e]]))</f>
        <v/>
      </c>
      <c r="L1059" s="2" t="str">
        <f>IF(Iterations[[#This Row],[Step]] =current_step, current_Total_Loss,IF(Iterations[[#This Row],[Step]] &gt; current_step, "",Iterations[[#This Row],[Total Loss]]))</f>
        <v/>
      </c>
      <c r="M1059" s="6" t="s">
        <v>27</v>
      </c>
      <c r="N1059" s="2" t="str">
        <f>IF(Iterations[[#This Row],[Step]] =current_step, current_Grad_a,IF(Iterations[[#This Row],[Step]] &gt; current_step, "",Iterations[[#This Row],[Grad_a]]))</f>
        <v/>
      </c>
      <c r="O1059" s="2" t="str">
        <f>IF(Iterations[[#This Row],[Step]] =current_step, current_Grad_b,IF(Iterations[[#This Row],[Step]] &gt; current_step, "",Iterations[[#This Row],[Grad_b]]))</f>
        <v/>
      </c>
      <c r="P1059" s="2" t="str">
        <f>IF(Iterations[[#This Row],[Step]] =current_step, current_Grad_c,IF(Iterations[[#This Row],[Step]] &gt; current_step, "",Iterations[[#This Row],[Grad_c]]))</f>
        <v/>
      </c>
      <c r="Q1059" s="2" t="str">
        <f>IF(Iterations[[#This Row],[Step]] =current_step, current_Grad_d,IF(Iterations[[#This Row],[Step]] &gt; current_step, "",Iterations[[#This Row],[Grad_d]]))</f>
        <v/>
      </c>
      <c r="R1059" s="2" t="str">
        <f>IF(Iterations[[#This Row],[Step]] =current_step, current_Grad_e,IF(Iterations[[#This Row],[Step]] &gt; current_step, "",Iterations[[#This Row],[Grad_e]]))</f>
        <v/>
      </c>
    </row>
    <row r="1060" spans="6:18" x14ac:dyDescent="0.3">
      <c r="F1060" s="2">
        <f t="shared" si="21"/>
        <v>1043</v>
      </c>
      <c r="G1060" s="2" t="str">
        <f>IF(Iterations[[#This Row],[Step]] =current_step, current_a,IF(Iterations[[#This Row],[Step]] &gt; current_step, "",Iterations[[#This Row],[a]]))</f>
        <v/>
      </c>
      <c r="H1060" s="2" t="str">
        <f>IF(Iterations[[#This Row],[Step]] =current_step, current_b,IF(Iterations[[#This Row],[Step]] &gt; current_step, "",Iterations[[#This Row],[b]]))</f>
        <v/>
      </c>
      <c r="I1060" s="2" t="str">
        <f>IF(Iterations[[#This Row],[Step]] =current_step, current_c,IF(Iterations[[#This Row],[Step]] &gt; current_step, "",Iterations[[#This Row],[c]]))</f>
        <v/>
      </c>
      <c r="J1060" s="2" t="str">
        <f>IF(Iterations[[#This Row],[Step]] =current_step, current_d,IF(Iterations[[#This Row],[Step]] &gt; current_step, "",Iterations[[#This Row],[d]]))</f>
        <v/>
      </c>
      <c r="K1060" s="2" t="str">
        <f>IF(Iterations[[#This Row],[Step]] =current_step, current_e,IF(Iterations[[#This Row],[Step]] &gt; current_step, "",Iterations[[#This Row],[e]]))</f>
        <v/>
      </c>
      <c r="L1060" s="2" t="str">
        <f>IF(Iterations[[#This Row],[Step]] =current_step, current_Total_Loss,IF(Iterations[[#This Row],[Step]] &gt; current_step, "",Iterations[[#This Row],[Total Loss]]))</f>
        <v/>
      </c>
      <c r="M1060" s="6" t="s">
        <v>27</v>
      </c>
      <c r="N1060" s="2" t="str">
        <f>IF(Iterations[[#This Row],[Step]] =current_step, current_Grad_a,IF(Iterations[[#This Row],[Step]] &gt; current_step, "",Iterations[[#This Row],[Grad_a]]))</f>
        <v/>
      </c>
      <c r="O1060" s="2" t="str">
        <f>IF(Iterations[[#This Row],[Step]] =current_step, current_Grad_b,IF(Iterations[[#This Row],[Step]] &gt; current_step, "",Iterations[[#This Row],[Grad_b]]))</f>
        <v/>
      </c>
      <c r="P1060" s="2" t="str">
        <f>IF(Iterations[[#This Row],[Step]] =current_step, current_Grad_c,IF(Iterations[[#This Row],[Step]] &gt; current_step, "",Iterations[[#This Row],[Grad_c]]))</f>
        <v/>
      </c>
      <c r="Q1060" s="2" t="str">
        <f>IF(Iterations[[#This Row],[Step]] =current_step, current_Grad_d,IF(Iterations[[#This Row],[Step]] &gt; current_step, "",Iterations[[#This Row],[Grad_d]]))</f>
        <v/>
      </c>
      <c r="R1060" s="2" t="str">
        <f>IF(Iterations[[#This Row],[Step]] =current_step, current_Grad_e,IF(Iterations[[#This Row],[Step]] &gt; current_step, "",Iterations[[#This Row],[Grad_e]]))</f>
        <v/>
      </c>
    </row>
    <row r="1061" spans="6:18" x14ac:dyDescent="0.3">
      <c r="F1061" s="2">
        <f t="shared" si="21"/>
        <v>1044</v>
      </c>
      <c r="G1061" s="2" t="str">
        <f>IF(Iterations[[#This Row],[Step]] =current_step, current_a,IF(Iterations[[#This Row],[Step]] &gt; current_step, "",Iterations[[#This Row],[a]]))</f>
        <v/>
      </c>
      <c r="H1061" s="2" t="str">
        <f>IF(Iterations[[#This Row],[Step]] =current_step, current_b,IF(Iterations[[#This Row],[Step]] &gt; current_step, "",Iterations[[#This Row],[b]]))</f>
        <v/>
      </c>
      <c r="I1061" s="2" t="str">
        <f>IF(Iterations[[#This Row],[Step]] =current_step, current_c,IF(Iterations[[#This Row],[Step]] &gt; current_step, "",Iterations[[#This Row],[c]]))</f>
        <v/>
      </c>
      <c r="J1061" s="2" t="str">
        <f>IF(Iterations[[#This Row],[Step]] =current_step, current_d,IF(Iterations[[#This Row],[Step]] &gt; current_step, "",Iterations[[#This Row],[d]]))</f>
        <v/>
      </c>
      <c r="K1061" s="2" t="str">
        <f>IF(Iterations[[#This Row],[Step]] =current_step, current_e,IF(Iterations[[#This Row],[Step]] &gt; current_step, "",Iterations[[#This Row],[e]]))</f>
        <v/>
      </c>
      <c r="L1061" s="2" t="str">
        <f>IF(Iterations[[#This Row],[Step]] =current_step, current_Total_Loss,IF(Iterations[[#This Row],[Step]] &gt; current_step, "",Iterations[[#This Row],[Total Loss]]))</f>
        <v/>
      </c>
      <c r="M1061" s="6" t="s">
        <v>27</v>
      </c>
      <c r="N1061" s="2" t="str">
        <f>IF(Iterations[[#This Row],[Step]] =current_step, current_Grad_a,IF(Iterations[[#This Row],[Step]] &gt; current_step, "",Iterations[[#This Row],[Grad_a]]))</f>
        <v/>
      </c>
      <c r="O1061" s="2" t="str">
        <f>IF(Iterations[[#This Row],[Step]] =current_step, current_Grad_b,IF(Iterations[[#This Row],[Step]] &gt; current_step, "",Iterations[[#This Row],[Grad_b]]))</f>
        <v/>
      </c>
      <c r="P1061" s="2" t="str">
        <f>IF(Iterations[[#This Row],[Step]] =current_step, current_Grad_c,IF(Iterations[[#This Row],[Step]] &gt; current_step, "",Iterations[[#This Row],[Grad_c]]))</f>
        <v/>
      </c>
      <c r="Q1061" s="2" t="str">
        <f>IF(Iterations[[#This Row],[Step]] =current_step, current_Grad_d,IF(Iterations[[#This Row],[Step]] &gt; current_step, "",Iterations[[#This Row],[Grad_d]]))</f>
        <v/>
      </c>
      <c r="R1061" s="2" t="str">
        <f>IF(Iterations[[#This Row],[Step]] =current_step, current_Grad_e,IF(Iterations[[#This Row],[Step]] &gt; current_step, "",Iterations[[#This Row],[Grad_e]]))</f>
        <v/>
      </c>
    </row>
    <row r="1062" spans="6:18" x14ac:dyDescent="0.3">
      <c r="F1062" s="2">
        <f t="shared" si="21"/>
        <v>1045</v>
      </c>
      <c r="G1062" s="2" t="str">
        <f>IF(Iterations[[#This Row],[Step]] =current_step, current_a,IF(Iterations[[#This Row],[Step]] &gt; current_step, "",Iterations[[#This Row],[a]]))</f>
        <v/>
      </c>
      <c r="H1062" s="2" t="str">
        <f>IF(Iterations[[#This Row],[Step]] =current_step, current_b,IF(Iterations[[#This Row],[Step]] &gt; current_step, "",Iterations[[#This Row],[b]]))</f>
        <v/>
      </c>
      <c r="I1062" s="2" t="str">
        <f>IF(Iterations[[#This Row],[Step]] =current_step, current_c,IF(Iterations[[#This Row],[Step]] &gt; current_step, "",Iterations[[#This Row],[c]]))</f>
        <v/>
      </c>
      <c r="J1062" s="2" t="str">
        <f>IF(Iterations[[#This Row],[Step]] =current_step, current_d,IF(Iterations[[#This Row],[Step]] &gt; current_step, "",Iterations[[#This Row],[d]]))</f>
        <v/>
      </c>
      <c r="K1062" s="2" t="str">
        <f>IF(Iterations[[#This Row],[Step]] =current_step, current_e,IF(Iterations[[#This Row],[Step]] &gt; current_step, "",Iterations[[#This Row],[e]]))</f>
        <v/>
      </c>
      <c r="L1062" s="2" t="str">
        <f>IF(Iterations[[#This Row],[Step]] =current_step, current_Total_Loss,IF(Iterations[[#This Row],[Step]] &gt; current_step, "",Iterations[[#This Row],[Total Loss]]))</f>
        <v/>
      </c>
      <c r="M1062" s="6" t="s">
        <v>27</v>
      </c>
      <c r="N1062" s="2" t="str">
        <f>IF(Iterations[[#This Row],[Step]] =current_step, current_Grad_a,IF(Iterations[[#This Row],[Step]] &gt; current_step, "",Iterations[[#This Row],[Grad_a]]))</f>
        <v/>
      </c>
      <c r="O1062" s="2" t="str">
        <f>IF(Iterations[[#This Row],[Step]] =current_step, current_Grad_b,IF(Iterations[[#This Row],[Step]] &gt; current_step, "",Iterations[[#This Row],[Grad_b]]))</f>
        <v/>
      </c>
      <c r="P1062" s="2" t="str">
        <f>IF(Iterations[[#This Row],[Step]] =current_step, current_Grad_c,IF(Iterations[[#This Row],[Step]] &gt; current_step, "",Iterations[[#This Row],[Grad_c]]))</f>
        <v/>
      </c>
      <c r="Q1062" s="2" t="str">
        <f>IF(Iterations[[#This Row],[Step]] =current_step, current_Grad_d,IF(Iterations[[#This Row],[Step]] &gt; current_step, "",Iterations[[#This Row],[Grad_d]]))</f>
        <v/>
      </c>
      <c r="R1062" s="2" t="str">
        <f>IF(Iterations[[#This Row],[Step]] =current_step, current_Grad_e,IF(Iterations[[#This Row],[Step]] &gt; current_step, "",Iterations[[#This Row],[Grad_e]]))</f>
        <v/>
      </c>
    </row>
    <row r="1063" spans="6:18" x14ac:dyDescent="0.3">
      <c r="F1063" s="2">
        <f t="shared" si="21"/>
        <v>1046</v>
      </c>
      <c r="G1063" s="2" t="str">
        <f>IF(Iterations[[#This Row],[Step]] =current_step, current_a,IF(Iterations[[#This Row],[Step]] &gt; current_step, "",Iterations[[#This Row],[a]]))</f>
        <v/>
      </c>
      <c r="H1063" s="2" t="str">
        <f>IF(Iterations[[#This Row],[Step]] =current_step, current_b,IF(Iterations[[#This Row],[Step]] &gt; current_step, "",Iterations[[#This Row],[b]]))</f>
        <v/>
      </c>
      <c r="I1063" s="2" t="str">
        <f>IF(Iterations[[#This Row],[Step]] =current_step, current_c,IF(Iterations[[#This Row],[Step]] &gt; current_step, "",Iterations[[#This Row],[c]]))</f>
        <v/>
      </c>
      <c r="J1063" s="2" t="str">
        <f>IF(Iterations[[#This Row],[Step]] =current_step, current_d,IF(Iterations[[#This Row],[Step]] &gt; current_step, "",Iterations[[#This Row],[d]]))</f>
        <v/>
      </c>
      <c r="K1063" s="2" t="str">
        <f>IF(Iterations[[#This Row],[Step]] =current_step, current_e,IF(Iterations[[#This Row],[Step]] &gt; current_step, "",Iterations[[#This Row],[e]]))</f>
        <v/>
      </c>
      <c r="L1063" s="2" t="str">
        <f>IF(Iterations[[#This Row],[Step]] =current_step, current_Total_Loss,IF(Iterations[[#This Row],[Step]] &gt; current_step, "",Iterations[[#This Row],[Total Loss]]))</f>
        <v/>
      </c>
      <c r="M1063" s="6" t="s">
        <v>27</v>
      </c>
      <c r="N1063" s="2" t="str">
        <f>IF(Iterations[[#This Row],[Step]] =current_step, current_Grad_a,IF(Iterations[[#This Row],[Step]] &gt; current_step, "",Iterations[[#This Row],[Grad_a]]))</f>
        <v/>
      </c>
      <c r="O1063" s="2" t="str">
        <f>IF(Iterations[[#This Row],[Step]] =current_step, current_Grad_b,IF(Iterations[[#This Row],[Step]] &gt; current_step, "",Iterations[[#This Row],[Grad_b]]))</f>
        <v/>
      </c>
      <c r="P1063" s="2" t="str">
        <f>IF(Iterations[[#This Row],[Step]] =current_step, current_Grad_c,IF(Iterations[[#This Row],[Step]] &gt; current_step, "",Iterations[[#This Row],[Grad_c]]))</f>
        <v/>
      </c>
      <c r="Q1063" s="2" t="str">
        <f>IF(Iterations[[#This Row],[Step]] =current_step, current_Grad_d,IF(Iterations[[#This Row],[Step]] &gt; current_step, "",Iterations[[#This Row],[Grad_d]]))</f>
        <v/>
      </c>
      <c r="R1063" s="2" t="str">
        <f>IF(Iterations[[#This Row],[Step]] =current_step, current_Grad_e,IF(Iterations[[#This Row],[Step]] &gt; current_step, "",Iterations[[#This Row],[Grad_e]]))</f>
        <v/>
      </c>
    </row>
    <row r="1064" spans="6:18" x14ac:dyDescent="0.3">
      <c r="F1064" s="2">
        <f t="shared" si="21"/>
        <v>1047</v>
      </c>
      <c r="G1064" s="2" t="str">
        <f>IF(Iterations[[#This Row],[Step]] =current_step, current_a,IF(Iterations[[#This Row],[Step]] &gt; current_step, "",Iterations[[#This Row],[a]]))</f>
        <v/>
      </c>
      <c r="H1064" s="2" t="str">
        <f>IF(Iterations[[#This Row],[Step]] =current_step, current_b,IF(Iterations[[#This Row],[Step]] &gt; current_step, "",Iterations[[#This Row],[b]]))</f>
        <v/>
      </c>
      <c r="I1064" s="2" t="str">
        <f>IF(Iterations[[#This Row],[Step]] =current_step, current_c,IF(Iterations[[#This Row],[Step]] &gt; current_step, "",Iterations[[#This Row],[c]]))</f>
        <v/>
      </c>
      <c r="J1064" s="2" t="str">
        <f>IF(Iterations[[#This Row],[Step]] =current_step, current_d,IF(Iterations[[#This Row],[Step]] &gt; current_step, "",Iterations[[#This Row],[d]]))</f>
        <v/>
      </c>
      <c r="K1064" s="2" t="str">
        <f>IF(Iterations[[#This Row],[Step]] =current_step, current_e,IF(Iterations[[#This Row],[Step]] &gt; current_step, "",Iterations[[#This Row],[e]]))</f>
        <v/>
      </c>
      <c r="L1064" s="2" t="str">
        <f>IF(Iterations[[#This Row],[Step]] =current_step, current_Total_Loss,IF(Iterations[[#This Row],[Step]] &gt; current_step, "",Iterations[[#This Row],[Total Loss]]))</f>
        <v/>
      </c>
      <c r="M1064" s="6" t="s">
        <v>27</v>
      </c>
      <c r="N1064" s="2" t="str">
        <f>IF(Iterations[[#This Row],[Step]] =current_step, current_Grad_a,IF(Iterations[[#This Row],[Step]] &gt; current_step, "",Iterations[[#This Row],[Grad_a]]))</f>
        <v/>
      </c>
      <c r="O1064" s="2" t="str">
        <f>IF(Iterations[[#This Row],[Step]] =current_step, current_Grad_b,IF(Iterations[[#This Row],[Step]] &gt; current_step, "",Iterations[[#This Row],[Grad_b]]))</f>
        <v/>
      </c>
      <c r="P1064" s="2" t="str">
        <f>IF(Iterations[[#This Row],[Step]] =current_step, current_Grad_c,IF(Iterations[[#This Row],[Step]] &gt; current_step, "",Iterations[[#This Row],[Grad_c]]))</f>
        <v/>
      </c>
      <c r="Q1064" s="2" t="str">
        <f>IF(Iterations[[#This Row],[Step]] =current_step, current_Grad_d,IF(Iterations[[#This Row],[Step]] &gt; current_step, "",Iterations[[#This Row],[Grad_d]]))</f>
        <v/>
      </c>
      <c r="R1064" s="2" t="str">
        <f>IF(Iterations[[#This Row],[Step]] =current_step, current_Grad_e,IF(Iterations[[#This Row],[Step]] &gt; current_step, "",Iterations[[#This Row],[Grad_e]]))</f>
        <v/>
      </c>
    </row>
    <row r="1065" spans="6:18" x14ac:dyDescent="0.3">
      <c r="F1065" s="2">
        <f t="shared" si="21"/>
        <v>1048</v>
      </c>
      <c r="G1065" s="2" t="str">
        <f>IF(Iterations[[#This Row],[Step]] =current_step, current_a,IF(Iterations[[#This Row],[Step]] &gt; current_step, "",Iterations[[#This Row],[a]]))</f>
        <v/>
      </c>
      <c r="H1065" s="2" t="str">
        <f>IF(Iterations[[#This Row],[Step]] =current_step, current_b,IF(Iterations[[#This Row],[Step]] &gt; current_step, "",Iterations[[#This Row],[b]]))</f>
        <v/>
      </c>
      <c r="I1065" s="2" t="str">
        <f>IF(Iterations[[#This Row],[Step]] =current_step, current_c,IF(Iterations[[#This Row],[Step]] &gt; current_step, "",Iterations[[#This Row],[c]]))</f>
        <v/>
      </c>
      <c r="J1065" s="2" t="str">
        <f>IF(Iterations[[#This Row],[Step]] =current_step, current_d,IF(Iterations[[#This Row],[Step]] &gt; current_step, "",Iterations[[#This Row],[d]]))</f>
        <v/>
      </c>
      <c r="K1065" s="2" t="str">
        <f>IF(Iterations[[#This Row],[Step]] =current_step, current_e,IF(Iterations[[#This Row],[Step]] &gt; current_step, "",Iterations[[#This Row],[e]]))</f>
        <v/>
      </c>
      <c r="L1065" s="2" t="str">
        <f>IF(Iterations[[#This Row],[Step]] =current_step, current_Total_Loss,IF(Iterations[[#This Row],[Step]] &gt; current_step, "",Iterations[[#This Row],[Total Loss]]))</f>
        <v/>
      </c>
      <c r="M1065" s="6" t="s">
        <v>27</v>
      </c>
      <c r="N1065" s="2" t="str">
        <f>IF(Iterations[[#This Row],[Step]] =current_step, current_Grad_a,IF(Iterations[[#This Row],[Step]] &gt; current_step, "",Iterations[[#This Row],[Grad_a]]))</f>
        <v/>
      </c>
      <c r="O1065" s="2" t="str">
        <f>IF(Iterations[[#This Row],[Step]] =current_step, current_Grad_b,IF(Iterations[[#This Row],[Step]] &gt; current_step, "",Iterations[[#This Row],[Grad_b]]))</f>
        <v/>
      </c>
      <c r="P1065" s="2" t="str">
        <f>IF(Iterations[[#This Row],[Step]] =current_step, current_Grad_c,IF(Iterations[[#This Row],[Step]] &gt; current_step, "",Iterations[[#This Row],[Grad_c]]))</f>
        <v/>
      </c>
      <c r="Q1065" s="2" t="str">
        <f>IF(Iterations[[#This Row],[Step]] =current_step, current_Grad_d,IF(Iterations[[#This Row],[Step]] &gt; current_step, "",Iterations[[#This Row],[Grad_d]]))</f>
        <v/>
      </c>
      <c r="R1065" s="2" t="str">
        <f>IF(Iterations[[#This Row],[Step]] =current_step, current_Grad_e,IF(Iterations[[#This Row],[Step]] &gt; current_step, "",Iterations[[#This Row],[Grad_e]]))</f>
        <v/>
      </c>
    </row>
    <row r="1066" spans="6:18" x14ac:dyDescent="0.3">
      <c r="F1066" s="2">
        <f t="shared" si="21"/>
        <v>1049</v>
      </c>
      <c r="G1066" s="2" t="str">
        <f>IF(Iterations[[#This Row],[Step]] =current_step, current_a,IF(Iterations[[#This Row],[Step]] &gt; current_step, "",Iterations[[#This Row],[a]]))</f>
        <v/>
      </c>
      <c r="H1066" s="2" t="str">
        <f>IF(Iterations[[#This Row],[Step]] =current_step, current_b,IF(Iterations[[#This Row],[Step]] &gt; current_step, "",Iterations[[#This Row],[b]]))</f>
        <v/>
      </c>
      <c r="I1066" s="2" t="str">
        <f>IF(Iterations[[#This Row],[Step]] =current_step, current_c,IF(Iterations[[#This Row],[Step]] &gt; current_step, "",Iterations[[#This Row],[c]]))</f>
        <v/>
      </c>
      <c r="J1066" s="2" t="str">
        <f>IF(Iterations[[#This Row],[Step]] =current_step, current_d,IF(Iterations[[#This Row],[Step]] &gt; current_step, "",Iterations[[#This Row],[d]]))</f>
        <v/>
      </c>
      <c r="K1066" s="2" t="str">
        <f>IF(Iterations[[#This Row],[Step]] =current_step, current_e,IF(Iterations[[#This Row],[Step]] &gt; current_step, "",Iterations[[#This Row],[e]]))</f>
        <v/>
      </c>
      <c r="L1066" s="2" t="str">
        <f>IF(Iterations[[#This Row],[Step]] =current_step, current_Total_Loss,IF(Iterations[[#This Row],[Step]] &gt; current_step, "",Iterations[[#This Row],[Total Loss]]))</f>
        <v/>
      </c>
      <c r="M1066" s="6" t="s">
        <v>27</v>
      </c>
      <c r="N1066" s="2" t="str">
        <f>IF(Iterations[[#This Row],[Step]] =current_step, current_Grad_a,IF(Iterations[[#This Row],[Step]] &gt; current_step, "",Iterations[[#This Row],[Grad_a]]))</f>
        <v/>
      </c>
      <c r="O1066" s="2" t="str">
        <f>IF(Iterations[[#This Row],[Step]] =current_step, current_Grad_b,IF(Iterations[[#This Row],[Step]] &gt; current_step, "",Iterations[[#This Row],[Grad_b]]))</f>
        <v/>
      </c>
      <c r="P1066" s="2" t="str">
        <f>IF(Iterations[[#This Row],[Step]] =current_step, current_Grad_c,IF(Iterations[[#This Row],[Step]] &gt; current_step, "",Iterations[[#This Row],[Grad_c]]))</f>
        <v/>
      </c>
      <c r="Q1066" s="2" t="str">
        <f>IF(Iterations[[#This Row],[Step]] =current_step, current_Grad_d,IF(Iterations[[#This Row],[Step]] &gt; current_step, "",Iterations[[#This Row],[Grad_d]]))</f>
        <v/>
      </c>
      <c r="R1066" s="2" t="str">
        <f>IF(Iterations[[#This Row],[Step]] =current_step, current_Grad_e,IF(Iterations[[#This Row],[Step]] &gt; current_step, "",Iterations[[#This Row],[Grad_e]]))</f>
        <v/>
      </c>
    </row>
    <row r="1067" spans="6:18" x14ac:dyDescent="0.3">
      <c r="F1067" s="2">
        <f t="shared" si="21"/>
        <v>1050</v>
      </c>
      <c r="G1067" s="2" t="str">
        <f>IF(Iterations[[#This Row],[Step]] =current_step, current_a,IF(Iterations[[#This Row],[Step]] &gt; current_step, "",Iterations[[#This Row],[a]]))</f>
        <v/>
      </c>
      <c r="H1067" s="2" t="str">
        <f>IF(Iterations[[#This Row],[Step]] =current_step, current_b,IF(Iterations[[#This Row],[Step]] &gt; current_step, "",Iterations[[#This Row],[b]]))</f>
        <v/>
      </c>
      <c r="I1067" s="2" t="str">
        <f>IF(Iterations[[#This Row],[Step]] =current_step, current_c,IF(Iterations[[#This Row],[Step]] &gt; current_step, "",Iterations[[#This Row],[c]]))</f>
        <v/>
      </c>
      <c r="J1067" s="2" t="str">
        <f>IF(Iterations[[#This Row],[Step]] =current_step, current_d,IF(Iterations[[#This Row],[Step]] &gt; current_step, "",Iterations[[#This Row],[d]]))</f>
        <v/>
      </c>
      <c r="K1067" s="2" t="str">
        <f>IF(Iterations[[#This Row],[Step]] =current_step, current_e,IF(Iterations[[#This Row],[Step]] &gt; current_step, "",Iterations[[#This Row],[e]]))</f>
        <v/>
      </c>
      <c r="L1067" s="2" t="str">
        <f>IF(Iterations[[#This Row],[Step]] =current_step, current_Total_Loss,IF(Iterations[[#This Row],[Step]] &gt; current_step, "",Iterations[[#This Row],[Total Loss]]))</f>
        <v/>
      </c>
      <c r="M1067" s="6" t="s">
        <v>27</v>
      </c>
      <c r="N1067" s="2" t="str">
        <f>IF(Iterations[[#This Row],[Step]] =current_step, current_Grad_a,IF(Iterations[[#This Row],[Step]] &gt; current_step, "",Iterations[[#This Row],[Grad_a]]))</f>
        <v/>
      </c>
      <c r="O1067" s="2" t="str">
        <f>IF(Iterations[[#This Row],[Step]] =current_step, current_Grad_b,IF(Iterations[[#This Row],[Step]] &gt; current_step, "",Iterations[[#This Row],[Grad_b]]))</f>
        <v/>
      </c>
      <c r="P1067" s="2" t="str">
        <f>IF(Iterations[[#This Row],[Step]] =current_step, current_Grad_c,IF(Iterations[[#This Row],[Step]] &gt; current_step, "",Iterations[[#This Row],[Grad_c]]))</f>
        <v/>
      </c>
      <c r="Q1067" s="2" t="str">
        <f>IF(Iterations[[#This Row],[Step]] =current_step, current_Grad_d,IF(Iterations[[#This Row],[Step]] &gt; current_step, "",Iterations[[#This Row],[Grad_d]]))</f>
        <v/>
      </c>
      <c r="R1067" s="2" t="str">
        <f>IF(Iterations[[#This Row],[Step]] =current_step, current_Grad_e,IF(Iterations[[#This Row],[Step]] &gt; current_step, "",Iterations[[#This Row],[Grad_e]]))</f>
        <v/>
      </c>
    </row>
    <row r="1068" spans="6:18" x14ac:dyDescent="0.3">
      <c r="F1068" s="2">
        <f t="shared" si="21"/>
        <v>1051</v>
      </c>
      <c r="G1068" s="2" t="str">
        <f>IF(Iterations[[#This Row],[Step]] =current_step, current_a,IF(Iterations[[#This Row],[Step]] &gt; current_step, "",Iterations[[#This Row],[a]]))</f>
        <v/>
      </c>
      <c r="H1068" s="2" t="str">
        <f>IF(Iterations[[#This Row],[Step]] =current_step, current_b,IF(Iterations[[#This Row],[Step]] &gt; current_step, "",Iterations[[#This Row],[b]]))</f>
        <v/>
      </c>
      <c r="I1068" s="2" t="str">
        <f>IF(Iterations[[#This Row],[Step]] =current_step, current_c,IF(Iterations[[#This Row],[Step]] &gt; current_step, "",Iterations[[#This Row],[c]]))</f>
        <v/>
      </c>
      <c r="J1068" s="2" t="str">
        <f>IF(Iterations[[#This Row],[Step]] =current_step, current_d,IF(Iterations[[#This Row],[Step]] &gt; current_step, "",Iterations[[#This Row],[d]]))</f>
        <v/>
      </c>
      <c r="K1068" s="2" t="str">
        <f>IF(Iterations[[#This Row],[Step]] =current_step, current_e,IF(Iterations[[#This Row],[Step]] &gt; current_step, "",Iterations[[#This Row],[e]]))</f>
        <v/>
      </c>
      <c r="L1068" s="2" t="str">
        <f>IF(Iterations[[#This Row],[Step]] =current_step, current_Total_Loss,IF(Iterations[[#This Row],[Step]] &gt; current_step, "",Iterations[[#This Row],[Total Loss]]))</f>
        <v/>
      </c>
      <c r="M1068" s="6" t="s">
        <v>27</v>
      </c>
      <c r="N1068" s="2" t="str">
        <f>IF(Iterations[[#This Row],[Step]] =current_step, current_Grad_a,IF(Iterations[[#This Row],[Step]] &gt; current_step, "",Iterations[[#This Row],[Grad_a]]))</f>
        <v/>
      </c>
      <c r="O1068" s="2" t="str">
        <f>IF(Iterations[[#This Row],[Step]] =current_step, current_Grad_b,IF(Iterations[[#This Row],[Step]] &gt; current_step, "",Iterations[[#This Row],[Grad_b]]))</f>
        <v/>
      </c>
      <c r="P1068" s="2" t="str">
        <f>IF(Iterations[[#This Row],[Step]] =current_step, current_Grad_c,IF(Iterations[[#This Row],[Step]] &gt; current_step, "",Iterations[[#This Row],[Grad_c]]))</f>
        <v/>
      </c>
      <c r="Q1068" s="2" t="str">
        <f>IF(Iterations[[#This Row],[Step]] =current_step, current_Grad_d,IF(Iterations[[#This Row],[Step]] &gt; current_step, "",Iterations[[#This Row],[Grad_d]]))</f>
        <v/>
      </c>
      <c r="R1068" s="2" t="str">
        <f>IF(Iterations[[#This Row],[Step]] =current_step, current_Grad_e,IF(Iterations[[#This Row],[Step]] &gt; current_step, "",Iterations[[#This Row],[Grad_e]]))</f>
        <v/>
      </c>
    </row>
    <row r="1069" spans="6:18" x14ac:dyDescent="0.3">
      <c r="F1069" s="2">
        <f t="shared" si="21"/>
        <v>1052</v>
      </c>
      <c r="G1069" s="2" t="str">
        <f>IF(Iterations[[#This Row],[Step]] =current_step, current_a,IF(Iterations[[#This Row],[Step]] &gt; current_step, "",Iterations[[#This Row],[a]]))</f>
        <v/>
      </c>
      <c r="H1069" s="2" t="str">
        <f>IF(Iterations[[#This Row],[Step]] =current_step, current_b,IF(Iterations[[#This Row],[Step]] &gt; current_step, "",Iterations[[#This Row],[b]]))</f>
        <v/>
      </c>
      <c r="I1069" s="2" t="str">
        <f>IF(Iterations[[#This Row],[Step]] =current_step, current_c,IF(Iterations[[#This Row],[Step]] &gt; current_step, "",Iterations[[#This Row],[c]]))</f>
        <v/>
      </c>
      <c r="J1069" s="2" t="str">
        <f>IF(Iterations[[#This Row],[Step]] =current_step, current_d,IF(Iterations[[#This Row],[Step]] &gt; current_step, "",Iterations[[#This Row],[d]]))</f>
        <v/>
      </c>
      <c r="K1069" s="2" t="str">
        <f>IF(Iterations[[#This Row],[Step]] =current_step, current_e,IF(Iterations[[#This Row],[Step]] &gt; current_step, "",Iterations[[#This Row],[e]]))</f>
        <v/>
      </c>
      <c r="L1069" s="2" t="str">
        <f>IF(Iterations[[#This Row],[Step]] =current_step, current_Total_Loss,IF(Iterations[[#This Row],[Step]] &gt; current_step, "",Iterations[[#This Row],[Total Loss]]))</f>
        <v/>
      </c>
      <c r="M1069" s="6" t="s">
        <v>27</v>
      </c>
      <c r="N1069" s="2" t="str">
        <f>IF(Iterations[[#This Row],[Step]] =current_step, current_Grad_a,IF(Iterations[[#This Row],[Step]] &gt; current_step, "",Iterations[[#This Row],[Grad_a]]))</f>
        <v/>
      </c>
      <c r="O1069" s="2" t="str">
        <f>IF(Iterations[[#This Row],[Step]] =current_step, current_Grad_b,IF(Iterations[[#This Row],[Step]] &gt; current_step, "",Iterations[[#This Row],[Grad_b]]))</f>
        <v/>
      </c>
      <c r="P1069" s="2" t="str">
        <f>IF(Iterations[[#This Row],[Step]] =current_step, current_Grad_c,IF(Iterations[[#This Row],[Step]] &gt; current_step, "",Iterations[[#This Row],[Grad_c]]))</f>
        <v/>
      </c>
      <c r="Q1069" s="2" t="str">
        <f>IF(Iterations[[#This Row],[Step]] =current_step, current_Grad_d,IF(Iterations[[#This Row],[Step]] &gt; current_step, "",Iterations[[#This Row],[Grad_d]]))</f>
        <v/>
      </c>
      <c r="R1069" s="2" t="str">
        <f>IF(Iterations[[#This Row],[Step]] =current_step, current_Grad_e,IF(Iterations[[#This Row],[Step]] &gt; current_step, "",Iterations[[#This Row],[Grad_e]]))</f>
        <v/>
      </c>
    </row>
    <row r="1070" spans="6:18" x14ac:dyDescent="0.3">
      <c r="F1070" s="2">
        <f t="shared" si="21"/>
        <v>1053</v>
      </c>
      <c r="G1070" s="2" t="str">
        <f>IF(Iterations[[#This Row],[Step]] =current_step, current_a,IF(Iterations[[#This Row],[Step]] &gt; current_step, "",Iterations[[#This Row],[a]]))</f>
        <v/>
      </c>
      <c r="H1070" s="2" t="str">
        <f>IF(Iterations[[#This Row],[Step]] =current_step, current_b,IF(Iterations[[#This Row],[Step]] &gt; current_step, "",Iterations[[#This Row],[b]]))</f>
        <v/>
      </c>
      <c r="I1070" s="2" t="str">
        <f>IF(Iterations[[#This Row],[Step]] =current_step, current_c,IF(Iterations[[#This Row],[Step]] &gt; current_step, "",Iterations[[#This Row],[c]]))</f>
        <v/>
      </c>
      <c r="J1070" s="2" t="str">
        <f>IF(Iterations[[#This Row],[Step]] =current_step, current_d,IF(Iterations[[#This Row],[Step]] &gt; current_step, "",Iterations[[#This Row],[d]]))</f>
        <v/>
      </c>
      <c r="K1070" s="2" t="str">
        <f>IF(Iterations[[#This Row],[Step]] =current_step, current_e,IF(Iterations[[#This Row],[Step]] &gt; current_step, "",Iterations[[#This Row],[e]]))</f>
        <v/>
      </c>
      <c r="L1070" s="2" t="str">
        <f>IF(Iterations[[#This Row],[Step]] =current_step, current_Total_Loss,IF(Iterations[[#This Row],[Step]] &gt; current_step, "",Iterations[[#This Row],[Total Loss]]))</f>
        <v/>
      </c>
      <c r="M1070" s="6" t="s">
        <v>27</v>
      </c>
      <c r="N1070" s="2" t="str">
        <f>IF(Iterations[[#This Row],[Step]] =current_step, current_Grad_a,IF(Iterations[[#This Row],[Step]] &gt; current_step, "",Iterations[[#This Row],[Grad_a]]))</f>
        <v/>
      </c>
      <c r="O1070" s="2" t="str">
        <f>IF(Iterations[[#This Row],[Step]] =current_step, current_Grad_b,IF(Iterations[[#This Row],[Step]] &gt; current_step, "",Iterations[[#This Row],[Grad_b]]))</f>
        <v/>
      </c>
      <c r="P1070" s="2" t="str">
        <f>IF(Iterations[[#This Row],[Step]] =current_step, current_Grad_c,IF(Iterations[[#This Row],[Step]] &gt; current_step, "",Iterations[[#This Row],[Grad_c]]))</f>
        <v/>
      </c>
      <c r="Q1070" s="2" t="str">
        <f>IF(Iterations[[#This Row],[Step]] =current_step, current_Grad_d,IF(Iterations[[#This Row],[Step]] &gt; current_step, "",Iterations[[#This Row],[Grad_d]]))</f>
        <v/>
      </c>
      <c r="R1070" s="2" t="str">
        <f>IF(Iterations[[#This Row],[Step]] =current_step, current_Grad_e,IF(Iterations[[#This Row],[Step]] &gt; current_step, "",Iterations[[#This Row],[Grad_e]]))</f>
        <v/>
      </c>
    </row>
    <row r="1071" spans="6:18" x14ac:dyDescent="0.3">
      <c r="F1071" s="2">
        <f t="shared" si="21"/>
        <v>1054</v>
      </c>
      <c r="G1071" s="2" t="str">
        <f>IF(Iterations[[#This Row],[Step]] =current_step, current_a,IF(Iterations[[#This Row],[Step]] &gt; current_step, "",Iterations[[#This Row],[a]]))</f>
        <v/>
      </c>
      <c r="H1071" s="2" t="str">
        <f>IF(Iterations[[#This Row],[Step]] =current_step, current_b,IF(Iterations[[#This Row],[Step]] &gt; current_step, "",Iterations[[#This Row],[b]]))</f>
        <v/>
      </c>
      <c r="I1071" s="2" t="str">
        <f>IF(Iterations[[#This Row],[Step]] =current_step, current_c,IF(Iterations[[#This Row],[Step]] &gt; current_step, "",Iterations[[#This Row],[c]]))</f>
        <v/>
      </c>
      <c r="J1071" s="2" t="str">
        <f>IF(Iterations[[#This Row],[Step]] =current_step, current_d,IF(Iterations[[#This Row],[Step]] &gt; current_step, "",Iterations[[#This Row],[d]]))</f>
        <v/>
      </c>
      <c r="K1071" s="2" t="str">
        <f>IF(Iterations[[#This Row],[Step]] =current_step, current_e,IF(Iterations[[#This Row],[Step]] &gt; current_step, "",Iterations[[#This Row],[e]]))</f>
        <v/>
      </c>
      <c r="L1071" s="2" t="str">
        <f>IF(Iterations[[#This Row],[Step]] =current_step, current_Total_Loss,IF(Iterations[[#This Row],[Step]] &gt; current_step, "",Iterations[[#This Row],[Total Loss]]))</f>
        <v/>
      </c>
      <c r="M1071" s="6" t="s">
        <v>27</v>
      </c>
      <c r="N1071" s="2" t="str">
        <f>IF(Iterations[[#This Row],[Step]] =current_step, current_Grad_a,IF(Iterations[[#This Row],[Step]] &gt; current_step, "",Iterations[[#This Row],[Grad_a]]))</f>
        <v/>
      </c>
      <c r="O1071" s="2" t="str">
        <f>IF(Iterations[[#This Row],[Step]] =current_step, current_Grad_b,IF(Iterations[[#This Row],[Step]] &gt; current_step, "",Iterations[[#This Row],[Grad_b]]))</f>
        <v/>
      </c>
      <c r="P1071" s="2" t="str">
        <f>IF(Iterations[[#This Row],[Step]] =current_step, current_Grad_c,IF(Iterations[[#This Row],[Step]] &gt; current_step, "",Iterations[[#This Row],[Grad_c]]))</f>
        <v/>
      </c>
      <c r="Q1071" s="2" t="str">
        <f>IF(Iterations[[#This Row],[Step]] =current_step, current_Grad_d,IF(Iterations[[#This Row],[Step]] &gt; current_step, "",Iterations[[#This Row],[Grad_d]]))</f>
        <v/>
      </c>
      <c r="R1071" s="2" t="str">
        <f>IF(Iterations[[#This Row],[Step]] =current_step, current_Grad_e,IF(Iterations[[#This Row],[Step]] &gt; current_step, "",Iterations[[#This Row],[Grad_e]]))</f>
        <v/>
      </c>
    </row>
    <row r="1072" spans="6:18" x14ac:dyDescent="0.3">
      <c r="F1072" s="2">
        <f t="shared" si="21"/>
        <v>1055</v>
      </c>
      <c r="G1072" s="2" t="str">
        <f>IF(Iterations[[#This Row],[Step]] =current_step, current_a,IF(Iterations[[#This Row],[Step]] &gt; current_step, "",Iterations[[#This Row],[a]]))</f>
        <v/>
      </c>
      <c r="H1072" s="2" t="str">
        <f>IF(Iterations[[#This Row],[Step]] =current_step, current_b,IF(Iterations[[#This Row],[Step]] &gt; current_step, "",Iterations[[#This Row],[b]]))</f>
        <v/>
      </c>
      <c r="I1072" s="2" t="str">
        <f>IF(Iterations[[#This Row],[Step]] =current_step, current_c,IF(Iterations[[#This Row],[Step]] &gt; current_step, "",Iterations[[#This Row],[c]]))</f>
        <v/>
      </c>
      <c r="J1072" s="2" t="str">
        <f>IF(Iterations[[#This Row],[Step]] =current_step, current_d,IF(Iterations[[#This Row],[Step]] &gt; current_step, "",Iterations[[#This Row],[d]]))</f>
        <v/>
      </c>
      <c r="K1072" s="2" t="str">
        <f>IF(Iterations[[#This Row],[Step]] =current_step, current_e,IF(Iterations[[#This Row],[Step]] &gt; current_step, "",Iterations[[#This Row],[e]]))</f>
        <v/>
      </c>
      <c r="L1072" s="2" t="str">
        <f>IF(Iterations[[#This Row],[Step]] =current_step, current_Total_Loss,IF(Iterations[[#This Row],[Step]] &gt; current_step, "",Iterations[[#This Row],[Total Loss]]))</f>
        <v/>
      </c>
      <c r="M1072" s="6" t="s">
        <v>27</v>
      </c>
      <c r="N1072" s="2" t="str">
        <f>IF(Iterations[[#This Row],[Step]] =current_step, current_Grad_a,IF(Iterations[[#This Row],[Step]] &gt; current_step, "",Iterations[[#This Row],[Grad_a]]))</f>
        <v/>
      </c>
      <c r="O1072" s="2" t="str">
        <f>IF(Iterations[[#This Row],[Step]] =current_step, current_Grad_b,IF(Iterations[[#This Row],[Step]] &gt; current_step, "",Iterations[[#This Row],[Grad_b]]))</f>
        <v/>
      </c>
      <c r="P1072" s="2" t="str">
        <f>IF(Iterations[[#This Row],[Step]] =current_step, current_Grad_c,IF(Iterations[[#This Row],[Step]] &gt; current_step, "",Iterations[[#This Row],[Grad_c]]))</f>
        <v/>
      </c>
      <c r="Q1072" s="2" t="str">
        <f>IF(Iterations[[#This Row],[Step]] =current_step, current_Grad_d,IF(Iterations[[#This Row],[Step]] &gt; current_step, "",Iterations[[#This Row],[Grad_d]]))</f>
        <v/>
      </c>
      <c r="R1072" s="2" t="str">
        <f>IF(Iterations[[#This Row],[Step]] =current_step, current_Grad_e,IF(Iterations[[#This Row],[Step]] &gt; current_step, "",Iterations[[#This Row],[Grad_e]]))</f>
        <v/>
      </c>
    </row>
    <row r="1073" spans="6:18" x14ac:dyDescent="0.3">
      <c r="F1073" s="2">
        <f t="shared" si="21"/>
        <v>1056</v>
      </c>
      <c r="G1073" s="2" t="str">
        <f>IF(Iterations[[#This Row],[Step]] =current_step, current_a,IF(Iterations[[#This Row],[Step]] &gt; current_step, "",Iterations[[#This Row],[a]]))</f>
        <v/>
      </c>
      <c r="H1073" s="2" t="str">
        <f>IF(Iterations[[#This Row],[Step]] =current_step, current_b,IF(Iterations[[#This Row],[Step]] &gt; current_step, "",Iterations[[#This Row],[b]]))</f>
        <v/>
      </c>
      <c r="I1073" s="2" t="str">
        <f>IF(Iterations[[#This Row],[Step]] =current_step, current_c,IF(Iterations[[#This Row],[Step]] &gt; current_step, "",Iterations[[#This Row],[c]]))</f>
        <v/>
      </c>
      <c r="J1073" s="2" t="str">
        <f>IF(Iterations[[#This Row],[Step]] =current_step, current_d,IF(Iterations[[#This Row],[Step]] &gt; current_step, "",Iterations[[#This Row],[d]]))</f>
        <v/>
      </c>
      <c r="K1073" s="2" t="str">
        <f>IF(Iterations[[#This Row],[Step]] =current_step, current_e,IF(Iterations[[#This Row],[Step]] &gt; current_step, "",Iterations[[#This Row],[e]]))</f>
        <v/>
      </c>
      <c r="L1073" s="2" t="str">
        <f>IF(Iterations[[#This Row],[Step]] =current_step, current_Total_Loss,IF(Iterations[[#This Row],[Step]] &gt; current_step, "",Iterations[[#This Row],[Total Loss]]))</f>
        <v/>
      </c>
      <c r="M1073" s="6" t="s">
        <v>27</v>
      </c>
      <c r="N1073" s="2" t="str">
        <f>IF(Iterations[[#This Row],[Step]] =current_step, current_Grad_a,IF(Iterations[[#This Row],[Step]] &gt; current_step, "",Iterations[[#This Row],[Grad_a]]))</f>
        <v/>
      </c>
      <c r="O1073" s="2" t="str">
        <f>IF(Iterations[[#This Row],[Step]] =current_step, current_Grad_b,IF(Iterations[[#This Row],[Step]] &gt; current_step, "",Iterations[[#This Row],[Grad_b]]))</f>
        <v/>
      </c>
      <c r="P1073" s="2" t="str">
        <f>IF(Iterations[[#This Row],[Step]] =current_step, current_Grad_c,IF(Iterations[[#This Row],[Step]] &gt; current_step, "",Iterations[[#This Row],[Grad_c]]))</f>
        <v/>
      </c>
      <c r="Q1073" s="2" t="str">
        <f>IF(Iterations[[#This Row],[Step]] =current_step, current_Grad_d,IF(Iterations[[#This Row],[Step]] &gt; current_step, "",Iterations[[#This Row],[Grad_d]]))</f>
        <v/>
      </c>
      <c r="R1073" s="2" t="str">
        <f>IF(Iterations[[#This Row],[Step]] =current_step, current_Grad_e,IF(Iterations[[#This Row],[Step]] &gt; current_step, "",Iterations[[#This Row],[Grad_e]]))</f>
        <v/>
      </c>
    </row>
    <row r="1074" spans="6:18" x14ac:dyDescent="0.3">
      <c r="F1074" s="2">
        <f t="shared" si="21"/>
        <v>1057</v>
      </c>
      <c r="G1074" s="2" t="str">
        <f>IF(Iterations[[#This Row],[Step]] =current_step, current_a,IF(Iterations[[#This Row],[Step]] &gt; current_step, "",Iterations[[#This Row],[a]]))</f>
        <v/>
      </c>
      <c r="H1074" s="2" t="str">
        <f>IF(Iterations[[#This Row],[Step]] =current_step, current_b,IF(Iterations[[#This Row],[Step]] &gt; current_step, "",Iterations[[#This Row],[b]]))</f>
        <v/>
      </c>
      <c r="I1074" s="2" t="str">
        <f>IF(Iterations[[#This Row],[Step]] =current_step, current_c,IF(Iterations[[#This Row],[Step]] &gt; current_step, "",Iterations[[#This Row],[c]]))</f>
        <v/>
      </c>
      <c r="J1074" s="2" t="str">
        <f>IF(Iterations[[#This Row],[Step]] =current_step, current_d,IF(Iterations[[#This Row],[Step]] &gt; current_step, "",Iterations[[#This Row],[d]]))</f>
        <v/>
      </c>
      <c r="K1074" s="2" t="str">
        <f>IF(Iterations[[#This Row],[Step]] =current_step, current_e,IF(Iterations[[#This Row],[Step]] &gt; current_step, "",Iterations[[#This Row],[e]]))</f>
        <v/>
      </c>
      <c r="L1074" s="2" t="str">
        <f>IF(Iterations[[#This Row],[Step]] =current_step, current_Total_Loss,IF(Iterations[[#This Row],[Step]] &gt; current_step, "",Iterations[[#This Row],[Total Loss]]))</f>
        <v/>
      </c>
      <c r="M1074" s="6" t="s">
        <v>27</v>
      </c>
      <c r="N1074" s="2" t="str">
        <f>IF(Iterations[[#This Row],[Step]] =current_step, current_Grad_a,IF(Iterations[[#This Row],[Step]] &gt; current_step, "",Iterations[[#This Row],[Grad_a]]))</f>
        <v/>
      </c>
      <c r="O1074" s="2" t="str">
        <f>IF(Iterations[[#This Row],[Step]] =current_step, current_Grad_b,IF(Iterations[[#This Row],[Step]] &gt; current_step, "",Iterations[[#This Row],[Grad_b]]))</f>
        <v/>
      </c>
      <c r="P1074" s="2" t="str">
        <f>IF(Iterations[[#This Row],[Step]] =current_step, current_Grad_c,IF(Iterations[[#This Row],[Step]] &gt; current_step, "",Iterations[[#This Row],[Grad_c]]))</f>
        <v/>
      </c>
      <c r="Q1074" s="2" t="str">
        <f>IF(Iterations[[#This Row],[Step]] =current_step, current_Grad_d,IF(Iterations[[#This Row],[Step]] &gt; current_step, "",Iterations[[#This Row],[Grad_d]]))</f>
        <v/>
      </c>
      <c r="R1074" s="2" t="str">
        <f>IF(Iterations[[#This Row],[Step]] =current_step, current_Grad_e,IF(Iterations[[#This Row],[Step]] &gt; current_step, "",Iterations[[#This Row],[Grad_e]]))</f>
        <v/>
      </c>
    </row>
    <row r="1075" spans="6:18" x14ac:dyDescent="0.3">
      <c r="F1075" s="2">
        <f t="shared" si="21"/>
        <v>1058</v>
      </c>
      <c r="G1075" s="2" t="str">
        <f>IF(Iterations[[#This Row],[Step]] =current_step, current_a,IF(Iterations[[#This Row],[Step]] &gt; current_step, "",Iterations[[#This Row],[a]]))</f>
        <v/>
      </c>
      <c r="H1075" s="2" t="str">
        <f>IF(Iterations[[#This Row],[Step]] =current_step, current_b,IF(Iterations[[#This Row],[Step]] &gt; current_step, "",Iterations[[#This Row],[b]]))</f>
        <v/>
      </c>
      <c r="I1075" s="2" t="str">
        <f>IF(Iterations[[#This Row],[Step]] =current_step, current_c,IF(Iterations[[#This Row],[Step]] &gt; current_step, "",Iterations[[#This Row],[c]]))</f>
        <v/>
      </c>
      <c r="J1075" s="2" t="str">
        <f>IF(Iterations[[#This Row],[Step]] =current_step, current_d,IF(Iterations[[#This Row],[Step]] &gt; current_step, "",Iterations[[#This Row],[d]]))</f>
        <v/>
      </c>
      <c r="K1075" s="2" t="str">
        <f>IF(Iterations[[#This Row],[Step]] =current_step, current_e,IF(Iterations[[#This Row],[Step]] &gt; current_step, "",Iterations[[#This Row],[e]]))</f>
        <v/>
      </c>
      <c r="L1075" s="2" t="str">
        <f>IF(Iterations[[#This Row],[Step]] =current_step, current_Total_Loss,IF(Iterations[[#This Row],[Step]] &gt; current_step, "",Iterations[[#This Row],[Total Loss]]))</f>
        <v/>
      </c>
      <c r="M1075" s="6" t="s">
        <v>27</v>
      </c>
      <c r="N1075" s="2" t="str">
        <f>IF(Iterations[[#This Row],[Step]] =current_step, current_Grad_a,IF(Iterations[[#This Row],[Step]] &gt; current_step, "",Iterations[[#This Row],[Grad_a]]))</f>
        <v/>
      </c>
      <c r="O1075" s="2" t="str">
        <f>IF(Iterations[[#This Row],[Step]] =current_step, current_Grad_b,IF(Iterations[[#This Row],[Step]] &gt; current_step, "",Iterations[[#This Row],[Grad_b]]))</f>
        <v/>
      </c>
      <c r="P1075" s="2" t="str">
        <f>IF(Iterations[[#This Row],[Step]] =current_step, current_Grad_c,IF(Iterations[[#This Row],[Step]] &gt; current_step, "",Iterations[[#This Row],[Grad_c]]))</f>
        <v/>
      </c>
      <c r="Q1075" s="2" t="str">
        <f>IF(Iterations[[#This Row],[Step]] =current_step, current_Grad_d,IF(Iterations[[#This Row],[Step]] &gt; current_step, "",Iterations[[#This Row],[Grad_d]]))</f>
        <v/>
      </c>
      <c r="R1075" s="2" t="str">
        <f>IF(Iterations[[#This Row],[Step]] =current_step, current_Grad_e,IF(Iterations[[#This Row],[Step]] &gt; current_step, "",Iterations[[#This Row],[Grad_e]]))</f>
        <v/>
      </c>
    </row>
    <row r="1076" spans="6:18" x14ac:dyDescent="0.3">
      <c r="F1076" s="2">
        <f t="shared" si="21"/>
        <v>1059</v>
      </c>
      <c r="G1076" s="2" t="str">
        <f>IF(Iterations[[#This Row],[Step]] =current_step, current_a,IF(Iterations[[#This Row],[Step]] &gt; current_step, "",Iterations[[#This Row],[a]]))</f>
        <v/>
      </c>
      <c r="H1076" s="2" t="str">
        <f>IF(Iterations[[#This Row],[Step]] =current_step, current_b,IF(Iterations[[#This Row],[Step]] &gt; current_step, "",Iterations[[#This Row],[b]]))</f>
        <v/>
      </c>
      <c r="I1076" s="2" t="str">
        <f>IF(Iterations[[#This Row],[Step]] =current_step, current_c,IF(Iterations[[#This Row],[Step]] &gt; current_step, "",Iterations[[#This Row],[c]]))</f>
        <v/>
      </c>
      <c r="J1076" s="2" t="str">
        <f>IF(Iterations[[#This Row],[Step]] =current_step, current_d,IF(Iterations[[#This Row],[Step]] &gt; current_step, "",Iterations[[#This Row],[d]]))</f>
        <v/>
      </c>
      <c r="K1076" s="2" t="str">
        <f>IF(Iterations[[#This Row],[Step]] =current_step, current_e,IF(Iterations[[#This Row],[Step]] &gt; current_step, "",Iterations[[#This Row],[e]]))</f>
        <v/>
      </c>
      <c r="L1076" s="2" t="str">
        <f>IF(Iterations[[#This Row],[Step]] =current_step, current_Total_Loss,IF(Iterations[[#This Row],[Step]] &gt; current_step, "",Iterations[[#This Row],[Total Loss]]))</f>
        <v/>
      </c>
      <c r="M1076" s="6" t="s">
        <v>27</v>
      </c>
      <c r="N1076" s="2" t="str">
        <f>IF(Iterations[[#This Row],[Step]] =current_step, current_Grad_a,IF(Iterations[[#This Row],[Step]] &gt; current_step, "",Iterations[[#This Row],[Grad_a]]))</f>
        <v/>
      </c>
      <c r="O1076" s="2" t="str">
        <f>IF(Iterations[[#This Row],[Step]] =current_step, current_Grad_b,IF(Iterations[[#This Row],[Step]] &gt; current_step, "",Iterations[[#This Row],[Grad_b]]))</f>
        <v/>
      </c>
      <c r="P1076" s="2" t="str">
        <f>IF(Iterations[[#This Row],[Step]] =current_step, current_Grad_c,IF(Iterations[[#This Row],[Step]] &gt; current_step, "",Iterations[[#This Row],[Grad_c]]))</f>
        <v/>
      </c>
      <c r="Q1076" s="2" t="str">
        <f>IF(Iterations[[#This Row],[Step]] =current_step, current_Grad_d,IF(Iterations[[#This Row],[Step]] &gt; current_step, "",Iterations[[#This Row],[Grad_d]]))</f>
        <v/>
      </c>
      <c r="R1076" s="2" t="str">
        <f>IF(Iterations[[#This Row],[Step]] =current_step, current_Grad_e,IF(Iterations[[#This Row],[Step]] &gt; current_step, "",Iterations[[#This Row],[Grad_e]]))</f>
        <v/>
      </c>
    </row>
    <row r="1077" spans="6:18" x14ac:dyDescent="0.3">
      <c r="F1077" s="2">
        <f t="shared" si="21"/>
        <v>1060</v>
      </c>
      <c r="G1077" s="2" t="str">
        <f>IF(Iterations[[#This Row],[Step]] =current_step, current_a,IF(Iterations[[#This Row],[Step]] &gt; current_step, "",Iterations[[#This Row],[a]]))</f>
        <v/>
      </c>
      <c r="H1077" s="2" t="str">
        <f>IF(Iterations[[#This Row],[Step]] =current_step, current_b,IF(Iterations[[#This Row],[Step]] &gt; current_step, "",Iterations[[#This Row],[b]]))</f>
        <v/>
      </c>
      <c r="I1077" s="2" t="str">
        <f>IF(Iterations[[#This Row],[Step]] =current_step, current_c,IF(Iterations[[#This Row],[Step]] &gt; current_step, "",Iterations[[#This Row],[c]]))</f>
        <v/>
      </c>
      <c r="J1077" s="2" t="str">
        <f>IF(Iterations[[#This Row],[Step]] =current_step, current_d,IF(Iterations[[#This Row],[Step]] &gt; current_step, "",Iterations[[#This Row],[d]]))</f>
        <v/>
      </c>
      <c r="K1077" s="2" t="str">
        <f>IF(Iterations[[#This Row],[Step]] =current_step, current_e,IF(Iterations[[#This Row],[Step]] &gt; current_step, "",Iterations[[#This Row],[e]]))</f>
        <v/>
      </c>
      <c r="L1077" s="2" t="str">
        <f>IF(Iterations[[#This Row],[Step]] =current_step, current_Total_Loss,IF(Iterations[[#This Row],[Step]] &gt; current_step, "",Iterations[[#This Row],[Total Loss]]))</f>
        <v/>
      </c>
      <c r="M1077" s="6" t="s">
        <v>27</v>
      </c>
      <c r="N1077" s="2" t="str">
        <f>IF(Iterations[[#This Row],[Step]] =current_step, current_Grad_a,IF(Iterations[[#This Row],[Step]] &gt; current_step, "",Iterations[[#This Row],[Grad_a]]))</f>
        <v/>
      </c>
      <c r="O1077" s="2" t="str">
        <f>IF(Iterations[[#This Row],[Step]] =current_step, current_Grad_b,IF(Iterations[[#This Row],[Step]] &gt; current_step, "",Iterations[[#This Row],[Grad_b]]))</f>
        <v/>
      </c>
      <c r="P1077" s="2" t="str">
        <f>IF(Iterations[[#This Row],[Step]] =current_step, current_Grad_c,IF(Iterations[[#This Row],[Step]] &gt; current_step, "",Iterations[[#This Row],[Grad_c]]))</f>
        <v/>
      </c>
      <c r="Q1077" s="2" t="str">
        <f>IF(Iterations[[#This Row],[Step]] =current_step, current_Grad_d,IF(Iterations[[#This Row],[Step]] &gt; current_step, "",Iterations[[#This Row],[Grad_d]]))</f>
        <v/>
      </c>
      <c r="R1077" s="2" t="str">
        <f>IF(Iterations[[#This Row],[Step]] =current_step, current_Grad_e,IF(Iterations[[#This Row],[Step]] &gt; current_step, "",Iterations[[#This Row],[Grad_e]]))</f>
        <v/>
      </c>
    </row>
    <row r="1078" spans="6:18" x14ac:dyDescent="0.3">
      <c r="F1078" s="2">
        <f t="shared" si="21"/>
        <v>1061</v>
      </c>
      <c r="G1078" s="2" t="str">
        <f>IF(Iterations[[#This Row],[Step]] =current_step, current_a,IF(Iterations[[#This Row],[Step]] &gt; current_step, "",Iterations[[#This Row],[a]]))</f>
        <v/>
      </c>
      <c r="H1078" s="2" t="str">
        <f>IF(Iterations[[#This Row],[Step]] =current_step, current_b,IF(Iterations[[#This Row],[Step]] &gt; current_step, "",Iterations[[#This Row],[b]]))</f>
        <v/>
      </c>
      <c r="I1078" s="2" t="str">
        <f>IF(Iterations[[#This Row],[Step]] =current_step, current_c,IF(Iterations[[#This Row],[Step]] &gt; current_step, "",Iterations[[#This Row],[c]]))</f>
        <v/>
      </c>
      <c r="J1078" s="2" t="str">
        <f>IF(Iterations[[#This Row],[Step]] =current_step, current_d,IF(Iterations[[#This Row],[Step]] &gt; current_step, "",Iterations[[#This Row],[d]]))</f>
        <v/>
      </c>
      <c r="K1078" s="2" t="str">
        <f>IF(Iterations[[#This Row],[Step]] =current_step, current_e,IF(Iterations[[#This Row],[Step]] &gt; current_step, "",Iterations[[#This Row],[e]]))</f>
        <v/>
      </c>
      <c r="L1078" s="2" t="str">
        <f>IF(Iterations[[#This Row],[Step]] =current_step, current_Total_Loss,IF(Iterations[[#This Row],[Step]] &gt; current_step, "",Iterations[[#This Row],[Total Loss]]))</f>
        <v/>
      </c>
      <c r="M1078" s="6" t="s">
        <v>27</v>
      </c>
      <c r="N1078" s="2" t="str">
        <f>IF(Iterations[[#This Row],[Step]] =current_step, current_Grad_a,IF(Iterations[[#This Row],[Step]] &gt; current_step, "",Iterations[[#This Row],[Grad_a]]))</f>
        <v/>
      </c>
      <c r="O1078" s="2" t="str">
        <f>IF(Iterations[[#This Row],[Step]] =current_step, current_Grad_b,IF(Iterations[[#This Row],[Step]] &gt; current_step, "",Iterations[[#This Row],[Grad_b]]))</f>
        <v/>
      </c>
      <c r="P1078" s="2" t="str">
        <f>IF(Iterations[[#This Row],[Step]] =current_step, current_Grad_c,IF(Iterations[[#This Row],[Step]] &gt; current_step, "",Iterations[[#This Row],[Grad_c]]))</f>
        <v/>
      </c>
      <c r="Q1078" s="2" t="str">
        <f>IF(Iterations[[#This Row],[Step]] =current_step, current_Grad_d,IF(Iterations[[#This Row],[Step]] &gt; current_step, "",Iterations[[#This Row],[Grad_d]]))</f>
        <v/>
      </c>
      <c r="R1078" s="2" t="str">
        <f>IF(Iterations[[#This Row],[Step]] =current_step, current_Grad_e,IF(Iterations[[#This Row],[Step]] &gt; current_step, "",Iterations[[#This Row],[Grad_e]]))</f>
        <v/>
      </c>
    </row>
    <row r="1079" spans="6:18" x14ac:dyDescent="0.3">
      <c r="F1079" s="2">
        <f t="shared" si="21"/>
        <v>1062</v>
      </c>
      <c r="G1079" s="2" t="str">
        <f>IF(Iterations[[#This Row],[Step]] =current_step, current_a,IF(Iterations[[#This Row],[Step]] &gt; current_step, "",Iterations[[#This Row],[a]]))</f>
        <v/>
      </c>
      <c r="H1079" s="2" t="str">
        <f>IF(Iterations[[#This Row],[Step]] =current_step, current_b,IF(Iterations[[#This Row],[Step]] &gt; current_step, "",Iterations[[#This Row],[b]]))</f>
        <v/>
      </c>
      <c r="I1079" s="2" t="str">
        <f>IF(Iterations[[#This Row],[Step]] =current_step, current_c,IF(Iterations[[#This Row],[Step]] &gt; current_step, "",Iterations[[#This Row],[c]]))</f>
        <v/>
      </c>
      <c r="J1079" s="2" t="str">
        <f>IF(Iterations[[#This Row],[Step]] =current_step, current_d,IF(Iterations[[#This Row],[Step]] &gt; current_step, "",Iterations[[#This Row],[d]]))</f>
        <v/>
      </c>
      <c r="K1079" s="2" t="str">
        <f>IF(Iterations[[#This Row],[Step]] =current_step, current_e,IF(Iterations[[#This Row],[Step]] &gt; current_step, "",Iterations[[#This Row],[e]]))</f>
        <v/>
      </c>
      <c r="L1079" s="2" t="str">
        <f>IF(Iterations[[#This Row],[Step]] =current_step, current_Total_Loss,IF(Iterations[[#This Row],[Step]] &gt; current_step, "",Iterations[[#This Row],[Total Loss]]))</f>
        <v/>
      </c>
      <c r="M1079" s="6" t="s">
        <v>27</v>
      </c>
      <c r="N1079" s="2" t="str">
        <f>IF(Iterations[[#This Row],[Step]] =current_step, current_Grad_a,IF(Iterations[[#This Row],[Step]] &gt; current_step, "",Iterations[[#This Row],[Grad_a]]))</f>
        <v/>
      </c>
      <c r="O1079" s="2" t="str">
        <f>IF(Iterations[[#This Row],[Step]] =current_step, current_Grad_b,IF(Iterations[[#This Row],[Step]] &gt; current_step, "",Iterations[[#This Row],[Grad_b]]))</f>
        <v/>
      </c>
      <c r="P1079" s="2" t="str">
        <f>IF(Iterations[[#This Row],[Step]] =current_step, current_Grad_c,IF(Iterations[[#This Row],[Step]] &gt; current_step, "",Iterations[[#This Row],[Grad_c]]))</f>
        <v/>
      </c>
      <c r="Q1079" s="2" t="str">
        <f>IF(Iterations[[#This Row],[Step]] =current_step, current_Grad_d,IF(Iterations[[#This Row],[Step]] &gt; current_step, "",Iterations[[#This Row],[Grad_d]]))</f>
        <v/>
      </c>
      <c r="R1079" s="2" t="str">
        <f>IF(Iterations[[#This Row],[Step]] =current_step, current_Grad_e,IF(Iterations[[#This Row],[Step]] &gt; current_step, "",Iterations[[#This Row],[Grad_e]]))</f>
        <v/>
      </c>
    </row>
    <row r="1080" spans="6:18" x14ac:dyDescent="0.3">
      <c r="F1080" s="2">
        <f t="shared" ref="F1080:F1143" si="22">F1079+1</f>
        <v>1063</v>
      </c>
      <c r="G1080" s="2" t="str">
        <f>IF(Iterations[[#This Row],[Step]] =current_step, current_a,IF(Iterations[[#This Row],[Step]] &gt; current_step, "",Iterations[[#This Row],[a]]))</f>
        <v/>
      </c>
      <c r="H1080" s="2" t="str">
        <f>IF(Iterations[[#This Row],[Step]] =current_step, current_b,IF(Iterations[[#This Row],[Step]] &gt; current_step, "",Iterations[[#This Row],[b]]))</f>
        <v/>
      </c>
      <c r="I1080" s="2" t="str">
        <f>IF(Iterations[[#This Row],[Step]] =current_step, current_c,IF(Iterations[[#This Row],[Step]] &gt; current_step, "",Iterations[[#This Row],[c]]))</f>
        <v/>
      </c>
      <c r="J1080" s="2" t="str">
        <f>IF(Iterations[[#This Row],[Step]] =current_step, current_d,IF(Iterations[[#This Row],[Step]] &gt; current_step, "",Iterations[[#This Row],[d]]))</f>
        <v/>
      </c>
      <c r="K1080" s="2" t="str">
        <f>IF(Iterations[[#This Row],[Step]] =current_step, current_e,IF(Iterations[[#This Row],[Step]] &gt; current_step, "",Iterations[[#This Row],[e]]))</f>
        <v/>
      </c>
      <c r="L1080" s="2" t="str">
        <f>IF(Iterations[[#This Row],[Step]] =current_step, current_Total_Loss,IF(Iterations[[#This Row],[Step]] &gt; current_step, "",Iterations[[#This Row],[Total Loss]]))</f>
        <v/>
      </c>
      <c r="M1080" s="6" t="s">
        <v>27</v>
      </c>
      <c r="N1080" s="2" t="str">
        <f>IF(Iterations[[#This Row],[Step]] =current_step, current_Grad_a,IF(Iterations[[#This Row],[Step]] &gt; current_step, "",Iterations[[#This Row],[Grad_a]]))</f>
        <v/>
      </c>
      <c r="O1080" s="2" t="str">
        <f>IF(Iterations[[#This Row],[Step]] =current_step, current_Grad_b,IF(Iterations[[#This Row],[Step]] &gt; current_step, "",Iterations[[#This Row],[Grad_b]]))</f>
        <v/>
      </c>
      <c r="P1080" s="2" t="str">
        <f>IF(Iterations[[#This Row],[Step]] =current_step, current_Grad_c,IF(Iterations[[#This Row],[Step]] &gt; current_step, "",Iterations[[#This Row],[Grad_c]]))</f>
        <v/>
      </c>
      <c r="Q1080" s="2" t="str">
        <f>IF(Iterations[[#This Row],[Step]] =current_step, current_Grad_d,IF(Iterations[[#This Row],[Step]] &gt; current_step, "",Iterations[[#This Row],[Grad_d]]))</f>
        <v/>
      </c>
      <c r="R1080" s="2" t="str">
        <f>IF(Iterations[[#This Row],[Step]] =current_step, current_Grad_e,IF(Iterations[[#This Row],[Step]] &gt; current_step, "",Iterations[[#This Row],[Grad_e]]))</f>
        <v/>
      </c>
    </row>
    <row r="1081" spans="6:18" x14ac:dyDescent="0.3">
      <c r="F1081" s="2">
        <f t="shared" si="22"/>
        <v>1064</v>
      </c>
      <c r="G1081" s="2" t="str">
        <f>IF(Iterations[[#This Row],[Step]] =current_step, current_a,IF(Iterations[[#This Row],[Step]] &gt; current_step, "",Iterations[[#This Row],[a]]))</f>
        <v/>
      </c>
      <c r="H1081" s="2" t="str">
        <f>IF(Iterations[[#This Row],[Step]] =current_step, current_b,IF(Iterations[[#This Row],[Step]] &gt; current_step, "",Iterations[[#This Row],[b]]))</f>
        <v/>
      </c>
      <c r="I1081" s="2" t="str">
        <f>IF(Iterations[[#This Row],[Step]] =current_step, current_c,IF(Iterations[[#This Row],[Step]] &gt; current_step, "",Iterations[[#This Row],[c]]))</f>
        <v/>
      </c>
      <c r="J1081" s="2" t="str">
        <f>IF(Iterations[[#This Row],[Step]] =current_step, current_d,IF(Iterations[[#This Row],[Step]] &gt; current_step, "",Iterations[[#This Row],[d]]))</f>
        <v/>
      </c>
      <c r="K1081" s="2" t="str">
        <f>IF(Iterations[[#This Row],[Step]] =current_step, current_e,IF(Iterations[[#This Row],[Step]] &gt; current_step, "",Iterations[[#This Row],[e]]))</f>
        <v/>
      </c>
      <c r="L1081" s="2" t="str">
        <f>IF(Iterations[[#This Row],[Step]] =current_step, current_Total_Loss,IF(Iterations[[#This Row],[Step]] &gt; current_step, "",Iterations[[#This Row],[Total Loss]]))</f>
        <v/>
      </c>
      <c r="M1081" s="6" t="s">
        <v>27</v>
      </c>
      <c r="N1081" s="2" t="str">
        <f>IF(Iterations[[#This Row],[Step]] =current_step, current_Grad_a,IF(Iterations[[#This Row],[Step]] &gt; current_step, "",Iterations[[#This Row],[Grad_a]]))</f>
        <v/>
      </c>
      <c r="O1081" s="2" t="str">
        <f>IF(Iterations[[#This Row],[Step]] =current_step, current_Grad_b,IF(Iterations[[#This Row],[Step]] &gt; current_step, "",Iterations[[#This Row],[Grad_b]]))</f>
        <v/>
      </c>
      <c r="P1081" s="2" t="str">
        <f>IF(Iterations[[#This Row],[Step]] =current_step, current_Grad_c,IF(Iterations[[#This Row],[Step]] &gt; current_step, "",Iterations[[#This Row],[Grad_c]]))</f>
        <v/>
      </c>
      <c r="Q1081" s="2" t="str">
        <f>IF(Iterations[[#This Row],[Step]] =current_step, current_Grad_d,IF(Iterations[[#This Row],[Step]] &gt; current_step, "",Iterations[[#This Row],[Grad_d]]))</f>
        <v/>
      </c>
      <c r="R1081" s="2" t="str">
        <f>IF(Iterations[[#This Row],[Step]] =current_step, current_Grad_e,IF(Iterations[[#This Row],[Step]] &gt; current_step, "",Iterations[[#This Row],[Grad_e]]))</f>
        <v/>
      </c>
    </row>
    <row r="1082" spans="6:18" x14ac:dyDescent="0.3">
      <c r="F1082" s="2">
        <f t="shared" si="22"/>
        <v>1065</v>
      </c>
      <c r="G1082" s="2" t="str">
        <f>IF(Iterations[[#This Row],[Step]] =current_step, current_a,IF(Iterations[[#This Row],[Step]] &gt; current_step, "",Iterations[[#This Row],[a]]))</f>
        <v/>
      </c>
      <c r="H1082" s="2" t="str">
        <f>IF(Iterations[[#This Row],[Step]] =current_step, current_b,IF(Iterations[[#This Row],[Step]] &gt; current_step, "",Iterations[[#This Row],[b]]))</f>
        <v/>
      </c>
      <c r="I1082" s="2" t="str">
        <f>IF(Iterations[[#This Row],[Step]] =current_step, current_c,IF(Iterations[[#This Row],[Step]] &gt; current_step, "",Iterations[[#This Row],[c]]))</f>
        <v/>
      </c>
      <c r="J1082" s="2" t="str">
        <f>IF(Iterations[[#This Row],[Step]] =current_step, current_d,IF(Iterations[[#This Row],[Step]] &gt; current_step, "",Iterations[[#This Row],[d]]))</f>
        <v/>
      </c>
      <c r="K1082" s="2" t="str">
        <f>IF(Iterations[[#This Row],[Step]] =current_step, current_e,IF(Iterations[[#This Row],[Step]] &gt; current_step, "",Iterations[[#This Row],[e]]))</f>
        <v/>
      </c>
      <c r="L1082" s="2" t="str">
        <f>IF(Iterations[[#This Row],[Step]] =current_step, current_Total_Loss,IF(Iterations[[#This Row],[Step]] &gt; current_step, "",Iterations[[#This Row],[Total Loss]]))</f>
        <v/>
      </c>
      <c r="M1082" s="6" t="s">
        <v>27</v>
      </c>
      <c r="N1082" s="2" t="str">
        <f>IF(Iterations[[#This Row],[Step]] =current_step, current_Grad_a,IF(Iterations[[#This Row],[Step]] &gt; current_step, "",Iterations[[#This Row],[Grad_a]]))</f>
        <v/>
      </c>
      <c r="O1082" s="2" t="str">
        <f>IF(Iterations[[#This Row],[Step]] =current_step, current_Grad_b,IF(Iterations[[#This Row],[Step]] &gt; current_step, "",Iterations[[#This Row],[Grad_b]]))</f>
        <v/>
      </c>
      <c r="P1082" s="2" t="str">
        <f>IF(Iterations[[#This Row],[Step]] =current_step, current_Grad_c,IF(Iterations[[#This Row],[Step]] &gt; current_step, "",Iterations[[#This Row],[Grad_c]]))</f>
        <v/>
      </c>
      <c r="Q1082" s="2" t="str">
        <f>IF(Iterations[[#This Row],[Step]] =current_step, current_Grad_d,IF(Iterations[[#This Row],[Step]] &gt; current_step, "",Iterations[[#This Row],[Grad_d]]))</f>
        <v/>
      </c>
      <c r="R1082" s="2" t="str">
        <f>IF(Iterations[[#This Row],[Step]] =current_step, current_Grad_e,IF(Iterations[[#This Row],[Step]] &gt; current_step, "",Iterations[[#This Row],[Grad_e]]))</f>
        <v/>
      </c>
    </row>
    <row r="1083" spans="6:18" x14ac:dyDescent="0.3">
      <c r="F1083" s="2">
        <f t="shared" si="22"/>
        <v>1066</v>
      </c>
      <c r="G1083" s="2" t="str">
        <f>IF(Iterations[[#This Row],[Step]] =current_step, current_a,IF(Iterations[[#This Row],[Step]] &gt; current_step, "",Iterations[[#This Row],[a]]))</f>
        <v/>
      </c>
      <c r="H1083" s="2" t="str">
        <f>IF(Iterations[[#This Row],[Step]] =current_step, current_b,IF(Iterations[[#This Row],[Step]] &gt; current_step, "",Iterations[[#This Row],[b]]))</f>
        <v/>
      </c>
      <c r="I1083" s="2" t="str">
        <f>IF(Iterations[[#This Row],[Step]] =current_step, current_c,IF(Iterations[[#This Row],[Step]] &gt; current_step, "",Iterations[[#This Row],[c]]))</f>
        <v/>
      </c>
      <c r="J1083" s="2" t="str">
        <f>IF(Iterations[[#This Row],[Step]] =current_step, current_d,IF(Iterations[[#This Row],[Step]] &gt; current_step, "",Iterations[[#This Row],[d]]))</f>
        <v/>
      </c>
      <c r="K1083" s="2" t="str">
        <f>IF(Iterations[[#This Row],[Step]] =current_step, current_e,IF(Iterations[[#This Row],[Step]] &gt; current_step, "",Iterations[[#This Row],[e]]))</f>
        <v/>
      </c>
      <c r="L1083" s="2" t="str">
        <f>IF(Iterations[[#This Row],[Step]] =current_step, current_Total_Loss,IF(Iterations[[#This Row],[Step]] &gt; current_step, "",Iterations[[#This Row],[Total Loss]]))</f>
        <v/>
      </c>
      <c r="M1083" s="6" t="s">
        <v>27</v>
      </c>
      <c r="N1083" s="2" t="str">
        <f>IF(Iterations[[#This Row],[Step]] =current_step, current_Grad_a,IF(Iterations[[#This Row],[Step]] &gt; current_step, "",Iterations[[#This Row],[Grad_a]]))</f>
        <v/>
      </c>
      <c r="O1083" s="2" t="str">
        <f>IF(Iterations[[#This Row],[Step]] =current_step, current_Grad_b,IF(Iterations[[#This Row],[Step]] &gt; current_step, "",Iterations[[#This Row],[Grad_b]]))</f>
        <v/>
      </c>
      <c r="P1083" s="2" t="str">
        <f>IF(Iterations[[#This Row],[Step]] =current_step, current_Grad_c,IF(Iterations[[#This Row],[Step]] &gt; current_step, "",Iterations[[#This Row],[Grad_c]]))</f>
        <v/>
      </c>
      <c r="Q1083" s="2" t="str">
        <f>IF(Iterations[[#This Row],[Step]] =current_step, current_Grad_d,IF(Iterations[[#This Row],[Step]] &gt; current_step, "",Iterations[[#This Row],[Grad_d]]))</f>
        <v/>
      </c>
      <c r="R1083" s="2" t="str">
        <f>IF(Iterations[[#This Row],[Step]] =current_step, current_Grad_e,IF(Iterations[[#This Row],[Step]] &gt; current_step, "",Iterations[[#This Row],[Grad_e]]))</f>
        <v/>
      </c>
    </row>
    <row r="1084" spans="6:18" x14ac:dyDescent="0.3">
      <c r="F1084" s="2">
        <f t="shared" si="22"/>
        <v>1067</v>
      </c>
      <c r="G1084" s="2" t="str">
        <f>IF(Iterations[[#This Row],[Step]] =current_step, current_a,IF(Iterations[[#This Row],[Step]] &gt; current_step, "",Iterations[[#This Row],[a]]))</f>
        <v/>
      </c>
      <c r="H1084" s="2" t="str">
        <f>IF(Iterations[[#This Row],[Step]] =current_step, current_b,IF(Iterations[[#This Row],[Step]] &gt; current_step, "",Iterations[[#This Row],[b]]))</f>
        <v/>
      </c>
      <c r="I1084" s="2" t="str">
        <f>IF(Iterations[[#This Row],[Step]] =current_step, current_c,IF(Iterations[[#This Row],[Step]] &gt; current_step, "",Iterations[[#This Row],[c]]))</f>
        <v/>
      </c>
      <c r="J1084" s="2" t="str">
        <f>IF(Iterations[[#This Row],[Step]] =current_step, current_d,IF(Iterations[[#This Row],[Step]] &gt; current_step, "",Iterations[[#This Row],[d]]))</f>
        <v/>
      </c>
      <c r="K1084" s="2" t="str">
        <f>IF(Iterations[[#This Row],[Step]] =current_step, current_e,IF(Iterations[[#This Row],[Step]] &gt; current_step, "",Iterations[[#This Row],[e]]))</f>
        <v/>
      </c>
      <c r="L1084" s="2" t="str">
        <f>IF(Iterations[[#This Row],[Step]] =current_step, current_Total_Loss,IF(Iterations[[#This Row],[Step]] &gt; current_step, "",Iterations[[#This Row],[Total Loss]]))</f>
        <v/>
      </c>
      <c r="M1084" s="6" t="s">
        <v>27</v>
      </c>
      <c r="N1084" s="2" t="str">
        <f>IF(Iterations[[#This Row],[Step]] =current_step, current_Grad_a,IF(Iterations[[#This Row],[Step]] &gt; current_step, "",Iterations[[#This Row],[Grad_a]]))</f>
        <v/>
      </c>
      <c r="O1084" s="2" t="str">
        <f>IF(Iterations[[#This Row],[Step]] =current_step, current_Grad_b,IF(Iterations[[#This Row],[Step]] &gt; current_step, "",Iterations[[#This Row],[Grad_b]]))</f>
        <v/>
      </c>
      <c r="P1084" s="2" t="str">
        <f>IF(Iterations[[#This Row],[Step]] =current_step, current_Grad_c,IF(Iterations[[#This Row],[Step]] &gt; current_step, "",Iterations[[#This Row],[Grad_c]]))</f>
        <v/>
      </c>
      <c r="Q1084" s="2" t="str">
        <f>IF(Iterations[[#This Row],[Step]] =current_step, current_Grad_d,IF(Iterations[[#This Row],[Step]] &gt; current_step, "",Iterations[[#This Row],[Grad_d]]))</f>
        <v/>
      </c>
      <c r="R1084" s="2" t="str">
        <f>IF(Iterations[[#This Row],[Step]] =current_step, current_Grad_e,IF(Iterations[[#This Row],[Step]] &gt; current_step, "",Iterations[[#This Row],[Grad_e]]))</f>
        <v/>
      </c>
    </row>
    <row r="1085" spans="6:18" x14ac:dyDescent="0.3">
      <c r="F1085" s="2">
        <f t="shared" si="22"/>
        <v>1068</v>
      </c>
      <c r="G1085" s="2" t="str">
        <f>IF(Iterations[[#This Row],[Step]] =current_step, current_a,IF(Iterations[[#This Row],[Step]] &gt; current_step, "",Iterations[[#This Row],[a]]))</f>
        <v/>
      </c>
      <c r="H1085" s="2" t="str">
        <f>IF(Iterations[[#This Row],[Step]] =current_step, current_b,IF(Iterations[[#This Row],[Step]] &gt; current_step, "",Iterations[[#This Row],[b]]))</f>
        <v/>
      </c>
      <c r="I1085" s="2" t="str">
        <f>IF(Iterations[[#This Row],[Step]] =current_step, current_c,IF(Iterations[[#This Row],[Step]] &gt; current_step, "",Iterations[[#This Row],[c]]))</f>
        <v/>
      </c>
      <c r="J1085" s="2" t="str">
        <f>IF(Iterations[[#This Row],[Step]] =current_step, current_d,IF(Iterations[[#This Row],[Step]] &gt; current_step, "",Iterations[[#This Row],[d]]))</f>
        <v/>
      </c>
      <c r="K1085" s="2" t="str">
        <f>IF(Iterations[[#This Row],[Step]] =current_step, current_e,IF(Iterations[[#This Row],[Step]] &gt; current_step, "",Iterations[[#This Row],[e]]))</f>
        <v/>
      </c>
      <c r="L1085" s="2" t="str">
        <f>IF(Iterations[[#This Row],[Step]] =current_step, current_Total_Loss,IF(Iterations[[#This Row],[Step]] &gt; current_step, "",Iterations[[#This Row],[Total Loss]]))</f>
        <v/>
      </c>
      <c r="M1085" s="6" t="s">
        <v>27</v>
      </c>
      <c r="N1085" s="2" t="str">
        <f>IF(Iterations[[#This Row],[Step]] =current_step, current_Grad_a,IF(Iterations[[#This Row],[Step]] &gt; current_step, "",Iterations[[#This Row],[Grad_a]]))</f>
        <v/>
      </c>
      <c r="O1085" s="2" t="str">
        <f>IF(Iterations[[#This Row],[Step]] =current_step, current_Grad_b,IF(Iterations[[#This Row],[Step]] &gt; current_step, "",Iterations[[#This Row],[Grad_b]]))</f>
        <v/>
      </c>
      <c r="P1085" s="2" t="str">
        <f>IF(Iterations[[#This Row],[Step]] =current_step, current_Grad_c,IF(Iterations[[#This Row],[Step]] &gt; current_step, "",Iterations[[#This Row],[Grad_c]]))</f>
        <v/>
      </c>
      <c r="Q1085" s="2" t="str">
        <f>IF(Iterations[[#This Row],[Step]] =current_step, current_Grad_d,IF(Iterations[[#This Row],[Step]] &gt; current_step, "",Iterations[[#This Row],[Grad_d]]))</f>
        <v/>
      </c>
      <c r="R1085" s="2" t="str">
        <f>IF(Iterations[[#This Row],[Step]] =current_step, current_Grad_e,IF(Iterations[[#This Row],[Step]] &gt; current_step, "",Iterations[[#This Row],[Grad_e]]))</f>
        <v/>
      </c>
    </row>
    <row r="1086" spans="6:18" x14ac:dyDescent="0.3">
      <c r="F1086" s="2">
        <f t="shared" si="22"/>
        <v>1069</v>
      </c>
      <c r="G1086" s="2" t="str">
        <f>IF(Iterations[[#This Row],[Step]] =current_step, current_a,IF(Iterations[[#This Row],[Step]] &gt; current_step, "",Iterations[[#This Row],[a]]))</f>
        <v/>
      </c>
      <c r="H1086" s="2" t="str">
        <f>IF(Iterations[[#This Row],[Step]] =current_step, current_b,IF(Iterations[[#This Row],[Step]] &gt; current_step, "",Iterations[[#This Row],[b]]))</f>
        <v/>
      </c>
      <c r="I1086" s="2" t="str">
        <f>IF(Iterations[[#This Row],[Step]] =current_step, current_c,IF(Iterations[[#This Row],[Step]] &gt; current_step, "",Iterations[[#This Row],[c]]))</f>
        <v/>
      </c>
      <c r="J1086" s="2" t="str">
        <f>IF(Iterations[[#This Row],[Step]] =current_step, current_d,IF(Iterations[[#This Row],[Step]] &gt; current_step, "",Iterations[[#This Row],[d]]))</f>
        <v/>
      </c>
      <c r="K1086" s="2" t="str">
        <f>IF(Iterations[[#This Row],[Step]] =current_step, current_e,IF(Iterations[[#This Row],[Step]] &gt; current_step, "",Iterations[[#This Row],[e]]))</f>
        <v/>
      </c>
      <c r="L1086" s="2" t="str">
        <f>IF(Iterations[[#This Row],[Step]] =current_step, current_Total_Loss,IF(Iterations[[#This Row],[Step]] &gt; current_step, "",Iterations[[#This Row],[Total Loss]]))</f>
        <v/>
      </c>
      <c r="M1086" s="6" t="s">
        <v>27</v>
      </c>
      <c r="N1086" s="2" t="str">
        <f>IF(Iterations[[#This Row],[Step]] =current_step, current_Grad_a,IF(Iterations[[#This Row],[Step]] &gt; current_step, "",Iterations[[#This Row],[Grad_a]]))</f>
        <v/>
      </c>
      <c r="O1086" s="2" t="str">
        <f>IF(Iterations[[#This Row],[Step]] =current_step, current_Grad_b,IF(Iterations[[#This Row],[Step]] &gt; current_step, "",Iterations[[#This Row],[Grad_b]]))</f>
        <v/>
      </c>
      <c r="P1086" s="2" t="str">
        <f>IF(Iterations[[#This Row],[Step]] =current_step, current_Grad_c,IF(Iterations[[#This Row],[Step]] &gt; current_step, "",Iterations[[#This Row],[Grad_c]]))</f>
        <v/>
      </c>
      <c r="Q1086" s="2" t="str">
        <f>IF(Iterations[[#This Row],[Step]] =current_step, current_Grad_d,IF(Iterations[[#This Row],[Step]] &gt; current_step, "",Iterations[[#This Row],[Grad_d]]))</f>
        <v/>
      </c>
      <c r="R1086" s="2" t="str">
        <f>IF(Iterations[[#This Row],[Step]] =current_step, current_Grad_e,IF(Iterations[[#This Row],[Step]] &gt; current_step, "",Iterations[[#This Row],[Grad_e]]))</f>
        <v/>
      </c>
    </row>
    <row r="1087" spans="6:18" x14ac:dyDescent="0.3">
      <c r="F1087" s="2">
        <f t="shared" si="22"/>
        <v>1070</v>
      </c>
      <c r="G1087" s="2" t="str">
        <f>IF(Iterations[[#This Row],[Step]] =current_step, current_a,IF(Iterations[[#This Row],[Step]] &gt; current_step, "",Iterations[[#This Row],[a]]))</f>
        <v/>
      </c>
      <c r="H1087" s="2" t="str">
        <f>IF(Iterations[[#This Row],[Step]] =current_step, current_b,IF(Iterations[[#This Row],[Step]] &gt; current_step, "",Iterations[[#This Row],[b]]))</f>
        <v/>
      </c>
      <c r="I1087" s="2" t="str">
        <f>IF(Iterations[[#This Row],[Step]] =current_step, current_c,IF(Iterations[[#This Row],[Step]] &gt; current_step, "",Iterations[[#This Row],[c]]))</f>
        <v/>
      </c>
      <c r="J1087" s="2" t="str">
        <f>IF(Iterations[[#This Row],[Step]] =current_step, current_d,IF(Iterations[[#This Row],[Step]] &gt; current_step, "",Iterations[[#This Row],[d]]))</f>
        <v/>
      </c>
      <c r="K1087" s="2" t="str">
        <f>IF(Iterations[[#This Row],[Step]] =current_step, current_e,IF(Iterations[[#This Row],[Step]] &gt; current_step, "",Iterations[[#This Row],[e]]))</f>
        <v/>
      </c>
      <c r="L1087" s="2" t="str">
        <f>IF(Iterations[[#This Row],[Step]] =current_step, current_Total_Loss,IF(Iterations[[#This Row],[Step]] &gt; current_step, "",Iterations[[#This Row],[Total Loss]]))</f>
        <v/>
      </c>
      <c r="M1087" s="6" t="s">
        <v>27</v>
      </c>
      <c r="N1087" s="2" t="str">
        <f>IF(Iterations[[#This Row],[Step]] =current_step, current_Grad_a,IF(Iterations[[#This Row],[Step]] &gt; current_step, "",Iterations[[#This Row],[Grad_a]]))</f>
        <v/>
      </c>
      <c r="O1087" s="2" t="str">
        <f>IF(Iterations[[#This Row],[Step]] =current_step, current_Grad_b,IF(Iterations[[#This Row],[Step]] &gt; current_step, "",Iterations[[#This Row],[Grad_b]]))</f>
        <v/>
      </c>
      <c r="P1087" s="2" t="str">
        <f>IF(Iterations[[#This Row],[Step]] =current_step, current_Grad_c,IF(Iterations[[#This Row],[Step]] &gt; current_step, "",Iterations[[#This Row],[Grad_c]]))</f>
        <v/>
      </c>
      <c r="Q1087" s="2" t="str">
        <f>IF(Iterations[[#This Row],[Step]] =current_step, current_Grad_d,IF(Iterations[[#This Row],[Step]] &gt; current_step, "",Iterations[[#This Row],[Grad_d]]))</f>
        <v/>
      </c>
      <c r="R1087" s="2" t="str">
        <f>IF(Iterations[[#This Row],[Step]] =current_step, current_Grad_e,IF(Iterations[[#This Row],[Step]] &gt; current_step, "",Iterations[[#This Row],[Grad_e]]))</f>
        <v/>
      </c>
    </row>
    <row r="1088" spans="6:18" x14ac:dyDescent="0.3">
      <c r="F1088" s="2">
        <f t="shared" si="22"/>
        <v>1071</v>
      </c>
      <c r="G1088" s="2" t="str">
        <f>IF(Iterations[[#This Row],[Step]] =current_step, current_a,IF(Iterations[[#This Row],[Step]] &gt; current_step, "",Iterations[[#This Row],[a]]))</f>
        <v/>
      </c>
      <c r="H1088" s="2" t="str">
        <f>IF(Iterations[[#This Row],[Step]] =current_step, current_b,IF(Iterations[[#This Row],[Step]] &gt; current_step, "",Iterations[[#This Row],[b]]))</f>
        <v/>
      </c>
      <c r="I1088" s="2" t="str">
        <f>IF(Iterations[[#This Row],[Step]] =current_step, current_c,IF(Iterations[[#This Row],[Step]] &gt; current_step, "",Iterations[[#This Row],[c]]))</f>
        <v/>
      </c>
      <c r="J1088" s="2" t="str">
        <f>IF(Iterations[[#This Row],[Step]] =current_step, current_d,IF(Iterations[[#This Row],[Step]] &gt; current_step, "",Iterations[[#This Row],[d]]))</f>
        <v/>
      </c>
      <c r="K1088" s="2" t="str">
        <f>IF(Iterations[[#This Row],[Step]] =current_step, current_e,IF(Iterations[[#This Row],[Step]] &gt; current_step, "",Iterations[[#This Row],[e]]))</f>
        <v/>
      </c>
      <c r="L1088" s="2" t="str">
        <f>IF(Iterations[[#This Row],[Step]] =current_step, current_Total_Loss,IF(Iterations[[#This Row],[Step]] &gt; current_step, "",Iterations[[#This Row],[Total Loss]]))</f>
        <v/>
      </c>
      <c r="M1088" s="6" t="s">
        <v>27</v>
      </c>
      <c r="N1088" s="2" t="str">
        <f>IF(Iterations[[#This Row],[Step]] =current_step, current_Grad_a,IF(Iterations[[#This Row],[Step]] &gt; current_step, "",Iterations[[#This Row],[Grad_a]]))</f>
        <v/>
      </c>
      <c r="O1088" s="2" t="str">
        <f>IF(Iterations[[#This Row],[Step]] =current_step, current_Grad_b,IF(Iterations[[#This Row],[Step]] &gt; current_step, "",Iterations[[#This Row],[Grad_b]]))</f>
        <v/>
      </c>
      <c r="P1088" s="2" t="str">
        <f>IF(Iterations[[#This Row],[Step]] =current_step, current_Grad_c,IF(Iterations[[#This Row],[Step]] &gt; current_step, "",Iterations[[#This Row],[Grad_c]]))</f>
        <v/>
      </c>
      <c r="Q1088" s="2" t="str">
        <f>IF(Iterations[[#This Row],[Step]] =current_step, current_Grad_d,IF(Iterations[[#This Row],[Step]] &gt; current_step, "",Iterations[[#This Row],[Grad_d]]))</f>
        <v/>
      </c>
      <c r="R1088" s="2" t="str">
        <f>IF(Iterations[[#This Row],[Step]] =current_step, current_Grad_e,IF(Iterations[[#This Row],[Step]] &gt; current_step, "",Iterations[[#This Row],[Grad_e]]))</f>
        <v/>
      </c>
    </row>
    <row r="1089" spans="6:18" x14ac:dyDescent="0.3">
      <c r="F1089" s="2">
        <f t="shared" si="22"/>
        <v>1072</v>
      </c>
      <c r="G1089" s="2" t="str">
        <f>IF(Iterations[[#This Row],[Step]] =current_step, current_a,IF(Iterations[[#This Row],[Step]] &gt; current_step, "",Iterations[[#This Row],[a]]))</f>
        <v/>
      </c>
      <c r="H1089" s="2" t="str">
        <f>IF(Iterations[[#This Row],[Step]] =current_step, current_b,IF(Iterations[[#This Row],[Step]] &gt; current_step, "",Iterations[[#This Row],[b]]))</f>
        <v/>
      </c>
      <c r="I1089" s="2" t="str">
        <f>IF(Iterations[[#This Row],[Step]] =current_step, current_c,IF(Iterations[[#This Row],[Step]] &gt; current_step, "",Iterations[[#This Row],[c]]))</f>
        <v/>
      </c>
      <c r="J1089" s="2" t="str">
        <f>IF(Iterations[[#This Row],[Step]] =current_step, current_d,IF(Iterations[[#This Row],[Step]] &gt; current_step, "",Iterations[[#This Row],[d]]))</f>
        <v/>
      </c>
      <c r="K1089" s="2" t="str">
        <f>IF(Iterations[[#This Row],[Step]] =current_step, current_e,IF(Iterations[[#This Row],[Step]] &gt; current_step, "",Iterations[[#This Row],[e]]))</f>
        <v/>
      </c>
      <c r="L1089" s="2" t="str">
        <f>IF(Iterations[[#This Row],[Step]] =current_step, current_Total_Loss,IF(Iterations[[#This Row],[Step]] &gt; current_step, "",Iterations[[#This Row],[Total Loss]]))</f>
        <v/>
      </c>
      <c r="M1089" s="6" t="s">
        <v>27</v>
      </c>
      <c r="N1089" s="2" t="str">
        <f>IF(Iterations[[#This Row],[Step]] =current_step, current_Grad_a,IF(Iterations[[#This Row],[Step]] &gt; current_step, "",Iterations[[#This Row],[Grad_a]]))</f>
        <v/>
      </c>
      <c r="O1089" s="2" t="str">
        <f>IF(Iterations[[#This Row],[Step]] =current_step, current_Grad_b,IF(Iterations[[#This Row],[Step]] &gt; current_step, "",Iterations[[#This Row],[Grad_b]]))</f>
        <v/>
      </c>
      <c r="P1089" s="2" t="str">
        <f>IF(Iterations[[#This Row],[Step]] =current_step, current_Grad_c,IF(Iterations[[#This Row],[Step]] &gt; current_step, "",Iterations[[#This Row],[Grad_c]]))</f>
        <v/>
      </c>
      <c r="Q1089" s="2" t="str">
        <f>IF(Iterations[[#This Row],[Step]] =current_step, current_Grad_d,IF(Iterations[[#This Row],[Step]] &gt; current_step, "",Iterations[[#This Row],[Grad_d]]))</f>
        <v/>
      </c>
      <c r="R1089" s="2" t="str">
        <f>IF(Iterations[[#This Row],[Step]] =current_step, current_Grad_e,IF(Iterations[[#This Row],[Step]] &gt; current_step, "",Iterations[[#This Row],[Grad_e]]))</f>
        <v/>
      </c>
    </row>
    <row r="1090" spans="6:18" x14ac:dyDescent="0.3">
      <c r="F1090" s="2">
        <f t="shared" si="22"/>
        <v>1073</v>
      </c>
      <c r="G1090" s="2" t="str">
        <f>IF(Iterations[[#This Row],[Step]] =current_step, current_a,IF(Iterations[[#This Row],[Step]] &gt; current_step, "",Iterations[[#This Row],[a]]))</f>
        <v/>
      </c>
      <c r="H1090" s="2" t="str">
        <f>IF(Iterations[[#This Row],[Step]] =current_step, current_b,IF(Iterations[[#This Row],[Step]] &gt; current_step, "",Iterations[[#This Row],[b]]))</f>
        <v/>
      </c>
      <c r="I1090" s="2" t="str">
        <f>IF(Iterations[[#This Row],[Step]] =current_step, current_c,IF(Iterations[[#This Row],[Step]] &gt; current_step, "",Iterations[[#This Row],[c]]))</f>
        <v/>
      </c>
      <c r="J1090" s="2" t="str">
        <f>IF(Iterations[[#This Row],[Step]] =current_step, current_d,IF(Iterations[[#This Row],[Step]] &gt; current_step, "",Iterations[[#This Row],[d]]))</f>
        <v/>
      </c>
      <c r="K1090" s="2" t="str">
        <f>IF(Iterations[[#This Row],[Step]] =current_step, current_e,IF(Iterations[[#This Row],[Step]] &gt; current_step, "",Iterations[[#This Row],[e]]))</f>
        <v/>
      </c>
      <c r="L1090" s="2" t="str">
        <f>IF(Iterations[[#This Row],[Step]] =current_step, current_Total_Loss,IF(Iterations[[#This Row],[Step]] &gt; current_step, "",Iterations[[#This Row],[Total Loss]]))</f>
        <v/>
      </c>
      <c r="M1090" s="6" t="s">
        <v>27</v>
      </c>
      <c r="N1090" s="2" t="str">
        <f>IF(Iterations[[#This Row],[Step]] =current_step, current_Grad_a,IF(Iterations[[#This Row],[Step]] &gt; current_step, "",Iterations[[#This Row],[Grad_a]]))</f>
        <v/>
      </c>
      <c r="O1090" s="2" t="str">
        <f>IF(Iterations[[#This Row],[Step]] =current_step, current_Grad_b,IF(Iterations[[#This Row],[Step]] &gt; current_step, "",Iterations[[#This Row],[Grad_b]]))</f>
        <v/>
      </c>
      <c r="P1090" s="2" t="str">
        <f>IF(Iterations[[#This Row],[Step]] =current_step, current_Grad_c,IF(Iterations[[#This Row],[Step]] &gt; current_step, "",Iterations[[#This Row],[Grad_c]]))</f>
        <v/>
      </c>
      <c r="Q1090" s="2" t="str">
        <f>IF(Iterations[[#This Row],[Step]] =current_step, current_Grad_d,IF(Iterations[[#This Row],[Step]] &gt; current_step, "",Iterations[[#This Row],[Grad_d]]))</f>
        <v/>
      </c>
      <c r="R1090" s="2" t="str">
        <f>IF(Iterations[[#This Row],[Step]] =current_step, current_Grad_e,IF(Iterations[[#This Row],[Step]] &gt; current_step, "",Iterations[[#This Row],[Grad_e]]))</f>
        <v/>
      </c>
    </row>
    <row r="1091" spans="6:18" x14ac:dyDescent="0.3">
      <c r="F1091" s="2">
        <f t="shared" si="22"/>
        <v>1074</v>
      </c>
      <c r="G1091" s="2" t="str">
        <f>IF(Iterations[[#This Row],[Step]] =current_step, current_a,IF(Iterations[[#This Row],[Step]] &gt; current_step, "",Iterations[[#This Row],[a]]))</f>
        <v/>
      </c>
      <c r="H1091" s="2" t="str">
        <f>IF(Iterations[[#This Row],[Step]] =current_step, current_b,IF(Iterations[[#This Row],[Step]] &gt; current_step, "",Iterations[[#This Row],[b]]))</f>
        <v/>
      </c>
      <c r="I1091" s="2" t="str">
        <f>IF(Iterations[[#This Row],[Step]] =current_step, current_c,IF(Iterations[[#This Row],[Step]] &gt; current_step, "",Iterations[[#This Row],[c]]))</f>
        <v/>
      </c>
      <c r="J1091" s="2" t="str">
        <f>IF(Iterations[[#This Row],[Step]] =current_step, current_d,IF(Iterations[[#This Row],[Step]] &gt; current_step, "",Iterations[[#This Row],[d]]))</f>
        <v/>
      </c>
      <c r="K1091" s="2" t="str">
        <f>IF(Iterations[[#This Row],[Step]] =current_step, current_e,IF(Iterations[[#This Row],[Step]] &gt; current_step, "",Iterations[[#This Row],[e]]))</f>
        <v/>
      </c>
      <c r="L1091" s="2" t="str">
        <f>IF(Iterations[[#This Row],[Step]] =current_step, current_Total_Loss,IF(Iterations[[#This Row],[Step]] &gt; current_step, "",Iterations[[#This Row],[Total Loss]]))</f>
        <v/>
      </c>
      <c r="M1091" s="6" t="s">
        <v>27</v>
      </c>
      <c r="N1091" s="2" t="str">
        <f>IF(Iterations[[#This Row],[Step]] =current_step, current_Grad_a,IF(Iterations[[#This Row],[Step]] &gt; current_step, "",Iterations[[#This Row],[Grad_a]]))</f>
        <v/>
      </c>
      <c r="O1091" s="2" t="str">
        <f>IF(Iterations[[#This Row],[Step]] =current_step, current_Grad_b,IF(Iterations[[#This Row],[Step]] &gt; current_step, "",Iterations[[#This Row],[Grad_b]]))</f>
        <v/>
      </c>
      <c r="P1091" s="2" t="str">
        <f>IF(Iterations[[#This Row],[Step]] =current_step, current_Grad_c,IF(Iterations[[#This Row],[Step]] &gt; current_step, "",Iterations[[#This Row],[Grad_c]]))</f>
        <v/>
      </c>
      <c r="Q1091" s="2" t="str">
        <f>IF(Iterations[[#This Row],[Step]] =current_step, current_Grad_d,IF(Iterations[[#This Row],[Step]] &gt; current_step, "",Iterations[[#This Row],[Grad_d]]))</f>
        <v/>
      </c>
      <c r="R1091" s="2" t="str">
        <f>IF(Iterations[[#This Row],[Step]] =current_step, current_Grad_e,IF(Iterations[[#This Row],[Step]] &gt; current_step, "",Iterations[[#This Row],[Grad_e]]))</f>
        <v/>
      </c>
    </row>
    <row r="1092" spans="6:18" x14ac:dyDescent="0.3">
      <c r="F1092" s="2">
        <f t="shared" si="22"/>
        <v>1075</v>
      </c>
      <c r="G1092" s="2" t="str">
        <f>IF(Iterations[[#This Row],[Step]] =current_step, current_a,IF(Iterations[[#This Row],[Step]] &gt; current_step, "",Iterations[[#This Row],[a]]))</f>
        <v/>
      </c>
      <c r="H1092" s="2" t="str">
        <f>IF(Iterations[[#This Row],[Step]] =current_step, current_b,IF(Iterations[[#This Row],[Step]] &gt; current_step, "",Iterations[[#This Row],[b]]))</f>
        <v/>
      </c>
      <c r="I1092" s="2" t="str">
        <f>IF(Iterations[[#This Row],[Step]] =current_step, current_c,IF(Iterations[[#This Row],[Step]] &gt; current_step, "",Iterations[[#This Row],[c]]))</f>
        <v/>
      </c>
      <c r="J1092" s="2" t="str">
        <f>IF(Iterations[[#This Row],[Step]] =current_step, current_d,IF(Iterations[[#This Row],[Step]] &gt; current_step, "",Iterations[[#This Row],[d]]))</f>
        <v/>
      </c>
      <c r="K1092" s="2" t="str">
        <f>IF(Iterations[[#This Row],[Step]] =current_step, current_e,IF(Iterations[[#This Row],[Step]] &gt; current_step, "",Iterations[[#This Row],[e]]))</f>
        <v/>
      </c>
      <c r="L1092" s="2" t="str">
        <f>IF(Iterations[[#This Row],[Step]] =current_step, current_Total_Loss,IF(Iterations[[#This Row],[Step]] &gt; current_step, "",Iterations[[#This Row],[Total Loss]]))</f>
        <v/>
      </c>
      <c r="M1092" s="6" t="s">
        <v>27</v>
      </c>
      <c r="N1092" s="2" t="str">
        <f>IF(Iterations[[#This Row],[Step]] =current_step, current_Grad_a,IF(Iterations[[#This Row],[Step]] &gt; current_step, "",Iterations[[#This Row],[Grad_a]]))</f>
        <v/>
      </c>
      <c r="O1092" s="2" t="str">
        <f>IF(Iterations[[#This Row],[Step]] =current_step, current_Grad_b,IF(Iterations[[#This Row],[Step]] &gt; current_step, "",Iterations[[#This Row],[Grad_b]]))</f>
        <v/>
      </c>
      <c r="P1092" s="2" t="str">
        <f>IF(Iterations[[#This Row],[Step]] =current_step, current_Grad_c,IF(Iterations[[#This Row],[Step]] &gt; current_step, "",Iterations[[#This Row],[Grad_c]]))</f>
        <v/>
      </c>
      <c r="Q1092" s="2" t="str">
        <f>IF(Iterations[[#This Row],[Step]] =current_step, current_Grad_d,IF(Iterations[[#This Row],[Step]] &gt; current_step, "",Iterations[[#This Row],[Grad_d]]))</f>
        <v/>
      </c>
      <c r="R1092" s="2" t="str">
        <f>IF(Iterations[[#This Row],[Step]] =current_step, current_Grad_e,IF(Iterations[[#This Row],[Step]] &gt; current_step, "",Iterations[[#This Row],[Grad_e]]))</f>
        <v/>
      </c>
    </row>
    <row r="1093" spans="6:18" x14ac:dyDescent="0.3">
      <c r="F1093" s="2">
        <f t="shared" si="22"/>
        <v>1076</v>
      </c>
      <c r="G1093" s="2" t="str">
        <f>IF(Iterations[[#This Row],[Step]] =current_step, current_a,IF(Iterations[[#This Row],[Step]] &gt; current_step, "",Iterations[[#This Row],[a]]))</f>
        <v/>
      </c>
      <c r="H1093" s="2" t="str">
        <f>IF(Iterations[[#This Row],[Step]] =current_step, current_b,IF(Iterations[[#This Row],[Step]] &gt; current_step, "",Iterations[[#This Row],[b]]))</f>
        <v/>
      </c>
      <c r="I1093" s="2" t="str">
        <f>IF(Iterations[[#This Row],[Step]] =current_step, current_c,IF(Iterations[[#This Row],[Step]] &gt; current_step, "",Iterations[[#This Row],[c]]))</f>
        <v/>
      </c>
      <c r="J1093" s="2" t="str">
        <f>IF(Iterations[[#This Row],[Step]] =current_step, current_d,IF(Iterations[[#This Row],[Step]] &gt; current_step, "",Iterations[[#This Row],[d]]))</f>
        <v/>
      </c>
      <c r="K1093" s="2" t="str">
        <f>IF(Iterations[[#This Row],[Step]] =current_step, current_e,IF(Iterations[[#This Row],[Step]] &gt; current_step, "",Iterations[[#This Row],[e]]))</f>
        <v/>
      </c>
      <c r="L1093" s="2" t="str">
        <f>IF(Iterations[[#This Row],[Step]] =current_step, current_Total_Loss,IF(Iterations[[#This Row],[Step]] &gt; current_step, "",Iterations[[#This Row],[Total Loss]]))</f>
        <v/>
      </c>
      <c r="M1093" s="6" t="s">
        <v>27</v>
      </c>
      <c r="N1093" s="2" t="str">
        <f>IF(Iterations[[#This Row],[Step]] =current_step, current_Grad_a,IF(Iterations[[#This Row],[Step]] &gt; current_step, "",Iterations[[#This Row],[Grad_a]]))</f>
        <v/>
      </c>
      <c r="O1093" s="2" t="str">
        <f>IF(Iterations[[#This Row],[Step]] =current_step, current_Grad_b,IF(Iterations[[#This Row],[Step]] &gt; current_step, "",Iterations[[#This Row],[Grad_b]]))</f>
        <v/>
      </c>
      <c r="P1093" s="2" t="str">
        <f>IF(Iterations[[#This Row],[Step]] =current_step, current_Grad_c,IF(Iterations[[#This Row],[Step]] &gt; current_step, "",Iterations[[#This Row],[Grad_c]]))</f>
        <v/>
      </c>
      <c r="Q1093" s="2" t="str">
        <f>IF(Iterations[[#This Row],[Step]] =current_step, current_Grad_d,IF(Iterations[[#This Row],[Step]] &gt; current_step, "",Iterations[[#This Row],[Grad_d]]))</f>
        <v/>
      </c>
      <c r="R1093" s="2" t="str">
        <f>IF(Iterations[[#This Row],[Step]] =current_step, current_Grad_e,IF(Iterations[[#This Row],[Step]] &gt; current_step, "",Iterations[[#This Row],[Grad_e]]))</f>
        <v/>
      </c>
    </row>
    <row r="1094" spans="6:18" x14ac:dyDescent="0.3">
      <c r="F1094" s="2">
        <f t="shared" si="22"/>
        <v>1077</v>
      </c>
      <c r="G1094" s="2" t="str">
        <f>IF(Iterations[[#This Row],[Step]] =current_step, current_a,IF(Iterations[[#This Row],[Step]] &gt; current_step, "",Iterations[[#This Row],[a]]))</f>
        <v/>
      </c>
      <c r="H1094" s="2" t="str">
        <f>IF(Iterations[[#This Row],[Step]] =current_step, current_b,IF(Iterations[[#This Row],[Step]] &gt; current_step, "",Iterations[[#This Row],[b]]))</f>
        <v/>
      </c>
      <c r="I1094" s="2" t="str">
        <f>IF(Iterations[[#This Row],[Step]] =current_step, current_c,IF(Iterations[[#This Row],[Step]] &gt; current_step, "",Iterations[[#This Row],[c]]))</f>
        <v/>
      </c>
      <c r="J1094" s="2" t="str">
        <f>IF(Iterations[[#This Row],[Step]] =current_step, current_d,IF(Iterations[[#This Row],[Step]] &gt; current_step, "",Iterations[[#This Row],[d]]))</f>
        <v/>
      </c>
      <c r="K1094" s="2" t="str">
        <f>IF(Iterations[[#This Row],[Step]] =current_step, current_e,IF(Iterations[[#This Row],[Step]] &gt; current_step, "",Iterations[[#This Row],[e]]))</f>
        <v/>
      </c>
      <c r="L1094" s="2" t="str">
        <f>IF(Iterations[[#This Row],[Step]] =current_step, current_Total_Loss,IF(Iterations[[#This Row],[Step]] &gt; current_step, "",Iterations[[#This Row],[Total Loss]]))</f>
        <v/>
      </c>
      <c r="M1094" s="6" t="s">
        <v>27</v>
      </c>
      <c r="N1094" s="2" t="str">
        <f>IF(Iterations[[#This Row],[Step]] =current_step, current_Grad_a,IF(Iterations[[#This Row],[Step]] &gt; current_step, "",Iterations[[#This Row],[Grad_a]]))</f>
        <v/>
      </c>
      <c r="O1094" s="2" t="str">
        <f>IF(Iterations[[#This Row],[Step]] =current_step, current_Grad_b,IF(Iterations[[#This Row],[Step]] &gt; current_step, "",Iterations[[#This Row],[Grad_b]]))</f>
        <v/>
      </c>
      <c r="P1094" s="2" t="str">
        <f>IF(Iterations[[#This Row],[Step]] =current_step, current_Grad_c,IF(Iterations[[#This Row],[Step]] &gt; current_step, "",Iterations[[#This Row],[Grad_c]]))</f>
        <v/>
      </c>
      <c r="Q1094" s="2" t="str">
        <f>IF(Iterations[[#This Row],[Step]] =current_step, current_Grad_d,IF(Iterations[[#This Row],[Step]] &gt; current_step, "",Iterations[[#This Row],[Grad_d]]))</f>
        <v/>
      </c>
      <c r="R1094" s="2" t="str">
        <f>IF(Iterations[[#This Row],[Step]] =current_step, current_Grad_e,IF(Iterations[[#This Row],[Step]] &gt; current_step, "",Iterations[[#This Row],[Grad_e]]))</f>
        <v/>
      </c>
    </row>
    <row r="1095" spans="6:18" x14ac:dyDescent="0.3">
      <c r="F1095" s="2">
        <f t="shared" si="22"/>
        <v>1078</v>
      </c>
      <c r="G1095" s="2" t="str">
        <f>IF(Iterations[[#This Row],[Step]] =current_step, current_a,IF(Iterations[[#This Row],[Step]] &gt; current_step, "",Iterations[[#This Row],[a]]))</f>
        <v/>
      </c>
      <c r="H1095" s="2" t="str">
        <f>IF(Iterations[[#This Row],[Step]] =current_step, current_b,IF(Iterations[[#This Row],[Step]] &gt; current_step, "",Iterations[[#This Row],[b]]))</f>
        <v/>
      </c>
      <c r="I1095" s="2" t="str">
        <f>IF(Iterations[[#This Row],[Step]] =current_step, current_c,IF(Iterations[[#This Row],[Step]] &gt; current_step, "",Iterations[[#This Row],[c]]))</f>
        <v/>
      </c>
      <c r="J1095" s="2" t="str">
        <f>IF(Iterations[[#This Row],[Step]] =current_step, current_d,IF(Iterations[[#This Row],[Step]] &gt; current_step, "",Iterations[[#This Row],[d]]))</f>
        <v/>
      </c>
      <c r="K1095" s="2" t="str">
        <f>IF(Iterations[[#This Row],[Step]] =current_step, current_e,IF(Iterations[[#This Row],[Step]] &gt; current_step, "",Iterations[[#This Row],[e]]))</f>
        <v/>
      </c>
      <c r="L1095" s="2" t="str">
        <f>IF(Iterations[[#This Row],[Step]] =current_step, current_Total_Loss,IF(Iterations[[#This Row],[Step]] &gt; current_step, "",Iterations[[#This Row],[Total Loss]]))</f>
        <v/>
      </c>
      <c r="M1095" s="6" t="s">
        <v>27</v>
      </c>
      <c r="N1095" s="2" t="str">
        <f>IF(Iterations[[#This Row],[Step]] =current_step, current_Grad_a,IF(Iterations[[#This Row],[Step]] &gt; current_step, "",Iterations[[#This Row],[Grad_a]]))</f>
        <v/>
      </c>
      <c r="O1095" s="2" t="str">
        <f>IF(Iterations[[#This Row],[Step]] =current_step, current_Grad_b,IF(Iterations[[#This Row],[Step]] &gt; current_step, "",Iterations[[#This Row],[Grad_b]]))</f>
        <v/>
      </c>
      <c r="P1095" s="2" t="str">
        <f>IF(Iterations[[#This Row],[Step]] =current_step, current_Grad_c,IF(Iterations[[#This Row],[Step]] &gt; current_step, "",Iterations[[#This Row],[Grad_c]]))</f>
        <v/>
      </c>
      <c r="Q1095" s="2" t="str">
        <f>IF(Iterations[[#This Row],[Step]] =current_step, current_Grad_d,IF(Iterations[[#This Row],[Step]] &gt; current_step, "",Iterations[[#This Row],[Grad_d]]))</f>
        <v/>
      </c>
      <c r="R1095" s="2" t="str">
        <f>IF(Iterations[[#This Row],[Step]] =current_step, current_Grad_e,IF(Iterations[[#This Row],[Step]] &gt; current_step, "",Iterations[[#This Row],[Grad_e]]))</f>
        <v/>
      </c>
    </row>
    <row r="1096" spans="6:18" x14ac:dyDescent="0.3">
      <c r="F1096" s="2">
        <f t="shared" si="22"/>
        <v>1079</v>
      </c>
      <c r="G1096" s="2" t="str">
        <f>IF(Iterations[[#This Row],[Step]] =current_step, current_a,IF(Iterations[[#This Row],[Step]] &gt; current_step, "",Iterations[[#This Row],[a]]))</f>
        <v/>
      </c>
      <c r="H1096" s="2" t="str">
        <f>IF(Iterations[[#This Row],[Step]] =current_step, current_b,IF(Iterations[[#This Row],[Step]] &gt; current_step, "",Iterations[[#This Row],[b]]))</f>
        <v/>
      </c>
      <c r="I1096" s="2" t="str">
        <f>IF(Iterations[[#This Row],[Step]] =current_step, current_c,IF(Iterations[[#This Row],[Step]] &gt; current_step, "",Iterations[[#This Row],[c]]))</f>
        <v/>
      </c>
      <c r="J1096" s="2" t="str">
        <f>IF(Iterations[[#This Row],[Step]] =current_step, current_d,IF(Iterations[[#This Row],[Step]] &gt; current_step, "",Iterations[[#This Row],[d]]))</f>
        <v/>
      </c>
      <c r="K1096" s="2" t="str">
        <f>IF(Iterations[[#This Row],[Step]] =current_step, current_e,IF(Iterations[[#This Row],[Step]] &gt; current_step, "",Iterations[[#This Row],[e]]))</f>
        <v/>
      </c>
      <c r="L1096" s="2" t="str">
        <f>IF(Iterations[[#This Row],[Step]] =current_step, current_Total_Loss,IF(Iterations[[#This Row],[Step]] &gt; current_step, "",Iterations[[#This Row],[Total Loss]]))</f>
        <v/>
      </c>
      <c r="M1096" s="6" t="s">
        <v>27</v>
      </c>
      <c r="N1096" s="2" t="str">
        <f>IF(Iterations[[#This Row],[Step]] =current_step, current_Grad_a,IF(Iterations[[#This Row],[Step]] &gt; current_step, "",Iterations[[#This Row],[Grad_a]]))</f>
        <v/>
      </c>
      <c r="O1096" s="2" t="str">
        <f>IF(Iterations[[#This Row],[Step]] =current_step, current_Grad_b,IF(Iterations[[#This Row],[Step]] &gt; current_step, "",Iterations[[#This Row],[Grad_b]]))</f>
        <v/>
      </c>
      <c r="P1096" s="2" t="str">
        <f>IF(Iterations[[#This Row],[Step]] =current_step, current_Grad_c,IF(Iterations[[#This Row],[Step]] &gt; current_step, "",Iterations[[#This Row],[Grad_c]]))</f>
        <v/>
      </c>
      <c r="Q1096" s="2" t="str">
        <f>IF(Iterations[[#This Row],[Step]] =current_step, current_Grad_d,IF(Iterations[[#This Row],[Step]] &gt; current_step, "",Iterations[[#This Row],[Grad_d]]))</f>
        <v/>
      </c>
      <c r="R1096" s="2" t="str">
        <f>IF(Iterations[[#This Row],[Step]] =current_step, current_Grad_e,IF(Iterations[[#This Row],[Step]] &gt; current_step, "",Iterations[[#This Row],[Grad_e]]))</f>
        <v/>
      </c>
    </row>
    <row r="1097" spans="6:18" x14ac:dyDescent="0.3">
      <c r="F1097" s="2">
        <f t="shared" si="22"/>
        <v>1080</v>
      </c>
      <c r="G1097" s="2" t="str">
        <f>IF(Iterations[[#This Row],[Step]] =current_step, current_a,IF(Iterations[[#This Row],[Step]] &gt; current_step, "",Iterations[[#This Row],[a]]))</f>
        <v/>
      </c>
      <c r="H1097" s="2" t="str">
        <f>IF(Iterations[[#This Row],[Step]] =current_step, current_b,IF(Iterations[[#This Row],[Step]] &gt; current_step, "",Iterations[[#This Row],[b]]))</f>
        <v/>
      </c>
      <c r="I1097" s="2" t="str">
        <f>IF(Iterations[[#This Row],[Step]] =current_step, current_c,IF(Iterations[[#This Row],[Step]] &gt; current_step, "",Iterations[[#This Row],[c]]))</f>
        <v/>
      </c>
      <c r="J1097" s="2" t="str">
        <f>IF(Iterations[[#This Row],[Step]] =current_step, current_d,IF(Iterations[[#This Row],[Step]] &gt; current_step, "",Iterations[[#This Row],[d]]))</f>
        <v/>
      </c>
      <c r="K1097" s="2" t="str">
        <f>IF(Iterations[[#This Row],[Step]] =current_step, current_e,IF(Iterations[[#This Row],[Step]] &gt; current_step, "",Iterations[[#This Row],[e]]))</f>
        <v/>
      </c>
      <c r="L1097" s="2" t="str">
        <f>IF(Iterations[[#This Row],[Step]] =current_step, current_Total_Loss,IF(Iterations[[#This Row],[Step]] &gt; current_step, "",Iterations[[#This Row],[Total Loss]]))</f>
        <v/>
      </c>
      <c r="M1097" s="6" t="s">
        <v>27</v>
      </c>
      <c r="N1097" s="2" t="str">
        <f>IF(Iterations[[#This Row],[Step]] =current_step, current_Grad_a,IF(Iterations[[#This Row],[Step]] &gt; current_step, "",Iterations[[#This Row],[Grad_a]]))</f>
        <v/>
      </c>
      <c r="O1097" s="2" t="str">
        <f>IF(Iterations[[#This Row],[Step]] =current_step, current_Grad_b,IF(Iterations[[#This Row],[Step]] &gt; current_step, "",Iterations[[#This Row],[Grad_b]]))</f>
        <v/>
      </c>
      <c r="P1097" s="2" t="str">
        <f>IF(Iterations[[#This Row],[Step]] =current_step, current_Grad_c,IF(Iterations[[#This Row],[Step]] &gt; current_step, "",Iterations[[#This Row],[Grad_c]]))</f>
        <v/>
      </c>
      <c r="Q1097" s="2" t="str">
        <f>IF(Iterations[[#This Row],[Step]] =current_step, current_Grad_d,IF(Iterations[[#This Row],[Step]] &gt; current_step, "",Iterations[[#This Row],[Grad_d]]))</f>
        <v/>
      </c>
      <c r="R1097" s="2" t="str">
        <f>IF(Iterations[[#This Row],[Step]] =current_step, current_Grad_e,IF(Iterations[[#This Row],[Step]] &gt; current_step, "",Iterations[[#This Row],[Grad_e]]))</f>
        <v/>
      </c>
    </row>
    <row r="1098" spans="6:18" x14ac:dyDescent="0.3">
      <c r="F1098" s="2">
        <f t="shared" si="22"/>
        <v>1081</v>
      </c>
      <c r="G1098" s="2" t="str">
        <f>IF(Iterations[[#This Row],[Step]] =current_step, current_a,IF(Iterations[[#This Row],[Step]] &gt; current_step, "",Iterations[[#This Row],[a]]))</f>
        <v/>
      </c>
      <c r="H1098" s="2" t="str">
        <f>IF(Iterations[[#This Row],[Step]] =current_step, current_b,IF(Iterations[[#This Row],[Step]] &gt; current_step, "",Iterations[[#This Row],[b]]))</f>
        <v/>
      </c>
      <c r="I1098" s="2" t="str">
        <f>IF(Iterations[[#This Row],[Step]] =current_step, current_c,IF(Iterations[[#This Row],[Step]] &gt; current_step, "",Iterations[[#This Row],[c]]))</f>
        <v/>
      </c>
      <c r="J1098" s="2" t="str">
        <f>IF(Iterations[[#This Row],[Step]] =current_step, current_d,IF(Iterations[[#This Row],[Step]] &gt; current_step, "",Iterations[[#This Row],[d]]))</f>
        <v/>
      </c>
      <c r="K1098" s="2" t="str">
        <f>IF(Iterations[[#This Row],[Step]] =current_step, current_e,IF(Iterations[[#This Row],[Step]] &gt; current_step, "",Iterations[[#This Row],[e]]))</f>
        <v/>
      </c>
      <c r="L1098" s="2" t="str">
        <f>IF(Iterations[[#This Row],[Step]] =current_step, current_Total_Loss,IF(Iterations[[#This Row],[Step]] &gt; current_step, "",Iterations[[#This Row],[Total Loss]]))</f>
        <v/>
      </c>
      <c r="M1098" s="6" t="s">
        <v>27</v>
      </c>
      <c r="N1098" s="2" t="str">
        <f>IF(Iterations[[#This Row],[Step]] =current_step, current_Grad_a,IF(Iterations[[#This Row],[Step]] &gt; current_step, "",Iterations[[#This Row],[Grad_a]]))</f>
        <v/>
      </c>
      <c r="O1098" s="2" t="str">
        <f>IF(Iterations[[#This Row],[Step]] =current_step, current_Grad_b,IF(Iterations[[#This Row],[Step]] &gt; current_step, "",Iterations[[#This Row],[Grad_b]]))</f>
        <v/>
      </c>
      <c r="P1098" s="2" t="str">
        <f>IF(Iterations[[#This Row],[Step]] =current_step, current_Grad_c,IF(Iterations[[#This Row],[Step]] &gt; current_step, "",Iterations[[#This Row],[Grad_c]]))</f>
        <v/>
      </c>
      <c r="Q1098" s="2" t="str">
        <f>IF(Iterations[[#This Row],[Step]] =current_step, current_Grad_d,IF(Iterations[[#This Row],[Step]] &gt; current_step, "",Iterations[[#This Row],[Grad_d]]))</f>
        <v/>
      </c>
      <c r="R1098" s="2" t="str">
        <f>IF(Iterations[[#This Row],[Step]] =current_step, current_Grad_e,IF(Iterations[[#This Row],[Step]] &gt; current_step, "",Iterations[[#This Row],[Grad_e]]))</f>
        <v/>
      </c>
    </row>
    <row r="1099" spans="6:18" x14ac:dyDescent="0.3">
      <c r="F1099" s="2">
        <f t="shared" si="22"/>
        <v>1082</v>
      </c>
      <c r="G1099" s="2" t="str">
        <f>IF(Iterations[[#This Row],[Step]] =current_step, current_a,IF(Iterations[[#This Row],[Step]] &gt; current_step, "",Iterations[[#This Row],[a]]))</f>
        <v/>
      </c>
      <c r="H1099" s="2" t="str">
        <f>IF(Iterations[[#This Row],[Step]] =current_step, current_b,IF(Iterations[[#This Row],[Step]] &gt; current_step, "",Iterations[[#This Row],[b]]))</f>
        <v/>
      </c>
      <c r="I1099" s="2" t="str">
        <f>IF(Iterations[[#This Row],[Step]] =current_step, current_c,IF(Iterations[[#This Row],[Step]] &gt; current_step, "",Iterations[[#This Row],[c]]))</f>
        <v/>
      </c>
      <c r="J1099" s="2" t="str">
        <f>IF(Iterations[[#This Row],[Step]] =current_step, current_d,IF(Iterations[[#This Row],[Step]] &gt; current_step, "",Iterations[[#This Row],[d]]))</f>
        <v/>
      </c>
      <c r="K1099" s="2" t="str">
        <f>IF(Iterations[[#This Row],[Step]] =current_step, current_e,IF(Iterations[[#This Row],[Step]] &gt; current_step, "",Iterations[[#This Row],[e]]))</f>
        <v/>
      </c>
      <c r="L1099" s="2" t="str">
        <f>IF(Iterations[[#This Row],[Step]] =current_step, current_Total_Loss,IF(Iterations[[#This Row],[Step]] &gt; current_step, "",Iterations[[#This Row],[Total Loss]]))</f>
        <v/>
      </c>
      <c r="M1099" s="6" t="s">
        <v>27</v>
      </c>
      <c r="N1099" s="2" t="str">
        <f>IF(Iterations[[#This Row],[Step]] =current_step, current_Grad_a,IF(Iterations[[#This Row],[Step]] &gt; current_step, "",Iterations[[#This Row],[Grad_a]]))</f>
        <v/>
      </c>
      <c r="O1099" s="2" t="str">
        <f>IF(Iterations[[#This Row],[Step]] =current_step, current_Grad_b,IF(Iterations[[#This Row],[Step]] &gt; current_step, "",Iterations[[#This Row],[Grad_b]]))</f>
        <v/>
      </c>
      <c r="P1099" s="2" t="str">
        <f>IF(Iterations[[#This Row],[Step]] =current_step, current_Grad_c,IF(Iterations[[#This Row],[Step]] &gt; current_step, "",Iterations[[#This Row],[Grad_c]]))</f>
        <v/>
      </c>
      <c r="Q1099" s="2" t="str">
        <f>IF(Iterations[[#This Row],[Step]] =current_step, current_Grad_d,IF(Iterations[[#This Row],[Step]] &gt; current_step, "",Iterations[[#This Row],[Grad_d]]))</f>
        <v/>
      </c>
      <c r="R1099" s="2" t="str">
        <f>IF(Iterations[[#This Row],[Step]] =current_step, current_Grad_e,IF(Iterations[[#This Row],[Step]] &gt; current_step, "",Iterations[[#This Row],[Grad_e]]))</f>
        <v/>
      </c>
    </row>
    <row r="1100" spans="6:18" x14ac:dyDescent="0.3">
      <c r="F1100" s="2">
        <f t="shared" si="22"/>
        <v>1083</v>
      </c>
      <c r="G1100" s="2" t="str">
        <f>IF(Iterations[[#This Row],[Step]] =current_step, current_a,IF(Iterations[[#This Row],[Step]] &gt; current_step, "",Iterations[[#This Row],[a]]))</f>
        <v/>
      </c>
      <c r="H1100" s="2" t="str">
        <f>IF(Iterations[[#This Row],[Step]] =current_step, current_b,IF(Iterations[[#This Row],[Step]] &gt; current_step, "",Iterations[[#This Row],[b]]))</f>
        <v/>
      </c>
      <c r="I1100" s="2" t="str">
        <f>IF(Iterations[[#This Row],[Step]] =current_step, current_c,IF(Iterations[[#This Row],[Step]] &gt; current_step, "",Iterations[[#This Row],[c]]))</f>
        <v/>
      </c>
      <c r="J1100" s="2" t="str">
        <f>IF(Iterations[[#This Row],[Step]] =current_step, current_d,IF(Iterations[[#This Row],[Step]] &gt; current_step, "",Iterations[[#This Row],[d]]))</f>
        <v/>
      </c>
      <c r="K1100" s="2" t="str">
        <f>IF(Iterations[[#This Row],[Step]] =current_step, current_e,IF(Iterations[[#This Row],[Step]] &gt; current_step, "",Iterations[[#This Row],[e]]))</f>
        <v/>
      </c>
      <c r="L1100" s="2" t="str">
        <f>IF(Iterations[[#This Row],[Step]] =current_step, current_Total_Loss,IF(Iterations[[#This Row],[Step]] &gt; current_step, "",Iterations[[#This Row],[Total Loss]]))</f>
        <v/>
      </c>
      <c r="M1100" s="6" t="s">
        <v>27</v>
      </c>
      <c r="N1100" s="2" t="str">
        <f>IF(Iterations[[#This Row],[Step]] =current_step, current_Grad_a,IF(Iterations[[#This Row],[Step]] &gt; current_step, "",Iterations[[#This Row],[Grad_a]]))</f>
        <v/>
      </c>
      <c r="O1100" s="2" t="str">
        <f>IF(Iterations[[#This Row],[Step]] =current_step, current_Grad_b,IF(Iterations[[#This Row],[Step]] &gt; current_step, "",Iterations[[#This Row],[Grad_b]]))</f>
        <v/>
      </c>
      <c r="P1100" s="2" t="str">
        <f>IF(Iterations[[#This Row],[Step]] =current_step, current_Grad_c,IF(Iterations[[#This Row],[Step]] &gt; current_step, "",Iterations[[#This Row],[Grad_c]]))</f>
        <v/>
      </c>
      <c r="Q1100" s="2" t="str">
        <f>IF(Iterations[[#This Row],[Step]] =current_step, current_Grad_d,IF(Iterations[[#This Row],[Step]] &gt; current_step, "",Iterations[[#This Row],[Grad_d]]))</f>
        <v/>
      </c>
      <c r="R1100" s="2" t="str">
        <f>IF(Iterations[[#This Row],[Step]] =current_step, current_Grad_e,IF(Iterations[[#This Row],[Step]] &gt; current_step, "",Iterations[[#This Row],[Grad_e]]))</f>
        <v/>
      </c>
    </row>
    <row r="1101" spans="6:18" x14ac:dyDescent="0.3">
      <c r="F1101" s="2">
        <f t="shared" si="22"/>
        <v>1084</v>
      </c>
      <c r="G1101" s="2" t="str">
        <f>IF(Iterations[[#This Row],[Step]] =current_step, current_a,IF(Iterations[[#This Row],[Step]] &gt; current_step, "",Iterations[[#This Row],[a]]))</f>
        <v/>
      </c>
      <c r="H1101" s="2" t="str">
        <f>IF(Iterations[[#This Row],[Step]] =current_step, current_b,IF(Iterations[[#This Row],[Step]] &gt; current_step, "",Iterations[[#This Row],[b]]))</f>
        <v/>
      </c>
      <c r="I1101" s="2" t="str">
        <f>IF(Iterations[[#This Row],[Step]] =current_step, current_c,IF(Iterations[[#This Row],[Step]] &gt; current_step, "",Iterations[[#This Row],[c]]))</f>
        <v/>
      </c>
      <c r="J1101" s="2" t="str">
        <f>IF(Iterations[[#This Row],[Step]] =current_step, current_d,IF(Iterations[[#This Row],[Step]] &gt; current_step, "",Iterations[[#This Row],[d]]))</f>
        <v/>
      </c>
      <c r="K1101" s="2" t="str">
        <f>IF(Iterations[[#This Row],[Step]] =current_step, current_e,IF(Iterations[[#This Row],[Step]] &gt; current_step, "",Iterations[[#This Row],[e]]))</f>
        <v/>
      </c>
      <c r="L1101" s="2" t="str">
        <f>IF(Iterations[[#This Row],[Step]] =current_step, current_Total_Loss,IF(Iterations[[#This Row],[Step]] &gt; current_step, "",Iterations[[#This Row],[Total Loss]]))</f>
        <v/>
      </c>
      <c r="M1101" s="6" t="s">
        <v>27</v>
      </c>
      <c r="N1101" s="2" t="str">
        <f>IF(Iterations[[#This Row],[Step]] =current_step, current_Grad_a,IF(Iterations[[#This Row],[Step]] &gt; current_step, "",Iterations[[#This Row],[Grad_a]]))</f>
        <v/>
      </c>
      <c r="O1101" s="2" t="str">
        <f>IF(Iterations[[#This Row],[Step]] =current_step, current_Grad_b,IF(Iterations[[#This Row],[Step]] &gt; current_step, "",Iterations[[#This Row],[Grad_b]]))</f>
        <v/>
      </c>
      <c r="P1101" s="2" t="str">
        <f>IF(Iterations[[#This Row],[Step]] =current_step, current_Grad_c,IF(Iterations[[#This Row],[Step]] &gt; current_step, "",Iterations[[#This Row],[Grad_c]]))</f>
        <v/>
      </c>
      <c r="Q1101" s="2" t="str">
        <f>IF(Iterations[[#This Row],[Step]] =current_step, current_Grad_d,IF(Iterations[[#This Row],[Step]] &gt; current_step, "",Iterations[[#This Row],[Grad_d]]))</f>
        <v/>
      </c>
      <c r="R1101" s="2" t="str">
        <f>IF(Iterations[[#This Row],[Step]] =current_step, current_Grad_e,IF(Iterations[[#This Row],[Step]] &gt; current_step, "",Iterations[[#This Row],[Grad_e]]))</f>
        <v/>
      </c>
    </row>
    <row r="1102" spans="6:18" x14ac:dyDescent="0.3">
      <c r="F1102" s="2">
        <f t="shared" si="22"/>
        <v>1085</v>
      </c>
      <c r="G1102" s="2" t="str">
        <f>IF(Iterations[[#This Row],[Step]] =current_step, current_a,IF(Iterations[[#This Row],[Step]] &gt; current_step, "",Iterations[[#This Row],[a]]))</f>
        <v/>
      </c>
      <c r="H1102" s="2" t="str">
        <f>IF(Iterations[[#This Row],[Step]] =current_step, current_b,IF(Iterations[[#This Row],[Step]] &gt; current_step, "",Iterations[[#This Row],[b]]))</f>
        <v/>
      </c>
      <c r="I1102" s="2" t="str">
        <f>IF(Iterations[[#This Row],[Step]] =current_step, current_c,IF(Iterations[[#This Row],[Step]] &gt; current_step, "",Iterations[[#This Row],[c]]))</f>
        <v/>
      </c>
      <c r="J1102" s="2" t="str">
        <f>IF(Iterations[[#This Row],[Step]] =current_step, current_d,IF(Iterations[[#This Row],[Step]] &gt; current_step, "",Iterations[[#This Row],[d]]))</f>
        <v/>
      </c>
      <c r="K1102" s="2" t="str">
        <f>IF(Iterations[[#This Row],[Step]] =current_step, current_e,IF(Iterations[[#This Row],[Step]] &gt; current_step, "",Iterations[[#This Row],[e]]))</f>
        <v/>
      </c>
      <c r="L1102" s="2" t="str">
        <f>IF(Iterations[[#This Row],[Step]] =current_step, current_Total_Loss,IF(Iterations[[#This Row],[Step]] &gt; current_step, "",Iterations[[#This Row],[Total Loss]]))</f>
        <v/>
      </c>
      <c r="M1102" s="6" t="s">
        <v>27</v>
      </c>
      <c r="N1102" s="2" t="str">
        <f>IF(Iterations[[#This Row],[Step]] =current_step, current_Grad_a,IF(Iterations[[#This Row],[Step]] &gt; current_step, "",Iterations[[#This Row],[Grad_a]]))</f>
        <v/>
      </c>
      <c r="O1102" s="2" t="str">
        <f>IF(Iterations[[#This Row],[Step]] =current_step, current_Grad_b,IF(Iterations[[#This Row],[Step]] &gt; current_step, "",Iterations[[#This Row],[Grad_b]]))</f>
        <v/>
      </c>
      <c r="P1102" s="2" t="str">
        <f>IF(Iterations[[#This Row],[Step]] =current_step, current_Grad_c,IF(Iterations[[#This Row],[Step]] &gt; current_step, "",Iterations[[#This Row],[Grad_c]]))</f>
        <v/>
      </c>
      <c r="Q1102" s="2" t="str">
        <f>IF(Iterations[[#This Row],[Step]] =current_step, current_Grad_d,IF(Iterations[[#This Row],[Step]] &gt; current_step, "",Iterations[[#This Row],[Grad_d]]))</f>
        <v/>
      </c>
      <c r="R1102" s="2" t="str">
        <f>IF(Iterations[[#This Row],[Step]] =current_step, current_Grad_e,IF(Iterations[[#This Row],[Step]] &gt; current_step, "",Iterations[[#This Row],[Grad_e]]))</f>
        <v/>
      </c>
    </row>
    <row r="1103" spans="6:18" x14ac:dyDescent="0.3">
      <c r="F1103" s="2">
        <f t="shared" si="22"/>
        <v>1086</v>
      </c>
      <c r="G1103" s="2" t="str">
        <f>IF(Iterations[[#This Row],[Step]] =current_step, current_a,IF(Iterations[[#This Row],[Step]] &gt; current_step, "",Iterations[[#This Row],[a]]))</f>
        <v/>
      </c>
      <c r="H1103" s="2" t="str">
        <f>IF(Iterations[[#This Row],[Step]] =current_step, current_b,IF(Iterations[[#This Row],[Step]] &gt; current_step, "",Iterations[[#This Row],[b]]))</f>
        <v/>
      </c>
      <c r="I1103" s="2" t="str">
        <f>IF(Iterations[[#This Row],[Step]] =current_step, current_c,IF(Iterations[[#This Row],[Step]] &gt; current_step, "",Iterations[[#This Row],[c]]))</f>
        <v/>
      </c>
      <c r="J1103" s="2" t="str">
        <f>IF(Iterations[[#This Row],[Step]] =current_step, current_d,IF(Iterations[[#This Row],[Step]] &gt; current_step, "",Iterations[[#This Row],[d]]))</f>
        <v/>
      </c>
      <c r="K1103" s="2" t="str">
        <f>IF(Iterations[[#This Row],[Step]] =current_step, current_e,IF(Iterations[[#This Row],[Step]] &gt; current_step, "",Iterations[[#This Row],[e]]))</f>
        <v/>
      </c>
      <c r="L1103" s="2" t="str">
        <f>IF(Iterations[[#This Row],[Step]] =current_step, current_Total_Loss,IF(Iterations[[#This Row],[Step]] &gt; current_step, "",Iterations[[#This Row],[Total Loss]]))</f>
        <v/>
      </c>
      <c r="M1103" s="6" t="s">
        <v>27</v>
      </c>
      <c r="N1103" s="2" t="str">
        <f>IF(Iterations[[#This Row],[Step]] =current_step, current_Grad_a,IF(Iterations[[#This Row],[Step]] &gt; current_step, "",Iterations[[#This Row],[Grad_a]]))</f>
        <v/>
      </c>
      <c r="O1103" s="2" t="str">
        <f>IF(Iterations[[#This Row],[Step]] =current_step, current_Grad_b,IF(Iterations[[#This Row],[Step]] &gt; current_step, "",Iterations[[#This Row],[Grad_b]]))</f>
        <v/>
      </c>
      <c r="P1103" s="2" t="str">
        <f>IF(Iterations[[#This Row],[Step]] =current_step, current_Grad_c,IF(Iterations[[#This Row],[Step]] &gt; current_step, "",Iterations[[#This Row],[Grad_c]]))</f>
        <v/>
      </c>
      <c r="Q1103" s="2" t="str">
        <f>IF(Iterations[[#This Row],[Step]] =current_step, current_Grad_d,IF(Iterations[[#This Row],[Step]] &gt; current_step, "",Iterations[[#This Row],[Grad_d]]))</f>
        <v/>
      </c>
      <c r="R1103" s="2" t="str">
        <f>IF(Iterations[[#This Row],[Step]] =current_step, current_Grad_e,IF(Iterations[[#This Row],[Step]] &gt; current_step, "",Iterations[[#This Row],[Grad_e]]))</f>
        <v/>
      </c>
    </row>
    <row r="1104" spans="6:18" x14ac:dyDescent="0.3">
      <c r="F1104" s="2">
        <f t="shared" si="22"/>
        <v>1087</v>
      </c>
      <c r="G1104" s="2" t="str">
        <f>IF(Iterations[[#This Row],[Step]] =current_step, current_a,IF(Iterations[[#This Row],[Step]] &gt; current_step, "",Iterations[[#This Row],[a]]))</f>
        <v/>
      </c>
      <c r="H1104" s="2" t="str">
        <f>IF(Iterations[[#This Row],[Step]] =current_step, current_b,IF(Iterations[[#This Row],[Step]] &gt; current_step, "",Iterations[[#This Row],[b]]))</f>
        <v/>
      </c>
      <c r="I1104" s="2" t="str">
        <f>IF(Iterations[[#This Row],[Step]] =current_step, current_c,IF(Iterations[[#This Row],[Step]] &gt; current_step, "",Iterations[[#This Row],[c]]))</f>
        <v/>
      </c>
      <c r="J1104" s="2" t="str">
        <f>IF(Iterations[[#This Row],[Step]] =current_step, current_d,IF(Iterations[[#This Row],[Step]] &gt; current_step, "",Iterations[[#This Row],[d]]))</f>
        <v/>
      </c>
      <c r="K1104" s="2" t="str">
        <f>IF(Iterations[[#This Row],[Step]] =current_step, current_e,IF(Iterations[[#This Row],[Step]] &gt; current_step, "",Iterations[[#This Row],[e]]))</f>
        <v/>
      </c>
      <c r="L1104" s="2" t="str">
        <f>IF(Iterations[[#This Row],[Step]] =current_step, current_Total_Loss,IF(Iterations[[#This Row],[Step]] &gt; current_step, "",Iterations[[#This Row],[Total Loss]]))</f>
        <v/>
      </c>
      <c r="M1104" s="6" t="s">
        <v>27</v>
      </c>
      <c r="N1104" s="2" t="str">
        <f>IF(Iterations[[#This Row],[Step]] =current_step, current_Grad_a,IF(Iterations[[#This Row],[Step]] &gt; current_step, "",Iterations[[#This Row],[Grad_a]]))</f>
        <v/>
      </c>
      <c r="O1104" s="2" t="str">
        <f>IF(Iterations[[#This Row],[Step]] =current_step, current_Grad_b,IF(Iterations[[#This Row],[Step]] &gt; current_step, "",Iterations[[#This Row],[Grad_b]]))</f>
        <v/>
      </c>
      <c r="P1104" s="2" t="str">
        <f>IF(Iterations[[#This Row],[Step]] =current_step, current_Grad_c,IF(Iterations[[#This Row],[Step]] &gt; current_step, "",Iterations[[#This Row],[Grad_c]]))</f>
        <v/>
      </c>
      <c r="Q1104" s="2" t="str">
        <f>IF(Iterations[[#This Row],[Step]] =current_step, current_Grad_d,IF(Iterations[[#This Row],[Step]] &gt; current_step, "",Iterations[[#This Row],[Grad_d]]))</f>
        <v/>
      </c>
      <c r="R1104" s="2" t="str">
        <f>IF(Iterations[[#This Row],[Step]] =current_step, current_Grad_e,IF(Iterations[[#This Row],[Step]] &gt; current_step, "",Iterations[[#This Row],[Grad_e]]))</f>
        <v/>
      </c>
    </row>
    <row r="1105" spans="6:18" x14ac:dyDescent="0.3">
      <c r="F1105" s="2">
        <f t="shared" si="22"/>
        <v>1088</v>
      </c>
      <c r="G1105" s="2" t="str">
        <f>IF(Iterations[[#This Row],[Step]] =current_step, current_a,IF(Iterations[[#This Row],[Step]] &gt; current_step, "",Iterations[[#This Row],[a]]))</f>
        <v/>
      </c>
      <c r="H1105" s="2" t="str">
        <f>IF(Iterations[[#This Row],[Step]] =current_step, current_b,IF(Iterations[[#This Row],[Step]] &gt; current_step, "",Iterations[[#This Row],[b]]))</f>
        <v/>
      </c>
      <c r="I1105" s="2" t="str">
        <f>IF(Iterations[[#This Row],[Step]] =current_step, current_c,IF(Iterations[[#This Row],[Step]] &gt; current_step, "",Iterations[[#This Row],[c]]))</f>
        <v/>
      </c>
      <c r="J1105" s="2" t="str">
        <f>IF(Iterations[[#This Row],[Step]] =current_step, current_d,IF(Iterations[[#This Row],[Step]] &gt; current_step, "",Iterations[[#This Row],[d]]))</f>
        <v/>
      </c>
      <c r="K1105" s="2" t="str">
        <f>IF(Iterations[[#This Row],[Step]] =current_step, current_e,IF(Iterations[[#This Row],[Step]] &gt; current_step, "",Iterations[[#This Row],[e]]))</f>
        <v/>
      </c>
      <c r="L1105" s="2" t="str">
        <f>IF(Iterations[[#This Row],[Step]] =current_step, current_Total_Loss,IF(Iterations[[#This Row],[Step]] &gt; current_step, "",Iterations[[#This Row],[Total Loss]]))</f>
        <v/>
      </c>
      <c r="M1105" s="6" t="s">
        <v>27</v>
      </c>
      <c r="N1105" s="2" t="str">
        <f>IF(Iterations[[#This Row],[Step]] =current_step, current_Grad_a,IF(Iterations[[#This Row],[Step]] &gt; current_step, "",Iterations[[#This Row],[Grad_a]]))</f>
        <v/>
      </c>
      <c r="O1105" s="2" t="str">
        <f>IF(Iterations[[#This Row],[Step]] =current_step, current_Grad_b,IF(Iterations[[#This Row],[Step]] &gt; current_step, "",Iterations[[#This Row],[Grad_b]]))</f>
        <v/>
      </c>
      <c r="P1105" s="2" t="str">
        <f>IF(Iterations[[#This Row],[Step]] =current_step, current_Grad_c,IF(Iterations[[#This Row],[Step]] &gt; current_step, "",Iterations[[#This Row],[Grad_c]]))</f>
        <v/>
      </c>
      <c r="Q1105" s="2" t="str">
        <f>IF(Iterations[[#This Row],[Step]] =current_step, current_Grad_d,IF(Iterations[[#This Row],[Step]] &gt; current_step, "",Iterations[[#This Row],[Grad_d]]))</f>
        <v/>
      </c>
      <c r="R1105" s="2" t="str">
        <f>IF(Iterations[[#This Row],[Step]] =current_step, current_Grad_e,IF(Iterations[[#This Row],[Step]] &gt; current_step, "",Iterations[[#This Row],[Grad_e]]))</f>
        <v/>
      </c>
    </row>
    <row r="1106" spans="6:18" x14ac:dyDescent="0.3">
      <c r="F1106" s="2">
        <f t="shared" si="22"/>
        <v>1089</v>
      </c>
      <c r="G1106" s="2" t="str">
        <f>IF(Iterations[[#This Row],[Step]] =current_step, current_a,IF(Iterations[[#This Row],[Step]] &gt; current_step, "",Iterations[[#This Row],[a]]))</f>
        <v/>
      </c>
      <c r="H1106" s="2" t="str">
        <f>IF(Iterations[[#This Row],[Step]] =current_step, current_b,IF(Iterations[[#This Row],[Step]] &gt; current_step, "",Iterations[[#This Row],[b]]))</f>
        <v/>
      </c>
      <c r="I1106" s="2" t="str">
        <f>IF(Iterations[[#This Row],[Step]] =current_step, current_c,IF(Iterations[[#This Row],[Step]] &gt; current_step, "",Iterations[[#This Row],[c]]))</f>
        <v/>
      </c>
      <c r="J1106" s="2" t="str">
        <f>IF(Iterations[[#This Row],[Step]] =current_step, current_d,IF(Iterations[[#This Row],[Step]] &gt; current_step, "",Iterations[[#This Row],[d]]))</f>
        <v/>
      </c>
      <c r="K1106" s="2" t="str">
        <f>IF(Iterations[[#This Row],[Step]] =current_step, current_e,IF(Iterations[[#This Row],[Step]] &gt; current_step, "",Iterations[[#This Row],[e]]))</f>
        <v/>
      </c>
      <c r="L1106" s="2" t="str">
        <f>IF(Iterations[[#This Row],[Step]] =current_step, current_Total_Loss,IF(Iterations[[#This Row],[Step]] &gt; current_step, "",Iterations[[#This Row],[Total Loss]]))</f>
        <v/>
      </c>
      <c r="M1106" s="6" t="s">
        <v>27</v>
      </c>
      <c r="N1106" s="2" t="str">
        <f>IF(Iterations[[#This Row],[Step]] =current_step, current_Grad_a,IF(Iterations[[#This Row],[Step]] &gt; current_step, "",Iterations[[#This Row],[Grad_a]]))</f>
        <v/>
      </c>
      <c r="O1106" s="2" t="str">
        <f>IF(Iterations[[#This Row],[Step]] =current_step, current_Grad_b,IF(Iterations[[#This Row],[Step]] &gt; current_step, "",Iterations[[#This Row],[Grad_b]]))</f>
        <v/>
      </c>
      <c r="P1106" s="2" t="str">
        <f>IF(Iterations[[#This Row],[Step]] =current_step, current_Grad_c,IF(Iterations[[#This Row],[Step]] &gt; current_step, "",Iterations[[#This Row],[Grad_c]]))</f>
        <v/>
      </c>
      <c r="Q1106" s="2" t="str">
        <f>IF(Iterations[[#This Row],[Step]] =current_step, current_Grad_d,IF(Iterations[[#This Row],[Step]] &gt; current_step, "",Iterations[[#This Row],[Grad_d]]))</f>
        <v/>
      </c>
      <c r="R1106" s="2" t="str">
        <f>IF(Iterations[[#This Row],[Step]] =current_step, current_Grad_e,IF(Iterations[[#This Row],[Step]] &gt; current_step, "",Iterations[[#This Row],[Grad_e]]))</f>
        <v/>
      </c>
    </row>
    <row r="1107" spans="6:18" x14ac:dyDescent="0.3">
      <c r="F1107" s="2">
        <f t="shared" si="22"/>
        <v>1090</v>
      </c>
      <c r="G1107" s="2" t="str">
        <f>IF(Iterations[[#This Row],[Step]] =current_step, current_a,IF(Iterations[[#This Row],[Step]] &gt; current_step, "",Iterations[[#This Row],[a]]))</f>
        <v/>
      </c>
      <c r="H1107" s="2" t="str">
        <f>IF(Iterations[[#This Row],[Step]] =current_step, current_b,IF(Iterations[[#This Row],[Step]] &gt; current_step, "",Iterations[[#This Row],[b]]))</f>
        <v/>
      </c>
      <c r="I1107" s="2" t="str">
        <f>IF(Iterations[[#This Row],[Step]] =current_step, current_c,IF(Iterations[[#This Row],[Step]] &gt; current_step, "",Iterations[[#This Row],[c]]))</f>
        <v/>
      </c>
      <c r="J1107" s="2" t="str">
        <f>IF(Iterations[[#This Row],[Step]] =current_step, current_d,IF(Iterations[[#This Row],[Step]] &gt; current_step, "",Iterations[[#This Row],[d]]))</f>
        <v/>
      </c>
      <c r="K1107" s="2" t="str">
        <f>IF(Iterations[[#This Row],[Step]] =current_step, current_e,IF(Iterations[[#This Row],[Step]] &gt; current_step, "",Iterations[[#This Row],[e]]))</f>
        <v/>
      </c>
      <c r="L1107" s="2" t="str">
        <f>IF(Iterations[[#This Row],[Step]] =current_step, current_Total_Loss,IF(Iterations[[#This Row],[Step]] &gt; current_step, "",Iterations[[#This Row],[Total Loss]]))</f>
        <v/>
      </c>
      <c r="M1107" s="6" t="s">
        <v>27</v>
      </c>
      <c r="N1107" s="2" t="str">
        <f>IF(Iterations[[#This Row],[Step]] =current_step, current_Grad_a,IF(Iterations[[#This Row],[Step]] &gt; current_step, "",Iterations[[#This Row],[Grad_a]]))</f>
        <v/>
      </c>
      <c r="O1107" s="2" t="str">
        <f>IF(Iterations[[#This Row],[Step]] =current_step, current_Grad_b,IF(Iterations[[#This Row],[Step]] &gt; current_step, "",Iterations[[#This Row],[Grad_b]]))</f>
        <v/>
      </c>
      <c r="P1107" s="2" t="str">
        <f>IF(Iterations[[#This Row],[Step]] =current_step, current_Grad_c,IF(Iterations[[#This Row],[Step]] &gt; current_step, "",Iterations[[#This Row],[Grad_c]]))</f>
        <v/>
      </c>
      <c r="Q1107" s="2" t="str">
        <f>IF(Iterations[[#This Row],[Step]] =current_step, current_Grad_d,IF(Iterations[[#This Row],[Step]] &gt; current_step, "",Iterations[[#This Row],[Grad_d]]))</f>
        <v/>
      </c>
      <c r="R1107" s="2" t="str">
        <f>IF(Iterations[[#This Row],[Step]] =current_step, current_Grad_e,IF(Iterations[[#This Row],[Step]] &gt; current_step, "",Iterations[[#This Row],[Grad_e]]))</f>
        <v/>
      </c>
    </row>
    <row r="1108" spans="6:18" x14ac:dyDescent="0.3">
      <c r="F1108" s="2">
        <f t="shared" si="22"/>
        <v>1091</v>
      </c>
      <c r="G1108" s="2" t="str">
        <f>IF(Iterations[[#This Row],[Step]] =current_step, current_a,IF(Iterations[[#This Row],[Step]] &gt; current_step, "",Iterations[[#This Row],[a]]))</f>
        <v/>
      </c>
      <c r="H1108" s="2" t="str">
        <f>IF(Iterations[[#This Row],[Step]] =current_step, current_b,IF(Iterations[[#This Row],[Step]] &gt; current_step, "",Iterations[[#This Row],[b]]))</f>
        <v/>
      </c>
      <c r="I1108" s="2" t="str">
        <f>IF(Iterations[[#This Row],[Step]] =current_step, current_c,IF(Iterations[[#This Row],[Step]] &gt; current_step, "",Iterations[[#This Row],[c]]))</f>
        <v/>
      </c>
      <c r="J1108" s="2" t="str">
        <f>IF(Iterations[[#This Row],[Step]] =current_step, current_d,IF(Iterations[[#This Row],[Step]] &gt; current_step, "",Iterations[[#This Row],[d]]))</f>
        <v/>
      </c>
      <c r="K1108" s="2" t="str">
        <f>IF(Iterations[[#This Row],[Step]] =current_step, current_e,IF(Iterations[[#This Row],[Step]] &gt; current_step, "",Iterations[[#This Row],[e]]))</f>
        <v/>
      </c>
      <c r="L1108" s="2" t="str">
        <f>IF(Iterations[[#This Row],[Step]] =current_step, current_Total_Loss,IF(Iterations[[#This Row],[Step]] &gt; current_step, "",Iterations[[#This Row],[Total Loss]]))</f>
        <v/>
      </c>
      <c r="M1108" s="6" t="s">
        <v>27</v>
      </c>
      <c r="N1108" s="2" t="str">
        <f>IF(Iterations[[#This Row],[Step]] =current_step, current_Grad_a,IF(Iterations[[#This Row],[Step]] &gt; current_step, "",Iterations[[#This Row],[Grad_a]]))</f>
        <v/>
      </c>
      <c r="O1108" s="2" t="str">
        <f>IF(Iterations[[#This Row],[Step]] =current_step, current_Grad_b,IF(Iterations[[#This Row],[Step]] &gt; current_step, "",Iterations[[#This Row],[Grad_b]]))</f>
        <v/>
      </c>
      <c r="P1108" s="2" t="str">
        <f>IF(Iterations[[#This Row],[Step]] =current_step, current_Grad_c,IF(Iterations[[#This Row],[Step]] &gt; current_step, "",Iterations[[#This Row],[Grad_c]]))</f>
        <v/>
      </c>
      <c r="Q1108" s="2" t="str">
        <f>IF(Iterations[[#This Row],[Step]] =current_step, current_Grad_d,IF(Iterations[[#This Row],[Step]] &gt; current_step, "",Iterations[[#This Row],[Grad_d]]))</f>
        <v/>
      </c>
      <c r="R1108" s="2" t="str">
        <f>IF(Iterations[[#This Row],[Step]] =current_step, current_Grad_e,IF(Iterations[[#This Row],[Step]] &gt; current_step, "",Iterations[[#This Row],[Grad_e]]))</f>
        <v/>
      </c>
    </row>
    <row r="1109" spans="6:18" x14ac:dyDescent="0.3">
      <c r="F1109" s="2">
        <f t="shared" si="22"/>
        <v>1092</v>
      </c>
      <c r="G1109" s="2" t="str">
        <f>IF(Iterations[[#This Row],[Step]] =current_step, current_a,IF(Iterations[[#This Row],[Step]] &gt; current_step, "",Iterations[[#This Row],[a]]))</f>
        <v/>
      </c>
      <c r="H1109" s="2" t="str">
        <f>IF(Iterations[[#This Row],[Step]] =current_step, current_b,IF(Iterations[[#This Row],[Step]] &gt; current_step, "",Iterations[[#This Row],[b]]))</f>
        <v/>
      </c>
      <c r="I1109" s="2" t="str">
        <f>IF(Iterations[[#This Row],[Step]] =current_step, current_c,IF(Iterations[[#This Row],[Step]] &gt; current_step, "",Iterations[[#This Row],[c]]))</f>
        <v/>
      </c>
      <c r="J1109" s="2" t="str">
        <f>IF(Iterations[[#This Row],[Step]] =current_step, current_d,IF(Iterations[[#This Row],[Step]] &gt; current_step, "",Iterations[[#This Row],[d]]))</f>
        <v/>
      </c>
      <c r="K1109" s="2" t="str">
        <f>IF(Iterations[[#This Row],[Step]] =current_step, current_e,IF(Iterations[[#This Row],[Step]] &gt; current_step, "",Iterations[[#This Row],[e]]))</f>
        <v/>
      </c>
      <c r="L1109" s="2" t="str">
        <f>IF(Iterations[[#This Row],[Step]] =current_step, current_Total_Loss,IF(Iterations[[#This Row],[Step]] &gt; current_step, "",Iterations[[#This Row],[Total Loss]]))</f>
        <v/>
      </c>
      <c r="M1109" s="6" t="s">
        <v>27</v>
      </c>
      <c r="N1109" s="2" t="str">
        <f>IF(Iterations[[#This Row],[Step]] =current_step, current_Grad_a,IF(Iterations[[#This Row],[Step]] &gt; current_step, "",Iterations[[#This Row],[Grad_a]]))</f>
        <v/>
      </c>
      <c r="O1109" s="2" t="str">
        <f>IF(Iterations[[#This Row],[Step]] =current_step, current_Grad_b,IF(Iterations[[#This Row],[Step]] &gt; current_step, "",Iterations[[#This Row],[Grad_b]]))</f>
        <v/>
      </c>
      <c r="P1109" s="2" t="str">
        <f>IF(Iterations[[#This Row],[Step]] =current_step, current_Grad_c,IF(Iterations[[#This Row],[Step]] &gt; current_step, "",Iterations[[#This Row],[Grad_c]]))</f>
        <v/>
      </c>
      <c r="Q1109" s="2" t="str">
        <f>IF(Iterations[[#This Row],[Step]] =current_step, current_Grad_d,IF(Iterations[[#This Row],[Step]] &gt; current_step, "",Iterations[[#This Row],[Grad_d]]))</f>
        <v/>
      </c>
      <c r="R1109" s="2" t="str">
        <f>IF(Iterations[[#This Row],[Step]] =current_step, current_Grad_e,IF(Iterations[[#This Row],[Step]] &gt; current_step, "",Iterations[[#This Row],[Grad_e]]))</f>
        <v/>
      </c>
    </row>
    <row r="1110" spans="6:18" x14ac:dyDescent="0.3">
      <c r="F1110" s="2">
        <f t="shared" si="22"/>
        <v>1093</v>
      </c>
      <c r="G1110" s="2" t="str">
        <f>IF(Iterations[[#This Row],[Step]] =current_step, current_a,IF(Iterations[[#This Row],[Step]] &gt; current_step, "",Iterations[[#This Row],[a]]))</f>
        <v/>
      </c>
      <c r="H1110" s="2" t="str">
        <f>IF(Iterations[[#This Row],[Step]] =current_step, current_b,IF(Iterations[[#This Row],[Step]] &gt; current_step, "",Iterations[[#This Row],[b]]))</f>
        <v/>
      </c>
      <c r="I1110" s="2" t="str">
        <f>IF(Iterations[[#This Row],[Step]] =current_step, current_c,IF(Iterations[[#This Row],[Step]] &gt; current_step, "",Iterations[[#This Row],[c]]))</f>
        <v/>
      </c>
      <c r="J1110" s="2" t="str">
        <f>IF(Iterations[[#This Row],[Step]] =current_step, current_d,IF(Iterations[[#This Row],[Step]] &gt; current_step, "",Iterations[[#This Row],[d]]))</f>
        <v/>
      </c>
      <c r="K1110" s="2" t="str">
        <f>IF(Iterations[[#This Row],[Step]] =current_step, current_e,IF(Iterations[[#This Row],[Step]] &gt; current_step, "",Iterations[[#This Row],[e]]))</f>
        <v/>
      </c>
      <c r="L1110" s="2" t="str">
        <f>IF(Iterations[[#This Row],[Step]] =current_step, current_Total_Loss,IF(Iterations[[#This Row],[Step]] &gt; current_step, "",Iterations[[#This Row],[Total Loss]]))</f>
        <v/>
      </c>
      <c r="M1110" s="6" t="s">
        <v>27</v>
      </c>
      <c r="N1110" s="2" t="str">
        <f>IF(Iterations[[#This Row],[Step]] =current_step, current_Grad_a,IF(Iterations[[#This Row],[Step]] &gt; current_step, "",Iterations[[#This Row],[Grad_a]]))</f>
        <v/>
      </c>
      <c r="O1110" s="2" t="str">
        <f>IF(Iterations[[#This Row],[Step]] =current_step, current_Grad_b,IF(Iterations[[#This Row],[Step]] &gt; current_step, "",Iterations[[#This Row],[Grad_b]]))</f>
        <v/>
      </c>
      <c r="P1110" s="2" t="str">
        <f>IF(Iterations[[#This Row],[Step]] =current_step, current_Grad_c,IF(Iterations[[#This Row],[Step]] &gt; current_step, "",Iterations[[#This Row],[Grad_c]]))</f>
        <v/>
      </c>
      <c r="Q1110" s="2" t="str">
        <f>IF(Iterations[[#This Row],[Step]] =current_step, current_Grad_d,IF(Iterations[[#This Row],[Step]] &gt; current_step, "",Iterations[[#This Row],[Grad_d]]))</f>
        <v/>
      </c>
      <c r="R1110" s="2" t="str">
        <f>IF(Iterations[[#This Row],[Step]] =current_step, current_Grad_e,IF(Iterations[[#This Row],[Step]] &gt; current_step, "",Iterations[[#This Row],[Grad_e]]))</f>
        <v/>
      </c>
    </row>
    <row r="1111" spans="6:18" x14ac:dyDescent="0.3">
      <c r="F1111" s="2">
        <f t="shared" si="22"/>
        <v>1094</v>
      </c>
      <c r="G1111" s="2" t="str">
        <f>IF(Iterations[[#This Row],[Step]] =current_step, current_a,IF(Iterations[[#This Row],[Step]] &gt; current_step, "",Iterations[[#This Row],[a]]))</f>
        <v/>
      </c>
      <c r="H1111" s="2" t="str">
        <f>IF(Iterations[[#This Row],[Step]] =current_step, current_b,IF(Iterations[[#This Row],[Step]] &gt; current_step, "",Iterations[[#This Row],[b]]))</f>
        <v/>
      </c>
      <c r="I1111" s="2" t="str">
        <f>IF(Iterations[[#This Row],[Step]] =current_step, current_c,IF(Iterations[[#This Row],[Step]] &gt; current_step, "",Iterations[[#This Row],[c]]))</f>
        <v/>
      </c>
      <c r="J1111" s="2" t="str">
        <f>IF(Iterations[[#This Row],[Step]] =current_step, current_d,IF(Iterations[[#This Row],[Step]] &gt; current_step, "",Iterations[[#This Row],[d]]))</f>
        <v/>
      </c>
      <c r="K1111" s="2" t="str">
        <f>IF(Iterations[[#This Row],[Step]] =current_step, current_e,IF(Iterations[[#This Row],[Step]] &gt; current_step, "",Iterations[[#This Row],[e]]))</f>
        <v/>
      </c>
      <c r="L1111" s="2" t="str">
        <f>IF(Iterations[[#This Row],[Step]] =current_step, current_Total_Loss,IF(Iterations[[#This Row],[Step]] &gt; current_step, "",Iterations[[#This Row],[Total Loss]]))</f>
        <v/>
      </c>
      <c r="M1111" s="6" t="s">
        <v>27</v>
      </c>
      <c r="N1111" s="2" t="str">
        <f>IF(Iterations[[#This Row],[Step]] =current_step, current_Grad_a,IF(Iterations[[#This Row],[Step]] &gt; current_step, "",Iterations[[#This Row],[Grad_a]]))</f>
        <v/>
      </c>
      <c r="O1111" s="2" t="str">
        <f>IF(Iterations[[#This Row],[Step]] =current_step, current_Grad_b,IF(Iterations[[#This Row],[Step]] &gt; current_step, "",Iterations[[#This Row],[Grad_b]]))</f>
        <v/>
      </c>
      <c r="P1111" s="2" t="str">
        <f>IF(Iterations[[#This Row],[Step]] =current_step, current_Grad_c,IF(Iterations[[#This Row],[Step]] &gt; current_step, "",Iterations[[#This Row],[Grad_c]]))</f>
        <v/>
      </c>
      <c r="Q1111" s="2" t="str">
        <f>IF(Iterations[[#This Row],[Step]] =current_step, current_Grad_d,IF(Iterations[[#This Row],[Step]] &gt; current_step, "",Iterations[[#This Row],[Grad_d]]))</f>
        <v/>
      </c>
      <c r="R1111" s="2" t="str">
        <f>IF(Iterations[[#This Row],[Step]] =current_step, current_Grad_e,IF(Iterations[[#This Row],[Step]] &gt; current_step, "",Iterations[[#This Row],[Grad_e]]))</f>
        <v/>
      </c>
    </row>
    <row r="1112" spans="6:18" x14ac:dyDescent="0.3">
      <c r="F1112" s="2">
        <f t="shared" si="22"/>
        <v>1095</v>
      </c>
      <c r="G1112" s="2" t="str">
        <f>IF(Iterations[[#This Row],[Step]] =current_step, current_a,IF(Iterations[[#This Row],[Step]] &gt; current_step, "",Iterations[[#This Row],[a]]))</f>
        <v/>
      </c>
      <c r="H1112" s="2" t="str">
        <f>IF(Iterations[[#This Row],[Step]] =current_step, current_b,IF(Iterations[[#This Row],[Step]] &gt; current_step, "",Iterations[[#This Row],[b]]))</f>
        <v/>
      </c>
      <c r="I1112" s="2" t="str">
        <f>IF(Iterations[[#This Row],[Step]] =current_step, current_c,IF(Iterations[[#This Row],[Step]] &gt; current_step, "",Iterations[[#This Row],[c]]))</f>
        <v/>
      </c>
      <c r="J1112" s="2" t="str">
        <f>IF(Iterations[[#This Row],[Step]] =current_step, current_d,IF(Iterations[[#This Row],[Step]] &gt; current_step, "",Iterations[[#This Row],[d]]))</f>
        <v/>
      </c>
      <c r="K1112" s="2" t="str">
        <f>IF(Iterations[[#This Row],[Step]] =current_step, current_e,IF(Iterations[[#This Row],[Step]] &gt; current_step, "",Iterations[[#This Row],[e]]))</f>
        <v/>
      </c>
      <c r="L1112" s="2" t="str">
        <f>IF(Iterations[[#This Row],[Step]] =current_step, current_Total_Loss,IF(Iterations[[#This Row],[Step]] &gt; current_step, "",Iterations[[#This Row],[Total Loss]]))</f>
        <v/>
      </c>
      <c r="M1112" s="6" t="s">
        <v>27</v>
      </c>
      <c r="N1112" s="2" t="str">
        <f>IF(Iterations[[#This Row],[Step]] =current_step, current_Grad_a,IF(Iterations[[#This Row],[Step]] &gt; current_step, "",Iterations[[#This Row],[Grad_a]]))</f>
        <v/>
      </c>
      <c r="O1112" s="2" t="str">
        <f>IF(Iterations[[#This Row],[Step]] =current_step, current_Grad_b,IF(Iterations[[#This Row],[Step]] &gt; current_step, "",Iterations[[#This Row],[Grad_b]]))</f>
        <v/>
      </c>
      <c r="P1112" s="2" t="str">
        <f>IF(Iterations[[#This Row],[Step]] =current_step, current_Grad_c,IF(Iterations[[#This Row],[Step]] &gt; current_step, "",Iterations[[#This Row],[Grad_c]]))</f>
        <v/>
      </c>
      <c r="Q1112" s="2" t="str">
        <f>IF(Iterations[[#This Row],[Step]] =current_step, current_Grad_d,IF(Iterations[[#This Row],[Step]] &gt; current_step, "",Iterations[[#This Row],[Grad_d]]))</f>
        <v/>
      </c>
      <c r="R1112" s="2" t="str">
        <f>IF(Iterations[[#This Row],[Step]] =current_step, current_Grad_e,IF(Iterations[[#This Row],[Step]] &gt; current_step, "",Iterations[[#This Row],[Grad_e]]))</f>
        <v/>
      </c>
    </row>
    <row r="1113" spans="6:18" x14ac:dyDescent="0.3">
      <c r="F1113" s="2">
        <f t="shared" si="22"/>
        <v>1096</v>
      </c>
      <c r="G1113" s="2" t="str">
        <f>IF(Iterations[[#This Row],[Step]] =current_step, current_a,IF(Iterations[[#This Row],[Step]] &gt; current_step, "",Iterations[[#This Row],[a]]))</f>
        <v/>
      </c>
      <c r="H1113" s="2" t="str">
        <f>IF(Iterations[[#This Row],[Step]] =current_step, current_b,IF(Iterations[[#This Row],[Step]] &gt; current_step, "",Iterations[[#This Row],[b]]))</f>
        <v/>
      </c>
      <c r="I1113" s="2" t="str">
        <f>IF(Iterations[[#This Row],[Step]] =current_step, current_c,IF(Iterations[[#This Row],[Step]] &gt; current_step, "",Iterations[[#This Row],[c]]))</f>
        <v/>
      </c>
      <c r="J1113" s="2" t="str">
        <f>IF(Iterations[[#This Row],[Step]] =current_step, current_d,IF(Iterations[[#This Row],[Step]] &gt; current_step, "",Iterations[[#This Row],[d]]))</f>
        <v/>
      </c>
      <c r="K1113" s="2" t="str">
        <f>IF(Iterations[[#This Row],[Step]] =current_step, current_e,IF(Iterations[[#This Row],[Step]] &gt; current_step, "",Iterations[[#This Row],[e]]))</f>
        <v/>
      </c>
      <c r="L1113" s="2" t="str">
        <f>IF(Iterations[[#This Row],[Step]] =current_step, current_Total_Loss,IF(Iterations[[#This Row],[Step]] &gt; current_step, "",Iterations[[#This Row],[Total Loss]]))</f>
        <v/>
      </c>
      <c r="M1113" s="6" t="s">
        <v>27</v>
      </c>
      <c r="N1113" s="2" t="str">
        <f>IF(Iterations[[#This Row],[Step]] =current_step, current_Grad_a,IF(Iterations[[#This Row],[Step]] &gt; current_step, "",Iterations[[#This Row],[Grad_a]]))</f>
        <v/>
      </c>
      <c r="O1113" s="2" t="str">
        <f>IF(Iterations[[#This Row],[Step]] =current_step, current_Grad_b,IF(Iterations[[#This Row],[Step]] &gt; current_step, "",Iterations[[#This Row],[Grad_b]]))</f>
        <v/>
      </c>
      <c r="P1113" s="2" t="str">
        <f>IF(Iterations[[#This Row],[Step]] =current_step, current_Grad_c,IF(Iterations[[#This Row],[Step]] &gt; current_step, "",Iterations[[#This Row],[Grad_c]]))</f>
        <v/>
      </c>
      <c r="Q1113" s="2" t="str">
        <f>IF(Iterations[[#This Row],[Step]] =current_step, current_Grad_d,IF(Iterations[[#This Row],[Step]] &gt; current_step, "",Iterations[[#This Row],[Grad_d]]))</f>
        <v/>
      </c>
      <c r="R1113" s="2" t="str">
        <f>IF(Iterations[[#This Row],[Step]] =current_step, current_Grad_e,IF(Iterations[[#This Row],[Step]] &gt; current_step, "",Iterations[[#This Row],[Grad_e]]))</f>
        <v/>
      </c>
    </row>
    <row r="1114" spans="6:18" x14ac:dyDescent="0.3">
      <c r="F1114" s="2">
        <f t="shared" si="22"/>
        <v>1097</v>
      </c>
      <c r="G1114" s="2" t="str">
        <f>IF(Iterations[[#This Row],[Step]] =current_step, current_a,IF(Iterations[[#This Row],[Step]] &gt; current_step, "",Iterations[[#This Row],[a]]))</f>
        <v/>
      </c>
      <c r="H1114" s="2" t="str">
        <f>IF(Iterations[[#This Row],[Step]] =current_step, current_b,IF(Iterations[[#This Row],[Step]] &gt; current_step, "",Iterations[[#This Row],[b]]))</f>
        <v/>
      </c>
      <c r="I1114" s="2" t="str">
        <f>IF(Iterations[[#This Row],[Step]] =current_step, current_c,IF(Iterations[[#This Row],[Step]] &gt; current_step, "",Iterations[[#This Row],[c]]))</f>
        <v/>
      </c>
      <c r="J1114" s="2" t="str">
        <f>IF(Iterations[[#This Row],[Step]] =current_step, current_d,IF(Iterations[[#This Row],[Step]] &gt; current_step, "",Iterations[[#This Row],[d]]))</f>
        <v/>
      </c>
      <c r="K1114" s="2" t="str">
        <f>IF(Iterations[[#This Row],[Step]] =current_step, current_e,IF(Iterations[[#This Row],[Step]] &gt; current_step, "",Iterations[[#This Row],[e]]))</f>
        <v/>
      </c>
      <c r="L1114" s="2" t="str">
        <f>IF(Iterations[[#This Row],[Step]] =current_step, current_Total_Loss,IF(Iterations[[#This Row],[Step]] &gt; current_step, "",Iterations[[#This Row],[Total Loss]]))</f>
        <v/>
      </c>
      <c r="M1114" s="6" t="s">
        <v>27</v>
      </c>
      <c r="N1114" s="2" t="str">
        <f>IF(Iterations[[#This Row],[Step]] =current_step, current_Grad_a,IF(Iterations[[#This Row],[Step]] &gt; current_step, "",Iterations[[#This Row],[Grad_a]]))</f>
        <v/>
      </c>
      <c r="O1114" s="2" t="str">
        <f>IF(Iterations[[#This Row],[Step]] =current_step, current_Grad_b,IF(Iterations[[#This Row],[Step]] &gt; current_step, "",Iterations[[#This Row],[Grad_b]]))</f>
        <v/>
      </c>
      <c r="P1114" s="2" t="str">
        <f>IF(Iterations[[#This Row],[Step]] =current_step, current_Grad_c,IF(Iterations[[#This Row],[Step]] &gt; current_step, "",Iterations[[#This Row],[Grad_c]]))</f>
        <v/>
      </c>
      <c r="Q1114" s="2" t="str">
        <f>IF(Iterations[[#This Row],[Step]] =current_step, current_Grad_d,IF(Iterations[[#This Row],[Step]] &gt; current_step, "",Iterations[[#This Row],[Grad_d]]))</f>
        <v/>
      </c>
      <c r="R1114" s="2" t="str">
        <f>IF(Iterations[[#This Row],[Step]] =current_step, current_Grad_e,IF(Iterations[[#This Row],[Step]] &gt; current_step, "",Iterations[[#This Row],[Grad_e]]))</f>
        <v/>
      </c>
    </row>
    <row r="1115" spans="6:18" x14ac:dyDescent="0.3">
      <c r="F1115" s="2">
        <f t="shared" si="22"/>
        <v>1098</v>
      </c>
      <c r="G1115" s="2" t="str">
        <f>IF(Iterations[[#This Row],[Step]] =current_step, current_a,IF(Iterations[[#This Row],[Step]] &gt; current_step, "",Iterations[[#This Row],[a]]))</f>
        <v/>
      </c>
      <c r="H1115" s="2" t="str">
        <f>IF(Iterations[[#This Row],[Step]] =current_step, current_b,IF(Iterations[[#This Row],[Step]] &gt; current_step, "",Iterations[[#This Row],[b]]))</f>
        <v/>
      </c>
      <c r="I1115" s="2" t="str">
        <f>IF(Iterations[[#This Row],[Step]] =current_step, current_c,IF(Iterations[[#This Row],[Step]] &gt; current_step, "",Iterations[[#This Row],[c]]))</f>
        <v/>
      </c>
      <c r="J1115" s="2" t="str">
        <f>IF(Iterations[[#This Row],[Step]] =current_step, current_d,IF(Iterations[[#This Row],[Step]] &gt; current_step, "",Iterations[[#This Row],[d]]))</f>
        <v/>
      </c>
      <c r="K1115" s="2" t="str">
        <f>IF(Iterations[[#This Row],[Step]] =current_step, current_e,IF(Iterations[[#This Row],[Step]] &gt; current_step, "",Iterations[[#This Row],[e]]))</f>
        <v/>
      </c>
      <c r="L1115" s="2" t="str">
        <f>IF(Iterations[[#This Row],[Step]] =current_step, current_Total_Loss,IF(Iterations[[#This Row],[Step]] &gt; current_step, "",Iterations[[#This Row],[Total Loss]]))</f>
        <v/>
      </c>
      <c r="M1115" s="6" t="s">
        <v>27</v>
      </c>
      <c r="N1115" s="2" t="str">
        <f>IF(Iterations[[#This Row],[Step]] =current_step, current_Grad_a,IF(Iterations[[#This Row],[Step]] &gt; current_step, "",Iterations[[#This Row],[Grad_a]]))</f>
        <v/>
      </c>
      <c r="O1115" s="2" t="str">
        <f>IF(Iterations[[#This Row],[Step]] =current_step, current_Grad_b,IF(Iterations[[#This Row],[Step]] &gt; current_step, "",Iterations[[#This Row],[Grad_b]]))</f>
        <v/>
      </c>
      <c r="P1115" s="2" t="str">
        <f>IF(Iterations[[#This Row],[Step]] =current_step, current_Grad_c,IF(Iterations[[#This Row],[Step]] &gt; current_step, "",Iterations[[#This Row],[Grad_c]]))</f>
        <v/>
      </c>
      <c r="Q1115" s="2" t="str">
        <f>IF(Iterations[[#This Row],[Step]] =current_step, current_Grad_d,IF(Iterations[[#This Row],[Step]] &gt; current_step, "",Iterations[[#This Row],[Grad_d]]))</f>
        <v/>
      </c>
      <c r="R1115" s="2" t="str">
        <f>IF(Iterations[[#This Row],[Step]] =current_step, current_Grad_e,IF(Iterations[[#This Row],[Step]] &gt; current_step, "",Iterations[[#This Row],[Grad_e]]))</f>
        <v/>
      </c>
    </row>
    <row r="1116" spans="6:18" x14ac:dyDescent="0.3">
      <c r="F1116" s="2">
        <f t="shared" si="22"/>
        <v>1099</v>
      </c>
      <c r="G1116" s="2" t="str">
        <f>IF(Iterations[[#This Row],[Step]] =current_step, current_a,IF(Iterations[[#This Row],[Step]] &gt; current_step, "",Iterations[[#This Row],[a]]))</f>
        <v/>
      </c>
      <c r="H1116" s="2" t="str">
        <f>IF(Iterations[[#This Row],[Step]] =current_step, current_b,IF(Iterations[[#This Row],[Step]] &gt; current_step, "",Iterations[[#This Row],[b]]))</f>
        <v/>
      </c>
      <c r="I1116" s="2" t="str">
        <f>IF(Iterations[[#This Row],[Step]] =current_step, current_c,IF(Iterations[[#This Row],[Step]] &gt; current_step, "",Iterations[[#This Row],[c]]))</f>
        <v/>
      </c>
      <c r="J1116" s="2" t="str">
        <f>IF(Iterations[[#This Row],[Step]] =current_step, current_d,IF(Iterations[[#This Row],[Step]] &gt; current_step, "",Iterations[[#This Row],[d]]))</f>
        <v/>
      </c>
      <c r="K1116" s="2" t="str">
        <f>IF(Iterations[[#This Row],[Step]] =current_step, current_e,IF(Iterations[[#This Row],[Step]] &gt; current_step, "",Iterations[[#This Row],[e]]))</f>
        <v/>
      </c>
      <c r="L1116" s="2" t="str">
        <f>IF(Iterations[[#This Row],[Step]] =current_step, current_Total_Loss,IF(Iterations[[#This Row],[Step]] &gt; current_step, "",Iterations[[#This Row],[Total Loss]]))</f>
        <v/>
      </c>
      <c r="M1116" s="6" t="s">
        <v>27</v>
      </c>
      <c r="N1116" s="2" t="str">
        <f>IF(Iterations[[#This Row],[Step]] =current_step, current_Grad_a,IF(Iterations[[#This Row],[Step]] &gt; current_step, "",Iterations[[#This Row],[Grad_a]]))</f>
        <v/>
      </c>
      <c r="O1116" s="2" t="str">
        <f>IF(Iterations[[#This Row],[Step]] =current_step, current_Grad_b,IF(Iterations[[#This Row],[Step]] &gt; current_step, "",Iterations[[#This Row],[Grad_b]]))</f>
        <v/>
      </c>
      <c r="P1116" s="2" t="str">
        <f>IF(Iterations[[#This Row],[Step]] =current_step, current_Grad_c,IF(Iterations[[#This Row],[Step]] &gt; current_step, "",Iterations[[#This Row],[Grad_c]]))</f>
        <v/>
      </c>
      <c r="Q1116" s="2" t="str">
        <f>IF(Iterations[[#This Row],[Step]] =current_step, current_Grad_d,IF(Iterations[[#This Row],[Step]] &gt; current_step, "",Iterations[[#This Row],[Grad_d]]))</f>
        <v/>
      </c>
      <c r="R1116" s="2" t="str">
        <f>IF(Iterations[[#This Row],[Step]] =current_step, current_Grad_e,IF(Iterations[[#This Row],[Step]] &gt; current_step, "",Iterations[[#This Row],[Grad_e]]))</f>
        <v/>
      </c>
    </row>
    <row r="1117" spans="6:18" x14ac:dyDescent="0.3">
      <c r="F1117" s="2">
        <f t="shared" si="22"/>
        <v>1100</v>
      </c>
      <c r="G1117" s="2" t="str">
        <f>IF(Iterations[[#This Row],[Step]] =current_step, current_a,IF(Iterations[[#This Row],[Step]] &gt; current_step, "",Iterations[[#This Row],[a]]))</f>
        <v/>
      </c>
      <c r="H1117" s="2" t="str">
        <f>IF(Iterations[[#This Row],[Step]] =current_step, current_b,IF(Iterations[[#This Row],[Step]] &gt; current_step, "",Iterations[[#This Row],[b]]))</f>
        <v/>
      </c>
      <c r="I1117" s="2" t="str">
        <f>IF(Iterations[[#This Row],[Step]] =current_step, current_c,IF(Iterations[[#This Row],[Step]] &gt; current_step, "",Iterations[[#This Row],[c]]))</f>
        <v/>
      </c>
      <c r="J1117" s="2" t="str">
        <f>IF(Iterations[[#This Row],[Step]] =current_step, current_d,IF(Iterations[[#This Row],[Step]] &gt; current_step, "",Iterations[[#This Row],[d]]))</f>
        <v/>
      </c>
      <c r="K1117" s="2" t="str">
        <f>IF(Iterations[[#This Row],[Step]] =current_step, current_e,IF(Iterations[[#This Row],[Step]] &gt; current_step, "",Iterations[[#This Row],[e]]))</f>
        <v/>
      </c>
      <c r="L1117" s="2" t="str">
        <f>IF(Iterations[[#This Row],[Step]] =current_step, current_Total_Loss,IF(Iterations[[#This Row],[Step]] &gt; current_step, "",Iterations[[#This Row],[Total Loss]]))</f>
        <v/>
      </c>
      <c r="M1117" s="6" t="s">
        <v>27</v>
      </c>
      <c r="N1117" s="2" t="str">
        <f>IF(Iterations[[#This Row],[Step]] =current_step, current_Grad_a,IF(Iterations[[#This Row],[Step]] &gt; current_step, "",Iterations[[#This Row],[Grad_a]]))</f>
        <v/>
      </c>
      <c r="O1117" s="2" t="str">
        <f>IF(Iterations[[#This Row],[Step]] =current_step, current_Grad_b,IF(Iterations[[#This Row],[Step]] &gt; current_step, "",Iterations[[#This Row],[Grad_b]]))</f>
        <v/>
      </c>
      <c r="P1117" s="2" t="str">
        <f>IF(Iterations[[#This Row],[Step]] =current_step, current_Grad_c,IF(Iterations[[#This Row],[Step]] &gt; current_step, "",Iterations[[#This Row],[Grad_c]]))</f>
        <v/>
      </c>
      <c r="Q1117" s="2" t="str">
        <f>IF(Iterations[[#This Row],[Step]] =current_step, current_Grad_d,IF(Iterations[[#This Row],[Step]] &gt; current_step, "",Iterations[[#This Row],[Grad_d]]))</f>
        <v/>
      </c>
      <c r="R1117" s="2" t="str">
        <f>IF(Iterations[[#This Row],[Step]] =current_step, current_Grad_e,IF(Iterations[[#This Row],[Step]] &gt; current_step, "",Iterations[[#This Row],[Grad_e]]))</f>
        <v/>
      </c>
    </row>
    <row r="1118" spans="6:18" x14ac:dyDescent="0.3">
      <c r="F1118" s="2">
        <f t="shared" si="22"/>
        <v>1101</v>
      </c>
      <c r="G1118" s="2" t="str">
        <f>IF(Iterations[[#This Row],[Step]] =current_step, current_a,IF(Iterations[[#This Row],[Step]] &gt; current_step, "",Iterations[[#This Row],[a]]))</f>
        <v/>
      </c>
      <c r="H1118" s="2" t="str">
        <f>IF(Iterations[[#This Row],[Step]] =current_step, current_b,IF(Iterations[[#This Row],[Step]] &gt; current_step, "",Iterations[[#This Row],[b]]))</f>
        <v/>
      </c>
      <c r="I1118" s="2" t="str">
        <f>IF(Iterations[[#This Row],[Step]] =current_step, current_c,IF(Iterations[[#This Row],[Step]] &gt; current_step, "",Iterations[[#This Row],[c]]))</f>
        <v/>
      </c>
      <c r="J1118" s="2" t="str">
        <f>IF(Iterations[[#This Row],[Step]] =current_step, current_d,IF(Iterations[[#This Row],[Step]] &gt; current_step, "",Iterations[[#This Row],[d]]))</f>
        <v/>
      </c>
      <c r="K1118" s="2" t="str">
        <f>IF(Iterations[[#This Row],[Step]] =current_step, current_e,IF(Iterations[[#This Row],[Step]] &gt; current_step, "",Iterations[[#This Row],[e]]))</f>
        <v/>
      </c>
      <c r="L1118" s="2" t="str">
        <f>IF(Iterations[[#This Row],[Step]] =current_step, current_Total_Loss,IF(Iterations[[#This Row],[Step]] &gt; current_step, "",Iterations[[#This Row],[Total Loss]]))</f>
        <v/>
      </c>
      <c r="M1118" s="6" t="s">
        <v>27</v>
      </c>
      <c r="N1118" s="2" t="str">
        <f>IF(Iterations[[#This Row],[Step]] =current_step, current_Grad_a,IF(Iterations[[#This Row],[Step]] &gt; current_step, "",Iterations[[#This Row],[Grad_a]]))</f>
        <v/>
      </c>
      <c r="O1118" s="2" t="str">
        <f>IF(Iterations[[#This Row],[Step]] =current_step, current_Grad_b,IF(Iterations[[#This Row],[Step]] &gt; current_step, "",Iterations[[#This Row],[Grad_b]]))</f>
        <v/>
      </c>
      <c r="P1118" s="2" t="str">
        <f>IF(Iterations[[#This Row],[Step]] =current_step, current_Grad_c,IF(Iterations[[#This Row],[Step]] &gt; current_step, "",Iterations[[#This Row],[Grad_c]]))</f>
        <v/>
      </c>
      <c r="Q1118" s="2" t="str">
        <f>IF(Iterations[[#This Row],[Step]] =current_step, current_Grad_d,IF(Iterations[[#This Row],[Step]] &gt; current_step, "",Iterations[[#This Row],[Grad_d]]))</f>
        <v/>
      </c>
      <c r="R1118" s="2" t="str">
        <f>IF(Iterations[[#This Row],[Step]] =current_step, current_Grad_e,IF(Iterations[[#This Row],[Step]] &gt; current_step, "",Iterations[[#This Row],[Grad_e]]))</f>
        <v/>
      </c>
    </row>
    <row r="1119" spans="6:18" x14ac:dyDescent="0.3">
      <c r="F1119" s="2">
        <f t="shared" si="22"/>
        <v>1102</v>
      </c>
      <c r="G1119" s="2" t="str">
        <f>IF(Iterations[[#This Row],[Step]] =current_step, current_a,IF(Iterations[[#This Row],[Step]] &gt; current_step, "",Iterations[[#This Row],[a]]))</f>
        <v/>
      </c>
      <c r="H1119" s="2" t="str">
        <f>IF(Iterations[[#This Row],[Step]] =current_step, current_b,IF(Iterations[[#This Row],[Step]] &gt; current_step, "",Iterations[[#This Row],[b]]))</f>
        <v/>
      </c>
      <c r="I1119" s="2" t="str">
        <f>IF(Iterations[[#This Row],[Step]] =current_step, current_c,IF(Iterations[[#This Row],[Step]] &gt; current_step, "",Iterations[[#This Row],[c]]))</f>
        <v/>
      </c>
      <c r="J1119" s="2" t="str">
        <f>IF(Iterations[[#This Row],[Step]] =current_step, current_d,IF(Iterations[[#This Row],[Step]] &gt; current_step, "",Iterations[[#This Row],[d]]))</f>
        <v/>
      </c>
      <c r="K1119" s="2" t="str">
        <f>IF(Iterations[[#This Row],[Step]] =current_step, current_e,IF(Iterations[[#This Row],[Step]] &gt; current_step, "",Iterations[[#This Row],[e]]))</f>
        <v/>
      </c>
      <c r="L1119" s="2" t="str">
        <f>IF(Iterations[[#This Row],[Step]] =current_step, current_Total_Loss,IF(Iterations[[#This Row],[Step]] &gt; current_step, "",Iterations[[#This Row],[Total Loss]]))</f>
        <v/>
      </c>
      <c r="M1119" s="6" t="s">
        <v>27</v>
      </c>
      <c r="N1119" s="2" t="str">
        <f>IF(Iterations[[#This Row],[Step]] =current_step, current_Grad_a,IF(Iterations[[#This Row],[Step]] &gt; current_step, "",Iterations[[#This Row],[Grad_a]]))</f>
        <v/>
      </c>
      <c r="O1119" s="2" t="str">
        <f>IF(Iterations[[#This Row],[Step]] =current_step, current_Grad_b,IF(Iterations[[#This Row],[Step]] &gt; current_step, "",Iterations[[#This Row],[Grad_b]]))</f>
        <v/>
      </c>
      <c r="P1119" s="2" t="str">
        <f>IF(Iterations[[#This Row],[Step]] =current_step, current_Grad_c,IF(Iterations[[#This Row],[Step]] &gt; current_step, "",Iterations[[#This Row],[Grad_c]]))</f>
        <v/>
      </c>
      <c r="Q1119" s="2" t="str">
        <f>IF(Iterations[[#This Row],[Step]] =current_step, current_Grad_d,IF(Iterations[[#This Row],[Step]] &gt; current_step, "",Iterations[[#This Row],[Grad_d]]))</f>
        <v/>
      </c>
      <c r="R1119" s="2" t="str">
        <f>IF(Iterations[[#This Row],[Step]] =current_step, current_Grad_e,IF(Iterations[[#This Row],[Step]] &gt; current_step, "",Iterations[[#This Row],[Grad_e]]))</f>
        <v/>
      </c>
    </row>
    <row r="1120" spans="6:18" x14ac:dyDescent="0.3">
      <c r="F1120" s="2">
        <f t="shared" si="22"/>
        <v>1103</v>
      </c>
      <c r="G1120" s="2" t="str">
        <f>IF(Iterations[[#This Row],[Step]] =current_step, current_a,IF(Iterations[[#This Row],[Step]] &gt; current_step, "",Iterations[[#This Row],[a]]))</f>
        <v/>
      </c>
      <c r="H1120" s="2" t="str">
        <f>IF(Iterations[[#This Row],[Step]] =current_step, current_b,IF(Iterations[[#This Row],[Step]] &gt; current_step, "",Iterations[[#This Row],[b]]))</f>
        <v/>
      </c>
      <c r="I1120" s="2" t="str">
        <f>IF(Iterations[[#This Row],[Step]] =current_step, current_c,IF(Iterations[[#This Row],[Step]] &gt; current_step, "",Iterations[[#This Row],[c]]))</f>
        <v/>
      </c>
      <c r="J1120" s="2" t="str">
        <f>IF(Iterations[[#This Row],[Step]] =current_step, current_d,IF(Iterations[[#This Row],[Step]] &gt; current_step, "",Iterations[[#This Row],[d]]))</f>
        <v/>
      </c>
      <c r="K1120" s="2" t="str">
        <f>IF(Iterations[[#This Row],[Step]] =current_step, current_e,IF(Iterations[[#This Row],[Step]] &gt; current_step, "",Iterations[[#This Row],[e]]))</f>
        <v/>
      </c>
      <c r="L1120" s="2" t="str">
        <f>IF(Iterations[[#This Row],[Step]] =current_step, current_Total_Loss,IF(Iterations[[#This Row],[Step]] &gt; current_step, "",Iterations[[#This Row],[Total Loss]]))</f>
        <v/>
      </c>
      <c r="M1120" s="6" t="s">
        <v>27</v>
      </c>
      <c r="N1120" s="2" t="str">
        <f>IF(Iterations[[#This Row],[Step]] =current_step, current_Grad_a,IF(Iterations[[#This Row],[Step]] &gt; current_step, "",Iterations[[#This Row],[Grad_a]]))</f>
        <v/>
      </c>
      <c r="O1120" s="2" t="str">
        <f>IF(Iterations[[#This Row],[Step]] =current_step, current_Grad_b,IF(Iterations[[#This Row],[Step]] &gt; current_step, "",Iterations[[#This Row],[Grad_b]]))</f>
        <v/>
      </c>
      <c r="P1120" s="2" t="str">
        <f>IF(Iterations[[#This Row],[Step]] =current_step, current_Grad_c,IF(Iterations[[#This Row],[Step]] &gt; current_step, "",Iterations[[#This Row],[Grad_c]]))</f>
        <v/>
      </c>
      <c r="Q1120" s="2" t="str">
        <f>IF(Iterations[[#This Row],[Step]] =current_step, current_Grad_d,IF(Iterations[[#This Row],[Step]] &gt; current_step, "",Iterations[[#This Row],[Grad_d]]))</f>
        <v/>
      </c>
      <c r="R1120" s="2" t="str">
        <f>IF(Iterations[[#This Row],[Step]] =current_step, current_Grad_e,IF(Iterations[[#This Row],[Step]] &gt; current_step, "",Iterations[[#This Row],[Grad_e]]))</f>
        <v/>
      </c>
    </row>
    <row r="1121" spans="6:18" x14ac:dyDescent="0.3">
      <c r="F1121" s="2">
        <f t="shared" si="22"/>
        <v>1104</v>
      </c>
      <c r="G1121" s="2" t="str">
        <f>IF(Iterations[[#This Row],[Step]] =current_step, current_a,IF(Iterations[[#This Row],[Step]] &gt; current_step, "",Iterations[[#This Row],[a]]))</f>
        <v/>
      </c>
      <c r="H1121" s="2" t="str">
        <f>IF(Iterations[[#This Row],[Step]] =current_step, current_b,IF(Iterations[[#This Row],[Step]] &gt; current_step, "",Iterations[[#This Row],[b]]))</f>
        <v/>
      </c>
      <c r="I1121" s="2" t="str">
        <f>IF(Iterations[[#This Row],[Step]] =current_step, current_c,IF(Iterations[[#This Row],[Step]] &gt; current_step, "",Iterations[[#This Row],[c]]))</f>
        <v/>
      </c>
      <c r="J1121" s="2" t="str">
        <f>IF(Iterations[[#This Row],[Step]] =current_step, current_d,IF(Iterations[[#This Row],[Step]] &gt; current_step, "",Iterations[[#This Row],[d]]))</f>
        <v/>
      </c>
      <c r="K1121" s="2" t="str">
        <f>IF(Iterations[[#This Row],[Step]] =current_step, current_e,IF(Iterations[[#This Row],[Step]] &gt; current_step, "",Iterations[[#This Row],[e]]))</f>
        <v/>
      </c>
      <c r="L1121" s="2" t="str">
        <f>IF(Iterations[[#This Row],[Step]] =current_step, current_Total_Loss,IF(Iterations[[#This Row],[Step]] &gt; current_step, "",Iterations[[#This Row],[Total Loss]]))</f>
        <v/>
      </c>
      <c r="M1121" s="6" t="s">
        <v>27</v>
      </c>
      <c r="N1121" s="2" t="str">
        <f>IF(Iterations[[#This Row],[Step]] =current_step, current_Grad_a,IF(Iterations[[#This Row],[Step]] &gt; current_step, "",Iterations[[#This Row],[Grad_a]]))</f>
        <v/>
      </c>
      <c r="O1121" s="2" t="str">
        <f>IF(Iterations[[#This Row],[Step]] =current_step, current_Grad_b,IF(Iterations[[#This Row],[Step]] &gt; current_step, "",Iterations[[#This Row],[Grad_b]]))</f>
        <v/>
      </c>
      <c r="P1121" s="2" t="str">
        <f>IF(Iterations[[#This Row],[Step]] =current_step, current_Grad_c,IF(Iterations[[#This Row],[Step]] &gt; current_step, "",Iterations[[#This Row],[Grad_c]]))</f>
        <v/>
      </c>
      <c r="Q1121" s="2" t="str">
        <f>IF(Iterations[[#This Row],[Step]] =current_step, current_Grad_d,IF(Iterations[[#This Row],[Step]] &gt; current_step, "",Iterations[[#This Row],[Grad_d]]))</f>
        <v/>
      </c>
      <c r="R1121" s="2" t="str">
        <f>IF(Iterations[[#This Row],[Step]] =current_step, current_Grad_e,IF(Iterations[[#This Row],[Step]] &gt; current_step, "",Iterations[[#This Row],[Grad_e]]))</f>
        <v/>
      </c>
    </row>
    <row r="1122" spans="6:18" x14ac:dyDescent="0.3">
      <c r="F1122" s="2">
        <f t="shared" si="22"/>
        <v>1105</v>
      </c>
      <c r="G1122" s="2" t="str">
        <f>IF(Iterations[[#This Row],[Step]] =current_step, current_a,IF(Iterations[[#This Row],[Step]] &gt; current_step, "",Iterations[[#This Row],[a]]))</f>
        <v/>
      </c>
      <c r="H1122" s="2" t="str">
        <f>IF(Iterations[[#This Row],[Step]] =current_step, current_b,IF(Iterations[[#This Row],[Step]] &gt; current_step, "",Iterations[[#This Row],[b]]))</f>
        <v/>
      </c>
      <c r="I1122" s="2" t="str">
        <f>IF(Iterations[[#This Row],[Step]] =current_step, current_c,IF(Iterations[[#This Row],[Step]] &gt; current_step, "",Iterations[[#This Row],[c]]))</f>
        <v/>
      </c>
      <c r="J1122" s="2" t="str">
        <f>IF(Iterations[[#This Row],[Step]] =current_step, current_d,IF(Iterations[[#This Row],[Step]] &gt; current_step, "",Iterations[[#This Row],[d]]))</f>
        <v/>
      </c>
      <c r="K1122" s="2" t="str">
        <f>IF(Iterations[[#This Row],[Step]] =current_step, current_e,IF(Iterations[[#This Row],[Step]] &gt; current_step, "",Iterations[[#This Row],[e]]))</f>
        <v/>
      </c>
      <c r="L1122" s="2" t="str">
        <f>IF(Iterations[[#This Row],[Step]] =current_step, current_Total_Loss,IF(Iterations[[#This Row],[Step]] &gt; current_step, "",Iterations[[#This Row],[Total Loss]]))</f>
        <v/>
      </c>
      <c r="M1122" s="6" t="s">
        <v>27</v>
      </c>
      <c r="N1122" s="2" t="str">
        <f>IF(Iterations[[#This Row],[Step]] =current_step, current_Grad_a,IF(Iterations[[#This Row],[Step]] &gt; current_step, "",Iterations[[#This Row],[Grad_a]]))</f>
        <v/>
      </c>
      <c r="O1122" s="2" t="str">
        <f>IF(Iterations[[#This Row],[Step]] =current_step, current_Grad_b,IF(Iterations[[#This Row],[Step]] &gt; current_step, "",Iterations[[#This Row],[Grad_b]]))</f>
        <v/>
      </c>
      <c r="P1122" s="2" t="str">
        <f>IF(Iterations[[#This Row],[Step]] =current_step, current_Grad_c,IF(Iterations[[#This Row],[Step]] &gt; current_step, "",Iterations[[#This Row],[Grad_c]]))</f>
        <v/>
      </c>
      <c r="Q1122" s="2" t="str">
        <f>IF(Iterations[[#This Row],[Step]] =current_step, current_Grad_d,IF(Iterations[[#This Row],[Step]] &gt; current_step, "",Iterations[[#This Row],[Grad_d]]))</f>
        <v/>
      </c>
      <c r="R1122" s="2" t="str">
        <f>IF(Iterations[[#This Row],[Step]] =current_step, current_Grad_e,IF(Iterations[[#This Row],[Step]] &gt; current_step, "",Iterations[[#This Row],[Grad_e]]))</f>
        <v/>
      </c>
    </row>
    <row r="1123" spans="6:18" x14ac:dyDescent="0.3">
      <c r="F1123" s="2">
        <f t="shared" si="22"/>
        <v>1106</v>
      </c>
      <c r="G1123" s="2" t="str">
        <f>IF(Iterations[[#This Row],[Step]] =current_step, current_a,IF(Iterations[[#This Row],[Step]] &gt; current_step, "",Iterations[[#This Row],[a]]))</f>
        <v/>
      </c>
      <c r="H1123" s="2" t="str">
        <f>IF(Iterations[[#This Row],[Step]] =current_step, current_b,IF(Iterations[[#This Row],[Step]] &gt; current_step, "",Iterations[[#This Row],[b]]))</f>
        <v/>
      </c>
      <c r="I1123" s="2" t="str">
        <f>IF(Iterations[[#This Row],[Step]] =current_step, current_c,IF(Iterations[[#This Row],[Step]] &gt; current_step, "",Iterations[[#This Row],[c]]))</f>
        <v/>
      </c>
      <c r="J1123" s="2" t="str">
        <f>IF(Iterations[[#This Row],[Step]] =current_step, current_d,IF(Iterations[[#This Row],[Step]] &gt; current_step, "",Iterations[[#This Row],[d]]))</f>
        <v/>
      </c>
      <c r="K1123" s="2" t="str">
        <f>IF(Iterations[[#This Row],[Step]] =current_step, current_e,IF(Iterations[[#This Row],[Step]] &gt; current_step, "",Iterations[[#This Row],[e]]))</f>
        <v/>
      </c>
      <c r="L1123" s="2" t="str">
        <f>IF(Iterations[[#This Row],[Step]] =current_step, current_Total_Loss,IF(Iterations[[#This Row],[Step]] &gt; current_step, "",Iterations[[#This Row],[Total Loss]]))</f>
        <v/>
      </c>
      <c r="M1123" s="6" t="s">
        <v>27</v>
      </c>
      <c r="N1123" s="2" t="str">
        <f>IF(Iterations[[#This Row],[Step]] =current_step, current_Grad_a,IF(Iterations[[#This Row],[Step]] &gt; current_step, "",Iterations[[#This Row],[Grad_a]]))</f>
        <v/>
      </c>
      <c r="O1123" s="2" t="str">
        <f>IF(Iterations[[#This Row],[Step]] =current_step, current_Grad_b,IF(Iterations[[#This Row],[Step]] &gt; current_step, "",Iterations[[#This Row],[Grad_b]]))</f>
        <v/>
      </c>
      <c r="P1123" s="2" t="str">
        <f>IF(Iterations[[#This Row],[Step]] =current_step, current_Grad_c,IF(Iterations[[#This Row],[Step]] &gt; current_step, "",Iterations[[#This Row],[Grad_c]]))</f>
        <v/>
      </c>
      <c r="Q1123" s="2" t="str">
        <f>IF(Iterations[[#This Row],[Step]] =current_step, current_Grad_d,IF(Iterations[[#This Row],[Step]] &gt; current_step, "",Iterations[[#This Row],[Grad_d]]))</f>
        <v/>
      </c>
      <c r="R1123" s="2" t="str">
        <f>IF(Iterations[[#This Row],[Step]] =current_step, current_Grad_e,IF(Iterations[[#This Row],[Step]] &gt; current_step, "",Iterations[[#This Row],[Grad_e]]))</f>
        <v/>
      </c>
    </row>
    <row r="1124" spans="6:18" x14ac:dyDescent="0.3">
      <c r="F1124" s="2">
        <f t="shared" si="22"/>
        <v>1107</v>
      </c>
      <c r="G1124" s="2" t="str">
        <f>IF(Iterations[[#This Row],[Step]] =current_step, current_a,IF(Iterations[[#This Row],[Step]] &gt; current_step, "",Iterations[[#This Row],[a]]))</f>
        <v/>
      </c>
      <c r="H1124" s="2" t="str">
        <f>IF(Iterations[[#This Row],[Step]] =current_step, current_b,IF(Iterations[[#This Row],[Step]] &gt; current_step, "",Iterations[[#This Row],[b]]))</f>
        <v/>
      </c>
      <c r="I1124" s="2" t="str">
        <f>IF(Iterations[[#This Row],[Step]] =current_step, current_c,IF(Iterations[[#This Row],[Step]] &gt; current_step, "",Iterations[[#This Row],[c]]))</f>
        <v/>
      </c>
      <c r="J1124" s="2" t="str">
        <f>IF(Iterations[[#This Row],[Step]] =current_step, current_d,IF(Iterations[[#This Row],[Step]] &gt; current_step, "",Iterations[[#This Row],[d]]))</f>
        <v/>
      </c>
      <c r="K1124" s="2" t="str">
        <f>IF(Iterations[[#This Row],[Step]] =current_step, current_e,IF(Iterations[[#This Row],[Step]] &gt; current_step, "",Iterations[[#This Row],[e]]))</f>
        <v/>
      </c>
      <c r="L1124" s="2" t="str">
        <f>IF(Iterations[[#This Row],[Step]] =current_step, current_Total_Loss,IF(Iterations[[#This Row],[Step]] &gt; current_step, "",Iterations[[#This Row],[Total Loss]]))</f>
        <v/>
      </c>
      <c r="M1124" s="6" t="s">
        <v>27</v>
      </c>
      <c r="N1124" s="2" t="str">
        <f>IF(Iterations[[#This Row],[Step]] =current_step, current_Grad_a,IF(Iterations[[#This Row],[Step]] &gt; current_step, "",Iterations[[#This Row],[Grad_a]]))</f>
        <v/>
      </c>
      <c r="O1124" s="2" t="str">
        <f>IF(Iterations[[#This Row],[Step]] =current_step, current_Grad_b,IF(Iterations[[#This Row],[Step]] &gt; current_step, "",Iterations[[#This Row],[Grad_b]]))</f>
        <v/>
      </c>
      <c r="P1124" s="2" t="str">
        <f>IF(Iterations[[#This Row],[Step]] =current_step, current_Grad_c,IF(Iterations[[#This Row],[Step]] &gt; current_step, "",Iterations[[#This Row],[Grad_c]]))</f>
        <v/>
      </c>
      <c r="Q1124" s="2" t="str">
        <f>IF(Iterations[[#This Row],[Step]] =current_step, current_Grad_d,IF(Iterations[[#This Row],[Step]] &gt; current_step, "",Iterations[[#This Row],[Grad_d]]))</f>
        <v/>
      </c>
      <c r="R1124" s="2" t="str">
        <f>IF(Iterations[[#This Row],[Step]] =current_step, current_Grad_e,IF(Iterations[[#This Row],[Step]] &gt; current_step, "",Iterations[[#This Row],[Grad_e]]))</f>
        <v/>
      </c>
    </row>
    <row r="1125" spans="6:18" x14ac:dyDescent="0.3">
      <c r="F1125" s="2">
        <f t="shared" si="22"/>
        <v>1108</v>
      </c>
      <c r="G1125" s="2" t="str">
        <f>IF(Iterations[[#This Row],[Step]] =current_step, current_a,IF(Iterations[[#This Row],[Step]] &gt; current_step, "",Iterations[[#This Row],[a]]))</f>
        <v/>
      </c>
      <c r="H1125" s="2" t="str">
        <f>IF(Iterations[[#This Row],[Step]] =current_step, current_b,IF(Iterations[[#This Row],[Step]] &gt; current_step, "",Iterations[[#This Row],[b]]))</f>
        <v/>
      </c>
      <c r="I1125" s="2" t="str">
        <f>IF(Iterations[[#This Row],[Step]] =current_step, current_c,IF(Iterations[[#This Row],[Step]] &gt; current_step, "",Iterations[[#This Row],[c]]))</f>
        <v/>
      </c>
      <c r="J1125" s="2" t="str">
        <f>IF(Iterations[[#This Row],[Step]] =current_step, current_d,IF(Iterations[[#This Row],[Step]] &gt; current_step, "",Iterations[[#This Row],[d]]))</f>
        <v/>
      </c>
      <c r="K1125" s="2" t="str">
        <f>IF(Iterations[[#This Row],[Step]] =current_step, current_e,IF(Iterations[[#This Row],[Step]] &gt; current_step, "",Iterations[[#This Row],[e]]))</f>
        <v/>
      </c>
      <c r="L1125" s="2" t="str">
        <f>IF(Iterations[[#This Row],[Step]] =current_step, current_Total_Loss,IF(Iterations[[#This Row],[Step]] &gt; current_step, "",Iterations[[#This Row],[Total Loss]]))</f>
        <v/>
      </c>
      <c r="M1125" s="6" t="s">
        <v>27</v>
      </c>
      <c r="N1125" s="2" t="str">
        <f>IF(Iterations[[#This Row],[Step]] =current_step, current_Grad_a,IF(Iterations[[#This Row],[Step]] &gt; current_step, "",Iterations[[#This Row],[Grad_a]]))</f>
        <v/>
      </c>
      <c r="O1125" s="2" t="str">
        <f>IF(Iterations[[#This Row],[Step]] =current_step, current_Grad_b,IF(Iterations[[#This Row],[Step]] &gt; current_step, "",Iterations[[#This Row],[Grad_b]]))</f>
        <v/>
      </c>
      <c r="P1125" s="2" t="str">
        <f>IF(Iterations[[#This Row],[Step]] =current_step, current_Grad_c,IF(Iterations[[#This Row],[Step]] &gt; current_step, "",Iterations[[#This Row],[Grad_c]]))</f>
        <v/>
      </c>
      <c r="Q1125" s="2" t="str">
        <f>IF(Iterations[[#This Row],[Step]] =current_step, current_Grad_d,IF(Iterations[[#This Row],[Step]] &gt; current_step, "",Iterations[[#This Row],[Grad_d]]))</f>
        <v/>
      </c>
      <c r="R1125" s="2" t="str">
        <f>IF(Iterations[[#This Row],[Step]] =current_step, current_Grad_e,IF(Iterations[[#This Row],[Step]] &gt; current_step, "",Iterations[[#This Row],[Grad_e]]))</f>
        <v/>
      </c>
    </row>
    <row r="1126" spans="6:18" x14ac:dyDescent="0.3">
      <c r="F1126" s="2">
        <f t="shared" si="22"/>
        <v>1109</v>
      </c>
      <c r="G1126" s="2" t="str">
        <f>IF(Iterations[[#This Row],[Step]] =current_step, current_a,IF(Iterations[[#This Row],[Step]] &gt; current_step, "",Iterations[[#This Row],[a]]))</f>
        <v/>
      </c>
      <c r="H1126" s="2" t="str">
        <f>IF(Iterations[[#This Row],[Step]] =current_step, current_b,IF(Iterations[[#This Row],[Step]] &gt; current_step, "",Iterations[[#This Row],[b]]))</f>
        <v/>
      </c>
      <c r="I1126" s="2" t="str">
        <f>IF(Iterations[[#This Row],[Step]] =current_step, current_c,IF(Iterations[[#This Row],[Step]] &gt; current_step, "",Iterations[[#This Row],[c]]))</f>
        <v/>
      </c>
      <c r="J1126" s="2" t="str">
        <f>IF(Iterations[[#This Row],[Step]] =current_step, current_d,IF(Iterations[[#This Row],[Step]] &gt; current_step, "",Iterations[[#This Row],[d]]))</f>
        <v/>
      </c>
      <c r="K1126" s="2" t="str">
        <f>IF(Iterations[[#This Row],[Step]] =current_step, current_e,IF(Iterations[[#This Row],[Step]] &gt; current_step, "",Iterations[[#This Row],[e]]))</f>
        <v/>
      </c>
      <c r="L1126" s="2" t="str">
        <f>IF(Iterations[[#This Row],[Step]] =current_step, current_Total_Loss,IF(Iterations[[#This Row],[Step]] &gt; current_step, "",Iterations[[#This Row],[Total Loss]]))</f>
        <v/>
      </c>
      <c r="M1126" s="6" t="s">
        <v>27</v>
      </c>
      <c r="N1126" s="2" t="str">
        <f>IF(Iterations[[#This Row],[Step]] =current_step, current_Grad_a,IF(Iterations[[#This Row],[Step]] &gt; current_step, "",Iterations[[#This Row],[Grad_a]]))</f>
        <v/>
      </c>
      <c r="O1126" s="2" t="str">
        <f>IF(Iterations[[#This Row],[Step]] =current_step, current_Grad_b,IF(Iterations[[#This Row],[Step]] &gt; current_step, "",Iterations[[#This Row],[Grad_b]]))</f>
        <v/>
      </c>
      <c r="P1126" s="2" t="str">
        <f>IF(Iterations[[#This Row],[Step]] =current_step, current_Grad_c,IF(Iterations[[#This Row],[Step]] &gt; current_step, "",Iterations[[#This Row],[Grad_c]]))</f>
        <v/>
      </c>
      <c r="Q1126" s="2" t="str">
        <f>IF(Iterations[[#This Row],[Step]] =current_step, current_Grad_d,IF(Iterations[[#This Row],[Step]] &gt; current_step, "",Iterations[[#This Row],[Grad_d]]))</f>
        <v/>
      </c>
      <c r="R1126" s="2" t="str">
        <f>IF(Iterations[[#This Row],[Step]] =current_step, current_Grad_e,IF(Iterations[[#This Row],[Step]] &gt; current_step, "",Iterations[[#This Row],[Grad_e]]))</f>
        <v/>
      </c>
    </row>
    <row r="1127" spans="6:18" x14ac:dyDescent="0.3">
      <c r="F1127" s="2">
        <f t="shared" si="22"/>
        <v>1110</v>
      </c>
      <c r="G1127" s="2" t="str">
        <f>IF(Iterations[[#This Row],[Step]] =current_step, current_a,IF(Iterations[[#This Row],[Step]] &gt; current_step, "",Iterations[[#This Row],[a]]))</f>
        <v/>
      </c>
      <c r="H1127" s="2" t="str">
        <f>IF(Iterations[[#This Row],[Step]] =current_step, current_b,IF(Iterations[[#This Row],[Step]] &gt; current_step, "",Iterations[[#This Row],[b]]))</f>
        <v/>
      </c>
      <c r="I1127" s="2" t="str">
        <f>IF(Iterations[[#This Row],[Step]] =current_step, current_c,IF(Iterations[[#This Row],[Step]] &gt; current_step, "",Iterations[[#This Row],[c]]))</f>
        <v/>
      </c>
      <c r="J1127" s="2" t="str">
        <f>IF(Iterations[[#This Row],[Step]] =current_step, current_d,IF(Iterations[[#This Row],[Step]] &gt; current_step, "",Iterations[[#This Row],[d]]))</f>
        <v/>
      </c>
      <c r="K1127" s="2" t="str">
        <f>IF(Iterations[[#This Row],[Step]] =current_step, current_e,IF(Iterations[[#This Row],[Step]] &gt; current_step, "",Iterations[[#This Row],[e]]))</f>
        <v/>
      </c>
      <c r="L1127" s="2" t="str">
        <f>IF(Iterations[[#This Row],[Step]] =current_step, current_Total_Loss,IF(Iterations[[#This Row],[Step]] &gt; current_step, "",Iterations[[#This Row],[Total Loss]]))</f>
        <v/>
      </c>
      <c r="M1127" s="6" t="s">
        <v>27</v>
      </c>
      <c r="N1127" s="2" t="str">
        <f>IF(Iterations[[#This Row],[Step]] =current_step, current_Grad_a,IF(Iterations[[#This Row],[Step]] &gt; current_step, "",Iterations[[#This Row],[Grad_a]]))</f>
        <v/>
      </c>
      <c r="O1127" s="2" t="str">
        <f>IF(Iterations[[#This Row],[Step]] =current_step, current_Grad_b,IF(Iterations[[#This Row],[Step]] &gt; current_step, "",Iterations[[#This Row],[Grad_b]]))</f>
        <v/>
      </c>
      <c r="P1127" s="2" t="str">
        <f>IF(Iterations[[#This Row],[Step]] =current_step, current_Grad_c,IF(Iterations[[#This Row],[Step]] &gt; current_step, "",Iterations[[#This Row],[Grad_c]]))</f>
        <v/>
      </c>
      <c r="Q1127" s="2" t="str">
        <f>IF(Iterations[[#This Row],[Step]] =current_step, current_Grad_d,IF(Iterations[[#This Row],[Step]] &gt; current_step, "",Iterations[[#This Row],[Grad_d]]))</f>
        <v/>
      </c>
      <c r="R1127" s="2" t="str">
        <f>IF(Iterations[[#This Row],[Step]] =current_step, current_Grad_e,IF(Iterations[[#This Row],[Step]] &gt; current_step, "",Iterations[[#This Row],[Grad_e]]))</f>
        <v/>
      </c>
    </row>
    <row r="1128" spans="6:18" x14ac:dyDescent="0.3">
      <c r="F1128" s="2">
        <f t="shared" si="22"/>
        <v>1111</v>
      </c>
      <c r="G1128" s="2" t="str">
        <f>IF(Iterations[[#This Row],[Step]] =current_step, current_a,IF(Iterations[[#This Row],[Step]] &gt; current_step, "",Iterations[[#This Row],[a]]))</f>
        <v/>
      </c>
      <c r="H1128" s="2" t="str">
        <f>IF(Iterations[[#This Row],[Step]] =current_step, current_b,IF(Iterations[[#This Row],[Step]] &gt; current_step, "",Iterations[[#This Row],[b]]))</f>
        <v/>
      </c>
      <c r="I1128" s="2" t="str">
        <f>IF(Iterations[[#This Row],[Step]] =current_step, current_c,IF(Iterations[[#This Row],[Step]] &gt; current_step, "",Iterations[[#This Row],[c]]))</f>
        <v/>
      </c>
      <c r="J1128" s="2" t="str">
        <f>IF(Iterations[[#This Row],[Step]] =current_step, current_d,IF(Iterations[[#This Row],[Step]] &gt; current_step, "",Iterations[[#This Row],[d]]))</f>
        <v/>
      </c>
      <c r="K1128" s="2" t="str">
        <f>IF(Iterations[[#This Row],[Step]] =current_step, current_e,IF(Iterations[[#This Row],[Step]] &gt; current_step, "",Iterations[[#This Row],[e]]))</f>
        <v/>
      </c>
      <c r="L1128" s="2" t="str">
        <f>IF(Iterations[[#This Row],[Step]] =current_step, current_Total_Loss,IF(Iterations[[#This Row],[Step]] &gt; current_step, "",Iterations[[#This Row],[Total Loss]]))</f>
        <v/>
      </c>
      <c r="M1128" s="6" t="s">
        <v>27</v>
      </c>
      <c r="N1128" s="2" t="str">
        <f>IF(Iterations[[#This Row],[Step]] =current_step, current_Grad_a,IF(Iterations[[#This Row],[Step]] &gt; current_step, "",Iterations[[#This Row],[Grad_a]]))</f>
        <v/>
      </c>
      <c r="O1128" s="2" t="str">
        <f>IF(Iterations[[#This Row],[Step]] =current_step, current_Grad_b,IF(Iterations[[#This Row],[Step]] &gt; current_step, "",Iterations[[#This Row],[Grad_b]]))</f>
        <v/>
      </c>
      <c r="P1128" s="2" t="str">
        <f>IF(Iterations[[#This Row],[Step]] =current_step, current_Grad_c,IF(Iterations[[#This Row],[Step]] &gt; current_step, "",Iterations[[#This Row],[Grad_c]]))</f>
        <v/>
      </c>
      <c r="Q1128" s="2" t="str">
        <f>IF(Iterations[[#This Row],[Step]] =current_step, current_Grad_d,IF(Iterations[[#This Row],[Step]] &gt; current_step, "",Iterations[[#This Row],[Grad_d]]))</f>
        <v/>
      </c>
      <c r="R1128" s="2" t="str">
        <f>IF(Iterations[[#This Row],[Step]] =current_step, current_Grad_e,IF(Iterations[[#This Row],[Step]] &gt; current_step, "",Iterations[[#This Row],[Grad_e]]))</f>
        <v/>
      </c>
    </row>
    <row r="1129" spans="6:18" x14ac:dyDescent="0.3">
      <c r="F1129" s="2">
        <f t="shared" si="22"/>
        <v>1112</v>
      </c>
      <c r="G1129" s="2" t="str">
        <f>IF(Iterations[[#This Row],[Step]] =current_step, current_a,IF(Iterations[[#This Row],[Step]] &gt; current_step, "",Iterations[[#This Row],[a]]))</f>
        <v/>
      </c>
      <c r="H1129" s="2" t="str">
        <f>IF(Iterations[[#This Row],[Step]] =current_step, current_b,IF(Iterations[[#This Row],[Step]] &gt; current_step, "",Iterations[[#This Row],[b]]))</f>
        <v/>
      </c>
      <c r="I1129" s="2" t="str">
        <f>IF(Iterations[[#This Row],[Step]] =current_step, current_c,IF(Iterations[[#This Row],[Step]] &gt; current_step, "",Iterations[[#This Row],[c]]))</f>
        <v/>
      </c>
      <c r="J1129" s="2" t="str">
        <f>IF(Iterations[[#This Row],[Step]] =current_step, current_d,IF(Iterations[[#This Row],[Step]] &gt; current_step, "",Iterations[[#This Row],[d]]))</f>
        <v/>
      </c>
      <c r="K1129" s="2" t="str">
        <f>IF(Iterations[[#This Row],[Step]] =current_step, current_e,IF(Iterations[[#This Row],[Step]] &gt; current_step, "",Iterations[[#This Row],[e]]))</f>
        <v/>
      </c>
      <c r="L1129" s="2" t="str">
        <f>IF(Iterations[[#This Row],[Step]] =current_step, current_Total_Loss,IF(Iterations[[#This Row],[Step]] &gt; current_step, "",Iterations[[#This Row],[Total Loss]]))</f>
        <v/>
      </c>
      <c r="M1129" s="6" t="s">
        <v>27</v>
      </c>
      <c r="N1129" s="2" t="str">
        <f>IF(Iterations[[#This Row],[Step]] =current_step, current_Grad_a,IF(Iterations[[#This Row],[Step]] &gt; current_step, "",Iterations[[#This Row],[Grad_a]]))</f>
        <v/>
      </c>
      <c r="O1129" s="2" t="str">
        <f>IF(Iterations[[#This Row],[Step]] =current_step, current_Grad_b,IF(Iterations[[#This Row],[Step]] &gt; current_step, "",Iterations[[#This Row],[Grad_b]]))</f>
        <v/>
      </c>
      <c r="P1129" s="2" t="str">
        <f>IF(Iterations[[#This Row],[Step]] =current_step, current_Grad_c,IF(Iterations[[#This Row],[Step]] &gt; current_step, "",Iterations[[#This Row],[Grad_c]]))</f>
        <v/>
      </c>
      <c r="Q1129" s="2" t="str">
        <f>IF(Iterations[[#This Row],[Step]] =current_step, current_Grad_d,IF(Iterations[[#This Row],[Step]] &gt; current_step, "",Iterations[[#This Row],[Grad_d]]))</f>
        <v/>
      </c>
      <c r="R1129" s="2" t="str">
        <f>IF(Iterations[[#This Row],[Step]] =current_step, current_Grad_e,IF(Iterations[[#This Row],[Step]] &gt; current_step, "",Iterations[[#This Row],[Grad_e]]))</f>
        <v/>
      </c>
    </row>
    <row r="1130" spans="6:18" x14ac:dyDescent="0.3">
      <c r="F1130" s="2">
        <f t="shared" si="22"/>
        <v>1113</v>
      </c>
      <c r="G1130" s="2" t="str">
        <f>IF(Iterations[[#This Row],[Step]] =current_step, current_a,IF(Iterations[[#This Row],[Step]] &gt; current_step, "",Iterations[[#This Row],[a]]))</f>
        <v/>
      </c>
      <c r="H1130" s="2" t="str">
        <f>IF(Iterations[[#This Row],[Step]] =current_step, current_b,IF(Iterations[[#This Row],[Step]] &gt; current_step, "",Iterations[[#This Row],[b]]))</f>
        <v/>
      </c>
      <c r="I1130" s="2" t="str">
        <f>IF(Iterations[[#This Row],[Step]] =current_step, current_c,IF(Iterations[[#This Row],[Step]] &gt; current_step, "",Iterations[[#This Row],[c]]))</f>
        <v/>
      </c>
      <c r="J1130" s="2" t="str">
        <f>IF(Iterations[[#This Row],[Step]] =current_step, current_d,IF(Iterations[[#This Row],[Step]] &gt; current_step, "",Iterations[[#This Row],[d]]))</f>
        <v/>
      </c>
      <c r="K1130" s="2" t="str">
        <f>IF(Iterations[[#This Row],[Step]] =current_step, current_e,IF(Iterations[[#This Row],[Step]] &gt; current_step, "",Iterations[[#This Row],[e]]))</f>
        <v/>
      </c>
      <c r="L1130" s="2" t="str">
        <f>IF(Iterations[[#This Row],[Step]] =current_step, current_Total_Loss,IF(Iterations[[#This Row],[Step]] &gt; current_step, "",Iterations[[#This Row],[Total Loss]]))</f>
        <v/>
      </c>
      <c r="M1130" s="6" t="s">
        <v>27</v>
      </c>
      <c r="N1130" s="2" t="str">
        <f>IF(Iterations[[#This Row],[Step]] =current_step, current_Grad_a,IF(Iterations[[#This Row],[Step]] &gt; current_step, "",Iterations[[#This Row],[Grad_a]]))</f>
        <v/>
      </c>
      <c r="O1130" s="2" t="str">
        <f>IF(Iterations[[#This Row],[Step]] =current_step, current_Grad_b,IF(Iterations[[#This Row],[Step]] &gt; current_step, "",Iterations[[#This Row],[Grad_b]]))</f>
        <v/>
      </c>
      <c r="P1130" s="2" t="str">
        <f>IF(Iterations[[#This Row],[Step]] =current_step, current_Grad_c,IF(Iterations[[#This Row],[Step]] &gt; current_step, "",Iterations[[#This Row],[Grad_c]]))</f>
        <v/>
      </c>
      <c r="Q1130" s="2" t="str">
        <f>IF(Iterations[[#This Row],[Step]] =current_step, current_Grad_d,IF(Iterations[[#This Row],[Step]] &gt; current_step, "",Iterations[[#This Row],[Grad_d]]))</f>
        <v/>
      </c>
      <c r="R1130" s="2" t="str">
        <f>IF(Iterations[[#This Row],[Step]] =current_step, current_Grad_e,IF(Iterations[[#This Row],[Step]] &gt; current_step, "",Iterations[[#This Row],[Grad_e]]))</f>
        <v/>
      </c>
    </row>
    <row r="1131" spans="6:18" x14ac:dyDescent="0.3">
      <c r="F1131" s="2">
        <f t="shared" si="22"/>
        <v>1114</v>
      </c>
      <c r="G1131" s="2" t="str">
        <f>IF(Iterations[[#This Row],[Step]] =current_step, current_a,IF(Iterations[[#This Row],[Step]] &gt; current_step, "",Iterations[[#This Row],[a]]))</f>
        <v/>
      </c>
      <c r="H1131" s="2" t="str">
        <f>IF(Iterations[[#This Row],[Step]] =current_step, current_b,IF(Iterations[[#This Row],[Step]] &gt; current_step, "",Iterations[[#This Row],[b]]))</f>
        <v/>
      </c>
      <c r="I1131" s="2" t="str">
        <f>IF(Iterations[[#This Row],[Step]] =current_step, current_c,IF(Iterations[[#This Row],[Step]] &gt; current_step, "",Iterations[[#This Row],[c]]))</f>
        <v/>
      </c>
      <c r="J1131" s="2" t="str">
        <f>IF(Iterations[[#This Row],[Step]] =current_step, current_d,IF(Iterations[[#This Row],[Step]] &gt; current_step, "",Iterations[[#This Row],[d]]))</f>
        <v/>
      </c>
      <c r="K1131" s="2" t="str">
        <f>IF(Iterations[[#This Row],[Step]] =current_step, current_e,IF(Iterations[[#This Row],[Step]] &gt; current_step, "",Iterations[[#This Row],[e]]))</f>
        <v/>
      </c>
      <c r="L1131" s="2" t="str">
        <f>IF(Iterations[[#This Row],[Step]] =current_step, current_Total_Loss,IF(Iterations[[#This Row],[Step]] &gt; current_step, "",Iterations[[#This Row],[Total Loss]]))</f>
        <v/>
      </c>
      <c r="M1131" s="6" t="s">
        <v>27</v>
      </c>
      <c r="N1131" s="2" t="str">
        <f>IF(Iterations[[#This Row],[Step]] =current_step, current_Grad_a,IF(Iterations[[#This Row],[Step]] &gt; current_step, "",Iterations[[#This Row],[Grad_a]]))</f>
        <v/>
      </c>
      <c r="O1131" s="2" t="str">
        <f>IF(Iterations[[#This Row],[Step]] =current_step, current_Grad_b,IF(Iterations[[#This Row],[Step]] &gt; current_step, "",Iterations[[#This Row],[Grad_b]]))</f>
        <v/>
      </c>
      <c r="P1131" s="2" t="str">
        <f>IF(Iterations[[#This Row],[Step]] =current_step, current_Grad_c,IF(Iterations[[#This Row],[Step]] &gt; current_step, "",Iterations[[#This Row],[Grad_c]]))</f>
        <v/>
      </c>
      <c r="Q1131" s="2" t="str">
        <f>IF(Iterations[[#This Row],[Step]] =current_step, current_Grad_d,IF(Iterations[[#This Row],[Step]] &gt; current_step, "",Iterations[[#This Row],[Grad_d]]))</f>
        <v/>
      </c>
      <c r="R1131" s="2" t="str">
        <f>IF(Iterations[[#This Row],[Step]] =current_step, current_Grad_e,IF(Iterations[[#This Row],[Step]] &gt; current_step, "",Iterations[[#This Row],[Grad_e]]))</f>
        <v/>
      </c>
    </row>
    <row r="1132" spans="6:18" x14ac:dyDescent="0.3">
      <c r="F1132" s="2">
        <f t="shared" si="22"/>
        <v>1115</v>
      </c>
      <c r="G1132" s="2" t="str">
        <f>IF(Iterations[[#This Row],[Step]] =current_step, current_a,IF(Iterations[[#This Row],[Step]] &gt; current_step, "",Iterations[[#This Row],[a]]))</f>
        <v/>
      </c>
      <c r="H1132" s="2" t="str">
        <f>IF(Iterations[[#This Row],[Step]] =current_step, current_b,IF(Iterations[[#This Row],[Step]] &gt; current_step, "",Iterations[[#This Row],[b]]))</f>
        <v/>
      </c>
      <c r="I1132" s="2" t="str">
        <f>IF(Iterations[[#This Row],[Step]] =current_step, current_c,IF(Iterations[[#This Row],[Step]] &gt; current_step, "",Iterations[[#This Row],[c]]))</f>
        <v/>
      </c>
      <c r="J1132" s="2" t="str">
        <f>IF(Iterations[[#This Row],[Step]] =current_step, current_d,IF(Iterations[[#This Row],[Step]] &gt; current_step, "",Iterations[[#This Row],[d]]))</f>
        <v/>
      </c>
      <c r="K1132" s="2" t="str">
        <f>IF(Iterations[[#This Row],[Step]] =current_step, current_e,IF(Iterations[[#This Row],[Step]] &gt; current_step, "",Iterations[[#This Row],[e]]))</f>
        <v/>
      </c>
      <c r="L1132" s="2" t="str">
        <f>IF(Iterations[[#This Row],[Step]] =current_step, current_Total_Loss,IF(Iterations[[#This Row],[Step]] &gt; current_step, "",Iterations[[#This Row],[Total Loss]]))</f>
        <v/>
      </c>
      <c r="M1132" s="6" t="s">
        <v>27</v>
      </c>
      <c r="N1132" s="2" t="str">
        <f>IF(Iterations[[#This Row],[Step]] =current_step, current_Grad_a,IF(Iterations[[#This Row],[Step]] &gt; current_step, "",Iterations[[#This Row],[Grad_a]]))</f>
        <v/>
      </c>
      <c r="O1132" s="2" t="str">
        <f>IF(Iterations[[#This Row],[Step]] =current_step, current_Grad_b,IF(Iterations[[#This Row],[Step]] &gt; current_step, "",Iterations[[#This Row],[Grad_b]]))</f>
        <v/>
      </c>
      <c r="P1132" s="2" t="str">
        <f>IF(Iterations[[#This Row],[Step]] =current_step, current_Grad_c,IF(Iterations[[#This Row],[Step]] &gt; current_step, "",Iterations[[#This Row],[Grad_c]]))</f>
        <v/>
      </c>
      <c r="Q1132" s="2" t="str">
        <f>IF(Iterations[[#This Row],[Step]] =current_step, current_Grad_d,IF(Iterations[[#This Row],[Step]] &gt; current_step, "",Iterations[[#This Row],[Grad_d]]))</f>
        <v/>
      </c>
      <c r="R1132" s="2" t="str">
        <f>IF(Iterations[[#This Row],[Step]] =current_step, current_Grad_e,IF(Iterations[[#This Row],[Step]] &gt; current_step, "",Iterations[[#This Row],[Grad_e]]))</f>
        <v/>
      </c>
    </row>
    <row r="1133" spans="6:18" x14ac:dyDescent="0.3">
      <c r="F1133" s="2">
        <f t="shared" si="22"/>
        <v>1116</v>
      </c>
      <c r="G1133" s="2" t="str">
        <f>IF(Iterations[[#This Row],[Step]] =current_step, current_a,IF(Iterations[[#This Row],[Step]] &gt; current_step, "",Iterations[[#This Row],[a]]))</f>
        <v/>
      </c>
      <c r="H1133" s="2" t="str">
        <f>IF(Iterations[[#This Row],[Step]] =current_step, current_b,IF(Iterations[[#This Row],[Step]] &gt; current_step, "",Iterations[[#This Row],[b]]))</f>
        <v/>
      </c>
      <c r="I1133" s="2" t="str">
        <f>IF(Iterations[[#This Row],[Step]] =current_step, current_c,IF(Iterations[[#This Row],[Step]] &gt; current_step, "",Iterations[[#This Row],[c]]))</f>
        <v/>
      </c>
      <c r="J1133" s="2" t="str">
        <f>IF(Iterations[[#This Row],[Step]] =current_step, current_d,IF(Iterations[[#This Row],[Step]] &gt; current_step, "",Iterations[[#This Row],[d]]))</f>
        <v/>
      </c>
      <c r="K1133" s="2" t="str">
        <f>IF(Iterations[[#This Row],[Step]] =current_step, current_e,IF(Iterations[[#This Row],[Step]] &gt; current_step, "",Iterations[[#This Row],[e]]))</f>
        <v/>
      </c>
      <c r="L1133" s="2" t="str">
        <f>IF(Iterations[[#This Row],[Step]] =current_step, current_Total_Loss,IF(Iterations[[#This Row],[Step]] &gt; current_step, "",Iterations[[#This Row],[Total Loss]]))</f>
        <v/>
      </c>
      <c r="M1133" s="6" t="s">
        <v>27</v>
      </c>
      <c r="N1133" s="2" t="str">
        <f>IF(Iterations[[#This Row],[Step]] =current_step, current_Grad_a,IF(Iterations[[#This Row],[Step]] &gt; current_step, "",Iterations[[#This Row],[Grad_a]]))</f>
        <v/>
      </c>
      <c r="O1133" s="2" t="str">
        <f>IF(Iterations[[#This Row],[Step]] =current_step, current_Grad_b,IF(Iterations[[#This Row],[Step]] &gt; current_step, "",Iterations[[#This Row],[Grad_b]]))</f>
        <v/>
      </c>
      <c r="P1133" s="2" t="str">
        <f>IF(Iterations[[#This Row],[Step]] =current_step, current_Grad_c,IF(Iterations[[#This Row],[Step]] &gt; current_step, "",Iterations[[#This Row],[Grad_c]]))</f>
        <v/>
      </c>
      <c r="Q1133" s="2" t="str">
        <f>IF(Iterations[[#This Row],[Step]] =current_step, current_Grad_d,IF(Iterations[[#This Row],[Step]] &gt; current_step, "",Iterations[[#This Row],[Grad_d]]))</f>
        <v/>
      </c>
      <c r="R1133" s="2" t="str">
        <f>IF(Iterations[[#This Row],[Step]] =current_step, current_Grad_e,IF(Iterations[[#This Row],[Step]] &gt; current_step, "",Iterations[[#This Row],[Grad_e]]))</f>
        <v/>
      </c>
    </row>
    <row r="1134" spans="6:18" x14ac:dyDescent="0.3">
      <c r="F1134" s="2">
        <f t="shared" si="22"/>
        <v>1117</v>
      </c>
      <c r="G1134" s="2" t="str">
        <f>IF(Iterations[[#This Row],[Step]] =current_step, current_a,IF(Iterations[[#This Row],[Step]] &gt; current_step, "",Iterations[[#This Row],[a]]))</f>
        <v/>
      </c>
      <c r="H1134" s="2" t="str">
        <f>IF(Iterations[[#This Row],[Step]] =current_step, current_b,IF(Iterations[[#This Row],[Step]] &gt; current_step, "",Iterations[[#This Row],[b]]))</f>
        <v/>
      </c>
      <c r="I1134" s="2" t="str">
        <f>IF(Iterations[[#This Row],[Step]] =current_step, current_c,IF(Iterations[[#This Row],[Step]] &gt; current_step, "",Iterations[[#This Row],[c]]))</f>
        <v/>
      </c>
      <c r="J1134" s="2" t="str">
        <f>IF(Iterations[[#This Row],[Step]] =current_step, current_d,IF(Iterations[[#This Row],[Step]] &gt; current_step, "",Iterations[[#This Row],[d]]))</f>
        <v/>
      </c>
      <c r="K1134" s="2" t="str">
        <f>IF(Iterations[[#This Row],[Step]] =current_step, current_e,IF(Iterations[[#This Row],[Step]] &gt; current_step, "",Iterations[[#This Row],[e]]))</f>
        <v/>
      </c>
      <c r="L1134" s="2" t="str">
        <f>IF(Iterations[[#This Row],[Step]] =current_step, current_Total_Loss,IF(Iterations[[#This Row],[Step]] &gt; current_step, "",Iterations[[#This Row],[Total Loss]]))</f>
        <v/>
      </c>
      <c r="M1134" s="6" t="s">
        <v>27</v>
      </c>
      <c r="N1134" s="2" t="str">
        <f>IF(Iterations[[#This Row],[Step]] =current_step, current_Grad_a,IF(Iterations[[#This Row],[Step]] &gt; current_step, "",Iterations[[#This Row],[Grad_a]]))</f>
        <v/>
      </c>
      <c r="O1134" s="2" t="str">
        <f>IF(Iterations[[#This Row],[Step]] =current_step, current_Grad_b,IF(Iterations[[#This Row],[Step]] &gt; current_step, "",Iterations[[#This Row],[Grad_b]]))</f>
        <v/>
      </c>
      <c r="P1134" s="2" t="str">
        <f>IF(Iterations[[#This Row],[Step]] =current_step, current_Grad_c,IF(Iterations[[#This Row],[Step]] &gt; current_step, "",Iterations[[#This Row],[Grad_c]]))</f>
        <v/>
      </c>
      <c r="Q1134" s="2" t="str">
        <f>IF(Iterations[[#This Row],[Step]] =current_step, current_Grad_d,IF(Iterations[[#This Row],[Step]] &gt; current_step, "",Iterations[[#This Row],[Grad_d]]))</f>
        <v/>
      </c>
      <c r="R1134" s="2" t="str">
        <f>IF(Iterations[[#This Row],[Step]] =current_step, current_Grad_e,IF(Iterations[[#This Row],[Step]] &gt; current_step, "",Iterations[[#This Row],[Grad_e]]))</f>
        <v/>
      </c>
    </row>
    <row r="1135" spans="6:18" x14ac:dyDescent="0.3">
      <c r="F1135" s="2">
        <f t="shared" si="22"/>
        <v>1118</v>
      </c>
      <c r="G1135" s="2" t="str">
        <f>IF(Iterations[[#This Row],[Step]] =current_step, current_a,IF(Iterations[[#This Row],[Step]] &gt; current_step, "",Iterations[[#This Row],[a]]))</f>
        <v/>
      </c>
      <c r="H1135" s="2" t="str">
        <f>IF(Iterations[[#This Row],[Step]] =current_step, current_b,IF(Iterations[[#This Row],[Step]] &gt; current_step, "",Iterations[[#This Row],[b]]))</f>
        <v/>
      </c>
      <c r="I1135" s="2" t="str">
        <f>IF(Iterations[[#This Row],[Step]] =current_step, current_c,IF(Iterations[[#This Row],[Step]] &gt; current_step, "",Iterations[[#This Row],[c]]))</f>
        <v/>
      </c>
      <c r="J1135" s="2" t="str">
        <f>IF(Iterations[[#This Row],[Step]] =current_step, current_d,IF(Iterations[[#This Row],[Step]] &gt; current_step, "",Iterations[[#This Row],[d]]))</f>
        <v/>
      </c>
      <c r="K1135" s="2" t="str">
        <f>IF(Iterations[[#This Row],[Step]] =current_step, current_e,IF(Iterations[[#This Row],[Step]] &gt; current_step, "",Iterations[[#This Row],[e]]))</f>
        <v/>
      </c>
      <c r="L1135" s="2" t="str">
        <f>IF(Iterations[[#This Row],[Step]] =current_step, current_Total_Loss,IF(Iterations[[#This Row],[Step]] &gt; current_step, "",Iterations[[#This Row],[Total Loss]]))</f>
        <v/>
      </c>
      <c r="M1135" s="6" t="s">
        <v>27</v>
      </c>
      <c r="N1135" s="2" t="str">
        <f>IF(Iterations[[#This Row],[Step]] =current_step, current_Grad_a,IF(Iterations[[#This Row],[Step]] &gt; current_step, "",Iterations[[#This Row],[Grad_a]]))</f>
        <v/>
      </c>
      <c r="O1135" s="2" t="str">
        <f>IF(Iterations[[#This Row],[Step]] =current_step, current_Grad_b,IF(Iterations[[#This Row],[Step]] &gt; current_step, "",Iterations[[#This Row],[Grad_b]]))</f>
        <v/>
      </c>
      <c r="P1135" s="2" t="str">
        <f>IF(Iterations[[#This Row],[Step]] =current_step, current_Grad_c,IF(Iterations[[#This Row],[Step]] &gt; current_step, "",Iterations[[#This Row],[Grad_c]]))</f>
        <v/>
      </c>
      <c r="Q1135" s="2" t="str">
        <f>IF(Iterations[[#This Row],[Step]] =current_step, current_Grad_d,IF(Iterations[[#This Row],[Step]] &gt; current_step, "",Iterations[[#This Row],[Grad_d]]))</f>
        <v/>
      </c>
      <c r="R1135" s="2" t="str">
        <f>IF(Iterations[[#This Row],[Step]] =current_step, current_Grad_e,IF(Iterations[[#This Row],[Step]] &gt; current_step, "",Iterations[[#This Row],[Grad_e]]))</f>
        <v/>
      </c>
    </row>
    <row r="1136" spans="6:18" x14ac:dyDescent="0.3">
      <c r="F1136" s="2">
        <f t="shared" si="22"/>
        <v>1119</v>
      </c>
      <c r="G1136" s="2" t="str">
        <f>IF(Iterations[[#This Row],[Step]] =current_step, current_a,IF(Iterations[[#This Row],[Step]] &gt; current_step, "",Iterations[[#This Row],[a]]))</f>
        <v/>
      </c>
      <c r="H1136" s="2" t="str">
        <f>IF(Iterations[[#This Row],[Step]] =current_step, current_b,IF(Iterations[[#This Row],[Step]] &gt; current_step, "",Iterations[[#This Row],[b]]))</f>
        <v/>
      </c>
      <c r="I1136" s="2" t="str">
        <f>IF(Iterations[[#This Row],[Step]] =current_step, current_c,IF(Iterations[[#This Row],[Step]] &gt; current_step, "",Iterations[[#This Row],[c]]))</f>
        <v/>
      </c>
      <c r="J1136" s="2" t="str">
        <f>IF(Iterations[[#This Row],[Step]] =current_step, current_d,IF(Iterations[[#This Row],[Step]] &gt; current_step, "",Iterations[[#This Row],[d]]))</f>
        <v/>
      </c>
      <c r="K1136" s="2" t="str">
        <f>IF(Iterations[[#This Row],[Step]] =current_step, current_e,IF(Iterations[[#This Row],[Step]] &gt; current_step, "",Iterations[[#This Row],[e]]))</f>
        <v/>
      </c>
      <c r="L1136" s="2" t="str">
        <f>IF(Iterations[[#This Row],[Step]] =current_step, current_Total_Loss,IF(Iterations[[#This Row],[Step]] &gt; current_step, "",Iterations[[#This Row],[Total Loss]]))</f>
        <v/>
      </c>
      <c r="M1136" s="6" t="s">
        <v>27</v>
      </c>
      <c r="N1136" s="2" t="str">
        <f>IF(Iterations[[#This Row],[Step]] =current_step, current_Grad_a,IF(Iterations[[#This Row],[Step]] &gt; current_step, "",Iterations[[#This Row],[Grad_a]]))</f>
        <v/>
      </c>
      <c r="O1136" s="2" t="str">
        <f>IF(Iterations[[#This Row],[Step]] =current_step, current_Grad_b,IF(Iterations[[#This Row],[Step]] &gt; current_step, "",Iterations[[#This Row],[Grad_b]]))</f>
        <v/>
      </c>
      <c r="P1136" s="2" t="str">
        <f>IF(Iterations[[#This Row],[Step]] =current_step, current_Grad_c,IF(Iterations[[#This Row],[Step]] &gt; current_step, "",Iterations[[#This Row],[Grad_c]]))</f>
        <v/>
      </c>
      <c r="Q1136" s="2" t="str">
        <f>IF(Iterations[[#This Row],[Step]] =current_step, current_Grad_d,IF(Iterations[[#This Row],[Step]] &gt; current_step, "",Iterations[[#This Row],[Grad_d]]))</f>
        <v/>
      </c>
      <c r="R1136" s="2" t="str">
        <f>IF(Iterations[[#This Row],[Step]] =current_step, current_Grad_e,IF(Iterations[[#This Row],[Step]] &gt; current_step, "",Iterations[[#This Row],[Grad_e]]))</f>
        <v/>
      </c>
    </row>
    <row r="1137" spans="6:18" x14ac:dyDescent="0.3">
      <c r="F1137" s="2">
        <f t="shared" si="22"/>
        <v>1120</v>
      </c>
      <c r="G1137" s="2" t="str">
        <f>IF(Iterations[[#This Row],[Step]] =current_step, current_a,IF(Iterations[[#This Row],[Step]] &gt; current_step, "",Iterations[[#This Row],[a]]))</f>
        <v/>
      </c>
      <c r="H1137" s="2" t="str">
        <f>IF(Iterations[[#This Row],[Step]] =current_step, current_b,IF(Iterations[[#This Row],[Step]] &gt; current_step, "",Iterations[[#This Row],[b]]))</f>
        <v/>
      </c>
      <c r="I1137" s="2" t="str">
        <f>IF(Iterations[[#This Row],[Step]] =current_step, current_c,IF(Iterations[[#This Row],[Step]] &gt; current_step, "",Iterations[[#This Row],[c]]))</f>
        <v/>
      </c>
      <c r="J1137" s="2" t="str">
        <f>IF(Iterations[[#This Row],[Step]] =current_step, current_d,IF(Iterations[[#This Row],[Step]] &gt; current_step, "",Iterations[[#This Row],[d]]))</f>
        <v/>
      </c>
      <c r="K1137" s="2" t="str">
        <f>IF(Iterations[[#This Row],[Step]] =current_step, current_e,IF(Iterations[[#This Row],[Step]] &gt; current_step, "",Iterations[[#This Row],[e]]))</f>
        <v/>
      </c>
      <c r="L1137" s="2" t="str">
        <f>IF(Iterations[[#This Row],[Step]] =current_step, current_Total_Loss,IF(Iterations[[#This Row],[Step]] &gt; current_step, "",Iterations[[#This Row],[Total Loss]]))</f>
        <v/>
      </c>
      <c r="M1137" s="6" t="s">
        <v>27</v>
      </c>
      <c r="N1137" s="2" t="str">
        <f>IF(Iterations[[#This Row],[Step]] =current_step, current_Grad_a,IF(Iterations[[#This Row],[Step]] &gt; current_step, "",Iterations[[#This Row],[Grad_a]]))</f>
        <v/>
      </c>
      <c r="O1137" s="2" t="str">
        <f>IF(Iterations[[#This Row],[Step]] =current_step, current_Grad_b,IF(Iterations[[#This Row],[Step]] &gt; current_step, "",Iterations[[#This Row],[Grad_b]]))</f>
        <v/>
      </c>
      <c r="P1137" s="2" t="str">
        <f>IF(Iterations[[#This Row],[Step]] =current_step, current_Grad_c,IF(Iterations[[#This Row],[Step]] &gt; current_step, "",Iterations[[#This Row],[Grad_c]]))</f>
        <v/>
      </c>
      <c r="Q1137" s="2" t="str">
        <f>IF(Iterations[[#This Row],[Step]] =current_step, current_Grad_d,IF(Iterations[[#This Row],[Step]] &gt; current_step, "",Iterations[[#This Row],[Grad_d]]))</f>
        <v/>
      </c>
      <c r="R1137" s="2" t="str">
        <f>IF(Iterations[[#This Row],[Step]] =current_step, current_Grad_e,IF(Iterations[[#This Row],[Step]] &gt; current_step, "",Iterations[[#This Row],[Grad_e]]))</f>
        <v/>
      </c>
    </row>
    <row r="1138" spans="6:18" x14ac:dyDescent="0.3">
      <c r="F1138" s="2">
        <f t="shared" si="22"/>
        <v>1121</v>
      </c>
      <c r="G1138" s="2" t="str">
        <f>IF(Iterations[[#This Row],[Step]] =current_step, current_a,IF(Iterations[[#This Row],[Step]] &gt; current_step, "",Iterations[[#This Row],[a]]))</f>
        <v/>
      </c>
      <c r="H1138" s="2" t="str">
        <f>IF(Iterations[[#This Row],[Step]] =current_step, current_b,IF(Iterations[[#This Row],[Step]] &gt; current_step, "",Iterations[[#This Row],[b]]))</f>
        <v/>
      </c>
      <c r="I1138" s="2" t="str">
        <f>IF(Iterations[[#This Row],[Step]] =current_step, current_c,IF(Iterations[[#This Row],[Step]] &gt; current_step, "",Iterations[[#This Row],[c]]))</f>
        <v/>
      </c>
      <c r="J1138" s="2" t="str">
        <f>IF(Iterations[[#This Row],[Step]] =current_step, current_d,IF(Iterations[[#This Row],[Step]] &gt; current_step, "",Iterations[[#This Row],[d]]))</f>
        <v/>
      </c>
      <c r="K1138" s="2" t="str">
        <f>IF(Iterations[[#This Row],[Step]] =current_step, current_e,IF(Iterations[[#This Row],[Step]] &gt; current_step, "",Iterations[[#This Row],[e]]))</f>
        <v/>
      </c>
      <c r="L1138" s="2" t="str">
        <f>IF(Iterations[[#This Row],[Step]] =current_step, current_Total_Loss,IF(Iterations[[#This Row],[Step]] &gt; current_step, "",Iterations[[#This Row],[Total Loss]]))</f>
        <v/>
      </c>
      <c r="M1138" s="6" t="s">
        <v>27</v>
      </c>
      <c r="N1138" s="2" t="str">
        <f>IF(Iterations[[#This Row],[Step]] =current_step, current_Grad_a,IF(Iterations[[#This Row],[Step]] &gt; current_step, "",Iterations[[#This Row],[Grad_a]]))</f>
        <v/>
      </c>
      <c r="O1138" s="2" t="str">
        <f>IF(Iterations[[#This Row],[Step]] =current_step, current_Grad_b,IF(Iterations[[#This Row],[Step]] &gt; current_step, "",Iterations[[#This Row],[Grad_b]]))</f>
        <v/>
      </c>
      <c r="P1138" s="2" t="str">
        <f>IF(Iterations[[#This Row],[Step]] =current_step, current_Grad_c,IF(Iterations[[#This Row],[Step]] &gt; current_step, "",Iterations[[#This Row],[Grad_c]]))</f>
        <v/>
      </c>
      <c r="Q1138" s="2" t="str">
        <f>IF(Iterations[[#This Row],[Step]] =current_step, current_Grad_d,IF(Iterations[[#This Row],[Step]] &gt; current_step, "",Iterations[[#This Row],[Grad_d]]))</f>
        <v/>
      </c>
      <c r="R1138" s="2" t="str">
        <f>IF(Iterations[[#This Row],[Step]] =current_step, current_Grad_e,IF(Iterations[[#This Row],[Step]] &gt; current_step, "",Iterations[[#This Row],[Grad_e]]))</f>
        <v/>
      </c>
    </row>
    <row r="1139" spans="6:18" x14ac:dyDescent="0.3">
      <c r="F1139" s="2">
        <f t="shared" si="22"/>
        <v>1122</v>
      </c>
      <c r="G1139" s="2" t="str">
        <f>IF(Iterations[[#This Row],[Step]] =current_step, current_a,IF(Iterations[[#This Row],[Step]] &gt; current_step, "",Iterations[[#This Row],[a]]))</f>
        <v/>
      </c>
      <c r="H1139" s="2" t="str">
        <f>IF(Iterations[[#This Row],[Step]] =current_step, current_b,IF(Iterations[[#This Row],[Step]] &gt; current_step, "",Iterations[[#This Row],[b]]))</f>
        <v/>
      </c>
      <c r="I1139" s="2" t="str">
        <f>IF(Iterations[[#This Row],[Step]] =current_step, current_c,IF(Iterations[[#This Row],[Step]] &gt; current_step, "",Iterations[[#This Row],[c]]))</f>
        <v/>
      </c>
      <c r="J1139" s="2" t="str">
        <f>IF(Iterations[[#This Row],[Step]] =current_step, current_d,IF(Iterations[[#This Row],[Step]] &gt; current_step, "",Iterations[[#This Row],[d]]))</f>
        <v/>
      </c>
      <c r="K1139" s="2" t="str">
        <f>IF(Iterations[[#This Row],[Step]] =current_step, current_e,IF(Iterations[[#This Row],[Step]] &gt; current_step, "",Iterations[[#This Row],[e]]))</f>
        <v/>
      </c>
      <c r="L1139" s="2" t="str">
        <f>IF(Iterations[[#This Row],[Step]] =current_step, current_Total_Loss,IF(Iterations[[#This Row],[Step]] &gt; current_step, "",Iterations[[#This Row],[Total Loss]]))</f>
        <v/>
      </c>
      <c r="M1139" s="6" t="s">
        <v>27</v>
      </c>
      <c r="N1139" s="2" t="str">
        <f>IF(Iterations[[#This Row],[Step]] =current_step, current_Grad_a,IF(Iterations[[#This Row],[Step]] &gt; current_step, "",Iterations[[#This Row],[Grad_a]]))</f>
        <v/>
      </c>
      <c r="O1139" s="2" t="str">
        <f>IF(Iterations[[#This Row],[Step]] =current_step, current_Grad_b,IF(Iterations[[#This Row],[Step]] &gt; current_step, "",Iterations[[#This Row],[Grad_b]]))</f>
        <v/>
      </c>
      <c r="P1139" s="2" t="str">
        <f>IF(Iterations[[#This Row],[Step]] =current_step, current_Grad_c,IF(Iterations[[#This Row],[Step]] &gt; current_step, "",Iterations[[#This Row],[Grad_c]]))</f>
        <v/>
      </c>
      <c r="Q1139" s="2" t="str">
        <f>IF(Iterations[[#This Row],[Step]] =current_step, current_Grad_d,IF(Iterations[[#This Row],[Step]] &gt; current_step, "",Iterations[[#This Row],[Grad_d]]))</f>
        <v/>
      </c>
      <c r="R1139" s="2" t="str">
        <f>IF(Iterations[[#This Row],[Step]] =current_step, current_Grad_e,IF(Iterations[[#This Row],[Step]] &gt; current_step, "",Iterations[[#This Row],[Grad_e]]))</f>
        <v/>
      </c>
    </row>
    <row r="1140" spans="6:18" x14ac:dyDescent="0.3">
      <c r="F1140" s="2">
        <f t="shared" si="22"/>
        <v>1123</v>
      </c>
      <c r="G1140" s="2" t="str">
        <f>IF(Iterations[[#This Row],[Step]] =current_step, current_a,IF(Iterations[[#This Row],[Step]] &gt; current_step, "",Iterations[[#This Row],[a]]))</f>
        <v/>
      </c>
      <c r="H1140" s="2" t="str">
        <f>IF(Iterations[[#This Row],[Step]] =current_step, current_b,IF(Iterations[[#This Row],[Step]] &gt; current_step, "",Iterations[[#This Row],[b]]))</f>
        <v/>
      </c>
      <c r="I1140" s="2" t="str">
        <f>IF(Iterations[[#This Row],[Step]] =current_step, current_c,IF(Iterations[[#This Row],[Step]] &gt; current_step, "",Iterations[[#This Row],[c]]))</f>
        <v/>
      </c>
      <c r="J1140" s="2" t="str">
        <f>IF(Iterations[[#This Row],[Step]] =current_step, current_d,IF(Iterations[[#This Row],[Step]] &gt; current_step, "",Iterations[[#This Row],[d]]))</f>
        <v/>
      </c>
      <c r="K1140" s="2" t="str">
        <f>IF(Iterations[[#This Row],[Step]] =current_step, current_e,IF(Iterations[[#This Row],[Step]] &gt; current_step, "",Iterations[[#This Row],[e]]))</f>
        <v/>
      </c>
      <c r="L1140" s="2" t="str">
        <f>IF(Iterations[[#This Row],[Step]] =current_step, current_Total_Loss,IF(Iterations[[#This Row],[Step]] &gt; current_step, "",Iterations[[#This Row],[Total Loss]]))</f>
        <v/>
      </c>
      <c r="M1140" s="6" t="s">
        <v>27</v>
      </c>
      <c r="N1140" s="2" t="str">
        <f>IF(Iterations[[#This Row],[Step]] =current_step, current_Grad_a,IF(Iterations[[#This Row],[Step]] &gt; current_step, "",Iterations[[#This Row],[Grad_a]]))</f>
        <v/>
      </c>
      <c r="O1140" s="2" t="str">
        <f>IF(Iterations[[#This Row],[Step]] =current_step, current_Grad_b,IF(Iterations[[#This Row],[Step]] &gt; current_step, "",Iterations[[#This Row],[Grad_b]]))</f>
        <v/>
      </c>
      <c r="P1140" s="2" t="str">
        <f>IF(Iterations[[#This Row],[Step]] =current_step, current_Grad_c,IF(Iterations[[#This Row],[Step]] &gt; current_step, "",Iterations[[#This Row],[Grad_c]]))</f>
        <v/>
      </c>
      <c r="Q1140" s="2" t="str">
        <f>IF(Iterations[[#This Row],[Step]] =current_step, current_Grad_d,IF(Iterations[[#This Row],[Step]] &gt; current_step, "",Iterations[[#This Row],[Grad_d]]))</f>
        <v/>
      </c>
      <c r="R1140" s="2" t="str">
        <f>IF(Iterations[[#This Row],[Step]] =current_step, current_Grad_e,IF(Iterations[[#This Row],[Step]] &gt; current_step, "",Iterations[[#This Row],[Grad_e]]))</f>
        <v/>
      </c>
    </row>
    <row r="1141" spans="6:18" x14ac:dyDescent="0.3">
      <c r="F1141" s="2">
        <f t="shared" si="22"/>
        <v>1124</v>
      </c>
      <c r="G1141" s="2" t="str">
        <f>IF(Iterations[[#This Row],[Step]] =current_step, current_a,IF(Iterations[[#This Row],[Step]] &gt; current_step, "",Iterations[[#This Row],[a]]))</f>
        <v/>
      </c>
      <c r="H1141" s="2" t="str">
        <f>IF(Iterations[[#This Row],[Step]] =current_step, current_b,IF(Iterations[[#This Row],[Step]] &gt; current_step, "",Iterations[[#This Row],[b]]))</f>
        <v/>
      </c>
      <c r="I1141" s="2" t="str">
        <f>IF(Iterations[[#This Row],[Step]] =current_step, current_c,IF(Iterations[[#This Row],[Step]] &gt; current_step, "",Iterations[[#This Row],[c]]))</f>
        <v/>
      </c>
      <c r="J1141" s="2" t="str">
        <f>IF(Iterations[[#This Row],[Step]] =current_step, current_d,IF(Iterations[[#This Row],[Step]] &gt; current_step, "",Iterations[[#This Row],[d]]))</f>
        <v/>
      </c>
      <c r="K1141" s="2" t="str">
        <f>IF(Iterations[[#This Row],[Step]] =current_step, current_e,IF(Iterations[[#This Row],[Step]] &gt; current_step, "",Iterations[[#This Row],[e]]))</f>
        <v/>
      </c>
      <c r="L1141" s="2" t="str">
        <f>IF(Iterations[[#This Row],[Step]] =current_step, current_Total_Loss,IF(Iterations[[#This Row],[Step]] &gt; current_step, "",Iterations[[#This Row],[Total Loss]]))</f>
        <v/>
      </c>
      <c r="M1141" s="6" t="s">
        <v>27</v>
      </c>
      <c r="N1141" s="2" t="str">
        <f>IF(Iterations[[#This Row],[Step]] =current_step, current_Grad_a,IF(Iterations[[#This Row],[Step]] &gt; current_step, "",Iterations[[#This Row],[Grad_a]]))</f>
        <v/>
      </c>
      <c r="O1141" s="2" t="str">
        <f>IF(Iterations[[#This Row],[Step]] =current_step, current_Grad_b,IF(Iterations[[#This Row],[Step]] &gt; current_step, "",Iterations[[#This Row],[Grad_b]]))</f>
        <v/>
      </c>
      <c r="P1141" s="2" t="str">
        <f>IF(Iterations[[#This Row],[Step]] =current_step, current_Grad_c,IF(Iterations[[#This Row],[Step]] &gt; current_step, "",Iterations[[#This Row],[Grad_c]]))</f>
        <v/>
      </c>
      <c r="Q1141" s="2" t="str">
        <f>IF(Iterations[[#This Row],[Step]] =current_step, current_Grad_d,IF(Iterations[[#This Row],[Step]] &gt; current_step, "",Iterations[[#This Row],[Grad_d]]))</f>
        <v/>
      </c>
      <c r="R1141" s="2" t="str">
        <f>IF(Iterations[[#This Row],[Step]] =current_step, current_Grad_e,IF(Iterations[[#This Row],[Step]] &gt; current_step, "",Iterations[[#This Row],[Grad_e]]))</f>
        <v/>
      </c>
    </row>
    <row r="1142" spans="6:18" x14ac:dyDescent="0.3">
      <c r="F1142" s="2">
        <f t="shared" si="22"/>
        <v>1125</v>
      </c>
      <c r="G1142" s="2" t="str">
        <f>IF(Iterations[[#This Row],[Step]] =current_step, current_a,IF(Iterations[[#This Row],[Step]] &gt; current_step, "",Iterations[[#This Row],[a]]))</f>
        <v/>
      </c>
      <c r="H1142" s="2" t="str">
        <f>IF(Iterations[[#This Row],[Step]] =current_step, current_b,IF(Iterations[[#This Row],[Step]] &gt; current_step, "",Iterations[[#This Row],[b]]))</f>
        <v/>
      </c>
      <c r="I1142" s="2" t="str">
        <f>IF(Iterations[[#This Row],[Step]] =current_step, current_c,IF(Iterations[[#This Row],[Step]] &gt; current_step, "",Iterations[[#This Row],[c]]))</f>
        <v/>
      </c>
      <c r="J1142" s="2" t="str">
        <f>IF(Iterations[[#This Row],[Step]] =current_step, current_d,IF(Iterations[[#This Row],[Step]] &gt; current_step, "",Iterations[[#This Row],[d]]))</f>
        <v/>
      </c>
      <c r="K1142" s="2" t="str">
        <f>IF(Iterations[[#This Row],[Step]] =current_step, current_e,IF(Iterations[[#This Row],[Step]] &gt; current_step, "",Iterations[[#This Row],[e]]))</f>
        <v/>
      </c>
      <c r="L1142" s="2" t="str">
        <f>IF(Iterations[[#This Row],[Step]] =current_step, current_Total_Loss,IF(Iterations[[#This Row],[Step]] &gt; current_step, "",Iterations[[#This Row],[Total Loss]]))</f>
        <v/>
      </c>
      <c r="M1142" s="6" t="s">
        <v>27</v>
      </c>
      <c r="N1142" s="2" t="str">
        <f>IF(Iterations[[#This Row],[Step]] =current_step, current_Grad_a,IF(Iterations[[#This Row],[Step]] &gt; current_step, "",Iterations[[#This Row],[Grad_a]]))</f>
        <v/>
      </c>
      <c r="O1142" s="2" t="str">
        <f>IF(Iterations[[#This Row],[Step]] =current_step, current_Grad_b,IF(Iterations[[#This Row],[Step]] &gt; current_step, "",Iterations[[#This Row],[Grad_b]]))</f>
        <v/>
      </c>
      <c r="P1142" s="2" t="str">
        <f>IF(Iterations[[#This Row],[Step]] =current_step, current_Grad_c,IF(Iterations[[#This Row],[Step]] &gt; current_step, "",Iterations[[#This Row],[Grad_c]]))</f>
        <v/>
      </c>
      <c r="Q1142" s="2" t="str">
        <f>IF(Iterations[[#This Row],[Step]] =current_step, current_Grad_d,IF(Iterations[[#This Row],[Step]] &gt; current_step, "",Iterations[[#This Row],[Grad_d]]))</f>
        <v/>
      </c>
      <c r="R1142" s="2" t="str">
        <f>IF(Iterations[[#This Row],[Step]] =current_step, current_Grad_e,IF(Iterations[[#This Row],[Step]] &gt; current_step, "",Iterations[[#This Row],[Grad_e]]))</f>
        <v/>
      </c>
    </row>
    <row r="1143" spans="6:18" x14ac:dyDescent="0.3">
      <c r="F1143" s="2">
        <f t="shared" si="22"/>
        <v>1126</v>
      </c>
      <c r="G1143" s="2" t="str">
        <f>IF(Iterations[[#This Row],[Step]] =current_step, current_a,IF(Iterations[[#This Row],[Step]] &gt; current_step, "",Iterations[[#This Row],[a]]))</f>
        <v/>
      </c>
      <c r="H1143" s="2" t="str">
        <f>IF(Iterations[[#This Row],[Step]] =current_step, current_b,IF(Iterations[[#This Row],[Step]] &gt; current_step, "",Iterations[[#This Row],[b]]))</f>
        <v/>
      </c>
      <c r="I1143" s="2" t="str">
        <f>IF(Iterations[[#This Row],[Step]] =current_step, current_c,IF(Iterations[[#This Row],[Step]] &gt; current_step, "",Iterations[[#This Row],[c]]))</f>
        <v/>
      </c>
      <c r="J1143" s="2" t="str">
        <f>IF(Iterations[[#This Row],[Step]] =current_step, current_d,IF(Iterations[[#This Row],[Step]] &gt; current_step, "",Iterations[[#This Row],[d]]))</f>
        <v/>
      </c>
      <c r="K1143" s="2" t="str">
        <f>IF(Iterations[[#This Row],[Step]] =current_step, current_e,IF(Iterations[[#This Row],[Step]] &gt; current_step, "",Iterations[[#This Row],[e]]))</f>
        <v/>
      </c>
      <c r="L1143" s="2" t="str">
        <f>IF(Iterations[[#This Row],[Step]] =current_step, current_Total_Loss,IF(Iterations[[#This Row],[Step]] &gt; current_step, "",Iterations[[#This Row],[Total Loss]]))</f>
        <v/>
      </c>
      <c r="M1143" s="6" t="s">
        <v>27</v>
      </c>
      <c r="N1143" s="2" t="str">
        <f>IF(Iterations[[#This Row],[Step]] =current_step, current_Grad_a,IF(Iterations[[#This Row],[Step]] &gt; current_step, "",Iterations[[#This Row],[Grad_a]]))</f>
        <v/>
      </c>
      <c r="O1143" s="2" t="str">
        <f>IF(Iterations[[#This Row],[Step]] =current_step, current_Grad_b,IF(Iterations[[#This Row],[Step]] &gt; current_step, "",Iterations[[#This Row],[Grad_b]]))</f>
        <v/>
      </c>
      <c r="P1143" s="2" t="str">
        <f>IF(Iterations[[#This Row],[Step]] =current_step, current_Grad_c,IF(Iterations[[#This Row],[Step]] &gt; current_step, "",Iterations[[#This Row],[Grad_c]]))</f>
        <v/>
      </c>
      <c r="Q1143" s="2" t="str">
        <f>IF(Iterations[[#This Row],[Step]] =current_step, current_Grad_d,IF(Iterations[[#This Row],[Step]] &gt; current_step, "",Iterations[[#This Row],[Grad_d]]))</f>
        <v/>
      </c>
      <c r="R1143" s="2" t="str">
        <f>IF(Iterations[[#This Row],[Step]] =current_step, current_Grad_e,IF(Iterations[[#This Row],[Step]] &gt; current_step, "",Iterations[[#This Row],[Grad_e]]))</f>
        <v/>
      </c>
    </row>
    <row r="1144" spans="6:18" x14ac:dyDescent="0.3">
      <c r="F1144" s="2">
        <f t="shared" ref="F1144:F1207" si="23">F1143+1</f>
        <v>1127</v>
      </c>
      <c r="G1144" s="2" t="str">
        <f>IF(Iterations[[#This Row],[Step]] =current_step, current_a,IF(Iterations[[#This Row],[Step]] &gt; current_step, "",Iterations[[#This Row],[a]]))</f>
        <v/>
      </c>
      <c r="H1144" s="2" t="str">
        <f>IF(Iterations[[#This Row],[Step]] =current_step, current_b,IF(Iterations[[#This Row],[Step]] &gt; current_step, "",Iterations[[#This Row],[b]]))</f>
        <v/>
      </c>
      <c r="I1144" s="2" t="str">
        <f>IF(Iterations[[#This Row],[Step]] =current_step, current_c,IF(Iterations[[#This Row],[Step]] &gt; current_step, "",Iterations[[#This Row],[c]]))</f>
        <v/>
      </c>
      <c r="J1144" s="2" t="str">
        <f>IF(Iterations[[#This Row],[Step]] =current_step, current_d,IF(Iterations[[#This Row],[Step]] &gt; current_step, "",Iterations[[#This Row],[d]]))</f>
        <v/>
      </c>
      <c r="K1144" s="2" t="str">
        <f>IF(Iterations[[#This Row],[Step]] =current_step, current_e,IF(Iterations[[#This Row],[Step]] &gt; current_step, "",Iterations[[#This Row],[e]]))</f>
        <v/>
      </c>
      <c r="L1144" s="2" t="str">
        <f>IF(Iterations[[#This Row],[Step]] =current_step, current_Total_Loss,IF(Iterations[[#This Row],[Step]] &gt; current_step, "",Iterations[[#This Row],[Total Loss]]))</f>
        <v/>
      </c>
      <c r="M1144" s="6" t="s">
        <v>27</v>
      </c>
      <c r="N1144" s="2" t="str">
        <f>IF(Iterations[[#This Row],[Step]] =current_step, current_Grad_a,IF(Iterations[[#This Row],[Step]] &gt; current_step, "",Iterations[[#This Row],[Grad_a]]))</f>
        <v/>
      </c>
      <c r="O1144" s="2" t="str">
        <f>IF(Iterations[[#This Row],[Step]] =current_step, current_Grad_b,IF(Iterations[[#This Row],[Step]] &gt; current_step, "",Iterations[[#This Row],[Grad_b]]))</f>
        <v/>
      </c>
      <c r="P1144" s="2" t="str">
        <f>IF(Iterations[[#This Row],[Step]] =current_step, current_Grad_c,IF(Iterations[[#This Row],[Step]] &gt; current_step, "",Iterations[[#This Row],[Grad_c]]))</f>
        <v/>
      </c>
      <c r="Q1144" s="2" t="str">
        <f>IF(Iterations[[#This Row],[Step]] =current_step, current_Grad_d,IF(Iterations[[#This Row],[Step]] &gt; current_step, "",Iterations[[#This Row],[Grad_d]]))</f>
        <v/>
      </c>
      <c r="R1144" s="2" t="str">
        <f>IF(Iterations[[#This Row],[Step]] =current_step, current_Grad_e,IF(Iterations[[#This Row],[Step]] &gt; current_step, "",Iterations[[#This Row],[Grad_e]]))</f>
        <v/>
      </c>
    </row>
    <row r="1145" spans="6:18" x14ac:dyDescent="0.3">
      <c r="F1145" s="2">
        <f t="shared" si="23"/>
        <v>1128</v>
      </c>
      <c r="G1145" s="2" t="str">
        <f>IF(Iterations[[#This Row],[Step]] =current_step, current_a,IF(Iterations[[#This Row],[Step]] &gt; current_step, "",Iterations[[#This Row],[a]]))</f>
        <v/>
      </c>
      <c r="H1145" s="2" t="str">
        <f>IF(Iterations[[#This Row],[Step]] =current_step, current_b,IF(Iterations[[#This Row],[Step]] &gt; current_step, "",Iterations[[#This Row],[b]]))</f>
        <v/>
      </c>
      <c r="I1145" s="2" t="str">
        <f>IF(Iterations[[#This Row],[Step]] =current_step, current_c,IF(Iterations[[#This Row],[Step]] &gt; current_step, "",Iterations[[#This Row],[c]]))</f>
        <v/>
      </c>
      <c r="J1145" s="2" t="str">
        <f>IF(Iterations[[#This Row],[Step]] =current_step, current_d,IF(Iterations[[#This Row],[Step]] &gt; current_step, "",Iterations[[#This Row],[d]]))</f>
        <v/>
      </c>
      <c r="K1145" s="2" t="str">
        <f>IF(Iterations[[#This Row],[Step]] =current_step, current_e,IF(Iterations[[#This Row],[Step]] &gt; current_step, "",Iterations[[#This Row],[e]]))</f>
        <v/>
      </c>
      <c r="L1145" s="2" t="str">
        <f>IF(Iterations[[#This Row],[Step]] =current_step, current_Total_Loss,IF(Iterations[[#This Row],[Step]] &gt; current_step, "",Iterations[[#This Row],[Total Loss]]))</f>
        <v/>
      </c>
      <c r="M1145" s="6" t="s">
        <v>27</v>
      </c>
      <c r="N1145" s="2" t="str">
        <f>IF(Iterations[[#This Row],[Step]] =current_step, current_Grad_a,IF(Iterations[[#This Row],[Step]] &gt; current_step, "",Iterations[[#This Row],[Grad_a]]))</f>
        <v/>
      </c>
      <c r="O1145" s="2" t="str">
        <f>IF(Iterations[[#This Row],[Step]] =current_step, current_Grad_b,IF(Iterations[[#This Row],[Step]] &gt; current_step, "",Iterations[[#This Row],[Grad_b]]))</f>
        <v/>
      </c>
      <c r="P1145" s="2" t="str">
        <f>IF(Iterations[[#This Row],[Step]] =current_step, current_Grad_c,IF(Iterations[[#This Row],[Step]] &gt; current_step, "",Iterations[[#This Row],[Grad_c]]))</f>
        <v/>
      </c>
      <c r="Q1145" s="2" t="str">
        <f>IF(Iterations[[#This Row],[Step]] =current_step, current_Grad_d,IF(Iterations[[#This Row],[Step]] &gt; current_step, "",Iterations[[#This Row],[Grad_d]]))</f>
        <v/>
      </c>
      <c r="R1145" s="2" t="str">
        <f>IF(Iterations[[#This Row],[Step]] =current_step, current_Grad_e,IF(Iterations[[#This Row],[Step]] &gt; current_step, "",Iterations[[#This Row],[Grad_e]]))</f>
        <v/>
      </c>
    </row>
    <row r="1146" spans="6:18" x14ac:dyDescent="0.3">
      <c r="F1146" s="2">
        <f t="shared" si="23"/>
        <v>1129</v>
      </c>
      <c r="G1146" s="2" t="str">
        <f>IF(Iterations[[#This Row],[Step]] =current_step, current_a,IF(Iterations[[#This Row],[Step]] &gt; current_step, "",Iterations[[#This Row],[a]]))</f>
        <v/>
      </c>
      <c r="H1146" s="2" t="str">
        <f>IF(Iterations[[#This Row],[Step]] =current_step, current_b,IF(Iterations[[#This Row],[Step]] &gt; current_step, "",Iterations[[#This Row],[b]]))</f>
        <v/>
      </c>
      <c r="I1146" s="2" t="str">
        <f>IF(Iterations[[#This Row],[Step]] =current_step, current_c,IF(Iterations[[#This Row],[Step]] &gt; current_step, "",Iterations[[#This Row],[c]]))</f>
        <v/>
      </c>
      <c r="J1146" s="2" t="str">
        <f>IF(Iterations[[#This Row],[Step]] =current_step, current_d,IF(Iterations[[#This Row],[Step]] &gt; current_step, "",Iterations[[#This Row],[d]]))</f>
        <v/>
      </c>
      <c r="K1146" s="2" t="str">
        <f>IF(Iterations[[#This Row],[Step]] =current_step, current_e,IF(Iterations[[#This Row],[Step]] &gt; current_step, "",Iterations[[#This Row],[e]]))</f>
        <v/>
      </c>
      <c r="L1146" s="2" t="str">
        <f>IF(Iterations[[#This Row],[Step]] =current_step, current_Total_Loss,IF(Iterations[[#This Row],[Step]] &gt; current_step, "",Iterations[[#This Row],[Total Loss]]))</f>
        <v/>
      </c>
      <c r="M1146" s="6" t="s">
        <v>27</v>
      </c>
      <c r="N1146" s="2" t="str">
        <f>IF(Iterations[[#This Row],[Step]] =current_step, current_Grad_a,IF(Iterations[[#This Row],[Step]] &gt; current_step, "",Iterations[[#This Row],[Grad_a]]))</f>
        <v/>
      </c>
      <c r="O1146" s="2" t="str">
        <f>IF(Iterations[[#This Row],[Step]] =current_step, current_Grad_b,IF(Iterations[[#This Row],[Step]] &gt; current_step, "",Iterations[[#This Row],[Grad_b]]))</f>
        <v/>
      </c>
      <c r="P1146" s="2" t="str">
        <f>IF(Iterations[[#This Row],[Step]] =current_step, current_Grad_c,IF(Iterations[[#This Row],[Step]] &gt; current_step, "",Iterations[[#This Row],[Grad_c]]))</f>
        <v/>
      </c>
      <c r="Q1146" s="2" t="str">
        <f>IF(Iterations[[#This Row],[Step]] =current_step, current_Grad_d,IF(Iterations[[#This Row],[Step]] &gt; current_step, "",Iterations[[#This Row],[Grad_d]]))</f>
        <v/>
      </c>
      <c r="R1146" s="2" t="str">
        <f>IF(Iterations[[#This Row],[Step]] =current_step, current_Grad_e,IF(Iterations[[#This Row],[Step]] &gt; current_step, "",Iterations[[#This Row],[Grad_e]]))</f>
        <v/>
      </c>
    </row>
    <row r="1147" spans="6:18" x14ac:dyDescent="0.3">
      <c r="F1147" s="2">
        <f t="shared" si="23"/>
        <v>1130</v>
      </c>
      <c r="G1147" s="2" t="str">
        <f>IF(Iterations[[#This Row],[Step]] =current_step, current_a,IF(Iterations[[#This Row],[Step]] &gt; current_step, "",Iterations[[#This Row],[a]]))</f>
        <v/>
      </c>
      <c r="H1147" s="2" t="str">
        <f>IF(Iterations[[#This Row],[Step]] =current_step, current_b,IF(Iterations[[#This Row],[Step]] &gt; current_step, "",Iterations[[#This Row],[b]]))</f>
        <v/>
      </c>
      <c r="I1147" s="2" t="str">
        <f>IF(Iterations[[#This Row],[Step]] =current_step, current_c,IF(Iterations[[#This Row],[Step]] &gt; current_step, "",Iterations[[#This Row],[c]]))</f>
        <v/>
      </c>
      <c r="J1147" s="2" t="str">
        <f>IF(Iterations[[#This Row],[Step]] =current_step, current_d,IF(Iterations[[#This Row],[Step]] &gt; current_step, "",Iterations[[#This Row],[d]]))</f>
        <v/>
      </c>
      <c r="K1147" s="2" t="str">
        <f>IF(Iterations[[#This Row],[Step]] =current_step, current_e,IF(Iterations[[#This Row],[Step]] &gt; current_step, "",Iterations[[#This Row],[e]]))</f>
        <v/>
      </c>
      <c r="L1147" s="2" t="str">
        <f>IF(Iterations[[#This Row],[Step]] =current_step, current_Total_Loss,IF(Iterations[[#This Row],[Step]] &gt; current_step, "",Iterations[[#This Row],[Total Loss]]))</f>
        <v/>
      </c>
      <c r="M1147" s="6" t="s">
        <v>27</v>
      </c>
      <c r="N1147" s="2" t="str">
        <f>IF(Iterations[[#This Row],[Step]] =current_step, current_Grad_a,IF(Iterations[[#This Row],[Step]] &gt; current_step, "",Iterations[[#This Row],[Grad_a]]))</f>
        <v/>
      </c>
      <c r="O1147" s="2" t="str">
        <f>IF(Iterations[[#This Row],[Step]] =current_step, current_Grad_b,IF(Iterations[[#This Row],[Step]] &gt; current_step, "",Iterations[[#This Row],[Grad_b]]))</f>
        <v/>
      </c>
      <c r="P1147" s="2" t="str">
        <f>IF(Iterations[[#This Row],[Step]] =current_step, current_Grad_c,IF(Iterations[[#This Row],[Step]] &gt; current_step, "",Iterations[[#This Row],[Grad_c]]))</f>
        <v/>
      </c>
      <c r="Q1147" s="2" t="str">
        <f>IF(Iterations[[#This Row],[Step]] =current_step, current_Grad_d,IF(Iterations[[#This Row],[Step]] &gt; current_step, "",Iterations[[#This Row],[Grad_d]]))</f>
        <v/>
      </c>
      <c r="R1147" s="2" t="str">
        <f>IF(Iterations[[#This Row],[Step]] =current_step, current_Grad_e,IF(Iterations[[#This Row],[Step]] &gt; current_step, "",Iterations[[#This Row],[Grad_e]]))</f>
        <v/>
      </c>
    </row>
    <row r="1148" spans="6:18" x14ac:dyDescent="0.3">
      <c r="F1148" s="2">
        <f t="shared" si="23"/>
        <v>1131</v>
      </c>
      <c r="G1148" s="2" t="str">
        <f>IF(Iterations[[#This Row],[Step]] =current_step, current_a,IF(Iterations[[#This Row],[Step]] &gt; current_step, "",Iterations[[#This Row],[a]]))</f>
        <v/>
      </c>
      <c r="H1148" s="2" t="str">
        <f>IF(Iterations[[#This Row],[Step]] =current_step, current_b,IF(Iterations[[#This Row],[Step]] &gt; current_step, "",Iterations[[#This Row],[b]]))</f>
        <v/>
      </c>
      <c r="I1148" s="2" t="str">
        <f>IF(Iterations[[#This Row],[Step]] =current_step, current_c,IF(Iterations[[#This Row],[Step]] &gt; current_step, "",Iterations[[#This Row],[c]]))</f>
        <v/>
      </c>
      <c r="J1148" s="2" t="str">
        <f>IF(Iterations[[#This Row],[Step]] =current_step, current_d,IF(Iterations[[#This Row],[Step]] &gt; current_step, "",Iterations[[#This Row],[d]]))</f>
        <v/>
      </c>
      <c r="K1148" s="2" t="str">
        <f>IF(Iterations[[#This Row],[Step]] =current_step, current_e,IF(Iterations[[#This Row],[Step]] &gt; current_step, "",Iterations[[#This Row],[e]]))</f>
        <v/>
      </c>
      <c r="L1148" s="2" t="str">
        <f>IF(Iterations[[#This Row],[Step]] =current_step, current_Total_Loss,IF(Iterations[[#This Row],[Step]] &gt; current_step, "",Iterations[[#This Row],[Total Loss]]))</f>
        <v/>
      </c>
      <c r="M1148" s="6" t="s">
        <v>27</v>
      </c>
      <c r="N1148" s="2" t="str">
        <f>IF(Iterations[[#This Row],[Step]] =current_step, current_Grad_a,IF(Iterations[[#This Row],[Step]] &gt; current_step, "",Iterations[[#This Row],[Grad_a]]))</f>
        <v/>
      </c>
      <c r="O1148" s="2" t="str">
        <f>IF(Iterations[[#This Row],[Step]] =current_step, current_Grad_b,IF(Iterations[[#This Row],[Step]] &gt; current_step, "",Iterations[[#This Row],[Grad_b]]))</f>
        <v/>
      </c>
      <c r="P1148" s="2" t="str">
        <f>IF(Iterations[[#This Row],[Step]] =current_step, current_Grad_c,IF(Iterations[[#This Row],[Step]] &gt; current_step, "",Iterations[[#This Row],[Grad_c]]))</f>
        <v/>
      </c>
      <c r="Q1148" s="2" t="str">
        <f>IF(Iterations[[#This Row],[Step]] =current_step, current_Grad_d,IF(Iterations[[#This Row],[Step]] &gt; current_step, "",Iterations[[#This Row],[Grad_d]]))</f>
        <v/>
      </c>
      <c r="R1148" s="2" t="str">
        <f>IF(Iterations[[#This Row],[Step]] =current_step, current_Grad_e,IF(Iterations[[#This Row],[Step]] &gt; current_step, "",Iterations[[#This Row],[Grad_e]]))</f>
        <v/>
      </c>
    </row>
    <row r="1149" spans="6:18" x14ac:dyDescent="0.3">
      <c r="F1149" s="2">
        <f t="shared" si="23"/>
        <v>1132</v>
      </c>
      <c r="G1149" s="2" t="str">
        <f>IF(Iterations[[#This Row],[Step]] =current_step, current_a,IF(Iterations[[#This Row],[Step]] &gt; current_step, "",Iterations[[#This Row],[a]]))</f>
        <v/>
      </c>
      <c r="H1149" s="2" t="str">
        <f>IF(Iterations[[#This Row],[Step]] =current_step, current_b,IF(Iterations[[#This Row],[Step]] &gt; current_step, "",Iterations[[#This Row],[b]]))</f>
        <v/>
      </c>
      <c r="I1149" s="2" t="str">
        <f>IF(Iterations[[#This Row],[Step]] =current_step, current_c,IF(Iterations[[#This Row],[Step]] &gt; current_step, "",Iterations[[#This Row],[c]]))</f>
        <v/>
      </c>
      <c r="J1149" s="2" t="str">
        <f>IF(Iterations[[#This Row],[Step]] =current_step, current_d,IF(Iterations[[#This Row],[Step]] &gt; current_step, "",Iterations[[#This Row],[d]]))</f>
        <v/>
      </c>
      <c r="K1149" s="2" t="str">
        <f>IF(Iterations[[#This Row],[Step]] =current_step, current_e,IF(Iterations[[#This Row],[Step]] &gt; current_step, "",Iterations[[#This Row],[e]]))</f>
        <v/>
      </c>
      <c r="L1149" s="2" t="str">
        <f>IF(Iterations[[#This Row],[Step]] =current_step, current_Total_Loss,IF(Iterations[[#This Row],[Step]] &gt; current_step, "",Iterations[[#This Row],[Total Loss]]))</f>
        <v/>
      </c>
      <c r="M1149" s="6" t="s">
        <v>27</v>
      </c>
      <c r="N1149" s="2" t="str">
        <f>IF(Iterations[[#This Row],[Step]] =current_step, current_Grad_a,IF(Iterations[[#This Row],[Step]] &gt; current_step, "",Iterations[[#This Row],[Grad_a]]))</f>
        <v/>
      </c>
      <c r="O1149" s="2" t="str">
        <f>IF(Iterations[[#This Row],[Step]] =current_step, current_Grad_b,IF(Iterations[[#This Row],[Step]] &gt; current_step, "",Iterations[[#This Row],[Grad_b]]))</f>
        <v/>
      </c>
      <c r="P1149" s="2" t="str">
        <f>IF(Iterations[[#This Row],[Step]] =current_step, current_Grad_c,IF(Iterations[[#This Row],[Step]] &gt; current_step, "",Iterations[[#This Row],[Grad_c]]))</f>
        <v/>
      </c>
      <c r="Q1149" s="2" t="str">
        <f>IF(Iterations[[#This Row],[Step]] =current_step, current_Grad_d,IF(Iterations[[#This Row],[Step]] &gt; current_step, "",Iterations[[#This Row],[Grad_d]]))</f>
        <v/>
      </c>
      <c r="R1149" s="2" t="str">
        <f>IF(Iterations[[#This Row],[Step]] =current_step, current_Grad_e,IF(Iterations[[#This Row],[Step]] &gt; current_step, "",Iterations[[#This Row],[Grad_e]]))</f>
        <v/>
      </c>
    </row>
    <row r="1150" spans="6:18" x14ac:dyDescent="0.3">
      <c r="F1150" s="2">
        <f t="shared" si="23"/>
        <v>1133</v>
      </c>
      <c r="G1150" s="2" t="str">
        <f>IF(Iterations[[#This Row],[Step]] =current_step, current_a,IF(Iterations[[#This Row],[Step]] &gt; current_step, "",Iterations[[#This Row],[a]]))</f>
        <v/>
      </c>
      <c r="H1150" s="2" t="str">
        <f>IF(Iterations[[#This Row],[Step]] =current_step, current_b,IF(Iterations[[#This Row],[Step]] &gt; current_step, "",Iterations[[#This Row],[b]]))</f>
        <v/>
      </c>
      <c r="I1150" s="2" t="str">
        <f>IF(Iterations[[#This Row],[Step]] =current_step, current_c,IF(Iterations[[#This Row],[Step]] &gt; current_step, "",Iterations[[#This Row],[c]]))</f>
        <v/>
      </c>
      <c r="J1150" s="2" t="str">
        <f>IF(Iterations[[#This Row],[Step]] =current_step, current_d,IF(Iterations[[#This Row],[Step]] &gt; current_step, "",Iterations[[#This Row],[d]]))</f>
        <v/>
      </c>
      <c r="K1150" s="2" t="str">
        <f>IF(Iterations[[#This Row],[Step]] =current_step, current_e,IF(Iterations[[#This Row],[Step]] &gt; current_step, "",Iterations[[#This Row],[e]]))</f>
        <v/>
      </c>
      <c r="L1150" s="2" t="str">
        <f>IF(Iterations[[#This Row],[Step]] =current_step, current_Total_Loss,IF(Iterations[[#This Row],[Step]] &gt; current_step, "",Iterations[[#This Row],[Total Loss]]))</f>
        <v/>
      </c>
      <c r="M1150" s="6" t="s">
        <v>27</v>
      </c>
      <c r="N1150" s="2" t="str">
        <f>IF(Iterations[[#This Row],[Step]] =current_step, current_Grad_a,IF(Iterations[[#This Row],[Step]] &gt; current_step, "",Iterations[[#This Row],[Grad_a]]))</f>
        <v/>
      </c>
      <c r="O1150" s="2" t="str">
        <f>IF(Iterations[[#This Row],[Step]] =current_step, current_Grad_b,IF(Iterations[[#This Row],[Step]] &gt; current_step, "",Iterations[[#This Row],[Grad_b]]))</f>
        <v/>
      </c>
      <c r="P1150" s="2" t="str">
        <f>IF(Iterations[[#This Row],[Step]] =current_step, current_Grad_c,IF(Iterations[[#This Row],[Step]] &gt; current_step, "",Iterations[[#This Row],[Grad_c]]))</f>
        <v/>
      </c>
      <c r="Q1150" s="2" t="str">
        <f>IF(Iterations[[#This Row],[Step]] =current_step, current_Grad_d,IF(Iterations[[#This Row],[Step]] &gt; current_step, "",Iterations[[#This Row],[Grad_d]]))</f>
        <v/>
      </c>
      <c r="R1150" s="2" t="str">
        <f>IF(Iterations[[#This Row],[Step]] =current_step, current_Grad_e,IF(Iterations[[#This Row],[Step]] &gt; current_step, "",Iterations[[#This Row],[Grad_e]]))</f>
        <v/>
      </c>
    </row>
    <row r="1151" spans="6:18" x14ac:dyDescent="0.3">
      <c r="F1151" s="2">
        <f t="shared" si="23"/>
        <v>1134</v>
      </c>
      <c r="G1151" s="2" t="str">
        <f>IF(Iterations[[#This Row],[Step]] =current_step, current_a,IF(Iterations[[#This Row],[Step]] &gt; current_step, "",Iterations[[#This Row],[a]]))</f>
        <v/>
      </c>
      <c r="H1151" s="2" t="str">
        <f>IF(Iterations[[#This Row],[Step]] =current_step, current_b,IF(Iterations[[#This Row],[Step]] &gt; current_step, "",Iterations[[#This Row],[b]]))</f>
        <v/>
      </c>
      <c r="I1151" s="2" t="str">
        <f>IF(Iterations[[#This Row],[Step]] =current_step, current_c,IF(Iterations[[#This Row],[Step]] &gt; current_step, "",Iterations[[#This Row],[c]]))</f>
        <v/>
      </c>
      <c r="J1151" s="2" t="str">
        <f>IF(Iterations[[#This Row],[Step]] =current_step, current_d,IF(Iterations[[#This Row],[Step]] &gt; current_step, "",Iterations[[#This Row],[d]]))</f>
        <v/>
      </c>
      <c r="K1151" s="2" t="str">
        <f>IF(Iterations[[#This Row],[Step]] =current_step, current_e,IF(Iterations[[#This Row],[Step]] &gt; current_step, "",Iterations[[#This Row],[e]]))</f>
        <v/>
      </c>
      <c r="L1151" s="2" t="str">
        <f>IF(Iterations[[#This Row],[Step]] =current_step, current_Total_Loss,IF(Iterations[[#This Row],[Step]] &gt; current_step, "",Iterations[[#This Row],[Total Loss]]))</f>
        <v/>
      </c>
      <c r="M1151" s="6" t="s">
        <v>27</v>
      </c>
      <c r="N1151" s="2" t="str">
        <f>IF(Iterations[[#This Row],[Step]] =current_step, current_Grad_a,IF(Iterations[[#This Row],[Step]] &gt; current_step, "",Iterations[[#This Row],[Grad_a]]))</f>
        <v/>
      </c>
      <c r="O1151" s="2" t="str">
        <f>IF(Iterations[[#This Row],[Step]] =current_step, current_Grad_b,IF(Iterations[[#This Row],[Step]] &gt; current_step, "",Iterations[[#This Row],[Grad_b]]))</f>
        <v/>
      </c>
      <c r="P1151" s="2" t="str">
        <f>IF(Iterations[[#This Row],[Step]] =current_step, current_Grad_c,IF(Iterations[[#This Row],[Step]] &gt; current_step, "",Iterations[[#This Row],[Grad_c]]))</f>
        <v/>
      </c>
      <c r="Q1151" s="2" t="str">
        <f>IF(Iterations[[#This Row],[Step]] =current_step, current_Grad_d,IF(Iterations[[#This Row],[Step]] &gt; current_step, "",Iterations[[#This Row],[Grad_d]]))</f>
        <v/>
      </c>
      <c r="R1151" s="2" t="str">
        <f>IF(Iterations[[#This Row],[Step]] =current_step, current_Grad_e,IF(Iterations[[#This Row],[Step]] &gt; current_step, "",Iterations[[#This Row],[Grad_e]]))</f>
        <v/>
      </c>
    </row>
    <row r="1152" spans="6:18" x14ac:dyDescent="0.3">
      <c r="F1152" s="2">
        <f t="shared" si="23"/>
        <v>1135</v>
      </c>
      <c r="G1152" s="2" t="str">
        <f>IF(Iterations[[#This Row],[Step]] =current_step, current_a,IF(Iterations[[#This Row],[Step]] &gt; current_step, "",Iterations[[#This Row],[a]]))</f>
        <v/>
      </c>
      <c r="H1152" s="2" t="str">
        <f>IF(Iterations[[#This Row],[Step]] =current_step, current_b,IF(Iterations[[#This Row],[Step]] &gt; current_step, "",Iterations[[#This Row],[b]]))</f>
        <v/>
      </c>
      <c r="I1152" s="2" t="str">
        <f>IF(Iterations[[#This Row],[Step]] =current_step, current_c,IF(Iterations[[#This Row],[Step]] &gt; current_step, "",Iterations[[#This Row],[c]]))</f>
        <v/>
      </c>
      <c r="J1152" s="2" t="str">
        <f>IF(Iterations[[#This Row],[Step]] =current_step, current_d,IF(Iterations[[#This Row],[Step]] &gt; current_step, "",Iterations[[#This Row],[d]]))</f>
        <v/>
      </c>
      <c r="K1152" s="2" t="str">
        <f>IF(Iterations[[#This Row],[Step]] =current_step, current_e,IF(Iterations[[#This Row],[Step]] &gt; current_step, "",Iterations[[#This Row],[e]]))</f>
        <v/>
      </c>
      <c r="L1152" s="2" t="str">
        <f>IF(Iterations[[#This Row],[Step]] =current_step, current_Total_Loss,IF(Iterations[[#This Row],[Step]] &gt; current_step, "",Iterations[[#This Row],[Total Loss]]))</f>
        <v/>
      </c>
      <c r="M1152" s="6" t="s">
        <v>27</v>
      </c>
      <c r="N1152" s="2" t="str">
        <f>IF(Iterations[[#This Row],[Step]] =current_step, current_Grad_a,IF(Iterations[[#This Row],[Step]] &gt; current_step, "",Iterations[[#This Row],[Grad_a]]))</f>
        <v/>
      </c>
      <c r="O1152" s="2" t="str">
        <f>IF(Iterations[[#This Row],[Step]] =current_step, current_Grad_b,IF(Iterations[[#This Row],[Step]] &gt; current_step, "",Iterations[[#This Row],[Grad_b]]))</f>
        <v/>
      </c>
      <c r="P1152" s="2" t="str">
        <f>IF(Iterations[[#This Row],[Step]] =current_step, current_Grad_c,IF(Iterations[[#This Row],[Step]] &gt; current_step, "",Iterations[[#This Row],[Grad_c]]))</f>
        <v/>
      </c>
      <c r="Q1152" s="2" t="str">
        <f>IF(Iterations[[#This Row],[Step]] =current_step, current_Grad_d,IF(Iterations[[#This Row],[Step]] &gt; current_step, "",Iterations[[#This Row],[Grad_d]]))</f>
        <v/>
      </c>
      <c r="R1152" s="2" t="str">
        <f>IF(Iterations[[#This Row],[Step]] =current_step, current_Grad_e,IF(Iterations[[#This Row],[Step]] &gt; current_step, "",Iterations[[#This Row],[Grad_e]]))</f>
        <v/>
      </c>
    </row>
    <row r="1153" spans="6:18" x14ac:dyDescent="0.3">
      <c r="F1153" s="2">
        <f t="shared" si="23"/>
        <v>1136</v>
      </c>
      <c r="G1153" s="2" t="str">
        <f>IF(Iterations[[#This Row],[Step]] =current_step, current_a,IF(Iterations[[#This Row],[Step]] &gt; current_step, "",Iterations[[#This Row],[a]]))</f>
        <v/>
      </c>
      <c r="H1153" s="2" t="str">
        <f>IF(Iterations[[#This Row],[Step]] =current_step, current_b,IF(Iterations[[#This Row],[Step]] &gt; current_step, "",Iterations[[#This Row],[b]]))</f>
        <v/>
      </c>
      <c r="I1153" s="2" t="str">
        <f>IF(Iterations[[#This Row],[Step]] =current_step, current_c,IF(Iterations[[#This Row],[Step]] &gt; current_step, "",Iterations[[#This Row],[c]]))</f>
        <v/>
      </c>
      <c r="J1153" s="2" t="str">
        <f>IF(Iterations[[#This Row],[Step]] =current_step, current_d,IF(Iterations[[#This Row],[Step]] &gt; current_step, "",Iterations[[#This Row],[d]]))</f>
        <v/>
      </c>
      <c r="K1153" s="2" t="str">
        <f>IF(Iterations[[#This Row],[Step]] =current_step, current_e,IF(Iterations[[#This Row],[Step]] &gt; current_step, "",Iterations[[#This Row],[e]]))</f>
        <v/>
      </c>
      <c r="L1153" s="2" t="str">
        <f>IF(Iterations[[#This Row],[Step]] =current_step, current_Total_Loss,IF(Iterations[[#This Row],[Step]] &gt; current_step, "",Iterations[[#This Row],[Total Loss]]))</f>
        <v/>
      </c>
      <c r="M1153" s="6" t="s">
        <v>27</v>
      </c>
      <c r="N1153" s="2" t="str">
        <f>IF(Iterations[[#This Row],[Step]] =current_step, current_Grad_a,IF(Iterations[[#This Row],[Step]] &gt; current_step, "",Iterations[[#This Row],[Grad_a]]))</f>
        <v/>
      </c>
      <c r="O1153" s="2" t="str">
        <f>IF(Iterations[[#This Row],[Step]] =current_step, current_Grad_b,IF(Iterations[[#This Row],[Step]] &gt; current_step, "",Iterations[[#This Row],[Grad_b]]))</f>
        <v/>
      </c>
      <c r="P1153" s="2" t="str">
        <f>IF(Iterations[[#This Row],[Step]] =current_step, current_Grad_c,IF(Iterations[[#This Row],[Step]] &gt; current_step, "",Iterations[[#This Row],[Grad_c]]))</f>
        <v/>
      </c>
      <c r="Q1153" s="2" t="str">
        <f>IF(Iterations[[#This Row],[Step]] =current_step, current_Grad_d,IF(Iterations[[#This Row],[Step]] &gt; current_step, "",Iterations[[#This Row],[Grad_d]]))</f>
        <v/>
      </c>
      <c r="R1153" s="2" t="str">
        <f>IF(Iterations[[#This Row],[Step]] =current_step, current_Grad_e,IF(Iterations[[#This Row],[Step]] &gt; current_step, "",Iterations[[#This Row],[Grad_e]]))</f>
        <v/>
      </c>
    </row>
    <row r="1154" spans="6:18" x14ac:dyDescent="0.3">
      <c r="F1154" s="2">
        <f t="shared" si="23"/>
        <v>1137</v>
      </c>
      <c r="G1154" s="2" t="str">
        <f>IF(Iterations[[#This Row],[Step]] =current_step, current_a,IF(Iterations[[#This Row],[Step]] &gt; current_step, "",Iterations[[#This Row],[a]]))</f>
        <v/>
      </c>
      <c r="H1154" s="2" t="str">
        <f>IF(Iterations[[#This Row],[Step]] =current_step, current_b,IF(Iterations[[#This Row],[Step]] &gt; current_step, "",Iterations[[#This Row],[b]]))</f>
        <v/>
      </c>
      <c r="I1154" s="2" t="str">
        <f>IF(Iterations[[#This Row],[Step]] =current_step, current_c,IF(Iterations[[#This Row],[Step]] &gt; current_step, "",Iterations[[#This Row],[c]]))</f>
        <v/>
      </c>
      <c r="J1154" s="2" t="str">
        <f>IF(Iterations[[#This Row],[Step]] =current_step, current_d,IF(Iterations[[#This Row],[Step]] &gt; current_step, "",Iterations[[#This Row],[d]]))</f>
        <v/>
      </c>
      <c r="K1154" s="2" t="str">
        <f>IF(Iterations[[#This Row],[Step]] =current_step, current_e,IF(Iterations[[#This Row],[Step]] &gt; current_step, "",Iterations[[#This Row],[e]]))</f>
        <v/>
      </c>
      <c r="L1154" s="2" t="str">
        <f>IF(Iterations[[#This Row],[Step]] =current_step, current_Total_Loss,IF(Iterations[[#This Row],[Step]] &gt; current_step, "",Iterations[[#This Row],[Total Loss]]))</f>
        <v/>
      </c>
      <c r="M1154" s="6" t="s">
        <v>27</v>
      </c>
      <c r="N1154" s="2" t="str">
        <f>IF(Iterations[[#This Row],[Step]] =current_step, current_Grad_a,IF(Iterations[[#This Row],[Step]] &gt; current_step, "",Iterations[[#This Row],[Grad_a]]))</f>
        <v/>
      </c>
      <c r="O1154" s="2" t="str">
        <f>IF(Iterations[[#This Row],[Step]] =current_step, current_Grad_b,IF(Iterations[[#This Row],[Step]] &gt; current_step, "",Iterations[[#This Row],[Grad_b]]))</f>
        <v/>
      </c>
      <c r="P1154" s="2" t="str">
        <f>IF(Iterations[[#This Row],[Step]] =current_step, current_Grad_c,IF(Iterations[[#This Row],[Step]] &gt; current_step, "",Iterations[[#This Row],[Grad_c]]))</f>
        <v/>
      </c>
      <c r="Q1154" s="2" t="str">
        <f>IF(Iterations[[#This Row],[Step]] =current_step, current_Grad_d,IF(Iterations[[#This Row],[Step]] &gt; current_step, "",Iterations[[#This Row],[Grad_d]]))</f>
        <v/>
      </c>
      <c r="R1154" s="2" t="str">
        <f>IF(Iterations[[#This Row],[Step]] =current_step, current_Grad_e,IF(Iterations[[#This Row],[Step]] &gt; current_step, "",Iterations[[#This Row],[Grad_e]]))</f>
        <v/>
      </c>
    </row>
    <row r="1155" spans="6:18" x14ac:dyDescent="0.3">
      <c r="F1155" s="2">
        <f t="shared" si="23"/>
        <v>1138</v>
      </c>
      <c r="G1155" s="2" t="str">
        <f>IF(Iterations[[#This Row],[Step]] =current_step, current_a,IF(Iterations[[#This Row],[Step]] &gt; current_step, "",Iterations[[#This Row],[a]]))</f>
        <v/>
      </c>
      <c r="H1155" s="2" t="str">
        <f>IF(Iterations[[#This Row],[Step]] =current_step, current_b,IF(Iterations[[#This Row],[Step]] &gt; current_step, "",Iterations[[#This Row],[b]]))</f>
        <v/>
      </c>
      <c r="I1155" s="2" t="str">
        <f>IF(Iterations[[#This Row],[Step]] =current_step, current_c,IF(Iterations[[#This Row],[Step]] &gt; current_step, "",Iterations[[#This Row],[c]]))</f>
        <v/>
      </c>
      <c r="J1155" s="2" t="str">
        <f>IF(Iterations[[#This Row],[Step]] =current_step, current_d,IF(Iterations[[#This Row],[Step]] &gt; current_step, "",Iterations[[#This Row],[d]]))</f>
        <v/>
      </c>
      <c r="K1155" s="2" t="str">
        <f>IF(Iterations[[#This Row],[Step]] =current_step, current_e,IF(Iterations[[#This Row],[Step]] &gt; current_step, "",Iterations[[#This Row],[e]]))</f>
        <v/>
      </c>
      <c r="L1155" s="2" t="str">
        <f>IF(Iterations[[#This Row],[Step]] =current_step, current_Total_Loss,IF(Iterations[[#This Row],[Step]] &gt; current_step, "",Iterations[[#This Row],[Total Loss]]))</f>
        <v/>
      </c>
      <c r="M1155" s="6" t="s">
        <v>27</v>
      </c>
      <c r="N1155" s="2" t="str">
        <f>IF(Iterations[[#This Row],[Step]] =current_step, current_Grad_a,IF(Iterations[[#This Row],[Step]] &gt; current_step, "",Iterations[[#This Row],[Grad_a]]))</f>
        <v/>
      </c>
      <c r="O1155" s="2" t="str">
        <f>IF(Iterations[[#This Row],[Step]] =current_step, current_Grad_b,IF(Iterations[[#This Row],[Step]] &gt; current_step, "",Iterations[[#This Row],[Grad_b]]))</f>
        <v/>
      </c>
      <c r="P1155" s="2" t="str">
        <f>IF(Iterations[[#This Row],[Step]] =current_step, current_Grad_c,IF(Iterations[[#This Row],[Step]] &gt; current_step, "",Iterations[[#This Row],[Grad_c]]))</f>
        <v/>
      </c>
      <c r="Q1155" s="2" t="str">
        <f>IF(Iterations[[#This Row],[Step]] =current_step, current_Grad_d,IF(Iterations[[#This Row],[Step]] &gt; current_step, "",Iterations[[#This Row],[Grad_d]]))</f>
        <v/>
      </c>
      <c r="R1155" s="2" t="str">
        <f>IF(Iterations[[#This Row],[Step]] =current_step, current_Grad_e,IF(Iterations[[#This Row],[Step]] &gt; current_step, "",Iterations[[#This Row],[Grad_e]]))</f>
        <v/>
      </c>
    </row>
    <row r="1156" spans="6:18" x14ac:dyDescent="0.3">
      <c r="F1156" s="2">
        <f t="shared" si="23"/>
        <v>1139</v>
      </c>
      <c r="G1156" s="2" t="str">
        <f>IF(Iterations[[#This Row],[Step]] =current_step, current_a,IF(Iterations[[#This Row],[Step]] &gt; current_step, "",Iterations[[#This Row],[a]]))</f>
        <v/>
      </c>
      <c r="H1156" s="2" t="str">
        <f>IF(Iterations[[#This Row],[Step]] =current_step, current_b,IF(Iterations[[#This Row],[Step]] &gt; current_step, "",Iterations[[#This Row],[b]]))</f>
        <v/>
      </c>
      <c r="I1156" s="2" t="str">
        <f>IF(Iterations[[#This Row],[Step]] =current_step, current_c,IF(Iterations[[#This Row],[Step]] &gt; current_step, "",Iterations[[#This Row],[c]]))</f>
        <v/>
      </c>
      <c r="J1156" s="2" t="str">
        <f>IF(Iterations[[#This Row],[Step]] =current_step, current_d,IF(Iterations[[#This Row],[Step]] &gt; current_step, "",Iterations[[#This Row],[d]]))</f>
        <v/>
      </c>
      <c r="K1156" s="2" t="str">
        <f>IF(Iterations[[#This Row],[Step]] =current_step, current_e,IF(Iterations[[#This Row],[Step]] &gt; current_step, "",Iterations[[#This Row],[e]]))</f>
        <v/>
      </c>
      <c r="L1156" s="2" t="str">
        <f>IF(Iterations[[#This Row],[Step]] =current_step, current_Total_Loss,IF(Iterations[[#This Row],[Step]] &gt; current_step, "",Iterations[[#This Row],[Total Loss]]))</f>
        <v/>
      </c>
      <c r="M1156" s="6" t="s">
        <v>27</v>
      </c>
      <c r="N1156" s="2" t="str">
        <f>IF(Iterations[[#This Row],[Step]] =current_step, current_Grad_a,IF(Iterations[[#This Row],[Step]] &gt; current_step, "",Iterations[[#This Row],[Grad_a]]))</f>
        <v/>
      </c>
      <c r="O1156" s="2" t="str">
        <f>IF(Iterations[[#This Row],[Step]] =current_step, current_Grad_b,IF(Iterations[[#This Row],[Step]] &gt; current_step, "",Iterations[[#This Row],[Grad_b]]))</f>
        <v/>
      </c>
      <c r="P1156" s="2" t="str">
        <f>IF(Iterations[[#This Row],[Step]] =current_step, current_Grad_c,IF(Iterations[[#This Row],[Step]] &gt; current_step, "",Iterations[[#This Row],[Grad_c]]))</f>
        <v/>
      </c>
      <c r="Q1156" s="2" t="str">
        <f>IF(Iterations[[#This Row],[Step]] =current_step, current_Grad_d,IF(Iterations[[#This Row],[Step]] &gt; current_step, "",Iterations[[#This Row],[Grad_d]]))</f>
        <v/>
      </c>
      <c r="R1156" s="2" t="str">
        <f>IF(Iterations[[#This Row],[Step]] =current_step, current_Grad_e,IF(Iterations[[#This Row],[Step]] &gt; current_step, "",Iterations[[#This Row],[Grad_e]]))</f>
        <v/>
      </c>
    </row>
    <row r="1157" spans="6:18" x14ac:dyDescent="0.3">
      <c r="F1157" s="2">
        <f t="shared" si="23"/>
        <v>1140</v>
      </c>
      <c r="G1157" s="2" t="str">
        <f>IF(Iterations[[#This Row],[Step]] =current_step, current_a,IF(Iterations[[#This Row],[Step]] &gt; current_step, "",Iterations[[#This Row],[a]]))</f>
        <v/>
      </c>
      <c r="H1157" s="2" t="str">
        <f>IF(Iterations[[#This Row],[Step]] =current_step, current_b,IF(Iterations[[#This Row],[Step]] &gt; current_step, "",Iterations[[#This Row],[b]]))</f>
        <v/>
      </c>
      <c r="I1157" s="2" t="str">
        <f>IF(Iterations[[#This Row],[Step]] =current_step, current_c,IF(Iterations[[#This Row],[Step]] &gt; current_step, "",Iterations[[#This Row],[c]]))</f>
        <v/>
      </c>
      <c r="J1157" s="2" t="str">
        <f>IF(Iterations[[#This Row],[Step]] =current_step, current_d,IF(Iterations[[#This Row],[Step]] &gt; current_step, "",Iterations[[#This Row],[d]]))</f>
        <v/>
      </c>
      <c r="K1157" s="2" t="str">
        <f>IF(Iterations[[#This Row],[Step]] =current_step, current_e,IF(Iterations[[#This Row],[Step]] &gt; current_step, "",Iterations[[#This Row],[e]]))</f>
        <v/>
      </c>
      <c r="L1157" s="2" t="str">
        <f>IF(Iterations[[#This Row],[Step]] =current_step, current_Total_Loss,IF(Iterations[[#This Row],[Step]] &gt; current_step, "",Iterations[[#This Row],[Total Loss]]))</f>
        <v/>
      </c>
      <c r="M1157" s="6" t="s">
        <v>27</v>
      </c>
      <c r="N1157" s="2" t="str">
        <f>IF(Iterations[[#This Row],[Step]] =current_step, current_Grad_a,IF(Iterations[[#This Row],[Step]] &gt; current_step, "",Iterations[[#This Row],[Grad_a]]))</f>
        <v/>
      </c>
      <c r="O1157" s="2" t="str">
        <f>IF(Iterations[[#This Row],[Step]] =current_step, current_Grad_b,IF(Iterations[[#This Row],[Step]] &gt; current_step, "",Iterations[[#This Row],[Grad_b]]))</f>
        <v/>
      </c>
      <c r="P1157" s="2" t="str">
        <f>IF(Iterations[[#This Row],[Step]] =current_step, current_Grad_c,IF(Iterations[[#This Row],[Step]] &gt; current_step, "",Iterations[[#This Row],[Grad_c]]))</f>
        <v/>
      </c>
      <c r="Q1157" s="2" t="str">
        <f>IF(Iterations[[#This Row],[Step]] =current_step, current_Grad_d,IF(Iterations[[#This Row],[Step]] &gt; current_step, "",Iterations[[#This Row],[Grad_d]]))</f>
        <v/>
      </c>
      <c r="R1157" s="2" t="str">
        <f>IF(Iterations[[#This Row],[Step]] =current_step, current_Grad_e,IF(Iterations[[#This Row],[Step]] &gt; current_step, "",Iterations[[#This Row],[Grad_e]]))</f>
        <v/>
      </c>
    </row>
    <row r="1158" spans="6:18" x14ac:dyDescent="0.3">
      <c r="F1158" s="2">
        <f t="shared" si="23"/>
        <v>1141</v>
      </c>
      <c r="G1158" s="2" t="str">
        <f>IF(Iterations[[#This Row],[Step]] =current_step, current_a,IF(Iterations[[#This Row],[Step]] &gt; current_step, "",Iterations[[#This Row],[a]]))</f>
        <v/>
      </c>
      <c r="H1158" s="2" t="str">
        <f>IF(Iterations[[#This Row],[Step]] =current_step, current_b,IF(Iterations[[#This Row],[Step]] &gt; current_step, "",Iterations[[#This Row],[b]]))</f>
        <v/>
      </c>
      <c r="I1158" s="2" t="str">
        <f>IF(Iterations[[#This Row],[Step]] =current_step, current_c,IF(Iterations[[#This Row],[Step]] &gt; current_step, "",Iterations[[#This Row],[c]]))</f>
        <v/>
      </c>
      <c r="J1158" s="2" t="str">
        <f>IF(Iterations[[#This Row],[Step]] =current_step, current_d,IF(Iterations[[#This Row],[Step]] &gt; current_step, "",Iterations[[#This Row],[d]]))</f>
        <v/>
      </c>
      <c r="K1158" s="2" t="str">
        <f>IF(Iterations[[#This Row],[Step]] =current_step, current_e,IF(Iterations[[#This Row],[Step]] &gt; current_step, "",Iterations[[#This Row],[e]]))</f>
        <v/>
      </c>
      <c r="L1158" s="2" t="str">
        <f>IF(Iterations[[#This Row],[Step]] =current_step, current_Total_Loss,IF(Iterations[[#This Row],[Step]] &gt; current_step, "",Iterations[[#This Row],[Total Loss]]))</f>
        <v/>
      </c>
      <c r="M1158" s="6" t="s">
        <v>27</v>
      </c>
      <c r="N1158" s="2" t="str">
        <f>IF(Iterations[[#This Row],[Step]] =current_step, current_Grad_a,IF(Iterations[[#This Row],[Step]] &gt; current_step, "",Iterations[[#This Row],[Grad_a]]))</f>
        <v/>
      </c>
      <c r="O1158" s="2" t="str">
        <f>IF(Iterations[[#This Row],[Step]] =current_step, current_Grad_b,IF(Iterations[[#This Row],[Step]] &gt; current_step, "",Iterations[[#This Row],[Grad_b]]))</f>
        <v/>
      </c>
      <c r="P1158" s="2" t="str">
        <f>IF(Iterations[[#This Row],[Step]] =current_step, current_Grad_c,IF(Iterations[[#This Row],[Step]] &gt; current_step, "",Iterations[[#This Row],[Grad_c]]))</f>
        <v/>
      </c>
      <c r="Q1158" s="2" t="str">
        <f>IF(Iterations[[#This Row],[Step]] =current_step, current_Grad_d,IF(Iterations[[#This Row],[Step]] &gt; current_step, "",Iterations[[#This Row],[Grad_d]]))</f>
        <v/>
      </c>
      <c r="R1158" s="2" t="str">
        <f>IF(Iterations[[#This Row],[Step]] =current_step, current_Grad_e,IF(Iterations[[#This Row],[Step]] &gt; current_step, "",Iterations[[#This Row],[Grad_e]]))</f>
        <v/>
      </c>
    </row>
    <row r="1159" spans="6:18" x14ac:dyDescent="0.3">
      <c r="F1159" s="2">
        <f t="shared" si="23"/>
        <v>1142</v>
      </c>
      <c r="G1159" s="2" t="str">
        <f>IF(Iterations[[#This Row],[Step]] =current_step, current_a,IF(Iterations[[#This Row],[Step]] &gt; current_step, "",Iterations[[#This Row],[a]]))</f>
        <v/>
      </c>
      <c r="H1159" s="2" t="str">
        <f>IF(Iterations[[#This Row],[Step]] =current_step, current_b,IF(Iterations[[#This Row],[Step]] &gt; current_step, "",Iterations[[#This Row],[b]]))</f>
        <v/>
      </c>
      <c r="I1159" s="2" t="str">
        <f>IF(Iterations[[#This Row],[Step]] =current_step, current_c,IF(Iterations[[#This Row],[Step]] &gt; current_step, "",Iterations[[#This Row],[c]]))</f>
        <v/>
      </c>
      <c r="J1159" s="2" t="str">
        <f>IF(Iterations[[#This Row],[Step]] =current_step, current_d,IF(Iterations[[#This Row],[Step]] &gt; current_step, "",Iterations[[#This Row],[d]]))</f>
        <v/>
      </c>
      <c r="K1159" s="2" t="str">
        <f>IF(Iterations[[#This Row],[Step]] =current_step, current_e,IF(Iterations[[#This Row],[Step]] &gt; current_step, "",Iterations[[#This Row],[e]]))</f>
        <v/>
      </c>
      <c r="L1159" s="2" t="str">
        <f>IF(Iterations[[#This Row],[Step]] =current_step, current_Total_Loss,IF(Iterations[[#This Row],[Step]] &gt; current_step, "",Iterations[[#This Row],[Total Loss]]))</f>
        <v/>
      </c>
      <c r="M1159" s="6" t="s">
        <v>27</v>
      </c>
      <c r="N1159" s="2" t="str">
        <f>IF(Iterations[[#This Row],[Step]] =current_step, current_Grad_a,IF(Iterations[[#This Row],[Step]] &gt; current_step, "",Iterations[[#This Row],[Grad_a]]))</f>
        <v/>
      </c>
      <c r="O1159" s="2" t="str">
        <f>IF(Iterations[[#This Row],[Step]] =current_step, current_Grad_b,IF(Iterations[[#This Row],[Step]] &gt; current_step, "",Iterations[[#This Row],[Grad_b]]))</f>
        <v/>
      </c>
      <c r="P1159" s="2" t="str">
        <f>IF(Iterations[[#This Row],[Step]] =current_step, current_Grad_c,IF(Iterations[[#This Row],[Step]] &gt; current_step, "",Iterations[[#This Row],[Grad_c]]))</f>
        <v/>
      </c>
      <c r="Q1159" s="2" t="str">
        <f>IF(Iterations[[#This Row],[Step]] =current_step, current_Grad_d,IF(Iterations[[#This Row],[Step]] &gt; current_step, "",Iterations[[#This Row],[Grad_d]]))</f>
        <v/>
      </c>
      <c r="R1159" s="2" t="str">
        <f>IF(Iterations[[#This Row],[Step]] =current_step, current_Grad_e,IF(Iterations[[#This Row],[Step]] &gt; current_step, "",Iterations[[#This Row],[Grad_e]]))</f>
        <v/>
      </c>
    </row>
    <row r="1160" spans="6:18" x14ac:dyDescent="0.3">
      <c r="F1160" s="2">
        <f t="shared" si="23"/>
        <v>1143</v>
      </c>
      <c r="G1160" s="2" t="str">
        <f>IF(Iterations[[#This Row],[Step]] =current_step, current_a,IF(Iterations[[#This Row],[Step]] &gt; current_step, "",Iterations[[#This Row],[a]]))</f>
        <v/>
      </c>
      <c r="H1160" s="2" t="str">
        <f>IF(Iterations[[#This Row],[Step]] =current_step, current_b,IF(Iterations[[#This Row],[Step]] &gt; current_step, "",Iterations[[#This Row],[b]]))</f>
        <v/>
      </c>
      <c r="I1160" s="2" t="str">
        <f>IF(Iterations[[#This Row],[Step]] =current_step, current_c,IF(Iterations[[#This Row],[Step]] &gt; current_step, "",Iterations[[#This Row],[c]]))</f>
        <v/>
      </c>
      <c r="J1160" s="2" t="str">
        <f>IF(Iterations[[#This Row],[Step]] =current_step, current_d,IF(Iterations[[#This Row],[Step]] &gt; current_step, "",Iterations[[#This Row],[d]]))</f>
        <v/>
      </c>
      <c r="K1160" s="2" t="str">
        <f>IF(Iterations[[#This Row],[Step]] =current_step, current_e,IF(Iterations[[#This Row],[Step]] &gt; current_step, "",Iterations[[#This Row],[e]]))</f>
        <v/>
      </c>
      <c r="L1160" s="2" t="str">
        <f>IF(Iterations[[#This Row],[Step]] =current_step, current_Total_Loss,IF(Iterations[[#This Row],[Step]] &gt; current_step, "",Iterations[[#This Row],[Total Loss]]))</f>
        <v/>
      </c>
      <c r="M1160" s="6" t="s">
        <v>27</v>
      </c>
      <c r="N1160" s="2" t="str">
        <f>IF(Iterations[[#This Row],[Step]] =current_step, current_Grad_a,IF(Iterations[[#This Row],[Step]] &gt; current_step, "",Iterations[[#This Row],[Grad_a]]))</f>
        <v/>
      </c>
      <c r="O1160" s="2" t="str">
        <f>IF(Iterations[[#This Row],[Step]] =current_step, current_Grad_b,IF(Iterations[[#This Row],[Step]] &gt; current_step, "",Iterations[[#This Row],[Grad_b]]))</f>
        <v/>
      </c>
      <c r="P1160" s="2" t="str">
        <f>IF(Iterations[[#This Row],[Step]] =current_step, current_Grad_c,IF(Iterations[[#This Row],[Step]] &gt; current_step, "",Iterations[[#This Row],[Grad_c]]))</f>
        <v/>
      </c>
      <c r="Q1160" s="2" t="str">
        <f>IF(Iterations[[#This Row],[Step]] =current_step, current_Grad_d,IF(Iterations[[#This Row],[Step]] &gt; current_step, "",Iterations[[#This Row],[Grad_d]]))</f>
        <v/>
      </c>
      <c r="R1160" s="2" t="str">
        <f>IF(Iterations[[#This Row],[Step]] =current_step, current_Grad_e,IF(Iterations[[#This Row],[Step]] &gt; current_step, "",Iterations[[#This Row],[Grad_e]]))</f>
        <v/>
      </c>
    </row>
    <row r="1161" spans="6:18" x14ac:dyDescent="0.3">
      <c r="F1161" s="2">
        <f t="shared" si="23"/>
        <v>1144</v>
      </c>
      <c r="G1161" s="2" t="str">
        <f>IF(Iterations[[#This Row],[Step]] =current_step, current_a,IF(Iterations[[#This Row],[Step]] &gt; current_step, "",Iterations[[#This Row],[a]]))</f>
        <v/>
      </c>
      <c r="H1161" s="2" t="str">
        <f>IF(Iterations[[#This Row],[Step]] =current_step, current_b,IF(Iterations[[#This Row],[Step]] &gt; current_step, "",Iterations[[#This Row],[b]]))</f>
        <v/>
      </c>
      <c r="I1161" s="2" t="str">
        <f>IF(Iterations[[#This Row],[Step]] =current_step, current_c,IF(Iterations[[#This Row],[Step]] &gt; current_step, "",Iterations[[#This Row],[c]]))</f>
        <v/>
      </c>
      <c r="J1161" s="2" t="str">
        <f>IF(Iterations[[#This Row],[Step]] =current_step, current_d,IF(Iterations[[#This Row],[Step]] &gt; current_step, "",Iterations[[#This Row],[d]]))</f>
        <v/>
      </c>
      <c r="K1161" s="2" t="str">
        <f>IF(Iterations[[#This Row],[Step]] =current_step, current_e,IF(Iterations[[#This Row],[Step]] &gt; current_step, "",Iterations[[#This Row],[e]]))</f>
        <v/>
      </c>
      <c r="L1161" s="2" t="str">
        <f>IF(Iterations[[#This Row],[Step]] =current_step, current_Total_Loss,IF(Iterations[[#This Row],[Step]] &gt; current_step, "",Iterations[[#This Row],[Total Loss]]))</f>
        <v/>
      </c>
      <c r="M1161" s="6" t="s">
        <v>27</v>
      </c>
      <c r="N1161" s="2" t="str">
        <f>IF(Iterations[[#This Row],[Step]] =current_step, current_Grad_a,IF(Iterations[[#This Row],[Step]] &gt; current_step, "",Iterations[[#This Row],[Grad_a]]))</f>
        <v/>
      </c>
      <c r="O1161" s="2" t="str">
        <f>IF(Iterations[[#This Row],[Step]] =current_step, current_Grad_b,IF(Iterations[[#This Row],[Step]] &gt; current_step, "",Iterations[[#This Row],[Grad_b]]))</f>
        <v/>
      </c>
      <c r="P1161" s="2" t="str">
        <f>IF(Iterations[[#This Row],[Step]] =current_step, current_Grad_c,IF(Iterations[[#This Row],[Step]] &gt; current_step, "",Iterations[[#This Row],[Grad_c]]))</f>
        <v/>
      </c>
      <c r="Q1161" s="2" t="str">
        <f>IF(Iterations[[#This Row],[Step]] =current_step, current_Grad_d,IF(Iterations[[#This Row],[Step]] &gt; current_step, "",Iterations[[#This Row],[Grad_d]]))</f>
        <v/>
      </c>
      <c r="R1161" s="2" t="str">
        <f>IF(Iterations[[#This Row],[Step]] =current_step, current_Grad_e,IF(Iterations[[#This Row],[Step]] &gt; current_step, "",Iterations[[#This Row],[Grad_e]]))</f>
        <v/>
      </c>
    </row>
    <row r="1162" spans="6:18" x14ac:dyDescent="0.3">
      <c r="F1162" s="2">
        <f t="shared" si="23"/>
        <v>1145</v>
      </c>
      <c r="G1162" s="2" t="str">
        <f>IF(Iterations[[#This Row],[Step]] =current_step, current_a,IF(Iterations[[#This Row],[Step]] &gt; current_step, "",Iterations[[#This Row],[a]]))</f>
        <v/>
      </c>
      <c r="H1162" s="2" t="str">
        <f>IF(Iterations[[#This Row],[Step]] =current_step, current_b,IF(Iterations[[#This Row],[Step]] &gt; current_step, "",Iterations[[#This Row],[b]]))</f>
        <v/>
      </c>
      <c r="I1162" s="2" t="str">
        <f>IF(Iterations[[#This Row],[Step]] =current_step, current_c,IF(Iterations[[#This Row],[Step]] &gt; current_step, "",Iterations[[#This Row],[c]]))</f>
        <v/>
      </c>
      <c r="J1162" s="2" t="str">
        <f>IF(Iterations[[#This Row],[Step]] =current_step, current_d,IF(Iterations[[#This Row],[Step]] &gt; current_step, "",Iterations[[#This Row],[d]]))</f>
        <v/>
      </c>
      <c r="K1162" s="2" t="str">
        <f>IF(Iterations[[#This Row],[Step]] =current_step, current_e,IF(Iterations[[#This Row],[Step]] &gt; current_step, "",Iterations[[#This Row],[e]]))</f>
        <v/>
      </c>
      <c r="L1162" s="2" t="str">
        <f>IF(Iterations[[#This Row],[Step]] =current_step, current_Total_Loss,IF(Iterations[[#This Row],[Step]] &gt; current_step, "",Iterations[[#This Row],[Total Loss]]))</f>
        <v/>
      </c>
      <c r="M1162" s="6" t="s">
        <v>27</v>
      </c>
      <c r="N1162" s="2" t="str">
        <f>IF(Iterations[[#This Row],[Step]] =current_step, current_Grad_a,IF(Iterations[[#This Row],[Step]] &gt; current_step, "",Iterations[[#This Row],[Grad_a]]))</f>
        <v/>
      </c>
      <c r="O1162" s="2" t="str">
        <f>IF(Iterations[[#This Row],[Step]] =current_step, current_Grad_b,IF(Iterations[[#This Row],[Step]] &gt; current_step, "",Iterations[[#This Row],[Grad_b]]))</f>
        <v/>
      </c>
      <c r="P1162" s="2" t="str">
        <f>IF(Iterations[[#This Row],[Step]] =current_step, current_Grad_c,IF(Iterations[[#This Row],[Step]] &gt; current_step, "",Iterations[[#This Row],[Grad_c]]))</f>
        <v/>
      </c>
      <c r="Q1162" s="2" t="str">
        <f>IF(Iterations[[#This Row],[Step]] =current_step, current_Grad_d,IF(Iterations[[#This Row],[Step]] &gt; current_step, "",Iterations[[#This Row],[Grad_d]]))</f>
        <v/>
      </c>
      <c r="R1162" s="2" t="str">
        <f>IF(Iterations[[#This Row],[Step]] =current_step, current_Grad_e,IF(Iterations[[#This Row],[Step]] &gt; current_step, "",Iterations[[#This Row],[Grad_e]]))</f>
        <v/>
      </c>
    </row>
    <row r="1163" spans="6:18" x14ac:dyDescent="0.3">
      <c r="F1163" s="2">
        <f t="shared" si="23"/>
        <v>1146</v>
      </c>
      <c r="G1163" s="2" t="str">
        <f>IF(Iterations[[#This Row],[Step]] =current_step, current_a,IF(Iterations[[#This Row],[Step]] &gt; current_step, "",Iterations[[#This Row],[a]]))</f>
        <v/>
      </c>
      <c r="H1163" s="2" t="str">
        <f>IF(Iterations[[#This Row],[Step]] =current_step, current_b,IF(Iterations[[#This Row],[Step]] &gt; current_step, "",Iterations[[#This Row],[b]]))</f>
        <v/>
      </c>
      <c r="I1163" s="2" t="str">
        <f>IF(Iterations[[#This Row],[Step]] =current_step, current_c,IF(Iterations[[#This Row],[Step]] &gt; current_step, "",Iterations[[#This Row],[c]]))</f>
        <v/>
      </c>
      <c r="J1163" s="2" t="str">
        <f>IF(Iterations[[#This Row],[Step]] =current_step, current_d,IF(Iterations[[#This Row],[Step]] &gt; current_step, "",Iterations[[#This Row],[d]]))</f>
        <v/>
      </c>
      <c r="K1163" s="2" t="str">
        <f>IF(Iterations[[#This Row],[Step]] =current_step, current_e,IF(Iterations[[#This Row],[Step]] &gt; current_step, "",Iterations[[#This Row],[e]]))</f>
        <v/>
      </c>
      <c r="L1163" s="2" t="str">
        <f>IF(Iterations[[#This Row],[Step]] =current_step, current_Total_Loss,IF(Iterations[[#This Row],[Step]] &gt; current_step, "",Iterations[[#This Row],[Total Loss]]))</f>
        <v/>
      </c>
      <c r="M1163" s="6" t="s">
        <v>27</v>
      </c>
      <c r="N1163" s="2" t="str">
        <f>IF(Iterations[[#This Row],[Step]] =current_step, current_Grad_a,IF(Iterations[[#This Row],[Step]] &gt; current_step, "",Iterations[[#This Row],[Grad_a]]))</f>
        <v/>
      </c>
      <c r="O1163" s="2" t="str">
        <f>IF(Iterations[[#This Row],[Step]] =current_step, current_Grad_b,IF(Iterations[[#This Row],[Step]] &gt; current_step, "",Iterations[[#This Row],[Grad_b]]))</f>
        <v/>
      </c>
      <c r="P1163" s="2" t="str">
        <f>IF(Iterations[[#This Row],[Step]] =current_step, current_Grad_c,IF(Iterations[[#This Row],[Step]] &gt; current_step, "",Iterations[[#This Row],[Grad_c]]))</f>
        <v/>
      </c>
      <c r="Q1163" s="2" t="str">
        <f>IF(Iterations[[#This Row],[Step]] =current_step, current_Grad_d,IF(Iterations[[#This Row],[Step]] &gt; current_step, "",Iterations[[#This Row],[Grad_d]]))</f>
        <v/>
      </c>
      <c r="R1163" s="2" t="str">
        <f>IF(Iterations[[#This Row],[Step]] =current_step, current_Grad_e,IF(Iterations[[#This Row],[Step]] &gt; current_step, "",Iterations[[#This Row],[Grad_e]]))</f>
        <v/>
      </c>
    </row>
    <row r="1164" spans="6:18" x14ac:dyDescent="0.3">
      <c r="F1164" s="2">
        <f t="shared" si="23"/>
        <v>1147</v>
      </c>
      <c r="G1164" s="2" t="str">
        <f>IF(Iterations[[#This Row],[Step]] =current_step, current_a,IF(Iterations[[#This Row],[Step]] &gt; current_step, "",Iterations[[#This Row],[a]]))</f>
        <v/>
      </c>
      <c r="H1164" s="2" t="str">
        <f>IF(Iterations[[#This Row],[Step]] =current_step, current_b,IF(Iterations[[#This Row],[Step]] &gt; current_step, "",Iterations[[#This Row],[b]]))</f>
        <v/>
      </c>
      <c r="I1164" s="2" t="str">
        <f>IF(Iterations[[#This Row],[Step]] =current_step, current_c,IF(Iterations[[#This Row],[Step]] &gt; current_step, "",Iterations[[#This Row],[c]]))</f>
        <v/>
      </c>
      <c r="J1164" s="2" t="str">
        <f>IF(Iterations[[#This Row],[Step]] =current_step, current_d,IF(Iterations[[#This Row],[Step]] &gt; current_step, "",Iterations[[#This Row],[d]]))</f>
        <v/>
      </c>
      <c r="K1164" s="2" t="str">
        <f>IF(Iterations[[#This Row],[Step]] =current_step, current_e,IF(Iterations[[#This Row],[Step]] &gt; current_step, "",Iterations[[#This Row],[e]]))</f>
        <v/>
      </c>
      <c r="L1164" s="2" t="str">
        <f>IF(Iterations[[#This Row],[Step]] =current_step, current_Total_Loss,IF(Iterations[[#This Row],[Step]] &gt; current_step, "",Iterations[[#This Row],[Total Loss]]))</f>
        <v/>
      </c>
      <c r="M1164" s="6" t="s">
        <v>27</v>
      </c>
      <c r="N1164" s="2" t="str">
        <f>IF(Iterations[[#This Row],[Step]] =current_step, current_Grad_a,IF(Iterations[[#This Row],[Step]] &gt; current_step, "",Iterations[[#This Row],[Grad_a]]))</f>
        <v/>
      </c>
      <c r="O1164" s="2" t="str">
        <f>IF(Iterations[[#This Row],[Step]] =current_step, current_Grad_b,IF(Iterations[[#This Row],[Step]] &gt; current_step, "",Iterations[[#This Row],[Grad_b]]))</f>
        <v/>
      </c>
      <c r="P1164" s="2" t="str">
        <f>IF(Iterations[[#This Row],[Step]] =current_step, current_Grad_c,IF(Iterations[[#This Row],[Step]] &gt; current_step, "",Iterations[[#This Row],[Grad_c]]))</f>
        <v/>
      </c>
      <c r="Q1164" s="2" t="str">
        <f>IF(Iterations[[#This Row],[Step]] =current_step, current_Grad_d,IF(Iterations[[#This Row],[Step]] &gt; current_step, "",Iterations[[#This Row],[Grad_d]]))</f>
        <v/>
      </c>
      <c r="R1164" s="2" t="str">
        <f>IF(Iterations[[#This Row],[Step]] =current_step, current_Grad_e,IF(Iterations[[#This Row],[Step]] &gt; current_step, "",Iterations[[#This Row],[Grad_e]]))</f>
        <v/>
      </c>
    </row>
    <row r="1165" spans="6:18" x14ac:dyDescent="0.3">
      <c r="F1165" s="2">
        <f t="shared" si="23"/>
        <v>1148</v>
      </c>
      <c r="G1165" s="2" t="str">
        <f>IF(Iterations[[#This Row],[Step]] =current_step, current_a,IF(Iterations[[#This Row],[Step]] &gt; current_step, "",Iterations[[#This Row],[a]]))</f>
        <v/>
      </c>
      <c r="H1165" s="2" t="str">
        <f>IF(Iterations[[#This Row],[Step]] =current_step, current_b,IF(Iterations[[#This Row],[Step]] &gt; current_step, "",Iterations[[#This Row],[b]]))</f>
        <v/>
      </c>
      <c r="I1165" s="2" t="str">
        <f>IF(Iterations[[#This Row],[Step]] =current_step, current_c,IF(Iterations[[#This Row],[Step]] &gt; current_step, "",Iterations[[#This Row],[c]]))</f>
        <v/>
      </c>
      <c r="J1165" s="2" t="str">
        <f>IF(Iterations[[#This Row],[Step]] =current_step, current_d,IF(Iterations[[#This Row],[Step]] &gt; current_step, "",Iterations[[#This Row],[d]]))</f>
        <v/>
      </c>
      <c r="K1165" s="2" t="str">
        <f>IF(Iterations[[#This Row],[Step]] =current_step, current_e,IF(Iterations[[#This Row],[Step]] &gt; current_step, "",Iterations[[#This Row],[e]]))</f>
        <v/>
      </c>
      <c r="L1165" s="2" t="str">
        <f>IF(Iterations[[#This Row],[Step]] =current_step, current_Total_Loss,IF(Iterations[[#This Row],[Step]] &gt; current_step, "",Iterations[[#This Row],[Total Loss]]))</f>
        <v/>
      </c>
      <c r="M1165" s="6" t="s">
        <v>27</v>
      </c>
      <c r="N1165" s="2" t="str">
        <f>IF(Iterations[[#This Row],[Step]] =current_step, current_Grad_a,IF(Iterations[[#This Row],[Step]] &gt; current_step, "",Iterations[[#This Row],[Grad_a]]))</f>
        <v/>
      </c>
      <c r="O1165" s="2" t="str">
        <f>IF(Iterations[[#This Row],[Step]] =current_step, current_Grad_b,IF(Iterations[[#This Row],[Step]] &gt; current_step, "",Iterations[[#This Row],[Grad_b]]))</f>
        <v/>
      </c>
      <c r="P1165" s="2" t="str">
        <f>IF(Iterations[[#This Row],[Step]] =current_step, current_Grad_c,IF(Iterations[[#This Row],[Step]] &gt; current_step, "",Iterations[[#This Row],[Grad_c]]))</f>
        <v/>
      </c>
      <c r="Q1165" s="2" t="str">
        <f>IF(Iterations[[#This Row],[Step]] =current_step, current_Grad_d,IF(Iterations[[#This Row],[Step]] &gt; current_step, "",Iterations[[#This Row],[Grad_d]]))</f>
        <v/>
      </c>
      <c r="R1165" s="2" t="str">
        <f>IF(Iterations[[#This Row],[Step]] =current_step, current_Grad_e,IF(Iterations[[#This Row],[Step]] &gt; current_step, "",Iterations[[#This Row],[Grad_e]]))</f>
        <v/>
      </c>
    </row>
    <row r="1166" spans="6:18" x14ac:dyDescent="0.3">
      <c r="F1166" s="2">
        <f t="shared" si="23"/>
        <v>1149</v>
      </c>
      <c r="G1166" s="2" t="str">
        <f>IF(Iterations[[#This Row],[Step]] =current_step, current_a,IF(Iterations[[#This Row],[Step]] &gt; current_step, "",Iterations[[#This Row],[a]]))</f>
        <v/>
      </c>
      <c r="H1166" s="2" t="str">
        <f>IF(Iterations[[#This Row],[Step]] =current_step, current_b,IF(Iterations[[#This Row],[Step]] &gt; current_step, "",Iterations[[#This Row],[b]]))</f>
        <v/>
      </c>
      <c r="I1166" s="2" t="str">
        <f>IF(Iterations[[#This Row],[Step]] =current_step, current_c,IF(Iterations[[#This Row],[Step]] &gt; current_step, "",Iterations[[#This Row],[c]]))</f>
        <v/>
      </c>
      <c r="J1166" s="2" t="str">
        <f>IF(Iterations[[#This Row],[Step]] =current_step, current_d,IF(Iterations[[#This Row],[Step]] &gt; current_step, "",Iterations[[#This Row],[d]]))</f>
        <v/>
      </c>
      <c r="K1166" s="2" t="str">
        <f>IF(Iterations[[#This Row],[Step]] =current_step, current_e,IF(Iterations[[#This Row],[Step]] &gt; current_step, "",Iterations[[#This Row],[e]]))</f>
        <v/>
      </c>
      <c r="L1166" s="2" t="str">
        <f>IF(Iterations[[#This Row],[Step]] =current_step, current_Total_Loss,IF(Iterations[[#This Row],[Step]] &gt; current_step, "",Iterations[[#This Row],[Total Loss]]))</f>
        <v/>
      </c>
      <c r="M1166" s="6" t="s">
        <v>27</v>
      </c>
      <c r="N1166" s="2" t="str">
        <f>IF(Iterations[[#This Row],[Step]] =current_step, current_Grad_a,IF(Iterations[[#This Row],[Step]] &gt; current_step, "",Iterations[[#This Row],[Grad_a]]))</f>
        <v/>
      </c>
      <c r="O1166" s="2" t="str">
        <f>IF(Iterations[[#This Row],[Step]] =current_step, current_Grad_b,IF(Iterations[[#This Row],[Step]] &gt; current_step, "",Iterations[[#This Row],[Grad_b]]))</f>
        <v/>
      </c>
      <c r="P1166" s="2" t="str">
        <f>IF(Iterations[[#This Row],[Step]] =current_step, current_Grad_c,IF(Iterations[[#This Row],[Step]] &gt; current_step, "",Iterations[[#This Row],[Grad_c]]))</f>
        <v/>
      </c>
      <c r="Q1166" s="2" t="str">
        <f>IF(Iterations[[#This Row],[Step]] =current_step, current_Grad_d,IF(Iterations[[#This Row],[Step]] &gt; current_step, "",Iterations[[#This Row],[Grad_d]]))</f>
        <v/>
      </c>
      <c r="R1166" s="2" t="str">
        <f>IF(Iterations[[#This Row],[Step]] =current_step, current_Grad_e,IF(Iterations[[#This Row],[Step]] &gt; current_step, "",Iterations[[#This Row],[Grad_e]]))</f>
        <v/>
      </c>
    </row>
    <row r="1167" spans="6:18" x14ac:dyDescent="0.3">
      <c r="F1167" s="2">
        <f t="shared" si="23"/>
        <v>1150</v>
      </c>
      <c r="G1167" s="2" t="str">
        <f>IF(Iterations[[#This Row],[Step]] =current_step, current_a,IF(Iterations[[#This Row],[Step]] &gt; current_step, "",Iterations[[#This Row],[a]]))</f>
        <v/>
      </c>
      <c r="H1167" s="2" t="str">
        <f>IF(Iterations[[#This Row],[Step]] =current_step, current_b,IF(Iterations[[#This Row],[Step]] &gt; current_step, "",Iterations[[#This Row],[b]]))</f>
        <v/>
      </c>
      <c r="I1167" s="2" t="str">
        <f>IF(Iterations[[#This Row],[Step]] =current_step, current_c,IF(Iterations[[#This Row],[Step]] &gt; current_step, "",Iterations[[#This Row],[c]]))</f>
        <v/>
      </c>
      <c r="J1167" s="2" t="str">
        <f>IF(Iterations[[#This Row],[Step]] =current_step, current_d,IF(Iterations[[#This Row],[Step]] &gt; current_step, "",Iterations[[#This Row],[d]]))</f>
        <v/>
      </c>
      <c r="K1167" s="2" t="str">
        <f>IF(Iterations[[#This Row],[Step]] =current_step, current_e,IF(Iterations[[#This Row],[Step]] &gt; current_step, "",Iterations[[#This Row],[e]]))</f>
        <v/>
      </c>
      <c r="L1167" s="2" t="str">
        <f>IF(Iterations[[#This Row],[Step]] =current_step, current_Total_Loss,IF(Iterations[[#This Row],[Step]] &gt; current_step, "",Iterations[[#This Row],[Total Loss]]))</f>
        <v/>
      </c>
      <c r="M1167" s="6" t="s">
        <v>27</v>
      </c>
      <c r="N1167" s="2" t="str">
        <f>IF(Iterations[[#This Row],[Step]] =current_step, current_Grad_a,IF(Iterations[[#This Row],[Step]] &gt; current_step, "",Iterations[[#This Row],[Grad_a]]))</f>
        <v/>
      </c>
      <c r="O1167" s="2" t="str">
        <f>IF(Iterations[[#This Row],[Step]] =current_step, current_Grad_b,IF(Iterations[[#This Row],[Step]] &gt; current_step, "",Iterations[[#This Row],[Grad_b]]))</f>
        <v/>
      </c>
      <c r="P1167" s="2" t="str">
        <f>IF(Iterations[[#This Row],[Step]] =current_step, current_Grad_c,IF(Iterations[[#This Row],[Step]] &gt; current_step, "",Iterations[[#This Row],[Grad_c]]))</f>
        <v/>
      </c>
      <c r="Q1167" s="2" t="str">
        <f>IF(Iterations[[#This Row],[Step]] =current_step, current_Grad_d,IF(Iterations[[#This Row],[Step]] &gt; current_step, "",Iterations[[#This Row],[Grad_d]]))</f>
        <v/>
      </c>
      <c r="R1167" s="2" t="str">
        <f>IF(Iterations[[#This Row],[Step]] =current_step, current_Grad_e,IF(Iterations[[#This Row],[Step]] &gt; current_step, "",Iterations[[#This Row],[Grad_e]]))</f>
        <v/>
      </c>
    </row>
    <row r="1168" spans="6:18" x14ac:dyDescent="0.3">
      <c r="F1168" s="2">
        <f t="shared" si="23"/>
        <v>1151</v>
      </c>
      <c r="G1168" s="2" t="str">
        <f>IF(Iterations[[#This Row],[Step]] =current_step, current_a,IF(Iterations[[#This Row],[Step]] &gt; current_step, "",Iterations[[#This Row],[a]]))</f>
        <v/>
      </c>
      <c r="H1168" s="2" t="str">
        <f>IF(Iterations[[#This Row],[Step]] =current_step, current_b,IF(Iterations[[#This Row],[Step]] &gt; current_step, "",Iterations[[#This Row],[b]]))</f>
        <v/>
      </c>
      <c r="I1168" s="2" t="str">
        <f>IF(Iterations[[#This Row],[Step]] =current_step, current_c,IF(Iterations[[#This Row],[Step]] &gt; current_step, "",Iterations[[#This Row],[c]]))</f>
        <v/>
      </c>
      <c r="J1168" s="2" t="str">
        <f>IF(Iterations[[#This Row],[Step]] =current_step, current_d,IF(Iterations[[#This Row],[Step]] &gt; current_step, "",Iterations[[#This Row],[d]]))</f>
        <v/>
      </c>
      <c r="K1168" s="2" t="str">
        <f>IF(Iterations[[#This Row],[Step]] =current_step, current_e,IF(Iterations[[#This Row],[Step]] &gt; current_step, "",Iterations[[#This Row],[e]]))</f>
        <v/>
      </c>
      <c r="L1168" s="2" t="str">
        <f>IF(Iterations[[#This Row],[Step]] =current_step, current_Total_Loss,IF(Iterations[[#This Row],[Step]] &gt; current_step, "",Iterations[[#This Row],[Total Loss]]))</f>
        <v/>
      </c>
      <c r="M1168" s="6" t="s">
        <v>27</v>
      </c>
      <c r="N1168" s="2" t="str">
        <f>IF(Iterations[[#This Row],[Step]] =current_step, current_Grad_a,IF(Iterations[[#This Row],[Step]] &gt; current_step, "",Iterations[[#This Row],[Grad_a]]))</f>
        <v/>
      </c>
      <c r="O1168" s="2" t="str">
        <f>IF(Iterations[[#This Row],[Step]] =current_step, current_Grad_b,IF(Iterations[[#This Row],[Step]] &gt; current_step, "",Iterations[[#This Row],[Grad_b]]))</f>
        <v/>
      </c>
      <c r="P1168" s="2" t="str">
        <f>IF(Iterations[[#This Row],[Step]] =current_step, current_Grad_c,IF(Iterations[[#This Row],[Step]] &gt; current_step, "",Iterations[[#This Row],[Grad_c]]))</f>
        <v/>
      </c>
      <c r="Q1168" s="2" t="str">
        <f>IF(Iterations[[#This Row],[Step]] =current_step, current_Grad_d,IF(Iterations[[#This Row],[Step]] &gt; current_step, "",Iterations[[#This Row],[Grad_d]]))</f>
        <v/>
      </c>
      <c r="R1168" s="2" t="str">
        <f>IF(Iterations[[#This Row],[Step]] =current_step, current_Grad_e,IF(Iterations[[#This Row],[Step]] &gt; current_step, "",Iterations[[#This Row],[Grad_e]]))</f>
        <v/>
      </c>
    </row>
    <row r="1169" spans="6:18" x14ac:dyDescent="0.3">
      <c r="F1169" s="2">
        <f t="shared" si="23"/>
        <v>1152</v>
      </c>
      <c r="G1169" s="2" t="str">
        <f>IF(Iterations[[#This Row],[Step]] =current_step, current_a,IF(Iterations[[#This Row],[Step]] &gt; current_step, "",Iterations[[#This Row],[a]]))</f>
        <v/>
      </c>
      <c r="H1169" s="2" t="str">
        <f>IF(Iterations[[#This Row],[Step]] =current_step, current_b,IF(Iterations[[#This Row],[Step]] &gt; current_step, "",Iterations[[#This Row],[b]]))</f>
        <v/>
      </c>
      <c r="I1169" s="2" t="str">
        <f>IF(Iterations[[#This Row],[Step]] =current_step, current_c,IF(Iterations[[#This Row],[Step]] &gt; current_step, "",Iterations[[#This Row],[c]]))</f>
        <v/>
      </c>
      <c r="J1169" s="2" t="str">
        <f>IF(Iterations[[#This Row],[Step]] =current_step, current_d,IF(Iterations[[#This Row],[Step]] &gt; current_step, "",Iterations[[#This Row],[d]]))</f>
        <v/>
      </c>
      <c r="K1169" s="2" t="str">
        <f>IF(Iterations[[#This Row],[Step]] =current_step, current_e,IF(Iterations[[#This Row],[Step]] &gt; current_step, "",Iterations[[#This Row],[e]]))</f>
        <v/>
      </c>
      <c r="L1169" s="2" t="str">
        <f>IF(Iterations[[#This Row],[Step]] =current_step, current_Total_Loss,IF(Iterations[[#This Row],[Step]] &gt; current_step, "",Iterations[[#This Row],[Total Loss]]))</f>
        <v/>
      </c>
      <c r="M1169" s="6" t="s">
        <v>27</v>
      </c>
      <c r="N1169" s="2" t="str">
        <f>IF(Iterations[[#This Row],[Step]] =current_step, current_Grad_a,IF(Iterations[[#This Row],[Step]] &gt; current_step, "",Iterations[[#This Row],[Grad_a]]))</f>
        <v/>
      </c>
      <c r="O1169" s="2" t="str">
        <f>IF(Iterations[[#This Row],[Step]] =current_step, current_Grad_b,IF(Iterations[[#This Row],[Step]] &gt; current_step, "",Iterations[[#This Row],[Grad_b]]))</f>
        <v/>
      </c>
      <c r="P1169" s="2" t="str">
        <f>IF(Iterations[[#This Row],[Step]] =current_step, current_Grad_c,IF(Iterations[[#This Row],[Step]] &gt; current_step, "",Iterations[[#This Row],[Grad_c]]))</f>
        <v/>
      </c>
      <c r="Q1169" s="2" t="str">
        <f>IF(Iterations[[#This Row],[Step]] =current_step, current_Grad_d,IF(Iterations[[#This Row],[Step]] &gt; current_step, "",Iterations[[#This Row],[Grad_d]]))</f>
        <v/>
      </c>
      <c r="R1169" s="2" t="str">
        <f>IF(Iterations[[#This Row],[Step]] =current_step, current_Grad_e,IF(Iterations[[#This Row],[Step]] &gt; current_step, "",Iterations[[#This Row],[Grad_e]]))</f>
        <v/>
      </c>
    </row>
    <row r="1170" spans="6:18" x14ac:dyDescent="0.3">
      <c r="F1170" s="2">
        <f t="shared" si="23"/>
        <v>1153</v>
      </c>
      <c r="G1170" s="2" t="str">
        <f>IF(Iterations[[#This Row],[Step]] =current_step, current_a,IF(Iterations[[#This Row],[Step]] &gt; current_step, "",Iterations[[#This Row],[a]]))</f>
        <v/>
      </c>
      <c r="H1170" s="2" t="str">
        <f>IF(Iterations[[#This Row],[Step]] =current_step, current_b,IF(Iterations[[#This Row],[Step]] &gt; current_step, "",Iterations[[#This Row],[b]]))</f>
        <v/>
      </c>
      <c r="I1170" s="2" t="str">
        <f>IF(Iterations[[#This Row],[Step]] =current_step, current_c,IF(Iterations[[#This Row],[Step]] &gt; current_step, "",Iterations[[#This Row],[c]]))</f>
        <v/>
      </c>
      <c r="J1170" s="2" t="str">
        <f>IF(Iterations[[#This Row],[Step]] =current_step, current_d,IF(Iterations[[#This Row],[Step]] &gt; current_step, "",Iterations[[#This Row],[d]]))</f>
        <v/>
      </c>
      <c r="K1170" s="2" t="str">
        <f>IF(Iterations[[#This Row],[Step]] =current_step, current_e,IF(Iterations[[#This Row],[Step]] &gt; current_step, "",Iterations[[#This Row],[e]]))</f>
        <v/>
      </c>
      <c r="L1170" s="2" t="str">
        <f>IF(Iterations[[#This Row],[Step]] =current_step, current_Total_Loss,IF(Iterations[[#This Row],[Step]] &gt; current_step, "",Iterations[[#This Row],[Total Loss]]))</f>
        <v/>
      </c>
      <c r="M1170" s="6" t="s">
        <v>27</v>
      </c>
      <c r="N1170" s="2" t="str">
        <f>IF(Iterations[[#This Row],[Step]] =current_step, current_Grad_a,IF(Iterations[[#This Row],[Step]] &gt; current_step, "",Iterations[[#This Row],[Grad_a]]))</f>
        <v/>
      </c>
      <c r="O1170" s="2" t="str">
        <f>IF(Iterations[[#This Row],[Step]] =current_step, current_Grad_b,IF(Iterations[[#This Row],[Step]] &gt; current_step, "",Iterations[[#This Row],[Grad_b]]))</f>
        <v/>
      </c>
      <c r="P1170" s="2" t="str">
        <f>IF(Iterations[[#This Row],[Step]] =current_step, current_Grad_c,IF(Iterations[[#This Row],[Step]] &gt; current_step, "",Iterations[[#This Row],[Grad_c]]))</f>
        <v/>
      </c>
      <c r="Q1170" s="2" t="str">
        <f>IF(Iterations[[#This Row],[Step]] =current_step, current_Grad_d,IF(Iterations[[#This Row],[Step]] &gt; current_step, "",Iterations[[#This Row],[Grad_d]]))</f>
        <v/>
      </c>
      <c r="R1170" s="2" t="str">
        <f>IF(Iterations[[#This Row],[Step]] =current_step, current_Grad_e,IF(Iterations[[#This Row],[Step]] &gt; current_step, "",Iterations[[#This Row],[Grad_e]]))</f>
        <v/>
      </c>
    </row>
    <row r="1171" spans="6:18" x14ac:dyDescent="0.3">
      <c r="F1171" s="2">
        <f t="shared" si="23"/>
        <v>1154</v>
      </c>
      <c r="G1171" s="2" t="str">
        <f>IF(Iterations[[#This Row],[Step]] =current_step, current_a,IF(Iterations[[#This Row],[Step]] &gt; current_step, "",Iterations[[#This Row],[a]]))</f>
        <v/>
      </c>
      <c r="H1171" s="2" t="str">
        <f>IF(Iterations[[#This Row],[Step]] =current_step, current_b,IF(Iterations[[#This Row],[Step]] &gt; current_step, "",Iterations[[#This Row],[b]]))</f>
        <v/>
      </c>
      <c r="I1171" s="2" t="str">
        <f>IF(Iterations[[#This Row],[Step]] =current_step, current_c,IF(Iterations[[#This Row],[Step]] &gt; current_step, "",Iterations[[#This Row],[c]]))</f>
        <v/>
      </c>
      <c r="J1171" s="2" t="str">
        <f>IF(Iterations[[#This Row],[Step]] =current_step, current_d,IF(Iterations[[#This Row],[Step]] &gt; current_step, "",Iterations[[#This Row],[d]]))</f>
        <v/>
      </c>
      <c r="K1171" s="2" t="str">
        <f>IF(Iterations[[#This Row],[Step]] =current_step, current_e,IF(Iterations[[#This Row],[Step]] &gt; current_step, "",Iterations[[#This Row],[e]]))</f>
        <v/>
      </c>
      <c r="L1171" s="2" t="str">
        <f>IF(Iterations[[#This Row],[Step]] =current_step, current_Total_Loss,IF(Iterations[[#This Row],[Step]] &gt; current_step, "",Iterations[[#This Row],[Total Loss]]))</f>
        <v/>
      </c>
      <c r="M1171" s="6" t="s">
        <v>27</v>
      </c>
      <c r="N1171" s="2" t="str">
        <f>IF(Iterations[[#This Row],[Step]] =current_step, current_Grad_a,IF(Iterations[[#This Row],[Step]] &gt; current_step, "",Iterations[[#This Row],[Grad_a]]))</f>
        <v/>
      </c>
      <c r="O1171" s="2" t="str">
        <f>IF(Iterations[[#This Row],[Step]] =current_step, current_Grad_b,IF(Iterations[[#This Row],[Step]] &gt; current_step, "",Iterations[[#This Row],[Grad_b]]))</f>
        <v/>
      </c>
      <c r="P1171" s="2" t="str">
        <f>IF(Iterations[[#This Row],[Step]] =current_step, current_Grad_c,IF(Iterations[[#This Row],[Step]] &gt; current_step, "",Iterations[[#This Row],[Grad_c]]))</f>
        <v/>
      </c>
      <c r="Q1171" s="2" t="str">
        <f>IF(Iterations[[#This Row],[Step]] =current_step, current_Grad_d,IF(Iterations[[#This Row],[Step]] &gt; current_step, "",Iterations[[#This Row],[Grad_d]]))</f>
        <v/>
      </c>
      <c r="R1171" s="2" t="str">
        <f>IF(Iterations[[#This Row],[Step]] =current_step, current_Grad_e,IF(Iterations[[#This Row],[Step]] &gt; current_step, "",Iterations[[#This Row],[Grad_e]]))</f>
        <v/>
      </c>
    </row>
    <row r="1172" spans="6:18" x14ac:dyDescent="0.3">
      <c r="F1172" s="2">
        <f t="shared" si="23"/>
        <v>1155</v>
      </c>
      <c r="G1172" s="2" t="str">
        <f>IF(Iterations[[#This Row],[Step]] =current_step, current_a,IF(Iterations[[#This Row],[Step]] &gt; current_step, "",Iterations[[#This Row],[a]]))</f>
        <v/>
      </c>
      <c r="H1172" s="2" t="str">
        <f>IF(Iterations[[#This Row],[Step]] =current_step, current_b,IF(Iterations[[#This Row],[Step]] &gt; current_step, "",Iterations[[#This Row],[b]]))</f>
        <v/>
      </c>
      <c r="I1172" s="2" t="str">
        <f>IF(Iterations[[#This Row],[Step]] =current_step, current_c,IF(Iterations[[#This Row],[Step]] &gt; current_step, "",Iterations[[#This Row],[c]]))</f>
        <v/>
      </c>
      <c r="J1172" s="2" t="str">
        <f>IF(Iterations[[#This Row],[Step]] =current_step, current_d,IF(Iterations[[#This Row],[Step]] &gt; current_step, "",Iterations[[#This Row],[d]]))</f>
        <v/>
      </c>
      <c r="K1172" s="2" t="str">
        <f>IF(Iterations[[#This Row],[Step]] =current_step, current_e,IF(Iterations[[#This Row],[Step]] &gt; current_step, "",Iterations[[#This Row],[e]]))</f>
        <v/>
      </c>
      <c r="L1172" s="2" t="str">
        <f>IF(Iterations[[#This Row],[Step]] =current_step, current_Total_Loss,IF(Iterations[[#This Row],[Step]] &gt; current_step, "",Iterations[[#This Row],[Total Loss]]))</f>
        <v/>
      </c>
      <c r="M1172" s="6" t="s">
        <v>27</v>
      </c>
      <c r="N1172" s="2" t="str">
        <f>IF(Iterations[[#This Row],[Step]] =current_step, current_Grad_a,IF(Iterations[[#This Row],[Step]] &gt; current_step, "",Iterations[[#This Row],[Grad_a]]))</f>
        <v/>
      </c>
      <c r="O1172" s="2" t="str">
        <f>IF(Iterations[[#This Row],[Step]] =current_step, current_Grad_b,IF(Iterations[[#This Row],[Step]] &gt; current_step, "",Iterations[[#This Row],[Grad_b]]))</f>
        <v/>
      </c>
      <c r="P1172" s="2" t="str">
        <f>IF(Iterations[[#This Row],[Step]] =current_step, current_Grad_c,IF(Iterations[[#This Row],[Step]] &gt; current_step, "",Iterations[[#This Row],[Grad_c]]))</f>
        <v/>
      </c>
      <c r="Q1172" s="2" t="str">
        <f>IF(Iterations[[#This Row],[Step]] =current_step, current_Grad_d,IF(Iterations[[#This Row],[Step]] &gt; current_step, "",Iterations[[#This Row],[Grad_d]]))</f>
        <v/>
      </c>
      <c r="R1172" s="2" t="str">
        <f>IF(Iterations[[#This Row],[Step]] =current_step, current_Grad_e,IF(Iterations[[#This Row],[Step]] &gt; current_step, "",Iterations[[#This Row],[Grad_e]]))</f>
        <v/>
      </c>
    </row>
    <row r="1173" spans="6:18" x14ac:dyDescent="0.3">
      <c r="F1173" s="2">
        <f t="shared" si="23"/>
        <v>1156</v>
      </c>
      <c r="G1173" s="2" t="str">
        <f>IF(Iterations[[#This Row],[Step]] =current_step, current_a,IF(Iterations[[#This Row],[Step]] &gt; current_step, "",Iterations[[#This Row],[a]]))</f>
        <v/>
      </c>
      <c r="H1173" s="2" t="str">
        <f>IF(Iterations[[#This Row],[Step]] =current_step, current_b,IF(Iterations[[#This Row],[Step]] &gt; current_step, "",Iterations[[#This Row],[b]]))</f>
        <v/>
      </c>
      <c r="I1173" s="2" t="str">
        <f>IF(Iterations[[#This Row],[Step]] =current_step, current_c,IF(Iterations[[#This Row],[Step]] &gt; current_step, "",Iterations[[#This Row],[c]]))</f>
        <v/>
      </c>
      <c r="J1173" s="2" t="str">
        <f>IF(Iterations[[#This Row],[Step]] =current_step, current_d,IF(Iterations[[#This Row],[Step]] &gt; current_step, "",Iterations[[#This Row],[d]]))</f>
        <v/>
      </c>
      <c r="K1173" s="2" t="str">
        <f>IF(Iterations[[#This Row],[Step]] =current_step, current_e,IF(Iterations[[#This Row],[Step]] &gt; current_step, "",Iterations[[#This Row],[e]]))</f>
        <v/>
      </c>
      <c r="L1173" s="2" t="str">
        <f>IF(Iterations[[#This Row],[Step]] =current_step, current_Total_Loss,IF(Iterations[[#This Row],[Step]] &gt; current_step, "",Iterations[[#This Row],[Total Loss]]))</f>
        <v/>
      </c>
      <c r="M1173" s="6" t="s">
        <v>27</v>
      </c>
      <c r="N1173" s="2" t="str">
        <f>IF(Iterations[[#This Row],[Step]] =current_step, current_Grad_a,IF(Iterations[[#This Row],[Step]] &gt; current_step, "",Iterations[[#This Row],[Grad_a]]))</f>
        <v/>
      </c>
      <c r="O1173" s="2" t="str">
        <f>IF(Iterations[[#This Row],[Step]] =current_step, current_Grad_b,IF(Iterations[[#This Row],[Step]] &gt; current_step, "",Iterations[[#This Row],[Grad_b]]))</f>
        <v/>
      </c>
      <c r="P1173" s="2" t="str">
        <f>IF(Iterations[[#This Row],[Step]] =current_step, current_Grad_c,IF(Iterations[[#This Row],[Step]] &gt; current_step, "",Iterations[[#This Row],[Grad_c]]))</f>
        <v/>
      </c>
      <c r="Q1173" s="2" t="str">
        <f>IF(Iterations[[#This Row],[Step]] =current_step, current_Grad_d,IF(Iterations[[#This Row],[Step]] &gt; current_step, "",Iterations[[#This Row],[Grad_d]]))</f>
        <v/>
      </c>
      <c r="R1173" s="2" t="str">
        <f>IF(Iterations[[#This Row],[Step]] =current_step, current_Grad_e,IF(Iterations[[#This Row],[Step]] &gt; current_step, "",Iterations[[#This Row],[Grad_e]]))</f>
        <v/>
      </c>
    </row>
    <row r="1174" spans="6:18" x14ac:dyDescent="0.3">
      <c r="F1174" s="2">
        <f t="shared" si="23"/>
        <v>1157</v>
      </c>
      <c r="G1174" s="2" t="str">
        <f>IF(Iterations[[#This Row],[Step]] =current_step, current_a,IF(Iterations[[#This Row],[Step]] &gt; current_step, "",Iterations[[#This Row],[a]]))</f>
        <v/>
      </c>
      <c r="H1174" s="2" t="str">
        <f>IF(Iterations[[#This Row],[Step]] =current_step, current_b,IF(Iterations[[#This Row],[Step]] &gt; current_step, "",Iterations[[#This Row],[b]]))</f>
        <v/>
      </c>
      <c r="I1174" s="2" t="str">
        <f>IF(Iterations[[#This Row],[Step]] =current_step, current_c,IF(Iterations[[#This Row],[Step]] &gt; current_step, "",Iterations[[#This Row],[c]]))</f>
        <v/>
      </c>
      <c r="J1174" s="2" t="str">
        <f>IF(Iterations[[#This Row],[Step]] =current_step, current_d,IF(Iterations[[#This Row],[Step]] &gt; current_step, "",Iterations[[#This Row],[d]]))</f>
        <v/>
      </c>
      <c r="K1174" s="2" t="str">
        <f>IF(Iterations[[#This Row],[Step]] =current_step, current_e,IF(Iterations[[#This Row],[Step]] &gt; current_step, "",Iterations[[#This Row],[e]]))</f>
        <v/>
      </c>
      <c r="L1174" s="2" t="str">
        <f>IF(Iterations[[#This Row],[Step]] =current_step, current_Total_Loss,IF(Iterations[[#This Row],[Step]] &gt; current_step, "",Iterations[[#This Row],[Total Loss]]))</f>
        <v/>
      </c>
      <c r="M1174" s="6" t="s">
        <v>27</v>
      </c>
      <c r="N1174" s="2" t="str">
        <f>IF(Iterations[[#This Row],[Step]] =current_step, current_Grad_a,IF(Iterations[[#This Row],[Step]] &gt; current_step, "",Iterations[[#This Row],[Grad_a]]))</f>
        <v/>
      </c>
      <c r="O1174" s="2" t="str">
        <f>IF(Iterations[[#This Row],[Step]] =current_step, current_Grad_b,IF(Iterations[[#This Row],[Step]] &gt; current_step, "",Iterations[[#This Row],[Grad_b]]))</f>
        <v/>
      </c>
      <c r="P1174" s="2" t="str">
        <f>IF(Iterations[[#This Row],[Step]] =current_step, current_Grad_c,IF(Iterations[[#This Row],[Step]] &gt; current_step, "",Iterations[[#This Row],[Grad_c]]))</f>
        <v/>
      </c>
      <c r="Q1174" s="2" t="str">
        <f>IF(Iterations[[#This Row],[Step]] =current_step, current_Grad_d,IF(Iterations[[#This Row],[Step]] &gt; current_step, "",Iterations[[#This Row],[Grad_d]]))</f>
        <v/>
      </c>
      <c r="R1174" s="2" t="str">
        <f>IF(Iterations[[#This Row],[Step]] =current_step, current_Grad_e,IF(Iterations[[#This Row],[Step]] &gt; current_step, "",Iterations[[#This Row],[Grad_e]]))</f>
        <v/>
      </c>
    </row>
    <row r="1175" spans="6:18" x14ac:dyDescent="0.3">
      <c r="F1175" s="2">
        <f t="shared" si="23"/>
        <v>1158</v>
      </c>
      <c r="G1175" s="2" t="str">
        <f>IF(Iterations[[#This Row],[Step]] =current_step, current_a,IF(Iterations[[#This Row],[Step]] &gt; current_step, "",Iterations[[#This Row],[a]]))</f>
        <v/>
      </c>
      <c r="H1175" s="2" t="str">
        <f>IF(Iterations[[#This Row],[Step]] =current_step, current_b,IF(Iterations[[#This Row],[Step]] &gt; current_step, "",Iterations[[#This Row],[b]]))</f>
        <v/>
      </c>
      <c r="I1175" s="2" t="str">
        <f>IF(Iterations[[#This Row],[Step]] =current_step, current_c,IF(Iterations[[#This Row],[Step]] &gt; current_step, "",Iterations[[#This Row],[c]]))</f>
        <v/>
      </c>
      <c r="J1175" s="2" t="str">
        <f>IF(Iterations[[#This Row],[Step]] =current_step, current_d,IF(Iterations[[#This Row],[Step]] &gt; current_step, "",Iterations[[#This Row],[d]]))</f>
        <v/>
      </c>
      <c r="K1175" s="2" t="str">
        <f>IF(Iterations[[#This Row],[Step]] =current_step, current_e,IF(Iterations[[#This Row],[Step]] &gt; current_step, "",Iterations[[#This Row],[e]]))</f>
        <v/>
      </c>
      <c r="L1175" s="2" t="str">
        <f>IF(Iterations[[#This Row],[Step]] =current_step, current_Total_Loss,IF(Iterations[[#This Row],[Step]] &gt; current_step, "",Iterations[[#This Row],[Total Loss]]))</f>
        <v/>
      </c>
      <c r="M1175" s="6" t="s">
        <v>27</v>
      </c>
      <c r="N1175" s="2" t="str">
        <f>IF(Iterations[[#This Row],[Step]] =current_step, current_Grad_a,IF(Iterations[[#This Row],[Step]] &gt; current_step, "",Iterations[[#This Row],[Grad_a]]))</f>
        <v/>
      </c>
      <c r="O1175" s="2" t="str">
        <f>IF(Iterations[[#This Row],[Step]] =current_step, current_Grad_b,IF(Iterations[[#This Row],[Step]] &gt; current_step, "",Iterations[[#This Row],[Grad_b]]))</f>
        <v/>
      </c>
      <c r="P1175" s="2" t="str">
        <f>IF(Iterations[[#This Row],[Step]] =current_step, current_Grad_c,IF(Iterations[[#This Row],[Step]] &gt; current_step, "",Iterations[[#This Row],[Grad_c]]))</f>
        <v/>
      </c>
      <c r="Q1175" s="2" t="str">
        <f>IF(Iterations[[#This Row],[Step]] =current_step, current_Grad_d,IF(Iterations[[#This Row],[Step]] &gt; current_step, "",Iterations[[#This Row],[Grad_d]]))</f>
        <v/>
      </c>
      <c r="R1175" s="2" t="str">
        <f>IF(Iterations[[#This Row],[Step]] =current_step, current_Grad_e,IF(Iterations[[#This Row],[Step]] &gt; current_step, "",Iterations[[#This Row],[Grad_e]]))</f>
        <v/>
      </c>
    </row>
    <row r="1176" spans="6:18" x14ac:dyDescent="0.3">
      <c r="F1176" s="2">
        <f t="shared" si="23"/>
        <v>1159</v>
      </c>
      <c r="G1176" s="2" t="str">
        <f>IF(Iterations[[#This Row],[Step]] =current_step, current_a,IF(Iterations[[#This Row],[Step]] &gt; current_step, "",Iterations[[#This Row],[a]]))</f>
        <v/>
      </c>
      <c r="H1176" s="2" t="str">
        <f>IF(Iterations[[#This Row],[Step]] =current_step, current_b,IF(Iterations[[#This Row],[Step]] &gt; current_step, "",Iterations[[#This Row],[b]]))</f>
        <v/>
      </c>
      <c r="I1176" s="2" t="str">
        <f>IF(Iterations[[#This Row],[Step]] =current_step, current_c,IF(Iterations[[#This Row],[Step]] &gt; current_step, "",Iterations[[#This Row],[c]]))</f>
        <v/>
      </c>
      <c r="J1176" s="2" t="str">
        <f>IF(Iterations[[#This Row],[Step]] =current_step, current_d,IF(Iterations[[#This Row],[Step]] &gt; current_step, "",Iterations[[#This Row],[d]]))</f>
        <v/>
      </c>
      <c r="K1176" s="2" t="str">
        <f>IF(Iterations[[#This Row],[Step]] =current_step, current_e,IF(Iterations[[#This Row],[Step]] &gt; current_step, "",Iterations[[#This Row],[e]]))</f>
        <v/>
      </c>
      <c r="L1176" s="2" t="str">
        <f>IF(Iterations[[#This Row],[Step]] =current_step, current_Total_Loss,IF(Iterations[[#This Row],[Step]] &gt; current_step, "",Iterations[[#This Row],[Total Loss]]))</f>
        <v/>
      </c>
      <c r="M1176" s="6" t="s">
        <v>27</v>
      </c>
      <c r="N1176" s="2" t="str">
        <f>IF(Iterations[[#This Row],[Step]] =current_step, current_Grad_a,IF(Iterations[[#This Row],[Step]] &gt; current_step, "",Iterations[[#This Row],[Grad_a]]))</f>
        <v/>
      </c>
      <c r="O1176" s="2" t="str">
        <f>IF(Iterations[[#This Row],[Step]] =current_step, current_Grad_b,IF(Iterations[[#This Row],[Step]] &gt; current_step, "",Iterations[[#This Row],[Grad_b]]))</f>
        <v/>
      </c>
      <c r="P1176" s="2" t="str">
        <f>IF(Iterations[[#This Row],[Step]] =current_step, current_Grad_c,IF(Iterations[[#This Row],[Step]] &gt; current_step, "",Iterations[[#This Row],[Grad_c]]))</f>
        <v/>
      </c>
      <c r="Q1176" s="2" t="str">
        <f>IF(Iterations[[#This Row],[Step]] =current_step, current_Grad_d,IF(Iterations[[#This Row],[Step]] &gt; current_step, "",Iterations[[#This Row],[Grad_d]]))</f>
        <v/>
      </c>
      <c r="R1176" s="2" t="str">
        <f>IF(Iterations[[#This Row],[Step]] =current_step, current_Grad_e,IF(Iterations[[#This Row],[Step]] &gt; current_step, "",Iterations[[#This Row],[Grad_e]]))</f>
        <v/>
      </c>
    </row>
    <row r="1177" spans="6:18" x14ac:dyDescent="0.3">
      <c r="F1177" s="2">
        <f t="shared" si="23"/>
        <v>1160</v>
      </c>
      <c r="G1177" s="2" t="str">
        <f>IF(Iterations[[#This Row],[Step]] =current_step, current_a,IF(Iterations[[#This Row],[Step]] &gt; current_step, "",Iterations[[#This Row],[a]]))</f>
        <v/>
      </c>
      <c r="H1177" s="2" t="str">
        <f>IF(Iterations[[#This Row],[Step]] =current_step, current_b,IF(Iterations[[#This Row],[Step]] &gt; current_step, "",Iterations[[#This Row],[b]]))</f>
        <v/>
      </c>
      <c r="I1177" s="2" t="str">
        <f>IF(Iterations[[#This Row],[Step]] =current_step, current_c,IF(Iterations[[#This Row],[Step]] &gt; current_step, "",Iterations[[#This Row],[c]]))</f>
        <v/>
      </c>
      <c r="J1177" s="2" t="str">
        <f>IF(Iterations[[#This Row],[Step]] =current_step, current_d,IF(Iterations[[#This Row],[Step]] &gt; current_step, "",Iterations[[#This Row],[d]]))</f>
        <v/>
      </c>
      <c r="K1177" s="2" t="str">
        <f>IF(Iterations[[#This Row],[Step]] =current_step, current_e,IF(Iterations[[#This Row],[Step]] &gt; current_step, "",Iterations[[#This Row],[e]]))</f>
        <v/>
      </c>
      <c r="L1177" s="2" t="str">
        <f>IF(Iterations[[#This Row],[Step]] =current_step, current_Total_Loss,IF(Iterations[[#This Row],[Step]] &gt; current_step, "",Iterations[[#This Row],[Total Loss]]))</f>
        <v/>
      </c>
      <c r="M1177" s="6" t="s">
        <v>27</v>
      </c>
      <c r="N1177" s="2" t="str">
        <f>IF(Iterations[[#This Row],[Step]] =current_step, current_Grad_a,IF(Iterations[[#This Row],[Step]] &gt; current_step, "",Iterations[[#This Row],[Grad_a]]))</f>
        <v/>
      </c>
      <c r="O1177" s="2" t="str">
        <f>IF(Iterations[[#This Row],[Step]] =current_step, current_Grad_b,IF(Iterations[[#This Row],[Step]] &gt; current_step, "",Iterations[[#This Row],[Grad_b]]))</f>
        <v/>
      </c>
      <c r="P1177" s="2" t="str">
        <f>IF(Iterations[[#This Row],[Step]] =current_step, current_Grad_c,IF(Iterations[[#This Row],[Step]] &gt; current_step, "",Iterations[[#This Row],[Grad_c]]))</f>
        <v/>
      </c>
      <c r="Q1177" s="2" t="str">
        <f>IF(Iterations[[#This Row],[Step]] =current_step, current_Grad_d,IF(Iterations[[#This Row],[Step]] &gt; current_step, "",Iterations[[#This Row],[Grad_d]]))</f>
        <v/>
      </c>
      <c r="R1177" s="2" t="str">
        <f>IF(Iterations[[#This Row],[Step]] =current_step, current_Grad_e,IF(Iterations[[#This Row],[Step]] &gt; current_step, "",Iterations[[#This Row],[Grad_e]]))</f>
        <v/>
      </c>
    </row>
    <row r="1178" spans="6:18" x14ac:dyDescent="0.3">
      <c r="F1178" s="2">
        <f t="shared" si="23"/>
        <v>1161</v>
      </c>
      <c r="G1178" s="2" t="str">
        <f>IF(Iterations[[#This Row],[Step]] =current_step, current_a,IF(Iterations[[#This Row],[Step]] &gt; current_step, "",Iterations[[#This Row],[a]]))</f>
        <v/>
      </c>
      <c r="H1178" s="2" t="str">
        <f>IF(Iterations[[#This Row],[Step]] =current_step, current_b,IF(Iterations[[#This Row],[Step]] &gt; current_step, "",Iterations[[#This Row],[b]]))</f>
        <v/>
      </c>
      <c r="I1178" s="2" t="str">
        <f>IF(Iterations[[#This Row],[Step]] =current_step, current_c,IF(Iterations[[#This Row],[Step]] &gt; current_step, "",Iterations[[#This Row],[c]]))</f>
        <v/>
      </c>
      <c r="J1178" s="2" t="str">
        <f>IF(Iterations[[#This Row],[Step]] =current_step, current_d,IF(Iterations[[#This Row],[Step]] &gt; current_step, "",Iterations[[#This Row],[d]]))</f>
        <v/>
      </c>
      <c r="K1178" s="2" t="str">
        <f>IF(Iterations[[#This Row],[Step]] =current_step, current_e,IF(Iterations[[#This Row],[Step]] &gt; current_step, "",Iterations[[#This Row],[e]]))</f>
        <v/>
      </c>
      <c r="L1178" s="2" t="str">
        <f>IF(Iterations[[#This Row],[Step]] =current_step, current_Total_Loss,IF(Iterations[[#This Row],[Step]] &gt; current_step, "",Iterations[[#This Row],[Total Loss]]))</f>
        <v/>
      </c>
      <c r="M1178" s="6" t="s">
        <v>27</v>
      </c>
      <c r="N1178" s="2" t="str">
        <f>IF(Iterations[[#This Row],[Step]] =current_step, current_Grad_a,IF(Iterations[[#This Row],[Step]] &gt; current_step, "",Iterations[[#This Row],[Grad_a]]))</f>
        <v/>
      </c>
      <c r="O1178" s="2" t="str">
        <f>IF(Iterations[[#This Row],[Step]] =current_step, current_Grad_b,IF(Iterations[[#This Row],[Step]] &gt; current_step, "",Iterations[[#This Row],[Grad_b]]))</f>
        <v/>
      </c>
      <c r="P1178" s="2" t="str">
        <f>IF(Iterations[[#This Row],[Step]] =current_step, current_Grad_c,IF(Iterations[[#This Row],[Step]] &gt; current_step, "",Iterations[[#This Row],[Grad_c]]))</f>
        <v/>
      </c>
      <c r="Q1178" s="2" t="str">
        <f>IF(Iterations[[#This Row],[Step]] =current_step, current_Grad_d,IF(Iterations[[#This Row],[Step]] &gt; current_step, "",Iterations[[#This Row],[Grad_d]]))</f>
        <v/>
      </c>
      <c r="R1178" s="2" t="str">
        <f>IF(Iterations[[#This Row],[Step]] =current_step, current_Grad_e,IF(Iterations[[#This Row],[Step]] &gt; current_step, "",Iterations[[#This Row],[Grad_e]]))</f>
        <v/>
      </c>
    </row>
    <row r="1179" spans="6:18" x14ac:dyDescent="0.3">
      <c r="F1179" s="2">
        <f t="shared" si="23"/>
        <v>1162</v>
      </c>
      <c r="G1179" s="2" t="str">
        <f>IF(Iterations[[#This Row],[Step]] =current_step, current_a,IF(Iterations[[#This Row],[Step]] &gt; current_step, "",Iterations[[#This Row],[a]]))</f>
        <v/>
      </c>
      <c r="H1179" s="2" t="str">
        <f>IF(Iterations[[#This Row],[Step]] =current_step, current_b,IF(Iterations[[#This Row],[Step]] &gt; current_step, "",Iterations[[#This Row],[b]]))</f>
        <v/>
      </c>
      <c r="I1179" s="2" t="str">
        <f>IF(Iterations[[#This Row],[Step]] =current_step, current_c,IF(Iterations[[#This Row],[Step]] &gt; current_step, "",Iterations[[#This Row],[c]]))</f>
        <v/>
      </c>
      <c r="J1179" s="2" t="str">
        <f>IF(Iterations[[#This Row],[Step]] =current_step, current_d,IF(Iterations[[#This Row],[Step]] &gt; current_step, "",Iterations[[#This Row],[d]]))</f>
        <v/>
      </c>
      <c r="K1179" s="2" t="str">
        <f>IF(Iterations[[#This Row],[Step]] =current_step, current_e,IF(Iterations[[#This Row],[Step]] &gt; current_step, "",Iterations[[#This Row],[e]]))</f>
        <v/>
      </c>
      <c r="L1179" s="2" t="str">
        <f>IF(Iterations[[#This Row],[Step]] =current_step, current_Total_Loss,IF(Iterations[[#This Row],[Step]] &gt; current_step, "",Iterations[[#This Row],[Total Loss]]))</f>
        <v/>
      </c>
      <c r="M1179" s="6" t="s">
        <v>27</v>
      </c>
      <c r="N1179" s="2" t="str">
        <f>IF(Iterations[[#This Row],[Step]] =current_step, current_Grad_a,IF(Iterations[[#This Row],[Step]] &gt; current_step, "",Iterations[[#This Row],[Grad_a]]))</f>
        <v/>
      </c>
      <c r="O1179" s="2" t="str">
        <f>IF(Iterations[[#This Row],[Step]] =current_step, current_Grad_b,IF(Iterations[[#This Row],[Step]] &gt; current_step, "",Iterations[[#This Row],[Grad_b]]))</f>
        <v/>
      </c>
      <c r="P1179" s="2" t="str">
        <f>IF(Iterations[[#This Row],[Step]] =current_step, current_Grad_c,IF(Iterations[[#This Row],[Step]] &gt; current_step, "",Iterations[[#This Row],[Grad_c]]))</f>
        <v/>
      </c>
      <c r="Q1179" s="2" t="str">
        <f>IF(Iterations[[#This Row],[Step]] =current_step, current_Grad_d,IF(Iterations[[#This Row],[Step]] &gt; current_step, "",Iterations[[#This Row],[Grad_d]]))</f>
        <v/>
      </c>
      <c r="R1179" s="2" t="str">
        <f>IF(Iterations[[#This Row],[Step]] =current_step, current_Grad_e,IF(Iterations[[#This Row],[Step]] &gt; current_step, "",Iterations[[#This Row],[Grad_e]]))</f>
        <v/>
      </c>
    </row>
    <row r="1180" spans="6:18" x14ac:dyDescent="0.3">
      <c r="F1180" s="2">
        <f t="shared" si="23"/>
        <v>1163</v>
      </c>
      <c r="G1180" s="2" t="str">
        <f>IF(Iterations[[#This Row],[Step]] =current_step, current_a,IF(Iterations[[#This Row],[Step]] &gt; current_step, "",Iterations[[#This Row],[a]]))</f>
        <v/>
      </c>
      <c r="H1180" s="2" t="str">
        <f>IF(Iterations[[#This Row],[Step]] =current_step, current_b,IF(Iterations[[#This Row],[Step]] &gt; current_step, "",Iterations[[#This Row],[b]]))</f>
        <v/>
      </c>
      <c r="I1180" s="2" t="str">
        <f>IF(Iterations[[#This Row],[Step]] =current_step, current_c,IF(Iterations[[#This Row],[Step]] &gt; current_step, "",Iterations[[#This Row],[c]]))</f>
        <v/>
      </c>
      <c r="J1180" s="2" t="str">
        <f>IF(Iterations[[#This Row],[Step]] =current_step, current_d,IF(Iterations[[#This Row],[Step]] &gt; current_step, "",Iterations[[#This Row],[d]]))</f>
        <v/>
      </c>
      <c r="K1180" s="2" t="str">
        <f>IF(Iterations[[#This Row],[Step]] =current_step, current_e,IF(Iterations[[#This Row],[Step]] &gt; current_step, "",Iterations[[#This Row],[e]]))</f>
        <v/>
      </c>
      <c r="L1180" s="2" t="str">
        <f>IF(Iterations[[#This Row],[Step]] =current_step, current_Total_Loss,IF(Iterations[[#This Row],[Step]] &gt; current_step, "",Iterations[[#This Row],[Total Loss]]))</f>
        <v/>
      </c>
      <c r="M1180" s="6" t="s">
        <v>27</v>
      </c>
      <c r="N1180" s="2" t="str">
        <f>IF(Iterations[[#This Row],[Step]] =current_step, current_Grad_a,IF(Iterations[[#This Row],[Step]] &gt; current_step, "",Iterations[[#This Row],[Grad_a]]))</f>
        <v/>
      </c>
      <c r="O1180" s="2" t="str">
        <f>IF(Iterations[[#This Row],[Step]] =current_step, current_Grad_b,IF(Iterations[[#This Row],[Step]] &gt; current_step, "",Iterations[[#This Row],[Grad_b]]))</f>
        <v/>
      </c>
      <c r="P1180" s="2" t="str">
        <f>IF(Iterations[[#This Row],[Step]] =current_step, current_Grad_c,IF(Iterations[[#This Row],[Step]] &gt; current_step, "",Iterations[[#This Row],[Grad_c]]))</f>
        <v/>
      </c>
      <c r="Q1180" s="2" t="str">
        <f>IF(Iterations[[#This Row],[Step]] =current_step, current_Grad_d,IF(Iterations[[#This Row],[Step]] &gt; current_step, "",Iterations[[#This Row],[Grad_d]]))</f>
        <v/>
      </c>
      <c r="R1180" s="2" t="str">
        <f>IF(Iterations[[#This Row],[Step]] =current_step, current_Grad_e,IF(Iterations[[#This Row],[Step]] &gt; current_step, "",Iterations[[#This Row],[Grad_e]]))</f>
        <v/>
      </c>
    </row>
    <row r="1181" spans="6:18" x14ac:dyDescent="0.3">
      <c r="F1181" s="2">
        <f t="shared" si="23"/>
        <v>1164</v>
      </c>
      <c r="G1181" s="2" t="str">
        <f>IF(Iterations[[#This Row],[Step]] =current_step, current_a,IF(Iterations[[#This Row],[Step]] &gt; current_step, "",Iterations[[#This Row],[a]]))</f>
        <v/>
      </c>
      <c r="H1181" s="2" t="str">
        <f>IF(Iterations[[#This Row],[Step]] =current_step, current_b,IF(Iterations[[#This Row],[Step]] &gt; current_step, "",Iterations[[#This Row],[b]]))</f>
        <v/>
      </c>
      <c r="I1181" s="2" t="str">
        <f>IF(Iterations[[#This Row],[Step]] =current_step, current_c,IF(Iterations[[#This Row],[Step]] &gt; current_step, "",Iterations[[#This Row],[c]]))</f>
        <v/>
      </c>
      <c r="J1181" s="2" t="str">
        <f>IF(Iterations[[#This Row],[Step]] =current_step, current_d,IF(Iterations[[#This Row],[Step]] &gt; current_step, "",Iterations[[#This Row],[d]]))</f>
        <v/>
      </c>
      <c r="K1181" s="2" t="str">
        <f>IF(Iterations[[#This Row],[Step]] =current_step, current_e,IF(Iterations[[#This Row],[Step]] &gt; current_step, "",Iterations[[#This Row],[e]]))</f>
        <v/>
      </c>
      <c r="L1181" s="2" t="str">
        <f>IF(Iterations[[#This Row],[Step]] =current_step, current_Total_Loss,IF(Iterations[[#This Row],[Step]] &gt; current_step, "",Iterations[[#This Row],[Total Loss]]))</f>
        <v/>
      </c>
      <c r="M1181" s="6" t="s">
        <v>27</v>
      </c>
      <c r="N1181" s="2" t="str">
        <f>IF(Iterations[[#This Row],[Step]] =current_step, current_Grad_a,IF(Iterations[[#This Row],[Step]] &gt; current_step, "",Iterations[[#This Row],[Grad_a]]))</f>
        <v/>
      </c>
      <c r="O1181" s="2" t="str">
        <f>IF(Iterations[[#This Row],[Step]] =current_step, current_Grad_b,IF(Iterations[[#This Row],[Step]] &gt; current_step, "",Iterations[[#This Row],[Grad_b]]))</f>
        <v/>
      </c>
      <c r="P1181" s="2" t="str">
        <f>IF(Iterations[[#This Row],[Step]] =current_step, current_Grad_c,IF(Iterations[[#This Row],[Step]] &gt; current_step, "",Iterations[[#This Row],[Grad_c]]))</f>
        <v/>
      </c>
      <c r="Q1181" s="2" t="str">
        <f>IF(Iterations[[#This Row],[Step]] =current_step, current_Grad_d,IF(Iterations[[#This Row],[Step]] &gt; current_step, "",Iterations[[#This Row],[Grad_d]]))</f>
        <v/>
      </c>
      <c r="R1181" s="2" t="str">
        <f>IF(Iterations[[#This Row],[Step]] =current_step, current_Grad_e,IF(Iterations[[#This Row],[Step]] &gt; current_step, "",Iterations[[#This Row],[Grad_e]]))</f>
        <v/>
      </c>
    </row>
    <row r="1182" spans="6:18" x14ac:dyDescent="0.3">
      <c r="F1182" s="2">
        <f t="shared" si="23"/>
        <v>1165</v>
      </c>
      <c r="G1182" s="2" t="str">
        <f>IF(Iterations[[#This Row],[Step]] =current_step, current_a,IF(Iterations[[#This Row],[Step]] &gt; current_step, "",Iterations[[#This Row],[a]]))</f>
        <v/>
      </c>
      <c r="H1182" s="2" t="str">
        <f>IF(Iterations[[#This Row],[Step]] =current_step, current_b,IF(Iterations[[#This Row],[Step]] &gt; current_step, "",Iterations[[#This Row],[b]]))</f>
        <v/>
      </c>
      <c r="I1182" s="2" t="str">
        <f>IF(Iterations[[#This Row],[Step]] =current_step, current_c,IF(Iterations[[#This Row],[Step]] &gt; current_step, "",Iterations[[#This Row],[c]]))</f>
        <v/>
      </c>
      <c r="J1182" s="2" t="str">
        <f>IF(Iterations[[#This Row],[Step]] =current_step, current_d,IF(Iterations[[#This Row],[Step]] &gt; current_step, "",Iterations[[#This Row],[d]]))</f>
        <v/>
      </c>
      <c r="K1182" s="2" t="str">
        <f>IF(Iterations[[#This Row],[Step]] =current_step, current_e,IF(Iterations[[#This Row],[Step]] &gt; current_step, "",Iterations[[#This Row],[e]]))</f>
        <v/>
      </c>
      <c r="L1182" s="2" t="str">
        <f>IF(Iterations[[#This Row],[Step]] =current_step, current_Total_Loss,IF(Iterations[[#This Row],[Step]] &gt; current_step, "",Iterations[[#This Row],[Total Loss]]))</f>
        <v/>
      </c>
      <c r="M1182" s="6" t="s">
        <v>27</v>
      </c>
      <c r="N1182" s="2" t="str">
        <f>IF(Iterations[[#This Row],[Step]] =current_step, current_Grad_a,IF(Iterations[[#This Row],[Step]] &gt; current_step, "",Iterations[[#This Row],[Grad_a]]))</f>
        <v/>
      </c>
      <c r="O1182" s="2" t="str">
        <f>IF(Iterations[[#This Row],[Step]] =current_step, current_Grad_b,IF(Iterations[[#This Row],[Step]] &gt; current_step, "",Iterations[[#This Row],[Grad_b]]))</f>
        <v/>
      </c>
      <c r="P1182" s="2" t="str">
        <f>IF(Iterations[[#This Row],[Step]] =current_step, current_Grad_c,IF(Iterations[[#This Row],[Step]] &gt; current_step, "",Iterations[[#This Row],[Grad_c]]))</f>
        <v/>
      </c>
      <c r="Q1182" s="2" t="str">
        <f>IF(Iterations[[#This Row],[Step]] =current_step, current_Grad_d,IF(Iterations[[#This Row],[Step]] &gt; current_step, "",Iterations[[#This Row],[Grad_d]]))</f>
        <v/>
      </c>
      <c r="R1182" s="2" t="str">
        <f>IF(Iterations[[#This Row],[Step]] =current_step, current_Grad_e,IF(Iterations[[#This Row],[Step]] &gt; current_step, "",Iterations[[#This Row],[Grad_e]]))</f>
        <v/>
      </c>
    </row>
    <row r="1183" spans="6:18" x14ac:dyDescent="0.3">
      <c r="F1183" s="2">
        <f t="shared" si="23"/>
        <v>1166</v>
      </c>
      <c r="G1183" s="2" t="str">
        <f>IF(Iterations[[#This Row],[Step]] =current_step, current_a,IF(Iterations[[#This Row],[Step]] &gt; current_step, "",Iterations[[#This Row],[a]]))</f>
        <v/>
      </c>
      <c r="H1183" s="2" t="str">
        <f>IF(Iterations[[#This Row],[Step]] =current_step, current_b,IF(Iterations[[#This Row],[Step]] &gt; current_step, "",Iterations[[#This Row],[b]]))</f>
        <v/>
      </c>
      <c r="I1183" s="2" t="str">
        <f>IF(Iterations[[#This Row],[Step]] =current_step, current_c,IF(Iterations[[#This Row],[Step]] &gt; current_step, "",Iterations[[#This Row],[c]]))</f>
        <v/>
      </c>
      <c r="J1183" s="2" t="str">
        <f>IF(Iterations[[#This Row],[Step]] =current_step, current_d,IF(Iterations[[#This Row],[Step]] &gt; current_step, "",Iterations[[#This Row],[d]]))</f>
        <v/>
      </c>
      <c r="K1183" s="2" t="str">
        <f>IF(Iterations[[#This Row],[Step]] =current_step, current_e,IF(Iterations[[#This Row],[Step]] &gt; current_step, "",Iterations[[#This Row],[e]]))</f>
        <v/>
      </c>
      <c r="L1183" s="2" t="str">
        <f>IF(Iterations[[#This Row],[Step]] =current_step, current_Total_Loss,IF(Iterations[[#This Row],[Step]] &gt; current_step, "",Iterations[[#This Row],[Total Loss]]))</f>
        <v/>
      </c>
      <c r="M1183" s="6" t="s">
        <v>27</v>
      </c>
      <c r="N1183" s="2" t="str">
        <f>IF(Iterations[[#This Row],[Step]] =current_step, current_Grad_a,IF(Iterations[[#This Row],[Step]] &gt; current_step, "",Iterations[[#This Row],[Grad_a]]))</f>
        <v/>
      </c>
      <c r="O1183" s="2" t="str">
        <f>IF(Iterations[[#This Row],[Step]] =current_step, current_Grad_b,IF(Iterations[[#This Row],[Step]] &gt; current_step, "",Iterations[[#This Row],[Grad_b]]))</f>
        <v/>
      </c>
      <c r="P1183" s="2" t="str">
        <f>IF(Iterations[[#This Row],[Step]] =current_step, current_Grad_c,IF(Iterations[[#This Row],[Step]] &gt; current_step, "",Iterations[[#This Row],[Grad_c]]))</f>
        <v/>
      </c>
      <c r="Q1183" s="2" t="str">
        <f>IF(Iterations[[#This Row],[Step]] =current_step, current_Grad_d,IF(Iterations[[#This Row],[Step]] &gt; current_step, "",Iterations[[#This Row],[Grad_d]]))</f>
        <v/>
      </c>
      <c r="R1183" s="2" t="str">
        <f>IF(Iterations[[#This Row],[Step]] =current_step, current_Grad_e,IF(Iterations[[#This Row],[Step]] &gt; current_step, "",Iterations[[#This Row],[Grad_e]]))</f>
        <v/>
      </c>
    </row>
    <row r="1184" spans="6:18" x14ac:dyDescent="0.3">
      <c r="F1184" s="2">
        <f t="shared" si="23"/>
        <v>1167</v>
      </c>
      <c r="G1184" s="2" t="str">
        <f>IF(Iterations[[#This Row],[Step]] =current_step, current_a,IF(Iterations[[#This Row],[Step]] &gt; current_step, "",Iterations[[#This Row],[a]]))</f>
        <v/>
      </c>
      <c r="H1184" s="2" t="str">
        <f>IF(Iterations[[#This Row],[Step]] =current_step, current_b,IF(Iterations[[#This Row],[Step]] &gt; current_step, "",Iterations[[#This Row],[b]]))</f>
        <v/>
      </c>
      <c r="I1184" s="2" t="str">
        <f>IF(Iterations[[#This Row],[Step]] =current_step, current_c,IF(Iterations[[#This Row],[Step]] &gt; current_step, "",Iterations[[#This Row],[c]]))</f>
        <v/>
      </c>
      <c r="J1184" s="2" t="str">
        <f>IF(Iterations[[#This Row],[Step]] =current_step, current_d,IF(Iterations[[#This Row],[Step]] &gt; current_step, "",Iterations[[#This Row],[d]]))</f>
        <v/>
      </c>
      <c r="K1184" s="2" t="str">
        <f>IF(Iterations[[#This Row],[Step]] =current_step, current_e,IF(Iterations[[#This Row],[Step]] &gt; current_step, "",Iterations[[#This Row],[e]]))</f>
        <v/>
      </c>
      <c r="L1184" s="2" t="str">
        <f>IF(Iterations[[#This Row],[Step]] =current_step, current_Total_Loss,IF(Iterations[[#This Row],[Step]] &gt; current_step, "",Iterations[[#This Row],[Total Loss]]))</f>
        <v/>
      </c>
      <c r="M1184" s="6" t="s">
        <v>27</v>
      </c>
      <c r="N1184" s="2" t="str">
        <f>IF(Iterations[[#This Row],[Step]] =current_step, current_Grad_a,IF(Iterations[[#This Row],[Step]] &gt; current_step, "",Iterations[[#This Row],[Grad_a]]))</f>
        <v/>
      </c>
      <c r="O1184" s="2" t="str">
        <f>IF(Iterations[[#This Row],[Step]] =current_step, current_Grad_b,IF(Iterations[[#This Row],[Step]] &gt; current_step, "",Iterations[[#This Row],[Grad_b]]))</f>
        <v/>
      </c>
      <c r="P1184" s="2" t="str">
        <f>IF(Iterations[[#This Row],[Step]] =current_step, current_Grad_c,IF(Iterations[[#This Row],[Step]] &gt; current_step, "",Iterations[[#This Row],[Grad_c]]))</f>
        <v/>
      </c>
      <c r="Q1184" s="2" t="str">
        <f>IF(Iterations[[#This Row],[Step]] =current_step, current_Grad_d,IF(Iterations[[#This Row],[Step]] &gt; current_step, "",Iterations[[#This Row],[Grad_d]]))</f>
        <v/>
      </c>
      <c r="R1184" s="2" t="str">
        <f>IF(Iterations[[#This Row],[Step]] =current_step, current_Grad_e,IF(Iterations[[#This Row],[Step]] &gt; current_step, "",Iterations[[#This Row],[Grad_e]]))</f>
        <v/>
      </c>
    </row>
    <row r="1185" spans="6:18" x14ac:dyDescent="0.3">
      <c r="F1185" s="2">
        <f t="shared" si="23"/>
        <v>1168</v>
      </c>
      <c r="G1185" s="2" t="str">
        <f>IF(Iterations[[#This Row],[Step]] =current_step, current_a,IF(Iterations[[#This Row],[Step]] &gt; current_step, "",Iterations[[#This Row],[a]]))</f>
        <v/>
      </c>
      <c r="H1185" s="2" t="str">
        <f>IF(Iterations[[#This Row],[Step]] =current_step, current_b,IF(Iterations[[#This Row],[Step]] &gt; current_step, "",Iterations[[#This Row],[b]]))</f>
        <v/>
      </c>
      <c r="I1185" s="2" t="str">
        <f>IF(Iterations[[#This Row],[Step]] =current_step, current_c,IF(Iterations[[#This Row],[Step]] &gt; current_step, "",Iterations[[#This Row],[c]]))</f>
        <v/>
      </c>
      <c r="J1185" s="2" t="str">
        <f>IF(Iterations[[#This Row],[Step]] =current_step, current_d,IF(Iterations[[#This Row],[Step]] &gt; current_step, "",Iterations[[#This Row],[d]]))</f>
        <v/>
      </c>
      <c r="K1185" s="2" t="str">
        <f>IF(Iterations[[#This Row],[Step]] =current_step, current_e,IF(Iterations[[#This Row],[Step]] &gt; current_step, "",Iterations[[#This Row],[e]]))</f>
        <v/>
      </c>
      <c r="L1185" s="2" t="str">
        <f>IF(Iterations[[#This Row],[Step]] =current_step, current_Total_Loss,IF(Iterations[[#This Row],[Step]] &gt; current_step, "",Iterations[[#This Row],[Total Loss]]))</f>
        <v/>
      </c>
      <c r="M1185" s="6" t="s">
        <v>27</v>
      </c>
      <c r="N1185" s="2" t="str">
        <f>IF(Iterations[[#This Row],[Step]] =current_step, current_Grad_a,IF(Iterations[[#This Row],[Step]] &gt; current_step, "",Iterations[[#This Row],[Grad_a]]))</f>
        <v/>
      </c>
      <c r="O1185" s="2" t="str">
        <f>IF(Iterations[[#This Row],[Step]] =current_step, current_Grad_b,IF(Iterations[[#This Row],[Step]] &gt; current_step, "",Iterations[[#This Row],[Grad_b]]))</f>
        <v/>
      </c>
      <c r="P1185" s="2" t="str">
        <f>IF(Iterations[[#This Row],[Step]] =current_step, current_Grad_c,IF(Iterations[[#This Row],[Step]] &gt; current_step, "",Iterations[[#This Row],[Grad_c]]))</f>
        <v/>
      </c>
      <c r="Q1185" s="2" t="str">
        <f>IF(Iterations[[#This Row],[Step]] =current_step, current_Grad_d,IF(Iterations[[#This Row],[Step]] &gt; current_step, "",Iterations[[#This Row],[Grad_d]]))</f>
        <v/>
      </c>
      <c r="R1185" s="2" t="str">
        <f>IF(Iterations[[#This Row],[Step]] =current_step, current_Grad_e,IF(Iterations[[#This Row],[Step]] &gt; current_step, "",Iterations[[#This Row],[Grad_e]]))</f>
        <v/>
      </c>
    </row>
    <row r="1186" spans="6:18" x14ac:dyDescent="0.3">
      <c r="F1186" s="2">
        <f t="shared" si="23"/>
        <v>1169</v>
      </c>
      <c r="G1186" s="2" t="str">
        <f>IF(Iterations[[#This Row],[Step]] =current_step, current_a,IF(Iterations[[#This Row],[Step]] &gt; current_step, "",Iterations[[#This Row],[a]]))</f>
        <v/>
      </c>
      <c r="H1186" s="2" t="str">
        <f>IF(Iterations[[#This Row],[Step]] =current_step, current_b,IF(Iterations[[#This Row],[Step]] &gt; current_step, "",Iterations[[#This Row],[b]]))</f>
        <v/>
      </c>
      <c r="I1186" s="2" t="str">
        <f>IF(Iterations[[#This Row],[Step]] =current_step, current_c,IF(Iterations[[#This Row],[Step]] &gt; current_step, "",Iterations[[#This Row],[c]]))</f>
        <v/>
      </c>
      <c r="J1186" s="2" t="str">
        <f>IF(Iterations[[#This Row],[Step]] =current_step, current_d,IF(Iterations[[#This Row],[Step]] &gt; current_step, "",Iterations[[#This Row],[d]]))</f>
        <v/>
      </c>
      <c r="K1186" s="2" t="str">
        <f>IF(Iterations[[#This Row],[Step]] =current_step, current_e,IF(Iterations[[#This Row],[Step]] &gt; current_step, "",Iterations[[#This Row],[e]]))</f>
        <v/>
      </c>
      <c r="L1186" s="2" t="str">
        <f>IF(Iterations[[#This Row],[Step]] =current_step, current_Total_Loss,IF(Iterations[[#This Row],[Step]] &gt; current_step, "",Iterations[[#This Row],[Total Loss]]))</f>
        <v/>
      </c>
      <c r="M1186" s="6" t="s">
        <v>27</v>
      </c>
      <c r="N1186" s="2" t="str">
        <f>IF(Iterations[[#This Row],[Step]] =current_step, current_Grad_a,IF(Iterations[[#This Row],[Step]] &gt; current_step, "",Iterations[[#This Row],[Grad_a]]))</f>
        <v/>
      </c>
      <c r="O1186" s="2" t="str">
        <f>IF(Iterations[[#This Row],[Step]] =current_step, current_Grad_b,IF(Iterations[[#This Row],[Step]] &gt; current_step, "",Iterations[[#This Row],[Grad_b]]))</f>
        <v/>
      </c>
      <c r="P1186" s="2" t="str">
        <f>IF(Iterations[[#This Row],[Step]] =current_step, current_Grad_c,IF(Iterations[[#This Row],[Step]] &gt; current_step, "",Iterations[[#This Row],[Grad_c]]))</f>
        <v/>
      </c>
      <c r="Q1186" s="2" t="str">
        <f>IF(Iterations[[#This Row],[Step]] =current_step, current_Grad_d,IF(Iterations[[#This Row],[Step]] &gt; current_step, "",Iterations[[#This Row],[Grad_d]]))</f>
        <v/>
      </c>
      <c r="R1186" s="2" t="str">
        <f>IF(Iterations[[#This Row],[Step]] =current_step, current_Grad_e,IF(Iterations[[#This Row],[Step]] &gt; current_step, "",Iterations[[#This Row],[Grad_e]]))</f>
        <v/>
      </c>
    </row>
    <row r="1187" spans="6:18" x14ac:dyDescent="0.3">
      <c r="F1187" s="2">
        <f t="shared" si="23"/>
        <v>1170</v>
      </c>
      <c r="G1187" s="2" t="str">
        <f>IF(Iterations[[#This Row],[Step]] =current_step, current_a,IF(Iterations[[#This Row],[Step]] &gt; current_step, "",Iterations[[#This Row],[a]]))</f>
        <v/>
      </c>
      <c r="H1187" s="2" t="str">
        <f>IF(Iterations[[#This Row],[Step]] =current_step, current_b,IF(Iterations[[#This Row],[Step]] &gt; current_step, "",Iterations[[#This Row],[b]]))</f>
        <v/>
      </c>
      <c r="I1187" s="2" t="str">
        <f>IF(Iterations[[#This Row],[Step]] =current_step, current_c,IF(Iterations[[#This Row],[Step]] &gt; current_step, "",Iterations[[#This Row],[c]]))</f>
        <v/>
      </c>
      <c r="J1187" s="2" t="str">
        <f>IF(Iterations[[#This Row],[Step]] =current_step, current_d,IF(Iterations[[#This Row],[Step]] &gt; current_step, "",Iterations[[#This Row],[d]]))</f>
        <v/>
      </c>
      <c r="K1187" s="2" t="str">
        <f>IF(Iterations[[#This Row],[Step]] =current_step, current_e,IF(Iterations[[#This Row],[Step]] &gt; current_step, "",Iterations[[#This Row],[e]]))</f>
        <v/>
      </c>
      <c r="L1187" s="2" t="str">
        <f>IF(Iterations[[#This Row],[Step]] =current_step, current_Total_Loss,IF(Iterations[[#This Row],[Step]] &gt; current_step, "",Iterations[[#This Row],[Total Loss]]))</f>
        <v/>
      </c>
      <c r="M1187" s="6" t="s">
        <v>27</v>
      </c>
      <c r="N1187" s="2" t="str">
        <f>IF(Iterations[[#This Row],[Step]] =current_step, current_Grad_a,IF(Iterations[[#This Row],[Step]] &gt; current_step, "",Iterations[[#This Row],[Grad_a]]))</f>
        <v/>
      </c>
      <c r="O1187" s="2" t="str">
        <f>IF(Iterations[[#This Row],[Step]] =current_step, current_Grad_b,IF(Iterations[[#This Row],[Step]] &gt; current_step, "",Iterations[[#This Row],[Grad_b]]))</f>
        <v/>
      </c>
      <c r="P1187" s="2" t="str">
        <f>IF(Iterations[[#This Row],[Step]] =current_step, current_Grad_c,IF(Iterations[[#This Row],[Step]] &gt; current_step, "",Iterations[[#This Row],[Grad_c]]))</f>
        <v/>
      </c>
      <c r="Q1187" s="2" t="str">
        <f>IF(Iterations[[#This Row],[Step]] =current_step, current_Grad_d,IF(Iterations[[#This Row],[Step]] &gt; current_step, "",Iterations[[#This Row],[Grad_d]]))</f>
        <v/>
      </c>
      <c r="R1187" s="2" t="str">
        <f>IF(Iterations[[#This Row],[Step]] =current_step, current_Grad_e,IF(Iterations[[#This Row],[Step]] &gt; current_step, "",Iterations[[#This Row],[Grad_e]]))</f>
        <v/>
      </c>
    </row>
    <row r="1188" spans="6:18" x14ac:dyDescent="0.3">
      <c r="F1188" s="2">
        <f t="shared" si="23"/>
        <v>1171</v>
      </c>
      <c r="G1188" s="2" t="str">
        <f>IF(Iterations[[#This Row],[Step]] =current_step, current_a,IF(Iterations[[#This Row],[Step]] &gt; current_step, "",Iterations[[#This Row],[a]]))</f>
        <v/>
      </c>
      <c r="H1188" s="2" t="str">
        <f>IF(Iterations[[#This Row],[Step]] =current_step, current_b,IF(Iterations[[#This Row],[Step]] &gt; current_step, "",Iterations[[#This Row],[b]]))</f>
        <v/>
      </c>
      <c r="I1188" s="2" t="str">
        <f>IF(Iterations[[#This Row],[Step]] =current_step, current_c,IF(Iterations[[#This Row],[Step]] &gt; current_step, "",Iterations[[#This Row],[c]]))</f>
        <v/>
      </c>
      <c r="J1188" s="2" t="str">
        <f>IF(Iterations[[#This Row],[Step]] =current_step, current_d,IF(Iterations[[#This Row],[Step]] &gt; current_step, "",Iterations[[#This Row],[d]]))</f>
        <v/>
      </c>
      <c r="K1188" s="2" t="str">
        <f>IF(Iterations[[#This Row],[Step]] =current_step, current_e,IF(Iterations[[#This Row],[Step]] &gt; current_step, "",Iterations[[#This Row],[e]]))</f>
        <v/>
      </c>
      <c r="L1188" s="2" t="str">
        <f>IF(Iterations[[#This Row],[Step]] =current_step, current_Total_Loss,IF(Iterations[[#This Row],[Step]] &gt; current_step, "",Iterations[[#This Row],[Total Loss]]))</f>
        <v/>
      </c>
      <c r="M1188" s="6" t="s">
        <v>27</v>
      </c>
      <c r="N1188" s="2" t="str">
        <f>IF(Iterations[[#This Row],[Step]] =current_step, current_Grad_a,IF(Iterations[[#This Row],[Step]] &gt; current_step, "",Iterations[[#This Row],[Grad_a]]))</f>
        <v/>
      </c>
      <c r="O1188" s="2" t="str">
        <f>IF(Iterations[[#This Row],[Step]] =current_step, current_Grad_b,IF(Iterations[[#This Row],[Step]] &gt; current_step, "",Iterations[[#This Row],[Grad_b]]))</f>
        <v/>
      </c>
      <c r="P1188" s="2" t="str">
        <f>IF(Iterations[[#This Row],[Step]] =current_step, current_Grad_c,IF(Iterations[[#This Row],[Step]] &gt; current_step, "",Iterations[[#This Row],[Grad_c]]))</f>
        <v/>
      </c>
      <c r="Q1188" s="2" t="str">
        <f>IF(Iterations[[#This Row],[Step]] =current_step, current_Grad_d,IF(Iterations[[#This Row],[Step]] &gt; current_step, "",Iterations[[#This Row],[Grad_d]]))</f>
        <v/>
      </c>
      <c r="R1188" s="2" t="str">
        <f>IF(Iterations[[#This Row],[Step]] =current_step, current_Grad_e,IF(Iterations[[#This Row],[Step]] &gt; current_step, "",Iterations[[#This Row],[Grad_e]]))</f>
        <v/>
      </c>
    </row>
    <row r="1189" spans="6:18" x14ac:dyDescent="0.3">
      <c r="F1189" s="2">
        <f t="shared" si="23"/>
        <v>1172</v>
      </c>
      <c r="G1189" s="2" t="str">
        <f>IF(Iterations[[#This Row],[Step]] =current_step, current_a,IF(Iterations[[#This Row],[Step]] &gt; current_step, "",Iterations[[#This Row],[a]]))</f>
        <v/>
      </c>
      <c r="H1189" s="2" t="str">
        <f>IF(Iterations[[#This Row],[Step]] =current_step, current_b,IF(Iterations[[#This Row],[Step]] &gt; current_step, "",Iterations[[#This Row],[b]]))</f>
        <v/>
      </c>
      <c r="I1189" s="2" t="str">
        <f>IF(Iterations[[#This Row],[Step]] =current_step, current_c,IF(Iterations[[#This Row],[Step]] &gt; current_step, "",Iterations[[#This Row],[c]]))</f>
        <v/>
      </c>
      <c r="J1189" s="2" t="str">
        <f>IF(Iterations[[#This Row],[Step]] =current_step, current_d,IF(Iterations[[#This Row],[Step]] &gt; current_step, "",Iterations[[#This Row],[d]]))</f>
        <v/>
      </c>
      <c r="K1189" s="2" t="str">
        <f>IF(Iterations[[#This Row],[Step]] =current_step, current_e,IF(Iterations[[#This Row],[Step]] &gt; current_step, "",Iterations[[#This Row],[e]]))</f>
        <v/>
      </c>
      <c r="L1189" s="2" t="str">
        <f>IF(Iterations[[#This Row],[Step]] =current_step, current_Total_Loss,IF(Iterations[[#This Row],[Step]] &gt; current_step, "",Iterations[[#This Row],[Total Loss]]))</f>
        <v/>
      </c>
      <c r="M1189" s="6" t="s">
        <v>27</v>
      </c>
      <c r="N1189" s="2" t="str">
        <f>IF(Iterations[[#This Row],[Step]] =current_step, current_Grad_a,IF(Iterations[[#This Row],[Step]] &gt; current_step, "",Iterations[[#This Row],[Grad_a]]))</f>
        <v/>
      </c>
      <c r="O1189" s="2" t="str">
        <f>IF(Iterations[[#This Row],[Step]] =current_step, current_Grad_b,IF(Iterations[[#This Row],[Step]] &gt; current_step, "",Iterations[[#This Row],[Grad_b]]))</f>
        <v/>
      </c>
      <c r="P1189" s="2" t="str">
        <f>IF(Iterations[[#This Row],[Step]] =current_step, current_Grad_c,IF(Iterations[[#This Row],[Step]] &gt; current_step, "",Iterations[[#This Row],[Grad_c]]))</f>
        <v/>
      </c>
      <c r="Q1189" s="2" t="str">
        <f>IF(Iterations[[#This Row],[Step]] =current_step, current_Grad_d,IF(Iterations[[#This Row],[Step]] &gt; current_step, "",Iterations[[#This Row],[Grad_d]]))</f>
        <v/>
      </c>
      <c r="R1189" s="2" t="str">
        <f>IF(Iterations[[#This Row],[Step]] =current_step, current_Grad_e,IF(Iterations[[#This Row],[Step]] &gt; current_step, "",Iterations[[#This Row],[Grad_e]]))</f>
        <v/>
      </c>
    </row>
    <row r="1190" spans="6:18" x14ac:dyDescent="0.3">
      <c r="F1190" s="2">
        <f t="shared" si="23"/>
        <v>1173</v>
      </c>
      <c r="G1190" s="2" t="str">
        <f>IF(Iterations[[#This Row],[Step]] =current_step, current_a,IF(Iterations[[#This Row],[Step]] &gt; current_step, "",Iterations[[#This Row],[a]]))</f>
        <v/>
      </c>
      <c r="H1190" s="2" t="str">
        <f>IF(Iterations[[#This Row],[Step]] =current_step, current_b,IF(Iterations[[#This Row],[Step]] &gt; current_step, "",Iterations[[#This Row],[b]]))</f>
        <v/>
      </c>
      <c r="I1190" s="2" t="str">
        <f>IF(Iterations[[#This Row],[Step]] =current_step, current_c,IF(Iterations[[#This Row],[Step]] &gt; current_step, "",Iterations[[#This Row],[c]]))</f>
        <v/>
      </c>
      <c r="J1190" s="2" t="str">
        <f>IF(Iterations[[#This Row],[Step]] =current_step, current_d,IF(Iterations[[#This Row],[Step]] &gt; current_step, "",Iterations[[#This Row],[d]]))</f>
        <v/>
      </c>
      <c r="K1190" s="2" t="str">
        <f>IF(Iterations[[#This Row],[Step]] =current_step, current_e,IF(Iterations[[#This Row],[Step]] &gt; current_step, "",Iterations[[#This Row],[e]]))</f>
        <v/>
      </c>
      <c r="L1190" s="2" t="str">
        <f>IF(Iterations[[#This Row],[Step]] =current_step, current_Total_Loss,IF(Iterations[[#This Row],[Step]] &gt; current_step, "",Iterations[[#This Row],[Total Loss]]))</f>
        <v/>
      </c>
      <c r="M1190" s="6" t="s">
        <v>27</v>
      </c>
      <c r="N1190" s="2" t="str">
        <f>IF(Iterations[[#This Row],[Step]] =current_step, current_Grad_a,IF(Iterations[[#This Row],[Step]] &gt; current_step, "",Iterations[[#This Row],[Grad_a]]))</f>
        <v/>
      </c>
      <c r="O1190" s="2" t="str">
        <f>IF(Iterations[[#This Row],[Step]] =current_step, current_Grad_b,IF(Iterations[[#This Row],[Step]] &gt; current_step, "",Iterations[[#This Row],[Grad_b]]))</f>
        <v/>
      </c>
      <c r="P1190" s="2" t="str">
        <f>IF(Iterations[[#This Row],[Step]] =current_step, current_Grad_c,IF(Iterations[[#This Row],[Step]] &gt; current_step, "",Iterations[[#This Row],[Grad_c]]))</f>
        <v/>
      </c>
      <c r="Q1190" s="2" t="str">
        <f>IF(Iterations[[#This Row],[Step]] =current_step, current_Grad_d,IF(Iterations[[#This Row],[Step]] &gt; current_step, "",Iterations[[#This Row],[Grad_d]]))</f>
        <v/>
      </c>
      <c r="R1190" s="2" t="str">
        <f>IF(Iterations[[#This Row],[Step]] =current_step, current_Grad_e,IF(Iterations[[#This Row],[Step]] &gt; current_step, "",Iterations[[#This Row],[Grad_e]]))</f>
        <v/>
      </c>
    </row>
    <row r="1191" spans="6:18" x14ac:dyDescent="0.3">
      <c r="F1191" s="2">
        <f t="shared" si="23"/>
        <v>1174</v>
      </c>
      <c r="G1191" s="2" t="str">
        <f>IF(Iterations[[#This Row],[Step]] =current_step, current_a,IF(Iterations[[#This Row],[Step]] &gt; current_step, "",Iterations[[#This Row],[a]]))</f>
        <v/>
      </c>
      <c r="H1191" s="2" t="str">
        <f>IF(Iterations[[#This Row],[Step]] =current_step, current_b,IF(Iterations[[#This Row],[Step]] &gt; current_step, "",Iterations[[#This Row],[b]]))</f>
        <v/>
      </c>
      <c r="I1191" s="2" t="str">
        <f>IF(Iterations[[#This Row],[Step]] =current_step, current_c,IF(Iterations[[#This Row],[Step]] &gt; current_step, "",Iterations[[#This Row],[c]]))</f>
        <v/>
      </c>
      <c r="J1191" s="2" t="str">
        <f>IF(Iterations[[#This Row],[Step]] =current_step, current_d,IF(Iterations[[#This Row],[Step]] &gt; current_step, "",Iterations[[#This Row],[d]]))</f>
        <v/>
      </c>
      <c r="K1191" s="2" t="str">
        <f>IF(Iterations[[#This Row],[Step]] =current_step, current_e,IF(Iterations[[#This Row],[Step]] &gt; current_step, "",Iterations[[#This Row],[e]]))</f>
        <v/>
      </c>
      <c r="L1191" s="2" t="str">
        <f>IF(Iterations[[#This Row],[Step]] =current_step, current_Total_Loss,IF(Iterations[[#This Row],[Step]] &gt; current_step, "",Iterations[[#This Row],[Total Loss]]))</f>
        <v/>
      </c>
      <c r="M1191" s="6" t="s">
        <v>27</v>
      </c>
      <c r="N1191" s="2" t="str">
        <f>IF(Iterations[[#This Row],[Step]] =current_step, current_Grad_a,IF(Iterations[[#This Row],[Step]] &gt; current_step, "",Iterations[[#This Row],[Grad_a]]))</f>
        <v/>
      </c>
      <c r="O1191" s="2" t="str">
        <f>IF(Iterations[[#This Row],[Step]] =current_step, current_Grad_b,IF(Iterations[[#This Row],[Step]] &gt; current_step, "",Iterations[[#This Row],[Grad_b]]))</f>
        <v/>
      </c>
      <c r="P1191" s="2" t="str">
        <f>IF(Iterations[[#This Row],[Step]] =current_step, current_Grad_c,IF(Iterations[[#This Row],[Step]] &gt; current_step, "",Iterations[[#This Row],[Grad_c]]))</f>
        <v/>
      </c>
      <c r="Q1191" s="2" t="str">
        <f>IF(Iterations[[#This Row],[Step]] =current_step, current_Grad_d,IF(Iterations[[#This Row],[Step]] &gt; current_step, "",Iterations[[#This Row],[Grad_d]]))</f>
        <v/>
      </c>
      <c r="R1191" s="2" t="str">
        <f>IF(Iterations[[#This Row],[Step]] =current_step, current_Grad_e,IF(Iterations[[#This Row],[Step]] &gt; current_step, "",Iterations[[#This Row],[Grad_e]]))</f>
        <v/>
      </c>
    </row>
    <row r="1192" spans="6:18" x14ac:dyDescent="0.3">
      <c r="F1192" s="2">
        <f t="shared" si="23"/>
        <v>1175</v>
      </c>
      <c r="G1192" s="2" t="str">
        <f>IF(Iterations[[#This Row],[Step]] =current_step, current_a,IF(Iterations[[#This Row],[Step]] &gt; current_step, "",Iterations[[#This Row],[a]]))</f>
        <v/>
      </c>
      <c r="H1192" s="2" t="str">
        <f>IF(Iterations[[#This Row],[Step]] =current_step, current_b,IF(Iterations[[#This Row],[Step]] &gt; current_step, "",Iterations[[#This Row],[b]]))</f>
        <v/>
      </c>
      <c r="I1192" s="2" t="str">
        <f>IF(Iterations[[#This Row],[Step]] =current_step, current_c,IF(Iterations[[#This Row],[Step]] &gt; current_step, "",Iterations[[#This Row],[c]]))</f>
        <v/>
      </c>
      <c r="J1192" s="2" t="str">
        <f>IF(Iterations[[#This Row],[Step]] =current_step, current_d,IF(Iterations[[#This Row],[Step]] &gt; current_step, "",Iterations[[#This Row],[d]]))</f>
        <v/>
      </c>
      <c r="K1192" s="2" t="str">
        <f>IF(Iterations[[#This Row],[Step]] =current_step, current_e,IF(Iterations[[#This Row],[Step]] &gt; current_step, "",Iterations[[#This Row],[e]]))</f>
        <v/>
      </c>
      <c r="L1192" s="2" t="str">
        <f>IF(Iterations[[#This Row],[Step]] =current_step, current_Total_Loss,IF(Iterations[[#This Row],[Step]] &gt; current_step, "",Iterations[[#This Row],[Total Loss]]))</f>
        <v/>
      </c>
      <c r="M1192" s="6" t="s">
        <v>27</v>
      </c>
      <c r="N1192" s="2" t="str">
        <f>IF(Iterations[[#This Row],[Step]] =current_step, current_Grad_a,IF(Iterations[[#This Row],[Step]] &gt; current_step, "",Iterations[[#This Row],[Grad_a]]))</f>
        <v/>
      </c>
      <c r="O1192" s="2" t="str">
        <f>IF(Iterations[[#This Row],[Step]] =current_step, current_Grad_b,IF(Iterations[[#This Row],[Step]] &gt; current_step, "",Iterations[[#This Row],[Grad_b]]))</f>
        <v/>
      </c>
      <c r="P1192" s="2" t="str">
        <f>IF(Iterations[[#This Row],[Step]] =current_step, current_Grad_c,IF(Iterations[[#This Row],[Step]] &gt; current_step, "",Iterations[[#This Row],[Grad_c]]))</f>
        <v/>
      </c>
      <c r="Q1192" s="2" t="str">
        <f>IF(Iterations[[#This Row],[Step]] =current_step, current_Grad_d,IF(Iterations[[#This Row],[Step]] &gt; current_step, "",Iterations[[#This Row],[Grad_d]]))</f>
        <v/>
      </c>
      <c r="R1192" s="2" t="str">
        <f>IF(Iterations[[#This Row],[Step]] =current_step, current_Grad_e,IF(Iterations[[#This Row],[Step]] &gt; current_step, "",Iterations[[#This Row],[Grad_e]]))</f>
        <v/>
      </c>
    </row>
    <row r="1193" spans="6:18" x14ac:dyDescent="0.3">
      <c r="F1193" s="2">
        <f t="shared" si="23"/>
        <v>1176</v>
      </c>
      <c r="G1193" s="2" t="str">
        <f>IF(Iterations[[#This Row],[Step]] =current_step, current_a,IF(Iterations[[#This Row],[Step]] &gt; current_step, "",Iterations[[#This Row],[a]]))</f>
        <v/>
      </c>
      <c r="H1193" s="2" t="str">
        <f>IF(Iterations[[#This Row],[Step]] =current_step, current_b,IF(Iterations[[#This Row],[Step]] &gt; current_step, "",Iterations[[#This Row],[b]]))</f>
        <v/>
      </c>
      <c r="I1193" s="2" t="str">
        <f>IF(Iterations[[#This Row],[Step]] =current_step, current_c,IF(Iterations[[#This Row],[Step]] &gt; current_step, "",Iterations[[#This Row],[c]]))</f>
        <v/>
      </c>
      <c r="J1193" s="2" t="str">
        <f>IF(Iterations[[#This Row],[Step]] =current_step, current_d,IF(Iterations[[#This Row],[Step]] &gt; current_step, "",Iterations[[#This Row],[d]]))</f>
        <v/>
      </c>
      <c r="K1193" s="2" t="str">
        <f>IF(Iterations[[#This Row],[Step]] =current_step, current_e,IF(Iterations[[#This Row],[Step]] &gt; current_step, "",Iterations[[#This Row],[e]]))</f>
        <v/>
      </c>
      <c r="L1193" s="2" t="str">
        <f>IF(Iterations[[#This Row],[Step]] =current_step, current_Total_Loss,IF(Iterations[[#This Row],[Step]] &gt; current_step, "",Iterations[[#This Row],[Total Loss]]))</f>
        <v/>
      </c>
      <c r="M1193" s="6" t="s">
        <v>27</v>
      </c>
      <c r="N1193" s="2" t="str">
        <f>IF(Iterations[[#This Row],[Step]] =current_step, current_Grad_a,IF(Iterations[[#This Row],[Step]] &gt; current_step, "",Iterations[[#This Row],[Grad_a]]))</f>
        <v/>
      </c>
      <c r="O1193" s="2" t="str">
        <f>IF(Iterations[[#This Row],[Step]] =current_step, current_Grad_b,IF(Iterations[[#This Row],[Step]] &gt; current_step, "",Iterations[[#This Row],[Grad_b]]))</f>
        <v/>
      </c>
      <c r="P1193" s="2" t="str">
        <f>IF(Iterations[[#This Row],[Step]] =current_step, current_Grad_c,IF(Iterations[[#This Row],[Step]] &gt; current_step, "",Iterations[[#This Row],[Grad_c]]))</f>
        <v/>
      </c>
      <c r="Q1193" s="2" t="str">
        <f>IF(Iterations[[#This Row],[Step]] =current_step, current_Grad_d,IF(Iterations[[#This Row],[Step]] &gt; current_step, "",Iterations[[#This Row],[Grad_d]]))</f>
        <v/>
      </c>
      <c r="R1193" s="2" t="str">
        <f>IF(Iterations[[#This Row],[Step]] =current_step, current_Grad_e,IF(Iterations[[#This Row],[Step]] &gt; current_step, "",Iterations[[#This Row],[Grad_e]]))</f>
        <v/>
      </c>
    </row>
    <row r="1194" spans="6:18" x14ac:dyDescent="0.3">
      <c r="F1194" s="2">
        <f t="shared" si="23"/>
        <v>1177</v>
      </c>
      <c r="G1194" s="2" t="str">
        <f>IF(Iterations[[#This Row],[Step]] =current_step, current_a,IF(Iterations[[#This Row],[Step]] &gt; current_step, "",Iterations[[#This Row],[a]]))</f>
        <v/>
      </c>
      <c r="H1194" s="2" t="str">
        <f>IF(Iterations[[#This Row],[Step]] =current_step, current_b,IF(Iterations[[#This Row],[Step]] &gt; current_step, "",Iterations[[#This Row],[b]]))</f>
        <v/>
      </c>
      <c r="I1194" s="2" t="str">
        <f>IF(Iterations[[#This Row],[Step]] =current_step, current_c,IF(Iterations[[#This Row],[Step]] &gt; current_step, "",Iterations[[#This Row],[c]]))</f>
        <v/>
      </c>
      <c r="J1194" s="2" t="str">
        <f>IF(Iterations[[#This Row],[Step]] =current_step, current_d,IF(Iterations[[#This Row],[Step]] &gt; current_step, "",Iterations[[#This Row],[d]]))</f>
        <v/>
      </c>
      <c r="K1194" s="2" t="str">
        <f>IF(Iterations[[#This Row],[Step]] =current_step, current_e,IF(Iterations[[#This Row],[Step]] &gt; current_step, "",Iterations[[#This Row],[e]]))</f>
        <v/>
      </c>
      <c r="L1194" s="2" t="str">
        <f>IF(Iterations[[#This Row],[Step]] =current_step, current_Total_Loss,IF(Iterations[[#This Row],[Step]] &gt; current_step, "",Iterations[[#This Row],[Total Loss]]))</f>
        <v/>
      </c>
      <c r="M1194" s="6" t="s">
        <v>27</v>
      </c>
      <c r="N1194" s="2" t="str">
        <f>IF(Iterations[[#This Row],[Step]] =current_step, current_Grad_a,IF(Iterations[[#This Row],[Step]] &gt; current_step, "",Iterations[[#This Row],[Grad_a]]))</f>
        <v/>
      </c>
      <c r="O1194" s="2" t="str">
        <f>IF(Iterations[[#This Row],[Step]] =current_step, current_Grad_b,IF(Iterations[[#This Row],[Step]] &gt; current_step, "",Iterations[[#This Row],[Grad_b]]))</f>
        <v/>
      </c>
      <c r="P1194" s="2" t="str">
        <f>IF(Iterations[[#This Row],[Step]] =current_step, current_Grad_c,IF(Iterations[[#This Row],[Step]] &gt; current_step, "",Iterations[[#This Row],[Grad_c]]))</f>
        <v/>
      </c>
      <c r="Q1194" s="2" t="str">
        <f>IF(Iterations[[#This Row],[Step]] =current_step, current_Grad_d,IF(Iterations[[#This Row],[Step]] &gt; current_step, "",Iterations[[#This Row],[Grad_d]]))</f>
        <v/>
      </c>
      <c r="R1194" s="2" t="str">
        <f>IF(Iterations[[#This Row],[Step]] =current_step, current_Grad_e,IF(Iterations[[#This Row],[Step]] &gt; current_step, "",Iterations[[#This Row],[Grad_e]]))</f>
        <v/>
      </c>
    </row>
    <row r="1195" spans="6:18" x14ac:dyDescent="0.3">
      <c r="F1195" s="2">
        <f t="shared" si="23"/>
        <v>1178</v>
      </c>
      <c r="G1195" s="2" t="str">
        <f>IF(Iterations[[#This Row],[Step]] =current_step, current_a,IF(Iterations[[#This Row],[Step]] &gt; current_step, "",Iterations[[#This Row],[a]]))</f>
        <v/>
      </c>
      <c r="H1195" s="2" t="str">
        <f>IF(Iterations[[#This Row],[Step]] =current_step, current_b,IF(Iterations[[#This Row],[Step]] &gt; current_step, "",Iterations[[#This Row],[b]]))</f>
        <v/>
      </c>
      <c r="I1195" s="2" t="str">
        <f>IF(Iterations[[#This Row],[Step]] =current_step, current_c,IF(Iterations[[#This Row],[Step]] &gt; current_step, "",Iterations[[#This Row],[c]]))</f>
        <v/>
      </c>
      <c r="J1195" s="2" t="str">
        <f>IF(Iterations[[#This Row],[Step]] =current_step, current_d,IF(Iterations[[#This Row],[Step]] &gt; current_step, "",Iterations[[#This Row],[d]]))</f>
        <v/>
      </c>
      <c r="K1195" s="2" t="str">
        <f>IF(Iterations[[#This Row],[Step]] =current_step, current_e,IF(Iterations[[#This Row],[Step]] &gt; current_step, "",Iterations[[#This Row],[e]]))</f>
        <v/>
      </c>
      <c r="L1195" s="2" t="str">
        <f>IF(Iterations[[#This Row],[Step]] =current_step, current_Total_Loss,IF(Iterations[[#This Row],[Step]] &gt; current_step, "",Iterations[[#This Row],[Total Loss]]))</f>
        <v/>
      </c>
      <c r="M1195" s="6" t="s">
        <v>27</v>
      </c>
      <c r="N1195" s="2" t="str">
        <f>IF(Iterations[[#This Row],[Step]] =current_step, current_Grad_a,IF(Iterations[[#This Row],[Step]] &gt; current_step, "",Iterations[[#This Row],[Grad_a]]))</f>
        <v/>
      </c>
      <c r="O1195" s="2" t="str">
        <f>IF(Iterations[[#This Row],[Step]] =current_step, current_Grad_b,IF(Iterations[[#This Row],[Step]] &gt; current_step, "",Iterations[[#This Row],[Grad_b]]))</f>
        <v/>
      </c>
      <c r="P1195" s="2" t="str">
        <f>IF(Iterations[[#This Row],[Step]] =current_step, current_Grad_c,IF(Iterations[[#This Row],[Step]] &gt; current_step, "",Iterations[[#This Row],[Grad_c]]))</f>
        <v/>
      </c>
      <c r="Q1195" s="2" t="str">
        <f>IF(Iterations[[#This Row],[Step]] =current_step, current_Grad_d,IF(Iterations[[#This Row],[Step]] &gt; current_step, "",Iterations[[#This Row],[Grad_d]]))</f>
        <v/>
      </c>
      <c r="R1195" s="2" t="str">
        <f>IF(Iterations[[#This Row],[Step]] =current_step, current_Grad_e,IF(Iterations[[#This Row],[Step]] &gt; current_step, "",Iterations[[#This Row],[Grad_e]]))</f>
        <v/>
      </c>
    </row>
    <row r="1196" spans="6:18" x14ac:dyDescent="0.3">
      <c r="F1196" s="2">
        <f t="shared" si="23"/>
        <v>1179</v>
      </c>
      <c r="G1196" s="2" t="str">
        <f>IF(Iterations[[#This Row],[Step]] =current_step, current_a,IF(Iterations[[#This Row],[Step]] &gt; current_step, "",Iterations[[#This Row],[a]]))</f>
        <v/>
      </c>
      <c r="H1196" s="2" t="str">
        <f>IF(Iterations[[#This Row],[Step]] =current_step, current_b,IF(Iterations[[#This Row],[Step]] &gt; current_step, "",Iterations[[#This Row],[b]]))</f>
        <v/>
      </c>
      <c r="I1196" s="2" t="str">
        <f>IF(Iterations[[#This Row],[Step]] =current_step, current_c,IF(Iterations[[#This Row],[Step]] &gt; current_step, "",Iterations[[#This Row],[c]]))</f>
        <v/>
      </c>
      <c r="J1196" s="2" t="str">
        <f>IF(Iterations[[#This Row],[Step]] =current_step, current_d,IF(Iterations[[#This Row],[Step]] &gt; current_step, "",Iterations[[#This Row],[d]]))</f>
        <v/>
      </c>
      <c r="K1196" s="2" t="str">
        <f>IF(Iterations[[#This Row],[Step]] =current_step, current_e,IF(Iterations[[#This Row],[Step]] &gt; current_step, "",Iterations[[#This Row],[e]]))</f>
        <v/>
      </c>
      <c r="L1196" s="2" t="str">
        <f>IF(Iterations[[#This Row],[Step]] =current_step, current_Total_Loss,IF(Iterations[[#This Row],[Step]] &gt; current_step, "",Iterations[[#This Row],[Total Loss]]))</f>
        <v/>
      </c>
      <c r="M1196" s="6" t="s">
        <v>27</v>
      </c>
      <c r="N1196" s="2" t="str">
        <f>IF(Iterations[[#This Row],[Step]] =current_step, current_Grad_a,IF(Iterations[[#This Row],[Step]] &gt; current_step, "",Iterations[[#This Row],[Grad_a]]))</f>
        <v/>
      </c>
      <c r="O1196" s="2" t="str">
        <f>IF(Iterations[[#This Row],[Step]] =current_step, current_Grad_b,IF(Iterations[[#This Row],[Step]] &gt; current_step, "",Iterations[[#This Row],[Grad_b]]))</f>
        <v/>
      </c>
      <c r="P1196" s="2" t="str">
        <f>IF(Iterations[[#This Row],[Step]] =current_step, current_Grad_c,IF(Iterations[[#This Row],[Step]] &gt; current_step, "",Iterations[[#This Row],[Grad_c]]))</f>
        <v/>
      </c>
      <c r="Q1196" s="2" t="str">
        <f>IF(Iterations[[#This Row],[Step]] =current_step, current_Grad_d,IF(Iterations[[#This Row],[Step]] &gt; current_step, "",Iterations[[#This Row],[Grad_d]]))</f>
        <v/>
      </c>
      <c r="R1196" s="2" t="str">
        <f>IF(Iterations[[#This Row],[Step]] =current_step, current_Grad_e,IF(Iterations[[#This Row],[Step]] &gt; current_step, "",Iterations[[#This Row],[Grad_e]]))</f>
        <v/>
      </c>
    </row>
    <row r="1197" spans="6:18" x14ac:dyDescent="0.3">
      <c r="F1197" s="2">
        <f t="shared" si="23"/>
        <v>1180</v>
      </c>
      <c r="G1197" s="2" t="str">
        <f>IF(Iterations[[#This Row],[Step]] =current_step, current_a,IF(Iterations[[#This Row],[Step]] &gt; current_step, "",Iterations[[#This Row],[a]]))</f>
        <v/>
      </c>
      <c r="H1197" s="2" t="str">
        <f>IF(Iterations[[#This Row],[Step]] =current_step, current_b,IF(Iterations[[#This Row],[Step]] &gt; current_step, "",Iterations[[#This Row],[b]]))</f>
        <v/>
      </c>
      <c r="I1197" s="2" t="str">
        <f>IF(Iterations[[#This Row],[Step]] =current_step, current_c,IF(Iterations[[#This Row],[Step]] &gt; current_step, "",Iterations[[#This Row],[c]]))</f>
        <v/>
      </c>
      <c r="J1197" s="2" t="str">
        <f>IF(Iterations[[#This Row],[Step]] =current_step, current_d,IF(Iterations[[#This Row],[Step]] &gt; current_step, "",Iterations[[#This Row],[d]]))</f>
        <v/>
      </c>
      <c r="K1197" s="2" t="str">
        <f>IF(Iterations[[#This Row],[Step]] =current_step, current_e,IF(Iterations[[#This Row],[Step]] &gt; current_step, "",Iterations[[#This Row],[e]]))</f>
        <v/>
      </c>
      <c r="L1197" s="2" t="str">
        <f>IF(Iterations[[#This Row],[Step]] =current_step, current_Total_Loss,IF(Iterations[[#This Row],[Step]] &gt; current_step, "",Iterations[[#This Row],[Total Loss]]))</f>
        <v/>
      </c>
      <c r="M1197" s="6" t="s">
        <v>27</v>
      </c>
      <c r="N1197" s="2" t="str">
        <f>IF(Iterations[[#This Row],[Step]] =current_step, current_Grad_a,IF(Iterations[[#This Row],[Step]] &gt; current_step, "",Iterations[[#This Row],[Grad_a]]))</f>
        <v/>
      </c>
      <c r="O1197" s="2" t="str">
        <f>IF(Iterations[[#This Row],[Step]] =current_step, current_Grad_b,IF(Iterations[[#This Row],[Step]] &gt; current_step, "",Iterations[[#This Row],[Grad_b]]))</f>
        <v/>
      </c>
      <c r="P1197" s="2" t="str">
        <f>IF(Iterations[[#This Row],[Step]] =current_step, current_Grad_c,IF(Iterations[[#This Row],[Step]] &gt; current_step, "",Iterations[[#This Row],[Grad_c]]))</f>
        <v/>
      </c>
      <c r="Q1197" s="2" t="str">
        <f>IF(Iterations[[#This Row],[Step]] =current_step, current_Grad_d,IF(Iterations[[#This Row],[Step]] &gt; current_step, "",Iterations[[#This Row],[Grad_d]]))</f>
        <v/>
      </c>
      <c r="R1197" s="2" t="str">
        <f>IF(Iterations[[#This Row],[Step]] =current_step, current_Grad_e,IF(Iterations[[#This Row],[Step]] &gt; current_step, "",Iterations[[#This Row],[Grad_e]]))</f>
        <v/>
      </c>
    </row>
    <row r="1198" spans="6:18" x14ac:dyDescent="0.3">
      <c r="F1198" s="2">
        <f t="shared" si="23"/>
        <v>1181</v>
      </c>
      <c r="G1198" s="2" t="str">
        <f>IF(Iterations[[#This Row],[Step]] =current_step, current_a,IF(Iterations[[#This Row],[Step]] &gt; current_step, "",Iterations[[#This Row],[a]]))</f>
        <v/>
      </c>
      <c r="H1198" s="2" t="str">
        <f>IF(Iterations[[#This Row],[Step]] =current_step, current_b,IF(Iterations[[#This Row],[Step]] &gt; current_step, "",Iterations[[#This Row],[b]]))</f>
        <v/>
      </c>
      <c r="I1198" s="2" t="str">
        <f>IF(Iterations[[#This Row],[Step]] =current_step, current_c,IF(Iterations[[#This Row],[Step]] &gt; current_step, "",Iterations[[#This Row],[c]]))</f>
        <v/>
      </c>
      <c r="J1198" s="2" t="str">
        <f>IF(Iterations[[#This Row],[Step]] =current_step, current_d,IF(Iterations[[#This Row],[Step]] &gt; current_step, "",Iterations[[#This Row],[d]]))</f>
        <v/>
      </c>
      <c r="K1198" s="2" t="str">
        <f>IF(Iterations[[#This Row],[Step]] =current_step, current_e,IF(Iterations[[#This Row],[Step]] &gt; current_step, "",Iterations[[#This Row],[e]]))</f>
        <v/>
      </c>
      <c r="L1198" s="2" t="str">
        <f>IF(Iterations[[#This Row],[Step]] =current_step, current_Total_Loss,IF(Iterations[[#This Row],[Step]] &gt; current_step, "",Iterations[[#This Row],[Total Loss]]))</f>
        <v/>
      </c>
      <c r="M1198" s="6" t="s">
        <v>27</v>
      </c>
      <c r="N1198" s="2" t="str">
        <f>IF(Iterations[[#This Row],[Step]] =current_step, current_Grad_a,IF(Iterations[[#This Row],[Step]] &gt; current_step, "",Iterations[[#This Row],[Grad_a]]))</f>
        <v/>
      </c>
      <c r="O1198" s="2" t="str">
        <f>IF(Iterations[[#This Row],[Step]] =current_step, current_Grad_b,IF(Iterations[[#This Row],[Step]] &gt; current_step, "",Iterations[[#This Row],[Grad_b]]))</f>
        <v/>
      </c>
      <c r="P1198" s="2" t="str">
        <f>IF(Iterations[[#This Row],[Step]] =current_step, current_Grad_c,IF(Iterations[[#This Row],[Step]] &gt; current_step, "",Iterations[[#This Row],[Grad_c]]))</f>
        <v/>
      </c>
      <c r="Q1198" s="2" t="str">
        <f>IF(Iterations[[#This Row],[Step]] =current_step, current_Grad_d,IF(Iterations[[#This Row],[Step]] &gt; current_step, "",Iterations[[#This Row],[Grad_d]]))</f>
        <v/>
      </c>
      <c r="R1198" s="2" t="str">
        <f>IF(Iterations[[#This Row],[Step]] =current_step, current_Grad_e,IF(Iterations[[#This Row],[Step]] &gt; current_step, "",Iterations[[#This Row],[Grad_e]]))</f>
        <v/>
      </c>
    </row>
    <row r="1199" spans="6:18" x14ac:dyDescent="0.3">
      <c r="F1199" s="2">
        <f t="shared" si="23"/>
        <v>1182</v>
      </c>
      <c r="G1199" s="2" t="str">
        <f>IF(Iterations[[#This Row],[Step]] =current_step, current_a,IF(Iterations[[#This Row],[Step]] &gt; current_step, "",Iterations[[#This Row],[a]]))</f>
        <v/>
      </c>
      <c r="H1199" s="2" t="str">
        <f>IF(Iterations[[#This Row],[Step]] =current_step, current_b,IF(Iterations[[#This Row],[Step]] &gt; current_step, "",Iterations[[#This Row],[b]]))</f>
        <v/>
      </c>
      <c r="I1199" s="2" t="str">
        <f>IF(Iterations[[#This Row],[Step]] =current_step, current_c,IF(Iterations[[#This Row],[Step]] &gt; current_step, "",Iterations[[#This Row],[c]]))</f>
        <v/>
      </c>
      <c r="J1199" s="2" t="str">
        <f>IF(Iterations[[#This Row],[Step]] =current_step, current_d,IF(Iterations[[#This Row],[Step]] &gt; current_step, "",Iterations[[#This Row],[d]]))</f>
        <v/>
      </c>
      <c r="K1199" s="2" t="str">
        <f>IF(Iterations[[#This Row],[Step]] =current_step, current_e,IF(Iterations[[#This Row],[Step]] &gt; current_step, "",Iterations[[#This Row],[e]]))</f>
        <v/>
      </c>
      <c r="L1199" s="2" t="str">
        <f>IF(Iterations[[#This Row],[Step]] =current_step, current_Total_Loss,IF(Iterations[[#This Row],[Step]] &gt; current_step, "",Iterations[[#This Row],[Total Loss]]))</f>
        <v/>
      </c>
      <c r="M1199" s="6" t="s">
        <v>27</v>
      </c>
      <c r="N1199" s="2" t="str">
        <f>IF(Iterations[[#This Row],[Step]] =current_step, current_Grad_a,IF(Iterations[[#This Row],[Step]] &gt; current_step, "",Iterations[[#This Row],[Grad_a]]))</f>
        <v/>
      </c>
      <c r="O1199" s="2" t="str">
        <f>IF(Iterations[[#This Row],[Step]] =current_step, current_Grad_b,IF(Iterations[[#This Row],[Step]] &gt; current_step, "",Iterations[[#This Row],[Grad_b]]))</f>
        <v/>
      </c>
      <c r="P1199" s="2" t="str">
        <f>IF(Iterations[[#This Row],[Step]] =current_step, current_Grad_c,IF(Iterations[[#This Row],[Step]] &gt; current_step, "",Iterations[[#This Row],[Grad_c]]))</f>
        <v/>
      </c>
      <c r="Q1199" s="2" t="str">
        <f>IF(Iterations[[#This Row],[Step]] =current_step, current_Grad_d,IF(Iterations[[#This Row],[Step]] &gt; current_step, "",Iterations[[#This Row],[Grad_d]]))</f>
        <v/>
      </c>
      <c r="R1199" s="2" t="str">
        <f>IF(Iterations[[#This Row],[Step]] =current_step, current_Grad_e,IF(Iterations[[#This Row],[Step]] &gt; current_step, "",Iterations[[#This Row],[Grad_e]]))</f>
        <v/>
      </c>
    </row>
    <row r="1200" spans="6:18" x14ac:dyDescent="0.3">
      <c r="F1200" s="2">
        <f t="shared" si="23"/>
        <v>1183</v>
      </c>
      <c r="G1200" s="2" t="str">
        <f>IF(Iterations[[#This Row],[Step]] =current_step, current_a,IF(Iterations[[#This Row],[Step]] &gt; current_step, "",Iterations[[#This Row],[a]]))</f>
        <v/>
      </c>
      <c r="H1200" s="2" t="str">
        <f>IF(Iterations[[#This Row],[Step]] =current_step, current_b,IF(Iterations[[#This Row],[Step]] &gt; current_step, "",Iterations[[#This Row],[b]]))</f>
        <v/>
      </c>
      <c r="I1200" s="2" t="str">
        <f>IF(Iterations[[#This Row],[Step]] =current_step, current_c,IF(Iterations[[#This Row],[Step]] &gt; current_step, "",Iterations[[#This Row],[c]]))</f>
        <v/>
      </c>
      <c r="J1200" s="2" t="str">
        <f>IF(Iterations[[#This Row],[Step]] =current_step, current_d,IF(Iterations[[#This Row],[Step]] &gt; current_step, "",Iterations[[#This Row],[d]]))</f>
        <v/>
      </c>
      <c r="K1200" s="2" t="str">
        <f>IF(Iterations[[#This Row],[Step]] =current_step, current_e,IF(Iterations[[#This Row],[Step]] &gt; current_step, "",Iterations[[#This Row],[e]]))</f>
        <v/>
      </c>
      <c r="L1200" s="2" t="str">
        <f>IF(Iterations[[#This Row],[Step]] =current_step, current_Total_Loss,IF(Iterations[[#This Row],[Step]] &gt; current_step, "",Iterations[[#This Row],[Total Loss]]))</f>
        <v/>
      </c>
      <c r="M1200" s="6" t="s">
        <v>27</v>
      </c>
      <c r="N1200" s="2" t="str">
        <f>IF(Iterations[[#This Row],[Step]] =current_step, current_Grad_a,IF(Iterations[[#This Row],[Step]] &gt; current_step, "",Iterations[[#This Row],[Grad_a]]))</f>
        <v/>
      </c>
      <c r="O1200" s="2" t="str">
        <f>IF(Iterations[[#This Row],[Step]] =current_step, current_Grad_b,IF(Iterations[[#This Row],[Step]] &gt; current_step, "",Iterations[[#This Row],[Grad_b]]))</f>
        <v/>
      </c>
      <c r="P1200" s="2" t="str">
        <f>IF(Iterations[[#This Row],[Step]] =current_step, current_Grad_c,IF(Iterations[[#This Row],[Step]] &gt; current_step, "",Iterations[[#This Row],[Grad_c]]))</f>
        <v/>
      </c>
      <c r="Q1200" s="2" t="str">
        <f>IF(Iterations[[#This Row],[Step]] =current_step, current_Grad_d,IF(Iterations[[#This Row],[Step]] &gt; current_step, "",Iterations[[#This Row],[Grad_d]]))</f>
        <v/>
      </c>
      <c r="R1200" s="2" t="str">
        <f>IF(Iterations[[#This Row],[Step]] =current_step, current_Grad_e,IF(Iterations[[#This Row],[Step]] &gt; current_step, "",Iterations[[#This Row],[Grad_e]]))</f>
        <v/>
      </c>
    </row>
    <row r="1201" spans="6:18" x14ac:dyDescent="0.3">
      <c r="F1201" s="2">
        <f t="shared" si="23"/>
        <v>1184</v>
      </c>
      <c r="G1201" s="2" t="str">
        <f>IF(Iterations[[#This Row],[Step]] =current_step, current_a,IF(Iterations[[#This Row],[Step]] &gt; current_step, "",Iterations[[#This Row],[a]]))</f>
        <v/>
      </c>
      <c r="H1201" s="2" t="str">
        <f>IF(Iterations[[#This Row],[Step]] =current_step, current_b,IF(Iterations[[#This Row],[Step]] &gt; current_step, "",Iterations[[#This Row],[b]]))</f>
        <v/>
      </c>
      <c r="I1201" s="2" t="str">
        <f>IF(Iterations[[#This Row],[Step]] =current_step, current_c,IF(Iterations[[#This Row],[Step]] &gt; current_step, "",Iterations[[#This Row],[c]]))</f>
        <v/>
      </c>
      <c r="J1201" s="2" t="str">
        <f>IF(Iterations[[#This Row],[Step]] =current_step, current_d,IF(Iterations[[#This Row],[Step]] &gt; current_step, "",Iterations[[#This Row],[d]]))</f>
        <v/>
      </c>
      <c r="K1201" s="2" t="str">
        <f>IF(Iterations[[#This Row],[Step]] =current_step, current_e,IF(Iterations[[#This Row],[Step]] &gt; current_step, "",Iterations[[#This Row],[e]]))</f>
        <v/>
      </c>
      <c r="L1201" s="2" t="str">
        <f>IF(Iterations[[#This Row],[Step]] =current_step, current_Total_Loss,IF(Iterations[[#This Row],[Step]] &gt; current_step, "",Iterations[[#This Row],[Total Loss]]))</f>
        <v/>
      </c>
      <c r="M1201" s="6" t="s">
        <v>27</v>
      </c>
      <c r="N1201" s="2" t="str">
        <f>IF(Iterations[[#This Row],[Step]] =current_step, current_Grad_a,IF(Iterations[[#This Row],[Step]] &gt; current_step, "",Iterations[[#This Row],[Grad_a]]))</f>
        <v/>
      </c>
      <c r="O1201" s="2" t="str">
        <f>IF(Iterations[[#This Row],[Step]] =current_step, current_Grad_b,IF(Iterations[[#This Row],[Step]] &gt; current_step, "",Iterations[[#This Row],[Grad_b]]))</f>
        <v/>
      </c>
      <c r="P1201" s="2" t="str">
        <f>IF(Iterations[[#This Row],[Step]] =current_step, current_Grad_c,IF(Iterations[[#This Row],[Step]] &gt; current_step, "",Iterations[[#This Row],[Grad_c]]))</f>
        <v/>
      </c>
      <c r="Q1201" s="2" t="str">
        <f>IF(Iterations[[#This Row],[Step]] =current_step, current_Grad_d,IF(Iterations[[#This Row],[Step]] &gt; current_step, "",Iterations[[#This Row],[Grad_d]]))</f>
        <v/>
      </c>
      <c r="R1201" s="2" t="str">
        <f>IF(Iterations[[#This Row],[Step]] =current_step, current_Grad_e,IF(Iterations[[#This Row],[Step]] &gt; current_step, "",Iterations[[#This Row],[Grad_e]]))</f>
        <v/>
      </c>
    </row>
    <row r="1202" spans="6:18" x14ac:dyDescent="0.3">
      <c r="F1202" s="2">
        <f t="shared" si="23"/>
        <v>1185</v>
      </c>
      <c r="G1202" s="2" t="str">
        <f>IF(Iterations[[#This Row],[Step]] =current_step, current_a,IF(Iterations[[#This Row],[Step]] &gt; current_step, "",Iterations[[#This Row],[a]]))</f>
        <v/>
      </c>
      <c r="H1202" s="2" t="str">
        <f>IF(Iterations[[#This Row],[Step]] =current_step, current_b,IF(Iterations[[#This Row],[Step]] &gt; current_step, "",Iterations[[#This Row],[b]]))</f>
        <v/>
      </c>
      <c r="I1202" s="2" t="str">
        <f>IF(Iterations[[#This Row],[Step]] =current_step, current_c,IF(Iterations[[#This Row],[Step]] &gt; current_step, "",Iterations[[#This Row],[c]]))</f>
        <v/>
      </c>
      <c r="J1202" s="2" t="str">
        <f>IF(Iterations[[#This Row],[Step]] =current_step, current_d,IF(Iterations[[#This Row],[Step]] &gt; current_step, "",Iterations[[#This Row],[d]]))</f>
        <v/>
      </c>
      <c r="K1202" s="2" t="str">
        <f>IF(Iterations[[#This Row],[Step]] =current_step, current_e,IF(Iterations[[#This Row],[Step]] &gt; current_step, "",Iterations[[#This Row],[e]]))</f>
        <v/>
      </c>
      <c r="L1202" s="2" t="str">
        <f>IF(Iterations[[#This Row],[Step]] =current_step, current_Total_Loss,IF(Iterations[[#This Row],[Step]] &gt; current_step, "",Iterations[[#This Row],[Total Loss]]))</f>
        <v/>
      </c>
      <c r="M1202" s="6" t="s">
        <v>27</v>
      </c>
      <c r="N1202" s="2" t="str">
        <f>IF(Iterations[[#This Row],[Step]] =current_step, current_Grad_a,IF(Iterations[[#This Row],[Step]] &gt; current_step, "",Iterations[[#This Row],[Grad_a]]))</f>
        <v/>
      </c>
      <c r="O1202" s="2" t="str">
        <f>IF(Iterations[[#This Row],[Step]] =current_step, current_Grad_b,IF(Iterations[[#This Row],[Step]] &gt; current_step, "",Iterations[[#This Row],[Grad_b]]))</f>
        <v/>
      </c>
      <c r="P1202" s="2" t="str">
        <f>IF(Iterations[[#This Row],[Step]] =current_step, current_Grad_c,IF(Iterations[[#This Row],[Step]] &gt; current_step, "",Iterations[[#This Row],[Grad_c]]))</f>
        <v/>
      </c>
      <c r="Q1202" s="2" t="str">
        <f>IF(Iterations[[#This Row],[Step]] =current_step, current_Grad_d,IF(Iterations[[#This Row],[Step]] &gt; current_step, "",Iterations[[#This Row],[Grad_d]]))</f>
        <v/>
      </c>
      <c r="R1202" s="2" t="str">
        <f>IF(Iterations[[#This Row],[Step]] =current_step, current_Grad_e,IF(Iterations[[#This Row],[Step]] &gt; current_step, "",Iterations[[#This Row],[Grad_e]]))</f>
        <v/>
      </c>
    </row>
    <row r="1203" spans="6:18" x14ac:dyDescent="0.3">
      <c r="F1203" s="2">
        <f t="shared" si="23"/>
        <v>1186</v>
      </c>
      <c r="G1203" s="2" t="str">
        <f>IF(Iterations[[#This Row],[Step]] =current_step, current_a,IF(Iterations[[#This Row],[Step]] &gt; current_step, "",Iterations[[#This Row],[a]]))</f>
        <v/>
      </c>
      <c r="H1203" s="2" t="str">
        <f>IF(Iterations[[#This Row],[Step]] =current_step, current_b,IF(Iterations[[#This Row],[Step]] &gt; current_step, "",Iterations[[#This Row],[b]]))</f>
        <v/>
      </c>
      <c r="I1203" s="2" t="str">
        <f>IF(Iterations[[#This Row],[Step]] =current_step, current_c,IF(Iterations[[#This Row],[Step]] &gt; current_step, "",Iterations[[#This Row],[c]]))</f>
        <v/>
      </c>
      <c r="J1203" s="2" t="str">
        <f>IF(Iterations[[#This Row],[Step]] =current_step, current_d,IF(Iterations[[#This Row],[Step]] &gt; current_step, "",Iterations[[#This Row],[d]]))</f>
        <v/>
      </c>
      <c r="K1203" s="2" t="str">
        <f>IF(Iterations[[#This Row],[Step]] =current_step, current_e,IF(Iterations[[#This Row],[Step]] &gt; current_step, "",Iterations[[#This Row],[e]]))</f>
        <v/>
      </c>
      <c r="L1203" s="2" t="str">
        <f>IF(Iterations[[#This Row],[Step]] =current_step, current_Total_Loss,IF(Iterations[[#This Row],[Step]] &gt; current_step, "",Iterations[[#This Row],[Total Loss]]))</f>
        <v/>
      </c>
      <c r="M1203" s="6" t="s">
        <v>27</v>
      </c>
      <c r="N1203" s="2" t="str">
        <f>IF(Iterations[[#This Row],[Step]] =current_step, current_Grad_a,IF(Iterations[[#This Row],[Step]] &gt; current_step, "",Iterations[[#This Row],[Grad_a]]))</f>
        <v/>
      </c>
      <c r="O1203" s="2" t="str">
        <f>IF(Iterations[[#This Row],[Step]] =current_step, current_Grad_b,IF(Iterations[[#This Row],[Step]] &gt; current_step, "",Iterations[[#This Row],[Grad_b]]))</f>
        <v/>
      </c>
      <c r="P1203" s="2" t="str">
        <f>IF(Iterations[[#This Row],[Step]] =current_step, current_Grad_c,IF(Iterations[[#This Row],[Step]] &gt; current_step, "",Iterations[[#This Row],[Grad_c]]))</f>
        <v/>
      </c>
      <c r="Q1203" s="2" t="str">
        <f>IF(Iterations[[#This Row],[Step]] =current_step, current_Grad_d,IF(Iterations[[#This Row],[Step]] &gt; current_step, "",Iterations[[#This Row],[Grad_d]]))</f>
        <v/>
      </c>
      <c r="R1203" s="2" t="str">
        <f>IF(Iterations[[#This Row],[Step]] =current_step, current_Grad_e,IF(Iterations[[#This Row],[Step]] &gt; current_step, "",Iterations[[#This Row],[Grad_e]]))</f>
        <v/>
      </c>
    </row>
    <row r="1204" spans="6:18" x14ac:dyDescent="0.3">
      <c r="F1204" s="2">
        <f t="shared" si="23"/>
        <v>1187</v>
      </c>
      <c r="G1204" s="2" t="str">
        <f>IF(Iterations[[#This Row],[Step]] =current_step, current_a,IF(Iterations[[#This Row],[Step]] &gt; current_step, "",Iterations[[#This Row],[a]]))</f>
        <v/>
      </c>
      <c r="H1204" s="2" t="str">
        <f>IF(Iterations[[#This Row],[Step]] =current_step, current_b,IF(Iterations[[#This Row],[Step]] &gt; current_step, "",Iterations[[#This Row],[b]]))</f>
        <v/>
      </c>
      <c r="I1204" s="2" t="str">
        <f>IF(Iterations[[#This Row],[Step]] =current_step, current_c,IF(Iterations[[#This Row],[Step]] &gt; current_step, "",Iterations[[#This Row],[c]]))</f>
        <v/>
      </c>
      <c r="J1204" s="2" t="str">
        <f>IF(Iterations[[#This Row],[Step]] =current_step, current_d,IF(Iterations[[#This Row],[Step]] &gt; current_step, "",Iterations[[#This Row],[d]]))</f>
        <v/>
      </c>
      <c r="K1204" s="2" t="str">
        <f>IF(Iterations[[#This Row],[Step]] =current_step, current_e,IF(Iterations[[#This Row],[Step]] &gt; current_step, "",Iterations[[#This Row],[e]]))</f>
        <v/>
      </c>
      <c r="L1204" s="2" t="str">
        <f>IF(Iterations[[#This Row],[Step]] =current_step, current_Total_Loss,IF(Iterations[[#This Row],[Step]] &gt; current_step, "",Iterations[[#This Row],[Total Loss]]))</f>
        <v/>
      </c>
      <c r="M1204" s="6" t="s">
        <v>27</v>
      </c>
      <c r="N1204" s="2" t="str">
        <f>IF(Iterations[[#This Row],[Step]] =current_step, current_Grad_a,IF(Iterations[[#This Row],[Step]] &gt; current_step, "",Iterations[[#This Row],[Grad_a]]))</f>
        <v/>
      </c>
      <c r="O1204" s="2" t="str">
        <f>IF(Iterations[[#This Row],[Step]] =current_step, current_Grad_b,IF(Iterations[[#This Row],[Step]] &gt; current_step, "",Iterations[[#This Row],[Grad_b]]))</f>
        <v/>
      </c>
      <c r="P1204" s="2" t="str">
        <f>IF(Iterations[[#This Row],[Step]] =current_step, current_Grad_c,IF(Iterations[[#This Row],[Step]] &gt; current_step, "",Iterations[[#This Row],[Grad_c]]))</f>
        <v/>
      </c>
      <c r="Q1204" s="2" t="str">
        <f>IF(Iterations[[#This Row],[Step]] =current_step, current_Grad_d,IF(Iterations[[#This Row],[Step]] &gt; current_step, "",Iterations[[#This Row],[Grad_d]]))</f>
        <v/>
      </c>
      <c r="R1204" s="2" t="str">
        <f>IF(Iterations[[#This Row],[Step]] =current_step, current_Grad_e,IF(Iterations[[#This Row],[Step]] &gt; current_step, "",Iterations[[#This Row],[Grad_e]]))</f>
        <v/>
      </c>
    </row>
    <row r="1205" spans="6:18" x14ac:dyDescent="0.3">
      <c r="F1205" s="2">
        <f t="shared" si="23"/>
        <v>1188</v>
      </c>
      <c r="G1205" s="2" t="str">
        <f>IF(Iterations[[#This Row],[Step]] =current_step, current_a,IF(Iterations[[#This Row],[Step]] &gt; current_step, "",Iterations[[#This Row],[a]]))</f>
        <v/>
      </c>
      <c r="H1205" s="2" t="str">
        <f>IF(Iterations[[#This Row],[Step]] =current_step, current_b,IF(Iterations[[#This Row],[Step]] &gt; current_step, "",Iterations[[#This Row],[b]]))</f>
        <v/>
      </c>
      <c r="I1205" s="2" t="str">
        <f>IF(Iterations[[#This Row],[Step]] =current_step, current_c,IF(Iterations[[#This Row],[Step]] &gt; current_step, "",Iterations[[#This Row],[c]]))</f>
        <v/>
      </c>
      <c r="J1205" s="2" t="str">
        <f>IF(Iterations[[#This Row],[Step]] =current_step, current_d,IF(Iterations[[#This Row],[Step]] &gt; current_step, "",Iterations[[#This Row],[d]]))</f>
        <v/>
      </c>
      <c r="K1205" s="2" t="str">
        <f>IF(Iterations[[#This Row],[Step]] =current_step, current_e,IF(Iterations[[#This Row],[Step]] &gt; current_step, "",Iterations[[#This Row],[e]]))</f>
        <v/>
      </c>
      <c r="L1205" s="2" t="str">
        <f>IF(Iterations[[#This Row],[Step]] =current_step, current_Total_Loss,IF(Iterations[[#This Row],[Step]] &gt; current_step, "",Iterations[[#This Row],[Total Loss]]))</f>
        <v/>
      </c>
      <c r="M1205" s="6" t="s">
        <v>27</v>
      </c>
      <c r="N1205" s="2" t="str">
        <f>IF(Iterations[[#This Row],[Step]] =current_step, current_Grad_a,IF(Iterations[[#This Row],[Step]] &gt; current_step, "",Iterations[[#This Row],[Grad_a]]))</f>
        <v/>
      </c>
      <c r="O1205" s="2" t="str">
        <f>IF(Iterations[[#This Row],[Step]] =current_step, current_Grad_b,IF(Iterations[[#This Row],[Step]] &gt; current_step, "",Iterations[[#This Row],[Grad_b]]))</f>
        <v/>
      </c>
      <c r="P1205" s="2" t="str">
        <f>IF(Iterations[[#This Row],[Step]] =current_step, current_Grad_c,IF(Iterations[[#This Row],[Step]] &gt; current_step, "",Iterations[[#This Row],[Grad_c]]))</f>
        <v/>
      </c>
      <c r="Q1205" s="2" t="str">
        <f>IF(Iterations[[#This Row],[Step]] =current_step, current_Grad_d,IF(Iterations[[#This Row],[Step]] &gt; current_step, "",Iterations[[#This Row],[Grad_d]]))</f>
        <v/>
      </c>
      <c r="R1205" s="2" t="str">
        <f>IF(Iterations[[#This Row],[Step]] =current_step, current_Grad_e,IF(Iterations[[#This Row],[Step]] &gt; current_step, "",Iterations[[#This Row],[Grad_e]]))</f>
        <v/>
      </c>
    </row>
    <row r="1206" spans="6:18" x14ac:dyDescent="0.3">
      <c r="F1206" s="2">
        <f t="shared" si="23"/>
        <v>1189</v>
      </c>
      <c r="G1206" s="2" t="str">
        <f>IF(Iterations[[#This Row],[Step]] =current_step, current_a,IF(Iterations[[#This Row],[Step]] &gt; current_step, "",Iterations[[#This Row],[a]]))</f>
        <v/>
      </c>
      <c r="H1206" s="2" t="str">
        <f>IF(Iterations[[#This Row],[Step]] =current_step, current_b,IF(Iterations[[#This Row],[Step]] &gt; current_step, "",Iterations[[#This Row],[b]]))</f>
        <v/>
      </c>
      <c r="I1206" s="2" t="str">
        <f>IF(Iterations[[#This Row],[Step]] =current_step, current_c,IF(Iterations[[#This Row],[Step]] &gt; current_step, "",Iterations[[#This Row],[c]]))</f>
        <v/>
      </c>
      <c r="J1206" s="2" t="str">
        <f>IF(Iterations[[#This Row],[Step]] =current_step, current_d,IF(Iterations[[#This Row],[Step]] &gt; current_step, "",Iterations[[#This Row],[d]]))</f>
        <v/>
      </c>
      <c r="K1206" s="2" t="str">
        <f>IF(Iterations[[#This Row],[Step]] =current_step, current_e,IF(Iterations[[#This Row],[Step]] &gt; current_step, "",Iterations[[#This Row],[e]]))</f>
        <v/>
      </c>
      <c r="L1206" s="2" t="str">
        <f>IF(Iterations[[#This Row],[Step]] =current_step, current_Total_Loss,IF(Iterations[[#This Row],[Step]] &gt; current_step, "",Iterations[[#This Row],[Total Loss]]))</f>
        <v/>
      </c>
      <c r="M1206" s="6" t="s">
        <v>27</v>
      </c>
      <c r="N1206" s="2" t="str">
        <f>IF(Iterations[[#This Row],[Step]] =current_step, current_Grad_a,IF(Iterations[[#This Row],[Step]] &gt; current_step, "",Iterations[[#This Row],[Grad_a]]))</f>
        <v/>
      </c>
      <c r="O1206" s="2" t="str">
        <f>IF(Iterations[[#This Row],[Step]] =current_step, current_Grad_b,IF(Iterations[[#This Row],[Step]] &gt; current_step, "",Iterations[[#This Row],[Grad_b]]))</f>
        <v/>
      </c>
      <c r="P1206" s="2" t="str">
        <f>IF(Iterations[[#This Row],[Step]] =current_step, current_Grad_c,IF(Iterations[[#This Row],[Step]] &gt; current_step, "",Iterations[[#This Row],[Grad_c]]))</f>
        <v/>
      </c>
      <c r="Q1206" s="2" t="str">
        <f>IF(Iterations[[#This Row],[Step]] =current_step, current_Grad_d,IF(Iterations[[#This Row],[Step]] &gt; current_step, "",Iterations[[#This Row],[Grad_d]]))</f>
        <v/>
      </c>
      <c r="R1206" s="2" t="str">
        <f>IF(Iterations[[#This Row],[Step]] =current_step, current_Grad_e,IF(Iterations[[#This Row],[Step]] &gt; current_step, "",Iterations[[#This Row],[Grad_e]]))</f>
        <v/>
      </c>
    </row>
    <row r="1207" spans="6:18" x14ac:dyDescent="0.3">
      <c r="F1207" s="2">
        <f t="shared" si="23"/>
        <v>1190</v>
      </c>
      <c r="G1207" s="2" t="str">
        <f>IF(Iterations[[#This Row],[Step]] =current_step, current_a,IF(Iterations[[#This Row],[Step]] &gt; current_step, "",Iterations[[#This Row],[a]]))</f>
        <v/>
      </c>
      <c r="H1207" s="2" t="str">
        <f>IF(Iterations[[#This Row],[Step]] =current_step, current_b,IF(Iterations[[#This Row],[Step]] &gt; current_step, "",Iterations[[#This Row],[b]]))</f>
        <v/>
      </c>
      <c r="I1207" s="2" t="str">
        <f>IF(Iterations[[#This Row],[Step]] =current_step, current_c,IF(Iterations[[#This Row],[Step]] &gt; current_step, "",Iterations[[#This Row],[c]]))</f>
        <v/>
      </c>
      <c r="J1207" s="2" t="str">
        <f>IF(Iterations[[#This Row],[Step]] =current_step, current_d,IF(Iterations[[#This Row],[Step]] &gt; current_step, "",Iterations[[#This Row],[d]]))</f>
        <v/>
      </c>
      <c r="K1207" s="2" t="str">
        <f>IF(Iterations[[#This Row],[Step]] =current_step, current_e,IF(Iterations[[#This Row],[Step]] &gt; current_step, "",Iterations[[#This Row],[e]]))</f>
        <v/>
      </c>
      <c r="L1207" s="2" t="str">
        <f>IF(Iterations[[#This Row],[Step]] =current_step, current_Total_Loss,IF(Iterations[[#This Row],[Step]] &gt; current_step, "",Iterations[[#This Row],[Total Loss]]))</f>
        <v/>
      </c>
      <c r="M1207" s="6" t="s">
        <v>27</v>
      </c>
      <c r="N1207" s="2" t="str">
        <f>IF(Iterations[[#This Row],[Step]] =current_step, current_Grad_a,IF(Iterations[[#This Row],[Step]] &gt; current_step, "",Iterations[[#This Row],[Grad_a]]))</f>
        <v/>
      </c>
      <c r="O1207" s="2" t="str">
        <f>IF(Iterations[[#This Row],[Step]] =current_step, current_Grad_b,IF(Iterations[[#This Row],[Step]] &gt; current_step, "",Iterations[[#This Row],[Grad_b]]))</f>
        <v/>
      </c>
      <c r="P1207" s="2" t="str">
        <f>IF(Iterations[[#This Row],[Step]] =current_step, current_Grad_c,IF(Iterations[[#This Row],[Step]] &gt; current_step, "",Iterations[[#This Row],[Grad_c]]))</f>
        <v/>
      </c>
      <c r="Q1207" s="2" t="str">
        <f>IF(Iterations[[#This Row],[Step]] =current_step, current_Grad_d,IF(Iterations[[#This Row],[Step]] &gt; current_step, "",Iterations[[#This Row],[Grad_d]]))</f>
        <v/>
      </c>
      <c r="R1207" s="2" t="str">
        <f>IF(Iterations[[#This Row],[Step]] =current_step, current_Grad_e,IF(Iterations[[#This Row],[Step]] &gt; current_step, "",Iterations[[#This Row],[Grad_e]]))</f>
        <v/>
      </c>
    </row>
    <row r="1208" spans="6:18" x14ac:dyDescent="0.3">
      <c r="F1208" s="2">
        <f t="shared" ref="F1208:F1271" si="24">F1207+1</f>
        <v>1191</v>
      </c>
      <c r="G1208" s="2" t="str">
        <f>IF(Iterations[[#This Row],[Step]] =current_step, current_a,IF(Iterations[[#This Row],[Step]] &gt; current_step, "",Iterations[[#This Row],[a]]))</f>
        <v/>
      </c>
      <c r="H1208" s="2" t="str">
        <f>IF(Iterations[[#This Row],[Step]] =current_step, current_b,IF(Iterations[[#This Row],[Step]] &gt; current_step, "",Iterations[[#This Row],[b]]))</f>
        <v/>
      </c>
      <c r="I1208" s="2" t="str">
        <f>IF(Iterations[[#This Row],[Step]] =current_step, current_c,IF(Iterations[[#This Row],[Step]] &gt; current_step, "",Iterations[[#This Row],[c]]))</f>
        <v/>
      </c>
      <c r="J1208" s="2" t="str">
        <f>IF(Iterations[[#This Row],[Step]] =current_step, current_d,IF(Iterations[[#This Row],[Step]] &gt; current_step, "",Iterations[[#This Row],[d]]))</f>
        <v/>
      </c>
      <c r="K1208" s="2" t="str">
        <f>IF(Iterations[[#This Row],[Step]] =current_step, current_e,IF(Iterations[[#This Row],[Step]] &gt; current_step, "",Iterations[[#This Row],[e]]))</f>
        <v/>
      </c>
      <c r="L1208" s="2" t="str">
        <f>IF(Iterations[[#This Row],[Step]] =current_step, current_Total_Loss,IF(Iterations[[#This Row],[Step]] &gt; current_step, "",Iterations[[#This Row],[Total Loss]]))</f>
        <v/>
      </c>
      <c r="M1208" s="6" t="s">
        <v>27</v>
      </c>
      <c r="N1208" s="2" t="str">
        <f>IF(Iterations[[#This Row],[Step]] =current_step, current_Grad_a,IF(Iterations[[#This Row],[Step]] &gt; current_step, "",Iterations[[#This Row],[Grad_a]]))</f>
        <v/>
      </c>
      <c r="O1208" s="2" t="str">
        <f>IF(Iterations[[#This Row],[Step]] =current_step, current_Grad_b,IF(Iterations[[#This Row],[Step]] &gt; current_step, "",Iterations[[#This Row],[Grad_b]]))</f>
        <v/>
      </c>
      <c r="P1208" s="2" t="str">
        <f>IF(Iterations[[#This Row],[Step]] =current_step, current_Grad_c,IF(Iterations[[#This Row],[Step]] &gt; current_step, "",Iterations[[#This Row],[Grad_c]]))</f>
        <v/>
      </c>
      <c r="Q1208" s="2" t="str">
        <f>IF(Iterations[[#This Row],[Step]] =current_step, current_Grad_d,IF(Iterations[[#This Row],[Step]] &gt; current_step, "",Iterations[[#This Row],[Grad_d]]))</f>
        <v/>
      </c>
      <c r="R1208" s="2" t="str">
        <f>IF(Iterations[[#This Row],[Step]] =current_step, current_Grad_e,IF(Iterations[[#This Row],[Step]] &gt; current_step, "",Iterations[[#This Row],[Grad_e]]))</f>
        <v/>
      </c>
    </row>
    <row r="1209" spans="6:18" x14ac:dyDescent="0.3">
      <c r="F1209" s="2">
        <f t="shared" si="24"/>
        <v>1192</v>
      </c>
      <c r="G1209" s="2" t="str">
        <f>IF(Iterations[[#This Row],[Step]] =current_step, current_a,IF(Iterations[[#This Row],[Step]] &gt; current_step, "",Iterations[[#This Row],[a]]))</f>
        <v/>
      </c>
      <c r="H1209" s="2" t="str">
        <f>IF(Iterations[[#This Row],[Step]] =current_step, current_b,IF(Iterations[[#This Row],[Step]] &gt; current_step, "",Iterations[[#This Row],[b]]))</f>
        <v/>
      </c>
      <c r="I1209" s="2" t="str">
        <f>IF(Iterations[[#This Row],[Step]] =current_step, current_c,IF(Iterations[[#This Row],[Step]] &gt; current_step, "",Iterations[[#This Row],[c]]))</f>
        <v/>
      </c>
      <c r="J1209" s="2" t="str">
        <f>IF(Iterations[[#This Row],[Step]] =current_step, current_d,IF(Iterations[[#This Row],[Step]] &gt; current_step, "",Iterations[[#This Row],[d]]))</f>
        <v/>
      </c>
      <c r="K1209" s="2" t="str">
        <f>IF(Iterations[[#This Row],[Step]] =current_step, current_e,IF(Iterations[[#This Row],[Step]] &gt; current_step, "",Iterations[[#This Row],[e]]))</f>
        <v/>
      </c>
      <c r="L1209" s="2" t="str">
        <f>IF(Iterations[[#This Row],[Step]] =current_step, current_Total_Loss,IF(Iterations[[#This Row],[Step]] &gt; current_step, "",Iterations[[#This Row],[Total Loss]]))</f>
        <v/>
      </c>
      <c r="M1209" s="6" t="s">
        <v>27</v>
      </c>
      <c r="N1209" s="2" t="str">
        <f>IF(Iterations[[#This Row],[Step]] =current_step, current_Grad_a,IF(Iterations[[#This Row],[Step]] &gt; current_step, "",Iterations[[#This Row],[Grad_a]]))</f>
        <v/>
      </c>
      <c r="O1209" s="2" t="str">
        <f>IF(Iterations[[#This Row],[Step]] =current_step, current_Grad_b,IF(Iterations[[#This Row],[Step]] &gt; current_step, "",Iterations[[#This Row],[Grad_b]]))</f>
        <v/>
      </c>
      <c r="P1209" s="2" t="str">
        <f>IF(Iterations[[#This Row],[Step]] =current_step, current_Grad_c,IF(Iterations[[#This Row],[Step]] &gt; current_step, "",Iterations[[#This Row],[Grad_c]]))</f>
        <v/>
      </c>
      <c r="Q1209" s="2" t="str">
        <f>IF(Iterations[[#This Row],[Step]] =current_step, current_Grad_d,IF(Iterations[[#This Row],[Step]] &gt; current_step, "",Iterations[[#This Row],[Grad_d]]))</f>
        <v/>
      </c>
      <c r="R1209" s="2" t="str">
        <f>IF(Iterations[[#This Row],[Step]] =current_step, current_Grad_e,IF(Iterations[[#This Row],[Step]] &gt; current_step, "",Iterations[[#This Row],[Grad_e]]))</f>
        <v/>
      </c>
    </row>
    <row r="1210" spans="6:18" x14ac:dyDescent="0.3">
      <c r="F1210" s="2">
        <f t="shared" si="24"/>
        <v>1193</v>
      </c>
      <c r="G1210" s="2" t="str">
        <f>IF(Iterations[[#This Row],[Step]] =current_step, current_a,IF(Iterations[[#This Row],[Step]] &gt; current_step, "",Iterations[[#This Row],[a]]))</f>
        <v/>
      </c>
      <c r="H1210" s="2" t="str">
        <f>IF(Iterations[[#This Row],[Step]] =current_step, current_b,IF(Iterations[[#This Row],[Step]] &gt; current_step, "",Iterations[[#This Row],[b]]))</f>
        <v/>
      </c>
      <c r="I1210" s="2" t="str">
        <f>IF(Iterations[[#This Row],[Step]] =current_step, current_c,IF(Iterations[[#This Row],[Step]] &gt; current_step, "",Iterations[[#This Row],[c]]))</f>
        <v/>
      </c>
      <c r="J1210" s="2" t="str">
        <f>IF(Iterations[[#This Row],[Step]] =current_step, current_d,IF(Iterations[[#This Row],[Step]] &gt; current_step, "",Iterations[[#This Row],[d]]))</f>
        <v/>
      </c>
      <c r="K1210" s="2" t="str">
        <f>IF(Iterations[[#This Row],[Step]] =current_step, current_e,IF(Iterations[[#This Row],[Step]] &gt; current_step, "",Iterations[[#This Row],[e]]))</f>
        <v/>
      </c>
      <c r="L1210" s="2" t="str">
        <f>IF(Iterations[[#This Row],[Step]] =current_step, current_Total_Loss,IF(Iterations[[#This Row],[Step]] &gt; current_step, "",Iterations[[#This Row],[Total Loss]]))</f>
        <v/>
      </c>
      <c r="M1210" s="6" t="s">
        <v>27</v>
      </c>
      <c r="N1210" s="2" t="str">
        <f>IF(Iterations[[#This Row],[Step]] =current_step, current_Grad_a,IF(Iterations[[#This Row],[Step]] &gt; current_step, "",Iterations[[#This Row],[Grad_a]]))</f>
        <v/>
      </c>
      <c r="O1210" s="2" t="str">
        <f>IF(Iterations[[#This Row],[Step]] =current_step, current_Grad_b,IF(Iterations[[#This Row],[Step]] &gt; current_step, "",Iterations[[#This Row],[Grad_b]]))</f>
        <v/>
      </c>
      <c r="P1210" s="2" t="str">
        <f>IF(Iterations[[#This Row],[Step]] =current_step, current_Grad_c,IF(Iterations[[#This Row],[Step]] &gt; current_step, "",Iterations[[#This Row],[Grad_c]]))</f>
        <v/>
      </c>
      <c r="Q1210" s="2" t="str">
        <f>IF(Iterations[[#This Row],[Step]] =current_step, current_Grad_d,IF(Iterations[[#This Row],[Step]] &gt; current_step, "",Iterations[[#This Row],[Grad_d]]))</f>
        <v/>
      </c>
      <c r="R1210" s="2" t="str">
        <f>IF(Iterations[[#This Row],[Step]] =current_step, current_Grad_e,IF(Iterations[[#This Row],[Step]] &gt; current_step, "",Iterations[[#This Row],[Grad_e]]))</f>
        <v/>
      </c>
    </row>
    <row r="1211" spans="6:18" x14ac:dyDescent="0.3">
      <c r="F1211" s="2">
        <f t="shared" si="24"/>
        <v>1194</v>
      </c>
      <c r="G1211" s="2" t="str">
        <f>IF(Iterations[[#This Row],[Step]] =current_step, current_a,IF(Iterations[[#This Row],[Step]] &gt; current_step, "",Iterations[[#This Row],[a]]))</f>
        <v/>
      </c>
      <c r="H1211" s="2" t="str">
        <f>IF(Iterations[[#This Row],[Step]] =current_step, current_b,IF(Iterations[[#This Row],[Step]] &gt; current_step, "",Iterations[[#This Row],[b]]))</f>
        <v/>
      </c>
      <c r="I1211" s="2" t="str">
        <f>IF(Iterations[[#This Row],[Step]] =current_step, current_c,IF(Iterations[[#This Row],[Step]] &gt; current_step, "",Iterations[[#This Row],[c]]))</f>
        <v/>
      </c>
      <c r="J1211" s="2" t="str">
        <f>IF(Iterations[[#This Row],[Step]] =current_step, current_d,IF(Iterations[[#This Row],[Step]] &gt; current_step, "",Iterations[[#This Row],[d]]))</f>
        <v/>
      </c>
      <c r="K1211" s="2" t="str">
        <f>IF(Iterations[[#This Row],[Step]] =current_step, current_e,IF(Iterations[[#This Row],[Step]] &gt; current_step, "",Iterations[[#This Row],[e]]))</f>
        <v/>
      </c>
      <c r="L1211" s="2" t="str">
        <f>IF(Iterations[[#This Row],[Step]] =current_step, current_Total_Loss,IF(Iterations[[#This Row],[Step]] &gt; current_step, "",Iterations[[#This Row],[Total Loss]]))</f>
        <v/>
      </c>
      <c r="M1211" s="6" t="s">
        <v>27</v>
      </c>
      <c r="N1211" s="2" t="str">
        <f>IF(Iterations[[#This Row],[Step]] =current_step, current_Grad_a,IF(Iterations[[#This Row],[Step]] &gt; current_step, "",Iterations[[#This Row],[Grad_a]]))</f>
        <v/>
      </c>
      <c r="O1211" s="2" t="str">
        <f>IF(Iterations[[#This Row],[Step]] =current_step, current_Grad_b,IF(Iterations[[#This Row],[Step]] &gt; current_step, "",Iterations[[#This Row],[Grad_b]]))</f>
        <v/>
      </c>
      <c r="P1211" s="2" t="str">
        <f>IF(Iterations[[#This Row],[Step]] =current_step, current_Grad_c,IF(Iterations[[#This Row],[Step]] &gt; current_step, "",Iterations[[#This Row],[Grad_c]]))</f>
        <v/>
      </c>
      <c r="Q1211" s="2" t="str">
        <f>IF(Iterations[[#This Row],[Step]] =current_step, current_Grad_d,IF(Iterations[[#This Row],[Step]] &gt; current_step, "",Iterations[[#This Row],[Grad_d]]))</f>
        <v/>
      </c>
      <c r="R1211" s="2" t="str">
        <f>IF(Iterations[[#This Row],[Step]] =current_step, current_Grad_e,IF(Iterations[[#This Row],[Step]] &gt; current_step, "",Iterations[[#This Row],[Grad_e]]))</f>
        <v/>
      </c>
    </row>
    <row r="1212" spans="6:18" x14ac:dyDescent="0.3">
      <c r="F1212" s="2">
        <f t="shared" si="24"/>
        <v>1195</v>
      </c>
      <c r="G1212" s="2" t="str">
        <f>IF(Iterations[[#This Row],[Step]] =current_step, current_a,IF(Iterations[[#This Row],[Step]] &gt; current_step, "",Iterations[[#This Row],[a]]))</f>
        <v/>
      </c>
      <c r="H1212" s="2" t="str">
        <f>IF(Iterations[[#This Row],[Step]] =current_step, current_b,IF(Iterations[[#This Row],[Step]] &gt; current_step, "",Iterations[[#This Row],[b]]))</f>
        <v/>
      </c>
      <c r="I1212" s="2" t="str">
        <f>IF(Iterations[[#This Row],[Step]] =current_step, current_c,IF(Iterations[[#This Row],[Step]] &gt; current_step, "",Iterations[[#This Row],[c]]))</f>
        <v/>
      </c>
      <c r="J1212" s="2" t="str">
        <f>IF(Iterations[[#This Row],[Step]] =current_step, current_d,IF(Iterations[[#This Row],[Step]] &gt; current_step, "",Iterations[[#This Row],[d]]))</f>
        <v/>
      </c>
      <c r="K1212" s="2" t="str">
        <f>IF(Iterations[[#This Row],[Step]] =current_step, current_e,IF(Iterations[[#This Row],[Step]] &gt; current_step, "",Iterations[[#This Row],[e]]))</f>
        <v/>
      </c>
      <c r="L1212" s="2" t="str">
        <f>IF(Iterations[[#This Row],[Step]] =current_step, current_Total_Loss,IF(Iterations[[#This Row],[Step]] &gt; current_step, "",Iterations[[#This Row],[Total Loss]]))</f>
        <v/>
      </c>
      <c r="M1212" s="6" t="s">
        <v>27</v>
      </c>
      <c r="N1212" s="2" t="str">
        <f>IF(Iterations[[#This Row],[Step]] =current_step, current_Grad_a,IF(Iterations[[#This Row],[Step]] &gt; current_step, "",Iterations[[#This Row],[Grad_a]]))</f>
        <v/>
      </c>
      <c r="O1212" s="2" t="str">
        <f>IF(Iterations[[#This Row],[Step]] =current_step, current_Grad_b,IF(Iterations[[#This Row],[Step]] &gt; current_step, "",Iterations[[#This Row],[Grad_b]]))</f>
        <v/>
      </c>
      <c r="P1212" s="2" t="str">
        <f>IF(Iterations[[#This Row],[Step]] =current_step, current_Grad_c,IF(Iterations[[#This Row],[Step]] &gt; current_step, "",Iterations[[#This Row],[Grad_c]]))</f>
        <v/>
      </c>
      <c r="Q1212" s="2" t="str">
        <f>IF(Iterations[[#This Row],[Step]] =current_step, current_Grad_d,IF(Iterations[[#This Row],[Step]] &gt; current_step, "",Iterations[[#This Row],[Grad_d]]))</f>
        <v/>
      </c>
      <c r="R1212" s="2" t="str">
        <f>IF(Iterations[[#This Row],[Step]] =current_step, current_Grad_e,IF(Iterations[[#This Row],[Step]] &gt; current_step, "",Iterations[[#This Row],[Grad_e]]))</f>
        <v/>
      </c>
    </row>
    <row r="1213" spans="6:18" x14ac:dyDescent="0.3">
      <c r="F1213" s="2">
        <f t="shared" si="24"/>
        <v>1196</v>
      </c>
      <c r="G1213" s="2" t="str">
        <f>IF(Iterations[[#This Row],[Step]] =current_step, current_a,IF(Iterations[[#This Row],[Step]] &gt; current_step, "",Iterations[[#This Row],[a]]))</f>
        <v/>
      </c>
      <c r="H1213" s="2" t="str">
        <f>IF(Iterations[[#This Row],[Step]] =current_step, current_b,IF(Iterations[[#This Row],[Step]] &gt; current_step, "",Iterations[[#This Row],[b]]))</f>
        <v/>
      </c>
      <c r="I1213" s="2" t="str">
        <f>IF(Iterations[[#This Row],[Step]] =current_step, current_c,IF(Iterations[[#This Row],[Step]] &gt; current_step, "",Iterations[[#This Row],[c]]))</f>
        <v/>
      </c>
      <c r="J1213" s="2" t="str">
        <f>IF(Iterations[[#This Row],[Step]] =current_step, current_d,IF(Iterations[[#This Row],[Step]] &gt; current_step, "",Iterations[[#This Row],[d]]))</f>
        <v/>
      </c>
      <c r="K1213" s="2" t="str">
        <f>IF(Iterations[[#This Row],[Step]] =current_step, current_e,IF(Iterations[[#This Row],[Step]] &gt; current_step, "",Iterations[[#This Row],[e]]))</f>
        <v/>
      </c>
      <c r="L1213" s="2" t="str">
        <f>IF(Iterations[[#This Row],[Step]] =current_step, current_Total_Loss,IF(Iterations[[#This Row],[Step]] &gt; current_step, "",Iterations[[#This Row],[Total Loss]]))</f>
        <v/>
      </c>
      <c r="M1213" s="6" t="s">
        <v>27</v>
      </c>
      <c r="N1213" s="2" t="str">
        <f>IF(Iterations[[#This Row],[Step]] =current_step, current_Grad_a,IF(Iterations[[#This Row],[Step]] &gt; current_step, "",Iterations[[#This Row],[Grad_a]]))</f>
        <v/>
      </c>
      <c r="O1213" s="2" t="str">
        <f>IF(Iterations[[#This Row],[Step]] =current_step, current_Grad_b,IF(Iterations[[#This Row],[Step]] &gt; current_step, "",Iterations[[#This Row],[Grad_b]]))</f>
        <v/>
      </c>
      <c r="P1213" s="2" t="str">
        <f>IF(Iterations[[#This Row],[Step]] =current_step, current_Grad_c,IF(Iterations[[#This Row],[Step]] &gt; current_step, "",Iterations[[#This Row],[Grad_c]]))</f>
        <v/>
      </c>
      <c r="Q1213" s="2" t="str">
        <f>IF(Iterations[[#This Row],[Step]] =current_step, current_Grad_d,IF(Iterations[[#This Row],[Step]] &gt; current_step, "",Iterations[[#This Row],[Grad_d]]))</f>
        <v/>
      </c>
      <c r="R1213" s="2" t="str">
        <f>IF(Iterations[[#This Row],[Step]] =current_step, current_Grad_e,IF(Iterations[[#This Row],[Step]] &gt; current_step, "",Iterations[[#This Row],[Grad_e]]))</f>
        <v/>
      </c>
    </row>
    <row r="1214" spans="6:18" x14ac:dyDescent="0.3">
      <c r="F1214" s="2">
        <f t="shared" si="24"/>
        <v>1197</v>
      </c>
      <c r="G1214" s="2" t="str">
        <f>IF(Iterations[[#This Row],[Step]] =current_step, current_a,IF(Iterations[[#This Row],[Step]] &gt; current_step, "",Iterations[[#This Row],[a]]))</f>
        <v/>
      </c>
      <c r="H1214" s="2" t="str">
        <f>IF(Iterations[[#This Row],[Step]] =current_step, current_b,IF(Iterations[[#This Row],[Step]] &gt; current_step, "",Iterations[[#This Row],[b]]))</f>
        <v/>
      </c>
      <c r="I1214" s="2" t="str">
        <f>IF(Iterations[[#This Row],[Step]] =current_step, current_c,IF(Iterations[[#This Row],[Step]] &gt; current_step, "",Iterations[[#This Row],[c]]))</f>
        <v/>
      </c>
      <c r="J1214" s="2" t="str">
        <f>IF(Iterations[[#This Row],[Step]] =current_step, current_d,IF(Iterations[[#This Row],[Step]] &gt; current_step, "",Iterations[[#This Row],[d]]))</f>
        <v/>
      </c>
      <c r="K1214" s="2" t="str">
        <f>IF(Iterations[[#This Row],[Step]] =current_step, current_e,IF(Iterations[[#This Row],[Step]] &gt; current_step, "",Iterations[[#This Row],[e]]))</f>
        <v/>
      </c>
      <c r="L1214" s="2" t="str">
        <f>IF(Iterations[[#This Row],[Step]] =current_step, current_Total_Loss,IF(Iterations[[#This Row],[Step]] &gt; current_step, "",Iterations[[#This Row],[Total Loss]]))</f>
        <v/>
      </c>
      <c r="M1214" s="6" t="s">
        <v>27</v>
      </c>
      <c r="N1214" s="2" t="str">
        <f>IF(Iterations[[#This Row],[Step]] =current_step, current_Grad_a,IF(Iterations[[#This Row],[Step]] &gt; current_step, "",Iterations[[#This Row],[Grad_a]]))</f>
        <v/>
      </c>
      <c r="O1214" s="2" t="str">
        <f>IF(Iterations[[#This Row],[Step]] =current_step, current_Grad_b,IF(Iterations[[#This Row],[Step]] &gt; current_step, "",Iterations[[#This Row],[Grad_b]]))</f>
        <v/>
      </c>
      <c r="P1214" s="2" t="str">
        <f>IF(Iterations[[#This Row],[Step]] =current_step, current_Grad_c,IF(Iterations[[#This Row],[Step]] &gt; current_step, "",Iterations[[#This Row],[Grad_c]]))</f>
        <v/>
      </c>
      <c r="Q1214" s="2" t="str">
        <f>IF(Iterations[[#This Row],[Step]] =current_step, current_Grad_d,IF(Iterations[[#This Row],[Step]] &gt; current_step, "",Iterations[[#This Row],[Grad_d]]))</f>
        <v/>
      </c>
      <c r="R1214" s="2" t="str">
        <f>IF(Iterations[[#This Row],[Step]] =current_step, current_Grad_e,IF(Iterations[[#This Row],[Step]] &gt; current_step, "",Iterations[[#This Row],[Grad_e]]))</f>
        <v/>
      </c>
    </row>
    <row r="1215" spans="6:18" x14ac:dyDescent="0.3">
      <c r="F1215" s="2">
        <f t="shared" si="24"/>
        <v>1198</v>
      </c>
      <c r="G1215" s="2" t="str">
        <f>IF(Iterations[[#This Row],[Step]] =current_step, current_a,IF(Iterations[[#This Row],[Step]] &gt; current_step, "",Iterations[[#This Row],[a]]))</f>
        <v/>
      </c>
      <c r="H1215" s="2" t="str">
        <f>IF(Iterations[[#This Row],[Step]] =current_step, current_b,IF(Iterations[[#This Row],[Step]] &gt; current_step, "",Iterations[[#This Row],[b]]))</f>
        <v/>
      </c>
      <c r="I1215" s="2" t="str">
        <f>IF(Iterations[[#This Row],[Step]] =current_step, current_c,IF(Iterations[[#This Row],[Step]] &gt; current_step, "",Iterations[[#This Row],[c]]))</f>
        <v/>
      </c>
      <c r="J1215" s="2" t="str">
        <f>IF(Iterations[[#This Row],[Step]] =current_step, current_d,IF(Iterations[[#This Row],[Step]] &gt; current_step, "",Iterations[[#This Row],[d]]))</f>
        <v/>
      </c>
      <c r="K1215" s="2" t="str">
        <f>IF(Iterations[[#This Row],[Step]] =current_step, current_e,IF(Iterations[[#This Row],[Step]] &gt; current_step, "",Iterations[[#This Row],[e]]))</f>
        <v/>
      </c>
      <c r="L1215" s="2" t="str">
        <f>IF(Iterations[[#This Row],[Step]] =current_step, current_Total_Loss,IF(Iterations[[#This Row],[Step]] &gt; current_step, "",Iterations[[#This Row],[Total Loss]]))</f>
        <v/>
      </c>
      <c r="M1215" s="6" t="s">
        <v>27</v>
      </c>
      <c r="N1215" s="2" t="str">
        <f>IF(Iterations[[#This Row],[Step]] =current_step, current_Grad_a,IF(Iterations[[#This Row],[Step]] &gt; current_step, "",Iterations[[#This Row],[Grad_a]]))</f>
        <v/>
      </c>
      <c r="O1215" s="2" t="str">
        <f>IF(Iterations[[#This Row],[Step]] =current_step, current_Grad_b,IF(Iterations[[#This Row],[Step]] &gt; current_step, "",Iterations[[#This Row],[Grad_b]]))</f>
        <v/>
      </c>
      <c r="P1215" s="2" t="str">
        <f>IF(Iterations[[#This Row],[Step]] =current_step, current_Grad_c,IF(Iterations[[#This Row],[Step]] &gt; current_step, "",Iterations[[#This Row],[Grad_c]]))</f>
        <v/>
      </c>
      <c r="Q1215" s="2" t="str">
        <f>IF(Iterations[[#This Row],[Step]] =current_step, current_Grad_d,IF(Iterations[[#This Row],[Step]] &gt; current_step, "",Iterations[[#This Row],[Grad_d]]))</f>
        <v/>
      </c>
      <c r="R1215" s="2" t="str">
        <f>IF(Iterations[[#This Row],[Step]] =current_step, current_Grad_e,IF(Iterations[[#This Row],[Step]] &gt; current_step, "",Iterations[[#This Row],[Grad_e]]))</f>
        <v/>
      </c>
    </row>
    <row r="1216" spans="6:18" x14ac:dyDescent="0.3">
      <c r="F1216" s="2">
        <f t="shared" si="24"/>
        <v>1199</v>
      </c>
      <c r="G1216" s="2" t="str">
        <f>IF(Iterations[[#This Row],[Step]] =current_step, current_a,IF(Iterations[[#This Row],[Step]] &gt; current_step, "",Iterations[[#This Row],[a]]))</f>
        <v/>
      </c>
      <c r="H1216" s="2" t="str">
        <f>IF(Iterations[[#This Row],[Step]] =current_step, current_b,IF(Iterations[[#This Row],[Step]] &gt; current_step, "",Iterations[[#This Row],[b]]))</f>
        <v/>
      </c>
      <c r="I1216" s="2" t="str">
        <f>IF(Iterations[[#This Row],[Step]] =current_step, current_c,IF(Iterations[[#This Row],[Step]] &gt; current_step, "",Iterations[[#This Row],[c]]))</f>
        <v/>
      </c>
      <c r="J1216" s="2" t="str">
        <f>IF(Iterations[[#This Row],[Step]] =current_step, current_d,IF(Iterations[[#This Row],[Step]] &gt; current_step, "",Iterations[[#This Row],[d]]))</f>
        <v/>
      </c>
      <c r="K1216" s="2" t="str">
        <f>IF(Iterations[[#This Row],[Step]] =current_step, current_e,IF(Iterations[[#This Row],[Step]] &gt; current_step, "",Iterations[[#This Row],[e]]))</f>
        <v/>
      </c>
      <c r="L1216" s="2" t="str">
        <f>IF(Iterations[[#This Row],[Step]] =current_step, current_Total_Loss,IF(Iterations[[#This Row],[Step]] &gt; current_step, "",Iterations[[#This Row],[Total Loss]]))</f>
        <v/>
      </c>
      <c r="M1216" s="6" t="s">
        <v>27</v>
      </c>
      <c r="N1216" s="2" t="str">
        <f>IF(Iterations[[#This Row],[Step]] =current_step, current_Grad_a,IF(Iterations[[#This Row],[Step]] &gt; current_step, "",Iterations[[#This Row],[Grad_a]]))</f>
        <v/>
      </c>
      <c r="O1216" s="2" t="str">
        <f>IF(Iterations[[#This Row],[Step]] =current_step, current_Grad_b,IF(Iterations[[#This Row],[Step]] &gt; current_step, "",Iterations[[#This Row],[Grad_b]]))</f>
        <v/>
      </c>
      <c r="P1216" s="2" t="str">
        <f>IF(Iterations[[#This Row],[Step]] =current_step, current_Grad_c,IF(Iterations[[#This Row],[Step]] &gt; current_step, "",Iterations[[#This Row],[Grad_c]]))</f>
        <v/>
      </c>
      <c r="Q1216" s="2" t="str">
        <f>IF(Iterations[[#This Row],[Step]] =current_step, current_Grad_d,IF(Iterations[[#This Row],[Step]] &gt; current_step, "",Iterations[[#This Row],[Grad_d]]))</f>
        <v/>
      </c>
      <c r="R1216" s="2" t="str">
        <f>IF(Iterations[[#This Row],[Step]] =current_step, current_Grad_e,IF(Iterations[[#This Row],[Step]] &gt; current_step, "",Iterations[[#This Row],[Grad_e]]))</f>
        <v/>
      </c>
    </row>
    <row r="1217" spans="6:18" x14ac:dyDescent="0.3">
      <c r="F1217" s="2">
        <f t="shared" si="24"/>
        <v>1200</v>
      </c>
      <c r="G1217" s="2" t="str">
        <f>IF(Iterations[[#This Row],[Step]] =current_step, current_a,IF(Iterations[[#This Row],[Step]] &gt; current_step, "",Iterations[[#This Row],[a]]))</f>
        <v/>
      </c>
      <c r="H1217" s="2" t="str">
        <f>IF(Iterations[[#This Row],[Step]] =current_step, current_b,IF(Iterations[[#This Row],[Step]] &gt; current_step, "",Iterations[[#This Row],[b]]))</f>
        <v/>
      </c>
      <c r="I1217" s="2" t="str">
        <f>IF(Iterations[[#This Row],[Step]] =current_step, current_c,IF(Iterations[[#This Row],[Step]] &gt; current_step, "",Iterations[[#This Row],[c]]))</f>
        <v/>
      </c>
      <c r="J1217" s="2" t="str">
        <f>IF(Iterations[[#This Row],[Step]] =current_step, current_d,IF(Iterations[[#This Row],[Step]] &gt; current_step, "",Iterations[[#This Row],[d]]))</f>
        <v/>
      </c>
      <c r="K1217" s="2" t="str">
        <f>IF(Iterations[[#This Row],[Step]] =current_step, current_e,IF(Iterations[[#This Row],[Step]] &gt; current_step, "",Iterations[[#This Row],[e]]))</f>
        <v/>
      </c>
      <c r="L1217" s="2" t="str">
        <f>IF(Iterations[[#This Row],[Step]] =current_step, current_Total_Loss,IF(Iterations[[#This Row],[Step]] &gt; current_step, "",Iterations[[#This Row],[Total Loss]]))</f>
        <v/>
      </c>
      <c r="M1217" s="6" t="s">
        <v>27</v>
      </c>
      <c r="N1217" s="2" t="str">
        <f>IF(Iterations[[#This Row],[Step]] =current_step, current_Grad_a,IF(Iterations[[#This Row],[Step]] &gt; current_step, "",Iterations[[#This Row],[Grad_a]]))</f>
        <v/>
      </c>
      <c r="O1217" s="2" t="str">
        <f>IF(Iterations[[#This Row],[Step]] =current_step, current_Grad_b,IF(Iterations[[#This Row],[Step]] &gt; current_step, "",Iterations[[#This Row],[Grad_b]]))</f>
        <v/>
      </c>
      <c r="P1217" s="2" t="str">
        <f>IF(Iterations[[#This Row],[Step]] =current_step, current_Grad_c,IF(Iterations[[#This Row],[Step]] &gt; current_step, "",Iterations[[#This Row],[Grad_c]]))</f>
        <v/>
      </c>
      <c r="Q1217" s="2" t="str">
        <f>IF(Iterations[[#This Row],[Step]] =current_step, current_Grad_d,IF(Iterations[[#This Row],[Step]] &gt; current_step, "",Iterations[[#This Row],[Grad_d]]))</f>
        <v/>
      </c>
      <c r="R1217" s="2" t="str">
        <f>IF(Iterations[[#This Row],[Step]] =current_step, current_Grad_e,IF(Iterations[[#This Row],[Step]] &gt; current_step, "",Iterations[[#This Row],[Grad_e]]))</f>
        <v/>
      </c>
    </row>
    <row r="1218" spans="6:18" x14ac:dyDescent="0.3">
      <c r="F1218" s="2">
        <f t="shared" si="24"/>
        <v>1201</v>
      </c>
      <c r="G1218" s="2" t="str">
        <f>IF(Iterations[[#This Row],[Step]] =current_step, current_a,IF(Iterations[[#This Row],[Step]] &gt; current_step, "",Iterations[[#This Row],[a]]))</f>
        <v/>
      </c>
      <c r="H1218" s="2" t="str">
        <f>IF(Iterations[[#This Row],[Step]] =current_step, current_b,IF(Iterations[[#This Row],[Step]] &gt; current_step, "",Iterations[[#This Row],[b]]))</f>
        <v/>
      </c>
      <c r="I1218" s="2" t="str">
        <f>IF(Iterations[[#This Row],[Step]] =current_step, current_c,IF(Iterations[[#This Row],[Step]] &gt; current_step, "",Iterations[[#This Row],[c]]))</f>
        <v/>
      </c>
      <c r="J1218" s="2" t="str">
        <f>IF(Iterations[[#This Row],[Step]] =current_step, current_d,IF(Iterations[[#This Row],[Step]] &gt; current_step, "",Iterations[[#This Row],[d]]))</f>
        <v/>
      </c>
      <c r="K1218" s="2" t="str">
        <f>IF(Iterations[[#This Row],[Step]] =current_step, current_e,IF(Iterations[[#This Row],[Step]] &gt; current_step, "",Iterations[[#This Row],[e]]))</f>
        <v/>
      </c>
      <c r="L1218" s="2" t="str">
        <f>IF(Iterations[[#This Row],[Step]] =current_step, current_Total_Loss,IF(Iterations[[#This Row],[Step]] &gt; current_step, "",Iterations[[#This Row],[Total Loss]]))</f>
        <v/>
      </c>
      <c r="M1218" s="6" t="s">
        <v>27</v>
      </c>
      <c r="N1218" s="2" t="str">
        <f>IF(Iterations[[#This Row],[Step]] =current_step, current_Grad_a,IF(Iterations[[#This Row],[Step]] &gt; current_step, "",Iterations[[#This Row],[Grad_a]]))</f>
        <v/>
      </c>
      <c r="O1218" s="2" t="str">
        <f>IF(Iterations[[#This Row],[Step]] =current_step, current_Grad_b,IF(Iterations[[#This Row],[Step]] &gt; current_step, "",Iterations[[#This Row],[Grad_b]]))</f>
        <v/>
      </c>
      <c r="P1218" s="2" t="str">
        <f>IF(Iterations[[#This Row],[Step]] =current_step, current_Grad_c,IF(Iterations[[#This Row],[Step]] &gt; current_step, "",Iterations[[#This Row],[Grad_c]]))</f>
        <v/>
      </c>
      <c r="Q1218" s="2" t="str">
        <f>IF(Iterations[[#This Row],[Step]] =current_step, current_Grad_d,IF(Iterations[[#This Row],[Step]] &gt; current_step, "",Iterations[[#This Row],[Grad_d]]))</f>
        <v/>
      </c>
      <c r="R1218" s="2" t="str">
        <f>IF(Iterations[[#This Row],[Step]] =current_step, current_Grad_e,IF(Iterations[[#This Row],[Step]] &gt; current_step, "",Iterations[[#This Row],[Grad_e]]))</f>
        <v/>
      </c>
    </row>
    <row r="1219" spans="6:18" x14ac:dyDescent="0.3">
      <c r="F1219" s="2">
        <f t="shared" si="24"/>
        <v>1202</v>
      </c>
      <c r="G1219" s="2" t="str">
        <f>IF(Iterations[[#This Row],[Step]] =current_step, current_a,IF(Iterations[[#This Row],[Step]] &gt; current_step, "",Iterations[[#This Row],[a]]))</f>
        <v/>
      </c>
      <c r="H1219" s="2" t="str">
        <f>IF(Iterations[[#This Row],[Step]] =current_step, current_b,IF(Iterations[[#This Row],[Step]] &gt; current_step, "",Iterations[[#This Row],[b]]))</f>
        <v/>
      </c>
      <c r="I1219" s="2" t="str">
        <f>IF(Iterations[[#This Row],[Step]] =current_step, current_c,IF(Iterations[[#This Row],[Step]] &gt; current_step, "",Iterations[[#This Row],[c]]))</f>
        <v/>
      </c>
      <c r="J1219" s="2" t="str">
        <f>IF(Iterations[[#This Row],[Step]] =current_step, current_d,IF(Iterations[[#This Row],[Step]] &gt; current_step, "",Iterations[[#This Row],[d]]))</f>
        <v/>
      </c>
      <c r="K1219" s="2" t="str">
        <f>IF(Iterations[[#This Row],[Step]] =current_step, current_e,IF(Iterations[[#This Row],[Step]] &gt; current_step, "",Iterations[[#This Row],[e]]))</f>
        <v/>
      </c>
      <c r="L1219" s="2" t="str">
        <f>IF(Iterations[[#This Row],[Step]] =current_step, current_Total_Loss,IF(Iterations[[#This Row],[Step]] &gt; current_step, "",Iterations[[#This Row],[Total Loss]]))</f>
        <v/>
      </c>
      <c r="M1219" s="6" t="s">
        <v>27</v>
      </c>
      <c r="N1219" s="2" t="str">
        <f>IF(Iterations[[#This Row],[Step]] =current_step, current_Grad_a,IF(Iterations[[#This Row],[Step]] &gt; current_step, "",Iterations[[#This Row],[Grad_a]]))</f>
        <v/>
      </c>
      <c r="O1219" s="2" t="str">
        <f>IF(Iterations[[#This Row],[Step]] =current_step, current_Grad_b,IF(Iterations[[#This Row],[Step]] &gt; current_step, "",Iterations[[#This Row],[Grad_b]]))</f>
        <v/>
      </c>
      <c r="P1219" s="2" t="str">
        <f>IF(Iterations[[#This Row],[Step]] =current_step, current_Grad_c,IF(Iterations[[#This Row],[Step]] &gt; current_step, "",Iterations[[#This Row],[Grad_c]]))</f>
        <v/>
      </c>
      <c r="Q1219" s="2" t="str">
        <f>IF(Iterations[[#This Row],[Step]] =current_step, current_Grad_d,IF(Iterations[[#This Row],[Step]] &gt; current_step, "",Iterations[[#This Row],[Grad_d]]))</f>
        <v/>
      </c>
      <c r="R1219" s="2" t="str">
        <f>IF(Iterations[[#This Row],[Step]] =current_step, current_Grad_e,IF(Iterations[[#This Row],[Step]] &gt; current_step, "",Iterations[[#This Row],[Grad_e]]))</f>
        <v/>
      </c>
    </row>
    <row r="1220" spans="6:18" x14ac:dyDescent="0.3">
      <c r="F1220" s="2">
        <f t="shared" si="24"/>
        <v>1203</v>
      </c>
      <c r="G1220" s="2" t="str">
        <f>IF(Iterations[[#This Row],[Step]] =current_step, current_a,IF(Iterations[[#This Row],[Step]] &gt; current_step, "",Iterations[[#This Row],[a]]))</f>
        <v/>
      </c>
      <c r="H1220" s="2" t="str">
        <f>IF(Iterations[[#This Row],[Step]] =current_step, current_b,IF(Iterations[[#This Row],[Step]] &gt; current_step, "",Iterations[[#This Row],[b]]))</f>
        <v/>
      </c>
      <c r="I1220" s="2" t="str">
        <f>IF(Iterations[[#This Row],[Step]] =current_step, current_c,IF(Iterations[[#This Row],[Step]] &gt; current_step, "",Iterations[[#This Row],[c]]))</f>
        <v/>
      </c>
      <c r="J1220" s="2" t="str">
        <f>IF(Iterations[[#This Row],[Step]] =current_step, current_d,IF(Iterations[[#This Row],[Step]] &gt; current_step, "",Iterations[[#This Row],[d]]))</f>
        <v/>
      </c>
      <c r="K1220" s="2" t="str">
        <f>IF(Iterations[[#This Row],[Step]] =current_step, current_e,IF(Iterations[[#This Row],[Step]] &gt; current_step, "",Iterations[[#This Row],[e]]))</f>
        <v/>
      </c>
      <c r="L1220" s="2" t="str">
        <f>IF(Iterations[[#This Row],[Step]] =current_step, current_Total_Loss,IF(Iterations[[#This Row],[Step]] &gt; current_step, "",Iterations[[#This Row],[Total Loss]]))</f>
        <v/>
      </c>
      <c r="M1220" s="6" t="s">
        <v>27</v>
      </c>
      <c r="N1220" s="2" t="str">
        <f>IF(Iterations[[#This Row],[Step]] =current_step, current_Grad_a,IF(Iterations[[#This Row],[Step]] &gt; current_step, "",Iterations[[#This Row],[Grad_a]]))</f>
        <v/>
      </c>
      <c r="O1220" s="2" t="str">
        <f>IF(Iterations[[#This Row],[Step]] =current_step, current_Grad_b,IF(Iterations[[#This Row],[Step]] &gt; current_step, "",Iterations[[#This Row],[Grad_b]]))</f>
        <v/>
      </c>
      <c r="P1220" s="2" t="str">
        <f>IF(Iterations[[#This Row],[Step]] =current_step, current_Grad_c,IF(Iterations[[#This Row],[Step]] &gt; current_step, "",Iterations[[#This Row],[Grad_c]]))</f>
        <v/>
      </c>
      <c r="Q1220" s="2" t="str">
        <f>IF(Iterations[[#This Row],[Step]] =current_step, current_Grad_d,IF(Iterations[[#This Row],[Step]] &gt; current_step, "",Iterations[[#This Row],[Grad_d]]))</f>
        <v/>
      </c>
      <c r="R1220" s="2" t="str">
        <f>IF(Iterations[[#This Row],[Step]] =current_step, current_Grad_e,IF(Iterations[[#This Row],[Step]] &gt; current_step, "",Iterations[[#This Row],[Grad_e]]))</f>
        <v/>
      </c>
    </row>
    <row r="1221" spans="6:18" x14ac:dyDescent="0.3">
      <c r="F1221" s="2">
        <f t="shared" si="24"/>
        <v>1204</v>
      </c>
      <c r="G1221" s="2" t="str">
        <f>IF(Iterations[[#This Row],[Step]] =current_step, current_a,IF(Iterations[[#This Row],[Step]] &gt; current_step, "",Iterations[[#This Row],[a]]))</f>
        <v/>
      </c>
      <c r="H1221" s="2" t="str">
        <f>IF(Iterations[[#This Row],[Step]] =current_step, current_b,IF(Iterations[[#This Row],[Step]] &gt; current_step, "",Iterations[[#This Row],[b]]))</f>
        <v/>
      </c>
      <c r="I1221" s="2" t="str">
        <f>IF(Iterations[[#This Row],[Step]] =current_step, current_c,IF(Iterations[[#This Row],[Step]] &gt; current_step, "",Iterations[[#This Row],[c]]))</f>
        <v/>
      </c>
      <c r="J1221" s="2" t="str">
        <f>IF(Iterations[[#This Row],[Step]] =current_step, current_d,IF(Iterations[[#This Row],[Step]] &gt; current_step, "",Iterations[[#This Row],[d]]))</f>
        <v/>
      </c>
      <c r="K1221" s="2" t="str">
        <f>IF(Iterations[[#This Row],[Step]] =current_step, current_e,IF(Iterations[[#This Row],[Step]] &gt; current_step, "",Iterations[[#This Row],[e]]))</f>
        <v/>
      </c>
      <c r="L1221" s="2" t="str">
        <f>IF(Iterations[[#This Row],[Step]] =current_step, current_Total_Loss,IF(Iterations[[#This Row],[Step]] &gt; current_step, "",Iterations[[#This Row],[Total Loss]]))</f>
        <v/>
      </c>
      <c r="M1221" s="6" t="s">
        <v>27</v>
      </c>
      <c r="N1221" s="2" t="str">
        <f>IF(Iterations[[#This Row],[Step]] =current_step, current_Grad_a,IF(Iterations[[#This Row],[Step]] &gt; current_step, "",Iterations[[#This Row],[Grad_a]]))</f>
        <v/>
      </c>
      <c r="O1221" s="2" t="str">
        <f>IF(Iterations[[#This Row],[Step]] =current_step, current_Grad_b,IF(Iterations[[#This Row],[Step]] &gt; current_step, "",Iterations[[#This Row],[Grad_b]]))</f>
        <v/>
      </c>
      <c r="P1221" s="2" t="str">
        <f>IF(Iterations[[#This Row],[Step]] =current_step, current_Grad_c,IF(Iterations[[#This Row],[Step]] &gt; current_step, "",Iterations[[#This Row],[Grad_c]]))</f>
        <v/>
      </c>
      <c r="Q1221" s="2" t="str">
        <f>IF(Iterations[[#This Row],[Step]] =current_step, current_Grad_d,IF(Iterations[[#This Row],[Step]] &gt; current_step, "",Iterations[[#This Row],[Grad_d]]))</f>
        <v/>
      </c>
      <c r="R1221" s="2" t="str">
        <f>IF(Iterations[[#This Row],[Step]] =current_step, current_Grad_e,IF(Iterations[[#This Row],[Step]] &gt; current_step, "",Iterations[[#This Row],[Grad_e]]))</f>
        <v/>
      </c>
    </row>
    <row r="1222" spans="6:18" x14ac:dyDescent="0.3">
      <c r="F1222" s="2">
        <f t="shared" si="24"/>
        <v>1205</v>
      </c>
      <c r="G1222" s="2" t="str">
        <f>IF(Iterations[[#This Row],[Step]] =current_step, current_a,IF(Iterations[[#This Row],[Step]] &gt; current_step, "",Iterations[[#This Row],[a]]))</f>
        <v/>
      </c>
      <c r="H1222" s="2" t="str">
        <f>IF(Iterations[[#This Row],[Step]] =current_step, current_b,IF(Iterations[[#This Row],[Step]] &gt; current_step, "",Iterations[[#This Row],[b]]))</f>
        <v/>
      </c>
      <c r="I1222" s="2" t="str">
        <f>IF(Iterations[[#This Row],[Step]] =current_step, current_c,IF(Iterations[[#This Row],[Step]] &gt; current_step, "",Iterations[[#This Row],[c]]))</f>
        <v/>
      </c>
      <c r="J1222" s="2" t="str">
        <f>IF(Iterations[[#This Row],[Step]] =current_step, current_d,IF(Iterations[[#This Row],[Step]] &gt; current_step, "",Iterations[[#This Row],[d]]))</f>
        <v/>
      </c>
      <c r="K1222" s="2" t="str">
        <f>IF(Iterations[[#This Row],[Step]] =current_step, current_e,IF(Iterations[[#This Row],[Step]] &gt; current_step, "",Iterations[[#This Row],[e]]))</f>
        <v/>
      </c>
      <c r="L1222" s="2" t="str">
        <f>IF(Iterations[[#This Row],[Step]] =current_step, current_Total_Loss,IF(Iterations[[#This Row],[Step]] &gt; current_step, "",Iterations[[#This Row],[Total Loss]]))</f>
        <v/>
      </c>
      <c r="M1222" s="6" t="s">
        <v>27</v>
      </c>
      <c r="N1222" s="2" t="str">
        <f>IF(Iterations[[#This Row],[Step]] =current_step, current_Grad_a,IF(Iterations[[#This Row],[Step]] &gt; current_step, "",Iterations[[#This Row],[Grad_a]]))</f>
        <v/>
      </c>
      <c r="O1222" s="2" t="str">
        <f>IF(Iterations[[#This Row],[Step]] =current_step, current_Grad_b,IF(Iterations[[#This Row],[Step]] &gt; current_step, "",Iterations[[#This Row],[Grad_b]]))</f>
        <v/>
      </c>
      <c r="P1222" s="2" t="str">
        <f>IF(Iterations[[#This Row],[Step]] =current_step, current_Grad_c,IF(Iterations[[#This Row],[Step]] &gt; current_step, "",Iterations[[#This Row],[Grad_c]]))</f>
        <v/>
      </c>
      <c r="Q1222" s="2" t="str">
        <f>IF(Iterations[[#This Row],[Step]] =current_step, current_Grad_d,IF(Iterations[[#This Row],[Step]] &gt; current_step, "",Iterations[[#This Row],[Grad_d]]))</f>
        <v/>
      </c>
      <c r="R1222" s="2" t="str">
        <f>IF(Iterations[[#This Row],[Step]] =current_step, current_Grad_e,IF(Iterations[[#This Row],[Step]] &gt; current_step, "",Iterations[[#This Row],[Grad_e]]))</f>
        <v/>
      </c>
    </row>
    <row r="1223" spans="6:18" x14ac:dyDescent="0.3">
      <c r="F1223" s="2">
        <f t="shared" si="24"/>
        <v>1206</v>
      </c>
      <c r="G1223" s="2" t="str">
        <f>IF(Iterations[[#This Row],[Step]] =current_step, current_a,IF(Iterations[[#This Row],[Step]] &gt; current_step, "",Iterations[[#This Row],[a]]))</f>
        <v/>
      </c>
      <c r="H1223" s="2" t="str">
        <f>IF(Iterations[[#This Row],[Step]] =current_step, current_b,IF(Iterations[[#This Row],[Step]] &gt; current_step, "",Iterations[[#This Row],[b]]))</f>
        <v/>
      </c>
      <c r="I1223" s="2" t="str">
        <f>IF(Iterations[[#This Row],[Step]] =current_step, current_c,IF(Iterations[[#This Row],[Step]] &gt; current_step, "",Iterations[[#This Row],[c]]))</f>
        <v/>
      </c>
      <c r="J1223" s="2" t="str">
        <f>IF(Iterations[[#This Row],[Step]] =current_step, current_d,IF(Iterations[[#This Row],[Step]] &gt; current_step, "",Iterations[[#This Row],[d]]))</f>
        <v/>
      </c>
      <c r="K1223" s="2" t="str">
        <f>IF(Iterations[[#This Row],[Step]] =current_step, current_e,IF(Iterations[[#This Row],[Step]] &gt; current_step, "",Iterations[[#This Row],[e]]))</f>
        <v/>
      </c>
      <c r="L1223" s="2" t="str">
        <f>IF(Iterations[[#This Row],[Step]] =current_step, current_Total_Loss,IF(Iterations[[#This Row],[Step]] &gt; current_step, "",Iterations[[#This Row],[Total Loss]]))</f>
        <v/>
      </c>
      <c r="M1223" s="6" t="s">
        <v>27</v>
      </c>
      <c r="N1223" s="2" t="str">
        <f>IF(Iterations[[#This Row],[Step]] =current_step, current_Grad_a,IF(Iterations[[#This Row],[Step]] &gt; current_step, "",Iterations[[#This Row],[Grad_a]]))</f>
        <v/>
      </c>
      <c r="O1223" s="2" t="str">
        <f>IF(Iterations[[#This Row],[Step]] =current_step, current_Grad_b,IF(Iterations[[#This Row],[Step]] &gt; current_step, "",Iterations[[#This Row],[Grad_b]]))</f>
        <v/>
      </c>
      <c r="P1223" s="2" t="str">
        <f>IF(Iterations[[#This Row],[Step]] =current_step, current_Grad_c,IF(Iterations[[#This Row],[Step]] &gt; current_step, "",Iterations[[#This Row],[Grad_c]]))</f>
        <v/>
      </c>
      <c r="Q1223" s="2" t="str">
        <f>IF(Iterations[[#This Row],[Step]] =current_step, current_Grad_d,IF(Iterations[[#This Row],[Step]] &gt; current_step, "",Iterations[[#This Row],[Grad_d]]))</f>
        <v/>
      </c>
      <c r="R1223" s="2" t="str">
        <f>IF(Iterations[[#This Row],[Step]] =current_step, current_Grad_e,IF(Iterations[[#This Row],[Step]] &gt; current_step, "",Iterations[[#This Row],[Grad_e]]))</f>
        <v/>
      </c>
    </row>
    <row r="1224" spans="6:18" x14ac:dyDescent="0.3">
      <c r="F1224" s="2">
        <f t="shared" si="24"/>
        <v>1207</v>
      </c>
      <c r="G1224" s="2" t="str">
        <f>IF(Iterations[[#This Row],[Step]] =current_step, current_a,IF(Iterations[[#This Row],[Step]] &gt; current_step, "",Iterations[[#This Row],[a]]))</f>
        <v/>
      </c>
      <c r="H1224" s="2" t="str">
        <f>IF(Iterations[[#This Row],[Step]] =current_step, current_b,IF(Iterations[[#This Row],[Step]] &gt; current_step, "",Iterations[[#This Row],[b]]))</f>
        <v/>
      </c>
      <c r="I1224" s="2" t="str">
        <f>IF(Iterations[[#This Row],[Step]] =current_step, current_c,IF(Iterations[[#This Row],[Step]] &gt; current_step, "",Iterations[[#This Row],[c]]))</f>
        <v/>
      </c>
      <c r="J1224" s="2" t="str">
        <f>IF(Iterations[[#This Row],[Step]] =current_step, current_d,IF(Iterations[[#This Row],[Step]] &gt; current_step, "",Iterations[[#This Row],[d]]))</f>
        <v/>
      </c>
      <c r="K1224" s="2" t="str">
        <f>IF(Iterations[[#This Row],[Step]] =current_step, current_e,IF(Iterations[[#This Row],[Step]] &gt; current_step, "",Iterations[[#This Row],[e]]))</f>
        <v/>
      </c>
      <c r="L1224" s="2" t="str">
        <f>IF(Iterations[[#This Row],[Step]] =current_step, current_Total_Loss,IF(Iterations[[#This Row],[Step]] &gt; current_step, "",Iterations[[#This Row],[Total Loss]]))</f>
        <v/>
      </c>
      <c r="M1224" s="6" t="s">
        <v>27</v>
      </c>
      <c r="N1224" s="2" t="str">
        <f>IF(Iterations[[#This Row],[Step]] =current_step, current_Grad_a,IF(Iterations[[#This Row],[Step]] &gt; current_step, "",Iterations[[#This Row],[Grad_a]]))</f>
        <v/>
      </c>
      <c r="O1224" s="2" t="str">
        <f>IF(Iterations[[#This Row],[Step]] =current_step, current_Grad_b,IF(Iterations[[#This Row],[Step]] &gt; current_step, "",Iterations[[#This Row],[Grad_b]]))</f>
        <v/>
      </c>
      <c r="P1224" s="2" t="str">
        <f>IF(Iterations[[#This Row],[Step]] =current_step, current_Grad_c,IF(Iterations[[#This Row],[Step]] &gt; current_step, "",Iterations[[#This Row],[Grad_c]]))</f>
        <v/>
      </c>
      <c r="Q1224" s="2" t="str">
        <f>IF(Iterations[[#This Row],[Step]] =current_step, current_Grad_d,IF(Iterations[[#This Row],[Step]] &gt; current_step, "",Iterations[[#This Row],[Grad_d]]))</f>
        <v/>
      </c>
      <c r="R1224" s="2" t="str">
        <f>IF(Iterations[[#This Row],[Step]] =current_step, current_Grad_e,IF(Iterations[[#This Row],[Step]] &gt; current_step, "",Iterations[[#This Row],[Grad_e]]))</f>
        <v/>
      </c>
    </row>
    <row r="1225" spans="6:18" x14ac:dyDescent="0.3">
      <c r="F1225" s="2">
        <f t="shared" si="24"/>
        <v>1208</v>
      </c>
      <c r="G1225" s="2" t="str">
        <f>IF(Iterations[[#This Row],[Step]] =current_step, current_a,IF(Iterations[[#This Row],[Step]] &gt; current_step, "",Iterations[[#This Row],[a]]))</f>
        <v/>
      </c>
      <c r="H1225" s="2" t="str">
        <f>IF(Iterations[[#This Row],[Step]] =current_step, current_b,IF(Iterations[[#This Row],[Step]] &gt; current_step, "",Iterations[[#This Row],[b]]))</f>
        <v/>
      </c>
      <c r="I1225" s="2" t="str">
        <f>IF(Iterations[[#This Row],[Step]] =current_step, current_c,IF(Iterations[[#This Row],[Step]] &gt; current_step, "",Iterations[[#This Row],[c]]))</f>
        <v/>
      </c>
      <c r="J1225" s="2" t="str">
        <f>IF(Iterations[[#This Row],[Step]] =current_step, current_d,IF(Iterations[[#This Row],[Step]] &gt; current_step, "",Iterations[[#This Row],[d]]))</f>
        <v/>
      </c>
      <c r="K1225" s="2" t="str">
        <f>IF(Iterations[[#This Row],[Step]] =current_step, current_e,IF(Iterations[[#This Row],[Step]] &gt; current_step, "",Iterations[[#This Row],[e]]))</f>
        <v/>
      </c>
      <c r="L1225" s="2" t="str">
        <f>IF(Iterations[[#This Row],[Step]] =current_step, current_Total_Loss,IF(Iterations[[#This Row],[Step]] &gt; current_step, "",Iterations[[#This Row],[Total Loss]]))</f>
        <v/>
      </c>
      <c r="M1225" s="6" t="s">
        <v>27</v>
      </c>
      <c r="N1225" s="2" t="str">
        <f>IF(Iterations[[#This Row],[Step]] =current_step, current_Grad_a,IF(Iterations[[#This Row],[Step]] &gt; current_step, "",Iterations[[#This Row],[Grad_a]]))</f>
        <v/>
      </c>
      <c r="O1225" s="2" t="str">
        <f>IF(Iterations[[#This Row],[Step]] =current_step, current_Grad_b,IF(Iterations[[#This Row],[Step]] &gt; current_step, "",Iterations[[#This Row],[Grad_b]]))</f>
        <v/>
      </c>
      <c r="P1225" s="2" t="str">
        <f>IF(Iterations[[#This Row],[Step]] =current_step, current_Grad_c,IF(Iterations[[#This Row],[Step]] &gt; current_step, "",Iterations[[#This Row],[Grad_c]]))</f>
        <v/>
      </c>
      <c r="Q1225" s="2" t="str">
        <f>IF(Iterations[[#This Row],[Step]] =current_step, current_Grad_d,IF(Iterations[[#This Row],[Step]] &gt; current_step, "",Iterations[[#This Row],[Grad_d]]))</f>
        <v/>
      </c>
      <c r="R1225" s="2" t="str">
        <f>IF(Iterations[[#This Row],[Step]] =current_step, current_Grad_e,IF(Iterations[[#This Row],[Step]] &gt; current_step, "",Iterations[[#This Row],[Grad_e]]))</f>
        <v/>
      </c>
    </row>
    <row r="1226" spans="6:18" x14ac:dyDescent="0.3">
      <c r="F1226" s="2">
        <f t="shared" si="24"/>
        <v>1209</v>
      </c>
      <c r="G1226" s="2" t="str">
        <f>IF(Iterations[[#This Row],[Step]] =current_step, current_a,IF(Iterations[[#This Row],[Step]] &gt; current_step, "",Iterations[[#This Row],[a]]))</f>
        <v/>
      </c>
      <c r="H1226" s="2" t="str">
        <f>IF(Iterations[[#This Row],[Step]] =current_step, current_b,IF(Iterations[[#This Row],[Step]] &gt; current_step, "",Iterations[[#This Row],[b]]))</f>
        <v/>
      </c>
      <c r="I1226" s="2" t="str">
        <f>IF(Iterations[[#This Row],[Step]] =current_step, current_c,IF(Iterations[[#This Row],[Step]] &gt; current_step, "",Iterations[[#This Row],[c]]))</f>
        <v/>
      </c>
      <c r="J1226" s="2" t="str">
        <f>IF(Iterations[[#This Row],[Step]] =current_step, current_d,IF(Iterations[[#This Row],[Step]] &gt; current_step, "",Iterations[[#This Row],[d]]))</f>
        <v/>
      </c>
      <c r="K1226" s="2" t="str">
        <f>IF(Iterations[[#This Row],[Step]] =current_step, current_e,IF(Iterations[[#This Row],[Step]] &gt; current_step, "",Iterations[[#This Row],[e]]))</f>
        <v/>
      </c>
      <c r="L1226" s="2" t="str">
        <f>IF(Iterations[[#This Row],[Step]] =current_step, current_Total_Loss,IF(Iterations[[#This Row],[Step]] &gt; current_step, "",Iterations[[#This Row],[Total Loss]]))</f>
        <v/>
      </c>
      <c r="M1226" s="6" t="s">
        <v>27</v>
      </c>
      <c r="N1226" s="2" t="str">
        <f>IF(Iterations[[#This Row],[Step]] =current_step, current_Grad_a,IF(Iterations[[#This Row],[Step]] &gt; current_step, "",Iterations[[#This Row],[Grad_a]]))</f>
        <v/>
      </c>
      <c r="O1226" s="2" t="str">
        <f>IF(Iterations[[#This Row],[Step]] =current_step, current_Grad_b,IF(Iterations[[#This Row],[Step]] &gt; current_step, "",Iterations[[#This Row],[Grad_b]]))</f>
        <v/>
      </c>
      <c r="P1226" s="2" t="str">
        <f>IF(Iterations[[#This Row],[Step]] =current_step, current_Grad_c,IF(Iterations[[#This Row],[Step]] &gt; current_step, "",Iterations[[#This Row],[Grad_c]]))</f>
        <v/>
      </c>
      <c r="Q1226" s="2" t="str">
        <f>IF(Iterations[[#This Row],[Step]] =current_step, current_Grad_d,IF(Iterations[[#This Row],[Step]] &gt; current_step, "",Iterations[[#This Row],[Grad_d]]))</f>
        <v/>
      </c>
      <c r="R1226" s="2" t="str">
        <f>IF(Iterations[[#This Row],[Step]] =current_step, current_Grad_e,IF(Iterations[[#This Row],[Step]] &gt; current_step, "",Iterations[[#This Row],[Grad_e]]))</f>
        <v/>
      </c>
    </row>
    <row r="1227" spans="6:18" x14ac:dyDescent="0.3">
      <c r="F1227" s="2">
        <f t="shared" si="24"/>
        <v>1210</v>
      </c>
      <c r="G1227" s="2" t="str">
        <f>IF(Iterations[[#This Row],[Step]] =current_step, current_a,IF(Iterations[[#This Row],[Step]] &gt; current_step, "",Iterations[[#This Row],[a]]))</f>
        <v/>
      </c>
      <c r="H1227" s="2" t="str">
        <f>IF(Iterations[[#This Row],[Step]] =current_step, current_b,IF(Iterations[[#This Row],[Step]] &gt; current_step, "",Iterations[[#This Row],[b]]))</f>
        <v/>
      </c>
      <c r="I1227" s="2" t="str">
        <f>IF(Iterations[[#This Row],[Step]] =current_step, current_c,IF(Iterations[[#This Row],[Step]] &gt; current_step, "",Iterations[[#This Row],[c]]))</f>
        <v/>
      </c>
      <c r="J1227" s="2" t="str">
        <f>IF(Iterations[[#This Row],[Step]] =current_step, current_d,IF(Iterations[[#This Row],[Step]] &gt; current_step, "",Iterations[[#This Row],[d]]))</f>
        <v/>
      </c>
      <c r="K1227" s="2" t="str">
        <f>IF(Iterations[[#This Row],[Step]] =current_step, current_e,IF(Iterations[[#This Row],[Step]] &gt; current_step, "",Iterations[[#This Row],[e]]))</f>
        <v/>
      </c>
      <c r="L1227" s="2" t="str">
        <f>IF(Iterations[[#This Row],[Step]] =current_step, current_Total_Loss,IF(Iterations[[#This Row],[Step]] &gt; current_step, "",Iterations[[#This Row],[Total Loss]]))</f>
        <v/>
      </c>
      <c r="M1227" s="6" t="s">
        <v>27</v>
      </c>
      <c r="N1227" s="2" t="str">
        <f>IF(Iterations[[#This Row],[Step]] =current_step, current_Grad_a,IF(Iterations[[#This Row],[Step]] &gt; current_step, "",Iterations[[#This Row],[Grad_a]]))</f>
        <v/>
      </c>
      <c r="O1227" s="2" t="str">
        <f>IF(Iterations[[#This Row],[Step]] =current_step, current_Grad_b,IF(Iterations[[#This Row],[Step]] &gt; current_step, "",Iterations[[#This Row],[Grad_b]]))</f>
        <v/>
      </c>
      <c r="P1227" s="2" t="str">
        <f>IF(Iterations[[#This Row],[Step]] =current_step, current_Grad_c,IF(Iterations[[#This Row],[Step]] &gt; current_step, "",Iterations[[#This Row],[Grad_c]]))</f>
        <v/>
      </c>
      <c r="Q1227" s="2" t="str">
        <f>IF(Iterations[[#This Row],[Step]] =current_step, current_Grad_d,IF(Iterations[[#This Row],[Step]] &gt; current_step, "",Iterations[[#This Row],[Grad_d]]))</f>
        <v/>
      </c>
      <c r="R1227" s="2" t="str">
        <f>IF(Iterations[[#This Row],[Step]] =current_step, current_Grad_e,IF(Iterations[[#This Row],[Step]] &gt; current_step, "",Iterations[[#This Row],[Grad_e]]))</f>
        <v/>
      </c>
    </row>
    <row r="1228" spans="6:18" x14ac:dyDescent="0.3">
      <c r="F1228" s="2">
        <f t="shared" si="24"/>
        <v>1211</v>
      </c>
      <c r="G1228" s="2" t="str">
        <f>IF(Iterations[[#This Row],[Step]] =current_step, current_a,IF(Iterations[[#This Row],[Step]] &gt; current_step, "",Iterations[[#This Row],[a]]))</f>
        <v/>
      </c>
      <c r="H1228" s="2" t="str">
        <f>IF(Iterations[[#This Row],[Step]] =current_step, current_b,IF(Iterations[[#This Row],[Step]] &gt; current_step, "",Iterations[[#This Row],[b]]))</f>
        <v/>
      </c>
      <c r="I1228" s="2" t="str">
        <f>IF(Iterations[[#This Row],[Step]] =current_step, current_c,IF(Iterations[[#This Row],[Step]] &gt; current_step, "",Iterations[[#This Row],[c]]))</f>
        <v/>
      </c>
      <c r="J1228" s="2" t="str">
        <f>IF(Iterations[[#This Row],[Step]] =current_step, current_d,IF(Iterations[[#This Row],[Step]] &gt; current_step, "",Iterations[[#This Row],[d]]))</f>
        <v/>
      </c>
      <c r="K1228" s="2" t="str">
        <f>IF(Iterations[[#This Row],[Step]] =current_step, current_e,IF(Iterations[[#This Row],[Step]] &gt; current_step, "",Iterations[[#This Row],[e]]))</f>
        <v/>
      </c>
      <c r="L1228" s="2" t="str">
        <f>IF(Iterations[[#This Row],[Step]] =current_step, current_Total_Loss,IF(Iterations[[#This Row],[Step]] &gt; current_step, "",Iterations[[#This Row],[Total Loss]]))</f>
        <v/>
      </c>
      <c r="M1228" s="6" t="s">
        <v>27</v>
      </c>
      <c r="N1228" s="2" t="str">
        <f>IF(Iterations[[#This Row],[Step]] =current_step, current_Grad_a,IF(Iterations[[#This Row],[Step]] &gt; current_step, "",Iterations[[#This Row],[Grad_a]]))</f>
        <v/>
      </c>
      <c r="O1228" s="2" t="str">
        <f>IF(Iterations[[#This Row],[Step]] =current_step, current_Grad_b,IF(Iterations[[#This Row],[Step]] &gt; current_step, "",Iterations[[#This Row],[Grad_b]]))</f>
        <v/>
      </c>
      <c r="P1228" s="2" t="str">
        <f>IF(Iterations[[#This Row],[Step]] =current_step, current_Grad_c,IF(Iterations[[#This Row],[Step]] &gt; current_step, "",Iterations[[#This Row],[Grad_c]]))</f>
        <v/>
      </c>
      <c r="Q1228" s="2" t="str">
        <f>IF(Iterations[[#This Row],[Step]] =current_step, current_Grad_d,IF(Iterations[[#This Row],[Step]] &gt; current_step, "",Iterations[[#This Row],[Grad_d]]))</f>
        <v/>
      </c>
      <c r="R1228" s="2" t="str">
        <f>IF(Iterations[[#This Row],[Step]] =current_step, current_Grad_e,IF(Iterations[[#This Row],[Step]] &gt; current_step, "",Iterations[[#This Row],[Grad_e]]))</f>
        <v/>
      </c>
    </row>
    <row r="1229" spans="6:18" x14ac:dyDescent="0.3">
      <c r="F1229" s="2">
        <f t="shared" si="24"/>
        <v>1212</v>
      </c>
      <c r="G1229" s="2" t="str">
        <f>IF(Iterations[[#This Row],[Step]] =current_step, current_a,IF(Iterations[[#This Row],[Step]] &gt; current_step, "",Iterations[[#This Row],[a]]))</f>
        <v/>
      </c>
      <c r="H1229" s="2" t="str">
        <f>IF(Iterations[[#This Row],[Step]] =current_step, current_b,IF(Iterations[[#This Row],[Step]] &gt; current_step, "",Iterations[[#This Row],[b]]))</f>
        <v/>
      </c>
      <c r="I1229" s="2" t="str">
        <f>IF(Iterations[[#This Row],[Step]] =current_step, current_c,IF(Iterations[[#This Row],[Step]] &gt; current_step, "",Iterations[[#This Row],[c]]))</f>
        <v/>
      </c>
      <c r="J1229" s="2" t="str">
        <f>IF(Iterations[[#This Row],[Step]] =current_step, current_d,IF(Iterations[[#This Row],[Step]] &gt; current_step, "",Iterations[[#This Row],[d]]))</f>
        <v/>
      </c>
      <c r="K1229" s="2" t="str">
        <f>IF(Iterations[[#This Row],[Step]] =current_step, current_e,IF(Iterations[[#This Row],[Step]] &gt; current_step, "",Iterations[[#This Row],[e]]))</f>
        <v/>
      </c>
      <c r="L1229" s="2" t="str">
        <f>IF(Iterations[[#This Row],[Step]] =current_step, current_Total_Loss,IF(Iterations[[#This Row],[Step]] &gt; current_step, "",Iterations[[#This Row],[Total Loss]]))</f>
        <v/>
      </c>
      <c r="M1229" s="6" t="s">
        <v>27</v>
      </c>
      <c r="N1229" s="2" t="str">
        <f>IF(Iterations[[#This Row],[Step]] =current_step, current_Grad_a,IF(Iterations[[#This Row],[Step]] &gt; current_step, "",Iterations[[#This Row],[Grad_a]]))</f>
        <v/>
      </c>
      <c r="O1229" s="2" t="str">
        <f>IF(Iterations[[#This Row],[Step]] =current_step, current_Grad_b,IF(Iterations[[#This Row],[Step]] &gt; current_step, "",Iterations[[#This Row],[Grad_b]]))</f>
        <v/>
      </c>
      <c r="P1229" s="2" t="str">
        <f>IF(Iterations[[#This Row],[Step]] =current_step, current_Grad_c,IF(Iterations[[#This Row],[Step]] &gt; current_step, "",Iterations[[#This Row],[Grad_c]]))</f>
        <v/>
      </c>
      <c r="Q1229" s="2" t="str">
        <f>IF(Iterations[[#This Row],[Step]] =current_step, current_Grad_d,IF(Iterations[[#This Row],[Step]] &gt; current_step, "",Iterations[[#This Row],[Grad_d]]))</f>
        <v/>
      </c>
      <c r="R1229" s="2" t="str">
        <f>IF(Iterations[[#This Row],[Step]] =current_step, current_Grad_e,IF(Iterations[[#This Row],[Step]] &gt; current_step, "",Iterations[[#This Row],[Grad_e]]))</f>
        <v/>
      </c>
    </row>
    <row r="1230" spans="6:18" x14ac:dyDescent="0.3">
      <c r="F1230" s="2">
        <f t="shared" si="24"/>
        <v>1213</v>
      </c>
      <c r="G1230" s="2" t="str">
        <f>IF(Iterations[[#This Row],[Step]] =current_step, current_a,IF(Iterations[[#This Row],[Step]] &gt; current_step, "",Iterations[[#This Row],[a]]))</f>
        <v/>
      </c>
      <c r="H1230" s="2" t="str">
        <f>IF(Iterations[[#This Row],[Step]] =current_step, current_b,IF(Iterations[[#This Row],[Step]] &gt; current_step, "",Iterations[[#This Row],[b]]))</f>
        <v/>
      </c>
      <c r="I1230" s="2" t="str">
        <f>IF(Iterations[[#This Row],[Step]] =current_step, current_c,IF(Iterations[[#This Row],[Step]] &gt; current_step, "",Iterations[[#This Row],[c]]))</f>
        <v/>
      </c>
      <c r="J1230" s="2" t="str">
        <f>IF(Iterations[[#This Row],[Step]] =current_step, current_d,IF(Iterations[[#This Row],[Step]] &gt; current_step, "",Iterations[[#This Row],[d]]))</f>
        <v/>
      </c>
      <c r="K1230" s="2" t="str">
        <f>IF(Iterations[[#This Row],[Step]] =current_step, current_e,IF(Iterations[[#This Row],[Step]] &gt; current_step, "",Iterations[[#This Row],[e]]))</f>
        <v/>
      </c>
      <c r="L1230" s="2" t="str">
        <f>IF(Iterations[[#This Row],[Step]] =current_step, current_Total_Loss,IF(Iterations[[#This Row],[Step]] &gt; current_step, "",Iterations[[#This Row],[Total Loss]]))</f>
        <v/>
      </c>
      <c r="M1230" s="6" t="s">
        <v>27</v>
      </c>
      <c r="N1230" s="2" t="str">
        <f>IF(Iterations[[#This Row],[Step]] =current_step, current_Grad_a,IF(Iterations[[#This Row],[Step]] &gt; current_step, "",Iterations[[#This Row],[Grad_a]]))</f>
        <v/>
      </c>
      <c r="O1230" s="2" t="str">
        <f>IF(Iterations[[#This Row],[Step]] =current_step, current_Grad_b,IF(Iterations[[#This Row],[Step]] &gt; current_step, "",Iterations[[#This Row],[Grad_b]]))</f>
        <v/>
      </c>
      <c r="P1230" s="2" t="str">
        <f>IF(Iterations[[#This Row],[Step]] =current_step, current_Grad_c,IF(Iterations[[#This Row],[Step]] &gt; current_step, "",Iterations[[#This Row],[Grad_c]]))</f>
        <v/>
      </c>
      <c r="Q1230" s="2" t="str">
        <f>IF(Iterations[[#This Row],[Step]] =current_step, current_Grad_d,IF(Iterations[[#This Row],[Step]] &gt; current_step, "",Iterations[[#This Row],[Grad_d]]))</f>
        <v/>
      </c>
      <c r="R1230" s="2" t="str">
        <f>IF(Iterations[[#This Row],[Step]] =current_step, current_Grad_e,IF(Iterations[[#This Row],[Step]] &gt; current_step, "",Iterations[[#This Row],[Grad_e]]))</f>
        <v/>
      </c>
    </row>
    <row r="1231" spans="6:18" x14ac:dyDescent="0.3">
      <c r="F1231" s="2">
        <f t="shared" si="24"/>
        <v>1214</v>
      </c>
      <c r="G1231" s="2" t="str">
        <f>IF(Iterations[[#This Row],[Step]] =current_step, current_a,IF(Iterations[[#This Row],[Step]] &gt; current_step, "",Iterations[[#This Row],[a]]))</f>
        <v/>
      </c>
      <c r="H1231" s="2" t="str">
        <f>IF(Iterations[[#This Row],[Step]] =current_step, current_b,IF(Iterations[[#This Row],[Step]] &gt; current_step, "",Iterations[[#This Row],[b]]))</f>
        <v/>
      </c>
      <c r="I1231" s="2" t="str">
        <f>IF(Iterations[[#This Row],[Step]] =current_step, current_c,IF(Iterations[[#This Row],[Step]] &gt; current_step, "",Iterations[[#This Row],[c]]))</f>
        <v/>
      </c>
      <c r="J1231" s="2" t="str">
        <f>IF(Iterations[[#This Row],[Step]] =current_step, current_d,IF(Iterations[[#This Row],[Step]] &gt; current_step, "",Iterations[[#This Row],[d]]))</f>
        <v/>
      </c>
      <c r="K1231" s="2" t="str">
        <f>IF(Iterations[[#This Row],[Step]] =current_step, current_e,IF(Iterations[[#This Row],[Step]] &gt; current_step, "",Iterations[[#This Row],[e]]))</f>
        <v/>
      </c>
      <c r="L1231" s="2" t="str">
        <f>IF(Iterations[[#This Row],[Step]] =current_step, current_Total_Loss,IF(Iterations[[#This Row],[Step]] &gt; current_step, "",Iterations[[#This Row],[Total Loss]]))</f>
        <v/>
      </c>
      <c r="M1231" s="6" t="s">
        <v>27</v>
      </c>
      <c r="N1231" s="2" t="str">
        <f>IF(Iterations[[#This Row],[Step]] =current_step, current_Grad_a,IF(Iterations[[#This Row],[Step]] &gt; current_step, "",Iterations[[#This Row],[Grad_a]]))</f>
        <v/>
      </c>
      <c r="O1231" s="2" t="str">
        <f>IF(Iterations[[#This Row],[Step]] =current_step, current_Grad_b,IF(Iterations[[#This Row],[Step]] &gt; current_step, "",Iterations[[#This Row],[Grad_b]]))</f>
        <v/>
      </c>
      <c r="P1231" s="2" t="str">
        <f>IF(Iterations[[#This Row],[Step]] =current_step, current_Grad_c,IF(Iterations[[#This Row],[Step]] &gt; current_step, "",Iterations[[#This Row],[Grad_c]]))</f>
        <v/>
      </c>
      <c r="Q1231" s="2" t="str">
        <f>IF(Iterations[[#This Row],[Step]] =current_step, current_Grad_d,IF(Iterations[[#This Row],[Step]] &gt; current_step, "",Iterations[[#This Row],[Grad_d]]))</f>
        <v/>
      </c>
      <c r="R1231" s="2" t="str">
        <f>IF(Iterations[[#This Row],[Step]] =current_step, current_Grad_e,IF(Iterations[[#This Row],[Step]] &gt; current_step, "",Iterations[[#This Row],[Grad_e]]))</f>
        <v/>
      </c>
    </row>
    <row r="1232" spans="6:18" x14ac:dyDescent="0.3">
      <c r="F1232" s="2">
        <f t="shared" si="24"/>
        <v>1215</v>
      </c>
      <c r="G1232" s="2" t="str">
        <f>IF(Iterations[[#This Row],[Step]] =current_step, current_a,IF(Iterations[[#This Row],[Step]] &gt; current_step, "",Iterations[[#This Row],[a]]))</f>
        <v/>
      </c>
      <c r="H1232" s="2" t="str">
        <f>IF(Iterations[[#This Row],[Step]] =current_step, current_b,IF(Iterations[[#This Row],[Step]] &gt; current_step, "",Iterations[[#This Row],[b]]))</f>
        <v/>
      </c>
      <c r="I1232" s="2" t="str">
        <f>IF(Iterations[[#This Row],[Step]] =current_step, current_c,IF(Iterations[[#This Row],[Step]] &gt; current_step, "",Iterations[[#This Row],[c]]))</f>
        <v/>
      </c>
      <c r="J1232" s="2" t="str">
        <f>IF(Iterations[[#This Row],[Step]] =current_step, current_d,IF(Iterations[[#This Row],[Step]] &gt; current_step, "",Iterations[[#This Row],[d]]))</f>
        <v/>
      </c>
      <c r="K1232" s="2" t="str">
        <f>IF(Iterations[[#This Row],[Step]] =current_step, current_e,IF(Iterations[[#This Row],[Step]] &gt; current_step, "",Iterations[[#This Row],[e]]))</f>
        <v/>
      </c>
      <c r="L1232" s="2" t="str">
        <f>IF(Iterations[[#This Row],[Step]] =current_step, current_Total_Loss,IF(Iterations[[#This Row],[Step]] &gt; current_step, "",Iterations[[#This Row],[Total Loss]]))</f>
        <v/>
      </c>
      <c r="M1232" s="6" t="s">
        <v>27</v>
      </c>
      <c r="N1232" s="2" t="str">
        <f>IF(Iterations[[#This Row],[Step]] =current_step, current_Grad_a,IF(Iterations[[#This Row],[Step]] &gt; current_step, "",Iterations[[#This Row],[Grad_a]]))</f>
        <v/>
      </c>
      <c r="O1232" s="2" t="str">
        <f>IF(Iterations[[#This Row],[Step]] =current_step, current_Grad_b,IF(Iterations[[#This Row],[Step]] &gt; current_step, "",Iterations[[#This Row],[Grad_b]]))</f>
        <v/>
      </c>
      <c r="P1232" s="2" t="str">
        <f>IF(Iterations[[#This Row],[Step]] =current_step, current_Grad_c,IF(Iterations[[#This Row],[Step]] &gt; current_step, "",Iterations[[#This Row],[Grad_c]]))</f>
        <v/>
      </c>
      <c r="Q1232" s="2" t="str">
        <f>IF(Iterations[[#This Row],[Step]] =current_step, current_Grad_d,IF(Iterations[[#This Row],[Step]] &gt; current_step, "",Iterations[[#This Row],[Grad_d]]))</f>
        <v/>
      </c>
      <c r="R1232" s="2" t="str">
        <f>IF(Iterations[[#This Row],[Step]] =current_step, current_Grad_e,IF(Iterations[[#This Row],[Step]] &gt; current_step, "",Iterations[[#This Row],[Grad_e]]))</f>
        <v/>
      </c>
    </row>
    <row r="1233" spans="6:18" x14ac:dyDescent="0.3">
      <c r="F1233" s="2">
        <f t="shared" si="24"/>
        <v>1216</v>
      </c>
      <c r="G1233" s="2" t="str">
        <f>IF(Iterations[[#This Row],[Step]] =current_step, current_a,IF(Iterations[[#This Row],[Step]] &gt; current_step, "",Iterations[[#This Row],[a]]))</f>
        <v/>
      </c>
      <c r="H1233" s="2" t="str">
        <f>IF(Iterations[[#This Row],[Step]] =current_step, current_b,IF(Iterations[[#This Row],[Step]] &gt; current_step, "",Iterations[[#This Row],[b]]))</f>
        <v/>
      </c>
      <c r="I1233" s="2" t="str">
        <f>IF(Iterations[[#This Row],[Step]] =current_step, current_c,IF(Iterations[[#This Row],[Step]] &gt; current_step, "",Iterations[[#This Row],[c]]))</f>
        <v/>
      </c>
      <c r="J1233" s="2" t="str">
        <f>IF(Iterations[[#This Row],[Step]] =current_step, current_d,IF(Iterations[[#This Row],[Step]] &gt; current_step, "",Iterations[[#This Row],[d]]))</f>
        <v/>
      </c>
      <c r="K1233" s="2" t="str">
        <f>IF(Iterations[[#This Row],[Step]] =current_step, current_e,IF(Iterations[[#This Row],[Step]] &gt; current_step, "",Iterations[[#This Row],[e]]))</f>
        <v/>
      </c>
      <c r="L1233" s="2" t="str">
        <f>IF(Iterations[[#This Row],[Step]] =current_step, current_Total_Loss,IF(Iterations[[#This Row],[Step]] &gt; current_step, "",Iterations[[#This Row],[Total Loss]]))</f>
        <v/>
      </c>
      <c r="M1233" s="6" t="s">
        <v>27</v>
      </c>
      <c r="N1233" s="2" t="str">
        <f>IF(Iterations[[#This Row],[Step]] =current_step, current_Grad_a,IF(Iterations[[#This Row],[Step]] &gt; current_step, "",Iterations[[#This Row],[Grad_a]]))</f>
        <v/>
      </c>
      <c r="O1233" s="2" t="str">
        <f>IF(Iterations[[#This Row],[Step]] =current_step, current_Grad_b,IF(Iterations[[#This Row],[Step]] &gt; current_step, "",Iterations[[#This Row],[Grad_b]]))</f>
        <v/>
      </c>
      <c r="P1233" s="2" t="str">
        <f>IF(Iterations[[#This Row],[Step]] =current_step, current_Grad_c,IF(Iterations[[#This Row],[Step]] &gt; current_step, "",Iterations[[#This Row],[Grad_c]]))</f>
        <v/>
      </c>
      <c r="Q1233" s="2" t="str">
        <f>IF(Iterations[[#This Row],[Step]] =current_step, current_Grad_d,IF(Iterations[[#This Row],[Step]] &gt; current_step, "",Iterations[[#This Row],[Grad_d]]))</f>
        <v/>
      </c>
      <c r="R1233" s="2" t="str">
        <f>IF(Iterations[[#This Row],[Step]] =current_step, current_Grad_e,IF(Iterations[[#This Row],[Step]] &gt; current_step, "",Iterations[[#This Row],[Grad_e]]))</f>
        <v/>
      </c>
    </row>
    <row r="1234" spans="6:18" x14ac:dyDescent="0.3">
      <c r="F1234" s="2">
        <f t="shared" si="24"/>
        <v>1217</v>
      </c>
      <c r="G1234" s="2" t="str">
        <f>IF(Iterations[[#This Row],[Step]] =current_step, current_a,IF(Iterations[[#This Row],[Step]] &gt; current_step, "",Iterations[[#This Row],[a]]))</f>
        <v/>
      </c>
      <c r="H1234" s="2" t="str">
        <f>IF(Iterations[[#This Row],[Step]] =current_step, current_b,IF(Iterations[[#This Row],[Step]] &gt; current_step, "",Iterations[[#This Row],[b]]))</f>
        <v/>
      </c>
      <c r="I1234" s="2" t="str">
        <f>IF(Iterations[[#This Row],[Step]] =current_step, current_c,IF(Iterations[[#This Row],[Step]] &gt; current_step, "",Iterations[[#This Row],[c]]))</f>
        <v/>
      </c>
      <c r="J1234" s="2" t="str">
        <f>IF(Iterations[[#This Row],[Step]] =current_step, current_d,IF(Iterations[[#This Row],[Step]] &gt; current_step, "",Iterations[[#This Row],[d]]))</f>
        <v/>
      </c>
      <c r="K1234" s="2" t="str">
        <f>IF(Iterations[[#This Row],[Step]] =current_step, current_e,IF(Iterations[[#This Row],[Step]] &gt; current_step, "",Iterations[[#This Row],[e]]))</f>
        <v/>
      </c>
      <c r="L1234" s="2" t="str">
        <f>IF(Iterations[[#This Row],[Step]] =current_step, current_Total_Loss,IF(Iterations[[#This Row],[Step]] &gt; current_step, "",Iterations[[#This Row],[Total Loss]]))</f>
        <v/>
      </c>
      <c r="M1234" s="6" t="s">
        <v>27</v>
      </c>
      <c r="N1234" s="2" t="str">
        <f>IF(Iterations[[#This Row],[Step]] =current_step, current_Grad_a,IF(Iterations[[#This Row],[Step]] &gt; current_step, "",Iterations[[#This Row],[Grad_a]]))</f>
        <v/>
      </c>
      <c r="O1234" s="2" t="str">
        <f>IF(Iterations[[#This Row],[Step]] =current_step, current_Grad_b,IF(Iterations[[#This Row],[Step]] &gt; current_step, "",Iterations[[#This Row],[Grad_b]]))</f>
        <v/>
      </c>
      <c r="P1234" s="2" t="str">
        <f>IF(Iterations[[#This Row],[Step]] =current_step, current_Grad_c,IF(Iterations[[#This Row],[Step]] &gt; current_step, "",Iterations[[#This Row],[Grad_c]]))</f>
        <v/>
      </c>
      <c r="Q1234" s="2" t="str">
        <f>IF(Iterations[[#This Row],[Step]] =current_step, current_Grad_d,IF(Iterations[[#This Row],[Step]] &gt; current_step, "",Iterations[[#This Row],[Grad_d]]))</f>
        <v/>
      </c>
      <c r="R1234" s="2" t="str">
        <f>IF(Iterations[[#This Row],[Step]] =current_step, current_Grad_e,IF(Iterations[[#This Row],[Step]] &gt; current_step, "",Iterations[[#This Row],[Grad_e]]))</f>
        <v/>
      </c>
    </row>
    <row r="1235" spans="6:18" x14ac:dyDescent="0.3">
      <c r="F1235" s="2">
        <f t="shared" si="24"/>
        <v>1218</v>
      </c>
      <c r="G1235" s="2" t="str">
        <f>IF(Iterations[[#This Row],[Step]] =current_step, current_a,IF(Iterations[[#This Row],[Step]] &gt; current_step, "",Iterations[[#This Row],[a]]))</f>
        <v/>
      </c>
      <c r="H1235" s="2" t="str">
        <f>IF(Iterations[[#This Row],[Step]] =current_step, current_b,IF(Iterations[[#This Row],[Step]] &gt; current_step, "",Iterations[[#This Row],[b]]))</f>
        <v/>
      </c>
      <c r="I1235" s="2" t="str">
        <f>IF(Iterations[[#This Row],[Step]] =current_step, current_c,IF(Iterations[[#This Row],[Step]] &gt; current_step, "",Iterations[[#This Row],[c]]))</f>
        <v/>
      </c>
      <c r="J1235" s="2" t="str">
        <f>IF(Iterations[[#This Row],[Step]] =current_step, current_d,IF(Iterations[[#This Row],[Step]] &gt; current_step, "",Iterations[[#This Row],[d]]))</f>
        <v/>
      </c>
      <c r="K1235" s="2" t="str">
        <f>IF(Iterations[[#This Row],[Step]] =current_step, current_e,IF(Iterations[[#This Row],[Step]] &gt; current_step, "",Iterations[[#This Row],[e]]))</f>
        <v/>
      </c>
      <c r="L1235" s="2" t="str">
        <f>IF(Iterations[[#This Row],[Step]] =current_step, current_Total_Loss,IF(Iterations[[#This Row],[Step]] &gt; current_step, "",Iterations[[#This Row],[Total Loss]]))</f>
        <v/>
      </c>
      <c r="M1235" s="6" t="s">
        <v>27</v>
      </c>
      <c r="N1235" s="2" t="str">
        <f>IF(Iterations[[#This Row],[Step]] =current_step, current_Grad_a,IF(Iterations[[#This Row],[Step]] &gt; current_step, "",Iterations[[#This Row],[Grad_a]]))</f>
        <v/>
      </c>
      <c r="O1235" s="2" t="str">
        <f>IF(Iterations[[#This Row],[Step]] =current_step, current_Grad_b,IF(Iterations[[#This Row],[Step]] &gt; current_step, "",Iterations[[#This Row],[Grad_b]]))</f>
        <v/>
      </c>
      <c r="P1235" s="2" t="str">
        <f>IF(Iterations[[#This Row],[Step]] =current_step, current_Grad_c,IF(Iterations[[#This Row],[Step]] &gt; current_step, "",Iterations[[#This Row],[Grad_c]]))</f>
        <v/>
      </c>
      <c r="Q1235" s="2" t="str">
        <f>IF(Iterations[[#This Row],[Step]] =current_step, current_Grad_d,IF(Iterations[[#This Row],[Step]] &gt; current_step, "",Iterations[[#This Row],[Grad_d]]))</f>
        <v/>
      </c>
      <c r="R1235" s="2" t="str">
        <f>IF(Iterations[[#This Row],[Step]] =current_step, current_Grad_e,IF(Iterations[[#This Row],[Step]] &gt; current_step, "",Iterations[[#This Row],[Grad_e]]))</f>
        <v/>
      </c>
    </row>
    <row r="1236" spans="6:18" x14ac:dyDescent="0.3">
      <c r="F1236" s="2">
        <f t="shared" si="24"/>
        <v>1219</v>
      </c>
      <c r="G1236" s="2" t="str">
        <f>IF(Iterations[[#This Row],[Step]] =current_step, current_a,IF(Iterations[[#This Row],[Step]] &gt; current_step, "",Iterations[[#This Row],[a]]))</f>
        <v/>
      </c>
      <c r="H1236" s="2" t="str">
        <f>IF(Iterations[[#This Row],[Step]] =current_step, current_b,IF(Iterations[[#This Row],[Step]] &gt; current_step, "",Iterations[[#This Row],[b]]))</f>
        <v/>
      </c>
      <c r="I1236" s="2" t="str">
        <f>IF(Iterations[[#This Row],[Step]] =current_step, current_c,IF(Iterations[[#This Row],[Step]] &gt; current_step, "",Iterations[[#This Row],[c]]))</f>
        <v/>
      </c>
      <c r="J1236" s="2" t="str">
        <f>IF(Iterations[[#This Row],[Step]] =current_step, current_d,IF(Iterations[[#This Row],[Step]] &gt; current_step, "",Iterations[[#This Row],[d]]))</f>
        <v/>
      </c>
      <c r="K1236" s="2" t="str">
        <f>IF(Iterations[[#This Row],[Step]] =current_step, current_e,IF(Iterations[[#This Row],[Step]] &gt; current_step, "",Iterations[[#This Row],[e]]))</f>
        <v/>
      </c>
      <c r="L1236" s="2" t="str">
        <f>IF(Iterations[[#This Row],[Step]] =current_step, current_Total_Loss,IF(Iterations[[#This Row],[Step]] &gt; current_step, "",Iterations[[#This Row],[Total Loss]]))</f>
        <v/>
      </c>
      <c r="M1236" s="6" t="s">
        <v>27</v>
      </c>
      <c r="N1236" s="2" t="str">
        <f>IF(Iterations[[#This Row],[Step]] =current_step, current_Grad_a,IF(Iterations[[#This Row],[Step]] &gt; current_step, "",Iterations[[#This Row],[Grad_a]]))</f>
        <v/>
      </c>
      <c r="O1236" s="2" t="str">
        <f>IF(Iterations[[#This Row],[Step]] =current_step, current_Grad_b,IF(Iterations[[#This Row],[Step]] &gt; current_step, "",Iterations[[#This Row],[Grad_b]]))</f>
        <v/>
      </c>
      <c r="P1236" s="2" t="str">
        <f>IF(Iterations[[#This Row],[Step]] =current_step, current_Grad_c,IF(Iterations[[#This Row],[Step]] &gt; current_step, "",Iterations[[#This Row],[Grad_c]]))</f>
        <v/>
      </c>
      <c r="Q1236" s="2" t="str">
        <f>IF(Iterations[[#This Row],[Step]] =current_step, current_Grad_d,IF(Iterations[[#This Row],[Step]] &gt; current_step, "",Iterations[[#This Row],[Grad_d]]))</f>
        <v/>
      </c>
      <c r="R1236" s="2" t="str">
        <f>IF(Iterations[[#This Row],[Step]] =current_step, current_Grad_e,IF(Iterations[[#This Row],[Step]] &gt; current_step, "",Iterations[[#This Row],[Grad_e]]))</f>
        <v/>
      </c>
    </row>
    <row r="1237" spans="6:18" x14ac:dyDescent="0.3">
      <c r="F1237" s="2">
        <f t="shared" si="24"/>
        <v>1220</v>
      </c>
      <c r="G1237" s="2" t="str">
        <f>IF(Iterations[[#This Row],[Step]] =current_step, current_a,IF(Iterations[[#This Row],[Step]] &gt; current_step, "",Iterations[[#This Row],[a]]))</f>
        <v/>
      </c>
      <c r="H1237" s="2" t="str">
        <f>IF(Iterations[[#This Row],[Step]] =current_step, current_b,IF(Iterations[[#This Row],[Step]] &gt; current_step, "",Iterations[[#This Row],[b]]))</f>
        <v/>
      </c>
      <c r="I1237" s="2" t="str">
        <f>IF(Iterations[[#This Row],[Step]] =current_step, current_c,IF(Iterations[[#This Row],[Step]] &gt; current_step, "",Iterations[[#This Row],[c]]))</f>
        <v/>
      </c>
      <c r="J1237" s="2" t="str">
        <f>IF(Iterations[[#This Row],[Step]] =current_step, current_d,IF(Iterations[[#This Row],[Step]] &gt; current_step, "",Iterations[[#This Row],[d]]))</f>
        <v/>
      </c>
      <c r="K1237" s="2" t="str">
        <f>IF(Iterations[[#This Row],[Step]] =current_step, current_e,IF(Iterations[[#This Row],[Step]] &gt; current_step, "",Iterations[[#This Row],[e]]))</f>
        <v/>
      </c>
      <c r="L1237" s="2" t="str">
        <f>IF(Iterations[[#This Row],[Step]] =current_step, current_Total_Loss,IF(Iterations[[#This Row],[Step]] &gt; current_step, "",Iterations[[#This Row],[Total Loss]]))</f>
        <v/>
      </c>
      <c r="M1237" s="6" t="s">
        <v>27</v>
      </c>
      <c r="N1237" s="2" t="str">
        <f>IF(Iterations[[#This Row],[Step]] =current_step, current_Grad_a,IF(Iterations[[#This Row],[Step]] &gt; current_step, "",Iterations[[#This Row],[Grad_a]]))</f>
        <v/>
      </c>
      <c r="O1237" s="2" t="str">
        <f>IF(Iterations[[#This Row],[Step]] =current_step, current_Grad_b,IF(Iterations[[#This Row],[Step]] &gt; current_step, "",Iterations[[#This Row],[Grad_b]]))</f>
        <v/>
      </c>
      <c r="P1237" s="2" t="str">
        <f>IF(Iterations[[#This Row],[Step]] =current_step, current_Grad_c,IF(Iterations[[#This Row],[Step]] &gt; current_step, "",Iterations[[#This Row],[Grad_c]]))</f>
        <v/>
      </c>
      <c r="Q1237" s="2" t="str">
        <f>IF(Iterations[[#This Row],[Step]] =current_step, current_Grad_d,IF(Iterations[[#This Row],[Step]] &gt; current_step, "",Iterations[[#This Row],[Grad_d]]))</f>
        <v/>
      </c>
      <c r="R1237" s="2" t="str">
        <f>IF(Iterations[[#This Row],[Step]] =current_step, current_Grad_e,IF(Iterations[[#This Row],[Step]] &gt; current_step, "",Iterations[[#This Row],[Grad_e]]))</f>
        <v/>
      </c>
    </row>
    <row r="1238" spans="6:18" x14ac:dyDescent="0.3">
      <c r="F1238" s="2">
        <f t="shared" si="24"/>
        <v>1221</v>
      </c>
      <c r="G1238" s="2" t="str">
        <f>IF(Iterations[[#This Row],[Step]] =current_step, current_a,IF(Iterations[[#This Row],[Step]] &gt; current_step, "",Iterations[[#This Row],[a]]))</f>
        <v/>
      </c>
      <c r="H1238" s="2" t="str">
        <f>IF(Iterations[[#This Row],[Step]] =current_step, current_b,IF(Iterations[[#This Row],[Step]] &gt; current_step, "",Iterations[[#This Row],[b]]))</f>
        <v/>
      </c>
      <c r="I1238" s="2" t="str">
        <f>IF(Iterations[[#This Row],[Step]] =current_step, current_c,IF(Iterations[[#This Row],[Step]] &gt; current_step, "",Iterations[[#This Row],[c]]))</f>
        <v/>
      </c>
      <c r="J1238" s="2" t="str">
        <f>IF(Iterations[[#This Row],[Step]] =current_step, current_d,IF(Iterations[[#This Row],[Step]] &gt; current_step, "",Iterations[[#This Row],[d]]))</f>
        <v/>
      </c>
      <c r="K1238" s="2" t="str">
        <f>IF(Iterations[[#This Row],[Step]] =current_step, current_e,IF(Iterations[[#This Row],[Step]] &gt; current_step, "",Iterations[[#This Row],[e]]))</f>
        <v/>
      </c>
      <c r="L1238" s="2" t="str">
        <f>IF(Iterations[[#This Row],[Step]] =current_step, current_Total_Loss,IF(Iterations[[#This Row],[Step]] &gt; current_step, "",Iterations[[#This Row],[Total Loss]]))</f>
        <v/>
      </c>
      <c r="M1238" s="6" t="s">
        <v>27</v>
      </c>
      <c r="N1238" s="2" t="str">
        <f>IF(Iterations[[#This Row],[Step]] =current_step, current_Grad_a,IF(Iterations[[#This Row],[Step]] &gt; current_step, "",Iterations[[#This Row],[Grad_a]]))</f>
        <v/>
      </c>
      <c r="O1238" s="2" t="str">
        <f>IF(Iterations[[#This Row],[Step]] =current_step, current_Grad_b,IF(Iterations[[#This Row],[Step]] &gt; current_step, "",Iterations[[#This Row],[Grad_b]]))</f>
        <v/>
      </c>
      <c r="P1238" s="2" t="str">
        <f>IF(Iterations[[#This Row],[Step]] =current_step, current_Grad_c,IF(Iterations[[#This Row],[Step]] &gt; current_step, "",Iterations[[#This Row],[Grad_c]]))</f>
        <v/>
      </c>
      <c r="Q1238" s="2" t="str">
        <f>IF(Iterations[[#This Row],[Step]] =current_step, current_Grad_d,IF(Iterations[[#This Row],[Step]] &gt; current_step, "",Iterations[[#This Row],[Grad_d]]))</f>
        <v/>
      </c>
      <c r="R1238" s="2" t="str">
        <f>IF(Iterations[[#This Row],[Step]] =current_step, current_Grad_e,IF(Iterations[[#This Row],[Step]] &gt; current_step, "",Iterations[[#This Row],[Grad_e]]))</f>
        <v/>
      </c>
    </row>
    <row r="1239" spans="6:18" x14ac:dyDescent="0.3">
      <c r="F1239" s="2">
        <f t="shared" si="24"/>
        <v>1222</v>
      </c>
      <c r="G1239" s="2" t="str">
        <f>IF(Iterations[[#This Row],[Step]] =current_step, current_a,IF(Iterations[[#This Row],[Step]] &gt; current_step, "",Iterations[[#This Row],[a]]))</f>
        <v/>
      </c>
      <c r="H1239" s="2" t="str">
        <f>IF(Iterations[[#This Row],[Step]] =current_step, current_b,IF(Iterations[[#This Row],[Step]] &gt; current_step, "",Iterations[[#This Row],[b]]))</f>
        <v/>
      </c>
      <c r="I1239" s="2" t="str">
        <f>IF(Iterations[[#This Row],[Step]] =current_step, current_c,IF(Iterations[[#This Row],[Step]] &gt; current_step, "",Iterations[[#This Row],[c]]))</f>
        <v/>
      </c>
      <c r="J1239" s="2" t="str">
        <f>IF(Iterations[[#This Row],[Step]] =current_step, current_d,IF(Iterations[[#This Row],[Step]] &gt; current_step, "",Iterations[[#This Row],[d]]))</f>
        <v/>
      </c>
      <c r="K1239" s="2" t="str">
        <f>IF(Iterations[[#This Row],[Step]] =current_step, current_e,IF(Iterations[[#This Row],[Step]] &gt; current_step, "",Iterations[[#This Row],[e]]))</f>
        <v/>
      </c>
      <c r="L1239" s="2" t="str">
        <f>IF(Iterations[[#This Row],[Step]] =current_step, current_Total_Loss,IF(Iterations[[#This Row],[Step]] &gt; current_step, "",Iterations[[#This Row],[Total Loss]]))</f>
        <v/>
      </c>
      <c r="M1239" s="6" t="s">
        <v>27</v>
      </c>
      <c r="N1239" s="2" t="str">
        <f>IF(Iterations[[#This Row],[Step]] =current_step, current_Grad_a,IF(Iterations[[#This Row],[Step]] &gt; current_step, "",Iterations[[#This Row],[Grad_a]]))</f>
        <v/>
      </c>
      <c r="O1239" s="2" t="str">
        <f>IF(Iterations[[#This Row],[Step]] =current_step, current_Grad_b,IF(Iterations[[#This Row],[Step]] &gt; current_step, "",Iterations[[#This Row],[Grad_b]]))</f>
        <v/>
      </c>
      <c r="P1239" s="2" t="str">
        <f>IF(Iterations[[#This Row],[Step]] =current_step, current_Grad_c,IF(Iterations[[#This Row],[Step]] &gt; current_step, "",Iterations[[#This Row],[Grad_c]]))</f>
        <v/>
      </c>
      <c r="Q1239" s="2" t="str">
        <f>IF(Iterations[[#This Row],[Step]] =current_step, current_Grad_d,IF(Iterations[[#This Row],[Step]] &gt; current_step, "",Iterations[[#This Row],[Grad_d]]))</f>
        <v/>
      </c>
      <c r="R1239" s="2" t="str">
        <f>IF(Iterations[[#This Row],[Step]] =current_step, current_Grad_e,IF(Iterations[[#This Row],[Step]] &gt; current_step, "",Iterations[[#This Row],[Grad_e]]))</f>
        <v/>
      </c>
    </row>
    <row r="1240" spans="6:18" x14ac:dyDescent="0.3">
      <c r="F1240" s="2">
        <f t="shared" si="24"/>
        <v>1223</v>
      </c>
      <c r="G1240" s="2" t="str">
        <f>IF(Iterations[[#This Row],[Step]] =current_step, current_a,IF(Iterations[[#This Row],[Step]] &gt; current_step, "",Iterations[[#This Row],[a]]))</f>
        <v/>
      </c>
      <c r="H1240" s="2" t="str">
        <f>IF(Iterations[[#This Row],[Step]] =current_step, current_b,IF(Iterations[[#This Row],[Step]] &gt; current_step, "",Iterations[[#This Row],[b]]))</f>
        <v/>
      </c>
      <c r="I1240" s="2" t="str">
        <f>IF(Iterations[[#This Row],[Step]] =current_step, current_c,IF(Iterations[[#This Row],[Step]] &gt; current_step, "",Iterations[[#This Row],[c]]))</f>
        <v/>
      </c>
      <c r="J1240" s="2" t="str">
        <f>IF(Iterations[[#This Row],[Step]] =current_step, current_d,IF(Iterations[[#This Row],[Step]] &gt; current_step, "",Iterations[[#This Row],[d]]))</f>
        <v/>
      </c>
      <c r="K1240" s="2" t="str">
        <f>IF(Iterations[[#This Row],[Step]] =current_step, current_e,IF(Iterations[[#This Row],[Step]] &gt; current_step, "",Iterations[[#This Row],[e]]))</f>
        <v/>
      </c>
      <c r="L1240" s="2" t="str">
        <f>IF(Iterations[[#This Row],[Step]] =current_step, current_Total_Loss,IF(Iterations[[#This Row],[Step]] &gt; current_step, "",Iterations[[#This Row],[Total Loss]]))</f>
        <v/>
      </c>
      <c r="M1240" s="6" t="s">
        <v>27</v>
      </c>
      <c r="N1240" s="2" t="str">
        <f>IF(Iterations[[#This Row],[Step]] =current_step, current_Grad_a,IF(Iterations[[#This Row],[Step]] &gt; current_step, "",Iterations[[#This Row],[Grad_a]]))</f>
        <v/>
      </c>
      <c r="O1240" s="2" t="str">
        <f>IF(Iterations[[#This Row],[Step]] =current_step, current_Grad_b,IF(Iterations[[#This Row],[Step]] &gt; current_step, "",Iterations[[#This Row],[Grad_b]]))</f>
        <v/>
      </c>
      <c r="P1240" s="2" t="str">
        <f>IF(Iterations[[#This Row],[Step]] =current_step, current_Grad_c,IF(Iterations[[#This Row],[Step]] &gt; current_step, "",Iterations[[#This Row],[Grad_c]]))</f>
        <v/>
      </c>
      <c r="Q1240" s="2" t="str">
        <f>IF(Iterations[[#This Row],[Step]] =current_step, current_Grad_d,IF(Iterations[[#This Row],[Step]] &gt; current_step, "",Iterations[[#This Row],[Grad_d]]))</f>
        <v/>
      </c>
      <c r="R1240" s="2" t="str">
        <f>IF(Iterations[[#This Row],[Step]] =current_step, current_Grad_e,IF(Iterations[[#This Row],[Step]] &gt; current_step, "",Iterations[[#This Row],[Grad_e]]))</f>
        <v/>
      </c>
    </row>
    <row r="1241" spans="6:18" x14ac:dyDescent="0.3">
      <c r="F1241" s="2">
        <f t="shared" si="24"/>
        <v>1224</v>
      </c>
      <c r="G1241" s="2" t="str">
        <f>IF(Iterations[[#This Row],[Step]] =current_step, current_a,IF(Iterations[[#This Row],[Step]] &gt; current_step, "",Iterations[[#This Row],[a]]))</f>
        <v/>
      </c>
      <c r="H1241" s="2" t="str">
        <f>IF(Iterations[[#This Row],[Step]] =current_step, current_b,IF(Iterations[[#This Row],[Step]] &gt; current_step, "",Iterations[[#This Row],[b]]))</f>
        <v/>
      </c>
      <c r="I1241" s="2" t="str">
        <f>IF(Iterations[[#This Row],[Step]] =current_step, current_c,IF(Iterations[[#This Row],[Step]] &gt; current_step, "",Iterations[[#This Row],[c]]))</f>
        <v/>
      </c>
      <c r="J1241" s="2" t="str">
        <f>IF(Iterations[[#This Row],[Step]] =current_step, current_d,IF(Iterations[[#This Row],[Step]] &gt; current_step, "",Iterations[[#This Row],[d]]))</f>
        <v/>
      </c>
      <c r="K1241" s="2" t="str">
        <f>IF(Iterations[[#This Row],[Step]] =current_step, current_e,IF(Iterations[[#This Row],[Step]] &gt; current_step, "",Iterations[[#This Row],[e]]))</f>
        <v/>
      </c>
      <c r="L1241" s="2" t="str">
        <f>IF(Iterations[[#This Row],[Step]] =current_step, current_Total_Loss,IF(Iterations[[#This Row],[Step]] &gt; current_step, "",Iterations[[#This Row],[Total Loss]]))</f>
        <v/>
      </c>
      <c r="M1241" s="6" t="s">
        <v>27</v>
      </c>
      <c r="N1241" s="2" t="str">
        <f>IF(Iterations[[#This Row],[Step]] =current_step, current_Grad_a,IF(Iterations[[#This Row],[Step]] &gt; current_step, "",Iterations[[#This Row],[Grad_a]]))</f>
        <v/>
      </c>
      <c r="O1241" s="2" t="str">
        <f>IF(Iterations[[#This Row],[Step]] =current_step, current_Grad_b,IF(Iterations[[#This Row],[Step]] &gt; current_step, "",Iterations[[#This Row],[Grad_b]]))</f>
        <v/>
      </c>
      <c r="P1241" s="2" t="str">
        <f>IF(Iterations[[#This Row],[Step]] =current_step, current_Grad_c,IF(Iterations[[#This Row],[Step]] &gt; current_step, "",Iterations[[#This Row],[Grad_c]]))</f>
        <v/>
      </c>
      <c r="Q1241" s="2" t="str">
        <f>IF(Iterations[[#This Row],[Step]] =current_step, current_Grad_d,IF(Iterations[[#This Row],[Step]] &gt; current_step, "",Iterations[[#This Row],[Grad_d]]))</f>
        <v/>
      </c>
      <c r="R1241" s="2" t="str">
        <f>IF(Iterations[[#This Row],[Step]] =current_step, current_Grad_e,IF(Iterations[[#This Row],[Step]] &gt; current_step, "",Iterations[[#This Row],[Grad_e]]))</f>
        <v/>
      </c>
    </row>
    <row r="1242" spans="6:18" x14ac:dyDescent="0.3">
      <c r="F1242" s="2">
        <f t="shared" si="24"/>
        <v>1225</v>
      </c>
      <c r="G1242" s="2" t="str">
        <f>IF(Iterations[[#This Row],[Step]] =current_step, current_a,IF(Iterations[[#This Row],[Step]] &gt; current_step, "",Iterations[[#This Row],[a]]))</f>
        <v/>
      </c>
      <c r="H1242" s="2" t="str">
        <f>IF(Iterations[[#This Row],[Step]] =current_step, current_b,IF(Iterations[[#This Row],[Step]] &gt; current_step, "",Iterations[[#This Row],[b]]))</f>
        <v/>
      </c>
      <c r="I1242" s="2" t="str">
        <f>IF(Iterations[[#This Row],[Step]] =current_step, current_c,IF(Iterations[[#This Row],[Step]] &gt; current_step, "",Iterations[[#This Row],[c]]))</f>
        <v/>
      </c>
      <c r="J1242" s="2" t="str">
        <f>IF(Iterations[[#This Row],[Step]] =current_step, current_d,IF(Iterations[[#This Row],[Step]] &gt; current_step, "",Iterations[[#This Row],[d]]))</f>
        <v/>
      </c>
      <c r="K1242" s="2" t="str">
        <f>IF(Iterations[[#This Row],[Step]] =current_step, current_e,IF(Iterations[[#This Row],[Step]] &gt; current_step, "",Iterations[[#This Row],[e]]))</f>
        <v/>
      </c>
      <c r="L1242" s="2" t="str">
        <f>IF(Iterations[[#This Row],[Step]] =current_step, current_Total_Loss,IF(Iterations[[#This Row],[Step]] &gt; current_step, "",Iterations[[#This Row],[Total Loss]]))</f>
        <v/>
      </c>
      <c r="M1242" s="6" t="s">
        <v>27</v>
      </c>
      <c r="N1242" s="2" t="str">
        <f>IF(Iterations[[#This Row],[Step]] =current_step, current_Grad_a,IF(Iterations[[#This Row],[Step]] &gt; current_step, "",Iterations[[#This Row],[Grad_a]]))</f>
        <v/>
      </c>
      <c r="O1242" s="2" t="str">
        <f>IF(Iterations[[#This Row],[Step]] =current_step, current_Grad_b,IF(Iterations[[#This Row],[Step]] &gt; current_step, "",Iterations[[#This Row],[Grad_b]]))</f>
        <v/>
      </c>
      <c r="P1242" s="2" t="str">
        <f>IF(Iterations[[#This Row],[Step]] =current_step, current_Grad_c,IF(Iterations[[#This Row],[Step]] &gt; current_step, "",Iterations[[#This Row],[Grad_c]]))</f>
        <v/>
      </c>
      <c r="Q1242" s="2" t="str">
        <f>IF(Iterations[[#This Row],[Step]] =current_step, current_Grad_d,IF(Iterations[[#This Row],[Step]] &gt; current_step, "",Iterations[[#This Row],[Grad_d]]))</f>
        <v/>
      </c>
      <c r="R1242" s="2" t="str">
        <f>IF(Iterations[[#This Row],[Step]] =current_step, current_Grad_e,IF(Iterations[[#This Row],[Step]] &gt; current_step, "",Iterations[[#This Row],[Grad_e]]))</f>
        <v/>
      </c>
    </row>
    <row r="1243" spans="6:18" x14ac:dyDescent="0.3">
      <c r="F1243" s="2">
        <f t="shared" si="24"/>
        <v>1226</v>
      </c>
      <c r="G1243" s="2" t="str">
        <f>IF(Iterations[[#This Row],[Step]] =current_step, current_a,IF(Iterations[[#This Row],[Step]] &gt; current_step, "",Iterations[[#This Row],[a]]))</f>
        <v/>
      </c>
      <c r="H1243" s="2" t="str">
        <f>IF(Iterations[[#This Row],[Step]] =current_step, current_b,IF(Iterations[[#This Row],[Step]] &gt; current_step, "",Iterations[[#This Row],[b]]))</f>
        <v/>
      </c>
      <c r="I1243" s="2" t="str">
        <f>IF(Iterations[[#This Row],[Step]] =current_step, current_c,IF(Iterations[[#This Row],[Step]] &gt; current_step, "",Iterations[[#This Row],[c]]))</f>
        <v/>
      </c>
      <c r="J1243" s="2" t="str">
        <f>IF(Iterations[[#This Row],[Step]] =current_step, current_d,IF(Iterations[[#This Row],[Step]] &gt; current_step, "",Iterations[[#This Row],[d]]))</f>
        <v/>
      </c>
      <c r="K1243" s="2" t="str">
        <f>IF(Iterations[[#This Row],[Step]] =current_step, current_e,IF(Iterations[[#This Row],[Step]] &gt; current_step, "",Iterations[[#This Row],[e]]))</f>
        <v/>
      </c>
      <c r="L1243" s="2" t="str">
        <f>IF(Iterations[[#This Row],[Step]] =current_step, current_Total_Loss,IF(Iterations[[#This Row],[Step]] &gt; current_step, "",Iterations[[#This Row],[Total Loss]]))</f>
        <v/>
      </c>
      <c r="M1243" s="6" t="s">
        <v>27</v>
      </c>
      <c r="N1243" s="2" t="str">
        <f>IF(Iterations[[#This Row],[Step]] =current_step, current_Grad_a,IF(Iterations[[#This Row],[Step]] &gt; current_step, "",Iterations[[#This Row],[Grad_a]]))</f>
        <v/>
      </c>
      <c r="O1243" s="2" t="str">
        <f>IF(Iterations[[#This Row],[Step]] =current_step, current_Grad_b,IF(Iterations[[#This Row],[Step]] &gt; current_step, "",Iterations[[#This Row],[Grad_b]]))</f>
        <v/>
      </c>
      <c r="P1243" s="2" t="str">
        <f>IF(Iterations[[#This Row],[Step]] =current_step, current_Grad_c,IF(Iterations[[#This Row],[Step]] &gt; current_step, "",Iterations[[#This Row],[Grad_c]]))</f>
        <v/>
      </c>
      <c r="Q1243" s="2" t="str">
        <f>IF(Iterations[[#This Row],[Step]] =current_step, current_Grad_d,IF(Iterations[[#This Row],[Step]] &gt; current_step, "",Iterations[[#This Row],[Grad_d]]))</f>
        <v/>
      </c>
      <c r="R1243" s="2" t="str">
        <f>IF(Iterations[[#This Row],[Step]] =current_step, current_Grad_e,IF(Iterations[[#This Row],[Step]] &gt; current_step, "",Iterations[[#This Row],[Grad_e]]))</f>
        <v/>
      </c>
    </row>
    <row r="1244" spans="6:18" x14ac:dyDescent="0.3">
      <c r="F1244" s="2">
        <f t="shared" si="24"/>
        <v>1227</v>
      </c>
      <c r="G1244" s="2" t="str">
        <f>IF(Iterations[[#This Row],[Step]] =current_step, current_a,IF(Iterations[[#This Row],[Step]] &gt; current_step, "",Iterations[[#This Row],[a]]))</f>
        <v/>
      </c>
      <c r="H1244" s="2" t="str">
        <f>IF(Iterations[[#This Row],[Step]] =current_step, current_b,IF(Iterations[[#This Row],[Step]] &gt; current_step, "",Iterations[[#This Row],[b]]))</f>
        <v/>
      </c>
      <c r="I1244" s="2" t="str">
        <f>IF(Iterations[[#This Row],[Step]] =current_step, current_c,IF(Iterations[[#This Row],[Step]] &gt; current_step, "",Iterations[[#This Row],[c]]))</f>
        <v/>
      </c>
      <c r="J1244" s="2" t="str">
        <f>IF(Iterations[[#This Row],[Step]] =current_step, current_d,IF(Iterations[[#This Row],[Step]] &gt; current_step, "",Iterations[[#This Row],[d]]))</f>
        <v/>
      </c>
      <c r="K1244" s="2" t="str">
        <f>IF(Iterations[[#This Row],[Step]] =current_step, current_e,IF(Iterations[[#This Row],[Step]] &gt; current_step, "",Iterations[[#This Row],[e]]))</f>
        <v/>
      </c>
      <c r="L1244" s="2" t="str">
        <f>IF(Iterations[[#This Row],[Step]] =current_step, current_Total_Loss,IF(Iterations[[#This Row],[Step]] &gt; current_step, "",Iterations[[#This Row],[Total Loss]]))</f>
        <v/>
      </c>
      <c r="M1244" s="6" t="s">
        <v>27</v>
      </c>
      <c r="N1244" s="2" t="str">
        <f>IF(Iterations[[#This Row],[Step]] =current_step, current_Grad_a,IF(Iterations[[#This Row],[Step]] &gt; current_step, "",Iterations[[#This Row],[Grad_a]]))</f>
        <v/>
      </c>
      <c r="O1244" s="2" t="str">
        <f>IF(Iterations[[#This Row],[Step]] =current_step, current_Grad_b,IF(Iterations[[#This Row],[Step]] &gt; current_step, "",Iterations[[#This Row],[Grad_b]]))</f>
        <v/>
      </c>
      <c r="P1244" s="2" t="str">
        <f>IF(Iterations[[#This Row],[Step]] =current_step, current_Grad_c,IF(Iterations[[#This Row],[Step]] &gt; current_step, "",Iterations[[#This Row],[Grad_c]]))</f>
        <v/>
      </c>
      <c r="Q1244" s="2" t="str">
        <f>IF(Iterations[[#This Row],[Step]] =current_step, current_Grad_d,IF(Iterations[[#This Row],[Step]] &gt; current_step, "",Iterations[[#This Row],[Grad_d]]))</f>
        <v/>
      </c>
      <c r="R1244" s="2" t="str">
        <f>IF(Iterations[[#This Row],[Step]] =current_step, current_Grad_e,IF(Iterations[[#This Row],[Step]] &gt; current_step, "",Iterations[[#This Row],[Grad_e]]))</f>
        <v/>
      </c>
    </row>
    <row r="1245" spans="6:18" x14ac:dyDescent="0.3">
      <c r="F1245" s="2">
        <f t="shared" si="24"/>
        <v>1228</v>
      </c>
      <c r="G1245" s="2" t="str">
        <f>IF(Iterations[[#This Row],[Step]] =current_step, current_a,IF(Iterations[[#This Row],[Step]] &gt; current_step, "",Iterations[[#This Row],[a]]))</f>
        <v/>
      </c>
      <c r="H1245" s="2" t="str">
        <f>IF(Iterations[[#This Row],[Step]] =current_step, current_b,IF(Iterations[[#This Row],[Step]] &gt; current_step, "",Iterations[[#This Row],[b]]))</f>
        <v/>
      </c>
      <c r="I1245" s="2" t="str">
        <f>IF(Iterations[[#This Row],[Step]] =current_step, current_c,IF(Iterations[[#This Row],[Step]] &gt; current_step, "",Iterations[[#This Row],[c]]))</f>
        <v/>
      </c>
      <c r="J1245" s="2" t="str">
        <f>IF(Iterations[[#This Row],[Step]] =current_step, current_d,IF(Iterations[[#This Row],[Step]] &gt; current_step, "",Iterations[[#This Row],[d]]))</f>
        <v/>
      </c>
      <c r="K1245" s="2" t="str">
        <f>IF(Iterations[[#This Row],[Step]] =current_step, current_e,IF(Iterations[[#This Row],[Step]] &gt; current_step, "",Iterations[[#This Row],[e]]))</f>
        <v/>
      </c>
      <c r="L1245" s="2" t="str">
        <f>IF(Iterations[[#This Row],[Step]] =current_step, current_Total_Loss,IF(Iterations[[#This Row],[Step]] &gt; current_step, "",Iterations[[#This Row],[Total Loss]]))</f>
        <v/>
      </c>
      <c r="M1245" s="6" t="s">
        <v>27</v>
      </c>
      <c r="N1245" s="2" t="str">
        <f>IF(Iterations[[#This Row],[Step]] =current_step, current_Grad_a,IF(Iterations[[#This Row],[Step]] &gt; current_step, "",Iterations[[#This Row],[Grad_a]]))</f>
        <v/>
      </c>
      <c r="O1245" s="2" t="str">
        <f>IF(Iterations[[#This Row],[Step]] =current_step, current_Grad_b,IF(Iterations[[#This Row],[Step]] &gt; current_step, "",Iterations[[#This Row],[Grad_b]]))</f>
        <v/>
      </c>
      <c r="P1245" s="2" t="str">
        <f>IF(Iterations[[#This Row],[Step]] =current_step, current_Grad_c,IF(Iterations[[#This Row],[Step]] &gt; current_step, "",Iterations[[#This Row],[Grad_c]]))</f>
        <v/>
      </c>
      <c r="Q1245" s="2" t="str">
        <f>IF(Iterations[[#This Row],[Step]] =current_step, current_Grad_d,IF(Iterations[[#This Row],[Step]] &gt; current_step, "",Iterations[[#This Row],[Grad_d]]))</f>
        <v/>
      </c>
      <c r="R1245" s="2" t="str">
        <f>IF(Iterations[[#This Row],[Step]] =current_step, current_Grad_e,IF(Iterations[[#This Row],[Step]] &gt; current_step, "",Iterations[[#This Row],[Grad_e]]))</f>
        <v/>
      </c>
    </row>
    <row r="1246" spans="6:18" x14ac:dyDescent="0.3">
      <c r="F1246" s="2">
        <f t="shared" si="24"/>
        <v>1229</v>
      </c>
      <c r="G1246" s="2" t="str">
        <f>IF(Iterations[[#This Row],[Step]] =current_step, current_a,IF(Iterations[[#This Row],[Step]] &gt; current_step, "",Iterations[[#This Row],[a]]))</f>
        <v/>
      </c>
      <c r="H1246" s="2" t="str">
        <f>IF(Iterations[[#This Row],[Step]] =current_step, current_b,IF(Iterations[[#This Row],[Step]] &gt; current_step, "",Iterations[[#This Row],[b]]))</f>
        <v/>
      </c>
      <c r="I1246" s="2" t="str">
        <f>IF(Iterations[[#This Row],[Step]] =current_step, current_c,IF(Iterations[[#This Row],[Step]] &gt; current_step, "",Iterations[[#This Row],[c]]))</f>
        <v/>
      </c>
      <c r="J1246" s="2" t="str">
        <f>IF(Iterations[[#This Row],[Step]] =current_step, current_d,IF(Iterations[[#This Row],[Step]] &gt; current_step, "",Iterations[[#This Row],[d]]))</f>
        <v/>
      </c>
      <c r="K1246" s="2" t="str">
        <f>IF(Iterations[[#This Row],[Step]] =current_step, current_e,IF(Iterations[[#This Row],[Step]] &gt; current_step, "",Iterations[[#This Row],[e]]))</f>
        <v/>
      </c>
      <c r="L1246" s="2" t="str">
        <f>IF(Iterations[[#This Row],[Step]] =current_step, current_Total_Loss,IF(Iterations[[#This Row],[Step]] &gt; current_step, "",Iterations[[#This Row],[Total Loss]]))</f>
        <v/>
      </c>
      <c r="M1246" s="6" t="s">
        <v>27</v>
      </c>
      <c r="N1246" s="2" t="str">
        <f>IF(Iterations[[#This Row],[Step]] =current_step, current_Grad_a,IF(Iterations[[#This Row],[Step]] &gt; current_step, "",Iterations[[#This Row],[Grad_a]]))</f>
        <v/>
      </c>
      <c r="O1246" s="2" t="str">
        <f>IF(Iterations[[#This Row],[Step]] =current_step, current_Grad_b,IF(Iterations[[#This Row],[Step]] &gt; current_step, "",Iterations[[#This Row],[Grad_b]]))</f>
        <v/>
      </c>
      <c r="P1246" s="2" t="str">
        <f>IF(Iterations[[#This Row],[Step]] =current_step, current_Grad_c,IF(Iterations[[#This Row],[Step]] &gt; current_step, "",Iterations[[#This Row],[Grad_c]]))</f>
        <v/>
      </c>
      <c r="Q1246" s="2" t="str">
        <f>IF(Iterations[[#This Row],[Step]] =current_step, current_Grad_d,IF(Iterations[[#This Row],[Step]] &gt; current_step, "",Iterations[[#This Row],[Grad_d]]))</f>
        <v/>
      </c>
      <c r="R1246" s="2" t="str">
        <f>IF(Iterations[[#This Row],[Step]] =current_step, current_Grad_e,IF(Iterations[[#This Row],[Step]] &gt; current_step, "",Iterations[[#This Row],[Grad_e]]))</f>
        <v/>
      </c>
    </row>
    <row r="1247" spans="6:18" x14ac:dyDescent="0.3">
      <c r="F1247" s="2">
        <f t="shared" si="24"/>
        <v>1230</v>
      </c>
      <c r="G1247" s="2" t="str">
        <f>IF(Iterations[[#This Row],[Step]] =current_step, current_a,IF(Iterations[[#This Row],[Step]] &gt; current_step, "",Iterations[[#This Row],[a]]))</f>
        <v/>
      </c>
      <c r="H1247" s="2" t="str">
        <f>IF(Iterations[[#This Row],[Step]] =current_step, current_b,IF(Iterations[[#This Row],[Step]] &gt; current_step, "",Iterations[[#This Row],[b]]))</f>
        <v/>
      </c>
      <c r="I1247" s="2" t="str">
        <f>IF(Iterations[[#This Row],[Step]] =current_step, current_c,IF(Iterations[[#This Row],[Step]] &gt; current_step, "",Iterations[[#This Row],[c]]))</f>
        <v/>
      </c>
      <c r="J1247" s="2" t="str">
        <f>IF(Iterations[[#This Row],[Step]] =current_step, current_d,IF(Iterations[[#This Row],[Step]] &gt; current_step, "",Iterations[[#This Row],[d]]))</f>
        <v/>
      </c>
      <c r="K1247" s="2" t="str">
        <f>IF(Iterations[[#This Row],[Step]] =current_step, current_e,IF(Iterations[[#This Row],[Step]] &gt; current_step, "",Iterations[[#This Row],[e]]))</f>
        <v/>
      </c>
      <c r="L1247" s="2" t="str">
        <f>IF(Iterations[[#This Row],[Step]] =current_step, current_Total_Loss,IF(Iterations[[#This Row],[Step]] &gt; current_step, "",Iterations[[#This Row],[Total Loss]]))</f>
        <v/>
      </c>
      <c r="M1247" s="6" t="s">
        <v>27</v>
      </c>
      <c r="N1247" s="2" t="str">
        <f>IF(Iterations[[#This Row],[Step]] =current_step, current_Grad_a,IF(Iterations[[#This Row],[Step]] &gt; current_step, "",Iterations[[#This Row],[Grad_a]]))</f>
        <v/>
      </c>
      <c r="O1247" s="2" t="str">
        <f>IF(Iterations[[#This Row],[Step]] =current_step, current_Grad_b,IF(Iterations[[#This Row],[Step]] &gt; current_step, "",Iterations[[#This Row],[Grad_b]]))</f>
        <v/>
      </c>
      <c r="P1247" s="2" t="str">
        <f>IF(Iterations[[#This Row],[Step]] =current_step, current_Grad_c,IF(Iterations[[#This Row],[Step]] &gt; current_step, "",Iterations[[#This Row],[Grad_c]]))</f>
        <v/>
      </c>
      <c r="Q1247" s="2" t="str">
        <f>IF(Iterations[[#This Row],[Step]] =current_step, current_Grad_d,IF(Iterations[[#This Row],[Step]] &gt; current_step, "",Iterations[[#This Row],[Grad_d]]))</f>
        <v/>
      </c>
      <c r="R1247" s="2" t="str">
        <f>IF(Iterations[[#This Row],[Step]] =current_step, current_Grad_e,IF(Iterations[[#This Row],[Step]] &gt; current_step, "",Iterations[[#This Row],[Grad_e]]))</f>
        <v/>
      </c>
    </row>
    <row r="1248" spans="6:18" x14ac:dyDescent="0.3">
      <c r="F1248" s="2">
        <f t="shared" si="24"/>
        <v>1231</v>
      </c>
      <c r="G1248" s="2" t="str">
        <f>IF(Iterations[[#This Row],[Step]] =current_step, current_a,IF(Iterations[[#This Row],[Step]] &gt; current_step, "",Iterations[[#This Row],[a]]))</f>
        <v/>
      </c>
      <c r="H1248" s="2" t="str">
        <f>IF(Iterations[[#This Row],[Step]] =current_step, current_b,IF(Iterations[[#This Row],[Step]] &gt; current_step, "",Iterations[[#This Row],[b]]))</f>
        <v/>
      </c>
      <c r="I1248" s="2" t="str">
        <f>IF(Iterations[[#This Row],[Step]] =current_step, current_c,IF(Iterations[[#This Row],[Step]] &gt; current_step, "",Iterations[[#This Row],[c]]))</f>
        <v/>
      </c>
      <c r="J1248" s="2" t="str">
        <f>IF(Iterations[[#This Row],[Step]] =current_step, current_d,IF(Iterations[[#This Row],[Step]] &gt; current_step, "",Iterations[[#This Row],[d]]))</f>
        <v/>
      </c>
      <c r="K1248" s="2" t="str">
        <f>IF(Iterations[[#This Row],[Step]] =current_step, current_e,IF(Iterations[[#This Row],[Step]] &gt; current_step, "",Iterations[[#This Row],[e]]))</f>
        <v/>
      </c>
      <c r="L1248" s="2" t="str">
        <f>IF(Iterations[[#This Row],[Step]] =current_step, current_Total_Loss,IF(Iterations[[#This Row],[Step]] &gt; current_step, "",Iterations[[#This Row],[Total Loss]]))</f>
        <v/>
      </c>
      <c r="M1248" s="6" t="s">
        <v>27</v>
      </c>
      <c r="N1248" s="2" t="str">
        <f>IF(Iterations[[#This Row],[Step]] =current_step, current_Grad_a,IF(Iterations[[#This Row],[Step]] &gt; current_step, "",Iterations[[#This Row],[Grad_a]]))</f>
        <v/>
      </c>
      <c r="O1248" s="2" t="str">
        <f>IF(Iterations[[#This Row],[Step]] =current_step, current_Grad_b,IF(Iterations[[#This Row],[Step]] &gt; current_step, "",Iterations[[#This Row],[Grad_b]]))</f>
        <v/>
      </c>
      <c r="P1248" s="2" t="str">
        <f>IF(Iterations[[#This Row],[Step]] =current_step, current_Grad_c,IF(Iterations[[#This Row],[Step]] &gt; current_step, "",Iterations[[#This Row],[Grad_c]]))</f>
        <v/>
      </c>
      <c r="Q1248" s="2" t="str">
        <f>IF(Iterations[[#This Row],[Step]] =current_step, current_Grad_d,IF(Iterations[[#This Row],[Step]] &gt; current_step, "",Iterations[[#This Row],[Grad_d]]))</f>
        <v/>
      </c>
      <c r="R1248" s="2" t="str">
        <f>IF(Iterations[[#This Row],[Step]] =current_step, current_Grad_e,IF(Iterations[[#This Row],[Step]] &gt; current_step, "",Iterations[[#This Row],[Grad_e]]))</f>
        <v/>
      </c>
    </row>
    <row r="1249" spans="6:18" x14ac:dyDescent="0.3">
      <c r="F1249" s="2">
        <f t="shared" si="24"/>
        <v>1232</v>
      </c>
      <c r="G1249" s="2" t="str">
        <f>IF(Iterations[[#This Row],[Step]] =current_step, current_a,IF(Iterations[[#This Row],[Step]] &gt; current_step, "",Iterations[[#This Row],[a]]))</f>
        <v/>
      </c>
      <c r="H1249" s="2" t="str">
        <f>IF(Iterations[[#This Row],[Step]] =current_step, current_b,IF(Iterations[[#This Row],[Step]] &gt; current_step, "",Iterations[[#This Row],[b]]))</f>
        <v/>
      </c>
      <c r="I1249" s="2" t="str">
        <f>IF(Iterations[[#This Row],[Step]] =current_step, current_c,IF(Iterations[[#This Row],[Step]] &gt; current_step, "",Iterations[[#This Row],[c]]))</f>
        <v/>
      </c>
      <c r="J1249" s="2" t="str">
        <f>IF(Iterations[[#This Row],[Step]] =current_step, current_d,IF(Iterations[[#This Row],[Step]] &gt; current_step, "",Iterations[[#This Row],[d]]))</f>
        <v/>
      </c>
      <c r="K1249" s="2" t="str">
        <f>IF(Iterations[[#This Row],[Step]] =current_step, current_e,IF(Iterations[[#This Row],[Step]] &gt; current_step, "",Iterations[[#This Row],[e]]))</f>
        <v/>
      </c>
      <c r="L1249" s="2" t="str">
        <f>IF(Iterations[[#This Row],[Step]] =current_step, current_Total_Loss,IF(Iterations[[#This Row],[Step]] &gt; current_step, "",Iterations[[#This Row],[Total Loss]]))</f>
        <v/>
      </c>
      <c r="M1249" s="6" t="s">
        <v>27</v>
      </c>
      <c r="N1249" s="2" t="str">
        <f>IF(Iterations[[#This Row],[Step]] =current_step, current_Grad_a,IF(Iterations[[#This Row],[Step]] &gt; current_step, "",Iterations[[#This Row],[Grad_a]]))</f>
        <v/>
      </c>
      <c r="O1249" s="2" t="str">
        <f>IF(Iterations[[#This Row],[Step]] =current_step, current_Grad_b,IF(Iterations[[#This Row],[Step]] &gt; current_step, "",Iterations[[#This Row],[Grad_b]]))</f>
        <v/>
      </c>
      <c r="P1249" s="2" t="str">
        <f>IF(Iterations[[#This Row],[Step]] =current_step, current_Grad_c,IF(Iterations[[#This Row],[Step]] &gt; current_step, "",Iterations[[#This Row],[Grad_c]]))</f>
        <v/>
      </c>
      <c r="Q1249" s="2" t="str">
        <f>IF(Iterations[[#This Row],[Step]] =current_step, current_Grad_d,IF(Iterations[[#This Row],[Step]] &gt; current_step, "",Iterations[[#This Row],[Grad_d]]))</f>
        <v/>
      </c>
      <c r="R1249" s="2" t="str">
        <f>IF(Iterations[[#This Row],[Step]] =current_step, current_Grad_e,IF(Iterations[[#This Row],[Step]] &gt; current_step, "",Iterations[[#This Row],[Grad_e]]))</f>
        <v/>
      </c>
    </row>
    <row r="1250" spans="6:18" x14ac:dyDescent="0.3">
      <c r="F1250" s="2">
        <f t="shared" si="24"/>
        <v>1233</v>
      </c>
      <c r="G1250" s="2" t="str">
        <f>IF(Iterations[[#This Row],[Step]] =current_step, current_a,IF(Iterations[[#This Row],[Step]] &gt; current_step, "",Iterations[[#This Row],[a]]))</f>
        <v/>
      </c>
      <c r="H1250" s="2" t="str">
        <f>IF(Iterations[[#This Row],[Step]] =current_step, current_b,IF(Iterations[[#This Row],[Step]] &gt; current_step, "",Iterations[[#This Row],[b]]))</f>
        <v/>
      </c>
      <c r="I1250" s="2" t="str">
        <f>IF(Iterations[[#This Row],[Step]] =current_step, current_c,IF(Iterations[[#This Row],[Step]] &gt; current_step, "",Iterations[[#This Row],[c]]))</f>
        <v/>
      </c>
      <c r="J1250" s="2" t="str">
        <f>IF(Iterations[[#This Row],[Step]] =current_step, current_d,IF(Iterations[[#This Row],[Step]] &gt; current_step, "",Iterations[[#This Row],[d]]))</f>
        <v/>
      </c>
      <c r="K1250" s="2" t="str">
        <f>IF(Iterations[[#This Row],[Step]] =current_step, current_e,IF(Iterations[[#This Row],[Step]] &gt; current_step, "",Iterations[[#This Row],[e]]))</f>
        <v/>
      </c>
      <c r="L1250" s="2" t="str">
        <f>IF(Iterations[[#This Row],[Step]] =current_step, current_Total_Loss,IF(Iterations[[#This Row],[Step]] &gt; current_step, "",Iterations[[#This Row],[Total Loss]]))</f>
        <v/>
      </c>
      <c r="M1250" s="6" t="s">
        <v>27</v>
      </c>
      <c r="N1250" s="2" t="str">
        <f>IF(Iterations[[#This Row],[Step]] =current_step, current_Grad_a,IF(Iterations[[#This Row],[Step]] &gt; current_step, "",Iterations[[#This Row],[Grad_a]]))</f>
        <v/>
      </c>
      <c r="O1250" s="2" t="str">
        <f>IF(Iterations[[#This Row],[Step]] =current_step, current_Grad_b,IF(Iterations[[#This Row],[Step]] &gt; current_step, "",Iterations[[#This Row],[Grad_b]]))</f>
        <v/>
      </c>
      <c r="P1250" s="2" t="str">
        <f>IF(Iterations[[#This Row],[Step]] =current_step, current_Grad_c,IF(Iterations[[#This Row],[Step]] &gt; current_step, "",Iterations[[#This Row],[Grad_c]]))</f>
        <v/>
      </c>
      <c r="Q1250" s="2" t="str">
        <f>IF(Iterations[[#This Row],[Step]] =current_step, current_Grad_d,IF(Iterations[[#This Row],[Step]] &gt; current_step, "",Iterations[[#This Row],[Grad_d]]))</f>
        <v/>
      </c>
      <c r="R1250" s="2" t="str">
        <f>IF(Iterations[[#This Row],[Step]] =current_step, current_Grad_e,IF(Iterations[[#This Row],[Step]] &gt; current_step, "",Iterations[[#This Row],[Grad_e]]))</f>
        <v/>
      </c>
    </row>
    <row r="1251" spans="6:18" x14ac:dyDescent="0.3">
      <c r="F1251" s="2">
        <f t="shared" si="24"/>
        <v>1234</v>
      </c>
      <c r="G1251" s="2" t="str">
        <f>IF(Iterations[[#This Row],[Step]] =current_step, current_a,IF(Iterations[[#This Row],[Step]] &gt; current_step, "",Iterations[[#This Row],[a]]))</f>
        <v/>
      </c>
      <c r="H1251" s="2" t="str">
        <f>IF(Iterations[[#This Row],[Step]] =current_step, current_b,IF(Iterations[[#This Row],[Step]] &gt; current_step, "",Iterations[[#This Row],[b]]))</f>
        <v/>
      </c>
      <c r="I1251" s="2" t="str">
        <f>IF(Iterations[[#This Row],[Step]] =current_step, current_c,IF(Iterations[[#This Row],[Step]] &gt; current_step, "",Iterations[[#This Row],[c]]))</f>
        <v/>
      </c>
      <c r="J1251" s="2" t="str">
        <f>IF(Iterations[[#This Row],[Step]] =current_step, current_d,IF(Iterations[[#This Row],[Step]] &gt; current_step, "",Iterations[[#This Row],[d]]))</f>
        <v/>
      </c>
      <c r="K1251" s="2" t="str">
        <f>IF(Iterations[[#This Row],[Step]] =current_step, current_e,IF(Iterations[[#This Row],[Step]] &gt; current_step, "",Iterations[[#This Row],[e]]))</f>
        <v/>
      </c>
      <c r="L1251" s="2" t="str">
        <f>IF(Iterations[[#This Row],[Step]] =current_step, current_Total_Loss,IF(Iterations[[#This Row],[Step]] &gt; current_step, "",Iterations[[#This Row],[Total Loss]]))</f>
        <v/>
      </c>
      <c r="M1251" s="6" t="s">
        <v>27</v>
      </c>
      <c r="N1251" s="2" t="str">
        <f>IF(Iterations[[#This Row],[Step]] =current_step, current_Grad_a,IF(Iterations[[#This Row],[Step]] &gt; current_step, "",Iterations[[#This Row],[Grad_a]]))</f>
        <v/>
      </c>
      <c r="O1251" s="2" t="str">
        <f>IF(Iterations[[#This Row],[Step]] =current_step, current_Grad_b,IF(Iterations[[#This Row],[Step]] &gt; current_step, "",Iterations[[#This Row],[Grad_b]]))</f>
        <v/>
      </c>
      <c r="P1251" s="2" t="str">
        <f>IF(Iterations[[#This Row],[Step]] =current_step, current_Grad_c,IF(Iterations[[#This Row],[Step]] &gt; current_step, "",Iterations[[#This Row],[Grad_c]]))</f>
        <v/>
      </c>
      <c r="Q1251" s="2" t="str">
        <f>IF(Iterations[[#This Row],[Step]] =current_step, current_Grad_d,IF(Iterations[[#This Row],[Step]] &gt; current_step, "",Iterations[[#This Row],[Grad_d]]))</f>
        <v/>
      </c>
      <c r="R1251" s="2" t="str">
        <f>IF(Iterations[[#This Row],[Step]] =current_step, current_Grad_e,IF(Iterations[[#This Row],[Step]] &gt; current_step, "",Iterations[[#This Row],[Grad_e]]))</f>
        <v/>
      </c>
    </row>
    <row r="1252" spans="6:18" x14ac:dyDescent="0.3">
      <c r="F1252" s="2">
        <f t="shared" si="24"/>
        <v>1235</v>
      </c>
      <c r="G1252" s="2" t="str">
        <f>IF(Iterations[[#This Row],[Step]] =current_step, current_a,IF(Iterations[[#This Row],[Step]] &gt; current_step, "",Iterations[[#This Row],[a]]))</f>
        <v/>
      </c>
      <c r="H1252" s="2" t="str">
        <f>IF(Iterations[[#This Row],[Step]] =current_step, current_b,IF(Iterations[[#This Row],[Step]] &gt; current_step, "",Iterations[[#This Row],[b]]))</f>
        <v/>
      </c>
      <c r="I1252" s="2" t="str">
        <f>IF(Iterations[[#This Row],[Step]] =current_step, current_c,IF(Iterations[[#This Row],[Step]] &gt; current_step, "",Iterations[[#This Row],[c]]))</f>
        <v/>
      </c>
      <c r="J1252" s="2" t="str">
        <f>IF(Iterations[[#This Row],[Step]] =current_step, current_d,IF(Iterations[[#This Row],[Step]] &gt; current_step, "",Iterations[[#This Row],[d]]))</f>
        <v/>
      </c>
      <c r="K1252" s="2" t="str">
        <f>IF(Iterations[[#This Row],[Step]] =current_step, current_e,IF(Iterations[[#This Row],[Step]] &gt; current_step, "",Iterations[[#This Row],[e]]))</f>
        <v/>
      </c>
      <c r="L1252" s="2" t="str">
        <f>IF(Iterations[[#This Row],[Step]] =current_step, current_Total_Loss,IF(Iterations[[#This Row],[Step]] &gt; current_step, "",Iterations[[#This Row],[Total Loss]]))</f>
        <v/>
      </c>
      <c r="M1252" s="6" t="s">
        <v>27</v>
      </c>
      <c r="N1252" s="2" t="str">
        <f>IF(Iterations[[#This Row],[Step]] =current_step, current_Grad_a,IF(Iterations[[#This Row],[Step]] &gt; current_step, "",Iterations[[#This Row],[Grad_a]]))</f>
        <v/>
      </c>
      <c r="O1252" s="2" t="str">
        <f>IF(Iterations[[#This Row],[Step]] =current_step, current_Grad_b,IF(Iterations[[#This Row],[Step]] &gt; current_step, "",Iterations[[#This Row],[Grad_b]]))</f>
        <v/>
      </c>
      <c r="P1252" s="2" t="str">
        <f>IF(Iterations[[#This Row],[Step]] =current_step, current_Grad_c,IF(Iterations[[#This Row],[Step]] &gt; current_step, "",Iterations[[#This Row],[Grad_c]]))</f>
        <v/>
      </c>
      <c r="Q1252" s="2" t="str">
        <f>IF(Iterations[[#This Row],[Step]] =current_step, current_Grad_d,IF(Iterations[[#This Row],[Step]] &gt; current_step, "",Iterations[[#This Row],[Grad_d]]))</f>
        <v/>
      </c>
      <c r="R1252" s="2" t="str">
        <f>IF(Iterations[[#This Row],[Step]] =current_step, current_Grad_e,IF(Iterations[[#This Row],[Step]] &gt; current_step, "",Iterations[[#This Row],[Grad_e]]))</f>
        <v/>
      </c>
    </row>
    <row r="1253" spans="6:18" x14ac:dyDescent="0.3">
      <c r="F1253" s="2">
        <f t="shared" si="24"/>
        <v>1236</v>
      </c>
      <c r="G1253" s="2" t="str">
        <f>IF(Iterations[[#This Row],[Step]] =current_step, current_a,IF(Iterations[[#This Row],[Step]] &gt; current_step, "",Iterations[[#This Row],[a]]))</f>
        <v/>
      </c>
      <c r="H1253" s="2" t="str">
        <f>IF(Iterations[[#This Row],[Step]] =current_step, current_b,IF(Iterations[[#This Row],[Step]] &gt; current_step, "",Iterations[[#This Row],[b]]))</f>
        <v/>
      </c>
      <c r="I1253" s="2" t="str">
        <f>IF(Iterations[[#This Row],[Step]] =current_step, current_c,IF(Iterations[[#This Row],[Step]] &gt; current_step, "",Iterations[[#This Row],[c]]))</f>
        <v/>
      </c>
      <c r="J1253" s="2" t="str">
        <f>IF(Iterations[[#This Row],[Step]] =current_step, current_d,IF(Iterations[[#This Row],[Step]] &gt; current_step, "",Iterations[[#This Row],[d]]))</f>
        <v/>
      </c>
      <c r="K1253" s="2" t="str">
        <f>IF(Iterations[[#This Row],[Step]] =current_step, current_e,IF(Iterations[[#This Row],[Step]] &gt; current_step, "",Iterations[[#This Row],[e]]))</f>
        <v/>
      </c>
      <c r="L1253" s="2" t="str">
        <f>IF(Iterations[[#This Row],[Step]] =current_step, current_Total_Loss,IF(Iterations[[#This Row],[Step]] &gt; current_step, "",Iterations[[#This Row],[Total Loss]]))</f>
        <v/>
      </c>
      <c r="M1253" s="6" t="s">
        <v>27</v>
      </c>
      <c r="N1253" s="2" t="str">
        <f>IF(Iterations[[#This Row],[Step]] =current_step, current_Grad_a,IF(Iterations[[#This Row],[Step]] &gt; current_step, "",Iterations[[#This Row],[Grad_a]]))</f>
        <v/>
      </c>
      <c r="O1253" s="2" t="str">
        <f>IF(Iterations[[#This Row],[Step]] =current_step, current_Grad_b,IF(Iterations[[#This Row],[Step]] &gt; current_step, "",Iterations[[#This Row],[Grad_b]]))</f>
        <v/>
      </c>
      <c r="P1253" s="2" t="str">
        <f>IF(Iterations[[#This Row],[Step]] =current_step, current_Grad_c,IF(Iterations[[#This Row],[Step]] &gt; current_step, "",Iterations[[#This Row],[Grad_c]]))</f>
        <v/>
      </c>
      <c r="Q1253" s="2" t="str">
        <f>IF(Iterations[[#This Row],[Step]] =current_step, current_Grad_d,IF(Iterations[[#This Row],[Step]] &gt; current_step, "",Iterations[[#This Row],[Grad_d]]))</f>
        <v/>
      </c>
      <c r="R1253" s="2" t="str">
        <f>IF(Iterations[[#This Row],[Step]] =current_step, current_Grad_e,IF(Iterations[[#This Row],[Step]] &gt; current_step, "",Iterations[[#This Row],[Grad_e]]))</f>
        <v/>
      </c>
    </row>
    <row r="1254" spans="6:18" x14ac:dyDescent="0.3">
      <c r="F1254" s="2">
        <f t="shared" si="24"/>
        <v>1237</v>
      </c>
      <c r="G1254" s="2" t="str">
        <f>IF(Iterations[[#This Row],[Step]] =current_step, current_a,IF(Iterations[[#This Row],[Step]] &gt; current_step, "",Iterations[[#This Row],[a]]))</f>
        <v/>
      </c>
      <c r="H1254" s="2" t="str">
        <f>IF(Iterations[[#This Row],[Step]] =current_step, current_b,IF(Iterations[[#This Row],[Step]] &gt; current_step, "",Iterations[[#This Row],[b]]))</f>
        <v/>
      </c>
      <c r="I1254" s="2" t="str">
        <f>IF(Iterations[[#This Row],[Step]] =current_step, current_c,IF(Iterations[[#This Row],[Step]] &gt; current_step, "",Iterations[[#This Row],[c]]))</f>
        <v/>
      </c>
      <c r="J1254" s="2" t="str">
        <f>IF(Iterations[[#This Row],[Step]] =current_step, current_d,IF(Iterations[[#This Row],[Step]] &gt; current_step, "",Iterations[[#This Row],[d]]))</f>
        <v/>
      </c>
      <c r="K1254" s="2" t="str">
        <f>IF(Iterations[[#This Row],[Step]] =current_step, current_e,IF(Iterations[[#This Row],[Step]] &gt; current_step, "",Iterations[[#This Row],[e]]))</f>
        <v/>
      </c>
      <c r="L1254" s="2" t="str">
        <f>IF(Iterations[[#This Row],[Step]] =current_step, current_Total_Loss,IF(Iterations[[#This Row],[Step]] &gt; current_step, "",Iterations[[#This Row],[Total Loss]]))</f>
        <v/>
      </c>
      <c r="M1254" s="6" t="s">
        <v>27</v>
      </c>
      <c r="N1254" s="2" t="str">
        <f>IF(Iterations[[#This Row],[Step]] =current_step, current_Grad_a,IF(Iterations[[#This Row],[Step]] &gt; current_step, "",Iterations[[#This Row],[Grad_a]]))</f>
        <v/>
      </c>
      <c r="O1254" s="2" t="str">
        <f>IF(Iterations[[#This Row],[Step]] =current_step, current_Grad_b,IF(Iterations[[#This Row],[Step]] &gt; current_step, "",Iterations[[#This Row],[Grad_b]]))</f>
        <v/>
      </c>
      <c r="P1254" s="2" t="str">
        <f>IF(Iterations[[#This Row],[Step]] =current_step, current_Grad_c,IF(Iterations[[#This Row],[Step]] &gt; current_step, "",Iterations[[#This Row],[Grad_c]]))</f>
        <v/>
      </c>
      <c r="Q1254" s="2" t="str">
        <f>IF(Iterations[[#This Row],[Step]] =current_step, current_Grad_d,IF(Iterations[[#This Row],[Step]] &gt; current_step, "",Iterations[[#This Row],[Grad_d]]))</f>
        <v/>
      </c>
      <c r="R1254" s="2" t="str">
        <f>IF(Iterations[[#This Row],[Step]] =current_step, current_Grad_e,IF(Iterations[[#This Row],[Step]] &gt; current_step, "",Iterations[[#This Row],[Grad_e]]))</f>
        <v/>
      </c>
    </row>
    <row r="1255" spans="6:18" x14ac:dyDescent="0.3">
      <c r="F1255" s="2">
        <f t="shared" si="24"/>
        <v>1238</v>
      </c>
      <c r="G1255" s="2" t="str">
        <f>IF(Iterations[[#This Row],[Step]] =current_step, current_a,IF(Iterations[[#This Row],[Step]] &gt; current_step, "",Iterations[[#This Row],[a]]))</f>
        <v/>
      </c>
      <c r="H1255" s="2" t="str">
        <f>IF(Iterations[[#This Row],[Step]] =current_step, current_b,IF(Iterations[[#This Row],[Step]] &gt; current_step, "",Iterations[[#This Row],[b]]))</f>
        <v/>
      </c>
      <c r="I1255" s="2" t="str">
        <f>IF(Iterations[[#This Row],[Step]] =current_step, current_c,IF(Iterations[[#This Row],[Step]] &gt; current_step, "",Iterations[[#This Row],[c]]))</f>
        <v/>
      </c>
      <c r="J1255" s="2" t="str">
        <f>IF(Iterations[[#This Row],[Step]] =current_step, current_d,IF(Iterations[[#This Row],[Step]] &gt; current_step, "",Iterations[[#This Row],[d]]))</f>
        <v/>
      </c>
      <c r="K1255" s="2" t="str">
        <f>IF(Iterations[[#This Row],[Step]] =current_step, current_e,IF(Iterations[[#This Row],[Step]] &gt; current_step, "",Iterations[[#This Row],[e]]))</f>
        <v/>
      </c>
      <c r="L1255" s="2" t="str">
        <f>IF(Iterations[[#This Row],[Step]] =current_step, current_Total_Loss,IF(Iterations[[#This Row],[Step]] &gt; current_step, "",Iterations[[#This Row],[Total Loss]]))</f>
        <v/>
      </c>
      <c r="M1255" s="6" t="s">
        <v>27</v>
      </c>
      <c r="N1255" s="2" t="str">
        <f>IF(Iterations[[#This Row],[Step]] =current_step, current_Grad_a,IF(Iterations[[#This Row],[Step]] &gt; current_step, "",Iterations[[#This Row],[Grad_a]]))</f>
        <v/>
      </c>
      <c r="O1255" s="2" t="str">
        <f>IF(Iterations[[#This Row],[Step]] =current_step, current_Grad_b,IF(Iterations[[#This Row],[Step]] &gt; current_step, "",Iterations[[#This Row],[Grad_b]]))</f>
        <v/>
      </c>
      <c r="P1255" s="2" t="str">
        <f>IF(Iterations[[#This Row],[Step]] =current_step, current_Grad_c,IF(Iterations[[#This Row],[Step]] &gt; current_step, "",Iterations[[#This Row],[Grad_c]]))</f>
        <v/>
      </c>
      <c r="Q1255" s="2" t="str">
        <f>IF(Iterations[[#This Row],[Step]] =current_step, current_Grad_d,IF(Iterations[[#This Row],[Step]] &gt; current_step, "",Iterations[[#This Row],[Grad_d]]))</f>
        <v/>
      </c>
      <c r="R1255" s="2" t="str">
        <f>IF(Iterations[[#This Row],[Step]] =current_step, current_Grad_e,IF(Iterations[[#This Row],[Step]] &gt; current_step, "",Iterations[[#This Row],[Grad_e]]))</f>
        <v/>
      </c>
    </row>
    <row r="1256" spans="6:18" x14ac:dyDescent="0.3">
      <c r="F1256" s="2">
        <f t="shared" si="24"/>
        <v>1239</v>
      </c>
      <c r="G1256" s="2" t="str">
        <f>IF(Iterations[[#This Row],[Step]] =current_step, current_a,IF(Iterations[[#This Row],[Step]] &gt; current_step, "",Iterations[[#This Row],[a]]))</f>
        <v/>
      </c>
      <c r="H1256" s="2" t="str">
        <f>IF(Iterations[[#This Row],[Step]] =current_step, current_b,IF(Iterations[[#This Row],[Step]] &gt; current_step, "",Iterations[[#This Row],[b]]))</f>
        <v/>
      </c>
      <c r="I1256" s="2" t="str">
        <f>IF(Iterations[[#This Row],[Step]] =current_step, current_c,IF(Iterations[[#This Row],[Step]] &gt; current_step, "",Iterations[[#This Row],[c]]))</f>
        <v/>
      </c>
      <c r="J1256" s="2" t="str">
        <f>IF(Iterations[[#This Row],[Step]] =current_step, current_d,IF(Iterations[[#This Row],[Step]] &gt; current_step, "",Iterations[[#This Row],[d]]))</f>
        <v/>
      </c>
      <c r="K1256" s="2" t="str">
        <f>IF(Iterations[[#This Row],[Step]] =current_step, current_e,IF(Iterations[[#This Row],[Step]] &gt; current_step, "",Iterations[[#This Row],[e]]))</f>
        <v/>
      </c>
      <c r="L1256" s="2" t="str">
        <f>IF(Iterations[[#This Row],[Step]] =current_step, current_Total_Loss,IF(Iterations[[#This Row],[Step]] &gt; current_step, "",Iterations[[#This Row],[Total Loss]]))</f>
        <v/>
      </c>
      <c r="M1256" s="6" t="s">
        <v>27</v>
      </c>
      <c r="N1256" s="2" t="str">
        <f>IF(Iterations[[#This Row],[Step]] =current_step, current_Grad_a,IF(Iterations[[#This Row],[Step]] &gt; current_step, "",Iterations[[#This Row],[Grad_a]]))</f>
        <v/>
      </c>
      <c r="O1256" s="2" t="str">
        <f>IF(Iterations[[#This Row],[Step]] =current_step, current_Grad_b,IF(Iterations[[#This Row],[Step]] &gt; current_step, "",Iterations[[#This Row],[Grad_b]]))</f>
        <v/>
      </c>
      <c r="P1256" s="2" t="str">
        <f>IF(Iterations[[#This Row],[Step]] =current_step, current_Grad_c,IF(Iterations[[#This Row],[Step]] &gt; current_step, "",Iterations[[#This Row],[Grad_c]]))</f>
        <v/>
      </c>
      <c r="Q1256" s="2" t="str">
        <f>IF(Iterations[[#This Row],[Step]] =current_step, current_Grad_d,IF(Iterations[[#This Row],[Step]] &gt; current_step, "",Iterations[[#This Row],[Grad_d]]))</f>
        <v/>
      </c>
      <c r="R1256" s="2" t="str">
        <f>IF(Iterations[[#This Row],[Step]] =current_step, current_Grad_e,IF(Iterations[[#This Row],[Step]] &gt; current_step, "",Iterations[[#This Row],[Grad_e]]))</f>
        <v/>
      </c>
    </row>
    <row r="1257" spans="6:18" x14ac:dyDescent="0.3">
      <c r="F1257" s="2">
        <f t="shared" si="24"/>
        <v>1240</v>
      </c>
      <c r="G1257" s="2" t="str">
        <f>IF(Iterations[[#This Row],[Step]] =current_step, current_a,IF(Iterations[[#This Row],[Step]] &gt; current_step, "",Iterations[[#This Row],[a]]))</f>
        <v/>
      </c>
      <c r="H1257" s="2" t="str">
        <f>IF(Iterations[[#This Row],[Step]] =current_step, current_b,IF(Iterations[[#This Row],[Step]] &gt; current_step, "",Iterations[[#This Row],[b]]))</f>
        <v/>
      </c>
      <c r="I1257" s="2" t="str">
        <f>IF(Iterations[[#This Row],[Step]] =current_step, current_c,IF(Iterations[[#This Row],[Step]] &gt; current_step, "",Iterations[[#This Row],[c]]))</f>
        <v/>
      </c>
      <c r="J1257" s="2" t="str">
        <f>IF(Iterations[[#This Row],[Step]] =current_step, current_d,IF(Iterations[[#This Row],[Step]] &gt; current_step, "",Iterations[[#This Row],[d]]))</f>
        <v/>
      </c>
      <c r="K1257" s="2" t="str">
        <f>IF(Iterations[[#This Row],[Step]] =current_step, current_e,IF(Iterations[[#This Row],[Step]] &gt; current_step, "",Iterations[[#This Row],[e]]))</f>
        <v/>
      </c>
      <c r="L1257" s="2" t="str">
        <f>IF(Iterations[[#This Row],[Step]] =current_step, current_Total_Loss,IF(Iterations[[#This Row],[Step]] &gt; current_step, "",Iterations[[#This Row],[Total Loss]]))</f>
        <v/>
      </c>
      <c r="M1257" s="6" t="s">
        <v>27</v>
      </c>
      <c r="N1257" s="2" t="str">
        <f>IF(Iterations[[#This Row],[Step]] =current_step, current_Grad_a,IF(Iterations[[#This Row],[Step]] &gt; current_step, "",Iterations[[#This Row],[Grad_a]]))</f>
        <v/>
      </c>
      <c r="O1257" s="2" t="str">
        <f>IF(Iterations[[#This Row],[Step]] =current_step, current_Grad_b,IF(Iterations[[#This Row],[Step]] &gt; current_step, "",Iterations[[#This Row],[Grad_b]]))</f>
        <v/>
      </c>
      <c r="P1257" s="2" t="str">
        <f>IF(Iterations[[#This Row],[Step]] =current_step, current_Grad_c,IF(Iterations[[#This Row],[Step]] &gt; current_step, "",Iterations[[#This Row],[Grad_c]]))</f>
        <v/>
      </c>
      <c r="Q1257" s="2" t="str">
        <f>IF(Iterations[[#This Row],[Step]] =current_step, current_Grad_d,IF(Iterations[[#This Row],[Step]] &gt; current_step, "",Iterations[[#This Row],[Grad_d]]))</f>
        <v/>
      </c>
      <c r="R1257" s="2" t="str">
        <f>IF(Iterations[[#This Row],[Step]] =current_step, current_Grad_e,IF(Iterations[[#This Row],[Step]] &gt; current_step, "",Iterations[[#This Row],[Grad_e]]))</f>
        <v/>
      </c>
    </row>
    <row r="1258" spans="6:18" x14ac:dyDescent="0.3">
      <c r="F1258" s="2">
        <f t="shared" si="24"/>
        <v>1241</v>
      </c>
      <c r="G1258" s="2" t="str">
        <f>IF(Iterations[[#This Row],[Step]] =current_step, current_a,IF(Iterations[[#This Row],[Step]] &gt; current_step, "",Iterations[[#This Row],[a]]))</f>
        <v/>
      </c>
      <c r="H1258" s="2" t="str">
        <f>IF(Iterations[[#This Row],[Step]] =current_step, current_b,IF(Iterations[[#This Row],[Step]] &gt; current_step, "",Iterations[[#This Row],[b]]))</f>
        <v/>
      </c>
      <c r="I1258" s="2" t="str">
        <f>IF(Iterations[[#This Row],[Step]] =current_step, current_c,IF(Iterations[[#This Row],[Step]] &gt; current_step, "",Iterations[[#This Row],[c]]))</f>
        <v/>
      </c>
      <c r="J1258" s="2" t="str">
        <f>IF(Iterations[[#This Row],[Step]] =current_step, current_d,IF(Iterations[[#This Row],[Step]] &gt; current_step, "",Iterations[[#This Row],[d]]))</f>
        <v/>
      </c>
      <c r="K1258" s="2" t="str">
        <f>IF(Iterations[[#This Row],[Step]] =current_step, current_e,IF(Iterations[[#This Row],[Step]] &gt; current_step, "",Iterations[[#This Row],[e]]))</f>
        <v/>
      </c>
      <c r="L1258" s="2" t="str">
        <f>IF(Iterations[[#This Row],[Step]] =current_step, current_Total_Loss,IF(Iterations[[#This Row],[Step]] &gt; current_step, "",Iterations[[#This Row],[Total Loss]]))</f>
        <v/>
      </c>
      <c r="M1258" s="6" t="s">
        <v>27</v>
      </c>
      <c r="N1258" s="2" t="str">
        <f>IF(Iterations[[#This Row],[Step]] =current_step, current_Grad_a,IF(Iterations[[#This Row],[Step]] &gt; current_step, "",Iterations[[#This Row],[Grad_a]]))</f>
        <v/>
      </c>
      <c r="O1258" s="2" t="str">
        <f>IF(Iterations[[#This Row],[Step]] =current_step, current_Grad_b,IF(Iterations[[#This Row],[Step]] &gt; current_step, "",Iterations[[#This Row],[Grad_b]]))</f>
        <v/>
      </c>
      <c r="P1258" s="2" t="str">
        <f>IF(Iterations[[#This Row],[Step]] =current_step, current_Grad_c,IF(Iterations[[#This Row],[Step]] &gt; current_step, "",Iterations[[#This Row],[Grad_c]]))</f>
        <v/>
      </c>
      <c r="Q1258" s="2" t="str">
        <f>IF(Iterations[[#This Row],[Step]] =current_step, current_Grad_d,IF(Iterations[[#This Row],[Step]] &gt; current_step, "",Iterations[[#This Row],[Grad_d]]))</f>
        <v/>
      </c>
      <c r="R1258" s="2" t="str">
        <f>IF(Iterations[[#This Row],[Step]] =current_step, current_Grad_e,IF(Iterations[[#This Row],[Step]] &gt; current_step, "",Iterations[[#This Row],[Grad_e]]))</f>
        <v/>
      </c>
    </row>
    <row r="1259" spans="6:18" x14ac:dyDescent="0.3">
      <c r="F1259" s="2">
        <f t="shared" si="24"/>
        <v>1242</v>
      </c>
      <c r="G1259" s="2" t="str">
        <f>IF(Iterations[[#This Row],[Step]] =current_step, current_a,IF(Iterations[[#This Row],[Step]] &gt; current_step, "",Iterations[[#This Row],[a]]))</f>
        <v/>
      </c>
      <c r="H1259" s="2" t="str">
        <f>IF(Iterations[[#This Row],[Step]] =current_step, current_b,IF(Iterations[[#This Row],[Step]] &gt; current_step, "",Iterations[[#This Row],[b]]))</f>
        <v/>
      </c>
      <c r="I1259" s="2" t="str">
        <f>IF(Iterations[[#This Row],[Step]] =current_step, current_c,IF(Iterations[[#This Row],[Step]] &gt; current_step, "",Iterations[[#This Row],[c]]))</f>
        <v/>
      </c>
      <c r="J1259" s="2" t="str">
        <f>IF(Iterations[[#This Row],[Step]] =current_step, current_d,IF(Iterations[[#This Row],[Step]] &gt; current_step, "",Iterations[[#This Row],[d]]))</f>
        <v/>
      </c>
      <c r="K1259" s="2" t="str">
        <f>IF(Iterations[[#This Row],[Step]] =current_step, current_e,IF(Iterations[[#This Row],[Step]] &gt; current_step, "",Iterations[[#This Row],[e]]))</f>
        <v/>
      </c>
      <c r="L1259" s="2" t="str">
        <f>IF(Iterations[[#This Row],[Step]] =current_step, current_Total_Loss,IF(Iterations[[#This Row],[Step]] &gt; current_step, "",Iterations[[#This Row],[Total Loss]]))</f>
        <v/>
      </c>
      <c r="M1259" s="6" t="s">
        <v>27</v>
      </c>
      <c r="N1259" s="2" t="str">
        <f>IF(Iterations[[#This Row],[Step]] =current_step, current_Grad_a,IF(Iterations[[#This Row],[Step]] &gt; current_step, "",Iterations[[#This Row],[Grad_a]]))</f>
        <v/>
      </c>
      <c r="O1259" s="2" t="str">
        <f>IF(Iterations[[#This Row],[Step]] =current_step, current_Grad_b,IF(Iterations[[#This Row],[Step]] &gt; current_step, "",Iterations[[#This Row],[Grad_b]]))</f>
        <v/>
      </c>
      <c r="P1259" s="2" t="str">
        <f>IF(Iterations[[#This Row],[Step]] =current_step, current_Grad_c,IF(Iterations[[#This Row],[Step]] &gt; current_step, "",Iterations[[#This Row],[Grad_c]]))</f>
        <v/>
      </c>
      <c r="Q1259" s="2" t="str">
        <f>IF(Iterations[[#This Row],[Step]] =current_step, current_Grad_d,IF(Iterations[[#This Row],[Step]] &gt; current_step, "",Iterations[[#This Row],[Grad_d]]))</f>
        <v/>
      </c>
      <c r="R1259" s="2" t="str">
        <f>IF(Iterations[[#This Row],[Step]] =current_step, current_Grad_e,IF(Iterations[[#This Row],[Step]] &gt; current_step, "",Iterations[[#This Row],[Grad_e]]))</f>
        <v/>
      </c>
    </row>
    <row r="1260" spans="6:18" x14ac:dyDescent="0.3">
      <c r="F1260" s="2">
        <f t="shared" si="24"/>
        <v>1243</v>
      </c>
      <c r="G1260" s="2" t="str">
        <f>IF(Iterations[[#This Row],[Step]] =current_step, current_a,IF(Iterations[[#This Row],[Step]] &gt; current_step, "",Iterations[[#This Row],[a]]))</f>
        <v/>
      </c>
      <c r="H1260" s="2" t="str">
        <f>IF(Iterations[[#This Row],[Step]] =current_step, current_b,IF(Iterations[[#This Row],[Step]] &gt; current_step, "",Iterations[[#This Row],[b]]))</f>
        <v/>
      </c>
      <c r="I1260" s="2" t="str">
        <f>IF(Iterations[[#This Row],[Step]] =current_step, current_c,IF(Iterations[[#This Row],[Step]] &gt; current_step, "",Iterations[[#This Row],[c]]))</f>
        <v/>
      </c>
      <c r="J1260" s="2" t="str">
        <f>IF(Iterations[[#This Row],[Step]] =current_step, current_d,IF(Iterations[[#This Row],[Step]] &gt; current_step, "",Iterations[[#This Row],[d]]))</f>
        <v/>
      </c>
      <c r="K1260" s="2" t="str">
        <f>IF(Iterations[[#This Row],[Step]] =current_step, current_e,IF(Iterations[[#This Row],[Step]] &gt; current_step, "",Iterations[[#This Row],[e]]))</f>
        <v/>
      </c>
      <c r="L1260" s="2" t="str">
        <f>IF(Iterations[[#This Row],[Step]] =current_step, current_Total_Loss,IF(Iterations[[#This Row],[Step]] &gt; current_step, "",Iterations[[#This Row],[Total Loss]]))</f>
        <v/>
      </c>
      <c r="M1260" s="6" t="s">
        <v>27</v>
      </c>
      <c r="N1260" s="2" t="str">
        <f>IF(Iterations[[#This Row],[Step]] =current_step, current_Grad_a,IF(Iterations[[#This Row],[Step]] &gt; current_step, "",Iterations[[#This Row],[Grad_a]]))</f>
        <v/>
      </c>
      <c r="O1260" s="2" t="str">
        <f>IF(Iterations[[#This Row],[Step]] =current_step, current_Grad_b,IF(Iterations[[#This Row],[Step]] &gt; current_step, "",Iterations[[#This Row],[Grad_b]]))</f>
        <v/>
      </c>
      <c r="P1260" s="2" t="str">
        <f>IF(Iterations[[#This Row],[Step]] =current_step, current_Grad_c,IF(Iterations[[#This Row],[Step]] &gt; current_step, "",Iterations[[#This Row],[Grad_c]]))</f>
        <v/>
      </c>
      <c r="Q1260" s="2" t="str">
        <f>IF(Iterations[[#This Row],[Step]] =current_step, current_Grad_d,IF(Iterations[[#This Row],[Step]] &gt; current_step, "",Iterations[[#This Row],[Grad_d]]))</f>
        <v/>
      </c>
      <c r="R1260" s="2" t="str">
        <f>IF(Iterations[[#This Row],[Step]] =current_step, current_Grad_e,IF(Iterations[[#This Row],[Step]] &gt; current_step, "",Iterations[[#This Row],[Grad_e]]))</f>
        <v/>
      </c>
    </row>
    <row r="1261" spans="6:18" x14ac:dyDescent="0.3">
      <c r="F1261" s="2">
        <f t="shared" si="24"/>
        <v>1244</v>
      </c>
      <c r="G1261" s="2" t="str">
        <f>IF(Iterations[[#This Row],[Step]] =current_step, current_a,IF(Iterations[[#This Row],[Step]] &gt; current_step, "",Iterations[[#This Row],[a]]))</f>
        <v/>
      </c>
      <c r="H1261" s="2" t="str">
        <f>IF(Iterations[[#This Row],[Step]] =current_step, current_b,IF(Iterations[[#This Row],[Step]] &gt; current_step, "",Iterations[[#This Row],[b]]))</f>
        <v/>
      </c>
      <c r="I1261" s="2" t="str">
        <f>IF(Iterations[[#This Row],[Step]] =current_step, current_c,IF(Iterations[[#This Row],[Step]] &gt; current_step, "",Iterations[[#This Row],[c]]))</f>
        <v/>
      </c>
      <c r="J1261" s="2" t="str">
        <f>IF(Iterations[[#This Row],[Step]] =current_step, current_d,IF(Iterations[[#This Row],[Step]] &gt; current_step, "",Iterations[[#This Row],[d]]))</f>
        <v/>
      </c>
      <c r="K1261" s="2" t="str">
        <f>IF(Iterations[[#This Row],[Step]] =current_step, current_e,IF(Iterations[[#This Row],[Step]] &gt; current_step, "",Iterations[[#This Row],[e]]))</f>
        <v/>
      </c>
      <c r="L1261" s="2" t="str">
        <f>IF(Iterations[[#This Row],[Step]] =current_step, current_Total_Loss,IF(Iterations[[#This Row],[Step]] &gt; current_step, "",Iterations[[#This Row],[Total Loss]]))</f>
        <v/>
      </c>
      <c r="M1261" s="6" t="s">
        <v>27</v>
      </c>
      <c r="N1261" s="2" t="str">
        <f>IF(Iterations[[#This Row],[Step]] =current_step, current_Grad_a,IF(Iterations[[#This Row],[Step]] &gt; current_step, "",Iterations[[#This Row],[Grad_a]]))</f>
        <v/>
      </c>
      <c r="O1261" s="2" t="str">
        <f>IF(Iterations[[#This Row],[Step]] =current_step, current_Grad_b,IF(Iterations[[#This Row],[Step]] &gt; current_step, "",Iterations[[#This Row],[Grad_b]]))</f>
        <v/>
      </c>
      <c r="P1261" s="2" t="str">
        <f>IF(Iterations[[#This Row],[Step]] =current_step, current_Grad_c,IF(Iterations[[#This Row],[Step]] &gt; current_step, "",Iterations[[#This Row],[Grad_c]]))</f>
        <v/>
      </c>
      <c r="Q1261" s="2" t="str">
        <f>IF(Iterations[[#This Row],[Step]] =current_step, current_Grad_d,IF(Iterations[[#This Row],[Step]] &gt; current_step, "",Iterations[[#This Row],[Grad_d]]))</f>
        <v/>
      </c>
      <c r="R1261" s="2" t="str">
        <f>IF(Iterations[[#This Row],[Step]] =current_step, current_Grad_e,IF(Iterations[[#This Row],[Step]] &gt; current_step, "",Iterations[[#This Row],[Grad_e]]))</f>
        <v/>
      </c>
    </row>
    <row r="1262" spans="6:18" x14ac:dyDescent="0.3">
      <c r="F1262" s="2">
        <f t="shared" si="24"/>
        <v>1245</v>
      </c>
      <c r="G1262" s="2" t="str">
        <f>IF(Iterations[[#This Row],[Step]] =current_step, current_a,IF(Iterations[[#This Row],[Step]] &gt; current_step, "",Iterations[[#This Row],[a]]))</f>
        <v/>
      </c>
      <c r="H1262" s="2" t="str">
        <f>IF(Iterations[[#This Row],[Step]] =current_step, current_b,IF(Iterations[[#This Row],[Step]] &gt; current_step, "",Iterations[[#This Row],[b]]))</f>
        <v/>
      </c>
      <c r="I1262" s="2" t="str">
        <f>IF(Iterations[[#This Row],[Step]] =current_step, current_c,IF(Iterations[[#This Row],[Step]] &gt; current_step, "",Iterations[[#This Row],[c]]))</f>
        <v/>
      </c>
      <c r="J1262" s="2" t="str">
        <f>IF(Iterations[[#This Row],[Step]] =current_step, current_d,IF(Iterations[[#This Row],[Step]] &gt; current_step, "",Iterations[[#This Row],[d]]))</f>
        <v/>
      </c>
      <c r="K1262" s="2" t="str">
        <f>IF(Iterations[[#This Row],[Step]] =current_step, current_e,IF(Iterations[[#This Row],[Step]] &gt; current_step, "",Iterations[[#This Row],[e]]))</f>
        <v/>
      </c>
      <c r="L1262" s="2" t="str">
        <f>IF(Iterations[[#This Row],[Step]] =current_step, current_Total_Loss,IF(Iterations[[#This Row],[Step]] &gt; current_step, "",Iterations[[#This Row],[Total Loss]]))</f>
        <v/>
      </c>
      <c r="M1262" s="6" t="s">
        <v>27</v>
      </c>
      <c r="N1262" s="2" t="str">
        <f>IF(Iterations[[#This Row],[Step]] =current_step, current_Grad_a,IF(Iterations[[#This Row],[Step]] &gt; current_step, "",Iterations[[#This Row],[Grad_a]]))</f>
        <v/>
      </c>
      <c r="O1262" s="2" t="str">
        <f>IF(Iterations[[#This Row],[Step]] =current_step, current_Grad_b,IF(Iterations[[#This Row],[Step]] &gt; current_step, "",Iterations[[#This Row],[Grad_b]]))</f>
        <v/>
      </c>
      <c r="P1262" s="2" t="str">
        <f>IF(Iterations[[#This Row],[Step]] =current_step, current_Grad_c,IF(Iterations[[#This Row],[Step]] &gt; current_step, "",Iterations[[#This Row],[Grad_c]]))</f>
        <v/>
      </c>
      <c r="Q1262" s="2" t="str">
        <f>IF(Iterations[[#This Row],[Step]] =current_step, current_Grad_d,IF(Iterations[[#This Row],[Step]] &gt; current_step, "",Iterations[[#This Row],[Grad_d]]))</f>
        <v/>
      </c>
      <c r="R1262" s="2" t="str">
        <f>IF(Iterations[[#This Row],[Step]] =current_step, current_Grad_e,IF(Iterations[[#This Row],[Step]] &gt; current_step, "",Iterations[[#This Row],[Grad_e]]))</f>
        <v/>
      </c>
    </row>
    <row r="1263" spans="6:18" x14ac:dyDescent="0.3">
      <c r="F1263" s="2">
        <f t="shared" si="24"/>
        <v>1246</v>
      </c>
      <c r="G1263" s="2" t="str">
        <f>IF(Iterations[[#This Row],[Step]] =current_step, current_a,IF(Iterations[[#This Row],[Step]] &gt; current_step, "",Iterations[[#This Row],[a]]))</f>
        <v/>
      </c>
      <c r="H1263" s="2" t="str">
        <f>IF(Iterations[[#This Row],[Step]] =current_step, current_b,IF(Iterations[[#This Row],[Step]] &gt; current_step, "",Iterations[[#This Row],[b]]))</f>
        <v/>
      </c>
      <c r="I1263" s="2" t="str">
        <f>IF(Iterations[[#This Row],[Step]] =current_step, current_c,IF(Iterations[[#This Row],[Step]] &gt; current_step, "",Iterations[[#This Row],[c]]))</f>
        <v/>
      </c>
      <c r="J1263" s="2" t="str">
        <f>IF(Iterations[[#This Row],[Step]] =current_step, current_d,IF(Iterations[[#This Row],[Step]] &gt; current_step, "",Iterations[[#This Row],[d]]))</f>
        <v/>
      </c>
      <c r="K1263" s="2" t="str">
        <f>IF(Iterations[[#This Row],[Step]] =current_step, current_e,IF(Iterations[[#This Row],[Step]] &gt; current_step, "",Iterations[[#This Row],[e]]))</f>
        <v/>
      </c>
      <c r="L1263" s="2" t="str">
        <f>IF(Iterations[[#This Row],[Step]] =current_step, current_Total_Loss,IF(Iterations[[#This Row],[Step]] &gt; current_step, "",Iterations[[#This Row],[Total Loss]]))</f>
        <v/>
      </c>
      <c r="M1263" s="6" t="s">
        <v>27</v>
      </c>
      <c r="N1263" s="2" t="str">
        <f>IF(Iterations[[#This Row],[Step]] =current_step, current_Grad_a,IF(Iterations[[#This Row],[Step]] &gt; current_step, "",Iterations[[#This Row],[Grad_a]]))</f>
        <v/>
      </c>
      <c r="O1263" s="2" t="str">
        <f>IF(Iterations[[#This Row],[Step]] =current_step, current_Grad_b,IF(Iterations[[#This Row],[Step]] &gt; current_step, "",Iterations[[#This Row],[Grad_b]]))</f>
        <v/>
      </c>
      <c r="P1263" s="2" t="str">
        <f>IF(Iterations[[#This Row],[Step]] =current_step, current_Grad_c,IF(Iterations[[#This Row],[Step]] &gt; current_step, "",Iterations[[#This Row],[Grad_c]]))</f>
        <v/>
      </c>
      <c r="Q1263" s="2" t="str">
        <f>IF(Iterations[[#This Row],[Step]] =current_step, current_Grad_d,IF(Iterations[[#This Row],[Step]] &gt; current_step, "",Iterations[[#This Row],[Grad_d]]))</f>
        <v/>
      </c>
      <c r="R1263" s="2" t="str">
        <f>IF(Iterations[[#This Row],[Step]] =current_step, current_Grad_e,IF(Iterations[[#This Row],[Step]] &gt; current_step, "",Iterations[[#This Row],[Grad_e]]))</f>
        <v/>
      </c>
    </row>
    <row r="1264" spans="6:18" x14ac:dyDescent="0.3">
      <c r="F1264" s="2">
        <f t="shared" si="24"/>
        <v>1247</v>
      </c>
      <c r="G1264" s="2" t="str">
        <f>IF(Iterations[[#This Row],[Step]] =current_step, current_a,IF(Iterations[[#This Row],[Step]] &gt; current_step, "",Iterations[[#This Row],[a]]))</f>
        <v/>
      </c>
      <c r="H1264" s="2" t="str">
        <f>IF(Iterations[[#This Row],[Step]] =current_step, current_b,IF(Iterations[[#This Row],[Step]] &gt; current_step, "",Iterations[[#This Row],[b]]))</f>
        <v/>
      </c>
      <c r="I1264" s="2" t="str">
        <f>IF(Iterations[[#This Row],[Step]] =current_step, current_c,IF(Iterations[[#This Row],[Step]] &gt; current_step, "",Iterations[[#This Row],[c]]))</f>
        <v/>
      </c>
      <c r="J1264" s="2" t="str">
        <f>IF(Iterations[[#This Row],[Step]] =current_step, current_d,IF(Iterations[[#This Row],[Step]] &gt; current_step, "",Iterations[[#This Row],[d]]))</f>
        <v/>
      </c>
      <c r="K1264" s="2" t="str">
        <f>IF(Iterations[[#This Row],[Step]] =current_step, current_e,IF(Iterations[[#This Row],[Step]] &gt; current_step, "",Iterations[[#This Row],[e]]))</f>
        <v/>
      </c>
      <c r="L1264" s="2" t="str">
        <f>IF(Iterations[[#This Row],[Step]] =current_step, current_Total_Loss,IF(Iterations[[#This Row],[Step]] &gt; current_step, "",Iterations[[#This Row],[Total Loss]]))</f>
        <v/>
      </c>
      <c r="M1264" s="6" t="s">
        <v>27</v>
      </c>
      <c r="N1264" s="2" t="str">
        <f>IF(Iterations[[#This Row],[Step]] =current_step, current_Grad_a,IF(Iterations[[#This Row],[Step]] &gt; current_step, "",Iterations[[#This Row],[Grad_a]]))</f>
        <v/>
      </c>
      <c r="O1264" s="2" t="str">
        <f>IF(Iterations[[#This Row],[Step]] =current_step, current_Grad_b,IF(Iterations[[#This Row],[Step]] &gt; current_step, "",Iterations[[#This Row],[Grad_b]]))</f>
        <v/>
      </c>
      <c r="P1264" s="2" t="str">
        <f>IF(Iterations[[#This Row],[Step]] =current_step, current_Grad_c,IF(Iterations[[#This Row],[Step]] &gt; current_step, "",Iterations[[#This Row],[Grad_c]]))</f>
        <v/>
      </c>
      <c r="Q1264" s="2" t="str">
        <f>IF(Iterations[[#This Row],[Step]] =current_step, current_Grad_d,IF(Iterations[[#This Row],[Step]] &gt; current_step, "",Iterations[[#This Row],[Grad_d]]))</f>
        <v/>
      </c>
      <c r="R1264" s="2" t="str">
        <f>IF(Iterations[[#This Row],[Step]] =current_step, current_Grad_e,IF(Iterations[[#This Row],[Step]] &gt; current_step, "",Iterations[[#This Row],[Grad_e]]))</f>
        <v/>
      </c>
    </row>
    <row r="1265" spans="6:18" x14ac:dyDescent="0.3">
      <c r="F1265" s="2">
        <f t="shared" si="24"/>
        <v>1248</v>
      </c>
      <c r="G1265" s="2" t="str">
        <f>IF(Iterations[[#This Row],[Step]] =current_step, current_a,IF(Iterations[[#This Row],[Step]] &gt; current_step, "",Iterations[[#This Row],[a]]))</f>
        <v/>
      </c>
      <c r="H1265" s="2" t="str">
        <f>IF(Iterations[[#This Row],[Step]] =current_step, current_b,IF(Iterations[[#This Row],[Step]] &gt; current_step, "",Iterations[[#This Row],[b]]))</f>
        <v/>
      </c>
      <c r="I1265" s="2" t="str">
        <f>IF(Iterations[[#This Row],[Step]] =current_step, current_c,IF(Iterations[[#This Row],[Step]] &gt; current_step, "",Iterations[[#This Row],[c]]))</f>
        <v/>
      </c>
      <c r="J1265" s="2" t="str">
        <f>IF(Iterations[[#This Row],[Step]] =current_step, current_d,IF(Iterations[[#This Row],[Step]] &gt; current_step, "",Iterations[[#This Row],[d]]))</f>
        <v/>
      </c>
      <c r="K1265" s="2" t="str">
        <f>IF(Iterations[[#This Row],[Step]] =current_step, current_e,IF(Iterations[[#This Row],[Step]] &gt; current_step, "",Iterations[[#This Row],[e]]))</f>
        <v/>
      </c>
      <c r="L1265" s="2" t="str">
        <f>IF(Iterations[[#This Row],[Step]] =current_step, current_Total_Loss,IF(Iterations[[#This Row],[Step]] &gt; current_step, "",Iterations[[#This Row],[Total Loss]]))</f>
        <v/>
      </c>
      <c r="M1265" s="6" t="s">
        <v>27</v>
      </c>
      <c r="N1265" s="2" t="str">
        <f>IF(Iterations[[#This Row],[Step]] =current_step, current_Grad_a,IF(Iterations[[#This Row],[Step]] &gt; current_step, "",Iterations[[#This Row],[Grad_a]]))</f>
        <v/>
      </c>
      <c r="O1265" s="2" t="str">
        <f>IF(Iterations[[#This Row],[Step]] =current_step, current_Grad_b,IF(Iterations[[#This Row],[Step]] &gt; current_step, "",Iterations[[#This Row],[Grad_b]]))</f>
        <v/>
      </c>
      <c r="P1265" s="2" t="str">
        <f>IF(Iterations[[#This Row],[Step]] =current_step, current_Grad_c,IF(Iterations[[#This Row],[Step]] &gt; current_step, "",Iterations[[#This Row],[Grad_c]]))</f>
        <v/>
      </c>
      <c r="Q1265" s="2" t="str">
        <f>IF(Iterations[[#This Row],[Step]] =current_step, current_Grad_d,IF(Iterations[[#This Row],[Step]] &gt; current_step, "",Iterations[[#This Row],[Grad_d]]))</f>
        <v/>
      </c>
      <c r="R1265" s="2" t="str">
        <f>IF(Iterations[[#This Row],[Step]] =current_step, current_Grad_e,IF(Iterations[[#This Row],[Step]] &gt; current_step, "",Iterations[[#This Row],[Grad_e]]))</f>
        <v/>
      </c>
    </row>
    <row r="1266" spans="6:18" x14ac:dyDescent="0.3">
      <c r="F1266" s="2">
        <f t="shared" si="24"/>
        <v>1249</v>
      </c>
      <c r="G1266" s="2" t="str">
        <f>IF(Iterations[[#This Row],[Step]] =current_step, current_a,IF(Iterations[[#This Row],[Step]] &gt; current_step, "",Iterations[[#This Row],[a]]))</f>
        <v/>
      </c>
      <c r="H1266" s="2" t="str">
        <f>IF(Iterations[[#This Row],[Step]] =current_step, current_b,IF(Iterations[[#This Row],[Step]] &gt; current_step, "",Iterations[[#This Row],[b]]))</f>
        <v/>
      </c>
      <c r="I1266" s="2" t="str">
        <f>IF(Iterations[[#This Row],[Step]] =current_step, current_c,IF(Iterations[[#This Row],[Step]] &gt; current_step, "",Iterations[[#This Row],[c]]))</f>
        <v/>
      </c>
      <c r="J1266" s="2" t="str">
        <f>IF(Iterations[[#This Row],[Step]] =current_step, current_d,IF(Iterations[[#This Row],[Step]] &gt; current_step, "",Iterations[[#This Row],[d]]))</f>
        <v/>
      </c>
      <c r="K1266" s="2" t="str">
        <f>IF(Iterations[[#This Row],[Step]] =current_step, current_e,IF(Iterations[[#This Row],[Step]] &gt; current_step, "",Iterations[[#This Row],[e]]))</f>
        <v/>
      </c>
      <c r="L1266" s="2" t="str">
        <f>IF(Iterations[[#This Row],[Step]] =current_step, current_Total_Loss,IF(Iterations[[#This Row],[Step]] &gt; current_step, "",Iterations[[#This Row],[Total Loss]]))</f>
        <v/>
      </c>
      <c r="M1266" s="6" t="s">
        <v>27</v>
      </c>
      <c r="N1266" s="2" t="str">
        <f>IF(Iterations[[#This Row],[Step]] =current_step, current_Grad_a,IF(Iterations[[#This Row],[Step]] &gt; current_step, "",Iterations[[#This Row],[Grad_a]]))</f>
        <v/>
      </c>
      <c r="O1266" s="2" t="str">
        <f>IF(Iterations[[#This Row],[Step]] =current_step, current_Grad_b,IF(Iterations[[#This Row],[Step]] &gt; current_step, "",Iterations[[#This Row],[Grad_b]]))</f>
        <v/>
      </c>
      <c r="P1266" s="2" t="str">
        <f>IF(Iterations[[#This Row],[Step]] =current_step, current_Grad_c,IF(Iterations[[#This Row],[Step]] &gt; current_step, "",Iterations[[#This Row],[Grad_c]]))</f>
        <v/>
      </c>
      <c r="Q1266" s="2" t="str">
        <f>IF(Iterations[[#This Row],[Step]] =current_step, current_Grad_d,IF(Iterations[[#This Row],[Step]] &gt; current_step, "",Iterations[[#This Row],[Grad_d]]))</f>
        <v/>
      </c>
      <c r="R1266" s="2" t="str">
        <f>IF(Iterations[[#This Row],[Step]] =current_step, current_Grad_e,IF(Iterations[[#This Row],[Step]] &gt; current_step, "",Iterations[[#This Row],[Grad_e]]))</f>
        <v/>
      </c>
    </row>
    <row r="1267" spans="6:18" x14ac:dyDescent="0.3">
      <c r="F1267" s="2">
        <f t="shared" si="24"/>
        <v>1250</v>
      </c>
      <c r="G1267" s="2" t="str">
        <f>IF(Iterations[[#This Row],[Step]] =current_step, current_a,IF(Iterations[[#This Row],[Step]] &gt; current_step, "",Iterations[[#This Row],[a]]))</f>
        <v/>
      </c>
      <c r="H1267" s="2" t="str">
        <f>IF(Iterations[[#This Row],[Step]] =current_step, current_b,IF(Iterations[[#This Row],[Step]] &gt; current_step, "",Iterations[[#This Row],[b]]))</f>
        <v/>
      </c>
      <c r="I1267" s="2" t="str">
        <f>IF(Iterations[[#This Row],[Step]] =current_step, current_c,IF(Iterations[[#This Row],[Step]] &gt; current_step, "",Iterations[[#This Row],[c]]))</f>
        <v/>
      </c>
      <c r="J1267" s="2" t="str">
        <f>IF(Iterations[[#This Row],[Step]] =current_step, current_d,IF(Iterations[[#This Row],[Step]] &gt; current_step, "",Iterations[[#This Row],[d]]))</f>
        <v/>
      </c>
      <c r="K1267" s="2" t="str">
        <f>IF(Iterations[[#This Row],[Step]] =current_step, current_e,IF(Iterations[[#This Row],[Step]] &gt; current_step, "",Iterations[[#This Row],[e]]))</f>
        <v/>
      </c>
      <c r="L1267" s="2" t="str">
        <f>IF(Iterations[[#This Row],[Step]] =current_step, current_Total_Loss,IF(Iterations[[#This Row],[Step]] &gt; current_step, "",Iterations[[#This Row],[Total Loss]]))</f>
        <v/>
      </c>
      <c r="M1267" s="6" t="s">
        <v>27</v>
      </c>
      <c r="N1267" s="2" t="str">
        <f>IF(Iterations[[#This Row],[Step]] =current_step, current_Grad_a,IF(Iterations[[#This Row],[Step]] &gt; current_step, "",Iterations[[#This Row],[Grad_a]]))</f>
        <v/>
      </c>
      <c r="O1267" s="2" t="str">
        <f>IF(Iterations[[#This Row],[Step]] =current_step, current_Grad_b,IF(Iterations[[#This Row],[Step]] &gt; current_step, "",Iterations[[#This Row],[Grad_b]]))</f>
        <v/>
      </c>
      <c r="P1267" s="2" t="str">
        <f>IF(Iterations[[#This Row],[Step]] =current_step, current_Grad_c,IF(Iterations[[#This Row],[Step]] &gt; current_step, "",Iterations[[#This Row],[Grad_c]]))</f>
        <v/>
      </c>
      <c r="Q1267" s="2" t="str">
        <f>IF(Iterations[[#This Row],[Step]] =current_step, current_Grad_d,IF(Iterations[[#This Row],[Step]] &gt; current_step, "",Iterations[[#This Row],[Grad_d]]))</f>
        <v/>
      </c>
      <c r="R1267" s="2" t="str">
        <f>IF(Iterations[[#This Row],[Step]] =current_step, current_Grad_e,IF(Iterations[[#This Row],[Step]] &gt; current_step, "",Iterations[[#This Row],[Grad_e]]))</f>
        <v/>
      </c>
    </row>
    <row r="1268" spans="6:18" x14ac:dyDescent="0.3">
      <c r="F1268" s="2">
        <f t="shared" si="24"/>
        <v>1251</v>
      </c>
      <c r="G1268" s="2" t="str">
        <f>IF(Iterations[[#This Row],[Step]] =current_step, current_a,IF(Iterations[[#This Row],[Step]] &gt; current_step, "",Iterations[[#This Row],[a]]))</f>
        <v/>
      </c>
      <c r="H1268" s="2" t="str">
        <f>IF(Iterations[[#This Row],[Step]] =current_step, current_b,IF(Iterations[[#This Row],[Step]] &gt; current_step, "",Iterations[[#This Row],[b]]))</f>
        <v/>
      </c>
      <c r="I1268" s="2" t="str">
        <f>IF(Iterations[[#This Row],[Step]] =current_step, current_c,IF(Iterations[[#This Row],[Step]] &gt; current_step, "",Iterations[[#This Row],[c]]))</f>
        <v/>
      </c>
      <c r="J1268" s="2" t="str">
        <f>IF(Iterations[[#This Row],[Step]] =current_step, current_d,IF(Iterations[[#This Row],[Step]] &gt; current_step, "",Iterations[[#This Row],[d]]))</f>
        <v/>
      </c>
      <c r="K1268" s="2" t="str">
        <f>IF(Iterations[[#This Row],[Step]] =current_step, current_e,IF(Iterations[[#This Row],[Step]] &gt; current_step, "",Iterations[[#This Row],[e]]))</f>
        <v/>
      </c>
      <c r="L1268" s="2" t="str">
        <f>IF(Iterations[[#This Row],[Step]] =current_step, current_Total_Loss,IF(Iterations[[#This Row],[Step]] &gt; current_step, "",Iterations[[#This Row],[Total Loss]]))</f>
        <v/>
      </c>
      <c r="M1268" s="6" t="s">
        <v>27</v>
      </c>
      <c r="N1268" s="2" t="str">
        <f>IF(Iterations[[#This Row],[Step]] =current_step, current_Grad_a,IF(Iterations[[#This Row],[Step]] &gt; current_step, "",Iterations[[#This Row],[Grad_a]]))</f>
        <v/>
      </c>
      <c r="O1268" s="2" t="str">
        <f>IF(Iterations[[#This Row],[Step]] =current_step, current_Grad_b,IF(Iterations[[#This Row],[Step]] &gt; current_step, "",Iterations[[#This Row],[Grad_b]]))</f>
        <v/>
      </c>
      <c r="P1268" s="2" t="str">
        <f>IF(Iterations[[#This Row],[Step]] =current_step, current_Grad_c,IF(Iterations[[#This Row],[Step]] &gt; current_step, "",Iterations[[#This Row],[Grad_c]]))</f>
        <v/>
      </c>
      <c r="Q1268" s="2" t="str">
        <f>IF(Iterations[[#This Row],[Step]] =current_step, current_Grad_d,IF(Iterations[[#This Row],[Step]] &gt; current_step, "",Iterations[[#This Row],[Grad_d]]))</f>
        <v/>
      </c>
      <c r="R1268" s="2" t="str">
        <f>IF(Iterations[[#This Row],[Step]] =current_step, current_Grad_e,IF(Iterations[[#This Row],[Step]] &gt; current_step, "",Iterations[[#This Row],[Grad_e]]))</f>
        <v/>
      </c>
    </row>
    <row r="1269" spans="6:18" x14ac:dyDescent="0.3">
      <c r="F1269" s="2">
        <f t="shared" si="24"/>
        <v>1252</v>
      </c>
      <c r="G1269" s="2" t="str">
        <f>IF(Iterations[[#This Row],[Step]] =current_step, current_a,IF(Iterations[[#This Row],[Step]] &gt; current_step, "",Iterations[[#This Row],[a]]))</f>
        <v/>
      </c>
      <c r="H1269" s="2" t="str">
        <f>IF(Iterations[[#This Row],[Step]] =current_step, current_b,IF(Iterations[[#This Row],[Step]] &gt; current_step, "",Iterations[[#This Row],[b]]))</f>
        <v/>
      </c>
      <c r="I1269" s="2" t="str">
        <f>IF(Iterations[[#This Row],[Step]] =current_step, current_c,IF(Iterations[[#This Row],[Step]] &gt; current_step, "",Iterations[[#This Row],[c]]))</f>
        <v/>
      </c>
      <c r="J1269" s="2" t="str">
        <f>IF(Iterations[[#This Row],[Step]] =current_step, current_d,IF(Iterations[[#This Row],[Step]] &gt; current_step, "",Iterations[[#This Row],[d]]))</f>
        <v/>
      </c>
      <c r="K1269" s="2" t="str">
        <f>IF(Iterations[[#This Row],[Step]] =current_step, current_e,IF(Iterations[[#This Row],[Step]] &gt; current_step, "",Iterations[[#This Row],[e]]))</f>
        <v/>
      </c>
      <c r="L1269" s="2" t="str">
        <f>IF(Iterations[[#This Row],[Step]] =current_step, current_Total_Loss,IF(Iterations[[#This Row],[Step]] &gt; current_step, "",Iterations[[#This Row],[Total Loss]]))</f>
        <v/>
      </c>
      <c r="M1269" s="6" t="s">
        <v>27</v>
      </c>
      <c r="N1269" s="2" t="str">
        <f>IF(Iterations[[#This Row],[Step]] =current_step, current_Grad_a,IF(Iterations[[#This Row],[Step]] &gt; current_step, "",Iterations[[#This Row],[Grad_a]]))</f>
        <v/>
      </c>
      <c r="O1269" s="2" t="str">
        <f>IF(Iterations[[#This Row],[Step]] =current_step, current_Grad_b,IF(Iterations[[#This Row],[Step]] &gt; current_step, "",Iterations[[#This Row],[Grad_b]]))</f>
        <v/>
      </c>
      <c r="P1269" s="2" t="str">
        <f>IF(Iterations[[#This Row],[Step]] =current_step, current_Grad_c,IF(Iterations[[#This Row],[Step]] &gt; current_step, "",Iterations[[#This Row],[Grad_c]]))</f>
        <v/>
      </c>
      <c r="Q1269" s="2" t="str">
        <f>IF(Iterations[[#This Row],[Step]] =current_step, current_Grad_d,IF(Iterations[[#This Row],[Step]] &gt; current_step, "",Iterations[[#This Row],[Grad_d]]))</f>
        <v/>
      </c>
      <c r="R1269" s="2" t="str">
        <f>IF(Iterations[[#This Row],[Step]] =current_step, current_Grad_e,IF(Iterations[[#This Row],[Step]] &gt; current_step, "",Iterations[[#This Row],[Grad_e]]))</f>
        <v/>
      </c>
    </row>
    <row r="1270" spans="6:18" x14ac:dyDescent="0.3">
      <c r="F1270" s="2">
        <f t="shared" si="24"/>
        <v>1253</v>
      </c>
      <c r="G1270" s="2" t="str">
        <f>IF(Iterations[[#This Row],[Step]] =current_step, current_a,IF(Iterations[[#This Row],[Step]] &gt; current_step, "",Iterations[[#This Row],[a]]))</f>
        <v/>
      </c>
      <c r="H1270" s="2" t="str">
        <f>IF(Iterations[[#This Row],[Step]] =current_step, current_b,IF(Iterations[[#This Row],[Step]] &gt; current_step, "",Iterations[[#This Row],[b]]))</f>
        <v/>
      </c>
      <c r="I1270" s="2" t="str">
        <f>IF(Iterations[[#This Row],[Step]] =current_step, current_c,IF(Iterations[[#This Row],[Step]] &gt; current_step, "",Iterations[[#This Row],[c]]))</f>
        <v/>
      </c>
      <c r="J1270" s="2" t="str">
        <f>IF(Iterations[[#This Row],[Step]] =current_step, current_d,IF(Iterations[[#This Row],[Step]] &gt; current_step, "",Iterations[[#This Row],[d]]))</f>
        <v/>
      </c>
      <c r="K1270" s="2" t="str">
        <f>IF(Iterations[[#This Row],[Step]] =current_step, current_e,IF(Iterations[[#This Row],[Step]] &gt; current_step, "",Iterations[[#This Row],[e]]))</f>
        <v/>
      </c>
      <c r="L1270" s="2" t="str">
        <f>IF(Iterations[[#This Row],[Step]] =current_step, current_Total_Loss,IF(Iterations[[#This Row],[Step]] &gt; current_step, "",Iterations[[#This Row],[Total Loss]]))</f>
        <v/>
      </c>
      <c r="M1270" s="6" t="s">
        <v>27</v>
      </c>
      <c r="N1270" s="2" t="str">
        <f>IF(Iterations[[#This Row],[Step]] =current_step, current_Grad_a,IF(Iterations[[#This Row],[Step]] &gt; current_step, "",Iterations[[#This Row],[Grad_a]]))</f>
        <v/>
      </c>
      <c r="O1270" s="2" t="str">
        <f>IF(Iterations[[#This Row],[Step]] =current_step, current_Grad_b,IF(Iterations[[#This Row],[Step]] &gt; current_step, "",Iterations[[#This Row],[Grad_b]]))</f>
        <v/>
      </c>
      <c r="P1270" s="2" t="str">
        <f>IF(Iterations[[#This Row],[Step]] =current_step, current_Grad_c,IF(Iterations[[#This Row],[Step]] &gt; current_step, "",Iterations[[#This Row],[Grad_c]]))</f>
        <v/>
      </c>
      <c r="Q1270" s="2" t="str">
        <f>IF(Iterations[[#This Row],[Step]] =current_step, current_Grad_d,IF(Iterations[[#This Row],[Step]] &gt; current_step, "",Iterations[[#This Row],[Grad_d]]))</f>
        <v/>
      </c>
      <c r="R1270" s="2" t="str">
        <f>IF(Iterations[[#This Row],[Step]] =current_step, current_Grad_e,IF(Iterations[[#This Row],[Step]] &gt; current_step, "",Iterations[[#This Row],[Grad_e]]))</f>
        <v/>
      </c>
    </row>
    <row r="1271" spans="6:18" x14ac:dyDescent="0.3">
      <c r="F1271" s="2">
        <f t="shared" si="24"/>
        <v>1254</v>
      </c>
      <c r="G1271" s="2" t="str">
        <f>IF(Iterations[[#This Row],[Step]] =current_step, current_a,IF(Iterations[[#This Row],[Step]] &gt; current_step, "",Iterations[[#This Row],[a]]))</f>
        <v/>
      </c>
      <c r="H1271" s="2" t="str">
        <f>IF(Iterations[[#This Row],[Step]] =current_step, current_b,IF(Iterations[[#This Row],[Step]] &gt; current_step, "",Iterations[[#This Row],[b]]))</f>
        <v/>
      </c>
      <c r="I1271" s="2" t="str">
        <f>IF(Iterations[[#This Row],[Step]] =current_step, current_c,IF(Iterations[[#This Row],[Step]] &gt; current_step, "",Iterations[[#This Row],[c]]))</f>
        <v/>
      </c>
      <c r="J1271" s="2" t="str">
        <f>IF(Iterations[[#This Row],[Step]] =current_step, current_d,IF(Iterations[[#This Row],[Step]] &gt; current_step, "",Iterations[[#This Row],[d]]))</f>
        <v/>
      </c>
      <c r="K1271" s="2" t="str">
        <f>IF(Iterations[[#This Row],[Step]] =current_step, current_e,IF(Iterations[[#This Row],[Step]] &gt; current_step, "",Iterations[[#This Row],[e]]))</f>
        <v/>
      </c>
      <c r="L1271" s="2" t="str">
        <f>IF(Iterations[[#This Row],[Step]] =current_step, current_Total_Loss,IF(Iterations[[#This Row],[Step]] &gt; current_step, "",Iterations[[#This Row],[Total Loss]]))</f>
        <v/>
      </c>
      <c r="M1271" s="6" t="s">
        <v>27</v>
      </c>
      <c r="N1271" s="2" t="str">
        <f>IF(Iterations[[#This Row],[Step]] =current_step, current_Grad_a,IF(Iterations[[#This Row],[Step]] &gt; current_step, "",Iterations[[#This Row],[Grad_a]]))</f>
        <v/>
      </c>
      <c r="O1271" s="2" t="str">
        <f>IF(Iterations[[#This Row],[Step]] =current_step, current_Grad_b,IF(Iterations[[#This Row],[Step]] &gt; current_step, "",Iterations[[#This Row],[Grad_b]]))</f>
        <v/>
      </c>
      <c r="P1271" s="2" t="str">
        <f>IF(Iterations[[#This Row],[Step]] =current_step, current_Grad_c,IF(Iterations[[#This Row],[Step]] &gt; current_step, "",Iterations[[#This Row],[Grad_c]]))</f>
        <v/>
      </c>
      <c r="Q1271" s="2" t="str">
        <f>IF(Iterations[[#This Row],[Step]] =current_step, current_Grad_d,IF(Iterations[[#This Row],[Step]] &gt; current_step, "",Iterations[[#This Row],[Grad_d]]))</f>
        <v/>
      </c>
      <c r="R1271" s="2" t="str">
        <f>IF(Iterations[[#This Row],[Step]] =current_step, current_Grad_e,IF(Iterations[[#This Row],[Step]] &gt; current_step, "",Iterations[[#This Row],[Grad_e]]))</f>
        <v/>
      </c>
    </row>
    <row r="1272" spans="6:18" x14ac:dyDescent="0.3">
      <c r="F1272" s="2">
        <f t="shared" ref="F1272:F1335" si="25">F1271+1</f>
        <v>1255</v>
      </c>
      <c r="G1272" s="2" t="str">
        <f>IF(Iterations[[#This Row],[Step]] =current_step, current_a,IF(Iterations[[#This Row],[Step]] &gt; current_step, "",Iterations[[#This Row],[a]]))</f>
        <v/>
      </c>
      <c r="H1272" s="2" t="str">
        <f>IF(Iterations[[#This Row],[Step]] =current_step, current_b,IF(Iterations[[#This Row],[Step]] &gt; current_step, "",Iterations[[#This Row],[b]]))</f>
        <v/>
      </c>
      <c r="I1272" s="2" t="str">
        <f>IF(Iterations[[#This Row],[Step]] =current_step, current_c,IF(Iterations[[#This Row],[Step]] &gt; current_step, "",Iterations[[#This Row],[c]]))</f>
        <v/>
      </c>
      <c r="J1272" s="2" t="str">
        <f>IF(Iterations[[#This Row],[Step]] =current_step, current_d,IF(Iterations[[#This Row],[Step]] &gt; current_step, "",Iterations[[#This Row],[d]]))</f>
        <v/>
      </c>
      <c r="K1272" s="2" t="str">
        <f>IF(Iterations[[#This Row],[Step]] =current_step, current_e,IF(Iterations[[#This Row],[Step]] &gt; current_step, "",Iterations[[#This Row],[e]]))</f>
        <v/>
      </c>
      <c r="L1272" s="2" t="str">
        <f>IF(Iterations[[#This Row],[Step]] =current_step, current_Total_Loss,IF(Iterations[[#This Row],[Step]] &gt; current_step, "",Iterations[[#This Row],[Total Loss]]))</f>
        <v/>
      </c>
      <c r="M1272" s="6" t="s">
        <v>27</v>
      </c>
      <c r="N1272" s="2" t="str">
        <f>IF(Iterations[[#This Row],[Step]] =current_step, current_Grad_a,IF(Iterations[[#This Row],[Step]] &gt; current_step, "",Iterations[[#This Row],[Grad_a]]))</f>
        <v/>
      </c>
      <c r="O1272" s="2" t="str">
        <f>IF(Iterations[[#This Row],[Step]] =current_step, current_Grad_b,IF(Iterations[[#This Row],[Step]] &gt; current_step, "",Iterations[[#This Row],[Grad_b]]))</f>
        <v/>
      </c>
      <c r="P1272" s="2" t="str">
        <f>IF(Iterations[[#This Row],[Step]] =current_step, current_Grad_c,IF(Iterations[[#This Row],[Step]] &gt; current_step, "",Iterations[[#This Row],[Grad_c]]))</f>
        <v/>
      </c>
      <c r="Q1272" s="2" t="str">
        <f>IF(Iterations[[#This Row],[Step]] =current_step, current_Grad_d,IF(Iterations[[#This Row],[Step]] &gt; current_step, "",Iterations[[#This Row],[Grad_d]]))</f>
        <v/>
      </c>
      <c r="R1272" s="2" t="str">
        <f>IF(Iterations[[#This Row],[Step]] =current_step, current_Grad_e,IF(Iterations[[#This Row],[Step]] &gt; current_step, "",Iterations[[#This Row],[Grad_e]]))</f>
        <v/>
      </c>
    </row>
    <row r="1273" spans="6:18" x14ac:dyDescent="0.3">
      <c r="F1273" s="2">
        <f t="shared" si="25"/>
        <v>1256</v>
      </c>
      <c r="G1273" s="2" t="str">
        <f>IF(Iterations[[#This Row],[Step]] =current_step, current_a,IF(Iterations[[#This Row],[Step]] &gt; current_step, "",Iterations[[#This Row],[a]]))</f>
        <v/>
      </c>
      <c r="H1273" s="2" t="str">
        <f>IF(Iterations[[#This Row],[Step]] =current_step, current_b,IF(Iterations[[#This Row],[Step]] &gt; current_step, "",Iterations[[#This Row],[b]]))</f>
        <v/>
      </c>
      <c r="I1273" s="2" t="str">
        <f>IF(Iterations[[#This Row],[Step]] =current_step, current_c,IF(Iterations[[#This Row],[Step]] &gt; current_step, "",Iterations[[#This Row],[c]]))</f>
        <v/>
      </c>
      <c r="J1273" s="2" t="str">
        <f>IF(Iterations[[#This Row],[Step]] =current_step, current_d,IF(Iterations[[#This Row],[Step]] &gt; current_step, "",Iterations[[#This Row],[d]]))</f>
        <v/>
      </c>
      <c r="K1273" s="2" t="str">
        <f>IF(Iterations[[#This Row],[Step]] =current_step, current_e,IF(Iterations[[#This Row],[Step]] &gt; current_step, "",Iterations[[#This Row],[e]]))</f>
        <v/>
      </c>
      <c r="L1273" s="2" t="str">
        <f>IF(Iterations[[#This Row],[Step]] =current_step, current_Total_Loss,IF(Iterations[[#This Row],[Step]] &gt; current_step, "",Iterations[[#This Row],[Total Loss]]))</f>
        <v/>
      </c>
      <c r="M1273" s="6" t="s">
        <v>27</v>
      </c>
      <c r="N1273" s="2" t="str">
        <f>IF(Iterations[[#This Row],[Step]] =current_step, current_Grad_a,IF(Iterations[[#This Row],[Step]] &gt; current_step, "",Iterations[[#This Row],[Grad_a]]))</f>
        <v/>
      </c>
      <c r="O1273" s="2" t="str">
        <f>IF(Iterations[[#This Row],[Step]] =current_step, current_Grad_b,IF(Iterations[[#This Row],[Step]] &gt; current_step, "",Iterations[[#This Row],[Grad_b]]))</f>
        <v/>
      </c>
      <c r="P1273" s="2" t="str">
        <f>IF(Iterations[[#This Row],[Step]] =current_step, current_Grad_c,IF(Iterations[[#This Row],[Step]] &gt; current_step, "",Iterations[[#This Row],[Grad_c]]))</f>
        <v/>
      </c>
      <c r="Q1273" s="2" t="str">
        <f>IF(Iterations[[#This Row],[Step]] =current_step, current_Grad_d,IF(Iterations[[#This Row],[Step]] &gt; current_step, "",Iterations[[#This Row],[Grad_d]]))</f>
        <v/>
      </c>
      <c r="R1273" s="2" t="str">
        <f>IF(Iterations[[#This Row],[Step]] =current_step, current_Grad_e,IF(Iterations[[#This Row],[Step]] &gt; current_step, "",Iterations[[#This Row],[Grad_e]]))</f>
        <v/>
      </c>
    </row>
    <row r="1274" spans="6:18" x14ac:dyDescent="0.3">
      <c r="F1274" s="2">
        <f t="shared" si="25"/>
        <v>1257</v>
      </c>
      <c r="G1274" s="2" t="str">
        <f>IF(Iterations[[#This Row],[Step]] =current_step, current_a,IF(Iterations[[#This Row],[Step]] &gt; current_step, "",Iterations[[#This Row],[a]]))</f>
        <v/>
      </c>
      <c r="H1274" s="2" t="str">
        <f>IF(Iterations[[#This Row],[Step]] =current_step, current_b,IF(Iterations[[#This Row],[Step]] &gt; current_step, "",Iterations[[#This Row],[b]]))</f>
        <v/>
      </c>
      <c r="I1274" s="2" t="str">
        <f>IF(Iterations[[#This Row],[Step]] =current_step, current_c,IF(Iterations[[#This Row],[Step]] &gt; current_step, "",Iterations[[#This Row],[c]]))</f>
        <v/>
      </c>
      <c r="J1274" s="2" t="str">
        <f>IF(Iterations[[#This Row],[Step]] =current_step, current_d,IF(Iterations[[#This Row],[Step]] &gt; current_step, "",Iterations[[#This Row],[d]]))</f>
        <v/>
      </c>
      <c r="K1274" s="2" t="str">
        <f>IF(Iterations[[#This Row],[Step]] =current_step, current_e,IF(Iterations[[#This Row],[Step]] &gt; current_step, "",Iterations[[#This Row],[e]]))</f>
        <v/>
      </c>
      <c r="L1274" s="2" t="str">
        <f>IF(Iterations[[#This Row],[Step]] =current_step, current_Total_Loss,IF(Iterations[[#This Row],[Step]] &gt; current_step, "",Iterations[[#This Row],[Total Loss]]))</f>
        <v/>
      </c>
      <c r="M1274" s="6" t="s">
        <v>27</v>
      </c>
      <c r="N1274" s="2" t="str">
        <f>IF(Iterations[[#This Row],[Step]] =current_step, current_Grad_a,IF(Iterations[[#This Row],[Step]] &gt; current_step, "",Iterations[[#This Row],[Grad_a]]))</f>
        <v/>
      </c>
      <c r="O1274" s="2" t="str">
        <f>IF(Iterations[[#This Row],[Step]] =current_step, current_Grad_b,IF(Iterations[[#This Row],[Step]] &gt; current_step, "",Iterations[[#This Row],[Grad_b]]))</f>
        <v/>
      </c>
      <c r="P1274" s="2" t="str">
        <f>IF(Iterations[[#This Row],[Step]] =current_step, current_Grad_c,IF(Iterations[[#This Row],[Step]] &gt; current_step, "",Iterations[[#This Row],[Grad_c]]))</f>
        <v/>
      </c>
      <c r="Q1274" s="2" t="str">
        <f>IF(Iterations[[#This Row],[Step]] =current_step, current_Grad_d,IF(Iterations[[#This Row],[Step]] &gt; current_step, "",Iterations[[#This Row],[Grad_d]]))</f>
        <v/>
      </c>
      <c r="R1274" s="2" t="str">
        <f>IF(Iterations[[#This Row],[Step]] =current_step, current_Grad_e,IF(Iterations[[#This Row],[Step]] &gt; current_step, "",Iterations[[#This Row],[Grad_e]]))</f>
        <v/>
      </c>
    </row>
    <row r="1275" spans="6:18" x14ac:dyDescent="0.3">
      <c r="F1275" s="2">
        <f t="shared" si="25"/>
        <v>1258</v>
      </c>
      <c r="G1275" s="2" t="str">
        <f>IF(Iterations[[#This Row],[Step]] =current_step, current_a,IF(Iterations[[#This Row],[Step]] &gt; current_step, "",Iterations[[#This Row],[a]]))</f>
        <v/>
      </c>
      <c r="H1275" s="2" t="str">
        <f>IF(Iterations[[#This Row],[Step]] =current_step, current_b,IF(Iterations[[#This Row],[Step]] &gt; current_step, "",Iterations[[#This Row],[b]]))</f>
        <v/>
      </c>
      <c r="I1275" s="2" t="str">
        <f>IF(Iterations[[#This Row],[Step]] =current_step, current_c,IF(Iterations[[#This Row],[Step]] &gt; current_step, "",Iterations[[#This Row],[c]]))</f>
        <v/>
      </c>
      <c r="J1275" s="2" t="str">
        <f>IF(Iterations[[#This Row],[Step]] =current_step, current_d,IF(Iterations[[#This Row],[Step]] &gt; current_step, "",Iterations[[#This Row],[d]]))</f>
        <v/>
      </c>
      <c r="K1275" s="2" t="str">
        <f>IF(Iterations[[#This Row],[Step]] =current_step, current_e,IF(Iterations[[#This Row],[Step]] &gt; current_step, "",Iterations[[#This Row],[e]]))</f>
        <v/>
      </c>
      <c r="L1275" s="2" t="str">
        <f>IF(Iterations[[#This Row],[Step]] =current_step, current_Total_Loss,IF(Iterations[[#This Row],[Step]] &gt; current_step, "",Iterations[[#This Row],[Total Loss]]))</f>
        <v/>
      </c>
      <c r="M1275" s="6" t="s">
        <v>27</v>
      </c>
      <c r="N1275" s="2" t="str">
        <f>IF(Iterations[[#This Row],[Step]] =current_step, current_Grad_a,IF(Iterations[[#This Row],[Step]] &gt; current_step, "",Iterations[[#This Row],[Grad_a]]))</f>
        <v/>
      </c>
      <c r="O1275" s="2" t="str">
        <f>IF(Iterations[[#This Row],[Step]] =current_step, current_Grad_b,IF(Iterations[[#This Row],[Step]] &gt; current_step, "",Iterations[[#This Row],[Grad_b]]))</f>
        <v/>
      </c>
      <c r="P1275" s="2" t="str">
        <f>IF(Iterations[[#This Row],[Step]] =current_step, current_Grad_c,IF(Iterations[[#This Row],[Step]] &gt; current_step, "",Iterations[[#This Row],[Grad_c]]))</f>
        <v/>
      </c>
      <c r="Q1275" s="2" t="str">
        <f>IF(Iterations[[#This Row],[Step]] =current_step, current_Grad_d,IF(Iterations[[#This Row],[Step]] &gt; current_step, "",Iterations[[#This Row],[Grad_d]]))</f>
        <v/>
      </c>
      <c r="R1275" s="2" t="str">
        <f>IF(Iterations[[#This Row],[Step]] =current_step, current_Grad_e,IF(Iterations[[#This Row],[Step]] &gt; current_step, "",Iterations[[#This Row],[Grad_e]]))</f>
        <v/>
      </c>
    </row>
    <row r="1276" spans="6:18" x14ac:dyDescent="0.3">
      <c r="F1276" s="2">
        <f t="shared" si="25"/>
        <v>1259</v>
      </c>
      <c r="G1276" s="2" t="str">
        <f>IF(Iterations[[#This Row],[Step]] =current_step, current_a,IF(Iterations[[#This Row],[Step]] &gt; current_step, "",Iterations[[#This Row],[a]]))</f>
        <v/>
      </c>
      <c r="H1276" s="2" t="str">
        <f>IF(Iterations[[#This Row],[Step]] =current_step, current_b,IF(Iterations[[#This Row],[Step]] &gt; current_step, "",Iterations[[#This Row],[b]]))</f>
        <v/>
      </c>
      <c r="I1276" s="2" t="str">
        <f>IF(Iterations[[#This Row],[Step]] =current_step, current_c,IF(Iterations[[#This Row],[Step]] &gt; current_step, "",Iterations[[#This Row],[c]]))</f>
        <v/>
      </c>
      <c r="J1276" s="2" t="str">
        <f>IF(Iterations[[#This Row],[Step]] =current_step, current_d,IF(Iterations[[#This Row],[Step]] &gt; current_step, "",Iterations[[#This Row],[d]]))</f>
        <v/>
      </c>
      <c r="K1276" s="2" t="str">
        <f>IF(Iterations[[#This Row],[Step]] =current_step, current_e,IF(Iterations[[#This Row],[Step]] &gt; current_step, "",Iterations[[#This Row],[e]]))</f>
        <v/>
      </c>
      <c r="L1276" s="2" t="str">
        <f>IF(Iterations[[#This Row],[Step]] =current_step, current_Total_Loss,IF(Iterations[[#This Row],[Step]] &gt; current_step, "",Iterations[[#This Row],[Total Loss]]))</f>
        <v/>
      </c>
      <c r="M1276" s="6" t="s">
        <v>27</v>
      </c>
      <c r="N1276" s="2" t="str">
        <f>IF(Iterations[[#This Row],[Step]] =current_step, current_Grad_a,IF(Iterations[[#This Row],[Step]] &gt; current_step, "",Iterations[[#This Row],[Grad_a]]))</f>
        <v/>
      </c>
      <c r="O1276" s="2" t="str">
        <f>IF(Iterations[[#This Row],[Step]] =current_step, current_Grad_b,IF(Iterations[[#This Row],[Step]] &gt; current_step, "",Iterations[[#This Row],[Grad_b]]))</f>
        <v/>
      </c>
      <c r="P1276" s="2" t="str">
        <f>IF(Iterations[[#This Row],[Step]] =current_step, current_Grad_c,IF(Iterations[[#This Row],[Step]] &gt; current_step, "",Iterations[[#This Row],[Grad_c]]))</f>
        <v/>
      </c>
      <c r="Q1276" s="2" t="str">
        <f>IF(Iterations[[#This Row],[Step]] =current_step, current_Grad_d,IF(Iterations[[#This Row],[Step]] &gt; current_step, "",Iterations[[#This Row],[Grad_d]]))</f>
        <v/>
      </c>
      <c r="R1276" s="2" t="str">
        <f>IF(Iterations[[#This Row],[Step]] =current_step, current_Grad_e,IF(Iterations[[#This Row],[Step]] &gt; current_step, "",Iterations[[#This Row],[Grad_e]]))</f>
        <v/>
      </c>
    </row>
    <row r="1277" spans="6:18" x14ac:dyDescent="0.3">
      <c r="F1277" s="2">
        <f t="shared" si="25"/>
        <v>1260</v>
      </c>
      <c r="G1277" s="2" t="str">
        <f>IF(Iterations[[#This Row],[Step]] =current_step, current_a,IF(Iterations[[#This Row],[Step]] &gt; current_step, "",Iterations[[#This Row],[a]]))</f>
        <v/>
      </c>
      <c r="H1277" s="2" t="str">
        <f>IF(Iterations[[#This Row],[Step]] =current_step, current_b,IF(Iterations[[#This Row],[Step]] &gt; current_step, "",Iterations[[#This Row],[b]]))</f>
        <v/>
      </c>
      <c r="I1277" s="2" t="str">
        <f>IF(Iterations[[#This Row],[Step]] =current_step, current_c,IF(Iterations[[#This Row],[Step]] &gt; current_step, "",Iterations[[#This Row],[c]]))</f>
        <v/>
      </c>
      <c r="J1277" s="2" t="str">
        <f>IF(Iterations[[#This Row],[Step]] =current_step, current_d,IF(Iterations[[#This Row],[Step]] &gt; current_step, "",Iterations[[#This Row],[d]]))</f>
        <v/>
      </c>
      <c r="K1277" s="2" t="str">
        <f>IF(Iterations[[#This Row],[Step]] =current_step, current_e,IF(Iterations[[#This Row],[Step]] &gt; current_step, "",Iterations[[#This Row],[e]]))</f>
        <v/>
      </c>
      <c r="L1277" s="2" t="str">
        <f>IF(Iterations[[#This Row],[Step]] =current_step, current_Total_Loss,IF(Iterations[[#This Row],[Step]] &gt; current_step, "",Iterations[[#This Row],[Total Loss]]))</f>
        <v/>
      </c>
      <c r="M1277" s="6" t="s">
        <v>27</v>
      </c>
      <c r="N1277" s="2" t="str">
        <f>IF(Iterations[[#This Row],[Step]] =current_step, current_Grad_a,IF(Iterations[[#This Row],[Step]] &gt; current_step, "",Iterations[[#This Row],[Grad_a]]))</f>
        <v/>
      </c>
      <c r="O1277" s="2" t="str">
        <f>IF(Iterations[[#This Row],[Step]] =current_step, current_Grad_b,IF(Iterations[[#This Row],[Step]] &gt; current_step, "",Iterations[[#This Row],[Grad_b]]))</f>
        <v/>
      </c>
      <c r="P1277" s="2" t="str">
        <f>IF(Iterations[[#This Row],[Step]] =current_step, current_Grad_c,IF(Iterations[[#This Row],[Step]] &gt; current_step, "",Iterations[[#This Row],[Grad_c]]))</f>
        <v/>
      </c>
      <c r="Q1277" s="2" t="str">
        <f>IF(Iterations[[#This Row],[Step]] =current_step, current_Grad_d,IF(Iterations[[#This Row],[Step]] &gt; current_step, "",Iterations[[#This Row],[Grad_d]]))</f>
        <v/>
      </c>
      <c r="R1277" s="2" t="str">
        <f>IF(Iterations[[#This Row],[Step]] =current_step, current_Grad_e,IF(Iterations[[#This Row],[Step]] &gt; current_step, "",Iterations[[#This Row],[Grad_e]]))</f>
        <v/>
      </c>
    </row>
    <row r="1278" spans="6:18" x14ac:dyDescent="0.3">
      <c r="F1278" s="2">
        <f t="shared" si="25"/>
        <v>1261</v>
      </c>
      <c r="G1278" s="2" t="str">
        <f>IF(Iterations[[#This Row],[Step]] =current_step, current_a,IF(Iterations[[#This Row],[Step]] &gt; current_step, "",Iterations[[#This Row],[a]]))</f>
        <v/>
      </c>
      <c r="H1278" s="2" t="str">
        <f>IF(Iterations[[#This Row],[Step]] =current_step, current_b,IF(Iterations[[#This Row],[Step]] &gt; current_step, "",Iterations[[#This Row],[b]]))</f>
        <v/>
      </c>
      <c r="I1278" s="2" t="str">
        <f>IF(Iterations[[#This Row],[Step]] =current_step, current_c,IF(Iterations[[#This Row],[Step]] &gt; current_step, "",Iterations[[#This Row],[c]]))</f>
        <v/>
      </c>
      <c r="J1278" s="2" t="str">
        <f>IF(Iterations[[#This Row],[Step]] =current_step, current_d,IF(Iterations[[#This Row],[Step]] &gt; current_step, "",Iterations[[#This Row],[d]]))</f>
        <v/>
      </c>
      <c r="K1278" s="2" t="str">
        <f>IF(Iterations[[#This Row],[Step]] =current_step, current_e,IF(Iterations[[#This Row],[Step]] &gt; current_step, "",Iterations[[#This Row],[e]]))</f>
        <v/>
      </c>
      <c r="L1278" s="2" t="str">
        <f>IF(Iterations[[#This Row],[Step]] =current_step, current_Total_Loss,IF(Iterations[[#This Row],[Step]] &gt; current_step, "",Iterations[[#This Row],[Total Loss]]))</f>
        <v/>
      </c>
      <c r="M1278" s="6" t="s">
        <v>27</v>
      </c>
      <c r="N1278" s="2" t="str">
        <f>IF(Iterations[[#This Row],[Step]] =current_step, current_Grad_a,IF(Iterations[[#This Row],[Step]] &gt; current_step, "",Iterations[[#This Row],[Grad_a]]))</f>
        <v/>
      </c>
      <c r="O1278" s="2" t="str">
        <f>IF(Iterations[[#This Row],[Step]] =current_step, current_Grad_b,IF(Iterations[[#This Row],[Step]] &gt; current_step, "",Iterations[[#This Row],[Grad_b]]))</f>
        <v/>
      </c>
      <c r="P1278" s="2" t="str">
        <f>IF(Iterations[[#This Row],[Step]] =current_step, current_Grad_c,IF(Iterations[[#This Row],[Step]] &gt; current_step, "",Iterations[[#This Row],[Grad_c]]))</f>
        <v/>
      </c>
      <c r="Q1278" s="2" t="str">
        <f>IF(Iterations[[#This Row],[Step]] =current_step, current_Grad_d,IF(Iterations[[#This Row],[Step]] &gt; current_step, "",Iterations[[#This Row],[Grad_d]]))</f>
        <v/>
      </c>
      <c r="R1278" s="2" t="str">
        <f>IF(Iterations[[#This Row],[Step]] =current_step, current_Grad_e,IF(Iterations[[#This Row],[Step]] &gt; current_step, "",Iterations[[#This Row],[Grad_e]]))</f>
        <v/>
      </c>
    </row>
    <row r="1279" spans="6:18" x14ac:dyDescent="0.3">
      <c r="F1279" s="2">
        <f t="shared" si="25"/>
        <v>1262</v>
      </c>
      <c r="G1279" s="2" t="str">
        <f>IF(Iterations[[#This Row],[Step]] =current_step, current_a,IF(Iterations[[#This Row],[Step]] &gt; current_step, "",Iterations[[#This Row],[a]]))</f>
        <v/>
      </c>
      <c r="H1279" s="2" t="str">
        <f>IF(Iterations[[#This Row],[Step]] =current_step, current_b,IF(Iterations[[#This Row],[Step]] &gt; current_step, "",Iterations[[#This Row],[b]]))</f>
        <v/>
      </c>
      <c r="I1279" s="2" t="str">
        <f>IF(Iterations[[#This Row],[Step]] =current_step, current_c,IF(Iterations[[#This Row],[Step]] &gt; current_step, "",Iterations[[#This Row],[c]]))</f>
        <v/>
      </c>
      <c r="J1279" s="2" t="str">
        <f>IF(Iterations[[#This Row],[Step]] =current_step, current_d,IF(Iterations[[#This Row],[Step]] &gt; current_step, "",Iterations[[#This Row],[d]]))</f>
        <v/>
      </c>
      <c r="K1279" s="2" t="str">
        <f>IF(Iterations[[#This Row],[Step]] =current_step, current_e,IF(Iterations[[#This Row],[Step]] &gt; current_step, "",Iterations[[#This Row],[e]]))</f>
        <v/>
      </c>
      <c r="L1279" s="2" t="str">
        <f>IF(Iterations[[#This Row],[Step]] =current_step, current_Total_Loss,IF(Iterations[[#This Row],[Step]] &gt; current_step, "",Iterations[[#This Row],[Total Loss]]))</f>
        <v/>
      </c>
      <c r="M1279" s="6" t="s">
        <v>27</v>
      </c>
      <c r="N1279" s="2" t="str">
        <f>IF(Iterations[[#This Row],[Step]] =current_step, current_Grad_a,IF(Iterations[[#This Row],[Step]] &gt; current_step, "",Iterations[[#This Row],[Grad_a]]))</f>
        <v/>
      </c>
      <c r="O1279" s="2" t="str">
        <f>IF(Iterations[[#This Row],[Step]] =current_step, current_Grad_b,IF(Iterations[[#This Row],[Step]] &gt; current_step, "",Iterations[[#This Row],[Grad_b]]))</f>
        <v/>
      </c>
      <c r="P1279" s="2" t="str">
        <f>IF(Iterations[[#This Row],[Step]] =current_step, current_Grad_c,IF(Iterations[[#This Row],[Step]] &gt; current_step, "",Iterations[[#This Row],[Grad_c]]))</f>
        <v/>
      </c>
      <c r="Q1279" s="2" t="str">
        <f>IF(Iterations[[#This Row],[Step]] =current_step, current_Grad_d,IF(Iterations[[#This Row],[Step]] &gt; current_step, "",Iterations[[#This Row],[Grad_d]]))</f>
        <v/>
      </c>
      <c r="R1279" s="2" t="str">
        <f>IF(Iterations[[#This Row],[Step]] =current_step, current_Grad_e,IF(Iterations[[#This Row],[Step]] &gt; current_step, "",Iterations[[#This Row],[Grad_e]]))</f>
        <v/>
      </c>
    </row>
    <row r="1280" spans="6:18" x14ac:dyDescent="0.3">
      <c r="F1280" s="2">
        <f t="shared" si="25"/>
        <v>1263</v>
      </c>
      <c r="G1280" s="2" t="str">
        <f>IF(Iterations[[#This Row],[Step]] =current_step, current_a,IF(Iterations[[#This Row],[Step]] &gt; current_step, "",Iterations[[#This Row],[a]]))</f>
        <v/>
      </c>
      <c r="H1280" s="2" t="str">
        <f>IF(Iterations[[#This Row],[Step]] =current_step, current_b,IF(Iterations[[#This Row],[Step]] &gt; current_step, "",Iterations[[#This Row],[b]]))</f>
        <v/>
      </c>
      <c r="I1280" s="2" t="str">
        <f>IF(Iterations[[#This Row],[Step]] =current_step, current_c,IF(Iterations[[#This Row],[Step]] &gt; current_step, "",Iterations[[#This Row],[c]]))</f>
        <v/>
      </c>
      <c r="J1280" s="2" t="str">
        <f>IF(Iterations[[#This Row],[Step]] =current_step, current_d,IF(Iterations[[#This Row],[Step]] &gt; current_step, "",Iterations[[#This Row],[d]]))</f>
        <v/>
      </c>
      <c r="K1280" s="2" t="str">
        <f>IF(Iterations[[#This Row],[Step]] =current_step, current_e,IF(Iterations[[#This Row],[Step]] &gt; current_step, "",Iterations[[#This Row],[e]]))</f>
        <v/>
      </c>
      <c r="L1280" s="2" t="str">
        <f>IF(Iterations[[#This Row],[Step]] =current_step, current_Total_Loss,IF(Iterations[[#This Row],[Step]] &gt; current_step, "",Iterations[[#This Row],[Total Loss]]))</f>
        <v/>
      </c>
      <c r="M1280" s="6" t="s">
        <v>27</v>
      </c>
      <c r="N1280" s="2" t="str">
        <f>IF(Iterations[[#This Row],[Step]] =current_step, current_Grad_a,IF(Iterations[[#This Row],[Step]] &gt; current_step, "",Iterations[[#This Row],[Grad_a]]))</f>
        <v/>
      </c>
      <c r="O1280" s="2" t="str">
        <f>IF(Iterations[[#This Row],[Step]] =current_step, current_Grad_b,IF(Iterations[[#This Row],[Step]] &gt; current_step, "",Iterations[[#This Row],[Grad_b]]))</f>
        <v/>
      </c>
      <c r="P1280" s="2" t="str">
        <f>IF(Iterations[[#This Row],[Step]] =current_step, current_Grad_c,IF(Iterations[[#This Row],[Step]] &gt; current_step, "",Iterations[[#This Row],[Grad_c]]))</f>
        <v/>
      </c>
      <c r="Q1280" s="2" t="str">
        <f>IF(Iterations[[#This Row],[Step]] =current_step, current_Grad_d,IF(Iterations[[#This Row],[Step]] &gt; current_step, "",Iterations[[#This Row],[Grad_d]]))</f>
        <v/>
      </c>
      <c r="R1280" s="2" t="str">
        <f>IF(Iterations[[#This Row],[Step]] =current_step, current_Grad_e,IF(Iterations[[#This Row],[Step]] &gt; current_step, "",Iterations[[#This Row],[Grad_e]]))</f>
        <v/>
      </c>
    </row>
    <row r="1281" spans="6:18" x14ac:dyDescent="0.3">
      <c r="F1281" s="2">
        <f t="shared" si="25"/>
        <v>1264</v>
      </c>
      <c r="G1281" s="2" t="str">
        <f>IF(Iterations[[#This Row],[Step]] =current_step, current_a,IF(Iterations[[#This Row],[Step]] &gt; current_step, "",Iterations[[#This Row],[a]]))</f>
        <v/>
      </c>
      <c r="H1281" s="2" t="str">
        <f>IF(Iterations[[#This Row],[Step]] =current_step, current_b,IF(Iterations[[#This Row],[Step]] &gt; current_step, "",Iterations[[#This Row],[b]]))</f>
        <v/>
      </c>
      <c r="I1281" s="2" t="str">
        <f>IF(Iterations[[#This Row],[Step]] =current_step, current_c,IF(Iterations[[#This Row],[Step]] &gt; current_step, "",Iterations[[#This Row],[c]]))</f>
        <v/>
      </c>
      <c r="J1281" s="2" t="str">
        <f>IF(Iterations[[#This Row],[Step]] =current_step, current_d,IF(Iterations[[#This Row],[Step]] &gt; current_step, "",Iterations[[#This Row],[d]]))</f>
        <v/>
      </c>
      <c r="K1281" s="2" t="str">
        <f>IF(Iterations[[#This Row],[Step]] =current_step, current_e,IF(Iterations[[#This Row],[Step]] &gt; current_step, "",Iterations[[#This Row],[e]]))</f>
        <v/>
      </c>
      <c r="L1281" s="2" t="str">
        <f>IF(Iterations[[#This Row],[Step]] =current_step, current_Total_Loss,IF(Iterations[[#This Row],[Step]] &gt; current_step, "",Iterations[[#This Row],[Total Loss]]))</f>
        <v/>
      </c>
      <c r="M1281" s="6" t="s">
        <v>27</v>
      </c>
      <c r="N1281" s="2" t="str">
        <f>IF(Iterations[[#This Row],[Step]] =current_step, current_Grad_a,IF(Iterations[[#This Row],[Step]] &gt; current_step, "",Iterations[[#This Row],[Grad_a]]))</f>
        <v/>
      </c>
      <c r="O1281" s="2" t="str">
        <f>IF(Iterations[[#This Row],[Step]] =current_step, current_Grad_b,IF(Iterations[[#This Row],[Step]] &gt; current_step, "",Iterations[[#This Row],[Grad_b]]))</f>
        <v/>
      </c>
      <c r="P1281" s="2" t="str">
        <f>IF(Iterations[[#This Row],[Step]] =current_step, current_Grad_c,IF(Iterations[[#This Row],[Step]] &gt; current_step, "",Iterations[[#This Row],[Grad_c]]))</f>
        <v/>
      </c>
      <c r="Q1281" s="2" t="str">
        <f>IF(Iterations[[#This Row],[Step]] =current_step, current_Grad_d,IF(Iterations[[#This Row],[Step]] &gt; current_step, "",Iterations[[#This Row],[Grad_d]]))</f>
        <v/>
      </c>
      <c r="R1281" s="2" t="str">
        <f>IF(Iterations[[#This Row],[Step]] =current_step, current_Grad_e,IF(Iterations[[#This Row],[Step]] &gt; current_step, "",Iterations[[#This Row],[Grad_e]]))</f>
        <v/>
      </c>
    </row>
    <row r="1282" spans="6:18" x14ac:dyDescent="0.3">
      <c r="F1282" s="2">
        <f t="shared" si="25"/>
        <v>1265</v>
      </c>
      <c r="G1282" s="2" t="str">
        <f>IF(Iterations[[#This Row],[Step]] =current_step, current_a,IF(Iterations[[#This Row],[Step]] &gt; current_step, "",Iterations[[#This Row],[a]]))</f>
        <v/>
      </c>
      <c r="H1282" s="2" t="str">
        <f>IF(Iterations[[#This Row],[Step]] =current_step, current_b,IF(Iterations[[#This Row],[Step]] &gt; current_step, "",Iterations[[#This Row],[b]]))</f>
        <v/>
      </c>
      <c r="I1282" s="2" t="str">
        <f>IF(Iterations[[#This Row],[Step]] =current_step, current_c,IF(Iterations[[#This Row],[Step]] &gt; current_step, "",Iterations[[#This Row],[c]]))</f>
        <v/>
      </c>
      <c r="J1282" s="2" t="str">
        <f>IF(Iterations[[#This Row],[Step]] =current_step, current_d,IF(Iterations[[#This Row],[Step]] &gt; current_step, "",Iterations[[#This Row],[d]]))</f>
        <v/>
      </c>
      <c r="K1282" s="2" t="str">
        <f>IF(Iterations[[#This Row],[Step]] =current_step, current_e,IF(Iterations[[#This Row],[Step]] &gt; current_step, "",Iterations[[#This Row],[e]]))</f>
        <v/>
      </c>
      <c r="L1282" s="2" t="str">
        <f>IF(Iterations[[#This Row],[Step]] =current_step, current_Total_Loss,IF(Iterations[[#This Row],[Step]] &gt; current_step, "",Iterations[[#This Row],[Total Loss]]))</f>
        <v/>
      </c>
      <c r="M1282" s="6" t="s">
        <v>27</v>
      </c>
      <c r="N1282" s="2" t="str">
        <f>IF(Iterations[[#This Row],[Step]] =current_step, current_Grad_a,IF(Iterations[[#This Row],[Step]] &gt; current_step, "",Iterations[[#This Row],[Grad_a]]))</f>
        <v/>
      </c>
      <c r="O1282" s="2" t="str">
        <f>IF(Iterations[[#This Row],[Step]] =current_step, current_Grad_b,IF(Iterations[[#This Row],[Step]] &gt; current_step, "",Iterations[[#This Row],[Grad_b]]))</f>
        <v/>
      </c>
      <c r="P1282" s="2" t="str">
        <f>IF(Iterations[[#This Row],[Step]] =current_step, current_Grad_c,IF(Iterations[[#This Row],[Step]] &gt; current_step, "",Iterations[[#This Row],[Grad_c]]))</f>
        <v/>
      </c>
      <c r="Q1282" s="2" t="str">
        <f>IF(Iterations[[#This Row],[Step]] =current_step, current_Grad_d,IF(Iterations[[#This Row],[Step]] &gt; current_step, "",Iterations[[#This Row],[Grad_d]]))</f>
        <v/>
      </c>
      <c r="R1282" s="2" t="str">
        <f>IF(Iterations[[#This Row],[Step]] =current_step, current_Grad_e,IF(Iterations[[#This Row],[Step]] &gt; current_step, "",Iterations[[#This Row],[Grad_e]]))</f>
        <v/>
      </c>
    </row>
    <row r="1283" spans="6:18" x14ac:dyDescent="0.3">
      <c r="F1283" s="2">
        <f t="shared" si="25"/>
        <v>1266</v>
      </c>
      <c r="G1283" s="2" t="str">
        <f>IF(Iterations[[#This Row],[Step]] =current_step, current_a,IF(Iterations[[#This Row],[Step]] &gt; current_step, "",Iterations[[#This Row],[a]]))</f>
        <v/>
      </c>
      <c r="H1283" s="2" t="str">
        <f>IF(Iterations[[#This Row],[Step]] =current_step, current_b,IF(Iterations[[#This Row],[Step]] &gt; current_step, "",Iterations[[#This Row],[b]]))</f>
        <v/>
      </c>
      <c r="I1283" s="2" t="str">
        <f>IF(Iterations[[#This Row],[Step]] =current_step, current_c,IF(Iterations[[#This Row],[Step]] &gt; current_step, "",Iterations[[#This Row],[c]]))</f>
        <v/>
      </c>
      <c r="J1283" s="2" t="str">
        <f>IF(Iterations[[#This Row],[Step]] =current_step, current_d,IF(Iterations[[#This Row],[Step]] &gt; current_step, "",Iterations[[#This Row],[d]]))</f>
        <v/>
      </c>
      <c r="K1283" s="2" t="str">
        <f>IF(Iterations[[#This Row],[Step]] =current_step, current_e,IF(Iterations[[#This Row],[Step]] &gt; current_step, "",Iterations[[#This Row],[e]]))</f>
        <v/>
      </c>
      <c r="L1283" s="2" t="str">
        <f>IF(Iterations[[#This Row],[Step]] =current_step, current_Total_Loss,IF(Iterations[[#This Row],[Step]] &gt; current_step, "",Iterations[[#This Row],[Total Loss]]))</f>
        <v/>
      </c>
      <c r="M1283" s="6" t="s">
        <v>27</v>
      </c>
      <c r="N1283" s="2" t="str">
        <f>IF(Iterations[[#This Row],[Step]] =current_step, current_Grad_a,IF(Iterations[[#This Row],[Step]] &gt; current_step, "",Iterations[[#This Row],[Grad_a]]))</f>
        <v/>
      </c>
      <c r="O1283" s="2" t="str">
        <f>IF(Iterations[[#This Row],[Step]] =current_step, current_Grad_b,IF(Iterations[[#This Row],[Step]] &gt; current_step, "",Iterations[[#This Row],[Grad_b]]))</f>
        <v/>
      </c>
      <c r="P1283" s="2" t="str">
        <f>IF(Iterations[[#This Row],[Step]] =current_step, current_Grad_c,IF(Iterations[[#This Row],[Step]] &gt; current_step, "",Iterations[[#This Row],[Grad_c]]))</f>
        <v/>
      </c>
      <c r="Q1283" s="2" t="str">
        <f>IF(Iterations[[#This Row],[Step]] =current_step, current_Grad_d,IF(Iterations[[#This Row],[Step]] &gt; current_step, "",Iterations[[#This Row],[Grad_d]]))</f>
        <v/>
      </c>
      <c r="R1283" s="2" t="str">
        <f>IF(Iterations[[#This Row],[Step]] =current_step, current_Grad_e,IF(Iterations[[#This Row],[Step]] &gt; current_step, "",Iterations[[#This Row],[Grad_e]]))</f>
        <v/>
      </c>
    </row>
    <row r="1284" spans="6:18" x14ac:dyDescent="0.3">
      <c r="F1284" s="2">
        <f t="shared" si="25"/>
        <v>1267</v>
      </c>
      <c r="G1284" s="2" t="str">
        <f>IF(Iterations[[#This Row],[Step]] =current_step, current_a,IF(Iterations[[#This Row],[Step]] &gt; current_step, "",Iterations[[#This Row],[a]]))</f>
        <v/>
      </c>
      <c r="H1284" s="2" t="str">
        <f>IF(Iterations[[#This Row],[Step]] =current_step, current_b,IF(Iterations[[#This Row],[Step]] &gt; current_step, "",Iterations[[#This Row],[b]]))</f>
        <v/>
      </c>
      <c r="I1284" s="2" t="str">
        <f>IF(Iterations[[#This Row],[Step]] =current_step, current_c,IF(Iterations[[#This Row],[Step]] &gt; current_step, "",Iterations[[#This Row],[c]]))</f>
        <v/>
      </c>
      <c r="J1284" s="2" t="str">
        <f>IF(Iterations[[#This Row],[Step]] =current_step, current_d,IF(Iterations[[#This Row],[Step]] &gt; current_step, "",Iterations[[#This Row],[d]]))</f>
        <v/>
      </c>
      <c r="K1284" s="2" t="str">
        <f>IF(Iterations[[#This Row],[Step]] =current_step, current_e,IF(Iterations[[#This Row],[Step]] &gt; current_step, "",Iterations[[#This Row],[e]]))</f>
        <v/>
      </c>
      <c r="L1284" s="2" t="str">
        <f>IF(Iterations[[#This Row],[Step]] =current_step, current_Total_Loss,IF(Iterations[[#This Row],[Step]] &gt; current_step, "",Iterations[[#This Row],[Total Loss]]))</f>
        <v/>
      </c>
      <c r="M1284" s="6" t="s">
        <v>27</v>
      </c>
      <c r="N1284" s="2" t="str">
        <f>IF(Iterations[[#This Row],[Step]] =current_step, current_Grad_a,IF(Iterations[[#This Row],[Step]] &gt; current_step, "",Iterations[[#This Row],[Grad_a]]))</f>
        <v/>
      </c>
      <c r="O1284" s="2" t="str">
        <f>IF(Iterations[[#This Row],[Step]] =current_step, current_Grad_b,IF(Iterations[[#This Row],[Step]] &gt; current_step, "",Iterations[[#This Row],[Grad_b]]))</f>
        <v/>
      </c>
      <c r="P1284" s="2" t="str">
        <f>IF(Iterations[[#This Row],[Step]] =current_step, current_Grad_c,IF(Iterations[[#This Row],[Step]] &gt; current_step, "",Iterations[[#This Row],[Grad_c]]))</f>
        <v/>
      </c>
      <c r="Q1284" s="2" t="str">
        <f>IF(Iterations[[#This Row],[Step]] =current_step, current_Grad_d,IF(Iterations[[#This Row],[Step]] &gt; current_step, "",Iterations[[#This Row],[Grad_d]]))</f>
        <v/>
      </c>
      <c r="R1284" s="2" t="str">
        <f>IF(Iterations[[#This Row],[Step]] =current_step, current_Grad_e,IF(Iterations[[#This Row],[Step]] &gt; current_step, "",Iterations[[#This Row],[Grad_e]]))</f>
        <v/>
      </c>
    </row>
    <row r="1285" spans="6:18" x14ac:dyDescent="0.3">
      <c r="F1285" s="2">
        <f t="shared" si="25"/>
        <v>1268</v>
      </c>
      <c r="G1285" s="2" t="str">
        <f>IF(Iterations[[#This Row],[Step]] =current_step, current_a,IF(Iterations[[#This Row],[Step]] &gt; current_step, "",Iterations[[#This Row],[a]]))</f>
        <v/>
      </c>
      <c r="H1285" s="2" t="str">
        <f>IF(Iterations[[#This Row],[Step]] =current_step, current_b,IF(Iterations[[#This Row],[Step]] &gt; current_step, "",Iterations[[#This Row],[b]]))</f>
        <v/>
      </c>
      <c r="I1285" s="2" t="str">
        <f>IF(Iterations[[#This Row],[Step]] =current_step, current_c,IF(Iterations[[#This Row],[Step]] &gt; current_step, "",Iterations[[#This Row],[c]]))</f>
        <v/>
      </c>
      <c r="J1285" s="2" t="str">
        <f>IF(Iterations[[#This Row],[Step]] =current_step, current_d,IF(Iterations[[#This Row],[Step]] &gt; current_step, "",Iterations[[#This Row],[d]]))</f>
        <v/>
      </c>
      <c r="K1285" s="2" t="str">
        <f>IF(Iterations[[#This Row],[Step]] =current_step, current_e,IF(Iterations[[#This Row],[Step]] &gt; current_step, "",Iterations[[#This Row],[e]]))</f>
        <v/>
      </c>
      <c r="L1285" s="2" t="str">
        <f>IF(Iterations[[#This Row],[Step]] =current_step, current_Total_Loss,IF(Iterations[[#This Row],[Step]] &gt; current_step, "",Iterations[[#This Row],[Total Loss]]))</f>
        <v/>
      </c>
      <c r="M1285" s="6" t="s">
        <v>27</v>
      </c>
      <c r="N1285" s="2" t="str">
        <f>IF(Iterations[[#This Row],[Step]] =current_step, current_Grad_a,IF(Iterations[[#This Row],[Step]] &gt; current_step, "",Iterations[[#This Row],[Grad_a]]))</f>
        <v/>
      </c>
      <c r="O1285" s="2" t="str">
        <f>IF(Iterations[[#This Row],[Step]] =current_step, current_Grad_b,IF(Iterations[[#This Row],[Step]] &gt; current_step, "",Iterations[[#This Row],[Grad_b]]))</f>
        <v/>
      </c>
      <c r="P1285" s="2" t="str">
        <f>IF(Iterations[[#This Row],[Step]] =current_step, current_Grad_c,IF(Iterations[[#This Row],[Step]] &gt; current_step, "",Iterations[[#This Row],[Grad_c]]))</f>
        <v/>
      </c>
      <c r="Q1285" s="2" t="str">
        <f>IF(Iterations[[#This Row],[Step]] =current_step, current_Grad_d,IF(Iterations[[#This Row],[Step]] &gt; current_step, "",Iterations[[#This Row],[Grad_d]]))</f>
        <v/>
      </c>
      <c r="R1285" s="2" t="str">
        <f>IF(Iterations[[#This Row],[Step]] =current_step, current_Grad_e,IF(Iterations[[#This Row],[Step]] &gt; current_step, "",Iterations[[#This Row],[Grad_e]]))</f>
        <v/>
      </c>
    </row>
    <row r="1286" spans="6:18" x14ac:dyDescent="0.3">
      <c r="F1286" s="2">
        <f t="shared" si="25"/>
        <v>1269</v>
      </c>
      <c r="G1286" s="2" t="str">
        <f>IF(Iterations[[#This Row],[Step]] =current_step, current_a,IF(Iterations[[#This Row],[Step]] &gt; current_step, "",Iterations[[#This Row],[a]]))</f>
        <v/>
      </c>
      <c r="H1286" s="2" t="str">
        <f>IF(Iterations[[#This Row],[Step]] =current_step, current_b,IF(Iterations[[#This Row],[Step]] &gt; current_step, "",Iterations[[#This Row],[b]]))</f>
        <v/>
      </c>
      <c r="I1286" s="2" t="str">
        <f>IF(Iterations[[#This Row],[Step]] =current_step, current_c,IF(Iterations[[#This Row],[Step]] &gt; current_step, "",Iterations[[#This Row],[c]]))</f>
        <v/>
      </c>
      <c r="J1286" s="2" t="str">
        <f>IF(Iterations[[#This Row],[Step]] =current_step, current_d,IF(Iterations[[#This Row],[Step]] &gt; current_step, "",Iterations[[#This Row],[d]]))</f>
        <v/>
      </c>
      <c r="K1286" s="2" t="str">
        <f>IF(Iterations[[#This Row],[Step]] =current_step, current_e,IF(Iterations[[#This Row],[Step]] &gt; current_step, "",Iterations[[#This Row],[e]]))</f>
        <v/>
      </c>
      <c r="L1286" s="2" t="str">
        <f>IF(Iterations[[#This Row],[Step]] =current_step, current_Total_Loss,IF(Iterations[[#This Row],[Step]] &gt; current_step, "",Iterations[[#This Row],[Total Loss]]))</f>
        <v/>
      </c>
      <c r="M1286" s="6" t="s">
        <v>27</v>
      </c>
      <c r="N1286" s="2" t="str">
        <f>IF(Iterations[[#This Row],[Step]] =current_step, current_Grad_a,IF(Iterations[[#This Row],[Step]] &gt; current_step, "",Iterations[[#This Row],[Grad_a]]))</f>
        <v/>
      </c>
      <c r="O1286" s="2" t="str">
        <f>IF(Iterations[[#This Row],[Step]] =current_step, current_Grad_b,IF(Iterations[[#This Row],[Step]] &gt; current_step, "",Iterations[[#This Row],[Grad_b]]))</f>
        <v/>
      </c>
      <c r="P1286" s="2" t="str">
        <f>IF(Iterations[[#This Row],[Step]] =current_step, current_Grad_c,IF(Iterations[[#This Row],[Step]] &gt; current_step, "",Iterations[[#This Row],[Grad_c]]))</f>
        <v/>
      </c>
      <c r="Q1286" s="2" t="str">
        <f>IF(Iterations[[#This Row],[Step]] =current_step, current_Grad_d,IF(Iterations[[#This Row],[Step]] &gt; current_step, "",Iterations[[#This Row],[Grad_d]]))</f>
        <v/>
      </c>
      <c r="R1286" s="2" t="str">
        <f>IF(Iterations[[#This Row],[Step]] =current_step, current_Grad_e,IF(Iterations[[#This Row],[Step]] &gt; current_step, "",Iterations[[#This Row],[Grad_e]]))</f>
        <v/>
      </c>
    </row>
    <row r="1287" spans="6:18" x14ac:dyDescent="0.3">
      <c r="F1287" s="2">
        <f t="shared" si="25"/>
        <v>1270</v>
      </c>
      <c r="G1287" s="2" t="str">
        <f>IF(Iterations[[#This Row],[Step]] =current_step, current_a,IF(Iterations[[#This Row],[Step]] &gt; current_step, "",Iterations[[#This Row],[a]]))</f>
        <v/>
      </c>
      <c r="H1287" s="2" t="str">
        <f>IF(Iterations[[#This Row],[Step]] =current_step, current_b,IF(Iterations[[#This Row],[Step]] &gt; current_step, "",Iterations[[#This Row],[b]]))</f>
        <v/>
      </c>
      <c r="I1287" s="2" t="str">
        <f>IF(Iterations[[#This Row],[Step]] =current_step, current_c,IF(Iterations[[#This Row],[Step]] &gt; current_step, "",Iterations[[#This Row],[c]]))</f>
        <v/>
      </c>
      <c r="J1287" s="2" t="str">
        <f>IF(Iterations[[#This Row],[Step]] =current_step, current_d,IF(Iterations[[#This Row],[Step]] &gt; current_step, "",Iterations[[#This Row],[d]]))</f>
        <v/>
      </c>
      <c r="K1287" s="2" t="str">
        <f>IF(Iterations[[#This Row],[Step]] =current_step, current_e,IF(Iterations[[#This Row],[Step]] &gt; current_step, "",Iterations[[#This Row],[e]]))</f>
        <v/>
      </c>
      <c r="L1287" s="2" t="str">
        <f>IF(Iterations[[#This Row],[Step]] =current_step, current_Total_Loss,IF(Iterations[[#This Row],[Step]] &gt; current_step, "",Iterations[[#This Row],[Total Loss]]))</f>
        <v/>
      </c>
      <c r="M1287" s="6" t="s">
        <v>27</v>
      </c>
      <c r="N1287" s="2" t="str">
        <f>IF(Iterations[[#This Row],[Step]] =current_step, current_Grad_a,IF(Iterations[[#This Row],[Step]] &gt; current_step, "",Iterations[[#This Row],[Grad_a]]))</f>
        <v/>
      </c>
      <c r="O1287" s="2" t="str">
        <f>IF(Iterations[[#This Row],[Step]] =current_step, current_Grad_b,IF(Iterations[[#This Row],[Step]] &gt; current_step, "",Iterations[[#This Row],[Grad_b]]))</f>
        <v/>
      </c>
      <c r="P1287" s="2" t="str">
        <f>IF(Iterations[[#This Row],[Step]] =current_step, current_Grad_c,IF(Iterations[[#This Row],[Step]] &gt; current_step, "",Iterations[[#This Row],[Grad_c]]))</f>
        <v/>
      </c>
      <c r="Q1287" s="2" t="str">
        <f>IF(Iterations[[#This Row],[Step]] =current_step, current_Grad_d,IF(Iterations[[#This Row],[Step]] &gt; current_step, "",Iterations[[#This Row],[Grad_d]]))</f>
        <v/>
      </c>
      <c r="R1287" s="2" t="str">
        <f>IF(Iterations[[#This Row],[Step]] =current_step, current_Grad_e,IF(Iterations[[#This Row],[Step]] &gt; current_step, "",Iterations[[#This Row],[Grad_e]]))</f>
        <v/>
      </c>
    </row>
    <row r="1288" spans="6:18" x14ac:dyDescent="0.3">
      <c r="F1288" s="2">
        <f t="shared" si="25"/>
        <v>1271</v>
      </c>
      <c r="G1288" s="2" t="str">
        <f>IF(Iterations[[#This Row],[Step]] =current_step, current_a,IF(Iterations[[#This Row],[Step]] &gt; current_step, "",Iterations[[#This Row],[a]]))</f>
        <v/>
      </c>
      <c r="H1288" s="2" t="str">
        <f>IF(Iterations[[#This Row],[Step]] =current_step, current_b,IF(Iterations[[#This Row],[Step]] &gt; current_step, "",Iterations[[#This Row],[b]]))</f>
        <v/>
      </c>
      <c r="I1288" s="2" t="str">
        <f>IF(Iterations[[#This Row],[Step]] =current_step, current_c,IF(Iterations[[#This Row],[Step]] &gt; current_step, "",Iterations[[#This Row],[c]]))</f>
        <v/>
      </c>
      <c r="J1288" s="2" t="str">
        <f>IF(Iterations[[#This Row],[Step]] =current_step, current_d,IF(Iterations[[#This Row],[Step]] &gt; current_step, "",Iterations[[#This Row],[d]]))</f>
        <v/>
      </c>
      <c r="K1288" s="2" t="str">
        <f>IF(Iterations[[#This Row],[Step]] =current_step, current_e,IF(Iterations[[#This Row],[Step]] &gt; current_step, "",Iterations[[#This Row],[e]]))</f>
        <v/>
      </c>
      <c r="L1288" s="2" t="str">
        <f>IF(Iterations[[#This Row],[Step]] =current_step, current_Total_Loss,IF(Iterations[[#This Row],[Step]] &gt; current_step, "",Iterations[[#This Row],[Total Loss]]))</f>
        <v/>
      </c>
      <c r="M1288" s="6" t="s">
        <v>27</v>
      </c>
      <c r="N1288" s="2" t="str">
        <f>IF(Iterations[[#This Row],[Step]] =current_step, current_Grad_a,IF(Iterations[[#This Row],[Step]] &gt; current_step, "",Iterations[[#This Row],[Grad_a]]))</f>
        <v/>
      </c>
      <c r="O1288" s="2" t="str">
        <f>IF(Iterations[[#This Row],[Step]] =current_step, current_Grad_b,IF(Iterations[[#This Row],[Step]] &gt; current_step, "",Iterations[[#This Row],[Grad_b]]))</f>
        <v/>
      </c>
      <c r="P1288" s="2" t="str">
        <f>IF(Iterations[[#This Row],[Step]] =current_step, current_Grad_c,IF(Iterations[[#This Row],[Step]] &gt; current_step, "",Iterations[[#This Row],[Grad_c]]))</f>
        <v/>
      </c>
      <c r="Q1288" s="2" t="str">
        <f>IF(Iterations[[#This Row],[Step]] =current_step, current_Grad_d,IF(Iterations[[#This Row],[Step]] &gt; current_step, "",Iterations[[#This Row],[Grad_d]]))</f>
        <v/>
      </c>
      <c r="R1288" s="2" t="str">
        <f>IF(Iterations[[#This Row],[Step]] =current_step, current_Grad_e,IF(Iterations[[#This Row],[Step]] &gt; current_step, "",Iterations[[#This Row],[Grad_e]]))</f>
        <v/>
      </c>
    </row>
    <row r="1289" spans="6:18" x14ac:dyDescent="0.3">
      <c r="F1289" s="2">
        <f t="shared" si="25"/>
        <v>1272</v>
      </c>
      <c r="G1289" s="2" t="str">
        <f>IF(Iterations[[#This Row],[Step]] =current_step, current_a,IF(Iterations[[#This Row],[Step]] &gt; current_step, "",Iterations[[#This Row],[a]]))</f>
        <v/>
      </c>
      <c r="H1289" s="2" t="str">
        <f>IF(Iterations[[#This Row],[Step]] =current_step, current_b,IF(Iterations[[#This Row],[Step]] &gt; current_step, "",Iterations[[#This Row],[b]]))</f>
        <v/>
      </c>
      <c r="I1289" s="2" t="str">
        <f>IF(Iterations[[#This Row],[Step]] =current_step, current_c,IF(Iterations[[#This Row],[Step]] &gt; current_step, "",Iterations[[#This Row],[c]]))</f>
        <v/>
      </c>
      <c r="J1289" s="2" t="str">
        <f>IF(Iterations[[#This Row],[Step]] =current_step, current_d,IF(Iterations[[#This Row],[Step]] &gt; current_step, "",Iterations[[#This Row],[d]]))</f>
        <v/>
      </c>
      <c r="K1289" s="2" t="str">
        <f>IF(Iterations[[#This Row],[Step]] =current_step, current_e,IF(Iterations[[#This Row],[Step]] &gt; current_step, "",Iterations[[#This Row],[e]]))</f>
        <v/>
      </c>
      <c r="L1289" s="2" t="str">
        <f>IF(Iterations[[#This Row],[Step]] =current_step, current_Total_Loss,IF(Iterations[[#This Row],[Step]] &gt; current_step, "",Iterations[[#This Row],[Total Loss]]))</f>
        <v/>
      </c>
      <c r="M1289" s="6" t="s">
        <v>27</v>
      </c>
      <c r="N1289" s="2" t="str">
        <f>IF(Iterations[[#This Row],[Step]] =current_step, current_Grad_a,IF(Iterations[[#This Row],[Step]] &gt; current_step, "",Iterations[[#This Row],[Grad_a]]))</f>
        <v/>
      </c>
      <c r="O1289" s="2" t="str">
        <f>IF(Iterations[[#This Row],[Step]] =current_step, current_Grad_b,IF(Iterations[[#This Row],[Step]] &gt; current_step, "",Iterations[[#This Row],[Grad_b]]))</f>
        <v/>
      </c>
      <c r="P1289" s="2" t="str">
        <f>IF(Iterations[[#This Row],[Step]] =current_step, current_Grad_c,IF(Iterations[[#This Row],[Step]] &gt; current_step, "",Iterations[[#This Row],[Grad_c]]))</f>
        <v/>
      </c>
      <c r="Q1289" s="2" t="str">
        <f>IF(Iterations[[#This Row],[Step]] =current_step, current_Grad_d,IF(Iterations[[#This Row],[Step]] &gt; current_step, "",Iterations[[#This Row],[Grad_d]]))</f>
        <v/>
      </c>
      <c r="R1289" s="2" t="str">
        <f>IF(Iterations[[#This Row],[Step]] =current_step, current_Grad_e,IF(Iterations[[#This Row],[Step]] &gt; current_step, "",Iterations[[#This Row],[Grad_e]]))</f>
        <v/>
      </c>
    </row>
    <row r="1290" spans="6:18" x14ac:dyDescent="0.3">
      <c r="F1290" s="2">
        <f t="shared" si="25"/>
        <v>1273</v>
      </c>
      <c r="G1290" s="2" t="str">
        <f>IF(Iterations[[#This Row],[Step]] =current_step, current_a,IF(Iterations[[#This Row],[Step]] &gt; current_step, "",Iterations[[#This Row],[a]]))</f>
        <v/>
      </c>
      <c r="H1290" s="2" t="str">
        <f>IF(Iterations[[#This Row],[Step]] =current_step, current_b,IF(Iterations[[#This Row],[Step]] &gt; current_step, "",Iterations[[#This Row],[b]]))</f>
        <v/>
      </c>
      <c r="I1290" s="2" t="str">
        <f>IF(Iterations[[#This Row],[Step]] =current_step, current_c,IF(Iterations[[#This Row],[Step]] &gt; current_step, "",Iterations[[#This Row],[c]]))</f>
        <v/>
      </c>
      <c r="J1290" s="2" t="str">
        <f>IF(Iterations[[#This Row],[Step]] =current_step, current_d,IF(Iterations[[#This Row],[Step]] &gt; current_step, "",Iterations[[#This Row],[d]]))</f>
        <v/>
      </c>
      <c r="K1290" s="2" t="str">
        <f>IF(Iterations[[#This Row],[Step]] =current_step, current_e,IF(Iterations[[#This Row],[Step]] &gt; current_step, "",Iterations[[#This Row],[e]]))</f>
        <v/>
      </c>
      <c r="L1290" s="2" t="str">
        <f>IF(Iterations[[#This Row],[Step]] =current_step, current_Total_Loss,IF(Iterations[[#This Row],[Step]] &gt; current_step, "",Iterations[[#This Row],[Total Loss]]))</f>
        <v/>
      </c>
      <c r="M1290" s="6" t="s">
        <v>27</v>
      </c>
      <c r="N1290" s="2" t="str">
        <f>IF(Iterations[[#This Row],[Step]] =current_step, current_Grad_a,IF(Iterations[[#This Row],[Step]] &gt; current_step, "",Iterations[[#This Row],[Grad_a]]))</f>
        <v/>
      </c>
      <c r="O1290" s="2" t="str">
        <f>IF(Iterations[[#This Row],[Step]] =current_step, current_Grad_b,IF(Iterations[[#This Row],[Step]] &gt; current_step, "",Iterations[[#This Row],[Grad_b]]))</f>
        <v/>
      </c>
      <c r="P1290" s="2" t="str">
        <f>IF(Iterations[[#This Row],[Step]] =current_step, current_Grad_c,IF(Iterations[[#This Row],[Step]] &gt; current_step, "",Iterations[[#This Row],[Grad_c]]))</f>
        <v/>
      </c>
      <c r="Q1290" s="2" t="str">
        <f>IF(Iterations[[#This Row],[Step]] =current_step, current_Grad_d,IF(Iterations[[#This Row],[Step]] &gt; current_step, "",Iterations[[#This Row],[Grad_d]]))</f>
        <v/>
      </c>
      <c r="R1290" s="2" t="str">
        <f>IF(Iterations[[#This Row],[Step]] =current_step, current_Grad_e,IF(Iterations[[#This Row],[Step]] &gt; current_step, "",Iterations[[#This Row],[Grad_e]]))</f>
        <v/>
      </c>
    </row>
    <row r="1291" spans="6:18" x14ac:dyDescent="0.3">
      <c r="F1291" s="2">
        <f t="shared" si="25"/>
        <v>1274</v>
      </c>
      <c r="G1291" s="2" t="str">
        <f>IF(Iterations[[#This Row],[Step]] =current_step, current_a,IF(Iterations[[#This Row],[Step]] &gt; current_step, "",Iterations[[#This Row],[a]]))</f>
        <v/>
      </c>
      <c r="H1291" s="2" t="str">
        <f>IF(Iterations[[#This Row],[Step]] =current_step, current_b,IF(Iterations[[#This Row],[Step]] &gt; current_step, "",Iterations[[#This Row],[b]]))</f>
        <v/>
      </c>
      <c r="I1291" s="2" t="str">
        <f>IF(Iterations[[#This Row],[Step]] =current_step, current_c,IF(Iterations[[#This Row],[Step]] &gt; current_step, "",Iterations[[#This Row],[c]]))</f>
        <v/>
      </c>
      <c r="J1291" s="2" t="str">
        <f>IF(Iterations[[#This Row],[Step]] =current_step, current_d,IF(Iterations[[#This Row],[Step]] &gt; current_step, "",Iterations[[#This Row],[d]]))</f>
        <v/>
      </c>
      <c r="K1291" s="2" t="str">
        <f>IF(Iterations[[#This Row],[Step]] =current_step, current_e,IF(Iterations[[#This Row],[Step]] &gt; current_step, "",Iterations[[#This Row],[e]]))</f>
        <v/>
      </c>
      <c r="L1291" s="2" t="str">
        <f>IF(Iterations[[#This Row],[Step]] =current_step, current_Total_Loss,IF(Iterations[[#This Row],[Step]] &gt; current_step, "",Iterations[[#This Row],[Total Loss]]))</f>
        <v/>
      </c>
      <c r="M1291" s="6" t="s">
        <v>27</v>
      </c>
      <c r="N1291" s="2" t="str">
        <f>IF(Iterations[[#This Row],[Step]] =current_step, current_Grad_a,IF(Iterations[[#This Row],[Step]] &gt; current_step, "",Iterations[[#This Row],[Grad_a]]))</f>
        <v/>
      </c>
      <c r="O1291" s="2" t="str">
        <f>IF(Iterations[[#This Row],[Step]] =current_step, current_Grad_b,IF(Iterations[[#This Row],[Step]] &gt; current_step, "",Iterations[[#This Row],[Grad_b]]))</f>
        <v/>
      </c>
      <c r="P1291" s="2" t="str">
        <f>IF(Iterations[[#This Row],[Step]] =current_step, current_Grad_c,IF(Iterations[[#This Row],[Step]] &gt; current_step, "",Iterations[[#This Row],[Grad_c]]))</f>
        <v/>
      </c>
      <c r="Q1291" s="2" t="str">
        <f>IF(Iterations[[#This Row],[Step]] =current_step, current_Grad_d,IF(Iterations[[#This Row],[Step]] &gt; current_step, "",Iterations[[#This Row],[Grad_d]]))</f>
        <v/>
      </c>
      <c r="R1291" s="2" t="str">
        <f>IF(Iterations[[#This Row],[Step]] =current_step, current_Grad_e,IF(Iterations[[#This Row],[Step]] &gt; current_step, "",Iterations[[#This Row],[Grad_e]]))</f>
        <v/>
      </c>
    </row>
    <row r="1292" spans="6:18" x14ac:dyDescent="0.3">
      <c r="F1292" s="2">
        <f t="shared" si="25"/>
        <v>1275</v>
      </c>
      <c r="G1292" s="2" t="str">
        <f>IF(Iterations[[#This Row],[Step]] =current_step, current_a,IF(Iterations[[#This Row],[Step]] &gt; current_step, "",Iterations[[#This Row],[a]]))</f>
        <v/>
      </c>
      <c r="H1292" s="2" t="str">
        <f>IF(Iterations[[#This Row],[Step]] =current_step, current_b,IF(Iterations[[#This Row],[Step]] &gt; current_step, "",Iterations[[#This Row],[b]]))</f>
        <v/>
      </c>
      <c r="I1292" s="2" t="str">
        <f>IF(Iterations[[#This Row],[Step]] =current_step, current_c,IF(Iterations[[#This Row],[Step]] &gt; current_step, "",Iterations[[#This Row],[c]]))</f>
        <v/>
      </c>
      <c r="J1292" s="2" t="str">
        <f>IF(Iterations[[#This Row],[Step]] =current_step, current_d,IF(Iterations[[#This Row],[Step]] &gt; current_step, "",Iterations[[#This Row],[d]]))</f>
        <v/>
      </c>
      <c r="K1292" s="2" t="str">
        <f>IF(Iterations[[#This Row],[Step]] =current_step, current_e,IF(Iterations[[#This Row],[Step]] &gt; current_step, "",Iterations[[#This Row],[e]]))</f>
        <v/>
      </c>
      <c r="L1292" s="2" t="str">
        <f>IF(Iterations[[#This Row],[Step]] =current_step, current_Total_Loss,IF(Iterations[[#This Row],[Step]] &gt; current_step, "",Iterations[[#This Row],[Total Loss]]))</f>
        <v/>
      </c>
      <c r="M1292" s="6" t="s">
        <v>27</v>
      </c>
      <c r="N1292" s="2" t="str">
        <f>IF(Iterations[[#This Row],[Step]] =current_step, current_Grad_a,IF(Iterations[[#This Row],[Step]] &gt; current_step, "",Iterations[[#This Row],[Grad_a]]))</f>
        <v/>
      </c>
      <c r="O1292" s="2" t="str">
        <f>IF(Iterations[[#This Row],[Step]] =current_step, current_Grad_b,IF(Iterations[[#This Row],[Step]] &gt; current_step, "",Iterations[[#This Row],[Grad_b]]))</f>
        <v/>
      </c>
      <c r="P1292" s="2" t="str">
        <f>IF(Iterations[[#This Row],[Step]] =current_step, current_Grad_c,IF(Iterations[[#This Row],[Step]] &gt; current_step, "",Iterations[[#This Row],[Grad_c]]))</f>
        <v/>
      </c>
      <c r="Q1292" s="2" t="str">
        <f>IF(Iterations[[#This Row],[Step]] =current_step, current_Grad_d,IF(Iterations[[#This Row],[Step]] &gt; current_step, "",Iterations[[#This Row],[Grad_d]]))</f>
        <v/>
      </c>
      <c r="R1292" s="2" t="str">
        <f>IF(Iterations[[#This Row],[Step]] =current_step, current_Grad_e,IF(Iterations[[#This Row],[Step]] &gt; current_step, "",Iterations[[#This Row],[Grad_e]]))</f>
        <v/>
      </c>
    </row>
    <row r="1293" spans="6:18" x14ac:dyDescent="0.3">
      <c r="F1293" s="2">
        <f t="shared" si="25"/>
        <v>1276</v>
      </c>
      <c r="G1293" s="2" t="str">
        <f>IF(Iterations[[#This Row],[Step]] =current_step, current_a,IF(Iterations[[#This Row],[Step]] &gt; current_step, "",Iterations[[#This Row],[a]]))</f>
        <v/>
      </c>
      <c r="H1293" s="2" t="str">
        <f>IF(Iterations[[#This Row],[Step]] =current_step, current_b,IF(Iterations[[#This Row],[Step]] &gt; current_step, "",Iterations[[#This Row],[b]]))</f>
        <v/>
      </c>
      <c r="I1293" s="2" t="str">
        <f>IF(Iterations[[#This Row],[Step]] =current_step, current_c,IF(Iterations[[#This Row],[Step]] &gt; current_step, "",Iterations[[#This Row],[c]]))</f>
        <v/>
      </c>
      <c r="J1293" s="2" t="str">
        <f>IF(Iterations[[#This Row],[Step]] =current_step, current_d,IF(Iterations[[#This Row],[Step]] &gt; current_step, "",Iterations[[#This Row],[d]]))</f>
        <v/>
      </c>
      <c r="K1293" s="2" t="str">
        <f>IF(Iterations[[#This Row],[Step]] =current_step, current_e,IF(Iterations[[#This Row],[Step]] &gt; current_step, "",Iterations[[#This Row],[e]]))</f>
        <v/>
      </c>
      <c r="L1293" s="2" t="str">
        <f>IF(Iterations[[#This Row],[Step]] =current_step, current_Total_Loss,IF(Iterations[[#This Row],[Step]] &gt; current_step, "",Iterations[[#This Row],[Total Loss]]))</f>
        <v/>
      </c>
      <c r="M1293" s="6" t="s">
        <v>27</v>
      </c>
      <c r="N1293" s="2" t="str">
        <f>IF(Iterations[[#This Row],[Step]] =current_step, current_Grad_a,IF(Iterations[[#This Row],[Step]] &gt; current_step, "",Iterations[[#This Row],[Grad_a]]))</f>
        <v/>
      </c>
      <c r="O1293" s="2" t="str">
        <f>IF(Iterations[[#This Row],[Step]] =current_step, current_Grad_b,IF(Iterations[[#This Row],[Step]] &gt; current_step, "",Iterations[[#This Row],[Grad_b]]))</f>
        <v/>
      </c>
      <c r="P1293" s="2" t="str">
        <f>IF(Iterations[[#This Row],[Step]] =current_step, current_Grad_c,IF(Iterations[[#This Row],[Step]] &gt; current_step, "",Iterations[[#This Row],[Grad_c]]))</f>
        <v/>
      </c>
      <c r="Q1293" s="2" t="str">
        <f>IF(Iterations[[#This Row],[Step]] =current_step, current_Grad_d,IF(Iterations[[#This Row],[Step]] &gt; current_step, "",Iterations[[#This Row],[Grad_d]]))</f>
        <v/>
      </c>
      <c r="R1293" s="2" t="str">
        <f>IF(Iterations[[#This Row],[Step]] =current_step, current_Grad_e,IF(Iterations[[#This Row],[Step]] &gt; current_step, "",Iterations[[#This Row],[Grad_e]]))</f>
        <v/>
      </c>
    </row>
    <row r="1294" spans="6:18" x14ac:dyDescent="0.3">
      <c r="F1294" s="2">
        <f t="shared" si="25"/>
        <v>1277</v>
      </c>
      <c r="G1294" s="2" t="str">
        <f>IF(Iterations[[#This Row],[Step]] =current_step, current_a,IF(Iterations[[#This Row],[Step]] &gt; current_step, "",Iterations[[#This Row],[a]]))</f>
        <v/>
      </c>
      <c r="H1294" s="2" t="str">
        <f>IF(Iterations[[#This Row],[Step]] =current_step, current_b,IF(Iterations[[#This Row],[Step]] &gt; current_step, "",Iterations[[#This Row],[b]]))</f>
        <v/>
      </c>
      <c r="I1294" s="2" t="str">
        <f>IF(Iterations[[#This Row],[Step]] =current_step, current_c,IF(Iterations[[#This Row],[Step]] &gt; current_step, "",Iterations[[#This Row],[c]]))</f>
        <v/>
      </c>
      <c r="J1294" s="2" t="str">
        <f>IF(Iterations[[#This Row],[Step]] =current_step, current_d,IF(Iterations[[#This Row],[Step]] &gt; current_step, "",Iterations[[#This Row],[d]]))</f>
        <v/>
      </c>
      <c r="K1294" s="2" t="str">
        <f>IF(Iterations[[#This Row],[Step]] =current_step, current_e,IF(Iterations[[#This Row],[Step]] &gt; current_step, "",Iterations[[#This Row],[e]]))</f>
        <v/>
      </c>
      <c r="L1294" s="2" t="str">
        <f>IF(Iterations[[#This Row],[Step]] =current_step, current_Total_Loss,IF(Iterations[[#This Row],[Step]] &gt; current_step, "",Iterations[[#This Row],[Total Loss]]))</f>
        <v/>
      </c>
      <c r="M1294" s="6" t="s">
        <v>27</v>
      </c>
      <c r="N1294" s="2" t="str">
        <f>IF(Iterations[[#This Row],[Step]] =current_step, current_Grad_a,IF(Iterations[[#This Row],[Step]] &gt; current_step, "",Iterations[[#This Row],[Grad_a]]))</f>
        <v/>
      </c>
      <c r="O1294" s="2" t="str">
        <f>IF(Iterations[[#This Row],[Step]] =current_step, current_Grad_b,IF(Iterations[[#This Row],[Step]] &gt; current_step, "",Iterations[[#This Row],[Grad_b]]))</f>
        <v/>
      </c>
      <c r="P1294" s="2" t="str">
        <f>IF(Iterations[[#This Row],[Step]] =current_step, current_Grad_c,IF(Iterations[[#This Row],[Step]] &gt; current_step, "",Iterations[[#This Row],[Grad_c]]))</f>
        <v/>
      </c>
      <c r="Q1294" s="2" t="str">
        <f>IF(Iterations[[#This Row],[Step]] =current_step, current_Grad_d,IF(Iterations[[#This Row],[Step]] &gt; current_step, "",Iterations[[#This Row],[Grad_d]]))</f>
        <v/>
      </c>
      <c r="R1294" s="2" t="str">
        <f>IF(Iterations[[#This Row],[Step]] =current_step, current_Grad_e,IF(Iterations[[#This Row],[Step]] &gt; current_step, "",Iterations[[#This Row],[Grad_e]]))</f>
        <v/>
      </c>
    </row>
    <row r="1295" spans="6:18" x14ac:dyDescent="0.3">
      <c r="F1295" s="2">
        <f t="shared" si="25"/>
        <v>1278</v>
      </c>
      <c r="G1295" s="2" t="str">
        <f>IF(Iterations[[#This Row],[Step]] =current_step, current_a,IF(Iterations[[#This Row],[Step]] &gt; current_step, "",Iterations[[#This Row],[a]]))</f>
        <v/>
      </c>
      <c r="H1295" s="2" t="str">
        <f>IF(Iterations[[#This Row],[Step]] =current_step, current_b,IF(Iterations[[#This Row],[Step]] &gt; current_step, "",Iterations[[#This Row],[b]]))</f>
        <v/>
      </c>
      <c r="I1295" s="2" t="str">
        <f>IF(Iterations[[#This Row],[Step]] =current_step, current_c,IF(Iterations[[#This Row],[Step]] &gt; current_step, "",Iterations[[#This Row],[c]]))</f>
        <v/>
      </c>
      <c r="J1295" s="2" t="str">
        <f>IF(Iterations[[#This Row],[Step]] =current_step, current_d,IF(Iterations[[#This Row],[Step]] &gt; current_step, "",Iterations[[#This Row],[d]]))</f>
        <v/>
      </c>
      <c r="K1295" s="2" t="str">
        <f>IF(Iterations[[#This Row],[Step]] =current_step, current_e,IF(Iterations[[#This Row],[Step]] &gt; current_step, "",Iterations[[#This Row],[e]]))</f>
        <v/>
      </c>
      <c r="L1295" s="2" t="str">
        <f>IF(Iterations[[#This Row],[Step]] =current_step, current_Total_Loss,IF(Iterations[[#This Row],[Step]] &gt; current_step, "",Iterations[[#This Row],[Total Loss]]))</f>
        <v/>
      </c>
      <c r="M1295" s="6" t="s">
        <v>27</v>
      </c>
      <c r="N1295" s="2" t="str">
        <f>IF(Iterations[[#This Row],[Step]] =current_step, current_Grad_a,IF(Iterations[[#This Row],[Step]] &gt; current_step, "",Iterations[[#This Row],[Grad_a]]))</f>
        <v/>
      </c>
      <c r="O1295" s="2" t="str">
        <f>IF(Iterations[[#This Row],[Step]] =current_step, current_Grad_b,IF(Iterations[[#This Row],[Step]] &gt; current_step, "",Iterations[[#This Row],[Grad_b]]))</f>
        <v/>
      </c>
      <c r="P1295" s="2" t="str">
        <f>IF(Iterations[[#This Row],[Step]] =current_step, current_Grad_c,IF(Iterations[[#This Row],[Step]] &gt; current_step, "",Iterations[[#This Row],[Grad_c]]))</f>
        <v/>
      </c>
      <c r="Q1295" s="2" t="str">
        <f>IF(Iterations[[#This Row],[Step]] =current_step, current_Grad_d,IF(Iterations[[#This Row],[Step]] &gt; current_step, "",Iterations[[#This Row],[Grad_d]]))</f>
        <v/>
      </c>
      <c r="R1295" s="2" t="str">
        <f>IF(Iterations[[#This Row],[Step]] =current_step, current_Grad_e,IF(Iterations[[#This Row],[Step]] &gt; current_step, "",Iterations[[#This Row],[Grad_e]]))</f>
        <v/>
      </c>
    </row>
    <row r="1296" spans="6:18" x14ac:dyDescent="0.3">
      <c r="F1296" s="2">
        <f t="shared" si="25"/>
        <v>1279</v>
      </c>
      <c r="G1296" s="2" t="str">
        <f>IF(Iterations[[#This Row],[Step]] =current_step, current_a,IF(Iterations[[#This Row],[Step]] &gt; current_step, "",Iterations[[#This Row],[a]]))</f>
        <v/>
      </c>
      <c r="H1296" s="2" t="str">
        <f>IF(Iterations[[#This Row],[Step]] =current_step, current_b,IF(Iterations[[#This Row],[Step]] &gt; current_step, "",Iterations[[#This Row],[b]]))</f>
        <v/>
      </c>
      <c r="I1296" s="2" t="str">
        <f>IF(Iterations[[#This Row],[Step]] =current_step, current_c,IF(Iterations[[#This Row],[Step]] &gt; current_step, "",Iterations[[#This Row],[c]]))</f>
        <v/>
      </c>
      <c r="J1296" s="2" t="str">
        <f>IF(Iterations[[#This Row],[Step]] =current_step, current_d,IF(Iterations[[#This Row],[Step]] &gt; current_step, "",Iterations[[#This Row],[d]]))</f>
        <v/>
      </c>
      <c r="K1296" s="2" t="str">
        <f>IF(Iterations[[#This Row],[Step]] =current_step, current_e,IF(Iterations[[#This Row],[Step]] &gt; current_step, "",Iterations[[#This Row],[e]]))</f>
        <v/>
      </c>
      <c r="L1296" s="2" t="str">
        <f>IF(Iterations[[#This Row],[Step]] =current_step, current_Total_Loss,IF(Iterations[[#This Row],[Step]] &gt; current_step, "",Iterations[[#This Row],[Total Loss]]))</f>
        <v/>
      </c>
      <c r="M1296" s="6" t="s">
        <v>27</v>
      </c>
      <c r="N1296" s="2" t="str">
        <f>IF(Iterations[[#This Row],[Step]] =current_step, current_Grad_a,IF(Iterations[[#This Row],[Step]] &gt; current_step, "",Iterations[[#This Row],[Grad_a]]))</f>
        <v/>
      </c>
      <c r="O1296" s="2" t="str">
        <f>IF(Iterations[[#This Row],[Step]] =current_step, current_Grad_b,IF(Iterations[[#This Row],[Step]] &gt; current_step, "",Iterations[[#This Row],[Grad_b]]))</f>
        <v/>
      </c>
      <c r="P1296" s="2" t="str">
        <f>IF(Iterations[[#This Row],[Step]] =current_step, current_Grad_c,IF(Iterations[[#This Row],[Step]] &gt; current_step, "",Iterations[[#This Row],[Grad_c]]))</f>
        <v/>
      </c>
      <c r="Q1296" s="2" t="str">
        <f>IF(Iterations[[#This Row],[Step]] =current_step, current_Grad_d,IF(Iterations[[#This Row],[Step]] &gt; current_step, "",Iterations[[#This Row],[Grad_d]]))</f>
        <v/>
      </c>
      <c r="R1296" s="2" t="str">
        <f>IF(Iterations[[#This Row],[Step]] =current_step, current_Grad_e,IF(Iterations[[#This Row],[Step]] &gt; current_step, "",Iterations[[#This Row],[Grad_e]]))</f>
        <v/>
      </c>
    </row>
    <row r="1297" spans="6:18" x14ac:dyDescent="0.3">
      <c r="F1297" s="2">
        <f t="shared" si="25"/>
        <v>1280</v>
      </c>
      <c r="G1297" s="2" t="str">
        <f>IF(Iterations[[#This Row],[Step]] =current_step, current_a,IF(Iterations[[#This Row],[Step]] &gt; current_step, "",Iterations[[#This Row],[a]]))</f>
        <v/>
      </c>
      <c r="H1297" s="2" t="str">
        <f>IF(Iterations[[#This Row],[Step]] =current_step, current_b,IF(Iterations[[#This Row],[Step]] &gt; current_step, "",Iterations[[#This Row],[b]]))</f>
        <v/>
      </c>
      <c r="I1297" s="2" t="str">
        <f>IF(Iterations[[#This Row],[Step]] =current_step, current_c,IF(Iterations[[#This Row],[Step]] &gt; current_step, "",Iterations[[#This Row],[c]]))</f>
        <v/>
      </c>
      <c r="J1297" s="2" t="str">
        <f>IF(Iterations[[#This Row],[Step]] =current_step, current_d,IF(Iterations[[#This Row],[Step]] &gt; current_step, "",Iterations[[#This Row],[d]]))</f>
        <v/>
      </c>
      <c r="K1297" s="2" t="str">
        <f>IF(Iterations[[#This Row],[Step]] =current_step, current_e,IF(Iterations[[#This Row],[Step]] &gt; current_step, "",Iterations[[#This Row],[e]]))</f>
        <v/>
      </c>
      <c r="L1297" s="2" t="str">
        <f>IF(Iterations[[#This Row],[Step]] =current_step, current_Total_Loss,IF(Iterations[[#This Row],[Step]] &gt; current_step, "",Iterations[[#This Row],[Total Loss]]))</f>
        <v/>
      </c>
      <c r="M1297" s="6" t="s">
        <v>27</v>
      </c>
      <c r="N1297" s="2" t="str">
        <f>IF(Iterations[[#This Row],[Step]] =current_step, current_Grad_a,IF(Iterations[[#This Row],[Step]] &gt; current_step, "",Iterations[[#This Row],[Grad_a]]))</f>
        <v/>
      </c>
      <c r="O1297" s="2" t="str">
        <f>IF(Iterations[[#This Row],[Step]] =current_step, current_Grad_b,IF(Iterations[[#This Row],[Step]] &gt; current_step, "",Iterations[[#This Row],[Grad_b]]))</f>
        <v/>
      </c>
      <c r="P1297" s="2" t="str">
        <f>IF(Iterations[[#This Row],[Step]] =current_step, current_Grad_c,IF(Iterations[[#This Row],[Step]] &gt; current_step, "",Iterations[[#This Row],[Grad_c]]))</f>
        <v/>
      </c>
      <c r="Q1297" s="2" t="str">
        <f>IF(Iterations[[#This Row],[Step]] =current_step, current_Grad_d,IF(Iterations[[#This Row],[Step]] &gt; current_step, "",Iterations[[#This Row],[Grad_d]]))</f>
        <v/>
      </c>
      <c r="R1297" s="2" t="str">
        <f>IF(Iterations[[#This Row],[Step]] =current_step, current_Grad_e,IF(Iterations[[#This Row],[Step]] &gt; current_step, "",Iterations[[#This Row],[Grad_e]]))</f>
        <v/>
      </c>
    </row>
    <row r="1298" spans="6:18" x14ac:dyDescent="0.3">
      <c r="F1298" s="2">
        <f t="shared" si="25"/>
        <v>1281</v>
      </c>
      <c r="G1298" s="2" t="str">
        <f>IF(Iterations[[#This Row],[Step]] =current_step, current_a,IF(Iterations[[#This Row],[Step]] &gt; current_step, "",Iterations[[#This Row],[a]]))</f>
        <v/>
      </c>
      <c r="H1298" s="2" t="str">
        <f>IF(Iterations[[#This Row],[Step]] =current_step, current_b,IF(Iterations[[#This Row],[Step]] &gt; current_step, "",Iterations[[#This Row],[b]]))</f>
        <v/>
      </c>
      <c r="I1298" s="2" t="str">
        <f>IF(Iterations[[#This Row],[Step]] =current_step, current_c,IF(Iterations[[#This Row],[Step]] &gt; current_step, "",Iterations[[#This Row],[c]]))</f>
        <v/>
      </c>
      <c r="J1298" s="2" t="str">
        <f>IF(Iterations[[#This Row],[Step]] =current_step, current_d,IF(Iterations[[#This Row],[Step]] &gt; current_step, "",Iterations[[#This Row],[d]]))</f>
        <v/>
      </c>
      <c r="K1298" s="2" t="str">
        <f>IF(Iterations[[#This Row],[Step]] =current_step, current_e,IF(Iterations[[#This Row],[Step]] &gt; current_step, "",Iterations[[#This Row],[e]]))</f>
        <v/>
      </c>
      <c r="L1298" s="2" t="str">
        <f>IF(Iterations[[#This Row],[Step]] =current_step, current_Total_Loss,IF(Iterations[[#This Row],[Step]] &gt; current_step, "",Iterations[[#This Row],[Total Loss]]))</f>
        <v/>
      </c>
      <c r="M1298" s="6" t="s">
        <v>27</v>
      </c>
      <c r="N1298" s="2" t="str">
        <f>IF(Iterations[[#This Row],[Step]] =current_step, current_Grad_a,IF(Iterations[[#This Row],[Step]] &gt; current_step, "",Iterations[[#This Row],[Grad_a]]))</f>
        <v/>
      </c>
      <c r="O1298" s="2" t="str">
        <f>IF(Iterations[[#This Row],[Step]] =current_step, current_Grad_b,IF(Iterations[[#This Row],[Step]] &gt; current_step, "",Iterations[[#This Row],[Grad_b]]))</f>
        <v/>
      </c>
      <c r="P1298" s="2" t="str">
        <f>IF(Iterations[[#This Row],[Step]] =current_step, current_Grad_c,IF(Iterations[[#This Row],[Step]] &gt; current_step, "",Iterations[[#This Row],[Grad_c]]))</f>
        <v/>
      </c>
      <c r="Q1298" s="2" t="str">
        <f>IF(Iterations[[#This Row],[Step]] =current_step, current_Grad_d,IF(Iterations[[#This Row],[Step]] &gt; current_step, "",Iterations[[#This Row],[Grad_d]]))</f>
        <v/>
      </c>
      <c r="R1298" s="2" t="str">
        <f>IF(Iterations[[#This Row],[Step]] =current_step, current_Grad_e,IF(Iterations[[#This Row],[Step]] &gt; current_step, "",Iterations[[#This Row],[Grad_e]]))</f>
        <v/>
      </c>
    </row>
    <row r="1299" spans="6:18" x14ac:dyDescent="0.3">
      <c r="F1299" s="2">
        <f t="shared" si="25"/>
        <v>1282</v>
      </c>
      <c r="G1299" s="2" t="str">
        <f>IF(Iterations[[#This Row],[Step]] =current_step, current_a,IF(Iterations[[#This Row],[Step]] &gt; current_step, "",Iterations[[#This Row],[a]]))</f>
        <v/>
      </c>
      <c r="H1299" s="2" t="str">
        <f>IF(Iterations[[#This Row],[Step]] =current_step, current_b,IF(Iterations[[#This Row],[Step]] &gt; current_step, "",Iterations[[#This Row],[b]]))</f>
        <v/>
      </c>
      <c r="I1299" s="2" t="str">
        <f>IF(Iterations[[#This Row],[Step]] =current_step, current_c,IF(Iterations[[#This Row],[Step]] &gt; current_step, "",Iterations[[#This Row],[c]]))</f>
        <v/>
      </c>
      <c r="J1299" s="2" t="str">
        <f>IF(Iterations[[#This Row],[Step]] =current_step, current_d,IF(Iterations[[#This Row],[Step]] &gt; current_step, "",Iterations[[#This Row],[d]]))</f>
        <v/>
      </c>
      <c r="K1299" s="2" t="str">
        <f>IF(Iterations[[#This Row],[Step]] =current_step, current_e,IF(Iterations[[#This Row],[Step]] &gt; current_step, "",Iterations[[#This Row],[e]]))</f>
        <v/>
      </c>
      <c r="L1299" s="2" t="str">
        <f>IF(Iterations[[#This Row],[Step]] =current_step, current_Total_Loss,IF(Iterations[[#This Row],[Step]] &gt; current_step, "",Iterations[[#This Row],[Total Loss]]))</f>
        <v/>
      </c>
      <c r="M1299" s="6" t="s">
        <v>27</v>
      </c>
      <c r="N1299" s="2" t="str">
        <f>IF(Iterations[[#This Row],[Step]] =current_step, current_Grad_a,IF(Iterations[[#This Row],[Step]] &gt; current_step, "",Iterations[[#This Row],[Grad_a]]))</f>
        <v/>
      </c>
      <c r="O1299" s="2" t="str">
        <f>IF(Iterations[[#This Row],[Step]] =current_step, current_Grad_b,IF(Iterations[[#This Row],[Step]] &gt; current_step, "",Iterations[[#This Row],[Grad_b]]))</f>
        <v/>
      </c>
      <c r="P1299" s="2" t="str">
        <f>IF(Iterations[[#This Row],[Step]] =current_step, current_Grad_c,IF(Iterations[[#This Row],[Step]] &gt; current_step, "",Iterations[[#This Row],[Grad_c]]))</f>
        <v/>
      </c>
      <c r="Q1299" s="2" t="str">
        <f>IF(Iterations[[#This Row],[Step]] =current_step, current_Grad_d,IF(Iterations[[#This Row],[Step]] &gt; current_step, "",Iterations[[#This Row],[Grad_d]]))</f>
        <v/>
      </c>
      <c r="R1299" s="2" t="str">
        <f>IF(Iterations[[#This Row],[Step]] =current_step, current_Grad_e,IF(Iterations[[#This Row],[Step]] &gt; current_step, "",Iterations[[#This Row],[Grad_e]]))</f>
        <v/>
      </c>
    </row>
    <row r="1300" spans="6:18" x14ac:dyDescent="0.3">
      <c r="F1300" s="2">
        <f t="shared" si="25"/>
        <v>1283</v>
      </c>
      <c r="G1300" s="2" t="str">
        <f>IF(Iterations[[#This Row],[Step]] =current_step, current_a,IF(Iterations[[#This Row],[Step]] &gt; current_step, "",Iterations[[#This Row],[a]]))</f>
        <v/>
      </c>
      <c r="H1300" s="2" t="str">
        <f>IF(Iterations[[#This Row],[Step]] =current_step, current_b,IF(Iterations[[#This Row],[Step]] &gt; current_step, "",Iterations[[#This Row],[b]]))</f>
        <v/>
      </c>
      <c r="I1300" s="2" t="str">
        <f>IF(Iterations[[#This Row],[Step]] =current_step, current_c,IF(Iterations[[#This Row],[Step]] &gt; current_step, "",Iterations[[#This Row],[c]]))</f>
        <v/>
      </c>
      <c r="J1300" s="2" t="str">
        <f>IF(Iterations[[#This Row],[Step]] =current_step, current_d,IF(Iterations[[#This Row],[Step]] &gt; current_step, "",Iterations[[#This Row],[d]]))</f>
        <v/>
      </c>
      <c r="K1300" s="2" t="str">
        <f>IF(Iterations[[#This Row],[Step]] =current_step, current_e,IF(Iterations[[#This Row],[Step]] &gt; current_step, "",Iterations[[#This Row],[e]]))</f>
        <v/>
      </c>
      <c r="L1300" s="2" t="str">
        <f>IF(Iterations[[#This Row],[Step]] =current_step, current_Total_Loss,IF(Iterations[[#This Row],[Step]] &gt; current_step, "",Iterations[[#This Row],[Total Loss]]))</f>
        <v/>
      </c>
      <c r="M1300" s="6" t="s">
        <v>27</v>
      </c>
      <c r="N1300" s="2" t="str">
        <f>IF(Iterations[[#This Row],[Step]] =current_step, current_Grad_a,IF(Iterations[[#This Row],[Step]] &gt; current_step, "",Iterations[[#This Row],[Grad_a]]))</f>
        <v/>
      </c>
      <c r="O1300" s="2" t="str">
        <f>IF(Iterations[[#This Row],[Step]] =current_step, current_Grad_b,IF(Iterations[[#This Row],[Step]] &gt; current_step, "",Iterations[[#This Row],[Grad_b]]))</f>
        <v/>
      </c>
      <c r="P1300" s="2" t="str">
        <f>IF(Iterations[[#This Row],[Step]] =current_step, current_Grad_c,IF(Iterations[[#This Row],[Step]] &gt; current_step, "",Iterations[[#This Row],[Grad_c]]))</f>
        <v/>
      </c>
      <c r="Q1300" s="2" t="str">
        <f>IF(Iterations[[#This Row],[Step]] =current_step, current_Grad_d,IF(Iterations[[#This Row],[Step]] &gt; current_step, "",Iterations[[#This Row],[Grad_d]]))</f>
        <v/>
      </c>
      <c r="R1300" s="2" t="str">
        <f>IF(Iterations[[#This Row],[Step]] =current_step, current_Grad_e,IF(Iterations[[#This Row],[Step]] &gt; current_step, "",Iterations[[#This Row],[Grad_e]]))</f>
        <v/>
      </c>
    </row>
    <row r="1301" spans="6:18" x14ac:dyDescent="0.3">
      <c r="F1301" s="2">
        <f t="shared" si="25"/>
        <v>1284</v>
      </c>
      <c r="G1301" s="2" t="str">
        <f>IF(Iterations[[#This Row],[Step]] =current_step, current_a,IF(Iterations[[#This Row],[Step]] &gt; current_step, "",Iterations[[#This Row],[a]]))</f>
        <v/>
      </c>
      <c r="H1301" s="2" t="str">
        <f>IF(Iterations[[#This Row],[Step]] =current_step, current_b,IF(Iterations[[#This Row],[Step]] &gt; current_step, "",Iterations[[#This Row],[b]]))</f>
        <v/>
      </c>
      <c r="I1301" s="2" t="str">
        <f>IF(Iterations[[#This Row],[Step]] =current_step, current_c,IF(Iterations[[#This Row],[Step]] &gt; current_step, "",Iterations[[#This Row],[c]]))</f>
        <v/>
      </c>
      <c r="J1301" s="2" t="str">
        <f>IF(Iterations[[#This Row],[Step]] =current_step, current_d,IF(Iterations[[#This Row],[Step]] &gt; current_step, "",Iterations[[#This Row],[d]]))</f>
        <v/>
      </c>
      <c r="K1301" s="2" t="str">
        <f>IF(Iterations[[#This Row],[Step]] =current_step, current_e,IF(Iterations[[#This Row],[Step]] &gt; current_step, "",Iterations[[#This Row],[e]]))</f>
        <v/>
      </c>
      <c r="L1301" s="2" t="str">
        <f>IF(Iterations[[#This Row],[Step]] =current_step, current_Total_Loss,IF(Iterations[[#This Row],[Step]] &gt; current_step, "",Iterations[[#This Row],[Total Loss]]))</f>
        <v/>
      </c>
      <c r="M1301" s="6" t="s">
        <v>27</v>
      </c>
      <c r="N1301" s="2" t="str">
        <f>IF(Iterations[[#This Row],[Step]] =current_step, current_Grad_a,IF(Iterations[[#This Row],[Step]] &gt; current_step, "",Iterations[[#This Row],[Grad_a]]))</f>
        <v/>
      </c>
      <c r="O1301" s="2" t="str">
        <f>IF(Iterations[[#This Row],[Step]] =current_step, current_Grad_b,IF(Iterations[[#This Row],[Step]] &gt; current_step, "",Iterations[[#This Row],[Grad_b]]))</f>
        <v/>
      </c>
      <c r="P1301" s="2" t="str">
        <f>IF(Iterations[[#This Row],[Step]] =current_step, current_Grad_c,IF(Iterations[[#This Row],[Step]] &gt; current_step, "",Iterations[[#This Row],[Grad_c]]))</f>
        <v/>
      </c>
      <c r="Q1301" s="2" t="str">
        <f>IF(Iterations[[#This Row],[Step]] =current_step, current_Grad_d,IF(Iterations[[#This Row],[Step]] &gt; current_step, "",Iterations[[#This Row],[Grad_d]]))</f>
        <v/>
      </c>
      <c r="R1301" s="2" t="str">
        <f>IF(Iterations[[#This Row],[Step]] =current_step, current_Grad_e,IF(Iterations[[#This Row],[Step]] &gt; current_step, "",Iterations[[#This Row],[Grad_e]]))</f>
        <v/>
      </c>
    </row>
    <row r="1302" spans="6:18" x14ac:dyDescent="0.3">
      <c r="F1302" s="2">
        <f t="shared" si="25"/>
        <v>1285</v>
      </c>
      <c r="G1302" s="2" t="str">
        <f>IF(Iterations[[#This Row],[Step]] =current_step, current_a,IF(Iterations[[#This Row],[Step]] &gt; current_step, "",Iterations[[#This Row],[a]]))</f>
        <v/>
      </c>
      <c r="H1302" s="2" t="str">
        <f>IF(Iterations[[#This Row],[Step]] =current_step, current_b,IF(Iterations[[#This Row],[Step]] &gt; current_step, "",Iterations[[#This Row],[b]]))</f>
        <v/>
      </c>
      <c r="I1302" s="2" t="str">
        <f>IF(Iterations[[#This Row],[Step]] =current_step, current_c,IF(Iterations[[#This Row],[Step]] &gt; current_step, "",Iterations[[#This Row],[c]]))</f>
        <v/>
      </c>
      <c r="J1302" s="2" t="str">
        <f>IF(Iterations[[#This Row],[Step]] =current_step, current_d,IF(Iterations[[#This Row],[Step]] &gt; current_step, "",Iterations[[#This Row],[d]]))</f>
        <v/>
      </c>
      <c r="K1302" s="2" t="str">
        <f>IF(Iterations[[#This Row],[Step]] =current_step, current_e,IF(Iterations[[#This Row],[Step]] &gt; current_step, "",Iterations[[#This Row],[e]]))</f>
        <v/>
      </c>
      <c r="L1302" s="2" t="str">
        <f>IF(Iterations[[#This Row],[Step]] =current_step, current_Total_Loss,IF(Iterations[[#This Row],[Step]] &gt; current_step, "",Iterations[[#This Row],[Total Loss]]))</f>
        <v/>
      </c>
      <c r="M1302" s="6" t="s">
        <v>27</v>
      </c>
      <c r="N1302" s="2" t="str">
        <f>IF(Iterations[[#This Row],[Step]] =current_step, current_Grad_a,IF(Iterations[[#This Row],[Step]] &gt; current_step, "",Iterations[[#This Row],[Grad_a]]))</f>
        <v/>
      </c>
      <c r="O1302" s="2" t="str">
        <f>IF(Iterations[[#This Row],[Step]] =current_step, current_Grad_b,IF(Iterations[[#This Row],[Step]] &gt; current_step, "",Iterations[[#This Row],[Grad_b]]))</f>
        <v/>
      </c>
      <c r="P1302" s="2" t="str">
        <f>IF(Iterations[[#This Row],[Step]] =current_step, current_Grad_c,IF(Iterations[[#This Row],[Step]] &gt; current_step, "",Iterations[[#This Row],[Grad_c]]))</f>
        <v/>
      </c>
      <c r="Q1302" s="2" t="str">
        <f>IF(Iterations[[#This Row],[Step]] =current_step, current_Grad_d,IF(Iterations[[#This Row],[Step]] &gt; current_step, "",Iterations[[#This Row],[Grad_d]]))</f>
        <v/>
      </c>
      <c r="R1302" s="2" t="str">
        <f>IF(Iterations[[#This Row],[Step]] =current_step, current_Grad_e,IF(Iterations[[#This Row],[Step]] &gt; current_step, "",Iterations[[#This Row],[Grad_e]]))</f>
        <v/>
      </c>
    </row>
    <row r="1303" spans="6:18" x14ac:dyDescent="0.3">
      <c r="F1303" s="2">
        <f t="shared" si="25"/>
        <v>1286</v>
      </c>
      <c r="G1303" s="2" t="str">
        <f>IF(Iterations[[#This Row],[Step]] =current_step, current_a,IF(Iterations[[#This Row],[Step]] &gt; current_step, "",Iterations[[#This Row],[a]]))</f>
        <v/>
      </c>
      <c r="H1303" s="2" t="str">
        <f>IF(Iterations[[#This Row],[Step]] =current_step, current_b,IF(Iterations[[#This Row],[Step]] &gt; current_step, "",Iterations[[#This Row],[b]]))</f>
        <v/>
      </c>
      <c r="I1303" s="2" t="str">
        <f>IF(Iterations[[#This Row],[Step]] =current_step, current_c,IF(Iterations[[#This Row],[Step]] &gt; current_step, "",Iterations[[#This Row],[c]]))</f>
        <v/>
      </c>
      <c r="J1303" s="2" t="str">
        <f>IF(Iterations[[#This Row],[Step]] =current_step, current_d,IF(Iterations[[#This Row],[Step]] &gt; current_step, "",Iterations[[#This Row],[d]]))</f>
        <v/>
      </c>
      <c r="K1303" s="2" t="str">
        <f>IF(Iterations[[#This Row],[Step]] =current_step, current_e,IF(Iterations[[#This Row],[Step]] &gt; current_step, "",Iterations[[#This Row],[e]]))</f>
        <v/>
      </c>
      <c r="L1303" s="2" t="str">
        <f>IF(Iterations[[#This Row],[Step]] =current_step, current_Total_Loss,IF(Iterations[[#This Row],[Step]] &gt; current_step, "",Iterations[[#This Row],[Total Loss]]))</f>
        <v/>
      </c>
      <c r="M1303" s="6" t="s">
        <v>27</v>
      </c>
      <c r="N1303" s="2" t="str">
        <f>IF(Iterations[[#This Row],[Step]] =current_step, current_Grad_a,IF(Iterations[[#This Row],[Step]] &gt; current_step, "",Iterations[[#This Row],[Grad_a]]))</f>
        <v/>
      </c>
      <c r="O1303" s="2" t="str">
        <f>IF(Iterations[[#This Row],[Step]] =current_step, current_Grad_b,IF(Iterations[[#This Row],[Step]] &gt; current_step, "",Iterations[[#This Row],[Grad_b]]))</f>
        <v/>
      </c>
      <c r="P1303" s="2" t="str">
        <f>IF(Iterations[[#This Row],[Step]] =current_step, current_Grad_c,IF(Iterations[[#This Row],[Step]] &gt; current_step, "",Iterations[[#This Row],[Grad_c]]))</f>
        <v/>
      </c>
      <c r="Q1303" s="2" t="str">
        <f>IF(Iterations[[#This Row],[Step]] =current_step, current_Grad_d,IF(Iterations[[#This Row],[Step]] &gt; current_step, "",Iterations[[#This Row],[Grad_d]]))</f>
        <v/>
      </c>
      <c r="R1303" s="2" t="str">
        <f>IF(Iterations[[#This Row],[Step]] =current_step, current_Grad_e,IF(Iterations[[#This Row],[Step]] &gt; current_step, "",Iterations[[#This Row],[Grad_e]]))</f>
        <v/>
      </c>
    </row>
    <row r="1304" spans="6:18" x14ac:dyDescent="0.3">
      <c r="F1304" s="2">
        <f t="shared" si="25"/>
        <v>1287</v>
      </c>
      <c r="G1304" s="2" t="str">
        <f>IF(Iterations[[#This Row],[Step]] =current_step, current_a,IF(Iterations[[#This Row],[Step]] &gt; current_step, "",Iterations[[#This Row],[a]]))</f>
        <v/>
      </c>
      <c r="H1304" s="2" t="str">
        <f>IF(Iterations[[#This Row],[Step]] =current_step, current_b,IF(Iterations[[#This Row],[Step]] &gt; current_step, "",Iterations[[#This Row],[b]]))</f>
        <v/>
      </c>
      <c r="I1304" s="2" t="str">
        <f>IF(Iterations[[#This Row],[Step]] =current_step, current_c,IF(Iterations[[#This Row],[Step]] &gt; current_step, "",Iterations[[#This Row],[c]]))</f>
        <v/>
      </c>
      <c r="J1304" s="2" t="str">
        <f>IF(Iterations[[#This Row],[Step]] =current_step, current_d,IF(Iterations[[#This Row],[Step]] &gt; current_step, "",Iterations[[#This Row],[d]]))</f>
        <v/>
      </c>
      <c r="K1304" s="2" t="str">
        <f>IF(Iterations[[#This Row],[Step]] =current_step, current_e,IF(Iterations[[#This Row],[Step]] &gt; current_step, "",Iterations[[#This Row],[e]]))</f>
        <v/>
      </c>
      <c r="L1304" s="2" t="str">
        <f>IF(Iterations[[#This Row],[Step]] =current_step, current_Total_Loss,IF(Iterations[[#This Row],[Step]] &gt; current_step, "",Iterations[[#This Row],[Total Loss]]))</f>
        <v/>
      </c>
      <c r="M1304" s="6" t="s">
        <v>27</v>
      </c>
      <c r="N1304" s="2" t="str">
        <f>IF(Iterations[[#This Row],[Step]] =current_step, current_Grad_a,IF(Iterations[[#This Row],[Step]] &gt; current_step, "",Iterations[[#This Row],[Grad_a]]))</f>
        <v/>
      </c>
      <c r="O1304" s="2" t="str">
        <f>IF(Iterations[[#This Row],[Step]] =current_step, current_Grad_b,IF(Iterations[[#This Row],[Step]] &gt; current_step, "",Iterations[[#This Row],[Grad_b]]))</f>
        <v/>
      </c>
      <c r="P1304" s="2" t="str">
        <f>IF(Iterations[[#This Row],[Step]] =current_step, current_Grad_c,IF(Iterations[[#This Row],[Step]] &gt; current_step, "",Iterations[[#This Row],[Grad_c]]))</f>
        <v/>
      </c>
      <c r="Q1304" s="2" t="str">
        <f>IF(Iterations[[#This Row],[Step]] =current_step, current_Grad_d,IF(Iterations[[#This Row],[Step]] &gt; current_step, "",Iterations[[#This Row],[Grad_d]]))</f>
        <v/>
      </c>
      <c r="R1304" s="2" t="str">
        <f>IF(Iterations[[#This Row],[Step]] =current_step, current_Grad_e,IF(Iterations[[#This Row],[Step]] &gt; current_step, "",Iterations[[#This Row],[Grad_e]]))</f>
        <v/>
      </c>
    </row>
    <row r="1305" spans="6:18" x14ac:dyDescent="0.3">
      <c r="F1305" s="2">
        <f t="shared" si="25"/>
        <v>1288</v>
      </c>
      <c r="G1305" s="2" t="str">
        <f>IF(Iterations[[#This Row],[Step]] =current_step, current_a,IF(Iterations[[#This Row],[Step]] &gt; current_step, "",Iterations[[#This Row],[a]]))</f>
        <v/>
      </c>
      <c r="H1305" s="2" t="str">
        <f>IF(Iterations[[#This Row],[Step]] =current_step, current_b,IF(Iterations[[#This Row],[Step]] &gt; current_step, "",Iterations[[#This Row],[b]]))</f>
        <v/>
      </c>
      <c r="I1305" s="2" t="str">
        <f>IF(Iterations[[#This Row],[Step]] =current_step, current_c,IF(Iterations[[#This Row],[Step]] &gt; current_step, "",Iterations[[#This Row],[c]]))</f>
        <v/>
      </c>
      <c r="J1305" s="2" t="str">
        <f>IF(Iterations[[#This Row],[Step]] =current_step, current_d,IF(Iterations[[#This Row],[Step]] &gt; current_step, "",Iterations[[#This Row],[d]]))</f>
        <v/>
      </c>
      <c r="K1305" s="2" t="str">
        <f>IF(Iterations[[#This Row],[Step]] =current_step, current_e,IF(Iterations[[#This Row],[Step]] &gt; current_step, "",Iterations[[#This Row],[e]]))</f>
        <v/>
      </c>
      <c r="L1305" s="2" t="str">
        <f>IF(Iterations[[#This Row],[Step]] =current_step, current_Total_Loss,IF(Iterations[[#This Row],[Step]] &gt; current_step, "",Iterations[[#This Row],[Total Loss]]))</f>
        <v/>
      </c>
      <c r="M1305" s="6" t="s">
        <v>27</v>
      </c>
      <c r="N1305" s="2" t="str">
        <f>IF(Iterations[[#This Row],[Step]] =current_step, current_Grad_a,IF(Iterations[[#This Row],[Step]] &gt; current_step, "",Iterations[[#This Row],[Grad_a]]))</f>
        <v/>
      </c>
      <c r="O1305" s="2" t="str">
        <f>IF(Iterations[[#This Row],[Step]] =current_step, current_Grad_b,IF(Iterations[[#This Row],[Step]] &gt; current_step, "",Iterations[[#This Row],[Grad_b]]))</f>
        <v/>
      </c>
      <c r="P1305" s="2" t="str">
        <f>IF(Iterations[[#This Row],[Step]] =current_step, current_Grad_c,IF(Iterations[[#This Row],[Step]] &gt; current_step, "",Iterations[[#This Row],[Grad_c]]))</f>
        <v/>
      </c>
      <c r="Q1305" s="2" t="str">
        <f>IF(Iterations[[#This Row],[Step]] =current_step, current_Grad_d,IF(Iterations[[#This Row],[Step]] &gt; current_step, "",Iterations[[#This Row],[Grad_d]]))</f>
        <v/>
      </c>
      <c r="R1305" s="2" t="str">
        <f>IF(Iterations[[#This Row],[Step]] =current_step, current_Grad_e,IF(Iterations[[#This Row],[Step]] &gt; current_step, "",Iterations[[#This Row],[Grad_e]]))</f>
        <v/>
      </c>
    </row>
    <row r="1306" spans="6:18" x14ac:dyDescent="0.3">
      <c r="F1306" s="2">
        <f t="shared" si="25"/>
        <v>1289</v>
      </c>
      <c r="G1306" s="2" t="str">
        <f>IF(Iterations[[#This Row],[Step]] =current_step, current_a,IF(Iterations[[#This Row],[Step]] &gt; current_step, "",Iterations[[#This Row],[a]]))</f>
        <v/>
      </c>
      <c r="H1306" s="2" t="str">
        <f>IF(Iterations[[#This Row],[Step]] =current_step, current_b,IF(Iterations[[#This Row],[Step]] &gt; current_step, "",Iterations[[#This Row],[b]]))</f>
        <v/>
      </c>
      <c r="I1306" s="2" t="str">
        <f>IF(Iterations[[#This Row],[Step]] =current_step, current_c,IF(Iterations[[#This Row],[Step]] &gt; current_step, "",Iterations[[#This Row],[c]]))</f>
        <v/>
      </c>
      <c r="J1306" s="2" t="str">
        <f>IF(Iterations[[#This Row],[Step]] =current_step, current_d,IF(Iterations[[#This Row],[Step]] &gt; current_step, "",Iterations[[#This Row],[d]]))</f>
        <v/>
      </c>
      <c r="K1306" s="2" t="str">
        <f>IF(Iterations[[#This Row],[Step]] =current_step, current_e,IF(Iterations[[#This Row],[Step]] &gt; current_step, "",Iterations[[#This Row],[e]]))</f>
        <v/>
      </c>
      <c r="L1306" s="2" t="str">
        <f>IF(Iterations[[#This Row],[Step]] =current_step, current_Total_Loss,IF(Iterations[[#This Row],[Step]] &gt; current_step, "",Iterations[[#This Row],[Total Loss]]))</f>
        <v/>
      </c>
      <c r="M1306" s="6" t="s">
        <v>27</v>
      </c>
      <c r="N1306" s="2" t="str">
        <f>IF(Iterations[[#This Row],[Step]] =current_step, current_Grad_a,IF(Iterations[[#This Row],[Step]] &gt; current_step, "",Iterations[[#This Row],[Grad_a]]))</f>
        <v/>
      </c>
      <c r="O1306" s="2" t="str">
        <f>IF(Iterations[[#This Row],[Step]] =current_step, current_Grad_b,IF(Iterations[[#This Row],[Step]] &gt; current_step, "",Iterations[[#This Row],[Grad_b]]))</f>
        <v/>
      </c>
      <c r="P1306" s="2" t="str">
        <f>IF(Iterations[[#This Row],[Step]] =current_step, current_Grad_c,IF(Iterations[[#This Row],[Step]] &gt; current_step, "",Iterations[[#This Row],[Grad_c]]))</f>
        <v/>
      </c>
      <c r="Q1306" s="2" t="str">
        <f>IF(Iterations[[#This Row],[Step]] =current_step, current_Grad_d,IF(Iterations[[#This Row],[Step]] &gt; current_step, "",Iterations[[#This Row],[Grad_d]]))</f>
        <v/>
      </c>
      <c r="R1306" s="2" t="str">
        <f>IF(Iterations[[#This Row],[Step]] =current_step, current_Grad_e,IF(Iterations[[#This Row],[Step]] &gt; current_step, "",Iterations[[#This Row],[Grad_e]]))</f>
        <v/>
      </c>
    </row>
    <row r="1307" spans="6:18" x14ac:dyDescent="0.3">
      <c r="F1307" s="2">
        <f t="shared" si="25"/>
        <v>1290</v>
      </c>
      <c r="G1307" s="2" t="str">
        <f>IF(Iterations[[#This Row],[Step]] =current_step, current_a,IF(Iterations[[#This Row],[Step]] &gt; current_step, "",Iterations[[#This Row],[a]]))</f>
        <v/>
      </c>
      <c r="H1307" s="2" t="str">
        <f>IF(Iterations[[#This Row],[Step]] =current_step, current_b,IF(Iterations[[#This Row],[Step]] &gt; current_step, "",Iterations[[#This Row],[b]]))</f>
        <v/>
      </c>
      <c r="I1307" s="2" t="str">
        <f>IF(Iterations[[#This Row],[Step]] =current_step, current_c,IF(Iterations[[#This Row],[Step]] &gt; current_step, "",Iterations[[#This Row],[c]]))</f>
        <v/>
      </c>
      <c r="J1307" s="2" t="str">
        <f>IF(Iterations[[#This Row],[Step]] =current_step, current_d,IF(Iterations[[#This Row],[Step]] &gt; current_step, "",Iterations[[#This Row],[d]]))</f>
        <v/>
      </c>
      <c r="K1307" s="2" t="str">
        <f>IF(Iterations[[#This Row],[Step]] =current_step, current_e,IF(Iterations[[#This Row],[Step]] &gt; current_step, "",Iterations[[#This Row],[e]]))</f>
        <v/>
      </c>
      <c r="L1307" s="2" t="str">
        <f>IF(Iterations[[#This Row],[Step]] =current_step, current_Total_Loss,IF(Iterations[[#This Row],[Step]] &gt; current_step, "",Iterations[[#This Row],[Total Loss]]))</f>
        <v/>
      </c>
      <c r="M1307" s="6" t="s">
        <v>27</v>
      </c>
      <c r="N1307" s="2" t="str">
        <f>IF(Iterations[[#This Row],[Step]] =current_step, current_Grad_a,IF(Iterations[[#This Row],[Step]] &gt; current_step, "",Iterations[[#This Row],[Grad_a]]))</f>
        <v/>
      </c>
      <c r="O1307" s="2" t="str">
        <f>IF(Iterations[[#This Row],[Step]] =current_step, current_Grad_b,IF(Iterations[[#This Row],[Step]] &gt; current_step, "",Iterations[[#This Row],[Grad_b]]))</f>
        <v/>
      </c>
      <c r="P1307" s="2" t="str">
        <f>IF(Iterations[[#This Row],[Step]] =current_step, current_Grad_c,IF(Iterations[[#This Row],[Step]] &gt; current_step, "",Iterations[[#This Row],[Grad_c]]))</f>
        <v/>
      </c>
      <c r="Q1307" s="2" t="str">
        <f>IF(Iterations[[#This Row],[Step]] =current_step, current_Grad_d,IF(Iterations[[#This Row],[Step]] &gt; current_step, "",Iterations[[#This Row],[Grad_d]]))</f>
        <v/>
      </c>
      <c r="R1307" s="2" t="str">
        <f>IF(Iterations[[#This Row],[Step]] =current_step, current_Grad_e,IF(Iterations[[#This Row],[Step]] &gt; current_step, "",Iterations[[#This Row],[Grad_e]]))</f>
        <v/>
      </c>
    </row>
    <row r="1308" spans="6:18" x14ac:dyDescent="0.3">
      <c r="F1308" s="2">
        <f t="shared" si="25"/>
        <v>1291</v>
      </c>
      <c r="G1308" s="2" t="str">
        <f>IF(Iterations[[#This Row],[Step]] =current_step, current_a,IF(Iterations[[#This Row],[Step]] &gt; current_step, "",Iterations[[#This Row],[a]]))</f>
        <v/>
      </c>
      <c r="H1308" s="2" t="str">
        <f>IF(Iterations[[#This Row],[Step]] =current_step, current_b,IF(Iterations[[#This Row],[Step]] &gt; current_step, "",Iterations[[#This Row],[b]]))</f>
        <v/>
      </c>
      <c r="I1308" s="2" t="str">
        <f>IF(Iterations[[#This Row],[Step]] =current_step, current_c,IF(Iterations[[#This Row],[Step]] &gt; current_step, "",Iterations[[#This Row],[c]]))</f>
        <v/>
      </c>
      <c r="J1308" s="2" t="str">
        <f>IF(Iterations[[#This Row],[Step]] =current_step, current_d,IF(Iterations[[#This Row],[Step]] &gt; current_step, "",Iterations[[#This Row],[d]]))</f>
        <v/>
      </c>
      <c r="K1308" s="2" t="str">
        <f>IF(Iterations[[#This Row],[Step]] =current_step, current_e,IF(Iterations[[#This Row],[Step]] &gt; current_step, "",Iterations[[#This Row],[e]]))</f>
        <v/>
      </c>
      <c r="L1308" s="2" t="str">
        <f>IF(Iterations[[#This Row],[Step]] =current_step, current_Total_Loss,IF(Iterations[[#This Row],[Step]] &gt; current_step, "",Iterations[[#This Row],[Total Loss]]))</f>
        <v/>
      </c>
      <c r="M1308" s="6" t="s">
        <v>27</v>
      </c>
      <c r="N1308" s="2" t="str">
        <f>IF(Iterations[[#This Row],[Step]] =current_step, current_Grad_a,IF(Iterations[[#This Row],[Step]] &gt; current_step, "",Iterations[[#This Row],[Grad_a]]))</f>
        <v/>
      </c>
      <c r="O1308" s="2" t="str">
        <f>IF(Iterations[[#This Row],[Step]] =current_step, current_Grad_b,IF(Iterations[[#This Row],[Step]] &gt; current_step, "",Iterations[[#This Row],[Grad_b]]))</f>
        <v/>
      </c>
      <c r="P1308" s="2" t="str">
        <f>IF(Iterations[[#This Row],[Step]] =current_step, current_Grad_c,IF(Iterations[[#This Row],[Step]] &gt; current_step, "",Iterations[[#This Row],[Grad_c]]))</f>
        <v/>
      </c>
      <c r="Q1308" s="2" t="str">
        <f>IF(Iterations[[#This Row],[Step]] =current_step, current_Grad_d,IF(Iterations[[#This Row],[Step]] &gt; current_step, "",Iterations[[#This Row],[Grad_d]]))</f>
        <v/>
      </c>
      <c r="R1308" s="2" t="str">
        <f>IF(Iterations[[#This Row],[Step]] =current_step, current_Grad_e,IF(Iterations[[#This Row],[Step]] &gt; current_step, "",Iterations[[#This Row],[Grad_e]]))</f>
        <v/>
      </c>
    </row>
    <row r="1309" spans="6:18" x14ac:dyDescent="0.3">
      <c r="F1309" s="2">
        <f t="shared" si="25"/>
        <v>1292</v>
      </c>
      <c r="G1309" s="2" t="str">
        <f>IF(Iterations[[#This Row],[Step]] =current_step, current_a,IF(Iterations[[#This Row],[Step]] &gt; current_step, "",Iterations[[#This Row],[a]]))</f>
        <v/>
      </c>
      <c r="H1309" s="2" t="str">
        <f>IF(Iterations[[#This Row],[Step]] =current_step, current_b,IF(Iterations[[#This Row],[Step]] &gt; current_step, "",Iterations[[#This Row],[b]]))</f>
        <v/>
      </c>
      <c r="I1309" s="2" t="str">
        <f>IF(Iterations[[#This Row],[Step]] =current_step, current_c,IF(Iterations[[#This Row],[Step]] &gt; current_step, "",Iterations[[#This Row],[c]]))</f>
        <v/>
      </c>
      <c r="J1309" s="2" t="str">
        <f>IF(Iterations[[#This Row],[Step]] =current_step, current_d,IF(Iterations[[#This Row],[Step]] &gt; current_step, "",Iterations[[#This Row],[d]]))</f>
        <v/>
      </c>
      <c r="K1309" s="2" t="str">
        <f>IF(Iterations[[#This Row],[Step]] =current_step, current_e,IF(Iterations[[#This Row],[Step]] &gt; current_step, "",Iterations[[#This Row],[e]]))</f>
        <v/>
      </c>
      <c r="L1309" s="2" t="str">
        <f>IF(Iterations[[#This Row],[Step]] =current_step, current_Total_Loss,IF(Iterations[[#This Row],[Step]] &gt; current_step, "",Iterations[[#This Row],[Total Loss]]))</f>
        <v/>
      </c>
      <c r="M1309" s="6" t="s">
        <v>27</v>
      </c>
      <c r="N1309" s="2" t="str">
        <f>IF(Iterations[[#This Row],[Step]] =current_step, current_Grad_a,IF(Iterations[[#This Row],[Step]] &gt; current_step, "",Iterations[[#This Row],[Grad_a]]))</f>
        <v/>
      </c>
      <c r="O1309" s="2" t="str">
        <f>IF(Iterations[[#This Row],[Step]] =current_step, current_Grad_b,IF(Iterations[[#This Row],[Step]] &gt; current_step, "",Iterations[[#This Row],[Grad_b]]))</f>
        <v/>
      </c>
      <c r="P1309" s="2" t="str">
        <f>IF(Iterations[[#This Row],[Step]] =current_step, current_Grad_c,IF(Iterations[[#This Row],[Step]] &gt; current_step, "",Iterations[[#This Row],[Grad_c]]))</f>
        <v/>
      </c>
      <c r="Q1309" s="2" t="str">
        <f>IF(Iterations[[#This Row],[Step]] =current_step, current_Grad_d,IF(Iterations[[#This Row],[Step]] &gt; current_step, "",Iterations[[#This Row],[Grad_d]]))</f>
        <v/>
      </c>
      <c r="R1309" s="2" t="str">
        <f>IF(Iterations[[#This Row],[Step]] =current_step, current_Grad_e,IF(Iterations[[#This Row],[Step]] &gt; current_step, "",Iterations[[#This Row],[Grad_e]]))</f>
        <v/>
      </c>
    </row>
    <row r="1310" spans="6:18" x14ac:dyDescent="0.3">
      <c r="F1310" s="2">
        <f t="shared" si="25"/>
        <v>1293</v>
      </c>
      <c r="G1310" s="2" t="str">
        <f>IF(Iterations[[#This Row],[Step]] =current_step, current_a,IF(Iterations[[#This Row],[Step]] &gt; current_step, "",Iterations[[#This Row],[a]]))</f>
        <v/>
      </c>
      <c r="H1310" s="2" t="str">
        <f>IF(Iterations[[#This Row],[Step]] =current_step, current_b,IF(Iterations[[#This Row],[Step]] &gt; current_step, "",Iterations[[#This Row],[b]]))</f>
        <v/>
      </c>
      <c r="I1310" s="2" t="str">
        <f>IF(Iterations[[#This Row],[Step]] =current_step, current_c,IF(Iterations[[#This Row],[Step]] &gt; current_step, "",Iterations[[#This Row],[c]]))</f>
        <v/>
      </c>
      <c r="J1310" s="2" t="str">
        <f>IF(Iterations[[#This Row],[Step]] =current_step, current_d,IF(Iterations[[#This Row],[Step]] &gt; current_step, "",Iterations[[#This Row],[d]]))</f>
        <v/>
      </c>
      <c r="K1310" s="2" t="str">
        <f>IF(Iterations[[#This Row],[Step]] =current_step, current_e,IF(Iterations[[#This Row],[Step]] &gt; current_step, "",Iterations[[#This Row],[e]]))</f>
        <v/>
      </c>
      <c r="L1310" s="2" t="str">
        <f>IF(Iterations[[#This Row],[Step]] =current_step, current_Total_Loss,IF(Iterations[[#This Row],[Step]] &gt; current_step, "",Iterations[[#This Row],[Total Loss]]))</f>
        <v/>
      </c>
      <c r="M1310" s="6" t="s">
        <v>27</v>
      </c>
      <c r="N1310" s="2" t="str">
        <f>IF(Iterations[[#This Row],[Step]] =current_step, current_Grad_a,IF(Iterations[[#This Row],[Step]] &gt; current_step, "",Iterations[[#This Row],[Grad_a]]))</f>
        <v/>
      </c>
      <c r="O1310" s="2" t="str">
        <f>IF(Iterations[[#This Row],[Step]] =current_step, current_Grad_b,IF(Iterations[[#This Row],[Step]] &gt; current_step, "",Iterations[[#This Row],[Grad_b]]))</f>
        <v/>
      </c>
      <c r="P1310" s="2" t="str">
        <f>IF(Iterations[[#This Row],[Step]] =current_step, current_Grad_c,IF(Iterations[[#This Row],[Step]] &gt; current_step, "",Iterations[[#This Row],[Grad_c]]))</f>
        <v/>
      </c>
      <c r="Q1310" s="2" t="str">
        <f>IF(Iterations[[#This Row],[Step]] =current_step, current_Grad_d,IF(Iterations[[#This Row],[Step]] &gt; current_step, "",Iterations[[#This Row],[Grad_d]]))</f>
        <v/>
      </c>
      <c r="R1310" s="2" t="str">
        <f>IF(Iterations[[#This Row],[Step]] =current_step, current_Grad_e,IF(Iterations[[#This Row],[Step]] &gt; current_step, "",Iterations[[#This Row],[Grad_e]]))</f>
        <v/>
      </c>
    </row>
    <row r="1311" spans="6:18" x14ac:dyDescent="0.3">
      <c r="F1311" s="2">
        <f t="shared" si="25"/>
        <v>1294</v>
      </c>
      <c r="G1311" s="2" t="str">
        <f>IF(Iterations[[#This Row],[Step]] =current_step, current_a,IF(Iterations[[#This Row],[Step]] &gt; current_step, "",Iterations[[#This Row],[a]]))</f>
        <v/>
      </c>
      <c r="H1311" s="2" t="str">
        <f>IF(Iterations[[#This Row],[Step]] =current_step, current_b,IF(Iterations[[#This Row],[Step]] &gt; current_step, "",Iterations[[#This Row],[b]]))</f>
        <v/>
      </c>
      <c r="I1311" s="2" t="str">
        <f>IF(Iterations[[#This Row],[Step]] =current_step, current_c,IF(Iterations[[#This Row],[Step]] &gt; current_step, "",Iterations[[#This Row],[c]]))</f>
        <v/>
      </c>
      <c r="J1311" s="2" t="str">
        <f>IF(Iterations[[#This Row],[Step]] =current_step, current_d,IF(Iterations[[#This Row],[Step]] &gt; current_step, "",Iterations[[#This Row],[d]]))</f>
        <v/>
      </c>
      <c r="K1311" s="2" t="str">
        <f>IF(Iterations[[#This Row],[Step]] =current_step, current_e,IF(Iterations[[#This Row],[Step]] &gt; current_step, "",Iterations[[#This Row],[e]]))</f>
        <v/>
      </c>
      <c r="L1311" s="2" t="str">
        <f>IF(Iterations[[#This Row],[Step]] =current_step, current_Total_Loss,IF(Iterations[[#This Row],[Step]] &gt; current_step, "",Iterations[[#This Row],[Total Loss]]))</f>
        <v/>
      </c>
      <c r="M1311" s="6" t="s">
        <v>27</v>
      </c>
      <c r="N1311" s="2" t="str">
        <f>IF(Iterations[[#This Row],[Step]] =current_step, current_Grad_a,IF(Iterations[[#This Row],[Step]] &gt; current_step, "",Iterations[[#This Row],[Grad_a]]))</f>
        <v/>
      </c>
      <c r="O1311" s="2" t="str">
        <f>IF(Iterations[[#This Row],[Step]] =current_step, current_Grad_b,IF(Iterations[[#This Row],[Step]] &gt; current_step, "",Iterations[[#This Row],[Grad_b]]))</f>
        <v/>
      </c>
      <c r="P1311" s="2" t="str">
        <f>IF(Iterations[[#This Row],[Step]] =current_step, current_Grad_c,IF(Iterations[[#This Row],[Step]] &gt; current_step, "",Iterations[[#This Row],[Grad_c]]))</f>
        <v/>
      </c>
      <c r="Q1311" s="2" t="str">
        <f>IF(Iterations[[#This Row],[Step]] =current_step, current_Grad_d,IF(Iterations[[#This Row],[Step]] &gt; current_step, "",Iterations[[#This Row],[Grad_d]]))</f>
        <v/>
      </c>
      <c r="R1311" s="2" t="str">
        <f>IF(Iterations[[#This Row],[Step]] =current_step, current_Grad_e,IF(Iterations[[#This Row],[Step]] &gt; current_step, "",Iterations[[#This Row],[Grad_e]]))</f>
        <v/>
      </c>
    </row>
    <row r="1312" spans="6:18" x14ac:dyDescent="0.3">
      <c r="F1312" s="2">
        <f t="shared" si="25"/>
        <v>1295</v>
      </c>
      <c r="G1312" s="2" t="str">
        <f>IF(Iterations[[#This Row],[Step]] =current_step, current_a,IF(Iterations[[#This Row],[Step]] &gt; current_step, "",Iterations[[#This Row],[a]]))</f>
        <v/>
      </c>
      <c r="H1312" s="2" t="str">
        <f>IF(Iterations[[#This Row],[Step]] =current_step, current_b,IF(Iterations[[#This Row],[Step]] &gt; current_step, "",Iterations[[#This Row],[b]]))</f>
        <v/>
      </c>
      <c r="I1312" s="2" t="str">
        <f>IF(Iterations[[#This Row],[Step]] =current_step, current_c,IF(Iterations[[#This Row],[Step]] &gt; current_step, "",Iterations[[#This Row],[c]]))</f>
        <v/>
      </c>
      <c r="J1312" s="2" t="str">
        <f>IF(Iterations[[#This Row],[Step]] =current_step, current_d,IF(Iterations[[#This Row],[Step]] &gt; current_step, "",Iterations[[#This Row],[d]]))</f>
        <v/>
      </c>
      <c r="K1312" s="2" t="str">
        <f>IF(Iterations[[#This Row],[Step]] =current_step, current_e,IF(Iterations[[#This Row],[Step]] &gt; current_step, "",Iterations[[#This Row],[e]]))</f>
        <v/>
      </c>
      <c r="L1312" s="2" t="str">
        <f>IF(Iterations[[#This Row],[Step]] =current_step, current_Total_Loss,IF(Iterations[[#This Row],[Step]] &gt; current_step, "",Iterations[[#This Row],[Total Loss]]))</f>
        <v/>
      </c>
      <c r="M1312" s="6" t="s">
        <v>27</v>
      </c>
      <c r="N1312" s="2" t="str">
        <f>IF(Iterations[[#This Row],[Step]] =current_step, current_Grad_a,IF(Iterations[[#This Row],[Step]] &gt; current_step, "",Iterations[[#This Row],[Grad_a]]))</f>
        <v/>
      </c>
      <c r="O1312" s="2" t="str">
        <f>IF(Iterations[[#This Row],[Step]] =current_step, current_Grad_b,IF(Iterations[[#This Row],[Step]] &gt; current_step, "",Iterations[[#This Row],[Grad_b]]))</f>
        <v/>
      </c>
      <c r="P1312" s="2" t="str">
        <f>IF(Iterations[[#This Row],[Step]] =current_step, current_Grad_c,IF(Iterations[[#This Row],[Step]] &gt; current_step, "",Iterations[[#This Row],[Grad_c]]))</f>
        <v/>
      </c>
      <c r="Q1312" s="2" t="str">
        <f>IF(Iterations[[#This Row],[Step]] =current_step, current_Grad_d,IF(Iterations[[#This Row],[Step]] &gt; current_step, "",Iterations[[#This Row],[Grad_d]]))</f>
        <v/>
      </c>
      <c r="R1312" s="2" t="str">
        <f>IF(Iterations[[#This Row],[Step]] =current_step, current_Grad_e,IF(Iterations[[#This Row],[Step]] &gt; current_step, "",Iterations[[#This Row],[Grad_e]]))</f>
        <v/>
      </c>
    </row>
    <row r="1313" spans="6:18" x14ac:dyDescent="0.3">
      <c r="F1313" s="2">
        <f t="shared" si="25"/>
        <v>1296</v>
      </c>
      <c r="G1313" s="2" t="str">
        <f>IF(Iterations[[#This Row],[Step]] =current_step, current_a,IF(Iterations[[#This Row],[Step]] &gt; current_step, "",Iterations[[#This Row],[a]]))</f>
        <v/>
      </c>
      <c r="H1313" s="2" t="str">
        <f>IF(Iterations[[#This Row],[Step]] =current_step, current_b,IF(Iterations[[#This Row],[Step]] &gt; current_step, "",Iterations[[#This Row],[b]]))</f>
        <v/>
      </c>
      <c r="I1313" s="2" t="str">
        <f>IF(Iterations[[#This Row],[Step]] =current_step, current_c,IF(Iterations[[#This Row],[Step]] &gt; current_step, "",Iterations[[#This Row],[c]]))</f>
        <v/>
      </c>
      <c r="J1313" s="2" t="str">
        <f>IF(Iterations[[#This Row],[Step]] =current_step, current_d,IF(Iterations[[#This Row],[Step]] &gt; current_step, "",Iterations[[#This Row],[d]]))</f>
        <v/>
      </c>
      <c r="K1313" s="2" t="str">
        <f>IF(Iterations[[#This Row],[Step]] =current_step, current_e,IF(Iterations[[#This Row],[Step]] &gt; current_step, "",Iterations[[#This Row],[e]]))</f>
        <v/>
      </c>
      <c r="L1313" s="2" t="str">
        <f>IF(Iterations[[#This Row],[Step]] =current_step, current_Total_Loss,IF(Iterations[[#This Row],[Step]] &gt; current_step, "",Iterations[[#This Row],[Total Loss]]))</f>
        <v/>
      </c>
      <c r="M1313" s="6" t="s">
        <v>27</v>
      </c>
      <c r="N1313" s="2" t="str">
        <f>IF(Iterations[[#This Row],[Step]] =current_step, current_Grad_a,IF(Iterations[[#This Row],[Step]] &gt; current_step, "",Iterations[[#This Row],[Grad_a]]))</f>
        <v/>
      </c>
      <c r="O1313" s="2" t="str">
        <f>IF(Iterations[[#This Row],[Step]] =current_step, current_Grad_b,IF(Iterations[[#This Row],[Step]] &gt; current_step, "",Iterations[[#This Row],[Grad_b]]))</f>
        <v/>
      </c>
      <c r="P1313" s="2" t="str">
        <f>IF(Iterations[[#This Row],[Step]] =current_step, current_Grad_c,IF(Iterations[[#This Row],[Step]] &gt; current_step, "",Iterations[[#This Row],[Grad_c]]))</f>
        <v/>
      </c>
      <c r="Q1313" s="2" t="str">
        <f>IF(Iterations[[#This Row],[Step]] =current_step, current_Grad_d,IF(Iterations[[#This Row],[Step]] &gt; current_step, "",Iterations[[#This Row],[Grad_d]]))</f>
        <v/>
      </c>
      <c r="R1313" s="2" t="str">
        <f>IF(Iterations[[#This Row],[Step]] =current_step, current_Grad_e,IF(Iterations[[#This Row],[Step]] &gt; current_step, "",Iterations[[#This Row],[Grad_e]]))</f>
        <v/>
      </c>
    </row>
    <row r="1314" spans="6:18" x14ac:dyDescent="0.3">
      <c r="F1314" s="2">
        <f t="shared" si="25"/>
        <v>1297</v>
      </c>
      <c r="G1314" s="2" t="str">
        <f>IF(Iterations[[#This Row],[Step]] =current_step, current_a,IF(Iterations[[#This Row],[Step]] &gt; current_step, "",Iterations[[#This Row],[a]]))</f>
        <v/>
      </c>
      <c r="H1314" s="2" t="str">
        <f>IF(Iterations[[#This Row],[Step]] =current_step, current_b,IF(Iterations[[#This Row],[Step]] &gt; current_step, "",Iterations[[#This Row],[b]]))</f>
        <v/>
      </c>
      <c r="I1314" s="2" t="str">
        <f>IF(Iterations[[#This Row],[Step]] =current_step, current_c,IF(Iterations[[#This Row],[Step]] &gt; current_step, "",Iterations[[#This Row],[c]]))</f>
        <v/>
      </c>
      <c r="J1314" s="2" t="str">
        <f>IF(Iterations[[#This Row],[Step]] =current_step, current_d,IF(Iterations[[#This Row],[Step]] &gt; current_step, "",Iterations[[#This Row],[d]]))</f>
        <v/>
      </c>
      <c r="K1314" s="2" t="str">
        <f>IF(Iterations[[#This Row],[Step]] =current_step, current_e,IF(Iterations[[#This Row],[Step]] &gt; current_step, "",Iterations[[#This Row],[e]]))</f>
        <v/>
      </c>
      <c r="L1314" s="2" t="str">
        <f>IF(Iterations[[#This Row],[Step]] =current_step, current_Total_Loss,IF(Iterations[[#This Row],[Step]] &gt; current_step, "",Iterations[[#This Row],[Total Loss]]))</f>
        <v/>
      </c>
      <c r="M1314" s="6" t="s">
        <v>27</v>
      </c>
      <c r="N1314" s="2" t="str">
        <f>IF(Iterations[[#This Row],[Step]] =current_step, current_Grad_a,IF(Iterations[[#This Row],[Step]] &gt; current_step, "",Iterations[[#This Row],[Grad_a]]))</f>
        <v/>
      </c>
      <c r="O1314" s="2" t="str">
        <f>IF(Iterations[[#This Row],[Step]] =current_step, current_Grad_b,IF(Iterations[[#This Row],[Step]] &gt; current_step, "",Iterations[[#This Row],[Grad_b]]))</f>
        <v/>
      </c>
      <c r="P1314" s="2" t="str">
        <f>IF(Iterations[[#This Row],[Step]] =current_step, current_Grad_c,IF(Iterations[[#This Row],[Step]] &gt; current_step, "",Iterations[[#This Row],[Grad_c]]))</f>
        <v/>
      </c>
      <c r="Q1314" s="2" t="str">
        <f>IF(Iterations[[#This Row],[Step]] =current_step, current_Grad_d,IF(Iterations[[#This Row],[Step]] &gt; current_step, "",Iterations[[#This Row],[Grad_d]]))</f>
        <v/>
      </c>
      <c r="R1314" s="2" t="str">
        <f>IF(Iterations[[#This Row],[Step]] =current_step, current_Grad_e,IF(Iterations[[#This Row],[Step]] &gt; current_step, "",Iterations[[#This Row],[Grad_e]]))</f>
        <v/>
      </c>
    </row>
    <row r="1315" spans="6:18" x14ac:dyDescent="0.3">
      <c r="F1315" s="2">
        <f t="shared" si="25"/>
        <v>1298</v>
      </c>
      <c r="G1315" s="2" t="str">
        <f>IF(Iterations[[#This Row],[Step]] =current_step, current_a,IF(Iterations[[#This Row],[Step]] &gt; current_step, "",Iterations[[#This Row],[a]]))</f>
        <v/>
      </c>
      <c r="H1315" s="2" t="str">
        <f>IF(Iterations[[#This Row],[Step]] =current_step, current_b,IF(Iterations[[#This Row],[Step]] &gt; current_step, "",Iterations[[#This Row],[b]]))</f>
        <v/>
      </c>
      <c r="I1315" s="2" t="str">
        <f>IF(Iterations[[#This Row],[Step]] =current_step, current_c,IF(Iterations[[#This Row],[Step]] &gt; current_step, "",Iterations[[#This Row],[c]]))</f>
        <v/>
      </c>
      <c r="J1315" s="2" t="str">
        <f>IF(Iterations[[#This Row],[Step]] =current_step, current_d,IF(Iterations[[#This Row],[Step]] &gt; current_step, "",Iterations[[#This Row],[d]]))</f>
        <v/>
      </c>
      <c r="K1315" s="2" t="str">
        <f>IF(Iterations[[#This Row],[Step]] =current_step, current_e,IF(Iterations[[#This Row],[Step]] &gt; current_step, "",Iterations[[#This Row],[e]]))</f>
        <v/>
      </c>
      <c r="L1315" s="2" t="str">
        <f>IF(Iterations[[#This Row],[Step]] =current_step, current_Total_Loss,IF(Iterations[[#This Row],[Step]] &gt; current_step, "",Iterations[[#This Row],[Total Loss]]))</f>
        <v/>
      </c>
      <c r="M1315" s="6" t="s">
        <v>27</v>
      </c>
      <c r="N1315" s="2" t="str">
        <f>IF(Iterations[[#This Row],[Step]] =current_step, current_Grad_a,IF(Iterations[[#This Row],[Step]] &gt; current_step, "",Iterations[[#This Row],[Grad_a]]))</f>
        <v/>
      </c>
      <c r="O1315" s="2" t="str">
        <f>IF(Iterations[[#This Row],[Step]] =current_step, current_Grad_b,IF(Iterations[[#This Row],[Step]] &gt; current_step, "",Iterations[[#This Row],[Grad_b]]))</f>
        <v/>
      </c>
      <c r="P1315" s="2" t="str">
        <f>IF(Iterations[[#This Row],[Step]] =current_step, current_Grad_c,IF(Iterations[[#This Row],[Step]] &gt; current_step, "",Iterations[[#This Row],[Grad_c]]))</f>
        <v/>
      </c>
      <c r="Q1315" s="2" t="str">
        <f>IF(Iterations[[#This Row],[Step]] =current_step, current_Grad_d,IF(Iterations[[#This Row],[Step]] &gt; current_step, "",Iterations[[#This Row],[Grad_d]]))</f>
        <v/>
      </c>
      <c r="R1315" s="2" t="str">
        <f>IF(Iterations[[#This Row],[Step]] =current_step, current_Grad_e,IF(Iterations[[#This Row],[Step]] &gt; current_step, "",Iterations[[#This Row],[Grad_e]]))</f>
        <v/>
      </c>
    </row>
    <row r="1316" spans="6:18" x14ac:dyDescent="0.3">
      <c r="F1316" s="2">
        <f t="shared" si="25"/>
        <v>1299</v>
      </c>
      <c r="G1316" s="2" t="str">
        <f>IF(Iterations[[#This Row],[Step]] =current_step, current_a,IF(Iterations[[#This Row],[Step]] &gt; current_step, "",Iterations[[#This Row],[a]]))</f>
        <v/>
      </c>
      <c r="H1316" s="2" t="str">
        <f>IF(Iterations[[#This Row],[Step]] =current_step, current_b,IF(Iterations[[#This Row],[Step]] &gt; current_step, "",Iterations[[#This Row],[b]]))</f>
        <v/>
      </c>
      <c r="I1316" s="2" t="str">
        <f>IF(Iterations[[#This Row],[Step]] =current_step, current_c,IF(Iterations[[#This Row],[Step]] &gt; current_step, "",Iterations[[#This Row],[c]]))</f>
        <v/>
      </c>
      <c r="J1316" s="2" t="str">
        <f>IF(Iterations[[#This Row],[Step]] =current_step, current_d,IF(Iterations[[#This Row],[Step]] &gt; current_step, "",Iterations[[#This Row],[d]]))</f>
        <v/>
      </c>
      <c r="K1316" s="2" t="str">
        <f>IF(Iterations[[#This Row],[Step]] =current_step, current_e,IF(Iterations[[#This Row],[Step]] &gt; current_step, "",Iterations[[#This Row],[e]]))</f>
        <v/>
      </c>
      <c r="L1316" s="2" t="str">
        <f>IF(Iterations[[#This Row],[Step]] =current_step, current_Total_Loss,IF(Iterations[[#This Row],[Step]] &gt; current_step, "",Iterations[[#This Row],[Total Loss]]))</f>
        <v/>
      </c>
      <c r="M1316" s="6" t="s">
        <v>27</v>
      </c>
      <c r="N1316" s="2" t="str">
        <f>IF(Iterations[[#This Row],[Step]] =current_step, current_Grad_a,IF(Iterations[[#This Row],[Step]] &gt; current_step, "",Iterations[[#This Row],[Grad_a]]))</f>
        <v/>
      </c>
      <c r="O1316" s="2" t="str">
        <f>IF(Iterations[[#This Row],[Step]] =current_step, current_Grad_b,IF(Iterations[[#This Row],[Step]] &gt; current_step, "",Iterations[[#This Row],[Grad_b]]))</f>
        <v/>
      </c>
      <c r="P1316" s="2" t="str">
        <f>IF(Iterations[[#This Row],[Step]] =current_step, current_Grad_c,IF(Iterations[[#This Row],[Step]] &gt; current_step, "",Iterations[[#This Row],[Grad_c]]))</f>
        <v/>
      </c>
      <c r="Q1316" s="2" t="str">
        <f>IF(Iterations[[#This Row],[Step]] =current_step, current_Grad_d,IF(Iterations[[#This Row],[Step]] &gt; current_step, "",Iterations[[#This Row],[Grad_d]]))</f>
        <v/>
      </c>
      <c r="R1316" s="2" t="str">
        <f>IF(Iterations[[#This Row],[Step]] =current_step, current_Grad_e,IF(Iterations[[#This Row],[Step]] &gt; current_step, "",Iterations[[#This Row],[Grad_e]]))</f>
        <v/>
      </c>
    </row>
    <row r="1317" spans="6:18" x14ac:dyDescent="0.3">
      <c r="F1317" s="2">
        <f t="shared" si="25"/>
        <v>1300</v>
      </c>
      <c r="G1317" s="2" t="str">
        <f>IF(Iterations[[#This Row],[Step]] =current_step, current_a,IF(Iterations[[#This Row],[Step]] &gt; current_step, "",Iterations[[#This Row],[a]]))</f>
        <v/>
      </c>
      <c r="H1317" s="2" t="str">
        <f>IF(Iterations[[#This Row],[Step]] =current_step, current_b,IF(Iterations[[#This Row],[Step]] &gt; current_step, "",Iterations[[#This Row],[b]]))</f>
        <v/>
      </c>
      <c r="I1317" s="2" t="str">
        <f>IF(Iterations[[#This Row],[Step]] =current_step, current_c,IF(Iterations[[#This Row],[Step]] &gt; current_step, "",Iterations[[#This Row],[c]]))</f>
        <v/>
      </c>
      <c r="J1317" s="2" t="str">
        <f>IF(Iterations[[#This Row],[Step]] =current_step, current_d,IF(Iterations[[#This Row],[Step]] &gt; current_step, "",Iterations[[#This Row],[d]]))</f>
        <v/>
      </c>
      <c r="K1317" s="2" t="str">
        <f>IF(Iterations[[#This Row],[Step]] =current_step, current_e,IF(Iterations[[#This Row],[Step]] &gt; current_step, "",Iterations[[#This Row],[e]]))</f>
        <v/>
      </c>
      <c r="L1317" s="2" t="str">
        <f>IF(Iterations[[#This Row],[Step]] =current_step, current_Total_Loss,IF(Iterations[[#This Row],[Step]] &gt; current_step, "",Iterations[[#This Row],[Total Loss]]))</f>
        <v/>
      </c>
      <c r="M1317" s="6" t="s">
        <v>27</v>
      </c>
      <c r="N1317" s="2" t="str">
        <f>IF(Iterations[[#This Row],[Step]] =current_step, current_Grad_a,IF(Iterations[[#This Row],[Step]] &gt; current_step, "",Iterations[[#This Row],[Grad_a]]))</f>
        <v/>
      </c>
      <c r="O1317" s="2" t="str">
        <f>IF(Iterations[[#This Row],[Step]] =current_step, current_Grad_b,IF(Iterations[[#This Row],[Step]] &gt; current_step, "",Iterations[[#This Row],[Grad_b]]))</f>
        <v/>
      </c>
      <c r="P1317" s="2" t="str">
        <f>IF(Iterations[[#This Row],[Step]] =current_step, current_Grad_c,IF(Iterations[[#This Row],[Step]] &gt; current_step, "",Iterations[[#This Row],[Grad_c]]))</f>
        <v/>
      </c>
      <c r="Q1317" s="2" t="str">
        <f>IF(Iterations[[#This Row],[Step]] =current_step, current_Grad_d,IF(Iterations[[#This Row],[Step]] &gt; current_step, "",Iterations[[#This Row],[Grad_d]]))</f>
        <v/>
      </c>
      <c r="R1317" s="2" t="str">
        <f>IF(Iterations[[#This Row],[Step]] =current_step, current_Grad_e,IF(Iterations[[#This Row],[Step]] &gt; current_step, "",Iterations[[#This Row],[Grad_e]]))</f>
        <v/>
      </c>
    </row>
    <row r="1318" spans="6:18" x14ac:dyDescent="0.3">
      <c r="F1318" s="2">
        <f t="shared" si="25"/>
        <v>1301</v>
      </c>
      <c r="G1318" s="2" t="str">
        <f>IF(Iterations[[#This Row],[Step]] =current_step, current_a,IF(Iterations[[#This Row],[Step]] &gt; current_step, "",Iterations[[#This Row],[a]]))</f>
        <v/>
      </c>
      <c r="H1318" s="2" t="str">
        <f>IF(Iterations[[#This Row],[Step]] =current_step, current_b,IF(Iterations[[#This Row],[Step]] &gt; current_step, "",Iterations[[#This Row],[b]]))</f>
        <v/>
      </c>
      <c r="I1318" s="2" t="str">
        <f>IF(Iterations[[#This Row],[Step]] =current_step, current_c,IF(Iterations[[#This Row],[Step]] &gt; current_step, "",Iterations[[#This Row],[c]]))</f>
        <v/>
      </c>
      <c r="J1318" s="2" t="str">
        <f>IF(Iterations[[#This Row],[Step]] =current_step, current_d,IF(Iterations[[#This Row],[Step]] &gt; current_step, "",Iterations[[#This Row],[d]]))</f>
        <v/>
      </c>
      <c r="K1318" s="2" t="str">
        <f>IF(Iterations[[#This Row],[Step]] =current_step, current_e,IF(Iterations[[#This Row],[Step]] &gt; current_step, "",Iterations[[#This Row],[e]]))</f>
        <v/>
      </c>
      <c r="L1318" s="2" t="str">
        <f>IF(Iterations[[#This Row],[Step]] =current_step, current_Total_Loss,IF(Iterations[[#This Row],[Step]] &gt; current_step, "",Iterations[[#This Row],[Total Loss]]))</f>
        <v/>
      </c>
      <c r="M1318" s="6" t="s">
        <v>27</v>
      </c>
      <c r="N1318" s="2" t="str">
        <f>IF(Iterations[[#This Row],[Step]] =current_step, current_Grad_a,IF(Iterations[[#This Row],[Step]] &gt; current_step, "",Iterations[[#This Row],[Grad_a]]))</f>
        <v/>
      </c>
      <c r="O1318" s="2" t="str">
        <f>IF(Iterations[[#This Row],[Step]] =current_step, current_Grad_b,IF(Iterations[[#This Row],[Step]] &gt; current_step, "",Iterations[[#This Row],[Grad_b]]))</f>
        <v/>
      </c>
      <c r="P1318" s="2" t="str">
        <f>IF(Iterations[[#This Row],[Step]] =current_step, current_Grad_c,IF(Iterations[[#This Row],[Step]] &gt; current_step, "",Iterations[[#This Row],[Grad_c]]))</f>
        <v/>
      </c>
      <c r="Q1318" s="2" t="str">
        <f>IF(Iterations[[#This Row],[Step]] =current_step, current_Grad_d,IF(Iterations[[#This Row],[Step]] &gt; current_step, "",Iterations[[#This Row],[Grad_d]]))</f>
        <v/>
      </c>
      <c r="R1318" s="2" t="str">
        <f>IF(Iterations[[#This Row],[Step]] =current_step, current_Grad_e,IF(Iterations[[#This Row],[Step]] &gt; current_step, "",Iterations[[#This Row],[Grad_e]]))</f>
        <v/>
      </c>
    </row>
    <row r="1319" spans="6:18" x14ac:dyDescent="0.3">
      <c r="F1319" s="2">
        <f t="shared" si="25"/>
        <v>1302</v>
      </c>
      <c r="G1319" s="2" t="str">
        <f>IF(Iterations[[#This Row],[Step]] =current_step, current_a,IF(Iterations[[#This Row],[Step]] &gt; current_step, "",Iterations[[#This Row],[a]]))</f>
        <v/>
      </c>
      <c r="H1319" s="2" t="str">
        <f>IF(Iterations[[#This Row],[Step]] =current_step, current_b,IF(Iterations[[#This Row],[Step]] &gt; current_step, "",Iterations[[#This Row],[b]]))</f>
        <v/>
      </c>
      <c r="I1319" s="2" t="str">
        <f>IF(Iterations[[#This Row],[Step]] =current_step, current_c,IF(Iterations[[#This Row],[Step]] &gt; current_step, "",Iterations[[#This Row],[c]]))</f>
        <v/>
      </c>
      <c r="J1319" s="2" t="str">
        <f>IF(Iterations[[#This Row],[Step]] =current_step, current_d,IF(Iterations[[#This Row],[Step]] &gt; current_step, "",Iterations[[#This Row],[d]]))</f>
        <v/>
      </c>
      <c r="K1319" s="2" t="str">
        <f>IF(Iterations[[#This Row],[Step]] =current_step, current_e,IF(Iterations[[#This Row],[Step]] &gt; current_step, "",Iterations[[#This Row],[e]]))</f>
        <v/>
      </c>
      <c r="L1319" s="2" t="str">
        <f>IF(Iterations[[#This Row],[Step]] =current_step, current_Total_Loss,IF(Iterations[[#This Row],[Step]] &gt; current_step, "",Iterations[[#This Row],[Total Loss]]))</f>
        <v/>
      </c>
      <c r="M1319" s="6" t="s">
        <v>27</v>
      </c>
      <c r="N1319" s="2" t="str">
        <f>IF(Iterations[[#This Row],[Step]] =current_step, current_Grad_a,IF(Iterations[[#This Row],[Step]] &gt; current_step, "",Iterations[[#This Row],[Grad_a]]))</f>
        <v/>
      </c>
      <c r="O1319" s="2" t="str">
        <f>IF(Iterations[[#This Row],[Step]] =current_step, current_Grad_b,IF(Iterations[[#This Row],[Step]] &gt; current_step, "",Iterations[[#This Row],[Grad_b]]))</f>
        <v/>
      </c>
      <c r="P1319" s="2" t="str">
        <f>IF(Iterations[[#This Row],[Step]] =current_step, current_Grad_c,IF(Iterations[[#This Row],[Step]] &gt; current_step, "",Iterations[[#This Row],[Grad_c]]))</f>
        <v/>
      </c>
      <c r="Q1319" s="2" t="str">
        <f>IF(Iterations[[#This Row],[Step]] =current_step, current_Grad_d,IF(Iterations[[#This Row],[Step]] &gt; current_step, "",Iterations[[#This Row],[Grad_d]]))</f>
        <v/>
      </c>
      <c r="R1319" s="2" t="str">
        <f>IF(Iterations[[#This Row],[Step]] =current_step, current_Grad_e,IF(Iterations[[#This Row],[Step]] &gt; current_step, "",Iterations[[#This Row],[Grad_e]]))</f>
        <v/>
      </c>
    </row>
    <row r="1320" spans="6:18" x14ac:dyDescent="0.3">
      <c r="F1320" s="2">
        <f t="shared" si="25"/>
        <v>1303</v>
      </c>
      <c r="G1320" s="2" t="str">
        <f>IF(Iterations[[#This Row],[Step]] =current_step, current_a,IF(Iterations[[#This Row],[Step]] &gt; current_step, "",Iterations[[#This Row],[a]]))</f>
        <v/>
      </c>
      <c r="H1320" s="2" t="str">
        <f>IF(Iterations[[#This Row],[Step]] =current_step, current_b,IF(Iterations[[#This Row],[Step]] &gt; current_step, "",Iterations[[#This Row],[b]]))</f>
        <v/>
      </c>
      <c r="I1320" s="2" t="str">
        <f>IF(Iterations[[#This Row],[Step]] =current_step, current_c,IF(Iterations[[#This Row],[Step]] &gt; current_step, "",Iterations[[#This Row],[c]]))</f>
        <v/>
      </c>
      <c r="J1320" s="2" t="str">
        <f>IF(Iterations[[#This Row],[Step]] =current_step, current_d,IF(Iterations[[#This Row],[Step]] &gt; current_step, "",Iterations[[#This Row],[d]]))</f>
        <v/>
      </c>
      <c r="K1320" s="2" t="str">
        <f>IF(Iterations[[#This Row],[Step]] =current_step, current_e,IF(Iterations[[#This Row],[Step]] &gt; current_step, "",Iterations[[#This Row],[e]]))</f>
        <v/>
      </c>
      <c r="L1320" s="2" t="str">
        <f>IF(Iterations[[#This Row],[Step]] =current_step, current_Total_Loss,IF(Iterations[[#This Row],[Step]] &gt; current_step, "",Iterations[[#This Row],[Total Loss]]))</f>
        <v/>
      </c>
      <c r="M1320" s="6" t="s">
        <v>27</v>
      </c>
      <c r="N1320" s="2" t="str">
        <f>IF(Iterations[[#This Row],[Step]] =current_step, current_Grad_a,IF(Iterations[[#This Row],[Step]] &gt; current_step, "",Iterations[[#This Row],[Grad_a]]))</f>
        <v/>
      </c>
      <c r="O1320" s="2" t="str">
        <f>IF(Iterations[[#This Row],[Step]] =current_step, current_Grad_b,IF(Iterations[[#This Row],[Step]] &gt; current_step, "",Iterations[[#This Row],[Grad_b]]))</f>
        <v/>
      </c>
      <c r="P1320" s="2" t="str">
        <f>IF(Iterations[[#This Row],[Step]] =current_step, current_Grad_c,IF(Iterations[[#This Row],[Step]] &gt; current_step, "",Iterations[[#This Row],[Grad_c]]))</f>
        <v/>
      </c>
      <c r="Q1320" s="2" t="str">
        <f>IF(Iterations[[#This Row],[Step]] =current_step, current_Grad_d,IF(Iterations[[#This Row],[Step]] &gt; current_step, "",Iterations[[#This Row],[Grad_d]]))</f>
        <v/>
      </c>
      <c r="R1320" s="2" t="str">
        <f>IF(Iterations[[#This Row],[Step]] =current_step, current_Grad_e,IF(Iterations[[#This Row],[Step]] &gt; current_step, "",Iterations[[#This Row],[Grad_e]]))</f>
        <v/>
      </c>
    </row>
    <row r="1321" spans="6:18" x14ac:dyDescent="0.3">
      <c r="F1321" s="2">
        <f t="shared" si="25"/>
        <v>1304</v>
      </c>
      <c r="G1321" s="2" t="str">
        <f>IF(Iterations[[#This Row],[Step]] =current_step, current_a,IF(Iterations[[#This Row],[Step]] &gt; current_step, "",Iterations[[#This Row],[a]]))</f>
        <v/>
      </c>
      <c r="H1321" s="2" t="str">
        <f>IF(Iterations[[#This Row],[Step]] =current_step, current_b,IF(Iterations[[#This Row],[Step]] &gt; current_step, "",Iterations[[#This Row],[b]]))</f>
        <v/>
      </c>
      <c r="I1321" s="2" t="str">
        <f>IF(Iterations[[#This Row],[Step]] =current_step, current_c,IF(Iterations[[#This Row],[Step]] &gt; current_step, "",Iterations[[#This Row],[c]]))</f>
        <v/>
      </c>
      <c r="J1321" s="2" t="str">
        <f>IF(Iterations[[#This Row],[Step]] =current_step, current_d,IF(Iterations[[#This Row],[Step]] &gt; current_step, "",Iterations[[#This Row],[d]]))</f>
        <v/>
      </c>
      <c r="K1321" s="2" t="str">
        <f>IF(Iterations[[#This Row],[Step]] =current_step, current_e,IF(Iterations[[#This Row],[Step]] &gt; current_step, "",Iterations[[#This Row],[e]]))</f>
        <v/>
      </c>
      <c r="L1321" s="2" t="str">
        <f>IF(Iterations[[#This Row],[Step]] =current_step, current_Total_Loss,IF(Iterations[[#This Row],[Step]] &gt; current_step, "",Iterations[[#This Row],[Total Loss]]))</f>
        <v/>
      </c>
      <c r="M1321" s="6" t="s">
        <v>27</v>
      </c>
      <c r="N1321" s="2" t="str">
        <f>IF(Iterations[[#This Row],[Step]] =current_step, current_Grad_a,IF(Iterations[[#This Row],[Step]] &gt; current_step, "",Iterations[[#This Row],[Grad_a]]))</f>
        <v/>
      </c>
      <c r="O1321" s="2" t="str">
        <f>IF(Iterations[[#This Row],[Step]] =current_step, current_Grad_b,IF(Iterations[[#This Row],[Step]] &gt; current_step, "",Iterations[[#This Row],[Grad_b]]))</f>
        <v/>
      </c>
      <c r="P1321" s="2" t="str">
        <f>IF(Iterations[[#This Row],[Step]] =current_step, current_Grad_c,IF(Iterations[[#This Row],[Step]] &gt; current_step, "",Iterations[[#This Row],[Grad_c]]))</f>
        <v/>
      </c>
      <c r="Q1321" s="2" t="str">
        <f>IF(Iterations[[#This Row],[Step]] =current_step, current_Grad_d,IF(Iterations[[#This Row],[Step]] &gt; current_step, "",Iterations[[#This Row],[Grad_d]]))</f>
        <v/>
      </c>
      <c r="R1321" s="2" t="str">
        <f>IF(Iterations[[#This Row],[Step]] =current_step, current_Grad_e,IF(Iterations[[#This Row],[Step]] &gt; current_step, "",Iterations[[#This Row],[Grad_e]]))</f>
        <v/>
      </c>
    </row>
    <row r="1322" spans="6:18" x14ac:dyDescent="0.3">
      <c r="F1322" s="2">
        <f t="shared" si="25"/>
        <v>1305</v>
      </c>
      <c r="G1322" s="2" t="str">
        <f>IF(Iterations[[#This Row],[Step]] =current_step, current_a,IF(Iterations[[#This Row],[Step]] &gt; current_step, "",Iterations[[#This Row],[a]]))</f>
        <v/>
      </c>
      <c r="H1322" s="2" t="str">
        <f>IF(Iterations[[#This Row],[Step]] =current_step, current_b,IF(Iterations[[#This Row],[Step]] &gt; current_step, "",Iterations[[#This Row],[b]]))</f>
        <v/>
      </c>
      <c r="I1322" s="2" t="str">
        <f>IF(Iterations[[#This Row],[Step]] =current_step, current_c,IF(Iterations[[#This Row],[Step]] &gt; current_step, "",Iterations[[#This Row],[c]]))</f>
        <v/>
      </c>
      <c r="J1322" s="2" t="str">
        <f>IF(Iterations[[#This Row],[Step]] =current_step, current_d,IF(Iterations[[#This Row],[Step]] &gt; current_step, "",Iterations[[#This Row],[d]]))</f>
        <v/>
      </c>
      <c r="K1322" s="2" t="str">
        <f>IF(Iterations[[#This Row],[Step]] =current_step, current_e,IF(Iterations[[#This Row],[Step]] &gt; current_step, "",Iterations[[#This Row],[e]]))</f>
        <v/>
      </c>
      <c r="L1322" s="2" t="str">
        <f>IF(Iterations[[#This Row],[Step]] =current_step, current_Total_Loss,IF(Iterations[[#This Row],[Step]] &gt; current_step, "",Iterations[[#This Row],[Total Loss]]))</f>
        <v/>
      </c>
      <c r="M1322" s="6" t="s">
        <v>27</v>
      </c>
      <c r="N1322" s="2" t="str">
        <f>IF(Iterations[[#This Row],[Step]] =current_step, current_Grad_a,IF(Iterations[[#This Row],[Step]] &gt; current_step, "",Iterations[[#This Row],[Grad_a]]))</f>
        <v/>
      </c>
      <c r="O1322" s="2" t="str">
        <f>IF(Iterations[[#This Row],[Step]] =current_step, current_Grad_b,IF(Iterations[[#This Row],[Step]] &gt; current_step, "",Iterations[[#This Row],[Grad_b]]))</f>
        <v/>
      </c>
      <c r="P1322" s="2" t="str">
        <f>IF(Iterations[[#This Row],[Step]] =current_step, current_Grad_c,IF(Iterations[[#This Row],[Step]] &gt; current_step, "",Iterations[[#This Row],[Grad_c]]))</f>
        <v/>
      </c>
      <c r="Q1322" s="2" t="str">
        <f>IF(Iterations[[#This Row],[Step]] =current_step, current_Grad_d,IF(Iterations[[#This Row],[Step]] &gt; current_step, "",Iterations[[#This Row],[Grad_d]]))</f>
        <v/>
      </c>
      <c r="R1322" s="2" t="str">
        <f>IF(Iterations[[#This Row],[Step]] =current_step, current_Grad_e,IF(Iterations[[#This Row],[Step]] &gt; current_step, "",Iterations[[#This Row],[Grad_e]]))</f>
        <v/>
      </c>
    </row>
    <row r="1323" spans="6:18" x14ac:dyDescent="0.3">
      <c r="F1323" s="2">
        <f t="shared" si="25"/>
        <v>1306</v>
      </c>
      <c r="G1323" s="2" t="str">
        <f>IF(Iterations[[#This Row],[Step]] =current_step, current_a,IF(Iterations[[#This Row],[Step]] &gt; current_step, "",Iterations[[#This Row],[a]]))</f>
        <v/>
      </c>
      <c r="H1323" s="2" t="str">
        <f>IF(Iterations[[#This Row],[Step]] =current_step, current_b,IF(Iterations[[#This Row],[Step]] &gt; current_step, "",Iterations[[#This Row],[b]]))</f>
        <v/>
      </c>
      <c r="I1323" s="2" t="str">
        <f>IF(Iterations[[#This Row],[Step]] =current_step, current_c,IF(Iterations[[#This Row],[Step]] &gt; current_step, "",Iterations[[#This Row],[c]]))</f>
        <v/>
      </c>
      <c r="J1323" s="2" t="str">
        <f>IF(Iterations[[#This Row],[Step]] =current_step, current_d,IF(Iterations[[#This Row],[Step]] &gt; current_step, "",Iterations[[#This Row],[d]]))</f>
        <v/>
      </c>
      <c r="K1323" s="2" t="str">
        <f>IF(Iterations[[#This Row],[Step]] =current_step, current_e,IF(Iterations[[#This Row],[Step]] &gt; current_step, "",Iterations[[#This Row],[e]]))</f>
        <v/>
      </c>
      <c r="L1323" s="2" t="str">
        <f>IF(Iterations[[#This Row],[Step]] =current_step, current_Total_Loss,IF(Iterations[[#This Row],[Step]] &gt; current_step, "",Iterations[[#This Row],[Total Loss]]))</f>
        <v/>
      </c>
      <c r="M1323" s="6" t="s">
        <v>27</v>
      </c>
      <c r="N1323" s="2" t="str">
        <f>IF(Iterations[[#This Row],[Step]] =current_step, current_Grad_a,IF(Iterations[[#This Row],[Step]] &gt; current_step, "",Iterations[[#This Row],[Grad_a]]))</f>
        <v/>
      </c>
      <c r="O1323" s="2" t="str">
        <f>IF(Iterations[[#This Row],[Step]] =current_step, current_Grad_b,IF(Iterations[[#This Row],[Step]] &gt; current_step, "",Iterations[[#This Row],[Grad_b]]))</f>
        <v/>
      </c>
      <c r="P1323" s="2" t="str">
        <f>IF(Iterations[[#This Row],[Step]] =current_step, current_Grad_c,IF(Iterations[[#This Row],[Step]] &gt; current_step, "",Iterations[[#This Row],[Grad_c]]))</f>
        <v/>
      </c>
      <c r="Q1323" s="2" t="str">
        <f>IF(Iterations[[#This Row],[Step]] =current_step, current_Grad_d,IF(Iterations[[#This Row],[Step]] &gt; current_step, "",Iterations[[#This Row],[Grad_d]]))</f>
        <v/>
      </c>
      <c r="R1323" s="2" t="str">
        <f>IF(Iterations[[#This Row],[Step]] =current_step, current_Grad_e,IF(Iterations[[#This Row],[Step]] &gt; current_step, "",Iterations[[#This Row],[Grad_e]]))</f>
        <v/>
      </c>
    </row>
    <row r="1324" spans="6:18" x14ac:dyDescent="0.3">
      <c r="F1324" s="2">
        <f t="shared" si="25"/>
        <v>1307</v>
      </c>
      <c r="G1324" s="2" t="str">
        <f>IF(Iterations[[#This Row],[Step]] =current_step, current_a,IF(Iterations[[#This Row],[Step]] &gt; current_step, "",Iterations[[#This Row],[a]]))</f>
        <v/>
      </c>
      <c r="H1324" s="2" t="str">
        <f>IF(Iterations[[#This Row],[Step]] =current_step, current_b,IF(Iterations[[#This Row],[Step]] &gt; current_step, "",Iterations[[#This Row],[b]]))</f>
        <v/>
      </c>
      <c r="I1324" s="2" t="str">
        <f>IF(Iterations[[#This Row],[Step]] =current_step, current_c,IF(Iterations[[#This Row],[Step]] &gt; current_step, "",Iterations[[#This Row],[c]]))</f>
        <v/>
      </c>
      <c r="J1324" s="2" t="str">
        <f>IF(Iterations[[#This Row],[Step]] =current_step, current_d,IF(Iterations[[#This Row],[Step]] &gt; current_step, "",Iterations[[#This Row],[d]]))</f>
        <v/>
      </c>
      <c r="K1324" s="2" t="str">
        <f>IF(Iterations[[#This Row],[Step]] =current_step, current_e,IF(Iterations[[#This Row],[Step]] &gt; current_step, "",Iterations[[#This Row],[e]]))</f>
        <v/>
      </c>
      <c r="L1324" s="2" t="str">
        <f>IF(Iterations[[#This Row],[Step]] =current_step, current_Total_Loss,IF(Iterations[[#This Row],[Step]] &gt; current_step, "",Iterations[[#This Row],[Total Loss]]))</f>
        <v/>
      </c>
      <c r="M1324" s="6" t="s">
        <v>27</v>
      </c>
      <c r="N1324" s="2" t="str">
        <f>IF(Iterations[[#This Row],[Step]] =current_step, current_Grad_a,IF(Iterations[[#This Row],[Step]] &gt; current_step, "",Iterations[[#This Row],[Grad_a]]))</f>
        <v/>
      </c>
      <c r="O1324" s="2" t="str">
        <f>IF(Iterations[[#This Row],[Step]] =current_step, current_Grad_b,IF(Iterations[[#This Row],[Step]] &gt; current_step, "",Iterations[[#This Row],[Grad_b]]))</f>
        <v/>
      </c>
      <c r="P1324" s="2" t="str">
        <f>IF(Iterations[[#This Row],[Step]] =current_step, current_Grad_c,IF(Iterations[[#This Row],[Step]] &gt; current_step, "",Iterations[[#This Row],[Grad_c]]))</f>
        <v/>
      </c>
      <c r="Q1324" s="2" t="str">
        <f>IF(Iterations[[#This Row],[Step]] =current_step, current_Grad_d,IF(Iterations[[#This Row],[Step]] &gt; current_step, "",Iterations[[#This Row],[Grad_d]]))</f>
        <v/>
      </c>
      <c r="R1324" s="2" t="str">
        <f>IF(Iterations[[#This Row],[Step]] =current_step, current_Grad_e,IF(Iterations[[#This Row],[Step]] &gt; current_step, "",Iterations[[#This Row],[Grad_e]]))</f>
        <v/>
      </c>
    </row>
    <row r="1325" spans="6:18" x14ac:dyDescent="0.3">
      <c r="F1325" s="2">
        <f t="shared" si="25"/>
        <v>1308</v>
      </c>
      <c r="G1325" s="2" t="str">
        <f>IF(Iterations[[#This Row],[Step]] =current_step, current_a,IF(Iterations[[#This Row],[Step]] &gt; current_step, "",Iterations[[#This Row],[a]]))</f>
        <v/>
      </c>
      <c r="H1325" s="2" t="str">
        <f>IF(Iterations[[#This Row],[Step]] =current_step, current_b,IF(Iterations[[#This Row],[Step]] &gt; current_step, "",Iterations[[#This Row],[b]]))</f>
        <v/>
      </c>
      <c r="I1325" s="2" t="str">
        <f>IF(Iterations[[#This Row],[Step]] =current_step, current_c,IF(Iterations[[#This Row],[Step]] &gt; current_step, "",Iterations[[#This Row],[c]]))</f>
        <v/>
      </c>
      <c r="J1325" s="2" t="str">
        <f>IF(Iterations[[#This Row],[Step]] =current_step, current_d,IF(Iterations[[#This Row],[Step]] &gt; current_step, "",Iterations[[#This Row],[d]]))</f>
        <v/>
      </c>
      <c r="K1325" s="2" t="str">
        <f>IF(Iterations[[#This Row],[Step]] =current_step, current_e,IF(Iterations[[#This Row],[Step]] &gt; current_step, "",Iterations[[#This Row],[e]]))</f>
        <v/>
      </c>
      <c r="L1325" s="2" t="str">
        <f>IF(Iterations[[#This Row],[Step]] =current_step, current_Total_Loss,IF(Iterations[[#This Row],[Step]] &gt; current_step, "",Iterations[[#This Row],[Total Loss]]))</f>
        <v/>
      </c>
      <c r="M1325" s="6" t="s">
        <v>27</v>
      </c>
      <c r="N1325" s="2" t="str">
        <f>IF(Iterations[[#This Row],[Step]] =current_step, current_Grad_a,IF(Iterations[[#This Row],[Step]] &gt; current_step, "",Iterations[[#This Row],[Grad_a]]))</f>
        <v/>
      </c>
      <c r="O1325" s="2" t="str">
        <f>IF(Iterations[[#This Row],[Step]] =current_step, current_Grad_b,IF(Iterations[[#This Row],[Step]] &gt; current_step, "",Iterations[[#This Row],[Grad_b]]))</f>
        <v/>
      </c>
      <c r="P1325" s="2" t="str">
        <f>IF(Iterations[[#This Row],[Step]] =current_step, current_Grad_c,IF(Iterations[[#This Row],[Step]] &gt; current_step, "",Iterations[[#This Row],[Grad_c]]))</f>
        <v/>
      </c>
      <c r="Q1325" s="2" t="str">
        <f>IF(Iterations[[#This Row],[Step]] =current_step, current_Grad_d,IF(Iterations[[#This Row],[Step]] &gt; current_step, "",Iterations[[#This Row],[Grad_d]]))</f>
        <v/>
      </c>
      <c r="R1325" s="2" t="str">
        <f>IF(Iterations[[#This Row],[Step]] =current_step, current_Grad_e,IF(Iterations[[#This Row],[Step]] &gt; current_step, "",Iterations[[#This Row],[Grad_e]]))</f>
        <v/>
      </c>
    </row>
    <row r="1326" spans="6:18" x14ac:dyDescent="0.3">
      <c r="F1326" s="2">
        <f t="shared" si="25"/>
        <v>1309</v>
      </c>
      <c r="G1326" s="2" t="str">
        <f>IF(Iterations[[#This Row],[Step]] =current_step, current_a,IF(Iterations[[#This Row],[Step]] &gt; current_step, "",Iterations[[#This Row],[a]]))</f>
        <v/>
      </c>
      <c r="H1326" s="2" t="str">
        <f>IF(Iterations[[#This Row],[Step]] =current_step, current_b,IF(Iterations[[#This Row],[Step]] &gt; current_step, "",Iterations[[#This Row],[b]]))</f>
        <v/>
      </c>
      <c r="I1326" s="2" t="str">
        <f>IF(Iterations[[#This Row],[Step]] =current_step, current_c,IF(Iterations[[#This Row],[Step]] &gt; current_step, "",Iterations[[#This Row],[c]]))</f>
        <v/>
      </c>
      <c r="J1326" s="2" t="str">
        <f>IF(Iterations[[#This Row],[Step]] =current_step, current_d,IF(Iterations[[#This Row],[Step]] &gt; current_step, "",Iterations[[#This Row],[d]]))</f>
        <v/>
      </c>
      <c r="K1326" s="2" t="str">
        <f>IF(Iterations[[#This Row],[Step]] =current_step, current_e,IF(Iterations[[#This Row],[Step]] &gt; current_step, "",Iterations[[#This Row],[e]]))</f>
        <v/>
      </c>
      <c r="L1326" s="2" t="str">
        <f>IF(Iterations[[#This Row],[Step]] =current_step, current_Total_Loss,IF(Iterations[[#This Row],[Step]] &gt; current_step, "",Iterations[[#This Row],[Total Loss]]))</f>
        <v/>
      </c>
      <c r="M1326" s="6" t="s">
        <v>27</v>
      </c>
      <c r="N1326" s="2" t="str">
        <f>IF(Iterations[[#This Row],[Step]] =current_step, current_Grad_a,IF(Iterations[[#This Row],[Step]] &gt; current_step, "",Iterations[[#This Row],[Grad_a]]))</f>
        <v/>
      </c>
      <c r="O1326" s="2" t="str">
        <f>IF(Iterations[[#This Row],[Step]] =current_step, current_Grad_b,IF(Iterations[[#This Row],[Step]] &gt; current_step, "",Iterations[[#This Row],[Grad_b]]))</f>
        <v/>
      </c>
      <c r="P1326" s="2" t="str">
        <f>IF(Iterations[[#This Row],[Step]] =current_step, current_Grad_c,IF(Iterations[[#This Row],[Step]] &gt; current_step, "",Iterations[[#This Row],[Grad_c]]))</f>
        <v/>
      </c>
      <c r="Q1326" s="2" t="str">
        <f>IF(Iterations[[#This Row],[Step]] =current_step, current_Grad_d,IF(Iterations[[#This Row],[Step]] &gt; current_step, "",Iterations[[#This Row],[Grad_d]]))</f>
        <v/>
      </c>
      <c r="R1326" s="2" t="str">
        <f>IF(Iterations[[#This Row],[Step]] =current_step, current_Grad_e,IF(Iterations[[#This Row],[Step]] &gt; current_step, "",Iterations[[#This Row],[Grad_e]]))</f>
        <v/>
      </c>
    </row>
    <row r="1327" spans="6:18" x14ac:dyDescent="0.3">
      <c r="F1327" s="2">
        <f t="shared" si="25"/>
        <v>1310</v>
      </c>
      <c r="G1327" s="2" t="str">
        <f>IF(Iterations[[#This Row],[Step]] =current_step, current_a,IF(Iterations[[#This Row],[Step]] &gt; current_step, "",Iterations[[#This Row],[a]]))</f>
        <v/>
      </c>
      <c r="H1327" s="2" t="str">
        <f>IF(Iterations[[#This Row],[Step]] =current_step, current_b,IF(Iterations[[#This Row],[Step]] &gt; current_step, "",Iterations[[#This Row],[b]]))</f>
        <v/>
      </c>
      <c r="I1327" s="2" t="str">
        <f>IF(Iterations[[#This Row],[Step]] =current_step, current_c,IF(Iterations[[#This Row],[Step]] &gt; current_step, "",Iterations[[#This Row],[c]]))</f>
        <v/>
      </c>
      <c r="J1327" s="2" t="str">
        <f>IF(Iterations[[#This Row],[Step]] =current_step, current_d,IF(Iterations[[#This Row],[Step]] &gt; current_step, "",Iterations[[#This Row],[d]]))</f>
        <v/>
      </c>
      <c r="K1327" s="2" t="str">
        <f>IF(Iterations[[#This Row],[Step]] =current_step, current_e,IF(Iterations[[#This Row],[Step]] &gt; current_step, "",Iterations[[#This Row],[e]]))</f>
        <v/>
      </c>
      <c r="L1327" s="2" t="str">
        <f>IF(Iterations[[#This Row],[Step]] =current_step, current_Total_Loss,IF(Iterations[[#This Row],[Step]] &gt; current_step, "",Iterations[[#This Row],[Total Loss]]))</f>
        <v/>
      </c>
      <c r="M1327" s="6" t="s">
        <v>27</v>
      </c>
      <c r="N1327" s="2" t="str">
        <f>IF(Iterations[[#This Row],[Step]] =current_step, current_Grad_a,IF(Iterations[[#This Row],[Step]] &gt; current_step, "",Iterations[[#This Row],[Grad_a]]))</f>
        <v/>
      </c>
      <c r="O1327" s="2" t="str">
        <f>IF(Iterations[[#This Row],[Step]] =current_step, current_Grad_b,IF(Iterations[[#This Row],[Step]] &gt; current_step, "",Iterations[[#This Row],[Grad_b]]))</f>
        <v/>
      </c>
      <c r="P1327" s="2" t="str">
        <f>IF(Iterations[[#This Row],[Step]] =current_step, current_Grad_c,IF(Iterations[[#This Row],[Step]] &gt; current_step, "",Iterations[[#This Row],[Grad_c]]))</f>
        <v/>
      </c>
      <c r="Q1327" s="2" t="str">
        <f>IF(Iterations[[#This Row],[Step]] =current_step, current_Grad_d,IF(Iterations[[#This Row],[Step]] &gt; current_step, "",Iterations[[#This Row],[Grad_d]]))</f>
        <v/>
      </c>
      <c r="R1327" s="2" t="str">
        <f>IF(Iterations[[#This Row],[Step]] =current_step, current_Grad_e,IF(Iterations[[#This Row],[Step]] &gt; current_step, "",Iterations[[#This Row],[Grad_e]]))</f>
        <v/>
      </c>
    </row>
    <row r="1328" spans="6:18" x14ac:dyDescent="0.3">
      <c r="F1328" s="2">
        <f t="shared" si="25"/>
        <v>1311</v>
      </c>
      <c r="G1328" s="2" t="str">
        <f>IF(Iterations[[#This Row],[Step]] =current_step, current_a,IF(Iterations[[#This Row],[Step]] &gt; current_step, "",Iterations[[#This Row],[a]]))</f>
        <v/>
      </c>
      <c r="H1328" s="2" t="str">
        <f>IF(Iterations[[#This Row],[Step]] =current_step, current_b,IF(Iterations[[#This Row],[Step]] &gt; current_step, "",Iterations[[#This Row],[b]]))</f>
        <v/>
      </c>
      <c r="I1328" s="2" t="str">
        <f>IF(Iterations[[#This Row],[Step]] =current_step, current_c,IF(Iterations[[#This Row],[Step]] &gt; current_step, "",Iterations[[#This Row],[c]]))</f>
        <v/>
      </c>
      <c r="J1328" s="2" t="str">
        <f>IF(Iterations[[#This Row],[Step]] =current_step, current_d,IF(Iterations[[#This Row],[Step]] &gt; current_step, "",Iterations[[#This Row],[d]]))</f>
        <v/>
      </c>
      <c r="K1328" s="2" t="str">
        <f>IF(Iterations[[#This Row],[Step]] =current_step, current_e,IF(Iterations[[#This Row],[Step]] &gt; current_step, "",Iterations[[#This Row],[e]]))</f>
        <v/>
      </c>
      <c r="L1328" s="2" t="str">
        <f>IF(Iterations[[#This Row],[Step]] =current_step, current_Total_Loss,IF(Iterations[[#This Row],[Step]] &gt; current_step, "",Iterations[[#This Row],[Total Loss]]))</f>
        <v/>
      </c>
      <c r="M1328" s="6" t="s">
        <v>27</v>
      </c>
      <c r="N1328" s="2" t="str">
        <f>IF(Iterations[[#This Row],[Step]] =current_step, current_Grad_a,IF(Iterations[[#This Row],[Step]] &gt; current_step, "",Iterations[[#This Row],[Grad_a]]))</f>
        <v/>
      </c>
      <c r="O1328" s="2" t="str">
        <f>IF(Iterations[[#This Row],[Step]] =current_step, current_Grad_b,IF(Iterations[[#This Row],[Step]] &gt; current_step, "",Iterations[[#This Row],[Grad_b]]))</f>
        <v/>
      </c>
      <c r="P1328" s="2" t="str">
        <f>IF(Iterations[[#This Row],[Step]] =current_step, current_Grad_c,IF(Iterations[[#This Row],[Step]] &gt; current_step, "",Iterations[[#This Row],[Grad_c]]))</f>
        <v/>
      </c>
      <c r="Q1328" s="2" t="str">
        <f>IF(Iterations[[#This Row],[Step]] =current_step, current_Grad_d,IF(Iterations[[#This Row],[Step]] &gt; current_step, "",Iterations[[#This Row],[Grad_d]]))</f>
        <v/>
      </c>
      <c r="R1328" s="2" t="str">
        <f>IF(Iterations[[#This Row],[Step]] =current_step, current_Grad_e,IF(Iterations[[#This Row],[Step]] &gt; current_step, "",Iterations[[#This Row],[Grad_e]]))</f>
        <v/>
      </c>
    </row>
    <row r="1329" spans="6:18" x14ac:dyDescent="0.3">
      <c r="F1329" s="2">
        <f t="shared" si="25"/>
        <v>1312</v>
      </c>
      <c r="G1329" s="2" t="str">
        <f>IF(Iterations[[#This Row],[Step]] =current_step, current_a,IF(Iterations[[#This Row],[Step]] &gt; current_step, "",Iterations[[#This Row],[a]]))</f>
        <v/>
      </c>
      <c r="H1329" s="2" t="str">
        <f>IF(Iterations[[#This Row],[Step]] =current_step, current_b,IF(Iterations[[#This Row],[Step]] &gt; current_step, "",Iterations[[#This Row],[b]]))</f>
        <v/>
      </c>
      <c r="I1329" s="2" t="str">
        <f>IF(Iterations[[#This Row],[Step]] =current_step, current_c,IF(Iterations[[#This Row],[Step]] &gt; current_step, "",Iterations[[#This Row],[c]]))</f>
        <v/>
      </c>
      <c r="J1329" s="2" t="str">
        <f>IF(Iterations[[#This Row],[Step]] =current_step, current_d,IF(Iterations[[#This Row],[Step]] &gt; current_step, "",Iterations[[#This Row],[d]]))</f>
        <v/>
      </c>
      <c r="K1329" s="2" t="str">
        <f>IF(Iterations[[#This Row],[Step]] =current_step, current_e,IF(Iterations[[#This Row],[Step]] &gt; current_step, "",Iterations[[#This Row],[e]]))</f>
        <v/>
      </c>
      <c r="L1329" s="2" t="str">
        <f>IF(Iterations[[#This Row],[Step]] =current_step, current_Total_Loss,IF(Iterations[[#This Row],[Step]] &gt; current_step, "",Iterations[[#This Row],[Total Loss]]))</f>
        <v/>
      </c>
      <c r="M1329" s="6" t="s">
        <v>27</v>
      </c>
      <c r="N1329" s="2" t="str">
        <f>IF(Iterations[[#This Row],[Step]] =current_step, current_Grad_a,IF(Iterations[[#This Row],[Step]] &gt; current_step, "",Iterations[[#This Row],[Grad_a]]))</f>
        <v/>
      </c>
      <c r="O1329" s="2" t="str">
        <f>IF(Iterations[[#This Row],[Step]] =current_step, current_Grad_b,IF(Iterations[[#This Row],[Step]] &gt; current_step, "",Iterations[[#This Row],[Grad_b]]))</f>
        <v/>
      </c>
      <c r="P1329" s="2" t="str">
        <f>IF(Iterations[[#This Row],[Step]] =current_step, current_Grad_c,IF(Iterations[[#This Row],[Step]] &gt; current_step, "",Iterations[[#This Row],[Grad_c]]))</f>
        <v/>
      </c>
      <c r="Q1329" s="2" t="str">
        <f>IF(Iterations[[#This Row],[Step]] =current_step, current_Grad_d,IF(Iterations[[#This Row],[Step]] &gt; current_step, "",Iterations[[#This Row],[Grad_d]]))</f>
        <v/>
      </c>
      <c r="R1329" s="2" t="str">
        <f>IF(Iterations[[#This Row],[Step]] =current_step, current_Grad_e,IF(Iterations[[#This Row],[Step]] &gt; current_step, "",Iterations[[#This Row],[Grad_e]]))</f>
        <v/>
      </c>
    </row>
    <row r="1330" spans="6:18" x14ac:dyDescent="0.3">
      <c r="F1330" s="2">
        <f t="shared" si="25"/>
        <v>1313</v>
      </c>
      <c r="G1330" s="2" t="str">
        <f>IF(Iterations[[#This Row],[Step]] =current_step, current_a,IF(Iterations[[#This Row],[Step]] &gt; current_step, "",Iterations[[#This Row],[a]]))</f>
        <v/>
      </c>
      <c r="H1330" s="2" t="str">
        <f>IF(Iterations[[#This Row],[Step]] =current_step, current_b,IF(Iterations[[#This Row],[Step]] &gt; current_step, "",Iterations[[#This Row],[b]]))</f>
        <v/>
      </c>
      <c r="I1330" s="2" t="str">
        <f>IF(Iterations[[#This Row],[Step]] =current_step, current_c,IF(Iterations[[#This Row],[Step]] &gt; current_step, "",Iterations[[#This Row],[c]]))</f>
        <v/>
      </c>
      <c r="J1330" s="2" t="str">
        <f>IF(Iterations[[#This Row],[Step]] =current_step, current_d,IF(Iterations[[#This Row],[Step]] &gt; current_step, "",Iterations[[#This Row],[d]]))</f>
        <v/>
      </c>
      <c r="K1330" s="2" t="str">
        <f>IF(Iterations[[#This Row],[Step]] =current_step, current_e,IF(Iterations[[#This Row],[Step]] &gt; current_step, "",Iterations[[#This Row],[e]]))</f>
        <v/>
      </c>
      <c r="L1330" s="2" t="str">
        <f>IF(Iterations[[#This Row],[Step]] =current_step, current_Total_Loss,IF(Iterations[[#This Row],[Step]] &gt; current_step, "",Iterations[[#This Row],[Total Loss]]))</f>
        <v/>
      </c>
      <c r="M1330" s="6" t="s">
        <v>27</v>
      </c>
      <c r="N1330" s="2" t="str">
        <f>IF(Iterations[[#This Row],[Step]] =current_step, current_Grad_a,IF(Iterations[[#This Row],[Step]] &gt; current_step, "",Iterations[[#This Row],[Grad_a]]))</f>
        <v/>
      </c>
      <c r="O1330" s="2" t="str">
        <f>IF(Iterations[[#This Row],[Step]] =current_step, current_Grad_b,IF(Iterations[[#This Row],[Step]] &gt; current_step, "",Iterations[[#This Row],[Grad_b]]))</f>
        <v/>
      </c>
      <c r="P1330" s="2" t="str">
        <f>IF(Iterations[[#This Row],[Step]] =current_step, current_Grad_c,IF(Iterations[[#This Row],[Step]] &gt; current_step, "",Iterations[[#This Row],[Grad_c]]))</f>
        <v/>
      </c>
      <c r="Q1330" s="2" t="str">
        <f>IF(Iterations[[#This Row],[Step]] =current_step, current_Grad_d,IF(Iterations[[#This Row],[Step]] &gt; current_step, "",Iterations[[#This Row],[Grad_d]]))</f>
        <v/>
      </c>
      <c r="R1330" s="2" t="str">
        <f>IF(Iterations[[#This Row],[Step]] =current_step, current_Grad_e,IF(Iterations[[#This Row],[Step]] &gt; current_step, "",Iterations[[#This Row],[Grad_e]]))</f>
        <v/>
      </c>
    </row>
    <row r="1331" spans="6:18" x14ac:dyDescent="0.3">
      <c r="F1331" s="2">
        <f t="shared" si="25"/>
        <v>1314</v>
      </c>
      <c r="G1331" s="2" t="str">
        <f>IF(Iterations[[#This Row],[Step]] =current_step, current_a,IF(Iterations[[#This Row],[Step]] &gt; current_step, "",Iterations[[#This Row],[a]]))</f>
        <v/>
      </c>
      <c r="H1331" s="2" t="str">
        <f>IF(Iterations[[#This Row],[Step]] =current_step, current_b,IF(Iterations[[#This Row],[Step]] &gt; current_step, "",Iterations[[#This Row],[b]]))</f>
        <v/>
      </c>
      <c r="I1331" s="2" t="str">
        <f>IF(Iterations[[#This Row],[Step]] =current_step, current_c,IF(Iterations[[#This Row],[Step]] &gt; current_step, "",Iterations[[#This Row],[c]]))</f>
        <v/>
      </c>
      <c r="J1331" s="2" t="str">
        <f>IF(Iterations[[#This Row],[Step]] =current_step, current_d,IF(Iterations[[#This Row],[Step]] &gt; current_step, "",Iterations[[#This Row],[d]]))</f>
        <v/>
      </c>
      <c r="K1331" s="2" t="str">
        <f>IF(Iterations[[#This Row],[Step]] =current_step, current_e,IF(Iterations[[#This Row],[Step]] &gt; current_step, "",Iterations[[#This Row],[e]]))</f>
        <v/>
      </c>
      <c r="L1331" s="2" t="str">
        <f>IF(Iterations[[#This Row],[Step]] =current_step, current_Total_Loss,IF(Iterations[[#This Row],[Step]] &gt; current_step, "",Iterations[[#This Row],[Total Loss]]))</f>
        <v/>
      </c>
      <c r="M1331" s="6" t="s">
        <v>27</v>
      </c>
      <c r="N1331" s="2" t="str">
        <f>IF(Iterations[[#This Row],[Step]] =current_step, current_Grad_a,IF(Iterations[[#This Row],[Step]] &gt; current_step, "",Iterations[[#This Row],[Grad_a]]))</f>
        <v/>
      </c>
      <c r="O1331" s="2" t="str">
        <f>IF(Iterations[[#This Row],[Step]] =current_step, current_Grad_b,IF(Iterations[[#This Row],[Step]] &gt; current_step, "",Iterations[[#This Row],[Grad_b]]))</f>
        <v/>
      </c>
      <c r="P1331" s="2" t="str">
        <f>IF(Iterations[[#This Row],[Step]] =current_step, current_Grad_c,IF(Iterations[[#This Row],[Step]] &gt; current_step, "",Iterations[[#This Row],[Grad_c]]))</f>
        <v/>
      </c>
      <c r="Q1331" s="2" t="str">
        <f>IF(Iterations[[#This Row],[Step]] =current_step, current_Grad_d,IF(Iterations[[#This Row],[Step]] &gt; current_step, "",Iterations[[#This Row],[Grad_d]]))</f>
        <v/>
      </c>
      <c r="R1331" s="2" t="str">
        <f>IF(Iterations[[#This Row],[Step]] =current_step, current_Grad_e,IF(Iterations[[#This Row],[Step]] &gt; current_step, "",Iterations[[#This Row],[Grad_e]]))</f>
        <v/>
      </c>
    </row>
    <row r="1332" spans="6:18" x14ac:dyDescent="0.3">
      <c r="F1332" s="2">
        <f t="shared" si="25"/>
        <v>1315</v>
      </c>
      <c r="G1332" s="2" t="str">
        <f>IF(Iterations[[#This Row],[Step]] =current_step, current_a,IF(Iterations[[#This Row],[Step]] &gt; current_step, "",Iterations[[#This Row],[a]]))</f>
        <v/>
      </c>
      <c r="H1332" s="2" t="str">
        <f>IF(Iterations[[#This Row],[Step]] =current_step, current_b,IF(Iterations[[#This Row],[Step]] &gt; current_step, "",Iterations[[#This Row],[b]]))</f>
        <v/>
      </c>
      <c r="I1332" s="2" t="str">
        <f>IF(Iterations[[#This Row],[Step]] =current_step, current_c,IF(Iterations[[#This Row],[Step]] &gt; current_step, "",Iterations[[#This Row],[c]]))</f>
        <v/>
      </c>
      <c r="J1332" s="2" t="str">
        <f>IF(Iterations[[#This Row],[Step]] =current_step, current_d,IF(Iterations[[#This Row],[Step]] &gt; current_step, "",Iterations[[#This Row],[d]]))</f>
        <v/>
      </c>
      <c r="K1332" s="2" t="str">
        <f>IF(Iterations[[#This Row],[Step]] =current_step, current_e,IF(Iterations[[#This Row],[Step]] &gt; current_step, "",Iterations[[#This Row],[e]]))</f>
        <v/>
      </c>
      <c r="L1332" s="2" t="str">
        <f>IF(Iterations[[#This Row],[Step]] =current_step, current_Total_Loss,IF(Iterations[[#This Row],[Step]] &gt; current_step, "",Iterations[[#This Row],[Total Loss]]))</f>
        <v/>
      </c>
      <c r="M1332" s="6" t="s">
        <v>27</v>
      </c>
      <c r="N1332" s="2" t="str">
        <f>IF(Iterations[[#This Row],[Step]] =current_step, current_Grad_a,IF(Iterations[[#This Row],[Step]] &gt; current_step, "",Iterations[[#This Row],[Grad_a]]))</f>
        <v/>
      </c>
      <c r="O1332" s="2" t="str">
        <f>IF(Iterations[[#This Row],[Step]] =current_step, current_Grad_b,IF(Iterations[[#This Row],[Step]] &gt; current_step, "",Iterations[[#This Row],[Grad_b]]))</f>
        <v/>
      </c>
      <c r="P1332" s="2" t="str">
        <f>IF(Iterations[[#This Row],[Step]] =current_step, current_Grad_c,IF(Iterations[[#This Row],[Step]] &gt; current_step, "",Iterations[[#This Row],[Grad_c]]))</f>
        <v/>
      </c>
      <c r="Q1332" s="2" t="str">
        <f>IF(Iterations[[#This Row],[Step]] =current_step, current_Grad_d,IF(Iterations[[#This Row],[Step]] &gt; current_step, "",Iterations[[#This Row],[Grad_d]]))</f>
        <v/>
      </c>
      <c r="R1332" s="2" t="str">
        <f>IF(Iterations[[#This Row],[Step]] =current_step, current_Grad_e,IF(Iterations[[#This Row],[Step]] &gt; current_step, "",Iterations[[#This Row],[Grad_e]]))</f>
        <v/>
      </c>
    </row>
    <row r="1333" spans="6:18" x14ac:dyDescent="0.3">
      <c r="F1333" s="2">
        <f t="shared" si="25"/>
        <v>1316</v>
      </c>
      <c r="G1333" s="2" t="str">
        <f>IF(Iterations[[#This Row],[Step]] =current_step, current_a,IF(Iterations[[#This Row],[Step]] &gt; current_step, "",Iterations[[#This Row],[a]]))</f>
        <v/>
      </c>
      <c r="H1333" s="2" t="str">
        <f>IF(Iterations[[#This Row],[Step]] =current_step, current_b,IF(Iterations[[#This Row],[Step]] &gt; current_step, "",Iterations[[#This Row],[b]]))</f>
        <v/>
      </c>
      <c r="I1333" s="2" t="str">
        <f>IF(Iterations[[#This Row],[Step]] =current_step, current_c,IF(Iterations[[#This Row],[Step]] &gt; current_step, "",Iterations[[#This Row],[c]]))</f>
        <v/>
      </c>
      <c r="J1333" s="2" t="str">
        <f>IF(Iterations[[#This Row],[Step]] =current_step, current_d,IF(Iterations[[#This Row],[Step]] &gt; current_step, "",Iterations[[#This Row],[d]]))</f>
        <v/>
      </c>
      <c r="K1333" s="2" t="str">
        <f>IF(Iterations[[#This Row],[Step]] =current_step, current_e,IF(Iterations[[#This Row],[Step]] &gt; current_step, "",Iterations[[#This Row],[e]]))</f>
        <v/>
      </c>
      <c r="L1333" s="2" t="str">
        <f>IF(Iterations[[#This Row],[Step]] =current_step, current_Total_Loss,IF(Iterations[[#This Row],[Step]] &gt; current_step, "",Iterations[[#This Row],[Total Loss]]))</f>
        <v/>
      </c>
      <c r="M1333" s="6" t="s">
        <v>27</v>
      </c>
      <c r="N1333" s="2" t="str">
        <f>IF(Iterations[[#This Row],[Step]] =current_step, current_Grad_a,IF(Iterations[[#This Row],[Step]] &gt; current_step, "",Iterations[[#This Row],[Grad_a]]))</f>
        <v/>
      </c>
      <c r="O1333" s="2" t="str">
        <f>IF(Iterations[[#This Row],[Step]] =current_step, current_Grad_b,IF(Iterations[[#This Row],[Step]] &gt; current_step, "",Iterations[[#This Row],[Grad_b]]))</f>
        <v/>
      </c>
      <c r="P1333" s="2" t="str">
        <f>IF(Iterations[[#This Row],[Step]] =current_step, current_Grad_c,IF(Iterations[[#This Row],[Step]] &gt; current_step, "",Iterations[[#This Row],[Grad_c]]))</f>
        <v/>
      </c>
      <c r="Q1333" s="2" t="str">
        <f>IF(Iterations[[#This Row],[Step]] =current_step, current_Grad_d,IF(Iterations[[#This Row],[Step]] &gt; current_step, "",Iterations[[#This Row],[Grad_d]]))</f>
        <v/>
      </c>
      <c r="R1333" s="2" t="str">
        <f>IF(Iterations[[#This Row],[Step]] =current_step, current_Grad_e,IF(Iterations[[#This Row],[Step]] &gt; current_step, "",Iterations[[#This Row],[Grad_e]]))</f>
        <v/>
      </c>
    </row>
    <row r="1334" spans="6:18" x14ac:dyDescent="0.3">
      <c r="F1334" s="2">
        <f t="shared" si="25"/>
        <v>1317</v>
      </c>
      <c r="G1334" s="2" t="str">
        <f>IF(Iterations[[#This Row],[Step]] =current_step, current_a,IF(Iterations[[#This Row],[Step]] &gt; current_step, "",Iterations[[#This Row],[a]]))</f>
        <v/>
      </c>
      <c r="H1334" s="2" t="str">
        <f>IF(Iterations[[#This Row],[Step]] =current_step, current_b,IF(Iterations[[#This Row],[Step]] &gt; current_step, "",Iterations[[#This Row],[b]]))</f>
        <v/>
      </c>
      <c r="I1334" s="2" t="str">
        <f>IF(Iterations[[#This Row],[Step]] =current_step, current_c,IF(Iterations[[#This Row],[Step]] &gt; current_step, "",Iterations[[#This Row],[c]]))</f>
        <v/>
      </c>
      <c r="J1334" s="2" t="str">
        <f>IF(Iterations[[#This Row],[Step]] =current_step, current_d,IF(Iterations[[#This Row],[Step]] &gt; current_step, "",Iterations[[#This Row],[d]]))</f>
        <v/>
      </c>
      <c r="K1334" s="2" t="str">
        <f>IF(Iterations[[#This Row],[Step]] =current_step, current_e,IF(Iterations[[#This Row],[Step]] &gt; current_step, "",Iterations[[#This Row],[e]]))</f>
        <v/>
      </c>
      <c r="L1334" s="2" t="str">
        <f>IF(Iterations[[#This Row],[Step]] =current_step, current_Total_Loss,IF(Iterations[[#This Row],[Step]] &gt; current_step, "",Iterations[[#This Row],[Total Loss]]))</f>
        <v/>
      </c>
      <c r="M1334" s="6" t="s">
        <v>27</v>
      </c>
      <c r="N1334" s="2" t="str">
        <f>IF(Iterations[[#This Row],[Step]] =current_step, current_Grad_a,IF(Iterations[[#This Row],[Step]] &gt; current_step, "",Iterations[[#This Row],[Grad_a]]))</f>
        <v/>
      </c>
      <c r="O1334" s="2" t="str">
        <f>IF(Iterations[[#This Row],[Step]] =current_step, current_Grad_b,IF(Iterations[[#This Row],[Step]] &gt; current_step, "",Iterations[[#This Row],[Grad_b]]))</f>
        <v/>
      </c>
      <c r="P1334" s="2" t="str">
        <f>IF(Iterations[[#This Row],[Step]] =current_step, current_Grad_c,IF(Iterations[[#This Row],[Step]] &gt; current_step, "",Iterations[[#This Row],[Grad_c]]))</f>
        <v/>
      </c>
      <c r="Q1334" s="2" t="str">
        <f>IF(Iterations[[#This Row],[Step]] =current_step, current_Grad_d,IF(Iterations[[#This Row],[Step]] &gt; current_step, "",Iterations[[#This Row],[Grad_d]]))</f>
        <v/>
      </c>
      <c r="R1334" s="2" t="str">
        <f>IF(Iterations[[#This Row],[Step]] =current_step, current_Grad_e,IF(Iterations[[#This Row],[Step]] &gt; current_step, "",Iterations[[#This Row],[Grad_e]]))</f>
        <v/>
      </c>
    </row>
    <row r="1335" spans="6:18" x14ac:dyDescent="0.3">
      <c r="F1335" s="2">
        <f t="shared" si="25"/>
        <v>1318</v>
      </c>
      <c r="G1335" s="2" t="str">
        <f>IF(Iterations[[#This Row],[Step]] =current_step, current_a,IF(Iterations[[#This Row],[Step]] &gt; current_step, "",Iterations[[#This Row],[a]]))</f>
        <v/>
      </c>
      <c r="H1335" s="2" t="str">
        <f>IF(Iterations[[#This Row],[Step]] =current_step, current_b,IF(Iterations[[#This Row],[Step]] &gt; current_step, "",Iterations[[#This Row],[b]]))</f>
        <v/>
      </c>
      <c r="I1335" s="2" t="str">
        <f>IF(Iterations[[#This Row],[Step]] =current_step, current_c,IF(Iterations[[#This Row],[Step]] &gt; current_step, "",Iterations[[#This Row],[c]]))</f>
        <v/>
      </c>
      <c r="J1335" s="2" t="str">
        <f>IF(Iterations[[#This Row],[Step]] =current_step, current_d,IF(Iterations[[#This Row],[Step]] &gt; current_step, "",Iterations[[#This Row],[d]]))</f>
        <v/>
      </c>
      <c r="K1335" s="2" t="str">
        <f>IF(Iterations[[#This Row],[Step]] =current_step, current_e,IF(Iterations[[#This Row],[Step]] &gt; current_step, "",Iterations[[#This Row],[e]]))</f>
        <v/>
      </c>
      <c r="L1335" s="2" t="str">
        <f>IF(Iterations[[#This Row],[Step]] =current_step, current_Total_Loss,IF(Iterations[[#This Row],[Step]] &gt; current_step, "",Iterations[[#This Row],[Total Loss]]))</f>
        <v/>
      </c>
      <c r="M1335" s="6" t="s">
        <v>27</v>
      </c>
      <c r="N1335" s="2" t="str">
        <f>IF(Iterations[[#This Row],[Step]] =current_step, current_Grad_a,IF(Iterations[[#This Row],[Step]] &gt; current_step, "",Iterations[[#This Row],[Grad_a]]))</f>
        <v/>
      </c>
      <c r="O1335" s="2" t="str">
        <f>IF(Iterations[[#This Row],[Step]] =current_step, current_Grad_b,IF(Iterations[[#This Row],[Step]] &gt; current_step, "",Iterations[[#This Row],[Grad_b]]))</f>
        <v/>
      </c>
      <c r="P1335" s="2" t="str">
        <f>IF(Iterations[[#This Row],[Step]] =current_step, current_Grad_c,IF(Iterations[[#This Row],[Step]] &gt; current_step, "",Iterations[[#This Row],[Grad_c]]))</f>
        <v/>
      </c>
      <c r="Q1335" s="2" t="str">
        <f>IF(Iterations[[#This Row],[Step]] =current_step, current_Grad_d,IF(Iterations[[#This Row],[Step]] &gt; current_step, "",Iterations[[#This Row],[Grad_d]]))</f>
        <v/>
      </c>
      <c r="R1335" s="2" t="str">
        <f>IF(Iterations[[#This Row],[Step]] =current_step, current_Grad_e,IF(Iterations[[#This Row],[Step]] &gt; current_step, "",Iterations[[#This Row],[Grad_e]]))</f>
        <v/>
      </c>
    </row>
    <row r="1336" spans="6:18" x14ac:dyDescent="0.3">
      <c r="F1336" s="2">
        <f t="shared" ref="F1336:F1399" si="26">F1335+1</f>
        <v>1319</v>
      </c>
      <c r="G1336" s="2" t="str">
        <f>IF(Iterations[[#This Row],[Step]] =current_step, current_a,IF(Iterations[[#This Row],[Step]] &gt; current_step, "",Iterations[[#This Row],[a]]))</f>
        <v/>
      </c>
      <c r="H1336" s="2" t="str">
        <f>IF(Iterations[[#This Row],[Step]] =current_step, current_b,IF(Iterations[[#This Row],[Step]] &gt; current_step, "",Iterations[[#This Row],[b]]))</f>
        <v/>
      </c>
      <c r="I1336" s="2" t="str">
        <f>IF(Iterations[[#This Row],[Step]] =current_step, current_c,IF(Iterations[[#This Row],[Step]] &gt; current_step, "",Iterations[[#This Row],[c]]))</f>
        <v/>
      </c>
      <c r="J1336" s="2" t="str">
        <f>IF(Iterations[[#This Row],[Step]] =current_step, current_d,IF(Iterations[[#This Row],[Step]] &gt; current_step, "",Iterations[[#This Row],[d]]))</f>
        <v/>
      </c>
      <c r="K1336" s="2" t="str">
        <f>IF(Iterations[[#This Row],[Step]] =current_step, current_e,IF(Iterations[[#This Row],[Step]] &gt; current_step, "",Iterations[[#This Row],[e]]))</f>
        <v/>
      </c>
      <c r="L1336" s="2" t="str">
        <f>IF(Iterations[[#This Row],[Step]] =current_step, current_Total_Loss,IF(Iterations[[#This Row],[Step]] &gt; current_step, "",Iterations[[#This Row],[Total Loss]]))</f>
        <v/>
      </c>
      <c r="M1336" s="6" t="s">
        <v>27</v>
      </c>
      <c r="N1336" s="2" t="str">
        <f>IF(Iterations[[#This Row],[Step]] =current_step, current_Grad_a,IF(Iterations[[#This Row],[Step]] &gt; current_step, "",Iterations[[#This Row],[Grad_a]]))</f>
        <v/>
      </c>
      <c r="O1336" s="2" t="str">
        <f>IF(Iterations[[#This Row],[Step]] =current_step, current_Grad_b,IF(Iterations[[#This Row],[Step]] &gt; current_step, "",Iterations[[#This Row],[Grad_b]]))</f>
        <v/>
      </c>
      <c r="P1336" s="2" t="str">
        <f>IF(Iterations[[#This Row],[Step]] =current_step, current_Grad_c,IF(Iterations[[#This Row],[Step]] &gt; current_step, "",Iterations[[#This Row],[Grad_c]]))</f>
        <v/>
      </c>
      <c r="Q1336" s="2" t="str">
        <f>IF(Iterations[[#This Row],[Step]] =current_step, current_Grad_d,IF(Iterations[[#This Row],[Step]] &gt; current_step, "",Iterations[[#This Row],[Grad_d]]))</f>
        <v/>
      </c>
      <c r="R1336" s="2" t="str">
        <f>IF(Iterations[[#This Row],[Step]] =current_step, current_Grad_e,IF(Iterations[[#This Row],[Step]] &gt; current_step, "",Iterations[[#This Row],[Grad_e]]))</f>
        <v/>
      </c>
    </row>
    <row r="1337" spans="6:18" x14ac:dyDescent="0.3">
      <c r="F1337" s="2">
        <f t="shared" si="26"/>
        <v>1320</v>
      </c>
      <c r="G1337" s="2" t="str">
        <f>IF(Iterations[[#This Row],[Step]] =current_step, current_a,IF(Iterations[[#This Row],[Step]] &gt; current_step, "",Iterations[[#This Row],[a]]))</f>
        <v/>
      </c>
      <c r="H1337" s="2" t="str">
        <f>IF(Iterations[[#This Row],[Step]] =current_step, current_b,IF(Iterations[[#This Row],[Step]] &gt; current_step, "",Iterations[[#This Row],[b]]))</f>
        <v/>
      </c>
      <c r="I1337" s="2" t="str">
        <f>IF(Iterations[[#This Row],[Step]] =current_step, current_c,IF(Iterations[[#This Row],[Step]] &gt; current_step, "",Iterations[[#This Row],[c]]))</f>
        <v/>
      </c>
      <c r="J1337" s="2" t="str">
        <f>IF(Iterations[[#This Row],[Step]] =current_step, current_d,IF(Iterations[[#This Row],[Step]] &gt; current_step, "",Iterations[[#This Row],[d]]))</f>
        <v/>
      </c>
      <c r="K1337" s="2" t="str">
        <f>IF(Iterations[[#This Row],[Step]] =current_step, current_e,IF(Iterations[[#This Row],[Step]] &gt; current_step, "",Iterations[[#This Row],[e]]))</f>
        <v/>
      </c>
      <c r="L1337" s="2" t="str">
        <f>IF(Iterations[[#This Row],[Step]] =current_step, current_Total_Loss,IF(Iterations[[#This Row],[Step]] &gt; current_step, "",Iterations[[#This Row],[Total Loss]]))</f>
        <v/>
      </c>
      <c r="M1337" s="6" t="s">
        <v>27</v>
      </c>
      <c r="N1337" s="2" t="str">
        <f>IF(Iterations[[#This Row],[Step]] =current_step, current_Grad_a,IF(Iterations[[#This Row],[Step]] &gt; current_step, "",Iterations[[#This Row],[Grad_a]]))</f>
        <v/>
      </c>
      <c r="O1337" s="2" t="str">
        <f>IF(Iterations[[#This Row],[Step]] =current_step, current_Grad_b,IF(Iterations[[#This Row],[Step]] &gt; current_step, "",Iterations[[#This Row],[Grad_b]]))</f>
        <v/>
      </c>
      <c r="P1337" s="2" t="str">
        <f>IF(Iterations[[#This Row],[Step]] =current_step, current_Grad_c,IF(Iterations[[#This Row],[Step]] &gt; current_step, "",Iterations[[#This Row],[Grad_c]]))</f>
        <v/>
      </c>
      <c r="Q1337" s="2" t="str">
        <f>IF(Iterations[[#This Row],[Step]] =current_step, current_Grad_d,IF(Iterations[[#This Row],[Step]] &gt; current_step, "",Iterations[[#This Row],[Grad_d]]))</f>
        <v/>
      </c>
      <c r="R1337" s="2" t="str">
        <f>IF(Iterations[[#This Row],[Step]] =current_step, current_Grad_e,IF(Iterations[[#This Row],[Step]] &gt; current_step, "",Iterations[[#This Row],[Grad_e]]))</f>
        <v/>
      </c>
    </row>
    <row r="1338" spans="6:18" x14ac:dyDescent="0.3">
      <c r="F1338" s="2">
        <f t="shared" si="26"/>
        <v>1321</v>
      </c>
      <c r="G1338" s="2" t="str">
        <f>IF(Iterations[[#This Row],[Step]] =current_step, current_a,IF(Iterations[[#This Row],[Step]] &gt; current_step, "",Iterations[[#This Row],[a]]))</f>
        <v/>
      </c>
      <c r="H1338" s="2" t="str">
        <f>IF(Iterations[[#This Row],[Step]] =current_step, current_b,IF(Iterations[[#This Row],[Step]] &gt; current_step, "",Iterations[[#This Row],[b]]))</f>
        <v/>
      </c>
      <c r="I1338" s="2" t="str">
        <f>IF(Iterations[[#This Row],[Step]] =current_step, current_c,IF(Iterations[[#This Row],[Step]] &gt; current_step, "",Iterations[[#This Row],[c]]))</f>
        <v/>
      </c>
      <c r="J1338" s="2" t="str">
        <f>IF(Iterations[[#This Row],[Step]] =current_step, current_d,IF(Iterations[[#This Row],[Step]] &gt; current_step, "",Iterations[[#This Row],[d]]))</f>
        <v/>
      </c>
      <c r="K1338" s="2" t="str">
        <f>IF(Iterations[[#This Row],[Step]] =current_step, current_e,IF(Iterations[[#This Row],[Step]] &gt; current_step, "",Iterations[[#This Row],[e]]))</f>
        <v/>
      </c>
      <c r="L1338" s="2" t="str">
        <f>IF(Iterations[[#This Row],[Step]] =current_step, current_Total_Loss,IF(Iterations[[#This Row],[Step]] &gt; current_step, "",Iterations[[#This Row],[Total Loss]]))</f>
        <v/>
      </c>
      <c r="M1338" s="6" t="s">
        <v>27</v>
      </c>
      <c r="N1338" s="2" t="str">
        <f>IF(Iterations[[#This Row],[Step]] =current_step, current_Grad_a,IF(Iterations[[#This Row],[Step]] &gt; current_step, "",Iterations[[#This Row],[Grad_a]]))</f>
        <v/>
      </c>
      <c r="O1338" s="2" t="str">
        <f>IF(Iterations[[#This Row],[Step]] =current_step, current_Grad_b,IF(Iterations[[#This Row],[Step]] &gt; current_step, "",Iterations[[#This Row],[Grad_b]]))</f>
        <v/>
      </c>
      <c r="P1338" s="2" t="str">
        <f>IF(Iterations[[#This Row],[Step]] =current_step, current_Grad_c,IF(Iterations[[#This Row],[Step]] &gt; current_step, "",Iterations[[#This Row],[Grad_c]]))</f>
        <v/>
      </c>
      <c r="Q1338" s="2" t="str">
        <f>IF(Iterations[[#This Row],[Step]] =current_step, current_Grad_d,IF(Iterations[[#This Row],[Step]] &gt; current_step, "",Iterations[[#This Row],[Grad_d]]))</f>
        <v/>
      </c>
      <c r="R1338" s="2" t="str">
        <f>IF(Iterations[[#This Row],[Step]] =current_step, current_Grad_e,IF(Iterations[[#This Row],[Step]] &gt; current_step, "",Iterations[[#This Row],[Grad_e]]))</f>
        <v/>
      </c>
    </row>
    <row r="1339" spans="6:18" x14ac:dyDescent="0.3">
      <c r="F1339" s="2">
        <f t="shared" si="26"/>
        <v>1322</v>
      </c>
      <c r="G1339" s="2" t="str">
        <f>IF(Iterations[[#This Row],[Step]] =current_step, current_a,IF(Iterations[[#This Row],[Step]] &gt; current_step, "",Iterations[[#This Row],[a]]))</f>
        <v/>
      </c>
      <c r="H1339" s="2" t="str">
        <f>IF(Iterations[[#This Row],[Step]] =current_step, current_b,IF(Iterations[[#This Row],[Step]] &gt; current_step, "",Iterations[[#This Row],[b]]))</f>
        <v/>
      </c>
      <c r="I1339" s="2" t="str">
        <f>IF(Iterations[[#This Row],[Step]] =current_step, current_c,IF(Iterations[[#This Row],[Step]] &gt; current_step, "",Iterations[[#This Row],[c]]))</f>
        <v/>
      </c>
      <c r="J1339" s="2" t="str">
        <f>IF(Iterations[[#This Row],[Step]] =current_step, current_d,IF(Iterations[[#This Row],[Step]] &gt; current_step, "",Iterations[[#This Row],[d]]))</f>
        <v/>
      </c>
      <c r="K1339" s="2" t="str">
        <f>IF(Iterations[[#This Row],[Step]] =current_step, current_e,IF(Iterations[[#This Row],[Step]] &gt; current_step, "",Iterations[[#This Row],[e]]))</f>
        <v/>
      </c>
      <c r="L1339" s="2" t="str">
        <f>IF(Iterations[[#This Row],[Step]] =current_step, current_Total_Loss,IF(Iterations[[#This Row],[Step]] &gt; current_step, "",Iterations[[#This Row],[Total Loss]]))</f>
        <v/>
      </c>
      <c r="M1339" s="6" t="s">
        <v>27</v>
      </c>
      <c r="N1339" s="2" t="str">
        <f>IF(Iterations[[#This Row],[Step]] =current_step, current_Grad_a,IF(Iterations[[#This Row],[Step]] &gt; current_step, "",Iterations[[#This Row],[Grad_a]]))</f>
        <v/>
      </c>
      <c r="O1339" s="2" t="str">
        <f>IF(Iterations[[#This Row],[Step]] =current_step, current_Grad_b,IF(Iterations[[#This Row],[Step]] &gt; current_step, "",Iterations[[#This Row],[Grad_b]]))</f>
        <v/>
      </c>
      <c r="P1339" s="2" t="str">
        <f>IF(Iterations[[#This Row],[Step]] =current_step, current_Grad_c,IF(Iterations[[#This Row],[Step]] &gt; current_step, "",Iterations[[#This Row],[Grad_c]]))</f>
        <v/>
      </c>
      <c r="Q1339" s="2" t="str">
        <f>IF(Iterations[[#This Row],[Step]] =current_step, current_Grad_d,IF(Iterations[[#This Row],[Step]] &gt; current_step, "",Iterations[[#This Row],[Grad_d]]))</f>
        <v/>
      </c>
      <c r="R1339" s="2" t="str">
        <f>IF(Iterations[[#This Row],[Step]] =current_step, current_Grad_e,IF(Iterations[[#This Row],[Step]] &gt; current_step, "",Iterations[[#This Row],[Grad_e]]))</f>
        <v/>
      </c>
    </row>
    <row r="1340" spans="6:18" x14ac:dyDescent="0.3">
      <c r="F1340" s="2">
        <f t="shared" si="26"/>
        <v>1323</v>
      </c>
      <c r="G1340" s="2" t="str">
        <f>IF(Iterations[[#This Row],[Step]] =current_step, current_a,IF(Iterations[[#This Row],[Step]] &gt; current_step, "",Iterations[[#This Row],[a]]))</f>
        <v/>
      </c>
      <c r="H1340" s="2" t="str">
        <f>IF(Iterations[[#This Row],[Step]] =current_step, current_b,IF(Iterations[[#This Row],[Step]] &gt; current_step, "",Iterations[[#This Row],[b]]))</f>
        <v/>
      </c>
      <c r="I1340" s="2" t="str">
        <f>IF(Iterations[[#This Row],[Step]] =current_step, current_c,IF(Iterations[[#This Row],[Step]] &gt; current_step, "",Iterations[[#This Row],[c]]))</f>
        <v/>
      </c>
      <c r="J1340" s="2" t="str">
        <f>IF(Iterations[[#This Row],[Step]] =current_step, current_d,IF(Iterations[[#This Row],[Step]] &gt; current_step, "",Iterations[[#This Row],[d]]))</f>
        <v/>
      </c>
      <c r="K1340" s="2" t="str">
        <f>IF(Iterations[[#This Row],[Step]] =current_step, current_e,IF(Iterations[[#This Row],[Step]] &gt; current_step, "",Iterations[[#This Row],[e]]))</f>
        <v/>
      </c>
      <c r="L1340" s="2" t="str">
        <f>IF(Iterations[[#This Row],[Step]] =current_step, current_Total_Loss,IF(Iterations[[#This Row],[Step]] &gt; current_step, "",Iterations[[#This Row],[Total Loss]]))</f>
        <v/>
      </c>
      <c r="M1340" s="6" t="s">
        <v>27</v>
      </c>
      <c r="N1340" s="2" t="str">
        <f>IF(Iterations[[#This Row],[Step]] =current_step, current_Grad_a,IF(Iterations[[#This Row],[Step]] &gt; current_step, "",Iterations[[#This Row],[Grad_a]]))</f>
        <v/>
      </c>
      <c r="O1340" s="2" t="str">
        <f>IF(Iterations[[#This Row],[Step]] =current_step, current_Grad_b,IF(Iterations[[#This Row],[Step]] &gt; current_step, "",Iterations[[#This Row],[Grad_b]]))</f>
        <v/>
      </c>
      <c r="P1340" s="2" t="str">
        <f>IF(Iterations[[#This Row],[Step]] =current_step, current_Grad_c,IF(Iterations[[#This Row],[Step]] &gt; current_step, "",Iterations[[#This Row],[Grad_c]]))</f>
        <v/>
      </c>
      <c r="Q1340" s="2" t="str">
        <f>IF(Iterations[[#This Row],[Step]] =current_step, current_Grad_d,IF(Iterations[[#This Row],[Step]] &gt; current_step, "",Iterations[[#This Row],[Grad_d]]))</f>
        <v/>
      </c>
      <c r="R1340" s="2" t="str">
        <f>IF(Iterations[[#This Row],[Step]] =current_step, current_Grad_e,IF(Iterations[[#This Row],[Step]] &gt; current_step, "",Iterations[[#This Row],[Grad_e]]))</f>
        <v/>
      </c>
    </row>
    <row r="1341" spans="6:18" x14ac:dyDescent="0.3">
      <c r="F1341" s="2">
        <f t="shared" si="26"/>
        <v>1324</v>
      </c>
      <c r="G1341" s="2" t="str">
        <f>IF(Iterations[[#This Row],[Step]] =current_step, current_a,IF(Iterations[[#This Row],[Step]] &gt; current_step, "",Iterations[[#This Row],[a]]))</f>
        <v/>
      </c>
      <c r="H1341" s="2" t="str">
        <f>IF(Iterations[[#This Row],[Step]] =current_step, current_b,IF(Iterations[[#This Row],[Step]] &gt; current_step, "",Iterations[[#This Row],[b]]))</f>
        <v/>
      </c>
      <c r="I1341" s="2" t="str">
        <f>IF(Iterations[[#This Row],[Step]] =current_step, current_c,IF(Iterations[[#This Row],[Step]] &gt; current_step, "",Iterations[[#This Row],[c]]))</f>
        <v/>
      </c>
      <c r="J1341" s="2" t="str">
        <f>IF(Iterations[[#This Row],[Step]] =current_step, current_d,IF(Iterations[[#This Row],[Step]] &gt; current_step, "",Iterations[[#This Row],[d]]))</f>
        <v/>
      </c>
      <c r="K1341" s="2" t="str">
        <f>IF(Iterations[[#This Row],[Step]] =current_step, current_e,IF(Iterations[[#This Row],[Step]] &gt; current_step, "",Iterations[[#This Row],[e]]))</f>
        <v/>
      </c>
      <c r="L1341" s="2" t="str">
        <f>IF(Iterations[[#This Row],[Step]] =current_step, current_Total_Loss,IF(Iterations[[#This Row],[Step]] &gt; current_step, "",Iterations[[#This Row],[Total Loss]]))</f>
        <v/>
      </c>
      <c r="M1341" s="6" t="s">
        <v>27</v>
      </c>
      <c r="N1341" s="2" t="str">
        <f>IF(Iterations[[#This Row],[Step]] =current_step, current_Grad_a,IF(Iterations[[#This Row],[Step]] &gt; current_step, "",Iterations[[#This Row],[Grad_a]]))</f>
        <v/>
      </c>
      <c r="O1341" s="2" t="str">
        <f>IF(Iterations[[#This Row],[Step]] =current_step, current_Grad_b,IF(Iterations[[#This Row],[Step]] &gt; current_step, "",Iterations[[#This Row],[Grad_b]]))</f>
        <v/>
      </c>
      <c r="P1341" s="2" t="str">
        <f>IF(Iterations[[#This Row],[Step]] =current_step, current_Grad_c,IF(Iterations[[#This Row],[Step]] &gt; current_step, "",Iterations[[#This Row],[Grad_c]]))</f>
        <v/>
      </c>
      <c r="Q1341" s="2" t="str">
        <f>IF(Iterations[[#This Row],[Step]] =current_step, current_Grad_d,IF(Iterations[[#This Row],[Step]] &gt; current_step, "",Iterations[[#This Row],[Grad_d]]))</f>
        <v/>
      </c>
      <c r="R1341" s="2" t="str">
        <f>IF(Iterations[[#This Row],[Step]] =current_step, current_Grad_e,IF(Iterations[[#This Row],[Step]] &gt; current_step, "",Iterations[[#This Row],[Grad_e]]))</f>
        <v/>
      </c>
    </row>
    <row r="1342" spans="6:18" x14ac:dyDescent="0.3">
      <c r="F1342" s="2">
        <f t="shared" si="26"/>
        <v>1325</v>
      </c>
      <c r="G1342" s="2" t="str">
        <f>IF(Iterations[[#This Row],[Step]] =current_step, current_a,IF(Iterations[[#This Row],[Step]] &gt; current_step, "",Iterations[[#This Row],[a]]))</f>
        <v/>
      </c>
      <c r="H1342" s="2" t="str">
        <f>IF(Iterations[[#This Row],[Step]] =current_step, current_b,IF(Iterations[[#This Row],[Step]] &gt; current_step, "",Iterations[[#This Row],[b]]))</f>
        <v/>
      </c>
      <c r="I1342" s="2" t="str">
        <f>IF(Iterations[[#This Row],[Step]] =current_step, current_c,IF(Iterations[[#This Row],[Step]] &gt; current_step, "",Iterations[[#This Row],[c]]))</f>
        <v/>
      </c>
      <c r="J1342" s="2" t="str">
        <f>IF(Iterations[[#This Row],[Step]] =current_step, current_d,IF(Iterations[[#This Row],[Step]] &gt; current_step, "",Iterations[[#This Row],[d]]))</f>
        <v/>
      </c>
      <c r="K1342" s="2" t="str">
        <f>IF(Iterations[[#This Row],[Step]] =current_step, current_e,IF(Iterations[[#This Row],[Step]] &gt; current_step, "",Iterations[[#This Row],[e]]))</f>
        <v/>
      </c>
      <c r="L1342" s="2" t="str">
        <f>IF(Iterations[[#This Row],[Step]] =current_step, current_Total_Loss,IF(Iterations[[#This Row],[Step]] &gt; current_step, "",Iterations[[#This Row],[Total Loss]]))</f>
        <v/>
      </c>
      <c r="M1342" s="6" t="s">
        <v>27</v>
      </c>
      <c r="N1342" s="2" t="str">
        <f>IF(Iterations[[#This Row],[Step]] =current_step, current_Grad_a,IF(Iterations[[#This Row],[Step]] &gt; current_step, "",Iterations[[#This Row],[Grad_a]]))</f>
        <v/>
      </c>
      <c r="O1342" s="2" t="str">
        <f>IF(Iterations[[#This Row],[Step]] =current_step, current_Grad_b,IF(Iterations[[#This Row],[Step]] &gt; current_step, "",Iterations[[#This Row],[Grad_b]]))</f>
        <v/>
      </c>
      <c r="P1342" s="2" t="str">
        <f>IF(Iterations[[#This Row],[Step]] =current_step, current_Grad_c,IF(Iterations[[#This Row],[Step]] &gt; current_step, "",Iterations[[#This Row],[Grad_c]]))</f>
        <v/>
      </c>
      <c r="Q1342" s="2" t="str">
        <f>IF(Iterations[[#This Row],[Step]] =current_step, current_Grad_d,IF(Iterations[[#This Row],[Step]] &gt; current_step, "",Iterations[[#This Row],[Grad_d]]))</f>
        <v/>
      </c>
      <c r="R1342" s="2" t="str">
        <f>IF(Iterations[[#This Row],[Step]] =current_step, current_Grad_e,IF(Iterations[[#This Row],[Step]] &gt; current_step, "",Iterations[[#This Row],[Grad_e]]))</f>
        <v/>
      </c>
    </row>
    <row r="1343" spans="6:18" x14ac:dyDescent="0.3">
      <c r="F1343" s="2">
        <f t="shared" si="26"/>
        <v>1326</v>
      </c>
      <c r="G1343" s="2" t="str">
        <f>IF(Iterations[[#This Row],[Step]] =current_step, current_a,IF(Iterations[[#This Row],[Step]] &gt; current_step, "",Iterations[[#This Row],[a]]))</f>
        <v/>
      </c>
      <c r="H1343" s="2" t="str">
        <f>IF(Iterations[[#This Row],[Step]] =current_step, current_b,IF(Iterations[[#This Row],[Step]] &gt; current_step, "",Iterations[[#This Row],[b]]))</f>
        <v/>
      </c>
      <c r="I1343" s="2" t="str">
        <f>IF(Iterations[[#This Row],[Step]] =current_step, current_c,IF(Iterations[[#This Row],[Step]] &gt; current_step, "",Iterations[[#This Row],[c]]))</f>
        <v/>
      </c>
      <c r="J1343" s="2" t="str">
        <f>IF(Iterations[[#This Row],[Step]] =current_step, current_d,IF(Iterations[[#This Row],[Step]] &gt; current_step, "",Iterations[[#This Row],[d]]))</f>
        <v/>
      </c>
      <c r="K1343" s="2" t="str">
        <f>IF(Iterations[[#This Row],[Step]] =current_step, current_e,IF(Iterations[[#This Row],[Step]] &gt; current_step, "",Iterations[[#This Row],[e]]))</f>
        <v/>
      </c>
      <c r="L1343" s="2" t="str">
        <f>IF(Iterations[[#This Row],[Step]] =current_step, current_Total_Loss,IF(Iterations[[#This Row],[Step]] &gt; current_step, "",Iterations[[#This Row],[Total Loss]]))</f>
        <v/>
      </c>
      <c r="M1343" s="6" t="s">
        <v>27</v>
      </c>
      <c r="N1343" s="2" t="str">
        <f>IF(Iterations[[#This Row],[Step]] =current_step, current_Grad_a,IF(Iterations[[#This Row],[Step]] &gt; current_step, "",Iterations[[#This Row],[Grad_a]]))</f>
        <v/>
      </c>
      <c r="O1343" s="2" t="str">
        <f>IF(Iterations[[#This Row],[Step]] =current_step, current_Grad_b,IF(Iterations[[#This Row],[Step]] &gt; current_step, "",Iterations[[#This Row],[Grad_b]]))</f>
        <v/>
      </c>
      <c r="P1343" s="2" t="str">
        <f>IF(Iterations[[#This Row],[Step]] =current_step, current_Grad_c,IF(Iterations[[#This Row],[Step]] &gt; current_step, "",Iterations[[#This Row],[Grad_c]]))</f>
        <v/>
      </c>
      <c r="Q1343" s="2" t="str">
        <f>IF(Iterations[[#This Row],[Step]] =current_step, current_Grad_d,IF(Iterations[[#This Row],[Step]] &gt; current_step, "",Iterations[[#This Row],[Grad_d]]))</f>
        <v/>
      </c>
      <c r="R1343" s="2" t="str">
        <f>IF(Iterations[[#This Row],[Step]] =current_step, current_Grad_e,IF(Iterations[[#This Row],[Step]] &gt; current_step, "",Iterations[[#This Row],[Grad_e]]))</f>
        <v/>
      </c>
    </row>
    <row r="1344" spans="6:18" x14ac:dyDescent="0.3">
      <c r="F1344" s="2">
        <f t="shared" si="26"/>
        <v>1327</v>
      </c>
      <c r="G1344" s="2" t="str">
        <f>IF(Iterations[[#This Row],[Step]] =current_step, current_a,IF(Iterations[[#This Row],[Step]] &gt; current_step, "",Iterations[[#This Row],[a]]))</f>
        <v/>
      </c>
      <c r="H1344" s="2" t="str">
        <f>IF(Iterations[[#This Row],[Step]] =current_step, current_b,IF(Iterations[[#This Row],[Step]] &gt; current_step, "",Iterations[[#This Row],[b]]))</f>
        <v/>
      </c>
      <c r="I1344" s="2" t="str">
        <f>IF(Iterations[[#This Row],[Step]] =current_step, current_c,IF(Iterations[[#This Row],[Step]] &gt; current_step, "",Iterations[[#This Row],[c]]))</f>
        <v/>
      </c>
      <c r="J1344" s="2" t="str">
        <f>IF(Iterations[[#This Row],[Step]] =current_step, current_d,IF(Iterations[[#This Row],[Step]] &gt; current_step, "",Iterations[[#This Row],[d]]))</f>
        <v/>
      </c>
      <c r="K1344" s="2" t="str">
        <f>IF(Iterations[[#This Row],[Step]] =current_step, current_e,IF(Iterations[[#This Row],[Step]] &gt; current_step, "",Iterations[[#This Row],[e]]))</f>
        <v/>
      </c>
      <c r="L1344" s="2" t="str">
        <f>IF(Iterations[[#This Row],[Step]] =current_step, current_Total_Loss,IF(Iterations[[#This Row],[Step]] &gt; current_step, "",Iterations[[#This Row],[Total Loss]]))</f>
        <v/>
      </c>
      <c r="M1344" s="6" t="s">
        <v>27</v>
      </c>
      <c r="N1344" s="2" t="str">
        <f>IF(Iterations[[#This Row],[Step]] =current_step, current_Grad_a,IF(Iterations[[#This Row],[Step]] &gt; current_step, "",Iterations[[#This Row],[Grad_a]]))</f>
        <v/>
      </c>
      <c r="O1344" s="2" t="str">
        <f>IF(Iterations[[#This Row],[Step]] =current_step, current_Grad_b,IF(Iterations[[#This Row],[Step]] &gt; current_step, "",Iterations[[#This Row],[Grad_b]]))</f>
        <v/>
      </c>
      <c r="P1344" s="2" t="str">
        <f>IF(Iterations[[#This Row],[Step]] =current_step, current_Grad_c,IF(Iterations[[#This Row],[Step]] &gt; current_step, "",Iterations[[#This Row],[Grad_c]]))</f>
        <v/>
      </c>
      <c r="Q1344" s="2" t="str">
        <f>IF(Iterations[[#This Row],[Step]] =current_step, current_Grad_d,IF(Iterations[[#This Row],[Step]] &gt; current_step, "",Iterations[[#This Row],[Grad_d]]))</f>
        <v/>
      </c>
      <c r="R1344" s="2" t="str">
        <f>IF(Iterations[[#This Row],[Step]] =current_step, current_Grad_e,IF(Iterations[[#This Row],[Step]] &gt; current_step, "",Iterations[[#This Row],[Grad_e]]))</f>
        <v/>
      </c>
    </row>
    <row r="1345" spans="6:18" x14ac:dyDescent="0.3">
      <c r="F1345" s="2">
        <f t="shared" si="26"/>
        <v>1328</v>
      </c>
      <c r="G1345" s="2" t="str">
        <f>IF(Iterations[[#This Row],[Step]] =current_step, current_a,IF(Iterations[[#This Row],[Step]] &gt; current_step, "",Iterations[[#This Row],[a]]))</f>
        <v/>
      </c>
      <c r="H1345" s="2" t="str">
        <f>IF(Iterations[[#This Row],[Step]] =current_step, current_b,IF(Iterations[[#This Row],[Step]] &gt; current_step, "",Iterations[[#This Row],[b]]))</f>
        <v/>
      </c>
      <c r="I1345" s="2" t="str">
        <f>IF(Iterations[[#This Row],[Step]] =current_step, current_c,IF(Iterations[[#This Row],[Step]] &gt; current_step, "",Iterations[[#This Row],[c]]))</f>
        <v/>
      </c>
      <c r="J1345" s="2" t="str">
        <f>IF(Iterations[[#This Row],[Step]] =current_step, current_d,IF(Iterations[[#This Row],[Step]] &gt; current_step, "",Iterations[[#This Row],[d]]))</f>
        <v/>
      </c>
      <c r="K1345" s="2" t="str">
        <f>IF(Iterations[[#This Row],[Step]] =current_step, current_e,IF(Iterations[[#This Row],[Step]] &gt; current_step, "",Iterations[[#This Row],[e]]))</f>
        <v/>
      </c>
      <c r="L1345" s="2" t="str">
        <f>IF(Iterations[[#This Row],[Step]] =current_step, current_Total_Loss,IF(Iterations[[#This Row],[Step]] &gt; current_step, "",Iterations[[#This Row],[Total Loss]]))</f>
        <v/>
      </c>
      <c r="M1345" s="6" t="s">
        <v>27</v>
      </c>
      <c r="N1345" s="2" t="str">
        <f>IF(Iterations[[#This Row],[Step]] =current_step, current_Grad_a,IF(Iterations[[#This Row],[Step]] &gt; current_step, "",Iterations[[#This Row],[Grad_a]]))</f>
        <v/>
      </c>
      <c r="O1345" s="2" t="str">
        <f>IF(Iterations[[#This Row],[Step]] =current_step, current_Grad_b,IF(Iterations[[#This Row],[Step]] &gt; current_step, "",Iterations[[#This Row],[Grad_b]]))</f>
        <v/>
      </c>
      <c r="P1345" s="2" t="str">
        <f>IF(Iterations[[#This Row],[Step]] =current_step, current_Grad_c,IF(Iterations[[#This Row],[Step]] &gt; current_step, "",Iterations[[#This Row],[Grad_c]]))</f>
        <v/>
      </c>
      <c r="Q1345" s="2" t="str">
        <f>IF(Iterations[[#This Row],[Step]] =current_step, current_Grad_d,IF(Iterations[[#This Row],[Step]] &gt; current_step, "",Iterations[[#This Row],[Grad_d]]))</f>
        <v/>
      </c>
      <c r="R1345" s="2" t="str">
        <f>IF(Iterations[[#This Row],[Step]] =current_step, current_Grad_e,IF(Iterations[[#This Row],[Step]] &gt; current_step, "",Iterations[[#This Row],[Grad_e]]))</f>
        <v/>
      </c>
    </row>
    <row r="1346" spans="6:18" x14ac:dyDescent="0.3">
      <c r="F1346" s="2">
        <f t="shared" si="26"/>
        <v>1329</v>
      </c>
      <c r="G1346" s="2" t="str">
        <f>IF(Iterations[[#This Row],[Step]] =current_step, current_a,IF(Iterations[[#This Row],[Step]] &gt; current_step, "",Iterations[[#This Row],[a]]))</f>
        <v/>
      </c>
      <c r="H1346" s="2" t="str">
        <f>IF(Iterations[[#This Row],[Step]] =current_step, current_b,IF(Iterations[[#This Row],[Step]] &gt; current_step, "",Iterations[[#This Row],[b]]))</f>
        <v/>
      </c>
      <c r="I1346" s="2" t="str">
        <f>IF(Iterations[[#This Row],[Step]] =current_step, current_c,IF(Iterations[[#This Row],[Step]] &gt; current_step, "",Iterations[[#This Row],[c]]))</f>
        <v/>
      </c>
      <c r="J1346" s="2" t="str">
        <f>IF(Iterations[[#This Row],[Step]] =current_step, current_d,IF(Iterations[[#This Row],[Step]] &gt; current_step, "",Iterations[[#This Row],[d]]))</f>
        <v/>
      </c>
      <c r="K1346" s="2" t="str">
        <f>IF(Iterations[[#This Row],[Step]] =current_step, current_e,IF(Iterations[[#This Row],[Step]] &gt; current_step, "",Iterations[[#This Row],[e]]))</f>
        <v/>
      </c>
      <c r="L1346" s="2" t="str">
        <f>IF(Iterations[[#This Row],[Step]] =current_step, current_Total_Loss,IF(Iterations[[#This Row],[Step]] &gt; current_step, "",Iterations[[#This Row],[Total Loss]]))</f>
        <v/>
      </c>
      <c r="M1346" s="6" t="s">
        <v>27</v>
      </c>
      <c r="N1346" s="2" t="str">
        <f>IF(Iterations[[#This Row],[Step]] =current_step, current_Grad_a,IF(Iterations[[#This Row],[Step]] &gt; current_step, "",Iterations[[#This Row],[Grad_a]]))</f>
        <v/>
      </c>
      <c r="O1346" s="2" t="str">
        <f>IF(Iterations[[#This Row],[Step]] =current_step, current_Grad_b,IF(Iterations[[#This Row],[Step]] &gt; current_step, "",Iterations[[#This Row],[Grad_b]]))</f>
        <v/>
      </c>
      <c r="P1346" s="2" t="str">
        <f>IF(Iterations[[#This Row],[Step]] =current_step, current_Grad_c,IF(Iterations[[#This Row],[Step]] &gt; current_step, "",Iterations[[#This Row],[Grad_c]]))</f>
        <v/>
      </c>
      <c r="Q1346" s="2" t="str">
        <f>IF(Iterations[[#This Row],[Step]] =current_step, current_Grad_d,IF(Iterations[[#This Row],[Step]] &gt; current_step, "",Iterations[[#This Row],[Grad_d]]))</f>
        <v/>
      </c>
      <c r="R1346" s="2" t="str">
        <f>IF(Iterations[[#This Row],[Step]] =current_step, current_Grad_e,IF(Iterations[[#This Row],[Step]] &gt; current_step, "",Iterations[[#This Row],[Grad_e]]))</f>
        <v/>
      </c>
    </row>
    <row r="1347" spans="6:18" x14ac:dyDescent="0.3">
      <c r="F1347" s="2">
        <f t="shared" si="26"/>
        <v>1330</v>
      </c>
      <c r="G1347" s="2" t="str">
        <f>IF(Iterations[[#This Row],[Step]] =current_step, current_a,IF(Iterations[[#This Row],[Step]] &gt; current_step, "",Iterations[[#This Row],[a]]))</f>
        <v/>
      </c>
      <c r="H1347" s="2" t="str">
        <f>IF(Iterations[[#This Row],[Step]] =current_step, current_b,IF(Iterations[[#This Row],[Step]] &gt; current_step, "",Iterations[[#This Row],[b]]))</f>
        <v/>
      </c>
      <c r="I1347" s="2" t="str">
        <f>IF(Iterations[[#This Row],[Step]] =current_step, current_c,IF(Iterations[[#This Row],[Step]] &gt; current_step, "",Iterations[[#This Row],[c]]))</f>
        <v/>
      </c>
      <c r="J1347" s="2" t="str">
        <f>IF(Iterations[[#This Row],[Step]] =current_step, current_d,IF(Iterations[[#This Row],[Step]] &gt; current_step, "",Iterations[[#This Row],[d]]))</f>
        <v/>
      </c>
      <c r="K1347" s="2" t="str">
        <f>IF(Iterations[[#This Row],[Step]] =current_step, current_e,IF(Iterations[[#This Row],[Step]] &gt; current_step, "",Iterations[[#This Row],[e]]))</f>
        <v/>
      </c>
      <c r="L1347" s="2" t="str">
        <f>IF(Iterations[[#This Row],[Step]] =current_step, current_Total_Loss,IF(Iterations[[#This Row],[Step]] &gt; current_step, "",Iterations[[#This Row],[Total Loss]]))</f>
        <v/>
      </c>
      <c r="M1347" s="6" t="s">
        <v>27</v>
      </c>
      <c r="N1347" s="2" t="str">
        <f>IF(Iterations[[#This Row],[Step]] =current_step, current_Grad_a,IF(Iterations[[#This Row],[Step]] &gt; current_step, "",Iterations[[#This Row],[Grad_a]]))</f>
        <v/>
      </c>
      <c r="O1347" s="2" t="str">
        <f>IF(Iterations[[#This Row],[Step]] =current_step, current_Grad_b,IF(Iterations[[#This Row],[Step]] &gt; current_step, "",Iterations[[#This Row],[Grad_b]]))</f>
        <v/>
      </c>
      <c r="P1347" s="2" t="str">
        <f>IF(Iterations[[#This Row],[Step]] =current_step, current_Grad_c,IF(Iterations[[#This Row],[Step]] &gt; current_step, "",Iterations[[#This Row],[Grad_c]]))</f>
        <v/>
      </c>
      <c r="Q1347" s="2" t="str">
        <f>IF(Iterations[[#This Row],[Step]] =current_step, current_Grad_d,IF(Iterations[[#This Row],[Step]] &gt; current_step, "",Iterations[[#This Row],[Grad_d]]))</f>
        <v/>
      </c>
      <c r="R1347" s="2" t="str">
        <f>IF(Iterations[[#This Row],[Step]] =current_step, current_Grad_e,IF(Iterations[[#This Row],[Step]] &gt; current_step, "",Iterations[[#This Row],[Grad_e]]))</f>
        <v/>
      </c>
    </row>
    <row r="1348" spans="6:18" x14ac:dyDescent="0.3">
      <c r="F1348" s="2">
        <f t="shared" si="26"/>
        <v>1331</v>
      </c>
      <c r="G1348" s="2" t="str">
        <f>IF(Iterations[[#This Row],[Step]] =current_step, current_a,IF(Iterations[[#This Row],[Step]] &gt; current_step, "",Iterations[[#This Row],[a]]))</f>
        <v/>
      </c>
      <c r="H1348" s="2" t="str">
        <f>IF(Iterations[[#This Row],[Step]] =current_step, current_b,IF(Iterations[[#This Row],[Step]] &gt; current_step, "",Iterations[[#This Row],[b]]))</f>
        <v/>
      </c>
      <c r="I1348" s="2" t="str">
        <f>IF(Iterations[[#This Row],[Step]] =current_step, current_c,IF(Iterations[[#This Row],[Step]] &gt; current_step, "",Iterations[[#This Row],[c]]))</f>
        <v/>
      </c>
      <c r="J1348" s="2" t="str">
        <f>IF(Iterations[[#This Row],[Step]] =current_step, current_d,IF(Iterations[[#This Row],[Step]] &gt; current_step, "",Iterations[[#This Row],[d]]))</f>
        <v/>
      </c>
      <c r="K1348" s="2" t="str">
        <f>IF(Iterations[[#This Row],[Step]] =current_step, current_e,IF(Iterations[[#This Row],[Step]] &gt; current_step, "",Iterations[[#This Row],[e]]))</f>
        <v/>
      </c>
      <c r="L1348" s="2" t="str">
        <f>IF(Iterations[[#This Row],[Step]] =current_step, current_Total_Loss,IF(Iterations[[#This Row],[Step]] &gt; current_step, "",Iterations[[#This Row],[Total Loss]]))</f>
        <v/>
      </c>
      <c r="M1348" s="6" t="s">
        <v>27</v>
      </c>
      <c r="N1348" s="2" t="str">
        <f>IF(Iterations[[#This Row],[Step]] =current_step, current_Grad_a,IF(Iterations[[#This Row],[Step]] &gt; current_step, "",Iterations[[#This Row],[Grad_a]]))</f>
        <v/>
      </c>
      <c r="O1348" s="2" t="str">
        <f>IF(Iterations[[#This Row],[Step]] =current_step, current_Grad_b,IF(Iterations[[#This Row],[Step]] &gt; current_step, "",Iterations[[#This Row],[Grad_b]]))</f>
        <v/>
      </c>
      <c r="P1348" s="2" t="str">
        <f>IF(Iterations[[#This Row],[Step]] =current_step, current_Grad_c,IF(Iterations[[#This Row],[Step]] &gt; current_step, "",Iterations[[#This Row],[Grad_c]]))</f>
        <v/>
      </c>
      <c r="Q1348" s="2" t="str">
        <f>IF(Iterations[[#This Row],[Step]] =current_step, current_Grad_d,IF(Iterations[[#This Row],[Step]] &gt; current_step, "",Iterations[[#This Row],[Grad_d]]))</f>
        <v/>
      </c>
      <c r="R1348" s="2" t="str">
        <f>IF(Iterations[[#This Row],[Step]] =current_step, current_Grad_e,IF(Iterations[[#This Row],[Step]] &gt; current_step, "",Iterations[[#This Row],[Grad_e]]))</f>
        <v/>
      </c>
    </row>
    <row r="1349" spans="6:18" x14ac:dyDescent="0.3">
      <c r="F1349" s="2">
        <f t="shared" si="26"/>
        <v>1332</v>
      </c>
      <c r="G1349" s="2" t="str">
        <f>IF(Iterations[[#This Row],[Step]] =current_step, current_a,IF(Iterations[[#This Row],[Step]] &gt; current_step, "",Iterations[[#This Row],[a]]))</f>
        <v/>
      </c>
      <c r="H1349" s="2" t="str">
        <f>IF(Iterations[[#This Row],[Step]] =current_step, current_b,IF(Iterations[[#This Row],[Step]] &gt; current_step, "",Iterations[[#This Row],[b]]))</f>
        <v/>
      </c>
      <c r="I1349" s="2" t="str">
        <f>IF(Iterations[[#This Row],[Step]] =current_step, current_c,IF(Iterations[[#This Row],[Step]] &gt; current_step, "",Iterations[[#This Row],[c]]))</f>
        <v/>
      </c>
      <c r="J1349" s="2" t="str">
        <f>IF(Iterations[[#This Row],[Step]] =current_step, current_d,IF(Iterations[[#This Row],[Step]] &gt; current_step, "",Iterations[[#This Row],[d]]))</f>
        <v/>
      </c>
      <c r="K1349" s="2" t="str">
        <f>IF(Iterations[[#This Row],[Step]] =current_step, current_e,IF(Iterations[[#This Row],[Step]] &gt; current_step, "",Iterations[[#This Row],[e]]))</f>
        <v/>
      </c>
      <c r="L1349" s="2" t="str">
        <f>IF(Iterations[[#This Row],[Step]] =current_step, current_Total_Loss,IF(Iterations[[#This Row],[Step]] &gt; current_step, "",Iterations[[#This Row],[Total Loss]]))</f>
        <v/>
      </c>
      <c r="M1349" s="6" t="s">
        <v>27</v>
      </c>
      <c r="N1349" s="2" t="str">
        <f>IF(Iterations[[#This Row],[Step]] =current_step, current_Grad_a,IF(Iterations[[#This Row],[Step]] &gt; current_step, "",Iterations[[#This Row],[Grad_a]]))</f>
        <v/>
      </c>
      <c r="O1349" s="2" t="str">
        <f>IF(Iterations[[#This Row],[Step]] =current_step, current_Grad_b,IF(Iterations[[#This Row],[Step]] &gt; current_step, "",Iterations[[#This Row],[Grad_b]]))</f>
        <v/>
      </c>
      <c r="P1349" s="2" t="str">
        <f>IF(Iterations[[#This Row],[Step]] =current_step, current_Grad_c,IF(Iterations[[#This Row],[Step]] &gt; current_step, "",Iterations[[#This Row],[Grad_c]]))</f>
        <v/>
      </c>
      <c r="Q1349" s="2" t="str">
        <f>IF(Iterations[[#This Row],[Step]] =current_step, current_Grad_d,IF(Iterations[[#This Row],[Step]] &gt; current_step, "",Iterations[[#This Row],[Grad_d]]))</f>
        <v/>
      </c>
      <c r="R1349" s="2" t="str">
        <f>IF(Iterations[[#This Row],[Step]] =current_step, current_Grad_e,IF(Iterations[[#This Row],[Step]] &gt; current_step, "",Iterations[[#This Row],[Grad_e]]))</f>
        <v/>
      </c>
    </row>
    <row r="1350" spans="6:18" x14ac:dyDescent="0.3">
      <c r="F1350" s="2">
        <f t="shared" si="26"/>
        <v>1333</v>
      </c>
      <c r="G1350" s="2" t="str">
        <f>IF(Iterations[[#This Row],[Step]] =current_step, current_a,IF(Iterations[[#This Row],[Step]] &gt; current_step, "",Iterations[[#This Row],[a]]))</f>
        <v/>
      </c>
      <c r="H1350" s="2" t="str">
        <f>IF(Iterations[[#This Row],[Step]] =current_step, current_b,IF(Iterations[[#This Row],[Step]] &gt; current_step, "",Iterations[[#This Row],[b]]))</f>
        <v/>
      </c>
      <c r="I1350" s="2" t="str">
        <f>IF(Iterations[[#This Row],[Step]] =current_step, current_c,IF(Iterations[[#This Row],[Step]] &gt; current_step, "",Iterations[[#This Row],[c]]))</f>
        <v/>
      </c>
      <c r="J1350" s="2" t="str">
        <f>IF(Iterations[[#This Row],[Step]] =current_step, current_d,IF(Iterations[[#This Row],[Step]] &gt; current_step, "",Iterations[[#This Row],[d]]))</f>
        <v/>
      </c>
      <c r="K1350" s="2" t="str">
        <f>IF(Iterations[[#This Row],[Step]] =current_step, current_e,IF(Iterations[[#This Row],[Step]] &gt; current_step, "",Iterations[[#This Row],[e]]))</f>
        <v/>
      </c>
      <c r="L1350" s="2" t="str">
        <f>IF(Iterations[[#This Row],[Step]] =current_step, current_Total_Loss,IF(Iterations[[#This Row],[Step]] &gt; current_step, "",Iterations[[#This Row],[Total Loss]]))</f>
        <v/>
      </c>
      <c r="M1350" s="6" t="s">
        <v>27</v>
      </c>
      <c r="N1350" s="2" t="str">
        <f>IF(Iterations[[#This Row],[Step]] =current_step, current_Grad_a,IF(Iterations[[#This Row],[Step]] &gt; current_step, "",Iterations[[#This Row],[Grad_a]]))</f>
        <v/>
      </c>
      <c r="O1350" s="2" t="str">
        <f>IF(Iterations[[#This Row],[Step]] =current_step, current_Grad_b,IF(Iterations[[#This Row],[Step]] &gt; current_step, "",Iterations[[#This Row],[Grad_b]]))</f>
        <v/>
      </c>
      <c r="P1350" s="2" t="str">
        <f>IF(Iterations[[#This Row],[Step]] =current_step, current_Grad_c,IF(Iterations[[#This Row],[Step]] &gt; current_step, "",Iterations[[#This Row],[Grad_c]]))</f>
        <v/>
      </c>
      <c r="Q1350" s="2" t="str">
        <f>IF(Iterations[[#This Row],[Step]] =current_step, current_Grad_d,IF(Iterations[[#This Row],[Step]] &gt; current_step, "",Iterations[[#This Row],[Grad_d]]))</f>
        <v/>
      </c>
      <c r="R1350" s="2" t="str">
        <f>IF(Iterations[[#This Row],[Step]] =current_step, current_Grad_e,IF(Iterations[[#This Row],[Step]] &gt; current_step, "",Iterations[[#This Row],[Grad_e]]))</f>
        <v/>
      </c>
    </row>
    <row r="1351" spans="6:18" x14ac:dyDescent="0.3">
      <c r="F1351" s="2">
        <f t="shared" si="26"/>
        <v>1334</v>
      </c>
      <c r="G1351" s="2" t="str">
        <f>IF(Iterations[[#This Row],[Step]] =current_step, current_a,IF(Iterations[[#This Row],[Step]] &gt; current_step, "",Iterations[[#This Row],[a]]))</f>
        <v/>
      </c>
      <c r="H1351" s="2" t="str">
        <f>IF(Iterations[[#This Row],[Step]] =current_step, current_b,IF(Iterations[[#This Row],[Step]] &gt; current_step, "",Iterations[[#This Row],[b]]))</f>
        <v/>
      </c>
      <c r="I1351" s="2" t="str">
        <f>IF(Iterations[[#This Row],[Step]] =current_step, current_c,IF(Iterations[[#This Row],[Step]] &gt; current_step, "",Iterations[[#This Row],[c]]))</f>
        <v/>
      </c>
      <c r="J1351" s="2" t="str">
        <f>IF(Iterations[[#This Row],[Step]] =current_step, current_d,IF(Iterations[[#This Row],[Step]] &gt; current_step, "",Iterations[[#This Row],[d]]))</f>
        <v/>
      </c>
      <c r="K1351" s="2" t="str">
        <f>IF(Iterations[[#This Row],[Step]] =current_step, current_e,IF(Iterations[[#This Row],[Step]] &gt; current_step, "",Iterations[[#This Row],[e]]))</f>
        <v/>
      </c>
      <c r="L1351" s="2" t="str">
        <f>IF(Iterations[[#This Row],[Step]] =current_step, current_Total_Loss,IF(Iterations[[#This Row],[Step]] &gt; current_step, "",Iterations[[#This Row],[Total Loss]]))</f>
        <v/>
      </c>
      <c r="M1351" s="6" t="s">
        <v>27</v>
      </c>
      <c r="N1351" s="2" t="str">
        <f>IF(Iterations[[#This Row],[Step]] =current_step, current_Grad_a,IF(Iterations[[#This Row],[Step]] &gt; current_step, "",Iterations[[#This Row],[Grad_a]]))</f>
        <v/>
      </c>
      <c r="O1351" s="2" t="str">
        <f>IF(Iterations[[#This Row],[Step]] =current_step, current_Grad_b,IF(Iterations[[#This Row],[Step]] &gt; current_step, "",Iterations[[#This Row],[Grad_b]]))</f>
        <v/>
      </c>
      <c r="P1351" s="2" t="str">
        <f>IF(Iterations[[#This Row],[Step]] =current_step, current_Grad_c,IF(Iterations[[#This Row],[Step]] &gt; current_step, "",Iterations[[#This Row],[Grad_c]]))</f>
        <v/>
      </c>
      <c r="Q1351" s="2" t="str">
        <f>IF(Iterations[[#This Row],[Step]] =current_step, current_Grad_d,IF(Iterations[[#This Row],[Step]] &gt; current_step, "",Iterations[[#This Row],[Grad_d]]))</f>
        <v/>
      </c>
      <c r="R1351" s="2" t="str">
        <f>IF(Iterations[[#This Row],[Step]] =current_step, current_Grad_e,IF(Iterations[[#This Row],[Step]] &gt; current_step, "",Iterations[[#This Row],[Grad_e]]))</f>
        <v/>
      </c>
    </row>
    <row r="1352" spans="6:18" x14ac:dyDescent="0.3">
      <c r="F1352" s="2">
        <f t="shared" si="26"/>
        <v>1335</v>
      </c>
      <c r="G1352" s="2" t="str">
        <f>IF(Iterations[[#This Row],[Step]] =current_step, current_a,IF(Iterations[[#This Row],[Step]] &gt; current_step, "",Iterations[[#This Row],[a]]))</f>
        <v/>
      </c>
      <c r="H1352" s="2" t="str">
        <f>IF(Iterations[[#This Row],[Step]] =current_step, current_b,IF(Iterations[[#This Row],[Step]] &gt; current_step, "",Iterations[[#This Row],[b]]))</f>
        <v/>
      </c>
      <c r="I1352" s="2" t="str">
        <f>IF(Iterations[[#This Row],[Step]] =current_step, current_c,IF(Iterations[[#This Row],[Step]] &gt; current_step, "",Iterations[[#This Row],[c]]))</f>
        <v/>
      </c>
      <c r="J1352" s="2" t="str">
        <f>IF(Iterations[[#This Row],[Step]] =current_step, current_d,IF(Iterations[[#This Row],[Step]] &gt; current_step, "",Iterations[[#This Row],[d]]))</f>
        <v/>
      </c>
      <c r="K1352" s="2" t="str">
        <f>IF(Iterations[[#This Row],[Step]] =current_step, current_e,IF(Iterations[[#This Row],[Step]] &gt; current_step, "",Iterations[[#This Row],[e]]))</f>
        <v/>
      </c>
      <c r="L1352" s="2" t="str">
        <f>IF(Iterations[[#This Row],[Step]] =current_step, current_Total_Loss,IF(Iterations[[#This Row],[Step]] &gt; current_step, "",Iterations[[#This Row],[Total Loss]]))</f>
        <v/>
      </c>
      <c r="M1352" s="6" t="s">
        <v>27</v>
      </c>
      <c r="N1352" s="2" t="str">
        <f>IF(Iterations[[#This Row],[Step]] =current_step, current_Grad_a,IF(Iterations[[#This Row],[Step]] &gt; current_step, "",Iterations[[#This Row],[Grad_a]]))</f>
        <v/>
      </c>
      <c r="O1352" s="2" t="str">
        <f>IF(Iterations[[#This Row],[Step]] =current_step, current_Grad_b,IF(Iterations[[#This Row],[Step]] &gt; current_step, "",Iterations[[#This Row],[Grad_b]]))</f>
        <v/>
      </c>
      <c r="P1352" s="2" t="str">
        <f>IF(Iterations[[#This Row],[Step]] =current_step, current_Grad_c,IF(Iterations[[#This Row],[Step]] &gt; current_step, "",Iterations[[#This Row],[Grad_c]]))</f>
        <v/>
      </c>
      <c r="Q1352" s="2" t="str">
        <f>IF(Iterations[[#This Row],[Step]] =current_step, current_Grad_d,IF(Iterations[[#This Row],[Step]] &gt; current_step, "",Iterations[[#This Row],[Grad_d]]))</f>
        <v/>
      </c>
      <c r="R1352" s="2" t="str">
        <f>IF(Iterations[[#This Row],[Step]] =current_step, current_Grad_e,IF(Iterations[[#This Row],[Step]] &gt; current_step, "",Iterations[[#This Row],[Grad_e]]))</f>
        <v/>
      </c>
    </row>
    <row r="1353" spans="6:18" x14ac:dyDescent="0.3">
      <c r="F1353" s="2">
        <f t="shared" si="26"/>
        <v>1336</v>
      </c>
      <c r="G1353" s="2" t="str">
        <f>IF(Iterations[[#This Row],[Step]] =current_step, current_a,IF(Iterations[[#This Row],[Step]] &gt; current_step, "",Iterations[[#This Row],[a]]))</f>
        <v/>
      </c>
      <c r="H1353" s="2" t="str">
        <f>IF(Iterations[[#This Row],[Step]] =current_step, current_b,IF(Iterations[[#This Row],[Step]] &gt; current_step, "",Iterations[[#This Row],[b]]))</f>
        <v/>
      </c>
      <c r="I1353" s="2" t="str">
        <f>IF(Iterations[[#This Row],[Step]] =current_step, current_c,IF(Iterations[[#This Row],[Step]] &gt; current_step, "",Iterations[[#This Row],[c]]))</f>
        <v/>
      </c>
      <c r="J1353" s="2" t="str">
        <f>IF(Iterations[[#This Row],[Step]] =current_step, current_d,IF(Iterations[[#This Row],[Step]] &gt; current_step, "",Iterations[[#This Row],[d]]))</f>
        <v/>
      </c>
      <c r="K1353" s="2" t="str">
        <f>IF(Iterations[[#This Row],[Step]] =current_step, current_e,IF(Iterations[[#This Row],[Step]] &gt; current_step, "",Iterations[[#This Row],[e]]))</f>
        <v/>
      </c>
      <c r="L1353" s="2" t="str">
        <f>IF(Iterations[[#This Row],[Step]] =current_step, current_Total_Loss,IF(Iterations[[#This Row],[Step]] &gt; current_step, "",Iterations[[#This Row],[Total Loss]]))</f>
        <v/>
      </c>
      <c r="M1353" s="6" t="s">
        <v>27</v>
      </c>
      <c r="N1353" s="2" t="str">
        <f>IF(Iterations[[#This Row],[Step]] =current_step, current_Grad_a,IF(Iterations[[#This Row],[Step]] &gt; current_step, "",Iterations[[#This Row],[Grad_a]]))</f>
        <v/>
      </c>
      <c r="O1353" s="2" t="str">
        <f>IF(Iterations[[#This Row],[Step]] =current_step, current_Grad_b,IF(Iterations[[#This Row],[Step]] &gt; current_step, "",Iterations[[#This Row],[Grad_b]]))</f>
        <v/>
      </c>
      <c r="P1353" s="2" t="str">
        <f>IF(Iterations[[#This Row],[Step]] =current_step, current_Grad_c,IF(Iterations[[#This Row],[Step]] &gt; current_step, "",Iterations[[#This Row],[Grad_c]]))</f>
        <v/>
      </c>
      <c r="Q1353" s="2" t="str">
        <f>IF(Iterations[[#This Row],[Step]] =current_step, current_Grad_d,IF(Iterations[[#This Row],[Step]] &gt; current_step, "",Iterations[[#This Row],[Grad_d]]))</f>
        <v/>
      </c>
      <c r="R1353" s="2" t="str">
        <f>IF(Iterations[[#This Row],[Step]] =current_step, current_Grad_e,IF(Iterations[[#This Row],[Step]] &gt; current_step, "",Iterations[[#This Row],[Grad_e]]))</f>
        <v/>
      </c>
    </row>
    <row r="1354" spans="6:18" x14ac:dyDescent="0.3">
      <c r="F1354" s="2">
        <f t="shared" si="26"/>
        <v>1337</v>
      </c>
      <c r="G1354" s="2" t="str">
        <f>IF(Iterations[[#This Row],[Step]] =current_step, current_a,IF(Iterations[[#This Row],[Step]] &gt; current_step, "",Iterations[[#This Row],[a]]))</f>
        <v/>
      </c>
      <c r="H1354" s="2" t="str">
        <f>IF(Iterations[[#This Row],[Step]] =current_step, current_b,IF(Iterations[[#This Row],[Step]] &gt; current_step, "",Iterations[[#This Row],[b]]))</f>
        <v/>
      </c>
      <c r="I1354" s="2" t="str">
        <f>IF(Iterations[[#This Row],[Step]] =current_step, current_c,IF(Iterations[[#This Row],[Step]] &gt; current_step, "",Iterations[[#This Row],[c]]))</f>
        <v/>
      </c>
      <c r="J1354" s="2" t="str">
        <f>IF(Iterations[[#This Row],[Step]] =current_step, current_d,IF(Iterations[[#This Row],[Step]] &gt; current_step, "",Iterations[[#This Row],[d]]))</f>
        <v/>
      </c>
      <c r="K1354" s="2" t="str">
        <f>IF(Iterations[[#This Row],[Step]] =current_step, current_e,IF(Iterations[[#This Row],[Step]] &gt; current_step, "",Iterations[[#This Row],[e]]))</f>
        <v/>
      </c>
      <c r="L1354" s="2" t="str">
        <f>IF(Iterations[[#This Row],[Step]] =current_step, current_Total_Loss,IF(Iterations[[#This Row],[Step]] &gt; current_step, "",Iterations[[#This Row],[Total Loss]]))</f>
        <v/>
      </c>
      <c r="M1354" s="6" t="s">
        <v>27</v>
      </c>
      <c r="N1354" s="2" t="str">
        <f>IF(Iterations[[#This Row],[Step]] =current_step, current_Grad_a,IF(Iterations[[#This Row],[Step]] &gt; current_step, "",Iterations[[#This Row],[Grad_a]]))</f>
        <v/>
      </c>
      <c r="O1354" s="2" t="str">
        <f>IF(Iterations[[#This Row],[Step]] =current_step, current_Grad_b,IF(Iterations[[#This Row],[Step]] &gt; current_step, "",Iterations[[#This Row],[Grad_b]]))</f>
        <v/>
      </c>
      <c r="P1354" s="2" t="str">
        <f>IF(Iterations[[#This Row],[Step]] =current_step, current_Grad_c,IF(Iterations[[#This Row],[Step]] &gt; current_step, "",Iterations[[#This Row],[Grad_c]]))</f>
        <v/>
      </c>
      <c r="Q1354" s="2" t="str">
        <f>IF(Iterations[[#This Row],[Step]] =current_step, current_Grad_d,IF(Iterations[[#This Row],[Step]] &gt; current_step, "",Iterations[[#This Row],[Grad_d]]))</f>
        <v/>
      </c>
      <c r="R1354" s="2" t="str">
        <f>IF(Iterations[[#This Row],[Step]] =current_step, current_Grad_e,IF(Iterations[[#This Row],[Step]] &gt; current_step, "",Iterations[[#This Row],[Grad_e]]))</f>
        <v/>
      </c>
    </row>
    <row r="1355" spans="6:18" x14ac:dyDescent="0.3">
      <c r="F1355" s="2">
        <f t="shared" si="26"/>
        <v>1338</v>
      </c>
      <c r="G1355" s="2" t="str">
        <f>IF(Iterations[[#This Row],[Step]] =current_step, current_a,IF(Iterations[[#This Row],[Step]] &gt; current_step, "",Iterations[[#This Row],[a]]))</f>
        <v/>
      </c>
      <c r="H1355" s="2" t="str">
        <f>IF(Iterations[[#This Row],[Step]] =current_step, current_b,IF(Iterations[[#This Row],[Step]] &gt; current_step, "",Iterations[[#This Row],[b]]))</f>
        <v/>
      </c>
      <c r="I1355" s="2" t="str">
        <f>IF(Iterations[[#This Row],[Step]] =current_step, current_c,IF(Iterations[[#This Row],[Step]] &gt; current_step, "",Iterations[[#This Row],[c]]))</f>
        <v/>
      </c>
      <c r="J1355" s="2" t="str">
        <f>IF(Iterations[[#This Row],[Step]] =current_step, current_d,IF(Iterations[[#This Row],[Step]] &gt; current_step, "",Iterations[[#This Row],[d]]))</f>
        <v/>
      </c>
      <c r="K1355" s="2" t="str">
        <f>IF(Iterations[[#This Row],[Step]] =current_step, current_e,IF(Iterations[[#This Row],[Step]] &gt; current_step, "",Iterations[[#This Row],[e]]))</f>
        <v/>
      </c>
      <c r="L1355" s="2" t="str">
        <f>IF(Iterations[[#This Row],[Step]] =current_step, current_Total_Loss,IF(Iterations[[#This Row],[Step]] &gt; current_step, "",Iterations[[#This Row],[Total Loss]]))</f>
        <v/>
      </c>
      <c r="M1355" s="6" t="s">
        <v>27</v>
      </c>
      <c r="N1355" s="2" t="str">
        <f>IF(Iterations[[#This Row],[Step]] =current_step, current_Grad_a,IF(Iterations[[#This Row],[Step]] &gt; current_step, "",Iterations[[#This Row],[Grad_a]]))</f>
        <v/>
      </c>
      <c r="O1355" s="2" t="str">
        <f>IF(Iterations[[#This Row],[Step]] =current_step, current_Grad_b,IF(Iterations[[#This Row],[Step]] &gt; current_step, "",Iterations[[#This Row],[Grad_b]]))</f>
        <v/>
      </c>
      <c r="P1355" s="2" t="str">
        <f>IF(Iterations[[#This Row],[Step]] =current_step, current_Grad_c,IF(Iterations[[#This Row],[Step]] &gt; current_step, "",Iterations[[#This Row],[Grad_c]]))</f>
        <v/>
      </c>
      <c r="Q1355" s="2" t="str">
        <f>IF(Iterations[[#This Row],[Step]] =current_step, current_Grad_d,IF(Iterations[[#This Row],[Step]] &gt; current_step, "",Iterations[[#This Row],[Grad_d]]))</f>
        <v/>
      </c>
      <c r="R1355" s="2" t="str">
        <f>IF(Iterations[[#This Row],[Step]] =current_step, current_Grad_e,IF(Iterations[[#This Row],[Step]] &gt; current_step, "",Iterations[[#This Row],[Grad_e]]))</f>
        <v/>
      </c>
    </row>
    <row r="1356" spans="6:18" x14ac:dyDescent="0.3">
      <c r="F1356" s="2">
        <f t="shared" si="26"/>
        <v>1339</v>
      </c>
      <c r="G1356" s="2" t="str">
        <f>IF(Iterations[[#This Row],[Step]] =current_step, current_a,IF(Iterations[[#This Row],[Step]] &gt; current_step, "",Iterations[[#This Row],[a]]))</f>
        <v/>
      </c>
      <c r="H1356" s="2" t="str">
        <f>IF(Iterations[[#This Row],[Step]] =current_step, current_b,IF(Iterations[[#This Row],[Step]] &gt; current_step, "",Iterations[[#This Row],[b]]))</f>
        <v/>
      </c>
      <c r="I1356" s="2" t="str">
        <f>IF(Iterations[[#This Row],[Step]] =current_step, current_c,IF(Iterations[[#This Row],[Step]] &gt; current_step, "",Iterations[[#This Row],[c]]))</f>
        <v/>
      </c>
      <c r="J1356" s="2" t="str">
        <f>IF(Iterations[[#This Row],[Step]] =current_step, current_d,IF(Iterations[[#This Row],[Step]] &gt; current_step, "",Iterations[[#This Row],[d]]))</f>
        <v/>
      </c>
      <c r="K1356" s="2" t="str">
        <f>IF(Iterations[[#This Row],[Step]] =current_step, current_e,IF(Iterations[[#This Row],[Step]] &gt; current_step, "",Iterations[[#This Row],[e]]))</f>
        <v/>
      </c>
      <c r="L1356" s="2" t="str">
        <f>IF(Iterations[[#This Row],[Step]] =current_step, current_Total_Loss,IF(Iterations[[#This Row],[Step]] &gt; current_step, "",Iterations[[#This Row],[Total Loss]]))</f>
        <v/>
      </c>
      <c r="M1356" s="6" t="s">
        <v>27</v>
      </c>
      <c r="N1356" s="2" t="str">
        <f>IF(Iterations[[#This Row],[Step]] =current_step, current_Grad_a,IF(Iterations[[#This Row],[Step]] &gt; current_step, "",Iterations[[#This Row],[Grad_a]]))</f>
        <v/>
      </c>
      <c r="O1356" s="2" t="str">
        <f>IF(Iterations[[#This Row],[Step]] =current_step, current_Grad_b,IF(Iterations[[#This Row],[Step]] &gt; current_step, "",Iterations[[#This Row],[Grad_b]]))</f>
        <v/>
      </c>
      <c r="P1356" s="2" t="str">
        <f>IF(Iterations[[#This Row],[Step]] =current_step, current_Grad_c,IF(Iterations[[#This Row],[Step]] &gt; current_step, "",Iterations[[#This Row],[Grad_c]]))</f>
        <v/>
      </c>
      <c r="Q1356" s="2" t="str">
        <f>IF(Iterations[[#This Row],[Step]] =current_step, current_Grad_d,IF(Iterations[[#This Row],[Step]] &gt; current_step, "",Iterations[[#This Row],[Grad_d]]))</f>
        <v/>
      </c>
      <c r="R1356" s="2" t="str">
        <f>IF(Iterations[[#This Row],[Step]] =current_step, current_Grad_e,IF(Iterations[[#This Row],[Step]] &gt; current_step, "",Iterations[[#This Row],[Grad_e]]))</f>
        <v/>
      </c>
    </row>
    <row r="1357" spans="6:18" x14ac:dyDescent="0.3">
      <c r="F1357" s="2">
        <f t="shared" si="26"/>
        <v>1340</v>
      </c>
      <c r="G1357" s="2" t="str">
        <f>IF(Iterations[[#This Row],[Step]] =current_step, current_a,IF(Iterations[[#This Row],[Step]] &gt; current_step, "",Iterations[[#This Row],[a]]))</f>
        <v/>
      </c>
      <c r="H1357" s="2" t="str">
        <f>IF(Iterations[[#This Row],[Step]] =current_step, current_b,IF(Iterations[[#This Row],[Step]] &gt; current_step, "",Iterations[[#This Row],[b]]))</f>
        <v/>
      </c>
      <c r="I1357" s="2" t="str">
        <f>IF(Iterations[[#This Row],[Step]] =current_step, current_c,IF(Iterations[[#This Row],[Step]] &gt; current_step, "",Iterations[[#This Row],[c]]))</f>
        <v/>
      </c>
      <c r="J1357" s="2" t="str">
        <f>IF(Iterations[[#This Row],[Step]] =current_step, current_d,IF(Iterations[[#This Row],[Step]] &gt; current_step, "",Iterations[[#This Row],[d]]))</f>
        <v/>
      </c>
      <c r="K1357" s="2" t="str">
        <f>IF(Iterations[[#This Row],[Step]] =current_step, current_e,IF(Iterations[[#This Row],[Step]] &gt; current_step, "",Iterations[[#This Row],[e]]))</f>
        <v/>
      </c>
      <c r="L1357" s="2" t="str">
        <f>IF(Iterations[[#This Row],[Step]] =current_step, current_Total_Loss,IF(Iterations[[#This Row],[Step]] &gt; current_step, "",Iterations[[#This Row],[Total Loss]]))</f>
        <v/>
      </c>
      <c r="M1357" s="6" t="s">
        <v>27</v>
      </c>
      <c r="N1357" s="2" t="str">
        <f>IF(Iterations[[#This Row],[Step]] =current_step, current_Grad_a,IF(Iterations[[#This Row],[Step]] &gt; current_step, "",Iterations[[#This Row],[Grad_a]]))</f>
        <v/>
      </c>
      <c r="O1357" s="2" t="str">
        <f>IF(Iterations[[#This Row],[Step]] =current_step, current_Grad_b,IF(Iterations[[#This Row],[Step]] &gt; current_step, "",Iterations[[#This Row],[Grad_b]]))</f>
        <v/>
      </c>
      <c r="P1357" s="2" t="str">
        <f>IF(Iterations[[#This Row],[Step]] =current_step, current_Grad_c,IF(Iterations[[#This Row],[Step]] &gt; current_step, "",Iterations[[#This Row],[Grad_c]]))</f>
        <v/>
      </c>
      <c r="Q1357" s="2" t="str">
        <f>IF(Iterations[[#This Row],[Step]] =current_step, current_Grad_d,IF(Iterations[[#This Row],[Step]] &gt; current_step, "",Iterations[[#This Row],[Grad_d]]))</f>
        <v/>
      </c>
      <c r="R1357" s="2" t="str">
        <f>IF(Iterations[[#This Row],[Step]] =current_step, current_Grad_e,IF(Iterations[[#This Row],[Step]] &gt; current_step, "",Iterations[[#This Row],[Grad_e]]))</f>
        <v/>
      </c>
    </row>
    <row r="1358" spans="6:18" x14ac:dyDescent="0.3">
      <c r="F1358" s="2">
        <f t="shared" si="26"/>
        <v>1341</v>
      </c>
      <c r="G1358" s="2" t="str">
        <f>IF(Iterations[[#This Row],[Step]] =current_step, current_a,IF(Iterations[[#This Row],[Step]] &gt; current_step, "",Iterations[[#This Row],[a]]))</f>
        <v/>
      </c>
      <c r="H1358" s="2" t="str">
        <f>IF(Iterations[[#This Row],[Step]] =current_step, current_b,IF(Iterations[[#This Row],[Step]] &gt; current_step, "",Iterations[[#This Row],[b]]))</f>
        <v/>
      </c>
      <c r="I1358" s="2" t="str">
        <f>IF(Iterations[[#This Row],[Step]] =current_step, current_c,IF(Iterations[[#This Row],[Step]] &gt; current_step, "",Iterations[[#This Row],[c]]))</f>
        <v/>
      </c>
      <c r="J1358" s="2" t="str">
        <f>IF(Iterations[[#This Row],[Step]] =current_step, current_d,IF(Iterations[[#This Row],[Step]] &gt; current_step, "",Iterations[[#This Row],[d]]))</f>
        <v/>
      </c>
      <c r="K1358" s="2" t="str">
        <f>IF(Iterations[[#This Row],[Step]] =current_step, current_e,IF(Iterations[[#This Row],[Step]] &gt; current_step, "",Iterations[[#This Row],[e]]))</f>
        <v/>
      </c>
      <c r="L1358" s="2" t="str">
        <f>IF(Iterations[[#This Row],[Step]] =current_step, current_Total_Loss,IF(Iterations[[#This Row],[Step]] &gt; current_step, "",Iterations[[#This Row],[Total Loss]]))</f>
        <v/>
      </c>
      <c r="M1358" s="6" t="s">
        <v>27</v>
      </c>
      <c r="N1358" s="2" t="str">
        <f>IF(Iterations[[#This Row],[Step]] =current_step, current_Grad_a,IF(Iterations[[#This Row],[Step]] &gt; current_step, "",Iterations[[#This Row],[Grad_a]]))</f>
        <v/>
      </c>
      <c r="O1358" s="2" t="str">
        <f>IF(Iterations[[#This Row],[Step]] =current_step, current_Grad_b,IF(Iterations[[#This Row],[Step]] &gt; current_step, "",Iterations[[#This Row],[Grad_b]]))</f>
        <v/>
      </c>
      <c r="P1358" s="2" t="str">
        <f>IF(Iterations[[#This Row],[Step]] =current_step, current_Grad_c,IF(Iterations[[#This Row],[Step]] &gt; current_step, "",Iterations[[#This Row],[Grad_c]]))</f>
        <v/>
      </c>
      <c r="Q1358" s="2" t="str">
        <f>IF(Iterations[[#This Row],[Step]] =current_step, current_Grad_d,IF(Iterations[[#This Row],[Step]] &gt; current_step, "",Iterations[[#This Row],[Grad_d]]))</f>
        <v/>
      </c>
      <c r="R1358" s="2" t="str">
        <f>IF(Iterations[[#This Row],[Step]] =current_step, current_Grad_e,IF(Iterations[[#This Row],[Step]] &gt; current_step, "",Iterations[[#This Row],[Grad_e]]))</f>
        <v/>
      </c>
    </row>
    <row r="1359" spans="6:18" x14ac:dyDescent="0.3">
      <c r="F1359" s="2">
        <f t="shared" si="26"/>
        <v>1342</v>
      </c>
      <c r="G1359" s="2" t="str">
        <f>IF(Iterations[[#This Row],[Step]] =current_step, current_a,IF(Iterations[[#This Row],[Step]] &gt; current_step, "",Iterations[[#This Row],[a]]))</f>
        <v/>
      </c>
      <c r="H1359" s="2" t="str">
        <f>IF(Iterations[[#This Row],[Step]] =current_step, current_b,IF(Iterations[[#This Row],[Step]] &gt; current_step, "",Iterations[[#This Row],[b]]))</f>
        <v/>
      </c>
      <c r="I1359" s="2" t="str">
        <f>IF(Iterations[[#This Row],[Step]] =current_step, current_c,IF(Iterations[[#This Row],[Step]] &gt; current_step, "",Iterations[[#This Row],[c]]))</f>
        <v/>
      </c>
      <c r="J1359" s="2" t="str">
        <f>IF(Iterations[[#This Row],[Step]] =current_step, current_d,IF(Iterations[[#This Row],[Step]] &gt; current_step, "",Iterations[[#This Row],[d]]))</f>
        <v/>
      </c>
      <c r="K1359" s="2" t="str">
        <f>IF(Iterations[[#This Row],[Step]] =current_step, current_e,IF(Iterations[[#This Row],[Step]] &gt; current_step, "",Iterations[[#This Row],[e]]))</f>
        <v/>
      </c>
      <c r="L1359" s="2" t="str">
        <f>IF(Iterations[[#This Row],[Step]] =current_step, current_Total_Loss,IF(Iterations[[#This Row],[Step]] &gt; current_step, "",Iterations[[#This Row],[Total Loss]]))</f>
        <v/>
      </c>
      <c r="M1359" s="6" t="s">
        <v>27</v>
      </c>
      <c r="N1359" s="2" t="str">
        <f>IF(Iterations[[#This Row],[Step]] =current_step, current_Grad_a,IF(Iterations[[#This Row],[Step]] &gt; current_step, "",Iterations[[#This Row],[Grad_a]]))</f>
        <v/>
      </c>
      <c r="O1359" s="2" t="str">
        <f>IF(Iterations[[#This Row],[Step]] =current_step, current_Grad_b,IF(Iterations[[#This Row],[Step]] &gt; current_step, "",Iterations[[#This Row],[Grad_b]]))</f>
        <v/>
      </c>
      <c r="P1359" s="2" t="str">
        <f>IF(Iterations[[#This Row],[Step]] =current_step, current_Grad_c,IF(Iterations[[#This Row],[Step]] &gt; current_step, "",Iterations[[#This Row],[Grad_c]]))</f>
        <v/>
      </c>
      <c r="Q1359" s="2" t="str">
        <f>IF(Iterations[[#This Row],[Step]] =current_step, current_Grad_d,IF(Iterations[[#This Row],[Step]] &gt; current_step, "",Iterations[[#This Row],[Grad_d]]))</f>
        <v/>
      </c>
      <c r="R1359" s="2" t="str">
        <f>IF(Iterations[[#This Row],[Step]] =current_step, current_Grad_e,IF(Iterations[[#This Row],[Step]] &gt; current_step, "",Iterations[[#This Row],[Grad_e]]))</f>
        <v/>
      </c>
    </row>
    <row r="1360" spans="6:18" x14ac:dyDescent="0.3">
      <c r="F1360" s="2">
        <f t="shared" si="26"/>
        <v>1343</v>
      </c>
      <c r="G1360" s="2" t="str">
        <f>IF(Iterations[[#This Row],[Step]] =current_step, current_a,IF(Iterations[[#This Row],[Step]] &gt; current_step, "",Iterations[[#This Row],[a]]))</f>
        <v/>
      </c>
      <c r="H1360" s="2" t="str">
        <f>IF(Iterations[[#This Row],[Step]] =current_step, current_b,IF(Iterations[[#This Row],[Step]] &gt; current_step, "",Iterations[[#This Row],[b]]))</f>
        <v/>
      </c>
      <c r="I1360" s="2" t="str">
        <f>IF(Iterations[[#This Row],[Step]] =current_step, current_c,IF(Iterations[[#This Row],[Step]] &gt; current_step, "",Iterations[[#This Row],[c]]))</f>
        <v/>
      </c>
      <c r="J1360" s="2" t="str">
        <f>IF(Iterations[[#This Row],[Step]] =current_step, current_d,IF(Iterations[[#This Row],[Step]] &gt; current_step, "",Iterations[[#This Row],[d]]))</f>
        <v/>
      </c>
      <c r="K1360" s="2" t="str">
        <f>IF(Iterations[[#This Row],[Step]] =current_step, current_e,IF(Iterations[[#This Row],[Step]] &gt; current_step, "",Iterations[[#This Row],[e]]))</f>
        <v/>
      </c>
      <c r="L1360" s="2" t="str">
        <f>IF(Iterations[[#This Row],[Step]] =current_step, current_Total_Loss,IF(Iterations[[#This Row],[Step]] &gt; current_step, "",Iterations[[#This Row],[Total Loss]]))</f>
        <v/>
      </c>
      <c r="M1360" s="6" t="s">
        <v>27</v>
      </c>
      <c r="N1360" s="2" t="str">
        <f>IF(Iterations[[#This Row],[Step]] =current_step, current_Grad_a,IF(Iterations[[#This Row],[Step]] &gt; current_step, "",Iterations[[#This Row],[Grad_a]]))</f>
        <v/>
      </c>
      <c r="O1360" s="2" t="str">
        <f>IF(Iterations[[#This Row],[Step]] =current_step, current_Grad_b,IF(Iterations[[#This Row],[Step]] &gt; current_step, "",Iterations[[#This Row],[Grad_b]]))</f>
        <v/>
      </c>
      <c r="P1360" s="2" t="str">
        <f>IF(Iterations[[#This Row],[Step]] =current_step, current_Grad_c,IF(Iterations[[#This Row],[Step]] &gt; current_step, "",Iterations[[#This Row],[Grad_c]]))</f>
        <v/>
      </c>
      <c r="Q1360" s="2" t="str">
        <f>IF(Iterations[[#This Row],[Step]] =current_step, current_Grad_d,IF(Iterations[[#This Row],[Step]] &gt; current_step, "",Iterations[[#This Row],[Grad_d]]))</f>
        <v/>
      </c>
      <c r="R1360" s="2" t="str">
        <f>IF(Iterations[[#This Row],[Step]] =current_step, current_Grad_e,IF(Iterations[[#This Row],[Step]] &gt; current_step, "",Iterations[[#This Row],[Grad_e]]))</f>
        <v/>
      </c>
    </row>
    <row r="1361" spans="6:18" x14ac:dyDescent="0.3">
      <c r="F1361" s="2">
        <f t="shared" si="26"/>
        <v>1344</v>
      </c>
      <c r="G1361" s="2" t="str">
        <f>IF(Iterations[[#This Row],[Step]] =current_step, current_a,IF(Iterations[[#This Row],[Step]] &gt; current_step, "",Iterations[[#This Row],[a]]))</f>
        <v/>
      </c>
      <c r="H1361" s="2" t="str">
        <f>IF(Iterations[[#This Row],[Step]] =current_step, current_b,IF(Iterations[[#This Row],[Step]] &gt; current_step, "",Iterations[[#This Row],[b]]))</f>
        <v/>
      </c>
      <c r="I1361" s="2" t="str">
        <f>IF(Iterations[[#This Row],[Step]] =current_step, current_c,IF(Iterations[[#This Row],[Step]] &gt; current_step, "",Iterations[[#This Row],[c]]))</f>
        <v/>
      </c>
      <c r="J1361" s="2" t="str">
        <f>IF(Iterations[[#This Row],[Step]] =current_step, current_d,IF(Iterations[[#This Row],[Step]] &gt; current_step, "",Iterations[[#This Row],[d]]))</f>
        <v/>
      </c>
      <c r="K1361" s="2" t="str">
        <f>IF(Iterations[[#This Row],[Step]] =current_step, current_e,IF(Iterations[[#This Row],[Step]] &gt; current_step, "",Iterations[[#This Row],[e]]))</f>
        <v/>
      </c>
      <c r="L1361" s="2" t="str">
        <f>IF(Iterations[[#This Row],[Step]] =current_step, current_Total_Loss,IF(Iterations[[#This Row],[Step]] &gt; current_step, "",Iterations[[#This Row],[Total Loss]]))</f>
        <v/>
      </c>
      <c r="M1361" s="6" t="s">
        <v>27</v>
      </c>
      <c r="N1361" s="2" t="str">
        <f>IF(Iterations[[#This Row],[Step]] =current_step, current_Grad_a,IF(Iterations[[#This Row],[Step]] &gt; current_step, "",Iterations[[#This Row],[Grad_a]]))</f>
        <v/>
      </c>
      <c r="O1361" s="2" t="str">
        <f>IF(Iterations[[#This Row],[Step]] =current_step, current_Grad_b,IF(Iterations[[#This Row],[Step]] &gt; current_step, "",Iterations[[#This Row],[Grad_b]]))</f>
        <v/>
      </c>
      <c r="P1361" s="2" t="str">
        <f>IF(Iterations[[#This Row],[Step]] =current_step, current_Grad_c,IF(Iterations[[#This Row],[Step]] &gt; current_step, "",Iterations[[#This Row],[Grad_c]]))</f>
        <v/>
      </c>
      <c r="Q1361" s="2" t="str">
        <f>IF(Iterations[[#This Row],[Step]] =current_step, current_Grad_d,IF(Iterations[[#This Row],[Step]] &gt; current_step, "",Iterations[[#This Row],[Grad_d]]))</f>
        <v/>
      </c>
      <c r="R1361" s="2" t="str">
        <f>IF(Iterations[[#This Row],[Step]] =current_step, current_Grad_e,IF(Iterations[[#This Row],[Step]] &gt; current_step, "",Iterations[[#This Row],[Grad_e]]))</f>
        <v/>
      </c>
    </row>
    <row r="1362" spans="6:18" x14ac:dyDescent="0.3">
      <c r="F1362" s="2">
        <f t="shared" si="26"/>
        <v>1345</v>
      </c>
      <c r="G1362" s="2" t="str">
        <f>IF(Iterations[[#This Row],[Step]] =current_step, current_a,IF(Iterations[[#This Row],[Step]] &gt; current_step, "",Iterations[[#This Row],[a]]))</f>
        <v/>
      </c>
      <c r="H1362" s="2" t="str">
        <f>IF(Iterations[[#This Row],[Step]] =current_step, current_b,IF(Iterations[[#This Row],[Step]] &gt; current_step, "",Iterations[[#This Row],[b]]))</f>
        <v/>
      </c>
      <c r="I1362" s="2" t="str">
        <f>IF(Iterations[[#This Row],[Step]] =current_step, current_c,IF(Iterations[[#This Row],[Step]] &gt; current_step, "",Iterations[[#This Row],[c]]))</f>
        <v/>
      </c>
      <c r="J1362" s="2" t="str">
        <f>IF(Iterations[[#This Row],[Step]] =current_step, current_d,IF(Iterations[[#This Row],[Step]] &gt; current_step, "",Iterations[[#This Row],[d]]))</f>
        <v/>
      </c>
      <c r="K1362" s="2" t="str">
        <f>IF(Iterations[[#This Row],[Step]] =current_step, current_e,IF(Iterations[[#This Row],[Step]] &gt; current_step, "",Iterations[[#This Row],[e]]))</f>
        <v/>
      </c>
      <c r="L1362" s="2" t="str">
        <f>IF(Iterations[[#This Row],[Step]] =current_step, current_Total_Loss,IF(Iterations[[#This Row],[Step]] &gt; current_step, "",Iterations[[#This Row],[Total Loss]]))</f>
        <v/>
      </c>
      <c r="M1362" s="6" t="s">
        <v>27</v>
      </c>
      <c r="N1362" s="2" t="str">
        <f>IF(Iterations[[#This Row],[Step]] =current_step, current_Grad_a,IF(Iterations[[#This Row],[Step]] &gt; current_step, "",Iterations[[#This Row],[Grad_a]]))</f>
        <v/>
      </c>
      <c r="O1362" s="2" t="str">
        <f>IF(Iterations[[#This Row],[Step]] =current_step, current_Grad_b,IF(Iterations[[#This Row],[Step]] &gt; current_step, "",Iterations[[#This Row],[Grad_b]]))</f>
        <v/>
      </c>
      <c r="P1362" s="2" t="str">
        <f>IF(Iterations[[#This Row],[Step]] =current_step, current_Grad_c,IF(Iterations[[#This Row],[Step]] &gt; current_step, "",Iterations[[#This Row],[Grad_c]]))</f>
        <v/>
      </c>
      <c r="Q1362" s="2" t="str">
        <f>IF(Iterations[[#This Row],[Step]] =current_step, current_Grad_d,IF(Iterations[[#This Row],[Step]] &gt; current_step, "",Iterations[[#This Row],[Grad_d]]))</f>
        <v/>
      </c>
      <c r="R1362" s="2" t="str">
        <f>IF(Iterations[[#This Row],[Step]] =current_step, current_Grad_e,IF(Iterations[[#This Row],[Step]] &gt; current_step, "",Iterations[[#This Row],[Grad_e]]))</f>
        <v/>
      </c>
    </row>
    <row r="1363" spans="6:18" x14ac:dyDescent="0.3">
      <c r="F1363" s="2">
        <f t="shared" si="26"/>
        <v>1346</v>
      </c>
      <c r="G1363" s="2" t="str">
        <f>IF(Iterations[[#This Row],[Step]] =current_step, current_a,IF(Iterations[[#This Row],[Step]] &gt; current_step, "",Iterations[[#This Row],[a]]))</f>
        <v/>
      </c>
      <c r="H1363" s="2" t="str">
        <f>IF(Iterations[[#This Row],[Step]] =current_step, current_b,IF(Iterations[[#This Row],[Step]] &gt; current_step, "",Iterations[[#This Row],[b]]))</f>
        <v/>
      </c>
      <c r="I1363" s="2" t="str">
        <f>IF(Iterations[[#This Row],[Step]] =current_step, current_c,IF(Iterations[[#This Row],[Step]] &gt; current_step, "",Iterations[[#This Row],[c]]))</f>
        <v/>
      </c>
      <c r="J1363" s="2" t="str">
        <f>IF(Iterations[[#This Row],[Step]] =current_step, current_d,IF(Iterations[[#This Row],[Step]] &gt; current_step, "",Iterations[[#This Row],[d]]))</f>
        <v/>
      </c>
      <c r="K1363" s="2" t="str">
        <f>IF(Iterations[[#This Row],[Step]] =current_step, current_e,IF(Iterations[[#This Row],[Step]] &gt; current_step, "",Iterations[[#This Row],[e]]))</f>
        <v/>
      </c>
      <c r="L1363" s="2" t="str">
        <f>IF(Iterations[[#This Row],[Step]] =current_step, current_Total_Loss,IF(Iterations[[#This Row],[Step]] &gt; current_step, "",Iterations[[#This Row],[Total Loss]]))</f>
        <v/>
      </c>
      <c r="M1363" s="6" t="s">
        <v>27</v>
      </c>
      <c r="N1363" s="2" t="str">
        <f>IF(Iterations[[#This Row],[Step]] =current_step, current_Grad_a,IF(Iterations[[#This Row],[Step]] &gt; current_step, "",Iterations[[#This Row],[Grad_a]]))</f>
        <v/>
      </c>
      <c r="O1363" s="2" t="str">
        <f>IF(Iterations[[#This Row],[Step]] =current_step, current_Grad_b,IF(Iterations[[#This Row],[Step]] &gt; current_step, "",Iterations[[#This Row],[Grad_b]]))</f>
        <v/>
      </c>
      <c r="P1363" s="2" t="str">
        <f>IF(Iterations[[#This Row],[Step]] =current_step, current_Grad_c,IF(Iterations[[#This Row],[Step]] &gt; current_step, "",Iterations[[#This Row],[Grad_c]]))</f>
        <v/>
      </c>
      <c r="Q1363" s="2" t="str">
        <f>IF(Iterations[[#This Row],[Step]] =current_step, current_Grad_d,IF(Iterations[[#This Row],[Step]] &gt; current_step, "",Iterations[[#This Row],[Grad_d]]))</f>
        <v/>
      </c>
      <c r="R1363" s="2" t="str">
        <f>IF(Iterations[[#This Row],[Step]] =current_step, current_Grad_e,IF(Iterations[[#This Row],[Step]] &gt; current_step, "",Iterations[[#This Row],[Grad_e]]))</f>
        <v/>
      </c>
    </row>
    <row r="1364" spans="6:18" x14ac:dyDescent="0.3">
      <c r="F1364" s="2">
        <f t="shared" si="26"/>
        <v>1347</v>
      </c>
      <c r="G1364" s="2" t="str">
        <f>IF(Iterations[[#This Row],[Step]] =current_step, current_a,IF(Iterations[[#This Row],[Step]] &gt; current_step, "",Iterations[[#This Row],[a]]))</f>
        <v/>
      </c>
      <c r="H1364" s="2" t="str">
        <f>IF(Iterations[[#This Row],[Step]] =current_step, current_b,IF(Iterations[[#This Row],[Step]] &gt; current_step, "",Iterations[[#This Row],[b]]))</f>
        <v/>
      </c>
      <c r="I1364" s="2" t="str">
        <f>IF(Iterations[[#This Row],[Step]] =current_step, current_c,IF(Iterations[[#This Row],[Step]] &gt; current_step, "",Iterations[[#This Row],[c]]))</f>
        <v/>
      </c>
      <c r="J1364" s="2" t="str">
        <f>IF(Iterations[[#This Row],[Step]] =current_step, current_d,IF(Iterations[[#This Row],[Step]] &gt; current_step, "",Iterations[[#This Row],[d]]))</f>
        <v/>
      </c>
      <c r="K1364" s="2" t="str">
        <f>IF(Iterations[[#This Row],[Step]] =current_step, current_e,IF(Iterations[[#This Row],[Step]] &gt; current_step, "",Iterations[[#This Row],[e]]))</f>
        <v/>
      </c>
      <c r="L1364" s="2" t="str">
        <f>IF(Iterations[[#This Row],[Step]] =current_step, current_Total_Loss,IF(Iterations[[#This Row],[Step]] &gt; current_step, "",Iterations[[#This Row],[Total Loss]]))</f>
        <v/>
      </c>
      <c r="M1364" s="6" t="s">
        <v>27</v>
      </c>
      <c r="N1364" s="2" t="str">
        <f>IF(Iterations[[#This Row],[Step]] =current_step, current_Grad_a,IF(Iterations[[#This Row],[Step]] &gt; current_step, "",Iterations[[#This Row],[Grad_a]]))</f>
        <v/>
      </c>
      <c r="O1364" s="2" t="str">
        <f>IF(Iterations[[#This Row],[Step]] =current_step, current_Grad_b,IF(Iterations[[#This Row],[Step]] &gt; current_step, "",Iterations[[#This Row],[Grad_b]]))</f>
        <v/>
      </c>
      <c r="P1364" s="2" t="str">
        <f>IF(Iterations[[#This Row],[Step]] =current_step, current_Grad_c,IF(Iterations[[#This Row],[Step]] &gt; current_step, "",Iterations[[#This Row],[Grad_c]]))</f>
        <v/>
      </c>
      <c r="Q1364" s="2" t="str">
        <f>IF(Iterations[[#This Row],[Step]] =current_step, current_Grad_d,IF(Iterations[[#This Row],[Step]] &gt; current_step, "",Iterations[[#This Row],[Grad_d]]))</f>
        <v/>
      </c>
      <c r="R1364" s="2" t="str">
        <f>IF(Iterations[[#This Row],[Step]] =current_step, current_Grad_e,IF(Iterations[[#This Row],[Step]] &gt; current_step, "",Iterations[[#This Row],[Grad_e]]))</f>
        <v/>
      </c>
    </row>
    <row r="1365" spans="6:18" x14ac:dyDescent="0.3">
      <c r="F1365" s="2">
        <f t="shared" si="26"/>
        <v>1348</v>
      </c>
      <c r="G1365" s="2" t="str">
        <f>IF(Iterations[[#This Row],[Step]] =current_step, current_a,IF(Iterations[[#This Row],[Step]] &gt; current_step, "",Iterations[[#This Row],[a]]))</f>
        <v/>
      </c>
      <c r="H1365" s="2" t="str">
        <f>IF(Iterations[[#This Row],[Step]] =current_step, current_b,IF(Iterations[[#This Row],[Step]] &gt; current_step, "",Iterations[[#This Row],[b]]))</f>
        <v/>
      </c>
      <c r="I1365" s="2" t="str">
        <f>IF(Iterations[[#This Row],[Step]] =current_step, current_c,IF(Iterations[[#This Row],[Step]] &gt; current_step, "",Iterations[[#This Row],[c]]))</f>
        <v/>
      </c>
      <c r="J1365" s="2" t="str">
        <f>IF(Iterations[[#This Row],[Step]] =current_step, current_d,IF(Iterations[[#This Row],[Step]] &gt; current_step, "",Iterations[[#This Row],[d]]))</f>
        <v/>
      </c>
      <c r="K1365" s="2" t="str">
        <f>IF(Iterations[[#This Row],[Step]] =current_step, current_e,IF(Iterations[[#This Row],[Step]] &gt; current_step, "",Iterations[[#This Row],[e]]))</f>
        <v/>
      </c>
      <c r="L1365" s="2" t="str">
        <f>IF(Iterations[[#This Row],[Step]] =current_step, current_Total_Loss,IF(Iterations[[#This Row],[Step]] &gt; current_step, "",Iterations[[#This Row],[Total Loss]]))</f>
        <v/>
      </c>
      <c r="M1365" s="6" t="s">
        <v>27</v>
      </c>
      <c r="N1365" s="2" t="str">
        <f>IF(Iterations[[#This Row],[Step]] =current_step, current_Grad_a,IF(Iterations[[#This Row],[Step]] &gt; current_step, "",Iterations[[#This Row],[Grad_a]]))</f>
        <v/>
      </c>
      <c r="O1365" s="2" t="str">
        <f>IF(Iterations[[#This Row],[Step]] =current_step, current_Grad_b,IF(Iterations[[#This Row],[Step]] &gt; current_step, "",Iterations[[#This Row],[Grad_b]]))</f>
        <v/>
      </c>
      <c r="P1365" s="2" t="str">
        <f>IF(Iterations[[#This Row],[Step]] =current_step, current_Grad_c,IF(Iterations[[#This Row],[Step]] &gt; current_step, "",Iterations[[#This Row],[Grad_c]]))</f>
        <v/>
      </c>
      <c r="Q1365" s="2" t="str">
        <f>IF(Iterations[[#This Row],[Step]] =current_step, current_Grad_d,IF(Iterations[[#This Row],[Step]] &gt; current_step, "",Iterations[[#This Row],[Grad_d]]))</f>
        <v/>
      </c>
      <c r="R1365" s="2" t="str">
        <f>IF(Iterations[[#This Row],[Step]] =current_step, current_Grad_e,IF(Iterations[[#This Row],[Step]] &gt; current_step, "",Iterations[[#This Row],[Grad_e]]))</f>
        <v/>
      </c>
    </row>
    <row r="1366" spans="6:18" x14ac:dyDescent="0.3">
      <c r="F1366" s="2">
        <f t="shared" si="26"/>
        <v>1349</v>
      </c>
      <c r="G1366" s="2" t="str">
        <f>IF(Iterations[[#This Row],[Step]] =current_step, current_a,IF(Iterations[[#This Row],[Step]] &gt; current_step, "",Iterations[[#This Row],[a]]))</f>
        <v/>
      </c>
      <c r="H1366" s="2" t="str">
        <f>IF(Iterations[[#This Row],[Step]] =current_step, current_b,IF(Iterations[[#This Row],[Step]] &gt; current_step, "",Iterations[[#This Row],[b]]))</f>
        <v/>
      </c>
      <c r="I1366" s="2" t="str">
        <f>IF(Iterations[[#This Row],[Step]] =current_step, current_c,IF(Iterations[[#This Row],[Step]] &gt; current_step, "",Iterations[[#This Row],[c]]))</f>
        <v/>
      </c>
      <c r="J1366" s="2" t="str">
        <f>IF(Iterations[[#This Row],[Step]] =current_step, current_d,IF(Iterations[[#This Row],[Step]] &gt; current_step, "",Iterations[[#This Row],[d]]))</f>
        <v/>
      </c>
      <c r="K1366" s="2" t="str">
        <f>IF(Iterations[[#This Row],[Step]] =current_step, current_e,IF(Iterations[[#This Row],[Step]] &gt; current_step, "",Iterations[[#This Row],[e]]))</f>
        <v/>
      </c>
      <c r="L1366" s="2" t="str">
        <f>IF(Iterations[[#This Row],[Step]] =current_step, current_Total_Loss,IF(Iterations[[#This Row],[Step]] &gt; current_step, "",Iterations[[#This Row],[Total Loss]]))</f>
        <v/>
      </c>
      <c r="M1366" s="6" t="s">
        <v>27</v>
      </c>
      <c r="N1366" s="2" t="str">
        <f>IF(Iterations[[#This Row],[Step]] =current_step, current_Grad_a,IF(Iterations[[#This Row],[Step]] &gt; current_step, "",Iterations[[#This Row],[Grad_a]]))</f>
        <v/>
      </c>
      <c r="O1366" s="2" t="str">
        <f>IF(Iterations[[#This Row],[Step]] =current_step, current_Grad_b,IF(Iterations[[#This Row],[Step]] &gt; current_step, "",Iterations[[#This Row],[Grad_b]]))</f>
        <v/>
      </c>
      <c r="P1366" s="2" t="str">
        <f>IF(Iterations[[#This Row],[Step]] =current_step, current_Grad_c,IF(Iterations[[#This Row],[Step]] &gt; current_step, "",Iterations[[#This Row],[Grad_c]]))</f>
        <v/>
      </c>
      <c r="Q1366" s="2" t="str">
        <f>IF(Iterations[[#This Row],[Step]] =current_step, current_Grad_d,IF(Iterations[[#This Row],[Step]] &gt; current_step, "",Iterations[[#This Row],[Grad_d]]))</f>
        <v/>
      </c>
      <c r="R1366" s="2" t="str">
        <f>IF(Iterations[[#This Row],[Step]] =current_step, current_Grad_e,IF(Iterations[[#This Row],[Step]] &gt; current_step, "",Iterations[[#This Row],[Grad_e]]))</f>
        <v/>
      </c>
    </row>
    <row r="1367" spans="6:18" x14ac:dyDescent="0.3">
      <c r="F1367" s="2">
        <f t="shared" si="26"/>
        <v>1350</v>
      </c>
      <c r="G1367" s="2" t="str">
        <f>IF(Iterations[[#This Row],[Step]] =current_step, current_a,IF(Iterations[[#This Row],[Step]] &gt; current_step, "",Iterations[[#This Row],[a]]))</f>
        <v/>
      </c>
      <c r="H1367" s="2" t="str">
        <f>IF(Iterations[[#This Row],[Step]] =current_step, current_b,IF(Iterations[[#This Row],[Step]] &gt; current_step, "",Iterations[[#This Row],[b]]))</f>
        <v/>
      </c>
      <c r="I1367" s="2" t="str">
        <f>IF(Iterations[[#This Row],[Step]] =current_step, current_c,IF(Iterations[[#This Row],[Step]] &gt; current_step, "",Iterations[[#This Row],[c]]))</f>
        <v/>
      </c>
      <c r="J1367" s="2" t="str">
        <f>IF(Iterations[[#This Row],[Step]] =current_step, current_d,IF(Iterations[[#This Row],[Step]] &gt; current_step, "",Iterations[[#This Row],[d]]))</f>
        <v/>
      </c>
      <c r="K1367" s="2" t="str">
        <f>IF(Iterations[[#This Row],[Step]] =current_step, current_e,IF(Iterations[[#This Row],[Step]] &gt; current_step, "",Iterations[[#This Row],[e]]))</f>
        <v/>
      </c>
      <c r="L1367" s="2" t="str">
        <f>IF(Iterations[[#This Row],[Step]] =current_step, current_Total_Loss,IF(Iterations[[#This Row],[Step]] &gt; current_step, "",Iterations[[#This Row],[Total Loss]]))</f>
        <v/>
      </c>
      <c r="M1367" s="6" t="s">
        <v>27</v>
      </c>
      <c r="N1367" s="2" t="str">
        <f>IF(Iterations[[#This Row],[Step]] =current_step, current_Grad_a,IF(Iterations[[#This Row],[Step]] &gt; current_step, "",Iterations[[#This Row],[Grad_a]]))</f>
        <v/>
      </c>
      <c r="O1367" s="2" t="str">
        <f>IF(Iterations[[#This Row],[Step]] =current_step, current_Grad_b,IF(Iterations[[#This Row],[Step]] &gt; current_step, "",Iterations[[#This Row],[Grad_b]]))</f>
        <v/>
      </c>
      <c r="P1367" s="2" t="str">
        <f>IF(Iterations[[#This Row],[Step]] =current_step, current_Grad_c,IF(Iterations[[#This Row],[Step]] &gt; current_step, "",Iterations[[#This Row],[Grad_c]]))</f>
        <v/>
      </c>
      <c r="Q1367" s="2" t="str">
        <f>IF(Iterations[[#This Row],[Step]] =current_step, current_Grad_d,IF(Iterations[[#This Row],[Step]] &gt; current_step, "",Iterations[[#This Row],[Grad_d]]))</f>
        <v/>
      </c>
      <c r="R1367" s="2" t="str">
        <f>IF(Iterations[[#This Row],[Step]] =current_step, current_Grad_e,IF(Iterations[[#This Row],[Step]] &gt; current_step, "",Iterations[[#This Row],[Grad_e]]))</f>
        <v/>
      </c>
    </row>
    <row r="1368" spans="6:18" x14ac:dyDescent="0.3">
      <c r="F1368" s="2">
        <f t="shared" si="26"/>
        <v>1351</v>
      </c>
      <c r="G1368" s="2" t="str">
        <f>IF(Iterations[[#This Row],[Step]] =current_step, current_a,IF(Iterations[[#This Row],[Step]] &gt; current_step, "",Iterations[[#This Row],[a]]))</f>
        <v/>
      </c>
      <c r="H1368" s="2" t="str">
        <f>IF(Iterations[[#This Row],[Step]] =current_step, current_b,IF(Iterations[[#This Row],[Step]] &gt; current_step, "",Iterations[[#This Row],[b]]))</f>
        <v/>
      </c>
      <c r="I1368" s="2" t="str">
        <f>IF(Iterations[[#This Row],[Step]] =current_step, current_c,IF(Iterations[[#This Row],[Step]] &gt; current_step, "",Iterations[[#This Row],[c]]))</f>
        <v/>
      </c>
      <c r="J1368" s="2" t="str">
        <f>IF(Iterations[[#This Row],[Step]] =current_step, current_d,IF(Iterations[[#This Row],[Step]] &gt; current_step, "",Iterations[[#This Row],[d]]))</f>
        <v/>
      </c>
      <c r="K1368" s="2" t="str">
        <f>IF(Iterations[[#This Row],[Step]] =current_step, current_e,IF(Iterations[[#This Row],[Step]] &gt; current_step, "",Iterations[[#This Row],[e]]))</f>
        <v/>
      </c>
      <c r="L1368" s="2" t="str">
        <f>IF(Iterations[[#This Row],[Step]] =current_step, current_Total_Loss,IF(Iterations[[#This Row],[Step]] &gt; current_step, "",Iterations[[#This Row],[Total Loss]]))</f>
        <v/>
      </c>
      <c r="M1368" s="6" t="s">
        <v>27</v>
      </c>
      <c r="N1368" s="2" t="str">
        <f>IF(Iterations[[#This Row],[Step]] =current_step, current_Grad_a,IF(Iterations[[#This Row],[Step]] &gt; current_step, "",Iterations[[#This Row],[Grad_a]]))</f>
        <v/>
      </c>
      <c r="O1368" s="2" t="str">
        <f>IF(Iterations[[#This Row],[Step]] =current_step, current_Grad_b,IF(Iterations[[#This Row],[Step]] &gt; current_step, "",Iterations[[#This Row],[Grad_b]]))</f>
        <v/>
      </c>
      <c r="P1368" s="2" t="str">
        <f>IF(Iterations[[#This Row],[Step]] =current_step, current_Grad_c,IF(Iterations[[#This Row],[Step]] &gt; current_step, "",Iterations[[#This Row],[Grad_c]]))</f>
        <v/>
      </c>
      <c r="Q1368" s="2" t="str">
        <f>IF(Iterations[[#This Row],[Step]] =current_step, current_Grad_d,IF(Iterations[[#This Row],[Step]] &gt; current_step, "",Iterations[[#This Row],[Grad_d]]))</f>
        <v/>
      </c>
      <c r="R1368" s="2" t="str">
        <f>IF(Iterations[[#This Row],[Step]] =current_step, current_Grad_e,IF(Iterations[[#This Row],[Step]] &gt; current_step, "",Iterations[[#This Row],[Grad_e]]))</f>
        <v/>
      </c>
    </row>
    <row r="1369" spans="6:18" x14ac:dyDescent="0.3">
      <c r="F1369" s="2">
        <f t="shared" si="26"/>
        <v>1352</v>
      </c>
      <c r="G1369" s="2" t="str">
        <f>IF(Iterations[[#This Row],[Step]] =current_step, current_a,IF(Iterations[[#This Row],[Step]] &gt; current_step, "",Iterations[[#This Row],[a]]))</f>
        <v/>
      </c>
      <c r="H1369" s="2" t="str">
        <f>IF(Iterations[[#This Row],[Step]] =current_step, current_b,IF(Iterations[[#This Row],[Step]] &gt; current_step, "",Iterations[[#This Row],[b]]))</f>
        <v/>
      </c>
      <c r="I1369" s="2" t="str">
        <f>IF(Iterations[[#This Row],[Step]] =current_step, current_c,IF(Iterations[[#This Row],[Step]] &gt; current_step, "",Iterations[[#This Row],[c]]))</f>
        <v/>
      </c>
      <c r="J1369" s="2" t="str">
        <f>IF(Iterations[[#This Row],[Step]] =current_step, current_d,IF(Iterations[[#This Row],[Step]] &gt; current_step, "",Iterations[[#This Row],[d]]))</f>
        <v/>
      </c>
      <c r="K1369" s="2" t="str">
        <f>IF(Iterations[[#This Row],[Step]] =current_step, current_e,IF(Iterations[[#This Row],[Step]] &gt; current_step, "",Iterations[[#This Row],[e]]))</f>
        <v/>
      </c>
      <c r="L1369" s="2" t="str">
        <f>IF(Iterations[[#This Row],[Step]] =current_step, current_Total_Loss,IF(Iterations[[#This Row],[Step]] &gt; current_step, "",Iterations[[#This Row],[Total Loss]]))</f>
        <v/>
      </c>
      <c r="M1369" s="6" t="s">
        <v>27</v>
      </c>
      <c r="N1369" s="2" t="str">
        <f>IF(Iterations[[#This Row],[Step]] =current_step, current_Grad_a,IF(Iterations[[#This Row],[Step]] &gt; current_step, "",Iterations[[#This Row],[Grad_a]]))</f>
        <v/>
      </c>
      <c r="O1369" s="2" t="str">
        <f>IF(Iterations[[#This Row],[Step]] =current_step, current_Grad_b,IF(Iterations[[#This Row],[Step]] &gt; current_step, "",Iterations[[#This Row],[Grad_b]]))</f>
        <v/>
      </c>
      <c r="P1369" s="2" t="str">
        <f>IF(Iterations[[#This Row],[Step]] =current_step, current_Grad_c,IF(Iterations[[#This Row],[Step]] &gt; current_step, "",Iterations[[#This Row],[Grad_c]]))</f>
        <v/>
      </c>
      <c r="Q1369" s="2" t="str">
        <f>IF(Iterations[[#This Row],[Step]] =current_step, current_Grad_d,IF(Iterations[[#This Row],[Step]] &gt; current_step, "",Iterations[[#This Row],[Grad_d]]))</f>
        <v/>
      </c>
      <c r="R1369" s="2" t="str">
        <f>IF(Iterations[[#This Row],[Step]] =current_step, current_Grad_e,IF(Iterations[[#This Row],[Step]] &gt; current_step, "",Iterations[[#This Row],[Grad_e]]))</f>
        <v/>
      </c>
    </row>
    <row r="1370" spans="6:18" x14ac:dyDescent="0.3">
      <c r="F1370" s="2">
        <f t="shared" si="26"/>
        <v>1353</v>
      </c>
      <c r="G1370" s="2" t="str">
        <f>IF(Iterations[[#This Row],[Step]] =current_step, current_a,IF(Iterations[[#This Row],[Step]] &gt; current_step, "",Iterations[[#This Row],[a]]))</f>
        <v/>
      </c>
      <c r="H1370" s="2" t="str">
        <f>IF(Iterations[[#This Row],[Step]] =current_step, current_b,IF(Iterations[[#This Row],[Step]] &gt; current_step, "",Iterations[[#This Row],[b]]))</f>
        <v/>
      </c>
      <c r="I1370" s="2" t="str">
        <f>IF(Iterations[[#This Row],[Step]] =current_step, current_c,IF(Iterations[[#This Row],[Step]] &gt; current_step, "",Iterations[[#This Row],[c]]))</f>
        <v/>
      </c>
      <c r="J1370" s="2" t="str">
        <f>IF(Iterations[[#This Row],[Step]] =current_step, current_d,IF(Iterations[[#This Row],[Step]] &gt; current_step, "",Iterations[[#This Row],[d]]))</f>
        <v/>
      </c>
      <c r="K1370" s="2" t="str">
        <f>IF(Iterations[[#This Row],[Step]] =current_step, current_e,IF(Iterations[[#This Row],[Step]] &gt; current_step, "",Iterations[[#This Row],[e]]))</f>
        <v/>
      </c>
      <c r="L1370" s="2" t="str">
        <f>IF(Iterations[[#This Row],[Step]] =current_step, current_Total_Loss,IF(Iterations[[#This Row],[Step]] &gt; current_step, "",Iterations[[#This Row],[Total Loss]]))</f>
        <v/>
      </c>
      <c r="M1370" s="6" t="s">
        <v>27</v>
      </c>
      <c r="N1370" s="2" t="str">
        <f>IF(Iterations[[#This Row],[Step]] =current_step, current_Grad_a,IF(Iterations[[#This Row],[Step]] &gt; current_step, "",Iterations[[#This Row],[Grad_a]]))</f>
        <v/>
      </c>
      <c r="O1370" s="2" t="str">
        <f>IF(Iterations[[#This Row],[Step]] =current_step, current_Grad_b,IF(Iterations[[#This Row],[Step]] &gt; current_step, "",Iterations[[#This Row],[Grad_b]]))</f>
        <v/>
      </c>
      <c r="P1370" s="2" t="str">
        <f>IF(Iterations[[#This Row],[Step]] =current_step, current_Grad_c,IF(Iterations[[#This Row],[Step]] &gt; current_step, "",Iterations[[#This Row],[Grad_c]]))</f>
        <v/>
      </c>
      <c r="Q1370" s="2" t="str">
        <f>IF(Iterations[[#This Row],[Step]] =current_step, current_Grad_d,IF(Iterations[[#This Row],[Step]] &gt; current_step, "",Iterations[[#This Row],[Grad_d]]))</f>
        <v/>
      </c>
      <c r="R1370" s="2" t="str">
        <f>IF(Iterations[[#This Row],[Step]] =current_step, current_Grad_e,IF(Iterations[[#This Row],[Step]] &gt; current_step, "",Iterations[[#This Row],[Grad_e]]))</f>
        <v/>
      </c>
    </row>
    <row r="1371" spans="6:18" x14ac:dyDescent="0.3">
      <c r="F1371" s="2">
        <f t="shared" si="26"/>
        <v>1354</v>
      </c>
      <c r="G1371" s="2" t="str">
        <f>IF(Iterations[[#This Row],[Step]] =current_step, current_a,IF(Iterations[[#This Row],[Step]] &gt; current_step, "",Iterations[[#This Row],[a]]))</f>
        <v/>
      </c>
      <c r="H1371" s="2" t="str">
        <f>IF(Iterations[[#This Row],[Step]] =current_step, current_b,IF(Iterations[[#This Row],[Step]] &gt; current_step, "",Iterations[[#This Row],[b]]))</f>
        <v/>
      </c>
      <c r="I1371" s="2" t="str">
        <f>IF(Iterations[[#This Row],[Step]] =current_step, current_c,IF(Iterations[[#This Row],[Step]] &gt; current_step, "",Iterations[[#This Row],[c]]))</f>
        <v/>
      </c>
      <c r="J1371" s="2" t="str">
        <f>IF(Iterations[[#This Row],[Step]] =current_step, current_d,IF(Iterations[[#This Row],[Step]] &gt; current_step, "",Iterations[[#This Row],[d]]))</f>
        <v/>
      </c>
      <c r="K1371" s="2" t="str">
        <f>IF(Iterations[[#This Row],[Step]] =current_step, current_e,IF(Iterations[[#This Row],[Step]] &gt; current_step, "",Iterations[[#This Row],[e]]))</f>
        <v/>
      </c>
      <c r="L1371" s="2" t="str">
        <f>IF(Iterations[[#This Row],[Step]] =current_step, current_Total_Loss,IF(Iterations[[#This Row],[Step]] &gt; current_step, "",Iterations[[#This Row],[Total Loss]]))</f>
        <v/>
      </c>
      <c r="M1371" s="6" t="s">
        <v>27</v>
      </c>
      <c r="N1371" s="2" t="str">
        <f>IF(Iterations[[#This Row],[Step]] =current_step, current_Grad_a,IF(Iterations[[#This Row],[Step]] &gt; current_step, "",Iterations[[#This Row],[Grad_a]]))</f>
        <v/>
      </c>
      <c r="O1371" s="2" t="str">
        <f>IF(Iterations[[#This Row],[Step]] =current_step, current_Grad_b,IF(Iterations[[#This Row],[Step]] &gt; current_step, "",Iterations[[#This Row],[Grad_b]]))</f>
        <v/>
      </c>
      <c r="P1371" s="2" t="str">
        <f>IF(Iterations[[#This Row],[Step]] =current_step, current_Grad_c,IF(Iterations[[#This Row],[Step]] &gt; current_step, "",Iterations[[#This Row],[Grad_c]]))</f>
        <v/>
      </c>
      <c r="Q1371" s="2" t="str">
        <f>IF(Iterations[[#This Row],[Step]] =current_step, current_Grad_d,IF(Iterations[[#This Row],[Step]] &gt; current_step, "",Iterations[[#This Row],[Grad_d]]))</f>
        <v/>
      </c>
      <c r="R1371" s="2" t="str">
        <f>IF(Iterations[[#This Row],[Step]] =current_step, current_Grad_e,IF(Iterations[[#This Row],[Step]] &gt; current_step, "",Iterations[[#This Row],[Grad_e]]))</f>
        <v/>
      </c>
    </row>
    <row r="1372" spans="6:18" x14ac:dyDescent="0.3">
      <c r="F1372" s="2">
        <f t="shared" si="26"/>
        <v>1355</v>
      </c>
      <c r="G1372" s="2" t="str">
        <f>IF(Iterations[[#This Row],[Step]] =current_step, current_a,IF(Iterations[[#This Row],[Step]] &gt; current_step, "",Iterations[[#This Row],[a]]))</f>
        <v/>
      </c>
      <c r="H1372" s="2" t="str">
        <f>IF(Iterations[[#This Row],[Step]] =current_step, current_b,IF(Iterations[[#This Row],[Step]] &gt; current_step, "",Iterations[[#This Row],[b]]))</f>
        <v/>
      </c>
      <c r="I1372" s="2" t="str">
        <f>IF(Iterations[[#This Row],[Step]] =current_step, current_c,IF(Iterations[[#This Row],[Step]] &gt; current_step, "",Iterations[[#This Row],[c]]))</f>
        <v/>
      </c>
      <c r="J1372" s="2" t="str">
        <f>IF(Iterations[[#This Row],[Step]] =current_step, current_d,IF(Iterations[[#This Row],[Step]] &gt; current_step, "",Iterations[[#This Row],[d]]))</f>
        <v/>
      </c>
      <c r="K1372" s="2" t="str">
        <f>IF(Iterations[[#This Row],[Step]] =current_step, current_e,IF(Iterations[[#This Row],[Step]] &gt; current_step, "",Iterations[[#This Row],[e]]))</f>
        <v/>
      </c>
      <c r="L1372" s="2" t="str">
        <f>IF(Iterations[[#This Row],[Step]] =current_step, current_Total_Loss,IF(Iterations[[#This Row],[Step]] &gt; current_step, "",Iterations[[#This Row],[Total Loss]]))</f>
        <v/>
      </c>
      <c r="M1372" s="6" t="s">
        <v>27</v>
      </c>
      <c r="N1372" s="2" t="str">
        <f>IF(Iterations[[#This Row],[Step]] =current_step, current_Grad_a,IF(Iterations[[#This Row],[Step]] &gt; current_step, "",Iterations[[#This Row],[Grad_a]]))</f>
        <v/>
      </c>
      <c r="O1372" s="2" t="str">
        <f>IF(Iterations[[#This Row],[Step]] =current_step, current_Grad_b,IF(Iterations[[#This Row],[Step]] &gt; current_step, "",Iterations[[#This Row],[Grad_b]]))</f>
        <v/>
      </c>
      <c r="P1372" s="2" t="str">
        <f>IF(Iterations[[#This Row],[Step]] =current_step, current_Grad_c,IF(Iterations[[#This Row],[Step]] &gt; current_step, "",Iterations[[#This Row],[Grad_c]]))</f>
        <v/>
      </c>
      <c r="Q1372" s="2" t="str">
        <f>IF(Iterations[[#This Row],[Step]] =current_step, current_Grad_d,IF(Iterations[[#This Row],[Step]] &gt; current_step, "",Iterations[[#This Row],[Grad_d]]))</f>
        <v/>
      </c>
      <c r="R1372" s="2" t="str">
        <f>IF(Iterations[[#This Row],[Step]] =current_step, current_Grad_e,IF(Iterations[[#This Row],[Step]] &gt; current_step, "",Iterations[[#This Row],[Grad_e]]))</f>
        <v/>
      </c>
    </row>
    <row r="1373" spans="6:18" x14ac:dyDescent="0.3">
      <c r="F1373" s="2">
        <f t="shared" si="26"/>
        <v>1356</v>
      </c>
      <c r="G1373" s="2" t="str">
        <f>IF(Iterations[[#This Row],[Step]] =current_step, current_a,IF(Iterations[[#This Row],[Step]] &gt; current_step, "",Iterations[[#This Row],[a]]))</f>
        <v/>
      </c>
      <c r="H1373" s="2" t="str">
        <f>IF(Iterations[[#This Row],[Step]] =current_step, current_b,IF(Iterations[[#This Row],[Step]] &gt; current_step, "",Iterations[[#This Row],[b]]))</f>
        <v/>
      </c>
      <c r="I1373" s="2" t="str">
        <f>IF(Iterations[[#This Row],[Step]] =current_step, current_c,IF(Iterations[[#This Row],[Step]] &gt; current_step, "",Iterations[[#This Row],[c]]))</f>
        <v/>
      </c>
      <c r="J1373" s="2" t="str">
        <f>IF(Iterations[[#This Row],[Step]] =current_step, current_d,IF(Iterations[[#This Row],[Step]] &gt; current_step, "",Iterations[[#This Row],[d]]))</f>
        <v/>
      </c>
      <c r="K1373" s="2" t="str">
        <f>IF(Iterations[[#This Row],[Step]] =current_step, current_e,IF(Iterations[[#This Row],[Step]] &gt; current_step, "",Iterations[[#This Row],[e]]))</f>
        <v/>
      </c>
      <c r="L1373" s="2" t="str">
        <f>IF(Iterations[[#This Row],[Step]] =current_step, current_Total_Loss,IF(Iterations[[#This Row],[Step]] &gt; current_step, "",Iterations[[#This Row],[Total Loss]]))</f>
        <v/>
      </c>
      <c r="M1373" s="6" t="s">
        <v>27</v>
      </c>
      <c r="N1373" s="2" t="str">
        <f>IF(Iterations[[#This Row],[Step]] =current_step, current_Grad_a,IF(Iterations[[#This Row],[Step]] &gt; current_step, "",Iterations[[#This Row],[Grad_a]]))</f>
        <v/>
      </c>
      <c r="O1373" s="2" t="str">
        <f>IF(Iterations[[#This Row],[Step]] =current_step, current_Grad_b,IF(Iterations[[#This Row],[Step]] &gt; current_step, "",Iterations[[#This Row],[Grad_b]]))</f>
        <v/>
      </c>
      <c r="P1373" s="2" t="str">
        <f>IF(Iterations[[#This Row],[Step]] =current_step, current_Grad_c,IF(Iterations[[#This Row],[Step]] &gt; current_step, "",Iterations[[#This Row],[Grad_c]]))</f>
        <v/>
      </c>
      <c r="Q1373" s="2" t="str">
        <f>IF(Iterations[[#This Row],[Step]] =current_step, current_Grad_d,IF(Iterations[[#This Row],[Step]] &gt; current_step, "",Iterations[[#This Row],[Grad_d]]))</f>
        <v/>
      </c>
      <c r="R1373" s="2" t="str">
        <f>IF(Iterations[[#This Row],[Step]] =current_step, current_Grad_e,IF(Iterations[[#This Row],[Step]] &gt; current_step, "",Iterations[[#This Row],[Grad_e]]))</f>
        <v/>
      </c>
    </row>
    <row r="1374" spans="6:18" x14ac:dyDescent="0.3">
      <c r="F1374" s="2">
        <f t="shared" si="26"/>
        <v>1357</v>
      </c>
      <c r="G1374" s="2" t="str">
        <f>IF(Iterations[[#This Row],[Step]] =current_step, current_a,IF(Iterations[[#This Row],[Step]] &gt; current_step, "",Iterations[[#This Row],[a]]))</f>
        <v/>
      </c>
      <c r="H1374" s="2" t="str">
        <f>IF(Iterations[[#This Row],[Step]] =current_step, current_b,IF(Iterations[[#This Row],[Step]] &gt; current_step, "",Iterations[[#This Row],[b]]))</f>
        <v/>
      </c>
      <c r="I1374" s="2" t="str">
        <f>IF(Iterations[[#This Row],[Step]] =current_step, current_c,IF(Iterations[[#This Row],[Step]] &gt; current_step, "",Iterations[[#This Row],[c]]))</f>
        <v/>
      </c>
      <c r="J1374" s="2" t="str">
        <f>IF(Iterations[[#This Row],[Step]] =current_step, current_d,IF(Iterations[[#This Row],[Step]] &gt; current_step, "",Iterations[[#This Row],[d]]))</f>
        <v/>
      </c>
      <c r="K1374" s="2" t="str">
        <f>IF(Iterations[[#This Row],[Step]] =current_step, current_e,IF(Iterations[[#This Row],[Step]] &gt; current_step, "",Iterations[[#This Row],[e]]))</f>
        <v/>
      </c>
      <c r="L1374" s="2" t="str">
        <f>IF(Iterations[[#This Row],[Step]] =current_step, current_Total_Loss,IF(Iterations[[#This Row],[Step]] &gt; current_step, "",Iterations[[#This Row],[Total Loss]]))</f>
        <v/>
      </c>
      <c r="M1374" s="6" t="s">
        <v>27</v>
      </c>
      <c r="N1374" s="2" t="str">
        <f>IF(Iterations[[#This Row],[Step]] =current_step, current_Grad_a,IF(Iterations[[#This Row],[Step]] &gt; current_step, "",Iterations[[#This Row],[Grad_a]]))</f>
        <v/>
      </c>
      <c r="O1374" s="2" t="str">
        <f>IF(Iterations[[#This Row],[Step]] =current_step, current_Grad_b,IF(Iterations[[#This Row],[Step]] &gt; current_step, "",Iterations[[#This Row],[Grad_b]]))</f>
        <v/>
      </c>
      <c r="P1374" s="2" t="str">
        <f>IF(Iterations[[#This Row],[Step]] =current_step, current_Grad_c,IF(Iterations[[#This Row],[Step]] &gt; current_step, "",Iterations[[#This Row],[Grad_c]]))</f>
        <v/>
      </c>
      <c r="Q1374" s="2" t="str">
        <f>IF(Iterations[[#This Row],[Step]] =current_step, current_Grad_d,IF(Iterations[[#This Row],[Step]] &gt; current_step, "",Iterations[[#This Row],[Grad_d]]))</f>
        <v/>
      </c>
      <c r="R1374" s="2" t="str">
        <f>IF(Iterations[[#This Row],[Step]] =current_step, current_Grad_e,IF(Iterations[[#This Row],[Step]] &gt; current_step, "",Iterations[[#This Row],[Grad_e]]))</f>
        <v/>
      </c>
    </row>
    <row r="1375" spans="6:18" x14ac:dyDescent="0.3">
      <c r="F1375" s="2">
        <f t="shared" si="26"/>
        <v>1358</v>
      </c>
      <c r="G1375" s="2" t="str">
        <f>IF(Iterations[[#This Row],[Step]] =current_step, current_a,IF(Iterations[[#This Row],[Step]] &gt; current_step, "",Iterations[[#This Row],[a]]))</f>
        <v/>
      </c>
      <c r="H1375" s="2" t="str">
        <f>IF(Iterations[[#This Row],[Step]] =current_step, current_b,IF(Iterations[[#This Row],[Step]] &gt; current_step, "",Iterations[[#This Row],[b]]))</f>
        <v/>
      </c>
      <c r="I1375" s="2" t="str">
        <f>IF(Iterations[[#This Row],[Step]] =current_step, current_c,IF(Iterations[[#This Row],[Step]] &gt; current_step, "",Iterations[[#This Row],[c]]))</f>
        <v/>
      </c>
      <c r="J1375" s="2" t="str">
        <f>IF(Iterations[[#This Row],[Step]] =current_step, current_d,IF(Iterations[[#This Row],[Step]] &gt; current_step, "",Iterations[[#This Row],[d]]))</f>
        <v/>
      </c>
      <c r="K1375" s="2" t="str">
        <f>IF(Iterations[[#This Row],[Step]] =current_step, current_e,IF(Iterations[[#This Row],[Step]] &gt; current_step, "",Iterations[[#This Row],[e]]))</f>
        <v/>
      </c>
      <c r="L1375" s="2" t="str">
        <f>IF(Iterations[[#This Row],[Step]] =current_step, current_Total_Loss,IF(Iterations[[#This Row],[Step]] &gt; current_step, "",Iterations[[#This Row],[Total Loss]]))</f>
        <v/>
      </c>
      <c r="M1375" s="6" t="s">
        <v>27</v>
      </c>
      <c r="N1375" s="2" t="str">
        <f>IF(Iterations[[#This Row],[Step]] =current_step, current_Grad_a,IF(Iterations[[#This Row],[Step]] &gt; current_step, "",Iterations[[#This Row],[Grad_a]]))</f>
        <v/>
      </c>
      <c r="O1375" s="2" t="str">
        <f>IF(Iterations[[#This Row],[Step]] =current_step, current_Grad_b,IF(Iterations[[#This Row],[Step]] &gt; current_step, "",Iterations[[#This Row],[Grad_b]]))</f>
        <v/>
      </c>
      <c r="P1375" s="2" t="str">
        <f>IF(Iterations[[#This Row],[Step]] =current_step, current_Grad_c,IF(Iterations[[#This Row],[Step]] &gt; current_step, "",Iterations[[#This Row],[Grad_c]]))</f>
        <v/>
      </c>
      <c r="Q1375" s="2" t="str">
        <f>IF(Iterations[[#This Row],[Step]] =current_step, current_Grad_d,IF(Iterations[[#This Row],[Step]] &gt; current_step, "",Iterations[[#This Row],[Grad_d]]))</f>
        <v/>
      </c>
      <c r="R1375" s="2" t="str">
        <f>IF(Iterations[[#This Row],[Step]] =current_step, current_Grad_e,IF(Iterations[[#This Row],[Step]] &gt; current_step, "",Iterations[[#This Row],[Grad_e]]))</f>
        <v/>
      </c>
    </row>
    <row r="1376" spans="6:18" x14ac:dyDescent="0.3">
      <c r="F1376" s="2">
        <f t="shared" si="26"/>
        <v>1359</v>
      </c>
      <c r="G1376" s="2" t="str">
        <f>IF(Iterations[[#This Row],[Step]] =current_step, current_a,IF(Iterations[[#This Row],[Step]] &gt; current_step, "",Iterations[[#This Row],[a]]))</f>
        <v/>
      </c>
      <c r="H1376" s="2" t="str">
        <f>IF(Iterations[[#This Row],[Step]] =current_step, current_b,IF(Iterations[[#This Row],[Step]] &gt; current_step, "",Iterations[[#This Row],[b]]))</f>
        <v/>
      </c>
      <c r="I1376" s="2" t="str">
        <f>IF(Iterations[[#This Row],[Step]] =current_step, current_c,IF(Iterations[[#This Row],[Step]] &gt; current_step, "",Iterations[[#This Row],[c]]))</f>
        <v/>
      </c>
      <c r="J1376" s="2" t="str">
        <f>IF(Iterations[[#This Row],[Step]] =current_step, current_d,IF(Iterations[[#This Row],[Step]] &gt; current_step, "",Iterations[[#This Row],[d]]))</f>
        <v/>
      </c>
      <c r="K1376" s="2" t="str">
        <f>IF(Iterations[[#This Row],[Step]] =current_step, current_e,IF(Iterations[[#This Row],[Step]] &gt; current_step, "",Iterations[[#This Row],[e]]))</f>
        <v/>
      </c>
      <c r="L1376" s="2" t="str">
        <f>IF(Iterations[[#This Row],[Step]] =current_step, current_Total_Loss,IF(Iterations[[#This Row],[Step]] &gt; current_step, "",Iterations[[#This Row],[Total Loss]]))</f>
        <v/>
      </c>
      <c r="M1376" s="6" t="s">
        <v>27</v>
      </c>
      <c r="N1376" s="2" t="str">
        <f>IF(Iterations[[#This Row],[Step]] =current_step, current_Grad_a,IF(Iterations[[#This Row],[Step]] &gt; current_step, "",Iterations[[#This Row],[Grad_a]]))</f>
        <v/>
      </c>
      <c r="O1376" s="2" t="str">
        <f>IF(Iterations[[#This Row],[Step]] =current_step, current_Grad_b,IF(Iterations[[#This Row],[Step]] &gt; current_step, "",Iterations[[#This Row],[Grad_b]]))</f>
        <v/>
      </c>
      <c r="P1376" s="2" t="str">
        <f>IF(Iterations[[#This Row],[Step]] =current_step, current_Grad_c,IF(Iterations[[#This Row],[Step]] &gt; current_step, "",Iterations[[#This Row],[Grad_c]]))</f>
        <v/>
      </c>
      <c r="Q1376" s="2" t="str">
        <f>IF(Iterations[[#This Row],[Step]] =current_step, current_Grad_d,IF(Iterations[[#This Row],[Step]] &gt; current_step, "",Iterations[[#This Row],[Grad_d]]))</f>
        <v/>
      </c>
      <c r="R1376" s="2" t="str">
        <f>IF(Iterations[[#This Row],[Step]] =current_step, current_Grad_e,IF(Iterations[[#This Row],[Step]] &gt; current_step, "",Iterations[[#This Row],[Grad_e]]))</f>
        <v/>
      </c>
    </row>
    <row r="1377" spans="6:18" x14ac:dyDescent="0.3">
      <c r="F1377" s="2">
        <f t="shared" si="26"/>
        <v>1360</v>
      </c>
      <c r="G1377" s="2" t="str">
        <f>IF(Iterations[[#This Row],[Step]] =current_step, current_a,IF(Iterations[[#This Row],[Step]] &gt; current_step, "",Iterations[[#This Row],[a]]))</f>
        <v/>
      </c>
      <c r="H1377" s="2" t="str">
        <f>IF(Iterations[[#This Row],[Step]] =current_step, current_b,IF(Iterations[[#This Row],[Step]] &gt; current_step, "",Iterations[[#This Row],[b]]))</f>
        <v/>
      </c>
      <c r="I1377" s="2" t="str">
        <f>IF(Iterations[[#This Row],[Step]] =current_step, current_c,IF(Iterations[[#This Row],[Step]] &gt; current_step, "",Iterations[[#This Row],[c]]))</f>
        <v/>
      </c>
      <c r="J1377" s="2" t="str">
        <f>IF(Iterations[[#This Row],[Step]] =current_step, current_d,IF(Iterations[[#This Row],[Step]] &gt; current_step, "",Iterations[[#This Row],[d]]))</f>
        <v/>
      </c>
      <c r="K1377" s="2" t="str">
        <f>IF(Iterations[[#This Row],[Step]] =current_step, current_e,IF(Iterations[[#This Row],[Step]] &gt; current_step, "",Iterations[[#This Row],[e]]))</f>
        <v/>
      </c>
      <c r="L1377" s="2" t="str">
        <f>IF(Iterations[[#This Row],[Step]] =current_step, current_Total_Loss,IF(Iterations[[#This Row],[Step]] &gt; current_step, "",Iterations[[#This Row],[Total Loss]]))</f>
        <v/>
      </c>
      <c r="M1377" s="6" t="s">
        <v>27</v>
      </c>
      <c r="N1377" s="2" t="str">
        <f>IF(Iterations[[#This Row],[Step]] =current_step, current_Grad_a,IF(Iterations[[#This Row],[Step]] &gt; current_step, "",Iterations[[#This Row],[Grad_a]]))</f>
        <v/>
      </c>
      <c r="O1377" s="2" t="str">
        <f>IF(Iterations[[#This Row],[Step]] =current_step, current_Grad_b,IF(Iterations[[#This Row],[Step]] &gt; current_step, "",Iterations[[#This Row],[Grad_b]]))</f>
        <v/>
      </c>
      <c r="P1377" s="2" t="str">
        <f>IF(Iterations[[#This Row],[Step]] =current_step, current_Grad_c,IF(Iterations[[#This Row],[Step]] &gt; current_step, "",Iterations[[#This Row],[Grad_c]]))</f>
        <v/>
      </c>
      <c r="Q1377" s="2" t="str">
        <f>IF(Iterations[[#This Row],[Step]] =current_step, current_Grad_d,IF(Iterations[[#This Row],[Step]] &gt; current_step, "",Iterations[[#This Row],[Grad_d]]))</f>
        <v/>
      </c>
      <c r="R1377" s="2" t="str">
        <f>IF(Iterations[[#This Row],[Step]] =current_step, current_Grad_e,IF(Iterations[[#This Row],[Step]] &gt; current_step, "",Iterations[[#This Row],[Grad_e]]))</f>
        <v/>
      </c>
    </row>
    <row r="1378" spans="6:18" x14ac:dyDescent="0.3">
      <c r="F1378" s="2">
        <f t="shared" si="26"/>
        <v>1361</v>
      </c>
      <c r="G1378" s="2" t="str">
        <f>IF(Iterations[[#This Row],[Step]] =current_step, current_a,IF(Iterations[[#This Row],[Step]] &gt; current_step, "",Iterations[[#This Row],[a]]))</f>
        <v/>
      </c>
      <c r="H1378" s="2" t="str">
        <f>IF(Iterations[[#This Row],[Step]] =current_step, current_b,IF(Iterations[[#This Row],[Step]] &gt; current_step, "",Iterations[[#This Row],[b]]))</f>
        <v/>
      </c>
      <c r="I1378" s="2" t="str">
        <f>IF(Iterations[[#This Row],[Step]] =current_step, current_c,IF(Iterations[[#This Row],[Step]] &gt; current_step, "",Iterations[[#This Row],[c]]))</f>
        <v/>
      </c>
      <c r="J1378" s="2" t="str">
        <f>IF(Iterations[[#This Row],[Step]] =current_step, current_d,IF(Iterations[[#This Row],[Step]] &gt; current_step, "",Iterations[[#This Row],[d]]))</f>
        <v/>
      </c>
      <c r="K1378" s="2" t="str">
        <f>IF(Iterations[[#This Row],[Step]] =current_step, current_e,IF(Iterations[[#This Row],[Step]] &gt; current_step, "",Iterations[[#This Row],[e]]))</f>
        <v/>
      </c>
      <c r="L1378" s="2" t="str">
        <f>IF(Iterations[[#This Row],[Step]] =current_step, current_Total_Loss,IF(Iterations[[#This Row],[Step]] &gt; current_step, "",Iterations[[#This Row],[Total Loss]]))</f>
        <v/>
      </c>
      <c r="M1378" s="6" t="s">
        <v>27</v>
      </c>
      <c r="N1378" s="2" t="str">
        <f>IF(Iterations[[#This Row],[Step]] =current_step, current_Grad_a,IF(Iterations[[#This Row],[Step]] &gt; current_step, "",Iterations[[#This Row],[Grad_a]]))</f>
        <v/>
      </c>
      <c r="O1378" s="2" t="str">
        <f>IF(Iterations[[#This Row],[Step]] =current_step, current_Grad_b,IF(Iterations[[#This Row],[Step]] &gt; current_step, "",Iterations[[#This Row],[Grad_b]]))</f>
        <v/>
      </c>
      <c r="P1378" s="2" t="str">
        <f>IF(Iterations[[#This Row],[Step]] =current_step, current_Grad_c,IF(Iterations[[#This Row],[Step]] &gt; current_step, "",Iterations[[#This Row],[Grad_c]]))</f>
        <v/>
      </c>
      <c r="Q1378" s="2" t="str">
        <f>IF(Iterations[[#This Row],[Step]] =current_step, current_Grad_d,IF(Iterations[[#This Row],[Step]] &gt; current_step, "",Iterations[[#This Row],[Grad_d]]))</f>
        <v/>
      </c>
      <c r="R1378" s="2" t="str">
        <f>IF(Iterations[[#This Row],[Step]] =current_step, current_Grad_e,IF(Iterations[[#This Row],[Step]] &gt; current_step, "",Iterations[[#This Row],[Grad_e]]))</f>
        <v/>
      </c>
    </row>
    <row r="1379" spans="6:18" x14ac:dyDescent="0.3">
      <c r="F1379" s="2">
        <f t="shared" si="26"/>
        <v>1362</v>
      </c>
      <c r="G1379" s="2" t="str">
        <f>IF(Iterations[[#This Row],[Step]] =current_step, current_a,IF(Iterations[[#This Row],[Step]] &gt; current_step, "",Iterations[[#This Row],[a]]))</f>
        <v/>
      </c>
      <c r="H1379" s="2" t="str">
        <f>IF(Iterations[[#This Row],[Step]] =current_step, current_b,IF(Iterations[[#This Row],[Step]] &gt; current_step, "",Iterations[[#This Row],[b]]))</f>
        <v/>
      </c>
      <c r="I1379" s="2" t="str">
        <f>IF(Iterations[[#This Row],[Step]] =current_step, current_c,IF(Iterations[[#This Row],[Step]] &gt; current_step, "",Iterations[[#This Row],[c]]))</f>
        <v/>
      </c>
      <c r="J1379" s="2" t="str">
        <f>IF(Iterations[[#This Row],[Step]] =current_step, current_d,IF(Iterations[[#This Row],[Step]] &gt; current_step, "",Iterations[[#This Row],[d]]))</f>
        <v/>
      </c>
      <c r="K1379" s="2" t="str">
        <f>IF(Iterations[[#This Row],[Step]] =current_step, current_e,IF(Iterations[[#This Row],[Step]] &gt; current_step, "",Iterations[[#This Row],[e]]))</f>
        <v/>
      </c>
      <c r="L1379" s="2" t="str">
        <f>IF(Iterations[[#This Row],[Step]] =current_step, current_Total_Loss,IF(Iterations[[#This Row],[Step]] &gt; current_step, "",Iterations[[#This Row],[Total Loss]]))</f>
        <v/>
      </c>
      <c r="M1379" s="6" t="s">
        <v>27</v>
      </c>
      <c r="N1379" s="2" t="str">
        <f>IF(Iterations[[#This Row],[Step]] =current_step, current_Grad_a,IF(Iterations[[#This Row],[Step]] &gt; current_step, "",Iterations[[#This Row],[Grad_a]]))</f>
        <v/>
      </c>
      <c r="O1379" s="2" t="str">
        <f>IF(Iterations[[#This Row],[Step]] =current_step, current_Grad_b,IF(Iterations[[#This Row],[Step]] &gt; current_step, "",Iterations[[#This Row],[Grad_b]]))</f>
        <v/>
      </c>
      <c r="P1379" s="2" t="str">
        <f>IF(Iterations[[#This Row],[Step]] =current_step, current_Grad_c,IF(Iterations[[#This Row],[Step]] &gt; current_step, "",Iterations[[#This Row],[Grad_c]]))</f>
        <v/>
      </c>
      <c r="Q1379" s="2" t="str">
        <f>IF(Iterations[[#This Row],[Step]] =current_step, current_Grad_d,IF(Iterations[[#This Row],[Step]] &gt; current_step, "",Iterations[[#This Row],[Grad_d]]))</f>
        <v/>
      </c>
      <c r="R1379" s="2" t="str">
        <f>IF(Iterations[[#This Row],[Step]] =current_step, current_Grad_e,IF(Iterations[[#This Row],[Step]] &gt; current_step, "",Iterations[[#This Row],[Grad_e]]))</f>
        <v/>
      </c>
    </row>
    <row r="1380" spans="6:18" x14ac:dyDescent="0.3">
      <c r="F1380" s="2">
        <f t="shared" si="26"/>
        <v>1363</v>
      </c>
      <c r="G1380" s="2" t="str">
        <f>IF(Iterations[[#This Row],[Step]] =current_step, current_a,IF(Iterations[[#This Row],[Step]] &gt; current_step, "",Iterations[[#This Row],[a]]))</f>
        <v/>
      </c>
      <c r="H1380" s="2" t="str">
        <f>IF(Iterations[[#This Row],[Step]] =current_step, current_b,IF(Iterations[[#This Row],[Step]] &gt; current_step, "",Iterations[[#This Row],[b]]))</f>
        <v/>
      </c>
      <c r="I1380" s="2" t="str">
        <f>IF(Iterations[[#This Row],[Step]] =current_step, current_c,IF(Iterations[[#This Row],[Step]] &gt; current_step, "",Iterations[[#This Row],[c]]))</f>
        <v/>
      </c>
      <c r="J1380" s="2" t="str">
        <f>IF(Iterations[[#This Row],[Step]] =current_step, current_d,IF(Iterations[[#This Row],[Step]] &gt; current_step, "",Iterations[[#This Row],[d]]))</f>
        <v/>
      </c>
      <c r="K1380" s="2" t="str">
        <f>IF(Iterations[[#This Row],[Step]] =current_step, current_e,IF(Iterations[[#This Row],[Step]] &gt; current_step, "",Iterations[[#This Row],[e]]))</f>
        <v/>
      </c>
      <c r="L1380" s="2" t="str">
        <f>IF(Iterations[[#This Row],[Step]] =current_step, current_Total_Loss,IF(Iterations[[#This Row],[Step]] &gt; current_step, "",Iterations[[#This Row],[Total Loss]]))</f>
        <v/>
      </c>
      <c r="M1380" s="6" t="s">
        <v>27</v>
      </c>
      <c r="N1380" s="2" t="str">
        <f>IF(Iterations[[#This Row],[Step]] =current_step, current_Grad_a,IF(Iterations[[#This Row],[Step]] &gt; current_step, "",Iterations[[#This Row],[Grad_a]]))</f>
        <v/>
      </c>
      <c r="O1380" s="2" t="str">
        <f>IF(Iterations[[#This Row],[Step]] =current_step, current_Grad_b,IF(Iterations[[#This Row],[Step]] &gt; current_step, "",Iterations[[#This Row],[Grad_b]]))</f>
        <v/>
      </c>
      <c r="P1380" s="2" t="str">
        <f>IF(Iterations[[#This Row],[Step]] =current_step, current_Grad_c,IF(Iterations[[#This Row],[Step]] &gt; current_step, "",Iterations[[#This Row],[Grad_c]]))</f>
        <v/>
      </c>
      <c r="Q1380" s="2" t="str">
        <f>IF(Iterations[[#This Row],[Step]] =current_step, current_Grad_d,IF(Iterations[[#This Row],[Step]] &gt; current_step, "",Iterations[[#This Row],[Grad_d]]))</f>
        <v/>
      </c>
      <c r="R1380" s="2" t="str">
        <f>IF(Iterations[[#This Row],[Step]] =current_step, current_Grad_e,IF(Iterations[[#This Row],[Step]] &gt; current_step, "",Iterations[[#This Row],[Grad_e]]))</f>
        <v/>
      </c>
    </row>
    <row r="1381" spans="6:18" x14ac:dyDescent="0.3">
      <c r="F1381" s="2">
        <f t="shared" si="26"/>
        <v>1364</v>
      </c>
      <c r="G1381" s="2" t="str">
        <f>IF(Iterations[[#This Row],[Step]] =current_step, current_a,IF(Iterations[[#This Row],[Step]] &gt; current_step, "",Iterations[[#This Row],[a]]))</f>
        <v/>
      </c>
      <c r="H1381" s="2" t="str">
        <f>IF(Iterations[[#This Row],[Step]] =current_step, current_b,IF(Iterations[[#This Row],[Step]] &gt; current_step, "",Iterations[[#This Row],[b]]))</f>
        <v/>
      </c>
      <c r="I1381" s="2" t="str">
        <f>IF(Iterations[[#This Row],[Step]] =current_step, current_c,IF(Iterations[[#This Row],[Step]] &gt; current_step, "",Iterations[[#This Row],[c]]))</f>
        <v/>
      </c>
      <c r="J1381" s="2" t="str">
        <f>IF(Iterations[[#This Row],[Step]] =current_step, current_d,IF(Iterations[[#This Row],[Step]] &gt; current_step, "",Iterations[[#This Row],[d]]))</f>
        <v/>
      </c>
      <c r="K1381" s="2" t="str">
        <f>IF(Iterations[[#This Row],[Step]] =current_step, current_e,IF(Iterations[[#This Row],[Step]] &gt; current_step, "",Iterations[[#This Row],[e]]))</f>
        <v/>
      </c>
      <c r="L1381" s="2" t="str">
        <f>IF(Iterations[[#This Row],[Step]] =current_step, current_Total_Loss,IF(Iterations[[#This Row],[Step]] &gt; current_step, "",Iterations[[#This Row],[Total Loss]]))</f>
        <v/>
      </c>
      <c r="M1381" s="6" t="s">
        <v>27</v>
      </c>
      <c r="N1381" s="2" t="str">
        <f>IF(Iterations[[#This Row],[Step]] =current_step, current_Grad_a,IF(Iterations[[#This Row],[Step]] &gt; current_step, "",Iterations[[#This Row],[Grad_a]]))</f>
        <v/>
      </c>
      <c r="O1381" s="2" t="str">
        <f>IF(Iterations[[#This Row],[Step]] =current_step, current_Grad_b,IF(Iterations[[#This Row],[Step]] &gt; current_step, "",Iterations[[#This Row],[Grad_b]]))</f>
        <v/>
      </c>
      <c r="P1381" s="2" t="str">
        <f>IF(Iterations[[#This Row],[Step]] =current_step, current_Grad_c,IF(Iterations[[#This Row],[Step]] &gt; current_step, "",Iterations[[#This Row],[Grad_c]]))</f>
        <v/>
      </c>
      <c r="Q1381" s="2" t="str">
        <f>IF(Iterations[[#This Row],[Step]] =current_step, current_Grad_d,IF(Iterations[[#This Row],[Step]] &gt; current_step, "",Iterations[[#This Row],[Grad_d]]))</f>
        <v/>
      </c>
      <c r="R1381" s="2" t="str">
        <f>IF(Iterations[[#This Row],[Step]] =current_step, current_Grad_e,IF(Iterations[[#This Row],[Step]] &gt; current_step, "",Iterations[[#This Row],[Grad_e]]))</f>
        <v/>
      </c>
    </row>
    <row r="1382" spans="6:18" x14ac:dyDescent="0.3">
      <c r="F1382" s="2">
        <f t="shared" si="26"/>
        <v>1365</v>
      </c>
      <c r="G1382" s="2" t="str">
        <f>IF(Iterations[[#This Row],[Step]] =current_step, current_a,IF(Iterations[[#This Row],[Step]] &gt; current_step, "",Iterations[[#This Row],[a]]))</f>
        <v/>
      </c>
      <c r="H1382" s="2" t="str">
        <f>IF(Iterations[[#This Row],[Step]] =current_step, current_b,IF(Iterations[[#This Row],[Step]] &gt; current_step, "",Iterations[[#This Row],[b]]))</f>
        <v/>
      </c>
      <c r="I1382" s="2" t="str">
        <f>IF(Iterations[[#This Row],[Step]] =current_step, current_c,IF(Iterations[[#This Row],[Step]] &gt; current_step, "",Iterations[[#This Row],[c]]))</f>
        <v/>
      </c>
      <c r="J1382" s="2" t="str">
        <f>IF(Iterations[[#This Row],[Step]] =current_step, current_d,IF(Iterations[[#This Row],[Step]] &gt; current_step, "",Iterations[[#This Row],[d]]))</f>
        <v/>
      </c>
      <c r="K1382" s="2" t="str">
        <f>IF(Iterations[[#This Row],[Step]] =current_step, current_e,IF(Iterations[[#This Row],[Step]] &gt; current_step, "",Iterations[[#This Row],[e]]))</f>
        <v/>
      </c>
      <c r="L1382" s="2" t="str">
        <f>IF(Iterations[[#This Row],[Step]] =current_step, current_Total_Loss,IF(Iterations[[#This Row],[Step]] &gt; current_step, "",Iterations[[#This Row],[Total Loss]]))</f>
        <v/>
      </c>
      <c r="M1382" s="6" t="s">
        <v>27</v>
      </c>
      <c r="N1382" s="2" t="str">
        <f>IF(Iterations[[#This Row],[Step]] =current_step, current_Grad_a,IF(Iterations[[#This Row],[Step]] &gt; current_step, "",Iterations[[#This Row],[Grad_a]]))</f>
        <v/>
      </c>
      <c r="O1382" s="2" t="str">
        <f>IF(Iterations[[#This Row],[Step]] =current_step, current_Grad_b,IF(Iterations[[#This Row],[Step]] &gt; current_step, "",Iterations[[#This Row],[Grad_b]]))</f>
        <v/>
      </c>
      <c r="P1382" s="2" t="str">
        <f>IF(Iterations[[#This Row],[Step]] =current_step, current_Grad_c,IF(Iterations[[#This Row],[Step]] &gt; current_step, "",Iterations[[#This Row],[Grad_c]]))</f>
        <v/>
      </c>
      <c r="Q1382" s="2" t="str">
        <f>IF(Iterations[[#This Row],[Step]] =current_step, current_Grad_d,IF(Iterations[[#This Row],[Step]] &gt; current_step, "",Iterations[[#This Row],[Grad_d]]))</f>
        <v/>
      </c>
      <c r="R1382" s="2" t="str">
        <f>IF(Iterations[[#This Row],[Step]] =current_step, current_Grad_e,IF(Iterations[[#This Row],[Step]] &gt; current_step, "",Iterations[[#This Row],[Grad_e]]))</f>
        <v/>
      </c>
    </row>
    <row r="1383" spans="6:18" x14ac:dyDescent="0.3">
      <c r="F1383" s="2">
        <f t="shared" si="26"/>
        <v>1366</v>
      </c>
      <c r="G1383" s="2" t="str">
        <f>IF(Iterations[[#This Row],[Step]] =current_step, current_a,IF(Iterations[[#This Row],[Step]] &gt; current_step, "",Iterations[[#This Row],[a]]))</f>
        <v/>
      </c>
      <c r="H1383" s="2" t="str">
        <f>IF(Iterations[[#This Row],[Step]] =current_step, current_b,IF(Iterations[[#This Row],[Step]] &gt; current_step, "",Iterations[[#This Row],[b]]))</f>
        <v/>
      </c>
      <c r="I1383" s="2" t="str">
        <f>IF(Iterations[[#This Row],[Step]] =current_step, current_c,IF(Iterations[[#This Row],[Step]] &gt; current_step, "",Iterations[[#This Row],[c]]))</f>
        <v/>
      </c>
      <c r="J1383" s="2" t="str">
        <f>IF(Iterations[[#This Row],[Step]] =current_step, current_d,IF(Iterations[[#This Row],[Step]] &gt; current_step, "",Iterations[[#This Row],[d]]))</f>
        <v/>
      </c>
      <c r="K1383" s="2" t="str">
        <f>IF(Iterations[[#This Row],[Step]] =current_step, current_e,IF(Iterations[[#This Row],[Step]] &gt; current_step, "",Iterations[[#This Row],[e]]))</f>
        <v/>
      </c>
      <c r="L1383" s="2" t="str">
        <f>IF(Iterations[[#This Row],[Step]] =current_step, current_Total_Loss,IF(Iterations[[#This Row],[Step]] &gt; current_step, "",Iterations[[#This Row],[Total Loss]]))</f>
        <v/>
      </c>
      <c r="M1383" s="6" t="s">
        <v>27</v>
      </c>
      <c r="N1383" s="2" t="str">
        <f>IF(Iterations[[#This Row],[Step]] =current_step, current_Grad_a,IF(Iterations[[#This Row],[Step]] &gt; current_step, "",Iterations[[#This Row],[Grad_a]]))</f>
        <v/>
      </c>
      <c r="O1383" s="2" t="str">
        <f>IF(Iterations[[#This Row],[Step]] =current_step, current_Grad_b,IF(Iterations[[#This Row],[Step]] &gt; current_step, "",Iterations[[#This Row],[Grad_b]]))</f>
        <v/>
      </c>
      <c r="P1383" s="2" t="str">
        <f>IF(Iterations[[#This Row],[Step]] =current_step, current_Grad_c,IF(Iterations[[#This Row],[Step]] &gt; current_step, "",Iterations[[#This Row],[Grad_c]]))</f>
        <v/>
      </c>
      <c r="Q1383" s="2" t="str">
        <f>IF(Iterations[[#This Row],[Step]] =current_step, current_Grad_d,IF(Iterations[[#This Row],[Step]] &gt; current_step, "",Iterations[[#This Row],[Grad_d]]))</f>
        <v/>
      </c>
      <c r="R1383" s="2" t="str">
        <f>IF(Iterations[[#This Row],[Step]] =current_step, current_Grad_e,IF(Iterations[[#This Row],[Step]] &gt; current_step, "",Iterations[[#This Row],[Grad_e]]))</f>
        <v/>
      </c>
    </row>
    <row r="1384" spans="6:18" x14ac:dyDescent="0.3">
      <c r="F1384" s="2">
        <f t="shared" si="26"/>
        <v>1367</v>
      </c>
      <c r="G1384" s="2" t="str">
        <f>IF(Iterations[[#This Row],[Step]] =current_step, current_a,IF(Iterations[[#This Row],[Step]] &gt; current_step, "",Iterations[[#This Row],[a]]))</f>
        <v/>
      </c>
      <c r="H1384" s="2" t="str">
        <f>IF(Iterations[[#This Row],[Step]] =current_step, current_b,IF(Iterations[[#This Row],[Step]] &gt; current_step, "",Iterations[[#This Row],[b]]))</f>
        <v/>
      </c>
      <c r="I1384" s="2" t="str">
        <f>IF(Iterations[[#This Row],[Step]] =current_step, current_c,IF(Iterations[[#This Row],[Step]] &gt; current_step, "",Iterations[[#This Row],[c]]))</f>
        <v/>
      </c>
      <c r="J1384" s="2" t="str">
        <f>IF(Iterations[[#This Row],[Step]] =current_step, current_d,IF(Iterations[[#This Row],[Step]] &gt; current_step, "",Iterations[[#This Row],[d]]))</f>
        <v/>
      </c>
      <c r="K1384" s="2" t="str">
        <f>IF(Iterations[[#This Row],[Step]] =current_step, current_e,IF(Iterations[[#This Row],[Step]] &gt; current_step, "",Iterations[[#This Row],[e]]))</f>
        <v/>
      </c>
      <c r="L1384" s="2" t="str">
        <f>IF(Iterations[[#This Row],[Step]] =current_step, current_Total_Loss,IF(Iterations[[#This Row],[Step]] &gt; current_step, "",Iterations[[#This Row],[Total Loss]]))</f>
        <v/>
      </c>
      <c r="M1384" s="6" t="s">
        <v>27</v>
      </c>
      <c r="N1384" s="2" t="str">
        <f>IF(Iterations[[#This Row],[Step]] =current_step, current_Grad_a,IF(Iterations[[#This Row],[Step]] &gt; current_step, "",Iterations[[#This Row],[Grad_a]]))</f>
        <v/>
      </c>
      <c r="O1384" s="2" t="str">
        <f>IF(Iterations[[#This Row],[Step]] =current_step, current_Grad_b,IF(Iterations[[#This Row],[Step]] &gt; current_step, "",Iterations[[#This Row],[Grad_b]]))</f>
        <v/>
      </c>
      <c r="P1384" s="2" t="str">
        <f>IF(Iterations[[#This Row],[Step]] =current_step, current_Grad_c,IF(Iterations[[#This Row],[Step]] &gt; current_step, "",Iterations[[#This Row],[Grad_c]]))</f>
        <v/>
      </c>
      <c r="Q1384" s="2" t="str">
        <f>IF(Iterations[[#This Row],[Step]] =current_step, current_Grad_d,IF(Iterations[[#This Row],[Step]] &gt; current_step, "",Iterations[[#This Row],[Grad_d]]))</f>
        <v/>
      </c>
      <c r="R1384" s="2" t="str">
        <f>IF(Iterations[[#This Row],[Step]] =current_step, current_Grad_e,IF(Iterations[[#This Row],[Step]] &gt; current_step, "",Iterations[[#This Row],[Grad_e]]))</f>
        <v/>
      </c>
    </row>
    <row r="1385" spans="6:18" x14ac:dyDescent="0.3">
      <c r="F1385" s="2">
        <f t="shared" si="26"/>
        <v>1368</v>
      </c>
      <c r="G1385" s="2" t="str">
        <f>IF(Iterations[[#This Row],[Step]] =current_step, current_a,IF(Iterations[[#This Row],[Step]] &gt; current_step, "",Iterations[[#This Row],[a]]))</f>
        <v/>
      </c>
      <c r="H1385" s="2" t="str">
        <f>IF(Iterations[[#This Row],[Step]] =current_step, current_b,IF(Iterations[[#This Row],[Step]] &gt; current_step, "",Iterations[[#This Row],[b]]))</f>
        <v/>
      </c>
      <c r="I1385" s="2" t="str">
        <f>IF(Iterations[[#This Row],[Step]] =current_step, current_c,IF(Iterations[[#This Row],[Step]] &gt; current_step, "",Iterations[[#This Row],[c]]))</f>
        <v/>
      </c>
      <c r="J1385" s="2" t="str">
        <f>IF(Iterations[[#This Row],[Step]] =current_step, current_d,IF(Iterations[[#This Row],[Step]] &gt; current_step, "",Iterations[[#This Row],[d]]))</f>
        <v/>
      </c>
      <c r="K1385" s="2" t="str">
        <f>IF(Iterations[[#This Row],[Step]] =current_step, current_e,IF(Iterations[[#This Row],[Step]] &gt; current_step, "",Iterations[[#This Row],[e]]))</f>
        <v/>
      </c>
      <c r="L1385" s="2" t="str">
        <f>IF(Iterations[[#This Row],[Step]] =current_step, current_Total_Loss,IF(Iterations[[#This Row],[Step]] &gt; current_step, "",Iterations[[#This Row],[Total Loss]]))</f>
        <v/>
      </c>
      <c r="M1385" s="6" t="s">
        <v>27</v>
      </c>
      <c r="N1385" s="2" t="str">
        <f>IF(Iterations[[#This Row],[Step]] =current_step, current_Grad_a,IF(Iterations[[#This Row],[Step]] &gt; current_step, "",Iterations[[#This Row],[Grad_a]]))</f>
        <v/>
      </c>
      <c r="O1385" s="2" t="str">
        <f>IF(Iterations[[#This Row],[Step]] =current_step, current_Grad_b,IF(Iterations[[#This Row],[Step]] &gt; current_step, "",Iterations[[#This Row],[Grad_b]]))</f>
        <v/>
      </c>
      <c r="P1385" s="2" t="str">
        <f>IF(Iterations[[#This Row],[Step]] =current_step, current_Grad_c,IF(Iterations[[#This Row],[Step]] &gt; current_step, "",Iterations[[#This Row],[Grad_c]]))</f>
        <v/>
      </c>
      <c r="Q1385" s="2" t="str">
        <f>IF(Iterations[[#This Row],[Step]] =current_step, current_Grad_d,IF(Iterations[[#This Row],[Step]] &gt; current_step, "",Iterations[[#This Row],[Grad_d]]))</f>
        <v/>
      </c>
      <c r="R1385" s="2" t="str">
        <f>IF(Iterations[[#This Row],[Step]] =current_step, current_Grad_e,IF(Iterations[[#This Row],[Step]] &gt; current_step, "",Iterations[[#This Row],[Grad_e]]))</f>
        <v/>
      </c>
    </row>
    <row r="1386" spans="6:18" x14ac:dyDescent="0.3">
      <c r="F1386" s="2">
        <f t="shared" si="26"/>
        <v>1369</v>
      </c>
      <c r="G1386" s="2" t="str">
        <f>IF(Iterations[[#This Row],[Step]] =current_step, current_a,IF(Iterations[[#This Row],[Step]] &gt; current_step, "",Iterations[[#This Row],[a]]))</f>
        <v/>
      </c>
      <c r="H1386" s="2" t="str">
        <f>IF(Iterations[[#This Row],[Step]] =current_step, current_b,IF(Iterations[[#This Row],[Step]] &gt; current_step, "",Iterations[[#This Row],[b]]))</f>
        <v/>
      </c>
      <c r="I1386" s="2" t="str">
        <f>IF(Iterations[[#This Row],[Step]] =current_step, current_c,IF(Iterations[[#This Row],[Step]] &gt; current_step, "",Iterations[[#This Row],[c]]))</f>
        <v/>
      </c>
      <c r="J1386" s="2" t="str">
        <f>IF(Iterations[[#This Row],[Step]] =current_step, current_d,IF(Iterations[[#This Row],[Step]] &gt; current_step, "",Iterations[[#This Row],[d]]))</f>
        <v/>
      </c>
      <c r="K1386" s="2" t="str">
        <f>IF(Iterations[[#This Row],[Step]] =current_step, current_e,IF(Iterations[[#This Row],[Step]] &gt; current_step, "",Iterations[[#This Row],[e]]))</f>
        <v/>
      </c>
      <c r="L1386" s="2" t="str">
        <f>IF(Iterations[[#This Row],[Step]] =current_step, current_Total_Loss,IF(Iterations[[#This Row],[Step]] &gt; current_step, "",Iterations[[#This Row],[Total Loss]]))</f>
        <v/>
      </c>
      <c r="M1386" s="6" t="s">
        <v>27</v>
      </c>
      <c r="N1386" s="2" t="str">
        <f>IF(Iterations[[#This Row],[Step]] =current_step, current_Grad_a,IF(Iterations[[#This Row],[Step]] &gt; current_step, "",Iterations[[#This Row],[Grad_a]]))</f>
        <v/>
      </c>
      <c r="O1386" s="2" t="str">
        <f>IF(Iterations[[#This Row],[Step]] =current_step, current_Grad_b,IF(Iterations[[#This Row],[Step]] &gt; current_step, "",Iterations[[#This Row],[Grad_b]]))</f>
        <v/>
      </c>
      <c r="P1386" s="2" t="str">
        <f>IF(Iterations[[#This Row],[Step]] =current_step, current_Grad_c,IF(Iterations[[#This Row],[Step]] &gt; current_step, "",Iterations[[#This Row],[Grad_c]]))</f>
        <v/>
      </c>
      <c r="Q1386" s="2" t="str">
        <f>IF(Iterations[[#This Row],[Step]] =current_step, current_Grad_d,IF(Iterations[[#This Row],[Step]] &gt; current_step, "",Iterations[[#This Row],[Grad_d]]))</f>
        <v/>
      </c>
      <c r="R1386" s="2" t="str">
        <f>IF(Iterations[[#This Row],[Step]] =current_step, current_Grad_e,IF(Iterations[[#This Row],[Step]] &gt; current_step, "",Iterations[[#This Row],[Grad_e]]))</f>
        <v/>
      </c>
    </row>
    <row r="1387" spans="6:18" x14ac:dyDescent="0.3">
      <c r="F1387" s="2">
        <f t="shared" si="26"/>
        <v>1370</v>
      </c>
      <c r="G1387" s="2" t="str">
        <f>IF(Iterations[[#This Row],[Step]] =current_step, current_a,IF(Iterations[[#This Row],[Step]] &gt; current_step, "",Iterations[[#This Row],[a]]))</f>
        <v/>
      </c>
      <c r="H1387" s="2" t="str">
        <f>IF(Iterations[[#This Row],[Step]] =current_step, current_b,IF(Iterations[[#This Row],[Step]] &gt; current_step, "",Iterations[[#This Row],[b]]))</f>
        <v/>
      </c>
      <c r="I1387" s="2" t="str">
        <f>IF(Iterations[[#This Row],[Step]] =current_step, current_c,IF(Iterations[[#This Row],[Step]] &gt; current_step, "",Iterations[[#This Row],[c]]))</f>
        <v/>
      </c>
      <c r="J1387" s="2" t="str">
        <f>IF(Iterations[[#This Row],[Step]] =current_step, current_d,IF(Iterations[[#This Row],[Step]] &gt; current_step, "",Iterations[[#This Row],[d]]))</f>
        <v/>
      </c>
      <c r="K1387" s="2" t="str">
        <f>IF(Iterations[[#This Row],[Step]] =current_step, current_e,IF(Iterations[[#This Row],[Step]] &gt; current_step, "",Iterations[[#This Row],[e]]))</f>
        <v/>
      </c>
      <c r="L1387" s="2" t="str">
        <f>IF(Iterations[[#This Row],[Step]] =current_step, current_Total_Loss,IF(Iterations[[#This Row],[Step]] &gt; current_step, "",Iterations[[#This Row],[Total Loss]]))</f>
        <v/>
      </c>
      <c r="M1387" s="6" t="s">
        <v>27</v>
      </c>
      <c r="N1387" s="2" t="str">
        <f>IF(Iterations[[#This Row],[Step]] =current_step, current_Grad_a,IF(Iterations[[#This Row],[Step]] &gt; current_step, "",Iterations[[#This Row],[Grad_a]]))</f>
        <v/>
      </c>
      <c r="O1387" s="2" t="str">
        <f>IF(Iterations[[#This Row],[Step]] =current_step, current_Grad_b,IF(Iterations[[#This Row],[Step]] &gt; current_step, "",Iterations[[#This Row],[Grad_b]]))</f>
        <v/>
      </c>
      <c r="P1387" s="2" t="str">
        <f>IF(Iterations[[#This Row],[Step]] =current_step, current_Grad_c,IF(Iterations[[#This Row],[Step]] &gt; current_step, "",Iterations[[#This Row],[Grad_c]]))</f>
        <v/>
      </c>
      <c r="Q1387" s="2" t="str">
        <f>IF(Iterations[[#This Row],[Step]] =current_step, current_Grad_d,IF(Iterations[[#This Row],[Step]] &gt; current_step, "",Iterations[[#This Row],[Grad_d]]))</f>
        <v/>
      </c>
      <c r="R1387" s="2" t="str">
        <f>IF(Iterations[[#This Row],[Step]] =current_step, current_Grad_e,IF(Iterations[[#This Row],[Step]] &gt; current_step, "",Iterations[[#This Row],[Grad_e]]))</f>
        <v/>
      </c>
    </row>
    <row r="1388" spans="6:18" x14ac:dyDescent="0.3">
      <c r="F1388" s="2">
        <f t="shared" si="26"/>
        <v>1371</v>
      </c>
      <c r="G1388" s="2" t="str">
        <f>IF(Iterations[[#This Row],[Step]] =current_step, current_a,IF(Iterations[[#This Row],[Step]] &gt; current_step, "",Iterations[[#This Row],[a]]))</f>
        <v/>
      </c>
      <c r="H1388" s="2" t="str">
        <f>IF(Iterations[[#This Row],[Step]] =current_step, current_b,IF(Iterations[[#This Row],[Step]] &gt; current_step, "",Iterations[[#This Row],[b]]))</f>
        <v/>
      </c>
      <c r="I1388" s="2" t="str">
        <f>IF(Iterations[[#This Row],[Step]] =current_step, current_c,IF(Iterations[[#This Row],[Step]] &gt; current_step, "",Iterations[[#This Row],[c]]))</f>
        <v/>
      </c>
      <c r="J1388" s="2" t="str">
        <f>IF(Iterations[[#This Row],[Step]] =current_step, current_d,IF(Iterations[[#This Row],[Step]] &gt; current_step, "",Iterations[[#This Row],[d]]))</f>
        <v/>
      </c>
      <c r="K1388" s="2" t="str">
        <f>IF(Iterations[[#This Row],[Step]] =current_step, current_e,IF(Iterations[[#This Row],[Step]] &gt; current_step, "",Iterations[[#This Row],[e]]))</f>
        <v/>
      </c>
      <c r="L1388" s="2" t="str">
        <f>IF(Iterations[[#This Row],[Step]] =current_step, current_Total_Loss,IF(Iterations[[#This Row],[Step]] &gt; current_step, "",Iterations[[#This Row],[Total Loss]]))</f>
        <v/>
      </c>
      <c r="M1388" s="6" t="s">
        <v>27</v>
      </c>
      <c r="N1388" s="2" t="str">
        <f>IF(Iterations[[#This Row],[Step]] =current_step, current_Grad_a,IF(Iterations[[#This Row],[Step]] &gt; current_step, "",Iterations[[#This Row],[Grad_a]]))</f>
        <v/>
      </c>
      <c r="O1388" s="2" t="str">
        <f>IF(Iterations[[#This Row],[Step]] =current_step, current_Grad_b,IF(Iterations[[#This Row],[Step]] &gt; current_step, "",Iterations[[#This Row],[Grad_b]]))</f>
        <v/>
      </c>
      <c r="P1388" s="2" t="str">
        <f>IF(Iterations[[#This Row],[Step]] =current_step, current_Grad_c,IF(Iterations[[#This Row],[Step]] &gt; current_step, "",Iterations[[#This Row],[Grad_c]]))</f>
        <v/>
      </c>
      <c r="Q1388" s="2" t="str">
        <f>IF(Iterations[[#This Row],[Step]] =current_step, current_Grad_d,IF(Iterations[[#This Row],[Step]] &gt; current_step, "",Iterations[[#This Row],[Grad_d]]))</f>
        <v/>
      </c>
      <c r="R1388" s="2" t="str">
        <f>IF(Iterations[[#This Row],[Step]] =current_step, current_Grad_e,IF(Iterations[[#This Row],[Step]] &gt; current_step, "",Iterations[[#This Row],[Grad_e]]))</f>
        <v/>
      </c>
    </row>
    <row r="1389" spans="6:18" x14ac:dyDescent="0.3">
      <c r="F1389" s="2">
        <f t="shared" si="26"/>
        <v>1372</v>
      </c>
      <c r="G1389" s="2" t="str">
        <f>IF(Iterations[[#This Row],[Step]] =current_step, current_a,IF(Iterations[[#This Row],[Step]] &gt; current_step, "",Iterations[[#This Row],[a]]))</f>
        <v/>
      </c>
      <c r="H1389" s="2" t="str">
        <f>IF(Iterations[[#This Row],[Step]] =current_step, current_b,IF(Iterations[[#This Row],[Step]] &gt; current_step, "",Iterations[[#This Row],[b]]))</f>
        <v/>
      </c>
      <c r="I1389" s="2" t="str">
        <f>IF(Iterations[[#This Row],[Step]] =current_step, current_c,IF(Iterations[[#This Row],[Step]] &gt; current_step, "",Iterations[[#This Row],[c]]))</f>
        <v/>
      </c>
      <c r="J1389" s="2" t="str">
        <f>IF(Iterations[[#This Row],[Step]] =current_step, current_d,IF(Iterations[[#This Row],[Step]] &gt; current_step, "",Iterations[[#This Row],[d]]))</f>
        <v/>
      </c>
      <c r="K1389" s="2" t="str">
        <f>IF(Iterations[[#This Row],[Step]] =current_step, current_e,IF(Iterations[[#This Row],[Step]] &gt; current_step, "",Iterations[[#This Row],[e]]))</f>
        <v/>
      </c>
      <c r="L1389" s="2" t="str">
        <f>IF(Iterations[[#This Row],[Step]] =current_step, current_Total_Loss,IF(Iterations[[#This Row],[Step]] &gt; current_step, "",Iterations[[#This Row],[Total Loss]]))</f>
        <v/>
      </c>
      <c r="M1389" s="6" t="s">
        <v>27</v>
      </c>
      <c r="N1389" s="2" t="str">
        <f>IF(Iterations[[#This Row],[Step]] =current_step, current_Grad_a,IF(Iterations[[#This Row],[Step]] &gt; current_step, "",Iterations[[#This Row],[Grad_a]]))</f>
        <v/>
      </c>
      <c r="O1389" s="2" t="str">
        <f>IF(Iterations[[#This Row],[Step]] =current_step, current_Grad_b,IF(Iterations[[#This Row],[Step]] &gt; current_step, "",Iterations[[#This Row],[Grad_b]]))</f>
        <v/>
      </c>
      <c r="P1389" s="2" t="str">
        <f>IF(Iterations[[#This Row],[Step]] =current_step, current_Grad_c,IF(Iterations[[#This Row],[Step]] &gt; current_step, "",Iterations[[#This Row],[Grad_c]]))</f>
        <v/>
      </c>
      <c r="Q1389" s="2" t="str">
        <f>IF(Iterations[[#This Row],[Step]] =current_step, current_Grad_d,IF(Iterations[[#This Row],[Step]] &gt; current_step, "",Iterations[[#This Row],[Grad_d]]))</f>
        <v/>
      </c>
      <c r="R1389" s="2" t="str">
        <f>IF(Iterations[[#This Row],[Step]] =current_step, current_Grad_e,IF(Iterations[[#This Row],[Step]] &gt; current_step, "",Iterations[[#This Row],[Grad_e]]))</f>
        <v/>
      </c>
    </row>
    <row r="1390" spans="6:18" x14ac:dyDescent="0.3">
      <c r="F1390" s="2">
        <f t="shared" si="26"/>
        <v>1373</v>
      </c>
      <c r="G1390" s="2" t="str">
        <f>IF(Iterations[[#This Row],[Step]] =current_step, current_a,IF(Iterations[[#This Row],[Step]] &gt; current_step, "",Iterations[[#This Row],[a]]))</f>
        <v/>
      </c>
      <c r="H1390" s="2" t="str">
        <f>IF(Iterations[[#This Row],[Step]] =current_step, current_b,IF(Iterations[[#This Row],[Step]] &gt; current_step, "",Iterations[[#This Row],[b]]))</f>
        <v/>
      </c>
      <c r="I1390" s="2" t="str">
        <f>IF(Iterations[[#This Row],[Step]] =current_step, current_c,IF(Iterations[[#This Row],[Step]] &gt; current_step, "",Iterations[[#This Row],[c]]))</f>
        <v/>
      </c>
      <c r="J1390" s="2" t="str">
        <f>IF(Iterations[[#This Row],[Step]] =current_step, current_d,IF(Iterations[[#This Row],[Step]] &gt; current_step, "",Iterations[[#This Row],[d]]))</f>
        <v/>
      </c>
      <c r="K1390" s="2" t="str">
        <f>IF(Iterations[[#This Row],[Step]] =current_step, current_e,IF(Iterations[[#This Row],[Step]] &gt; current_step, "",Iterations[[#This Row],[e]]))</f>
        <v/>
      </c>
      <c r="L1390" s="2" t="str">
        <f>IF(Iterations[[#This Row],[Step]] =current_step, current_Total_Loss,IF(Iterations[[#This Row],[Step]] &gt; current_step, "",Iterations[[#This Row],[Total Loss]]))</f>
        <v/>
      </c>
      <c r="M1390" s="6" t="s">
        <v>27</v>
      </c>
      <c r="N1390" s="2" t="str">
        <f>IF(Iterations[[#This Row],[Step]] =current_step, current_Grad_a,IF(Iterations[[#This Row],[Step]] &gt; current_step, "",Iterations[[#This Row],[Grad_a]]))</f>
        <v/>
      </c>
      <c r="O1390" s="2" t="str">
        <f>IF(Iterations[[#This Row],[Step]] =current_step, current_Grad_b,IF(Iterations[[#This Row],[Step]] &gt; current_step, "",Iterations[[#This Row],[Grad_b]]))</f>
        <v/>
      </c>
      <c r="P1390" s="2" t="str">
        <f>IF(Iterations[[#This Row],[Step]] =current_step, current_Grad_c,IF(Iterations[[#This Row],[Step]] &gt; current_step, "",Iterations[[#This Row],[Grad_c]]))</f>
        <v/>
      </c>
      <c r="Q1390" s="2" t="str">
        <f>IF(Iterations[[#This Row],[Step]] =current_step, current_Grad_d,IF(Iterations[[#This Row],[Step]] &gt; current_step, "",Iterations[[#This Row],[Grad_d]]))</f>
        <v/>
      </c>
      <c r="R1390" s="2" t="str">
        <f>IF(Iterations[[#This Row],[Step]] =current_step, current_Grad_e,IF(Iterations[[#This Row],[Step]] &gt; current_step, "",Iterations[[#This Row],[Grad_e]]))</f>
        <v/>
      </c>
    </row>
    <row r="1391" spans="6:18" x14ac:dyDescent="0.3">
      <c r="F1391" s="2">
        <f t="shared" si="26"/>
        <v>1374</v>
      </c>
      <c r="G1391" s="2" t="str">
        <f>IF(Iterations[[#This Row],[Step]] =current_step, current_a,IF(Iterations[[#This Row],[Step]] &gt; current_step, "",Iterations[[#This Row],[a]]))</f>
        <v/>
      </c>
      <c r="H1391" s="2" t="str">
        <f>IF(Iterations[[#This Row],[Step]] =current_step, current_b,IF(Iterations[[#This Row],[Step]] &gt; current_step, "",Iterations[[#This Row],[b]]))</f>
        <v/>
      </c>
      <c r="I1391" s="2" t="str">
        <f>IF(Iterations[[#This Row],[Step]] =current_step, current_c,IF(Iterations[[#This Row],[Step]] &gt; current_step, "",Iterations[[#This Row],[c]]))</f>
        <v/>
      </c>
      <c r="J1391" s="2" t="str">
        <f>IF(Iterations[[#This Row],[Step]] =current_step, current_d,IF(Iterations[[#This Row],[Step]] &gt; current_step, "",Iterations[[#This Row],[d]]))</f>
        <v/>
      </c>
      <c r="K1391" s="2" t="str">
        <f>IF(Iterations[[#This Row],[Step]] =current_step, current_e,IF(Iterations[[#This Row],[Step]] &gt; current_step, "",Iterations[[#This Row],[e]]))</f>
        <v/>
      </c>
      <c r="L1391" s="2" t="str">
        <f>IF(Iterations[[#This Row],[Step]] =current_step, current_Total_Loss,IF(Iterations[[#This Row],[Step]] &gt; current_step, "",Iterations[[#This Row],[Total Loss]]))</f>
        <v/>
      </c>
      <c r="M1391" s="6" t="s">
        <v>27</v>
      </c>
      <c r="N1391" s="2" t="str">
        <f>IF(Iterations[[#This Row],[Step]] =current_step, current_Grad_a,IF(Iterations[[#This Row],[Step]] &gt; current_step, "",Iterations[[#This Row],[Grad_a]]))</f>
        <v/>
      </c>
      <c r="O1391" s="2" t="str">
        <f>IF(Iterations[[#This Row],[Step]] =current_step, current_Grad_b,IF(Iterations[[#This Row],[Step]] &gt; current_step, "",Iterations[[#This Row],[Grad_b]]))</f>
        <v/>
      </c>
      <c r="P1391" s="2" t="str">
        <f>IF(Iterations[[#This Row],[Step]] =current_step, current_Grad_c,IF(Iterations[[#This Row],[Step]] &gt; current_step, "",Iterations[[#This Row],[Grad_c]]))</f>
        <v/>
      </c>
      <c r="Q1391" s="2" t="str">
        <f>IF(Iterations[[#This Row],[Step]] =current_step, current_Grad_d,IF(Iterations[[#This Row],[Step]] &gt; current_step, "",Iterations[[#This Row],[Grad_d]]))</f>
        <v/>
      </c>
      <c r="R1391" s="2" t="str">
        <f>IF(Iterations[[#This Row],[Step]] =current_step, current_Grad_e,IF(Iterations[[#This Row],[Step]] &gt; current_step, "",Iterations[[#This Row],[Grad_e]]))</f>
        <v/>
      </c>
    </row>
    <row r="1392" spans="6:18" x14ac:dyDescent="0.3">
      <c r="F1392" s="2">
        <f t="shared" si="26"/>
        <v>1375</v>
      </c>
      <c r="G1392" s="2" t="str">
        <f>IF(Iterations[[#This Row],[Step]] =current_step, current_a,IF(Iterations[[#This Row],[Step]] &gt; current_step, "",Iterations[[#This Row],[a]]))</f>
        <v/>
      </c>
      <c r="H1392" s="2" t="str">
        <f>IF(Iterations[[#This Row],[Step]] =current_step, current_b,IF(Iterations[[#This Row],[Step]] &gt; current_step, "",Iterations[[#This Row],[b]]))</f>
        <v/>
      </c>
      <c r="I1392" s="2" t="str">
        <f>IF(Iterations[[#This Row],[Step]] =current_step, current_c,IF(Iterations[[#This Row],[Step]] &gt; current_step, "",Iterations[[#This Row],[c]]))</f>
        <v/>
      </c>
      <c r="J1392" s="2" t="str">
        <f>IF(Iterations[[#This Row],[Step]] =current_step, current_d,IF(Iterations[[#This Row],[Step]] &gt; current_step, "",Iterations[[#This Row],[d]]))</f>
        <v/>
      </c>
      <c r="K1392" s="2" t="str">
        <f>IF(Iterations[[#This Row],[Step]] =current_step, current_e,IF(Iterations[[#This Row],[Step]] &gt; current_step, "",Iterations[[#This Row],[e]]))</f>
        <v/>
      </c>
      <c r="L1392" s="2" t="str">
        <f>IF(Iterations[[#This Row],[Step]] =current_step, current_Total_Loss,IF(Iterations[[#This Row],[Step]] &gt; current_step, "",Iterations[[#This Row],[Total Loss]]))</f>
        <v/>
      </c>
      <c r="M1392" s="6" t="s">
        <v>27</v>
      </c>
      <c r="N1392" s="2" t="str">
        <f>IF(Iterations[[#This Row],[Step]] =current_step, current_Grad_a,IF(Iterations[[#This Row],[Step]] &gt; current_step, "",Iterations[[#This Row],[Grad_a]]))</f>
        <v/>
      </c>
      <c r="O1392" s="2" t="str">
        <f>IF(Iterations[[#This Row],[Step]] =current_step, current_Grad_b,IF(Iterations[[#This Row],[Step]] &gt; current_step, "",Iterations[[#This Row],[Grad_b]]))</f>
        <v/>
      </c>
      <c r="P1392" s="2" t="str">
        <f>IF(Iterations[[#This Row],[Step]] =current_step, current_Grad_c,IF(Iterations[[#This Row],[Step]] &gt; current_step, "",Iterations[[#This Row],[Grad_c]]))</f>
        <v/>
      </c>
      <c r="Q1392" s="2" t="str">
        <f>IF(Iterations[[#This Row],[Step]] =current_step, current_Grad_d,IF(Iterations[[#This Row],[Step]] &gt; current_step, "",Iterations[[#This Row],[Grad_d]]))</f>
        <v/>
      </c>
      <c r="R1392" s="2" t="str">
        <f>IF(Iterations[[#This Row],[Step]] =current_step, current_Grad_e,IF(Iterations[[#This Row],[Step]] &gt; current_step, "",Iterations[[#This Row],[Grad_e]]))</f>
        <v/>
      </c>
    </row>
    <row r="1393" spans="6:18" x14ac:dyDescent="0.3">
      <c r="F1393" s="2">
        <f t="shared" si="26"/>
        <v>1376</v>
      </c>
      <c r="G1393" s="2" t="str">
        <f>IF(Iterations[[#This Row],[Step]] =current_step, current_a,IF(Iterations[[#This Row],[Step]] &gt; current_step, "",Iterations[[#This Row],[a]]))</f>
        <v/>
      </c>
      <c r="H1393" s="2" t="str">
        <f>IF(Iterations[[#This Row],[Step]] =current_step, current_b,IF(Iterations[[#This Row],[Step]] &gt; current_step, "",Iterations[[#This Row],[b]]))</f>
        <v/>
      </c>
      <c r="I1393" s="2" t="str">
        <f>IF(Iterations[[#This Row],[Step]] =current_step, current_c,IF(Iterations[[#This Row],[Step]] &gt; current_step, "",Iterations[[#This Row],[c]]))</f>
        <v/>
      </c>
      <c r="J1393" s="2" t="str">
        <f>IF(Iterations[[#This Row],[Step]] =current_step, current_d,IF(Iterations[[#This Row],[Step]] &gt; current_step, "",Iterations[[#This Row],[d]]))</f>
        <v/>
      </c>
      <c r="K1393" s="2" t="str">
        <f>IF(Iterations[[#This Row],[Step]] =current_step, current_e,IF(Iterations[[#This Row],[Step]] &gt; current_step, "",Iterations[[#This Row],[e]]))</f>
        <v/>
      </c>
      <c r="L1393" s="2" t="str">
        <f>IF(Iterations[[#This Row],[Step]] =current_step, current_Total_Loss,IF(Iterations[[#This Row],[Step]] &gt; current_step, "",Iterations[[#This Row],[Total Loss]]))</f>
        <v/>
      </c>
      <c r="M1393" s="6" t="s">
        <v>27</v>
      </c>
      <c r="N1393" s="2" t="str">
        <f>IF(Iterations[[#This Row],[Step]] =current_step, current_Grad_a,IF(Iterations[[#This Row],[Step]] &gt; current_step, "",Iterations[[#This Row],[Grad_a]]))</f>
        <v/>
      </c>
      <c r="O1393" s="2" t="str">
        <f>IF(Iterations[[#This Row],[Step]] =current_step, current_Grad_b,IF(Iterations[[#This Row],[Step]] &gt; current_step, "",Iterations[[#This Row],[Grad_b]]))</f>
        <v/>
      </c>
      <c r="P1393" s="2" t="str">
        <f>IF(Iterations[[#This Row],[Step]] =current_step, current_Grad_c,IF(Iterations[[#This Row],[Step]] &gt; current_step, "",Iterations[[#This Row],[Grad_c]]))</f>
        <v/>
      </c>
      <c r="Q1393" s="2" t="str">
        <f>IF(Iterations[[#This Row],[Step]] =current_step, current_Grad_d,IF(Iterations[[#This Row],[Step]] &gt; current_step, "",Iterations[[#This Row],[Grad_d]]))</f>
        <v/>
      </c>
      <c r="R1393" s="2" t="str">
        <f>IF(Iterations[[#This Row],[Step]] =current_step, current_Grad_e,IF(Iterations[[#This Row],[Step]] &gt; current_step, "",Iterations[[#This Row],[Grad_e]]))</f>
        <v/>
      </c>
    </row>
    <row r="1394" spans="6:18" x14ac:dyDescent="0.3">
      <c r="F1394" s="2">
        <f t="shared" si="26"/>
        <v>1377</v>
      </c>
      <c r="G1394" s="2" t="str">
        <f>IF(Iterations[[#This Row],[Step]] =current_step, current_a,IF(Iterations[[#This Row],[Step]] &gt; current_step, "",Iterations[[#This Row],[a]]))</f>
        <v/>
      </c>
      <c r="H1394" s="2" t="str">
        <f>IF(Iterations[[#This Row],[Step]] =current_step, current_b,IF(Iterations[[#This Row],[Step]] &gt; current_step, "",Iterations[[#This Row],[b]]))</f>
        <v/>
      </c>
      <c r="I1394" s="2" t="str">
        <f>IF(Iterations[[#This Row],[Step]] =current_step, current_c,IF(Iterations[[#This Row],[Step]] &gt; current_step, "",Iterations[[#This Row],[c]]))</f>
        <v/>
      </c>
      <c r="J1394" s="2" t="str">
        <f>IF(Iterations[[#This Row],[Step]] =current_step, current_d,IF(Iterations[[#This Row],[Step]] &gt; current_step, "",Iterations[[#This Row],[d]]))</f>
        <v/>
      </c>
      <c r="K1394" s="2" t="str">
        <f>IF(Iterations[[#This Row],[Step]] =current_step, current_e,IF(Iterations[[#This Row],[Step]] &gt; current_step, "",Iterations[[#This Row],[e]]))</f>
        <v/>
      </c>
      <c r="L1394" s="2" t="str">
        <f>IF(Iterations[[#This Row],[Step]] =current_step, current_Total_Loss,IF(Iterations[[#This Row],[Step]] &gt; current_step, "",Iterations[[#This Row],[Total Loss]]))</f>
        <v/>
      </c>
      <c r="M1394" s="6" t="s">
        <v>27</v>
      </c>
      <c r="N1394" s="2" t="str">
        <f>IF(Iterations[[#This Row],[Step]] =current_step, current_Grad_a,IF(Iterations[[#This Row],[Step]] &gt; current_step, "",Iterations[[#This Row],[Grad_a]]))</f>
        <v/>
      </c>
      <c r="O1394" s="2" t="str">
        <f>IF(Iterations[[#This Row],[Step]] =current_step, current_Grad_b,IF(Iterations[[#This Row],[Step]] &gt; current_step, "",Iterations[[#This Row],[Grad_b]]))</f>
        <v/>
      </c>
      <c r="P1394" s="2" t="str">
        <f>IF(Iterations[[#This Row],[Step]] =current_step, current_Grad_c,IF(Iterations[[#This Row],[Step]] &gt; current_step, "",Iterations[[#This Row],[Grad_c]]))</f>
        <v/>
      </c>
      <c r="Q1394" s="2" t="str">
        <f>IF(Iterations[[#This Row],[Step]] =current_step, current_Grad_d,IF(Iterations[[#This Row],[Step]] &gt; current_step, "",Iterations[[#This Row],[Grad_d]]))</f>
        <v/>
      </c>
      <c r="R1394" s="2" t="str">
        <f>IF(Iterations[[#This Row],[Step]] =current_step, current_Grad_e,IF(Iterations[[#This Row],[Step]] &gt; current_step, "",Iterations[[#This Row],[Grad_e]]))</f>
        <v/>
      </c>
    </row>
    <row r="1395" spans="6:18" x14ac:dyDescent="0.3">
      <c r="F1395" s="2">
        <f t="shared" si="26"/>
        <v>1378</v>
      </c>
      <c r="G1395" s="2" t="str">
        <f>IF(Iterations[[#This Row],[Step]] =current_step, current_a,IF(Iterations[[#This Row],[Step]] &gt; current_step, "",Iterations[[#This Row],[a]]))</f>
        <v/>
      </c>
      <c r="H1395" s="2" t="str">
        <f>IF(Iterations[[#This Row],[Step]] =current_step, current_b,IF(Iterations[[#This Row],[Step]] &gt; current_step, "",Iterations[[#This Row],[b]]))</f>
        <v/>
      </c>
      <c r="I1395" s="2" t="str">
        <f>IF(Iterations[[#This Row],[Step]] =current_step, current_c,IF(Iterations[[#This Row],[Step]] &gt; current_step, "",Iterations[[#This Row],[c]]))</f>
        <v/>
      </c>
      <c r="J1395" s="2" t="str">
        <f>IF(Iterations[[#This Row],[Step]] =current_step, current_d,IF(Iterations[[#This Row],[Step]] &gt; current_step, "",Iterations[[#This Row],[d]]))</f>
        <v/>
      </c>
      <c r="K1395" s="2" t="str">
        <f>IF(Iterations[[#This Row],[Step]] =current_step, current_e,IF(Iterations[[#This Row],[Step]] &gt; current_step, "",Iterations[[#This Row],[e]]))</f>
        <v/>
      </c>
      <c r="L1395" s="2" t="str">
        <f>IF(Iterations[[#This Row],[Step]] =current_step, current_Total_Loss,IF(Iterations[[#This Row],[Step]] &gt; current_step, "",Iterations[[#This Row],[Total Loss]]))</f>
        <v/>
      </c>
      <c r="M1395" s="6" t="s">
        <v>27</v>
      </c>
      <c r="N1395" s="2" t="str">
        <f>IF(Iterations[[#This Row],[Step]] =current_step, current_Grad_a,IF(Iterations[[#This Row],[Step]] &gt; current_step, "",Iterations[[#This Row],[Grad_a]]))</f>
        <v/>
      </c>
      <c r="O1395" s="2" t="str">
        <f>IF(Iterations[[#This Row],[Step]] =current_step, current_Grad_b,IF(Iterations[[#This Row],[Step]] &gt; current_step, "",Iterations[[#This Row],[Grad_b]]))</f>
        <v/>
      </c>
      <c r="P1395" s="2" t="str">
        <f>IF(Iterations[[#This Row],[Step]] =current_step, current_Grad_c,IF(Iterations[[#This Row],[Step]] &gt; current_step, "",Iterations[[#This Row],[Grad_c]]))</f>
        <v/>
      </c>
      <c r="Q1395" s="2" t="str">
        <f>IF(Iterations[[#This Row],[Step]] =current_step, current_Grad_d,IF(Iterations[[#This Row],[Step]] &gt; current_step, "",Iterations[[#This Row],[Grad_d]]))</f>
        <v/>
      </c>
      <c r="R1395" s="2" t="str">
        <f>IF(Iterations[[#This Row],[Step]] =current_step, current_Grad_e,IF(Iterations[[#This Row],[Step]] &gt; current_step, "",Iterations[[#This Row],[Grad_e]]))</f>
        <v/>
      </c>
    </row>
    <row r="1396" spans="6:18" x14ac:dyDescent="0.3">
      <c r="F1396" s="2">
        <f t="shared" si="26"/>
        <v>1379</v>
      </c>
      <c r="G1396" s="2" t="str">
        <f>IF(Iterations[[#This Row],[Step]] =current_step, current_a,IF(Iterations[[#This Row],[Step]] &gt; current_step, "",Iterations[[#This Row],[a]]))</f>
        <v/>
      </c>
      <c r="H1396" s="2" t="str">
        <f>IF(Iterations[[#This Row],[Step]] =current_step, current_b,IF(Iterations[[#This Row],[Step]] &gt; current_step, "",Iterations[[#This Row],[b]]))</f>
        <v/>
      </c>
      <c r="I1396" s="2" t="str">
        <f>IF(Iterations[[#This Row],[Step]] =current_step, current_c,IF(Iterations[[#This Row],[Step]] &gt; current_step, "",Iterations[[#This Row],[c]]))</f>
        <v/>
      </c>
      <c r="J1396" s="2" t="str">
        <f>IF(Iterations[[#This Row],[Step]] =current_step, current_d,IF(Iterations[[#This Row],[Step]] &gt; current_step, "",Iterations[[#This Row],[d]]))</f>
        <v/>
      </c>
      <c r="K1396" s="2" t="str">
        <f>IF(Iterations[[#This Row],[Step]] =current_step, current_e,IF(Iterations[[#This Row],[Step]] &gt; current_step, "",Iterations[[#This Row],[e]]))</f>
        <v/>
      </c>
      <c r="L1396" s="2" t="str">
        <f>IF(Iterations[[#This Row],[Step]] =current_step, current_Total_Loss,IF(Iterations[[#This Row],[Step]] &gt; current_step, "",Iterations[[#This Row],[Total Loss]]))</f>
        <v/>
      </c>
      <c r="M1396" s="6" t="s">
        <v>27</v>
      </c>
      <c r="N1396" s="2" t="str">
        <f>IF(Iterations[[#This Row],[Step]] =current_step, current_Grad_a,IF(Iterations[[#This Row],[Step]] &gt; current_step, "",Iterations[[#This Row],[Grad_a]]))</f>
        <v/>
      </c>
      <c r="O1396" s="2" t="str">
        <f>IF(Iterations[[#This Row],[Step]] =current_step, current_Grad_b,IF(Iterations[[#This Row],[Step]] &gt; current_step, "",Iterations[[#This Row],[Grad_b]]))</f>
        <v/>
      </c>
      <c r="P1396" s="2" t="str">
        <f>IF(Iterations[[#This Row],[Step]] =current_step, current_Grad_c,IF(Iterations[[#This Row],[Step]] &gt; current_step, "",Iterations[[#This Row],[Grad_c]]))</f>
        <v/>
      </c>
      <c r="Q1396" s="2" t="str">
        <f>IF(Iterations[[#This Row],[Step]] =current_step, current_Grad_d,IF(Iterations[[#This Row],[Step]] &gt; current_step, "",Iterations[[#This Row],[Grad_d]]))</f>
        <v/>
      </c>
      <c r="R1396" s="2" t="str">
        <f>IF(Iterations[[#This Row],[Step]] =current_step, current_Grad_e,IF(Iterations[[#This Row],[Step]] &gt; current_step, "",Iterations[[#This Row],[Grad_e]]))</f>
        <v/>
      </c>
    </row>
    <row r="1397" spans="6:18" x14ac:dyDescent="0.3">
      <c r="F1397" s="2">
        <f t="shared" si="26"/>
        <v>1380</v>
      </c>
      <c r="G1397" s="2" t="str">
        <f>IF(Iterations[[#This Row],[Step]] =current_step, current_a,IF(Iterations[[#This Row],[Step]] &gt; current_step, "",Iterations[[#This Row],[a]]))</f>
        <v/>
      </c>
      <c r="H1397" s="2" t="str">
        <f>IF(Iterations[[#This Row],[Step]] =current_step, current_b,IF(Iterations[[#This Row],[Step]] &gt; current_step, "",Iterations[[#This Row],[b]]))</f>
        <v/>
      </c>
      <c r="I1397" s="2" t="str">
        <f>IF(Iterations[[#This Row],[Step]] =current_step, current_c,IF(Iterations[[#This Row],[Step]] &gt; current_step, "",Iterations[[#This Row],[c]]))</f>
        <v/>
      </c>
      <c r="J1397" s="2" t="str">
        <f>IF(Iterations[[#This Row],[Step]] =current_step, current_d,IF(Iterations[[#This Row],[Step]] &gt; current_step, "",Iterations[[#This Row],[d]]))</f>
        <v/>
      </c>
      <c r="K1397" s="2" t="str">
        <f>IF(Iterations[[#This Row],[Step]] =current_step, current_e,IF(Iterations[[#This Row],[Step]] &gt; current_step, "",Iterations[[#This Row],[e]]))</f>
        <v/>
      </c>
      <c r="L1397" s="2" t="str">
        <f>IF(Iterations[[#This Row],[Step]] =current_step, current_Total_Loss,IF(Iterations[[#This Row],[Step]] &gt; current_step, "",Iterations[[#This Row],[Total Loss]]))</f>
        <v/>
      </c>
      <c r="M1397" s="6" t="s">
        <v>27</v>
      </c>
      <c r="N1397" s="2" t="str">
        <f>IF(Iterations[[#This Row],[Step]] =current_step, current_Grad_a,IF(Iterations[[#This Row],[Step]] &gt; current_step, "",Iterations[[#This Row],[Grad_a]]))</f>
        <v/>
      </c>
      <c r="O1397" s="2" t="str">
        <f>IF(Iterations[[#This Row],[Step]] =current_step, current_Grad_b,IF(Iterations[[#This Row],[Step]] &gt; current_step, "",Iterations[[#This Row],[Grad_b]]))</f>
        <v/>
      </c>
      <c r="P1397" s="2" t="str">
        <f>IF(Iterations[[#This Row],[Step]] =current_step, current_Grad_c,IF(Iterations[[#This Row],[Step]] &gt; current_step, "",Iterations[[#This Row],[Grad_c]]))</f>
        <v/>
      </c>
      <c r="Q1397" s="2" t="str">
        <f>IF(Iterations[[#This Row],[Step]] =current_step, current_Grad_d,IF(Iterations[[#This Row],[Step]] &gt; current_step, "",Iterations[[#This Row],[Grad_d]]))</f>
        <v/>
      </c>
      <c r="R1397" s="2" t="str">
        <f>IF(Iterations[[#This Row],[Step]] =current_step, current_Grad_e,IF(Iterations[[#This Row],[Step]] &gt; current_step, "",Iterations[[#This Row],[Grad_e]]))</f>
        <v/>
      </c>
    </row>
    <row r="1398" spans="6:18" x14ac:dyDescent="0.3">
      <c r="F1398" s="2">
        <f t="shared" si="26"/>
        <v>1381</v>
      </c>
      <c r="G1398" s="2" t="str">
        <f>IF(Iterations[[#This Row],[Step]] =current_step, current_a,IF(Iterations[[#This Row],[Step]] &gt; current_step, "",Iterations[[#This Row],[a]]))</f>
        <v/>
      </c>
      <c r="H1398" s="2" t="str">
        <f>IF(Iterations[[#This Row],[Step]] =current_step, current_b,IF(Iterations[[#This Row],[Step]] &gt; current_step, "",Iterations[[#This Row],[b]]))</f>
        <v/>
      </c>
      <c r="I1398" s="2" t="str">
        <f>IF(Iterations[[#This Row],[Step]] =current_step, current_c,IF(Iterations[[#This Row],[Step]] &gt; current_step, "",Iterations[[#This Row],[c]]))</f>
        <v/>
      </c>
      <c r="J1398" s="2" t="str">
        <f>IF(Iterations[[#This Row],[Step]] =current_step, current_d,IF(Iterations[[#This Row],[Step]] &gt; current_step, "",Iterations[[#This Row],[d]]))</f>
        <v/>
      </c>
      <c r="K1398" s="2" t="str">
        <f>IF(Iterations[[#This Row],[Step]] =current_step, current_e,IF(Iterations[[#This Row],[Step]] &gt; current_step, "",Iterations[[#This Row],[e]]))</f>
        <v/>
      </c>
      <c r="L1398" s="2" t="str">
        <f>IF(Iterations[[#This Row],[Step]] =current_step, current_Total_Loss,IF(Iterations[[#This Row],[Step]] &gt; current_step, "",Iterations[[#This Row],[Total Loss]]))</f>
        <v/>
      </c>
      <c r="M1398" s="6" t="s">
        <v>27</v>
      </c>
      <c r="N1398" s="2" t="str">
        <f>IF(Iterations[[#This Row],[Step]] =current_step, current_Grad_a,IF(Iterations[[#This Row],[Step]] &gt; current_step, "",Iterations[[#This Row],[Grad_a]]))</f>
        <v/>
      </c>
      <c r="O1398" s="2" t="str">
        <f>IF(Iterations[[#This Row],[Step]] =current_step, current_Grad_b,IF(Iterations[[#This Row],[Step]] &gt; current_step, "",Iterations[[#This Row],[Grad_b]]))</f>
        <v/>
      </c>
      <c r="P1398" s="2" t="str">
        <f>IF(Iterations[[#This Row],[Step]] =current_step, current_Grad_c,IF(Iterations[[#This Row],[Step]] &gt; current_step, "",Iterations[[#This Row],[Grad_c]]))</f>
        <v/>
      </c>
      <c r="Q1398" s="2" t="str">
        <f>IF(Iterations[[#This Row],[Step]] =current_step, current_Grad_d,IF(Iterations[[#This Row],[Step]] &gt; current_step, "",Iterations[[#This Row],[Grad_d]]))</f>
        <v/>
      </c>
      <c r="R1398" s="2" t="str">
        <f>IF(Iterations[[#This Row],[Step]] =current_step, current_Grad_e,IF(Iterations[[#This Row],[Step]] &gt; current_step, "",Iterations[[#This Row],[Grad_e]]))</f>
        <v/>
      </c>
    </row>
    <row r="1399" spans="6:18" x14ac:dyDescent="0.3">
      <c r="F1399" s="2">
        <f t="shared" si="26"/>
        <v>1382</v>
      </c>
      <c r="G1399" s="2" t="str">
        <f>IF(Iterations[[#This Row],[Step]] =current_step, current_a,IF(Iterations[[#This Row],[Step]] &gt; current_step, "",Iterations[[#This Row],[a]]))</f>
        <v/>
      </c>
      <c r="H1399" s="2" t="str">
        <f>IF(Iterations[[#This Row],[Step]] =current_step, current_b,IF(Iterations[[#This Row],[Step]] &gt; current_step, "",Iterations[[#This Row],[b]]))</f>
        <v/>
      </c>
      <c r="I1399" s="2" t="str">
        <f>IF(Iterations[[#This Row],[Step]] =current_step, current_c,IF(Iterations[[#This Row],[Step]] &gt; current_step, "",Iterations[[#This Row],[c]]))</f>
        <v/>
      </c>
      <c r="J1399" s="2" t="str">
        <f>IF(Iterations[[#This Row],[Step]] =current_step, current_d,IF(Iterations[[#This Row],[Step]] &gt; current_step, "",Iterations[[#This Row],[d]]))</f>
        <v/>
      </c>
      <c r="K1399" s="2" t="str">
        <f>IF(Iterations[[#This Row],[Step]] =current_step, current_e,IF(Iterations[[#This Row],[Step]] &gt; current_step, "",Iterations[[#This Row],[e]]))</f>
        <v/>
      </c>
      <c r="L1399" s="2" t="str">
        <f>IF(Iterations[[#This Row],[Step]] =current_step, current_Total_Loss,IF(Iterations[[#This Row],[Step]] &gt; current_step, "",Iterations[[#This Row],[Total Loss]]))</f>
        <v/>
      </c>
      <c r="M1399" s="6" t="s">
        <v>27</v>
      </c>
      <c r="N1399" s="2" t="str">
        <f>IF(Iterations[[#This Row],[Step]] =current_step, current_Grad_a,IF(Iterations[[#This Row],[Step]] &gt; current_step, "",Iterations[[#This Row],[Grad_a]]))</f>
        <v/>
      </c>
      <c r="O1399" s="2" t="str">
        <f>IF(Iterations[[#This Row],[Step]] =current_step, current_Grad_b,IF(Iterations[[#This Row],[Step]] &gt; current_step, "",Iterations[[#This Row],[Grad_b]]))</f>
        <v/>
      </c>
      <c r="P1399" s="2" t="str">
        <f>IF(Iterations[[#This Row],[Step]] =current_step, current_Grad_c,IF(Iterations[[#This Row],[Step]] &gt; current_step, "",Iterations[[#This Row],[Grad_c]]))</f>
        <v/>
      </c>
      <c r="Q1399" s="2" t="str">
        <f>IF(Iterations[[#This Row],[Step]] =current_step, current_Grad_d,IF(Iterations[[#This Row],[Step]] &gt; current_step, "",Iterations[[#This Row],[Grad_d]]))</f>
        <v/>
      </c>
      <c r="R1399" s="2" t="str">
        <f>IF(Iterations[[#This Row],[Step]] =current_step, current_Grad_e,IF(Iterations[[#This Row],[Step]] &gt; current_step, "",Iterations[[#This Row],[Grad_e]]))</f>
        <v/>
      </c>
    </row>
    <row r="1400" spans="6:18" x14ac:dyDescent="0.3">
      <c r="F1400" s="2">
        <f t="shared" ref="F1400:F1463" si="27">F1399+1</f>
        <v>1383</v>
      </c>
      <c r="G1400" s="2" t="str">
        <f>IF(Iterations[[#This Row],[Step]] =current_step, current_a,IF(Iterations[[#This Row],[Step]] &gt; current_step, "",Iterations[[#This Row],[a]]))</f>
        <v/>
      </c>
      <c r="H1400" s="2" t="str">
        <f>IF(Iterations[[#This Row],[Step]] =current_step, current_b,IF(Iterations[[#This Row],[Step]] &gt; current_step, "",Iterations[[#This Row],[b]]))</f>
        <v/>
      </c>
      <c r="I1400" s="2" t="str">
        <f>IF(Iterations[[#This Row],[Step]] =current_step, current_c,IF(Iterations[[#This Row],[Step]] &gt; current_step, "",Iterations[[#This Row],[c]]))</f>
        <v/>
      </c>
      <c r="J1400" s="2" t="str">
        <f>IF(Iterations[[#This Row],[Step]] =current_step, current_d,IF(Iterations[[#This Row],[Step]] &gt; current_step, "",Iterations[[#This Row],[d]]))</f>
        <v/>
      </c>
      <c r="K1400" s="2" t="str">
        <f>IF(Iterations[[#This Row],[Step]] =current_step, current_e,IF(Iterations[[#This Row],[Step]] &gt; current_step, "",Iterations[[#This Row],[e]]))</f>
        <v/>
      </c>
      <c r="L1400" s="2" t="str">
        <f>IF(Iterations[[#This Row],[Step]] =current_step, current_Total_Loss,IF(Iterations[[#This Row],[Step]] &gt; current_step, "",Iterations[[#This Row],[Total Loss]]))</f>
        <v/>
      </c>
      <c r="M1400" s="6" t="s">
        <v>27</v>
      </c>
      <c r="N1400" s="2" t="str">
        <f>IF(Iterations[[#This Row],[Step]] =current_step, current_Grad_a,IF(Iterations[[#This Row],[Step]] &gt; current_step, "",Iterations[[#This Row],[Grad_a]]))</f>
        <v/>
      </c>
      <c r="O1400" s="2" t="str">
        <f>IF(Iterations[[#This Row],[Step]] =current_step, current_Grad_b,IF(Iterations[[#This Row],[Step]] &gt; current_step, "",Iterations[[#This Row],[Grad_b]]))</f>
        <v/>
      </c>
      <c r="P1400" s="2" t="str">
        <f>IF(Iterations[[#This Row],[Step]] =current_step, current_Grad_c,IF(Iterations[[#This Row],[Step]] &gt; current_step, "",Iterations[[#This Row],[Grad_c]]))</f>
        <v/>
      </c>
      <c r="Q1400" s="2" t="str">
        <f>IF(Iterations[[#This Row],[Step]] =current_step, current_Grad_d,IF(Iterations[[#This Row],[Step]] &gt; current_step, "",Iterations[[#This Row],[Grad_d]]))</f>
        <v/>
      </c>
      <c r="R1400" s="2" t="str">
        <f>IF(Iterations[[#This Row],[Step]] =current_step, current_Grad_e,IF(Iterations[[#This Row],[Step]] &gt; current_step, "",Iterations[[#This Row],[Grad_e]]))</f>
        <v/>
      </c>
    </row>
    <row r="1401" spans="6:18" x14ac:dyDescent="0.3">
      <c r="F1401" s="2">
        <f t="shared" si="27"/>
        <v>1384</v>
      </c>
      <c r="G1401" s="2" t="str">
        <f>IF(Iterations[[#This Row],[Step]] =current_step, current_a,IF(Iterations[[#This Row],[Step]] &gt; current_step, "",Iterations[[#This Row],[a]]))</f>
        <v/>
      </c>
      <c r="H1401" s="2" t="str">
        <f>IF(Iterations[[#This Row],[Step]] =current_step, current_b,IF(Iterations[[#This Row],[Step]] &gt; current_step, "",Iterations[[#This Row],[b]]))</f>
        <v/>
      </c>
      <c r="I1401" s="2" t="str">
        <f>IF(Iterations[[#This Row],[Step]] =current_step, current_c,IF(Iterations[[#This Row],[Step]] &gt; current_step, "",Iterations[[#This Row],[c]]))</f>
        <v/>
      </c>
      <c r="J1401" s="2" t="str">
        <f>IF(Iterations[[#This Row],[Step]] =current_step, current_d,IF(Iterations[[#This Row],[Step]] &gt; current_step, "",Iterations[[#This Row],[d]]))</f>
        <v/>
      </c>
      <c r="K1401" s="2" t="str">
        <f>IF(Iterations[[#This Row],[Step]] =current_step, current_e,IF(Iterations[[#This Row],[Step]] &gt; current_step, "",Iterations[[#This Row],[e]]))</f>
        <v/>
      </c>
      <c r="L1401" s="2" t="str">
        <f>IF(Iterations[[#This Row],[Step]] =current_step, current_Total_Loss,IF(Iterations[[#This Row],[Step]] &gt; current_step, "",Iterations[[#This Row],[Total Loss]]))</f>
        <v/>
      </c>
      <c r="M1401" s="6" t="s">
        <v>27</v>
      </c>
      <c r="N1401" s="2" t="str">
        <f>IF(Iterations[[#This Row],[Step]] =current_step, current_Grad_a,IF(Iterations[[#This Row],[Step]] &gt; current_step, "",Iterations[[#This Row],[Grad_a]]))</f>
        <v/>
      </c>
      <c r="O1401" s="2" t="str">
        <f>IF(Iterations[[#This Row],[Step]] =current_step, current_Grad_b,IF(Iterations[[#This Row],[Step]] &gt; current_step, "",Iterations[[#This Row],[Grad_b]]))</f>
        <v/>
      </c>
      <c r="P1401" s="2" t="str">
        <f>IF(Iterations[[#This Row],[Step]] =current_step, current_Grad_c,IF(Iterations[[#This Row],[Step]] &gt; current_step, "",Iterations[[#This Row],[Grad_c]]))</f>
        <v/>
      </c>
      <c r="Q1401" s="2" t="str">
        <f>IF(Iterations[[#This Row],[Step]] =current_step, current_Grad_d,IF(Iterations[[#This Row],[Step]] &gt; current_step, "",Iterations[[#This Row],[Grad_d]]))</f>
        <v/>
      </c>
      <c r="R1401" s="2" t="str">
        <f>IF(Iterations[[#This Row],[Step]] =current_step, current_Grad_e,IF(Iterations[[#This Row],[Step]] &gt; current_step, "",Iterations[[#This Row],[Grad_e]]))</f>
        <v/>
      </c>
    </row>
    <row r="1402" spans="6:18" x14ac:dyDescent="0.3">
      <c r="F1402" s="2">
        <f t="shared" si="27"/>
        <v>1385</v>
      </c>
      <c r="G1402" s="2" t="str">
        <f>IF(Iterations[[#This Row],[Step]] =current_step, current_a,IF(Iterations[[#This Row],[Step]] &gt; current_step, "",Iterations[[#This Row],[a]]))</f>
        <v/>
      </c>
      <c r="H1402" s="2" t="str">
        <f>IF(Iterations[[#This Row],[Step]] =current_step, current_b,IF(Iterations[[#This Row],[Step]] &gt; current_step, "",Iterations[[#This Row],[b]]))</f>
        <v/>
      </c>
      <c r="I1402" s="2" t="str">
        <f>IF(Iterations[[#This Row],[Step]] =current_step, current_c,IF(Iterations[[#This Row],[Step]] &gt; current_step, "",Iterations[[#This Row],[c]]))</f>
        <v/>
      </c>
      <c r="J1402" s="2" t="str">
        <f>IF(Iterations[[#This Row],[Step]] =current_step, current_d,IF(Iterations[[#This Row],[Step]] &gt; current_step, "",Iterations[[#This Row],[d]]))</f>
        <v/>
      </c>
      <c r="K1402" s="2" t="str">
        <f>IF(Iterations[[#This Row],[Step]] =current_step, current_e,IF(Iterations[[#This Row],[Step]] &gt; current_step, "",Iterations[[#This Row],[e]]))</f>
        <v/>
      </c>
      <c r="L1402" s="2" t="str">
        <f>IF(Iterations[[#This Row],[Step]] =current_step, current_Total_Loss,IF(Iterations[[#This Row],[Step]] &gt; current_step, "",Iterations[[#This Row],[Total Loss]]))</f>
        <v/>
      </c>
      <c r="M1402" s="6" t="s">
        <v>27</v>
      </c>
      <c r="N1402" s="2" t="str">
        <f>IF(Iterations[[#This Row],[Step]] =current_step, current_Grad_a,IF(Iterations[[#This Row],[Step]] &gt; current_step, "",Iterations[[#This Row],[Grad_a]]))</f>
        <v/>
      </c>
      <c r="O1402" s="2" t="str">
        <f>IF(Iterations[[#This Row],[Step]] =current_step, current_Grad_b,IF(Iterations[[#This Row],[Step]] &gt; current_step, "",Iterations[[#This Row],[Grad_b]]))</f>
        <v/>
      </c>
      <c r="P1402" s="2" t="str">
        <f>IF(Iterations[[#This Row],[Step]] =current_step, current_Grad_c,IF(Iterations[[#This Row],[Step]] &gt; current_step, "",Iterations[[#This Row],[Grad_c]]))</f>
        <v/>
      </c>
      <c r="Q1402" s="2" t="str">
        <f>IF(Iterations[[#This Row],[Step]] =current_step, current_Grad_d,IF(Iterations[[#This Row],[Step]] &gt; current_step, "",Iterations[[#This Row],[Grad_d]]))</f>
        <v/>
      </c>
      <c r="R1402" s="2" t="str">
        <f>IF(Iterations[[#This Row],[Step]] =current_step, current_Grad_e,IF(Iterations[[#This Row],[Step]] &gt; current_step, "",Iterations[[#This Row],[Grad_e]]))</f>
        <v/>
      </c>
    </row>
    <row r="1403" spans="6:18" x14ac:dyDescent="0.3">
      <c r="F1403" s="2">
        <f t="shared" si="27"/>
        <v>1386</v>
      </c>
      <c r="G1403" s="2" t="str">
        <f>IF(Iterations[[#This Row],[Step]] =current_step, current_a,IF(Iterations[[#This Row],[Step]] &gt; current_step, "",Iterations[[#This Row],[a]]))</f>
        <v/>
      </c>
      <c r="H1403" s="2" t="str">
        <f>IF(Iterations[[#This Row],[Step]] =current_step, current_b,IF(Iterations[[#This Row],[Step]] &gt; current_step, "",Iterations[[#This Row],[b]]))</f>
        <v/>
      </c>
      <c r="I1403" s="2" t="str">
        <f>IF(Iterations[[#This Row],[Step]] =current_step, current_c,IF(Iterations[[#This Row],[Step]] &gt; current_step, "",Iterations[[#This Row],[c]]))</f>
        <v/>
      </c>
      <c r="J1403" s="2" t="str">
        <f>IF(Iterations[[#This Row],[Step]] =current_step, current_d,IF(Iterations[[#This Row],[Step]] &gt; current_step, "",Iterations[[#This Row],[d]]))</f>
        <v/>
      </c>
      <c r="K1403" s="2" t="str">
        <f>IF(Iterations[[#This Row],[Step]] =current_step, current_e,IF(Iterations[[#This Row],[Step]] &gt; current_step, "",Iterations[[#This Row],[e]]))</f>
        <v/>
      </c>
      <c r="L1403" s="2" t="str">
        <f>IF(Iterations[[#This Row],[Step]] =current_step, current_Total_Loss,IF(Iterations[[#This Row],[Step]] &gt; current_step, "",Iterations[[#This Row],[Total Loss]]))</f>
        <v/>
      </c>
      <c r="M1403" s="6" t="s">
        <v>27</v>
      </c>
      <c r="N1403" s="2" t="str">
        <f>IF(Iterations[[#This Row],[Step]] =current_step, current_Grad_a,IF(Iterations[[#This Row],[Step]] &gt; current_step, "",Iterations[[#This Row],[Grad_a]]))</f>
        <v/>
      </c>
      <c r="O1403" s="2" t="str">
        <f>IF(Iterations[[#This Row],[Step]] =current_step, current_Grad_b,IF(Iterations[[#This Row],[Step]] &gt; current_step, "",Iterations[[#This Row],[Grad_b]]))</f>
        <v/>
      </c>
      <c r="P1403" s="2" t="str">
        <f>IF(Iterations[[#This Row],[Step]] =current_step, current_Grad_c,IF(Iterations[[#This Row],[Step]] &gt; current_step, "",Iterations[[#This Row],[Grad_c]]))</f>
        <v/>
      </c>
      <c r="Q1403" s="2" t="str">
        <f>IF(Iterations[[#This Row],[Step]] =current_step, current_Grad_d,IF(Iterations[[#This Row],[Step]] &gt; current_step, "",Iterations[[#This Row],[Grad_d]]))</f>
        <v/>
      </c>
      <c r="R1403" s="2" t="str">
        <f>IF(Iterations[[#This Row],[Step]] =current_step, current_Grad_e,IF(Iterations[[#This Row],[Step]] &gt; current_step, "",Iterations[[#This Row],[Grad_e]]))</f>
        <v/>
      </c>
    </row>
    <row r="1404" spans="6:18" x14ac:dyDescent="0.3">
      <c r="F1404" s="2">
        <f t="shared" si="27"/>
        <v>1387</v>
      </c>
      <c r="G1404" s="2" t="str">
        <f>IF(Iterations[[#This Row],[Step]] =current_step, current_a,IF(Iterations[[#This Row],[Step]] &gt; current_step, "",Iterations[[#This Row],[a]]))</f>
        <v/>
      </c>
      <c r="H1404" s="2" t="str">
        <f>IF(Iterations[[#This Row],[Step]] =current_step, current_b,IF(Iterations[[#This Row],[Step]] &gt; current_step, "",Iterations[[#This Row],[b]]))</f>
        <v/>
      </c>
      <c r="I1404" s="2" t="str">
        <f>IF(Iterations[[#This Row],[Step]] =current_step, current_c,IF(Iterations[[#This Row],[Step]] &gt; current_step, "",Iterations[[#This Row],[c]]))</f>
        <v/>
      </c>
      <c r="J1404" s="2" t="str">
        <f>IF(Iterations[[#This Row],[Step]] =current_step, current_d,IF(Iterations[[#This Row],[Step]] &gt; current_step, "",Iterations[[#This Row],[d]]))</f>
        <v/>
      </c>
      <c r="K1404" s="2" t="str">
        <f>IF(Iterations[[#This Row],[Step]] =current_step, current_e,IF(Iterations[[#This Row],[Step]] &gt; current_step, "",Iterations[[#This Row],[e]]))</f>
        <v/>
      </c>
      <c r="L1404" s="2" t="str">
        <f>IF(Iterations[[#This Row],[Step]] =current_step, current_Total_Loss,IF(Iterations[[#This Row],[Step]] &gt; current_step, "",Iterations[[#This Row],[Total Loss]]))</f>
        <v/>
      </c>
      <c r="M1404" s="6" t="s">
        <v>27</v>
      </c>
      <c r="N1404" s="2" t="str">
        <f>IF(Iterations[[#This Row],[Step]] =current_step, current_Grad_a,IF(Iterations[[#This Row],[Step]] &gt; current_step, "",Iterations[[#This Row],[Grad_a]]))</f>
        <v/>
      </c>
      <c r="O1404" s="2" t="str">
        <f>IF(Iterations[[#This Row],[Step]] =current_step, current_Grad_b,IF(Iterations[[#This Row],[Step]] &gt; current_step, "",Iterations[[#This Row],[Grad_b]]))</f>
        <v/>
      </c>
      <c r="P1404" s="2" t="str">
        <f>IF(Iterations[[#This Row],[Step]] =current_step, current_Grad_c,IF(Iterations[[#This Row],[Step]] &gt; current_step, "",Iterations[[#This Row],[Grad_c]]))</f>
        <v/>
      </c>
      <c r="Q1404" s="2" t="str">
        <f>IF(Iterations[[#This Row],[Step]] =current_step, current_Grad_d,IF(Iterations[[#This Row],[Step]] &gt; current_step, "",Iterations[[#This Row],[Grad_d]]))</f>
        <v/>
      </c>
      <c r="R1404" s="2" t="str">
        <f>IF(Iterations[[#This Row],[Step]] =current_step, current_Grad_e,IF(Iterations[[#This Row],[Step]] &gt; current_step, "",Iterations[[#This Row],[Grad_e]]))</f>
        <v/>
      </c>
    </row>
    <row r="1405" spans="6:18" x14ac:dyDescent="0.3">
      <c r="F1405" s="2">
        <f t="shared" si="27"/>
        <v>1388</v>
      </c>
      <c r="G1405" s="2" t="str">
        <f>IF(Iterations[[#This Row],[Step]] =current_step, current_a,IF(Iterations[[#This Row],[Step]] &gt; current_step, "",Iterations[[#This Row],[a]]))</f>
        <v/>
      </c>
      <c r="H1405" s="2" t="str">
        <f>IF(Iterations[[#This Row],[Step]] =current_step, current_b,IF(Iterations[[#This Row],[Step]] &gt; current_step, "",Iterations[[#This Row],[b]]))</f>
        <v/>
      </c>
      <c r="I1405" s="2" t="str">
        <f>IF(Iterations[[#This Row],[Step]] =current_step, current_c,IF(Iterations[[#This Row],[Step]] &gt; current_step, "",Iterations[[#This Row],[c]]))</f>
        <v/>
      </c>
      <c r="J1405" s="2" t="str">
        <f>IF(Iterations[[#This Row],[Step]] =current_step, current_d,IF(Iterations[[#This Row],[Step]] &gt; current_step, "",Iterations[[#This Row],[d]]))</f>
        <v/>
      </c>
      <c r="K1405" s="2" t="str">
        <f>IF(Iterations[[#This Row],[Step]] =current_step, current_e,IF(Iterations[[#This Row],[Step]] &gt; current_step, "",Iterations[[#This Row],[e]]))</f>
        <v/>
      </c>
      <c r="L1405" s="2" t="str">
        <f>IF(Iterations[[#This Row],[Step]] =current_step, current_Total_Loss,IF(Iterations[[#This Row],[Step]] &gt; current_step, "",Iterations[[#This Row],[Total Loss]]))</f>
        <v/>
      </c>
      <c r="M1405" s="6" t="s">
        <v>27</v>
      </c>
      <c r="N1405" s="2" t="str">
        <f>IF(Iterations[[#This Row],[Step]] =current_step, current_Grad_a,IF(Iterations[[#This Row],[Step]] &gt; current_step, "",Iterations[[#This Row],[Grad_a]]))</f>
        <v/>
      </c>
      <c r="O1405" s="2" t="str">
        <f>IF(Iterations[[#This Row],[Step]] =current_step, current_Grad_b,IF(Iterations[[#This Row],[Step]] &gt; current_step, "",Iterations[[#This Row],[Grad_b]]))</f>
        <v/>
      </c>
      <c r="P1405" s="2" t="str">
        <f>IF(Iterations[[#This Row],[Step]] =current_step, current_Grad_c,IF(Iterations[[#This Row],[Step]] &gt; current_step, "",Iterations[[#This Row],[Grad_c]]))</f>
        <v/>
      </c>
      <c r="Q1405" s="2" t="str">
        <f>IF(Iterations[[#This Row],[Step]] =current_step, current_Grad_d,IF(Iterations[[#This Row],[Step]] &gt; current_step, "",Iterations[[#This Row],[Grad_d]]))</f>
        <v/>
      </c>
      <c r="R1405" s="2" t="str">
        <f>IF(Iterations[[#This Row],[Step]] =current_step, current_Grad_e,IF(Iterations[[#This Row],[Step]] &gt; current_step, "",Iterations[[#This Row],[Grad_e]]))</f>
        <v/>
      </c>
    </row>
    <row r="1406" spans="6:18" x14ac:dyDescent="0.3">
      <c r="F1406" s="2">
        <f t="shared" si="27"/>
        <v>1389</v>
      </c>
      <c r="G1406" s="2" t="str">
        <f>IF(Iterations[[#This Row],[Step]] =current_step, current_a,IF(Iterations[[#This Row],[Step]] &gt; current_step, "",Iterations[[#This Row],[a]]))</f>
        <v/>
      </c>
      <c r="H1406" s="2" t="str">
        <f>IF(Iterations[[#This Row],[Step]] =current_step, current_b,IF(Iterations[[#This Row],[Step]] &gt; current_step, "",Iterations[[#This Row],[b]]))</f>
        <v/>
      </c>
      <c r="I1406" s="2" t="str">
        <f>IF(Iterations[[#This Row],[Step]] =current_step, current_c,IF(Iterations[[#This Row],[Step]] &gt; current_step, "",Iterations[[#This Row],[c]]))</f>
        <v/>
      </c>
      <c r="J1406" s="2" t="str">
        <f>IF(Iterations[[#This Row],[Step]] =current_step, current_d,IF(Iterations[[#This Row],[Step]] &gt; current_step, "",Iterations[[#This Row],[d]]))</f>
        <v/>
      </c>
      <c r="K1406" s="2" t="str">
        <f>IF(Iterations[[#This Row],[Step]] =current_step, current_e,IF(Iterations[[#This Row],[Step]] &gt; current_step, "",Iterations[[#This Row],[e]]))</f>
        <v/>
      </c>
      <c r="L1406" s="2" t="str">
        <f>IF(Iterations[[#This Row],[Step]] =current_step, current_Total_Loss,IF(Iterations[[#This Row],[Step]] &gt; current_step, "",Iterations[[#This Row],[Total Loss]]))</f>
        <v/>
      </c>
      <c r="M1406" s="6" t="s">
        <v>27</v>
      </c>
      <c r="N1406" s="2" t="str">
        <f>IF(Iterations[[#This Row],[Step]] =current_step, current_Grad_a,IF(Iterations[[#This Row],[Step]] &gt; current_step, "",Iterations[[#This Row],[Grad_a]]))</f>
        <v/>
      </c>
      <c r="O1406" s="2" t="str">
        <f>IF(Iterations[[#This Row],[Step]] =current_step, current_Grad_b,IF(Iterations[[#This Row],[Step]] &gt; current_step, "",Iterations[[#This Row],[Grad_b]]))</f>
        <v/>
      </c>
      <c r="P1406" s="2" t="str">
        <f>IF(Iterations[[#This Row],[Step]] =current_step, current_Grad_c,IF(Iterations[[#This Row],[Step]] &gt; current_step, "",Iterations[[#This Row],[Grad_c]]))</f>
        <v/>
      </c>
      <c r="Q1406" s="2" t="str">
        <f>IF(Iterations[[#This Row],[Step]] =current_step, current_Grad_d,IF(Iterations[[#This Row],[Step]] &gt; current_step, "",Iterations[[#This Row],[Grad_d]]))</f>
        <v/>
      </c>
      <c r="R1406" s="2" t="str">
        <f>IF(Iterations[[#This Row],[Step]] =current_step, current_Grad_e,IF(Iterations[[#This Row],[Step]] &gt; current_step, "",Iterations[[#This Row],[Grad_e]]))</f>
        <v/>
      </c>
    </row>
    <row r="1407" spans="6:18" x14ac:dyDescent="0.3">
      <c r="F1407" s="2">
        <f t="shared" si="27"/>
        <v>1390</v>
      </c>
      <c r="G1407" s="2" t="str">
        <f>IF(Iterations[[#This Row],[Step]] =current_step, current_a,IF(Iterations[[#This Row],[Step]] &gt; current_step, "",Iterations[[#This Row],[a]]))</f>
        <v/>
      </c>
      <c r="H1407" s="2" t="str">
        <f>IF(Iterations[[#This Row],[Step]] =current_step, current_b,IF(Iterations[[#This Row],[Step]] &gt; current_step, "",Iterations[[#This Row],[b]]))</f>
        <v/>
      </c>
      <c r="I1407" s="2" t="str">
        <f>IF(Iterations[[#This Row],[Step]] =current_step, current_c,IF(Iterations[[#This Row],[Step]] &gt; current_step, "",Iterations[[#This Row],[c]]))</f>
        <v/>
      </c>
      <c r="J1407" s="2" t="str">
        <f>IF(Iterations[[#This Row],[Step]] =current_step, current_d,IF(Iterations[[#This Row],[Step]] &gt; current_step, "",Iterations[[#This Row],[d]]))</f>
        <v/>
      </c>
      <c r="K1407" s="2" t="str">
        <f>IF(Iterations[[#This Row],[Step]] =current_step, current_e,IF(Iterations[[#This Row],[Step]] &gt; current_step, "",Iterations[[#This Row],[e]]))</f>
        <v/>
      </c>
      <c r="L1407" s="2" t="str">
        <f>IF(Iterations[[#This Row],[Step]] =current_step, current_Total_Loss,IF(Iterations[[#This Row],[Step]] &gt; current_step, "",Iterations[[#This Row],[Total Loss]]))</f>
        <v/>
      </c>
      <c r="M1407" s="6" t="s">
        <v>27</v>
      </c>
      <c r="N1407" s="2" t="str">
        <f>IF(Iterations[[#This Row],[Step]] =current_step, current_Grad_a,IF(Iterations[[#This Row],[Step]] &gt; current_step, "",Iterations[[#This Row],[Grad_a]]))</f>
        <v/>
      </c>
      <c r="O1407" s="2" t="str">
        <f>IF(Iterations[[#This Row],[Step]] =current_step, current_Grad_b,IF(Iterations[[#This Row],[Step]] &gt; current_step, "",Iterations[[#This Row],[Grad_b]]))</f>
        <v/>
      </c>
      <c r="P1407" s="2" t="str">
        <f>IF(Iterations[[#This Row],[Step]] =current_step, current_Grad_c,IF(Iterations[[#This Row],[Step]] &gt; current_step, "",Iterations[[#This Row],[Grad_c]]))</f>
        <v/>
      </c>
      <c r="Q1407" s="2" t="str">
        <f>IF(Iterations[[#This Row],[Step]] =current_step, current_Grad_d,IF(Iterations[[#This Row],[Step]] &gt; current_step, "",Iterations[[#This Row],[Grad_d]]))</f>
        <v/>
      </c>
      <c r="R1407" s="2" t="str">
        <f>IF(Iterations[[#This Row],[Step]] =current_step, current_Grad_e,IF(Iterations[[#This Row],[Step]] &gt; current_step, "",Iterations[[#This Row],[Grad_e]]))</f>
        <v/>
      </c>
    </row>
    <row r="1408" spans="6:18" x14ac:dyDescent="0.3">
      <c r="F1408" s="2">
        <f t="shared" si="27"/>
        <v>1391</v>
      </c>
      <c r="G1408" s="2" t="str">
        <f>IF(Iterations[[#This Row],[Step]] =current_step, current_a,IF(Iterations[[#This Row],[Step]] &gt; current_step, "",Iterations[[#This Row],[a]]))</f>
        <v/>
      </c>
      <c r="H1408" s="2" t="str">
        <f>IF(Iterations[[#This Row],[Step]] =current_step, current_b,IF(Iterations[[#This Row],[Step]] &gt; current_step, "",Iterations[[#This Row],[b]]))</f>
        <v/>
      </c>
      <c r="I1408" s="2" t="str">
        <f>IF(Iterations[[#This Row],[Step]] =current_step, current_c,IF(Iterations[[#This Row],[Step]] &gt; current_step, "",Iterations[[#This Row],[c]]))</f>
        <v/>
      </c>
      <c r="J1408" s="2" t="str">
        <f>IF(Iterations[[#This Row],[Step]] =current_step, current_d,IF(Iterations[[#This Row],[Step]] &gt; current_step, "",Iterations[[#This Row],[d]]))</f>
        <v/>
      </c>
      <c r="K1408" s="2" t="str">
        <f>IF(Iterations[[#This Row],[Step]] =current_step, current_e,IF(Iterations[[#This Row],[Step]] &gt; current_step, "",Iterations[[#This Row],[e]]))</f>
        <v/>
      </c>
      <c r="L1408" s="2" t="str">
        <f>IF(Iterations[[#This Row],[Step]] =current_step, current_Total_Loss,IF(Iterations[[#This Row],[Step]] &gt; current_step, "",Iterations[[#This Row],[Total Loss]]))</f>
        <v/>
      </c>
      <c r="M1408" s="6" t="s">
        <v>27</v>
      </c>
      <c r="N1408" s="2" t="str">
        <f>IF(Iterations[[#This Row],[Step]] =current_step, current_Grad_a,IF(Iterations[[#This Row],[Step]] &gt; current_step, "",Iterations[[#This Row],[Grad_a]]))</f>
        <v/>
      </c>
      <c r="O1408" s="2" t="str">
        <f>IF(Iterations[[#This Row],[Step]] =current_step, current_Grad_b,IF(Iterations[[#This Row],[Step]] &gt; current_step, "",Iterations[[#This Row],[Grad_b]]))</f>
        <v/>
      </c>
      <c r="P1408" s="2" t="str">
        <f>IF(Iterations[[#This Row],[Step]] =current_step, current_Grad_c,IF(Iterations[[#This Row],[Step]] &gt; current_step, "",Iterations[[#This Row],[Grad_c]]))</f>
        <v/>
      </c>
      <c r="Q1408" s="2" t="str">
        <f>IF(Iterations[[#This Row],[Step]] =current_step, current_Grad_d,IF(Iterations[[#This Row],[Step]] &gt; current_step, "",Iterations[[#This Row],[Grad_d]]))</f>
        <v/>
      </c>
      <c r="R1408" s="2" t="str">
        <f>IF(Iterations[[#This Row],[Step]] =current_step, current_Grad_e,IF(Iterations[[#This Row],[Step]] &gt; current_step, "",Iterations[[#This Row],[Grad_e]]))</f>
        <v/>
      </c>
    </row>
    <row r="1409" spans="6:18" x14ac:dyDescent="0.3">
      <c r="F1409" s="2">
        <f t="shared" si="27"/>
        <v>1392</v>
      </c>
      <c r="G1409" s="2" t="str">
        <f>IF(Iterations[[#This Row],[Step]] =current_step, current_a,IF(Iterations[[#This Row],[Step]] &gt; current_step, "",Iterations[[#This Row],[a]]))</f>
        <v/>
      </c>
      <c r="H1409" s="2" t="str">
        <f>IF(Iterations[[#This Row],[Step]] =current_step, current_b,IF(Iterations[[#This Row],[Step]] &gt; current_step, "",Iterations[[#This Row],[b]]))</f>
        <v/>
      </c>
      <c r="I1409" s="2" t="str">
        <f>IF(Iterations[[#This Row],[Step]] =current_step, current_c,IF(Iterations[[#This Row],[Step]] &gt; current_step, "",Iterations[[#This Row],[c]]))</f>
        <v/>
      </c>
      <c r="J1409" s="2" t="str">
        <f>IF(Iterations[[#This Row],[Step]] =current_step, current_d,IF(Iterations[[#This Row],[Step]] &gt; current_step, "",Iterations[[#This Row],[d]]))</f>
        <v/>
      </c>
      <c r="K1409" s="2" t="str">
        <f>IF(Iterations[[#This Row],[Step]] =current_step, current_e,IF(Iterations[[#This Row],[Step]] &gt; current_step, "",Iterations[[#This Row],[e]]))</f>
        <v/>
      </c>
      <c r="L1409" s="2" t="str">
        <f>IF(Iterations[[#This Row],[Step]] =current_step, current_Total_Loss,IF(Iterations[[#This Row],[Step]] &gt; current_step, "",Iterations[[#This Row],[Total Loss]]))</f>
        <v/>
      </c>
      <c r="M1409" s="6" t="s">
        <v>27</v>
      </c>
      <c r="N1409" s="2" t="str">
        <f>IF(Iterations[[#This Row],[Step]] =current_step, current_Grad_a,IF(Iterations[[#This Row],[Step]] &gt; current_step, "",Iterations[[#This Row],[Grad_a]]))</f>
        <v/>
      </c>
      <c r="O1409" s="2" t="str">
        <f>IF(Iterations[[#This Row],[Step]] =current_step, current_Grad_b,IF(Iterations[[#This Row],[Step]] &gt; current_step, "",Iterations[[#This Row],[Grad_b]]))</f>
        <v/>
      </c>
      <c r="P1409" s="2" t="str">
        <f>IF(Iterations[[#This Row],[Step]] =current_step, current_Grad_c,IF(Iterations[[#This Row],[Step]] &gt; current_step, "",Iterations[[#This Row],[Grad_c]]))</f>
        <v/>
      </c>
      <c r="Q1409" s="2" t="str">
        <f>IF(Iterations[[#This Row],[Step]] =current_step, current_Grad_d,IF(Iterations[[#This Row],[Step]] &gt; current_step, "",Iterations[[#This Row],[Grad_d]]))</f>
        <v/>
      </c>
      <c r="R1409" s="2" t="str">
        <f>IF(Iterations[[#This Row],[Step]] =current_step, current_Grad_e,IF(Iterations[[#This Row],[Step]] &gt; current_step, "",Iterations[[#This Row],[Grad_e]]))</f>
        <v/>
      </c>
    </row>
    <row r="1410" spans="6:18" x14ac:dyDescent="0.3">
      <c r="F1410" s="2">
        <f t="shared" si="27"/>
        <v>1393</v>
      </c>
      <c r="G1410" s="2" t="str">
        <f>IF(Iterations[[#This Row],[Step]] =current_step, current_a,IF(Iterations[[#This Row],[Step]] &gt; current_step, "",Iterations[[#This Row],[a]]))</f>
        <v/>
      </c>
      <c r="H1410" s="2" t="str">
        <f>IF(Iterations[[#This Row],[Step]] =current_step, current_b,IF(Iterations[[#This Row],[Step]] &gt; current_step, "",Iterations[[#This Row],[b]]))</f>
        <v/>
      </c>
      <c r="I1410" s="2" t="str">
        <f>IF(Iterations[[#This Row],[Step]] =current_step, current_c,IF(Iterations[[#This Row],[Step]] &gt; current_step, "",Iterations[[#This Row],[c]]))</f>
        <v/>
      </c>
      <c r="J1410" s="2" t="str">
        <f>IF(Iterations[[#This Row],[Step]] =current_step, current_d,IF(Iterations[[#This Row],[Step]] &gt; current_step, "",Iterations[[#This Row],[d]]))</f>
        <v/>
      </c>
      <c r="K1410" s="2" t="str">
        <f>IF(Iterations[[#This Row],[Step]] =current_step, current_e,IF(Iterations[[#This Row],[Step]] &gt; current_step, "",Iterations[[#This Row],[e]]))</f>
        <v/>
      </c>
      <c r="L1410" s="2" t="str">
        <f>IF(Iterations[[#This Row],[Step]] =current_step, current_Total_Loss,IF(Iterations[[#This Row],[Step]] &gt; current_step, "",Iterations[[#This Row],[Total Loss]]))</f>
        <v/>
      </c>
      <c r="M1410" s="6" t="s">
        <v>27</v>
      </c>
      <c r="N1410" s="2" t="str">
        <f>IF(Iterations[[#This Row],[Step]] =current_step, current_Grad_a,IF(Iterations[[#This Row],[Step]] &gt; current_step, "",Iterations[[#This Row],[Grad_a]]))</f>
        <v/>
      </c>
      <c r="O1410" s="2" t="str">
        <f>IF(Iterations[[#This Row],[Step]] =current_step, current_Grad_b,IF(Iterations[[#This Row],[Step]] &gt; current_step, "",Iterations[[#This Row],[Grad_b]]))</f>
        <v/>
      </c>
      <c r="P1410" s="2" t="str">
        <f>IF(Iterations[[#This Row],[Step]] =current_step, current_Grad_c,IF(Iterations[[#This Row],[Step]] &gt; current_step, "",Iterations[[#This Row],[Grad_c]]))</f>
        <v/>
      </c>
      <c r="Q1410" s="2" t="str">
        <f>IF(Iterations[[#This Row],[Step]] =current_step, current_Grad_d,IF(Iterations[[#This Row],[Step]] &gt; current_step, "",Iterations[[#This Row],[Grad_d]]))</f>
        <v/>
      </c>
      <c r="R1410" s="2" t="str">
        <f>IF(Iterations[[#This Row],[Step]] =current_step, current_Grad_e,IF(Iterations[[#This Row],[Step]] &gt; current_step, "",Iterations[[#This Row],[Grad_e]]))</f>
        <v/>
      </c>
    </row>
    <row r="1411" spans="6:18" x14ac:dyDescent="0.3">
      <c r="F1411" s="2">
        <f t="shared" si="27"/>
        <v>1394</v>
      </c>
      <c r="G1411" s="2" t="str">
        <f>IF(Iterations[[#This Row],[Step]] =current_step, current_a,IF(Iterations[[#This Row],[Step]] &gt; current_step, "",Iterations[[#This Row],[a]]))</f>
        <v/>
      </c>
      <c r="H1411" s="2" t="str">
        <f>IF(Iterations[[#This Row],[Step]] =current_step, current_b,IF(Iterations[[#This Row],[Step]] &gt; current_step, "",Iterations[[#This Row],[b]]))</f>
        <v/>
      </c>
      <c r="I1411" s="2" t="str">
        <f>IF(Iterations[[#This Row],[Step]] =current_step, current_c,IF(Iterations[[#This Row],[Step]] &gt; current_step, "",Iterations[[#This Row],[c]]))</f>
        <v/>
      </c>
      <c r="J1411" s="2" t="str">
        <f>IF(Iterations[[#This Row],[Step]] =current_step, current_d,IF(Iterations[[#This Row],[Step]] &gt; current_step, "",Iterations[[#This Row],[d]]))</f>
        <v/>
      </c>
      <c r="K1411" s="2" t="str">
        <f>IF(Iterations[[#This Row],[Step]] =current_step, current_e,IF(Iterations[[#This Row],[Step]] &gt; current_step, "",Iterations[[#This Row],[e]]))</f>
        <v/>
      </c>
      <c r="L1411" s="2" t="str">
        <f>IF(Iterations[[#This Row],[Step]] =current_step, current_Total_Loss,IF(Iterations[[#This Row],[Step]] &gt; current_step, "",Iterations[[#This Row],[Total Loss]]))</f>
        <v/>
      </c>
      <c r="M1411" s="6" t="s">
        <v>27</v>
      </c>
      <c r="N1411" s="2" t="str">
        <f>IF(Iterations[[#This Row],[Step]] =current_step, current_Grad_a,IF(Iterations[[#This Row],[Step]] &gt; current_step, "",Iterations[[#This Row],[Grad_a]]))</f>
        <v/>
      </c>
      <c r="O1411" s="2" t="str">
        <f>IF(Iterations[[#This Row],[Step]] =current_step, current_Grad_b,IF(Iterations[[#This Row],[Step]] &gt; current_step, "",Iterations[[#This Row],[Grad_b]]))</f>
        <v/>
      </c>
      <c r="P1411" s="2" t="str">
        <f>IF(Iterations[[#This Row],[Step]] =current_step, current_Grad_c,IF(Iterations[[#This Row],[Step]] &gt; current_step, "",Iterations[[#This Row],[Grad_c]]))</f>
        <v/>
      </c>
      <c r="Q1411" s="2" t="str">
        <f>IF(Iterations[[#This Row],[Step]] =current_step, current_Grad_d,IF(Iterations[[#This Row],[Step]] &gt; current_step, "",Iterations[[#This Row],[Grad_d]]))</f>
        <v/>
      </c>
      <c r="R1411" s="2" t="str">
        <f>IF(Iterations[[#This Row],[Step]] =current_step, current_Grad_e,IF(Iterations[[#This Row],[Step]] &gt; current_step, "",Iterations[[#This Row],[Grad_e]]))</f>
        <v/>
      </c>
    </row>
    <row r="1412" spans="6:18" x14ac:dyDescent="0.3">
      <c r="F1412" s="2">
        <f t="shared" si="27"/>
        <v>1395</v>
      </c>
      <c r="G1412" s="2" t="str">
        <f>IF(Iterations[[#This Row],[Step]] =current_step, current_a,IF(Iterations[[#This Row],[Step]] &gt; current_step, "",Iterations[[#This Row],[a]]))</f>
        <v/>
      </c>
      <c r="H1412" s="2" t="str">
        <f>IF(Iterations[[#This Row],[Step]] =current_step, current_b,IF(Iterations[[#This Row],[Step]] &gt; current_step, "",Iterations[[#This Row],[b]]))</f>
        <v/>
      </c>
      <c r="I1412" s="2" t="str">
        <f>IF(Iterations[[#This Row],[Step]] =current_step, current_c,IF(Iterations[[#This Row],[Step]] &gt; current_step, "",Iterations[[#This Row],[c]]))</f>
        <v/>
      </c>
      <c r="J1412" s="2" t="str">
        <f>IF(Iterations[[#This Row],[Step]] =current_step, current_d,IF(Iterations[[#This Row],[Step]] &gt; current_step, "",Iterations[[#This Row],[d]]))</f>
        <v/>
      </c>
      <c r="K1412" s="2" t="str">
        <f>IF(Iterations[[#This Row],[Step]] =current_step, current_e,IF(Iterations[[#This Row],[Step]] &gt; current_step, "",Iterations[[#This Row],[e]]))</f>
        <v/>
      </c>
      <c r="L1412" s="2" t="str">
        <f>IF(Iterations[[#This Row],[Step]] =current_step, current_Total_Loss,IF(Iterations[[#This Row],[Step]] &gt; current_step, "",Iterations[[#This Row],[Total Loss]]))</f>
        <v/>
      </c>
      <c r="M1412" s="6" t="s">
        <v>27</v>
      </c>
      <c r="N1412" s="2" t="str">
        <f>IF(Iterations[[#This Row],[Step]] =current_step, current_Grad_a,IF(Iterations[[#This Row],[Step]] &gt; current_step, "",Iterations[[#This Row],[Grad_a]]))</f>
        <v/>
      </c>
      <c r="O1412" s="2" t="str">
        <f>IF(Iterations[[#This Row],[Step]] =current_step, current_Grad_b,IF(Iterations[[#This Row],[Step]] &gt; current_step, "",Iterations[[#This Row],[Grad_b]]))</f>
        <v/>
      </c>
      <c r="P1412" s="2" t="str">
        <f>IF(Iterations[[#This Row],[Step]] =current_step, current_Grad_c,IF(Iterations[[#This Row],[Step]] &gt; current_step, "",Iterations[[#This Row],[Grad_c]]))</f>
        <v/>
      </c>
      <c r="Q1412" s="2" t="str">
        <f>IF(Iterations[[#This Row],[Step]] =current_step, current_Grad_d,IF(Iterations[[#This Row],[Step]] &gt; current_step, "",Iterations[[#This Row],[Grad_d]]))</f>
        <v/>
      </c>
      <c r="R1412" s="2" t="str">
        <f>IF(Iterations[[#This Row],[Step]] =current_step, current_Grad_e,IF(Iterations[[#This Row],[Step]] &gt; current_step, "",Iterations[[#This Row],[Grad_e]]))</f>
        <v/>
      </c>
    </row>
    <row r="1413" spans="6:18" x14ac:dyDescent="0.3">
      <c r="F1413" s="2">
        <f t="shared" si="27"/>
        <v>1396</v>
      </c>
      <c r="G1413" s="2" t="str">
        <f>IF(Iterations[[#This Row],[Step]] =current_step, current_a,IF(Iterations[[#This Row],[Step]] &gt; current_step, "",Iterations[[#This Row],[a]]))</f>
        <v/>
      </c>
      <c r="H1413" s="2" t="str">
        <f>IF(Iterations[[#This Row],[Step]] =current_step, current_b,IF(Iterations[[#This Row],[Step]] &gt; current_step, "",Iterations[[#This Row],[b]]))</f>
        <v/>
      </c>
      <c r="I1413" s="2" t="str">
        <f>IF(Iterations[[#This Row],[Step]] =current_step, current_c,IF(Iterations[[#This Row],[Step]] &gt; current_step, "",Iterations[[#This Row],[c]]))</f>
        <v/>
      </c>
      <c r="J1413" s="2" t="str">
        <f>IF(Iterations[[#This Row],[Step]] =current_step, current_d,IF(Iterations[[#This Row],[Step]] &gt; current_step, "",Iterations[[#This Row],[d]]))</f>
        <v/>
      </c>
      <c r="K1413" s="2" t="str">
        <f>IF(Iterations[[#This Row],[Step]] =current_step, current_e,IF(Iterations[[#This Row],[Step]] &gt; current_step, "",Iterations[[#This Row],[e]]))</f>
        <v/>
      </c>
      <c r="L1413" s="2" t="str">
        <f>IF(Iterations[[#This Row],[Step]] =current_step, current_Total_Loss,IF(Iterations[[#This Row],[Step]] &gt; current_step, "",Iterations[[#This Row],[Total Loss]]))</f>
        <v/>
      </c>
      <c r="M1413" s="6" t="s">
        <v>27</v>
      </c>
      <c r="N1413" s="2" t="str">
        <f>IF(Iterations[[#This Row],[Step]] =current_step, current_Grad_a,IF(Iterations[[#This Row],[Step]] &gt; current_step, "",Iterations[[#This Row],[Grad_a]]))</f>
        <v/>
      </c>
      <c r="O1413" s="2" t="str">
        <f>IF(Iterations[[#This Row],[Step]] =current_step, current_Grad_b,IF(Iterations[[#This Row],[Step]] &gt; current_step, "",Iterations[[#This Row],[Grad_b]]))</f>
        <v/>
      </c>
      <c r="P1413" s="2" t="str">
        <f>IF(Iterations[[#This Row],[Step]] =current_step, current_Grad_c,IF(Iterations[[#This Row],[Step]] &gt; current_step, "",Iterations[[#This Row],[Grad_c]]))</f>
        <v/>
      </c>
      <c r="Q1413" s="2" t="str">
        <f>IF(Iterations[[#This Row],[Step]] =current_step, current_Grad_d,IF(Iterations[[#This Row],[Step]] &gt; current_step, "",Iterations[[#This Row],[Grad_d]]))</f>
        <v/>
      </c>
      <c r="R1413" s="2" t="str">
        <f>IF(Iterations[[#This Row],[Step]] =current_step, current_Grad_e,IF(Iterations[[#This Row],[Step]] &gt; current_step, "",Iterations[[#This Row],[Grad_e]]))</f>
        <v/>
      </c>
    </row>
    <row r="1414" spans="6:18" x14ac:dyDescent="0.3">
      <c r="F1414" s="2">
        <f t="shared" si="27"/>
        <v>1397</v>
      </c>
      <c r="G1414" s="2" t="str">
        <f>IF(Iterations[[#This Row],[Step]] =current_step, current_a,IF(Iterations[[#This Row],[Step]] &gt; current_step, "",Iterations[[#This Row],[a]]))</f>
        <v/>
      </c>
      <c r="H1414" s="2" t="str">
        <f>IF(Iterations[[#This Row],[Step]] =current_step, current_b,IF(Iterations[[#This Row],[Step]] &gt; current_step, "",Iterations[[#This Row],[b]]))</f>
        <v/>
      </c>
      <c r="I1414" s="2" t="str">
        <f>IF(Iterations[[#This Row],[Step]] =current_step, current_c,IF(Iterations[[#This Row],[Step]] &gt; current_step, "",Iterations[[#This Row],[c]]))</f>
        <v/>
      </c>
      <c r="J1414" s="2" t="str">
        <f>IF(Iterations[[#This Row],[Step]] =current_step, current_d,IF(Iterations[[#This Row],[Step]] &gt; current_step, "",Iterations[[#This Row],[d]]))</f>
        <v/>
      </c>
      <c r="K1414" s="2" t="str">
        <f>IF(Iterations[[#This Row],[Step]] =current_step, current_e,IF(Iterations[[#This Row],[Step]] &gt; current_step, "",Iterations[[#This Row],[e]]))</f>
        <v/>
      </c>
      <c r="L1414" s="2" t="str">
        <f>IF(Iterations[[#This Row],[Step]] =current_step, current_Total_Loss,IF(Iterations[[#This Row],[Step]] &gt; current_step, "",Iterations[[#This Row],[Total Loss]]))</f>
        <v/>
      </c>
      <c r="M1414" s="6" t="s">
        <v>27</v>
      </c>
      <c r="N1414" s="2" t="str">
        <f>IF(Iterations[[#This Row],[Step]] =current_step, current_Grad_a,IF(Iterations[[#This Row],[Step]] &gt; current_step, "",Iterations[[#This Row],[Grad_a]]))</f>
        <v/>
      </c>
      <c r="O1414" s="2" t="str">
        <f>IF(Iterations[[#This Row],[Step]] =current_step, current_Grad_b,IF(Iterations[[#This Row],[Step]] &gt; current_step, "",Iterations[[#This Row],[Grad_b]]))</f>
        <v/>
      </c>
      <c r="P1414" s="2" t="str">
        <f>IF(Iterations[[#This Row],[Step]] =current_step, current_Grad_c,IF(Iterations[[#This Row],[Step]] &gt; current_step, "",Iterations[[#This Row],[Grad_c]]))</f>
        <v/>
      </c>
      <c r="Q1414" s="2" t="str">
        <f>IF(Iterations[[#This Row],[Step]] =current_step, current_Grad_d,IF(Iterations[[#This Row],[Step]] &gt; current_step, "",Iterations[[#This Row],[Grad_d]]))</f>
        <v/>
      </c>
      <c r="R1414" s="2" t="str">
        <f>IF(Iterations[[#This Row],[Step]] =current_step, current_Grad_e,IF(Iterations[[#This Row],[Step]] &gt; current_step, "",Iterations[[#This Row],[Grad_e]]))</f>
        <v/>
      </c>
    </row>
    <row r="1415" spans="6:18" x14ac:dyDescent="0.3">
      <c r="F1415" s="2">
        <f t="shared" si="27"/>
        <v>1398</v>
      </c>
      <c r="G1415" s="2" t="str">
        <f>IF(Iterations[[#This Row],[Step]] =current_step, current_a,IF(Iterations[[#This Row],[Step]] &gt; current_step, "",Iterations[[#This Row],[a]]))</f>
        <v/>
      </c>
      <c r="H1415" s="2" t="str">
        <f>IF(Iterations[[#This Row],[Step]] =current_step, current_b,IF(Iterations[[#This Row],[Step]] &gt; current_step, "",Iterations[[#This Row],[b]]))</f>
        <v/>
      </c>
      <c r="I1415" s="2" t="str">
        <f>IF(Iterations[[#This Row],[Step]] =current_step, current_c,IF(Iterations[[#This Row],[Step]] &gt; current_step, "",Iterations[[#This Row],[c]]))</f>
        <v/>
      </c>
      <c r="J1415" s="2" t="str">
        <f>IF(Iterations[[#This Row],[Step]] =current_step, current_d,IF(Iterations[[#This Row],[Step]] &gt; current_step, "",Iterations[[#This Row],[d]]))</f>
        <v/>
      </c>
      <c r="K1415" s="2" t="str">
        <f>IF(Iterations[[#This Row],[Step]] =current_step, current_e,IF(Iterations[[#This Row],[Step]] &gt; current_step, "",Iterations[[#This Row],[e]]))</f>
        <v/>
      </c>
      <c r="L1415" s="2" t="str">
        <f>IF(Iterations[[#This Row],[Step]] =current_step, current_Total_Loss,IF(Iterations[[#This Row],[Step]] &gt; current_step, "",Iterations[[#This Row],[Total Loss]]))</f>
        <v/>
      </c>
      <c r="M1415" s="6" t="s">
        <v>27</v>
      </c>
      <c r="N1415" s="2" t="str">
        <f>IF(Iterations[[#This Row],[Step]] =current_step, current_Grad_a,IF(Iterations[[#This Row],[Step]] &gt; current_step, "",Iterations[[#This Row],[Grad_a]]))</f>
        <v/>
      </c>
      <c r="O1415" s="2" t="str">
        <f>IF(Iterations[[#This Row],[Step]] =current_step, current_Grad_b,IF(Iterations[[#This Row],[Step]] &gt; current_step, "",Iterations[[#This Row],[Grad_b]]))</f>
        <v/>
      </c>
      <c r="P1415" s="2" t="str">
        <f>IF(Iterations[[#This Row],[Step]] =current_step, current_Grad_c,IF(Iterations[[#This Row],[Step]] &gt; current_step, "",Iterations[[#This Row],[Grad_c]]))</f>
        <v/>
      </c>
      <c r="Q1415" s="2" t="str">
        <f>IF(Iterations[[#This Row],[Step]] =current_step, current_Grad_d,IF(Iterations[[#This Row],[Step]] &gt; current_step, "",Iterations[[#This Row],[Grad_d]]))</f>
        <v/>
      </c>
      <c r="R1415" s="2" t="str">
        <f>IF(Iterations[[#This Row],[Step]] =current_step, current_Grad_e,IF(Iterations[[#This Row],[Step]] &gt; current_step, "",Iterations[[#This Row],[Grad_e]]))</f>
        <v/>
      </c>
    </row>
    <row r="1416" spans="6:18" x14ac:dyDescent="0.3">
      <c r="F1416" s="2">
        <f t="shared" si="27"/>
        <v>1399</v>
      </c>
      <c r="G1416" s="2" t="str">
        <f>IF(Iterations[[#This Row],[Step]] =current_step, current_a,IF(Iterations[[#This Row],[Step]] &gt; current_step, "",Iterations[[#This Row],[a]]))</f>
        <v/>
      </c>
      <c r="H1416" s="2" t="str">
        <f>IF(Iterations[[#This Row],[Step]] =current_step, current_b,IF(Iterations[[#This Row],[Step]] &gt; current_step, "",Iterations[[#This Row],[b]]))</f>
        <v/>
      </c>
      <c r="I1416" s="2" t="str">
        <f>IF(Iterations[[#This Row],[Step]] =current_step, current_c,IF(Iterations[[#This Row],[Step]] &gt; current_step, "",Iterations[[#This Row],[c]]))</f>
        <v/>
      </c>
      <c r="J1416" s="2" t="str">
        <f>IF(Iterations[[#This Row],[Step]] =current_step, current_d,IF(Iterations[[#This Row],[Step]] &gt; current_step, "",Iterations[[#This Row],[d]]))</f>
        <v/>
      </c>
      <c r="K1416" s="2" t="str">
        <f>IF(Iterations[[#This Row],[Step]] =current_step, current_e,IF(Iterations[[#This Row],[Step]] &gt; current_step, "",Iterations[[#This Row],[e]]))</f>
        <v/>
      </c>
      <c r="L1416" s="2" t="str">
        <f>IF(Iterations[[#This Row],[Step]] =current_step, current_Total_Loss,IF(Iterations[[#This Row],[Step]] &gt; current_step, "",Iterations[[#This Row],[Total Loss]]))</f>
        <v/>
      </c>
      <c r="M1416" s="6" t="s">
        <v>27</v>
      </c>
      <c r="N1416" s="2" t="str">
        <f>IF(Iterations[[#This Row],[Step]] =current_step, current_Grad_a,IF(Iterations[[#This Row],[Step]] &gt; current_step, "",Iterations[[#This Row],[Grad_a]]))</f>
        <v/>
      </c>
      <c r="O1416" s="2" t="str">
        <f>IF(Iterations[[#This Row],[Step]] =current_step, current_Grad_b,IF(Iterations[[#This Row],[Step]] &gt; current_step, "",Iterations[[#This Row],[Grad_b]]))</f>
        <v/>
      </c>
      <c r="P1416" s="2" t="str">
        <f>IF(Iterations[[#This Row],[Step]] =current_step, current_Grad_c,IF(Iterations[[#This Row],[Step]] &gt; current_step, "",Iterations[[#This Row],[Grad_c]]))</f>
        <v/>
      </c>
      <c r="Q1416" s="2" t="str">
        <f>IF(Iterations[[#This Row],[Step]] =current_step, current_Grad_d,IF(Iterations[[#This Row],[Step]] &gt; current_step, "",Iterations[[#This Row],[Grad_d]]))</f>
        <v/>
      </c>
      <c r="R1416" s="2" t="str">
        <f>IF(Iterations[[#This Row],[Step]] =current_step, current_Grad_e,IF(Iterations[[#This Row],[Step]] &gt; current_step, "",Iterations[[#This Row],[Grad_e]]))</f>
        <v/>
      </c>
    </row>
    <row r="1417" spans="6:18" x14ac:dyDescent="0.3">
      <c r="F1417" s="2">
        <f t="shared" si="27"/>
        <v>1400</v>
      </c>
      <c r="G1417" s="2" t="str">
        <f>IF(Iterations[[#This Row],[Step]] =current_step, current_a,IF(Iterations[[#This Row],[Step]] &gt; current_step, "",Iterations[[#This Row],[a]]))</f>
        <v/>
      </c>
      <c r="H1417" s="2" t="str">
        <f>IF(Iterations[[#This Row],[Step]] =current_step, current_b,IF(Iterations[[#This Row],[Step]] &gt; current_step, "",Iterations[[#This Row],[b]]))</f>
        <v/>
      </c>
      <c r="I1417" s="2" t="str">
        <f>IF(Iterations[[#This Row],[Step]] =current_step, current_c,IF(Iterations[[#This Row],[Step]] &gt; current_step, "",Iterations[[#This Row],[c]]))</f>
        <v/>
      </c>
      <c r="J1417" s="2" t="str">
        <f>IF(Iterations[[#This Row],[Step]] =current_step, current_d,IF(Iterations[[#This Row],[Step]] &gt; current_step, "",Iterations[[#This Row],[d]]))</f>
        <v/>
      </c>
      <c r="K1417" s="2" t="str">
        <f>IF(Iterations[[#This Row],[Step]] =current_step, current_e,IF(Iterations[[#This Row],[Step]] &gt; current_step, "",Iterations[[#This Row],[e]]))</f>
        <v/>
      </c>
      <c r="L1417" s="2" t="str">
        <f>IF(Iterations[[#This Row],[Step]] =current_step, current_Total_Loss,IF(Iterations[[#This Row],[Step]] &gt; current_step, "",Iterations[[#This Row],[Total Loss]]))</f>
        <v/>
      </c>
      <c r="M1417" s="6" t="s">
        <v>27</v>
      </c>
      <c r="N1417" s="2" t="str">
        <f>IF(Iterations[[#This Row],[Step]] =current_step, current_Grad_a,IF(Iterations[[#This Row],[Step]] &gt; current_step, "",Iterations[[#This Row],[Grad_a]]))</f>
        <v/>
      </c>
      <c r="O1417" s="2" t="str">
        <f>IF(Iterations[[#This Row],[Step]] =current_step, current_Grad_b,IF(Iterations[[#This Row],[Step]] &gt; current_step, "",Iterations[[#This Row],[Grad_b]]))</f>
        <v/>
      </c>
      <c r="P1417" s="2" t="str">
        <f>IF(Iterations[[#This Row],[Step]] =current_step, current_Grad_c,IF(Iterations[[#This Row],[Step]] &gt; current_step, "",Iterations[[#This Row],[Grad_c]]))</f>
        <v/>
      </c>
      <c r="Q1417" s="2" t="str">
        <f>IF(Iterations[[#This Row],[Step]] =current_step, current_Grad_d,IF(Iterations[[#This Row],[Step]] &gt; current_step, "",Iterations[[#This Row],[Grad_d]]))</f>
        <v/>
      </c>
      <c r="R1417" s="2" t="str">
        <f>IF(Iterations[[#This Row],[Step]] =current_step, current_Grad_e,IF(Iterations[[#This Row],[Step]] &gt; current_step, "",Iterations[[#This Row],[Grad_e]]))</f>
        <v/>
      </c>
    </row>
    <row r="1418" spans="6:18" x14ac:dyDescent="0.3">
      <c r="F1418" s="2">
        <f t="shared" si="27"/>
        <v>1401</v>
      </c>
      <c r="G1418" s="2" t="str">
        <f>IF(Iterations[[#This Row],[Step]] =current_step, current_a,IF(Iterations[[#This Row],[Step]] &gt; current_step, "",Iterations[[#This Row],[a]]))</f>
        <v/>
      </c>
      <c r="H1418" s="2" t="str">
        <f>IF(Iterations[[#This Row],[Step]] =current_step, current_b,IF(Iterations[[#This Row],[Step]] &gt; current_step, "",Iterations[[#This Row],[b]]))</f>
        <v/>
      </c>
      <c r="I1418" s="2" t="str">
        <f>IF(Iterations[[#This Row],[Step]] =current_step, current_c,IF(Iterations[[#This Row],[Step]] &gt; current_step, "",Iterations[[#This Row],[c]]))</f>
        <v/>
      </c>
      <c r="J1418" s="2" t="str">
        <f>IF(Iterations[[#This Row],[Step]] =current_step, current_d,IF(Iterations[[#This Row],[Step]] &gt; current_step, "",Iterations[[#This Row],[d]]))</f>
        <v/>
      </c>
      <c r="K1418" s="2" t="str">
        <f>IF(Iterations[[#This Row],[Step]] =current_step, current_e,IF(Iterations[[#This Row],[Step]] &gt; current_step, "",Iterations[[#This Row],[e]]))</f>
        <v/>
      </c>
      <c r="L1418" s="2" t="str">
        <f>IF(Iterations[[#This Row],[Step]] =current_step, current_Total_Loss,IF(Iterations[[#This Row],[Step]] &gt; current_step, "",Iterations[[#This Row],[Total Loss]]))</f>
        <v/>
      </c>
      <c r="M1418" s="6" t="s">
        <v>27</v>
      </c>
      <c r="N1418" s="2" t="str">
        <f>IF(Iterations[[#This Row],[Step]] =current_step, current_Grad_a,IF(Iterations[[#This Row],[Step]] &gt; current_step, "",Iterations[[#This Row],[Grad_a]]))</f>
        <v/>
      </c>
      <c r="O1418" s="2" t="str">
        <f>IF(Iterations[[#This Row],[Step]] =current_step, current_Grad_b,IF(Iterations[[#This Row],[Step]] &gt; current_step, "",Iterations[[#This Row],[Grad_b]]))</f>
        <v/>
      </c>
      <c r="P1418" s="2" t="str">
        <f>IF(Iterations[[#This Row],[Step]] =current_step, current_Grad_c,IF(Iterations[[#This Row],[Step]] &gt; current_step, "",Iterations[[#This Row],[Grad_c]]))</f>
        <v/>
      </c>
      <c r="Q1418" s="2" t="str">
        <f>IF(Iterations[[#This Row],[Step]] =current_step, current_Grad_d,IF(Iterations[[#This Row],[Step]] &gt; current_step, "",Iterations[[#This Row],[Grad_d]]))</f>
        <v/>
      </c>
      <c r="R1418" s="2" t="str">
        <f>IF(Iterations[[#This Row],[Step]] =current_step, current_Grad_e,IF(Iterations[[#This Row],[Step]] &gt; current_step, "",Iterations[[#This Row],[Grad_e]]))</f>
        <v/>
      </c>
    </row>
    <row r="1419" spans="6:18" x14ac:dyDescent="0.3">
      <c r="F1419" s="2">
        <f t="shared" si="27"/>
        <v>1402</v>
      </c>
      <c r="G1419" s="2" t="str">
        <f>IF(Iterations[[#This Row],[Step]] =current_step, current_a,IF(Iterations[[#This Row],[Step]] &gt; current_step, "",Iterations[[#This Row],[a]]))</f>
        <v/>
      </c>
      <c r="H1419" s="2" t="str">
        <f>IF(Iterations[[#This Row],[Step]] =current_step, current_b,IF(Iterations[[#This Row],[Step]] &gt; current_step, "",Iterations[[#This Row],[b]]))</f>
        <v/>
      </c>
      <c r="I1419" s="2" t="str">
        <f>IF(Iterations[[#This Row],[Step]] =current_step, current_c,IF(Iterations[[#This Row],[Step]] &gt; current_step, "",Iterations[[#This Row],[c]]))</f>
        <v/>
      </c>
      <c r="J1419" s="2" t="str">
        <f>IF(Iterations[[#This Row],[Step]] =current_step, current_d,IF(Iterations[[#This Row],[Step]] &gt; current_step, "",Iterations[[#This Row],[d]]))</f>
        <v/>
      </c>
      <c r="K1419" s="2" t="str">
        <f>IF(Iterations[[#This Row],[Step]] =current_step, current_e,IF(Iterations[[#This Row],[Step]] &gt; current_step, "",Iterations[[#This Row],[e]]))</f>
        <v/>
      </c>
      <c r="L1419" s="2" t="str">
        <f>IF(Iterations[[#This Row],[Step]] =current_step, current_Total_Loss,IF(Iterations[[#This Row],[Step]] &gt; current_step, "",Iterations[[#This Row],[Total Loss]]))</f>
        <v/>
      </c>
      <c r="M1419" s="6" t="s">
        <v>27</v>
      </c>
      <c r="N1419" s="2" t="str">
        <f>IF(Iterations[[#This Row],[Step]] =current_step, current_Grad_a,IF(Iterations[[#This Row],[Step]] &gt; current_step, "",Iterations[[#This Row],[Grad_a]]))</f>
        <v/>
      </c>
      <c r="O1419" s="2" t="str">
        <f>IF(Iterations[[#This Row],[Step]] =current_step, current_Grad_b,IF(Iterations[[#This Row],[Step]] &gt; current_step, "",Iterations[[#This Row],[Grad_b]]))</f>
        <v/>
      </c>
      <c r="P1419" s="2" t="str">
        <f>IF(Iterations[[#This Row],[Step]] =current_step, current_Grad_c,IF(Iterations[[#This Row],[Step]] &gt; current_step, "",Iterations[[#This Row],[Grad_c]]))</f>
        <v/>
      </c>
      <c r="Q1419" s="2" t="str">
        <f>IF(Iterations[[#This Row],[Step]] =current_step, current_Grad_d,IF(Iterations[[#This Row],[Step]] &gt; current_step, "",Iterations[[#This Row],[Grad_d]]))</f>
        <v/>
      </c>
      <c r="R1419" s="2" t="str">
        <f>IF(Iterations[[#This Row],[Step]] =current_step, current_Grad_e,IF(Iterations[[#This Row],[Step]] &gt; current_step, "",Iterations[[#This Row],[Grad_e]]))</f>
        <v/>
      </c>
    </row>
    <row r="1420" spans="6:18" x14ac:dyDescent="0.3">
      <c r="F1420" s="2">
        <f t="shared" si="27"/>
        <v>1403</v>
      </c>
      <c r="G1420" s="2" t="str">
        <f>IF(Iterations[[#This Row],[Step]] =current_step, current_a,IF(Iterations[[#This Row],[Step]] &gt; current_step, "",Iterations[[#This Row],[a]]))</f>
        <v/>
      </c>
      <c r="H1420" s="2" t="str">
        <f>IF(Iterations[[#This Row],[Step]] =current_step, current_b,IF(Iterations[[#This Row],[Step]] &gt; current_step, "",Iterations[[#This Row],[b]]))</f>
        <v/>
      </c>
      <c r="I1420" s="2" t="str">
        <f>IF(Iterations[[#This Row],[Step]] =current_step, current_c,IF(Iterations[[#This Row],[Step]] &gt; current_step, "",Iterations[[#This Row],[c]]))</f>
        <v/>
      </c>
      <c r="J1420" s="2" t="str">
        <f>IF(Iterations[[#This Row],[Step]] =current_step, current_d,IF(Iterations[[#This Row],[Step]] &gt; current_step, "",Iterations[[#This Row],[d]]))</f>
        <v/>
      </c>
      <c r="K1420" s="2" t="str">
        <f>IF(Iterations[[#This Row],[Step]] =current_step, current_e,IF(Iterations[[#This Row],[Step]] &gt; current_step, "",Iterations[[#This Row],[e]]))</f>
        <v/>
      </c>
      <c r="L1420" s="2" t="str">
        <f>IF(Iterations[[#This Row],[Step]] =current_step, current_Total_Loss,IF(Iterations[[#This Row],[Step]] &gt; current_step, "",Iterations[[#This Row],[Total Loss]]))</f>
        <v/>
      </c>
      <c r="M1420" s="6" t="s">
        <v>27</v>
      </c>
      <c r="N1420" s="2" t="str">
        <f>IF(Iterations[[#This Row],[Step]] =current_step, current_Grad_a,IF(Iterations[[#This Row],[Step]] &gt; current_step, "",Iterations[[#This Row],[Grad_a]]))</f>
        <v/>
      </c>
      <c r="O1420" s="2" t="str">
        <f>IF(Iterations[[#This Row],[Step]] =current_step, current_Grad_b,IF(Iterations[[#This Row],[Step]] &gt; current_step, "",Iterations[[#This Row],[Grad_b]]))</f>
        <v/>
      </c>
      <c r="P1420" s="2" t="str">
        <f>IF(Iterations[[#This Row],[Step]] =current_step, current_Grad_c,IF(Iterations[[#This Row],[Step]] &gt; current_step, "",Iterations[[#This Row],[Grad_c]]))</f>
        <v/>
      </c>
      <c r="Q1420" s="2" t="str">
        <f>IF(Iterations[[#This Row],[Step]] =current_step, current_Grad_d,IF(Iterations[[#This Row],[Step]] &gt; current_step, "",Iterations[[#This Row],[Grad_d]]))</f>
        <v/>
      </c>
      <c r="R1420" s="2" t="str">
        <f>IF(Iterations[[#This Row],[Step]] =current_step, current_Grad_e,IF(Iterations[[#This Row],[Step]] &gt; current_step, "",Iterations[[#This Row],[Grad_e]]))</f>
        <v/>
      </c>
    </row>
    <row r="1421" spans="6:18" x14ac:dyDescent="0.3">
      <c r="F1421" s="2">
        <f t="shared" si="27"/>
        <v>1404</v>
      </c>
      <c r="G1421" s="2" t="str">
        <f>IF(Iterations[[#This Row],[Step]] =current_step, current_a,IF(Iterations[[#This Row],[Step]] &gt; current_step, "",Iterations[[#This Row],[a]]))</f>
        <v/>
      </c>
      <c r="H1421" s="2" t="str">
        <f>IF(Iterations[[#This Row],[Step]] =current_step, current_b,IF(Iterations[[#This Row],[Step]] &gt; current_step, "",Iterations[[#This Row],[b]]))</f>
        <v/>
      </c>
      <c r="I1421" s="2" t="str">
        <f>IF(Iterations[[#This Row],[Step]] =current_step, current_c,IF(Iterations[[#This Row],[Step]] &gt; current_step, "",Iterations[[#This Row],[c]]))</f>
        <v/>
      </c>
      <c r="J1421" s="2" t="str">
        <f>IF(Iterations[[#This Row],[Step]] =current_step, current_d,IF(Iterations[[#This Row],[Step]] &gt; current_step, "",Iterations[[#This Row],[d]]))</f>
        <v/>
      </c>
      <c r="K1421" s="2" t="str">
        <f>IF(Iterations[[#This Row],[Step]] =current_step, current_e,IF(Iterations[[#This Row],[Step]] &gt; current_step, "",Iterations[[#This Row],[e]]))</f>
        <v/>
      </c>
      <c r="L1421" s="2" t="str">
        <f>IF(Iterations[[#This Row],[Step]] =current_step, current_Total_Loss,IF(Iterations[[#This Row],[Step]] &gt; current_step, "",Iterations[[#This Row],[Total Loss]]))</f>
        <v/>
      </c>
      <c r="M1421" s="6" t="s">
        <v>27</v>
      </c>
      <c r="N1421" s="2" t="str">
        <f>IF(Iterations[[#This Row],[Step]] =current_step, current_Grad_a,IF(Iterations[[#This Row],[Step]] &gt; current_step, "",Iterations[[#This Row],[Grad_a]]))</f>
        <v/>
      </c>
      <c r="O1421" s="2" t="str">
        <f>IF(Iterations[[#This Row],[Step]] =current_step, current_Grad_b,IF(Iterations[[#This Row],[Step]] &gt; current_step, "",Iterations[[#This Row],[Grad_b]]))</f>
        <v/>
      </c>
      <c r="P1421" s="2" t="str">
        <f>IF(Iterations[[#This Row],[Step]] =current_step, current_Grad_c,IF(Iterations[[#This Row],[Step]] &gt; current_step, "",Iterations[[#This Row],[Grad_c]]))</f>
        <v/>
      </c>
      <c r="Q1421" s="2" t="str">
        <f>IF(Iterations[[#This Row],[Step]] =current_step, current_Grad_d,IF(Iterations[[#This Row],[Step]] &gt; current_step, "",Iterations[[#This Row],[Grad_d]]))</f>
        <v/>
      </c>
      <c r="R1421" s="2" t="str">
        <f>IF(Iterations[[#This Row],[Step]] =current_step, current_Grad_e,IF(Iterations[[#This Row],[Step]] &gt; current_step, "",Iterations[[#This Row],[Grad_e]]))</f>
        <v/>
      </c>
    </row>
    <row r="1422" spans="6:18" x14ac:dyDescent="0.3">
      <c r="F1422" s="2">
        <f t="shared" si="27"/>
        <v>1405</v>
      </c>
      <c r="G1422" s="2" t="str">
        <f>IF(Iterations[[#This Row],[Step]] =current_step, current_a,IF(Iterations[[#This Row],[Step]] &gt; current_step, "",Iterations[[#This Row],[a]]))</f>
        <v/>
      </c>
      <c r="H1422" s="2" t="str">
        <f>IF(Iterations[[#This Row],[Step]] =current_step, current_b,IF(Iterations[[#This Row],[Step]] &gt; current_step, "",Iterations[[#This Row],[b]]))</f>
        <v/>
      </c>
      <c r="I1422" s="2" t="str">
        <f>IF(Iterations[[#This Row],[Step]] =current_step, current_c,IF(Iterations[[#This Row],[Step]] &gt; current_step, "",Iterations[[#This Row],[c]]))</f>
        <v/>
      </c>
      <c r="J1422" s="2" t="str">
        <f>IF(Iterations[[#This Row],[Step]] =current_step, current_d,IF(Iterations[[#This Row],[Step]] &gt; current_step, "",Iterations[[#This Row],[d]]))</f>
        <v/>
      </c>
      <c r="K1422" s="2" t="str">
        <f>IF(Iterations[[#This Row],[Step]] =current_step, current_e,IF(Iterations[[#This Row],[Step]] &gt; current_step, "",Iterations[[#This Row],[e]]))</f>
        <v/>
      </c>
      <c r="L1422" s="2" t="str">
        <f>IF(Iterations[[#This Row],[Step]] =current_step, current_Total_Loss,IF(Iterations[[#This Row],[Step]] &gt; current_step, "",Iterations[[#This Row],[Total Loss]]))</f>
        <v/>
      </c>
      <c r="M1422" s="6" t="s">
        <v>27</v>
      </c>
      <c r="N1422" s="2" t="str">
        <f>IF(Iterations[[#This Row],[Step]] =current_step, current_Grad_a,IF(Iterations[[#This Row],[Step]] &gt; current_step, "",Iterations[[#This Row],[Grad_a]]))</f>
        <v/>
      </c>
      <c r="O1422" s="2" t="str">
        <f>IF(Iterations[[#This Row],[Step]] =current_step, current_Grad_b,IF(Iterations[[#This Row],[Step]] &gt; current_step, "",Iterations[[#This Row],[Grad_b]]))</f>
        <v/>
      </c>
      <c r="P1422" s="2" t="str">
        <f>IF(Iterations[[#This Row],[Step]] =current_step, current_Grad_c,IF(Iterations[[#This Row],[Step]] &gt; current_step, "",Iterations[[#This Row],[Grad_c]]))</f>
        <v/>
      </c>
      <c r="Q1422" s="2" t="str">
        <f>IF(Iterations[[#This Row],[Step]] =current_step, current_Grad_d,IF(Iterations[[#This Row],[Step]] &gt; current_step, "",Iterations[[#This Row],[Grad_d]]))</f>
        <v/>
      </c>
      <c r="R1422" s="2" t="str">
        <f>IF(Iterations[[#This Row],[Step]] =current_step, current_Grad_e,IF(Iterations[[#This Row],[Step]] &gt; current_step, "",Iterations[[#This Row],[Grad_e]]))</f>
        <v/>
      </c>
    </row>
    <row r="1423" spans="6:18" x14ac:dyDescent="0.3">
      <c r="F1423" s="2">
        <f t="shared" si="27"/>
        <v>1406</v>
      </c>
      <c r="G1423" s="2" t="str">
        <f>IF(Iterations[[#This Row],[Step]] =current_step, current_a,IF(Iterations[[#This Row],[Step]] &gt; current_step, "",Iterations[[#This Row],[a]]))</f>
        <v/>
      </c>
      <c r="H1423" s="2" t="str">
        <f>IF(Iterations[[#This Row],[Step]] =current_step, current_b,IF(Iterations[[#This Row],[Step]] &gt; current_step, "",Iterations[[#This Row],[b]]))</f>
        <v/>
      </c>
      <c r="I1423" s="2" t="str">
        <f>IF(Iterations[[#This Row],[Step]] =current_step, current_c,IF(Iterations[[#This Row],[Step]] &gt; current_step, "",Iterations[[#This Row],[c]]))</f>
        <v/>
      </c>
      <c r="J1423" s="2" t="str">
        <f>IF(Iterations[[#This Row],[Step]] =current_step, current_d,IF(Iterations[[#This Row],[Step]] &gt; current_step, "",Iterations[[#This Row],[d]]))</f>
        <v/>
      </c>
      <c r="K1423" s="2" t="str">
        <f>IF(Iterations[[#This Row],[Step]] =current_step, current_e,IF(Iterations[[#This Row],[Step]] &gt; current_step, "",Iterations[[#This Row],[e]]))</f>
        <v/>
      </c>
      <c r="L1423" s="2" t="str">
        <f>IF(Iterations[[#This Row],[Step]] =current_step, current_Total_Loss,IF(Iterations[[#This Row],[Step]] &gt; current_step, "",Iterations[[#This Row],[Total Loss]]))</f>
        <v/>
      </c>
      <c r="M1423" s="6" t="s">
        <v>27</v>
      </c>
      <c r="N1423" s="2" t="str">
        <f>IF(Iterations[[#This Row],[Step]] =current_step, current_Grad_a,IF(Iterations[[#This Row],[Step]] &gt; current_step, "",Iterations[[#This Row],[Grad_a]]))</f>
        <v/>
      </c>
      <c r="O1423" s="2" t="str">
        <f>IF(Iterations[[#This Row],[Step]] =current_step, current_Grad_b,IF(Iterations[[#This Row],[Step]] &gt; current_step, "",Iterations[[#This Row],[Grad_b]]))</f>
        <v/>
      </c>
      <c r="P1423" s="2" t="str">
        <f>IF(Iterations[[#This Row],[Step]] =current_step, current_Grad_c,IF(Iterations[[#This Row],[Step]] &gt; current_step, "",Iterations[[#This Row],[Grad_c]]))</f>
        <v/>
      </c>
      <c r="Q1423" s="2" t="str">
        <f>IF(Iterations[[#This Row],[Step]] =current_step, current_Grad_d,IF(Iterations[[#This Row],[Step]] &gt; current_step, "",Iterations[[#This Row],[Grad_d]]))</f>
        <v/>
      </c>
      <c r="R1423" s="2" t="str">
        <f>IF(Iterations[[#This Row],[Step]] =current_step, current_Grad_e,IF(Iterations[[#This Row],[Step]] &gt; current_step, "",Iterations[[#This Row],[Grad_e]]))</f>
        <v/>
      </c>
    </row>
    <row r="1424" spans="6:18" x14ac:dyDescent="0.3">
      <c r="F1424" s="2">
        <f t="shared" si="27"/>
        <v>1407</v>
      </c>
      <c r="G1424" s="2" t="str">
        <f>IF(Iterations[[#This Row],[Step]] =current_step, current_a,IF(Iterations[[#This Row],[Step]] &gt; current_step, "",Iterations[[#This Row],[a]]))</f>
        <v/>
      </c>
      <c r="H1424" s="2" t="str">
        <f>IF(Iterations[[#This Row],[Step]] =current_step, current_b,IF(Iterations[[#This Row],[Step]] &gt; current_step, "",Iterations[[#This Row],[b]]))</f>
        <v/>
      </c>
      <c r="I1424" s="2" t="str">
        <f>IF(Iterations[[#This Row],[Step]] =current_step, current_c,IF(Iterations[[#This Row],[Step]] &gt; current_step, "",Iterations[[#This Row],[c]]))</f>
        <v/>
      </c>
      <c r="J1424" s="2" t="str">
        <f>IF(Iterations[[#This Row],[Step]] =current_step, current_d,IF(Iterations[[#This Row],[Step]] &gt; current_step, "",Iterations[[#This Row],[d]]))</f>
        <v/>
      </c>
      <c r="K1424" s="2" t="str">
        <f>IF(Iterations[[#This Row],[Step]] =current_step, current_e,IF(Iterations[[#This Row],[Step]] &gt; current_step, "",Iterations[[#This Row],[e]]))</f>
        <v/>
      </c>
      <c r="L1424" s="2" t="str">
        <f>IF(Iterations[[#This Row],[Step]] =current_step, current_Total_Loss,IF(Iterations[[#This Row],[Step]] &gt; current_step, "",Iterations[[#This Row],[Total Loss]]))</f>
        <v/>
      </c>
      <c r="M1424" s="6" t="s">
        <v>27</v>
      </c>
      <c r="N1424" s="2" t="str">
        <f>IF(Iterations[[#This Row],[Step]] =current_step, current_Grad_a,IF(Iterations[[#This Row],[Step]] &gt; current_step, "",Iterations[[#This Row],[Grad_a]]))</f>
        <v/>
      </c>
      <c r="O1424" s="2" t="str">
        <f>IF(Iterations[[#This Row],[Step]] =current_step, current_Grad_b,IF(Iterations[[#This Row],[Step]] &gt; current_step, "",Iterations[[#This Row],[Grad_b]]))</f>
        <v/>
      </c>
      <c r="P1424" s="2" t="str">
        <f>IF(Iterations[[#This Row],[Step]] =current_step, current_Grad_c,IF(Iterations[[#This Row],[Step]] &gt; current_step, "",Iterations[[#This Row],[Grad_c]]))</f>
        <v/>
      </c>
      <c r="Q1424" s="2" t="str">
        <f>IF(Iterations[[#This Row],[Step]] =current_step, current_Grad_d,IF(Iterations[[#This Row],[Step]] &gt; current_step, "",Iterations[[#This Row],[Grad_d]]))</f>
        <v/>
      </c>
      <c r="R1424" s="2" t="str">
        <f>IF(Iterations[[#This Row],[Step]] =current_step, current_Grad_e,IF(Iterations[[#This Row],[Step]] &gt; current_step, "",Iterations[[#This Row],[Grad_e]]))</f>
        <v/>
      </c>
    </row>
    <row r="1425" spans="6:18" x14ac:dyDescent="0.3">
      <c r="F1425" s="2">
        <f t="shared" si="27"/>
        <v>1408</v>
      </c>
      <c r="G1425" s="2" t="str">
        <f>IF(Iterations[[#This Row],[Step]] =current_step, current_a,IF(Iterations[[#This Row],[Step]] &gt; current_step, "",Iterations[[#This Row],[a]]))</f>
        <v/>
      </c>
      <c r="H1425" s="2" t="str">
        <f>IF(Iterations[[#This Row],[Step]] =current_step, current_b,IF(Iterations[[#This Row],[Step]] &gt; current_step, "",Iterations[[#This Row],[b]]))</f>
        <v/>
      </c>
      <c r="I1425" s="2" t="str">
        <f>IF(Iterations[[#This Row],[Step]] =current_step, current_c,IF(Iterations[[#This Row],[Step]] &gt; current_step, "",Iterations[[#This Row],[c]]))</f>
        <v/>
      </c>
      <c r="J1425" s="2" t="str">
        <f>IF(Iterations[[#This Row],[Step]] =current_step, current_d,IF(Iterations[[#This Row],[Step]] &gt; current_step, "",Iterations[[#This Row],[d]]))</f>
        <v/>
      </c>
      <c r="K1425" s="2" t="str">
        <f>IF(Iterations[[#This Row],[Step]] =current_step, current_e,IF(Iterations[[#This Row],[Step]] &gt; current_step, "",Iterations[[#This Row],[e]]))</f>
        <v/>
      </c>
      <c r="L1425" s="2" t="str">
        <f>IF(Iterations[[#This Row],[Step]] =current_step, current_Total_Loss,IF(Iterations[[#This Row],[Step]] &gt; current_step, "",Iterations[[#This Row],[Total Loss]]))</f>
        <v/>
      </c>
      <c r="M1425" s="6" t="s">
        <v>27</v>
      </c>
      <c r="N1425" s="2" t="str">
        <f>IF(Iterations[[#This Row],[Step]] =current_step, current_Grad_a,IF(Iterations[[#This Row],[Step]] &gt; current_step, "",Iterations[[#This Row],[Grad_a]]))</f>
        <v/>
      </c>
      <c r="O1425" s="2" t="str">
        <f>IF(Iterations[[#This Row],[Step]] =current_step, current_Grad_b,IF(Iterations[[#This Row],[Step]] &gt; current_step, "",Iterations[[#This Row],[Grad_b]]))</f>
        <v/>
      </c>
      <c r="P1425" s="2" t="str">
        <f>IF(Iterations[[#This Row],[Step]] =current_step, current_Grad_c,IF(Iterations[[#This Row],[Step]] &gt; current_step, "",Iterations[[#This Row],[Grad_c]]))</f>
        <v/>
      </c>
      <c r="Q1425" s="2" t="str">
        <f>IF(Iterations[[#This Row],[Step]] =current_step, current_Grad_d,IF(Iterations[[#This Row],[Step]] &gt; current_step, "",Iterations[[#This Row],[Grad_d]]))</f>
        <v/>
      </c>
      <c r="R1425" s="2" t="str">
        <f>IF(Iterations[[#This Row],[Step]] =current_step, current_Grad_e,IF(Iterations[[#This Row],[Step]] &gt; current_step, "",Iterations[[#This Row],[Grad_e]]))</f>
        <v/>
      </c>
    </row>
    <row r="1426" spans="6:18" x14ac:dyDescent="0.3">
      <c r="F1426" s="2">
        <f t="shared" si="27"/>
        <v>1409</v>
      </c>
      <c r="G1426" s="2" t="str">
        <f>IF(Iterations[[#This Row],[Step]] =current_step, current_a,IF(Iterations[[#This Row],[Step]] &gt; current_step, "",Iterations[[#This Row],[a]]))</f>
        <v/>
      </c>
      <c r="H1426" s="2" t="str">
        <f>IF(Iterations[[#This Row],[Step]] =current_step, current_b,IF(Iterations[[#This Row],[Step]] &gt; current_step, "",Iterations[[#This Row],[b]]))</f>
        <v/>
      </c>
      <c r="I1426" s="2" t="str">
        <f>IF(Iterations[[#This Row],[Step]] =current_step, current_c,IF(Iterations[[#This Row],[Step]] &gt; current_step, "",Iterations[[#This Row],[c]]))</f>
        <v/>
      </c>
      <c r="J1426" s="2" t="str">
        <f>IF(Iterations[[#This Row],[Step]] =current_step, current_d,IF(Iterations[[#This Row],[Step]] &gt; current_step, "",Iterations[[#This Row],[d]]))</f>
        <v/>
      </c>
      <c r="K1426" s="2" t="str">
        <f>IF(Iterations[[#This Row],[Step]] =current_step, current_e,IF(Iterations[[#This Row],[Step]] &gt; current_step, "",Iterations[[#This Row],[e]]))</f>
        <v/>
      </c>
      <c r="L1426" s="2" t="str">
        <f>IF(Iterations[[#This Row],[Step]] =current_step, current_Total_Loss,IF(Iterations[[#This Row],[Step]] &gt; current_step, "",Iterations[[#This Row],[Total Loss]]))</f>
        <v/>
      </c>
      <c r="M1426" s="6" t="s">
        <v>27</v>
      </c>
      <c r="N1426" s="2" t="str">
        <f>IF(Iterations[[#This Row],[Step]] =current_step, current_Grad_a,IF(Iterations[[#This Row],[Step]] &gt; current_step, "",Iterations[[#This Row],[Grad_a]]))</f>
        <v/>
      </c>
      <c r="O1426" s="2" t="str">
        <f>IF(Iterations[[#This Row],[Step]] =current_step, current_Grad_b,IF(Iterations[[#This Row],[Step]] &gt; current_step, "",Iterations[[#This Row],[Grad_b]]))</f>
        <v/>
      </c>
      <c r="P1426" s="2" t="str">
        <f>IF(Iterations[[#This Row],[Step]] =current_step, current_Grad_c,IF(Iterations[[#This Row],[Step]] &gt; current_step, "",Iterations[[#This Row],[Grad_c]]))</f>
        <v/>
      </c>
      <c r="Q1426" s="2" t="str">
        <f>IF(Iterations[[#This Row],[Step]] =current_step, current_Grad_d,IF(Iterations[[#This Row],[Step]] &gt; current_step, "",Iterations[[#This Row],[Grad_d]]))</f>
        <v/>
      </c>
      <c r="R1426" s="2" t="str">
        <f>IF(Iterations[[#This Row],[Step]] =current_step, current_Grad_e,IF(Iterations[[#This Row],[Step]] &gt; current_step, "",Iterations[[#This Row],[Grad_e]]))</f>
        <v/>
      </c>
    </row>
    <row r="1427" spans="6:18" x14ac:dyDescent="0.3">
      <c r="F1427" s="2">
        <f t="shared" si="27"/>
        <v>1410</v>
      </c>
      <c r="G1427" s="2" t="str">
        <f>IF(Iterations[[#This Row],[Step]] =current_step, current_a,IF(Iterations[[#This Row],[Step]] &gt; current_step, "",Iterations[[#This Row],[a]]))</f>
        <v/>
      </c>
      <c r="H1427" s="2" t="str">
        <f>IF(Iterations[[#This Row],[Step]] =current_step, current_b,IF(Iterations[[#This Row],[Step]] &gt; current_step, "",Iterations[[#This Row],[b]]))</f>
        <v/>
      </c>
      <c r="I1427" s="2" t="str">
        <f>IF(Iterations[[#This Row],[Step]] =current_step, current_c,IF(Iterations[[#This Row],[Step]] &gt; current_step, "",Iterations[[#This Row],[c]]))</f>
        <v/>
      </c>
      <c r="J1427" s="2" t="str">
        <f>IF(Iterations[[#This Row],[Step]] =current_step, current_d,IF(Iterations[[#This Row],[Step]] &gt; current_step, "",Iterations[[#This Row],[d]]))</f>
        <v/>
      </c>
      <c r="K1427" s="2" t="str">
        <f>IF(Iterations[[#This Row],[Step]] =current_step, current_e,IF(Iterations[[#This Row],[Step]] &gt; current_step, "",Iterations[[#This Row],[e]]))</f>
        <v/>
      </c>
      <c r="L1427" s="2" t="str">
        <f>IF(Iterations[[#This Row],[Step]] =current_step, current_Total_Loss,IF(Iterations[[#This Row],[Step]] &gt; current_step, "",Iterations[[#This Row],[Total Loss]]))</f>
        <v/>
      </c>
      <c r="M1427" s="6" t="s">
        <v>27</v>
      </c>
      <c r="N1427" s="2" t="str">
        <f>IF(Iterations[[#This Row],[Step]] =current_step, current_Grad_a,IF(Iterations[[#This Row],[Step]] &gt; current_step, "",Iterations[[#This Row],[Grad_a]]))</f>
        <v/>
      </c>
      <c r="O1427" s="2" t="str">
        <f>IF(Iterations[[#This Row],[Step]] =current_step, current_Grad_b,IF(Iterations[[#This Row],[Step]] &gt; current_step, "",Iterations[[#This Row],[Grad_b]]))</f>
        <v/>
      </c>
      <c r="P1427" s="2" t="str">
        <f>IF(Iterations[[#This Row],[Step]] =current_step, current_Grad_c,IF(Iterations[[#This Row],[Step]] &gt; current_step, "",Iterations[[#This Row],[Grad_c]]))</f>
        <v/>
      </c>
      <c r="Q1427" s="2" t="str">
        <f>IF(Iterations[[#This Row],[Step]] =current_step, current_Grad_d,IF(Iterations[[#This Row],[Step]] &gt; current_step, "",Iterations[[#This Row],[Grad_d]]))</f>
        <v/>
      </c>
      <c r="R1427" s="2" t="str">
        <f>IF(Iterations[[#This Row],[Step]] =current_step, current_Grad_e,IF(Iterations[[#This Row],[Step]] &gt; current_step, "",Iterations[[#This Row],[Grad_e]]))</f>
        <v/>
      </c>
    </row>
    <row r="1428" spans="6:18" x14ac:dyDescent="0.3">
      <c r="F1428" s="2">
        <f t="shared" si="27"/>
        <v>1411</v>
      </c>
      <c r="G1428" s="2" t="str">
        <f>IF(Iterations[[#This Row],[Step]] =current_step, current_a,IF(Iterations[[#This Row],[Step]] &gt; current_step, "",Iterations[[#This Row],[a]]))</f>
        <v/>
      </c>
      <c r="H1428" s="2" t="str">
        <f>IF(Iterations[[#This Row],[Step]] =current_step, current_b,IF(Iterations[[#This Row],[Step]] &gt; current_step, "",Iterations[[#This Row],[b]]))</f>
        <v/>
      </c>
      <c r="I1428" s="2" t="str">
        <f>IF(Iterations[[#This Row],[Step]] =current_step, current_c,IF(Iterations[[#This Row],[Step]] &gt; current_step, "",Iterations[[#This Row],[c]]))</f>
        <v/>
      </c>
      <c r="J1428" s="2" t="str">
        <f>IF(Iterations[[#This Row],[Step]] =current_step, current_d,IF(Iterations[[#This Row],[Step]] &gt; current_step, "",Iterations[[#This Row],[d]]))</f>
        <v/>
      </c>
      <c r="K1428" s="2" t="str">
        <f>IF(Iterations[[#This Row],[Step]] =current_step, current_e,IF(Iterations[[#This Row],[Step]] &gt; current_step, "",Iterations[[#This Row],[e]]))</f>
        <v/>
      </c>
      <c r="L1428" s="2" t="str">
        <f>IF(Iterations[[#This Row],[Step]] =current_step, current_Total_Loss,IF(Iterations[[#This Row],[Step]] &gt; current_step, "",Iterations[[#This Row],[Total Loss]]))</f>
        <v/>
      </c>
      <c r="M1428" s="6" t="s">
        <v>27</v>
      </c>
      <c r="N1428" s="2" t="str">
        <f>IF(Iterations[[#This Row],[Step]] =current_step, current_Grad_a,IF(Iterations[[#This Row],[Step]] &gt; current_step, "",Iterations[[#This Row],[Grad_a]]))</f>
        <v/>
      </c>
      <c r="O1428" s="2" t="str">
        <f>IF(Iterations[[#This Row],[Step]] =current_step, current_Grad_b,IF(Iterations[[#This Row],[Step]] &gt; current_step, "",Iterations[[#This Row],[Grad_b]]))</f>
        <v/>
      </c>
      <c r="P1428" s="2" t="str">
        <f>IF(Iterations[[#This Row],[Step]] =current_step, current_Grad_c,IF(Iterations[[#This Row],[Step]] &gt; current_step, "",Iterations[[#This Row],[Grad_c]]))</f>
        <v/>
      </c>
      <c r="Q1428" s="2" t="str">
        <f>IF(Iterations[[#This Row],[Step]] =current_step, current_Grad_d,IF(Iterations[[#This Row],[Step]] &gt; current_step, "",Iterations[[#This Row],[Grad_d]]))</f>
        <v/>
      </c>
      <c r="R1428" s="2" t="str">
        <f>IF(Iterations[[#This Row],[Step]] =current_step, current_Grad_e,IF(Iterations[[#This Row],[Step]] &gt; current_step, "",Iterations[[#This Row],[Grad_e]]))</f>
        <v/>
      </c>
    </row>
    <row r="1429" spans="6:18" x14ac:dyDescent="0.3">
      <c r="F1429" s="2">
        <f t="shared" si="27"/>
        <v>1412</v>
      </c>
      <c r="G1429" s="2" t="str">
        <f>IF(Iterations[[#This Row],[Step]] =current_step, current_a,IF(Iterations[[#This Row],[Step]] &gt; current_step, "",Iterations[[#This Row],[a]]))</f>
        <v/>
      </c>
      <c r="H1429" s="2" t="str">
        <f>IF(Iterations[[#This Row],[Step]] =current_step, current_b,IF(Iterations[[#This Row],[Step]] &gt; current_step, "",Iterations[[#This Row],[b]]))</f>
        <v/>
      </c>
      <c r="I1429" s="2" t="str">
        <f>IF(Iterations[[#This Row],[Step]] =current_step, current_c,IF(Iterations[[#This Row],[Step]] &gt; current_step, "",Iterations[[#This Row],[c]]))</f>
        <v/>
      </c>
      <c r="J1429" s="2" t="str">
        <f>IF(Iterations[[#This Row],[Step]] =current_step, current_d,IF(Iterations[[#This Row],[Step]] &gt; current_step, "",Iterations[[#This Row],[d]]))</f>
        <v/>
      </c>
      <c r="K1429" s="2" t="str">
        <f>IF(Iterations[[#This Row],[Step]] =current_step, current_e,IF(Iterations[[#This Row],[Step]] &gt; current_step, "",Iterations[[#This Row],[e]]))</f>
        <v/>
      </c>
      <c r="L1429" s="2" t="str">
        <f>IF(Iterations[[#This Row],[Step]] =current_step, current_Total_Loss,IF(Iterations[[#This Row],[Step]] &gt; current_step, "",Iterations[[#This Row],[Total Loss]]))</f>
        <v/>
      </c>
      <c r="M1429" s="6" t="s">
        <v>27</v>
      </c>
      <c r="N1429" s="2" t="str">
        <f>IF(Iterations[[#This Row],[Step]] =current_step, current_Grad_a,IF(Iterations[[#This Row],[Step]] &gt; current_step, "",Iterations[[#This Row],[Grad_a]]))</f>
        <v/>
      </c>
      <c r="O1429" s="2" t="str">
        <f>IF(Iterations[[#This Row],[Step]] =current_step, current_Grad_b,IF(Iterations[[#This Row],[Step]] &gt; current_step, "",Iterations[[#This Row],[Grad_b]]))</f>
        <v/>
      </c>
      <c r="P1429" s="2" t="str">
        <f>IF(Iterations[[#This Row],[Step]] =current_step, current_Grad_c,IF(Iterations[[#This Row],[Step]] &gt; current_step, "",Iterations[[#This Row],[Grad_c]]))</f>
        <v/>
      </c>
      <c r="Q1429" s="2" t="str">
        <f>IF(Iterations[[#This Row],[Step]] =current_step, current_Grad_d,IF(Iterations[[#This Row],[Step]] &gt; current_step, "",Iterations[[#This Row],[Grad_d]]))</f>
        <v/>
      </c>
      <c r="R1429" s="2" t="str">
        <f>IF(Iterations[[#This Row],[Step]] =current_step, current_Grad_e,IF(Iterations[[#This Row],[Step]] &gt; current_step, "",Iterations[[#This Row],[Grad_e]]))</f>
        <v/>
      </c>
    </row>
    <row r="1430" spans="6:18" x14ac:dyDescent="0.3">
      <c r="F1430" s="2">
        <f t="shared" si="27"/>
        <v>1413</v>
      </c>
      <c r="G1430" s="2" t="str">
        <f>IF(Iterations[[#This Row],[Step]] =current_step, current_a,IF(Iterations[[#This Row],[Step]] &gt; current_step, "",Iterations[[#This Row],[a]]))</f>
        <v/>
      </c>
      <c r="H1430" s="2" t="str">
        <f>IF(Iterations[[#This Row],[Step]] =current_step, current_b,IF(Iterations[[#This Row],[Step]] &gt; current_step, "",Iterations[[#This Row],[b]]))</f>
        <v/>
      </c>
      <c r="I1430" s="2" t="str">
        <f>IF(Iterations[[#This Row],[Step]] =current_step, current_c,IF(Iterations[[#This Row],[Step]] &gt; current_step, "",Iterations[[#This Row],[c]]))</f>
        <v/>
      </c>
      <c r="J1430" s="2" t="str">
        <f>IF(Iterations[[#This Row],[Step]] =current_step, current_d,IF(Iterations[[#This Row],[Step]] &gt; current_step, "",Iterations[[#This Row],[d]]))</f>
        <v/>
      </c>
      <c r="K1430" s="2" t="str">
        <f>IF(Iterations[[#This Row],[Step]] =current_step, current_e,IF(Iterations[[#This Row],[Step]] &gt; current_step, "",Iterations[[#This Row],[e]]))</f>
        <v/>
      </c>
      <c r="L1430" s="2" t="str">
        <f>IF(Iterations[[#This Row],[Step]] =current_step, current_Total_Loss,IF(Iterations[[#This Row],[Step]] &gt; current_step, "",Iterations[[#This Row],[Total Loss]]))</f>
        <v/>
      </c>
      <c r="M1430" s="6" t="s">
        <v>27</v>
      </c>
      <c r="N1430" s="2" t="str">
        <f>IF(Iterations[[#This Row],[Step]] =current_step, current_Grad_a,IF(Iterations[[#This Row],[Step]] &gt; current_step, "",Iterations[[#This Row],[Grad_a]]))</f>
        <v/>
      </c>
      <c r="O1430" s="2" t="str">
        <f>IF(Iterations[[#This Row],[Step]] =current_step, current_Grad_b,IF(Iterations[[#This Row],[Step]] &gt; current_step, "",Iterations[[#This Row],[Grad_b]]))</f>
        <v/>
      </c>
      <c r="P1430" s="2" t="str">
        <f>IF(Iterations[[#This Row],[Step]] =current_step, current_Grad_c,IF(Iterations[[#This Row],[Step]] &gt; current_step, "",Iterations[[#This Row],[Grad_c]]))</f>
        <v/>
      </c>
      <c r="Q1430" s="2" t="str">
        <f>IF(Iterations[[#This Row],[Step]] =current_step, current_Grad_d,IF(Iterations[[#This Row],[Step]] &gt; current_step, "",Iterations[[#This Row],[Grad_d]]))</f>
        <v/>
      </c>
      <c r="R1430" s="2" t="str">
        <f>IF(Iterations[[#This Row],[Step]] =current_step, current_Grad_e,IF(Iterations[[#This Row],[Step]] &gt; current_step, "",Iterations[[#This Row],[Grad_e]]))</f>
        <v/>
      </c>
    </row>
    <row r="1431" spans="6:18" x14ac:dyDescent="0.3">
      <c r="F1431" s="2">
        <f t="shared" si="27"/>
        <v>1414</v>
      </c>
      <c r="G1431" s="2" t="str">
        <f>IF(Iterations[[#This Row],[Step]] =current_step, current_a,IF(Iterations[[#This Row],[Step]] &gt; current_step, "",Iterations[[#This Row],[a]]))</f>
        <v/>
      </c>
      <c r="H1431" s="2" t="str">
        <f>IF(Iterations[[#This Row],[Step]] =current_step, current_b,IF(Iterations[[#This Row],[Step]] &gt; current_step, "",Iterations[[#This Row],[b]]))</f>
        <v/>
      </c>
      <c r="I1431" s="2" t="str">
        <f>IF(Iterations[[#This Row],[Step]] =current_step, current_c,IF(Iterations[[#This Row],[Step]] &gt; current_step, "",Iterations[[#This Row],[c]]))</f>
        <v/>
      </c>
      <c r="J1431" s="2" t="str">
        <f>IF(Iterations[[#This Row],[Step]] =current_step, current_d,IF(Iterations[[#This Row],[Step]] &gt; current_step, "",Iterations[[#This Row],[d]]))</f>
        <v/>
      </c>
      <c r="K1431" s="2" t="str">
        <f>IF(Iterations[[#This Row],[Step]] =current_step, current_e,IF(Iterations[[#This Row],[Step]] &gt; current_step, "",Iterations[[#This Row],[e]]))</f>
        <v/>
      </c>
      <c r="L1431" s="2" t="str">
        <f>IF(Iterations[[#This Row],[Step]] =current_step, current_Total_Loss,IF(Iterations[[#This Row],[Step]] &gt; current_step, "",Iterations[[#This Row],[Total Loss]]))</f>
        <v/>
      </c>
      <c r="M1431" s="6" t="s">
        <v>27</v>
      </c>
      <c r="N1431" s="2" t="str">
        <f>IF(Iterations[[#This Row],[Step]] =current_step, current_Grad_a,IF(Iterations[[#This Row],[Step]] &gt; current_step, "",Iterations[[#This Row],[Grad_a]]))</f>
        <v/>
      </c>
      <c r="O1431" s="2" t="str">
        <f>IF(Iterations[[#This Row],[Step]] =current_step, current_Grad_b,IF(Iterations[[#This Row],[Step]] &gt; current_step, "",Iterations[[#This Row],[Grad_b]]))</f>
        <v/>
      </c>
      <c r="P1431" s="2" t="str">
        <f>IF(Iterations[[#This Row],[Step]] =current_step, current_Grad_c,IF(Iterations[[#This Row],[Step]] &gt; current_step, "",Iterations[[#This Row],[Grad_c]]))</f>
        <v/>
      </c>
      <c r="Q1431" s="2" t="str">
        <f>IF(Iterations[[#This Row],[Step]] =current_step, current_Grad_d,IF(Iterations[[#This Row],[Step]] &gt; current_step, "",Iterations[[#This Row],[Grad_d]]))</f>
        <v/>
      </c>
      <c r="R1431" s="2" t="str">
        <f>IF(Iterations[[#This Row],[Step]] =current_step, current_Grad_e,IF(Iterations[[#This Row],[Step]] &gt; current_step, "",Iterations[[#This Row],[Grad_e]]))</f>
        <v/>
      </c>
    </row>
    <row r="1432" spans="6:18" x14ac:dyDescent="0.3">
      <c r="F1432" s="2">
        <f t="shared" si="27"/>
        <v>1415</v>
      </c>
      <c r="G1432" s="2" t="str">
        <f>IF(Iterations[[#This Row],[Step]] =current_step, current_a,IF(Iterations[[#This Row],[Step]] &gt; current_step, "",Iterations[[#This Row],[a]]))</f>
        <v/>
      </c>
      <c r="H1432" s="2" t="str">
        <f>IF(Iterations[[#This Row],[Step]] =current_step, current_b,IF(Iterations[[#This Row],[Step]] &gt; current_step, "",Iterations[[#This Row],[b]]))</f>
        <v/>
      </c>
      <c r="I1432" s="2" t="str">
        <f>IF(Iterations[[#This Row],[Step]] =current_step, current_c,IF(Iterations[[#This Row],[Step]] &gt; current_step, "",Iterations[[#This Row],[c]]))</f>
        <v/>
      </c>
      <c r="J1432" s="2" t="str">
        <f>IF(Iterations[[#This Row],[Step]] =current_step, current_d,IF(Iterations[[#This Row],[Step]] &gt; current_step, "",Iterations[[#This Row],[d]]))</f>
        <v/>
      </c>
      <c r="K1432" s="2" t="str">
        <f>IF(Iterations[[#This Row],[Step]] =current_step, current_e,IF(Iterations[[#This Row],[Step]] &gt; current_step, "",Iterations[[#This Row],[e]]))</f>
        <v/>
      </c>
      <c r="L1432" s="2" t="str">
        <f>IF(Iterations[[#This Row],[Step]] =current_step, current_Total_Loss,IF(Iterations[[#This Row],[Step]] &gt; current_step, "",Iterations[[#This Row],[Total Loss]]))</f>
        <v/>
      </c>
      <c r="M1432" s="6" t="s">
        <v>27</v>
      </c>
      <c r="N1432" s="2" t="str">
        <f>IF(Iterations[[#This Row],[Step]] =current_step, current_Grad_a,IF(Iterations[[#This Row],[Step]] &gt; current_step, "",Iterations[[#This Row],[Grad_a]]))</f>
        <v/>
      </c>
      <c r="O1432" s="2" t="str">
        <f>IF(Iterations[[#This Row],[Step]] =current_step, current_Grad_b,IF(Iterations[[#This Row],[Step]] &gt; current_step, "",Iterations[[#This Row],[Grad_b]]))</f>
        <v/>
      </c>
      <c r="P1432" s="2" t="str">
        <f>IF(Iterations[[#This Row],[Step]] =current_step, current_Grad_c,IF(Iterations[[#This Row],[Step]] &gt; current_step, "",Iterations[[#This Row],[Grad_c]]))</f>
        <v/>
      </c>
      <c r="Q1432" s="2" t="str">
        <f>IF(Iterations[[#This Row],[Step]] =current_step, current_Grad_d,IF(Iterations[[#This Row],[Step]] &gt; current_step, "",Iterations[[#This Row],[Grad_d]]))</f>
        <v/>
      </c>
      <c r="R1432" s="2" t="str">
        <f>IF(Iterations[[#This Row],[Step]] =current_step, current_Grad_e,IF(Iterations[[#This Row],[Step]] &gt; current_step, "",Iterations[[#This Row],[Grad_e]]))</f>
        <v/>
      </c>
    </row>
    <row r="1433" spans="6:18" x14ac:dyDescent="0.3">
      <c r="F1433" s="2">
        <f t="shared" si="27"/>
        <v>1416</v>
      </c>
      <c r="G1433" s="2" t="str">
        <f>IF(Iterations[[#This Row],[Step]] =current_step, current_a,IF(Iterations[[#This Row],[Step]] &gt; current_step, "",Iterations[[#This Row],[a]]))</f>
        <v/>
      </c>
      <c r="H1433" s="2" t="str">
        <f>IF(Iterations[[#This Row],[Step]] =current_step, current_b,IF(Iterations[[#This Row],[Step]] &gt; current_step, "",Iterations[[#This Row],[b]]))</f>
        <v/>
      </c>
      <c r="I1433" s="2" t="str">
        <f>IF(Iterations[[#This Row],[Step]] =current_step, current_c,IF(Iterations[[#This Row],[Step]] &gt; current_step, "",Iterations[[#This Row],[c]]))</f>
        <v/>
      </c>
      <c r="J1433" s="2" t="str">
        <f>IF(Iterations[[#This Row],[Step]] =current_step, current_d,IF(Iterations[[#This Row],[Step]] &gt; current_step, "",Iterations[[#This Row],[d]]))</f>
        <v/>
      </c>
      <c r="K1433" s="2" t="str">
        <f>IF(Iterations[[#This Row],[Step]] =current_step, current_e,IF(Iterations[[#This Row],[Step]] &gt; current_step, "",Iterations[[#This Row],[e]]))</f>
        <v/>
      </c>
      <c r="L1433" s="2" t="str">
        <f>IF(Iterations[[#This Row],[Step]] =current_step, current_Total_Loss,IF(Iterations[[#This Row],[Step]] &gt; current_step, "",Iterations[[#This Row],[Total Loss]]))</f>
        <v/>
      </c>
      <c r="M1433" s="6" t="s">
        <v>27</v>
      </c>
      <c r="N1433" s="2" t="str">
        <f>IF(Iterations[[#This Row],[Step]] =current_step, current_Grad_a,IF(Iterations[[#This Row],[Step]] &gt; current_step, "",Iterations[[#This Row],[Grad_a]]))</f>
        <v/>
      </c>
      <c r="O1433" s="2" t="str">
        <f>IF(Iterations[[#This Row],[Step]] =current_step, current_Grad_b,IF(Iterations[[#This Row],[Step]] &gt; current_step, "",Iterations[[#This Row],[Grad_b]]))</f>
        <v/>
      </c>
      <c r="P1433" s="2" t="str">
        <f>IF(Iterations[[#This Row],[Step]] =current_step, current_Grad_c,IF(Iterations[[#This Row],[Step]] &gt; current_step, "",Iterations[[#This Row],[Grad_c]]))</f>
        <v/>
      </c>
      <c r="Q1433" s="2" t="str">
        <f>IF(Iterations[[#This Row],[Step]] =current_step, current_Grad_d,IF(Iterations[[#This Row],[Step]] &gt; current_step, "",Iterations[[#This Row],[Grad_d]]))</f>
        <v/>
      </c>
      <c r="R1433" s="2" t="str">
        <f>IF(Iterations[[#This Row],[Step]] =current_step, current_Grad_e,IF(Iterations[[#This Row],[Step]] &gt; current_step, "",Iterations[[#This Row],[Grad_e]]))</f>
        <v/>
      </c>
    </row>
    <row r="1434" spans="6:18" x14ac:dyDescent="0.3">
      <c r="F1434" s="2">
        <f t="shared" si="27"/>
        <v>1417</v>
      </c>
      <c r="G1434" s="2" t="str">
        <f>IF(Iterations[[#This Row],[Step]] =current_step, current_a,IF(Iterations[[#This Row],[Step]] &gt; current_step, "",Iterations[[#This Row],[a]]))</f>
        <v/>
      </c>
      <c r="H1434" s="2" t="str">
        <f>IF(Iterations[[#This Row],[Step]] =current_step, current_b,IF(Iterations[[#This Row],[Step]] &gt; current_step, "",Iterations[[#This Row],[b]]))</f>
        <v/>
      </c>
      <c r="I1434" s="2" t="str">
        <f>IF(Iterations[[#This Row],[Step]] =current_step, current_c,IF(Iterations[[#This Row],[Step]] &gt; current_step, "",Iterations[[#This Row],[c]]))</f>
        <v/>
      </c>
      <c r="J1434" s="2" t="str">
        <f>IF(Iterations[[#This Row],[Step]] =current_step, current_d,IF(Iterations[[#This Row],[Step]] &gt; current_step, "",Iterations[[#This Row],[d]]))</f>
        <v/>
      </c>
      <c r="K1434" s="2" t="str">
        <f>IF(Iterations[[#This Row],[Step]] =current_step, current_e,IF(Iterations[[#This Row],[Step]] &gt; current_step, "",Iterations[[#This Row],[e]]))</f>
        <v/>
      </c>
      <c r="L1434" s="2" t="str">
        <f>IF(Iterations[[#This Row],[Step]] =current_step, current_Total_Loss,IF(Iterations[[#This Row],[Step]] &gt; current_step, "",Iterations[[#This Row],[Total Loss]]))</f>
        <v/>
      </c>
      <c r="M1434" s="6" t="s">
        <v>27</v>
      </c>
      <c r="N1434" s="2" t="str">
        <f>IF(Iterations[[#This Row],[Step]] =current_step, current_Grad_a,IF(Iterations[[#This Row],[Step]] &gt; current_step, "",Iterations[[#This Row],[Grad_a]]))</f>
        <v/>
      </c>
      <c r="O1434" s="2" t="str">
        <f>IF(Iterations[[#This Row],[Step]] =current_step, current_Grad_b,IF(Iterations[[#This Row],[Step]] &gt; current_step, "",Iterations[[#This Row],[Grad_b]]))</f>
        <v/>
      </c>
      <c r="P1434" s="2" t="str">
        <f>IF(Iterations[[#This Row],[Step]] =current_step, current_Grad_c,IF(Iterations[[#This Row],[Step]] &gt; current_step, "",Iterations[[#This Row],[Grad_c]]))</f>
        <v/>
      </c>
      <c r="Q1434" s="2" t="str">
        <f>IF(Iterations[[#This Row],[Step]] =current_step, current_Grad_d,IF(Iterations[[#This Row],[Step]] &gt; current_step, "",Iterations[[#This Row],[Grad_d]]))</f>
        <v/>
      </c>
      <c r="R1434" s="2" t="str">
        <f>IF(Iterations[[#This Row],[Step]] =current_step, current_Grad_e,IF(Iterations[[#This Row],[Step]] &gt; current_step, "",Iterations[[#This Row],[Grad_e]]))</f>
        <v/>
      </c>
    </row>
    <row r="1435" spans="6:18" x14ac:dyDescent="0.3">
      <c r="F1435" s="2">
        <f t="shared" si="27"/>
        <v>1418</v>
      </c>
      <c r="G1435" s="2" t="str">
        <f>IF(Iterations[[#This Row],[Step]] =current_step, current_a,IF(Iterations[[#This Row],[Step]] &gt; current_step, "",Iterations[[#This Row],[a]]))</f>
        <v/>
      </c>
      <c r="H1435" s="2" t="str">
        <f>IF(Iterations[[#This Row],[Step]] =current_step, current_b,IF(Iterations[[#This Row],[Step]] &gt; current_step, "",Iterations[[#This Row],[b]]))</f>
        <v/>
      </c>
      <c r="I1435" s="2" t="str">
        <f>IF(Iterations[[#This Row],[Step]] =current_step, current_c,IF(Iterations[[#This Row],[Step]] &gt; current_step, "",Iterations[[#This Row],[c]]))</f>
        <v/>
      </c>
      <c r="J1435" s="2" t="str">
        <f>IF(Iterations[[#This Row],[Step]] =current_step, current_d,IF(Iterations[[#This Row],[Step]] &gt; current_step, "",Iterations[[#This Row],[d]]))</f>
        <v/>
      </c>
      <c r="K1435" s="2" t="str">
        <f>IF(Iterations[[#This Row],[Step]] =current_step, current_e,IF(Iterations[[#This Row],[Step]] &gt; current_step, "",Iterations[[#This Row],[e]]))</f>
        <v/>
      </c>
      <c r="L1435" s="2" t="str">
        <f>IF(Iterations[[#This Row],[Step]] =current_step, current_Total_Loss,IF(Iterations[[#This Row],[Step]] &gt; current_step, "",Iterations[[#This Row],[Total Loss]]))</f>
        <v/>
      </c>
      <c r="M1435" s="6" t="s">
        <v>27</v>
      </c>
      <c r="N1435" s="2" t="str">
        <f>IF(Iterations[[#This Row],[Step]] =current_step, current_Grad_a,IF(Iterations[[#This Row],[Step]] &gt; current_step, "",Iterations[[#This Row],[Grad_a]]))</f>
        <v/>
      </c>
      <c r="O1435" s="2" t="str">
        <f>IF(Iterations[[#This Row],[Step]] =current_step, current_Grad_b,IF(Iterations[[#This Row],[Step]] &gt; current_step, "",Iterations[[#This Row],[Grad_b]]))</f>
        <v/>
      </c>
      <c r="P1435" s="2" t="str">
        <f>IF(Iterations[[#This Row],[Step]] =current_step, current_Grad_c,IF(Iterations[[#This Row],[Step]] &gt; current_step, "",Iterations[[#This Row],[Grad_c]]))</f>
        <v/>
      </c>
      <c r="Q1435" s="2" t="str">
        <f>IF(Iterations[[#This Row],[Step]] =current_step, current_Grad_d,IF(Iterations[[#This Row],[Step]] &gt; current_step, "",Iterations[[#This Row],[Grad_d]]))</f>
        <v/>
      </c>
      <c r="R1435" s="2" t="str">
        <f>IF(Iterations[[#This Row],[Step]] =current_step, current_Grad_e,IF(Iterations[[#This Row],[Step]] &gt; current_step, "",Iterations[[#This Row],[Grad_e]]))</f>
        <v/>
      </c>
    </row>
    <row r="1436" spans="6:18" x14ac:dyDescent="0.3">
      <c r="F1436" s="2">
        <f t="shared" si="27"/>
        <v>1419</v>
      </c>
      <c r="G1436" s="2" t="str">
        <f>IF(Iterations[[#This Row],[Step]] =current_step, current_a,IF(Iterations[[#This Row],[Step]] &gt; current_step, "",Iterations[[#This Row],[a]]))</f>
        <v/>
      </c>
      <c r="H1436" s="2" t="str">
        <f>IF(Iterations[[#This Row],[Step]] =current_step, current_b,IF(Iterations[[#This Row],[Step]] &gt; current_step, "",Iterations[[#This Row],[b]]))</f>
        <v/>
      </c>
      <c r="I1436" s="2" t="str">
        <f>IF(Iterations[[#This Row],[Step]] =current_step, current_c,IF(Iterations[[#This Row],[Step]] &gt; current_step, "",Iterations[[#This Row],[c]]))</f>
        <v/>
      </c>
      <c r="J1436" s="2" t="str">
        <f>IF(Iterations[[#This Row],[Step]] =current_step, current_d,IF(Iterations[[#This Row],[Step]] &gt; current_step, "",Iterations[[#This Row],[d]]))</f>
        <v/>
      </c>
      <c r="K1436" s="2" t="str">
        <f>IF(Iterations[[#This Row],[Step]] =current_step, current_e,IF(Iterations[[#This Row],[Step]] &gt; current_step, "",Iterations[[#This Row],[e]]))</f>
        <v/>
      </c>
      <c r="L1436" s="2" t="str">
        <f>IF(Iterations[[#This Row],[Step]] =current_step, current_Total_Loss,IF(Iterations[[#This Row],[Step]] &gt; current_step, "",Iterations[[#This Row],[Total Loss]]))</f>
        <v/>
      </c>
      <c r="M1436" s="6" t="s">
        <v>27</v>
      </c>
      <c r="N1436" s="2" t="str">
        <f>IF(Iterations[[#This Row],[Step]] =current_step, current_Grad_a,IF(Iterations[[#This Row],[Step]] &gt; current_step, "",Iterations[[#This Row],[Grad_a]]))</f>
        <v/>
      </c>
      <c r="O1436" s="2" t="str">
        <f>IF(Iterations[[#This Row],[Step]] =current_step, current_Grad_b,IF(Iterations[[#This Row],[Step]] &gt; current_step, "",Iterations[[#This Row],[Grad_b]]))</f>
        <v/>
      </c>
      <c r="P1436" s="2" t="str">
        <f>IF(Iterations[[#This Row],[Step]] =current_step, current_Grad_c,IF(Iterations[[#This Row],[Step]] &gt; current_step, "",Iterations[[#This Row],[Grad_c]]))</f>
        <v/>
      </c>
      <c r="Q1436" s="2" t="str">
        <f>IF(Iterations[[#This Row],[Step]] =current_step, current_Grad_d,IF(Iterations[[#This Row],[Step]] &gt; current_step, "",Iterations[[#This Row],[Grad_d]]))</f>
        <v/>
      </c>
      <c r="R1436" s="2" t="str">
        <f>IF(Iterations[[#This Row],[Step]] =current_step, current_Grad_e,IF(Iterations[[#This Row],[Step]] &gt; current_step, "",Iterations[[#This Row],[Grad_e]]))</f>
        <v/>
      </c>
    </row>
    <row r="1437" spans="6:18" x14ac:dyDescent="0.3">
      <c r="F1437" s="2">
        <f t="shared" si="27"/>
        <v>1420</v>
      </c>
      <c r="G1437" s="2" t="str">
        <f>IF(Iterations[[#This Row],[Step]] =current_step, current_a,IF(Iterations[[#This Row],[Step]] &gt; current_step, "",Iterations[[#This Row],[a]]))</f>
        <v/>
      </c>
      <c r="H1437" s="2" t="str">
        <f>IF(Iterations[[#This Row],[Step]] =current_step, current_b,IF(Iterations[[#This Row],[Step]] &gt; current_step, "",Iterations[[#This Row],[b]]))</f>
        <v/>
      </c>
      <c r="I1437" s="2" t="str">
        <f>IF(Iterations[[#This Row],[Step]] =current_step, current_c,IF(Iterations[[#This Row],[Step]] &gt; current_step, "",Iterations[[#This Row],[c]]))</f>
        <v/>
      </c>
      <c r="J1437" s="2" t="str">
        <f>IF(Iterations[[#This Row],[Step]] =current_step, current_d,IF(Iterations[[#This Row],[Step]] &gt; current_step, "",Iterations[[#This Row],[d]]))</f>
        <v/>
      </c>
      <c r="K1437" s="2" t="str">
        <f>IF(Iterations[[#This Row],[Step]] =current_step, current_e,IF(Iterations[[#This Row],[Step]] &gt; current_step, "",Iterations[[#This Row],[e]]))</f>
        <v/>
      </c>
      <c r="L1437" s="2" t="str">
        <f>IF(Iterations[[#This Row],[Step]] =current_step, current_Total_Loss,IF(Iterations[[#This Row],[Step]] &gt; current_step, "",Iterations[[#This Row],[Total Loss]]))</f>
        <v/>
      </c>
      <c r="M1437" s="6" t="s">
        <v>27</v>
      </c>
      <c r="N1437" s="2" t="str">
        <f>IF(Iterations[[#This Row],[Step]] =current_step, current_Grad_a,IF(Iterations[[#This Row],[Step]] &gt; current_step, "",Iterations[[#This Row],[Grad_a]]))</f>
        <v/>
      </c>
      <c r="O1437" s="2" t="str">
        <f>IF(Iterations[[#This Row],[Step]] =current_step, current_Grad_b,IF(Iterations[[#This Row],[Step]] &gt; current_step, "",Iterations[[#This Row],[Grad_b]]))</f>
        <v/>
      </c>
      <c r="P1437" s="2" t="str">
        <f>IF(Iterations[[#This Row],[Step]] =current_step, current_Grad_c,IF(Iterations[[#This Row],[Step]] &gt; current_step, "",Iterations[[#This Row],[Grad_c]]))</f>
        <v/>
      </c>
      <c r="Q1437" s="2" t="str">
        <f>IF(Iterations[[#This Row],[Step]] =current_step, current_Grad_d,IF(Iterations[[#This Row],[Step]] &gt; current_step, "",Iterations[[#This Row],[Grad_d]]))</f>
        <v/>
      </c>
      <c r="R1437" s="2" t="str">
        <f>IF(Iterations[[#This Row],[Step]] =current_step, current_Grad_e,IF(Iterations[[#This Row],[Step]] &gt; current_step, "",Iterations[[#This Row],[Grad_e]]))</f>
        <v/>
      </c>
    </row>
    <row r="1438" spans="6:18" x14ac:dyDescent="0.3">
      <c r="F1438" s="2">
        <f t="shared" si="27"/>
        <v>1421</v>
      </c>
      <c r="G1438" s="2" t="str">
        <f>IF(Iterations[[#This Row],[Step]] =current_step, current_a,IF(Iterations[[#This Row],[Step]] &gt; current_step, "",Iterations[[#This Row],[a]]))</f>
        <v/>
      </c>
      <c r="H1438" s="2" t="str">
        <f>IF(Iterations[[#This Row],[Step]] =current_step, current_b,IF(Iterations[[#This Row],[Step]] &gt; current_step, "",Iterations[[#This Row],[b]]))</f>
        <v/>
      </c>
      <c r="I1438" s="2" t="str">
        <f>IF(Iterations[[#This Row],[Step]] =current_step, current_c,IF(Iterations[[#This Row],[Step]] &gt; current_step, "",Iterations[[#This Row],[c]]))</f>
        <v/>
      </c>
      <c r="J1438" s="2" t="str">
        <f>IF(Iterations[[#This Row],[Step]] =current_step, current_d,IF(Iterations[[#This Row],[Step]] &gt; current_step, "",Iterations[[#This Row],[d]]))</f>
        <v/>
      </c>
      <c r="K1438" s="2" t="str">
        <f>IF(Iterations[[#This Row],[Step]] =current_step, current_e,IF(Iterations[[#This Row],[Step]] &gt; current_step, "",Iterations[[#This Row],[e]]))</f>
        <v/>
      </c>
      <c r="L1438" s="2" t="str">
        <f>IF(Iterations[[#This Row],[Step]] =current_step, current_Total_Loss,IF(Iterations[[#This Row],[Step]] &gt; current_step, "",Iterations[[#This Row],[Total Loss]]))</f>
        <v/>
      </c>
      <c r="M1438" s="6" t="s">
        <v>27</v>
      </c>
      <c r="N1438" s="2" t="str">
        <f>IF(Iterations[[#This Row],[Step]] =current_step, current_Grad_a,IF(Iterations[[#This Row],[Step]] &gt; current_step, "",Iterations[[#This Row],[Grad_a]]))</f>
        <v/>
      </c>
      <c r="O1438" s="2" t="str">
        <f>IF(Iterations[[#This Row],[Step]] =current_step, current_Grad_b,IF(Iterations[[#This Row],[Step]] &gt; current_step, "",Iterations[[#This Row],[Grad_b]]))</f>
        <v/>
      </c>
      <c r="P1438" s="2" t="str">
        <f>IF(Iterations[[#This Row],[Step]] =current_step, current_Grad_c,IF(Iterations[[#This Row],[Step]] &gt; current_step, "",Iterations[[#This Row],[Grad_c]]))</f>
        <v/>
      </c>
      <c r="Q1438" s="2" t="str">
        <f>IF(Iterations[[#This Row],[Step]] =current_step, current_Grad_d,IF(Iterations[[#This Row],[Step]] &gt; current_step, "",Iterations[[#This Row],[Grad_d]]))</f>
        <v/>
      </c>
      <c r="R1438" s="2" t="str">
        <f>IF(Iterations[[#This Row],[Step]] =current_step, current_Grad_e,IF(Iterations[[#This Row],[Step]] &gt; current_step, "",Iterations[[#This Row],[Grad_e]]))</f>
        <v/>
      </c>
    </row>
    <row r="1439" spans="6:18" x14ac:dyDescent="0.3">
      <c r="F1439" s="2">
        <f t="shared" si="27"/>
        <v>1422</v>
      </c>
      <c r="G1439" s="2" t="str">
        <f>IF(Iterations[[#This Row],[Step]] =current_step, current_a,IF(Iterations[[#This Row],[Step]] &gt; current_step, "",Iterations[[#This Row],[a]]))</f>
        <v/>
      </c>
      <c r="H1439" s="2" t="str">
        <f>IF(Iterations[[#This Row],[Step]] =current_step, current_b,IF(Iterations[[#This Row],[Step]] &gt; current_step, "",Iterations[[#This Row],[b]]))</f>
        <v/>
      </c>
      <c r="I1439" s="2" t="str">
        <f>IF(Iterations[[#This Row],[Step]] =current_step, current_c,IF(Iterations[[#This Row],[Step]] &gt; current_step, "",Iterations[[#This Row],[c]]))</f>
        <v/>
      </c>
      <c r="J1439" s="2" t="str">
        <f>IF(Iterations[[#This Row],[Step]] =current_step, current_d,IF(Iterations[[#This Row],[Step]] &gt; current_step, "",Iterations[[#This Row],[d]]))</f>
        <v/>
      </c>
      <c r="K1439" s="2" t="str">
        <f>IF(Iterations[[#This Row],[Step]] =current_step, current_e,IF(Iterations[[#This Row],[Step]] &gt; current_step, "",Iterations[[#This Row],[e]]))</f>
        <v/>
      </c>
      <c r="L1439" s="2" t="str">
        <f>IF(Iterations[[#This Row],[Step]] =current_step, current_Total_Loss,IF(Iterations[[#This Row],[Step]] &gt; current_step, "",Iterations[[#This Row],[Total Loss]]))</f>
        <v/>
      </c>
      <c r="M1439" s="6" t="s">
        <v>27</v>
      </c>
      <c r="N1439" s="2" t="str">
        <f>IF(Iterations[[#This Row],[Step]] =current_step, current_Grad_a,IF(Iterations[[#This Row],[Step]] &gt; current_step, "",Iterations[[#This Row],[Grad_a]]))</f>
        <v/>
      </c>
      <c r="O1439" s="2" t="str">
        <f>IF(Iterations[[#This Row],[Step]] =current_step, current_Grad_b,IF(Iterations[[#This Row],[Step]] &gt; current_step, "",Iterations[[#This Row],[Grad_b]]))</f>
        <v/>
      </c>
      <c r="P1439" s="2" t="str">
        <f>IF(Iterations[[#This Row],[Step]] =current_step, current_Grad_c,IF(Iterations[[#This Row],[Step]] &gt; current_step, "",Iterations[[#This Row],[Grad_c]]))</f>
        <v/>
      </c>
      <c r="Q1439" s="2" t="str">
        <f>IF(Iterations[[#This Row],[Step]] =current_step, current_Grad_d,IF(Iterations[[#This Row],[Step]] &gt; current_step, "",Iterations[[#This Row],[Grad_d]]))</f>
        <v/>
      </c>
      <c r="R1439" s="2" t="str">
        <f>IF(Iterations[[#This Row],[Step]] =current_step, current_Grad_e,IF(Iterations[[#This Row],[Step]] &gt; current_step, "",Iterations[[#This Row],[Grad_e]]))</f>
        <v/>
      </c>
    </row>
    <row r="1440" spans="6:18" x14ac:dyDescent="0.3">
      <c r="F1440" s="2">
        <f t="shared" si="27"/>
        <v>1423</v>
      </c>
      <c r="G1440" s="2" t="str">
        <f>IF(Iterations[[#This Row],[Step]] =current_step, current_a,IF(Iterations[[#This Row],[Step]] &gt; current_step, "",Iterations[[#This Row],[a]]))</f>
        <v/>
      </c>
      <c r="H1440" s="2" t="str">
        <f>IF(Iterations[[#This Row],[Step]] =current_step, current_b,IF(Iterations[[#This Row],[Step]] &gt; current_step, "",Iterations[[#This Row],[b]]))</f>
        <v/>
      </c>
      <c r="I1440" s="2" t="str">
        <f>IF(Iterations[[#This Row],[Step]] =current_step, current_c,IF(Iterations[[#This Row],[Step]] &gt; current_step, "",Iterations[[#This Row],[c]]))</f>
        <v/>
      </c>
      <c r="J1440" s="2" t="str">
        <f>IF(Iterations[[#This Row],[Step]] =current_step, current_d,IF(Iterations[[#This Row],[Step]] &gt; current_step, "",Iterations[[#This Row],[d]]))</f>
        <v/>
      </c>
      <c r="K1440" s="2" t="str">
        <f>IF(Iterations[[#This Row],[Step]] =current_step, current_e,IF(Iterations[[#This Row],[Step]] &gt; current_step, "",Iterations[[#This Row],[e]]))</f>
        <v/>
      </c>
      <c r="L1440" s="2" t="str">
        <f>IF(Iterations[[#This Row],[Step]] =current_step, current_Total_Loss,IF(Iterations[[#This Row],[Step]] &gt; current_step, "",Iterations[[#This Row],[Total Loss]]))</f>
        <v/>
      </c>
      <c r="M1440" s="6" t="s">
        <v>27</v>
      </c>
      <c r="N1440" s="2" t="str">
        <f>IF(Iterations[[#This Row],[Step]] =current_step, current_Grad_a,IF(Iterations[[#This Row],[Step]] &gt; current_step, "",Iterations[[#This Row],[Grad_a]]))</f>
        <v/>
      </c>
      <c r="O1440" s="2" t="str">
        <f>IF(Iterations[[#This Row],[Step]] =current_step, current_Grad_b,IF(Iterations[[#This Row],[Step]] &gt; current_step, "",Iterations[[#This Row],[Grad_b]]))</f>
        <v/>
      </c>
      <c r="P1440" s="2" t="str">
        <f>IF(Iterations[[#This Row],[Step]] =current_step, current_Grad_c,IF(Iterations[[#This Row],[Step]] &gt; current_step, "",Iterations[[#This Row],[Grad_c]]))</f>
        <v/>
      </c>
      <c r="Q1440" s="2" t="str">
        <f>IF(Iterations[[#This Row],[Step]] =current_step, current_Grad_d,IF(Iterations[[#This Row],[Step]] &gt; current_step, "",Iterations[[#This Row],[Grad_d]]))</f>
        <v/>
      </c>
      <c r="R1440" s="2" t="str">
        <f>IF(Iterations[[#This Row],[Step]] =current_step, current_Grad_e,IF(Iterations[[#This Row],[Step]] &gt; current_step, "",Iterations[[#This Row],[Grad_e]]))</f>
        <v/>
      </c>
    </row>
    <row r="1441" spans="6:18" x14ac:dyDescent="0.3">
      <c r="F1441" s="2">
        <f t="shared" si="27"/>
        <v>1424</v>
      </c>
      <c r="G1441" s="2" t="str">
        <f>IF(Iterations[[#This Row],[Step]] =current_step, current_a,IF(Iterations[[#This Row],[Step]] &gt; current_step, "",Iterations[[#This Row],[a]]))</f>
        <v/>
      </c>
      <c r="H1441" s="2" t="str">
        <f>IF(Iterations[[#This Row],[Step]] =current_step, current_b,IF(Iterations[[#This Row],[Step]] &gt; current_step, "",Iterations[[#This Row],[b]]))</f>
        <v/>
      </c>
      <c r="I1441" s="2" t="str">
        <f>IF(Iterations[[#This Row],[Step]] =current_step, current_c,IF(Iterations[[#This Row],[Step]] &gt; current_step, "",Iterations[[#This Row],[c]]))</f>
        <v/>
      </c>
      <c r="J1441" s="2" t="str">
        <f>IF(Iterations[[#This Row],[Step]] =current_step, current_d,IF(Iterations[[#This Row],[Step]] &gt; current_step, "",Iterations[[#This Row],[d]]))</f>
        <v/>
      </c>
      <c r="K1441" s="2" t="str">
        <f>IF(Iterations[[#This Row],[Step]] =current_step, current_e,IF(Iterations[[#This Row],[Step]] &gt; current_step, "",Iterations[[#This Row],[e]]))</f>
        <v/>
      </c>
      <c r="L1441" s="2" t="str">
        <f>IF(Iterations[[#This Row],[Step]] =current_step, current_Total_Loss,IF(Iterations[[#This Row],[Step]] &gt; current_step, "",Iterations[[#This Row],[Total Loss]]))</f>
        <v/>
      </c>
      <c r="M1441" s="6" t="s">
        <v>27</v>
      </c>
      <c r="N1441" s="2" t="str">
        <f>IF(Iterations[[#This Row],[Step]] =current_step, current_Grad_a,IF(Iterations[[#This Row],[Step]] &gt; current_step, "",Iterations[[#This Row],[Grad_a]]))</f>
        <v/>
      </c>
      <c r="O1441" s="2" t="str">
        <f>IF(Iterations[[#This Row],[Step]] =current_step, current_Grad_b,IF(Iterations[[#This Row],[Step]] &gt; current_step, "",Iterations[[#This Row],[Grad_b]]))</f>
        <v/>
      </c>
      <c r="P1441" s="2" t="str">
        <f>IF(Iterations[[#This Row],[Step]] =current_step, current_Grad_c,IF(Iterations[[#This Row],[Step]] &gt; current_step, "",Iterations[[#This Row],[Grad_c]]))</f>
        <v/>
      </c>
      <c r="Q1441" s="2" t="str">
        <f>IF(Iterations[[#This Row],[Step]] =current_step, current_Grad_d,IF(Iterations[[#This Row],[Step]] &gt; current_step, "",Iterations[[#This Row],[Grad_d]]))</f>
        <v/>
      </c>
      <c r="R1441" s="2" t="str">
        <f>IF(Iterations[[#This Row],[Step]] =current_step, current_Grad_e,IF(Iterations[[#This Row],[Step]] &gt; current_step, "",Iterations[[#This Row],[Grad_e]]))</f>
        <v/>
      </c>
    </row>
    <row r="1442" spans="6:18" x14ac:dyDescent="0.3">
      <c r="F1442" s="2">
        <f t="shared" si="27"/>
        <v>1425</v>
      </c>
      <c r="G1442" s="2" t="str">
        <f>IF(Iterations[[#This Row],[Step]] =current_step, current_a,IF(Iterations[[#This Row],[Step]] &gt; current_step, "",Iterations[[#This Row],[a]]))</f>
        <v/>
      </c>
      <c r="H1442" s="2" t="str">
        <f>IF(Iterations[[#This Row],[Step]] =current_step, current_b,IF(Iterations[[#This Row],[Step]] &gt; current_step, "",Iterations[[#This Row],[b]]))</f>
        <v/>
      </c>
      <c r="I1442" s="2" t="str">
        <f>IF(Iterations[[#This Row],[Step]] =current_step, current_c,IF(Iterations[[#This Row],[Step]] &gt; current_step, "",Iterations[[#This Row],[c]]))</f>
        <v/>
      </c>
      <c r="J1442" s="2" t="str">
        <f>IF(Iterations[[#This Row],[Step]] =current_step, current_d,IF(Iterations[[#This Row],[Step]] &gt; current_step, "",Iterations[[#This Row],[d]]))</f>
        <v/>
      </c>
      <c r="K1442" s="2" t="str">
        <f>IF(Iterations[[#This Row],[Step]] =current_step, current_e,IF(Iterations[[#This Row],[Step]] &gt; current_step, "",Iterations[[#This Row],[e]]))</f>
        <v/>
      </c>
      <c r="L1442" s="2" t="str">
        <f>IF(Iterations[[#This Row],[Step]] =current_step, current_Total_Loss,IF(Iterations[[#This Row],[Step]] &gt; current_step, "",Iterations[[#This Row],[Total Loss]]))</f>
        <v/>
      </c>
      <c r="M1442" s="6" t="s">
        <v>27</v>
      </c>
      <c r="N1442" s="2" t="str">
        <f>IF(Iterations[[#This Row],[Step]] =current_step, current_Grad_a,IF(Iterations[[#This Row],[Step]] &gt; current_step, "",Iterations[[#This Row],[Grad_a]]))</f>
        <v/>
      </c>
      <c r="O1442" s="2" t="str">
        <f>IF(Iterations[[#This Row],[Step]] =current_step, current_Grad_b,IF(Iterations[[#This Row],[Step]] &gt; current_step, "",Iterations[[#This Row],[Grad_b]]))</f>
        <v/>
      </c>
      <c r="P1442" s="2" t="str">
        <f>IF(Iterations[[#This Row],[Step]] =current_step, current_Grad_c,IF(Iterations[[#This Row],[Step]] &gt; current_step, "",Iterations[[#This Row],[Grad_c]]))</f>
        <v/>
      </c>
      <c r="Q1442" s="2" t="str">
        <f>IF(Iterations[[#This Row],[Step]] =current_step, current_Grad_d,IF(Iterations[[#This Row],[Step]] &gt; current_step, "",Iterations[[#This Row],[Grad_d]]))</f>
        <v/>
      </c>
      <c r="R1442" s="2" t="str">
        <f>IF(Iterations[[#This Row],[Step]] =current_step, current_Grad_e,IF(Iterations[[#This Row],[Step]] &gt; current_step, "",Iterations[[#This Row],[Grad_e]]))</f>
        <v/>
      </c>
    </row>
    <row r="1443" spans="6:18" x14ac:dyDescent="0.3">
      <c r="F1443" s="2">
        <f t="shared" si="27"/>
        <v>1426</v>
      </c>
      <c r="G1443" s="2" t="str">
        <f>IF(Iterations[[#This Row],[Step]] =current_step, current_a,IF(Iterations[[#This Row],[Step]] &gt; current_step, "",Iterations[[#This Row],[a]]))</f>
        <v/>
      </c>
      <c r="H1443" s="2" t="str">
        <f>IF(Iterations[[#This Row],[Step]] =current_step, current_b,IF(Iterations[[#This Row],[Step]] &gt; current_step, "",Iterations[[#This Row],[b]]))</f>
        <v/>
      </c>
      <c r="I1443" s="2" t="str">
        <f>IF(Iterations[[#This Row],[Step]] =current_step, current_c,IF(Iterations[[#This Row],[Step]] &gt; current_step, "",Iterations[[#This Row],[c]]))</f>
        <v/>
      </c>
      <c r="J1443" s="2" t="str">
        <f>IF(Iterations[[#This Row],[Step]] =current_step, current_d,IF(Iterations[[#This Row],[Step]] &gt; current_step, "",Iterations[[#This Row],[d]]))</f>
        <v/>
      </c>
      <c r="K1443" s="2" t="str">
        <f>IF(Iterations[[#This Row],[Step]] =current_step, current_e,IF(Iterations[[#This Row],[Step]] &gt; current_step, "",Iterations[[#This Row],[e]]))</f>
        <v/>
      </c>
      <c r="L1443" s="2" t="str">
        <f>IF(Iterations[[#This Row],[Step]] =current_step, current_Total_Loss,IF(Iterations[[#This Row],[Step]] &gt; current_step, "",Iterations[[#This Row],[Total Loss]]))</f>
        <v/>
      </c>
      <c r="M1443" s="6" t="s">
        <v>27</v>
      </c>
      <c r="N1443" s="2" t="str">
        <f>IF(Iterations[[#This Row],[Step]] =current_step, current_Grad_a,IF(Iterations[[#This Row],[Step]] &gt; current_step, "",Iterations[[#This Row],[Grad_a]]))</f>
        <v/>
      </c>
      <c r="O1443" s="2" t="str">
        <f>IF(Iterations[[#This Row],[Step]] =current_step, current_Grad_b,IF(Iterations[[#This Row],[Step]] &gt; current_step, "",Iterations[[#This Row],[Grad_b]]))</f>
        <v/>
      </c>
      <c r="P1443" s="2" t="str">
        <f>IF(Iterations[[#This Row],[Step]] =current_step, current_Grad_c,IF(Iterations[[#This Row],[Step]] &gt; current_step, "",Iterations[[#This Row],[Grad_c]]))</f>
        <v/>
      </c>
      <c r="Q1443" s="2" t="str">
        <f>IF(Iterations[[#This Row],[Step]] =current_step, current_Grad_d,IF(Iterations[[#This Row],[Step]] &gt; current_step, "",Iterations[[#This Row],[Grad_d]]))</f>
        <v/>
      </c>
      <c r="R1443" s="2" t="str">
        <f>IF(Iterations[[#This Row],[Step]] =current_step, current_Grad_e,IF(Iterations[[#This Row],[Step]] &gt; current_step, "",Iterations[[#This Row],[Grad_e]]))</f>
        <v/>
      </c>
    </row>
    <row r="1444" spans="6:18" x14ac:dyDescent="0.3">
      <c r="F1444" s="2">
        <f t="shared" si="27"/>
        <v>1427</v>
      </c>
      <c r="G1444" s="2" t="str">
        <f>IF(Iterations[[#This Row],[Step]] =current_step, current_a,IF(Iterations[[#This Row],[Step]] &gt; current_step, "",Iterations[[#This Row],[a]]))</f>
        <v/>
      </c>
      <c r="H1444" s="2" t="str">
        <f>IF(Iterations[[#This Row],[Step]] =current_step, current_b,IF(Iterations[[#This Row],[Step]] &gt; current_step, "",Iterations[[#This Row],[b]]))</f>
        <v/>
      </c>
      <c r="I1444" s="2" t="str">
        <f>IF(Iterations[[#This Row],[Step]] =current_step, current_c,IF(Iterations[[#This Row],[Step]] &gt; current_step, "",Iterations[[#This Row],[c]]))</f>
        <v/>
      </c>
      <c r="J1444" s="2" t="str">
        <f>IF(Iterations[[#This Row],[Step]] =current_step, current_d,IF(Iterations[[#This Row],[Step]] &gt; current_step, "",Iterations[[#This Row],[d]]))</f>
        <v/>
      </c>
      <c r="K1444" s="2" t="str">
        <f>IF(Iterations[[#This Row],[Step]] =current_step, current_e,IF(Iterations[[#This Row],[Step]] &gt; current_step, "",Iterations[[#This Row],[e]]))</f>
        <v/>
      </c>
      <c r="L1444" s="2" t="str">
        <f>IF(Iterations[[#This Row],[Step]] =current_step, current_Total_Loss,IF(Iterations[[#This Row],[Step]] &gt; current_step, "",Iterations[[#This Row],[Total Loss]]))</f>
        <v/>
      </c>
      <c r="M1444" s="6" t="s">
        <v>27</v>
      </c>
      <c r="N1444" s="2" t="str">
        <f>IF(Iterations[[#This Row],[Step]] =current_step, current_Grad_a,IF(Iterations[[#This Row],[Step]] &gt; current_step, "",Iterations[[#This Row],[Grad_a]]))</f>
        <v/>
      </c>
      <c r="O1444" s="2" t="str">
        <f>IF(Iterations[[#This Row],[Step]] =current_step, current_Grad_b,IF(Iterations[[#This Row],[Step]] &gt; current_step, "",Iterations[[#This Row],[Grad_b]]))</f>
        <v/>
      </c>
      <c r="P1444" s="2" t="str">
        <f>IF(Iterations[[#This Row],[Step]] =current_step, current_Grad_c,IF(Iterations[[#This Row],[Step]] &gt; current_step, "",Iterations[[#This Row],[Grad_c]]))</f>
        <v/>
      </c>
      <c r="Q1444" s="2" t="str">
        <f>IF(Iterations[[#This Row],[Step]] =current_step, current_Grad_d,IF(Iterations[[#This Row],[Step]] &gt; current_step, "",Iterations[[#This Row],[Grad_d]]))</f>
        <v/>
      </c>
      <c r="R1444" s="2" t="str">
        <f>IF(Iterations[[#This Row],[Step]] =current_step, current_Grad_e,IF(Iterations[[#This Row],[Step]] &gt; current_step, "",Iterations[[#This Row],[Grad_e]]))</f>
        <v/>
      </c>
    </row>
    <row r="1445" spans="6:18" x14ac:dyDescent="0.3">
      <c r="F1445" s="2">
        <f t="shared" si="27"/>
        <v>1428</v>
      </c>
      <c r="G1445" s="2" t="str">
        <f>IF(Iterations[[#This Row],[Step]] =current_step, current_a,IF(Iterations[[#This Row],[Step]] &gt; current_step, "",Iterations[[#This Row],[a]]))</f>
        <v/>
      </c>
      <c r="H1445" s="2" t="str">
        <f>IF(Iterations[[#This Row],[Step]] =current_step, current_b,IF(Iterations[[#This Row],[Step]] &gt; current_step, "",Iterations[[#This Row],[b]]))</f>
        <v/>
      </c>
      <c r="I1445" s="2" t="str">
        <f>IF(Iterations[[#This Row],[Step]] =current_step, current_c,IF(Iterations[[#This Row],[Step]] &gt; current_step, "",Iterations[[#This Row],[c]]))</f>
        <v/>
      </c>
      <c r="J1445" s="2" t="str">
        <f>IF(Iterations[[#This Row],[Step]] =current_step, current_d,IF(Iterations[[#This Row],[Step]] &gt; current_step, "",Iterations[[#This Row],[d]]))</f>
        <v/>
      </c>
      <c r="K1445" s="2" t="str">
        <f>IF(Iterations[[#This Row],[Step]] =current_step, current_e,IF(Iterations[[#This Row],[Step]] &gt; current_step, "",Iterations[[#This Row],[e]]))</f>
        <v/>
      </c>
      <c r="L1445" s="2" t="str">
        <f>IF(Iterations[[#This Row],[Step]] =current_step, current_Total_Loss,IF(Iterations[[#This Row],[Step]] &gt; current_step, "",Iterations[[#This Row],[Total Loss]]))</f>
        <v/>
      </c>
      <c r="M1445" s="6" t="s">
        <v>27</v>
      </c>
      <c r="N1445" s="2" t="str">
        <f>IF(Iterations[[#This Row],[Step]] =current_step, current_Grad_a,IF(Iterations[[#This Row],[Step]] &gt; current_step, "",Iterations[[#This Row],[Grad_a]]))</f>
        <v/>
      </c>
      <c r="O1445" s="2" t="str">
        <f>IF(Iterations[[#This Row],[Step]] =current_step, current_Grad_b,IF(Iterations[[#This Row],[Step]] &gt; current_step, "",Iterations[[#This Row],[Grad_b]]))</f>
        <v/>
      </c>
      <c r="P1445" s="2" t="str">
        <f>IF(Iterations[[#This Row],[Step]] =current_step, current_Grad_c,IF(Iterations[[#This Row],[Step]] &gt; current_step, "",Iterations[[#This Row],[Grad_c]]))</f>
        <v/>
      </c>
      <c r="Q1445" s="2" t="str">
        <f>IF(Iterations[[#This Row],[Step]] =current_step, current_Grad_d,IF(Iterations[[#This Row],[Step]] &gt; current_step, "",Iterations[[#This Row],[Grad_d]]))</f>
        <v/>
      </c>
      <c r="R1445" s="2" t="str">
        <f>IF(Iterations[[#This Row],[Step]] =current_step, current_Grad_e,IF(Iterations[[#This Row],[Step]] &gt; current_step, "",Iterations[[#This Row],[Grad_e]]))</f>
        <v/>
      </c>
    </row>
    <row r="1446" spans="6:18" x14ac:dyDescent="0.3">
      <c r="F1446" s="2">
        <f t="shared" si="27"/>
        <v>1429</v>
      </c>
      <c r="G1446" s="2" t="str">
        <f>IF(Iterations[[#This Row],[Step]] =current_step, current_a,IF(Iterations[[#This Row],[Step]] &gt; current_step, "",Iterations[[#This Row],[a]]))</f>
        <v/>
      </c>
      <c r="H1446" s="2" t="str">
        <f>IF(Iterations[[#This Row],[Step]] =current_step, current_b,IF(Iterations[[#This Row],[Step]] &gt; current_step, "",Iterations[[#This Row],[b]]))</f>
        <v/>
      </c>
      <c r="I1446" s="2" t="str">
        <f>IF(Iterations[[#This Row],[Step]] =current_step, current_c,IF(Iterations[[#This Row],[Step]] &gt; current_step, "",Iterations[[#This Row],[c]]))</f>
        <v/>
      </c>
      <c r="J1446" s="2" t="str">
        <f>IF(Iterations[[#This Row],[Step]] =current_step, current_d,IF(Iterations[[#This Row],[Step]] &gt; current_step, "",Iterations[[#This Row],[d]]))</f>
        <v/>
      </c>
      <c r="K1446" s="2" t="str">
        <f>IF(Iterations[[#This Row],[Step]] =current_step, current_e,IF(Iterations[[#This Row],[Step]] &gt; current_step, "",Iterations[[#This Row],[e]]))</f>
        <v/>
      </c>
      <c r="L1446" s="2" t="str">
        <f>IF(Iterations[[#This Row],[Step]] =current_step, current_Total_Loss,IF(Iterations[[#This Row],[Step]] &gt; current_step, "",Iterations[[#This Row],[Total Loss]]))</f>
        <v/>
      </c>
      <c r="M1446" s="6" t="s">
        <v>27</v>
      </c>
      <c r="N1446" s="2" t="str">
        <f>IF(Iterations[[#This Row],[Step]] =current_step, current_Grad_a,IF(Iterations[[#This Row],[Step]] &gt; current_step, "",Iterations[[#This Row],[Grad_a]]))</f>
        <v/>
      </c>
      <c r="O1446" s="2" t="str">
        <f>IF(Iterations[[#This Row],[Step]] =current_step, current_Grad_b,IF(Iterations[[#This Row],[Step]] &gt; current_step, "",Iterations[[#This Row],[Grad_b]]))</f>
        <v/>
      </c>
      <c r="P1446" s="2" t="str">
        <f>IF(Iterations[[#This Row],[Step]] =current_step, current_Grad_c,IF(Iterations[[#This Row],[Step]] &gt; current_step, "",Iterations[[#This Row],[Grad_c]]))</f>
        <v/>
      </c>
      <c r="Q1446" s="2" t="str">
        <f>IF(Iterations[[#This Row],[Step]] =current_step, current_Grad_d,IF(Iterations[[#This Row],[Step]] &gt; current_step, "",Iterations[[#This Row],[Grad_d]]))</f>
        <v/>
      </c>
      <c r="R1446" s="2" t="str">
        <f>IF(Iterations[[#This Row],[Step]] =current_step, current_Grad_e,IF(Iterations[[#This Row],[Step]] &gt; current_step, "",Iterations[[#This Row],[Grad_e]]))</f>
        <v/>
      </c>
    </row>
    <row r="1447" spans="6:18" x14ac:dyDescent="0.3">
      <c r="F1447" s="2">
        <f t="shared" si="27"/>
        <v>1430</v>
      </c>
      <c r="G1447" s="2" t="str">
        <f>IF(Iterations[[#This Row],[Step]] =current_step, current_a,IF(Iterations[[#This Row],[Step]] &gt; current_step, "",Iterations[[#This Row],[a]]))</f>
        <v/>
      </c>
      <c r="H1447" s="2" t="str">
        <f>IF(Iterations[[#This Row],[Step]] =current_step, current_b,IF(Iterations[[#This Row],[Step]] &gt; current_step, "",Iterations[[#This Row],[b]]))</f>
        <v/>
      </c>
      <c r="I1447" s="2" t="str">
        <f>IF(Iterations[[#This Row],[Step]] =current_step, current_c,IF(Iterations[[#This Row],[Step]] &gt; current_step, "",Iterations[[#This Row],[c]]))</f>
        <v/>
      </c>
      <c r="J1447" s="2" t="str">
        <f>IF(Iterations[[#This Row],[Step]] =current_step, current_d,IF(Iterations[[#This Row],[Step]] &gt; current_step, "",Iterations[[#This Row],[d]]))</f>
        <v/>
      </c>
      <c r="K1447" s="2" t="str">
        <f>IF(Iterations[[#This Row],[Step]] =current_step, current_e,IF(Iterations[[#This Row],[Step]] &gt; current_step, "",Iterations[[#This Row],[e]]))</f>
        <v/>
      </c>
      <c r="L1447" s="2" t="str">
        <f>IF(Iterations[[#This Row],[Step]] =current_step, current_Total_Loss,IF(Iterations[[#This Row],[Step]] &gt; current_step, "",Iterations[[#This Row],[Total Loss]]))</f>
        <v/>
      </c>
      <c r="M1447" s="6" t="s">
        <v>27</v>
      </c>
      <c r="N1447" s="2" t="str">
        <f>IF(Iterations[[#This Row],[Step]] =current_step, current_Grad_a,IF(Iterations[[#This Row],[Step]] &gt; current_step, "",Iterations[[#This Row],[Grad_a]]))</f>
        <v/>
      </c>
      <c r="O1447" s="2" t="str">
        <f>IF(Iterations[[#This Row],[Step]] =current_step, current_Grad_b,IF(Iterations[[#This Row],[Step]] &gt; current_step, "",Iterations[[#This Row],[Grad_b]]))</f>
        <v/>
      </c>
      <c r="P1447" s="2" t="str">
        <f>IF(Iterations[[#This Row],[Step]] =current_step, current_Grad_c,IF(Iterations[[#This Row],[Step]] &gt; current_step, "",Iterations[[#This Row],[Grad_c]]))</f>
        <v/>
      </c>
      <c r="Q1447" s="2" t="str">
        <f>IF(Iterations[[#This Row],[Step]] =current_step, current_Grad_d,IF(Iterations[[#This Row],[Step]] &gt; current_step, "",Iterations[[#This Row],[Grad_d]]))</f>
        <v/>
      </c>
      <c r="R1447" s="2" t="str">
        <f>IF(Iterations[[#This Row],[Step]] =current_step, current_Grad_e,IF(Iterations[[#This Row],[Step]] &gt; current_step, "",Iterations[[#This Row],[Grad_e]]))</f>
        <v/>
      </c>
    </row>
    <row r="1448" spans="6:18" x14ac:dyDescent="0.3">
      <c r="F1448" s="2">
        <f t="shared" si="27"/>
        <v>1431</v>
      </c>
      <c r="G1448" s="2" t="str">
        <f>IF(Iterations[[#This Row],[Step]] =current_step, current_a,IF(Iterations[[#This Row],[Step]] &gt; current_step, "",Iterations[[#This Row],[a]]))</f>
        <v/>
      </c>
      <c r="H1448" s="2" t="str">
        <f>IF(Iterations[[#This Row],[Step]] =current_step, current_b,IF(Iterations[[#This Row],[Step]] &gt; current_step, "",Iterations[[#This Row],[b]]))</f>
        <v/>
      </c>
      <c r="I1448" s="2" t="str">
        <f>IF(Iterations[[#This Row],[Step]] =current_step, current_c,IF(Iterations[[#This Row],[Step]] &gt; current_step, "",Iterations[[#This Row],[c]]))</f>
        <v/>
      </c>
      <c r="J1448" s="2" t="str">
        <f>IF(Iterations[[#This Row],[Step]] =current_step, current_d,IF(Iterations[[#This Row],[Step]] &gt; current_step, "",Iterations[[#This Row],[d]]))</f>
        <v/>
      </c>
      <c r="K1448" s="2" t="str">
        <f>IF(Iterations[[#This Row],[Step]] =current_step, current_e,IF(Iterations[[#This Row],[Step]] &gt; current_step, "",Iterations[[#This Row],[e]]))</f>
        <v/>
      </c>
      <c r="L1448" s="2" t="str">
        <f>IF(Iterations[[#This Row],[Step]] =current_step, current_Total_Loss,IF(Iterations[[#This Row],[Step]] &gt; current_step, "",Iterations[[#This Row],[Total Loss]]))</f>
        <v/>
      </c>
      <c r="M1448" s="6" t="s">
        <v>27</v>
      </c>
      <c r="N1448" s="2" t="str">
        <f>IF(Iterations[[#This Row],[Step]] =current_step, current_Grad_a,IF(Iterations[[#This Row],[Step]] &gt; current_step, "",Iterations[[#This Row],[Grad_a]]))</f>
        <v/>
      </c>
      <c r="O1448" s="2" t="str">
        <f>IF(Iterations[[#This Row],[Step]] =current_step, current_Grad_b,IF(Iterations[[#This Row],[Step]] &gt; current_step, "",Iterations[[#This Row],[Grad_b]]))</f>
        <v/>
      </c>
      <c r="P1448" s="2" t="str">
        <f>IF(Iterations[[#This Row],[Step]] =current_step, current_Grad_c,IF(Iterations[[#This Row],[Step]] &gt; current_step, "",Iterations[[#This Row],[Grad_c]]))</f>
        <v/>
      </c>
      <c r="Q1448" s="2" t="str">
        <f>IF(Iterations[[#This Row],[Step]] =current_step, current_Grad_d,IF(Iterations[[#This Row],[Step]] &gt; current_step, "",Iterations[[#This Row],[Grad_d]]))</f>
        <v/>
      </c>
      <c r="R1448" s="2" t="str">
        <f>IF(Iterations[[#This Row],[Step]] =current_step, current_Grad_e,IF(Iterations[[#This Row],[Step]] &gt; current_step, "",Iterations[[#This Row],[Grad_e]]))</f>
        <v/>
      </c>
    </row>
    <row r="1449" spans="6:18" x14ac:dyDescent="0.3">
      <c r="F1449" s="2">
        <f t="shared" si="27"/>
        <v>1432</v>
      </c>
      <c r="G1449" s="2" t="str">
        <f>IF(Iterations[[#This Row],[Step]] =current_step, current_a,IF(Iterations[[#This Row],[Step]] &gt; current_step, "",Iterations[[#This Row],[a]]))</f>
        <v/>
      </c>
      <c r="H1449" s="2" t="str">
        <f>IF(Iterations[[#This Row],[Step]] =current_step, current_b,IF(Iterations[[#This Row],[Step]] &gt; current_step, "",Iterations[[#This Row],[b]]))</f>
        <v/>
      </c>
      <c r="I1449" s="2" t="str">
        <f>IF(Iterations[[#This Row],[Step]] =current_step, current_c,IF(Iterations[[#This Row],[Step]] &gt; current_step, "",Iterations[[#This Row],[c]]))</f>
        <v/>
      </c>
      <c r="J1449" s="2" t="str">
        <f>IF(Iterations[[#This Row],[Step]] =current_step, current_d,IF(Iterations[[#This Row],[Step]] &gt; current_step, "",Iterations[[#This Row],[d]]))</f>
        <v/>
      </c>
      <c r="K1449" s="2" t="str">
        <f>IF(Iterations[[#This Row],[Step]] =current_step, current_e,IF(Iterations[[#This Row],[Step]] &gt; current_step, "",Iterations[[#This Row],[e]]))</f>
        <v/>
      </c>
      <c r="L1449" s="2" t="str">
        <f>IF(Iterations[[#This Row],[Step]] =current_step, current_Total_Loss,IF(Iterations[[#This Row],[Step]] &gt; current_step, "",Iterations[[#This Row],[Total Loss]]))</f>
        <v/>
      </c>
      <c r="M1449" s="6" t="s">
        <v>27</v>
      </c>
      <c r="N1449" s="2" t="str">
        <f>IF(Iterations[[#This Row],[Step]] =current_step, current_Grad_a,IF(Iterations[[#This Row],[Step]] &gt; current_step, "",Iterations[[#This Row],[Grad_a]]))</f>
        <v/>
      </c>
      <c r="O1449" s="2" t="str">
        <f>IF(Iterations[[#This Row],[Step]] =current_step, current_Grad_b,IF(Iterations[[#This Row],[Step]] &gt; current_step, "",Iterations[[#This Row],[Grad_b]]))</f>
        <v/>
      </c>
      <c r="P1449" s="2" t="str">
        <f>IF(Iterations[[#This Row],[Step]] =current_step, current_Grad_c,IF(Iterations[[#This Row],[Step]] &gt; current_step, "",Iterations[[#This Row],[Grad_c]]))</f>
        <v/>
      </c>
      <c r="Q1449" s="2" t="str">
        <f>IF(Iterations[[#This Row],[Step]] =current_step, current_Grad_d,IF(Iterations[[#This Row],[Step]] &gt; current_step, "",Iterations[[#This Row],[Grad_d]]))</f>
        <v/>
      </c>
      <c r="R1449" s="2" t="str">
        <f>IF(Iterations[[#This Row],[Step]] =current_step, current_Grad_e,IF(Iterations[[#This Row],[Step]] &gt; current_step, "",Iterations[[#This Row],[Grad_e]]))</f>
        <v/>
      </c>
    </row>
    <row r="1450" spans="6:18" x14ac:dyDescent="0.3">
      <c r="F1450" s="2">
        <f t="shared" si="27"/>
        <v>1433</v>
      </c>
      <c r="G1450" s="2" t="str">
        <f>IF(Iterations[[#This Row],[Step]] =current_step, current_a,IF(Iterations[[#This Row],[Step]] &gt; current_step, "",Iterations[[#This Row],[a]]))</f>
        <v/>
      </c>
      <c r="H1450" s="2" t="str">
        <f>IF(Iterations[[#This Row],[Step]] =current_step, current_b,IF(Iterations[[#This Row],[Step]] &gt; current_step, "",Iterations[[#This Row],[b]]))</f>
        <v/>
      </c>
      <c r="I1450" s="2" t="str">
        <f>IF(Iterations[[#This Row],[Step]] =current_step, current_c,IF(Iterations[[#This Row],[Step]] &gt; current_step, "",Iterations[[#This Row],[c]]))</f>
        <v/>
      </c>
      <c r="J1450" s="2" t="str">
        <f>IF(Iterations[[#This Row],[Step]] =current_step, current_d,IF(Iterations[[#This Row],[Step]] &gt; current_step, "",Iterations[[#This Row],[d]]))</f>
        <v/>
      </c>
      <c r="K1450" s="2" t="str">
        <f>IF(Iterations[[#This Row],[Step]] =current_step, current_e,IF(Iterations[[#This Row],[Step]] &gt; current_step, "",Iterations[[#This Row],[e]]))</f>
        <v/>
      </c>
      <c r="L1450" s="2" t="str">
        <f>IF(Iterations[[#This Row],[Step]] =current_step, current_Total_Loss,IF(Iterations[[#This Row],[Step]] &gt; current_step, "",Iterations[[#This Row],[Total Loss]]))</f>
        <v/>
      </c>
      <c r="M1450" s="6" t="s">
        <v>27</v>
      </c>
      <c r="N1450" s="2" t="str">
        <f>IF(Iterations[[#This Row],[Step]] =current_step, current_Grad_a,IF(Iterations[[#This Row],[Step]] &gt; current_step, "",Iterations[[#This Row],[Grad_a]]))</f>
        <v/>
      </c>
      <c r="O1450" s="2" t="str">
        <f>IF(Iterations[[#This Row],[Step]] =current_step, current_Grad_b,IF(Iterations[[#This Row],[Step]] &gt; current_step, "",Iterations[[#This Row],[Grad_b]]))</f>
        <v/>
      </c>
      <c r="P1450" s="2" t="str">
        <f>IF(Iterations[[#This Row],[Step]] =current_step, current_Grad_c,IF(Iterations[[#This Row],[Step]] &gt; current_step, "",Iterations[[#This Row],[Grad_c]]))</f>
        <v/>
      </c>
      <c r="Q1450" s="2" t="str">
        <f>IF(Iterations[[#This Row],[Step]] =current_step, current_Grad_d,IF(Iterations[[#This Row],[Step]] &gt; current_step, "",Iterations[[#This Row],[Grad_d]]))</f>
        <v/>
      </c>
      <c r="R1450" s="2" t="str">
        <f>IF(Iterations[[#This Row],[Step]] =current_step, current_Grad_e,IF(Iterations[[#This Row],[Step]] &gt; current_step, "",Iterations[[#This Row],[Grad_e]]))</f>
        <v/>
      </c>
    </row>
    <row r="1451" spans="6:18" x14ac:dyDescent="0.3">
      <c r="F1451" s="2">
        <f t="shared" si="27"/>
        <v>1434</v>
      </c>
      <c r="G1451" s="2" t="str">
        <f>IF(Iterations[[#This Row],[Step]] =current_step, current_a,IF(Iterations[[#This Row],[Step]] &gt; current_step, "",Iterations[[#This Row],[a]]))</f>
        <v/>
      </c>
      <c r="H1451" s="2" t="str">
        <f>IF(Iterations[[#This Row],[Step]] =current_step, current_b,IF(Iterations[[#This Row],[Step]] &gt; current_step, "",Iterations[[#This Row],[b]]))</f>
        <v/>
      </c>
      <c r="I1451" s="2" t="str">
        <f>IF(Iterations[[#This Row],[Step]] =current_step, current_c,IF(Iterations[[#This Row],[Step]] &gt; current_step, "",Iterations[[#This Row],[c]]))</f>
        <v/>
      </c>
      <c r="J1451" s="2" t="str">
        <f>IF(Iterations[[#This Row],[Step]] =current_step, current_d,IF(Iterations[[#This Row],[Step]] &gt; current_step, "",Iterations[[#This Row],[d]]))</f>
        <v/>
      </c>
      <c r="K1451" s="2" t="str">
        <f>IF(Iterations[[#This Row],[Step]] =current_step, current_e,IF(Iterations[[#This Row],[Step]] &gt; current_step, "",Iterations[[#This Row],[e]]))</f>
        <v/>
      </c>
      <c r="L1451" s="2" t="str">
        <f>IF(Iterations[[#This Row],[Step]] =current_step, current_Total_Loss,IF(Iterations[[#This Row],[Step]] &gt; current_step, "",Iterations[[#This Row],[Total Loss]]))</f>
        <v/>
      </c>
      <c r="M1451" s="6" t="s">
        <v>27</v>
      </c>
      <c r="N1451" s="2" t="str">
        <f>IF(Iterations[[#This Row],[Step]] =current_step, current_Grad_a,IF(Iterations[[#This Row],[Step]] &gt; current_step, "",Iterations[[#This Row],[Grad_a]]))</f>
        <v/>
      </c>
      <c r="O1451" s="2" t="str">
        <f>IF(Iterations[[#This Row],[Step]] =current_step, current_Grad_b,IF(Iterations[[#This Row],[Step]] &gt; current_step, "",Iterations[[#This Row],[Grad_b]]))</f>
        <v/>
      </c>
      <c r="P1451" s="2" t="str">
        <f>IF(Iterations[[#This Row],[Step]] =current_step, current_Grad_c,IF(Iterations[[#This Row],[Step]] &gt; current_step, "",Iterations[[#This Row],[Grad_c]]))</f>
        <v/>
      </c>
      <c r="Q1451" s="2" t="str">
        <f>IF(Iterations[[#This Row],[Step]] =current_step, current_Grad_d,IF(Iterations[[#This Row],[Step]] &gt; current_step, "",Iterations[[#This Row],[Grad_d]]))</f>
        <v/>
      </c>
      <c r="R1451" s="2" t="str">
        <f>IF(Iterations[[#This Row],[Step]] =current_step, current_Grad_e,IF(Iterations[[#This Row],[Step]] &gt; current_step, "",Iterations[[#This Row],[Grad_e]]))</f>
        <v/>
      </c>
    </row>
    <row r="1452" spans="6:18" x14ac:dyDescent="0.3">
      <c r="F1452" s="2">
        <f t="shared" si="27"/>
        <v>1435</v>
      </c>
      <c r="G1452" s="2" t="str">
        <f>IF(Iterations[[#This Row],[Step]] =current_step, current_a,IF(Iterations[[#This Row],[Step]] &gt; current_step, "",Iterations[[#This Row],[a]]))</f>
        <v/>
      </c>
      <c r="H1452" s="2" t="str">
        <f>IF(Iterations[[#This Row],[Step]] =current_step, current_b,IF(Iterations[[#This Row],[Step]] &gt; current_step, "",Iterations[[#This Row],[b]]))</f>
        <v/>
      </c>
      <c r="I1452" s="2" t="str">
        <f>IF(Iterations[[#This Row],[Step]] =current_step, current_c,IF(Iterations[[#This Row],[Step]] &gt; current_step, "",Iterations[[#This Row],[c]]))</f>
        <v/>
      </c>
      <c r="J1452" s="2" t="str">
        <f>IF(Iterations[[#This Row],[Step]] =current_step, current_d,IF(Iterations[[#This Row],[Step]] &gt; current_step, "",Iterations[[#This Row],[d]]))</f>
        <v/>
      </c>
      <c r="K1452" s="2" t="str">
        <f>IF(Iterations[[#This Row],[Step]] =current_step, current_e,IF(Iterations[[#This Row],[Step]] &gt; current_step, "",Iterations[[#This Row],[e]]))</f>
        <v/>
      </c>
      <c r="L1452" s="2" t="str">
        <f>IF(Iterations[[#This Row],[Step]] =current_step, current_Total_Loss,IF(Iterations[[#This Row],[Step]] &gt; current_step, "",Iterations[[#This Row],[Total Loss]]))</f>
        <v/>
      </c>
      <c r="M1452" s="6" t="s">
        <v>27</v>
      </c>
      <c r="N1452" s="2" t="str">
        <f>IF(Iterations[[#This Row],[Step]] =current_step, current_Grad_a,IF(Iterations[[#This Row],[Step]] &gt; current_step, "",Iterations[[#This Row],[Grad_a]]))</f>
        <v/>
      </c>
      <c r="O1452" s="2" t="str">
        <f>IF(Iterations[[#This Row],[Step]] =current_step, current_Grad_b,IF(Iterations[[#This Row],[Step]] &gt; current_step, "",Iterations[[#This Row],[Grad_b]]))</f>
        <v/>
      </c>
      <c r="P1452" s="2" t="str">
        <f>IF(Iterations[[#This Row],[Step]] =current_step, current_Grad_c,IF(Iterations[[#This Row],[Step]] &gt; current_step, "",Iterations[[#This Row],[Grad_c]]))</f>
        <v/>
      </c>
      <c r="Q1452" s="2" t="str">
        <f>IF(Iterations[[#This Row],[Step]] =current_step, current_Grad_d,IF(Iterations[[#This Row],[Step]] &gt; current_step, "",Iterations[[#This Row],[Grad_d]]))</f>
        <v/>
      </c>
      <c r="R1452" s="2" t="str">
        <f>IF(Iterations[[#This Row],[Step]] =current_step, current_Grad_e,IF(Iterations[[#This Row],[Step]] &gt; current_step, "",Iterations[[#This Row],[Grad_e]]))</f>
        <v/>
      </c>
    </row>
    <row r="1453" spans="6:18" x14ac:dyDescent="0.3">
      <c r="F1453" s="2">
        <f t="shared" si="27"/>
        <v>1436</v>
      </c>
      <c r="G1453" s="2" t="str">
        <f>IF(Iterations[[#This Row],[Step]] =current_step, current_a,IF(Iterations[[#This Row],[Step]] &gt; current_step, "",Iterations[[#This Row],[a]]))</f>
        <v/>
      </c>
      <c r="H1453" s="2" t="str">
        <f>IF(Iterations[[#This Row],[Step]] =current_step, current_b,IF(Iterations[[#This Row],[Step]] &gt; current_step, "",Iterations[[#This Row],[b]]))</f>
        <v/>
      </c>
      <c r="I1453" s="2" t="str">
        <f>IF(Iterations[[#This Row],[Step]] =current_step, current_c,IF(Iterations[[#This Row],[Step]] &gt; current_step, "",Iterations[[#This Row],[c]]))</f>
        <v/>
      </c>
      <c r="J1453" s="2" t="str">
        <f>IF(Iterations[[#This Row],[Step]] =current_step, current_d,IF(Iterations[[#This Row],[Step]] &gt; current_step, "",Iterations[[#This Row],[d]]))</f>
        <v/>
      </c>
      <c r="K1453" s="2" t="str">
        <f>IF(Iterations[[#This Row],[Step]] =current_step, current_e,IF(Iterations[[#This Row],[Step]] &gt; current_step, "",Iterations[[#This Row],[e]]))</f>
        <v/>
      </c>
      <c r="L1453" s="2" t="str">
        <f>IF(Iterations[[#This Row],[Step]] =current_step, current_Total_Loss,IF(Iterations[[#This Row],[Step]] &gt; current_step, "",Iterations[[#This Row],[Total Loss]]))</f>
        <v/>
      </c>
      <c r="M1453" s="6" t="s">
        <v>27</v>
      </c>
      <c r="N1453" s="2" t="str">
        <f>IF(Iterations[[#This Row],[Step]] =current_step, current_Grad_a,IF(Iterations[[#This Row],[Step]] &gt; current_step, "",Iterations[[#This Row],[Grad_a]]))</f>
        <v/>
      </c>
      <c r="O1453" s="2" t="str">
        <f>IF(Iterations[[#This Row],[Step]] =current_step, current_Grad_b,IF(Iterations[[#This Row],[Step]] &gt; current_step, "",Iterations[[#This Row],[Grad_b]]))</f>
        <v/>
      </c>
      <c r="P1453" s="2" t="str">
        <f>IF(Iterations[[#This Row],[Step]] =current_step, current_Grad_c,IF(Iterations[[#This Row],[Step]] &gt; current_step, "",Iterations[[#This Row],[Grad_c]]))</f>
        <v/>
      </c>
      <c r="Q1453" s="2" t="str">
        <f>IF(Iterations[[#This Row],[Step]] =current_step, current_Grad_d,IF(Iterations[[#This Row],[Step]] &gt; current_step, "",Iterations[[#This Row],[Grad_d]]))</f>
        <v/>
      </c>
      <c r="R1453" s="2" t="str">
        <f>IF(Iterations[[#This Row],[Step]] =current_step, current_Grad_e,IF(Iterations[[#This Row],[Step]] &gt; current_step, "",Iterations[[#This Row],[Grad_e]]))</f>
        <v/>
      </c>
    </row>
    <row r="1454" spans="6:18" x14ac:dyDescent="0.3">
      <c r="F1454" s="2">
        <f t="shared" si="27"/>
        <v>1437</v>
      </c>
      <c r="G1454" s="2" t="str">
        <f>IF(Iterations[[#This Row],[Step]] =current_step, current_a,IF(Iterations[[#This Row],[Step]] &gt; current_step, "",Iterations[[#This Row],[a]]))</f>
        <v/>
      </c>
      <c r="H1454" s="2" t="str">
        <f>IF(Iterations[[#This Row],[Step]] =current_step, current_b,IF(Iterations[[#This Row],[Step]] &gt; current_step, "",Iterations[[#This Row],[b]]))</f>
        <v/>
      </c>
      <c r="I1454" s="2" t="str">
        <f>IF(Iterations[[#This Row],[Step]] =current_step, current_c,IF(Iterations[[#This Row],[Step]] &gt; current_step, "",Iterations[[#This Row],[c]]))</f>
        <v/>
      </c>
      <c r="J1454" s="2" t="str">
        <f>IF(Iterations[[#This Row],[Step]] =current_step, current_d,IF(Iterations[[#This Row],[Step]] &gt; current_step, "",Iterations[[#This Row],[d]]))</f>
        <v/>
      </c>
      <c r="K1454" s="2" t="str">
        <f>IF(Iterations[[#This Row],[Step]] =current_step, current_e,IF(Iterations[[#This Row],[Step]] &gt; current_step, "",Iterations[[#This Row],[e]]))</f>
        <v/>
      </c>
      <c r="L1454" s="2" t="str">
        <f>IF(Iterations[[#This Row],[Step]] =current_step, current_Total_Loss,IF(Iterations[[#This Row],[Step]] &gt; current_step, "",Iterations[[#This Row],[Total Loss]]))</f>
        <v/>
      </c>
      <c r="M1454" s="6" t="s">
        <v>27</v>
      </c>
      <c r="N1454" s="2" t="str">
        <f>IF(Iterations[[#This Row],[Step]] =current_step, current_Grad_a,IF(Iterations[[#This Row],[Step]] &gt; current_step, "",Iterations[[#This Row],[Grad_a]]))</f>
        <v/>
      </c>
      <c r="O1454" s="2" t="str">
        <f>IF(Iterations[[#This Row],[Step]] =current_step, current_Grad_b,IF(Iterations[[#This Row],[Step]] &gt; current_step, "",Iterations[[#This Row],[Grad_b]]))</f>
        <v/>
      </c>
      <c r="P1454" s="2" t="str">
        <f>IF(Iterations[[#This Row],[Step]] =current_step, current_Grad_c,IF(Iterations[[#This Row],[Step]] &gt; current_step, "",Iterations[[#This Row],[Grad_c]]))</f>
        <v/>
      </c>
      <c r="Q1454" s="2" t="str">
        <f>IF(Iterations[[#This Row],[Step]] =current_step, current_Grad_d,IF(Iterations[[#This Row],[Step]] &gt; current_step, "",Iterations[[#This Row],[Grad_d]]))</f>
        <v/>
      </c>
      <c r="R1454" s="2" t="str">
        <f>IF(Iterations[[#This Row],[Step]] =current_step, current_Grad_e,IF(Iterations[[#This Row],[Step]] &gt; current_step, "",Iterations[[#This Row],[Grad_e]]))</f>
        <v/>
      </c>
    </row>
    <row r="1455" spans="6:18" x14ac:dyDescent="0.3">
      <c r="F1455" s="2">
        <f t="shared" si="27"/>
        <v>1438</v>
      </c>
      <c r="G1455" s="2" t="str">
        <f>IF(Iterations[[#This Row],[Step]] =current_step, current_a,IF(Iterations[[#This Row],[Step]] &gt; current_step, "",Iterations[[#This Row],[a]]))</f>
        <v/>
      </c>
      <c r="H1455" s="2" t="str">
        <f>IF(Iterations[[#This Row],[Step]] =current_step, current_b,IF(Iterations[[#This Row],[Step]] &gt; current_step, "",Iterations[[#This Row],[b]]))</f>
        <v/>
      </c>
      <c r="I1455" s="2" t="str">
        <f>IF(Iterations[[#This Row],[Step]] =current_step, current_c,IF(Iterations[[#This Row],[Step]] &gt; current_step, "",Iterations[[#This Row],[c]]))</f>
        <v/>
      </c>
      <c r="J1455" s="2" t="str">
        <f>IF(Iterations[[#This Row],[Step]] =current_step, current_d,IF(Iterations[[#This Row],[Step]] &gt; current_step, "",Iterations[[#This Row],[d]]))</f>
        <v/>
      </c>
      <c r="K1455" s="2" t="str">
        <f>IF(Iterations[[#This Row],[Step]] =current_step, current_e,IF(Iterations[[#This Row],[Step]] &gt; current_step, "",Iterations[[#This Row],[e]]))</f>
        <v/>
      </c>
      <c r="L1455" s="2" t="str">
        <f>IF(Iterations[[#This Row],[Step]] =current_step, current_Total_Loss,IF(Iterations[[#This Row],[Step]] &gt; current_step, "",Iterations[[#This Row],[Total Loss]]))</f>
        <v/>
      </c>
      <c r="M1455" s="6" t="s">
        <v>27</v>
      </c>
      <c r="N1455" s="2" t="str">
        <f>IF(Iterations[[#This Row],[Step]] =current_step, current_Grad_a,IF(Iterations[[#This Row],[Step]] &gt; current_step, "",Iterations[[#This Row],[Grad_a]]))</f>
        <v/>
      </c>
      <c r="O1455" s="2" t="str">
        <f>IF(Iterations[[#This Row],[Step]] =current_step, current_Grad_b,IF(Iterations[[#This Row],[Step]] &gt; current_step, "",Iterations[[#This Row],[Grad_b]]))</f>
        <v/>
      </c>
      <c r="P1455" s="2" t="str">
        <f>IF(Iterations[[#This Row],[Step]] =current_step, current_Grad_c,IF(Iterations[[#This Row],[Step]] &gt; current_step, "",Iterations[[#This Row],[Grad_c]]))</f>
        <v/>
      </c>
      <c r="Q1455" s="2" t="str">
        <f>IF(Iterations[[#This Row],[Step]] =current_step, current_Grad_d,IF(Iterations[[#This Row],[Step]] &gt; current_step, "",Iterations[[#This Row],[Grad_d]]))</f>
        <v/>
      </c>
      <c r="R1455" s="2" t="str">
        <f>IF(Iterations[[#This Row],[Step]] =current_step, current_Grad_e,IF(Iterations[[#This Row],[Step]] &gt; current_step, "",Iterations[[#This Row],[Grad_e]]))</f>
        <v/>
      </c>
    </row>
    <row r="1456" spans="6:18" x14ac:dyDescent="0.3">
      <c r="F1456" s="2">
        <f t="shared" si="27"/>
        <v>1439</v>
      </c>
      <c r="G1456" s="2" t="str">
        <f>IF(Iterations[[#This Row],[Step]] =current_step, current_a,IF(Iterations[[#This Row],[Step]] &gt; current_step, "",Iterations[[#This Row],[a]]))</f>
        <v/>
      </c>
      <c r="H1456" s="2" t="str">
        <f>IF(Iterations[[#This Row],[Step]] =current_step, current_b,IF(Iterations[[#This Row],[Step]] &gt; current_step, "",Iterations[[#This Row],[b]]))</f>
        <v/>
      </c>
      <c r="I1456" s="2" t="str">
        <f>IF(Iterations[[#This Row],[Step]] =current_step, current_c,IF(Iterations[[#This Row],[Step]] &gt; current_step, "",Iterations[[#This Row],[c]]))</f>
        <v/>
      </c>
      <c r="J1456" s="2" t="str">
        <f>IF(Iterations[[#This Row],[Step]] =current_step, current_d,IF(Iterations[[#This Row],[Step]] &gt; current_step, "",Iterations[[#This Row],[d]]))</f>
        <v/>
      </c>
      <c r="K1456" s="2" t="str">
        <f>IF(Iterations[[#This Row],[Step]] =current_step, current_e,IF(Iterations[[#This Row],[Step]] &gt; current_step, "",Iterations[[#This Row],[e]]))</f>
        <v/>
      </c>
      <c r="L1456" s="2" t="str">
        <f>IF(Iterations[[#This Row],[Step]] =current_step, current_Total_Loss,IF(Iterations[[#This Row],[Step]] &gt; current_step, "",Iterations[[#This Row],[Total Loss]]))</f>
        <v/>
      </c>
      <c r="M1456" s="6" t="s">
        <v>27</v>
      </c>
      <c r="N1456" s="2" t="str">
        <f>IF(Iterations[[#This Row],[Step]] =current_step, current_Grad_a,IF(Iterations[[#This Row],[Step]] &gt; current_step, "",Iterations[[#This Row],[Grad_a]]))</f>
        <v/>
      </c>
      <c r="O1456" s="2" t="str">
        <f>IF(Iterations[[#This Row],[Step]] =current_step, current_Grad_b,IF(Iterations[[#This Row],[Step]] &gt; current_step, "",Iterations[[#This Row],[Grad_b]]))</f>
        <v/>
      </c>
      <c r="P1456" s="2" t="str">
        <f>IF(Iterations[[#This Row],[Step]] =current_step, current_Grad_c,IF(Iterations[[#This Row],[Step]] &gt; current_step, "",Iterations[[#This Row],[Grad_c]]))</f>
        <v/>
      </c>
      <c r="Q1456" s="2" t="str">
        <f>IF(Iterations[[#This Row],[Step]] =current_step, current_Grad_d,IF(Iterations[[#This Row],[Step]] &gt; current_step, "",Iterations[[#This Row],[Grad_d]]))</f>
        <v/>
      </c>
      <c r="R1456" s="2" t="str">
        <f>IF(Iterations[[#This Row],[Step]] =current_step, current_Grad_e,IF(Iterations[[#This Row],[Step]] &gt; current_step, "",Iterations[[#This Row],[Grad_e]]))</f>
        <v/>
      </c>
    </row>
    <row r="1457" spans="6:18" x14ac:dyDescent="0.3">
      <c r="F1457" s="2">
        <f t="shared" si="27"/>
        <v>1440</v>
      </c>
      <c r="G1457" s="2" t="str">
        <f>IF(Iterations[[#This Row],[Step]] =current_step, current_a,IF(Iterations[[#This Row],[Step]] &gt; current_step, "",Iterations[[#This Row],[a]]))</f>
        <v/>
      </c>
      <c r="H1457" s="2" t="str">
        <f>IF(Iterations[[#This Row],[Step]] =current_step, current_b,IF(Iterations[[#This Row],[Step]] &gt; current_step, "",Iterations[[#This Row],[b]]))</f>
        <v/>
      </c>
      <c r="I1457" s="2" t="str">
        <f>IF(Iterations[[#This Row],[Step]] =current_step, current_c,IF(Iterations[[#This Row],[Step]] &gt; current_step, "",Iterations[[#This Row],[c]]))</f>
        <v/>
      </c>
      <c r="J1457" s="2" t="str">
        <f>IF(Iterations[[#This Row],[Step]] =current_step, current_d,IF(Iterations[[#This Row],[Step]] &gt; current_step, "",Iterations[[#This Row],[d]]))</f>
        <v/>
      </c>
      <c r="K1457" s="2" t="str">
        <f>IF(Iterations[[#This Row],[Step]] =current_step, current_e,IF(Iterations[[#This Row],[Step]] &gt; current_step, "",Iterations[[#This Row],[e]]))</f>
        <v/>
      </c>
      <c r="L1457" s="2" t="str">
        <f>IF(Iterations[[#This Row],[Step]] =current_step, current_Total_Loss,IF(Iterations[[#This Row],[Step]] &gt; current_step, "",Iterations[[#This Row],[Total Loss]]))</f>
        <v/>
      </c>
      <c r="M1457" s="6" t="s">
        <v>27</v>
      </c>
      <c r="N1457" s="2" t="str">
        <f>IF(Iterations[[#This Row],[Step]] =current_step, current_Grad_a,IF(Iterations[[#This Row],[Step]] &gt; current_step, "",Iterations[[#This Row],[Grad_a]]))</f>
        <v/>
      </c>
      <c r="O1457" s="2" t="str">
        <f>IF(Iterations[[#This Row],[Step]] =current_step, current_Grad_b,IF(Iterations[[#This Row],[Step]] &gt; current_step, "",Iterations[[#This Row],[Grad_b]]))</f>
        <v/>
      </c>
      <c r="P1457" s="2" t="str">
        <f>IF(Iterations[[#This Row],[Step]] =current_step, current_Grad_c,IF(Iterations[[#This Row],[Step]] &gt; current_step, "",Iterations[[#This Row],[Grad_c]]))</f>
        <v/>
      </c>
      <c r="Q1457" s="2" t="str">
        <f>IF(Iterations[[#This Row],[Step]] =current_step, current_Grad_d,IF(Iterations[[#This Row],[Step]] &gt; current_step, "",Iterations[[#This Row],[Grad_d]]))</f>
        <v/>
      </c>
      <c r="R1457" s="2" t="str">
        <f>IF(Iterations[[#This Row],[Step]] =current_step, current_Grad_e,IF(Iterations[[#This Row],[Step]] &gt; current_step, "",Iterations[[#This Row],[Grad_e]]))</f>
        <v/>
      </c>
    </row>
    <row r="1458" spans="6:18" x14ac:dyDescent="0.3">
      <c r="F1458" s="2">
        <f t="shared" si="27"/>
        <v>1441</v>
      </c>
      <c r="G1458" s="2" t="str">
        <f>IF(Iterations[[#This Row],[Step]] =current_step, current_a,IF(Iterations[[#This Row],[Step]] &gt; current_step, "",Iterations[[#This Row],[a]]))</f>
        <v/>
      </c>
      <c r="H1458" s="2" t="str">
        <f>IF(Iterations[[#This Row],[Step]] =current_step, current_b,IF(Iterations[[#This Row],[Step]] &gt; current_step, "",Iterations[[#This Row],[b]]))</f>
        <v/>
      </c>
      <c r="I1458" s="2" t="str">
        <f>IF(Iterations[[#This Row],[Step]] =current_step, current_c,IF(Iterations[[#This Row],[Step]] &gt; current_step, "",Iterations[[#This Row],[c]]))</f>
        <v/>
      </c>
      <c r="J1458" s="2" t="str">
        <f>IF(Iterations[[#This Row],[Step]] =current_step, current_d,IF(Iterations[[#This Row],[Step]] &gt; current_step, "",Iterations[[#This Row],[d]]))</f>
        <v/>
      </c>
      <c r="K1458" s="2" t="str">
        <f>IF(Iterations[[#This Row],[Step]] =current_step, current_e,IF(Iterations[[#This Row],[Step]] &gt; current_step, "",Iterations[[#This Row],[e]]))</f>
        <v/>
      </c>
      <c r="L1458" s="2" t="str">
        <f>IF(Iterations[[#This Row],[Step]] =current_step, current_Total_Loss,IF(Iterations[[#This Row],[Step]] &gt; current_step, "",Iterations[[#This Row],[Total Loss]]))</f>
        <v/>
      </c>
      <c r="M1458" s="6" t="s">
        <v>27</v>
      </c>
      <c r="N1458" s="2" t="str">
        <f>IF(Iterations[[#This Row],[Step]] =current_step, current_Grad_a,IF(Iterations[[#This Row],[Step]] &gt; current_step, "",Iterations[[#This Row],[Grad_a]]))</f>
        <v/>
      </c>
      <c r="O1458" s="2" t="str">
        <f>IF(Iterations[[#This Row],[Step]] =current_step, current_Grad_b,IF(Iterations[[#This Row],[Step]] &gt; current_step, "",Iterations[[#This Row],[Grad_b]]))</f>
        <v/>
      </c>
      <c r="P1458" s="2" t="str">
        <f>IF(Iterations[[#This Row],[Step]] =current_step, current_Grad_c,IF(Iterations[[#This Row],[Step]] &gt; current_step, "",Iterations[[#This Row],[Grad_c]]))</f>
        <v/>
      </c>
      <c r="Q1458" s="2" t="str">
        <f>IF(Iterations[[#This Row],[Step]] =current_step, current_Grad_d,IF(Iterations[[#This Row],[Step]] &gt; current_step, "",Iterations[[#This Row],[Grad_d]]))</f>
        <v/>
      </c>
      <c r="R1458" s="2" t="str">
        <f>IF(Iterations[[#This Row],[Step]] =current_step, current_Grad_e,IF(Iterations[[#This Row],[Step]] &gt; current_step, "",Iterations[[#This Row],[Grad_e]]))</f>
        <v/>
      </c>
    </row>
    <row r="1459" spans="6:18" x14ac:dyDescent="0.3">
      <c r="F1459" s="2">
        <f t="shared" si="27"/>
        <v>1442</v>
      </c>
      <c r="G1459" s="2" t="str">
        <f>IF(Iterations[[#This Row],[Step]] =current_step, current_a,IF(Iterations[[#This Row],[Step]] &gt; current_step, "",Iterations[[#This Row],[a]]))</f>
        <v/>
      </c>
      <c r="H1459" s="2" t="str">
        <f>IF(Iterations[[#This Row],[Step]] =current_step, current_b,IF(Iterations[[#This Row],[Step]] &gt; current_step, "",Iterations[[#This Row],[b]]))</f>
        <v/>
      </c>
      <c r="I1459" s="2" t="str">
        <f>IF(Iterations[[#This Row],[Step]] =current_step, current_c,IF(Iterations[[#This Row],[Step]] &gt; current_step, "",Iterations[[#This Row],[c]]))</f>
        <v/>
      </c>
      <c r="J1459" s="2" t="str">
        <f>IF(Iterations[[#This Row],[Step]] =current_step, current_d,IF(Iterations[[#This Row],[Step]] &gt; current_step, "",Iterations[[#This Row],[d]]))</f>
        <v/>
      </c>
      <c r="K1459" s="2" t="str">
        <f>IF(Iterations[[#This Row],[Step]] =current_step, current_e,IF(Iterations[[#This Row],[Step]] &gt; current_step, "",Iterations[[#This Row],[e]]))</f>
        <v/>
      </c>
      <c r="L1459" s="2" t="str">
        <f>IF(Iterations[[#This Row],[Step]] =current_step, current_Total_Loss,IF(Iterations[[#This Row],[Step]] &gt; current_step, "",Iterations[[#This Row],[Total Loss]]))</f>
        <v/>
      </c>
      <c r="M1459" s="6" t="s">
        <v>27</v>
      </c>
      <c r="N1459" s="2" t="str">
        <f>IF(Iterations[[#This Row],[Step]] =current_step, current_Grad_a,IF(Iterations[[#This Row],[Step]] &gt; current_step, "",Iterations[[#This Row],[Grad_a]]))</f>
        <v/>
      </c>
      <c r="O1459" s="2" t="str">
        <f>IF(Iterations[[#This Row],[Step]] =current_step, current_Grad_b,IF(Iterations[[#This Row],[Step]] &gt; current_step, "",Iterations[[#This Row],[Grad_b]]))</f>
        <v/>
      </c>
      <c r="P1459" s="2" t="str">
        <f>IF(Iterations[[#This Row],[Step]] =current_step, current_Grad_c,IF(Iterations[[#This Row],[Step]] &gt; current_step, "",Iterations[[#This Row],[Grad_c]]))</f>
        <v/>
      </c>
      <c r="Q1459" s="2" t="str">
        <f>IF(Iterations[[#This Row],[Step]] =current_step, current_Grad_d,IF(Iterations[[#This Row],[Step]] &gt; current_step, "",Iterations[[#This Row],[Grad_d]]))</f>
        <v/>
      </c>
      <c r="R1459" s="2" t="str">
        <f>IF(Iterations[[#This Row],[Step]] =current_step, current_Grad_e,IF(Iterations[[#This Row],[Step]] &gt; current_step, "",Iterations[[#This Row],[Grad_e]]))</f>
        <v/>
      </c>
    </row>
    <row r="1460" spans="6:18" x14ac:dyDescent="0.3">
      <c r="F1460" s="2">
        <f t="shared" si="27"/>
        <v>1443</v>
      </c>
      <c r="G1460" s="2" t="str">
        <f>IF(Iterations[[#This Row],[Step]] =current_step, current_a,IF(Iterations[[#This Row],[Step]] &gt; current_step, "",Iterations[[#This Row],[a]]))</f>
        <v/>
      </c>
      <c r="H1460" s="2" t="str">
        <f>IF(Iterations[[#This Row],[Step]] =current_step, current_b,IF(Iterations[[#This Row],[Step]] &gt; current_step, "",Iterations[[#This Row],[b]]))</f>
        <v/>
      </c>
      <c r="I1460" s="2" t="str">
        <f>IF(Iterations[[#This Row],[Step]] =current_step, current_c,IF(Iterations[[#This Row],[Step]] &gt; current_step, "",Iterations[[#This Row],[c]]))</f>
        <v/>
      </c>
      <c r="J1460" s="2" t="str">
        <f>IF(Iterations[[#This Row],[Step]] =current_step, current_d,IF(Iterations[[#This Row],[Step]] &gt; current_step, "",Iterations[[#This Row],[d]]))</f>
        <v/>
      </c>
      <c r="K1460" s="2" t="str">
        <f>IF(Iterations[[#This Row],[Step]] =current_step, current_e,IF(Iterations[[#This Row],[Step]] &gt; current_step, "",Iterations[[#This Row],[e]]))</f>
        <v/>
      </c>
      <c r="L1460" s="2" t="str">
        <f>IF(Iterations[[#This Row],[Step]] =current_step, current_Total_Loss,IF(Iterations[[#This Row],[Step]] &gt; current_step, "",Iterations[[#This Row],[Total Loss]]))</f>
        <v/>
      </c>
      <c r="M1460" s="6" t="s">
        <v>27</v>
      </c>
      <c r="N1460" s="2" t="str">
        <f>IF(Iterations[[#This Row],[Step]] =current_step, current_Grad_a,IF(Iterations[[#This Row],[Step]] &gt; current_step, "",Iterations[[#This Row],[Grad_a]]))</f>
        <v/>
      </c>
      <c r="O1460" s="2" t="str">
        <f>IF(Iterations[[#This Row],[Step]] =current_step, current_Grad_b,IF(Iterations[[#This Row],[Step]] &gt; current_step, "",Iterations[[#This Row],[Grad_b]]))</f>
        <v/>
      </c>
      <c r="P1460" s="2" t="str">
        <f>IF(Iterations[[#This Row],[Step]] =current_step, current_Grad_c,IF(Iterations[[#This Row],[Step]] &gt; current_step, "",Iterations[[#This Row],[Grad_c]]))</f>
        <v/>
      </c>
      <c r="Q1460" s="2" t="str">
        <f>IF(Iterations[[#This Row],[Step]] =current_step, current_Grad_d,IF(Iterations[[#This Row],[Step]] &gt; current_step, "",Iterations[[#This Row],[Grad_d]]))</f>
        <v/>
      </c>
      <c r="R1460" s="2" t="str">
        <f>IF(Iterations[[#This Row],[Step]] =current_step, current_Grad_e,IF(Iterations[[#This Row],[Step]] &gt; current_step, "",Iterations[[#This Row],[Grad_e]]))</f>
        <v/>
      </c>
    </row>
    <row r="1461" spans="6:18" x14ac:dyDescent="0.3">
      <c r="F1461" s="2">
        <f t="shared" si="27"/>
        <v>1444</v>
      </c>
      <c r="G1461" s="2" t="str">
        <f>IF(Iterations[[#This Row],[Step]] =current_step, current_a,IF(Iterations[[#This Row],[Step]] &gt; current_step, "",Iterations[[#This Row],[a]]))</f>
        <v/>
      </c>
      <c r="H1461" s="2" t="str">
        <f>IF(Iterations[[#This Row],[Step]] =current_step, current_b,IF(Iterations[[#This Row],[Step]] &gt; current_step, "",Iterations[[#This Row],[b]]))</f>
        <v/>
      </c>
      <c r="I1461" s="2" t="str">
        <f>IF(Iterations[[#This Row],[Step]] =current_step, current_c,IF(Iterations[[#This Row],[Step]] &gt; current_step, "",Iterations[[#This Row],[c]]))</f>
        <v/>
      </c>
      <c r="J1461" s="2" t="str">
        <f>IF(Iterations[[#This Row],[Step]] =current_step, current_d,IF(Iterations[[#This Row],[Step]] &gt; current_step, "",Iterations[[#This Row],[d]]))</f>
        <v/>
      </c>
      <c r="K1461" s="2" t="str">
        <f>IF(Iterations[[#This Row],[Step]] =current_step, current_e,IF(Iterations[[#This Row],[Step]] &gt; current_step, "",Iterations[[#This Row],[e]]))</f>
        <v/>
      </c>
      <c r="L1461" s="2" t="str">
        <f>IF(Iterations[[#This Row],[Step]] =current_step, current_Total_Loss,IF(Iterations[[#This Row],[Step]] &gt; current_step, "",Iterations[[#This Row],[Total Loss]]))</f>
        <v/>
      </c>
      <c r="M1461" s="6" t="s">
        <v>27</v>
      </c>
      <c r="N1461" s="2" t="str">
        <f>IF(Iterations[[#This Row],[Step]] =current_step, current_Grad_a,IF(Iterations[[#This Row],[Step]] &gt; current_step, "",Iterations[[#This Row],[Grad_a]]))</f>
        <v/>
      </c>
      <c r="O1461" s="2" t="str">
        <f>IF(Iterations[[#This Row],[Step]] =current_step, current_Grad_b,IF(Iterations[[#This Row],[Step]] &gt; current_step, "",Iterations[[#This Row],[Grad_b]]))</f>
        <v/>
      </c>
      <c r="P1461" s="2" t="str">
        <f>IF(Iterations[[#This Row],[Step]] =current_step, current_Grad_c,IF(Iterations[[#This Row],[Step]] &gt; current_step, "",Iterations[[#This Row],[Grad_c]]))</f>
        <v/>
      </c>
      <c r="Q1461" s="2" t="str">
        <f>IF(Iterations[[#This Row],[Step]] =current_step, current_Grad_d,IF(Iterations[[#This Row],[Step]] &gt; current_step, "",Iterations[[#This Row],[Grad_d]]))</f>
        <v/>
      </c>
      <c r="R1461" s="2" t="str">
        <f>IF(Iterations[[#This Row],[Step]] =current_step, current_Grad_e,IF(Iterations[[#This Row],[Step]] &gt; current_step, "",Iterations[[#This Row],[Grad_e]]))</f>
        <v/>
      </c>
    </row>
    <row r="1462" spans="6:18" x14ac:dyDescent="0.3">
      <c r="F1462" s="2">
        <f t="shared" si="27"/>
        <v>1445</v>
      </c>
      <c r="G1462" s="2" t="str">
        <f>IF(Iterations[[#This Row],[Step]] =current_step, current_a,IF(Iterations[[#This Row],[Step]] &gt; current_step, "",Iterations[[#This Row],[a]]))</f>
        <v/>
      </c>
      <c r="H1462" s="2" t="str">
        <f>IF(Iterations[[#This Row],[Step]] =current_step, current_b,IF(Iterations[[#This Row],[Step]] &gt; current_step, "",Iterations[[#This Row],[b]]))</f>
        <v/>
      </c>
      <c r="I1462" s="2" t="str">
        <f>IF(Iterations[[#This Row],[Step]] =current_step, current_c,IF(Iterations[[#This Row],[Step]] &gt; current_step, "",Iterations[[#This Row],[c]]))</f>
        <v/>
      </c>
      <c r="J1462" s="2" t="str">
        <f>IF(Iterations[[#This Row],[Step]] =current_step, current_d,IF(Iterations[[#This Row],[Step]] &gt; current_step, "",Iterations[[#This Row],[d]]))</f>
        <v/>
      </c>
      <c r="K1462" s="2" t="str">
        <f>IF(Iterations[[#This Row],[Step]] =current_step, current_e,IF(Iterations[[#This Row],[Step]] &gt; current_step, "",Iterations[[#This Row],[e]]))</f>
        <v/>
      </c>
      <c r="L1462" s="2" t="str">
        <f>IF(Iterations[[#This Row],[Step]] =current_step, current_Total_Loss,IF(Iterations[[#This Row],[Step]] &gt; current_step, "",Iterations[[#This Row],[Total Loss]]))</f>
        <v/>
      </c>
      <c r="M1462" s="6" t="s">
        <v>27</v>
      </c>
      <c r="N1462" s="2" t="str">
        <f>IF(Iterations[[#This Row],[Step]] =current_step, current_Grad_a,IF(Iterations[[#This Row],[Step]] &gt; current_step, "",Iterations[[#This Row],[Grad_a]]))</f>
        <v/>
      </c>
      <c r="O1462" s="2" t="str">
        <f>IF(Iterations[[#This Row],[Step]] =current_step, current_Grad_b,IF(Iterations[[#This Row],[Step]] &gt; current_step, "",Iterations[[#This Row],[Grad_b]]))</f>
        <v/>
      </c>
      <c r="P1462" s="2" t="str">
        <f>IF(Iterations[[#This Row],[Step]] =current_step, current_Grad_c,IF(Iterations[[#This Row],[Step]] &gt; current_step, "",Iterations[[#This Row],[Grad_c]]))</f>
        <v/>
      </c>
      <c r="Q1462" s="2" t="str">
        <f>IF(Iterations[[#This Row],[Step]] =current_step, current_Grad_d,IF(Iterations[[#This Row],[Step]] &gt; current_step, "",Iterations[[#This Row],[Grad_d]]))</f>
        <v/>
      </c>
      <c r="R1462" s="2" t="str">
        <f>IF(Iterations[[#This Row],[Step]] =current_step, current_Grad_e,IF(Iterations[[#This Row],[Step]] &gt; current_step, "",Iterations[[#This Row],[Grad_e]]))</f>
        <v/>
      </c>
    </row>
    <row r="1463" spans="6:18" x14ac:dyDescent="0.3">
      <c r="F1463" s="2">
        <f t="shared" si="27"/>
        <v>1446</v>
      </c>
      <c r="G1463" s="2" t="str">
        <f>IF(Iterations[[#This Row],[Step]] =current_step, current_a,IF(Iterations[[#This Row],[Step]] &gt; current_step, "",Iterations[[#This Row],[a]]))</f>
        <v/>
      </c>
      <c r="H1463" s="2" t="str">
        <f>IF(Iterations[[#This Row],[Step]] =current_step, current_b,IF(Iterations[[#This Row],[Step]] &gt; current_step, "",Iterations[[#This Row],[b]]))</f>
        <v/>
      </c>
      <c r="I1463" s="2" t="str">
        <f>IF(Iterations[[#This Row],[Step]] =current_step, current_c,IF(Iterations[[#This Row],[Step]] &gt; current_step, "",Iterations[[#This Row],[c]]))</f>
        <v/>
      </c>
      <c r="J1463" s="2" t="str">
        <f>IF(Iterations[[#This Row],[Step]] =current_step, current_d,IF(Iterations[[#This Row],[Step]] &gt; current_step, "",Iterations[[#This Row],[d]]))</f>
        <v/>
      </c>
      <c r="K1463" s="2" t="str">
        <f>IF(Iterations[[#This Row],[Step]] =current_step, current_e,IF(Iterations[[#This Row],[Step]] &gt; current_step, "",Iterations[[#This Row],[e]]))</f>
        <v/>
      </c>
      <c r="L1463" s="2" t="str">
        <f>IF(Iterations[[#This Row],[Step]] =current_step, current_Total_Loss,IF(Iterations[[#This Row],[Step]] &gt; current_step, "",Iterations[[#This Row],[Total Loss]]))</f>
        <v/>
      </c>
      <c r="M1463" s="6" t="s">
        <v>27</v>
      </c>
      <c r="N1463" s="2" t="str">
        <f>IF(Iterations[[#This Row],[Step]] =current_step, current_Grad_a,IF(Iterations[[#This Row],[Step]] &gt; current_step, "",Iterations[[#This Row],[Grad_a]]))</f>
        <v/>
      </c>
      <c r="O1463" s="2" t="str">
        <f>IF(Iterations[[#This Row],[Step]] =current_step, current_Grad_b,IF(Iterations[[#This Row],[Step]] &gt; current_step, "",Iterations[[#This Row],[Grad_b]]))</f>
        <v/>
      </c>
      <c r="P1463" s="2" t="str">
        <f>IF(Iterations[[#This Row],[Step]] =current_step, current_Grad_c,IF(Iterations[[#This Row],[Step]] &gt; current_step, "",Iterations[[#This Row],[Grad_c]]))</f>
        <v/>
      </c>
      <c r="Q1463" s="2" t="str">
        <f>IF(Iterations[[#This Row],[Step]] =current_step, current_Grad_d,IF(Iterations[[#This Row],[Step]] &gt; current_step, "",Iterations[[#This Row],[Grad_d]]))</f>
        <v/>
      </c>
      <c r="R1463" s="2" t="str">
        <f>IF(Iterations[[#This Row],[Step]] =current_step, current_Grad_e,IF(Iterations[[#This Row],[Step]] &gt; current_step, "",Iterations[[#This Row],[Grad_e]]))</f>
        <v/>
      </c>
    </row>
    <row r="1464" spans="6:18" x14ac:dyDescent="0.3">
      <c r="F1464" s="2">
        <f t="shared" ref="F1464:F1527" si="28">F1463+1</f>
        <v>1447</v>
      </c>
      <c r="G1464" s="2" t="str">
        <f>IF(Iterations[[#This Row],[Step]] =current_step, current_a,IF(Iterations[[#This Row],[Step]] &gt; current_step, "",Iterations[[#This Row],[a]]))</f>
        <v/>
      </c>
      <c r="H1464" s="2" t="str">
        <f>IF(Iterations[[#This Row],[Step]] =current_step, current_b,IF(Iterations[[#This Row],[Step]] &gt; current_step, "",Iterations[[#This Row],[b]]))</f>
        <v/>
      </c>
      <c r="I1464" s="2" t="str">
        <f>IF(Iterations[[#This Row],[Step]] =current_step, current_c,IF(Iterations[[#This Row],[Step]] &gt; current_step, "",Iterations[[#This Row],[c]]))</f>
        <v/>
      </c>
      <c r="J1464" s="2" t="str">
        <f>IF(Iterations[[#This Row],[Step]] =current_step, current_d,IF(Iterations[[#This Row],[Step]] &gt; current_step, "",Iterations[[#This Row],[d]]))</f>
        <v/>
      </c>
      <c r="K1464" s="2" t="str">
        <f>IF(Iterations[[#This Row],[Step]] =current_step, current_e,IF(Iterations[[#This Row],[Step]] &gt; current_step, "",Iterations[[#This Row],[e]]))</f>
        <v/>
      </c>
      <c r="L1464" s="2" t="str">
        <f>IF(Iterations[[#This Row],[Step]] =current_step, current_Total_Loss,IF(Iterations[[#This Row],[Step]] &gt; current_step, "",Iterations[[#This Row],[Total Loss]]))</f>
        <v/>
      </c>
      <c r="M1464" s="6" t="s">
        <v>27</v>
      </c>
      <c r="N1464" s="2" t="str">
        <f>IF(Iterations[[#This Row],[Step]] =current_step, current_Grad_a,IF(Iterations[[#This Row],[Step]] &gt; current_step, "",Iterations[[#This Row],[Grad_a]]))</f>
        <v/>
      </c>
      <c r="O1464" s="2" t="str">
        <f>IF(Iterations[[#This Row],[Step]] =current_step, current_Grad_b,IF(Iterations[[#This Row],[Step]] &gt; current_step, "",Iterations[[#This Row],[Grad_b]]))</f>
        <v/>
      </c>
      <c r="P1464" s="2" t="str">
        <f>IF(Iterations[[#This Row],[Step]] =current_step, current_Grad_c,IF(Iterations[[#This Row],[Step]] &gt; current_step, "",Iterations[[#This Row],[Grad_c]]))</f>
        <v/>
      </c>
      <c r="Q1464" s="2" t="str">
        <f>IF(Iterations[[#This Row],[Step]] =current_step, current_Grad_d,IF(Iterations[[#This Row],[Step]] &gt; current_step, "",Iterations[[#This Row],[Grad_d]]))</f>
        <v/>
      </c>
      <c r="R1464" s="2" t="str">
        <f>IF(Iterations[[#This Row],[Step]] =current_step, current_Grad_e,IF(Iterations[[#This Row],[Step]] &gt; current_step, "",Iterations[[#This Row],[Grad_e]]))</f>
        <v/>
      </c>
    </row>
    <row r="1465" spans="6:18" x14ac:dyDescent="0.3">
      <c r="F1465" s="2">
        <f t="shared" si="28"/>
        <v>1448</v>
      </c>
      <c r="G1465" s="2" t="str">
        <f>IF(Iterations[[#This Row],[Step]] =current_step, current_a,IF(Iterations[[#This Row],[Step]] &gt; current_step, "",Iterations[[#This Row],[a]]))</f>
        <v/>
      </c>
      <c r="H1465" s="2" t="str">
        <f>IF(Iterations[[#This Row],[Step]] =current_step, current_b,IF(Iterations[[#This Row],[Step]] &gt; current_step, "",Iterations[[#This Row],[b]]))</f>
        <v/>
      </c>
      <c r="I1465" s="2" t="str">
        <f>IF(Iterations[[#This Row],[Step]] =current_step, current_c,IF(Iterations[[#This Row],[Step]] &gt; current_step, "",Iterations[[#This Row],[c]]))</f>
        <v/>
      </c>
      <c r="J1465" s="2" t="str">
        <f>IF(Iterations[[#This Row],[Step]] =current_step, current_d,IF(Iterations[[#This Row],[Step]] &gt; current_step, "",Iterations[[#This Row],[d]]))</f>
        <v/>
      </c>
      <c r="K1465" s="2" t="str">
        <f>IF(Iterations[[#This Row],[Step]] =current_step, current_e,IF(Iterations[[#This Row],[Step]] &gt; current_step, "",Iterations[[#This Row],[e]]))</f>
        <v/>
      </c>
      <c r="L1465" s="2" t="str">
        <f>IF(Iterations[[#This Row],[Step]] =current_step, current_Total_Loss,IF(Iterations[[#This Row],[Step]] &gt; current_step, "",Iterations[[#This Row],[Total Loss]]))</f>
        <v/>
      </c>
      <c r="M1465" s="6" t="s">
        <v>27</v>
      </c>
      <c r="N1465" s="2" t="str">
        <f>IF(Iterations[[#This Row],[Step]] =current_step, current_Grad_a,IF(Iterations[[#This Row],[Step]] &gt; current_step, "",Iterations[[#This Row],[Grad_a]]))</f>
        <v/>
      </c>
      <c r="O1465" s="2" t="str">
        <f>IF(Iterations[[#This Row],[Step]] =current_step, current_Grad_b,IF(Iterations[[#This Row],[Step]] &gt; current_step, "",Iterations[[#This Row],[Grad_b]]))</f>
        <v/>
      </c>
      <c r="P1465" s="2" t="str">
        <f>IF(Iterations[[#This Row],[Step]] =current_step, current_Grad_c,IF(Iterations[[#This Row],[Step]] &gt; current_step, "",Iterations[[#This Row],[Grad_c]]))</f>
        <v/>
      </c>
      <c r="Q1465" s="2" t="str">
        <f>IF(Iterations[[#This Row],[Step]] =current_step, current_Grad_d,IF(Iterations[[#This Row],[Step]] &gt; current_step, "",Iterations[[#This Row],[Grad_d]]))</f>
        <v/>
      </c>
      <c r="R1465" s="2" t="str">
        <f>IF(Iterations[[#This Row],[Step]] =current_step, current_Grad_e,IF(Iterations[[#This Row],[Step]] &gt; current_step, "",Iterations[[#This Row],[Grad_e]]))</f>
        <v/>
      </c>
    </row>
    <row r="1466" spans="6:18" x14ac:dyDescent="0.3">
      <c r="F1466" s="2">
        <f t="shared" si="28"/>
        <v>1449</v>
      </c>
      <c r="G1466" s="2" t="str">
        <f>IF(Iterations[[#This Row],[Step]] =current_step, current_a,IF(Iterations[[#This Row],[Step]] &gt; current_step, "",Iterations[[#This Row],[a]]))</f>
        <v/>
      </c>
      <c r="H1466" s="2" t="str">
        <f>IF(Iterations[[#This Row],[Step]] =current_step, current_b,IF(Iterations[[#This Row],[Step]] &gt; current_step, "",Iterations[[#This Row],[b]]))</f>
        <v/>
      </c>
      <c r="I1466" s="2" t="str">
        <f>IF(Iterations[[#This Row],[Step]] =current_step, current_c,IF(Iterations[[#This Row],[Step]] &gt; current_step, "",Iterations[[#This Row],[c]]))</f>
        <v/>
      </c>
      <c r="J1466" s="2" t="str">
        <f>IF(Iterations[[#This Row],[Step]] =current_step, current_d,IF(Iterations[[#This Row],[Step]] &gt; current_step, "",Iterations[[#This Row],[d]]))</f>
        <v/>
      </c>
      <c r="K1466" s="2" t="str">
        <f>IF(Iterations[[#This Row],[Step]] =current_step, current_e,IF(Iterations[[#This Row],[Step]] &gt; current_step, "",Iterations[[#This Row],[e]]))</f>
        <v/>
      </c>
      <c r="L1466" s="2" t="str">
        <f>IF(Iterations[[#This Row],[Step]] =current_step, current_Total_Loss,IF(Iterations[[#This Row],[Step]] &gt; current_step, "",Iterations[[#This Row],[Total Loss]]))</f>
        <v/>
      </c>
      <c r="M1466" s="6" t="s">
        <v>27</v>
      </c>
      <c r="N1466" s="2" t="str">
        <f>IF(Iterations[[#This Row],[Step]] =current_step, current_Grad_a,IF(Iterations[[#This Row],[Step]] &gt; current_step, "",Iterations[[#This Row],[Grad_a]]))</f>
        <v/>
      </c>
      <c r="O1466" s="2" t="str">
        <f>IF(Iterations[[#This Row],[Step]] =current_step, current_Grad_b,IF(Iterations[[#This Row],[Step]] &gt; current_step, "",Iterations[[#This Row],[Grad_b]]))</f>
        <v/>
      </c>
      <c r="P1466" s="2" t="str">
        <f>IF(Iterations[[#This Row],[Step]] =current_step, current_Grad_c,IF(Iterations[[#This Row],[Step]] &gt; current_step, "",Iterations[[#This Row],[Grad_c]]))</f>
        <v/>
      </c>
      <c r="Q1466" s="2" t="str">
        <f>IF(Iterations[[#This Row],[Step]] =current_step, current_Grad_d,IF(Iterations[[#This Row],[Step]] &gt; current_step, "",Iterations[[#This Row],[Grad_d]]))</f>
        <v/>
      </c>
      <c r="R1466" s="2" t="str">
        <f>IF(Iterations[[#This Row],[Step]] =current_step, current_Grad_e,IF(Iterations[[#This Row],[Step]] &gt; current_step, "",Iterations[[#This Row],[Grad_e]]))</f>
        <v/>
      </c>
    </row>
    <row r="1467" spans="6:18" x14ac:dyDescent="0.3">
      <c r="F1467" s="2">
        <f t="shared" si="28"/>
        <v>1450</v>
      </c>
      <c r="G1467" s="2" t="str">
        <f>IF(Iterations[[#This Row],[Step]] =current_step, current_a,IF(Iterations[[#This Row],[Step]] &gt; current_step, "",Iterations[[#This Row],[a]]))</f>
        <v/>
      </c>
      <c r="H1467" s="2" t="str">
        <f>IF(Iterations[[#This Row],[Step]] =current_step, current_b,IF(Iterations[[#This Row],[Step]] &gt; current_step, "",Iterations[[#This Row],[b]]))</f>
        <v/>
      </c>
      <c r="I1467" s="2" t="str">
        <f>IF(Iterations[[#This Row],[Step]] =current_step, current_c,IF(Iterations[[#This Row],[Step]] &gt; current_step, "",Iterations[[#This Row],[c]]))</f>
        <v/>
      </c>
      <c r="J1467" s="2" t="str">
        <f>IF(Iterations[[#This Row],[Step]] =current_step, current_d,IF(Iterations[[#This Row],[Step]] &gt; current_step, "",Iterations[[#This Row],[d]]))</f>
        <v/>
      </c>
      <c r="K1467" s="2" t="str">
        <f>IF(Iterations[[#This Row],[Step]] =current_step, current_e,IF(Iterations[[#This Row],[Step]] &gt; current_step, "",Iterations[[#This Row],[e]]))</f>
        <v/>
      </c>
      <c r="L1467" s="2" t="str">
        <f>IF(Iterations[[#This Row],[Step]] =current_step, current_Total_Loss,IF(Iterations[[#This Row],[Step]] &gt; current_step, "",Iterations[[#This Row],[Total Loss]]))</f>
        <v/>
      </c>
      <c r="M1467" s="6" t="s">
        <v>27</v>
      </c>
      <c r="N1467" s="2" t="str">
        <f>IF(Iterations[[#This Row],[Step]] =current_step, current_Grad_a,IF(Iterations[[#This Row],[Step]] &gt; current_step, "",Iterations[[#This Row],[Grad_a]]))</f>
        <v/>
      </c>
      <c r="O1467" s="2" t="str">
        <f>IF(Iterations[[#This Row],[Step]] =current_step, current_Grad_b,IF(Iterations[[#This Row],[Step]] &gt; current_step, "",Iterations[[#This Row],[Grad_b]]))</f>
        <v/>
      </c>
      <c r="P1467" s="2" t="str">
        <f>IF(Iterations[[#This Row],[Step]] =current_step, current_Grad_c,IF(Iterations[[#This Row],[Step]] &gt; current_step, "",Iterations[[#This Row],[Grad_c]]))</f>
        <v/>
      </c>
      <c r="Q1467" s="2" t="str">
        <f>IF(Iterations[[#This Row],[Step]] =current_step, current_Grad_d,IF(Iterations[[#This Row],[Step]] &gt; current_step, "",Iterations[[#This Row],[Grad_d]]))</f>
        <v/>
      </c>
      <c r="R1467" s="2" t="str">
        <f>IF(Iterations[[#This Row],[Step]] =current_step, current_Grad_e,IF(Iterations[[#This Row],[Step]] &gt; current_step, "",Iterations[[#This Row],[Grad_e]]))</f>
        <v/>
      </c>
    </row>
    <row r="1468" spans="6:18" x14ac:dyDescent="0.3">
      <c r="F1468" s="2">
        <f t="shared" si="28"/>
        <v>1451</v>
      </c>
      <c r="G1468" s="2" t="str">
        <f>IF(Iterations[[#This Row],[Step]] =current_step, current_a,IF(Iterations[[#This Row],[Step]] &gt; current_step, "",Iterations[[#This Row],[a]]))</f>
        <v/>
      </c>
      <c r="H1468" s="2" t="str">
        <f>IF(Iterations[[#This Row],[Step]] =current_step, current_b,IF(Iterations[[#This Row],[Step]] &gt; current_step, "",Iterations[[#This Row],[b]]))</f>
        <v/>
      </c>
      <c r="I1468" s="2" t="str">
        <f>IF(Iterations[[#This Row],[Step]] =current_step, current_c,IF(Iterations[[#This Row],[Step]] &gt; current_step, "",Iterations[[#This Row],[c]]))</f>
        <v/>
      </c>
      <c r="J1468" s="2" t="str">
        <f>IF(Iterations[[#This Row],[Step]] =current_step, current_d,IF(Iterations[[#This Row],[Step]] &gt; current_step, "",Iterations[[#This Row],[d]]))</f>
        <v/>
      </c>
      <c r="K1468" s="2" t="str">
        <f>IF(Iterations[[#This Row],[Step]] =current_step, current_e,IF(Iterations[[#This Row],[Step]] &gt; current_step, "",Iterations[[#This Row],[e]]))</f>
        <v/>
      </c>
      <c r="L1468" s="2" t="str">
        <f>IF(Iterations[[#This Row],[Step]] =current_step, current_Total_Loss,IF(Iterations[[#This Row],[Step]] &gt; current_step, "",Iterations[[#This Row],[Total Loss]]))</f>
        <v/>
      </c>
      <c r="M1468" s="6" t="s">
        <v>27</v>
      </c>
      <c r="N1468" s="2" t="str">
        <f>IF(Iterations[[#This Row],[Step]] =current_step, current_Grad_a,IF(Iterations[[#This Row],[Step]] &gt; current_step, "",Iterations[[#This Row],[Grad_a]]))</f>
        <v/>
      </c>
      <c r="O1468" s="2" t="str">
        <f>IF(Iterations[[#This Row],[Step]] =current_step, current_Grad_b,IF(Iterations[[#This Row],[Step]] &gt; current_step, "",Iterations[[#This Row],[Grad_b]]))</f>
        <v/>
      </c>
      <c r="P1468" s="2" t="str">
        <f>IF(Iterations[[#This Row],[Step]] =current_step, current_Grad_c,IF(Iterations[[#This Row],[Step]] &gt; current_step, "",Iterations[[#This Row],[Grad_c]]))</f>
        <v/>
      </c>
      <c r="Q1468" s="2" t="str">
        <f>IF(Iterations[[#This Row],[Step]] =current_step, current_Grad_d,IF(Iterations[[#This Row],[Step]] &gt; current_step, "",Iterations[[#This Row],[Grad_d]]))</f>
        <v/>
      </c>
      <c r="R1468" s="2" t="str">
        <f>IF(Iterations[[#This Row],[Step]] =current_step, current_Grad_e,IF(Iterations[[#This Row],[Step]] &gt; current_step, "",Iterations[[#This Row],[Grad_e]]))</f>
        <v/>
      </c>
    </row>
    <row r="1469" spans="6:18" x14ac:dyDescent="0.3">
      <c r="F1469" s="2">
        <f t="shared" si="28"/>
        <v>1452</v>
      </c>
      <c r="G1469" s="2" t="str">
        <f>IF(Iterations[[#This Row],[Step]] =current_step, current_a,IF(Iterations[[#This Row],[Step]] &gt; current_step, "",Iterations[[#This Row],[a]]))</f>
        <v/>
      </c>
      <c r="H1469" s="2" t="str">
        <f>IF(Iterations[[#This Row],[Step]] =current_step, current_b,IF(Iterations[[#This Row],[Step]] &gt; current_step, "",Iterations[[#This Row],[b]]))</f>
        <v/>
      </c>
      <c r="I1469" s="2" t="str">
        <f>IF(Iterations[[#This Row],[Step]] =current_step, current_c,IF(Iterations[[#This Row],[Step]] &gt; current_step, "",Iterations[[#This Row],[c]]))</f>
        <v/>
      </c>
      <c r="J1469" s="2" t="str">
        <f>IF(Iterations[[#This Row],[Step]] =current_step, current_d,IF(Iterations[[#This Row],[Step]] &gt; current_step, "",Iterations[[#This Row],[d]]))</f>
        <v/>
      </c>
      <c r="K1469" s="2" t="str">
        <f>IF(Iterations[[#This Row],[Step]] =current_step, current_e,IF(Iterations[[#This Row],[Step]] &gt; current_step, "",Iterations[[#This Row],[e]]))</f>
        <v/>
      </c>
      <c r="L1469" s="2" t="str">
        <f>IF(Iterations[[#This Row],[Step]] =current_step, current_Total_Loss,IF(Iterations[[#This Row],[Step]] &gt; current_step, "",Iterations[[#This Row],[Total Loss]]))</f>
        <v/>
      </c>
      <c r="M1469" s="6" t="s">
        <v>27</v>
      </c>
      <c r="N1469" s="2" t="str">
        <f>IF(Iterations[[#This Row],[Step]] =current_step, current_Grad_a,IF(Iterations[[#This Row],[Step]] &gt; current_step, "",Iterations[[#This Row],[Grad_a]]))</f>
        <v/>
      </c>
      <c r="O1469" s="2" t="str">
        <f>IF(Iterations[[#This Row],[Step]] =current_step, current_Grad_b,IF(Iterations[[#This Row],[Step]] &gt; current_step, "",Iterations[[#This Row],[Grad_b]]))</f>
        <v/>
      </c>
      <c r="P1469" s="2" t="str">
        <f>IF(Iterations[[#This Row],[Step]] =current_step, current_Grad_c,IF(Iterations[[#This Row],[Step]] &gt; current_step, "",Iterations[[#This Row],[Grad_c]]))</f>
        <v/>
      </c>
      <c r="Q1469" s="2" t="str">
        <f>IF(Iterations[[#This Row],[Step]] =current_step, current_Grad_d,IF(Iterations[[#This Row],[Step]] &gt; current_step, "",Iterations[[#This Row],[Grad_d]]))</f>
        <v/>
      </c>
      <c r="R1469" s="2" t="str">
        <f>IF(Iterations[[#This Row],[Step]] =current_step, current_Grad_e,IF(Iterations[[#This Row],[Step]] &gt; current_step, "",Iterations[[#This Row],[Grad_e]]))</f>
        <v/>
      </c>
    </row>
    <row r="1470" spans="6:18" x14ac:dyDescent="0.3">
      <c r="F1470" s="2">
        <f t="shared" si="28"/>
        <v>1453</v>
      </c>
      <c r="G1470" s="2" t="str">
        <f>IF(Iterations[[#This Row],[Step]] =current_step, current_a,IF(Iterations[[#This Row],[Step]] &gt; current_step, "",Iterations[[#This Row],[a]]))</f>
        <v/>
      </c>
      <c r="H1470" s="2" t="str">
        <f>IF(Iterations[[#This Row],[Step]] =current_step, current_b,IF(Iterations[[#This Row],[Step]] &gt; current_step, "",Iterations[[#This Row],[b]]))</f>
        <v/>
      </c>
      <c r="I1470" s="2" t="str">
        <f>IF(Iterations[[#This Row],[Step]] =current_step, current_c,IF(Iterations[[#This Row],[Step]] &gt; current_step, "",Iterations[[#This Row],[c]]))</f>
        <v/>
      </c>
      <c r="J1470" s="2" t="str">
        <f>IF(Iterations[[#This Row],[Step]] =current_step, current_d,IF(Iterations[[#This Row],[Step]] &gt; current_step, "",Iterations[[#This Row],[d]]))</f>
        <v/>
      </c>
      <c r="K1470" s="2" t="str">
        <f>IF(Iterations[[#This Row],[Step]] =current_step, current_e,IF(Iterations[[#This Row],[Step]] &gt; current_step, "",Iterations[[#This Row],[e]]))</f>
        <v/>
      </c>
      <c r="L1470" s="2" t="str">
        <f>IF(Iterations[[#This Row],[Step]] =current_step, current_Total_Loss,IF(Iterations[[#This Row],[Step]] &gt; current_step, "",Iterations[[#This Row],[Total Loss]]))</f>
        <v/>
      </c>
      <c r="M1470" s="6" t="s">
        <v>27</v>
      </c>
      <c r="N1470" s="2" t="str">
        <f>IF(Iterations[[#This Row],[Step]] =current_step, current_Grad_a,IF(Iterations[[#This Row],[Step]] &gt; current_step, "",Iterations[[#This Row],[Grad_a]]))</f>
        <v/>
      </c>
      <c r="O1470" s="2" t="str">
        <f>IF(Iterations[[#This Row],[Step]] =current_step, current_Grad_b,IF(Iterations[[#This Row],[Step]] &gt; current_step, "",Iterations[[#This Row],[Grad_b]]))</f>
        <v/>
      </c>
      <c r="P1470" s="2" t="str">
        <f>IF(Iterations[[#This Row],[Step]] =current_step, current_Grad_c,IF(Iterations[[#This Row],[Step]] &gt; current_step, "",Iterations[[#This Row],[Grad_c]]))</f>
        <v/>
      </c>
      <c r="Q1470" s="2" t="str">
        <f>IF(Iterations[[#This Row],[Step]] =current_step, current_Grad_d,IF(Iterations[[#This Row],[Step]] &gt; current_step, "",Iterations[[#This Row],[Grad_d]]))</f>
        <v/>
      </c>
      <c r="R1470" s="2" t="str">
        <f>IF(Iterations[[#This Row],[Step]] =current_step, current_Grad_e,IF(Iterations[[#This Row],[Step]] &gt; current_step, "",Iterations[[#This Row],[Grad_e]]))</f>
        <v/>
      </c>
    </row>
    <row r="1471" spans="6:18" x14ac:dyDescent="0.3">
      <c r="F1471" s="2">
        <f t="shared" si="28"/>
        <v>1454</v>
      </c>
      <c r="G1471" s="2" t="str">
        <f>IF(Iterations[[#This Row],[Step]] =current_step, current_a,IF(Iterations[[#This Row],[Step]] &gt; current_step, "",Iterations[[#This Row],[a]]))</f>
        <v/>
      </c>
      <c r="H1471" s="2" t="str">
        <f>IF(Iterations[[#This Row],[Step]] =current_step, current_b,IF(Iterations[[#This Row],[Step]] &gt; current_step, "",Iterations[[#This Row],[b]]))</f>
        <v/>
      </c>
      <c r="I1471" s="2" t="str">
        <f>IF(Iterations[[#This Row],[Step]] =current_step, current_c,IF(Iterations[[#This Row],[Step]] &gt; current_step, "",Iterations[[#This Row],[c]]))</f>
        <v/>
      </c>
      <c r="J1471" s="2" t="str">
        <f>IF(Iterations[[#This Row],[Step]] =current_step, current_d,IF(Iterations[[#This Row],[Step]] &gt; current_step, "",Iterations[[#This Row],[d]]))</f>
        <v/>
      </c>
      <c r="K1471" s="2" t="str">
        <f>IF(Iterations[[#This Row],[Step]] =current_step, current_e,IF(Iterations[[#This Row],[Step]] &gt; current_step, "",Iterations[[#This Row],[e]]))</f>
        <v/>
      </c>
      <c r="L1471" s="2" t="str">
        <f>IF(Iterations[[#This Row],[Step]] =current_step, current_Total_Loss,IF(Iterations[[#This Row],[Step]] &gt; current_step, "",Iterations[[#This Row],[Total Loss]]))</f>
        <v/>
      </c>
      <c r="M1471" s="6" t="s">
        <v>27</v>
      </c>
      <c r="N1471" s="2" t="str">
        <f>IF(Iterations[[#This Row],[Step]] =current_step, current_Grad_a,IF(Iterations[[#This Row],[Step]] &gt; current_step, "",Iterations[[#This Row],[Grad_a]]))</f>
        <v/>
      </c>
      <c r="O1471" s="2" t="str">
        <f>IF(Iterations[[#This Row],[Step]] =current_step, current_Grad_b,IF(Iterations[[#This Row],[Step]] &gt; current_step, "",Iterations[[#This Row],[Grad_b]]))</f>
        <v/>
      </c>
      <c r="P1471" s="2" t="str">
        <f>IF(Iterations[[#This Row],[Step]] =current_step, current_Grad_c,IF(Iterations[[#This Row],[Step]] &gt; current_step, "",Iterations[[#This Row],[Grad_c]]))</f>
        <v/>
      </c>
      <c r="Q1471" s="2" t="str">
        <f>IF(Iterations[[#This Row],[Step]] =current_step, current_Grad_d,IF(Iterations[[#This Row],[Step]] &gt; current_step, "",Iterations[[#This Row],[Grad_d]]))</f>
        <v/>
      </c>
      <c r="R1471" s="2" t="str">
        <f>IF(Iterations[[#This Row],[Step]] =current_step, current_Grad_e,IF(Iterations[[#This Row],[Step]] &gt; current_step, "",Iterations[[#This Row],[Grad_e]]))</f>
        <v/>
      </c>
    </row>
    <row r="1472" spans="6:18" x14ac:dyDescent="0.3">
      <c r="F1472" s="2">
        <f t="shared" si="28"/>
        <v>1455</v>
      </c>
      <c r="G1472" s="2" t="str">
        <f>IF(Iterations[[#This Row],[Step]] =current_step, current_a,IF(Iterations[[#This Row],[Step]] &gt; current_step, "",Iterations[[#This Row],[a]]))</f>
        <v/>
      </c>
      <c r="H1472" s="2" t="str">
        <f>IF(Iterations[[#This Row],[Step]] =current_step, current_b,IF(Iterations[[#This Row],[Step]] &gt; current_step, "",Iterations[[#This Row],[b]]))</f>
        <v/>
      </c>
      <c r="I1472" s="2" t="str">
        <f>IF(Iterations[[#This Row],[Step]] =current_step, current_c,IF(Iterations[[#This Row],[Step]] &gt; current_step, "",Iterations[[#This Row],[c]]))</f>
        <v/>
      </c>
      <c r="J1472" s="2" t="str">
        <f>IF(Iterations[[#This Row],[Step]] =current_step, current_d,IF(Iterations[[#This Row],[Step]] &gt; current_step, "",Iterations[[#This Row],[d]]))</f>
        <v/>
      </c>
      <c r="K1472" s="2" t="str">
        <f>IF(Iterations[[#This Row],[Step]] =current_step, current_e,IF(Iterations[[#This Row],[Step]] &gt; current_step, "",Iterations[[#This Row],[e]]))</f>
        <v/>
      </c>
      <c r="L1472" s="2" t="str">
        <f>IF(Iterations[[#This Row],[Step]] =current_step, current_Total_Loss,IF(Iterations[[#This Row],[Step]] &gt; current_step, "",Iterations[[#This Row],[Total Loss]]))</f>
        <v/>
      </c>
      <c r="M1472" s="6" t="s">
        <v>27</v>
      </c>
      <c r="N1472" s="2" t="str">
        <f>IF(Iterations[[#This Row],[Step]] =current_step, current_Grad_a,IF(Iterations[[#This Row],[Step]] &gt; current_step, "",Iterations[[#This Row],[Grad_a]]))</f>
        <v/>
      </c>
      <c r="O1472" s="2" t="str">
        <f>IF(Iterations[[#This Row],[Step]] =current_step, current_Grad_b,IF(Iterations[[#This Row],[Step]] &gt; current_step, "",Iterations[[#This Row],[Grad_b]]))</f>
        <v/>
      </c>
      <c r="P1472" s="2" t="str">
        <f>IF(Iterations[[#This Row],[Step]] =current_step, current_Grad_c,IF(Iterations[[#This Row],[Step]] &gt; current_step, "",Iterations[[#This Row],[Grad_c]]))</f>
        <v/>
      </c>
      <c r="Q1472" s="2" t="str">
        <f>IF(Iterations[[#This Row],[Step]] =current_step, current_Grad_d,IF(Iterations[[#This Row],[Step]] &gt; current_step, "",Iterations[[#This Row],[Grad_d]]))</f>
        <v/>
      </c>
      <c r="R1472" s="2" t="str">
        <f>IF(Iterations[[#This Row],[Step]] =current_step, current_Grad_e,IF(Iterations[[#This Row],[Step]] &gt; current_step, "",Iterations[[#This Row],[Grad_e]]))</f>
        <v/>
      </c>
    </row>
    <row r="1473" spans="6:18" x14ac:dyDescent="0.3">
      <c r="F1473" s="2">
        <f t="shared" si="28"/>
        <v>1456</v>
      </c>
      <c r="G1473" s="2" t="str">
        <f>IF(Iterations[[#This Row],[Step]] =current_step, current_a,IF(Iterations[[#This Row],[Step]] &gt; current_step, "",Iterations[[#This Row],[a]]))</f>
        <v/>
      </c>
      <c r="H1473" s="2" t="str">
        <f>IF(Iterations[[#This Row],[Step]] =current_step, current_b,IF(Iterations[[#This Row],[Step]] &gt; current_step, "",Iterations[[#This Row],[b]]))</f>
        <v/>
      </c>
      <c r="I1473" s="2" t="str">
        <f>IF(Iterations[[#This Row],[Step]] =current_step, current_c,IF(Iterations[[#This Row],[Step]] &gt; current_step, "",Iterations[[#This Row],[c]]))</f>
        <v/>
      </c>
      <c r="J1473" s="2" t="str">
        <f>IF(Iterations[[#This Row],[Step]] =current_step, current_d,IF(Iterations[[#This Row],[Step]] &gt; current_step, "",Iterations[[#This Row],[d]]))</f>
        <v/>
      </c>
      <c r="K1473" s="2" t="str">
        <f>IF(Iterations[[#This Row],[Step]] =current_step, current_e,IF(Iterations[[#This Row],[Step]] &gt; current_step, "",Iterations[[#This Row],[e]]))</f>
        <v/>
      </c>
      <c r="L1473" s="2" t="str">
        <f>IF(Iterations[[#This Row],[Step]] =current_step, current_Total_Loss,IF(Iterations[[#This Row],[Step]] &gt; current_step, "",Iterations[[#This Row],[Total Loss]]))</f>
        <v/>
      </c>
      <c r="M1473" s="6" t="s">
        <v>27</v>
      </c>
      <c r="N1473" s="2" t="str">
        <f>IF(Iterations[[#This Row],[Step]] =current_step, current_Grad_a,IF(Iterations[[#This Row],[Step]] &gt; current_step, "",Iterations[[#This Row],[Grad_a]]))</f>
        <v/>
      </c>
      <c r="O1473" s="2" t="str">
        <f>IF(Iterations[[#This Row],[Step]] =current_step, current_Grad_b,IF(Iterations[[#This Row],[Step]] &gt; current_step, "",Iterations[[#This Row],[Grad_b]]))</f>
        <v/>
      </c>
      <c r="P1473" s="2" t="str">
        <f>IF(Iterations[[#This Row],[Step]] =current_step, current_Grad_c,IF(Iterations[[#This Row],[Step]] &gt; current_step, "",Iterations[[#This Row],[Grad_c]]))</f>
        <v/>
      </c>
      <c r="Q1473" s="2" t="str">
        <f>IF(Iterations[[#This Row],[Step]] =current_step, current_Grad_d,IF(Iterations[[#This Row],[Step]] &gt; current_step, "",Iterations[[#This Row],[Grad_d]]))</f>
        <v/>
      </c>
      <c r="R1473" s="2" t="str">
        <f>IF(Iterations[[#This Row],[Step]] =current_step, current_Grad_e,IF(Iterations[[#This Row],[Step]] &gt; current_step, "",Iterations[[#This Row],[Grad_e]]))</f>
        <v/>
      </c>
    </row>
    <row r="1474" spans="6:18" x14ac:dyDescent="0.3">
      <c r="F1474" s="2">
        <f t="shared" si="28"/>
        <v>1457</v>
      </c>
      <c r="G1474" s="2" t="str">
        <f>IF(Iterations[[#This Row],[Step]] =current_step, current_a,IF(Iterations[[#This Row],[Step]] &gt; current_step, "",Iterations[[#This Row],[a]]))</f>
        <v/>
      </c>
      <c r="H1474" s="2" t="str">
        <f>IF(Iterations[[#This Row],[Step]] =current_step, current_b,IF(Iterations[[#This Row],[Step]] &gt; current_step, "",Iterations[[#This Row],[b]]))</f>
        <v/>
      </c>
      <c r="I1474" s="2" t="str">
        <f>IF(Iterations[[#This Row],[Step]] =current_step, current_c,IF(Iterations[[#This Row],[Step]] &gt; current_step, "",Iterations[[#This Row],[c]]))</f>
        <v/>
      </c>
      <c r="J1474" s="2" t="str">
        <f>IF(Iterations[[#This Row],[Step]] =current_step, current_d,IF(Iterations[[#This Row],[Step]] &gt; current_step, "",Iterations[[#This Row],[d]]))</f>
        <v/>
      </c>
      <c r="K1474" s="2" t="str">
        <f>IF(Iterations[[#This Row],[Step]] =current_step, current_e,IF(Iterations[[#This Row],[Step]] &gt; current_step, "",Iterations[[#This Row],[e]]))</f>
        <v/>
      </c>
      <c r="L1474" s="2" t="str">
        <f>IF(Iterations[[#This Row],[Step]] =current_step, current_Total_Loss,IF(Iterations[[#This Row],[Step]] &gt; current_step, "",Iterations[[#This Row],[Total Loss]]))</f>
        <v/>
      </c>
      <c r="M1474" s="6" t="s">
        <v>27</v>
      </c>
      <c r="N1474" s="2" t="str">
        <f>IF(Iterations[[#This Row],[Step]] =current_step, current_Grad_a,IF(Iterations[[#This Row],[Step]] &gt; current_step, "",Iterations[[#This Row],[Grad_a]]))</f>
        <v/>
      </c>
      <c r="O1474" s="2" t="str">
        <f>IF(Iterations[[#This Row],[Step]] =current_step, current_Grad_b,IF(Iterations[[#This Row],[Step]] &gt; current_step, "",Iterations[[#This Row],[Grad_b]]))</f>
        <v/>
      </c>
      <c r="P1474" s="2" t="str">
        <f>IF(Iterations[[#This Row],[Step]] =current_step, current_Grad_c,IF(Iterations[[#This Row],[Step]] &gt; current_step, "",Iterations[[#This Row],[Grad_c]]))</f>
        <v/>
      </c>
      <c r="Q1474" s="2" t="str">
        <f>IF(Iterations[[#This Row],[Step]] =current_step, current_Grad_d,IF(Iterations[[#This Row],[Step]] &gt; current_step, "",Iterations[[#This Row],[Grad_d]]))</f>
        <v/>
      </c>
      <c r="R1474" s="2" t="str">
        <f>IF(Iterations[[#This Row],[Step]] =current_step, current_Grad_e,IF(Iterations[[#This Row],[Step]] &gt; current_step, "",Iterations[[#This Row],[Grad_e]]))</f>
        <v/>
      </c>
    </row>
    <row r="1475" spans="6:18" x14ac:dyDescent="0.3">
      <c r="F1475" s="2">
        <f t="shared" si="28"/>
        <v>1458</v>
      </c>
      <c r="G1475" s="2" t="str">
        <f>IF(Iterations[[#This Row],[Step]] =current_step, current_a,IF(Iterations[[#This Row],[Step]] &gt; current_step, "",Iterations[[#This Row],[a]]))</f>
        <v/>
      </c>
      <c r="H1475" s="2" t="str">
        <f>IF(Iterations[[#This Row],[Step]] =current_step, current_b,IF(Iterations[[#This Row],[Step]] &gt; current_step, "",Iterations[[#This Row],[b]]))</f>
        <v/>
      </c>
      <c r="I1475" s="2" t="str">
        <f>IF(Iterations[[#This Row],[Step]] =current_step, current_c,IF(Iterations[[#This Row],[Step]] &gt; current_step, "",Iterations[[#This Row],[c]]))</f>
        <v/>
      </c>
      <c r="J1475" s="2" t="str">
        <f>IF(Iterations[[#This Row],[Step]] =current_step, current_d,IF(Iterations[[#This Row],[Step]] &gt; current_step, "",Iterations[[#This Row],[d]]))</f>
        <v/>
      </c>
      <c r="K1475" s="2" t="str">
        <f>IF(Iterations[[#This Row],[Step]] =current_step, current_e,IF(Iterations[[#This Row],[Step]] &gt; current_step, "",Iterations[[#This Row],[e]]))</f>
        <v/>
      </c>
      <c r="L1475" s="2" t="str">
        <f>IF(Iterations[[#This Row],[Step]] =current_step, current_Total_Loss,IF(Iterations[[#This Row],[Step]] &gt; current_step, "",Iterations[[#This Row],[Total Loss]]))</f>
        <v/>
      </c>
      <c r="M1475" s="6" t="s">
        <v>27</v>
      </c>
      <c r="N1475" s="2" t="str">
        <f>IF(Iterations[[#This Row],[Step]] =current_step, current_Grad_a,IF(Iterations[[#This Row],[Step]] &gt; current_step, "",Iterations[[#This Row],[Grad_a]]))</f>
        <v/>
      </c>
      <c r="O1475" s="2" t="str">
        <f>IF(Iterations[[#This Row],[Step]] =current_step, current_Grad_b,IF(Iterations[[#This Row],[Step]] &gt; current_step, "",Iterations[[#This Row],[Grad_b]]))</f>
        <v/>
      </c>
      <c r="P1475" s="2" t="str">
        <f>IF(Iterations[[#This Row],[Step]] =current_step, current_Grad_c,IF(Iterations[[#This Row],[Step]] &gt; current_step, "",Iterations[[#This Row],[Grad_c]]))</f>
        <v/>
      </c>
      <c r="Q1475" s="2" t="str">
        <f>IF(Iterations[[#This Row],[Step]] =current_step, current_Grad_d,IF(Iterations[[#This Row],[Step]] &gt; current_step, "",Iterations[[#This Row],[Grad_d]]))</f>
        <v/>
      </c>
      <c r="R1475" s="2" t="str">
        <f>IF(Iterations[[#This Row],[Step]] =current_step, current_Grad_e,IF(Iterations[[#This Row],[Step]] &gt; current_step, "",Iterations[[#This Row],[Grad_e]]))</f>
        <v/>
      </c>
    </row>
    <row r="1476" spans="6:18" x14ac:dyDescent="0.3">
      <c r="F1476" s="2">
        <f t="shared" si="28"/>
        <v>1459</v>
      </c>
      <c r="G1476" s="2" t="str">
        <f>IF(Iterations[[#This Row],[Step]] =current_step, current_a,IF(Iterations[[#This Row],[Step]] &gt; current_step, "",Iterations[[#This Row],[a]]))</f>
        <v/>
      </c>
      <c r="H1476" s="2" t="str">
        <f>IF(Iterations[[#This Row],[Step]] =current_step, current_b,IF(Iterations[[#This Row],[Step]] &gt; current_step, "",Iterations[[#This Row],[b]]))</f>
        <v/>
      </c>
      <c r="I1476" s="2" t="str">
        <f>IF(Iterations[[#This Row],[Step]] =current_step, current_c,IF(Iterations[[#This Row],[Step]] &gt; current_step, "",Iterations[[#This Row],[c]]))</f>
        <v/>
      </c>
      <c r="J1476" s="2" t="str">
        <f>IF(Iterations[[#This Row],[Step]] =current_step, current_d,IF(Iterations[[#This Row],[Step]] &gt; current_step, "",Iterations[[#This Row],[d]]))</f>
        <v/>
      </c>
      <c r="K1476" s="2" t="str">
        <f>IF(Iterations[[#This Row],[Step]] =current_step, current_e,IF(Iterations[[#This Row],[Step]] &gt; current_step, "",Iterations[[#This Row],[e]]))</f>
        <v/>
      </c>
      <c r="L1476" s="2" t="str">
        <f>IF(Iterations[[#This Row],[Step]] =current_step, current_Total_Loss,IF(Iterations[[#This Row],[Step]] &gt; current_step, "",Iterations[[#This Row],[Total Loss]]))</f>
        <v/>
      </c>
      <c r="M1476" s="6" t="s">
        <v>27</v>
      </c>
      <c r="N1476" s="2" t="str">
        <f>IF(Iterations[[#This Row],[Step]] =current_step, current_Grad_a,IF(Iterations[[#This Row],[Step]] &gt; current_step, "",Iterations[[#This Row],[Grad_a]]))</f>
        <v/>
      </c>
      <c r="O1476" s="2" t="str">
        <f>IF(Iterations[[#This Row],[Step]] =current_step, current_Grad_b,IF(Iterations[[#This Row],[Step]] &gt; current_step, "",Iterations[[#This Row],[Grad_b]]))</f>
        <v/>
      </c>
      <c r="P1476" s="2" t="str">
        <f>IF(Iterations[[#This Row],[Step]] =current_step, current_Grad_c,IF(Iterations[[#This Row],[Step]] &gt; current_step, "",Iterations[[#This Row],[Grad_c]]))</f>
        <v/>
      </c>
      <c r="Q1476" s="2" t="str">
        <f>IF(Iterations[[#This Row],[Step]] =current_step, current_Grad_d,IF(Iterations[[#This Row],[Step]] &gt; current_step, "",Iterations[[#This Row],[Grad_d]]))</f>
        <v/>
      </c>
      <c r="R1476" s="2" t="str">
        <f>IF(Iterations[[#This Row],[Step]] =current_step, current_Grad_e,IF(Iterations[[#This Row],[Step]] &gt; current_step, "",Iterations[[#This Row],[Grad_e]]))</f>
        <v/>
      </c>
    </row>
    <row r="1477" spans="6:18" x14ac:dyDescent="0.3">
      <c r="F1477" s="2">
        <f t="shared" si="28"/>
        <v>1460</v>
      </c>
      <c r="G1477" s="2" t="str">
        <f>IF(Iterations[[#This Row],[Step]] =current_step, current_a,IF(Iterations[[#This Row],[Step]] &gt; current_step, "",Iterations[[#This Row],[a]]))</f>
        <v/>
      </c>
      <c r="H1477" s="2" t="str">
        <f>IF(Iterations[[#This Row],[Step]] =current_step, current_b,IF(Iterations[[#This Row],[Step]] &gt; current_step, "",Iterations[[#This Row],[b]]))</f>
        <v/>
      </c>
      <c r="I1477" s="2" t="str">
        <f>IF(Iterations[[#This Row],[Step]] =current_step, current_c,IF(Iterations[[#This Row],[Step]] &gt; current_step, "",Iterations[[#This Row],[c]]))</f>
        <v/>
      </c>
      <c r="J1477" s="2" t="str">
        <f>IF(Iterations[[#This Row],[Step]] =current_step, current_d,IF(Iterations[[#This Row],[Step]] &gt; current_step, "",Iterations[[#This Row],[d]]))</f>
        <v/>
      </c>
      <c r="K1477" s="2" t="str">
        <f>IF(Iterations[[#This Row],[Step]] =current_step, current_e,IF(Iterations[[#This Row],[Step]] &gt; current_step, "",Iterations[[#This Row],[e]]))</f>
        <v/>
      </c>
      <c r="L1477" s="2" t="str">
        <f>IF(Iterations[[#This Row],[Step]] =current_step, current_Total_Loss,IF(Iterations[[#This Row],[Step]] &gt; current_step, "",Iterations[[#This Row],[Total Loss]]))</f>
        <v/>
      </c>
      <c r="M1477" s="6" t="s">
        <v>27</v>
      </c>
      <c r="N1477" s="2" t="str">
        <f>IF(Iterations[[#This Row],[Step]] =current_step, current_Grad_a,IF(Iterations[[#This Row],[Step]] &gt; current_step, "",Iterations[[#This Row],[Grad_a]]))</f>
        <v/>
      </c>
      <c r="O1477" s="2" t="str">
        <f>IF(Iterations[[#This Row],[Step]] =current_step, current_Grad_b,IF(Iterations[[#This Row],[Step]] &gt; current_step, "",Iterations[[#This Row],[Grad_b]]))</f>
        <v/>
      </c>
      <c r="P1477" s="2" t="str">
        <f>IF(Iterations[[#This Row],[Step]] =current_step, current_Grad_c,IF(Iterations[[#This Row],[Step]] &gt; current_step, "",Iterations[[#This Row],[Grad_c]]))</f>
        <v/>
      </c>
      <c r="Q1477" s="2" t="str">
        <f>IF(Iterations[[#This Row],[Step]] =current_step, current_Grad_d,IF(Iterations[[#This Row],[Step]] &gt; current_step, "",Iterations[[#This Row],[Grad_d]]))</f>
        <v/>
      </c>
      <c r="R1477" s="2" t="str">
        <f>IF(Iterations[[#This Row],[Step]] =current_step, current_Grad_e,IF(Iterations[[#This Row],[Step]] &gt; current_step, "",Iterations[[#This Row],[Grad_e]]))</f>
        <v/>
      </c>
    </row>
    <row r="1478" spans="6:18" x14ac:dyDescent="0.3">
      <c r="F1478" s="2">
        <f t="shared" si="28"/>
        <v>1461</v>
      </c>
      <c r="G1478" s="2" t="str">
        <f>IF(Iterations[[#This Row],[Step]] =current_step, current_a,IF(Iterations[[#This Row],[Step]] &gt; current_step, "",Iterations[[#This Row],[a]]))</f>
        <v/>
      </c>
      <c r="H1478" s="2" t="str">
        <f>IF(Iterations[[#This Row],[Step]] =current_step, current_b,IF(Iterations[[#This Row],[Step]] &gt; current_step, "",Iterations[[#This Row],[b]]))</f>
        <v/>
      </c>
      <c r="I1478" s="2" t="str">
        <f>IF(Iterations[[#This Row],[Step]] =current_step, current_c,IF(Iterations[[#This Row],[Step]] &gt; current_step, "",Iterations[[#This Row],[c]]))</f>
        <v/>
      </c>
      <c r="J1478" s="2" t="str">
        <f>IF(Iterations[[#This Row],[Step]] =current_step, current_d,IF(Iterations[[#This Row],[Step]] &gt; current_step, "",Iterations[[#This Row],[d]]))</f>
        <v/>
      </c>
      <c r="K1478" s="2" t="str">
        <f>IF(Iterations[[#This Row],[Step]] =current_step, current_e,IF(Iterations[[#This Row],[Step]] &gt; current_step, "",Iterations[[#This Row],[e]]))</f>
        <v/>
      </c>
      <c r="L1478" s="2" t="str">
        <f>IF(Iterations[[#This Row],[Step]] =current_step, current_Total_Loss,IF(Iterations[[#This Row],[Step]] &gt; current_step, "",Iterations[[#This Row],[Total Loss]]))</f>
        <v/>
      </c>
      <c r="M1478" s="6" t="s">
        <v>27</v>
      </c>
      <c r="N1478" s="2" t="str">
        <f>IF(Iterations[[#This Row],[Step]] =current_step, current_Grad_a,IF(Iterations[[#This Row],[Step]] &gt; current_step, "",Iterations[[#This Row],[Grad_a]]))</f>
        <v/>
      </c>
      <c r="O1478" s="2" t="str">
        <f>IF(Iterations[[#This Row],[Step]] =current_step, current_Grad_b,IF(Iterations[[#This Row],[Step]] &gt; current_step, "",Iterations[[#This Row],[Grad_b]]))</f>
        <v/>
      </c>
      <c r="P1478" s="2" t="str">
        <f>IF(Iterations[[#This Row],[Step]] =current_step, current_Grad_c,IF(Iterations[[#This Row],[Step]] &gt; current_step, "",Iterations[[#This Row],[Grad_c]]))</f>
        <v/>
      </c>
      <c r="Q1478" s="2" t="str">
        <f>IF(Iterations[[#This Row],[Step]] =current_step, current_Grad_d,IF(Iterations[[#This Row],[Step]] &gt; current_step, "",Iterations[[#This Row],[Grad_d]]))</f>
        <v/>
      </c>
      <c r="R1478" s="2" t="str">
        <f>IF(Iterations[[#This Row],[Step]] =current_step, current_Grad_e,IF(Iterations[[#This Row],[Step]] &gt; current_step, "",Iterations[[#This Row],[Grad_e]]))</f>
        <v/>
      </c>
    </row>
    <row r="1479" spans="6:18" x14ac:dyDescent="0.3">
      <c r="F1479" s="2">
        <f t="shared" si="28"/>
        <v>1462</v>
      </c>
      <c r="G1479" s="2" t="str">
        <f>IF(Iterations[[#This Row],[Step]] =current_step, current_a,IF(Iterations[[#This Row],[Step]] &gt; current_step, "",Iterations[[#This Row],[a]]))</f>
        <v/>
      </c>
      <c r="H1479" s="2" t="str">
        <f>IF(Iterations[[#This Row],[Step]] =current_step, current_b,IF(Iterations[[#This Row],[Step]] &gt; current_step, "",Iterations[[#This Row],[b]]))</f>
        <v/>
      </c>
      <c r="I1479" s="2" t="str">
        <f>IF(Iterations[[#This Row],[Step]] =current_step, current_c,IF(Iterations[[#This Row],[Step]] &gt; current_step, "",Iterations[[#This Row],[c]]))</f>
        <v/>
      </c>
      <c r="J1479" s="2" t="str">
        <f>IF(Iterations[[#This Row],[Step]] =current_step, current_d,IF(Iterations[[#This Row],[Step]] &gt; current_step, "",Iterations[[#This Row],[d]]))</f>
        <v/>
      </c>
      <c r="K1479" s="2" t="str">
        <f>IF(Iterations[[#This Row],[Step]] =current_step, current_e,IF(Iterations[[#This Row],[Step]] &gt; current_step, "",Iterations[[#This Row],[e]]))</f>
        <v/>
      </c>
      <c r="L1479" s="2" t="str">
        <f>IF(Iterations[[#This Row],[Step]] =current_step, current_Total_Loss,IF(Iterations[[#This Row],[Step]] &gt; current_step, "",Iterations[[#This Row],[Total Loss]]))</f>
        <v/>
      </c>
      <c r="M1479" s="6" t="s">
        <v>27</v>
      </c>
      <c r="N1479" s="2" t="str">
        <f>IF(Iterations[[#This Row],[Step]] =current_step, current_Grad_a,IF(Iterations[[#This Row],[Step]] &gt; current_step, "",Iterations[[#This Row],[Grad_a]]))</f>
        <v/>
      </c>
      <c r="O1479" s="2" t="str">
        <f>IF(Iterations[[#This Row],[Step]] =current_step, current_Grad_b,IF(Iterations[[#This Row],[Step]] &gt; current_step, "",Iterations[[#This Row],[Grad_b]]))</f>
        <v/>
      </c>
      <c r="P1479" s="2" t="str">
        <f>IF(Iterations[[#This Row],[Step]] =current_step, current_Grad_c,IF(Iterations[[#This Row],[Step]] &gt; current_step, "",Iterations[[#This Row],[Grad_c]]))</f>
        <v/>
      </c>
      <c r="Q1479" s="2" t="str">
        <f>IF(Iterations[[#This Row],[Step]] =current_step, current_Grad_d,IF(Iterations[[#This Row],[Step]] &gt; current_step, "",Iterations[[#This Row],[Grad_d]]))</f>
        <v/>
      </c>
      <c r="R1479" s="2" t="str">
        <f>IF(Iterations[[#This Row],[Step]] =current_step, current_Grad_e,IF(Iterations[[#This Row],[Step]] &gt; current_step, "",Iterations[[#This Row],[Grad_e]]))</f>
        <v/>
      </c>
    </row>
    <row r="1480" spans="6:18" x14ac:dyDescent="0.3">
      <c r="F1480" s="2">
        <f>F1479+1</f>
        <v>1463</v>
      </c>
      <c r="G1480" s="2" t="str">
        <f>IF(Iterations[[#This Row],[Step]] =current_step, current_a,IF(Iterations[[#This Row],[Step]] &gt; current_step, "",Iterations[[#This Row],[a]]))</f>
        <v/>
      </c>
      <c r="H1480" s="2" t="str">
        <f>IF(Iterations[[#This Row],[Step]] =current_step, current_b,IF(Iterations[[#This Row],[Step]] &gt; current_step, "",Iterations[[#This Row],[b]]))</f>
        <v/>
      </c>
      <c r="I1480" s="2" t="str">
        <f>IF(Iterations[[#This Row],[Step]] =current_step, current_c,IF(Iterations[[#This Row],[Step]] &gt; current_step, "",Iterations[[#This Row],[c]]))</f>
        <v/>
      </c>
      <c r="J1480" s="2" t="str">
        <f>IF(Iterations[[#This Row],[Step]] =current_step, current_d,IF(Iterations[[#This Row],[Step]] &gt; current_step, "",Iterations[[#This Row],[d]]))</f>
        <v/>
      </c>
      <c r="K1480" s="2" t="str">
        <f>IF(Iterations[[#This Row],[Step]] =current_step, current_e,IF(Iterations[[#This Row],[Step]] &gt; current_step, "",Iterations[[#This Row],[e]]))</f>
        <v/>
      </c>
      <c r="L1480" s="2" t="str">
        <f>IF(Iterations[[#This Row],[Step]] =current_step, current_Total_Loss,IF(Iterations[[#This Row],[Step]] &gt; current_step, "",Iterations[[#This Row],[Total Loss]]))</f>
        <v/>
      </c>
      <c r="M1480" s="6" t="s">
        <v>27</v>
      </c>
      <c r="N1480" s="2" t="str">
        <f>IF(Iterations[[#This Row],[Step]] =current_step, current_Grad_a,IF(Iterations[[#This Row],[Step]] &gt; current_step, "",Iterations[[#This Row],[Grad_a]]))</f>
        <v/>
      </c>
      <c r="O1480" s="2" t="str">
        <f>IF(Iterations[[#This Row],[Step]] =current_step, current_Grad_b,IF(Iterations[[#This Row],[Step]] &gt; current_step, "",Iterations[[#This Row],[Grad_b]]))</f>
        <v/>
      </c>
      <c r="P1480" s="2" t="str">
        <f>IF(Iterations[[#This Row],[Step]] =current_step, current_Grad_c,IF(Iterations[[#This Row],[Step]] &gt; current_step, "",Iterations[[#This Row],[Grad_c]]))</f>
        <v/>
      </c>
      <c r="Q1480" s="2" t="str">
        <f>IF(Iterations[[#This Row],[Step]] =current_step, current_Grad_d,IF(Iterations[[#This Row],[Step]] &gt; current_step, "",Iterations[[#This Row],[Grad_d]]))</f>
        <v/>
      </c>
      <c r="R1480" s="2" t="str">
        <f>IF(Iterations[[#This Row],[Step]] =current_step, current_Grad_e,IF(Iterations[[#This Row],[Step]] &gt; current_step, "",Iterations[[#This Row],[Grad_e]]))</f>
        <v/>
      </c>
    </row>
    <row r="1481" spans="6:18" x14ac:dyDescent="0.3">
      <c r="F1481" s="2">
        <f t="shared" si="28"/>
        <v>1464</v>
      </c>
      <c r="G1481" s="2" t="str">
        <f>IF(Iterations[[#This Row],[Step]] =current_step, current_a,IF(Iterations[[#This Row],[Step]] &gt; current_step, "",Iterations[[#This Row],[a]]))</f>
        <v/>
      </c>
      <c r="H1481" s="2" t="str">
        <f>IF(Iterations[[#This Row],[Step]] =current_step, current_b,IF(Iterations[[#This Row],[Step]] &gt; current_step, "",Iterations[[#This Row],[b]]))</f>
        <v/>
      </c>
      <c r="I1481" s="2" t="str">
        <f>IF(Iterations[[#This Row],[Step]] =current_step, current_c,IF(Iterations[[#This Row],[Step]] &gt; current_step, "",Iterations[[#This Row],[c]]))</f>
        <v/>
      </c>
      <c r="J1481" s="2" t="str">
        <f>IF(Iterations[[#This Row],[Step]] =current_step, current_d,IF(Iterations[[#This Row],[Step]] &gt; current_step, "",Iterations[[#This Row],[d]]))</f>
        <v/>
      </c>
      <c r="K1481" s="2" t="str">
        <f>IF(Iterations[[#This Row],[Step]] =current_step, current_e,IF(Iterations[[#This Row],[Step]] &gt; current_step, "",Iterations[[#This Row],[e]]))</f>
        <v/>
      </c>
      <c r="L1481" s="2" t="str">
        <f>IF(Iterations[[#This Row],[Step]] =current_step, current_Total_Loss,IF(Iterations[[#This Row],[Step]] &gt; current_step, "",Iterations[[#This Row],[Total Loss]]))</f>
        <v/>
      </c>
      <c r="M1481" s="6" t="s">
        <v>27</v>
      </c>
      <c r="N1481" s="2" t="str">
        <f>IF(Iterations[[#This Row],[Step]] =current_step, current_Grad_a,IF(Iterations[[#This Row],[Step]] &gt; current_step, "",Iterations[[#This Row],[Grad_a]]))</f>
        <v/>
      </c>
      <c r="O1481" s="2" t="str">
        <f>IF(Iterations[[#This Row],[Step]] =current_step, current_Grad_b,IF(Iterations[[#This Row],[Step]] &gt; current_step, "",Iterations[[#This Row],[Grad_b]]))</f>
        <v/>
      </c>
      <c r="P1481" s="2" t="str">
        <f>IF(Iterations[[#This Row],[Step]] =current_step, current_Grad_c,IF(Iterations[[#This Row],[Step]] &gt; current_step, "",Iterations[[#This Row],[Grad_c]]))</f>
        <v/>
      </c>
      <c r="Q1481" s="2" t="str">
        <f>IF(Iterations[[#This Row],[Step]] =current_step, current_Grad_d,IF(Iterations[[#This Row],[Step]] &gt; current_step, "",Iterations[[#This Row],[Grad_d]]))</f>
        <v/>
      </c>
      <c r="R1481" s="2" t="str">
        <f>IF(Iterations[[#This Row],[Step]] =current_step, current_Grad_e,IF(Iterations[[#This Row],[Step]] &gt; current_step, "",Iterations[[#This Row],[Grad_e]]))</f>
        <v/>
      </c>
    </row>
    <row r="1482" spans="6:18" x14ac:dyDescent="0.3">
      <c r="F1482" s="2">
        <f t="shared" si="28"/>
        <v>1465</v>
      </c>
      <c r="G1482" s="2" t="str">
        <f>IF(Iterations[[#This Row],[Step]] =current_step, current_a,IF(Iterations[[#This Row],[Step]] &gt; current_step, "",Iterations[[#This Row],[a]]))</f>
        <v/>
      </c>
      <c r="H1482" s="2" t="str">
        <f>IF(Iterations[[#This Row],[Step]] =current_step, current_b,IF(Iterations[[#This Row],[Step]] &gt; current_step, "",Iterations[[#This Row],[b]]))</f>
        <v/>
      </c>
      <c r="I1482" s="2" t="str">
        <f>IF(Iterations[[#This Row],[Step]] =current_step, current_c,IF(Iterations[[#This Row],[Step]] &gt; current_step, "",Iterations[[#This Row],[c]]))</f>
        <v/>
      </c>
      <c r="J1482" s="2" t="str">
        <f>IF(Iterations[[#This Row],[Step]] =current_step, current_d,IF(Iterations[[#This Row],[Step]] &gt; current_step, "",Iterations[[#This Row],[d]]))</f>
        <v/>
      </c>
      <c r="K1482" s="2" t="str">
        <f>IF(Iterations[[#This Row],[Step]] =current_step, current_e,IF(Iterations[[#This Row],[Step]] &gt; current_step, "",Iterations[[#This Row],[e]]))</f>
        <v/>
      </c>
      <c r="L1482" s="2" t="str">
        <f>IF(Iterations[[#This Row],[Step]] =current_step, current_Total_Loss,IF(Iterations[[#This Row],[Step]] &gt; current_step, "",Iterations[[#This Row],[Total Loss]]))</f>
        <v/>
      </c>
      <c r="M1482" s="6" t="s">
        <v>27</v>
      </c>
      <c r="N1482" s="2" t="str">
        <f>IF(Iterations[[#This Row],[Step]] =current_step, current_Grad_a,IF(Iterations[[#This Row],[Step]] &gt; current_step, "",Iterations[[#This Row],[Grad_a]]))</f>
        <v/>
      </c>
      <c r="O1482" s="2" t="str">
        <f>IF(Iterations[[#This Row],[Step]] =current_step, current_Grad_b,IF(Iterations[[#This Row],[Step]] &gt; current_step, "",Iterations[[#This Row],[Grad_b]]))</f>
        <v/>
      </c>
      <c r="P1482" s="2" t="str">
        <f>IF(Iterations[[#This Row],[Step]] =current_step, current_Grad_c,IF(Iterations[[#This Row],[Step]] &gt; current_step, "",Iterations[[#This Row],[Grad_c]]))</f>
        <v/>
      </c>
      <c r="Q1482" s="2" t="str">
        <f>IF(Iterations[[#This Row],[Step]] =current_step, current_Grad_d,IF(Iterations[[#This Row],[Step]] &gt; current_step, "",Iterations[[#This Row],[Grad_d]]))</f>
        <v/>
      </c>
      <c r="R1482" s="2" t="str">
        <f>IF(Iterations[[#This Row],[Step]] =current_step, current_Grad_e,IF(Iterations[[#This Row],[Step]] &gt; current_step, "",Iterations[[#This Row],[Grad_e]]))</f>
        <v/>
      </c>
    </row>
    <row r="1483" spans="6:18" x14ac:dyDescent="0.3">
      <c r="F1483" s="2">
        <f t="shared" si="28"/>
        <v>1466</v>
      </c>
      <c r="G1483" s="2" t="str">
        <f>IF(Iterations[[#This Row],[Step]] =current_step, current_a,IF(Iterations[[#This Row],[Step]] &gt; current_step, "",Iterations[[#This Row],[a]]))</f>
        <v/>
      </c>
      <c r="H1483" s="2" t="str">
        <f>IF(Iterations[[#This Row],[Step]] =current_step, current_b,IF(Iterations[[#This Row],[Step]] &gt; current_step, "",Iterations[[#This Row],[b]]))</f>
        <v/>
      </c>
      <c r="I1483" s="2" t="str">
        <f>IF(Iterations[[#This Row],[Step]] =current_step, current_c,IF(Iterations[[#This Row],[Step]] &gt; current_step, "",Iterations[[#This Row],[c]]))</f>
        <v/>
      </c>
      <c r="J1483" s="2" t="str">
        <f>IF(Iterations[[#This Row],[Step]] =current_step, current_d,IF(Iterations[[#This Row],[Step]] &gt; current_step, "",Iterations[[#This Row],[d]]))</f>
        <v/>
      </c>
      <c r="K1483" s="2" t="str">
        <f>IF(Iterations[[#This Row],[Step]] =current_step, current_e,IF(Iterations[[#This Row],[Step]] &gt; current_step, "",Iterations[[#This Row],[e]]))</f>
        <v/>
      </c>
      <c r="L1483" s="2" t="str">
        <f>IF(Iterations[[#This Row],[Step]] =current_step, current_Total_Loss,IF(Iterations[[#This Row],[Step]] &gt; current_step, "",Iterations[[#This Row],[Total Loss]]))</f>
        <v/>
      </c>
      <c r="M1483" s="6" t="s">
        <v>27</v>
      </c>
      <c r="N1483" s="2" t="str">
        <f>IF(Iterations[[#This Row],[Step]] =current_step, current_Grad_a,IF(Iterations[[#This Row],[Step]] &gt; current_step, "",Iterations[[#This Row],[Grad_a]]))</f>
        <v/>
      </c>
      <c r="O1483" s="2" t="str">
        <f>IF(Iterations[[#This Row],[Step]] =current_step, current_Grad_b,IF(Iterations[[#This Row],[Step]] &gt; current_step, "",Iterations[[#This Row],[Grad_b]]))</f>
        <v/>
      </c>
      <c r="P1483" s="2" t="str">
        <f>IF(Iterations[[#This Row],[Step]] =current_step, current_Grad_c,IF(Iterations[[#This Row],[Step]] &gt; current_step, "",Iterations[[#This Row],[Grad_c]]))</f>
        <v/>
      </c>
      <c r="Q1483" s="2" t="str">
        <f>IF(Iterations[[#This Row],[Step]] =current_step, current_Grad_d,IF(Iterations[[#This Row],[Step]] &gt; current_step, "",Iterations[[#This Row],[Grad_d]]))</f>
        <v/>
      </c>
      <c r="R1483" s="2" t="str">
        <f>IF(Iterations[[#This Row],[Step]] =current_step, current_Grad_e,IF(Iterations[[#This Row],[Step]] &gt; current_step, "",Iterations[[#This Row],[Grad_e]]))</f>
        <v/>
      </c>
    </row>
    <row r="1484" spans="6:18" x14ac:dyDescent="0.3">
      <c r="F1484" s="2">
        <f t="shared" si="28"/>
        <v>1467</v>
      </c>
      <c r="G1484" s="2" t="str">
        <f>IF(Iterations[[#This Row],[Step]] =current_step, current_a,IF(Iterations[[#This Row],[Step]] &gt; current_step, "",Iterations[[#This Row],[a]]))</f>
        <v/>
      </c>
      <c r="H1484" s="2" t="str">
        <f>IF(Iterations[[#This Row],[Step]] =current_step, current_b,IF(Iterations[[#This Row],[Step]] &gt; current_step, "",Iterations[[#This Row],[b]]))</f>
        <v/>
      </c>
      <c r="I1484" s="2" t="str">
        <f>IF(Iterations[[#This Row],[Step]] =current_step, current_c,IF(Iterations[[#This Row],[Step]] &gt; current_step, "",Iterations[[#This Row],[c]]))</f>
        <v/>
      </c>
      <c r="J1484" s="2" t="str">
        <f>IF(Iterations[[#This Row],[Step]] =current_step, current_d,IF(Iterations[[#This Row],[Step]] &gt; current_step, "",Iterations[[#This Row],[d]]))</f>
        <v/>
      </c>
      <c r="K1484" s="2" t="str">
        <f>IF(Iterations[[#This Row],[Step]] =current_step, current_e,IF(Iterations[[#This Row],[Step]] &gt; current_step, "",Iterations[[#This Row],[e]]))</f>
        <v/>
      </c>
      <c r="L1484" s="2" t="str">
        <f>IF(Iterations[[#This Row],[Step]] =current_step, current_Total_Loss,IF(Iterations[[#This Row],[Step]] &gt; current_step, "",Iterations[[#This Row],[Total Loss]]))</f>
        <v/>
      </c>
      <c r="M1484" s="6" t="s">
        <v>27</v>
      </c>
      <c r="N1484" s="2" t="str">
        <f>IF(Iterations[[#This Row],[Step]] =current_step, current_Grad_a,IF(Iterations[[#This Row],[Step]] &gt; current_step, "",Iterations[[#This Row],[Grad_a]]))</f>
        <v/>
      </c>
      <c r="O1484" s="2" t="str">
        <f>IF(Iterations[[#This Row],[Step]] =current_step, current_Grad_b,IF(Iterations[[#This Row],[Step]] &gt; current_step, "",Iterations[[#This Row],[Grad_b]]))</f>
        <v/>
      </c>
      <c r="P1484" s="2" t="str">
        <f>IF(Iterations[[#This Row],[Step]] =current_step, current_Grad_c,IF(Iterations[[#This Row],[Step]] &gt; current_step, "",Iterations[[#This Row],[Grad_c]]))</f>
        <v/>
      </c>
      <c r="Q1484" s="2" t="str">
        <f>IF(Iterations[[#This Row],[Step]] =current_step, current_Grad_d,IF(Iterations[[#This Row],[Step]] &gt; current_step, "",Iterations[[#This Row],[Grad_d]]))</f>
        <v/>
      </c>
      <c r="R1484" s="2" t="str">
        <f>IF(Iterations[[#This Row],[Step]] =current_step, current_Grad_e,IF(Iterations[[#This Row],[Step]] &gt; current_step, "",Iterations[[#This Row],[Grad_e]]))</f>
        <v/>
      </c>
    </row>
    <row r="1485" spans="6:18" x14ac:dyDescent="0.3">
      <c r="F1485" s="2">
        <f t="shared" si="28"/>
        <v>1468</v>
      </c>
      <c r="G1485" s="2" t="str">
        <f>IF(Iterations[[#This Row],[Step]] =current_step, current_a,IF(Iterations[[#This Row],[Step]] &gt; current_step, "",Iterations[[#This Row],[a]]))</f>
        <v/>
      </c>
      <c r="H1485" s="2" t="str">
        <f>IF(Iterations[[#This Row],[Step]] =current_step, current_b,IF(Iterations[[#This Row],[Step]] &gt; current_step, "",Iterations[[#This Row],[b]]))</f>
        <v/>
      </c>
      <c r="I1485" s="2" t="str">
        <f>IF(Iterations[[#This Row],[Step]] =current_step, current_c,IF(Iterations[[#This Row],[Step]] &gt; current_step, "",Iterations[[#This Row],[c]]))</f>
        <v/>
      </c>
      <c r="J1485" s="2" t="str">
        <f>IF(Iterations[[#This Row],[Step]] =current_step, current_d,IF(Iterations[[#This Row],[Step]] &gt; current_step, "",Iterations[[#This Row],[d]]))</f>
        <v/>
      </c>
      <c r="K1485" s="2" t="str">
        <f>IF(Iterations[[#This Row],[Step]] =current_step, current_e,IF(Iterations[[#This Row],[Step]] &gt; current_step, "",Iterations[[#This Row],[e]]))</f>
        <v/>
      </c>
      <c r="L1485" s="2" t="str">
        <f>IF(Iterations[[#This Row],[Step]] =current_step, current_Total_Loss,IF(Iterations[[#This Row],[Step]] &gt; current_step, "",Iterations[[#This Row],[Total Loss]]))</f>
        <v/>
      </c>
      <c r="M1485" s="6" t="s">
        <v>27</v>
      </c>
      <c r="N1485" s="2" t="str">
        <f>IF(Iterations[[#This Row],[Step]] =current_step, current_Grad_a,IF(Iterations[[#This Row],[Step]] &gt; current_step, "",Iterations[[#This Row],[Grad_a]]))</f>
        <v/>
      </c>
      <c r="O1485" s="2" t="str">
        <f>IF(Iterations[[#This Row],[Step]] =current_step, current_Grad_b,IF(Iterations[[#This Row],[Step]] &gt; current_step, "",Iterations[[#This Row],[Grad_b]]))</f>
        <v/>
      </c>
      <c r="P1485" s="2" t="str">
        <f>IF(Iterations[[#This Row],[Step]] =current_step, current_Grad_c,IF(Iterations[[#This Row],[Step]] &gt; current_step, "",Iterations[[#This Row],[Grad_c]]))</f>
        <v/>
      </c>
      <c r="Q1485" s="2" t="str">
        <f>IF(Iterations[[#This Row],[Step]] =current_step, current_Grad_d,IF(Iterations[[#This Row],[Step]] &gt; current_step, "",Iterations[[#This Row],[Grad_d]]))</f>
        <v/>
      </c>
      <c r="R1485" s="2" t="str">
        <f>IF(Iterations[[#This Row],[Step]] =current_step, current_Grad_e,IF(Iterations[[#This Row],[Step]] &gt; current_step, "",Iterations[[#This Row],[Grad_e]]))</f>
        <v/>
      </c>
    </row>
    <row r="1486" spans="6:18" x14ac:dyDescent="0.3">
      <c r="F1486" s="2">
        <f t="shared" si="28"/>
        <v>1469</v>
      </c>
      <c r="G1486" s="2" t="str">
        <f>IF(Iterations[[#This Row],[Step]] =current_step, current_a,IF(Iterations[[#This Row],[Step]] &gt; current_step, "",Iterations[[#This Row],[a]]))</f>
        <v/>
      </c>
      <c r="H1486" s="2" t="str">
        <f>IF(Iterations[[#This Row],[Step]] =current_step, current_b,IF(Iterations[[#This Row],[Step]] &gt; current_step, "",Iterations[[#This Row],[b]]))</f>
        <v/>
      </c>
      <c r="I1486" s="2" t="str">
        <f>IF(Iterations[[#This Row],[Step]] =current_step, current_c,IF(Iterations[[#This Row],[Step]] &gt; current_step, "",Iterations[[#This Row],[c]]))</f>
        <v/>
      </c>
      <c r="J1486" s="2" t="str">
        <f>IF(Iterations[[#This Row],[Step]] =current_step, current_d,IF(Iterations[[#This Row],[Step]] &gt; current_step, "",Iterations[[#This Row],[d]]))</f>
        <v/>
      </c>
      <c r="K1486" s="2" t="str">
        <f>IF(Iterations[[#This Row],[Step]] =current_step, current_e,IF(Iterations[[#This Row],[Step]] &gt; current_step, "",Iterations[[#This Row],[e]]))</f>
        <v/>
      </c>
      <c r="L1486" s="2" t="str">
        <f>IF(Iterations[[#This Row],[Step]] =current_step, current_Total_Loss,IF(Iterations[[#This Row],[Step]] &gt; current_step, "",Iterations[[#This Row],[Total Loss]]))</f>
        <v/>
      </c>
      <c r="M1486" s="6" t="s">
        <v>27</v>
      </c>
      <c r="N1486" s="2" t="str">
        <f>IF(Iterations[[#This Row],[Step]] =current_step, current_Grad_a,IF(Iterations[[#This Row],[Step]] &gt; current_step, "",Iterations[[#This Row],[Grad_a]]))</f>
        <v/>
      </c>
      <c r="O1486" s="2" t="str">
        <f>IF(Iterations[[#This Row],[Step]] =current_step, current_Grad_b,IF(Iterations[[#This Row],[Step]] &gt; current_step, "",Iterations[[#This Row],[Grad_b]]))</f>
        <v/>
      </c>
      <c r="P1486" s="2" t="str">
        <f>IF(Iterations[[#This Row],[Step]] =current_step, current_Grad_c,IF(Iterations[[#This Row],[Step]] &gt; current_step, "",Iterations[[#This Row],[Grad_c]]))</f>
        <v/>
      </c>
      <c r="Q1486" s="2" t="str">
        <f>IF(Iterations[[#This Row],[Step]] =current_step, current_Grad_d,IF(Iterations[[#This Row],[Step]] &gt; current_step, "",Iterations[[#This Row],[Grad_d]]))</f>
        <v/>
      </c>
      <c r="R1486" s="2" t="str">
        <f>IF(Iterations[[#This Row],[Step]] =current_step, current_Grad_e,IF(Iterations[[#This Row],[Step]] &gt; current_step, "",Iterations[[#This Row],[Grad_e]]))</f>
        <v/>
      </c>
    </row>
    <row r="1487" spans="6:18" x14ac:dyDescent="0.3">
      <c r="F1487" s="2">
        <f t="shared" si="28"/>
        <v>1470</v>
      </c>
      <c r="G1487" s="2" t="str">
        <f>IF(Iterations[[#This Row],[Step]] =current_step, current_a,IF(Iterations[[#This Row],[Step]] &gt; current_step, "",Iterations[[#This Row],[a]]))</f>
        <v/>
      </c>
      <c r="H1487" s="2" t="str">
        <f>IF(Iterations[[#This Row],[Step]] =current_step, current_b,IF(Iterations[[#This Row],[Step]] &gt; current_step, "",Iterations[[#This Row],[b]]))</f>
        <v/>
      </c>
      <c r="I1487" s="2" t="str">
        <f>IF(Iterations[[#This Row],[Step]] =current_step, current_c,IF(Iterations[[#This Row],[Step]] &gt; current_step, "",Iterations[[#This Row],[c]]))</f>
        <v/>
      </c>
      <c r="J1487" s="2" t="str">
        <f>IF(Iterations[[#This Row],[Step]] =current_step, current_d,IF(Iterations[[#This Row],[Step]] &gt; current_step, "",Iterations[[#This Row],[d]]))</f>
        <v/>
      </c>
      <c r="K1487" s="2" t="str">
        <f>IF(Iterations[[#This Row],[Step]] =current_step, current_e,IF(Iterations[[#This Row],[Step]] &gt; current_step, "",Iterations[[#This Row],[e]]))</f>
        <v/>
      </c>
      <c r="L1487" s="2" t="str">
        <f>IF(Iterations[[#This Row],[Step]] =current_step, current_Total_Loss,IF(Iterations[[#This Row],[Step]] &gt; current_step, "",Iterations[[#This Row],[Total Loss]]))</f>
        <v/>
      </c>
      <c r="M1487" s="6" t="s">
        <v>27</v>
      </c>
      <c r="N1487" s="2" t="str">
        <f>IF(Iterations[[#This Row],[Step]] =current_step, current_Grad_a,IF(Iterations[[#This Row],[Step]] &gt; current_step, "",Iterations[[#This Row],[Grad_a]]))</f>
        <v/>
      </c>
      <c r="O1487" s="2" t="str">
        <f>IF(Iterations[[#This Row],[Step]] =current_step, current_Grad_b,IF(Iterations[[#This Row],[Step]] &gt; current_step, "",Iterations[[#This Row],[Grad_b]]))</f>
        <v/>
      </c>
      <c r="P1487" s="2" t="str">
        <f>IF(Iterations[[#This Row],[Step]] =current_step, current_Grad_c,IF(Iterations[[#This Row],[Step]] &gt; current_step, "",Iterations[[#This Row],[Grad_c]]))</f>
        <v/>
      </c>
      <c r="Q1487" s="2" t="str">
        <f>IF(Iterations[[#This Row],[Step]] =current_step, current_Grad_d,IF(Iterations[[#This Row],[Step]] &gt; current_step, "",Iterations[[#This Row],[Grad_d]]))</f>
        <v/>
      </c>
      <c r="R1487" s="2" t="str">
        <f>IF(Iterations[[#This Row],[Step]] =current_step, current_Grad_e,IF(Iterations[[#This Row],[Step]] &gt; current_step, "",Iterations[[#This Row],[Grad_e]]))</f>
        <v/>
      </c>
    </row>
    <row r="1488" spans="6:18" x14ac:dyDescent="0.3">
      <c r="F1488" s="2">
        <f t="shared" si="28"/>
        <v>1471</v>
      </c>
      <c r="G1488" s="2" t="str">
        <f>IF(Iterations[[#This Row],[Step]] =current_step, current_a,IF(Iterations[[#This Row],[Step]] &gt; current_step, "",Iterations[[#This Row],[a]]))</f>
        <v/>
      </c>
      <c r="H1488" s="2" t="str">
        <f>IF(Iterations[[#This Row],[Step]] =current_step, current_b,IF(Iterations[[#This Row],[Step]] &gt; current_step, "",Iterations[[#This Row],[b]]))</f>
        <v/>
      </c>
      <c r="I1488" s="2" t="str">
        <f>IF(Iterations[[#This Row],[Step]] =current_step, current_c,IF(Iterations[[#This Row],[Step]] &gt; current_step, "",Iterations[[#This Row],[c]]))</f>
        <v/>
      </c>
      <c r="J1488" s="2" t="str">
        <f>IF(Iterations[[#This Row],[Step]] =current_step, current_d,IF(Iterations[[#This Row],[Step]] &gt; current_step, "",Iterations[[#This Row],[d]]))</f>
        <v/>
      </c>
      <c r="K1488" s="2" t="str">
        <f>IF(Iterations[[#This Row],[Step]] =current_step, current_e,IF(Iterations[[#This Row],[Step]] &gt; current_step, "",Iterations[[#This Row],[e]]))</f>
        <v/>
      </c>
      <c r="L1488" s="2" t="str">
        <f>IF(Iterations[[#This Row],[Step]] =current_step, current_Total_Loss,IF(Iterations[[#This Row],[Step]] &gt; current_step, "",Iterations[[#This Row],[Total Loss]]))</f>
        <v/>
      </c>
      <c r="M1488" s="6" t="s">
        <v>27</v>
      </c>
      <c r="N1488" s="2" t="str">
        <f>IF(Iterations[[#This Row],[Step]] =current_step, current_Grad_a,IF(Iterations[[#This Row],[Step]] &gt; current_step, "",Iterations[[#This Row],[Grad_a]]))</f>
        <v/>
      </c>
      <c r="O1488" s="2" t="str">
        <f>IF(Iterations[[#This Row],[Step]] =current_step, current_Grad_b,IF(Iterations[[#This Row],[Step]] &gt; current_step, "",Iterations[[#This Row],[Grad_b]]))</f>
        <v/>
      </c>
      <c r="P1488" s="2" t="str">
        <f>IF(Iterations[[#This Row],[Step]] =current_step, current_Grad_c,IF(Iterations[[#This Row],[Step]] &gt; current_step, "",Iterations[[#This Row],[Grad_c]]))</f>
        <v/>
      </c>
      <c r="Q1488" s="2" t="str">
        <f>IF(Iterations[[#This Row],[Step]] =current_step, current_Grad_d,IF(Iterations[[#This Row],[Step]] &gt; current_step, "",Iterations[[#This Row],[Grad_d]]))</f>
        <v/>
      </c>
      <c r="R1488" s="2" t="str">
        <f>IF(Iterations[[#This Row],[Step]] =current_step, current_Grad_e,IF(Iterations[[#This Row],[Step]] &gt; current_step, "",Iterations[[#This Row],[Grad_e]]))</f>
        <v/>
      </c>
    </row>
    <row r="1489" spans="6:18" x14ac:dyDescent="0.3">
      <c r="F1489" s="2">
        <f t="shared" si="28"/>
        <v>1472</v>
      </c>
      <c r="G1489" s="2" t="str">
        <f>IF(Iterations[[#This Row],[Step]] =current_step, current_a,IF(Iterations[[#This Row],[Step]] &gt; current_step, "",Iterations[[#This Row],[a]]))</f>
        <v/>
      </c>
      <c r="H1489" s="2" t="str">
        <f>IF(Iterations[[#This Row],[Step]] =current_step, current_b,IF(Iterations[[#This Row],[Step]] &gt; current_step, "",Iterations[[#This Row],[b]]))</f>
        <v/>
      </c>
      <c r="I1489" s="2" t="str">
        <f>IF(Iterations[[#This Row],[Step]] =current_step, current_c,IF(Iterations[[#This Row],[Step]] &gt; current_step, "",Iterations[[#This Row],[c]]))</f>
        <v/>
      </c>
      <c r="J1489" s="2" t="str">
        <f>IF(Iterations[[#This Row],[Step]] =current_step, current_d,IF(Iterations[[#This Row],[Step]] &gt; current_step, "",Iterations[[#This Row],[d]]))</f>
        <v/>
      </c>
      <c r="K1489" s="2" t="str">
        <f>IF(Iterations[[#This Row],[Step]] =current_step, current_e,IF(Iterations[[#This Row],[Step]] &gt; current_step, "",Iterations[[#This Row],[e]]))</f>
        <v/>
      </c>
      <c r="L1489" s="2" t="str">
        <f>IF(Iterations[[#This Row],[Step]] =current_step, current_Total_Loss,IF(Iterations[[#This Row],[Step]] &gt; current_step, "",Iterations[[#This Row],[Total Loss]]))</f>
        <v/>
      </c>
      <c r="M1489" s="6" t="s">
        <v>27</v>
      </c>
      <c r="N1489" s="2" t="str">
        <f>IF(Iterations[[#This Row],[Step]] =current_step, current_Grad_a,IF(Iterations[[#This Row],[Step]] &gt; current_step, "",Iterations[[#This Row],[Grad_a]]))</f>
        <v/>
      </c>
      <c r="O1489" s="2" t="str">
        <f>IF(Iterations[[#This Row],[Step]] =current_step, current_Grad_b,IF(Iterations[[#This Row],[Step]] &gt; current_step, "",Iterations[[#This Row],[Grad_b]]))</f>
        <v/>
      </c>
      <c r="P1489" s="2" t="str">
        <f>IF(Iterations[[#This Row],[Step]] =current_step, current_Grad_c,IF(Iterations[[#This Row],[Step]] &gt; current_step, "",Iterations[[#This Row],[Grad_c]]))</f>
        <v/>
      </c>
      <c r="Q1489" s="2" t="str">
        <f>IF(Iterations[[#This Row],[Step]] =current_step, current_Grad_d,IF(Iterations[[#This Row],[Step]] &gt; current_step, "",Iterations[[#This Row],[Grad_d]]))</f>
        <v/>
      </c>
      <c r="R1489" s="2" t="str">
        <f>IF(Iterations[[#This Row],[Step]] =current_step, current_Grad_e,IF(Iterations[[#This Row],[Step]] &gt; current_step, "",Iterations[[#This Row],[Grad_e]]))</f>
        <v/>
      </c>
    </row>
    <row r="1490" spans="6:18" x14ac:dyDescent="0.3">
      <c r="F1490" s="2">
        <f t="shared" si="28"/>
        <v>1473</v>
      </c>
      <c r="G1490" s="2" t="str">
        <f>IF(Iterations[[#This Row],[Step]] =current_step, current_a,IF(Iterations[[#This Row],[Step]] &gt; current_step, "",Iterations[[#This Row],[a]]))</f>
        <v/>
      </c>
      <c r="H1490" s="2" t="str">
        <f>IF(Iterations[[#This Row],[Step]] =current_step, current_b,IF(Iterations[[#This Row],[Step]] &gt; current_step, "",Iterations[[#This Row],[b]]))</f>
        <v/>
      </c>
      <c r="I1490" s="2" t="str">
        <f>IF(Iterations[[#This Row],[Step]] =current_step, current_c,IF(Iterations[[#This Row],[Step]] &gt; current_step, "",Iterations[[#This Row],[c]]))</f>
        <v/>
      </c>
      <c r="J1490" s="2" t="str">
        <f>IF(Iterations[[#This Row],[Step]] =current_step, current_d,IF(Iterations[[#This Row],[Step]] &gt; current_step, "",Iterations[[#This Row],[d]]))</f>
        <v/>
      </c>
      <c r="K1490" s="2" t="str">
        <f>IF(Iterations[[#This Row],[Step]] =current_step, current_e,IF(Iterations[[#This Row],[Step]] &gt; current_step, "",Iterations[[#This Row],[e]]))</f>
        <v/>
      </c>
      <c r="L1490" s="2" t="str">
        <f>IF(Iterations[[#This Row],[Step]] =current_step, current_Total_Loss,IF(Iterations[[#This Row],[Step]] &gt; current_step, "",Iterations[[#This Row],[Total Loss]]))</f>
        <v/>
      </c>
      <c r="M1490" s="6" t="s">
        <v>27</v>
      </c>
      <c r="N1490" s="2" t="str">
        <f>IF(Iterations[[#This Row],[Step]] =current_step, current_Grad_a,IF(Iterations[[#This Row],[Step]] &gt; current_step, "",Iterations[[#This Row],[Grad_a]]))</f>
        <v/>
      </c>
      <c r="O1490" s="2" t="str">
        <f>IF(Iterations[[#This Row],[Step]] =current_step, current_Grad_b,IF(Iterations[[#This Row],[Step]] &gt; current_step, "",Iterations[[#This Row],[Grad_b]]))</f>
        <v/>
      </c>
      <c r="P1490" s="2" t="str">
        <f>IF(Iterations[[#This Row],[Step]] =current_step, current_Grad_c,IF(Iterations[[#This Row],[Step]] &gt; current_step, "",Iterations[[#This Row],[Grad_c]]))</f>
        <v/>
      </c>
      <c r="Q1490" s="2" t="str">
        <f>IF(Iterations[[#This Row],[Step]] =current_step, current_Grad_d,IF(Iterations[[#This Row],[Step]] &gt; current_step, "",Iterations[[#This Row],[Grad_d]]))</f>
        <v/>
      </c>
      <c r="R1490" s="2" t="str">
        <f>IF(Iterations[[#This Row],[Step]] =current_step, current_Grad_e,IF(Iterations[[#This Row],[Step]] &gt; current_step, "",Iterations[[#This Row],[Grad_e]]))</f>
        <v/>
      </c>
    </row>
    <row r="1491" spans="6:18" x14ac:dyDescent="0.3">
      <c r="F1491" s="2">
        <f t="shared" si="28"/>
        <v>1474</v>
      </c>
      <c r="G1491" s="2" t="str">
        <f>IF(Iterations[[#This Row],[Step]] =current_step, current_a,IF(Iterations[[#This Row],[Step]] &gt; current_step, "",Iterations[[#This Row],[a]]))</f>
        <v/>
      </c>
      <c r="H1491" s="2" t="str">
        <f>IF(Iterations[[#This Row],[Step]] =current_step, current_b,IF(Iterations[[#This Row],[Step]] &gt; current_step, "",Iterations[[#This Row],[b]]))</f>
        <v/>
      </c>
      <c r="I1491" s="2" t="str">
        <f>IF(Iterations[[#This Row],[Step]] =current_step, current_c,IF(Iterations[[#This Row],[Step]] &gt; current_step, "",Iterations[[#This Row],[c]]))</f>
        <v/>
      </c>
      <c r="J1491" s="2" t="str">
        <f>IF(Iterations[[#This Row],[Step]] =current_step, current_d,IF(Iterations[[#This Row],[Step]] &gt; current_step, "",Iterations[[#This Row],[d]]))</f>
        <v/>
      </c>
      <c r="K1491" s="2" t="str">
        <f>IF(Iterations[[#This Row],[Step]] =current_step, current_e,IF(Iterations[[#This Row],[Step]] &gt; current_step, "",Iterations[[#This Row],[e]]))</f>
        <v/>
      </c>
      <c r="L1491" s="2" t="str">
        <f>IF(Iterations[[#This Row],[Step]] =current_step, current_Total_Loss,IF(Iterations[[#This Row],[Step]] &gt; current_step, "",Iterations[[#This Row],[Total Loss]]))</f>
        <v/>
      </c>
      <c r="M1491" s="6" t="s">
        <v>27</v>
      </c>
      <c r="N1491" s="2" t="str">
        <f>IF(Iterations[[#This Row],[Step]] =current_step, current_Grad_a,IF(Iterations[[#This Row],[Step]] &gt; current_step, "",Iterations[[#This Row],[Grad_a]]))</f>
        <v/>
      </c>
      <c r="O1491" s="2" t="str">
        <f>IF(Iterations[[#This Row],[Step]] =current_step, current_Grad_b,IF(Iterations[[#This Row],[Step]] &gt; current_step, "",Iterations[[#This Row],[Grad_b]]))</f>
        <v/>
      </c>
      <c r="P1491" s="2" t="str">
        <f>IF(Iterations[[#This Row],[Step]] =current_step, current_Grad_c,IF(Iterations[[#This Row],[Step]] &gt; current_step, "",Iterations[[#This Row],[Grad_c]]))</f>
        <v/>
      </c>
      <c r="Q1491" s="2" t="str">
        <f>IF(Iterations[[#This Row],[Step]] =current_step, current_Grad_d,IF(Iterations[[#This Row],[Step]] &gt; current_step, "",Iterations[[#This Row],[Grad_d]]))</f>
        <v/>
      </c>
      <c r="R1491" s="2" t="str">
        <f>IF(Iterations[[#This Row],[Step]] =current_step, current_Grad_e,IF(Iterations[[#This Row],[Step]] &gt; current_step, "",Iterations[[#This Row],[Grad_e]]))</f>
        <v/>
      </c>
    </row>
    <row r="1492" spans="6:18" x14ac:dyDescent="0.3">
      <c r="F1492" s="2">
        <f t="shared" si="28"/>
        <v>1475</v>
      </c>
      <c r="G1492" s="2" t="str">
        <f>IF(Iterations[[#This Row],[Step]] =current_step, current_a,IF(Iterations[[#This Row],[Step]] &gt; current_step, "",Iterations[[#This Row],[a]]))</f>
        <v/>
      </c>
      <c r="H1492" s="2" t="str">
        <f>IF(Iterations[[#This Row],[Step]] =current_step, current_b,IF(Iterations[[#This Row],[Step]] &gt; current_step, "",Iterations[[#This Row],[b]]))</f>
        <v/>
      </c>
      <c r="I1492" s="2" t="str">
        <f>IF(Iterations[[#This Row],[Step]] =current_step, current_c,IF(Iterations[[#This Row],[Step]] &gt; current_step, "",Iterations[[#This Row],[c]]))</f>
        <v/>
      </c>
      <c r="J1492" s="2" t="str">
        <f>IF(Iterations[[#This Row],[Step]] =current_step, current_d,IF(Iterations[[#This Row],[Step]] &gt; current_step, "",Iterations[[#This Row],[d]]))</f>
        <v/>
      </c>
      <c r="K1492" s="2" t="str">
        <f>IF(Iterations[[#This Row],[Step]] =current_step, current_e,IF(Iterations[[#This Row],[Step]] &gt; current_step, "",Iterations[[#This Row],[e]]))</f>
        <v/>
      </c>
      <c r="L1492" s="2" t="str">
        <f>IF(Iterations[[#This Row],[Step]] =current_step, current_Total_Loss,IF(Iterations[[#This Row],[Step]] &gt; current_step, "",Iterations[[#This Row],[Total Loss]]))</f>
        <v/>
      </c>
      <c r="M1492" s="6" t="s">
        <v>27</v>
      </c>
      <c r="N1492" s="2" t="str">
        <f>IF(Iterations[[#This Row],[Step]] =current_step, current_Grad_a,IF(Iterations[[#This Row],[Step]] &gt; current_step, "",Iterations[[#This Row],[Grad_a]]))</f>
        <v/>
      </c>
      <c r="O1492" s="2" t="str">
        <f>IF(Iterations[[#This Row],[Step]] =current_step, current_Grad_b,IF(Iterations[[#This Row],[Step]] &gt; current_step, "",Iterations[[#This Row],[Grad_b]]))</f>
        <v/>
      </c>
      <c r="P1492" s="2" t="str">
        <f>IF(Iterations[[#This Row],[Step]] =current_step, current_Grad_c,IF(Iterations[[#This Row],[Step]] &gt; current_step, "",Iterations[[#This Row],[Grad_c]]))</f>
        <v/>
      </c>
      <c r="Q1492" s="2" t="str">
        <f>IF(Iterations[[#This Row],[Step]] =current_step, current_Grad_d,IF(Iterations[[#This Row],[Step]] &gt; current_step, "",Iterations[[#This Row],[Grad_d]]))</f>
        <v/>
      </c>
      <c r="R1492" s="2" t="str">
        <f>IF(Iterations[[#This Row],[Step]] =current_step, current_Grad_e,IF(Iterations[[#This Row],[Step]] &gt; current_step, "",Iterations[[#This Row],[Grad_e]]))</f>
        <v/>
      </c>
    </row>
    <row r="1493" spans="6:18" x14ac:dyDescent="0.3">
      <c r="F1493" s="2">
        <f t="shared" si="28"/>
        <v>1476</v>
      </c>
      <c r="G1493" s="2" t="str">
        <f>IF(Iterations[[#This Row],[Step]] =current_step, current_a,IF(Iterations[[#This Row],[Step]] &gt; current_step, "",Iterations[[#This Row],[a]]))</f>
        <v/>
      </c>
      <c r="H1493" s="2" t="str">
        <f>IF(Iterations[[#This Row],[Step]] =current_step, current_b,IF(Iterations[[#This Row],[Step]] &gt; current_step, "",Iterations[[#This Row],[b]]))</f>
        <v/>
      </c>
      <c r="I1493" s="2" t="str">
        <f>IF(Iterations[[#This Row],[Step]] =current_step, current_c,IF(Iterations[[#This Row],[Step]] &gt; current_step, "",Iterations[[#This Row],[c]]))</f>
        <v/>
      </c>
      <c r="J1493" s="2" t="str">
        <f>IF(Iterations[[#This Row],[Step]] =current_step, current_d,IF(Iterations[[#This Row],[Step]] &gt; current_step, "",Iterations[[#This Row],[d]]))</f>
        <v/>
      </c>
      <c r="K1493" s="2" t="str">
        <f>IF(Iterations[[#This Row],[Step]] =current_step, current_e,IF(Iterations[[#This Row],[Step]] &gt; current_step, "",Iterations[[#This Row],[e]]))</f>
        <v/>
      </c>
      <c r="L1493" s="2" t="str">
        <f>IF(Iterations[[#This Row],[Step]] =current_step, current_Total_Loss,IF(Iterations[[#This Row],[Step]] &gt; current_step, "",Iterations[[#This Row],[Total Loss]]))</f>
        <v/>
      </c>
      <c r="M1493" s="6" t="s">
        <v>27</v>
      </c>
      <c r="N1493" s="2" t="str">
        <f>IF(Iterations[[#This Row],[Step]] =current_step, current_Grad_a,IF(Iterations[[#This Row],[Step]] &gt; current_step, "",Iterations[[#This Row],[Grad_a]]))</f>
        <v/>
      </c>
      <c r="O1493" s="2" t="str">
        <f>IF(Iterations[[#This Row],[Step]] =current_step, current_Grad_b,IF(Iterations[[#This Row],[Step]] &gt; current_step, "",Iterations[[#This Row],[Grad_b]]))</f>
        <v/>
      </c>
      <c r="P1493" s="2" t="str">
        <f>IF(Iterations[[#This Row],[Step]] =current_step, current_Grad_c,IF(Iterations[[#This Row],[Step]] &gt; current_step, "",Iterations[[#This Row],[Grad_c]]))</f>
        <v/>
      </c>
      <c r="Q1493" s="2" t="str">
        <f>IF(Iterations[[#This Row],[Step]] =current_step, current_Grad_d,IF(Iterations[[#This Row],[Step]] &gt; current_step, "",Iterations[[#This Row],[Grad_d]]))</f>
        <v/>
      </c>
      <c r="R1493" s="2" t="str">
        <f>IF(Iterations[[#This Row],[Step]] =current_step, current_Grad_e,IF(Iterations[[#This Row],[Step]] &gt; current_step, "",Iterations[[#This Row],[Grad_e]]))</f>
        <v/>
      </c>
    </row>
    <row r="1494" spans="6:18" x14ac:dyDescent="0.3">
      <c r="F1494" s="2">
        <f t="shared" si="28"/>
        <v>1477</v>
      </c>
      <c r="G1494" s="2" t="str">
        <f>IF(Iterations[[#This Row],[Step]] =current_step, current_a,IF(Iterations[[#This Row],[Step]] &gt; current_step, "",Iterations[[#This Row],[a]]))</f>
        <v/>
      </c>
      <c r="H1494" s="2" t="str">
        <f>IF(Iterations[[#This Row],[Step]] =current_step, current_b,IF(Iterations[[#This Row],[Step]] &gt; current_step, "",Iterations[[#This Row],[b]]))</f>
        <v/>
      </c>
      <c r="I1494" s="2" t="str">
        <f>IF(Iterations[[#This Row],[Step]] =current_step, current_c,IF(Iterations[[#This Row],[Step]] &gt; current_step, "",Iterations[[#This Row],[c]]))</f>
        <v/>
      </c>
      <c r="J1494" s="2" t="str">
        <f>IF(Iterations[[#This Row],[Step]] =current_step, current_d,IF(Iterations[[#This Row],[Step]] &gt; current_step, "",Iterations[[#This Row],[d]]))</f>
        <v/>
      </c>
      <c r="K1494" s="2" t="str">
        <f>IF(Iterations[[#This Row],[Step]] =current_step, current_e,IF(Iterations[[#This Row],[Step]] &gt; current_step, "",Iterations[[#This Row],[e]]))</f>
        <v/>
      </c>
      <c r="L1494" s="2" t="str">
        <f>IF(Iterations[[#This Row],[Step]] =current_step, current_Total_Loss,IF(Iterations[[#This Row],[Step]] &gt; current_step, "",Iterations[[#This Row],[Total Loss]]))</f>
        <v/>
      </c>
      <c r="M1494" s="6" t="s">
        <v>27</v>
      </c>
      <c r="N1494" s="2" t="str">
        <f>IF(Iterations[[#This Row],[Step]] =current_step, current_Grad_a,IF(Iterations[[#This Row],[Step]] &gt; current_step, "",Iterations[[#This Row],[Grad_a]]))</f>
        <v/>
      </c>
      <c r="O1494" s="2" t="str">
        <f>IF(Iterations[[#This Row],[Step]] =current_step, current_Grad_b,IF(Iterations[[#This Row],[Step]] &gt; current_step, "",Iterations[[#This Row],[Grad_b]]))</f>
        <v/>
      </c>
      <c r="P1494" s="2" t="str">
        <f>IF(Iterations[[#This Row],[Step]] =current_step, current_Grad_c,IF(Iterations[[#This Row],[Step]] &gt; current_step, "",Iterations[[#This Row],[Grad_c]]))</f>
        <v/>
      </c>
      <c r="Q1494" s="2" t="str">
        <f>IF(Iterations[[#This Row],[Step]] =current_step, current_Grad_d,IF(Iterations[[#This Row],[Step]] &gt; current_step, "",Iterations[[#This Row],[Grad_d]]))</f>
        <v/>
      </c>
      <c r="R1494" s="2" t="str">
        <f>IF(Iterations[[#This Row],[Step]] =current_step, current_Grad_e,IF(Iterations[[#This Row],[Step]] &gt; current_step, "",Iterations[[#This Row],[Grad_e]]))</f>
        <v/>
      </c>
    </row>
    <row r="1495" spans="6:18" x14ac:dyDescent="0.3">
      <c r="F1495" s="2">
        <f t="shared" si="28"/>
        <v>1478</v>
      </c>
      <c r="G1495" s="2" t="str">
        <f>IF(Iterations[[#This Row],[Step]] =current_step, current_a,IF(Iterations[[#This Row],[Step]] &gt; current_step, "",Iterations[[#This Row],[a]]))</f>
        <v/>
      </c>
      <c r="H1495" s="2" t="str">
        <f>IF(Iterations[[#This Row],[Step]] =current_step, current_b,IF(Iterations[[#This Row],[Step]] &gt; current_step, "",Iterations[[#This Row],[b]]))</f>
        <v/>
      </c>
      <c r="I1495" s="2" t="str">
        <f>IF(Iterations[[#This Row],[Step]] =current_step, current_c,IF(Iterations[[#This Row],[Step]] &gt; current_step, "",Iterations[[#This Row],[c]]))</f>
        <v/>
      </c>
      <c r="J1495" s="2" t="str">
        <f>IF(Iterations[[#This Row],[Step]] =current_step, current_d,IF(Iterations[[#This Row],[Step]] &gt; current_step, "",Iterations[[#This Row],[d]]))</f>
        <v/>
      </c>
      <c r="K1495" s="2" t="str">
        <f>IF(Iterations[[#This Row],[Step]] =current_step, current_e,IF(Iterations[[#This Row],[Step]] &gt; current_step, "",Iterations[[#This Row],[e]]))</f>
        <v/>
      </c>
      <c r="L1495" s="2" t="str">
        <f>IF(Iterations[[#This Row],[Step]] =current_step, current_Total_Loss,IF(Iterations[[#This Row],[Step]] &gt; current_step, "",Iterations[[#This Row],[Total Loss]]))</f>
        <v/>
      </c>
      <c r="M1495" s="6" t="s">
        <v>27</v>
      </c>
      <c r="N1495" s="2" t="str">
        <f>IF(Iterations[[#This Row],[Step]] =current_step, current_Grad_a,IF(Iterations[[#This Row],[Step]] &gt; current_step, "",Iterations[[#This Row],[Grad_a]]))</f>
        <v/>
      </c>
      <c r="O1495" s="2" t="str">
        <f>IF(Iterations[[#This Row],[Step]] =current_step, current_Grad_b,IF(Iterations[[#This Row],[Step]] &gt; current_step, "",Iterations[[#This Row],[Grad_b]]))</f>
        <v/>
      </c>
      <c r="P1495" s="2" t="str">
        <f>IF(Iterations[[#This Row],[Step]] =current_step, current_Grad_c,IF(Iterations[[#This Row],[Step]] &gt; current_step, "",Iterations[[#This Row],[Grad_c]]))</f>
        <v/>
      </c>
      <c r="Q1495" s="2" t="str">
        <f>IF(Iterations[[#This Row],[Step]] =current_step, current_Grad_d,IF(Iterations[[#This Row],[Step]] &gt; current_step, "",Iterations[[#This Row],[Grad_d]]))</f>
        <v/>
      </c>
      <c r="R1495" s="2" t="str">
        <f>IF(Iterations[[#This Row],[Step]] =current_step, current_Grad_e,IF(Iterations[[#This Row],[Step]] &gt; current_step, "",Iterations[[#This Row],[Grad_e]]))</f>
        <v/>
      </c>
    </row>
    <row r="1496" spans="6:18" x14ac:dyDescent="0.3">
      <c r="F1496" s="2">
        <f t="shared" si="28"/>
        <v>1479</v>
      </c>
      <c r="G1496" s="2" t="str">
        <f>IF(Iterations[[#This Row],[Step]] =current_step, current_a,IF(Iterations[[#This Row],[Step]] &gt; current_step, "",Iterations[[#This Row],[a]]))</f>
        <v/>
      </c>
      <c r="H1496" s="2" t="str">
        <f>IF(Iterations[[#This Row],[Step]] =current_step, current_b,IF(Iterations[[#This Row],[Step]] &gt; current_step, "",Iterations[[#This Row],[b]]))</f>
        <v/>
      </c>
      <c r="I1496" s="2" t="str">
        <f>IF(Iterations[[#This Row],[Step]] =current_step, current_c,IF(Iterations[[#This Row],[Step]] &gt; current_step, "",Iterations[[#This Row],[c]]))</f>
        <v/>
      </c>
      <c r="J1496" s="2" t="str">
        <f>IF(Iterations[[#This Row],[Step]] =current_step, current_d,IF(Iterations[[#This Row],[Step]] &gt; current_step, "",Iterations[[#This Row],[d]]))</f>
        <v/>
      </c>
      <c r="K1496" s="2" t="str">
        <f>IF(Iterations[[#This Row],[Step]] =current_step, current_e,IF(Iterations[[#This Row],[Step]] &gt; current_step, "",Iterations[[#This Row],[e]]))</f>
        <v/>
      </c>
      <c r="L1496" s="2" t="str">
        <f>IF(Iterations[[#This Row],[Step]] =current_step, current_Total_Loss,IF(Iterations[[#This Row],[Step]] &gt; current_step, "",Iterations[[#This Row],[Total Loss]]))</f>
        <v/>
      </c>
      <c r="M1496" s="6" t="s">
        <v>27</v>
      </c>
      <c r="N1496" s="2" t="str">
        <f>IF(Iterations[[#This Row],[Step]] =current_step, current_Grad_a,IF(Iterations[[#This Row],[Step]] &gt; current_step, "",Iterations[[#This Row],[Grad_a]]))</f>
        <v/>
      </c>
      <c r="O1496" s="2" t="str">
        <f>IF(Iterations[[#This Row],[Step]] =current_step, current_Grad_b,IF(Iterations[[#This Row],[Step]] &gt; current_step, "",Iterations[[#This Row],[Grad_b]]))</f>
        <v/>
      </c>
      <c r="P1496" s="2" t="str">
        <f>IF(Iterations[[#This Row],[Step]] =current_step, current_Grad_c,IF(Iterations[[#This Row],[Step]] &gt; current_step, "",Iterations[[#This Row],[Grad_c]]))</f>
        <v/>
      </c>
      <c r="Q1496" s="2" t="str">
        <f>IF(Iterations[[#This Row],[Step]] =current_step, current_Grad_d,IF(Iterations[[#This Row],[Step]] &gt; current_step, "",Iterations[[#This Row],[Grad_d]]))</f>
        <v/>
      </c>
      <c r="R1496" s="2" t="str">
        <f>IF(Iterations[[#This Row],[Step]] =current_step, current_Grad_e,IF(Iterations[[#This Row],[Step]] &gt; current_step, "",Iterations[[#This Row],[Grad_e]]))</f>
        <v/>
      </c>
    </row>
    <row r="1497" spans="6:18" x14ac:dyDescent="0.3">
      <c r="F1497" s="2">
        <f t="shared" si="28"/>
        <v>1480</v>
      </c>
      <c r="G1497" s="2" t="str">
        <f>IF(Iterations[[#This Row],[Step]] =current_step, current_a,IF(Iterations[[#This Row],[Step]] &gt; current_step, "",Iterations[[#This Row],[a]]))</f>
        <v/>
      </c>
      <c r="H1497" s="2" t="str">
        <f>IF(Iterations[[#This Row],[Step]] =current_step, current_b,IF(Iterations[[#This Row],[Step]] &gt; current_step, "",Iterations[[#This Row],[b]]))</f>
        <v/>
      </c>
      <c r="I1497" s="2" t="str">
        <f>IF(Iterations[[#This Row],[Step]] =current_step, current_c,IF(Iterations[[#This Row],[Step]] &gt; current_step, "",Iterations[[#This Row],[c]]))</f>
        <v/>
      </c>
      <c r="J1497" s="2" t="str">
        <f>IF(Iterations[[#This Row],[Step]] =current_step, current_d,IF(Iterations[[#This Row],[Step]] &gt; current_step, "",Iterations[[#This Row],[d]]))</f>
        <v/>
      </c>
      <c r="K1497" s="2" t="str">
        <f>IF(Iterations[[#This Row],[Step]] =current_step, current_e,IF(Iterations[[#This Row],[Step]] &gt; current_step, "",Iterations[[#This Row],[e]]))</f>
        <v/>
      </c>
      <c r="L1497" s="2" t="str">
        <f>IF(Iterations[[#This Row],[Step]] =current_step, current_Total_Loss,IF(Iterations[[#This Row],[Step]] &gt; current_step, "",Iterations[[#This Row],[Total Loss]]))</f>
        <v/>
      </c>
      <c r="M1497" s="6" t="s">
        <v>27</v>
      </c>
      <c r="N1497" s="2" t="str">
        <f>IF(Iterations[[#This Row],[Step]] =current_step, current_Grad_a,IF(Iterations[[#This Row],[Step]] &gt; current_step, "",Iterations[[#This Row],[Grad_a]]))</f>
        <v/>
      </c>
      <c r="O1497" s="2" t="str">
        <f>IF(Iterations[[#This Row],[Step]] =current_step, current_Grad_b,IF(Iterations[[#This Row],[Step]] &gt; current_step, "",Iterations[[#This Row],[Grad_b]]))</f>
        <v/>
      </c>
      <c r="P1497" s="2" t="str">
        <f>IF(Iterations[[#This Row],[Step]] =current_step, current_Grad_c,IF(Iterations[[#This Row],[Step]] &gt; current_step, "",Iterations[[#This Row],[Grad_c]]))</f>
        <v/>
      </c>
      <c r="Q1497" s="2" t="str">
        <f>IF(Iterations[[#This Row],[Step]] =current_step, current_Grad_d,IF(Iterations[[#This Row],[Step]] &gt; current_step, "",Iterations[[#This Row],[Grad_d]]))</f>
        <v/>
      </c>
      <c r="R1497" s="2" t="str">
        <f>IF(Iterations[[#This Row],[Step]] =current_step, current_Grad_e,IF(Iterations[[#This Row],[Step]] &gt; current_step, "",Iterations[[#This Row],[Grad_e]]))</f>
        <v/>
      </c>
    </row>
    <row r="1498" spans="6:18" x14ac:dyDescent="0.3">
      <c r="F1498" s="2">
        <f t="shared" si="28"/>
        <v>1481</v>
      </c>
      <c r="G1498" s="2" t="str">
        <f>IF(Iterations[[#This Row],[Step]] =current_step, current_a,IF(Iterations[[#This Row],[Step]] &gt; current_step, "",Iterations[[#This Row],[a]]))</f>
        <v/>
      </c>
      <c r="H1498" s="2" t="str">
        <f>IF(Iterations[[#This Row],[Step]] =current_step, current_b,IF(Iterations[[#This Row],[Step]] &gt; current_step, "",Iterations[[#This Row],[b]]))</f>
        <v/>
      </c>
      <c r="I1498" s="2" t="str">
        <f>IF(Iterations[[#This Row],[Step]] =current_step, current_c,IF(Iterations[[#This Row],[Step]] &gt; current_step, "",Iterations[[#This Row],[c]]))</f>
        <v/>
      </c>
      <c r="J1498" s="2" t="str">
        <f>IF(Iterations[[#This Row],[Step]] =current_step, current_d,IF(Iterations[[#This Row],[Step]] &gt; current_step, "",Iterations[[#This Row],[d]]))</f>
        <v/>
      </c>
      <c r="K1498" s="2" t="str">
        <f>IF(Iterations[[#This Row],[Step]] =current_step, current_e,IF(Iterations[[#This Row],[Step]] &gt; current_step, "",Iterations[[#This Row],[e]]))</f>
        <v/>
      </c>
      <c r="L1498" s="2" t="str">
        <f>IF(Iterations[[#This Row],[Step]] =current_step, current_Total_Loss,IF(Iterations[[#This Row],[Step]] &gt; current_step, "",Iterations[[#This Row],[Total Loss]]))</f>
        <v/>
      </c>
      <c r="M1498" s="6" t="s">
        <v>27</v>
      </c>
      <c r="N1498" s="2" t="str">
        <f>IF(Iterations[[#This Row],[Step]] =current_step, current_Grad_a,IF(Iterations[[#This Row],[Step]] &gt; current_step, "",Iterations[[#This Row],[Grad_a]]))</f>
        <v/>
      </c>
      <c r="O1498" s="2" t="str">
        <f>IF(Iterations[[#This Row],[Step]] =current_step, current_Grad_b,IF(Iterations[[#This Row],[Step]] &gt; current_step, "",Iterations[[#This Row],[Grad_b]]))</f>
        <v/>
      </c>
      <c r="P1498" s="2" t="str">
        <f>IF(Iterations[[#This Row],[Step]] =current_step, current_Grad_c,IF(Iterations[[#This Row],[Step]] &gt; current_step, "",Iterations[[#This Row],[Grad_c]]))</f>
        <v/>
      </c>
      <c r="Q1498" s="2" t="str">
        <f>IF(Iterations[[#This Row],[Step]] =current_step, current_Grad_d,IF(Iterations[[#This Row],[Step]] &gt; current_step, "",Iterations[[#This Row],[Grad_d]]))</f>
        <v/>
      </c>
      <c r="R1498" s="2" t="str">
        <f>IF(Iterations[[#This Row],[Step]] =current_step, current_Grad_e,IF(Iterations[[#This Row],[Step]] &gt; current_step, "",Iterations[[#This Row],[Grad_e]]))</f>
        <v/>
      </c>
    </row>
    <row r="1499" spans="6:18" x14ac:dyDescent="0.3">
      <c r="F1499" s="2">
        <f t="shared" si="28"/>
        <v>1482</v>
      </c>
      <c r="G1499" s="2" t="str">
        <f>IF(Iterations[[#This Row],[Step]] =current_step, current_a,IF(Iterations[[#This Row],[Step]] &gt; current_step, "",Iterations[[#This Row],[a]]))</f>
        <v/>
      </c>
      <c r="H1499" s="2" t="str">
        <f>IF(Iterations[[#This Row],[Step]] =current_step, current_b,IF(Iterations[[#This Row],[Step]] &gt; current_step, "",Iterations[[#This Row],[b]]))</f>
        <v/>
      </c>
      <c r="I1499" s="2" t="str">
        <f>IF(Iterations[[#This Row],[Step]] =current_step, current_c,IF(Iterations[[#This Row],[Step]] &gt; current_step, "",Iterations[[#This Row],[c]]))</f>
        <v/>
      </c>
      <c r="J1499" s="2" t="str">
        <f>IF(Iterations[[#This Row],[Step]] =current_step, current_d,IF(Iterations[[#This Row],[Step]] &gt; current_step, "",Iterations[[#This Row],[d]]))</f>
        <v/>
      </c>
      <c r="K1499" s="2" t="str">
        <f>IF(Iterations[[#This Row],[Step]] =current_step, current_e,IF(Iterations[[#This Row],[Step]] &gt; current_step, "",Iterations[[#This Row],[e]]))</f>
        <v/>
      </c>
      <c r="L1499" s="2" t="str">
        <f>IF(Iterations[[#This Row],[Step]] =current_step, current_Total_Loss,IF(Iterations[[#This Row],[Step]] &gt; current_step, "",Iterations[[#This Row],[Total Loss]]))</f>
        <v/>
      </c>
      <c r="M1499" s="6" t="s">
        <v>27</v>
      </c>
      <c r="N1499" s="2" t="str">
        <f>IF(Iterations[[#This Row],[Step]] =current_step, current_Grad_a,IF(Iterations[[#This Row],[Step]] &gt; current_step, "",Iterations[[#This Row],[Grad_a]]))</f>
        <v/>
      </c>
      <c r="O1499" s="2" t="str">
        <f>IF(Iterations[[#This Row],[Step]] =current_step, current_Grad_b,IF(Iterations[[#This Row],[Step]] &gt; current_step, "",Iterations[[#This Row],[Grad_b]]))</f>
        <v/>
      </c>
      <c r="P1499" s="2" t="str">
        <f>IF(Iterations[[#This Row],[Step]] =current_step, current_Grad_c,IF(Iterations[[#This Row],[Step]] &gt; current_step, "",Iterations[[#This Row],[Grad_c]]))</f>
        <v/>
      </c>
      <c r="Q1499" s="2" t="str">
        <f>IF(Iterations[[#This Row],[Step]] =current_step, current_Grad_d,IF(Iterations[[#This Row],[Step]] &gt; current_step, "",Iterations[[#This Row],[Grad_d]]))</f>
        <v/>
      </c>
      <c r="R1499" s="2" t="str">
        <f>IF(Iterations[[#This Row],[Step]] =current_step, current_Grad_e,IF(Iterations[[#This Row],[Step]] &gt; current_step, "",Iterations[[#This Row],[Grad_e]]))</f>
        <v/>
      </c>
    </row>
    <row r="1500" spans="6:18" x14ac:dyDescent="0.3">
      <c r="F1500" s="2">
        <f t="shared" si="28"/>
        <v>1483</v>
      </c>
      <c r="G1500" s="2" t="str">
        <f>IF(Iterations[[#This Row],[Step]] =current_step, current_a,IF(Iterations[[#This Row],[Step]] &gt; current_step, "",Iterations[[#This Row],[a]]))</f>
        <v/>
      </c>
      <c r="H1500" s="2" t="str">
        <f>IF(Iterations[[#This Row],[Step]] =current_step, current_b,IF(Iterations[[#This Row],[Step]] &gt; current_step, "",Iterations[[#This Row],[b]]))</f>
        <v/>
      </c>
      <c r="I1500" s="2" t="str">
        <f>IF(Iterations[[#This Row],[Step]] =current_step, current_c,IF(Iterations[[#This Row],[Step]] &gt; current_step, "",Iterations[[#This Row],[c]]))</f>
        <v/>
      </c>
      <c r="J1500" s="2" t="str">
        <f>IF(Iterations[[#This Row],[Step]] =current_step, current_d,IF(Iterations[[#This Row],[Step]] &gt; current_step, "",Iterations[[#This Row],[d]]))</f>
        <v/>
      </c>
      <c r="K1500" s="2" t="str">
        <f>IF(Iterations[[#This Row],[Step]] =current_step, current_e,IF(Iterations[[#This Row],[Step]] &gt; current_step, "",Iterations[[#This Row],[e]]))</f>
        <v/>
      </c>
      <c r="L1500" s="2" t="str">
        <f>IF(Iterations[[#This Row],[Step]] =current_step, current_Total_Loss,IF(Iterations[[#This Row],[Step]] &gt; current_step, "",Iterations[[#This Row],[Total Loss]]))</f>
        <v/>
      </c>
      <c r="M1500" s="6" t="s">
        <v>27</v>
      </c>
      <c r="N1500" s="2" t="str">
        <f>IF(Iterations[[#This Row],[Step]] =current_step, current_Grad_a,IF(Iterations[[#This Row],[Step]] &gt; current_step, "",Iterations[[#This Row],[Grad_a]]))</f>
        <v/>
      </c>
      <c r="O1500" s="2" t="str">
        <f>IF(Iterations[[#This Row],[Step]] =current_step, current_Grad_b,IF(Iterations[[#This Row],[Step]] &gt; current_step, "",Iterations[[#This Row],[Grad_b]]))</f>
        <v/>
      </c>
      <c r="P1500" s="2" t="str">
        <f>IF(Iterations[[#This Row],[Step]] =current_step, current_Grad_c,IF(Iterations[[#This Row],[Step]] &gt; current_step, "",Iterations[[#This Row],[Grad_c]]))</f>
        <v/>
      </c>
      <c r="Q1500" s="2" t="str">
        <f>IF(Iterations[[#This Row],[Step]] =current_step, current_Grad_d,IF(Iterations[[#This Row],[Step]] &gt; current_step, "",Iterations[[#This Row],[Grad_d]]))</f>
        <v/>
      </c>
      <c r="R1500" s="2" t="str">
        <f>IF(Iterations[[#This Row],[Step]] =current_step, current_Grad_e,IF(Iterations[[#This Row],[Step]] &gt; current_step, "",Iterations[[#This Row],[Grad_e]]))</f>
        <v/>
      </c>
    </row>
    <row r="1501" spans="6:18" x14ac:dyDescent="0.3">
      <c r="F1501" s="2">
        <f t="shared" si="28"/>
        <v>1484</v>
      </c>
      <c r="G1501" s="2" t="str">
        <f>IF(Iterations[[#This Row],[Step]] =current_step, current_a,IF(Iterations[[#This Row],[Step]] &gt; current_step, "",Iterations[[#This Row],[a]]))</f>
        <v/>
      </c>
      <c r="H1501" s="2" t="str">
        <f>IF(Iterations[[#This Row],[Step]] =current_step, current_b,IF(Iterations[[#This Row],[Step]] &gt; current_step, "",Iterations[[#This Row],[b]]))</f>
        <v/>
      </c>
      <c r="I1501" s="2" t="str">
        <f>IF(Iterations[[#This Row],[Step]] =current_step, current_c,IF(Iterations[[#This Row],[Step]] &gt; current_step, "",Iterations[[#This Row],[c]]))</f>
        <v/>
      </c>
      <c r="J1501" s="2" t="str">
        <f>IF(Iterations[[#This Row],[Step]] =current_step, current_d,IF(Iterations[[#This Row],[Step]] &gt; current_step, "",Iterations[[#This Row],[d]]))</f>
        <v/>
      </c>
      <c r="K1501" s="2" t="str">
        <f>IF(Iterations[[#This Row],[Step]] =current_step, current_e,IF(Iterations[[#This Row],[Step]] &gt; current_step, "",Iterations[[#This Row],[e]]))</f>
        <v/>
      </c>
      <c r="L1501" s="2" t="str">
        <f>IF(Iterations[[#This Row],[Step]] =current_step, current_Total_Loss,IF(Iterations[[#This Row],[Step]] &gt; current_step, "",Iterations[[#This Row],[Total Loss]]))</f>
        <v/>
      </c>
      <c r="M1501" s="6" t="s">
        <v>27</v>
      </c>
      <c r="N1501" s="2" t="str">
        <f>IF(Iterations[[#This Row],[Step]] =current_step, current_Grad_a,IF(Iterations[[#This Row],[Step]] &gt; current_step, "",Iterations[[#This Row],[Grad_a]]))</f>
        <v/>
      </c>
      <c r="O1501" s="2" t="str">
        <f>IF(Iterations[[#This Row],[Step]] =current_step, current_Grad_b,IF(Iterations[[#This Row],[Step]] &gt; current_step, "",Iterations[[#This Row],[Grad_b]]))</f>
        <v/>
      </c>
      <c r="P1501" s="2" t="str">
        <f>IF(Iterations[[#This Row],[Step]] =current_step, current_Grad_c,IF(Iterations[[#This Row],[Step]] &gt; current_step, "",Iterations[[#This Row],[Grad_c]]))</f>
        <v/>
      </c>
      <c r="Q1501" s="2" t="str">
        <f>IF(Iterations[[#This Row],[Step]] =current_step, current_Grad_d,IF(Iterations[[#This Row],[Step]] &gt; current_step, "",Iterations[[#This Row],[Grad_d]]))</f>
        <v/>
      </c>
      <c r="R1501" s="2" t="str">
        <f>IF(Iterations[[#This Row],[Step]] =current_step, current_Grad_e,IF(Iterations[[#This Row],[Step]] &gt; current_step, "",Iterations[[#This Row],[Grad_e]]))</f>
        <v/>
      </c>
    </row>
    <row r="1502" spans="6:18" x14ac:dyDescent="0.3">
      <c r="F1502" s="2">
        <f t="shared" si="28"/>
        <v>1485</v>
      </c>
      <c r="G1502" s="2" t="str">
        <f>IF(Iterations[[#This Row],[Step]] =current_step, current_a,IF(Iterations[[#This Row],[Step]] &gt; current_step, "",Iterations[[#This Row],[a]]))</f>
        <v/>
      </c>
      <c r="H1502" s="2" t="str">
        <f>IF(Iterations[[#This Row],[Step]] =current_step, current_b,IF(Iterations[[#This Row],[Step]] &gt; current_step, "",Iterations[[#This Row],[b]]))</f>
        <v/>
      </c>
      <c r="I1502" s="2" t="str">
        <f>IF(Iterations[[#This Row],[Step]] =current_step, current_c,IF(Iterations[[#This Row],[Step]] &gt; current_step, "",Iterations[[#This Row],[c]]))</f>
        <v/>
      </c>
      <c r="J1502" s="2" t="str">
        <f>IF(Iterations[[#This Row],[Step]] =current_step, current_d,IF(Iterations[[#This Row],[Step]] &gt; current_step, "",Iterations[[#This Row],[d]]))</f>
        <v/>
      </c>
      <c r="K1502" s="2" t="str">
        <f>IF(Iterations[[#This Row],[Step]] =current_step, current_e,IF(Iterations[[#This Row],[Step]] &gt; current_step, "",Iterations[[#This Row],[e]]))</f>
        <v/>
      </c>
      <c r="L1502" s="2" t="str">
        <f>IF(Iterations[[#This Row],[Step]] =current_step, current_Total_Loss,IF(Iterations[[#This Row],[Step]] &gt; current_step, "",Iterations[[#This Row],[Total Loss]]))</f>
        <v/>
      </c>
      <c r="M1502" s="6" t="s">
        <v>27</v>
      </c>
      <c r="N1502" s="2" t="str">
        <f>IF(Iterations[[#This Row],[Step]] =current_step, current_Grad_a,IF(Iterations[[#This Row],[Step]] &gt; current_step, "",Iterations[[#This Row],[Grad_a]]))</f>
        <v/>
      </c>
      <c r="O1502" s="2" t="str">
        <f>IF(Iterations[[#This Row],[Step]] =current_step, current_Grad_b,IF(Iterations[[#This Row],[Step]] &gt; current_step, "",Iterations[[#This Row],[Grad_b]]))</f>
        <v/>
      </c>
      <c r="P1502" s="2" t="str">
        <f>IF(Iterations[[#This Row],[Step]] =current_step, current_Grad_c,IF(Iterations[[#This Row],[Step]] &gt; current_step, "",Iterations[[#This Row],[Grad_c]]))</f>
        <v/>
      </c>
      <c r="Q1502" s="2" t="str">
        <f>IF(Iterations[[#This Row],[Step]] =current_step, current_Grad_d,IF(Iterations[[#This Row],[Step]] &gt; current_step, "",Iterations[[#This Row],[Grad_d]]))</f>
        <v/>
      </c>
      <c r="R1502" s="2" t="str">
        <f>IF(Iterations[[#This Row],[Step]] =current_step, current_Grad_e,IF(Iterations[[#This Row],[Step]] &gt; current_step, "",Iterations[[#This Row],[Grad_e]]))</f>
        <v/>
      </c>
    </row>
    <row r="1503" spans="6:18" x14ac:dyDescent="0.3">
      <c r="F1503" s="2">
        <f t="shared" si="28"/>
        <v>1486</v>
      </c>
      <c r="G1503" s="2" t="str">
        <f>IF(Iterations[[#This Row],[Step]] =current_step, current_a,IF(Iterations[[#This Row],[Step]] &gt; current_step, "",Iterations[[#This Row],[a]]))</f>
        <v/>
      </c>
      <c r="H1503" s="2" t="str">
        <f>IF(Iterations[[#This Row],[Step]] =current_step, current_b,IF(Iterations[[#This Row],[Step]] &gt; current_step, "",Iterations[[#This Row],[b]]))</f>
        <v/>
      </c>
      <c r="I1503" s="2" t="str">
        <f>IF(Iterations[[#This Row],[Step]] =current_step, current_c,IF(Iterations[[#This Row],[Step]] &gt; current_step, "",Iterations[[#This Row],[c]]))</f>
        <v/>
      </c>
      <c r="J1503" s="2" t="str">
        <f>IF(Iterations[[#This Row],[Step]] =current_step, current_d,IF(Iterations[[#This Row],[Step]] &gt; current_step, "",Iterations[[#This Row],[d]]))</f>
        <v/>
      </c>
      <c r="K1503" s="2" t="str">
        <f>IF(Iterations[[#This Row],[Step]] =current_step, current_e,IF(Iterations[[#This Row],[Step]] &gt; current_step, "",Iterations[[#This Row],[e]]))</f>
        <v/>
      </c>
      <c r="L1503" s="2" t="str">
        <f>IF(Iterations[[#This Row],[Step]] =current_step, current_Total_Loss,IF(Iterations[[#This Row],[Step]] &gt; current_step, "",Iterations[[#This Row],[Total Loss]]))</f>
        <v/>
      </c>
      <c r="M1503" s="6" t="s">
        <v>27</v>
      </c>
      <c r="N1503" s="2" t="str">
        <f>IF(Iterations[[#This Row],[Step]] =current_step, current_Grad_a,IF(Iterations[[#This Row],[Step]] &gt; current_step, "",Iterations[[#This Row],[Grad_a]]))</f>
        <v/>
      </c>
      <c r="O1503" s="2" t="str">
        <f>IF(Iterations[[#This Row],[Step]] =current_step, current_Grad_b,IF(Iterations[[#This Row],[Step]] &gt; current_step, "",Iterations[[#This Row],[Grad_b]]))</f>
        <v/>
      </c>
      <c r="P1503" s="2" t="str">
        <f>IF(Iterations[[#This Row],[Step]] =current_step, current_Grad_c,IF(Iterations[[#This Row],[Step]] &gt; current_step, "",Iterations[[#This Row],[Grad_c]]))</f>
        <v/>
      </c>
      <c r="Q1503" s="2" t="str">
        <f>IF(Iterations[[#This Row],[Step]] =current_step, current_Grad_d,IF(Iterations[[#This Row],[Step]] &gt; current_step, "",Iterations[[#This Row],[Grad_d]]))</f>
        <v/>
      </c>
      <c r="R1503" s="2" t="str">
        <f>IF(Iterations[[#This Row],[Step]] =current_step, current_Grad_e,IF(Iterations[[#This Row],[Step]] &gt; current_step, "",Iterations[[#This Row],[Grad_e]]))</f>
        <v/>
      </c>
    </row>
    <row r="1504" spans="6:18" x14ac:dyDescent="0.3">
      <c r="F1504" s="2">
        <f t="shared" si="28"/>
        <v>1487</v>
      </c>
      <c r="G1504" s="2" t="str">
        <f>IF(Iterations[[#This Row],[Step]] =current_step, current_a,IF(Iterations[[#This Row],[Step]] &gt; current_step, "",Iterations[[#This Row],[a]]))</f>
        <v/>
      </c>
      <c r="H1504" s="2" t="str">
        <f>IF(Iterations[[#This Row],[Step]] =current_step, current_b,IF(Iterations[[#This Row],[Step]] &gt; current_step, "",Iterations[[#This Row],[b]]))</f>
        <v/>
      </c>
      <c r="I1504" s="2" t="str">
        <f>IF(Iterations[[#This Row],[Step]] =current_step, current_c,IF(Iterations[[#This Row],[Step]] &gt; current_step, "",Iterations[[#This Row],[c]]))</f>
        <v/>
      </c>
      <c r="J1504" s="2" t="str">
        <f>IF(Iterations[[#This Row],[Step]] =current_step, current_d,IF(Iterations[[#This Row],[Step]] &gt; current_step, "",Iterations[[#This Row],[d]]))</f>
        <v/>
      </c>
      <c r="K1504" s="2" t="str">
        <f>IF(Iterations[[#This Row],[Step]] =current_step, current_e,IF(Iterations[[#This Row],[Step]] &gt; current_step, "",Iterations[[#This Row],[e]]))</f>
        <v/>
      </c>
      <c r="L1504" s="2" t="str">
        <f>IF(Iterations[[#This Row],[Step]] =current_step, current_Total_Loss,IF(Iterations[[#This Row],[Step]] &gt; current_step, "",Iterations[[#This Row],[Total Loss]]))</f>
        <v/>
      </c>
      <c r="M1504" s="6" t="s">
        <v>27</v>
      </c>
      <c r="N1504" s="2" t="str">
        <f>IF(Iterations[[#This Row],[Step]] =current_step, current_Grad_a,IF(Iterations[[#This Row],[Step]] &gt; current_step, "",Iterations[[#This Row],[Grad_a]]))</f>
        <v/>
      </c>
      <c r="O1504" s="2" t="str">
        <f>IF(Iterations[[#This Row],[Step]] =current_step, current_Grad_b,IF(Iterations[[#This Row],[Step]] &gt; current_step, "",Iterations[[#This Row],[Grad_b]]))</f>
        <v/>
      </c>
      <c r="P1504" s="2" t="str">
        <f>IF(Iterations[[#This Row],[Step]] =current_step, current_Grad_c,IF(Iterations[[#This Row],[Step]] &gt; current_step, "",Iterations[[#This Row],[Grad_c]]))</f>
        <v/>
      </c>
      <c r="Q1504" s="2" t="str">
        <f>IF(Iterations[[#This Row],[Step]] =current_step, current_Grad_d,IF(Iterations[[#This Row],[Step]] &gt; current_step, "",Iterations[[#This Row],[Grad_d]]))</f>
        <v/>
      </c>
      <c r="R1504" s="2" t="str">
        <f>IF(Iterations[[#This Row],[Step]] =current_step, current_Grad_e,IF(Iterations[[#This Row],[Step]] &gt; current_step, "",Iterations[[#This Row],[Grad_e]]))</f>
        <v/>
      </c>
    </row>
    <row r="1505" spans="6:18" x14ac:dyDescent="0.3">
      <c r="F1505" s="2">
        <f t="shared" si="28"/>
        <v>1488</v>
      </c>
      <c r="G1505" s="2" t="str">
        <f>IF(Iterations[[#This Row],[Step]] =current_step, current_a,IF(Iterations[[#This Row],[Step]] &gt; current_step, "",Iterations[[#This Row],[a]]))</f>
        <v/>
      </c>
      <c r="H1505" s="2" t="str">
        <f>IF(Iterations[[#This Row],[Step]] =current_step, current_b,IF(Iterations[[#This Row],[Step]] &gt; current_step, "",Iterations[[#This Row],[b]]))</f>
        <v/>
      </c>
      <c r="I1505" s="2" t="str">
        <f>IF(Iterations[[#This Row],[Step]] =current_step, current_c,IF(Iterations[[#This Row],[Step]] &gt; current_step, "",Iterations[[#This Row],[c]]))</f>
        <v/>
      </c>
      <c r="J1505" s="2" t="str">
        <f>IF(Iterations[[#This Row],[Step]] =current_step, current_d,IF(Iterations[[#This Row],[Step]] &gt; current_step, "",Iterations[[#This Row],[d]]))</f>
        <v/>
      </c>
      <c r="K1505" s="2" t="str">
        <f>IF(Iterations[[#This Row],[Step]] =current_step, current_e,IF(Iterations[[#This Row],[Step]] &gt; current_step, "",Iterations[[#This Row],[e]]))</f>
        <v/>
      </c>
      <c r="L1505" s="2" t="str">
        <f>IF(Iterations[[#This Row],[Step]] =current_step, current_Total_Loss,IF(Iterations[[#This Row],[Step]] &gt; current_step, "",Iterations[[#This Row],[Total Loss]]))</f>
        <v/>
      </c>
      <c r="M1505" s="6" t="s">
        <v>27</v>
      </c>
      <c r="N1505" s="2" t="str">
        <f>IF(Iterations[[#This Row],[Step]] =current_step, current_Grad_a,IF(Iterations[[#This Row],[Step]] &gt; current_step, "",Iterations[[#This Row],[Grad_a]]))</f>
        <v/>
      </c>
      <c r="O1505" s="2" t="str">
        <f>IF(Iterations[[#This Row],[Step]] =current_step, current_Grad_b,IF(Iterations[[#This Row],[Step]] &gt; current_step, "",Iterations[[#This Row],[Grad_b]]))</f>
        <v/>
      </c>
      <c r="P1505" s="2" t="str">
        <f>IF(Iterations[[#This Row],[Step]] =current_step, current_Grad_c,IF(Iterations[[#This Row],[Step]] &gt; current_step, "",Iterations[[#This Row],[Grad_c]]))</f>
        <v/>
      </c>
      <c r="Q1505" s="2" t="str">
        <f>IF(Iterations[[#This Row],[Step]] =current_step, current_Grad_d,IF(Iterations[[#This Row],[Step]] &gt; current_step, "",Iterations[[#This Row],[Grad_d]]))</f>
        <v/>
      </c>
      <c r="R1505" s="2" t="str">
        <f>IF(Iterations[[#This Row],[Step]] =current_step, current_Grad_e,IF(Iterations[[#This Row],[Step]] &gt; current_step, "",Iterations[[#This Row],[Grad_e]]))</f>
        <v/>
      </c>
    </row>
    <row r="1506" spans="6:18" x14ac:dyDescent="0.3">
      <c r="F1506" s="2">
        <f t="shared" si="28"/>
        <v>1489</v>
      </c>
      <c r="G1506" s="2" t="str">
        <f>IF(Iterations[[#This Row],[Step]] =current_step, current_a,IF(Iterations[[#This Row],[Step]] &gt; current_step, "",Iterations[[#This Row],[a]]))</f>
        <v/>
      </c>
      <c r="H1506" s="2" t="str">
        <f>IF(Iterations[[#This Row],[Step]] =current_step, current_b,IF(Iterations[[#This Row],[Step]] &gt; current_step, "",Iterations[[#This Row],[b]]))</f>
        <v/>
      </c>
      <c r="I1506" s="2" t="str">
        <f>IF(Iterations[[#This Row],[Step]] =current_step, current_c,IF(Iterations[[#This Row],[Step]] &gt; current_step, "",Iterations[[#This Row],[c]]))</f>
        <v/>
      </c>
      <c r="J1506" s="2" t="str">
        <f>IF(Iterations[[#This Row],[Step]] =current_step, current_d,IF(Iterations[[#This Row],[Step]] &gt; current_step, "",Iterations[[#This Row],[d]]))</f>
        <v/>
      </c>
      <c r="K1506" s="2" t="str">
        <f>IF(Iterations[[#This Row],[Step]] =current_step, current_e,IF(Iterations[[#This Row],[Step]] &gt; current_step, "",Iterations[[#This Row],[e]]))</f>
        <v/>
      </c>
      <c r="L1506" s="2" t="str">
        <f>IF(Iterations[[#This Row],[Step]] =current_step, current_Total_Loss,IF(Iterations[[#This Row],[Step]] &gt; current_step, "",Iterations[[#This Row],[Total Loss]]))</f>
        <v/>
      </c>
      <c r="M1506" s="6" t="s">
        <v>27</v>
      </c>
      <c r="N1506" s="2" t="str">
        <f>IF(Iterations[[#This Row],[Step]] =current_step, current_Grad_a,IF(Iterations[[#This Row],[Step]] &gt; current_step, "",Iterations[[#This Row],[Grad_a]]))</f>
        <v/>
      </c>
      <c r="O1506" s="2" t="str">
        <f>IF(Iterations[[#This Row],[Step]] =current_step, current_Grad_b,IF(Iterations[[#This Row],[Step]] &gt; current_step, "",Iterations[[#This Row],[Grad_b]]))</f>
        <v/>
      </c>
      <c r="P1506" s="2" t="str">
        <f>IF(Iterations[[#This Row],[Step]] =current_step, current_Grad_c,IF(Iterations[[#This Row],[Step]] &gt; current_step, "",Iterations[[#This Row],[Grad_c]]))</f>
        <v/>
      </c>
      <c r="Q1506" s="2" t="str">
        <f>IF(Iterations[[#This Row],[Step]] =current_step, current_Grad_d,IF(Iterations[[#This Row],[Step]] &gt; current_step, "",Iterations[[#This Row],[Grad_d]]))</f>
        <v/>
      </c>
      <c r="R1506" s="2" t="str">
        <f>IF(Iterations[[#This Row],[Step]] =current_step, current_Grad_e,IF(Iterations[[#This Row],[Step]] &gt; current_step, "",Iterations[[#This Row],[Grad_e]]))</f>
        <v/>
      </c>
    </row>
    <row r="1507" spans="6:18" x14ac:dyDescent="0.3">
      <c r="F1507" s="2">
        <f t="shared" si="28"/>
        <v>1490</v>
      </c>
      <c r="G1507" s="2" t="str">
        <f>IF(Iterations[[#This Row],[Step]] =current_step, current_a,IF(Iterations[[#This Row],[Step]] &gt; current_step, "",Iterations[[#This Row],[a]]))</f>
        <v/>
      </c>
      <c r="H1507" s="2" t="str">
        <f>IF(Iterations[[#This Row],[Step]] =current_step, current_b,IF(Iterations[[#This Row],[Step]] &gt; current_step, "",Iterations[[#This Row],[b]]))</f>
        <v/>
      </c>
      <c r="I1507" s="2" t="str">
        <f>IF(Iterations[[#This Row],[Step]] =current_step, current_c,IF(Iterations[[#This Row],[Step]] &gt; current_step, "",Iterations[[#This Row],[c]]))</f>
        <v/>
      </c>
      <c r="J1507" s="2" t="str">
        <f>IF(Iterations[[#This Row],[Step]] =current_step, current_d,IF(Iterations[[#This Row],[Step]] &gt; current_step, "",Iterations[[#This Row],[d]]))</f>
        <v/>
      </c>
      <c r="K1507" s="2" t="str">
        <f>IF(Iterations[[#This Row],[Step]] =current_step, current_e,IF(Iterations[[#This Row],[Step]] &gt; current_step, "",Iterations[[#This Row],[e]]))</f>
        <v/>
      </c>
      <c r="L1507" s="2" t="str">
        <f>IF(Iterations[[#This Row],[Step]] =current_step, current_Total_Loss,IF(Iterations[[#This Row],[Step]] &gt; current_step, "",Iterations[[#This Row],[Total Loss]]))</f>
        <v/>
      </c>
      <c r="M1507" s="6" t="s">
        <v>27</v>
      </c>
      <c r="N1507" s="2" t="str">
        <f>IF(Iterations[[#This Row],[Step]] =current_step, current_Grad_a,IF(Iterations[[#This Row],[Step]] &gt; current_step, "",Iterations[[#This Row],[Grad_a]]))</f>
        <v/>
      </c>
      <c r="O1507" s="2" t="str">
        <f>IF(Iterations[[#This Row],[Step]] =current_step, current_Grad_b,IF(Iterations[[#This Row],[Step]] &gt; current_step, "",Iterations[[#This Row],[Grad_b]]))</f>
        <v/>
      </c>
      <c r="P1507" s="2" t="str">
        <f>IF(Iterations[[#This Row],[Step]] =current_step, current_Grad_c,IF(Iterations[[#This Row],[Step]] &gt; current_step, "",Iterations[[#This Row],[Grad_c]]))</f>
        <v/>
      </c>
      <c r="Q1507" s="2" t="str">
        <f>IF(Iterations[[#This Row],[Step]] =current_step, current_Grad_d,IF(Iterations[[#This Row],[Step]] &gt; current_step, "",Iterations[[#This Row],[Grad_d]]))</f>
        <v/>
      </c>
      <c r="R1507" s="2" t="str">
        <f>IF(Iterations[[#This Row],[Step]] =current_step, current_Grad_e,IF(Iterations[[#This Row],[Step]] &gt; current_step, "",Iterations[[#This Row],[Grad_e]]))</f>
        <v/>
      </c>
    </row>
    <row r="1508" spans="6:18" x14ac:dyDescent="0.3">
      <c r="F1508" s="2">
        <f t="shared" si="28"/>
        <v>1491</v>
      </c>
      <c r="G1508" s="2" t="str">
        <f>IF(Iterations[[#This Row],[Step]] =current_step, current_a,IF(Iterations[[#This Row],[Step]] &gt; current_step, "",Iterations[[#This Row],[a]]))</f>
        <v/>
      </c>
      <c r="H1508" s="2" t="str">
        <f>IF(Iterations[[#This Row],[Step]] =current_step, current_b,IF(Iterations[[#This Row],[Step]] &gt; current_step, "",Iterations[[#This Row],[b]]))</f>
        <v/>
      </c>
      <c r="I1508" s="2" t="str">
        <f>IF(Iterations[[#This Row],[Step]] =current_step, current_c,IF(Iterations[[#This Row],[Step]] &gt; current_step, "",Iterations[[#This Row],[c]]))</f>
        <v/>
      </c>
      <c r="J1508" s="2" t="str">
        <f>IF(Iterations[[#This Row],[Step]] =current_step, current_d,IF(Iterations[[#This Row],[Step]] &gt; current_step, "",Iterations[[#This Row],[d]]))</f>
        <v/>
      </c>
      <c r="K1508" s="2" t="str">
        <f>IF(Iterations[[#This Row],[Step]] =current_step, current_e,IF(Iterations[[#This Row],[Step]] &gt; current_step, "",Iterations[[#This Row],[e]]))</f>
        <v/>
      </c>
      <c r="L1508" s="2" t="str">
        <f>IF(Iterations[[#This Row],[Step]] =current_step, current_Total_Loss,IF(Iterations[[#This Row],[Step]] &gt; current_step, "",Iterations[[#This Row],[Total Loss]]))</f>
        <v/>
      </c>
      <c r="M1508" s="6" t="s">
        <v>27</v>
      </c>
      <c r="N1508" s="2" t="str">
        <f>IF(Iterations[[#This Row],[Step]] =current_step, current_Grad_a,IF(Iterations[[#This Row],[Step]] &gt; current_step, "",Iterations[[#This Row],[Grad_a]]))</f>
        <v/>
      </c>
      <c r="O1508" s="2" t="str">
        <f>IF(Iterations[[#This Row],[Step]] =current_step, current_Grad_b,IF(Iterations[[#This Row],[Step]] &gt; current_step, "",Iterations[[#This Row],[Grad_b]]))</f>
        <v/>
      </c>
      <c r="P1508" s="2" t="str">
        <f>IF(Iterations[[#This Row],[Step]] =current_step, current_Grad_c,IF(Iterations[[#This Row],[Step]] &gt; current_step, "",Iterations[[#This Row],[Grad_c]]))</f>
        <v/>
      </c>
      <c r="Q1508" s="2" t="str">
        <f>IF(Iterations[[#This Row],[Step]] =current_step, current_Grad_d,IF(Iterations[[#This Row],[Step]] &gt; current_step, "",Iterations[[#This Row],[Grad_d]]))</f>
        <v/>
      </c>
      <c r="R1508" s="2" t="str">
        <f>IF(Iterations[[#This Row],[Step]] =current_step, current_Grad_e,IF(Iterations[[#This Row],[Step]] &gt; current_step, "",Iterations[[#This Row],[Grad_e]]))</f>
        <v/>
      </c>
    </row>
    <row r="1509" spans="6:18" x14ac:dyDescent="0.3">
      <c r="F1509" s="2">
        <f t="shared" si="28"/>
        <v>1492</v>
      </c>
      <c r="G1509" s="2" t="str">
        <f>IF(Iterations[[#This Row],[Step]] =current_step, current_a,IF(Iterations[[#This Row],[Step]] &gt; current_step, "",Iterations[[#This Row],[a]]))</f>
        <v/>
      </c>
      <c r="H1509" s="2" t="str">
        <f>IF(Iterations[[#This Row],[Step]] =current_step, current_b,IF(Iterations[[#This Row],[Step]] &gt; current_step, "",Iterations[[#This Row],[b]]))</f>
        <v/>
      </c>
      <c r="I1509" s="2" t="str">
        <f>IF(Iterations[[#This Row],[Step]] =current_step, current_c,IF(Iterations[[#This Row],[Step]] &gt; current_step, "",Iterations[[#This Row],[c]]))</f>
        <v/>
      </c>
      <c r="J1509" s="2" t="str">
        <f>IF(Iterations[[#This Row],[Step]] =current_step, current_d,IF(Iterations[[#This Row],[Step]] &gt; current_step, "",Iterations[[#This Row],[d]]))</f>
        <v/>
      </c>
      <c r="K1509" s="2" t="str">
        <f>IF(Iterations[[#This Row],[Step]] =current_step, current_e,IF(Iterations[[#This Row],[Step]] &gt; current_step, "",Iterations[[#This Row],[e]]))</f>
        <v/>
      </c>
      <c r="L1509" s="2" t="str">
        <f>IF(Iterations[[#This Row],[Step]] =current_step, current_Total_Loss,IF(Iterations[[#This Row],[Step]] &gt; current_step, "",Iterations[[#This Row],[Total Loss]]))</f>
        <v/>
      </c>
      <c r="M1509" s="6" t="s">
        <v>27</v>
      </c>
      <c r="N1509" s="2" t="str">
        <f>IF(Iterations[[#This Row],[Step]] =current_step, current_Grad_a,IF(Iterations[[#This Row],[Step]] &gt; current_step, "",Iterations[[#This Row],[Grad_a]]))</f>
        <v/>
      </c>
      <c r="O1509" s="2" t="str">
        <f>IF(Iterations[[#This Row],[Step]] =current_step, current_Grad_b,IF(Iterations[[#This Row],[Step]] &gt; current_step, "",Iterations[[#This Row],[Grad_b]]))</f>
        <v/>
      </c>
      <c r="P1509" s="2" t="str">
        <f>IF(Iterations[[#This Row],[Step]] =current_step, current_Grad_c,IF(Iterations[[#This Row],[Step]] &gt; current_step, "",Iterations[[#This Row],[Grad_c]]))</f>
        <v/>
      </c>
      <c r="Q1509" s="2" t="str">
        <f>IF(Iterations[[#This Row],[Step]] =current_step, current_Grad_d,IF(Iterations[[#This Row],[Step]] &gt; current_step, "",Iterations[[#This Row],[Grad_d]]))</f>
        <v/>
      </c>
      <c r="R1509" s="2" t="str">
        <f>IF(Iterations[[#This Row],[Step]] =current_step, current_Grad_e,IF(Iterations[[#This Row],[Step]] &gt; current_step, "",Iterations[[#This Row],[Grad_e]]))</f>
        <v/>
      </c>
    </row>
    <row r="1510" spans="6:18" x14ac:dyDescent="0.3">
      <c r="F1510" s="2">
        <f t="shared" si="28"/>
        <v>1493</v>
      </c>
      <c r="G1510" s="2" t="str">
        <f>IF(Iterations[[#This Row],[Step]] =current_step, current_a,IF(Iterations[[#This Row],[Step]] &gt; current_step, "",Iterations[[#This Row],[a]]))</f>
        <v/>
      </c>
      <c r="H1510" s="2" t="str">
        <f>IF(Iterations[[#This Row],[Step]] =current_step, current_b,IF(Iterations[[#This Row],[Step]] &gt; current_step, "",Iterations[[#This Row],[b]]))</f>
        <v/>
      </c>
      <c r="I1510" s="2" t="str">
        <f>IF(Iterations[[#This Row],[Step]] =current_step, current_c,IF(Iterations[[#This Row],[Step]] &gt; current_step, "",Iterations[[#This Row],[c]]))</f>
        <v/>
      </c>
      <c r="J1510" s="2" t="str">
        <f>IF(Iterations[[#This Row],[Step]] =current_step, current_d,IF(Iterations[[#This Row],[Step]] &gt; current_step, "",Iterations[[#This Row],[d]]))</f>
        <v/>
      </c>
      <c r="K1510" s="2" t="str">
        <f>IF(Iterations[[#This Row],[Step]] =current_step, current_e,IF(Iterations[[#This Row],[Step]] &gt; current_step, "",Iterations[[#This Row],[e]]))</f>
        <v/>
      </c>
      <c r="L1510" s="2" t="str">
        <f>IF(Iterations[[#This Row],[Step]] =current_step, current_Total_Loss,IF(Iterations[[#This Row],[Step]] &gt; current_step, "",Iterations[[#This Row],[Total Loss]]))</f>
        <v/>
      </c>
      <c r="M1510" s="6" t="s">
        <v>27</v>
      </c>
      <c r="N1510" s="2" t="str">
        <f>IF(Iterations[[#This Row],[Step]] =current_step, current_Grad_a,IF(Iterations[[#This Row],[Step]] &gt; current_step, "",Iterations[[#This Row],[Grad_a]]))</f>
        <v/>
      </c>
      <c r="O1510" s="2" t="str">
        <f>IF(Iterations[[#This Row],[Step]] =current_step, current_Grad_b,IF(Iterations[[#This Row],[Step]] &gt; current_step, "",Iterations[[#This Row],[Grad_b]]))</f>
        <v/>
      </c>
      <c r="P1510" s="2" t="str">
        <f>IF(Iterations[[#This Row],[Step]] =current_step, current_Grad_c,IF(Iterations[[#This Row],[Step]] &gt; current_step, "",Iterations[[#This Row],[Grad_c]]))</f>
        <v/>
      </c>
      <c r="Q1510" s="2" t="str">
        <f>IF(Iterations[[#This Row],[Step]] =current_step, current_Grad_d,IF(Iterations[[#This Row],[Step]] &gt; current_step, "",Iterations[[#This Row],[Grad_d]]))</f>
        <v/>
      </c>
      <c r="R1510" s="2" t="str">
        <f>IF(Iterations[[#This Row],[Step]] =current_step, current_Grad_e,IF(Iterations[[#This Row],[Step]] &gt; current_step, "",Iterations[[#This Row],[Grad_e]]))</f>
        <v/>
      </c>
    </row>
    <row r="1511" spans="6:18" x14ac:dyDescent="0.3">
      <c r="F1511" s="2">
        <f t="shared" si="28"/>
        <v>1494</v>
      </c>
      <c r="G1511" s="2" t="str">
        <f>IF(Iterations[[#This Row],[Step]] =current_step, current_a,IF(Iterations[[#This Row],[Step]] &gt; current_step, "",Iterations[[#This Row],[a]]))</f>
        <v/>
      </c>
      <c r="H1511" s="2" t="str">
        <f>IF(Iterations[[#This Row],[Step]] =current_step, current_b,IF(Iterations[[#This Row],[Step]] &gt; current_step, "",Iterations[[#This Row],[b]]))</f>
        <v/>
      </c>
      <c r="I1511" s="2" t="str">
        <f>IF(Iterations[[#This Row],[Step]] =current_step, current_c,IF(Iterations[[#This Row],[Step]] &gt; current_step, "",Iterations[[#This Row],[c]]))</f>
        <v/>
      </c>
      <c r="J1511" s="2" t="str">
        <f>IF(Iterations[[#This Row],[Step]] =current_step, current_d,IF(Iterations[[#This Row],[Step]] &gt; current_step, "",Iterations[[#This Row],[d]]))</f>
        <v/>
      </c>
      <c r="K1511" s="2" t="str">
        <f>IF(Iterations[[#This Row],[Step]] =current_step, current_e,IF(Iterations[[#This Row],[Step]] &gt; current_step, "",Iterations[[#This Row],[e]]))</f>
        <v/>
      </c>
      <c r="L1511" s="2" t="str">
        <f>IF(Iterations[[#This Row],[Step]] =current_step, current_Total_Loss,IF(Iterations[[#This Row],[Step]] &gt; current_step, "",Iterations[[#This Row],[Total Loss]]))</f>
        <v/>
      </c>
      <c r="M1511" s="6" t="s">
        <v>27</v>
      </c>
      <c r="N1511" s="2" t="str">
        <f>IF(Iterations[[#This Row],[Step]] =current_step, current_Grad_a,IF(Iterations[[#This Row],[Step]] &gt; current_step, "",Iterations[[#This Row],[Grad_a]]))</f>
        <v/>
      </c>
      <c r="O1511" s="2" t="str">
        <f>IF(Iterations[[#This Row],[Step]] =current_step, current_Grad_b,IF(Iterations[[#This Row],[Step]] &gt; current_step, "",Iterations[[#This Row],[Grad_b]]))</f>
        <v/>
      </c>
      <c r="P1511" s="2" t="str">
        <f>IF(Iterations[[#This Row],[Step]] =current_step, current_Grad_c,IF(Iterations[[#This Row],[Step]] &gt; current_step, "",Iterations[[#This Row],[Grad_c]]))</f>
        <v/>
      </c>
      <c r="Q1511" s="2" t="str">
        <f>IF(Iterations[[#This Row],[Step]] =current_step, current_Grad_d,IF(Iterations[[#This Row],[Step]] &gt; current_step, "",Iterations[[#This Row],[Grad_d]]))</f>
        <v/>
      </c>
      <c r="R1511" s="2" t="str">
        <f>IF(Iterations[[#This Row],[Step]] =current_step, current_Grad_e,IF(Iterations[[#This Row],[Step]] &gt; current_step, "",Iterations[[#This Row],[Grad_e]]))</f>
        <v/>
      </c>
    </row>
    <row r="1512" spans="6:18" x14ac:dyDescent="0.3">
      <c r="F1512" s="2">
        <f t="shared" si="28"/>
        <v>1495</v>
      </c>
      <c r="G1512" s="2" t="str">
        <f>IF(Iterations[[#This Row],[Step]] =current_step, current_a,IF(Iterations[[#This Row],[Step]] &gt; current_step, "",Iterations[[#This Row],[a]]))</f>
        <v/>
      </c>
      <c r="H1512" s="2" t="str">
        <f>IF(Iterations[[#This Row],[Step]] =current_step, current_b,IF(Iterations[[#This Row],[Step]] &gt; current_step, "",Iterations[[#This Row],[b]]))</f>
        <v/>
      </c>
      <c r="I1512" s="2" t="str">
        <f>IF(Iterations[[#This Row],[Step]] =current_step, current_c,IF(Iterations[[#This Row],[Step]] &gt; current_step, "",Iterations[[#This Row],[c]]))</f>
        <v/>
      </c>
      <c r="J1512" s="2" t="str">
        <f>IF(Iterations[[#This Row],[Step]] =current_step, current_d,IF(Iterations[[#This Row],[Step]] &gt; current_step, "",Iterations[[#This Row],[d]]))</f>
        <v/>
      </c>
      <c r="K1512" s="2" t="str">
        <f>IF(Iterations[[#This Row],[Step]] =current_step, current_e,IF(Iterations[[#This Row],[Step]] &gt; current_step, "",Iterations[[#This Row],[e]]))</f>
        <v/>
      </c>
      <c r="L1512" s="2" t="str">
        <f>IF(Iterations[[#This Row],[Step]] =current_step, current_Total_Loss,IF(Iterations[[#This Row],[Step]] &gt; current_step, "",Iterations[[#This Row],[Total Loss]]))</f>
        <v/>
      </c>
      <c r="M1512" s="6" t="s">
        <v>27</v>
      </c>
      <c r="N1512" s="2" t="str">
        <f>IF(Iterations[[#This Row],[Step]] =current_step, current_Grad_a,IF(Iterations[[#This Row],[Step]] &gt; current_step, "",Iterations[[#This Row],[Grad_a]]))</f>
        <v/>
      </c>
      <c r="O1512" s="2" t="str">
        <f>IF(Iterations[[#This Row],[Step]] =current_step, current_Grad_b,IF(Iterations[[#This Row],[Step]] &gt; current_step, "",Iterations[[#This Row],[Grad_b]]))</f>
        <v/>
      </c>
      <c r="P1512" s="2" t="str">
        <f>IF(Iterations[[#This Row],[Step]] =current_step, current_Grad_c,IF(Iterations[[#This Row],[Step]] &gt; current_step, "",Iterations[[#This Row],[Grad_c]]))</f>
        <v/>
      </c>
      <c r="Q1512" s="2" t="str">
        <f>IF(Iterations[[#This Row],[Step]] =current_step, current_Grad_d,IF(Iterations[[#This Row],[Step]] &gt; current_step, "",Iterations[[#This Row],[Grad_d]]))</f>
        <v/>
      </c>
      <c r="R1512" s="2" t="str">
        <f>IF(Iterations[[#This Row],[Step]] =current_step, current_Grad_e,IF(Iterations[[#This Row],[Step]] &gt; current_step, "",Iterations[[#This Row],[Grad_e]]))</f>
        <v/>
      </c>
    </row>
    <row r="1513" spans="6:18" x14ac:dyDescent="0.3">
      <c r="F1513" s="2">
        <f t="shared" si="28"/>
        <v>1496</v>
      </c>
      <c r="G1513" s="2" t="str">
        <f>IF(Iterations[[#This Row],[Step]] =current_step, current_a,IF(Iterations[[#This Row],[Step]] &gt; current_step, "",Iterations[[#This Row],[a]]))</f>
        <v/>
      </c>
      <c r="H1513" s="2" t="str">
        <f>IF(Iterations[[#This Row],[Step]] =current_step, current_b,IF(Iterations[[#This Row],[Step]] &gt; current_step, "",Iterations[[#This Row],[b]]))</f>
        <v/>
      </c>
      <c r="I1513" s="2" t="str">
        <f>IF(Iterations[[#This Row],[Step]] =current_step, current_c,IF(Iterations[[#This Row],[Step]] &gt; current_step, "",Iterations[[#This Row],[c]]))</f>
        <v/>
      </c>
      <c r="J1513" s="2" t="str">
        <f>IF(Iterations[[#This Row],[Step]] =current_step, current_d,IF(Iterations[[#This Row],[Step]] &gt; current_step, "",Iterations[[#This Row],[d]]))</f>
        <v/>
      </c>
      <c r="K1513" s="2" t="str">
        <f>IF(Iterations[[#This Row],[Step]] =current_step, current_e,IF(Iterations[[#This Row],[Step]] &gt; current_step, "",Iterations[[#This Row],[e]]))</f>
        <v/>
      </c>
      <c r="L1513" s="2" t="str">
        <f>IF(Iterations[[#This Row],[Step]] =current_step, current_Total_Loss,IF(Iterations[[#This Row],[Step]] &gt; current_step, "",Iterations[[#This Row],[Total Loss]]))</f>
        <v/>
      </c>
      <c r="M1513" s="6" t="s">
        <v>27</v>
      </c>
      <c r="N1513" s="2" t="str">
        <f>IF(Iterations[[#This Row],[Step]] =current_step, current_Grad_a,IF(Iterations[[#This Row],[Step]] &gt; current_step, "",Iterations[[#This Row],[Grad_a]]))</f>
        <v/>
      </c>
      <c r="O1513" s="2" t="str">
        <f>IF(Iterations[[#This Row],[Step]] =current_step, current_Grad_b,IF(Iterations[[#This Row],[Step]] &gt; current_step, "",Iterations[[#This Row],[Grad_b]]))</f>
        <v/>
      </c>
      <c r="P1513" s="2" t="str">
        <f>IF(Iterations[[#This Row],[Step]] =current_step, current_Grad_c,IF(Iterations[[#This Row],[Step]] &gt; current_step, "",Iterations[[#This Row],[Grad_c]]))</f>
        <v/>
      </c>
      <c r="Q1513" s="2" t="str">
        <f>IF(Iterations[[#This Row],[Step]] =current_step, current_Grad_d,IF(Iterations[[#This Row],[Step]] &gt; current_step, "",Iterations[[#This Row],[Grad_d]]))</f>
        <v/>
      </c>
      <c r="R1513" s="2" t="str">
        <f>IF(Iterations[[#This Row],[Step]] =current_step, current_Grad_e,IF(Iterations[[#This Row],[Step]] &gt; current_step, "",Iterations[[#This Row],[Grad_e]]))</f>
        <v/>
      </c>
    </row>
    <row r="1514" spans="6:18" x14ac:dyDescent="0.3">
      <c r="F1514" s="2">
        <f t="shared" si="28"/>
        <v>1497</v>
      </c>
      <c r="G1514" s="2" t="str">
        <f>IF(Iterations[[#This Row],[Step]] =current_step, current_a,IF(Iterations[[#This Row],[Step]] &gt; current_step, "",Iterations[[#This Row],[a]]))</f>
        <v/>
      </c>
      <c r="H1514" s="2" t="str">
        <f>IF(Iterations[[#This Row],[Step]] =current_step, current_b,IF(Iterations[[#This Row],[Step]] &gt; current_step, "",Iterations[[#This Row],[b]]))</f>
        <v/>
      </c>
      <c r="I1514" s="2" t="str">
        <f>IF(Iterations[[#This Row],[Step]] =current_step, current_c,IF(Iterations[[#This Row],[Step]] &gt; current_step, "",Iterations[[#This Row],[c]]))</f>
        <v/>
      </c>
      <c r="J1514" s="2" t="str">
        <f>IF(Iterations[[#This Row],[Step]] =current_step, current_d,IF(Iterations[[#This Row],[Step]] &gt; current_step, "",Iterations[[#This Row],[d]]))</f>
        <v/>
      </c>
      <c r="K1514" s="2" t="str">
        <f>IF(Iterations[[#This Row],[Step]] =current_step, current_e,IF(Iterations[[#This Row],[Step]] &gt; current_step, "",Iterations[[#This Row],[e]]))</f>
        <v/>
      </c>
      <c r="L1514" s="2" t="str">
        <f>IF(Iterations[[#This Row],[Step]] =current_step, current_Total_Loss,IF(Iterations[[#This Row],[Step]] &gt; current_step, "",Iterations[[#This Row],[Total Loss]]))</f>
        <v/>
      </c>
      <c r="M1514" s="6" t="s">
        <v>27</v>
      </c>
      <c r="N1514" s="2" t="str">
        <f>IF(Iterations[[#This Row],[Step]] =current_step, current_Grad_a,IF(Iterations[[#This Row],[Step]] &gt; current_step, "",Iterations[[#This Row],[Grad_a]]))</f>
        <v/>
      </c>
      <c r="O1514" s="2" t="str">
        <f>IF(Iterations[[#This Row],[Step]] =current_step, current_Grad_b,IF(Iterations[[#This Row],[Step]] &gt; current_step, "",Iterations[[#This Row],[Grad_b]]))</f>
        <v/>
      </c>
      <c r="P1514" s="2" t="str">
        <f>IF(Iterations[[#This Row],[Step]] =current_step, current_Grad_c,IF(Iterations[[#This Row],[Step]] &gt; current_step, "",Iterations[[#This Row],[Grad_c]]))</f>
        <v/>
      </c>
      <c r="Q1514" s="2" t="str">
        <f>IF(Iterations[[#This Row],[Step]] =current_step, current_Grad_d,IF(Iterations[[#This Row],[Step]] &gt; current_step, "",Iterations[[#This Row],[Grad_d]]))</f>
        <v/>
      </c>
      <c r="R1514" s="2" t="str">
        <f>IF(Iterations[[#This Row],[Step]] =current_step, current_Grad_e,IF(Iterations[[#This Row],[Step]] &gt; current_step, "",Iterations[[#This Row],[Grad_e]]))</f>
        <v/>
      </c>
    </row>
    <row r="1515" spans="6:18" x14ac:dyDescent="0.3">
      <c r="F1515" s="2">
        <f t="shared" si="28"/>
        <v>1498</v>
      </c>
      <c r="G1515" s="2" t="str">
        <f>IF(Iterations[[#This Row],[Step]] =current_step, current_a,IF(Iterations[[#This Row],[Step]] &gt; current_step, "",Iterations[[#This Row],[a]]))</f>
        <v/>
      </c>
      <c r="H1515" s="2" t="str">
        <f>IF(Iterations[[#This Row],[Step]] =current_step, current_b,IF(Iterations[[#This Row],[Step]] &gt; current_step, "",Iterations[[#This Row],[b]]))</f>
        <v/>
      </c>
      <c r="I1515" s="2" t="str">
        <f>IF(Iterations[[#This Row],[Step]] =current_step, current_c,IF(Iterations[[#This Row],[Step]] &gt; current_step, "",Iterations[[#This Row],[c]]))</f>
        <v/>
      </c>
      <c r="J1515" s="2" t="str">
        <f>IF(Iterations[[#This Row],[Step]] =current_step, current_d,IF(Iterations[[#This Row],[Step]] &gt; current_step, "",Iterations[[#This Row],[d]]))</f>
        <v/>
      </c>
      <c r="K1515" s="2" t="str">
        <f>IF(Iterations[[#This Row],[Step]] =current_step, current_e,IF(Iterations[[#This Row],[Step]] &gt; current_step, "",Iterations[[#This Row],[e]]))</f>
        <v/>
      </c>
      <c r="L1515" s="2" t="str">
        <f>IF(Iterations[[#This Row],[Step]] =current_step, current_Total_Loss,IF(Iterations[[#This Row],[Step]] &gt; current_step, "",Iterations[[#This Row],[Total Loss]]))</f>
        <v/>
      </c>
      <c r="M1515" s="6" t="s">
        <v>27</v>
      </c>
      <c r="N1515" s="2" t="str">
        <f>IF(Iterations[[#This Row],[Step]] =current_step, current_Grad_a,IF(Iterations[[#This Row],[Step]] &gt; current_step, "",Iterations[[#This Row],[Grad_a]]))</f>
        <v/>
      </c>
      <c r="O1515" s="2" t="str">
        <f>IF(Iterations[[#This Row],[Step]] =current_step, current_Grad_b,IF(Iterations[[#This Row],[Step]] &gt; current_step, "",Iterations[[#This Row],[Grad_b]]))</f>
        <v/>
      </c>
      <c r="P1515" s="2" t="str">
        <f>IF(Iterations[[#This Row],[Step]] =current_step, current_Grad_c,IF(Iterations[[#This Row],[Step]] &gt; current_step, "",Iterations[[#This Row],[Grad_c]]))</f>
        <v/>
      </c>
      <c r="Q1515" s="2" t="str">
        <f>IF(Iterations[[#This Row],[Step]] =current_step, current_Grad_d,IF(Iterations[[#This Row],[Step]] &gt; current_step, "",Iterations[[#This Row],[Grad_d]]))</f>
        <v/>
      </c>
      <c r="R1515" s="2" t="str">
        <f>IF(Iterations[[#This Row],[Step]] =current_step, current_Grad_e,IF(Iterations[[#This Row],[Step]] &gt; current_step, "",Iterations[[#This Row],[Grad_e]]))</f>
        <v/>
      </c>
    </row>
    <row r="1516" spans="6:18" x14ac:dyDescent="0.3">
      <c r="F1516" s="2">
        <f t="shared" si="28"/>
        <v>1499</v>
      </c>
      <c r="G1516" s="2" t="str">
        <f>IF(Iterations[[#This Row],[Step]] =current_step, current_a,IF(Iterations[[#This Row],[Step]] &gt; current_step, "",Iterations[[#This Row],[a]]))</f>
        <v/>
      </c>
      <c r="H1516" s="2" t="str">
        <f>IF(Iterations[[#This Row],[Step]] =current_step, current_b,IF(Iterations[[#This Row],[Step]] &gt; current_step, "",Iterations[[#This Row],[b]]))</f>
        <v/>
      </c>
      <c r="I1516" s="2" t="str">
        <f>IF(Iterations[[#This Row],[Step]] =current_step, current_c,IF(Iterations[[#This Row],[Step]] &gt; current_step, "",Iterations[[#This Row],[c]]))</f>
        <v/>
      </c>
      <c r="J1516" s="2" t="str">
        <f>IF(Iterations[[#This Row],[Step]] =current_step, current_d,IF(Iterations[[#This Row],[Step]] &gt; current_step, "",Iterations[[#This Row],[d]]))</f>
        <v/>
      </c>
      <c r="K1516" s="2" t="str">
        <f>IF(Iterations[[#This Row],[Step]] =current_step, current_e,IF(Iterations[[#This Row],[Step]] &gt; current_step, "",Iterations[[#This Row],[e]]))</f>
        <v/>
      </c>
      <c r="L1516" s="2" t="str">
        <f>IF(Iterations[[#This Row],[Step]] =current_step, current_Total_Loss,IF(Iterations[[#This Row],[Step]] &gt; current_step, "",Iterations[[#This Row],[Total Loss]]))</f>
        <v/>
      </c>
      <c r="M1516" s="6" t="s">
        <v>27</v>
      </c>
      <c r="N1516" s="2" t="str">
        <f>IF(Iterations[[#This Row],[Step]] =current_step, current_Grad_a,IF(Iterations[[#This Row],[Step]] &gt; current_step, "",Iterations[[#This Row],[Grad_a]]))</f>
        <v/>
      </c>
      <c r="O1516" s="2" t="str">
        <f>IF(Iterations[[#This Row],[Step]] =current_step, current_Grad_b,IF(Iterations[[#This Row],[Step]] &gt; current_step, "",Iterations[[#This Row],[Grad_b]]))</f>
        <v/>
      </c>
      <c r="P1516" s="2" t="str">
        <f>IF(Iterations[[#This Row],[Step]] =current_step, current_Grad_c,IF(Iterations[[#This Row],[Step]] &gt; current_step, "",Iterations[[#This Row],[Grad_c]]))</f>
        <v/>
      </c>
      <c r="Q1516" s="2" t="str">
        <f>IF(Iterations[[#This Row],[Step]] =current_step, current_Grad_d,IF(Iterations[[#This Row],[Step]] &gt; current_step, "",Iterations[[#This Row],[Grad_d]]))</f>
        <v/>
      </c>
      <c r="R1516" s="2" t="str">
        <f>IF(Iterations[[#This Row],[Step]] =current_step, current_Grad_e,IF(Iterations[[#This Row],[Step]] &gt; current_step, "",Iterations[[#This Row],[Grad_e]]))</f>
        <v/>
      </c>
    </row>
    <row r="1517" spans="6:18" x14ac:dyDescent="0.3">
      <c r="F1517" s="2">
        <f t="shared" si="28"/>
        <v>1500</v>
      </c>
      <c r="G1517" s="2" t="str">
        <f>IF(Iterations[[#This Row],[Step]] =current_step, current_a,IF(Iterations[[#This Row],[Step]] &gt; current_step, "",Iterations[[#This Row],[a]]))</f>
        <v/>
      </c>
      <c r="H1517" s="2" t="str">
        <f>IF(Iterations[[#This Row],[Step]] =current_step, current_b,IF(Iterations[[#This Row],[Step]] &gt; current_step, "",Iterations[[#This Row],[b]]))</f>
        <v/>
      </c>
      <c r="I1517" s="2" t="str">
        <f>IF(Iterations[[#This Row],[Step]] =current_step, current_c,IF(Iterations[[#This Row],[Step]] &gt; current_step, "",Iterations[[#This Row],[c]]))</f>
        <v/>
      </c>
      <c r="J1517" s="2" t="str">
        <f>IF(Iterations[[#This Row],[Step]] =current_step, current_d,IF(Iterations[[#This Row],[Step]] &gt; current_step, "",Iterations[[#This Row],[d]]))</f>
        <v/>
      </c>
      <c r="K1517" s="2" t="str">
        <f>IF(Iterations[[#This Row],[Step]] =current_step, current_e,IF(Iterations[[#This Row],[Step]] &gt; current_step, "",Iterations[[#This Row],[e]]))</f>
        <v/>
      </c>
      <c r="L1517" s="2" t="str">
        <f>IF(Iterations[[#This Row],[Step]] =current_step, current_Total_Loss,IF(Iterations[[#This Row],[Step]] &gt; current_step, "",Iterations[[#This Row],[Total Loss]]))</f>
        <v/>
      </c>
      <c r="M1517" s="6" t="s">
        <v>27</v>
      </c>
      <c r="N1517" s="2" t="str">
        <f>IF(Iterations[[#This Row],[Step]] =current_step, current_Grad_a,IF(Iterations[[#This Row],[Step]] &gt; current_step, "",Iterations[[#This Row],[Grad_a]]))</f>
        <v/>
      </c>
      <c r="O1517" s="2" t="str">
        <f>IF(Iterations[[#This Row],[Step]] =current_step, current_Grad_b,IF(Iterations[[#This Row],[Step]] &gt; current_step, "",Iterations[[#This Row],[Grad_b]]))</f>
        <v/>
      </c>
      <c r="P1517" s="2" t="str">
        <f>IF(Iterations[[#This Row],[Step]] =current_step, current_Grad_c,IF(Iterations[[#This Row],[Step]] &gt; current_step, "",Iterations[[#This Row],[Grad_c]]))</f>
        <v/>
      </c>
      <c r="Q1517" s="2" t="str">
        <f>IF(Iterations[[#This Row],[Step]] =current_step, current_Grad_d,IF(Iterations[[#This Row],[Step]] &gt; current_step, "",Iterations[[#This Row],[Grad_d]]))</f>
        <v/>
      </c>
      <c r="R1517" s="2" t="str">
        <f>IF(Iterations[[#This Row],[Step]] =current_step, current_Grad_e,IF(Iterations[[#This Row],[Step]] &gt; current_step, "",Iterations[[#This Row],[Grad_e]]))</f>
        <v/>
      </c>
    </row>
    <row r="1518" spans="6:18" x14ac:dyDescent="0.3">
      <c r="F1518" s="2">
        <f t="shared" si="28"/>
        <v>1501</v>
      </c>
      <c r="G1518" s="2" t="str">
        <f>IF(Iterations[[#This Row],[Step]] =current_step, current_a,IF(Iterations[[#This Row],[Step]] &gt; current_step, "",Iterations[[#This Row],[a]]))</f>
        <v/>
      </c>
      <c r="H1518" s="2" t="str">
        <f>IF(Iterations[[#This Row],[Step]] =current_step, current_b,IF(Iterations[[#This Row],[Step]] &gt; current_step, "",Iterations[[#This Row],[b]]))</f>
        <v/>
      </c>
      <c r="I1518" s="2" t="str">
        <f>IF(Iterations[[#This Row],[Step]] =current_step, current_c,IF(Iterations[[#This Row],[Step]] &gt; current_step, "",Iterations[[#This Row],[c]]))</f>
        <v/>
      </c>
      <c r="J1518" s="2" t="str">
        <f>IF(Iterations[[#This Row],[Step]] =current_step, current_d,IF(Iterations[[#This Row],[Step]] &gt; current_step, "",Iterations[[#This Row],[d]]))</f>
        <v/>
      </c>
      <c r="K1518" s="2" t="str">
        <f>IF(Iterations[[#This Row],[Step]] =current_step, current_e,IF(Iterations[[#This Row],[Step]] &gt; current_step, "",Iterations[[#This Row],[e]]))</f>
        <v/>
      </c>
      <c r="L1518" s="2" t="str">
        <f>IF(Iterations[[#This Row],[Step]] =current_step, current_Total_Loss,IF(Iterations[[#This Row],[Step]] &gt; current_step, "",Iterations[[#This Row],[Total Loss]]))</f>
        <v/>
      </c>
      <c r="M1518" s="6" t="s">
        <v>27</v>
      </c>
      <c r="N1518" s="2" t="str">
        <f>IF(Iterations[[#This Row],[Step]] =current_step, current_Grad_a,IF(Iterations[[#This Row],[Step]] &gt; current_step, "",Iterations[[#This Row],[Grad_a]]))</f>
        <v/>
      </c>
      <c r="O1518" s="2" t="str">
        <f>IF(Iterations[[#This Row],[Step]] =current_step, current_Grad_b,IF(Iterations[[#This Row],[Step]] &gt; current_step, "",Iterations[[#This Row],[Grad_b]]))</f>
        <v/>
      </c>
      <c r="P1518" s="2" t="str">
        <f>IF(Iterations[[#This Row],[Step]] =current_step, current_Grad_c,IF(Iterations[[#This Row],[Step]] &gt; current_step, "",Iterations[[#This Row],[Grad_c]]))</f>
        <v/>
      </c>
      <c r="Q1518" s="2" t="str">
        <f>IF(Iterations[[#This Row],[Step]] =current_step, current_Grad_d,IF(Iterations[[#This Row],[Step]] &gt; current_step, "",Iterations[[#This Row],[Grad_d]]))</f>
        <v/>
      </c>
      <c r="R1518" s="2" t="str">
        <f>IF(Iterations[[#This Row],[Step]] =current_step, current_Grad_e,IF(Iterations[[#This Row],[Step]] &gt; current_step, "",Iterations[[#This Row],[Grad_e]]))</f>
        <v/>
      </c>
    </row>
    <row r="1519" spans="6:18" x14ac:dyDescent="0.3">
      <c r="F1519" s="2">
        <f t="shared" si="28"/>
        <v>1502</v>
      </c>
      <c r="G1519" s="2" t="str">
        <f>IF(Iterations[[#This Row],[Step]] =current_step, current_a,IF(Iterations[[#This Row],[Step]] &gt; current_step, "",Iterations[[#This Row],[a]]))</f>
        <v/>
      </c>
      <c r="H1519" s="2" t="str">
        <f>IF(Iterations[[#This Row],[Step]] =current_step, current_b,IF(Iterations[[#This Row],[Step]] &gt; current_step, "",Iterations[[#This Row],[b]]))</f>
        <v/>
      </c>
      <c r="I1519" s="2" t="str">
        <f>IF(Iterations[[#This Row],[Step]] =current_step, current_c,IF(Iterations[[#This Row],[Step]] &gt; current_step, "",Iterations[[#This Row],[c]]))</f>
        <v/>
      </c>
      <c r="J1519" s="2" t="str">
        <f>IF(Iterations[[#This Row],[Step]] =current_step, current_d,IF(Iterations[[#This Row],[Step]] &gt; current_step, "",Iterations[[#This Row],[d]]))</f>
        <v/>
      </c>
      <c r="K1519" s="2" t="str">
        <f>IF(Iterations[[#This Row],[Step]] =current_step, current_e,IF(Iterations[[#This Row],[Step]] &gt; current_step, "",Iterations[[#This Row],[e]]))</f>
        <v/>
      </c>
      <c r="L1519" s="2" t="str">
        <f>IF(Iterations[[#This Row],[Step]] =current_step, current_Total_Loss,IF(Iterations[[#This Row],[Step]] &gt; current_step, "",Iterations[[#This Row],[Total Loss]]))</f>
        <v/>
      </c>
      <c r="M1519" s="6" t="s">
        <v>27</v>
      </c>
      <c r="N1519" s="2" t="str">
        <f>IF(Iterations[[#This Row],[Step]] =current_step, current_Grad_a,IF(Iterations[[#This Row],[Step]] &gt; current_step, "",Iterations[[#This Row],[Grad_a]]))</f>
        <v/>
      </c>
      <c r="O1519" s="2" t="str">
        <f>IF(Iterations[[#This Row],[Step]] =current_step, current_Grad_b,IF(Iterations[[#This Row],[Step]] &gt; current_step, "",Iterations[[#This Row],[Grad_b]]))</f>
        <v/>
      </c>
      <c r="P1519" s="2" t="str">
        <f>IF(Iterations[[#This Row],[Step]] =current_step, current_Grad_c,IF(Iterations[[#This Row],[Step]] &gt; current_step, "",Iterations[[#This Row],[Grad_c]]))</f>
        <v/>
      </c>
      <c r="Q1519" s="2" t="str">
        <f>IF(Iterations[[#This Row],[Step]] =current_step, current_Grad_d,IF(Iterations[[#This Row],[Step]] &gt; current_step, "",Iterations[[#This Row],[Grad_d]]))</f>
        <v/>
      </c>
      <c r="R1519" s="2" t="str">
        <f>IF(Iterations[[#This Row],[Step]] =current_step, current_Grad_e,IF(Iterations[[#This Row],[Step]] &gt; current_step, "",Iterations[[#This Row],[Grad_e]]))</f>
        <v/>
      </c>
    </row>
    <row r="1520" spans="6:18" x14ac:dyDescent="0.3">
      <c r="F1520" s="2">
        <f t="shared" si="28"/>
        <v>1503</v>
      </c>
      <c r="G1520" s="2" t="str">
        <f>IF(Iterations[[#This Row],[Step]] =current_step, current_a,IF(Iterations[[#This Row],[Step]] &gt; current_step, "",Iterations[[#This Row],[a]]))</f>
        <v/>
      </c>
      <c r="H1520" s="2" t="str">
        <f>IF(Iterations[[#This Row],[Step]] =current_step, current_b,IF(Iterations[[#This Row],[Step]] &gt; current_step, "",Iterations[[#This Row],[b]]))</f>
        <v/>
      </c>
      <c r="I1520" s="2" t="str">
        <f>IF(Iterations[[#This Row],[Step]] =current_step, current_c,IF(Iterations[[#This Row],[Step]] &gt; current_step, "",Iterations[[#This Row],[c]]))</f>
        <v/>
      </c>
      <c r="J1520" s="2" t="str">
        <f>IF(Iterations[[#This Row],[Step]] =current_step, current_d,IF(Iterations[[#This Row],[Step]] &gt; current_step, "",Iterations[[#This Row],[d]]))</f>
        <v/>
      </c>
      <c r="K1520" s="2" t="str">
        <f>IF(Iterations[[#This Row],[Step]] =current_step, current_e,IF(Iterations[[#This Row],[Step]] &gt; current_step, "",Iterations[[#This Row],[e]]))</f>
        <v/>
      </c>
      <c r="L1520" s="2" t="str">
        <f>IF(Iterations[[#This Row],[Step]] =current_step, current_Total_Loss,IF(Iterations[[#This Row],[Step]] &gt; current_step, "",Iterations[[#This Row],[Total Loss]]))</f>
        <v/>
      </c>
      <c r="M1520" s="6" t="s">
        <v>27</v>
      </c>
      <c r="N1520" s="2" t="str">
        <f>IF(Iterations[[#This Row],[Step]] =current_step, current_Grad_a,IF(Iterations[[#This Row],[Step]] &gt; current_step, "",Iterations[[#This Row],[Grad_a]]))</f>
        <v/>
      </c>
      <c r="O1520" s="2" t="str">
        <f>IF(Iterations[[#This Row],[Step]] =current_step, current_Grad_b,IF(Iterations[[#This Row],[Step]] &gt; current_step, "",Iterations[[#This Row],[Grad_b]]))</f>
        <v/>
      </c>
      <c r="P1520" s="2" t="str">
        <f>IF(Iterations[[#This Row],[Step]] =current_step, current_Grad_c,IF(Iterations[[#This Row],[Step]] &gt; current_step, "",Iterations[[#This Row],[Grad_c]]))</f>
        <v/>
      </c>
      <c r="Q1520" s="2" t="str">
        <f>IF(Iterations[[#This Row],[Step]] =current_step, current_Grad_d,IF(Iterations[[#This Row],[Step]] &gt; current_step, "",Iterations[[#This Row],[Grad_d]]))</f>
        <v/>
      </c>
      <c r="R1520" s="2" t="str">
        <f>IF(Iterations[[#This Row],[Step]] =current_step, current_Grad_e,IF(Iterations[[#This Row],[Step]] &gt; current_step, "",Iterations[[#This Row],[Grad_e]]))</f>
        <v/>
      </c>
    </row>
    <row r="1521" spans="6:18" x14ac:dyDescent="0.3">
      <c r="F1521" s="2">
        <f t="shared" si="28"/>
        <v>1504</v>
      </c>
      <c r="G1521" s="2" t="str">
        <f>IF(Iterations[[#This Row],[Step]] =current_step, current_a,IF(Iterations[[#This Row],[Step]] &gt; current_step, "",Iterations[[#This Row],[a]]))</f>
        <v/>
      </c>
      <c r="H1521" s="2" t="str">
        <f>IF(Iterations[[#This Row],[Step]] =current_step, current_b,IF(Iterations[[#This Row],[Step]] &gt; current_step, "",Iterations[[#This Row],[b]]))</f>
        <v/>
      </c>
      <c r="I1521" s="2" t="str">
        <f>IF(Iterations[[#This Row],[Step]] =current_step, current_c,IF(Iterations[[#This Row],[Step]] &gt; current_step, "",Iterations[[#This Row],[c]]))</f>
        <v/>
      </c>
      <c r="J1521" s="2" t="str">
        <f>IF(Iterations[[#This Row],[Step]] =current_step, current_d,IF(Iterations[[#This Row],[Step]] &gt; current_step, "",Iterations[[#This Row],[d]]))</f>
        <v/>
      </c>
      <c r="K1521" s="2" t="str">
        <f>IF(Iterations[[#This Row],[Step]] =current_step, current_e,IF(Iterations[[#This Row],[Step]] &gt; current_step, "",Iterations[[#This Row],[e]]))</f>
        <v/>
      </c>
      <c r="L1521" s="2" t="str">
        <f>IF(Iterations[[#This Row],[Step]] =current_step, current_Total_Loss,IF(Iterations[[#This Row],[Step]] &gt; current_step, "",Iterations[[#This Row],[Total Loss]]))</f>
        <v/>
      </c>
      <c r="M1521" s="6" t="s">
        <v>27</v>
      </c>
      <c r="N1521" s="2" t="str">
        <f>IF(Iterations[[#This Row],[Step]] =current_step, current_Grad_a,IF(Iterations[[#This Row],[Step]] &gt; current_step, "",Iterations[[#This Row],[Grad_a]]))</f>
        <v/>
      </c>
      <c r="O1521" s="2" t="str">
        <f>IF(Iterations[[#This Row],[Step]] =current_step, current_Grad_b,IF(Iterations[[#This Row],[Step]] &gt; current_step, "",Iterations[[#This Row],[Grad_b]]))</f>
        <v/>
      </c>
      <c r="P1521" s="2" t="str">
        <f>IF(Iterations[[#This Row],[Step]] =current_step, current_Grad_c,IF(Iterations[[#This Row],[Step]] &gt; current_step, "",Iterations[[#This Row],[Grad_c]]))</f>
        <v/>
      </c>
      <c r="Q1521" s="2" t="str">
        <f>IF(Iterations[[#This Row],[Step]] =current_step, current_Grad_d,IF(Iterations[[#This Row],[Step]] &gt; current_step, "",Iterations[[#This Row],[Grad_d]]))</f>
        <v/>
      </c>
      <c r="R1521" s="2" t="str">
        <f>IF(Iterations[[#This Row],[Step]] =current_step, current_Grad_e,IF(Iterations[[#This Row],[Step]] &gt; current_step, "",Iterations[[#This Row],[Grad_e]]))</f>
        <v/>
      </c>
    </row>
    <row r="1522" spans="6:18" x14ac:dyDescent="0.3">
      <c r="F1522" s="2">
        <f t="shared" si="28"/>
        <v>1505</v>
      </c>
      <c r="G1522" s="2" t="str">
        <f>IF(Iterations[[#This Row],[Step]] =current_step, current_a,IF(Iterations[[#This Row],[Step]] &gt; current_step, "",Iterations[[#This Row],[a]]))</f>
        <v/>
      </c>
      <c r="H1522" s="2" t="str">
        <f>IF(Iterations[[#This Row],[Step]] =current_step, current_b,IF(Iterations[[#This Row],[Step]] &gt; current_step, "",Iterations[[#This Row],[b]]))</f>
        <v/>
      </c>
      <c r="I1522" s="2" t="str">
        <f>IF(Iterations[[#This Row],[Step]] =current_step, current_c,IF(Iterations[[#This Row],[Step]] &gt; current_step, "",Iterations[[#This Row],[c]]))</f>
        <v/>
      </c>
      <c r="J1522" s="2" t="str">
        <f>IF(Iterations[[#This Row],[Step]] =current_step, current_d,IF(Iterations[[#This Row],[Step]] &gt; current_step, "",Iterations[[#This Row],[d]]))</f>
        <v/>
      </c>
      <c r="K1522" s="2" t="str">
        <f>IF(Iterations[[#This Row],[Step]] =current_step, current_e,IF(Iterations[[#This Row],[Step]] &gt; current_step, "",Iterations[[#This Row],[e]]))</f>
        <v/>
      </c>
      <c r="L1522" s="2" t="str">
        <f>IF(Iterations[[#This Row],[Step]] =current_step, current_Total_Loss,IF(Iterations[[#This Row],[Step]] &gt; current_step, "",Iterations[[#This Row],[Total Loss]]))</f>
        <v/>
      </c>
      <c r="M1522" s="6" t="s">
        <v>27</v>
      </c>
      <c r="N1522" s="2" t="str">
        <f>IF(Iterations[[#This Row],[Step]] =current_step, current_Grad_a,IF(Iterations[[#This Row],[Step]] &gt; current_step, "",Iterations[[#This Row],[Grad_a]]))</f>
        <v/>
      </c>
      <c r="O1522" s="2" t="str">
        <f>IF(Iterations[[#This Row],[Step]] =current_step, current_Grad_b,IF(Iterations[[#This Row],[Step]] &gt; current_step, "",Iterations[[#This Row],[Grad_b]]))</f>
        <v/>
      </c>
      <c r="P1522" s="2" t="str">
        <f>IF(Iterations[[#This Row],[Step]] =current_step, current_Grad_c,IF(Iterations[[#This Row],[Step]] &gt; current_step, "",Iterations[[#This Row],[Grad_c]]))</f>
        <v/>
      </c>
      <c r="Q1522" s="2" t="str">
        <f>IF(Iterations[[#This Row],[Step]] =current_step, current_Grad_d,IF(Iterations[[#This Row],[Step]] &gt; current_step, "",Iterations[[#This Row],[Grad_d]]))</f>
        <v/>
      </c>
      <c r="R1522" s="2" t="str">
        <f>IF(Iterations[[#This Row],[Step]] =current_step, current_Grad_e,IF(Iterations[[#This Row],[Step]] &gt; current_step, "",Iterations[[#This Row],[Grad_e]]))</f>
        <v/>
      </c>
    </row>
    <row r="1523" spans="6:18" x14ac:dyDescent="0.3">
      <c r="F1523" s="2">
        <f t="shared" si="28"/>
        <v>1506</v>
      </c>
      <c r="G1523" s="2" t="str">
        <f>IF(Iterations[[#This Row],[Step]] =current_step, current_a,IF(Iterations[[#This Row],[Step]] &gt; current_step, "",Iterations[[#This Row],[a]]))</f>
        <v/>
      </c>
      <c r="H1523" s="2" t="str">
        <f>IF(Iterations[[#This Row],[Step]] =current_step, current_b,IF(Iterations[[#This Row],[Step]] &gt; current_step, "",Iterations[[#This Row],[b]]))</f>
        <v/>
      </c>
      <c r="I1523" s="2" t="str">
        <f>IF(Iterations[[#This Row],[Step]] =current_step, current_c,IF(Iterations[[#This Row],[Step]] &gt; current_step, "",Iterations[[#This Row],[c]]))</f>
        <v/>
      </c>
      <c r="J1523" s="2" t="str">
        <f>IF(Iterations[[#This Row],[Step]] =current_step, current_d,IF(Iterations[[#This Row],[Step]] &gt; current_step, "",Iterations[[#This Row],[d]]))</f>
        <v/>
      </c>
      <c r="K1523" s="2" t="str">
        <f>IF(Iterations[[#This Row],[Step]] =current_step, current_e,IF(Iterations[[#This Row],[Step]] &gt; current_step, "",Iterations[[#This Row],[e]]))</f>
        <v/>
      </c>
      <c r="L1523" s="2" t="str">
        <f>IF(Iterations[[#This Row],[Step]] =current_step, current_Total_Loss,IF(Iterations[[#This Row],[Step]] &gt; current_step, "",Iterations[[#This Row],[Total Loss]]))</f>
        <v/>
      </c>
      <c r="M1523" s="6" t="s">
        <v>27</v>
      </c>
      <c r="N1523" s="2" t="str">
        <f>IF(Iterations[[#This Row],[Step]] =current_step, current_Grad_a,IF(Iterations[[#This Row],[Step]] &gt; current_step, "",Iterations[[#This Row],[Grad_a]]))</f>
        <v/>
      </c>
      <c r="O1523" s="2" t="str">
        <f>IF(Iterations[[#This Row],[Step]] =current_step, current_Grad_b,IF(Iterations[[#This Row],[Step]] &gt; current_step, "",Iterations[[#This Row],[Grad_b]]))</f>
        <v/>
      </c>
      <c r="P1523" s="2" t="str">
        <f>IF(Iterations[[#This Row],[Step]] =current_step, current_Grad_c,IF(Iterations[[#This Row],[Step]] &gt; current_step, "",Iterations[[#This Row],[Grad_c]]))</f>
        <v/>
      </c>
      <c r="Q1523" s="2" t="str">
        <f>IF(Iterations[[#This Row],[Step]] =current_step, current_Grad_d,IF(Iterations[[#This Row],[Step]] &gt; current_step, "",Iterations[[#This Row],[Grad_d]]))</f>
        <v/>
      </c>
      <c r="R1523" s="2" t="str">
        <f>IF(Iterations[[#This Row],[Step]] =current_step, current_Grad_e,IF(Iterations[[#This Row],[Step]] &gt; current_step, "",Iterations[[#This Row],[Grad_e]]))</f>
        <v/>
      </c>
    </row>
    <row r="1524" spans="6:18" x14ac:dyDescent="0.3">
      <c r="F1524" s="2">
        <f t="shared" si="28"/>
        <v>1507</v>
      </c>
      <c r="G1524" s="2" t="str">
        <f>IF(Iterations[[#This Row],[Step]] =current_step, current_a,IF(Iterations[[#This Row],[Step]] &gt; current_step, "",Iterations[[#This Row],[a]]))</f>
        <v/>
      </c>
      <c r="H1524" s="2" t="str">
        <f>IF(Iterations[[#This Row],[Step]] =current_step, current_b,IF(Iterations[[#This Row],[Step]] &gt; current_step, "",Iterations[[#This Row],[b]]))</f>
        <v/>
      </c>
      <c r="I1524" s="2" t="str">
        <f>IF(Iterations[[#This Row],[Step]] =current_step, current_c,IF(Iterations[[#This Row],[Step]] &gt; current_step, "",Iterations[[#This Row],[c]]))</f>
        <v/>
      </c>
      <c r="J1524" s="2" t="str">
        <f>IF(Iterations[[#This Row],[Step]] =current_step, current_d,IF(Iterations[[#This Row],[Step]] &gt; current_step, "",Iterations[[#This Row],[d]]))</f>
        <v/>
      </c>
      <c r="K1524" s="2" t="str">
        <f>IF(Iterations[[#This Row],[Step]] =current_step, current_e,IF(Iterations[[#This Row],[Step]] &gt; current_step, "",Iterations[[#This Row],[e]]))</f>
        <v/>
      </c>
      <c r="L1524" s="2" t="str">
        <f>IF(Iterations[[#This Row],[Step]] =current_step, current_Total_Loss,IF(Iterations[[#This Row],[Step]] &gt; current_step, "",Iterations[[#This Row],[Total Loss]]))</f>
        <v/>
      </c>
      <c r="M1524" s="6" t="s">
        <v>27</v>
      </c>
      <c r="N1524" s="2" t="str">
        <f>IF(Iterations[[#This Row],[Step]] =current_step, current_Grad_a,IF(Iterations[[#This Row],[Step]] &gt; current_step, "",Iterations[[#This Row],[Grad_a]]))</f>
        <v/>
      </c>
      <c r="O1524" s="2" t="str">
        <f>IF(Iterations[[#This Row],[Step]] =current_step, current_Grad_b,IF(Iterations[[#This Row],[Step]] &gt; current_step, "",Iterations[[#This Row],[Grad_b]]))</f>
        <v/>
      </c>
      <c r="P1524" s="2" t="str">
        <f>IF(Iterations[[#This Row],[Step]] =current_step, current_Grad_c,IF(Iterations[[#This Row],[Step]] &gt; current_step, "",Iterations[[#This Row],[Grad_c]]))</f>
        <v/>
      </c>
      <c r="Q1524" s="2" t="str">
        <f>IF(Iterations[[#This Row],[Step]] =current_step, current_Grad_d,IF(Iterations[[#This Row],[Step]] &gt; current_step, "",Iterations[[#This Row],[Grad_d]]))</f>
        <v/>
      </c>
      <c r="R1524" s="2" t="str">
        <f>IF(Iterations[[#This Row],[Step]] =current_step, current_Grad_e,IF(Iterations[[#This Row],[Step]] &gt; current_step, "",Iterations[[#This Row],[Grad_e]]))</f>
        <v/>
      </c>
    </row>
    <row r="1525" spans="6:18" x14ac:dyDescent="0.3">
      <c r="F1525" s="2">
        <f t="shared" si="28"/>
        <v>1508</v>
      </c>
      <c r="G1525" s="2" t="str">
        <f>IF(Iterations[[#This Row],[Step]] =current_step, current_a,IF(Iterations[[#This Row],[Step]] &gt; current_step, "",Iterations[[#This Row],[a]]))</f>
        <v/>
      </c>
      <c r="H1525" s="2" t="str">
        <f>IF(Iterations[[#This Row],[Step]] =current_step, current_b,IF(Iterations[[#This Row],[Step]] &gt; current_step, "",Iterations[[#This Row],[b]]))</f>
        <v/>
      </c>
      <c r="I1525" s="2" t="str">
        <f>IF(Iterations[[#This Row],[Step]] =current_step, current_c,IF(Iterations[[#This Row],[Step]] &gt; current_step, "",Iterations[[#This Row],[c]]))</f>
        <v/>
      </c>
      <c r="J1525" s="2" t="str">
        <f>IF(Iterations[[#This Row],[Step]] =current_step, current_d,IF(Iterations[[#This Row],[Step]] &gt; current_step, "",Iterations[[#This Row],[d]]))</f>
        <v/>
      </c>
      <c r="K1525" s="2" t="str">
        <f>IF(Iterations[[#This Row],[Step]] =current_step, current_e,IF(Iterations[[#This Row],[Step]] &gt; current_step, "",Iterations[[#This Row],[e]]))</f>
        <v/>
      </c>
      <c r="L1525" s="2" t="str">
        <f>IF(Iterations[[#This Row],[Step]] =current_step, current_Total_Loss,IF(Iterations[[#This Row],[Step]] &gt; current_step, "",Iterations[[#This Row],[Total Loss]]))</f>
        <v/>
      </c>
      <c r="M1525" s="6" t="s">
        <v>27</v>
      </c>
      <c r="N1525" s="2" t="str">
        <f>IF(Iterations[[#This Row],[Step]] =current_step, current_Grad_a,IF(Iterations[[#This Row],[Step]] &gt; current_step, "",Iterations[[#This Row],[Grad_a]]))</f>
        <v/>
      </c>
      <c r="O1525" s="2" t="str">
        <f>IF(Iterations[[#This Row],[Step]] =current_step, current_Grad_b,IF(Iterations[[#This Row],[Step]] &gt; current_step, "",Iterations[[#This Row],[Grad_b]]))</f>
        <v/>
      </c>
      <c r="P1525" s="2" t="str">
        <f>IF(Iterations[[#This Row],[Step]] =current_step, current_Grad_c,IF(Iterations[[#This Row],[Step]] &gt; current_step, "",Iterations[[#This Row],[Grad_c]]))</f>
        <v/>
      </c>
      <c r="Q1525" s="2" t="str">
        <f>IF(Iterations[[#This Row],[Step]] =current_step, current_Grad_d,IF(Iterations[[#This Row],[Step]] &gt; current_step, "",Iterations[[#This Row],[Grad_d]]))</f>
        <v/>
      </c>
      <c r="R1525" s="2" t="str">
        <f>IF(Iterations[[#This Row],[Step]] =current_step, current_Grad_e,IF(Iterations[[#This Row],[Step]] &gt; current_step, "",Iterations[[#This Row],[Grad_e]]))</f>
        <v/>
      </c>
    </row>
    <row r="1526" spans="6:18" x14ac:dyDescent="0.3">
      <c r="F1526" s="2">
        <f t="shared" si="28"/>
        <v>1509</v>
      </c>
      <c r="G1526" s="2" t="str">
        <f>IF(Iterations[[#This Row],[Step]] =current_step, current_a,IF(Iterations[[#This Row],[Step]] &gt; current_step, "",Iterations[[#This Row],[a]]))</f>
        <v/>
      </c>
      <c r="H1526" s="2" t="str">
        <f>IF(Iterations[[#This Row],[Step]] =current_step, current_b,IF(Iterations[[#This Row],[Step]] &gt; current_step, "",Iterations[[#This Row],[b]]))</f>
        <v/>
      </c>
      <c r="I1526" s="2" t="str">
        <f>IF(Iterations[[#This Row],[Step]] =current_step, current_c,IF(Iterations[[#This Row],[Step]] &gt; current_step, "",Iterations[[#This Row],[c]]))</f>
        <v/>
      </c>
      <c r="J1526" s="2" t="str">
        <f>IF(Iterations[[#This Row],[Step]] =current_step, current_d,IF(Iterations[[#This Row],[Step]] &gt; current_step, "",Iterations[[#This Row],[d]]))</f>
        <v/>
      </c>
      <c r="K1526" s="2" t="str">
        <f>IF(Iterations[[#This Row],[Step]] =current_step, current_e,IF(Iterations[[#This Row],[Step]] &gt; current_step, "",Iterations[[#This Row],[e]]))</f>
        <v/>
      </c>
      <c r="L1526" s="2" t="str">
        <f>IF(Iterations[[#This Row],[Step]] =current_step, current_Total_Loss,IF(Iterations[[#This Row],[Step]] &gt; current_step, "",Iterations[[#This Row],[Total Loss]]))</f>
        <v/>
      </c>
      <c r="M1526" s="6" t="s">
        <v>27</v>
      </c>
      <c r="N1526" s="2" t="str">
        <f>IF(Iterations[[#This Row],[Step]] =current_step, current_Grad_a,IF(Iterations[[#This Row],[Step]] &gt; current_step, "",Iterations[[#This Row],[Grad_a]]))</f>
        <v/>
      </c>
      <c r="O1526" s="2" t="str">
        <f>IF(Iterations[[#This Row],[Step]] =current_step, current_Grad_b,IF(Iterations[[#This Row],[Step]] &gt; current_step, "",Iterations[[#This Row],[Grad_b]]))</f>
        <v/>
      </c>
      <c r="P1526" s="2" t="str">
        <f>IF(Iterations[[#This Row],[Step]] =current_step, current_Grad_c,IF(Iterations[[#This Row],[Step]] &gt; current_step, "",Iterations[[#This Row],[Grad_c]]))</f>
        <v/>
      </c>
      <c r="Q1526" s="2" t="str">
        <f>IF(Iterations[[#This Row],[Step]] =current_step, current_Grad_d,IF(Iterations[[#This Row],[Step]] &gt; current_step, "",Iterations[[#This Row],[Grad_d]]))</f>
        <v/>
      </c>
      <c r="R1526" s="2" t="str">
        <f>IF(Iterations[[#This Row],[Step]] =current_step, current_Grad_e,IF(Iterations[[#This Row],[Step]] &gt; current_step, "",Iterations[[#This Row],[Grad_e]]))</f>
        <v/>
      </c>
    </row>
    <row r="1527" spans="6:18" x14ac:dyDescent="0.3">
      <c r="F1527" s="2">
        <f t="shared" si="28"/>
        <v>1510</v>
      </c>
      <c r="G1527" s="2" t="str">
        <f>IF(Iterations[[#This Row],[Step]] =current_step, current_a,IF(Iterations[[#This Row],[Step]] &gt; current_step, "",Iterations[[#This Row],[a]]))</f>
        <v/>
      </c>
      <c r="H1527" s="2" t="str">
        <f>IF(Iterations[[#This Row],[Step]] =current_step, current_b,IF(Iterations[[#This Row],[Step]] &gt; current_step, "",Iterations[[#This Row],[b]]))</f>
        <v/>
      </c>
      <c r="I1527" s="2" t="str">
        <f>IF(Iterations[[#This Row],[Step]] =current_step, current_c,IF(Iterations[[#This Row],[Step]] &gt; current_step, "",Iterations[[#This Row],[c]]))</f>
        <v/>
      </c>
      <c r="J1527" s="2" t="str">
        <f>IF(Iterations[[#This Row],[Step]] =current_step, current_d,IF(Iterations[[#This Row],[Step]] &gt; current_step, "",Iterations[[#This Row],[d]]))</f>
        <v/>
      </c>
      <c r="K1527" s="2" t="str">
        <f>IF(Iterations[[#This Row],[Step]] =current_step, current_e,IF(Iterations[[#This Row],[Step]] &gt; current_step, "",Iterations[[#This Row],[e]]))</f>
        <v/>
      </c>
      <c r="L1527" s="2" t="str">
        <f>IF(Iterations[[#This Row],[Step]] =current_step, current_Total_Loss,IF(Iterations[[#This Row],[Step]] &gt; current_step, "",Iterations[[#This Row],[Total Loss]]))</f>
        <v/>
      </c>
      <c r="M1527" s="6" t="s">
        <v>27</v>
      </c>
      <c r="N1527" s="2" t="str">
        <f>IF(Iterations[[#This Row],[Step]] =current_step, current_Grad_a,IF(Iterations[[#This Row],[Step]] &gt; current_step, "",Iterations[[#This Row],[Grad_a]]))</f>
        <v/>
      </c>
      <c r="O1527" s="2" t="str">
        <f>IF(Iterations[[#This Row],[Step]] =current_step, current_Grad_b,IF(Iterations[[#This Row],[Step]] &gt; current_step, "",Iterations[[#This Row],[Grad_b]]))</f>
        <v/>
      </c>
      <c r="P1527" s="2" t="str">
        <f>IF(Iterations[[#This Row],[Step]] =current_step, current_Grad_c,IF(Iterations[[#This Row],[Step]] &gt; current_step, "",Iterations[[#This Row],[Grad_c]]))</f>
        <v/>
      </c>
      <c r="Q1527" s="2" t="str">
        <f>IF(Iterations[[#This Row],[Step]] =current_step, current_Grad_d,IF(Iterations[[#This Row],[Step]] &gt; current_step, "",Iterations[[#This Row],[Grad_d]]))</f>
        <v/>
      </c>
      <c r="R1527" s="2" t="str">
        <f>IF(Iterations[[#This Row],[Step]] =current_step, current_Grad_e,IF(Iterations[[#This Row],[Step]] &gt; current_step, "",Iterations[[#This Row],[Grad_e]]))</f>
        <v/>
      </c>
    </row>
    <row r="1528" spans="6:18" x14ac:dyDescent="0.3">
      <c r="F1528" s="2">
        <f t="shared" ref="F1528:F1571" si="29">F1527+1</f>
        <v>1511</v>
      </c>
      <c r="G1528" s="2" t="str">
        <f>IF(Iterations[[#This Row],[Step]] =current_step, current_a,IF(Iterations[[#This Row],[Step]] &gt; current_step, "",Iterations[[#This Row],[a]]))</f>
        <v/>
      </c>
      <c r="H1528" s="2" t="str">
        <f>IF(Iterations[[#This Row],[Step]] =current_step, current_b,IF(Iterations[[#This Row],[Step]] &gt; current_step, "",Iterations[[#This Row],[b]]))</f>
        <v/>
      </c>
      <c r="I1528" s="2" t="str">
        <f>IF(Iterations[[#This Row],[Step]] =current_step, current_c,IF(Iterations[[#This Row],[Step]] &gt; current_step, "",Iterations[[#This Row],[c]]))</f>
        <v/>
      </c>
      <c r="J1528" s="2" t="str">
        <f>IF(Iterations[[#This Row],[Step]] =current_step, current_d,IF(Iterations[[#This Row],[Step]] &gt; current_step, "",Iterations[[#This Row],[d]]))</f>
        <v/>
      </c>
      <c r="K1528" s="2" t="str">
        <f>IF(Iterations[[#This Row],[Step]] =current_step, current_e,IF(Iterations[[#This Row],[Step]] &gt; current_step, "",Iterations[[#This Row],[e]]))</f>
        <v/>
      </c>
      <c r="L1528" s="2" t="str">
        <f>IF(Iterations[[#This Row],[Step]] =current_step, current_Total_Loss,IF(Iterations[[#This Row],[Step]] &gt; current_step, "",Iterations[[#This Row],[Total Loss]]))</f>
        <v/>
      </c>
      <c r="M1528" s="6" t="s">
        <v>27</v>
      </c>
      <c r="N1528" s="2" t="str">
        <f>IF(Iterations[[#This Row],[Step]] =current_step, current_Grad_a,IF(Iterations[[#This Row],[Step]] &gt; current_step, "",Iterations[[#This Row],[Grad_a]]))</f>
        <v/>
      </c>
      <c r="O1528" s="2" t="str">
        <f>IF(Iterations[[#This Row],[Step]] =current_step, current_Grad_b,IF(Iterations[[#This Row],[Step]] &gt; current_step, "",Iterations[[#This Row],[Grad_b]]))</f>
        <v/>
      </c>
      <c r="P1528" s="2" t="str">
        <f>IF(Iterations[[#This Row],[Step]] =current_step, current_Grad_c,IF(Iterations[[#This Row],[Step]] &gt; current_step, "",Iterations[[#This Row],[Grad_c]]))</f>
        <v/>
      </c>
      <c r="Q1528" s="2" t="str">
        <f>IF(Iterations[[#This Row],[Step]] =current_step, current_Grad_d,IF(Iterations[[#This Row],[Step]] &gt; current_step, "",Iterations[[#This Row],[Grad_d]]))</f>
        <v/>
      </c>
      <c r="R1528" s="2" t="str">
        <f>IF(Iterations[[#This Row],[Step]] =current_step, current_Grad_e,IF(Iterations[[#This Row],[Step]] &gt; current_step, "",Iterations[[#This Row],[Grad_e]]))</f>
        <v/>
      </c>
    </row>
    <row r="1529" spans="6:18" x14ac:dyDescent="0.3">
      <c r="F1529" s="2">
        <f t="shared" si="29"/>
        <v>1512</v>
      </c>
      <c r="G1529" s="2" t="str">
        <f>IF(Iterations[[#This Row],[Step]] =current_step, current_a,IF(Iterations[[#This Row],[Step]] &gt; current_step, "",Iterations[[#This Row],[a]]))</f>
        <v/>
      </c>
      <c r="H1529" s="2" t="str">
        <f>IF(Iterations[[#This Row],[Step]] =current_step, current_b,IF(Iterations[[#This Row],[Step]] &gt; current_step, "",Iterations[[#This Row],[b]]))</f>
        <v/>
      </c>
      <c r="I1529" s="2" t="str">
        <f>IF(Iterations[[#This Row],[Step]] =current_step, current_c,IF(Iterations[[#This Row],[Step]] &gt; current_step, "",Iterations[[#This Row],[c]]))</f>
        <v/>
      </c>
      <c r="J1529" s="2" t="str">
        <f>IF(Iterations[[#This Row],[Step]] =current_step, current_d,IF(Iterations[[#This Row],[Step]] &gt; current_step, "",Iterations[[#This Row],[d]]))</f>
        <v/>
      </c>
      <c r="K1529" s="2" t="str">
        <f>IF(Iterations[[#This Row],[Step]] =current_step, current_e,IF(Iterations[[#This Row],[Step]] &gt; current_step, "",Iterations[[#This Row],[e]]))</f>
        <v/>
      </c>
      <c r="L1529" s="2" t="str">
        <f>IF(Iterations[[#This Row],[Step]] =current_step, current_Total_Loss,IF(Iterations[[#This Row],[Step]] &gt; current_step, "",Iterations[[#This Row],[Total Loss]]))</f>
        <v/>
      </c>
      <c r="M1529" s="6" t="s">
        <v>27</v>
      </c>
      <c r="N1529" s="2" t="str">
        <f>IF(Iterations[[#This Row],[Step]] =current_step, current_Grad_a,IF(Iterations[[#This Row],[Step]] &gt; current_step, "",Iterations[[#This Row],[Grad_a]]))</f>
        <v/>
      </c>
      <c r="O1529" s="2" t="str">
        <f>IF(Iterations[[#This Row],[Step]] =current_step, current_Grad_b,IF(Iterations[[#This Row],[Step]] &gt; current_step, "",Iterations[[#This Row],[Grad_b]]))</f>
        <v/>
      </c>
      <c r="P1529" s="2" t="str">
        <f>IF(Iterations[[#This Row],[Step]] =current_step, current_Grad_c,IF(Iterations[[#This Row],[Step]] &gt; current_step, "",Iterations[[#This Row],[Grad_c]]))</f>
        <v/>
      </c>
      <c r="Q1529" s="2" t="str">
        <f>IF(Iterations[[#This Row],[Step]] =current_step, current_Grad_d,IF(Iterations[[#This Row],[Step]] &gt; current_step, "",Iterations[[#This Row],[Grad_d]]))</f>
        <v/>
      </c>
      <c r="R1529" s="2" t="str">
        <f>IF(Iterations[[#This Row],[Step]] =current_step, current_Grad_e,IF(Iterations[[#This Row],[Step]] &gt; current_step, "",Iterations[[#This Row],[Grad_e]]))</f>
        <v/>
      </c>
    </row>
    <row r="1530" spans="6:18" x14ac:dyDescent="0.3">
      <c r="F1530" s="2">
        <f t="shared" si="29"/>
        <v>1513</v>
      </c>
      <c r="G1530" s="2" t="str">
        <f>IF(Iterations[[#This Row],[Step]] =current_step, current_a,IF(Iterations[[#This Row],[Step]] &gt; current_step, "",Iterations[[#This Row],[a]]))</f>
        <v/>
      </c>
      <c r="H1530" s="2" t="str">
        <f>IF(Iterations[[#This Row],[Step]] =current_step, current_b,IF(Iterations[[#This Row],[Step]] &gt; current_step, "",Iterations[[#This Row],[b]]))</f>
        <v/>
      </c>
      <c r="I1530" s="2" t="str">
        <f>IF(Iterations[[#This Row],[Step]] =current_step, current_c,IF(Iterations[[#This Row],[Step]] &gt; current_step, "",Iterations[[#This Row],[c]]))</f>
        <v/>
      </c>
      <c r="J1530" s="2" t="str">
        <f>IF(Iterations[[#This Row],[Step]] =current_step, current_d,IF(Iterations[[#This Row],[Step]] &gt; current_step, "",Iterations[[#This Row],[d]]))</f>
        <v/>
      </c>
      <c r="K1530" s="2" t="str">
        <f>IF(Iterations[[#This Row],[Step]] =current_step, current_e,IF(Iterations[[#This Row],[Step]] &gt; current_step, "",Iterations[[#This Row],[e]]))</f>
        <v/>
      </c>
      <c r="L1530" s="2" t="str">
        <f>IF(Iterations[[#This Row],[Step]] =current_step, current_Total_Loss,IF(Iterations[[#This Row],[Step]] &gt; current_step, "",Iterations[[#This Row],[Total Loss]]))</f>
        <v/>
      </c>
      <c r="M1530" s="6" t="s">
        <v>27</v>
      </c>
      <c r="N1530" s="2" t="str">
        <f>IF(Iterations[[#This Row],[Step]] =current_step, current_Grad_a,IF(Iterations[[#This Row],[Step]] &gt; current_step, "",Iterations[[#This Row],[Grad_a]]))</f>
        <v/>
      </c>
      <c r="O1530" s="2" t="str">
        <f>IF(Iterations[[#This Row],[Step]] =current_step, current_Grad_b,IF(Iterations[[#This Row],[Step]] &gt; current_step, "",Iterations[[#This Row],[Grad_b]]))</f>
        <v/>
      </c>
      <c r="P1530" s="2" t="str">
        <f>IF(Iterations[[#This Row],[Step]] =current_step, current_Grad_c,IF(Iterations[[#This Row],[Step]] &gt; current_step, "",Iterations[[#This Row],[Grad_c]]))</f>
        <v/>
      </c>
      <c r="Q1530" s="2" t="str">
        <f>IF(Iterations[[#This Row],[Step]] =current_step, current_Grad_d,IF(Iterations[[#This Row],[Step]] &gt; current_step, "",Iterations[[#This Row],[Grad_d]]))</f>
        <v/>
      </c>
      <c r="R1530" s="2" t="str">
        <f>IF(Iterations[[#This Row],[Step]] =current_step, current_Grad_e,IF(Iterations[[#This Row],[Step]] &gt; current_step, "",Iterations[[#This Row],[Grad_e]]))</f>
        <v/>
      </c>
    </row>
    <row r="1531" spans="6:18" x14ac:dyDescent="0.3">
      <c r="F1531" s="2">
        <f t="shared" si="29"/>
        <v>1514</v>
      </c>
      <c r="G1531" s="2" t="str">
        <f>IF(Iterations[[#This Row],[Step]] =current_step, current_a,IF(Iterations[[#This Row],[Step]] &gt; current_step, "",Iterations[[#This Row],[a]]))</f>
        <v/>
      </c>
      <c r="H1531" s="2" t="str">
        <f>IF(Iterations[[#This Row],[Step]] =current_step, current_b,IF(Iterations[[#This Row],[Step]] &gt; current_step, "",Iterations[[#This Row],[b]]))</f>
        <v/>
      </c>
      <c r="I1531" s="2" t="str">
        <f>IF(Iterations[[#This Row],[Step]] =current_step, current_c,IF(Iterations[[#This Row],[Step]] &gt; current_step, "",Iterations[[#This Row],[c]]))</f>
        <v/>
      </c>
      <c r="J1531" s="2" t="str">
        <f>IF(Iterations[[#This Row],[Step]] =current_step, current_d,IF(Iterations[[#This Row],[Step]] &gt; current_step, "",Iterations[[#This Row],[d]]))</f>
        <v/>
      </c>
      <c r="K1531" s="2" t="str">
        <f>IF(Iterations[[#This Row],[Step]] =current_step, current_e,IF(Iterations[[#This Row],[Step]] &gt; current_step, "",Iterations[[#This Row],[e]]))</f>
        <v/>
      </c>
      <c r="L1531" s="2" t="str">
        <f>IF(Iterations[[#This Row],[Step]] =current_step, current_Total_Loss,IF(Iterations[[#This Row],[Step]] &gt; current_step, "",Iterations[[#This Row],[Total Loss]]))</f>
        <v/>
      </c>
      <c r="M1531" s="6" t="s">
        <v>27</v>
      </c>
      <c r="N1531" s="2" t="str">
        <f>IF(Iterations[[#This Row],[Step]] =current_step, current_Grad_a,IF(Iterations[[#This Row],[Step]] &gt; current_step, "",Iterations[[#This Row],[Grad_a]]))</f>
        <v/>
      </c>
      <c r="O1531" s="2" t="str">
        <f>IF(Iterations[[#This Row],[Step]] =current_step, current_Grad_b,IF(Iterations[[#This Row],[Step]] &gt; current_step, "",Iterations[[#This Row],[Grad_b]]))</f>
        <v/>
      </c>
      <c r="P1531" s="2" t="str">
        <f>IF(Iterations[[#This Row],[Step]] =current_step, current_Grad_c,IF(Iterations[[#This Row],[Step]] &gt; current_step, "",Iterations[[#This Row],[Grad_c]]))</f>
        <v/>
      </c>
      <c r="Q1531" s="2" t="str">
        <f>IF(Iterations[[#This Row],[Step]] =current_step, current_Grad_d,IF(Iterations[[#This Row],[Step]] &gt; current_step, "",Iterations[[#This Row],[Grad_d]]))</f>
        <v/>
      </c>
      <c r="R1531" s="2" t="str">
        <f>IF(Iterations[[#This Row],[Step]] =current_step, current_Grad_e,IF(Iterations[[#This Row],[Step]] &gt; current_step, "",Iterations[[#This Row],[Grad_e]]))</f>
        <v/>
      </c>
    </row>
    <row r="1532" spans="6:18" x14ac:dyDescent="0.3">
      <c r="F1532" s="2">
        <f t="shared" si="29"/>
        <v>1515</v>
      </c>
      <c r="G1532" s="2" t="str">
        <f>IF(Iterations[[#This Row],[Step]] =current_step, current_a,IF(Iterations[[#This Row],[Step]] &gt; current_step, "",Iterations[[#This Row],[a]]))</f>
        <v/>
      </c>
      <c r="H1532" s="2" t="str">
        <f>IF(Iterations[[#This Row],[Step]] =current_step, current_b,IF(Iterations[[#This Row],[Step]] &gt; current_step, "",Iterations[[#This Row],[b]]))</f>
        <v/>
      </c>
      <c r="I1532" s="2" t="str">
        <f>IF(Iterations[[#This Row],[Step]] =current_step, current_c,IF(Iterations[[#This Row],[Step]] &gt; current_step, "",Iterations[[#This Row],[c]]))</f>
        <v/>
      </c>
      <c r="J1532" s="2" t="str">
        <f>IF(Iterations[[#This Row],[Step]] =current_step, current_d,IF(Iterations[[#This Row],[Step]] &gt; current_step, "",Iterations[[#This Row],[d]]))</f>
        <v/>
      </c>
      <c r="K1532" s="2" t="str">
        <f>IF(Iterations[[#This Row],[Step]] =current_step, current_e,IF(Iterations[[#This Row],[Step]] &gt; current_step, "",Iterations[[#This Row],[e]]))</f>
        <v/>
      </c>
      <c r="L1532" s="2" t="str">
        <f>IF(Iterations[[#This Row],[Step]] =current_step, current_Total_Loss,IF(Iterations[[#This Row],[Step]] &gt; current_step, "",Iterations[[#This Row],[Total Loss]]))</f>
        <v/>
      </c>
      <c r="M1532" s="6" t="s">
        <v>27</v>
      </c>
      <c r="N1532" s="2" t="str">
        <f>IF(Iterations[[#This Row],[Step]] =current_step, current_Grad_a,IF(Iterations[[#This Row],[Step]] &gt; current_step, "",Iterations[[#This Row],[Grad_a]]))</f>
        <v/>
      </c>
      <c r="O1532" s="2" t="str">
        <f>IF(Iterations[[#This Row],[Step]] =current_step, current_Grad_b,IF(Iterations[[#This Row],[Step]] &gt; current_step, "",Iterations[[#This Row],[Grad_b]]))</f>
        <v/>
      </c>
      <c r="P1532" s="2" t="str">
        <f>IF(Iterations[[#This Row],[Step]] =current_step, current_Grad_c,IF(Iterations[[#This Row],[Step]] &gt; current_step, "",Iterations[[#This Row],[Grad_c]]))</f>
        <v/>
      </c>
      <c r="Q1532" s="2" t="str">
        <f>IF(Iterations[[#This Row],[Step]] =current_step, current_Grad_d,IF(Iterations[[#This Row],[Step]] &gt; current_step, "",Iterations[[#This Row],[Grad_d]]))</f>
        <v/>
      </c>
      <c r="R1532" s="2" t="str">
        <f>IF(Iterations[[#This Row],[Step]] =current_step, current_Grad_e,IF(Iterations[[#This Row],[Step]] &gt; current_step, "",Iterations[[#This Row],[Grad_e]]))</f>
        <v/>
      </c>
    </row>
    <row r="1533" spans="6:18" x14ac:dyDescent="0.3">
      <c r="F1533" s="2">
        <f t="shared" si="29"/>
        <v>1516</v>
      </c>
      <c r="G1533" s="2" t="str">
        <f>IF(Iterations[[#This Row],[Step]] =current_step, current_a,IF(Iterations[[#This Row],[Step]] &gt; current_step, "",Iterations[[#This Row],[a]]))</f>
        <v/>
      </c>
      <c r="H1533" s="2" t="str">
        <f>IF(Iterations[[#This Row],[Step]] =current_step, current_b,IF(Iterations[[#This Row],[Step]] &gt; current_step, "",Iterations[[#This Row],[b]]))</f>
        <v/>
      </c>
      <c r="I1533" s="2" t="str">
        <f>IF(Iterations[[#This Row],[Step]] =current_step, current_c,IF(Iterations[[#This Row],[Step]] &gt; current_step, "",Iterations[[#This Row],[c]]))</f>
        <v/>
      </c>
      <c r="J1533" s="2" t="str">
        <f>IF(Iterations[[#This Row],[Step]] =current_step, current_d,IF(Iterations[[#This Row],[Step]] &gt; current_step, "",Iterations[[#This Row],[d]]))</f>
        <v/>
      </c>
      <c r="K1533" s="2" t="str">
        <f>IF(Iterations[[#This Row],[Step]] =current_step, current_e,IF(Iterations[[#This Row],[Step]] &gt; current_step, "",Iterations[[#This Row],[e]]))</f>
        <v/>
      </c>
      <c r="L1533" s="2" t="str">
        <f>IF(Iterations[[#This Row],[Step]] =current_step, current_Total_Loss,IF(Iterations[[#This Row],[Step]] &gt; current_step, "",Iterations[[#This Row],[Total Loss]]))</f>
        <v/>
      </c>
      <c r="M1533" s="6" t="s">
        <v>27</v>
      </c>
      <c r="N1533" s="2" t="str">
        <f>IF(Iterations[[#This Row],[Step]] =current_step, current_Grad_a,IF(Iterations[[#This Row],[Step]] &gt; current_step, "",Iterations[[#This Row],[Grad_a]]))</f>
        <v/>
      </c>
      <c r="O1533" s="2" t="str">
        <f>IF(Iterations[[#This Row],[Step]] =current_step, current_Grad_b,IF(Iterations[[#This Row],[Step]] &gt; current_step, "",Iterations[[#This Row],[Grad_b]]))</f>
        <v/>
      </c>
      <c r="P1533" s="2" t="str">
        <f>IF(Iterations[[#This Row],[Step]] =current_step, current_Grad_c,IF(Iterations[[#This Row],[Step]] &gt; current_step, "",Iterations[[#This Row],[Grad_c]]))</f>
        <v/>
      </c>
      <c r="Q1533" s="2" t="str">
        <f>IF(Iterations[[#This Row],[Step]] =current_step, current_Grad_d,IF(Iterations[[#This Row],[Step]] &gt; current_step, "",Iterations[[#This Row],[Grad_d]]))</f>
        <v/>
      </c>
      <c r="R1533" s="2" t="str">
        <f>IF(Iterations[[#This Row],[Step]] =current_step, current_Grad_e,IF(Iterations[[#This Row],[Step]] &gt; current_step, "",Iterations[[#This Row],[Grad_e]]))</f>
        <v/>
      </c>
    </row>
    <row r="1534" spans="6:18" x14ac:dyDescent="0.3">
      <c r="F1534" s="2">
        <f t="shared" si="29"/>
        <v>1517</v>
      </c>
      <c r="G1534" s="2" t="str">
        <f>IF(Iterations[[#This Row],[Step]] =current_step, current_a,IF(Iterations[[#This Row],[Step]] &gt; current_step, "",Iterations[[#This Row],[a]]))</f>
        <v/>
      </c>
      <c r="H1534" s="2" t="str">
        <f>IF(Iterations[[#This Row],[Step]] =current_step, current_b,IF(Iterations[[#This Row],[Step]] &gt; current_step, "",Iterations[[#This Row],[b]]))</f>
        <v/>
      </c>
      <c r="I1534" s="2" t="str">
        <f>IF(Iterations[[#This Row],[Step]] =current_step, current_c,IF(Iterations[[#This Row],[Step]] &gt; current_step, "",Iterations[[#This Row],[c]]))</f>
        <v/>
      </c>
      <c r="J1534" s="2" t="str">
        <f>IF(Iterations[[#This Row],[Step]] =current_step, current_d,IF(Iterations[[#This Row],[Step]] &gt; current_step, "",Iterations[[#This Row],[d]]))</f>
        <v/>
      </c>
      <c r="K1534" s="2" t="str">
        <f>IF(Iterations[[#This Row],[Step]] =current_step, current_e,IF(Iterations[[#This Row],[Step]] &gt; current_step, "",Iterations[[#This Row],[e]]))</f>
        <v/>
      </c>
      <c r="L1534" s="2" t="str">
        <f>IF(Iterations[[#This Row],[Step]] =current_step, current_Total_Loss,IF(Iterations[[#This Row],[Step]] &gt; current_step, "",Iterations[[#This Row],[Total Loss]]))</f>
        <v/>
      </c>
      <c r="M1534" s="6" t="s">
        <v>27</v>
      </c>
      <c r="N1534" s="2" t="str">
        <f>IF(Iterations[[#This Row],[Step]] =current_step, current_Grad_a,IF(Iterations[[#This Row],[Step]] &gt; current_step, "",Iterations[[#This Row],[Grad_a]]))</f>
        <v/>
      </c>
      <c r="O1534" s="2" t="str">
        <f>IF(Iterations[[#This Row],[Step]] =current_step, current_Grad_b,IF(Iterations[[#This Row],[Step]] &gt; current_step, "",Iterations[[#This Row],[Grad_b]]))</f>
        <v/>
      </c>
      <c r="P1534" s="2" t="str">
        <f>IF(Iterations[[#This Row],[Step]] =current_step, current_Grad_c,IF(Iterations[[#This Row],[Step]] &gt; current_step, "",Iterations[[#This Row],[Grad_c]]))</f>
        <v/>
      </c>
      <c r="Q1534" s="2" t="str">
        <f>IF(Iterations[[#This Row],[Step]] =current_step, current_Grad_d,IF(Iterations[[#This Row],[Step]] &gt; current_step, "",Iterations[[#This Row],[Grad_d]]))</f>
        <v/>
      </c>
      <c r="R1534" s="2" t="str">
        <f>IF(Iterations[[#This Row],[Step]] =current_step, current_Grad_e,IF(Iterations[[#This Row],[Step]] &gt; current_step, "",Iterations[[#This Row],[Grad_e]]))</f>
        <v/>
      </c>
    </row>
    <row r="1535" spans="6:18" x14ac:dyDescent="0.3">
      <c r="F1535" s="2">
        <f t="shared" si="29"/>
        <v>1518</v>
      </c>
      <c r="G1535" s="2" t="str">
        <f>IF(Iterations[[#This Row],[Step]] =current_step, current_a,IF(Iterations[[#This Row],[Step]] &gt; current_step, "",Iterations[[#This Row],[a]]))</f>
        <v/>
      </c>
      <c r="H1535" s="2" t="str">
        <f>IF(Iterations[[#This Row],[Step]] =current_step, current_b,IF(Iterations[[#This Row],[Step]] &gt; current_step, "",Iterations[[#This Row],[b]]))</f>
        <v/>
      </c>
      <c r="I1535" s="2" t="str">
        <f>IF(Iterations[[#This Row],[Step]] =current_step, current_c,IF(Iterations[[#This Row],[Step]] &gt; current_step, "",Iterations[[#This Row],[c]]))</f>
        <v/>
      </c>
      <c r="J1535" s="2" t="str">
        <f>IF(Iterations[[#This Row],[Step]] =current_step, current_d,IF(Iterations[[#This Row],[Step]] &gt; current_step, "",Iterations[[#This Row],[d]]))</f>
        <v/>
      </c>
      <c r="K1535" s="2" t="str">
        <f>IF(Iterations[[#This Row],[Step]] =current_step, current_e,IF(Iterations[[#This Row],[Step]] &gt; current_step, "",Iterations[[#This Row],[e]]))</f>
        <v/>
      </c>
      <c r="L1535" s="2" t="str">
        <f>IF(Iterations[[#This Row],[Step]] =current_step, current_Total_Loss,IF(Iterations[[#This Row],[Step]] &gt; current_step, "",Iterations[[#This Row],[Total Loss]]))</f>
        <v/>
      </c>
      <c r="M1535" s="6" t="s">
        <v>27</v>
      </c>
      <c r="N1535" s="2" t="str">
        <f>IF(Iterations[[#This Row],[Step]] =current_step, current_Grad_a,IF(Iterations[[#This Row],[Step]] &gt; current_step, "",Iterations[[#This Row],[Grad_a]]))</f>
        <v/>
      </c>
      <c r="O1535" s="2" t="str">
        <f>IF(Iterations[[#This Row],[Step]] =current_step, current_Grad_b,IF(Iterations[[#This Row],[Step]] &gt; current_step, "",Iterations[[#This Row],[Grad_b]]))</f>
        <v/>
      </c>
      <c r="P1535" s="2" t="str">
        <f>IF(Iterations[[#This Row],[Step]] =current_step, current_Grad_c,IF(Iterations[[#This Row],[Step]] &gt; current_step, "",Iterations[[#This Row],[Grad_c]]))</f>
        <v/>
      </c>
      <c r="Q1535" s="2" t="str">
        <f>IF(Iterations[[#This Row],[Step]] =current_step, current_Grad_d,IF(Iterations[[#This Row],[Step]] &gt; current_step, "",Iterations[[#This Row],[Grad_d]]))</f>
        <v/>
      </c>
      <c r="R1535" s="2" t="str">
        <f>IF(Iterations[[#This Row],[Step]] =current_step, current_Grad_e,IF(Iterations[[#This Row],[Step]] &gt; current_step, "",Iterations[[#This Row],[Grad_e]]))</f>
        <v/>
      </c>
    </row>
    <row r="1536" spans="6:18" x14ac:dyDescent="0.3">
      <c r="F1536" s="2">
        <f t="shared" si="29"/>
        <v>1519</v>
      </c>
      <c r="G1536" s="2" t="str">
        <f>IF(Iterations[[#This Row],[Step]] =current_step, current_a,IF(Iterations[[#This Row],[Step]] &gt; current_step, "",Iterations[[#This Row],[a]]))</f>
        <v/>
      </c>
      <c r="H1536" s="2" t="str">
        <f>IF(Iterations[[#This Row],[Step]] =current_step, current_b,IF(Iterations[[#This Row],[Step]] &gt; current_step, "",Iterations[[#This Row],[b]]))</f>
        <v/>
      </c>
      <c r="I1536" s="2" t="str">
        <f>IF(Iterations[[#This Row],[Step]] =current_step, current_c,IF(Iterations[[#This Row],[Step]] &gt; current_step, "",Iterations[[#This Row],[c]]))</f>
        <v/>
      </c>
      <c r="J1536" s="2" t="str">
        <f>IF(Iterations[[#This Row],[Step]] =current_step, current_d,IF(Iterations[[#This Row],[Step]] &gt; current_step, "",Iterations[[#This Row],[d]]))</f>
        <v/>
      </c>
      <c r="K1536" s="2" t="str">
        <f>IF(Iterations[[#This Row],[Step]] =current_step, current_e,IF(Iterations[[#This Row],[Step]] &gt; current_step, "",Iterations[[#This Row],[e]]))</f>
        <v/>
      </c>
      <c r="L1536" s="2" t="str">
        <f>IF(Iterations[[#This Row],[Step]] =current_step, current_Total_Loss,IF(Iterations[[#This Row],[Step]] &gt; current_step, "",Iterations[[#This Row],[Total Loss]]))</f>
        <v/>
      </c>
      <c r="M1536" s="6" t="s">
        <v>27</v>
      </c>
      <c r="N1536" s="2" t="str">
        <f>IF(Iterations[[#This Row],[Step]] =current_step, current_Grad_a,IF(Iterations[[#This Row],[Step]] &gt; current_step, "",Iterations[[#This Row],[Grad_a]]))</f>
        <v/>
      </c>
      <c r="O1536" s="2" t="str">
        <f>IF(Iterations[[#This Row],[Step]] =current_step, current_Grad_b,IF(Iterations[[#This Row],[Step]] &gt; current_step, "",Iterations[[#This Row],[Grad_b]]))</f>
        <v/>
      </c>
      <c r="P1536" s="2" t="str">
        <f>IF(Iterations[[#This Row],[Step]] =current_step, current_Grad_c,IF(Iterations[[#This Row],[Step]] &gt; current_step, "",Iterations[[#This Row],[Grad_c]]))</f>
        <v/>
      </c>
      <c r="Q1536" s="2" t="str">
        <f>IF(Iterations[[#This Row],[Step]] =current_step, current_Grad_d,IF(Iterations[[#This Row],[Step]] &gt; current_step, "",Iterations[[#This Row],[Grad_d]]))</f>
        <v/>
      </c>
      <c r="R1536" s="2" t="str">
        <f>IF(Iterations[[#This Row],[Step]] =current_step, current_Grad_e,IF(Iterations[[#This Row],[Step]] &gt; current_step, "",Iterations[[#This Row],[Grad_e]]))</f>
        <v/>
      </c>
    </row>
    <row r="1537" spans="6:18" x14ac:dyDescent="0.3">
      <c r="F1537" s="2">
        <f t="shared" si="29"/>
        <v>1520</v>
      </c>
      <c r="G1537" s="2" t="str">
        <f>IF(Iterations[[#This Row],[Step]] =current_step, current_a,IF(Iterations[[#This Row],[Step]] &gt; current_step, "",Iterations[[#This Row],[a]]))</f>
        <v/>
      </c>
      <c r="H1537" s="2" t="str">
        <f>IF(Iterations[[#This Row],[Step]] =current_step, current_b,IF(Iterations[[#This Row],[Step]] &gt; current_step, "",Iterations[[#This Row],[b]]))</f>
        <v/>
      </c>
      <c r="I1537" s="2" t="str">
        <f>IF(Iterations[[#This Row],[Step]] =current_step, current_c,IF(Iterations[[#This Row],[Step]] &gt; current_step, "",Iterations[[#This Row],[c]]))</f>
        <v/>
      </c>
      <c r="J1537" s="2" t="str">
        <f>IF(Iterations[[#This Row],[Step]] =current_step, current_d,IF(Iterations[[#This Row],[Step]] &gt; current_step, "",Iterations[[#This Row],[d]]))</f>
        <v/>
      </c>
      <c r="K1537" s="2" t="str">
        <f>IF(Iterations[[#This Row],[Step]] =current_step, current_e,IF(Iterations[[#This Row],[Step]] &gt; current_step, "",Iterations[[#This Row],[e]]))</f>
        <v/>
      </c>
      <c r="L1537" s="2" t="str">
        <f>IF(Iterations[[#This Row],[Step]] =current_step, current_Total_Loss,IF(Iterations[[#This Row],[Step]] &gt; current_step, "",Iterations[[#This Row],[Total Loss]]))</f>
        <v/>
      </c>
      <c r="M1537" s="6" t="s">
        <v>27</v>
      </c>
      <c r="N1537" s="2" t="str">
        <f>IF(Iterations[[#This Row],[Step]] =current_step, current_Grad_a,IF(Iterations[[#This Row],[Step]] &gt; current_step, "",Iterations[[#This Row],[Grad_a]]))</f>
        <v/>
      </c>
      <c r="O1537" s="2" t="str">
        <f>IF(Iterations[[#This Row],[Step]] =current_step, current_Grad_b,IF(Iterations[[#This Row],[Step]] &gt; current_step, "",Iterations[[#This Row],[Grad_b]]))</f>
        <v/>
      </c>
      <c r="P1537" s="2" t="str">
        <f>IF(Iterations[[#This Row],[Step]] =current_step, current_Grad_c,IF(Iterations[[#This Row],[Step]] &gt; current_step, "",Iterations[[#This Row],[Grad_c]]))</f>
        <v/>
      </c>
      <c r="Q1537" s="2" t="str">
        <f>IF(Iterations[[#This Row],[Step]] =current_step, current_Grad_d,IF(Iterations[[#This Row],[Step]] &gt; current_step, "",Iterations[[#This Row],[Grad_d]]))</f>
        <v/>
      </c>
      <c r="R1537" s="2" t="str">
        <f>IF(Iterations[[#This Row],[Step]] =current_step, current_Grad_e,IF(Iterations[[#This Row],[Step]] &gt; current_step, "",Iterations[[#This Row],[Grad_e]]))</f>
        <v/>
      </c>
    </row>
    <row r="1538" spans="6:18" x14ac:dyDescent="0.3">
      <c r="F1538" s="2">
        <f t="shared" si="29"/>
        <v>1521</v>
      </c>
      <c r="G1538" s="2" t="str">
        <f>IF(Iterations[[#This Row],[Step]] =current_step, current_a,IF(Iterations[[#This Row],[Step]] &gt; current_step, "",Iterations[[#This Row],[a]]))</f>
        <v/>
      </c>
      <c r="H1538" s="2" t="str">
        <f>IF(Iterations[[#This Row],[Step]] =current_step, current_b,IF(Iterations[[#This Row],[Step]] &gt; current_step, "",Iterations[[#This Row],[b]]))</f>
        <v/>
      </c>
      <c r="I1538" s="2" t="str">
        <f>IF(Iterations[[#This Row],[Step]] =current_step, current_c,IF(Iterations[[#This Row],[Step]] &gt; current_step, "",Iterations[[#This Row],[c]]))</f>
        <v/>
      </c>
      <c r="J1538" s="2" t="str">
        <f>IF(Iterations[[#This Row],[Step]] =current_step, current_d,IF(Iterations[[#This Row],[Step]] &gt; current_step, "",Iterations[[#This Row],[d]]))</f>
        <v/>
      </c>
      <c r="K1538" s="2" t="str">
        <f>IF(Iterations[[#This Row],[Step]] =current_step, current_e,IF(Iterations[[#This Row],[Step]] &gt; current_step, "",Iterations[[#This Row],[e]]))</f>
        <v/>
      </c>
      <c r="L1538" s="2" t="str">
        <f>IF(Iterations[[#This Row],[Step]] =current_step, current_Total_Loss,IF(Iterations[[#This Row],[Step]] &gt; current_step, "",Iterations[[#This Row],[Total Loss]]))</f>
        <v/>
      </c>
      <c r="M1538" s="6" t="s">
        <v>27</v>
      </c>
      <c r="N1538" s="2" t="str">
        <f>IF(Iterations[[#This Row],[Step]] =current_step, current_Grad_a,IF(Iterations[[#This Row],[Step]] &gt; current_step, "",Iterations[[#This Row],[Grad_a]]))</f>
        <v/>
      </c>
      <c r="O1538" s="2" t="str">
        <f>IF(Iterations[[#This Row],[Step]] =current_step, current_Grad_b,IF(Iterations[[#This Row],[Step]] &gt; current_step, "",Iterations[[#This Row],[Grad_b]]))</f>
        <v/>
      </c>
      <c r="P1538" s="2" t="str">
        <f>IF(Iterations[[#This Row],[Step]] =current_step, current_Grad_c,IF(Iterations[[#This Row],[Step]] &gt; current_step, "",Iterations[[#This Row],[Grad_c]]))</f>
        <v/>
      </c>
      <c r="Q1538" s="2" t="str">
        <f>IF(Iterations[[#This Row],[Step]] =current_step, current_Grad_d,IF(Iterations[[#This Row],[Step]] &gt; current_step, "",Iterations[[#This Row],[Grad_d]]))</f>
        <v/>
      </c>
      <c r="R1538" s="2" t="str">
        <f>IF(Iterations[[#This Row],[Step]] =current_step, current_Grad_e,IF(Iterations[[#This Row],[Step]] &gt; current_step, "",Iterations[[#This Row],[Grad_e]]))</f>
        <v/>
      </c>
    </row>
    <row r="1539" spans="6:18" x14ac:dyDescent="0.3">
      <c r="F1539" s="2">
        <f t="shared" si="29"/>
        <v>1522</v>
      </c>
      <c r="G1539" s="2" t="str">
        <f>IF(Iterations[[#This Row],[Step]] =current_step, current_a,IF(Iterations[[#This Row],[Step]] &gt; current_step, "",Iterations[[#This Row],[a]]))</f>
        <v/>
      </c>
      <c r="H1539" s="2" t="str">
        <f>IF(Iterations[[#This Row],[Step]] =current_step, current_b,IF(Iterations[[#This Row],[Step]] &gt; current_step, "",Iterations[[#This Row],[b]]))</f>
        <v/>
      </c>
      <c r="I1539" s="2" t="str">
        <f>IF(Iterations[[#This Row],[Step]] =current_step, current_c,IF(Iterations[[#This Row],[Step]] &gt; current_step, "",Iterations[[#This Row],[c]]))</f>
        <v/>
      </c>
      <c r="J1539" s="2" t="str">
        <f>IF(Iterations[[#This Row],[Step]] =current_step, current_d,IF(Iterations[[#This Row],[Step]] &gt; current_step, "",Iterations[[#This Row],[d]]))</f>
        <v/>
      </c>
      <c r="K1539" s="2" t="str">
        <f>IF(Iterations[[#This Row],[Step]] =current_step, current_e,IF(Iterations[[#This Row],[Step]] &gt; current_step, "",Iterations[[#This Row],[e]]))</f>
        <v/>
      </c>
      <c r="L1539" s="2" t="str">
        <f>IF(Iterations[[#This Row],[Step]] =current_step, current_Total_Loss,IF(Iterations[[#This Row],[Step]] &gt; current_step, "",Iterations[[#This Row],[Total Loss]]))</f>
        <v/>
      </c>
      <c r="M1539" s="6" t="s">
        <v>27</v>
      </c>
      <c r="N1539" s="2" t="str">
        <f>IF(Iterations[[#This Row],[Step]] =current_step, current_Grad_a,IF(Iterations[[#This Row],[Step]] &gt; current_step, "",Iterations[[#This Row],[Grad_a]]))</f>
        <v/>
      </c>
      <c r="O1539" s="2" t="str">
        <f>IF(Iterations[[#This Row],[Step]] =current_step, current_Grad_b,IF(Iterations[[#This Row],[Step]] &gt; current_step, "",Iterations[[#This Row],[Grad_b]]))</f>
        <v/>
      </c>
      <c r="P1539" s="2" t="str">
        <f>IF(Iterations[[#This Row],[Step]] =current_step, current_Grad_c,IF(Iterations[[#This Row],[Step]] &gt; current_step, "",Iterations[[#This Row],[Grad_c]]))</f>
        <v/>
      </c>
      <c r="Q1539" s="2" t="str">
        <f>IF(Iterations[[#This Row],[Step]] =current_step, current_Grad_d,IF(Iterations[[#This Row],[Step]] &gt; current_step, "",Iterations[[#This Row],[Grad_d]]))</f>
        <v/>
      </c>
      <c r="R1539" s="2" t="str">
        <f>IF(Iterations[[#This Row],[Step]] =current_step, current_Grad_e,IF(Iterations[[#This Row],[Step]] &gt; current_step, "",Iterations[[#This Row],[Grad_e]]))</f>
        <v/>
      </c>
    </row>
    <row r="1540" spans="6:18" x14ac:dyDescent="0.3">
      <c r="F1540" s="2">
        <f t="shared" si="29"/>
        <v>1523</v>
      </c>
      <c r="G1540" s="2" t="str">
        <f>IF(Iterations[[#This Row],[Step]] =current_step, current_a,IF(Iterations[[#This Row],[Step]] &gt; current_step, "",Iterations[[#This Row],[a]]))</f>
        <v/>
      </c>
      <c r="H1540" s="2" t="str">
        <f>IF(Iterations[[#This Row],[Step]] =current_step, current_b,IF(Iterations[[#This Row],[Step]] &gt; current_step, "",Iterations[[#This Row],[b]]))</f>
        <v/>
      </c>
      <c r="I1540" s="2" t="str">
        <f>IF(Iterations[[#This Row],[Step]] =current_step, current_c,IF(Iterations[[#This Row],[Step]] &gt; current_step, "",Iterations[[#This Row],[c]]))</f>
        <v/>
      </c>
      <c r="J1540" s="2" t="str">
        <f>IF(Iterations[[#This Row],[Step]] =current_step, current_d,IF(Iterations[[#This Row],[Step]] &gt; current_step, "",Iterations[[#This Row],[d]]))</f>
        <v/>
      </c>
      <c r="K1540" s="2" t="str">
        <f>IF(Iterations[[#This Row],[Step]] =current_step, current_e,IF(Iterations[[#This Row],[Step]] &gt; current_step, "",Iterations[[#This Row],[e]]))</f>
        <v/>
      </c>
      <c r="L1540" s="2" t="str">
        <f>IF(Iterations[[#This Row],[Step]] =current_step, current_Total_Loss,IF(Iterations[[#This Row],[Step]] &gt; current_step, "",Iterations[[#This Row],[Total Loss]]))</f>
        <v/>
      </c>
      <c r="M1540" s="6" t="s">
        <v>27</v>
      </c>
      <c r="N1540" s="2" t="str">
        <f>IF(Iterations[[#This Row],[Step]] =current_step, current_Grad_a,IF(Iterations[[#This Row],[Step]] &gt; current_step, "",Iterations[[#This Row],[Grad_a]]))</f>
        <v/>
      </c>
      <c r="O1540" s="2" t="str">
        <f>IF(Iterations[[#This Row],[Step]] =current_step, current_Grad_b,IF(Iterations[[#This Row],[Step]] &gt; current_step, "",Iterations[[#This Row],[Grad_b]]))</f>
        <v/>
      </c>
      <c r="P1540" s="2" t="str">
        <f>IF(Iterations[[#This Row],[Step]] =current_step, current_Grad_c,IF(Iterations[[#This Row],[Step]] &gt; current_step, "",Iterations[[#This Row],[Grad_c]]))</f>
        <v/>
      </c>
      <c r="Q1540" s="2" t="str">
        <f>IF(Iterations[[#This Row],[Step]] =current_step, current_Grad_d,IF(Iterations[[#This Row],[Step]] &gt; current_step, "",Iterations[[#This Row],[Grad_d]]))</f>
        <v/>
      </c>
      <c r="R1540" s="2" t="str">
        <f>IF(Iterations[[#This Row],[Step]] =current_step, current_Grad_e,IF(Iterations[[#This Row],[Step]] &gt; current_step, "",Iterations[[#This Row],[Grad_e]]))</f>
        <v/>
      </c>
    </row>
    <row r="1541" spans="6:18" x14ac:dyDescent="0.3">
      <c r="F1541" s="2">
        <f t="shared" si="29"/>
        <v>1524</v>
      </c>
      <c r="G1541" s="2" t="str">
        <f>IF(Iterations[[#This Row],[Step]] =current_step, current_a,IF(Iterations[[#This Row],[Step]] &gt; current_step, "",Iterations[[#This Row],[a]]))</f>
        <v/>
      </c>
      <c r="H1541" s="2" t="str">
        <f>IF(Iterations[[#This Row],[Step]] =current_step, current_b,IF(Iterations[[#This Row],[Step]] &gt; current_step, "",Iterations[[#This Row],[b]]))</f>
        <v/>
      </c>
      <c r="I1541" s="2" t="str">
        <f>IF(Iterations[[#This Row],[Step]] =current_step, current_c,IF(Iterations[[#This Row],[Step]] &gt; current_step, "",Iterations[[#This Row],[c]]))</f>
        <v/>
      </c>
      <c r="J1541" s="2" t="str">
        <f>IF(Iterations[[#This Row],[Step]] =current_step, current_d,IF(Iterations[[#This Row],[Step]] &gt; current_step, "",Iterations[[#This Row],[d]]))</f>
        <v/>
      </c>
      <c r="K1541" s="2" t="str">
        <f>IF(Iterations[[#This Row],[Step]] =current_step, current_e,IF(Iterations[[#This Row],[Step]] &gt; current_step, "",Iterations[[#This Row],[e]]))</f>
        <v/>
      </c>
      <c r="L1541" s="2" t="str">
        <f>IF(Iterations[[#This Row],[Step]] =current_step, current_Total_Loss,IF(Iterations[[#This Row],[Step]] &gt; current_step, "",Iterations[[#This Row],[Total Loss]]))</f>
        <v/>
      </c>
      <c r="M1541" s="6" t="s">
        <v>27</v>
      </c>
      <c r="N1541" s="2" t="str">
        <f>IF(Iterations[[#This Row],[Step]] =current_step, current_Grad_a,IF(Iterations[[#This Row],[Step]] &gt; current_step, "",Iterations[[#This Row],[Grad_a]]))</f>
        <v/>
      </c>
      <c r="O1541" s="2" t="str">
        <f>IF(Iterations[[#This Row],[Step]] =current_step, current_Grad_b,IF(Iterations[[#This Row],[Step]] &gt; current_step, "",Iterations[[#This Row],[Grad_b]]))</f>
        <v/>
      </c>
      <c r="P1541" s="2" t="str">
        <f>IF(Iterations[[#This Row],[Step]] =current_step, current_Grad_c,IF(Iterations[[#This Row],[Step]] &gt; current_step, "",Iterations[[#This Row],[Grad_c]]))</f>
        <v/>
      </c>
      <c r="Q1541" s="2" t="str">
        <f>IF(Iterations[[#This Row],[Step]] =current_step, current_Grad_d,IF(Iterations[[#This Row],[Step]] &gt; current_step, "",Iterations[[#This Row],[Grad_d]]))</f>
        <v/>
      </c>
      <c r="R1541" s="2" t="str">
        <f>IF(Iterations[[#This Row],[Step]] =current_step, current_Grad_e,IF(Iterations[[#This Row],[Step]] &gt; current_step, "",Iterations[[#This Row],[Grad_e]]))</f>
        <v/>
      </c>
    </row>
    <row r="1542" spans="6:18" x14ac:dyDescent="0.3">
      <c r="F1542" s="2">
        <f t="shared" si="29"/>
        <v>1525</v>
      </c>
      <c r="G1542" s="2" t="str">
        <f>IF(Iterations[[#This Row],[Step]] =current_step, current_a,IF(Iterations[[#This Row],[Step]] &gt; current_step, "",Iterations[[#This Row],[a]]))</f>
        <v/>
      </c>
      <c r="H1542" s="2" t="str">
        <f>IF(Iterations[[#This Row],[Step]] =current_step, current_b,IF(Iterations[[#This Row],[Step]] &gt; current_step, "",Iterations[[#This Row],[b]]))</f>
        <v/>
      </c>
      <c r="I1542" s="2" t="str">
        <f>IF(Iterations[[#This Row],[Step]] =current_step, current_c,IF(Iterations[[#This Row],[Step]] &gt; current_step, "",Iterations[[#This Row],[c]]))</f>
        <v/>
      </c>
      <c r="J1542" s="2" t="str">
        <f>IF(Iterations[[#This Row],[Step]] =current_step, current_d,IF(Iterations[[#This Row],[Step]] &gt; current_step, "",Iterations[[#This Row],[d]]))</f>
        <v/>
      </c>
      <c r="K1542" s="2" t="str">
        <f>IF(Iterations[[#This Row],[Step]] =current_step, current_e,IF(Iterations[[#This Row],[Step]] &gt; current_step, "",Iterations[[#This Row],[e]]))</f>
        <v/>
      </c>
      <c r="L1542" s="2" t="str">
        <f>IF(Iterations[[#This Row],[Step]] =current_step, current_Total_Loss,IF(Iterations[[#This Row],[Step]] &gt; current_step, "",Iterations[[#This Row],[Total Loss]]))</f>
        <v/>
      </c>
      <c r="M1542" s="6" t="s">
        <v>27</v>
      </c>
      <c r="N1542" s="2" t="str">
        <f>IF(Iterations[[#This Row],[Step]] =current_step, current_Grad_a,IF(Iterations[[#This Row],[Step]] &gt; current_step, "",Iterations[[#This Row],[Grad_a]]))</f>
        <v/>
      </c>
      <c r="O1542" s="2" t="str">
        <f>IF(Iterations[[#This Row],[Step]] =current_step, current_Grad_b,IF(Iterations[[#This Row],[Step]] &gt; current_step, "",Iterations[[#This Row],[Grad_b]]))</f>
        <v/>
      </c>
      <c r="P1542" s="2" t="str">
        <f>IF(Iterations[[#This Row],[Step]] =current_step, current_Grad_c,IF(Iterations[[#This Row],[Step]] &gt; current_step, "",Iterations[[#This Row],[Grad_c]]))</f>
        <v/>
      </c>
      <c r="Q1542" s="2" t="str">
        <f>IF(Iterations[[#This Row],[Step]] =current_step, current_Grad_d,IF(Iterations[[#This Row],[Step]] &gt; current_step, "",Iterations[[#This Row],[Grad_d]]))</f>
        <v/>
      </c>
      <c r="R1542" s="2" t="str">
        <f>IF(Iterations[[#This Row],[Step]] =current_step, current_Grad_e,IF(Iterations[[#This Row],[Step]] &gt; current_step, "",Iterations[[#This Row],[Grad_e]]))</f>
        <v/>
      </c>
    </row>
    <row r="1543" spans="6:18" x14ac:dyDescent="0.3">
      <c r="F1543" s="2">
        <f t="shared" si="29"/>
        <v>1526</v>
      </c>
      <c r="G1543" s="2" t="str">
        <f>IF(Iterations[[#This Row],[Step]] =current_step, current_a,IF(Iterations[[#This Row],[Step]] &gt; current_step, "",Iterations[[#This Row],[a]]))</f>
        <v/>
      </c>
      <c r="H1543" s="2" t="str">
        <f>IF(Iterations[[#This Row],[Step]] =current_step, current_b,IF(Iterations[[#This Row],[Step]] &gt; current_step, "",Iterations[[#This Row],[b]]))</f>
        <v/>
      </c>
      <c r="I1543" s="2" t="str">
        <f>IF(Iterations[[#This Row],[Step]] =current_step, current_c,IF(Iterations[[#This Row],[Step]] &gt; current_step, "",Iterations[[#This Row],[c]]))</f>
        <v/>
      </c>
      <c r="J1543" s="2" t="str">
        <f>IF(Iterations[[#This Row],[Step]] =current_step, current_d,IF(Iterations[[#This Row],[Step]] &gt; current_step, "",Iterations[[#This Row],[d]]))</f>
        <v/>
      </c>
      <c r="K1543" s="2" t="str">
        <f>IF(Iterations[[#This Row],[Step]] =current_step, current_e,IF(Iterations[[#This Row],[Step]] &gt; current_step, "",Iterations[[#This Row],[e]]))</f>
        <v/>
      </c>
      <c r="L1543" s="2" t="str">
        <f>IF(Iterations[[#This Row],[Step]] =current_step, current_Total_Loss,IF(Iterations[[#This Row],[Step]] &gt; current_step, "",Iterations[[#This Row],[Total Loss]]))</f>
        <v/>
      </c>
      <c r="M1543" s="6" t="s">
        <v>27</v>
      </c>
      <c r="N1543" s="2" t="str">
        <f>IF(Iterations[[#This Row],[Step]] =current_step, current_Grad_a,IF(Iterations[[#This Row],[Step]] &gt; current_step, "",Iterations[[#This Row],[Grad_a]]))</f>
        <v/>
      </c>
      <c r="O1543" s="2" t="str">
        <f>IF(Iterations[[#This Row],[Step]] =current_step, current_Grad_b,IF(Iterations[[#This Row],[Step]] &gt; current_step, "",Iterations[[#This Row],[Grad_b]]))</f>
        <v/>
      </c>
      <c r="P1543" s="2" t="str">
        <f>IF(Iterations[[#This Row],[Step]] =current_step, current_Grad_c,IF(Iterations[[#This Row],[Step]] &gt; current_step, "",Iterations[[#This Row],[Grad_c]]))</f>
        <v/>
      </c>
      <c r="Q1543" s="2" t="str">
        <f>IF(Iterations[[#This Row],[Step]] =current_step, current_Grad_d,IF(Iterations[[#This Row],[Step]] &gt; current_step, "",Iterations[[#This Row],[Grad_d]]))</f>
        <v/>
      </c>
      <c r="R1543" s="2" t="str">
        <f>IF(Iterations[[#This Row],[Step]] =current_step, current_Grad_e,IF(Iterations[[#This Row],[Step]] &gt; current_step, "",Iterations[[#This Row],[Grad_e]]))</f>
        <v/>
      </c>
    </row>
    <row r="1544" spans="6:18" x14ac:dyDescent="0.3">
      <c r="F1544" s="2">
        <f t="shared" si="29"/>
        <v>1527</v>
      </c>
      <c r="G1544" s="2" t="str">
        <f>IF(Iterations[[#This Row],[Step]] =current_step, current_a,IF(Iterations[[#This Row],[Step]] &gt; current_step, "",Iterations[[#This Row],[a]]))</f>
        <v/>
      </c>
      <c r="H1544" s="2" t="str">
        <f>IF(Iterations[[#This Row],[Step]] =current_step, current_b,IF(Iterations[[#This Row],[Step]] &gt; current_step, "",Iterations[[#This Row],[b]]))</f>
        <v/>
      </c>
      <c r="I1544" s="2" t="str">
        <f>IF(Iterations[[#This Row],[Step]] =current_step, current_c,IF(Iterations[[#This Row],[Step]] &gt; current_step, "",Iterations[[#This Row],[c]]))</f>
        <v/>
      </c>
      <c r="J1544" s="2" t="str">
        <f>IF(Iterations[[#This Row],[Step]] =current_step, current_d,IF(Iterations[[#This Row],[Step]] &gt; current_step, "",Iterations[[#This Row],[d]]))</f>
        <v/>
      </c>
      <c r="K1544" s="2" t="str">
        <f>IF(Iterations[[#This Row],[Step]] =current_step, current_e,IF(Iterations[[#This Row],[Step]] &gt; current_step, "",Iterations[[#This Row],[e]]))</f>
        <v/>
      </c>
      <c r="L1544" s="2" t="str">
        <f>IF(Iterations[[#This Row],[Step]] =current_step, current_Total_Loss,IF(Iterations[[#This Row],[Step]] &gt; current_step, "",Iterations[[#This Row],[Total Loss]]))</f>
        <v/>
      </c>
      <c r="M1544" s="6" t="s">
        <v>27</v>
      </c>
      <c r="N1544" s="2" t="str">
        <f>IF(Iterations[[#This Row],[Step]] =current_step, current_Grad_a,IF(Iterations[[#This Row],[Step]] &gt; current_step, "",Iterations[[#This Row],[Grad_a]]))</f>
        <v/>
      </c>
      <c r="O1544" s="2" t="str">
        <f>IF(Iterations[[#This Row],[Step]] =current_step, current_Grad_b,IF(Iterations[[#This Row],[Step]] &gt; current_step, "",Iterations[[#This Row],[Grad_b]]))</f>
        <v/>
      </c>
      <c r="P1544" s="2" t="str">
        <f>IF(Iterations[[#This Row],[Step]] =current_step, current_Grad_c,IF(Iterations[[#This Row],[Step]] &gt; current_step, "",Iterations[[#This Row],[Grad_c]]))</f>
        <v/>
      </c>
      <c r="Q1544" s="2" t="str">
        <f>IF(Iterations[[#This Row],[Step]] =current_step, current_Grad_d,IF(Iterations[[#This Row],[Step]] &gt; current_step, "",Iterations[[#This Row],[Grad_d]]))</f>
        <v/>
      </c>
      <c r="R1544" s="2" t="str">
        <f>IF(Iterations[[#This Row],[Step]] =current_step, current_Grad_e,IF(Iterations[[#This Row],[Step]] &gt; current_step, "",Iterations[[#This Row],[Grad_e]]))</f>
        <v/>
      </c>
    </row>
    <row r="1545" spans="6:18" x14ac:dyDescent="0.3">
      <c r="F1545" s="2">
        <f t="shared" si="29"/>
        <v>1528</v>
      </c>
      <c r="G1545" s="2" t="str">
        <f>IF(Iterations[[#This Row],[Step]] =current_step, current_a,IF(Iterations[[#This Row],[Step]] &gt; current_step, "",Iterations[[#This Row],[a]]))</f>
        <v/>
      </c>
      <c r="H1545" s="2" t="str">
        <f>IF(Iterations[[#This Row],[Step]] =current_step, current_b,IF(Iterations[[#This Row],[Step]] &gt; current_step, "",Iterations[[#This Row],[b]]))</f>
        <v/>
      </c>
      <c r="I1545" s="2" t="str">
        <f>IF(Iterations[[#This Row],[Step]] =current_step, current_c,IF(Iterations[[#This Row],[Step]] &gt; current_step, "",Iterations[[#This Row],[c]]))</f>
        <v/>
      </c>
      <c r="J1545" s="2" t="str">
        <f>IF(Iterations[[#This Row],[Step]] =current_step, current_d,IF(Iterations[[#This Row],[Step]] &gt; current_step, "",Iterations[[#This Row],[d]]))</f>
        <v/>
      </c>
      <c r="K1545" s="2" t="str">
        <f>IF(Iterations[[#This Row],[Step]] =current_step, current_e,IF(Iterations[[#This Row],[Step]] &gt; current_step, "",Iterations[[#This Row],[e]]))</f>
        <v/>
      </c>
      <c r="L1545" s="2" t="str">
        <f>IF(Iterations[[#This Row],[Step]] =current_step, current_Total_Loss,IF(Iterations[[#This Row],[Step]] &gt; current_step, "",Iterations[[#This Row],[Total Loss]]))</f>
        <v/>
      </c>
      <c r="M1545" s="6" t="s">
        <v>27</v>
      </c>
      <c r="N1545" s="2" t="str">
        <f>IF(Iterations[[#This Row],[Step]] =current_step, current_Grad_a,IF(Iterations[[#This Row],[Step]] &gt; current_step, "",Iterations[[#This Row],[Grad_a]]))</f>
        <v/>
      </c>
      <c r="O1545" s="2" t="str">
        <f>IF(Iterations[[#This Row],[Step]] =current_step, current_Grad_b,IF(Iterations[[#This Row],[Step]] &gt; current_step, "",Iterations[[#This Row],[Grad_b]]))</f>
        <v/>
      </c>
      <c r="P1545" s="2" t="str">
        <f>IF(Iterations[[#This Row],[Step]] =current_step, current_Grad_c,IF(Iterations[[#This Row],[Step]] &gt; current_step, "",Iterations[[#This Row],[Grad_c]]))</f>
        <v/>
      </c>
      <c r="Q1545" s="2" t="str">
        <f>IF(Iterations[[#This Row],[Step]] =current_step, current_Grad_d,IF(Iterations[[#This Row],[Step]] &gt; current_step, "",Iterations[[#This Row],[Grad_d]]))</f>
        <v/>
      </c>
      <c r="R1545" s="2" t="str">
        <f>IF(Iterations[[#This Row],[Step]] =current_step, current_Grad_e,IF(Iterations[[#This Row],[Step]] &gt; current_step, "",Iterations[[#This Row],[Grad_e]]))</f>
        <v/>
      </c>
    </row>
    <row r="1546" spans="6:18" x14ac:dyDescent="0.3">
      <c r="F1546" s="2">
        <f t="shared" si="29"/>
        <v>1529</v>
      </c>
      <c r="G1546" s="2" t="str">
        <f>IF(Iterations[[#This Row],[Step]] =current_step, current_a,IF(Iterations[[#This Row],[Step]] &gt; current_step, "",Iterations[[#This Row],[a]]))</f>
        <v/>
      </c>
      <c r="H1546" s="2" t="str">
        <f>IF(Iterations[[#This Row],[Step]] =current_step, current_b,IF(Iterations[[#This Row],[Step]] &gt; current_step, "",Iterations[[#This Row],[b]]))</f>
        <v/>
      </c>
      <c r="I1546" s="2" t="str">
        <f>IF(Iterations[[#This Row],[Step]] =current_step, current_c,IF(Iterations[[#This Row],[Step]] &gt; current_step, "",Iterations[[#This Row],[c]]))</f>
        <v/>
      </c>
      <c r="J1546" s="2" t="str">
        <f>IF(Iterations[[#This Row],[Step]] =current_step, current_d,IF(Iterations[[#This Row],[Step]] &gt; current_step, "",Iterations[[#This Row],[d]]))</f>
        <v/>
      </c>
      <c r="K1546" s="2" t="str">
        <f>IF(Iterations[[#This Row],[Step]] =current_step, current_e,IF(Iterations[[#This Row],[Step]] &gt; current_step, "",Iterations[[#This Row],[e]]))</f>
        <v/>
      </c>
      <c r="L1546" s="2" t="str">
        <f>IF(Iterations[[#This Row],[Step]] =current_step, current_Total_Loss,IF(Iterations[[#This Row],[Step]] &gt; current_step, "",Iterations[[#This Row],[Total Loss]]))</f>
        <v/>
      </c>
      <c r="M1546" s="6" t="s">
        <v>27</v>
      </c>
      <c r="N1546" s="2" t="str">
        <f>IF(Iterations[[#This Row],[Step]] =current_step, current_Grad_a,IF(Iterations[[#This Row],[Step]] &gt; current_step, "",Iterations[[#This Row],[Grad_a]]))</f>
        <v/>
      </c>
      <c r="O1546" s="2" t="str">
        <f>IF(Iterations[[#This Row],[Step]] =current_step, current_Grad_b,IF(Iterations[[#This Row],[Step]] &gt; current_step, "",Iterations[[#This Row],[Grad_b]]))</f>
        <v/>
      </c>
      <c r="P1546" s="2" t="str">
        <f>IF(Iterations[[#This Row],[Step]] =current_step, current_Grad_c,IF(Iterations[[#This Row],[Step]] &gt; current_step, "",Iterations[[#This Row],[Grad_c]]))</f>
        <v/>
      </c>
      <c r="Q1546" s="2" t="str">
        <f>IF(Iterations[[#This Row],[Step]] =current_step, current_Grad_d,IF(Iterations[[#This Row],[Step]] &gt; current_step, "",Iterations[[#This Row],[Grad_d]]))</f>
        <v/>
      </c>
      <c r="R1546" s="2" t="str">
        <f>IF(Iterations[[#This Row],[Step]] =current_step, current_Grad_e,IF(Iterations[[#This Row],[Step]] &gt; current_step, "",Iterations[[#This Row],[Grad_e]]))</f>
        <v/>
      </c>
    </row>
    <row r="1547" spans="6:18" x14ac:dyDescent="0.3">
      <c r="F1547" s="2">
        <f t="shared" si="29"/>
        <v>1530</v>
      </c>
      <c r="G1547" s="2" t="str">
        <f>IF(Iterations[[#This Row],[Step]] =current_step, current_a,IF(Iterations[[#This Row],[Step]] &gt; current_step, "",Iterations[[#This Row],[a]]))</f>
        <v/>
      </c>
      <c r="H1547" s="2" t="str">
        <f>IF(Iterations[[#This Row],[Step]] =current_step, current_b,IF(Iterations[[#This Row],[Step]] &gt; current_step, "",Iterations[[#This Row],[b]]))</f>
        <v/>
      </c>
      <c r="I1547" s="2" t="str">
        <f>IF(Iterations[[#This Row],[Step]] =current_step, current_c,IF(Iterations[[#This Row],[Step]] &gt; current_step, "",Iterations[[#This Row],[c]]))</f>
        <v/>
      </c>
      <c r="J1547" s="2" t="str">
        <f>IF(Iterations[[#This Row],[Step]] =current_step, current_d,IF(Iterations[[#This Row],[Step]] &gt; current_step, "",Iterations[[#This Row],[d]]))</f>
        <v/>
      </c>
      <c r="K1547" s="2" t="str">
        <f>IF(Iterations[[#This Row],[Step]] =current_step, current_e,IF(Iterations[[#This Row],[Step]] &gt; current_step, "",Iterations[[#This Row],[e]]))</f>
        <v/>
      </c>
      <c r="L1547" s="2" t="str">
        <f>IF(Iterations[[#This Row],[Step]] =current_step, current_Total_Loss,IF(Iterations[[#This Row],[Step]] &gt; current_step, "",Iterations[[#This Row],[Total Loss]]))</f>
        <v/>
      </c>
      <c r="M1547" s="6" t="s">
        <v>27</v>
      </c>
      <c r="N1547" s="2" t="str">
        <f>IF(Iterations[[#This Row],[Step]] =current_step, current_Grad_a,IF(Iterations[[#This Row],[Step]] &gt; current_step, "",Iterations[[#This Row],[Grad_a]]))</f>
        <v/>
      </c>
      <c r="O1547" s="2" t="str">
        <f>IF(Iterations[[#This Row],[Step]] =current_step, current_Grad_b,IF(Iterations[[#This Row],[Step]] &gt; current_step, "",Iterations[[#This Row],[Grad_b]]))</f>
        <v/>
      </c>
      <c r="P1547" s="2" t="str">
        <f>IF(Iterations[[#This Row],[Step]] =current_step, current_Grad_c,IF(Iterations[[#This Row],[Step]] &gt; current_step, "",Iterations[[#This Row],[Grad_c]]))</f>
        <v/>
      </c>
      <c r="Q1547" s="2" t="str">
        <f>IF(Iterations[[#This Row],[Step]] =current_step, current_Grad_d,IF(Iterations[[#This Row],[Step]] &gt; current_step, "",Iterations[[#This Row],[Grad_d]]))</f>
        <v/>
      </c>
      <c r="R1547" s="2" t="str">
        <f>IF(Iterations[[#This Row],[Step]] =current_step, current_Grad_e,IF(Iterations[[#This Row],[Step]] &gt; current_step, "",Iterations[[#This Row],[Grad_e]]))</f>
        <v/>
      </c>
    </row>
    <row r="1548" spans="6:18" x14ac:dyDescent="0.3">
      <c r="F1548" s="2">
        <f t="shared" si="29"/>
        <v>1531</v>
      </c>
      <c r="G1548" s="2" t="str">
        <f>IF(Iterations[[#This Row],[Step]] =current_step, current_a,IF(Iterations[[#This Row],[Step]] &gt; current_step, "",Iterations[[#This Row],[a]]))</f>
        <v/>
      </c>
      <c r="H1548" s="2" t="str">
        <f>IF(Iterations[[#This Row],[Step]] =current_step, current_b,IF(Iterations[[#This Row],[Step]] &gt; current_step, "",Iterations[[#This Row],[b]]))</f>
        <v/>
      </c>
      <c r="I1548" s="2" t="str">
        <f>IF(Iterations[[#This Row],[Step]] =current_step, current_c,IF(Iterations[[#This Row],[Step]] &gt; current_step, "",Iterations[[#This Row],[c]]))</f>
        <v/>
      </c>
      <c r="J1548" s="2" t="str">
        <f>IF(Iterations[[#This Row],[Step]] =current_step, current_d,IF(Iterations[[#This Row],[Step]] &gt; current_step, "",Iterations[[#This Row],[d]]))</f>
        <v/>
      </c>
      <c r="K1548" s="2" t="str">
        <f>IF(Iterations[[#This Row],[Step]] =current_step, current_e,IF(Iterations[[#This Row],[Step]] &gt; current_step, "",Iterations[[#This Row],[e]]))</f>
        <v/>
      </c>
      <c r="L1548" s="2" t="str">
        <f>IF(Iterations[[#This Row],[Step]] =current_step, current_Total_Loss,IF(Iterations[[#This Row],[Step]] &gt; current_step, "",Iterations[[#This Row],[Total Loss]]))</f>
        <v/>
      </c>
      <c r="M1548" s="6" t="s">
        <v>27</v>
      </c>
      <c r="N1548" s="2" t="str">
        <f>IF(Iterations[[#This Row],[Step]] =current_step, current_Grad_a,IF(Iterations[[#This Row],[Step]] &gt; current_step, "",Iterations[[#This Row],[Grad_a]]))</f>
        <v/>
      </c>
      <c r="O1548" s="2" t="str">
        <f>IF(Iterations[[#This Row],[Step]] =current_step, current_Grad_b,IF(Iterations[[#This Row],[Step]] &gt; current_step, "",Iterations[[#This Row],[Grad_b]]))</f>
        <v/>
      </c>
      <c r="P1548" s="2" t="str">
        <f>IF(Iterations[[#This Row],[Step]] =current_step, current_Grad_c,IF(Iterations[[#This Row],[Step]] &gt; current_step, "",Iterations[[#This Row],[Grad_c]]))</f>
        <v/>
      </c>
      <c r="Q1548" s="2" t="str">
        <f>IF(Iterations[[#This Row],[Step]] =current_step, current_Grad_d,IF(Iterations[[#This Row],[Step]] &gt; current_step, "",Iterations[[#This Row],[Grad_d]]))</f>
        <v/>
      </c>
      <c r="R1548" s="2" t="str">
        <f>IF(Iterations[[#This Row],[Step]] =current_step, current_Grad_e,IF(Iterations[[#This Row],[Step]] &gt; current_step, "",Iterations[[#This Row],[Grad_e]]))</f>
        <v/>
      </c>
    </row>
    <row r="1549" spans="6:18" x14ac:dyDescent="0.3">
      <c r="F1549" s="2">
        <f t="shared" si="29"/>
        <v>1532</v>
      </c>
      <c r="G1549" s="2" t="str">
        <f>IF(Iterations[[#This Row],[Step]] =current_step, current_a,IF(Iterations[[#This Row],[Step]] &gt; current_step, "",Iterations[[#This Row],[a]]))</f>
        <v/>
      </c>
      <c r="H1549" s="2" t="str">
        <f>IF(Iterations[[#This Row],[Step]] =current_step, current_b,IF(Iterations[[#This Row],[Step]] &gt; current_step, "",Iterations[[#This Row],[b]]))</f>
        <v/>
      </c>
      <c r="I1549" s="2" t="str">
        <f>IF(Iterations[[#This Row],[Step]] =current_step, current_c,IF(Iterations[[#This Row],[Step]] &gt; current_step, "",Iterations[[#This Row],[c]]))</f>
        <v/>
      </c>
      <c r="J1549" s="2" t="str">
        <f>IF(Iterations[[#This Row],[Step]] =current_step, current_d,IF(Iterations[[#This Row],[Step]] &gt; current_step, "",Iterations[[#This Row],[d]]))</f>
        <v/>
      </c>
      <c r="K1549" s="2" t="str">
        <f>IF(Iterations[[#This Row],[Step]] =current_step, current_e,IF(Iterations[[#This Row],[Step]] &gt; current_step, "",Iterations[[#This Row],[e]]))</f>
        <v/>
      </c>
      <c r="L1549" s="2" t="str">
        <f>IF(Iterations[[#This Row],[Step]] =current_step, current_Total_Loss,IF(Iterations[[#This Row],[Step]] &gt; current_step, "",Iterations[[#This Row],[Total Loss]]))</f>
        <v/>
      </c>
      <c r="M1549" s="6" t="s">
        <v>27</v>
      </c>
      <c r="N1549" s="2" t="str">
        <f>IF(Iterations[[#This Row],[Step]] =current_step, current_Grad_a,IF(Iterations[[#This Row],[Step]] &gt; current_step, "",Iterations[[#This Row],[Grad_a]]))</f>
        <v/>
      </c>
      <c r="O1549" s="2" t="str">
        <f>IF(Iterations[[#This Row],[Step]] =current_step, current_Grad_b,IF(Iterations[[#This Row],[Step]] &gt; current_step, "",Iterations[[#This Row],[Grad_b]]))</f>
        <v/>
      </c>
      <c r="P1549" s="2" t="str">
        <f>IF(Iterations[[#This Row],[Step]] =current_step, current_Grad_c,IF(Iterations[[#This Row],[Step]] &gt; current_step, "",Iterations[[#This Row],[Grad_c]]))</f>
        <v/>
      </c>
      <c r="Q1549" s="2" t="str">
        <f>IF(Iterations[[#This Row],[Step]] =current_step, current_Grad_d,IF(Iterations[[#This Row],[Step]] &gt; current_step, "",Iterations[[#This Row],[Grad_d]]))</f>
        <v/>
      </c>
      <c r="R1549" s="2" t="str">
        <f>IF(Iterations[[#This Row],[Step]] =current_step, current_Grad_e,IF(Iterations[[#This Row],[Step]] &gt; current_step, "",Iterations[[#This Row],[Grad_e]]))</f>
        <v/>
      </c>
    </row>
    <row r="1550" spans="6:18" x14ac:dyDescent="0.3">
      <c r="F1550" s="2">
        <f t="shared" si="29"/>
        <v>1533</v>
      </c>
      <c r="G1550" s="2" t="str">
        <f>IF(Iterations[[#This Row],[Step]] =current_step, current_a,IF(Iterations[[#This Row],[Step]] &gt; current_step, "",Iterations[[#This Row],[a]]))</f>
        <v/>
      </c>
      <c r="H1550" s="2" t="str">
        <f>IF(Iterations[[#This Row],[Step]] =current_step, current_b,IF(Iterations[[#This Row],[Step]] &gt; current_step, "",Iterations[[#This Row],[b]]))</f>
        <v/>
      </c>
      <c r="I1550" s="2" t="str">
        <f>IF(Iterations[[#This Row],[Step]] =current_step, current_c,IF(Iterations[[#This Row],[Step]] &gt; current_step, "",Iterations[[#This Row],[c]]))</f>
        <v/>
      </c>
      <c r="J1550" s="2" t="str">
        <f>IF(Iterations[[#This Row],[Step]] =current_step, current_d,IF(Iterations[[#This Row],[Step]] &gt; current_step, "",Iterations[[#This Row],[d]]))</f>
        <v/>
      </c>
      <c r="K1550" s="2" t="str">
        <f>IF(Iterations[[#This Row],[Step]] =current_step, current_e,IF(Iterations[[#This Row],[Step]] &gt; current_step, "",Iterations[[#This Row],[e]]))</f>
        <v/>
      </c>
      <c r="L1550" s="2" t="str">
        <f>IF(Iterations[[#This Row],[Step]] =current_step, current_Total_Loss,IF(Iterations[[#This Row],[Step]] &gt; current_step, "",Iterations[[#This Row],[Total Loss]]))</f>
        <v/>
      </c>
      <c r="M1550" s="6" t="s">
        <v>27</v>
      </c>
      <c r="N1550" s="2" t="str">
        <f>IF(Iterations[[#This Row],[Step]] =current_step, current_Grad_a,IF(Iterations[[#This Row],[Step]] &gt; current_step, "",Iterations[[#This Row],[Grad_a]]))</f>
        <v/>
      </c>
      <c r="O1550" s="2" t="str">
        <f>IF(Iterations[[#This Row],[Step]] =current_step, current_Grad_b,IF(Iterations[[#This Row],[Step]] &gt; current_step, "",Iterations[[#This Row],[Grad_b]]))</f>
        <v/>
      </c>
      <c r="P1550" s="2" t="str">
        <f>IF(Iterations[[#This Row],[Step]] =current_step, current_Grad_c,IF(Iterations[[#This Row],[Step]] &gt; current_step, "",Iterations[[#This Row],[Grad_c]]))</f>
        <v/>
      </c>
      <c r="Q1550" s="2" t="str">
        <f>IF(Iterations[[#This Row],[Step]] =current_step, current_Grad_d,IF(Iterations[[#This Row],[Step]] &gt; current_step, "",Iterations[[#This Row],[Grad_d]]))</f>
        <v/>
      </c>
      <c r="R1550" s="2" t="str">
        <f>IF(Iterations[[#This Row],[Step]] =current_step, current_Grad_e,IF(Iterations[[#This Row],[Step]] &gt; current_step, "",Iterations[[#This Row],[Grad_e]]))</f>
        <v/>
      </c>
    </row>
    <row r="1551" spans="6:18" x14ac:dyDescent="0.3">
      <c r="F1551" s="2">
        <f t="shared" si="29"/>
        <v>1534</v>
      </c>
      <c r="G1551" s="2" t="str">
        <f>IF(Iterations[[#This Row],[Step]] =current_step, current_a,IF(Iterations[[#This Row],[Step]] &gt; current_step, "",Iterations[[#This Row],[a]]))</f>
        <v/>
      </c>
      <c r="H1551" s="2" t="str">
        <f>IF(Iterations[[#This Row],[Step]] =current_step, current_b,IF(Iterations[[#This Row],[Step]] &gt; current_step, "",Iterations[[#This Row],[b]]))</f>
        <v/>
      </c>
      <c r="I1551" s="2" t="str">
        <f>IF(Iterations[[#This Row],[Step]] =current_step, current_c,IF(Iterations[[#This Row],[Step]] &gt; current_step, "",Iterations[[#This Row],[c]]))</f>
        <v/>
      </c>
      <c r="J1551" s="2" t="str">
        <f>IF(Iterations[[#This Row],[Step]] =current_step, current_d,IF(Iterations[[#This Row],[Step]] &gt; current_step, "",Iterations[[#This Row],[d]]))</f>
        <v/>
      </c>
      <c r="K1551" s="2" t="str">
        <f>IF(Iterations[[#This Row],[Step]] =current_step, current_e,IF(Iterations[[#This Row],[Step]] &gt; current_step, "",Iterations[[#This Row],[e]]))</f>
        <v/>
      </c>
      <c r="L1551" s="2" t="str">
        <f>IF(Iterations[[#This Row],[Step]] =current_step, current_Total_Loss,IF(Iterations[[#This Row],[Step]] &gt; current_step, "",Iterations[[#This Row],[Total Loss]]))</f>
        <v/>
      </c>
      <c r="M1551" s="6" t="s">
        <v>27</v>
      </c>
      <c r="N1551" s="2" t="str">
        <f>IF(Iterations[[#This Row],[Step]] =current_step, current_Grad_a,IF(Iterations[[#This Row],[Step]] &gt; current_step, "",Iterations[[#This Row],[Grad_a]]))</f>
        <v/>
      </c>
      <c r="O1551" s="2" t="str">
        <f>IF(Iterations[[#This Row],[Step]] =current_step, current_Grad_b,IF(Iterations[[#This Row],[Step]] &gt; current_step, "",Iterations[[#This Row],[Grad_b]]))</f>
        <v/>
      </c>
      <c r="P1551" s="2" t="str">
        <f>IF(Iterations[[#This Row],[Step]] =current_step, current_Grad_c,IF(Iterations[[#This Row],[Step]] &gt; current_step, "",Iterations[[#This Row],[Grad_c]]))</f>
        <v/>
      </c>
      <c r="Q1551" s="2" t="str">
        <f>IF(Iterations[[#This Row],[Step]] =current_step, current_Grad_d,IF(Iterations[[#This Row],[Step]] &gt; current_step, "",Iterations[[#This Row],[Grad_d]]))</f>
        <v/>
      </c>
      <c r="R1551" s="2" t="str">
        <f>IF(Iterations[[#This Row],[Step]] =current_step, current_Grad_e,IF(Iterations[[#This Row],[Step]] &gt; current_step, "",Iterations[[#This Row],[Grad_e]]))</f>
        <v/>
      </c>
    </row>
    <row r="1552" spans="6:18" x14ac:dyDescent="0.3">
      <c r="F1552" s="2">
        <f t="shared" si="29"/>
        <v>1535</v>
      </c>
      <c r="G1552" s="2" t="str">
        <f>IF(Iterations[[#This Row],[Step]] =current_step, current_a,IF(Iterations[[#This Row],[Step]] &gt; current_step, "",Iterations[[#This Row],[a]]))</f>
        <v/>
      </c>
      <c r="H1552" s="2" t="str">
        <f>IF(Iterations[[#This Row],[Step]] =current_step, current_b,IF(Iterations[[#This Row],[Step]] &gt; current_step, "",Iterations[[#This Row],[b]]))</f>
        <v/>
      </c>
      <c r="I1552" s="2" t="str">
        <f>IF(Iterations[[#This Row],[Step]] =current_step, current_c,IF(Iterations[[#This Row],[Step]] &gt; current_step, "",Iterations[[#This Row],[c]]))</f>
        <v/>
      </c>
      <c r="J1552" s="2" t="str">
        <f>IF(Iterations[[#This Row],[Step]] =current_step, current_d,IF(Iterations[[#This Row],[Step]] &gt; current_step, "",Iterations[[#This Row],[d]]))</f>
        <v/>
      </c>
      <c r="K1552" s="2" t="str">
        <f>IF(Iterations[[#This Row],[Step]] =current_step, current_e,IF(Iterations[[#This Row],[Step]] &gt; current_step, "",Iterations[[#This Row],[e]]))</f>
        <v/>
      </c>
      <c r="L1552" s="2" t="str">
        <f>IF(Iterations[[#This Row],[Step]] =current_step, current_Total_Loss,IF(Iterations[[#This Row],[Step]] &gt; current_step, "",Iterations[[#This Row],[Total Loss]]))</f>
        <v/>
      </c>
      <c r="M1552" s="6" t="s">
        <v>27</v>
      </c>
      <c r="N1552" s="2" t="str">
        <f>IF(Iterations[[#This Row],[Step]] =current_step, current_Grad_a,IF(Iterations[[#This Row],[Step]] &gt; current_step, "",Iterations[[#This Row],[Grad_a]]))</f>
        <v/>
      </c>
      <c r="O1552" s="2" t="str">
        <f>IF(Iterations[[#This Row],[Step]] =current_step, current_Grad_b,IF(Iterations[[#This Row],[Step]] &gt; current_step, "",Iterations[[#This Row],[Grad_b]]))</f>
        <v/>
      </c>
      <c r="P1552" s="2" t="str">
        <f>IF(Iterations[[#This Row],[Step]] =current_step, current_Grad_c,IF(Iterations[[#This Row],[Step]] &gt; current_step, "",Iterations[[#This Row],[Grad_c]]))</f>
        <v/>
      </c>
      <c r="Q1552" s="2" t="str">
        <f>IF(Iterations[[#This Row],[Step]] =current_step, current_Grad_d,IF(Iterations[[#This Row],[Step]] &gt; current_step, "",Iterations[[#This Row],[Grad_d]]))</f>
        <v/>
      </c>
      <c r="R1552" s="2" t="str">
        <f>IF(Iterations[[#This Row],[Step]] =current_step, current_Grad_e,IF(Iterations[[#This Row],[Step]] &gt; current_step, "",Iterations[[#This Row],[Grad_e]]))</f>
        <v/>
      </c>
    </row>
    <row r="1553" spans="6:18" x14ac:dyDescent="0.3">
      <c r="F1553" s="2">
        <f t="shared" si="29"/>
        <v>1536</v>
      </c>
      <c r="G1553" s="2" t="str">
        <f>IF(Iterations[[#This Row],[Step]] =current_step, current_a,IF(Iterations[[#This Row],[Step]] &gt; current_step, "",Iterations[[#This Row],[a]]))</f>
        <v/>
      </c>
      <c r="H1553" s="2" t="str">
        <f>IF(Iterations[[#This Row],[Step]] =current_step, current_b,IF(Iterations[[#This Row],[Step]] &gt; current_step, "",Iterations[[#This Row],[b]]))</f>
        <v/>
      </c>
      <c r="I1553" s="2" t="str">
        <f>IF(Iterations[[#This Row],[Step]] =current_step, current_c,IF(Iterations[[#This Row],[Step]] &gt; current_step, "",Iterations[[#This Row],[c]]))</f>
        <v/>
      </c>
      <c r="J1553" s="2" t="str">
        <f>IF(Iterations[[#This Row],[Step]] =current_step, current_d,IF(Iterations[[#This Row],[Step]] &gt; current_step, "",Iterations[[#This Row],[d]]))</f>
        <v/>
      </c>
      <c r="K1553" s="2" t="str">
        <f>IF(Iterations[[#This Row],[Step]] =current_step, current_e,IF(Iterations[[#This Row],[Step]] &gt; current_step, "",Iterations[[#This Row],[e]]))</f>
        <v/>
      </c>
      <c r="L1553" s="2" t="str">
        <f>IF(Iterations[[#This Row],[Step]] =current_step, current_Total_Loss,IF(Iterations[[#This Row],[Step]] &gt; current_step, "",Iterations[[#This Row],[Total Loss]]))</f>
        <v/>
      </c>
      <c r="M1553" s="6" t="s">
        <v>27</v>
      </c>
      <c r="N1553" s="2" t="str">
        <f>IF(Iterations[[#This Row],[Step]] =current_step, current_Grad_a,IF(Iterations[[#This Row],[Step]] &gt; current_step, "",Iterations[[#This Row],[Grad_a]]))</f>
        <v/>
      </c>
      <c r="O1553" s="2" t="str">
        <f>IF(Iterations[[#This Row],[Step]] =current_step, current_Grad_b,IF(Iterations[[#This Row],[Step]] &gt; current_step, "",Iterations[[#This Row],[Grad_b]]))</f>
        <v/>
      </c>
      <c r="P1553" s="2" t="str">
        <f>IF(Iterations[[#This Row],[Step]] =current_step, current_Grad_c,IF(Iterations[[#This Row],[Step]] &gt; current_step, "",Iterations[[#This Row],[Grad_c]]))</f>
        <v/>
      </c>
      <c r="Q1553" s="2" t="str">
        <f>IF(Iterations[[#This Row],[Step]] =current_step, current_Grad_d,IF(Iterations[[#This Row],[Step]] &gt; current_step, "",Iterations[[#This Row],[Grad_d]]))</f>
        <v/>
      </c>
      <c r="R1553" s="2" t="str">
        <f>IF(Iterations[[#This Row],[Step]] =current_step, current_Grad_e,IF(Iterations[[#This Row],[Step]] &gt; current_step, "",Iterations[[#This Row],[Grad_e]]))</f>
        <v/>
      </c>
    </row>
    <row r="1554" spans="6:18" x14ac:dyDescent="0.3">
      <c r="F1554" s="2">
        <f t="shared" si="29"/>
        <v>1537</v>
      </c>
      <c r="G1554" s="2" t="str">
        <f>IF(Iterations[[#This Row],[Step]] =current_step, current_a,IF(Iterations[[#This Row],[Step]] &gt; current_step, "",Iterations[[#This Row],[a]]))</f>
        <v/>
      </c>
      <c r="H1554" s="2" t="str">
        <f>IF(Iterations[[#This Row],[Step]] =current_step, current_b,IF(Iterations[[#This Row],[Step]] &gt; current_step, "",Iterations[[#This Row],[b]]))</f>
        <v/>
      </c>
      <c r="I1554" s="2" t="str">
        <f>IF(Iterations[[#This Row],[Step]] =current_step, current_c,IF(Iterations[[#This Row],[Step]] &gt; current_step, "",Iterations[[#This Row],[c]]))</f>
        <v/>
      </c>
      <c r="J1554" s="2" t="str">
        <f>IF(Iterations[[#This Row],[Step]] =current_step, current_d,IF(Iterations[[#This Row],[Step]] &gt; current_step, "",Iterations[[#This Row],[d]]))</f>
        <v/>
      </c>
      <c r="K1554" s="2" t="str">
        <f>IF(Iterations[[#This Row],[Step]] =current_step, current_e,IF(Iterations[[#This Row],[Step]] &gt; current_step, "",Iterations[[#This Row],[e]]))</f>
        <v/>
      </c>
      <c r="L1554" s="2" t="str">
        <f>IF(Iterations[[#This Row],[Step]] =current_step, current_Total_Loss,IF(Iterations[[#This Row],[Step]] &gt; current_step, "",Iterations[[#This Row],[Total Loss]]))</f>
        <v/>
      </c>
      <c r="M1554" s="6" t="s">
        <v>27</v>
      </c>
      <c r="N1554" s="2" t="str">
        <f>IF(Iterations[[#This Row],[Step]] =current_step, current_Grad_a,IF(Iterations[[#This Row],[Step]] &gt; current_step, "",Iterations[[#This Row],[Grad_a]]))</f>
        <v/>
      </c>
      <c r="O1554" s="2" t="str">
        <f>IF(Iterations[[#This Row],[Step]] =current_step, current_Grad_b,IF(Iterations[[#This Row],[Step]] &gt; current_step, "",Iterations[[#This Row],[Grad_b]]))</f>
        <v/>
      </c>
      <c r="P1554" s="2" t="str">
        <f>IF(Iterations[[#This Row],[Step]] =current_step, current_Grad_c,IF(Iterations[[#This Row],[Step]] &gt; current_step, "",Iterations[[#This Row],[Grad_c]]))</f>
        <v/>
      </c>
      <c r="Q1554" s="2" t="str">
        <f>IF(Iterations[[#This Row],[Step]] =current_step, current_Grad_d,IF(Iterations[[#This Row],[Step]] &gt; current_step, "",Iterations[[#This Row],[Grad_d]]))</f>
        <v/>
      </c>
      <c r="R1554" s="2" t="str">
        <f>IF(Iterations[[#This Row],[Step]] =current_step, current_Grad_e,IF(Iterations[[#This Row],[Step]] &gt; current_step, "",Iterations[[#This Row],[Grad_e]]))</f>
        <v/>
      </c>
    </row>
    <row r="1555" spans="6:18" x14ac:dyDescent="0.3">
      <c r="F1555" s="2">
        <f t="shared" si="29"/>
        <v>1538</v>
      </c>
      <c r="G1555" s="2" t="str">
        <f>IF(Iterations[[#This Row],[Step]] =current_step, current_a,IF(Iterations[[#This Row],[Step]] &gt; current_step, "",Iterations[[#This Row],[a]]))</f>
        <v/>
      </c>
      <c r="H1555" s="2" t="str">
        <f>IF(Iterations[[#This Row],[Step]] =current_step, current_b,IF(Iterations[[#This Row],[Step]] &gt; current_step, "",Iterations[[#This Row],[b]]))</f>
        <v/>
      </c>
      <c r="I1555" s="2" t="str">
        <f>IF(Iterations[[#This Row],[Step]] =current_step, current_c,IF(Iterations[[#This Row],[Step]] &gt; current_step, "",Iterations[[#This Row],[c]]))</f>
        <v/>
      </c>
      <c r="J1555" s="2" t="str">
        <f>IF(Iterations[[#This Row],[Step]] =current_step, current_d,IF(Iterations[[#This Row],[Step]] &gt; current_step, "",Iterations[[#This Row],[d]]))</f>
        <v/>
      </c>
      <c r="K1555" s="2" t="str">
        <f>IF(Iterations[[#This Row],[Step]] =current_step, current_e,IF(Iterations[[#This Row],[Step]] &gt; current_step, "",Iterations[[#This Row],[e]]))</f>
        <v/>
      </c>
      <c r="L1555" s="2" t="str">
        <f>IF(Iterations[[#This Row],[Step]] =current_step, current_Total_Loss,IF(Iterations[[#This Row],[Step]] &gt; current_step, "",Iterations[[#This Row],[Total Loss]]))</f>
        <v/>
      </c>
      <c r="M1555" s="6" t="s">
        <v>27</v>
      </c>
      <c r="N1555" s="2" t="str">
        <f>IF(Iterations[[#This Row],[Step]] =current_step, current_Grad_a,IF(Iterations[[#This Row],[Step]] &gt; current_step, "",Iterations[[#This Row],[Grad_a]]))</f>
        <v/>
      </c>
      <c r="O1555" s="2" t="str">
        <f>IF(Iterations[[#This Row],[Step]] =current_step, current_Grad_b,IF(Iterations[[#This Row],[Step]] &gt; current_step, "",Iterations[[#This Row],[Grad_b]]))</f>
        <v/>
      </c>
      <c r="P1555" s="2" t="str">
        <f>IF(Iterations[[#This Row],[Step]] =current_step, current_Grad_c,IF(Iterations[[#This Row],[Step]] &gt; current_step, "",Iterations[[#This Row],[Grad_c]]))</f>
        <v/>
      </c>
      <c r="Q1555" s="2" t="str">
        <f>IF(Iterations[[#This Row],[Step]] =current_step, current_Grad_d,IF(Iterations[[#This Row],[Step]] &gt; current_step, "",Iterations[[#This Row],[Grad_d]]))</f>
        <v/>
      </c>
      <c r="R1555" s="2" t="str">
        <f>IF(Iterations[[#This Row],[Step]] =current_step, current_Grad_e,IF(Iterations[[#This Row],[Step]] &gt; current_step, "",Iterations[[#This Row],[Grad_e]]))</f>
        <v/>
      </c>
    </row>
    <row r="1556" spans="6:18" x14ac:dyDescent="0.3">
      <c r="F1556" s="2">
        <f t="shared" si="29"/>
        <v>1539</v>
      </c>
      <c r="G1556" s="2" t="str">
        <f>IF(Iterations[[#This Row],[Step]] =current_step, current_a,IF(Iterations[[#This Row],[Step]] &gt; current_step, "",Iterations[[#This Row],[a]]))</f>
        <v/>
      </c>
      <c r="H1556" s="2" t="str">
        <f>IF(Iterations[[#This Row],[Step]] =current_step, current_b,IF(Iterations[[#This Row],[Step]] &gt; current_step, "",Iterations[[#This Row],[b]]))</f>
        <v/>
      </c>
      <c r="I1556" s="2" t="str">
        <f>IF(Iterations[[#This Row],[Step]] =current_step, current_c,IF(Iterations[[#This Row],[Step]] &gt; current_step, "",Iterations[[#This Row],[c]]))</f>
        <v/>
      </c>
      <c r="J1556" s="2" t="str">
        <f>IF(Iterations[[#This Row],[Step]] =current_step, current_d,IF(Iterations[[#This Row],[Step]] &gt; current_step, "",Iterations[[#This Row],[d]]))</f>
        <v/>
      </c>
      <c r="K1556" s="2" t="str">
        <f>IF(Iterations[[#This Row],[Step]] =current_step, current_e,IF(Iterations[[#This Row],[Step]] &gt; current_step, "",Iterations[[#This Row],[e]]))</f>
        <v/>
      </c>
      <c r="L1556" s="2" t="str">
        <f>IF(Iterations[[#This Row],[Step]] =current_step, current_Total_Loss,IF(Iterations[[#This Row],[Step]] &gt; current_step, "",Iterations[[#This Row],[Total Loss]]))</f>
        <v/>
      </c>
      <c r="M1556" s="6" t="s">
        <v>27</v>
      </c>
      <c r="N1556" s="2" t="str">
        <f>IF(Iterations[[#This Row],[Step]] =current_step, current_Grad_a,IF(Iterations[[#This Row],[Step]] &gt; current_step, "",Iterations[[#This Row],[Grad_a]]))</f>
        <v/>
      </c>
      <c r="O1556" s="2" t="str">
        <f>IF(Iterations[[#This Row],[Step]] =current_step, current_Grad_b,IF(Iterations[[#This Row],[Step]] &gt; current_step, "",Iterations[[#This Row],[Grad_b]]))</f>
        <v/>
      </c>
      <c r="P1556" s="2" t="str">
        <f>IF(Iterations[[#This Row],[Step]] =current_step, current_Grad_c,IF(Iterations[[#This Row],[Step]] &gt; current_step, "",Iterations[[#This Row],[Grad_c]]))</f>
        <v/>
      </c>
      <c r="Q1556" s="2" t="str">
        <f>IF(Iterations[[#This Row],[Step]] =current_step, current_Grad_d,IF(Iterations[[#This Row],[Step]] &gt; current_step, "",Iterations[[#This Row],[Grad_d]]))</f>
        <v/>
      </c>
      <c r="R1556" s="2" t="str">
        <f>IF(Iterations[[#This Row],[Step]] =current_step, current_Grad_e,IF(Iterations[[#This Row],[Step]] &gt; current_step, "",Iterations[[#This Row],[Grad_e]]))</f>
        <v/>
      </c>
    </row>
    <row r="1557" spans="6:18" x14ac:dyDescent="0.3">
      <c r="F1557" s="2">
        <f t="shared" si="29"/>
        <v>1540</v>
      </c>
      <c r="G1557" s="2" t="str">
        <f>IF(Iterations[[#This Row],[Step]] =current_step, current_a,IF(Iterations[[#This Row],[Step]] &gt; current_step, "",Iterations[[#This Row],[a]]))</f>
        <v/>
      </c>
      <c r="H1557" s="2" t="str">
        <f>IF(Iterations[[#This Row],[Step]] =current_step, current_b,IF(Iterations[[#This Row],[Step]] &gt; current_step, "",Iterations[[#This Row],[b]]))</f>
        <v/>
      </c>
      <c r="I1557" s="2" t="str">
        <f>IF(Iterations[[#This Row],[Step]] =current_step, current_c,IF(Iterations[[#This Row],[Step]] &gt; current_step, "",Iterations[[#This Row],[c]]))</f>
        <v/>
      </c>
      <c r="J1557" s="2" t="str">
        <f>IF(Iterations[[#This Row],[Step]] =current_step, current_d,IF(Iterations[[#This Row],[Step]] &gt; current_step, "",Iterations[[#This Row],[d]]))</f>
        <v/>
      </c>
      <c r="K1557" s="2" t="str">
        <f>IF(Iterations[[#This Row],[Step]] =current_step, current_e,IF(Iterations[[#This Row],[Step]] &gt; current_step, "",Iterations[[#This Row],[e]]))</f>
        <v/>
      </c>
      <c r="L1557" s="2" t="str">
        <f>IF(Iterations[[#This Row],[Step]] =current_step, current_Total_Loss,IF(Iterations[[#This Row],[Step]] &gt; current_step, "",Iterations[[#This Row],[Total Loss]]))</f>
        <v/>
      </c>
      <c r="M1557" s="6" t="s">
        <v>27</v>
      </c>
      <c r="N1557" s="2" t="str">
        <f>IF(Iterations[[#This Row],[Step]] =current_step, current_Grad_a,IF(Iterations[[#This Row],[Step]] &gt; current_step, "",Iterations[[#This Row],[Grad_a]]))</f>
        <v/>
      </c>
      <c r="O1557" s="2" t="str">
        <f>IF(Iterations[[#This Row],[Step]] =current_step, current_Grad_b,IF(Iterations[[#This Row],[Step]] &gt; current_step, "",Iterations[[#This Row],[Grad_b]]))</f>
        <v/>
      </c>
      <c r="P1557" s="2" t="str">
        <f>IF(Iterations[[#This Row],[Step]] =current_step, current_Grad_c,IF(Iterations[[#This Row],[Step]] &gt; current_step, "",Iterations[[#This Row],[Grad_c]]))</f>
        <v/>
      </c>
      <c r="Q1557" s="2" t="str">
        <f>IF(Iterations[[#This Row],[Step]] =current_step, current_Grad_d,IF(Iterations[[#This Row],[Step]] &gt; current_step, "",Iterations[[#This Row],[Grad_d]]))</f>
        <v/>
      </c>
      <c r="R1557" s="2" t="str">
        <f>IF(Iterations[[#This Row],[Step]] =current_step, current_Grad_e,IF(Iterations[[#This Row],[Step]] &gt; current_step, "",Iterations[[#This Row],[Grad_e]]))</f>
        <v/>
      </c>
    </row>
    <row r="1558" spans="6:18" x14ac:dyDescent="0.3">
      <c r="F1558" s="2">
        <f t="shared" si="29"/>
        <v>1541</v>
      </c>
      <c r="G1558" s="2" t="str">
        <f>IF(Iterations[[#This Row],[Step]] =current_step, current_a,IF(Iterations[[#This Row],[Step]] &gt; current_step, "",Iterations[[#This Row],[a]]))</f>
        <v/>
      </c>
      <c r="H1558" s="2" t="str">
        <f>IF(Iterations[[#This Row],[Step]] =current_step, current_b,IF(Iterations[[#This Row],[Step]] &gt; current_step, "",Iterations[[#This Row],[b]]))</f>
        <v/>
      </c>
      <c r="I1558" s="2" t="str">
        <f>IF(Iterations[[#This Row],[Step]] =current_step, current_c,IF(Iterations[[#This Row],[Step]] &gt; current_step, "",Iterations[[#This Row],[c]]))</f>
        <v/>
      </c>
      <c r="J1558" s="2" t="str">
        <f>IF(Iterations[[#This Row],[Step]] =current_step, current_d,IF(Iterations[[#This Row],[Step]] &gt; current_step, "",Iterations[[#This Row],[d]]))</f>
        <v/>
      </c>
      <c r="K1558" s="2" t="str">
        <f>IF(Iterations[[#This Row],[Step]] =current_step, current_e,IF(Iterations[[#This Row],[Step]] &gt; current_step, "",Iterations[[#This Row],[e]]))</f>
        <v/>
      </c>
      <c r="L1558" s="2" t="str">
        <f>IF(Iterations[[#This Row],[Step]] =current_step, current_Total_Loss,IF(Iterations[[#This Row],[Step]] &gt; current_step, "",Iterations[[#This Row],[Total Loss]]))</f>
        <v/>
      </c>
      <c r="M1558" s="6" t="s">
        <v>27</v>
      </c>
      <c r="N1558" s="2" t="str">
        <f>IF(Iterations[[#This Row],[Step]] =current_step, current_Grad_a,IF(Iterations[[#This Row],[Step]] &gt; current_step, "",Iterations[[#This Row],[Grad_a]]))</f>
        <v/>
      </c>
      <c r="O1558" s="2" t="str">
        <f>IF(Iterations[[#This Row],[Step]] =current_step, current_Grad_b,IF(Iterations[[#This Row],[Step]] &gt; current_step, "",Iterations[[#This Row],[Grad_b]]))</f>
        <v/>
      </c>
      <c r="P1558" s="2" t="str">
        <f>IF(Iterations[[#This Row],[Step]] =current_step, current_Grad_c,IF(Iterations[[#This Row],[Step]] &gt; current_step, "",Iterations[[#This Row],[Grad_c]]))</f>
        <v/>
      </c>
      <c r="Q1558" s="2" t="str">
        <f>IF(Iterations[[#This Row],[Step]] =current_step, current_Grad_d,IF(Iterations[[#This Row],[Step]] &gt; current_step, "",Iterations[[#This Row],[Grad_d]]))</f>
        <v/>
      </c>
      <c r="R1558" s="2" t="str">
        <f>IF(Iterations[[#This Row],[Step]] =current_step, current_Grad_e,IF(Iterations[[#This Row],[Step]] &gt; current_step, "",Iterations[[#This Row],[Grad_e]]))</f>
        <v/>
      </c>
    </row>
    <row r="1559" spans="6:18" x14ac:dyDescent="0.3">
      <c r="F1559" s="2">
        <f t="shared" si="29"/>
        <v>1542</v>
      </c>
      <c r="G1559" s="2" t="str">
        <f>IF(Iterations[[#This Row],[Step]] =current_step, current_a,IF(Iterations[[#This Row],[Step]] &gt; current_step, "",Iterations[[#This Row],[a]]))</f>
        <v/>
      </c>
      <c r="H1559" s="2" t="str">
        <f>IF(Iterations[[#This Row],[Step]] =current_step, current_b,IF(Iterations[[#This Row],[Step]] &gt; current_step, "",Iterations[[#This Row],[b]]))</f>
        <v/>
      </c>
      <c r="I1559" s="2" t="str">
        <f>IF(Iterations[[#This Row],[Step]] =current_step, current_c,IF(Iterations[[#This Row],[Step]] &gt; current_step, "",Iterations[[#This Row],[c]]))</f>
        <v/>
      </c>
      <c r="J1559" s="2" t="str">
        <f>IF(Iterations[[#This Row],[Step]] =current_step, current_d,IF(Iterations[[#This Row],[Step]] &gt; current_step, "",Iterations[[#This Row],[d]]))</f>
        <v/>
      </c>
      <c r="K1559" s="2" t="str">
        <f>IF(Iterations[[#This Row],[Step]] =current_step, current_e,IF(Iterations[[#This Row],[Step]] &gt; current_step, "",Iterations[[#This Row],[e]]))</f>
        <v/>
      </c>
      <c r="L1559" s="2" t="str">
        <f>IF(Iterations[[#This Row],[Step]] =current_step, current_Total_Loss,IF(Iterations[[#This Row],[Step]] &gt; current_step, "",Iterations[[#This Row],[Total Loss]]))</f>
        <v/>
      </c>
      <c r="M1559" s="6" t="s">
        <v>27</v>
      </c>
      <c r="N1559" s="2" t="str">
        <f>IF(Iterations[[#This Row],[Step]] =current_step, current_Grad_a,IF(Iterations[[#This Row],[Step]] &gt; current_step, "",Iterations[[#This Row],[Grad_a]]))</f>
        <v/>
      </c>
      <c r="O1559" s="2" t="str">
        <f>IF(Iterations[[#This Row],[Step]] =current_step, current_Grad_b,IF(Iterations[[#This Row],[Step]] &gt; current_step, "",Iterations[[#This Row],[Grad_b]]))</f>
        <v/>
      </c>
      <c r="P1559" s="2" t="str">
        <f>IF(Iterations[[#This Row],[Step]] =current_step, current_Grad_c,IF(Iterations[[#This Row],[Step]] &gt; current_step, "",Iterations[[#This Row],[Grad_c]]))</f>
        <v/>
      </c>
      <c r="Q1559" s="2" t="str">
        <f>IF(Iterations[[#This Row],[Step]] =current_step, current_Grad_d,IF(Iterations[[#This Row],[Step]] &gt; current_step, "",Iterations[[#This Row],[Grad_d]]))</f>
        <v/>
      </c>
      <c r="R1559" s="2" t="str">
        <f>IF(Iterations[[#This Row],[Step]] =current_step, current_Grad_e,IF(Iterations[[#This Row],[Step]] &gt; current_step, "",Iterations[[#This Row],[Grad_e]]))</f>
        <v/>
      </c>
    </row>
    <row r="1560" spans="6:18" x14ac:dyDescent="0.3">
      <c r="F1560" s="2">
        <f t="shared" si="29"/>
        <v>1543</v>
      </c>
      <c r="G1560" s="2" t="str">
        <f>IF(Iterations[[#This Row],[Step]] =current_step, current_a,IF(Iterations[[#This Row],[Step]] &gt; current_step, "",Iterations[[#This Row],[a]]))</f>
        <v/>
      </c>
      <c r="H1560" s="2" t="str">
        <f>IF(Iterations[[#This Row],[Step]] =current_step, current_b,IF(Iterations[[#This Row],[Step]] &gt; current_step, "",Iterations[[#This Row],[b]]))</f>
        <v/>
      </c>
      <c r="I1560" s="2" t="str">
        <f>IF(Iterations[[#This Row],[Step]] =current_step, current_c,IF(Iterations[[#This Row],[Step]] &gt; current_step, "",Iterations[[#This Row],[c]]))</f>
        <v/>
      </c>
      <c r="J1560" s="2" t="str">
        <f>IF(Iterations[[#This Row],[Step]] =current_step, current_d,IF(Iterations[[#This Row],[Step]] &gt; current_step, "",Iterations[[#This Row],[d]]))</f>
        <v/>
      </c>
      <c r="K1560" s="2" t="str">
        <f>IF(Iterations[[#This Row],[Step]] =current_step, current_e,IF(Iterations[[#This Row],[Step]] &gt; current_step, "",Iterations[[#This Row],[e]]))</f>
        <v/>
      </c>
      <c r="L1560" s="2" t="str">
        <f>IF(Iterations[[#This Row],[Step]] =current_step, current_Total_Loss,IF(Iterations[[#This Row],[Step]] &gt; current_step, "",Iterations[[#This Row],[Total Loss]]))</f>
        <v/>
      </c>
      <c r="M1560" s="6" t="s">
        <v>27</v>
      </c>
      <c r="N1560" s="2" t="str">
        <f>IF(Iterations[[#This Row],[Step]] =current_step, current_Grad_a,IF(Iterations[[#This Row],[Step]] &gt; current_step, "",Iterations[[#This Row],[Grad_a]]))</f>
        <v/>
      </c>
      <c r="O1560" s="2" t="str">
        <f>IF(Iterations[[#This Row],[Step]] =current_step, current_Grad_b,IF(Iterations[[#This Row],[Step]] &gt; current_step, "",Iterations[[#This Row],[Grad_b]]))</f>
        <v/>
      </c>
      <c r="P1560" s="2" t="str">
        <f>IF(Iterations[[#This Row],[Step]] =current_step, current_Grad_c,IF(Iterations[[#This Row],[Step]] &gt; current_step, "",Iterations[[#This Row],[Grad_c]]))</f>
        <v/>
      </c>
      <c r="Q1560" s="2" t="str">
        <f>IF(Iterations[[#This Row],[Step]] =current_step, current_Grad_d,IF(Iterations[[#This Row],[Step]] &gt; current_step, "",Iterations[[#This Row],[Grad_d]]))</f>
        <v/>
      </c>
      <c r="R1560" s="2" t="str">
        <f>IF(Iterations[[#This Row],[Step]] =current_step, current_Grad_e,IF(Iterations[[#This Row],[Step]] &gt; current_step, "",Iterations[[#This Row],[Grad_e]]))</f>
        <v/>
      </c>
    </row>
    <row r="1561" spans="6:18" x14ac:dyDescent="0.3">
      <c r="F1561" s="2">
        <f t="shared" si="29"/>
        <v>1544</v>
      </c>
      <c r="G1561" s="2" t="str">
        <f>IF(Iterations[[#This Row],[Step]] =current_step, current_a,IF(Iterations[[#This Row],[Step]] &gt; current_step, "",Iterations[[#This Row],[a]]))</f>
        <v/>
      </c>
      <c r="H1561" s="2" t="str">
        <f>IF(Iterations[[#This Row],[Step]] =current_step, current_b,IF(Iterations[[#This Row],[Step]] &gt; current_step, "",Iterations[[#This Row],[b]]))</f>
        <v/>
      </c>
      <c r="I1561" s="2" t="str">
        <f>IF(Iterations[[#This Row],[Step]] =current_step, current_c,IF(Iterations[[#This Row],[Step]] &gt; current_step, "",Iterations[[#This Row],[c]]))</f>
        <v/>
      </c>
      <c r="J1561" s="2" t="str">
        <f>IF(Iterations[[#This Row],[Step]] =current_step, current_d,IF(Iterations[[#This Row],[Step]] &gt; current_step, "",Iterations[[#This Row],[d]]))</f>
        <v/>
      </c>
      <c r="K1561" s="2" t="str">
        <f>IF(Iterations[[#This Row],[Step]] =current_step, current_e,IF(Iterations[[#This Row],[Step]] &gt; current_step, "",Iterations[[#This Row],[e]]))</f>
        <v/>
      </c>
      <c r="L1561" s="2" t="str">
        <f>IF(Iterations[[#This Row],[Step]] =current_step, current_Total_Loss,IF(Iterations[[#This Row],[Step]] &gt; current_step, "",Iterations[[#This Row],[Total Loss]]))</f>
        <v/>
      </c>
      <c r="M1561" s="6" t="s">
        <v>27</v>
      </c>
      <c r="N1561" s="2" t="str">
        <f>IF(Iterations[[#This Row],[Step]] =current_step, current_Grad_a,IF(Iterations[[#This Row],[Step]] &gt; current_step, "",Iterations[[#This Row],[Grad_a]]))</f>
        <v/>
      </c>
      <c r="O1561" s="2" t="str">
        <f>IF(Iterations[[#This Row],[Step]] =current_step, current_Grad_b,IF(Iterations[[#This Row],[Step]] &gt; current_step, "",Iterations[[#This Row],[Grad_b]]))</f>
        <v/>
      </c>
      <c r="P1561" s="2" t="str">
        <f>IF(Iterations[[#This Row],[Step]] =current_step, current_Grad_c,IF(Iterations[[#This Row],[Step]] &gt; current_step, "",Iterations[[#This Row],[Grad_c]]))</f>
        <v/>
      </c>
      <c r="Q1561" s="2" t="str">
        <f>IF(Iterations[[#This Row],[Step]] =current_step, current_Grad_d,IF(Iterations[[#This Row],[Step]] &gt; current_step, "",Iterations[[#This Row],[Grad_d]]))</f>
        <v/>
      </c>
      <c r="R1561" s="2" t="str">
        <f>IF(Iterations[[#This Row],[Step]] =current_step, current_Grad_e,IF(Iterations[[#This Row],[Step]] &gt; current_step, "",Iterations[[#This Row],[Grad_e]]))</f>
        <v/>
      </c>
    </row>
    <row r="1562" spans="6:18" x14ac:dyDescent="0.3">
      <c r="F1562" s="2">
        <f t="shared" si="29"/>
        <v>1545</v>
      </c>
      <c r="G1562" s="2" t="str">
        <f>IF(Iterations[[#This Row],[Step]] =current_step, current_a,IF(Iterations[[#This Row],[Step]] &gt; current_step, "",Iterations[[#This Row],[a]]))</f>
        <v/>
      </c>
      <c r="H1562" s="2" t="str">
        <f>IF(Iterations[[#This Row],[Step]] =current_step, current_b,IF(Iterations[[#This Row],[Step]] &gt; current_step, "",Iterations[[#This Row],[b]]))</f>
        <v/>
      </c>
      <c r="I1562" s="2" t="str">
        <f>IF(Iterations[[#This Row],[Step]] =current_step, current_c,IF(Iterations[[#This Row],[Step]] &gt; current_step, "",Iterations[[#This Row],[c]]))</f>
        <v/>
      </c>
      <c r="J1562" s="2" t="str">
        <f>IF(Iterations[[#This Row],[Step]] =current_step, current_d,IF(Iterations[[#This Row],[Step]] &gt; current_step, "",Iterations[[#This Row],[d]]))</f>
        <v/>
      </c>
      <c r="K1562" s="2" t="str">
        <f>IF(Iterations[[#This Row],[Step]] =current_step, current_e,IF(Iterations[[#This Row],[Step]] &gt; current_step, "",Iterations[[#This Row],[e]]))</f>
        <v/>
      </c>
      <c r="L1562" s="2" t="str">
        <f>IF(Iterations[[#This Row],[Step]] =current_step, current_Total_Loss,IF(Iterations[[#This Row],[Step]] &gt; current_step, "",Iterations[[#This Row],[Total Loss]]))</f>
        <v/>
      </c>
      <c r="M1562" s="6" t="s">
        <v>27</v>
      </c>
      <c r="N1562" s="2" t="str">
        <f>IF(Iterations[[#This Row],[Step]] =current_step, current_Grad_a,IF(Iterations[[#This Row],[Step]] &gt; current_step, "",Iterations[[#This Row],[Grad_a]]))</f>
        <v/>
      </c>
      <c r="O1562" s="2" t="str">
        <f>IF(Iterations[[#This Row],[Step]] =current_step, current_Grad_b,IF(Iterations[[#This Row],[Step]] &gt; current_step, "",Iterations[[#This Row],[Grad_b]]))</f>
        <v/>
      </c>
      <c r="P1562" s="2" t="str">
        <f>IF(Iterations[[#This Row],[Step]] =current_step, current_Grad_c,IF(Iterations[[#This Row],[Step]] &gt; current_step, "",Iterations[[#This Row],[Grad_c]]))</f>
        <v/>
      </c>
      <c r="Q1562" s="2" t="str">
        <f>IF(Iterations[[#This Row],[Step]] =current_step, current_Grad_d,IF(Iterations[[#This Row],[Step]] &gt; current_step, "",Iterations[[#This Row],[Grad_d]]))</f>
        <v/>
      </c>
      <c r="R1562" s="2" t="str">
        <f>IF(Iterations[[#This Row],[Step]] =current_step, current_Grad_e,IF(Iterations[[#This Row],[Step]] &gt; current_step, "",Iterations[[#This Row],[Grad_e]]))</f>
        <v/>
      </c>
    </row>
    <row r="1563" spans="6:18" x14ac:dyDescent="0.3">
      <c r="F1563" s="2">
        <f t="shared" si="29"/>
        <v>1546</v>
      </c>
      <c r="G1563" s="2" t="str">
        <f>IF(Iterations[[#This Row],[Step]] =current_step, current_a,IF(Iterations[[#This Row],[Step]] &gt; current_step, "",Iterations[[#This Row],[a]]))</f>
        <v/>
      </c>
      <c r="H1563" s="2" t="str">
        <f>IF(Iterations[[#This Row],[Step]] =current_step, current_b,IF(Iterations[[#This Row],[Step]] &gt; current_step, "",Iterations[[#This Row],[b]]))</f>
        <v/>
      </c>
      <c r="I1563" s="2" t="str">
        <f>IF(Iterations[[#This Row],[Step]] =current_step, current_c,IF(Iterations[[#This Row],[Step]] &gt; current_step, "",Iterations[[#This Row],[c]]))</f>
        <v/>
      </c>
      <c r="J1563" s="2" t="str">
        <f>IF(Iterations[[#This Row],[Step]] =current_step, current_d,IF(Iterations[[#This Row],[Step]] &gt; current_step, "",Iterations[[#This Row],[d]]))</f>
        <v/>
      </c>
      <c r="K1563" s="2" t="str">
        <f>IF(Iterations[[#This Row],[Step]] =current_step, current_e,IF(Iterations[[#This Row],[Step]] &gt; current_step, "",Iterations[[#This Row],[e]]))</f>
        <v/>
      </c>
      <c r="L1563" s="2" t="str">
        <f>IF(Iterations[[#This Row],[Step]] =current_step, current_Total_Loss,IF(Iterations[[#This Row],[Step]] &gt; current_step, "",Iterations[[#This Row],[Total Loss]]))</f>
        <v/>
      </c>
      <c r="M1563" s="6" t="s">
        <v>27</v>
      </c>
      <c r="N1563" s="2" t="str">
        <f>IF(Iterations[[#This Row],[Step]] =current_step, current_Grad_a,IF(Iterations[[#This Row],[Step]] &gt; current_step, "",Iterations[[#This Row],[Grad_a]]))</f>
        <v/>
      </c>
      <c r="O1563" s="2" t="str">
        <f>IF(Iterations[[#This Row],[Step]] =current_step, current_Grad_b,IF(Iterations[[#This Row],[Step]] &gt; current_step, "",Iterations[[#This Row],[Grad_b]]))</f>
        <v/>
      </c>
      <c r="P1563" s="2" t="str">
        <f>IF(Iterations[[#This Row],[Step]] =current_step, current_Grad_c,IF(Iterations[[#This Row],[Step]] &gt; current_step, "",Iterations[[#This Row],[Grad_c]]))</f>
        <v/>
      </c>
      <c r="Q1563" s="2" t="str">
        <f>IF(Iterations[[#This Row],[Step]] =current_step, current_Grad_d,IF(Iterations[[#This Row],[Step]] &gt; current_step, "",Iterations[[#This Row],[Grad_d]]))</f>
        <v/>
      </c>
      <c r="R1563" s="2" t="str">
        <f>IF(Iterations[[#This Row],[Step]] =current_step, current_Grad_e,IF(Iterations[[#This Row],[Step]] &gt; current_step, "",Iterations[[#This Row],[Grad_e]]))</f>
        <v/>
      </c>
    </row>
    <row r="1564" spans="6:18" x14ac:dyDescent="0.3">
      <c r="F1564" s="2">
        <f t="shared" si="29"/>
        <v>1547</v>
      </c>
      <c r="G1564" s="2" t="str">
        <f>IF(Iterations[[#This Row],[Step]] =current_step, current_a,IF(Iterations[[#This Row],[Step]] &gt; current_step, "",Iterations[[#This Row],[a]]))</f>
        <v/>
      </c>
      <c r="H1564" s="2" t="str">
        <f>IF(Iterations[[#This Row],[Step]] =current_step, current_b,IF(Iterations[[#This Row],[Step]] &gt; current_step, "",Iterations[[#This Row],[b]]))</f>
        <v/>
      </c>
      <c r="I1564" s="2" t="str">
        <f>IF(Iterations[[#This Row],[Step]] =current_step, current_c,IF(Iterations[[#This Row],[Step]] &gt; current_step, "",Iterations[[#This Row],[c]]))</f>
        <v/>
      </c>
      <c r="J1564" s="2" t="str">
        <f>IF(Iterations[[#This Row],[Step]] =current_step, current_d,IF(Iterations[[#This Row],[Step]] &gt; current_step, "",Iterations[[#This Row],[d]]))</f>
        <v/>
      </c>
      <c r="K1564" s="2" t="str">
        <f>IF(Iterations[[#This Row],[Step]] =current_step, current_e,IF(Iterations[[#This Row],[Step]] &gt; current_step, "",Iterations[[#This Row],[e]]))</f>
        <v/>
      </c>
      <c r="L1564" s="2" t="str">
        <f>IF(Iterations[[#This Row],[Step]] =current_step, current_Total_Loss,IF(Iterations[[#This Row],[Step]] &gt; current_step, "",Iterations[[#This Row],[Total Loss]]))</f>
        <v/>
      </c>
      <c r="M1564" s="6" t="s">
        <v>27</v>
      </c>
      <c r="N1564" s="2" t="str">
        <f>IF(Iterations[[#This Row],[Step]] =current_step, current_Grad_a,IF(Iterations[[#This Row],[Step]] &gt; current_step, "",Iterations[[#This Row],[Grad_a]]))</f>
        <v/>
      </c>
      <c r="O1564" s="2" t="str">
        <f>IF(Iterations[[#This Row],[Step]] =current_step, current_Grad_b,IF(Iterations[[#This Row],[Step]] &gt; current_step, "",Iterations[[#This Row],[Grad_b]]))</f>
        <v/>
      </c>
      <c r="P1564" s="2" t="str">
        <f>IF(Iterations[[#This Row],[Step]] =current_step, current_Grad_c,IF(Iterations[[#This Row],[Step]] &gt; current_step, "",Iterations[[#This Row],[Grad_c]]))</f>
        <v/>
      </c>
      <c r="Q1564" s="2" t="str">
        <f>IF(Iterations[[#This Row],[Step]] =current_step, current_Grad_d,IF(Iterations[[#This Row],[Step]] &gt; current_step, "",Iterations[[#This Row],[Grad_d]]))</f>
        <v/>
      </c>
      <c r="R1564" s="2" t="str">
        <f>IF(Iterations[[#This Row],[Step]] =current_step, current_Grad_e,IF(Iterations[[#This Row],[Step]] &gt; current_step, "",Iterations[[#This Row],[Grad_e]]))</f>
        <v/>
      </c>
    </row>
    <row r="1565" spans="6:18" x14ac:dyDescent="0.3">
      <c r="F1565" s="2">
        <f t="shared" si="29"/>
        <v>1548</v>
      </c>
      <c r="G1565" s="2" t="str">
        <f>IF(Iterations[[#This Row],[Step]] =current_step, current_a,IF(Iterations[[#This Row],[Step]] &gt; current_step, "",Iterations[[#This Row],[a]]))</f>
        <v/>
      </c>
      <c r="H1565" s="2" t="str">
        <f>IF(Iterations[[#This Row],[Step]] =current_step, current_b,IF(Iterations[[#This Row],[Step]] &gt; current_step, "",Iterations[[#This Row],[b]]))</f>
        <v/>
      </c>
      <c r="I1565" s="2" t="str">
        <f>IF(Iterations[[#This Row],[Step]] =current_step, current_c,IF(Iterations[[#This Row],[Step]] &gt; current_step, "",Iterations[[#This Row],[c]]))</f>
        <v/>
      </c>
      <c r="J1565" s="2" t="str">
        <f>IF(Iterations[[#This Row],[Step]] =current_step, current_d,IF(Iterations[[#This Row],[Step]] &gt; current_step, "",Iterations[[#This Row],[d]]))</f>
        <v/>
      </c>
      <c r="K1565" s="2" t="str">
        <f>IF(Iterations[[#This Row],[Step]] =current_step, current_e,IF(Iterations[[#This Row],[Step]] &gt; current_step, "",Iterations[[#This Row],[e]]))</f>
        <v/>
      </c>
      <c r="L1565" s="2" t="str">
        <f>IF(Iterations[[#This Row],[Step]] =current_step, current_Total_Loss,IF(Iterations[[#This Row],[Step]] &gt; current_step, "",Iterations[[#This Row],[Total Loss]]))</f>
        <v/>
      </c>
      <c r="M1565" s="6" t="s">
        <v>27</v>
      </c>
      <c r="N1565" s="2" t="str">
        <f>IF(Iterations[[#This Row],[Step]] =current_step, current_Grad_a,IF(Iterations[[#This Row],[Step]] &gt; current_step, "",Iterations[[#This Row],[Grad_a]]))</f>
        <v/>
      </c>
      <c r="O1565" s="2" t="str">
        <f>IF(Iterations[[#This Row],[Step]] =current_step, current_Grad_b,IF(Iterations[[#This Row],[Step]] &gt; current_step, "",Iterations[[#This Row],[Grad_b]]))</f>
        <v/>
      </c>
      <c r="P1565" s="2" t="str">
        <f>IF(Iterations[[#This Row],[Step]] =current_step, current_Grad_c,IF(Iterations[[#This Row],[Step]] &gt; current_step, "",Iterations[[#This Row],[Grad_c]]))</f>
        <v/>
      </c>
      <c r="Q1565" s="2" t="str">
        <f>IF(Iterations[[#This Row],[Step]] =current_step, current_Grad_d,IF(Iterations[[#This Row],[Step]] &gt; current_step, "",Iterations[[#This Row],[Grad_d]]))</f>
        <v/>
      </c>
      <c r="R1565" s="2" t="str">
        <f>IF(Iterations[[#This Row],[Step]] =current_step, current_Grad_e,IF(Iterations[[#This Row],[Step]] &gt; current_step, "",Iterations[[#This Row],[Grad_e]]))</f>
        <v/>
      </c>
    </row>
    <row r="1566" spans="6:18" x14ac:dyDescent="0.3">
      <c r="F1566" s="2">
        <f t="shared" si="29"/>
        <v>1549</v>
      </c>
      <c r="G1566" s="2" t="str">
        <f>IF(Iterations[[#This Row],[Step]] =current_step, current_a,IF(Iterations[[#This Row],[Step]] &gt; current_step, "",Iterations[[#This Row],[a]]))</f>
        <v/>
      </c>
      <c r="H1566" s="2" t="str">
        <f>IF(Iterations[[#This Row],[Step]] =current_step, current_b,IF(Iterations[[#This Row],[Step]] &gt; current_step, "",Iterations[[#This Row],[b]]))</f>
        <v/>
      </c>
      <c r="I1566" s="2" t="str">
        <f>IF(Iterations[[#This Row],[Step]] =current_step, current_c,IF(Iterations[[#This Row],[Step]] &gt; current_step, "",Iterations[[#This Row],[c]]))</f>
        <v/>
      </c>
      <c r="J1566" s="2" t="str">
        <f>IF(Iterations[[#This Row],[Step]] =current_step, current_d,IF(Iterations[[#This Row],[Step]] &gt; current_step, "",Iterations[[#This Row],[d]]))</f>
        <v/>
      </c>
      <c r="K1566" s="2" t="str">
        <f>IF(Iterations[[#This Row],[Step]] =current_step, current_e,IF(Iterations[[#This Row],[Step]] &gt; current_step, "",Iterations[[#This Row],[e]]))</f>
        <v/>
      </c>
      <c r="L1566" s="2" t="str">
        <f>IF(Iterations[[#This Row],[Step]] =current_step, current_Total_Loss,IF(Iterations[[#This Row],[Step]] &gt; current_step, "",Iterations[[#This Row],[Total Loss]]))</f>
        <v/>
      </c>
      <c r="M1566" s="6" t="s">
        <v>27</v>
      </c>
      <c r="N1566" s="2" t="str">
        <f>IF(Iterations[[#This Row],[Step]] =current_step, current_Grad_a,IF(Iterations[[#This Row],[Step]] &gt; current_step, "",Iterations[[#This Row],[Grad_a]]))</f>
        <v/>
      </c>
      <c r="O1566" s="2" t="str">
        <f>IF(Iterations[[#This Row],[Step]] =current_step, current_Grad_b,IF(Iterations[[#This Row],[Step]] &gt; current_step, "",Iterations[[#This Row],[Grad_b]]))</f>
        <v/>
      </c>
      <c r="P1566" s="2" t="str">
        <f>IF(Iterations[[#This Row],[Step]] =current_step, current_Grad_c,IF(Iterations[[#This Row],[Step]] &gt; current_step, "",Iterations[[#This Row],[Grad_c]]))</f>
        <v/>
      </c>
      <c r="Q1566" s="2" t="str">
        <f>IF(Iterations[[#This Row],[Step]] =current_step, current_Grad_d,IF(Iterations[[#This Row],[Step]] &gt; current_step, "",Iterations[[#This Row],[Grad_d]]))</f>
        <v/>
      </c>
      <c r="R1566" s="2" t="str">
        <f>IF(Iterations[[#This Row],[Step]] =current_step, current_Grad_e,IF(Iterations[[#This Row],[Step]] &gt; current_step, "",Iterations[[#This Row],[Grad_e]]))</f>
        <v/>
      </c>
    </row>
    <row r="1567" spans="6:18" x14ac:dyDescent="0.3">
      <c r="F1567" s="2">
        <f t="shared" si="29"/>
        <v>1550</v>
      </c>
      <c r="G1567" s="2" t="str">
        <f>IF(Iterations[[#This Row],[Step]] =current_step, current_a,IF(Iterations[[#This Row],[Step]] &gt; current_step, "",Iterations[[#This Row],[a]]))</f>
        <v/>
      </c>
      <c r="H1567" s="2" t="str">
        <f>IF(Iterations[[#This Row],[Step]] =current_step, current_b,IF(Iterations[[#This Row],[Step]] &gt; current_step, "",Iterations[[#This Row],[b]]))</f>
        <v/>
      </c>
      <c r="I1567" s="2" t="str">
        <f>IF(Iterations[[#This Row],[Step]] =current_step, current_c,IF(Iterations[[#This Row],[Step]] &gt; current_step, "",Iterations[[#This Row],[c]]))</f>
        <v/>
      </c>
      <c r="J1567" s="2" t="str">
        <f>IF(Iterations[[#This Row],[Step]] =current_step, current_d,IF(Iterations[[#This Row],[Step]] &gt; current_step, "",Iterations[[#This Row],[d]]))</f>
        <v/>
      </c>
      <c r="K1567" s="2" t="str">
        <f>IF(Iterations[[#This Row],[Step]] =current_step, current_e,IF(Iterations[[#This Row],[Step]] &gt; current_step, "",Iterations[[#This Row],[e]]))</f>
        <v/>
      </c>
      <c r="L1567" s="2" t="str">
        <f>IF(Iterations[[#This Row],[Step]] =current_step, current_Total_Loss,IF(Iterations[[#This Row],[Step]] &gt; current_step, "",Iterations[[#This Row],[Total Loss]]))</f>
        <v/>
      </c>
      <c r="M1567" s="6" t="s">
        <v>27</v>
      </c>
      <c r="N1567" s="2" t="str">
        <f>IF(Iterations[[#This Row],[Step]] =current_step, current_Grad_a,IF(Iterations[[#This Row],[Step]] &gt; current_step, "",Iterations[[#This Row],[Grad_a]]))</f>
        <v/>
      </c>
      <c r="O1567" s="2" t="str">
        <f>IF(Iterations[[#This Row],[Step]] =current_step, current_Grad_b,IF(Iterations[[#This Row],[Step]] &gt; current_step, "",Iterations[[#This Row],[Grad_b]]))</f>
        <v/>
      </c>
      <c r="P1567" s="2" t="str">
        <f>IF(Iterations[[#This Row],[Step]] =current_step, current_Grad_c,IF(Iterations[[#This Row],[Step]] &gt; current_step, "",Iterations[[#This Row],[Grad_c]]))</f>
        <v/>
      </c>
      <c r="Q1567" s="2" t="str">
        <f>IF(Iterations[[#This Row],[Step]] =current_step, current_Grad_d,IF(Iterations[[#This Row],[Step]] &gt; current_step, "",Iterations[[#This Row],[Grad_d]]))</f>
        <v/>
      </c>
      <c r="R1567" s="2" t="str">
        <f>IF(Iterations[[#This Row],[Step]] =current_step, current_Grad_e,IF(Iterations[[#This Row],[Step]] &gt; current_step, "",Iterations[[#This Row],[Grad_e]]))</f>
        <v/>
      </c>
    </row>
    <row r="1568" spans="6:18" x14ac:dyDescent="0.3">
      <c r="F1568" s="2">
        <f t="shared" si="29"/>
        <v>1551</v>
      </c>
      <c r="G1568" s="2" t="str">
        <f>IF(Iterations[[#This Row],[Step]] =current_step, current_a,IF(Iterations[[#This Row],[Step]] &gt; current_step, "",Iterations[[#This Row],[a]]))</f>
        <v/>
      </c>
      <c r="H1568" s="2" t="str">
        <f>IF(Iterations[[#This Row],[Step]] =current_step, current_b,IF(Iterations[[#This Row],[Step]] &gt; current_step, "",Iterations[[#This Row],[b]]))</f>
        <v/>
      </c>
      <c r="I1568" s="2" t="str">
        <f>IF(Iterations[[#This Row],[Step]] =current_step, current_c,IF(Iterations[[#This Row],[Step]] &gt; current_step, "",Iterations[[#This Row],[c]]))</f>
        <v/>
      </c>
      <c r="J1568" s="2" t="str">
        <f>IF(Iterations[[#This Row],[Step]] =current_step, current_d,IF(Iterations[[#This Row],[Step]] &gt; current_step, "",Iterations[[#This Row],[d]]))</f>
        <v/>
      </c>
      <c r="K1568" s="2" t="str">
        <f>IF(Iterations[[#This Row],[Step]] =current_step, current_e,IF(Iterations[[#This Row],[Step]] &gt; current_step, "",Iterations[[#This Row],[e]]))</f>
        <v/>
      </c>
      <c r="L1568" s="2" t="str">
        <f>IF(Iterations[[#This Row],[Step]] =current_step, current_Total_Loss,IF(Iterations[[#This Row],[Step]] &gt; current_step, "",Iterations[[#This Row],[Total Loss]]))</f>
        <v/>
      </c>
      <c r="M1568" s="6" t="s">
        <v>27</v>
      </c>
      <c r="N1568" s="2" t="str">
        <f>IF(Iterations[[#This Row],[Step]] =current_step, current_Grad_a,IF(Iterations[[#This Row],[Step]] &gt; current_step, "",Iterations[[#This Row],[Grad_a]]))</f>
        <v/>
      </c>
      <c r="O1568" s="2" t="str">
        <f>IF(Iterations[[#This Row],[Step]] =current_step, current_Grad_b,IF(Iterations[[#This Row],[Step]] &gt; current_step, "",Iterations[[#This Row],[Grad_b]]))</f>
        <v/>
      </c>
      <c r="P1568" s="2" t="str">
        <f>IF(Iterations[[#This Row],[Step]] =current_step, current_Grad_c,IF(Iterations[[#This Row],[Step]] &gt; current_step, "",Iterations[[#This Row],[Grad_c]]))</f>
        <v/>
      </c>
      <c r="Q1568" s="2" t="str">
        <f>IF(Iterations[[#This Row],[Step]] =current_step, current_Grad_d,IF(Iterations[[#This Row],[Step]] &gt; current_step, "",Iterations[[#This Row],[Grad_d]]))</f>
        <v/>
      </c>
      <c r="R1568" s="2" t="str">
        <f>IF(Iterations[[#This Row],[Step]] =current_step, current_Grad_e,IF(Iterations[[#This Row],[Step]] &gt; current_step, "",Iterations[[#This Row],[Grad_e]]))</f>
        <v/>
      </c>
    </row>
    <row r="1569" spans="6:18" x14ac:dyDescent="0.3">
      <c r="F1569" s="2">
        <f t="shared" si="29"/>
        <v>1552</v>
      </c>
      <c r="G1569" s="2" t="str">
        <f>IF(Iterations[[#This Row],[Step]] =current_step, current_a,IF(Iterations[[#This Row],[Step]] &gt; current_step, "",Iterations[[#This Row],[a]]))</f>
        <v/>
      </c>
      <c r="H1569" s="2" t="str">
        <f>IF(Iterations[[#This Row],[Step]] =current_step, current_b,IF(Iterations[[#This Row],[Step]] &gt; current_step, "",Iterations[[#This Row],[b]]))</f>
        <v/>
      </c>
      <c r="I1569" s="2" t="str">
        <f>IF(Iterations[[#This Row],[Step]] =current_step, current_c,IF(Iterations[[#This Row],[Step]] &gt; current_step, "",Iterations[[#This Row],[c]]))</f>
        <v/>
      </c>
      <c r="J1569" s="2" t="str">
        <f>IF(Iterations[[#This Row],[Step]] =current_step, current_d,IF(Iterations[[#This Row],[Step]] &gt; current_step, "",Iterations[[#This Row],[d]]))</f>
        <v/>
      </c>
      <c r="K1569" s="2" t="str">
        <f>IF(Iterations[[#This Row],[Step]] =current_step, current_e,IF(Iterations[[#This Row],[Step]] &gt; current_step, "",Iterations[[#This Row],[e]]))</f>
        <v/>
      </c>
      <c r="L1569" s="2" t="str">
        <f>IF(Iterations[[#This Row],[Step]] =current_step, current_Total_Loss,IF(Iterations[[#This Row],[Step]] &gt; current_step, "",Iterations[[#This Row],[Total Loss]]))</f>
        <v/>
      </c>
      <c r="M1569" s="6" t="s">
        <v>27</v>
      </c>
      <c r="N1569" s="2" t="str">
        <f>IF(Iterations[[#This Row],[Step]] =current_step, current_Grad_a,IF(Iterations[[#This Row],[Step]] &gt; current_step, "",Iterations[[#This Row],[Grad_a]]))</f>
        <v/>
      </c>
      <c r="O1569" s="2" t="str">
        <f>IF(Iterations[[#This Row],[Step]] =current_step, current_Grad_b,IF(Iterations[[#This Row],[Step]] &gt; current_step, "",Iterations[[#This Row],[Grad_b]]))</f>
        <v/>
      </c>
      <c r="P1569" s="2" t="str">
        <f>IF(Iterations[[#This Row],[Step]] =current_step, current_Grad_c,IF(Iterations[[#This Row],[Step]] &gt; current_step, "",Iterations[[#This Row],[Grad_c]]))</f>
        <v/>
      </c>
      <c r="Q1569" s="2" t="str">
        <f>IF(Iterations[[#This Row],[Step]] =current_step, current_Grad_d,IF(Iterations[[#This Row],[Step]] &gt; current_step, "",Iterations[[#This Row],[Grad_d]]))</f>
        <v/>
      </c>
      <c r="R1569" s="2" t="str">
        <f>IF(Iterations[[#This Row],[Step]] =current_step, current_Grad_e,IF(Iterations[[#This Row],[Step]] &gt; current_step, "",Iterations[[#This Row],[Grad_e]]))</f>
        <v/>
      </c>
    </row>
    <row r="1570" spans="6:18" x14ac:dyDescent="0.3">
      <c r="F1570" s="2">
        <f t="shared" si="29"/>
        <v>1553</v>
      </c>
      <c r="G1570" s="2" t="str">
        <f>IF(Iterations[[#This Row],[Step]] =current_step, current_a,IF(Iterations[[#This Row],[Step]] &gt; current_step, "",Iterations[[#This Row],[a]]))</f>
        <v/>
      </c>
      <c r="H1570" s="2" t="str">
        <f>IF(Iterations[[#This Row],[Step]] =current_step, current_b,IF(Iterations[[#This Row],[Step]] &gt; current_step, "",Iterations[[#This Row],[b]]))</f>
        <v/>
      </c>
      <c r="I1570" s="2" t="str">
        <f>IF(Iterations[[#This Row],[Step]] =current_step, current_c,IF(Iterations[[#This Row],[Step]] &gt; current_step, "",Iterations[[#This Row],[c]]))</f>
        <v/>
      </c>
      <c r="J1570" s="2" t="str">
        <f>IF(Iterations[[#This Row],[Step]] =current_step, current_d,IF(Iterations[[#This Row],[Step]] &gt; current_step, "",Iterations[[#This Row],[d]]))</f>
        <v/>
      </c>
      <c r="K1570" s="2" t="str">
        <f>IF(Iterations[[#This Row],[Step]] =current_step, current_e,IF(Iterations[[#This Row],[Step]] &gt; current_step, "",Iterations[[#This Row],[e]]))</f>
        <v/>
      </c>
      <c r="L1570" s="2" t="str">
        <f>IF(Iterations[[#This Row],[Step]] =current_step, current_Total_Loss,IF(Iterations[[#This Row],[Step]] &gt; current_step, "",Iterations[[#This Row],[Total Loss]]))</f>
        <v/>
      </c>
      <c r="M1570" s="6" t="s">
        <v>27</v>
      </c>
      <c r="N1570" s="2" t="str">
        <f>IF(Iterations[[#This Row],[Step]] =current_step, current_Grad_a,IF(Iterations[[#This Row],[Step]] &gt; current_step, "",Iterations[[#This Row],[Grad_a]]))</f>
        <v/>
      </c>
      <c r="O1570" s="2" t="str">
        <f>IF(Iterations[[#This Row],[Step]] =current_step, current_Grad_b,IF(Iterations[[#This Row],[Step]] &gt; current_step, "",Iterations[[#This Row],[Grad_b]]))</f>
        <v/>
      </c>
      <c r="P1570" s="2" t="str">
        <f>IF(Iterations[[#This Row],[Step]] =current_step, current_Grad_c,IF(Iterations[[#This Row],[Step]] &gt; current_step, "",Iterations[[#This Row],[Grad_c]]))</f>
        <v/>
      </c>
      <c r="Q1570" s="2" t="str">
        <f>IF(Iterations[[#This Row],[Step]] =current_step, current_Grad_d,IF(Iterations[[#This Row],[Step]] &gt; current_step, "",Iterations[[#This Row],[Grad_d]]))</f>
        <v/>
      </c>
      <c r="R1570" s="2" t="str">
        <f>IF(Iterations[[#This Row],[Step]] =current_step, current_Grad_e,IF(Iterations[[#This Row],[Step]] &gt; current_step, "",Iterations[[#This Row],[Grad_e]]))</f>
        <v/>
      </c>
    </row>
    <row r="1571" spans="6:18" x14ac:dyDescent="0.3">
      <c r="F1571" s="2">
        <f t="shared" si="29"/>
        <v>1554</v>
      </c>
      <c r="G1571" s="2" t="str">
        <f>IF(Iterations[[#This Row],[Step]] =current_step, current_a,IF(Iterations[[#This Row],[Step]] &gt; current_step, "",Iterations[[#This Row],[a]]))</f>
        <v/>
      </c>
      <c r="H1571" s="2" t="str">
        <f>IF(Iterations[[#This Row],[Step]] =current_step, current_b,IF(Iterations[[#This Row],[Step]] &gt; current_step, "",Iterations[[#This Row],[b]]))</f>
        <v/>
      </c>
      <c r="I1571" s="2" t="str">
        <f>IF(Iterations[[#This Row],[Step]] =current_step, current_c,IF(Iterations[[#This Row],[Step]] &gt; current_step, "",Iterations[[#This Row],[c]]))</f>
        <v/>
      </c>
      <c r="J1571" s="2" t="str">
        <f>IF(Iterations[[#This Row],[Step]] =current_step, current_d,IF(Iterations[[#This Row],[Step]] &gt; current_step, "",Iterations[[#This Row],[d]]))</f>
        <v/>
      </c>
      <c r="K1571" s="2" t="str">
        <f>IF(Iterations[[#This Row],[Step]] =current_step, current_e,IF(Iterations[[#This Row],[Step]] &gt; current_step, "",Iterations[[#This Row],[e]]))</f>
        <v/>
      </c>
      <c r="L1571" s="2" t="str">
        <f>IF(Iterations[[#This Row],[Step]] =current_step, current_Total_Loss,IF(Iterations[[#This Row],[Step]] &gt; current_step, "",Iterations[[#This Row],[Total Loss]]))</f>
        <v/>
      </c>
      <c r="M1571" s="6" t="s">
        <v>27</v>
      </c>
      <c r="N1571" s="2" t="str">
        <f>IF(Iterations[[#This Row],[Step]] =current_step, current_Grad_a,IF(Iterations[[#This Row],[Step]] &gt; current_step, "",Iterations[[#This Row],[Grad_a]]))</f>
        <v/>
      </c>
      <c r="O1571" s="2" t="str">
        <f>IF(Iterations[[#This Row],[Step]] =current_step, current_Grad_b,IF(Iterations[[#This Row],[Step]] &gt; current_step, "",Iterations[[#This Row],[Grad_b]]))</f>
        <v/>
      </c>
      <c r="P1571" s="2" t="str">
        <f>IF(Iterations[[#This Row],[Step]] =current_step, current_Grad_c,IF(Iterations[[#This Row],[Step]] &gt; current_step, "",Iterations[[#This Row],[Grad_c]]))</f>
        <v/>
      </c>
      <c r="Q1571" s="2" t="str">
        <f>IF(Iterations[[#This Row],[Step]] =current_step, current_Grad_d,IF(Iterations[[#This Row],[Step]] &gt; current_step, "",Iterations[[#This Row],[Grad_d]]))</f>
        <v/>
      </c>
      <c r="R1571" s="2" t="str">
        <f>IF(Iterations[[#This Row],[Step]] =current_step, current_Grad_e,IF(Iterations[[#This Row],[Step]] &gt; current_step, "",Iterations[[#This Row],[Grad_e]]))</f>
        <v/>
      </c>
    </row>
  </sheetData>
  <phoneticPr fontId="5" type="noConversion"/>
  <pageMargins left="0.7" right="0.7" top="0.75" bottom="0.75" header="0.3" footer="0.3"/>
  <pageSetup orientation="portrait" horizontalDpi="300" verticalDpi="300" r:id="rId1"/>
  <ignoredErrors>
    <ignoredError sqref="M17:M18" calculatedColumn="1"/>
  </ignoredErrors>
  <drawing r:id="rId2"/>
  <legacyDrawing r:id="rId3"/>
  <tableParts count="4">
    <tablePart r:id="rId4"/>
    <tablePart r:id="rId5"/>
    <tablePart r:id="rId6"/>
    <tablePart r:id="rId7"/>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B87B2E-D475-485F-9194-3B12009D0D02}">
  <sheetPr codeName="Sheet1"/>
  <dimension ref="A1:G122"/>
  <sheetViews>
    <sheetView topLeftCell="A100" zoomScale="115" zoomScaleNormal="115" workbookViewId="0">
      <selection activeCell="G6" activeCellId="1" sqref="E6:E122 G6:G122"/>
    </sheetView>
  </sheetViews>
  <sheetFormatPr defaultRowHeight="14.4" x14ac:dyDescent="0.3"/>
  <cols>
    <col min="1" max="1" width="12.6640625" bestFit="1" customWidth="1"/>
    <col min="2" max="3" width="12" bestFit="1" customWidth="1"/>
    <col min="4" max="4" width="11" bestFit="1" customWidth="1"/>
    <col min="5" max="5" width="12.5546875" bestFit="1" customWidth="1"/>
    <col min="7" max="7" width="12.77734375" customWidth="1"/>
  </cols>
  <sheetData>
    <row r="1" spans="1:7" x14ac:dyDescent="0.3">
      <c r="A1" t="s">
        <v>17</v>
      </c>
      <c r="B1" t="s">
        <v>22</v>
      </c>
      <c r="C1" t="s">
        <v>23</v>
      </c>
      <c r="D1" t="s">
        <v>24</v>
      </c>
      <c r="E1" t="s">
        <v>44</v>
      </c>
    </row>
    <row r="2" spans="1:7" x14ac:dyDescent="0.3">
      <c r="A2">
        <v>-7.1828045427934644</v>
      </c>
      <c r="B2">
        <v>0.36421940122633412</v>
      </c>
      <c r="C2">
        <v>20.985172042182988</v>
      </c>
      <c r="D2">
        <v>1.1902166904351055</v>
      </c>
      <c r="E2">
        <v>11.397278529744785</v>
      </c>
    </row>
    <row r="6" spans="1:7" x14ac:dyDescent="0.3">
      <c r="A6" s="39" t="s">
        <v>10</v>
      </c>
      <c r="B6" s="40" t="s">
        <v>1</v>
      </c>
      <c r="E6" t="s">
        <v>2</v>
      </c>
      <c r="F6" t="s">
        <v>68</v>
      </c>
      <c r="G6" t="s">
        <v>69</v>
      </c>
    </row>
    <row r="7" spans="1:7" x14ac:dyDescent="0.3">
      <c r="A7" s="23">
        <v>-3</v>
      </c>
      <c r="B7" s="24">
        <v>10</v>
      </c>
      <c r="E7">
        <f>-5</f>
        <v>-5</v>
      </c>
      <c r="F7">
        <f t="shared" ref="F7:F38" si="0">(E7-AVG_X) / STD_X</f>
        <v>-1.5935116816163308</v>
      </c>
      <c r="G7">
        <f t="shared" ref="G7:G9" si="1">$A$2 * F7^4 + $B$2 * F7^3 + $C$2 * F7^2 + $D$2 * F7 + $E$2</f>
        <v>14.999809362437336</v>
      </c>
    </row>
    <row r="8" spans="1:7" x14ac:dyDescent="0.3">
      <c r="A8" s="25">
        <v>-2</v>
      </c>
      <c r="B8" s="26">
        <v>15</v>
      </c>
      <c r="E8">
        <f>E7+0.2</f>
        <v>-4.8</v>
      </c>
      <c r="F8">
        <f t="shared" si="0"/>
        <v>-1.5704057622328942</v>
      </c>
      <c r="G8">
        <f t="shared" si="1"/>
        <v>16.184734886569274</v>
      </c>
    </row>
    <row r="9" spans="1:7" x14ac:dyDescent="0.3">
      <c r="A9" s="23">
        <v>-1</v>
      </c>
      <c r="B9" s="24">
        <v>20</v>
      </c>
      <c r="E9">
        <f t="shared" ref="E9:E72" si="2">E8+0.2</f>
        <v>-4.5999999999999996</v>
      </c>
      <c r="F9">
        <f t="shared" si="0"/>
        <v>-1.5472998428494573</v>
      </c>
      <c r="G9">
        <f t="shared" si="1"/>
        <v>17.276744535946307</v>
      </c>
    </row>
    <row r="10" spans="1:7" x14ac:dyDescent="0.3">
      <c r="A10" s="25">
        <v>1</v>
      </c>
      <c r="B10" s="26">
        <v>23</v>
      </c>
      <c r="E10">
        <f t="shared" si="2"/>
        <v>-4.3999999999999995</v>
      </c>
      <c r="F10">
        <f t="shared" si="0"/>
        <v>-1.5241939234660202</v>
      </c>
      <c r="G10">
        <f t="shared" ref="G10:G73" si="3">$A$2 * F10^4 + $B$2 * F10^3 + $C$2 * F10^2 + $D$2 * F10 + $E$2</f>
        <v>18.279180242599711</v>
      </c>
    </row>
    <row r="11" spans="1:7" x14ac:dyDescent="0.3">
      <c r="A11" s="23">
        <f>A10+1</f>
        <v>2</v>
      </c>
      <c r="B11" s="24">
        <v>27</v>
      </c>
      <c r="E11">
        <f t="shared" si="2"/>
        <v>-4.1999999999999993</v>
      </c>
      <c r="F11">
        <f t="shared" si="0"/>
        <v>-1.5010880040825836</v>
      </c>
      <c r="G11">
        <f t="shared" si="3"/>
        <v>19.195334802729775</v>
      </c>
    </row>
    <row r="12" spans="1:7" x14ac:dyDescent="0.3">
      <c r="A12" s="25">
        <f t="shared" ref="A12:A24" si="4">A11+1</f>
        <v>3</v>
      </c>
      <c r="B12" s="26">
        <v>18</v>
      </c>
      <c r="E12">
        <f t="shared" si="2"/>
        <v>-3.9999999999999991</v>
      </c>
      <c r="F12">
        <f t="shared" si="0"/>
        <v>-1.4779820846991469</v>
      </c>
      <c r="G12">
        <f t="shared" si="3"/>
        <v>20.028451876705805</v>
      </c>
    </row>
    <row r="13" spans="1:7" x14ac:dyDescent="0.3">
      <c r="A13" s="23">
        <f t="shared" si="4"/>
        <v>4</v>
      </c>
      <c r="B13" s="24">
        <v>14</v>
      </c>
      <c r="E13">
        <f t="shared" si="2"/>
        <v>-3.7999999999999989</v>
      </c>
      <c r="F13">
        <f t="shared" si="0"/>
        <v>-1.4548761653157098</v>
      </c>
      <c r="G13">
        <f t="shared" si="3"/>
        <v>20.781725989066118</v>
      </c>
    </row>
    <row r="14" spans="1:7" x14ac:dyDescent="0.3">
      <c r="A14" s="25">
        <f t="shared" si="4"/>
        <v>5</v>
      </c>
      <c r="B14" s="26">
        <v>12</v>
      </c>
      <c r="E14">
        <f t="shared" si="2"/>
        <v>-3.5999999999999988</v>
      </c>
      <c r="F14">
        <f t="shared" si="0"/>
        <v>-1.431770245932273</v>
      </c>
      <c r="G14">
        <f t="shared" si="3"/>
        <v>21.458302528517983</v>
      </c>
    </row>
    <row r="15" spans="1:7" x14ac:dyDescent="0.3">
      <c r="A15" s="23">
        <f t="shared" si="4"/>
        <v>6</v>
      </c>
      <c r="B15" s="24">
        <v>10</v>
      </c>
      <c r="E15">
        <f t="shared" si="2"/>
        <v>-3.3999999999999986</v>
      </c>
      <c r="F15">
        <f t="shared" si="0"/>
        <v>-1.4086643265488363</v>
      </c>
      <c r="G15">
        <f t="shared" si="3"/>
        <v>22.061277747937694</v>
      </c>
    </row>
    <row r="16" spans="1:7" x14ac:dyDescent="0.3">
      <c r="A16" s="25">
        <f t="shared" si="4"/>
        <v>7</v>
      </c>
      <c r="B16" s="26">
        <v>10</v>
      </c>
      <c r="E16">
        <f t="shared" si="2"/>
        <v>-3.1999999999999984</v>
      </c>
      <c r="F16">
        <f t="shared" si="0"/>
        <v>-1.3855584071653997</v>
      </c>
      <c r="G16">
        <f t="shared" si="3"/>
        <v>22.593698764370554</v>
      </c>
    </row>
    <row r="17" spans="1:7" x14ac:dyDescent="0.3">
      <c r="A17" s="23">
        <f t="shared" si="4"/>
        <v>8</v>
      </c>
      <c r="B17" s="24">
        <v>12</v>
      </c>
      <c r="E17">
        <f t="shared" si="2"/>
        <v>-2.9999999999999982</v>
      </c>
      <c r="F17">
        <f t="shared" si="0"/>
        <v>-1.3624524877819626</v>
      </c>
      <c r="G17">
        <f t="shared" si="3"/>
        <v>23.058563559030862</v>
      </c>
    </row>
    <row r="18" spans="1:7" x14ac:dyDescent="0.3">
      <c r="A18" s="25">
        <f t="shared" si="4"/>
        <v>9</v>
      </c>
      <c r="B18" s="26">
        <v>17</v>
      </c>
      <c r="E18">
        <f t="shared" si="2"/>
        <v>-2.799999999999998</v>
      </c>
      <c r="F18">
        <f t="shared" si="0"/>
        <v>-1.3393465683985257</v>
      </c>
      <c r="G18">
        <f t="shared" si="3"/>
        <v>23.458820977301876</v>
      </c>
    </row>
    <row r="19" spans="1:7" x14ac:dyDescent="0.3">
      <c r="A19" s="23">
        <f t="shared" si="4"/>
        <v>10</v>
      </c>
      <c r="B19" s="24">
        <v>20</v>
      </c>
      <c r="E19">
        <f t="shared" si="2"/>
        <v>-2.5999999999999979</v>
      </c>
      <c r="F19">
        <f t="shared" si="0"/>
        <v>-1.3162406490150891</v>
      </c>
      <c r="G19">
        <f t="shared" si="3"/>
        <v>23.797370728735913</v>
      </c>
    </row>
    <row r="20" spans="1:7" x14ac:dyDescent="0.3">
      <c r="A20" s="25">
        <f t="shared" si="4"/>
        <v>11</v>
      </c>
      <c r="B20" s="26">
        <v>26</v>
      </c>
      <c r="E20">
        <f t="shared" si="2"/>
        <v>-2.3999999999999977</v>
      </c>
      <c r="F20">
        <f t="shared" si="0"/>
        <v>-1.2931347296316522</v>
      </c>
      <c r="G20">
        <f t="shared" si="3"/>
        <v>24.077063387054249</v>
      </c>
    </row>
    <row r="21" spans="1:7" x14ac:dyDescent="0.3">
      <c r="A21" s="23">
        <f t="shared" si="4"/>
        <v>12</v>
      </c>
      <c r="B21" s="24">
        <v>30</v>
      </c>
      <c r="E21">
        <f t="shared" si="2"/>
        <v>-2.1999999999999975</v>
      </c>
      <c r="F21">
        <f t="shared" si="0"/>
        <v>-1.2700288102482153</v>
      </c>
      <c r="G21">
        <f t="shared" si="3"/>
        <v>24.300700390147156</v>
      </c>
    </row>
    <row r="22" spans="1:7" x14ac:dyDescent="0.3">
      <c r="A22" s="25">
        <f t="shared" si="4"/>
        <v>13</v>
      </c>
      <c r="B22" s="26">
        <v>28</v>
      </c>
      <c r="E22">
        <f t="shared" si="2"/>
        <v>-1.9999999999999976</v>
      </c>
      <c r="F22">
        <f t="shared" si="0"/>
        <v>-1.2469228908647787</v>
      </c>
      <c r="G22">
        <f t="shared" si="3"/>
        <v>24.471034040073928</v>
      </c>
    </row>
    <row r="23" spans="1:7" x14ac:dyDescent="0.3">
      <c r="A23" s="23">
        <f t="shared" si="4"/>
        <v>14</v>
      </c>
      <c r="B23" s="24">
        <v>26</v>
      </c>
      <c r="E23">
        <f t="shared" si="2"/>
        <v>-1.7999999999999976</v>
      </c>
      <c r="F23">
        <f t="shared" si="0"/>
        <v>-1.2238169714813418</v>
      </c>
      <c r="G23">
        <f t="shared" si="3"/>
        <v>24.590767503062857</v>
      </c>
    </row>
    <row r="24" spans="1:7" x14ac:dyDescent="0.3">
      <c r="A24" s="25">
        <f t="shared" si="4"/>
        <v>15</v>
      </c>
      <c r="B24" s="26">
        <v>22</v>
      </c>
      <c r="E24">
        <f t="shared" si="2"/>
        <v>-1.5999999999999976</v>
      </c>
      <c r="F24">
        <f t="shared" si="0"/>
        <v>-1.200711052097905</v>
      </c>
      <c r="G24">
        <f t="shared" si="3"/>
        <v>24.662554809511199</v>
      </c>
    </row>
    <row r="25" spans="1:7" x14ac:dyDescent="0.3">
      <c r="E25">
        <f t="shared" si="2"/>
        <v>-1.3999999999999977</v>
      </c>
      <c r="F25">
        <f t="shared" si="0"/>
        <v>-1.1776051327144683</v>
      </c>
      <c r="G25">
        <f t="shared" si="3"/>
        <v>24.689000853985252</v>
      </c>
    </row>
    <row r="26" spans="1:7" x14ac:dyDescent="0.3">
      <c r="E26">
        <f t="shared" si="2"/>
        <v>-1.1999999999999977</v>
      </c>
      <c r="F26">
        <f t="shared" si="0"/>
        <v>-1.1544992133310314</v>
      </c>
      <c r="G26">
        <f t="shared" si="3"/>
        <v>24.672661395220281</v>
      </c>
    </row>
    <row r="27" spans="1:7" x14ac:dyDescent="0.3">
      <c r="E27">
        <f t="shared" si="2"/>
        <v>-0.99999999999999778</v>
      </c>
      <c r="F27">
        <f t="shared" si="0"/>
        <v>-1.1313932939475946</v>
      </c>
      <c r="G27">
        <f t="shared" si="3"/>
        <v>24.616043056120567</v>
      </c>
    </row>
    <row r="28" spans="1:7" x14ac:dyDescent="0.3">
      <c r="E28">
        <f t="shared" si="2"/>
        <v>-0.79999999999999782</v>
      </c>
      <c r="F28">
        <f t="shared" si="0"/>
        <v>-1.1082873745641577</v>
      </c>
      <c r="G28">
        <f t="shared" si="3"/>
        <v>24.521603323759386</v>
      </c>
    </row>
    <row r="29" spans="1:7" x14ac:dyDescent="0.3">
      <c r="E29">
        <f t="shared" si="2"/>
        <v>-0.59999999999999787</v>
      </c>
      <c r="F29">
        <f t="shared" si="0"/>
        <v>-1.0851814551807211</v>
      </c>
      <c r="G29">
        <f t="shared" si="3"/>
        <v>24.391750549378997</v>
      </c>
    </row>
    <row r="30" spans="1:7" x14ac:dyDescent="0.3">
      <c r="E30">
        <f t="shared" si="2"/>
        <v>-0.39999999999999786</v>
      </c>
      <c r="F30">
        <f t="shared" si="0"/>
        <v>-1.0620755357972844</v>
      </c>
      <c r="G30">
        <f t="shared" si="3"/>
        <v>24.22884394839069</v>
      </c>
    </row>
    <row r="31" spans="1:7" x14ac:dyDescent="0.3">
      <c r="E31">
        <f t="shared" si="2"/>
        <v>-0.19999999999999785</v>
      </c>
      <c r="F31">
        <f t="shared" si="0"/>
        <v>-1.0389696164138473</v>
      </c>
      <c r="G31">
        <f t="shared" si="3"/>
        <v>24.035193600374718</v>
      </c>
    </row>
    <row r="32" spans="1:7" x14ac:dyDescent="0.3">
      <c r="E32">
        <v>0</v>
      </c>
      <c r="F32">
        <f t="shared" si="0"/>
        <v>-1.0158636970304109</v>
      </c>
      <c r="G32">
        <f t="shared" si="3"/>
        <v>23.813060449080368</v>
      </c>
    </row>
    <row r="33" spans="5:7" x14ac:dyDescent="0.3">
      <c r="E33">
        <f t="shared" si="2"/>
        <v>0.2</v>
      </c>
      <c r="F33">
        <f t="shared" si="0"/>
        <v>-0.99275777764697415</v>
      </c>
      <c r="G33">
        <f t="shared" si="3"/>
        <v>23.564656302425885</v>
      </c>
    </row>
    <row r="34" spans="5:7" x14ac:dyDescent="0.3">
      <c r="E34">
        <f t="shared" si="2"/>
        <v>0.4</v>
      </c>
      <c r="F34">
        <f t="shared" si="0"/>
        <v>-0.96965185826353728</v>
      </c>
      <c r="G34">
        <f t="shared" si="3"/>
        <v>23.292143832498546</v>
      </c>
    </row>
    <row r="35" spans="5:7" x14ac:dyDescent="0.3">
      <c r="E35">
        <f t="shared" si="2"/>
        <v>0.60000000000000009</v>
      </c>
      <c r="F35">
        <f t="shared" si="0"/>
        <v>-0.94654593888010052</v>
      </c>
      <c r="G35">
        <f t="shared" si="3"/>
        <v>22.997636575554608</v>
      </c>
    </row>
    <row r="36" spans="5:7" x14ac:dyDescent="0.3">
      <c r="E36">
        <f t="shared" si="2"/>
        <v>0.8</v>
      </c>
      <c r="F36">
        <f t="shared" si="0"/>
        <v>-0.92344001949666366</v>
      </c>
      <c r="G36">
        <f t="shared" si="3"/>
        <v>22.683198932019344</v>
      </c>
    </row>
    <row r="37" spans="5:7" x14ac:dyDescent="0.3">
      <c r="E37">
        <f t="shared" si="2"/>
        <v>1</v>
      </c>
      <c r="F37">
        <f t="shared" si="0"/>
        <v>-0.9003341001132269</v>
      </c>
      <c r="G37">
        <f t="shared" si="3"/>
        <v>22.350846166487003</v>
      </c>
    </row>
    <row r="38" spans="5:7" x14ac:dyDescent="0.3">
      <c r="E38">
        <f t="shared" si="2"/>
        <v>1.2</v>
      </c>
      <c r="F38">
        <f t="shared" si="0"/>
        <v>-0.87722818072979003</v>
      </c>
      <c r="G38">
        <f t="shared" si="3"/>
        <v>22.002544407720848</v>
      </c>
    </row>
    <row r="39" spans="5:7" x14ac:dyDescent="0.3">
      <c r="E39">
        <f t="shared" si="2"/>
        <v>1.4</v>
      </c>
      <c r="F39">
        <f t="shared" ref="F39:F70" si="5">(E39-AVG_X) / STD_X</f>
        <v>-0.85412226134635327</v>
      </c>
      <c r="G39">
        <f t="shared" si="3"/>
        <v>21.640210648653138</v>
      </c>
    </row>
    <row r="40" spans="5:7" x14ac:dyDescent="0.3">
      <c r="E40">
        <f t="shared" si="2"/>
        <v>1.5999999999999999</v>
      </c>
      <c r="F40">
        <f t="shared" si="5"/>
        <v>-0.83101634196291652</v>
      </c>
      <c r="G40">
        <f t="shared" si="3"/>
        <v>21.265712746385127</v>
      </c>
    </row>
    <row r="41" spans="5:7" x14ac:dyDescent="0.3">
      <c r="E41">
        <f t="shared" si="2"/>
        <v>1.7999999999999998</v>
      </c>
      <c r="F41">
        <f t="shared" si="5"/>
        <v>-0.80791042257947976</v>
      </c>
      <c r="G41">
        <f t="shared" si="3"/>
        <v>20.880869422187075</v>
      </c>
    </row>
    <row r="42" spans="5:7" x14ac:dyDescent="0.3">
      <c r="E42">
        <f t="shared" si="2"/>
        <v>1.9999999999999998</v>
      </c>
      <c r="F42">
        <f t="shared" si="5"/>
        <v>-0.78480450319604289</v>
      </c>
      <c r="G42">
        <f t="shared" si="3"/>
        <v>20.487450261498225</v>
      </c>
    </row>
    <row r="43" spans="5:7" x14ac:dyDescent="0.3">
      <c r="E43">
        <f t="shared" si="2"/>
        <v>2.1999999999999997</v>
      </c>
      <c r="F43">
        <f t="shared" si="5"/>
        <v>-0.76169858381260613</v>
      </c>
      <c r="G43">
        <f t="shared" si="3"/>
        <v>20.087175713926833</v>
      </c>
    </row>
    <row r="44" spans="5:7" x14ac:dyDescent="0.3">
      <c r="E44">
        <f t="shared" si="2"/>
        <v>2.4</v>
      </c>
      <c r="F44">
        <f t="shared" si="5"/>
        <v>-0.73859266442916927</v>
      </c>
      <c r="G44">
        <f t="shared" si="3"/>
        <v>19.681717093250157</v>
      </c>
    </row>
    <row r="45" spans="5:7" x14ac:dyDescent="0.3">
      <c r="E45">
        <f t="shared" si="2"/>
        <v>2.6</v>
      </c>
      <c r="F45">
        <f t="shared" si="5"/>
        <v>-0.71548674504573251</v>
      </c>
      <c r="G45">
        <f t="shared" si="3"/>
        <v>19.272696577414436</v>
      </c>
    </row>
    <row r="46" spans="5:7" x14ac:dyDescent="0.3">
      <c r="E46">
        <f t="shared" si="2"/>
        <v>2.8000000000000003</v>
      </c>
      <c r="F46">
        <f t="shared" si="5"/>
        <v>-0.69238082566229564</v>
      </c>
      <c r="G46">
        <f t="shared" si="3"/>
        <v>18.861687208534921</v>
      </c>
    </row>
    <row r="47" spans="5:7" x14ac:dyDescent="0.3">
      <c r="E47">
        <f t="shared" si="2"/>
        <v>3.0000000000000004</v>
      </c>
      <c r="F47">
        <f t="shared" si="5"/>
        <v>-0.66927490627885888</v>
      </c>
      <c r="G47">
        <f t="shared" si="3"/>
        <v>18.450212892895856</v>
      </c>
    </row>
    <row r="48" spans="5:7" x14ac:dyDescent="0.3">
      <c r="E48">
        <f t="shared" si="2"/>
        <v>3.2000000000000006</v>
      </c>
      <c r="F48">
        <f t="shared" si="5"/>
        <v>-0.64616898689542202</v>
      </c>
      <c r="G48">
        <f t="shared" si="3"/>
        <v>18.039748400950486</v>
      </c>
    </row>
    <row r="49" spans="5:7" x14ac:dyDescent="0.3">
      <c r="E49">
        <f t="shared" si="2"/>
        <v>3.4000000000000008</v>
      </c>
      <c r="F49">
        <f t="shared" si="5"/>
        <v>-0.62306306751198526</v>
      </c>
      <c r="G49">
        <f t="shared" si="3"/>
        <v>17.631719367321057</v>
      </c>
    </row>
    <row r="50" spans="5:7" x14ac:dyDescent="0.3">
      <c r="E50">
        <f t="shared" si="2"/>
        <v>3.600000000000001</v>
      </c>
      <c r="F50">
        <f t="shared" si="5"/>
        <v>-0.59995714812854839</v>
      </c>
      <c r="G50">
        <f t="shared" si="3"/>
        <v>17.227502290798803</v>
      </c>
    </row>
    <row r="51" spans="5:7" x14ac:dyDescent="0.3">
      <c r="E51">
        <f t="shared" si="2"/>
        <v>3.8000000000000012</v>
      </c>
      <c r="F51">
        <f t="shared" si="5"/>
        <v>-0.57685122874511163</v>
      </c>
      <c r="G51">
        <f t="shared" si="3"/>
        <v>16.82842453434397</v>
      </c>
    </row>
    <row r="52" spans="5:7" x14ac:dyDescent="0.3">
      <c r="E52">
        <f t="shared" si="2"/>
        <v>4.0000000000000009</v>
      </c>
      <c r="F52">
        <f t="shared" si="5"/>
        <v>-0.55374530936167476</v>
      </c>
      <c r="G52">
        <f t="shared" si="3"/>
        <v>16.435764325085792</v>
      </c>
    </row>
    <row r="53" spans="5:7" x14ac:dyDescent="0.3">
      <c r="E53">
        <f t="shared" si="2"/>
        <v>4.2000000000000011</v>
      </c>
      <c r="F53">
        <f t="shared" si="5"/>
        <v>-0.53063938997823801</v>
      </c>
      <c r="G53">
        <f t="shared" si="3"/>
        <v>16.050750754322511</v>
      </c>
    </row>
    <row r="54" spans="5:7" x14ac:dyDescent="0.3">
      <c r="E54">
        <f t="shared" si="2"/>
        <v>4.4000000000000012</v>
      </c>
      <c r="F54">
        <f t="shared" si="5"/>
        <v>-0.50753347059480114</v>
      </c>
      <c r="G54">
        <f t="shared" si="3"/>
        <v>15.674563777521358</v>
      </c>
    </row>
    <row r="55" spans="5:7" x14ac:dyDescent="0.3">
      <c r="E55">
        <f t="shared" si="2"/>
        <v>4.6000000000000014</v>
      </c>
      <c r="F55">
        <f t="shared" si="5"/>
        <v>-0.48442755121136433</v>
      </c>
      <c r="G55">
        <f t="shared" si="3"/>
        <v>15.30833421431857</v>
      </c>
    </row>
    <row r="56" spans="5:7" x14ac:dyDescent="0.3">
      <c r="E56">
        <f t="shared" si="2"/>
        <v>4.8000000000000016</v>
      </c>
      <c r="F56">
        <f t="shared" si="5"/>
        <v>-0.46132163182792751</v>
      </c>
      <c r="G56">
        <f t="shared" si="3"/>
        <v>14.953143748519375</v>
      </c>
    </row>
    <row r="57" spans="5:7" x14ac:dyDescent="0.3">
      <c r="E57">
        <f t="shared" si="2"/>
        <v>5.0000000000000018</v>
      </c>
      <c r="F57">
        <f t="shared" si="5"/>
        <v>-0.4382157124444907</v>
      </c>
      <c r="G57">
        <f t="shared" si="3"/>
        <v>14.610024928098007</v>
      </c>
    </row>
    <row r="58" spans="5:7" x14ac:dyDescent="0.3">
      <c r="E58">
        <f t="shared" si="2"/>
        <v>5.200000000000002</v>
      </c>
      <c r="F58">
        <f t="shared" si="5"/>
        <v>-0.41510979306105389</v>
      </c>
      <c r="G58">
        <f t="shared" si="3"/>
        <v>14.279961165197696</v>
      </c>
    </row>
    <row r="59" spans="5:7" x14ac:dyDescent="0.3">
      <c r="E59">
        <f t="shared" si="2"/>
        <v>5.4000000000000021</v>
      </c>
      <c r="F59">
        <f t="shared" si="5"/>
        <v>-0.39200387367761708</v>
      </c>
      <c r="G59">
        <f t="shared" si="3"/>
        <v>13.963886736130668</v>
      </c>
    </row>
    <row r="60" spans="5:7" x14ac:dyDescent="0.3">
      <c r="E60">
        <f t="shared" si="2"/>
        <v>5.6000000000000023</v>
      </c>
      <c r="F60">
        <f t="shared" si="5"/>
        <v>-0.36889795429418026</v>
      </c>
      <c r="G60">
        <f t="shared" si="3"/>
        <v>13.662686781378149</v>
      </c>
    </row>
    <row r="61" spans="5:7" x14ac:dyDescent="0.3">
      <c r="E61">
        <f t="shared" si="2"/>
        <v>5.8000000000000025</v>
      </c>
      <c r="F61">
        <f t="shared" si="5"/>
        <v>-0.34579203491074345</v>
      </c>
      <c r="G61">
        <f t="shared" si="3"/>
        <v>13.377197305590366</v>
      </c>
    </row>
    <row r="62" spans="5:7" x14ac:dyDescent="0.3">
      <c r="E62">
        <f t="shared" si="2"/>
        <v>6.0000000000000027</v>
      </c>
      <c r="F62">
        <f t="shared" si="5"/>
        <v>-0.32268611552730658</v>
      </c>
      <c r="G62">
        <f t="shared" si="3"/>
        <v>13.108205177586541</v>
      </c>
    </row>
    <row r="63" spans="5:7" x14ac:dyDescent="0.3">
      <c r="E63">
        <f t="shared" si="2"/>
        <v>6.2000000000000028</v>
      </c>
      <c r="F63">
        <f t="shared" si="5"/>
        <v>-0.29958019614386977</v>
      </c>
      <c r="G63">
        <f t="shared" si="3"/>
        <v>12.856448130354895</v>
      </c>
    </row>
    <row r="64" spans="5:7" x14ac:dyDescent="0.3">
      <c r="E64">
        <f t="shared" si="2"/>
        <v>6.400000000000003</v>
      </c>
      <c r="F64">
        <f t="shared" si="5"/>
        <v>-0.27647427676043296</v>
      </c>
      <c r="G64">
        <f t="shared" si="3"/>
        <v>12.622614761052652</v>
      </c>
    </row>
    <row r="65" spans="5:7" x14ac:dyDescent="0.3">
      <c r="E65">
        <f t="shared" si="2"/>
        <v>6.6000000000000032</v>
      </c>
      <c r="F65">
        <f t="shared" si="5"/>
        <v>-0.25336835737699615</v>
      </c>
      <c r="G65">
        <f t="shared" si="3"/>
        <v>12.407344531006029</v>
      </c>
    </row>
    <row r="66" spans="5:7" x14ac:dyDescent="0.3">
      <c r="E66">
        <f t="shared" si="2"/>
        <v>6.8000000000000034</v>
      </c>
      <c r="F66">
        <f t="shared" si="5"/>
        <v>-0.23026243799355933</v>
      </c>
      <c r="G66">
        <f t="shared" si="3"/>
        <v>12.211227765710243</v>
      </c>
    </row>
    <row r="67" spans="5:7" x14ac:dyDescent="0.3">
      <c r="E67">
        <f t="shared" si="2"/>
        <v>7.0000000000000036</v>
      </c>
      <c r="F67">
        <f t="shared" si="5"/>
        <v>-0.20715651861012252</v>
      </c>
      <c r="G67">
        <f t="shared" si="3"/>
        <v>12.03480565482951</v>
      </c>
    </row>
    <row r="68" spans="5:7" x14ac:dyDescent="0.3">
      <c r="E68">
        <f t="shared" si="2"/>
        <v>7.2000000000000037</v>
      </c>
      <c r="F68">
        <f t="shared" si="5"/>
        <v>-0.18405059922668571</v>
      </c>
      <c r="G68">
        <f t="shared" si="3"/>
        <v>11.878570252197045</v>
      </c>
    </row>
    <row r="69" spans="5:7" x14ac:dyDescent="0.3">
      <c r="E69">
        <f t="shared" si="2"/>
        <v>7.4000000000000039</v>
      </c>
      <c r="F69">
        <f t="shared" si="5"/>
        <v>-0.16094467984324887</v>
      </c>
      <c r="G69">
        <f t="shared" si="3"/>
        <v>11.742964475815061</v>
      </c>
    </row>
    <row r="70" spans="5:7" x14ac:dyDescent="0.3">
      <c r="E70">
        <f t="shared" si="2"/>
        <v>7.6000000000000041</v>
      </c>
      <c r="F70">
        <f t="shared" si="5"/>
        <v>-0.13783876045981205</v>
      </c>
      <c r="G70">
        <f t="shared" si="3"/>
        <v>11.628382107854769</v>
      </c>
    </row>
    <row r="71" spans="5:7" x14ac:dyDescent="0.3">
      <c r="E71">
        <f t="shared" si="2"/>
        <v>7.8000000000000043</v>
      </c>
      <c r="F71">
        <f t="shared" ref="F71:F102" si="6">(E71-AVG_X) / STD_X</f>
        <v>-0.11473284107637524</v>
      </c>
      <c r="G71">
        <f t="shared" si="3"/>
        <v>11.535167794656381</v>
      </c>
    </row>
    <row r="72" spans="5:7" x14ac:dyDescent="0.3">
      <c r="E72">
        <f t="shared" si="2"/>
        <v>8.0000000000000036</v>
      </c>
      <c r="F72">
        <f t="shared" si="6"/>
        <v>-9.1626921692938526E-2</v>
      </c>
      <c r="G72">
        <f t="shared" si="3"/>
        <v>11.463617046729103</v>
      </c>
    </row>
    <row r="73" spans="5:7" x14ac:dyDescent="0.3">
      <c r="E73">
        <f t="shared" ref="E73:E122" si="7">E72+0.2</f>
        <v>8.2000000000000028</v>
      </c>
      <c r="F73">
        <f t="shared" si="6"/>
        <v>-6.8521002309501797E-2</v>
      </c>
      <c r="G73">
        <f t="shared" si="3"/>
        <v>11.413976238751145</v>
      </c>
    </row>
    <row r="74" spans="5:7" x14ac:dyDescent="0.3">
      <c r="E74">
        <f t="shared" si="7"/>
        <v>8.4000000000000021</v>
      </c>
      <c r="F74">
        <f t="shared" si="6"/>
        <v>-4.5415082926065088E-2</v>
      </c>
      <c r="G74">
        <f t="shared" ref="G74:G122" si="8">$A$2 * F74^4 + $B$2 * F74^3 + $C$2 * F74^2 + $D$2 * F74 + $E$2</f>
        <v>11.386442609569711</v>
      </c>
    </row>
    <row r="75" spans="5:7" x14ac:dyDescent="0.3">
      <c r="E75">
        <f t="shared" si="7"/>
        <v>8.6000000000000014</v>
      </c>
      <c r="F75">
        <f t="shared" si="6"/>
        <v>-2.2309163542628369E-2</v>
      </c>
      <c r="G75">
        <f t="shared" si="8"/>
        <v>11.381164262201004</v>
      </c>
    </row>
    <row r="76" spans="5:7" x14ac:dyDescent="0.3">
      <c r="E76">
        <f t="shared" si="7"/>
        <v>8.8000000000000007</v>
      </c>
      <c r="F76">
        <f t="shared" si="6"/>
        <v>7.9675584080834668E-4</v>
      </c>
      <c r="G76">
        <f t="shared" si="8"/>
        <v>11.398240163830227</v>
      </c>
    </row>
    <row r="77" spans="5:7" x14ac:dyDescent="0.3">
      <c r="E77">
        <f t="shared" si="7"/>
        <v>9</v>
      </c>
      <c r="F77">
        <f t="shared" si="6"/>
        <v>2.3902675224245062E-2</v>
      </c>
      <c r="G77">
        <f t="shared" si="8"/>
        <v>11.437720145811584</v>
      </c>
    </row>
    <row r="78" spans="5:7" x14ac:dyDescent="0.3">
      <c r="E78">
        <f t="shared" si="7"/>
        <v>9.1999999999999993</v>
      </c>
      <c r="F78">
        <f t="shared" si="6"/>
        <v>4.7008594607681781E-2</v>
      </c>
      <c r="G78">
        <f t="shared" si="8"/>
        <v>11.499604903668272</v>
      </c>
    </row>
    <row r="79" spans="5:7" x14ac:dyDescent="0.3">
      <c r="E79">
        <f t="shared" si="7"/>
        <v>9.3999999999999986</v>
      </c>
      <c r="F79">
        <f t="shared" si="6"/>
        <v>7.0114513991118496E-2</v>
      </c>
      <c r="G79">
        <f t="shared" si="8"/>
        <v>11.583845997092489</v>
      </c>
    </row>
    <row r="80" spans="5:7" x14ac:dyDescent="0.3">
      <c r="E80">
        <f t="shared" si="7"/>
        <v>9.5999999999999979</v>
      </c>
      <c r="F80">
        <f t="shared" si="6"/>
        <v>9.3220433374555212E-2</v>
      </c>
      <c r="G80">
        <f t="shared" si="8"/>
        <v>11.690345849945434</v>
      </c>
    </row>
    <row r="81" spans="5:7" x14ac:dyDescent="0.3">
      <c r="E81">
        <f t="shared" si="7"/>
        <v>9.7999999999999972</v>
      </c>
      <c r="F81">
        <f t="shared" si="6"/>
        <v>0.11632635275799193</v>
      </c>
      <c r="G81">
        <f t="shared" si="8"/>
        <v>11.818957750257301</v>
      </c>
    </row>
    <row r="82" spans="5:7" x14ac:dyDescent="0.3">
      <c r="E82">
        <f t="shared" si="7"/>
        <v>9.9999999999999964</v>
      </c>
      <c r="F82">
        <f t="shared" si="6"/>
        <v>0.13943227214142864</v>
      </c>
      <c r="G82">
        <f t="shared" si="8"/>
        <v>11.969485850227283</v>
      </c>
    </row>
    <row r="83" spans="5:7" x14ac:dyDescent="0.3">
      <c r="E83">
        <f t="shared" si="7"/>
        <v>10.199999999999996</v>
      </c>
      <c r="F83">
        <f t="shared" si="6"/>
        <v>0.16253819152486537</v>
      </c>
      <c r="G83">
        <f t="shared" si="8"/>
        <v>12.141685166223574</v>
      </c>
    </row>
    <row r="84" spans="5:7" x14ac:dyDescent="0.3">
      <c r="E84">
        <f t="shared" si="7"/>
        <v>10.399999999999995</v>
      </c>
      <c r="F84">
        <f t="shared" si="6"/>
        <v>0.18564411090830207</v>
      </c>
      <c r="G84">
        <f t="shared" si="8"/>
        <v>12.335261578783363</v>
      </c>
    </row>
    <row r="85" spans="5:7" x14ac:dyDescent="0.3">
      <c r="E85">
        <f t="shared" si="7"/>
        <v>10.599999999999994</v>
      </c>
      <c r="F85">
        <f t="shared" si="6"/>
        <v>0.2087500302917388</v>
      </c>
      <c r="G85">
        <f t="shared" si="8"/>
        <v>12.54987183261284</v>
      </c>
    </row>
    <row r="86" spans="5:7" x14ac:dyDescent="0.3">
      <c r="E86">
        <f t="shared" si="7"/>
        <v>10.799999999999994</v>
      </c>
      <c r="F86">
        <f t="shared" si="6"/>
        <v>0.2318559496751755</v>
      </c>
      <c r="G86">
        <f t="shared" si="8"/>
        <v>12.785123536587195</v>
      </c>
    </row>
    <row r="87" spans="5:7" x14ac:dyDescent="0.3">
      <c r="E87">
        <f t="shared" si="7"/>
        <v>10.999999999999993</v>
      </c>
      <c r="F87">
        <f t="shared" si="6"/>
        <v>0.25496186905861223</v>
      </c>
      <c r="G87">
        <f t="shared" si="8"/>
        <v>13.04057516375061</v>
      </c>
    </row>
    <row r="88" spans="5:7" x14ac:dyDescent="0.3">
      <c r="E88">
        <f t="shared" si="7"/>
        <v>11.199999999999992</v>
      </c>
      <c r="F88">
        <f t="shared" si="6"/>
        <v>0.27806778844204894</v>
      </c>
      <c r="G88">
        <f t="shared" si="8"/>
        <v>13.315736051316275</v>
      </c>
    </row>
    <row r="89" spans="5:7" x14ac:dyDescent="0.3">
      <c r="E89">
        <f t="shared" si="7"/>
        <v>11.399999999999991</v>
      </c>
      <c r="F89">
        <f t="shared" si="6"/>
        <v>0.30117370782548564</v>
      </c>
      <c r="G89">
        <f t="shared" si="8"/>
        <v>13.610066400666369</v>
      </c>
    </row>
    <row r="90" spans="5:7" x14ac:dyDescent="0.3">
      <c r="E90">
        <f t="shared" si="7"/>
        <v>11.599999999999991</v>
      </c>
      <c r="F90">
        <f t="shared" si="6"/>
        <v>0.32427962720892239</v>
      </c>
      <c r="G90">
        <f t="shared" si="8"/>
        <v>13.922977277352077</v>
      </c>
    </row>
    <row r="91" spans="5:7" x14ac:dyDescent="0.3">
      <c r="E91">
        <f t="shared" si="7"/>
        <v>11.79999999999999</v>
      </c>
      <c r="F91">
        <f t="shared" si="6"/>
        <v>0.3473855465923591</v>
      </c>
      <c r="G91">
        <f t="shared" si="8"/>
        <v>14.253830611093576</v>
      </c>
    </row>
    <row r="92" spans="5:7" x14ac:dyDescent="0.3">
      <c r="E92">
        <f t="shared" si="7"/>
        <v>11.999999999999989</v>
      </c>
      <c r="F92">
        <f t="shared" si="6"/>
        <v>0.3704914659757958</v>
      </c>
      <c r="G92">
        <f t="shared" si="8"/>
        <v>14.60193919578005</v>
      </c>
    </row>
    <row r="93" spans="5:7" x14ac:dyDescent="0.3">
      <c r="E93">
        <f t="shared" si="7"/>
        <v>12.199999999999989</v>
      </c>
      <c r="F93">
        <f t="shared" si="6"/>
        <v>0.39359738535923255</v>
      </c>
      <c r="G93">
        <f t="shared" si="8"/>
        <v>14.966566689469673</v>
      </c>
    </row>
    <row r="94" spans="5:7" x14ac:dyDescent="0.3">
      <c r="E94">
        <f t="shared" si="7"/>
        <v>12.399999999999988</v>
      </c>
      <c r="F94">
        <f t="shared" si="6"/>
        <v>0.41670330474266926</v>
      </c>
      <c r="G94">
        <f t="shared" si="8"/>
        <v>15.346927614389621</v>
      </c>
    </row>
    <row r="95" spans="5:7" x14ac:dyDescent="0.3">
      <c r="E95">
        <f t="shared" si="7"/>
        <v>12.599999999999987</v>
      </c>
      <c r="F95">
        <f t="shared" si="6"/>
        <v>0.43980922412610596</v>
      </c>
      <c r="G95">
        <f t="shared" si="8"/>
        <v>15.74218735693607</v>
      </c>
    </row>
    <row r="96" spans="5:7" x14ac:dyDescent="0.3">
      <c r="E96">
        <f t="shared" si="7"/>
        <v>12.799999999999986</v>
      </c>
      <c r="F96">
        <f t="shared" si="6"/>
        <v>0.46291514350954266</v>
      </c>
      <c r="G96">
        <f t="shared" si="8"/>
        <v>16.15146216767419</v>
      </c>
    </row>
    <row r="97" spans="5:7" x14ac:dyDescent="0.3">
      <c r="E97">
        <f t="shared" si="7"/>
        <v>12.999999999999986</v>
      </c>
      <c r="F97">
        <f t="shared" si="6"/>
        <v>0.48602106289297942</v>
      </c>
      <c r="G97">
        <f t="shared" si="8"/>
        <v>16.573819161338157</v>
      </c>
    </row>
    <row r="98" spans="5:7" x14ac:dyDescent="0.3">
      <c r="E98">
        <f t="shared" si="7"/>
        <v>13.199999999999985</v>
      </c>
      <c r="F98">
        <f t="shared" si="6"/>
        <v>0.50912698227641606</v>
      </c>
      <c r="G98">
        <f t="shared" si="8"/>
        <v>17.008276316831139</v>
      </c>
    </row>
    <row r="99" spans="5:7" x14ac:dyDescent="0.3">
      <c r="E99">
        <f t="shared" si="7"/>
        <v>13.399999999999984</v>
      </c>
      <c r="F99">
        <f t="shared" si="6"/>
        <v>0.53223290165985282</v>
      </c>
      <c r="G99">
        <f t="shared" si="8"/>
        <v>17.453802477225302</v>
      </c>
    </row>
    <row r="100" spans="5:7" x14ac:dyDescent="0.3">
      <c r="E100">
        <f t="shared" si="7"/>
        <v>13.599999999999984</v>
      </c>
      <c r="F100">
        <f t="shared" si="6"/>
        <v>0.55533882104328958</v>
      </c>
      <c r="G100">
        <f t="shared" si="8"/>
        <v>17.909317349761821</v>
      </c>
    </row>
    <row r="101" spans="5:7" x14ac:dyDescent="0.3">
      <c r="E101">
        <f t="shared" si="7"/>
        <v>13.799999999999983</v>
      </c>
      <c r="F101">
        <f t="shared" si="6"/>
        <v>0.57844474042672622</v>
      </c>
      <c r="G101">
        <f t="shared" si="8"/>
        <v>18.37369150585085</v>
      </c>
    </row>
    <row r="102" spans="5:7" x14ac:dyDescent="0.3">
      <c r="E102">
        <f t="shared" si="7"/>
        <v>13.999999999999982</v>
      </c>
      <c r="F102">
        <f t="shared" si="6"/>
        <v>0.60155065981016298</v>
      </c>
      <c r="G102">
        <f t="shared" si="8"/>
        <v>18.845746381071564</v>
      </c>
    </row>
    <row r="103" spans="5:7" x14ac:dyDescent="0.3">
      <c r="E103">
        <f t="shared" si="7"/>
        <v>14.199999999999982</v>
      </c>
      <c r="F103">
        <f t="shared" ref="F103:F134" si="9">(E103-AVG_X) / STD_X</f>
        <v>0.62465657919359974</v>
      </c>
      <c r="G103">
        <f t="shared" si="8"/>
        <v>19.324254275172123</v>
      </c>
    </row>
    <row r="104" spans="5:7" x14ac:dyDescent="0.3">
      <c r="E104">
        <f t="shared" si="7"/>
        <v>14.399999999999981</v>
      </c>
      <c r="F104">
        <f t="shared" si="9"/>
        <v>0.64776249857703638</v>
      </c>
      <c r="G104">
        <f t="shared" si="8"/>
        <v>19.80793835206968</v>
      </c>
    </row>
    <row r="105" spans="5:7" x14ac:dyDescent="0.3">
      <c r="E105">
        <f t="shared" si="7"/>
        <v>14.59999999999998</v>
      </c>
      <c r="F105">
        <f t="shared" si="9"/>
        <v>0.67086841796047314</v>
      </c>
      <c r="G105">
        <f t="shared" si="8"/>
        <v>20.295472639850406</v>
      </c>
    </row>
    <row r="106" spans="5:7" x14ac:dyDescent="0.3">
      <c r="E106">
        <f t="shared" si="7"/>
        <v>14.799999999999979</v>
      </c>
      <c r="F106">
        <f t="shared" si="9"/>
        <v>0.6939743373439099</v>
      </c>
      <c r="G106">
        <f t="shared" si="8"/>
        <v>20.785482030769455</v>
      </c>
    </row>
    <row r="107" spans="5:7" x14ac:dyDescent="0.3">
      <c r="E107">
        <f t="shared" si="7"/>
        <v>14.999999999999979</v>
      </c>
      <c r="F107">
        <f t="shared" si="9"/>
        <v>0.71708025672734654</v>
      </c>
      <c r="G107">
        <f t="shared" si="8"/>
        <v>21.276542281250975</v>
      </c>
    </row>
    <row r="108" spans="5:7" x14ac:dyDescent="0.3">
      <c r="E108">
        <f t="shared" si="7"/>
        <v>15.199999999999978</v>
      </c>
      <c r="F108">
        <f t="shared" si="9"/>
        <v>0.7401861761107833</v>
      </c>
      <c r="G108">
        <f t="shared" si="8"/>
        <v>21.767180011888136</v>
      </c>
    </row>
    <row r="109" spans="5:7" x14ac:dyDescent="0.3">
      <c r="E109">
        <f t="shared" si="7"/>
        <v>15.399999999999977</v>
      </c>
      <c r="F109">
        <f t="shared" si="9"/>
        <v>0.76329209549421995</v>
      </c>
      <c r="G109">
        <f t="shared" si="8"/>
        <v>22.255872707443082</v>
      </c>
    </row>
    <row r="110" spans="5:7" x14ac:dyDescent="0.3">
      <c r="E110">
        <f t="shared" si="7"/>
        <v>15.599999999999977</v>
      </c>
      <c r="F110">
        <f t="shared" si="9"/>
        <v>0.7863980148776567</v>
      </c>
      <c r="G110">
        <f t="shared" si="8"/>
        <v>22.741048716846976</v>
      </c>
    </row>
    <row r="111" spans="5:7" x14ac:dyDescent="0.3">
      <c r="E111">
        <f t="shared" si="7"/>
        <v>15.799999999999976</v>
      </c>
      <c r="F111">
        <f t="shared" si="9"/>
        <v>0.80950393426109346</v>
      </c>
      <c r="G111">
        <f t="shared" si="8"/>
        <v>23.221087253199954</v>
      </c>
    </row>
    <row r="112" spans="5:7" x14ac:dyDescent="0.3">
      <c r="E112">
        <f t="shared" si="7"/>
        <v>15.999999999999975</v>
      </c>
      <c r="F112">
        <f t="shared" si="9"/>
        <v>0.83260985364453011</v>
      </c>
      <c r="G112">
        <f t="shared" si="8"/>
        <v>23.694318393771173</v>
      </c>
    </row>
    <row r="113" spans="5:7" x14ac:dyDescent="0.3">
      <c r="E113">
        <f t="shared" si="7"/>
        <v>16.199999999999974</v>
      </c>
      <c r="F113">
        <f t="shared" si="9"/>
        <v>0.85571577302796686</v>
      </c>
      <c r="G113">
        <f t="shared" si="8"/>
        <v>24.159023079998782</v>
      </c>
    </row>
    <row r="114" spans="5:7" x14ac:dyDescent="0.3">
      <c r="E114">
        <f t="shared" si="7"/>
        <v>16.399999999999974</v>
      </c>
      <c r="F114">
        <f t="shared" si="9"/>
        <v>0.87882169241140362</v>
      </c>
      <c r="G114">
        <f t="shared" si="8"/>
        <v>24.613433117489926</v>
      </c>
    </row>
    <row r="115" spans="5:7" x14ac:dyDescent="0.3">
      <c r="E115">
        <f t="shared" si="7"/>
        <v>16.599999999999973</v>
      </c>
      <c r="F115">
        <f t="shared" si="9"/>
        <v>0.90192761179484027</v>
      </c>
      <c r="G115">
        <f t="shared" si="8"/>
        <v>25.055731176020743</v>
      </c>
    </row>
    <row r="116" spans="5:7" x14ac:dyDescent="0.3">
      <c r="E116">
        <f t="shared" si="7"/>
        <v>16.799999999999972</v>
      </c>
      <c r="F116">
        <f t="shared" si="9"/>
        <v>0.92503353117827702</v>
      </c>
      <c r="G116">
        <f t="shared" si="8"/>
        <v>25.48405078953639</v>
      </c>
    </row>
    <row r="117" spans="5:7" x14ac:dyDescent="0.3">
      <c r="E117">
        <f t="shared" si="7"/>
        <v>16.999999999999972</v>
      </c>
      <c r="F117">
        <f t="shared" si="9"/>
        <v>0.94813945056171378</v>
      </c>
      <c r="G117">
        <f t="shared" si="8"/>
        <v>25.896476356150998</v>
      </c>
    </row>
    <row r="118" spans="5:7" x14ac:dyDescent="0.3">
      <c r="E118">
        <f t="shared" si="7"/>
        <v>17.199999999999971</v>
      </c>
      <c r="F118">
        <f t="shared" si="9"/>
        <v>0.97124536994515043</v>
      </c>
      <c r="G118">
        <f t="shared" si="8"/>
        <v>26.291043138147717</v>
      </c>
    </row>
    <row r="119" spans="5:7" x14ac:dyDescent="0.3">
      <c r="E119">
        <f t="shared" si="7"/>
        <v>17.39999999999997</v>
      </c>
      <c r="F119">
        <f t="shared" si="9"/>
        <v>0.99435128932858718</v>
      </c>
      <c r="G119">
        <f t="shared" si="8"/>
        <v>26.665737261978677</v>
      </c>
    </row>
    <row r="120" spans="5:7" x14ac:dyDescent="0.3">
      <c r="E120">
        <f t="shared" si="7"/>
        <v>17.599999999999969</v>
      </c>
      <c r="F120">
        <f t="shared" si="9"/>
        <v>1.0174572087120239</v>
      </c>
      <c r="G120">
        <f t="shared" si="8"/>
        <v>27.018495718265022</v>
      </c>
    </row>
    <row r="121" spans="5:7" x14ac:dyDescent="0.3">
      <c r="E121">
        <f t="shared" si="7"/>
        <v>17.799999999999969</v>
      </c>
      <c r="F121">
        <f t="shared" si="9"/>
        <v>1.0405631280954606</v>
      </c>
      <c r="G121">
        <f t="shared" si="8"/>
        <v>27.347206361796879</v>
      </c>
    </row>
    <row r="122" spans="5:7" x14ac:dyDescent="0.3">
      <c r="E122">
        <f t="shared" si="7"/>
        <v>17.999999999999968</v>
      </c>
      <c r="F122">
        <f t="shared" si="9"/>
        <v>1.0636690474788972</v>
      </c>
      <c r="G122">
        <f t="shared" si="8"/>
        <v>27.649707911533387</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23</vt:i4>
      </vt:variant>
    </vt:vector>
  </HeadingPairs>
  <TitlesOfParts>
    <vt:vector size="25" baseType="lpstr">
      <vt:lpstr>Model Training</vt:lpstr>
      <vt:lpstr>Sheet1</vt:lpstr>
      <vt:lpstr>AVG_X</vt:lpstr>
      <vt:lpstr>current_a</vt:lpstr>
      <vt:lpstr>current_b</vt:lpstr>
      <vt:lpstr>current_c</vt:lpstr>
      <vt:lpstr>current_d</vt:lpstr>
      <vt:lpstr>current_e</vt:lpstr>
      <vt:lpstr>current_Grad_a</vt:lpstr>
      <vt:lpstr>current_Grad_b</vt:lpstr>
      <vt:lpstr>current_Grad_c</vt:lpstr>
      <vt:lpstr>current_Grad_d</vt:lpstr>
      <vt:lpstr>current_Grad_e</vt:lpstr>
      <vt:lpstr>current_step</vt:lpstr>
      <vt:lpstr>current_Total_Loss</vt:lpstr>
      <vt:lpstr>initial_a</vt:lpstr>
      <vt:lpstr>initial_b</vt:lpstr>
      <vt:lpstr>initial_c</vt:lpstr>
      <vt:lpstr>initial_d</vt:lpstr>
      <vt:lpstr>initial_e</vt:lpstr>
      <vt:lpstr>MAE</vt:lpstr>
      <vt:lpstr>MAPE</vt:lpstr>
      <vt:lpstr>MAX_iterations</vt:lpstr>
      <vt:lpstr>R_Squared</vt:lpstr>
      <vt:lpstr>STD_X</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Marco Lasala</cp:lastModifiedBy>
  <dcterms:created xsi:type="dcterms:W3CDTF">2015-06-05T18:17:20Z</dcterms:created>
  <dcterms:modified xsi:type="dcterms:W3CDTF">2026-02-08T08:56:38Z</dcterms:modified>
</cp:coreProperties>
</file>