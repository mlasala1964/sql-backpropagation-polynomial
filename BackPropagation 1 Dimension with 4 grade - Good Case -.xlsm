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5.xml" ContentType="application/vnd.openxmlformats-officedocument.spreadsheetml.tab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628" codeName="{DD97A8EA-9A9A-E61F-A557-7D5A7D7259CE}"/>
  <workbookPr codeName="ThisWorkbook"/>
  <mc:AlternateContent xmlns:mc="http://schemas.openxmlformats.org/markup-compatibility/2006">
    <mc:Choice Requires="x15">
      <x15ac:absPath xmlns:x15ac="http://schemas.microsoft.com/office/spreadsheetml/2010/11/ac" url="C:\DOCUMENTI\2025\Articles\Blade Runner e le derivate\"/>
    </mc:Choice>
  </mc:AlternateContent>
  <xr:revisionPtr revIDLastSave="0" documentId="13_ncr:1_{C21E739B-8E6D-4F3A-9C8F-A8D5805404B5}" xr6:coauthVersionLast="47" xr6:coauthVersionMax="47" xr10:uidLastSave="{00000000-0000-0000-0000-000000000000}"/>
  <bookViews>
    <workbookView xWindow="-108" yWindow="-108" windowWidth="23256" windowHeight="12456" xr2:uid="{00000000-000D-0000-FFFF-FFFF00000000}"/>
  </bookViews>
  <sheets>
    <sheet name="Model Training" sheetId="3" r:id="rId1"/>
    <sheet name="Sheet1" sheetId="4" r:id="rId2"/>
  </sheets>
  <definedNames>
    <definedName name="_xleta.ABS" hidden="1" xlm="1">#NAME?</definedName>
    <definedName name="_xleta.AVERAGE" hidden="1" xlm="1">#NAME?</definedName>
    <definedName name="_xleta.CORREL" hidden="1" xlm="1">#NAME?</definedName>
    <definedName name="_xleta.INDEX" hidden="1" xlm="1">#NAME?</definedName>
    <definedName name="AVG_X">'Model Training'!$A$6</definedName>
    <definedName name="current_a">'Model Training'!$G$5</definedName>
    <definedName name="current_b">'Model Training'!$H$5</definedName>
    <definedName name="current_c">'Model Training'!$I$5</definedName>
    <definedName name="current_d">'Model Training'!$J$5</definedName>
    <definedName name="current_e">'Model Training'!$K$5</definedName>
    <definedName name="current_Grad_a">'Model Training'!$N$5</definedName>
    <definedName name="current_Grad_b">'Model Training'!$O$5</definedName>
    <definedName name="current_Grad_c">'Model Training'!$P$5</definedName>
    <definedName name="current_Grad_d">'Model Training'!$Q$5</definedName>
    <definedName name="current_Grad_e">'Model Training'!$R$5</definedName>
    <definedName name="current_step">'Model Training'!$F$5</definedName>
    <definedName name="current_Total_Loss">'Model Training'!$L$5</definedName>
    <definedName name="initial_a">'Model Training'!$G$1</definedName>
    <definedName name="initial_b">'Model Training'!$I$1</definedName>
    <definedName name="initial_c">'Model Training'!$K$1</definedName>
    <definedName name="initial_d">'Model Training'!$M$1</definedName>
    <definedName name="initial_e">'Model Training'!$O$1</definedName>
    <definedName name="MAE">'Model Training'!$F$12</definedName>
    <definedName name="MAPE">'Model Training'!$F$13</definedName>
    <definedName name="MAX_iterations">'Model Training'!$F$9</definedName>
    <definedName name="R_Squared">'Model Training'!$F$11</definedName>
    <definedName name="STD_X">'Model Training'!$A$7</definedName>
  </definedNames>
  <calcPr calcId="191029" iterate="1" iterateCount="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3" l="1"/>
  <c r="C11" i="3"/>
  <c r="C12" i="3"/>
  <c r="C13" i="3"/>
  <c r="C14" i="3"/>
  <c r="C15" i="3"/>
  <c r="C16" i="3"/>
  <c r="C17" i="3"/>
  <c r="C18" i="3"/>
  <c r="C19" i="3"/>
  <c r="C20" i="3"/>
  <c r="C21" i="3"/>
  <c r="C22" i="3"/>
  <c r="C23" i="3"/>
  <c r="C24" i="3"/>
  <c r="C25" i="3"/>
  <c r="C26" i="3"/>
  <c r="C27" i="3"/>
  <c r="B37" i="4"/>
  <c r="C37" i="4" s="1"/>
  <c r="F18" i="3"/>
  <c r="F19" i="3" s="1"/>
  <c r="F20" i="3" s="1"/>
  <c r="F21" i="3" s="1"/>
  <c r="F22" i="3" s="1"/>
  <c r="F23" i="3" s="1"/>
  <c r="F24" i="3" s="1"/>
  <c r="F25" i="3" s="1"/>
  <c r="F26" i="3" s="1"/>
  <c r="F27" i="3" s="1"/>
  <c r="F28" i="3" s="1"/>
  <c r="F29" i="3" s="1"/>
  <c r="F30" i="3" s="1"/>
  <c r="F31" i="3" s="1"/>
  <c r="F32" i="3" s="1"/>
  <c r="F33" i="3" s="1"/>
  <c r="F34" i="3" s="1"/>
  <c r="F35" i="3" s="1"/>
  <c r="F36" i="3" s="1"/>
  <c r="F37" i="3" s="1"/>
  <c r="F38" i="3" s="1"/>
  <c r="F39" i="3" s="1"/>
  <c r="F40" i="3" s="1"/>
  <c r="F41" i="3" s="1"/>
  <c r="F42" i="3" s="1"/>
  <c r="F43" i="3" s="1"/>
  <c r="F44" i="3" s="1"/>
  <c r="F45" i="3" s="1"/>
  <c r="F46" i="3" s="1"/>
  <c r="F47" i="3" s="1"/>
  <c r="F48" i="3" s="1"/>
  <c r="F49" i="3" s="1"/>
  <c r="F50" i="3" s="1"/>
  <c r="F51" i="3" s="1"/>
  <c r="F52" i="3" s="1"/>
  <c r="F53" i="3" s="1"/>
  <c r="F54" i="3" s="1"/>
  <c r="F55" i="3" s="1"/>
  <c r="F56" i="3" s="1"/>
  <c r="F57" i="3" s="1"/>
  <c r="F58" i="3" s="1"/>
  <c r="F59" i="3" s="1"/>
  <c r="F60" i="3" s="1"/>
  <c r="F61" i="3" s="1"/>
  <c r="F62" i="3" s="1"/>
  <c r="F63" i="3" s="1"/>
  <c r="F64" i="3" s="1"/>
  <c r="F65" i="3" s="1"/>
  <c r="F66" i="3" s="1"/>
  <c r="F67" i="3" s="1"/>
  <c r="F68" i="3" s="1"/>
  <c r="F69" i="3" s="1"/>
  <c r="A14" i="3"/>
  <c r="D37" i="4" l="1"/>
  <c r="A15" i="3"/>
  <c r="F70" i="3"/>
  <c r="A16" i="3" l="1"/>
  <c r="F71" i="3"/>
  <c r="A17" i="3" l="1"/>
  <c r="F72" i="3"/>
  <c r="A18" i="3" l="1"/>
  <c r="F73" i="3"/>
  <c r="A19" i="3" l="1"/>
  <c r="F74" i="3"/>
  <c r="A20" i="3" l="1"/>
  <c r="F75" i="3"/>
  <c r="A21" i="3" l="1"/>
  <c r="F76" i="3"/>
  <c r="A22" i="3" l="1"/>
  <c r="F77" i="3"/>
  <c r="A23" i="4" l="1"/>
  <c r="B22" i="4"/>
  <c r="A23" i="3"/>
  <c r="F78" i="3"/>
  <c r="C22" i="4" l="1"/>
  <c r="D22" i="4"/>
  <c r="A24" i="4"/>
  <c r="B23" i="4"/>
  <c r="A24" i="3"/>
  <c r="F79" i="3"/>
  <c r="C23" i="4" l="1"/>
  <c r="D23" i="4"/>
  <c r="A25" i="4"/>
  <c r="B24" i="4"/>
  <c r="A25" i="3"/>
  <c r="F80" i="3"/>
  <c r="C24" i="4" l="1"/>
  <c r="D24" i="4"/>
  <c r="A26" i="4"/>
  <c r="B25" i="4"/>
  <c r="A26" i="3"/>
  <c r="F81" i="3"/>
  <c r="C25" i="4" l="1"/>
  <c r="D25" i="4"/>
  <c r="A27" i="4"/>
  <c r="B26" i="4"/>
  <c r="A27" i="3"/>
  <c r="A7" i="3" s="1"/>
  <c r="F82" i="3"/>
  <c r="C26" i="4" l="1"/>
  <c r="D26" i="4"/>
  <c r="A28" i="4"/>
  <c r="B27" i="4"/>
  <c r="A8" i="3"/>
  <c r="A6" i="3"/>
  <c r="F83" i="3"/>
  <c r="C27" i="4" l="1"/>
  <c r="D27" i="4"/>
  <c r="A29" i="4"/>
  <c r="B28" i="4"/>
  <c r="D10" i="3"/>
  <c r="D11" i="3"/>
  <c r="D12" i="3"/>
  <c r="AB12" i="3" s="1"/>
  <c r="D13" i="3"/>
  <c r="D14" i="3"/>
  <c r="D15" i="3"/>
  <c r="D16" i="3"/>
  <c r="D17" i="3"/>
  <c r="D18" i="3"/>
  <c r="D19" i="3"/>
  <c r="D20" i="3"/>
  <c r="D21" i="3"/>
  <c r="D22" i="3"/>
  <c r="D23" i="3"/>
  <c r="AB23" i="3" s="1"/>
  <c r="D24" i="3"/>
  <c r="AB24" i="3" s="1"/>
  <c r="D25" i="3"/>
  <c r="AB25" i="3" s="1"/>
  <c r="D26" i="3"/>
  <c r="AB26" i="3" s="1"/>
  <c r="D27" i="3"/>
  <c r="AB27" i="3" s="1"/>
  <c r="F84" i="3"/>
  <c r="C28" i="4" l="1"/>
  <c r="D28" i="4"/>
  <c r="A30" i="4"/>
  <c r="B29" i="4"/>
  <c r="AB20" i="3"/>
  <c r="AB18" i="3"/>
  <c r="AB15" i="3"/>
  <c r="AB21" i="3"/>
  <c r="AB16" i="3"/>
  <c r="AB22" i="3"/>
  <c r="AB19" i="3"/>
  <c r="AB17" i="3"/>
  <c r="AB14" i="3"/>
  <c r="AB13" i="3"/>
  <c r="AB11" i="3"/>
  <c r="AB10" i="3"/>
  <c r="F85" i="3"/>
  <c r="C29" i="4" l="1"/>
  <c r="D29" i="4"/>
  <c r="A31" i="4"/>
  <c r="B30" i="4"/>
  <c r="F86" i="3"/>
  <c r="C30" i="4" l="1"/>
  <c r="D30" i="4"/>
  <c r="A32" i="4"/>
  <c r="B31" i="4"/>
  <c r="F87" i="3"/>
  <c r="C31" i="4" l="1"/>
  <c r="D31" i="4"/>
  <c r="A33" i="4"/>
  <c r="B32" i="4"/>
  <c r="F88" i="3"/>
  <c r="C32" i="4" l="1"/>
  <c r="D32" i="4"/>
  <c r="A34" i="4"/>
  <c r="B33" i="4"/>
  <c r="F89" i="3"/>
  <c r="C33" i="4" l="1"/>
  <c r="D33" i="4"/>
  <c r="A35" i="4"/>
  <c r="B34" i="4"/>
  <c r="F90" i="3"/>
  <c r="C34" i="4" l="1"/>
  <c r="D34" i="4"/>
  <c r="A36" i="4"/>
  <c r="B35" i="4"/>
  <c r="F91" i="3"/>
  <c r="C35" i="4" l="1"/>
  <c r="D35" i="4"/>
  <c r="A38" i="4"/>
  <c r="B36" i="4"/>
  <c r="F92" i="3"/>
  <c r="C36" i="4" l="1"/>
  <c r="D36" i="4"/>
  <c r="A39" i="4"/>
  <c r="B38" i="4"/>
  <c r="F93" i="3"/>
  <c r="C38" i="4" l="1"/>
  <c r="D38" i="4"/>
  <c r="A40" i="4"/>
  <c r="B39" i="4"/>
  <c r="F94" i="3"/>
  <c r="C39" i="4" l="1"/>
  <c r="D39" i="4"/>
  <c r="A41" i="4"/>
  <c r="B40" i="4"/>
  <c r="F95" i="3"/>
  <c r="C40" i="4" l="1"/>
  <c r="D40" i="4"/>
  <c r="A42" i="4"/>
  <c r="B41" i="4"/>
  <c r="F96" i="3"/>
  <c r="C41" i="4" l="1"/>
  <c r="D41" i="4"/>
  <c r="A43" i="4"/>
  <c r="B42" i="4"/>
  <c r="F97" i="3"/>
  <c r="C42" i="4" l="1"/>
  <c r="D42" i="4"/>
  <c r="A44" i="4"/>
  <c r="B43" i="4"/>
  <c r="F98" i="3"/>
  <c r="C43" i="4" l="1"/>
  <c r="D43" i="4"/>
  <c r="A45" i="4"/>
  <c r="B44" i="4"/>
  <c r="F99" i="3"/>
  <c r="C44" i="4" l="1"/>
  <c r="D44" i="4"/>
  <c r="A46" i="4"/>
  <c r="B45" i="4"/>
  <c r="F100" i="3"/>
  <c r="C45" i="4" l="1"/>
  <c r="D45" i="4"/>
  <c r="A47" i="4"/>
  <c r="B46" i="4"/>
  <c r="F101" i="3"/>
  <c r="C46" i="4" l="1"/>
  <c r="D46" i="4"/>
  <c r="A48" i="4"/>
  <c r="B47" i="4"/>
  <c r="F102" i="3"/>
  <c r="C47" i="4" l="1"/>
  <c r="D47" i="4"/>
  <c r="A49" i="4"/>
  <c r="B48" i="4"/>
  <c r="F103" i="3"/>
  <c r="C48" i="4" l="1"/>
  <c r="D48" i="4"/>
  <c r="A50" i="4"/>
  <c r="B49" i="4"/>
  <c r="F104" i="3"/>
  <c r="C49" i="4" l="1"/>
  <c r="D49" i="4"/>
  <c r="A51" i="4"/>
  <c r="B50" i="4"/>
  <c r="F105" i="3"/>
  <c r="C50" i="4" l="1"/>
  <c r="D50" i="4"/>
  <c r="A52" i="4"/>
  <c r="B51" i="4"/>
  <c r="F106" i="3"/>
  <c r="C51" i="4" l="1"/>
  <c r="D51" i="4"/>
  <c r="A53" i="4"/>
  <c r="B52" i="4"/>
  <c r="F107" i="3"/>
  <c r="C52" i="4" l="1"/>
  <c r="D52" i="4"/>
  <c r="A54" i="4"/>
  <c r="B53" i="4"/>
  <c r="F108" i="3"/>
  <c r="C53" i="4" l="1"/>
  <c r="D53" i="4"/>
  <c r="A55" i="4"/>
  <c r="B54" i="4"/>
  <c r="F109" i="3"/>
  <c r="C54" i="4" l="1"/>
  <c r="D54" i="4"/>
  <c r="A56" i="4"/>
  <c r="B55" i="4"/>
  <c r="F110" i="3"/>
  <c r="C55" i="4" l="1"/>
  <c r="D55" i="4"/>
  <c r="A57" i="4"/>
  <c r="B56" i="4"/>
  <c r="F111" i="3"/>
  <c r="C56" i="4" l="1"/>
  <c r="D56" i="4"/>
  <c r="A58" i="4"/>
  <c r="B57" i="4"/>
  <c r="F112" i="3"/>
  <c r="C57" i="4" l="1"/>
  <c r="D57" i="4"/>
  <c r="A59" i="4"/>
  <c r="B58" i="4"/>
  <c r="F113" i="3"/>
  <c r="C58" i="4" l="1"/>
  <c r="D58" i="4"/>
  <c r="A60" i="4"/>
  <c r="B59" i="4"/>
  <c r="F114" i="3"/>
  <c r="C59" i="4" l="1"/>
  <c r="D59" i="4"/>
  <c r="A61" i="4"/>
  <c r="B60" i="4"/>
  <c r="F115" i="3"/>
  <c r="C60" i="4" l="1"/>
  <c r="D60" i="4"/>
  <c r="A62" i="4"/>
  <c r="B61" i="4"/>
  <c r="F116" i="3"/>
  <c r="C61" i="4" l="1"/>
  <c r="D61" i="4"/>
  <c r="A63" i="4"/>
  <c r="B62" i="4"/>
  <c r="F117" i="3"/>
  <c r="C62" i="4" l="1"/>
  <c r="D62" i="4"/>
  <c r="A64" i="4"/>
  <c r="B63" i="4"/>
  <c r="F118" i="3"/>
  <c r="C63" i="4" l="1"/>
  <c r="D63" i="4"/>
  <c r="A65" i="4"/>
  <c r="B64" i="4"/>
  <c r="F119" i="3"/>
  <c r="C64" i="4" l="1"/>
  <c r="D64" i="4"/>
  <c r="A66" i="4"/>
  <c r="B65" i="4"/>
  <c r="F120" i="3"/>
  <c r="C65" i="4" l="1"/>
  <c r="D65" i="4"/>
  <c r="A67" i="4"/>
  <c r="B66" i="4"/>
  <c r="F121" i="3"/>
  <c r="C66" i="4" l="1"/>
  <c r="D66" i="4"/>
  <c r="A68" i="4"/>
  <c r="B67" i="4"/>
  <c r="F122" i="3"/>
  <c r="C67" i="4" l="1"/>
  <c r="D67" i="4"/>
  <c r="A69" i="4"/>
  <c r="B68" i="4"/>
  <c r="F123" i="3"/>
  <c r="C68" i="4" l="1"/>
  <c r="D68" i="4"/>
  <c r="A70" i="4"/>
  <c r="B69" i="4"/>
  <c r="F124" i="3"/>
  <c r="C69" i="4" l="1"/>
  <c r="D69" i="4"/>
  <c r="A71" i="4"/>
  <c r="B70" i="4"/>
  <c r="F125" i="3"/>
  <c r="C70" i="4" l="1"/>
  <c r="D70" i="4"/>
  <c r="A72" i="4"/>
  <c r="B71" i="4"/>
  <c r="F126" i="3"/>
  <c r="C71" i="4" l="1"/>
  <c r="D71" i="4"/>
  <c r="A73" i="4"/>
  <c r="B72" i="4"/>
  <c r="F127" i="3"/>
  <c r="C72" i="4" l="1"/>
  <c r="D72" i="4"/>
  <c r="A74" i="4"/>
  <c r="B73" i="4"/>
  <c r="F128" i="3"/>
  <c r="C73" i="4" l="1"/>
  <c r="D73" i="4"/>
  <c r="A75" i="4"/>
  <c r="B74" i="4"/>
  <c r="F129" i="3"/>
  <c r="C74" i="4" l="1"/>
  <c r="D74" i="4"/>
  <c r="A76" i="4"/>
  <c r="B75" i="4"/>
  <c r="F130" i="3"/>
  <c r="C75" i="4" l="1"/>
  <c r="D75" i="4"/>
  <c r="A77" i="4"/>
  <c r="B76" i="4"/>
  <c r="F131" i="3"/>
  <c r="C76" i="4" l="1"/>
  <c r="D76" i="4"/>
  <c r="A78" i="4"/>
  <c r="B77" i="4"/>
  <c r="F132" i="3"/>
  <c r="C77" i="4" l="1"/>
  <c r="D77" i="4"/>
  <c r="A79" i="4"/>
  <c r="B78" i="4"/>
  <c r="F133" i="3"/>
  <c r="C78" i="4" l="1"/>
  <c r="D78" i="4"/>
  <c r="A80" i="4"/>
  <c r="B79" i="4"/>
  <c r="F134" i="3"/>
  <c r="C79" i="4" l="1"/>
  <c r="D79" i="4"/>
  <c r="A81" i="4"/>
  <c r="B80" i="4"/>
  <c r="F135" i="3"/>
  <c r="C80" i="4" l="1"/>
  <c r="D80" i="4"/>
  <c r="A82" i="4"/>
  <c r="B81" i="4"/>
  <c r="F136" i="3"/>
  <c r="C81" i="4" l="1"/>
  <c r="D81" i="4"/>
  <c r="A83" i="4"/>
  <c r="B82" i="4"/>
  <c r="F137" i="3"/>
  <c r="C82" i="4" l="1"/>
  <c r="D82" i="4"/>
  <c r="A84" i="4"/>
  <c r="B83" i="4"/>
  <c r="F138" i="3"/>
  <c r="C83" i="4" l="1"/>
  <c r="D83" i="4"/>
  <c r="A85" i="4"/>
  <c r="B84" i="4"/>
  <c r="F139" i="3"/>
  <c r="C84" i="4" l="1"/>
  <c r="D84" i="4"/>
  <c r="A86" i="4"/>
  <c r="B85" i="4"/>
  <c r="F140" i="3"/>
  <c r="C85" i="4" l="1"/>
  <c r="D85" i="4"/>
  <c r="A87" i="4"/>
  <c r="B86" i="4"/>
  <c r="F141" i="3"/>
  <c r="C86" i="4" l="1"/>
  <c r="D86" i="4"/>
  <c r="A88" i="4"/>
  <c r="B87" i="4"/>
  <c r="F142" i="3"/>
  <c r="C87" i="4" l="1"/>
  <c r="D87" i="4"/>
  <c r="A89" i="4"/>
  <c r="B88" i="4"/>
  <c r="F143" i="3"/>
  <c r="C88" i="4" l="1"/>
  <c r="D88" i="4"/>
  <c r="A90" i="4"/>
  <c r="B89" i="4"/>
  <c r="F144" i="3"/>
  <c r="C89" i="4" l="1"/>
  <c r="D89" i="4"/>
  <c r="A91" i="4"/>
  <c r="B90" i="4"/>
  <c r="F145" i="3"/>
  <c r="C90" i="4" l="1"/>
  <c r="D90" i="4"/>
  <c r="A92" i="4"/>
  <c r="B91" i="4"/>
  <c r="F146" i="3"/>
  <c r="C91" i="4" l="1"/>
  <c r="D91" i="4"/>
  <c r="A93" i="4"/>
  <c r="B92" i="4"/>
  <c r="F147" i="3"/>
  <c r="C92" i="4" l="1"/>
  <c r="D92" i="4"/>
  <c r="A94" i="4"/>
  <c r="B93" i="4"/>
  <c r="F148" i="3"/>
  <c r="C93" i="4" l="1"/>
  <c r="D93" i="4"/>
  <c r="A95" i="4"/>
  <c r="B94" i="4"/>
  <c r="F149" i="3"/>
  <c r="C94" i="4" l="1"/>
  <c r="D94" i="4"/>
  <c r="A96" i="4"/>
  <c r="B95" i="4"/>
  <c r="F150" i="3"/>
  <c r="C95" i="4" l="1"/>
  <c r="D95" i="4"/>
  <c r="A97" i="4"/>
  <c r="B96" i="4"/>
  <c r="F151" i="3"/>
  <c r="C96" i="4" l="1"/>
  <c r="D96" i="4"/>
  <c r="A98" i="4"/>
  <c r="B97" i="4"/>
  <c r="F152" i="3"/>
  <c r="C97" i="4" l="1"/>
  <c r="D97" i="4"/>
  <c r="A99" i="4"/>
  <c r="B98" i="4"/>
  <c r="F153" i="3"/>
  <c r="C98" i="4" l="1"/>
  <c r="D98" i="4"/>
  <c r="A100" i="4"/>
  <c r="B99" i="4"/>
  <c r="F154" i="3"/>
  <c r="C99" i="4" l="1"/>
  <c r="D99" i="4"/>
  <c r="A101" i="4"/>
  <c r="B100" i="4"/>
  <c r="F155" i="3"/>
  <c r="C100" i="4" l="1"/>
  <c r="D100" i="4"/>
  <c r="A102" i="4"/>
  <c r="B101" i="4"/>
  <c r="F156" i="3"/>
  <c r="C101" i="4" l="1"/>
  <c r="D101" i="4"/>
  <c r="A103" i="4"/>
  <c r="B102" i="4"/>
  <c r="F157" i="3"/>
  <c r="C102" i="4" l="1"/>
  <c r="D102" i="4"/>
  <c r="A104" i="4"/>
  <c r="B103" i="4"/>
  <c r="F158" i="3"/>
  <c r="C103" i="4" l="1"/>
  <c r="D103" i="4"/>
  <c r="A105" i="4"/>
  <c r="B104" i="4"/>
  <c r="F159" i="3"/>
  <c r="C104" i="4" l="1"/>
  <c r="D104" i="4"/>
  <c r="A106" i="4"/>
  <c r="B105" i="4"/>
  <c r="F160" i="3"/>
  <c r="C105" i="4" l="1"/>
  <c r="D105" i="4"/>
  <c r="A107" i="4"/>
  <c r="B106" i="4"/>
  <c r="F161" i="3"/>
  <c r="C106" i="4" l="1"/>
  <c r="D106" i="4"/>
  <c r="A108" i="4"/>
  <c r="B107" i="4"/>
  <c r="F162" i="3"/>
  <c r="C107" i="4" l="1"/>
  <c r="D107" i="4"/>
  <c r="A109" i="4"/>
  <c r="B108" i="4"/>
  <c r="F163" i="3"/>
  <c r="C108" i="4" l="1"/>
  <c r="D108" i="4"/>
  <c r="A110" i="4"/>
  <c r="B109" i="4"/>
  <c r="F164" i="3"/>
  <c r="C109" i="4" l="1"/>
  <c r="D109" i="4"/>
  <c r="A111" i="4"/>
  <c r="B110" i="4"/>
  <c r="F165" i="3"/>
  <c r="C110" i="4" l="1"/>
  <c r="D110" i="4"/>
  <c r="A112" i="4"/>
  <c r="B111" i="4"/>
  <c r="F166" i="3"/>
  <c r="C111" i="4" l="1"/>
  <c r="D111" i="4"/>
  <c r="B112" i="4"/>
  <c r="F167" i="3"/>
  <c r="C112" i="4" l="1"/>
  <c r="D112" i="4"/>
  <c r="F168" i="3"/>
  <c r="F169" i="3" l="1"/>
  <c r="F170" i="3" l="1"/>
  <c r="F171" i="3" l="1"/>
  <c r="F172" i="3" l="1"/>
  <c r="F173" i="3" l="1"/>
  <c r="F174" i="3" l="1"/>
  <c r="F175" i="3" l="1"/>
  <c r="F176" i="3" l="1"/>
  <c r="F177" i="3" l="1"/>
  <c r="F178" i="3" l="1"/>
  <c r="F179" i="3" l="1"/>
  <c r="F180" i="3" l="1"/>
  <c r="F181" i="3" l="1"/>
  <c r="F182" i="3" l="1"/>
  <c r="F183" i="3" l="1"/>
  <c r="F184" i="3" l="1"/>
  <c r="F185" i="3" l="1"/>
  <c r="F186" i="3" l="1"/>
  <c r="F187" i="3" l="1"/>
  <c r="F188" i="3" l="1"/>
  <c r="F189" i="3" l="1"/>
  <c r="F190" i="3" l="1"/>
  <c r="F191" i="3" l="1"/>
  <c r="F192" i="3" l="1"/>
  <c r="F193" i="3" l="1"/>
  <c r="F194" i="3" l="1"/>
  <c r="F195" i="3" l="1"/>
  <c r="F196" i="3" l="1"/>
  <c r="F197" i="3" l="1"/>
  <c r="F198" i="3" l="1"/>
  <c r="F199" i="3" l="1"/>
  <c r="F200" i="3" l="1"/>
  <c r="F201" i="3" l="1"/>
  <c r="F202" i="3" l="1"/>
  <c r="F203" i="3" l="1"/>
  <c r="F204" i="3" l="1"/>
  <c r="F205" i="3" l="1"/>
  <c r="F206" i="3" l="1"/>
  <c r="F207" i="3" l="1"/>
  <c r="F208" i="3" l="1"/>
  <c r="F209" i="3" l="1"/>
  <c r="F210" i="3" l="1"/>
  <c r="F211" i="3" l="1"/>
  <c r="F212" i="3" l="1"/>
  <c r="F213" i="3" l="1"/>
  <c r="F214" i="3" l="1"/>
  <c r="F215" i="3" l="1"/>
  <c r="F216" i="3" l="1"/>
  <c r="F217" i="3" l="1"/>
  <c r="F218" i="3" l="1"/>
  <c r="F219" i="3" l="1"/>
  <c r="F220" i="3" l="1"/>
  <c r="F221" i="3" l="1"/>
  <c r="F222" i="3" l="1"/>
  <c r="F223" i="3" l="1"/>
  <c r="F224" i="3" l="1"/>
  <c r="F225" i="3" l="1"/>
  <c r="F226" i="3" l="1"/>
  <c r="F227" i="3" l="1"/>
  <c r="F228" i="3" l="1"/>
  <c r="F229" i="3" l="1"/>
  <c r="F230" i="3" l="1"/>
  <c r="F231" i="3" l="1"/>
  <c r="F232" i="3" l="1"/>
  <c r="F233" i="3" l="1"/>
  <c r="F234" i="3" l="1"/>
  <c r="F235" i="3" l="1"/>
  <c r="F236" i="3" l="1"/>
  <c r="F237" i="3" l="1"/>
  <c r="F238" i="3" l="1"/>
  <c r="F239" i="3" l="1"/>
  <c r="F240" i="3" l="1"/>
  <c r="F241" i="3" l="1"/>
  <c r="F242" i="3" l="1"/>
  <c r="F243" i="3" l="1"/>
  <c r="F244" i="3" l="1"/>
  <c r="F245" i="3" l="1"/>
  <c r="F246" i="3" l="1"/>
  <c r="F247" i="3" l="1"/>
  <c r="F248" i="3" l="1"/>
  <c r="F249" i="3" l="1"/>
  <c r="F250" i="3" l="1"/>
  <c r="F251" i="3" l="1"/>
  <c r="F252" i="3" l="1"/>
  <c r="F253" i="3" l="1"/>
  <c r="F254" i="3" l="1"/>
  <c r="F255" i="3" l="1"/>
  <c r="F256" i="3" l="1"/>
  <c r="F257" i="3" l="1"/>
  <c r="F258" i="3" l="1"/>
  <c r="F259" i="3" l="1"/>
  <c r="F260" i="3" l="1"/>
  <c r="F261" i="3" l="1"/>
  <c r="F262" i="3" l="1"/>
  <c r="F263" i="3" l="1"/>
  <c r="F264" i="3" l="1"/>
  <c r="F265" i="3" l="1"/>
  <c r="F266" i="3" l="1"/>
  <c r="F267" i="3" l="1"/>
  <c r="F268" i="3" l="1"/>
  <c r="F269" i="3" l="1"/>
  <c r="F270" i="3" l="1"/>
  <c r="F271" i="3" l="1"/>
  <c r="F272" i="3" l="1"/>
  <c r="F273" i="3" l="1"/>
  <c r="F274" i="3" l="1"/>
  <c r="F275" i="3" l="1"/>
  <c r="F276" i="3" l="1"/>
  <c r="F277" i="3" l="1"/>
  <c r="F278" i="3" l="1"/>
  <c r="F279" i="3" l="1"/>
  <c r="F280" i="3" l="1"/>
  <c r="F281" i="3" l="1"/>
  <c r="F282" i="3" l="1"/>
  <c r="F283" i="3" l="1"/>
  <c r="F284" i="3" l="1"/>
  <c r="F285" i="3" l="1"/>
  <c r="F286" i="3" l="1"/>
  <c r="F287" i="3" l="1"/>
  <c r="F288" i="3" l="1"/>
  <c r="F289" i="3" l="1"/>
  <c r="F290" i="3" l="1"/>
  <c r="F291" i="3" l="1"/>
  <c r="F292" i="3" l="1"/>
  <c r="F293" i="3" l="1"/>
  <c r="F294" i="3" l="1"/>
  <c r="F295" i="3" l="1"/>
  <c r="F296" i="3" l="1"/>
  <c r="F297" i="3" l="1"/>
  <c r="F298" i="3" l="1"/>
  <c r="F299" i="3" l="1"/>
  <c r="F300" i="3" l="1"/>
  <c r="F301" i="3" l="1"/>
  <c r="F302" i="3" l="1"/>
  <c r="F303" i="3" l="1"/>
  <c r="F304" i="3" l="1"/>
  <c r="F305" i="3" l="1"/>
  <c r="F306" i="3" l="1"/>
  <c r="F307" i="3" l="1"/>
  <c r="F308" i="3" l="1"/>
  <c r="F309" i="3" l="1"/>
  <c r="F310" i="3" l="1"/>
  <c r="F311" i="3" l="1"/>
  <c r="F312" i="3" l="1"/>
  <c r="F313" i="3" l="1"/>
  <c r="F314" i="3" l="1"/>
  <c r="F315" i="3" l="1"/>
  <c r="F316" i="3" l="1"/>
  <c r="F317" i="3" l="1"/>
  <c r="F318" i="3" l="1"/>
  <c r="F319" i="3" l="1"/>
  <c r="F320" i="3" l="1"/>
  <c r="F321" i="3" l="1"/>
  <c r="F322" i="3" l="1"/>
  <c r="F323" i="3" l="1"/>
  <c r="F324" i="3" l="1"/>
  <c r="F325" i="3" l="1"/>
  <c r="F326" i="3" l="1"/>
  <c r="F327" i="3" l="1"/>
  <c r="F328" i="3" l="1"/>
  <c r="F329" i="3" l="1"/>
  <c r="F330" i="3" l="1"/>
  <c r="F331" i="3" l="1"/>
  <c r="F332" i="3" l="1"/>
  <c r="F333" i="3" l="1"/>
  <c r="F334" i="3" l="1"/>
  <c r="F335" i="3" l="1"/>
  <c r="F336" i="3" l="1"/>
  <c r="F337" i="3" l="1"/>
  <c r="F338" i="3" l="1"/>
  <c r="F339" i="3" l="1"/>
  <c r="F340" i="3" l="1"/>
  <c r="F341" i="3" l="1"/>
  <c r="F342" i="3" l="1"/>
  <c r="F343" i="3" l="1"/>
  <c r="F344" i="3" l="1"/>
  <c r="F345" i="3" l="1"/>
  <c r="F346" i="3" l="1"/>
  <c r="F347" i="3" l="1"/>
  <c r="F348" i="3" l="1"/>
  <c r="F349" i="3" l="1"/>
  <c r="F350" i="3" l="1"/>
  <c r="F351" i="3" l="1"/>
  <c r="F352" i="3" l="1"/>
  <c r="F353" i="3" l="1"/>
  <c r="F354" i="3" l="1"/>
  <c r="F355" i="3" l="1"/>
  <c r="F356" i="3" l="1"/>
  <c r="F357" i="3" l="1"/>
  <c r="F358" i="3" l="1"/>
  <c r="F359" i="3" l="1"/>
  <c r="F360" i="3" l="1"/>
  <c r="F361" i="3" l="1"/>
  <c r="F362" i="3" l="1"/>
  <c r="F363" i="3" l="1"/>
  <c r="F364" i="3" l="1"/>
  <c r="F365" i="3" l="1"/>
  <c r="F366" i="3" l="1"/>
  <c r="F367" i="3" l="1"/>
  <c r="F368" i="3" l="1"/>
  <c r="F369" i="3" l="1"/>
  <c r="F370" i="3" l="1"/>
  <c r="F371" i="3" l="1"/>
  <c r="F372" i="3" l="1"/>
  <c r="F373" i="3" l="1"/>
  <c r="F374" i="3" l="1"/>
  <c r="F375" i="3" l="1"/>
  <c r="F376" i="3" l="1"/>
  <c r="F377" i="3" l="1"/>
  <c r="F378" i="3" l="1"/>
  <c r="F379" i="3" l="1"/>
  <c r="F380" i="3" l="1"/>
  <c r="F381" i="3" l="1"/>
  <c r="F382" i="3" l="1"/>
  <c r="F383" i="3" l="1"/>
  <c r="F384" i="3" l="1"/>
  <c r="F385" i="3" l="1"/>
  <c r="F386" i="3" l="1"/>
  <c r="F387" i="3" l="1"/>
  <c r="F388" i="3" l="1"/>
  <c r="F389" i="3" l="1"/>
  <c r="F390" i="3" l="1"/>
  <c r="F391" i="3" l="1"/>
  <c r="F392" i="3" l="1"/>
  <c r="F393" i="3" l="1"/>
  <c r="F394" i="3" l="1"/>
  <c r="F395" i="3" l="1"/>
  <c r="F396" i="3" l="1"/>
  <c r="F397" i="3" l="1"/>
  <c r="F398" i="3" l="1"/>
  <c r="F399" i="3" l="1"/>
  <c r="F400" i="3" l="1"/>
  <c r="F401" i="3" l="1"/>
  <c r="F402" i="3" l="1"/>
  <c r="F403" i="3" l="1"/>
  <c r="F404" i="3" l="1"/>
  <c r="F405" i="3" l="1"/>
  <c r="F406" i="3" l="1"/>
  <c r="F407" i="3" l="1"/>
  <c r="F408" i="3" l="1"/>
  <c r="F409" i="3" l="1"/>
  <c r="F410" i="3" l="1"/>
  <c r="F411" i="3" l="1"/>
  <c r="F412" i="3" l="1"/>
  <c r="F413" i="3" l="1"/>
  <c r="F414" i="3" l="1"/>
  <c r="F415" i="3" l="1"/>
  <c r="F416" i="3" l="1"/>
  <c r="F417" i="3" l="1"/>
  <c r="F418" i="3" l="1"/>
  <c r="F419" i="3" l="1"/>
  <c r="F420" i="3" l="1"/>
  <c r="F421" i="3" l="1"/>
  <c r="F422" i="3" l="1"/>
  <c r="F423" i="3" l="1"/>
  <c r="F424" i="3" l="1"/>
  <c r="F425" i="3" l="1"/>
  <c r="F426" i="3" l="1"/>
  <c r="F427" i="3" l="1"/>
  <c r="F428" i="3" l="1"/>
  <c r="F429" i="3" l="1"/>
  <c r="F430" i="3" l="1"/>
  <c r="F431" i="3" l="1"/>
  <c r="F432" i="3" l="1"/>
  <c r="F433" i="3" l="1"/>
  <c r="F434" i="3" l="1"/>
  <c r="F435" i="3" l="1"/>
  <c r="F436" i="3" l="1"/>
  <c r="F437" i="3" l="1"/>
  <c r="F438" i="3" l="1"/>
  <c r="F439" i="3" l="1"/>
  <c r="F440" i="3" l="1"/>
  <c r="F441" i="3" l="1"/>
  <c r="F442" i="3" l="1"/>
  <c r="F443" i="3" l="1"/>
  <c r="F444" i="3" l="1"/>
  <c r="F445" i="3" l="1"/>
  <c r="F446" i="3" l="1"/>
  <c r="F447" i="3" l="1"/>
  <c r="F448" i="3" l="1"/>
  <c r="F449" i="3" l="1"/>
  <c r="F450" i="3" l="1"/>
  <c r="F451" i="3" l="1"/>
  <c r="F452" i="3" l="1"/>
  <c r="F453" i="3" l="1"/>
  <c r="F454" i="3" l="1"/>
  <c r="F455" i="3" l="1"/>
  <c r="F456" i="3" l="1"/>
  <c r="F457" i="3" l="1"/>
  <c r="F458" i="3" l="1"/>
  <c r="F459" i="3" l="1"/>
  <c r="F460" i="3" l="1"/>
  <c r="F461" i="3" l="1"/>
  <c r="F462" i="3" l="1"/>
  <c r="F463" i="3" l="1"/>
  <c r="F464" i="3" l="1"/>
  <c r="F465" i="3" l="1"/>
  <c r="F466" i="3" l="1"/>
  <c r="F467" i="3" l="1"/>
  <c r="F468" i="3" l="1"/>
  <c r="F469" i="3" l="1"/>
  <c r="F470" i="3" l="1"/>
  <c r="F471" i="3" l="1"/>
  <c r="F472" i="3" l="1"/>
  <c r="F473" i="3" l="1"/>
  <c r="F474" i="3" l="1"/>
  <c r="F475" i="3" l="1"/>
  <c r="F476" i="3" l="1"/>
  <c r="F477" i="3" l="1"/>
  <c r="F478" i="3" l="1"/>
  <c r="F479" i="3" l="1"/>
  <c r="F480" i="3" l="1"/>
  <c r="F481" i="3" l="1"/>
  <c r="F482" i="3" l="1"/>
  <c r="F483" i="3" l="1"/>
  <c r="F484" i="3" l="1"/>
  <c r="F485" i="3" l="1"/>
  <c r="F486" i="3" l="1"/>
  <c r="F487" i="3" l="1"/>
  <c r="F488" i="3" l="1"/>
  <c r="F489" i="3" l="1"/>
  <c r="F490" i="3" l="1"/>
  <c r="F491" i="3" l="1"/>
  <c r="F492" i="3" l="1"/>
  <c r="F493" i="3" l="1"/>
  <c r="F494" i="3" l="1"/>
  <c r="F495" i="3" l="1"/>
  <c r="F496" i="3" l="1"/>
  <c r="F497" i="3" l="1"/>
  <c r="F498" i="3" l="1"/>
  <c r="F499" i="3" l="1"/>
  <c r="F500" i="3" l="1"/>
  <c r="F501" i="3" l="1"/>
  <c r="F502" i="3" l="1"/>
  <c r="F503" i="3" l="1"/>
  <c r="F504" i="3" l="1"/>
  <c r="F505" i="3" l="1"/>
  <c r="F506" i="3" l="1"/>
  <c r="F507" i="3" l="1"/>
  <c r="F508" i="3" l="1"/>
  <c r="F509" i="3" l="1"/>
  <c r="F510" i="3" l="1"/>
  <c r="F511" i="3" l="1"/>
  <c r="F512" i="3" l="1"/>
  <c r="F513" i="3" l="1"/>
  <c r="F514" i="3" l="1"/>
  <c r="F515" i="3" l="1"/>
  <c r="F516" i="3" l="1"/>
  <c r="F517" i="3" l="1"/>
  <c r="F518" i="3" l="1"/>
  <c r="F519" i="3" l="1"/>
  <c r="F520" i="3" l="1"/>
  <c r="F521" i="3" l="1"/>
  <c r="F522" i="3" l="1"/>
  <c r="F523" i="3" l="1"/>
  <c r="F524" i="3" l="1"/>
  <c r="F525" i="3" l="1"/>
  <c r="F526" i="3" l="1"/>
  <c r="F527" i="3" l="1"/>
  <c r="F528" i="3" l="1"/>
  <c r="F529" i="3" l="1"/>
  <c r="F530" i="3" l="1"/>
  <c r="F531" i="3" l="1"/>
  <c r="F532" i="3" l="1"/>
  <c r="F533" i="3" l="1"/>
  <c r="F534" i="3" l="1"/>
  <c r="F535" i="3" l="1"/>
  <c r="F536" i="3" l="1"/>
  <c r="F537" i="3" l="1"/>
  <c r="F538" i="3" l="1"/>
  <c r="F539" i="3" l="1"/>
  <c r="F540" i="3" l="1"/>
  <c r="F541" i="3" l="1"/>
  <c r="F542" i="3" l="1"/>
  <c r="F543" i="3" l="1"/>
  <c r="F544" i="3" l="1"/>
  <c r="F545" i="3" l="1"/>
  <c r="F546" i="3" l="1"/>
  <c r="F547" i="3" l="1"/>
  <c r="F548" i="3" l="1"/>
  <c r="F549" i="3" l="1"/>
  <c r="F550" i="3" l="1"/>
  <c r="F551" i="3" l="1"/>
  <c r="F552" i="3" l="1"/>
  <c r="F553" i="3" l="1"/>
  <c r="F554" i="3" l="1"/>
  <c r="F555" i="3" l="1"/>
  <c r="F556" i="3" l="1"/>
  <c r="F557" i="3" l="1"/>
  <c r="F558" i="3" l="1"/>
  <c r="F559" i="3" l="1"/>
  <c r="F560" i="3" l="1"/>
  <c r="F561" i="3" l="1"/>
  <c r="F562" i="3" l="1"/>
  <c r="F563" i="3" l="1"/>
  <c r="F564" i="3" l="1"/>
  <c r="F565" i="3" l="1"/>
  <c r="F566" i="3" l="1"/>
  <c r="F567" i="3" l="1"/>
  <c r="F568" i="3" l="1"/>
  <c r="F569" i="3" l="1"/>
  <c r="F570" i="3" l="1"/>
  <c r="F571" i="3" l="1"/>
  <c r="F572" i="3" l="1"/>
  <c r="F573" i="3" l="1"/>
  <c r="F574" i="3" l="1"/>
  <c r="F575" i="3" l="1"/>
  <c r="F576" i="3" l="1"/>
  <c r="F577" i="3" l="1"/>
  <c r="F578" i="3" l="1"/>
  <c r="F579" i="3" l="1"/>
  <c r="F580" i="3" l="1"/>
  <c r="F581" i="3" l="1"/>
  <c r="F582" i="3" l="1"/>
  <c r="F583" i="3" l="1"/>
  <c r="F584" i="3" l="1"/>
  <c r="F585" i="3" l="1"/>
  <c r="F586" i="3" l="1"/>
  <c r="F587" i="3" l="1"/>
  <c r="F588" i="3" l="1"/>
  <c r="F589" i="3" l="1"/>
  <c r="F590" i="3" l="1"/>
  <c r="F591" i="3" l="1"/>
  <c r="F592" i="3" l="1"/>
  <c r="F593" i="3" l="1"/>
  <c r="F594" i="3" l="1"/>
  <c r="F595" i="3" l="1"/>
  <c r="F596" i="3" l="1"/>
  <c r="F597" i="3" l="1"/>
  <c r="F598" i="3" l="1"/>
  <c r="F599" i="3" l="1"/>
  <c r="F600" i="3" l="1"/>
  <c r="F601" i="3" l="1"/>
  <c r="F602" i="3" l="1"/>
  <c r="F603" i="3" l="1"/>
  <c r="F604" i="3" l="1"/>
  <c r="F605" i="3" l="1"/>
  <c r="F606" i="3" l="1"/>
  <c r="F607" i="3" l="1"/>
  <c r="F608" i="3" l="1"/>
  <c r="F609" i="3" l="1"/>
  <c r="F610" i="3" l="1"/>
  <c r="F611" i="3" l="1"/>
  <c r="F612" i="3" l="1"/>
  <c r="F613" i="3" l="1"/>
  <c r="F614" i="3" l="1"/>
  <c r="F615" i="3" l="1"/>
  <c r="F616" i="3" l="1"/>
  <c r="F617" i="3" l="1"/>
  <c r="F618" i="3" l="1"/>
  <c r="F619" i="3" l="1"/>
  <c r="F620" i="3" l="1"/>
  <c r="F621" i="3" l="1"/>
  <c r="F622" i="3" l="1"/>
  <c r="F623" i="3" l="1"/>
  <c r="F624" i="3" l="1"/>
  <c r="F625" i="3" l="1"/>
  <c r="F626" i="3" l="1"/>
  <c r="F627" i="3" l="1"/>
  <c r="F628" i="3" l="1"/>
  <c r="F629" i="3" l="1"/>
  <c r="F630" i="3" l="1"/>
  <c r="F631" i="3" l="1"/>
  <c r="F632" i="3" l="1"/>
  <c r="F633" i="3" l="1"/>
  <c r="F634" i="3" l="1"/>
  <c r="F635" i="3" l="1"/>
  <c r="F636" i="3" l="1"/>
  <c r="F637" i="3" l="1"/>
  <c r="F638" i="3" l="1"/>
  <c r="F639" i="3" l="1"/>
  <c r="F640" i="3" l="1"/>
  <c r="F641" i="3" l="1"/>
  <c r="F642" i="3" l="1"/>
  <c r="F643" i="3" l="1"/>
  <c r="F644" i="3" l="1"/>
  <c r="F645" i="3" l="1"/>
  <c r="F646" i="3" l="1"/>
  <c r="F647" i="3" l="1"/>
  <c r="F648" i="3" l="1"/>
  <c r="F649" i="3" l="1"/>
  <c r="F650" i="3" l="1"/>
  <c r="F651" i="3" l="1"/>
  <c r="F652" i="3" l="1"/>
  <c r="F653" i="3" l="1"/>
  <c r="F654" i="3" l="1"/>
  <c r="F655" i="3" l="1"/>
  <c r="F656" i="3" l="1"/>
  <c r="F657" i="3" l="1"/>
  <c r="F658" i="3" l="1"/>
  <c r="F659" i="3" l="1"/>
  <c r="F660" i="3" l="1"/>
  <c r="F661" i="3" l="1"/>
  <c r="F662" i="3" l="1"/>
  <c r="F663" i="3" l="1"/>
  <c r="F664" i="3" l="1"/>
  <c r="F665" i="3" l="1"/>
  <c r="F666" i="3" l="1"/>
  <c r="F667" i="3" l="1"/>
  <c r="F668" i="3" l="1"/>
  <c r="F669" i="3" l="1"/>
  <c r="F670" i="3" l="1"/>
  <c r="F671" i="3" l="1"/>
  <c r="F672" i="3" l="1"/>
  <c r="F673" i="3" l="1"/>
  <c r="F674" i="3" l="1"/>
  <c r="F675" i="3" l="1"/>
  <c r="F676" i="3" l="1"/>
  <c r="F677" i="3" l="1"/>
  <c r="F678" i="3" l="1"/>
  <c r="F679" i="3" l="1"/>
  <c r="F680" i="3" l="1"/>
  <c r="F681" i="3" l="1"/>
  <c r="F682" i="3" l="1"/>
  <c r="F683" i="3" l="1"/>
  <c r="F684" i="3" l="1"/>
  <c r="F685" i="3" l="1"/>
  <c r="F686" i="3" l="1"/>
  <c r="F687" i="3" l="1"/>
  <c r="F688" i="3" l="1"/>
  <c r="F689" i="3" l="1"/>
  <c r="F690" i="3" l="1"/>
  <c r="F691" i="3" l="1"/>
  <c r="F692" i="3" l="1"/>
  <c r="F693" i="3" l="1"/>
  <c r="F694" i="3" l="1"/>
  <c r="F695" i="3" l="1"/>
  <c r="F696" i="3" l="1"/>
  <c r="F697" i="3" l="1"/>
  <c r="F698" i="3" l="1"/>
  <c r="F699" i="3" l="1"/>
  <c r="F700" i="3" l="1"/>
  <c r="F701" i="3" l="1"/>
  <c r="F702" i="3" l="1"/>
  <c r="F703" i="3" l="1"/>
  <c r="F704" i="3" l="1"/>
  <c r="F705" i="3" l="1"/>
  <c r="F706" i="3" l="1"/>
  <c r="F707" i="3" l="1"/>
  <c r="F708" i="3" l="1"/>
  <c r="F709" i="3" l="1"/>
  <c r="F710" i="3" l="1"/>
  <c r="F711" i="3" l="1"/>
  <c r="F712" i="3" l="1"/>
  <c r="F713" i="3" l="1"/>
  <c r="F714" i="3" l="1"/>
  <c r="F715" i="3" l="1"/>
  <c r="F716" i="3" l="1"/>
  <c r="F717" i="3" l="1"/>
  <c r="F718" i="3" l="1"/>
  <c r="F719" i="3" l="1"/>
  <c r="F720" i="3" l="1"/>
  <c r="F721" i="3" l="1"/>
  <c r="F722" i="3" l="1"/>
  <c r="F723" i="3" l="1"/>
  <c r="F724" i="3" l="1"/>
  <c r="F725" i="3" l="1"/>
  <c r="F726" i="3" l="1"/>
  <c r="F727" i="3" l="1"/>
  <c r="F728" i="3" l="1"/>
  <c r="F729" i="3" l="1"/>
  <c r="F730" i="3" l="1"/>
  <c r="F731" i="3" l="1"/>
  <c r="F732" i="3" l="1"/>
  <c r="F733" i="3" l="1"/>
  <c r="F734" i="3" l="1"/>
  <c r="F735" i="3" l="1"/>
  <c r="F736" i="3" l="1"/>
  <c r="F737" i="3" l="1"/>
  <c r="F738" i="3" l="1"/>
  <c r="F739" i="3" l="1"/>
  <c r="F740" i="3" l="1"/>
  <c r="F741" i="3" l="1"/>
  <c r="F742" i="3" l="1"/>
  <c r="F743" i="3" l="1"/>
  <c r="F744" i="3" l="1"/>
  <c r="F745" i="3" l="1"/>
  <c r="F746" i="3" l="1"/>
  <c r="F747" i="3" l="1"/>
  <c r="F748" i="3" l="1"/>
  <c r="F749" i="3" l="1"/>
  <c r="F750" i="3" l="1"/>
  <c r="F751" i="3" l="1"/>
  <c r="F752" i="3" l="1"/>
  <c r="F753" i="3" l="1"/>
  <c r="F754" i="3" l="1"/>
  <c r="F755" i="3" l="1"/>
  <c r="F756" i="3" l="1"/>
  <c r="F757" i="3" l="1"/>
  <c r="F758" i="3" l="1"/>
  <c r="F759" i="3" l="1"/>
  <c r="F760" i="3" l="1"/>
  <c r="F761" i="3" l="1"/>
  <c r="F762" i="3" l="1"/>
  <c r="F763" i="3" l="1"/>
  <c r="F764" i="3" l="1"/>
  <c r="F765" i="3" l="1"/>
  <c r="F766" i="3" l="1"/>
  <c r="F767" i="3" l="1"/>
  <c r="F768" i="3" l="1"/>
  <c r="F769" i="3" l="1"/>
  <c r="F770" i="3" l="1"/>
  <c r="F771" i="3" l="1"/>
  <c r="F772" i="3" l="1"/>
  <c r="F773" i="3" l="1"/>
  <c r="F774" i="3" l="1"/>
  <c r="F775" i="3" l="1"/>
  <c r="F776" i="3" l="1"/>
  <c r="F777" i="3" l="1"/>
  <c r="F778" i="3" l="1"/>
  <c r="F779" i="3" l="1"/>
  <c r="F780" i="3" l="1"/>
  <c r="F781" i="3" l="1"/>
  <c r="F782" i="3" l="1"/>
  <c r="F783" i="3" l="1"/>
  <c r="F784" i="3" l="1"/>
  <c r="F785" i="3" l="1"/>
  <c r="F786" i="3" l="1"/>
  <c r="F787" i="3" l="1"/>
  <c r="F788" i="3" l="1"/>
  <c r="F789" i="3" l="1"/>
  <c r="F790" i="3" l="1"/>
  <c r="F791" i="3" l="1"/>
  <c r="F792" i="3" l="1"/>
  <c r="F793" i="3" l="1"/>
  <c r="F794" i="3" l="1"/>
  <c r="F795" i="3" l="1"/>
  <c r="F796" i="3" l="1"/>
  <c r="F797" i="3" l="1"/>
  <c r="F798" i="3" l="1"/>
  <c r="F799" i="3" l="1"/>
  <c r="F800" i="3" l="1"/>
  <c r="F801" i="3" l="1"/>
  <c r="F802" i="3" l="1"/>
  <c r="F803" i="3" l="1"/>
  <c r="F804" i="3" l="1"/>
  <c r="F805" i="3" l="1"/>
  <c r="F806" i="3" l="1"/>
  <c r="F807" i="3" l="1"/>
  <c r="F808" i="3" l="1"/>
  <c r="F809" i="3" l="1"/>
  <c r="F810" i="3" l="1"/>
  <c r="F811" i="3" l="1"/>
  <c r="F812" i="3" l="1"/>
  <c r="F813" i="3" l="1"/>
  <c r="F814" i="3" l="1"/>
  <c r="F815" i="3" l="1"/>
  <c r="F816" i="3" l="1"/>
  <c r="F817" i="3" l="1"/>
  <c r="F818" i="3" l="1"/>
  <c r="F819" i="3" l="1"/>
  <c r="F820" i="3" l="1"/>
  <c r="F821" i="3" l="1"/>
  <c r="F822" i="3" l="1"/>
  <c r="F823" i="3" l="1"/>
  <c r="F824" i="3" l="1"/>
  <c r="F825" i="3" l="1"/>
  <c r="F826" i="3" l="1"/>
  <c r="F827" i="3" l="1"/>
  <c r="F828" i="3" l="1"/>
  <c r="F829" i="3" l="1"/>
  <c r="F830" i="3" l="1"/>
  <c r="F831" i="3" l="1"/>
  <c r="F832" i="3" l="1"/>
  <c r="F833" i="3" l="1"/>
  <c r="F834" i="3" l="1"/>
  <c r="F835" i="3" l="1"/>
  <c r="F836" i="3" l="1"/>
  <c r="F837" i="3" l="1"/>
  <c r="F838" i="3" l="1"/>
  <c r="F839" i="3" l="1"/>
  <c r="F840" i="3" l="1"/>
  <c r="F841" i="3" l="1"/>
  <c r="F842" i="3" l="1"/>
  <c r="F843" i="3" l="1"/>
  <c r="F844" i="3" l="1"/>
  <c r="F845" i="3" l="1"/>
  <c r="F846" i="3" l="1"/>
  <c r="F847" i="3" l="1"/>
  <c r="F848" i="3" l="1"/>
  <c r="F849" i="3" l="1"/>
  <c r="F850" i="3" l="1"/>
  <c r="F851" i="3" l="1"/>
  <c r="F852" i="3" l="1"/>
  <c r="F853" i="3" l="1"/>
  <c r="F854" i="3" l="1"/>
  <c r="F855" i="3" l="1"/>
  <c r="F856" i="3" l="1"/>
  <c r="F857" i="3" l="1"/>
  <c r="F858" i="3" l="1"/>
  <c r="F859" i="3" l="1"/>
  <c r="F860" i="3" l="1"/>
  <c r="F861" i="3" l="1"/>
  <c r="F862" i="3" l="1"/>
  <c r="F863" i="3" l="1"/>
  <c r="F864" i="3" l="1"/>
  <c r="F865" i="3" l="1"/>
  <c r="F866" i="3" l="1"/>
  <c r="F867" i="3" l="1"/>
  <c r="F868" i="3" l="1"/>
  <c r="F869" i="3" l="1"/>
  <c r="F870" i="3" l="1"/>
  <c r="F871" i="3" l="1"/>
  <c r="F872" i="3" l="1"/>
  <c r="F873" i="3" l="1"/>
  <c r="F874" i="3" l="1"/>
  <c r="F875" i="3" l="1"/>
  <c r="F876" i="3" l="1"/>
  <c r="F877" i="3" l="1"/>
  <c r="F878" i="3" l="1"/>
  <c r="F879" i="3" l="1"/>
  <c r="F880" i="3" l="1"/>
  <c r="F881" i="3" l="1"/>
  <c r="F882" i="3" l="1"/>
  <c r="F883" i="3" l="1"/>
  <c r="F884" i="3" l="1"/>
  <c r="F885" i="3" l="1"/>
  <c r="F886" i="3" l="1"/>
  <c r="F887" i="3" l="1"/>
  <c r="F888" i="3" l="1"/>
  <c r="F889" i="3" l="1"/>
  <c r="F890" i="3" l="1"/>
  <c r="F891" i="3" l="1"/>
  <c r="F892" i="3" l="1"/>
  <c r="F893" i="3" l="1"/>
  <c r="F894" i="3" l="1"/>
  <c r="F895" i="3" l="1"/>
  <c r="F896" i="3" l="1"/>
  <c r="F897" i="3" l="1"/>
  <c r="F898" i="3" l="1"/>
  <c r="F899" i="3" l="1"/>
  <c r="F900" i="3" l="1"/>
  <c r="F901" i="3" l="1"/>
  <c r="F902" i="3" l="1"/>
  <c r="F903" i="3" l="1"/>
  <c r="F904" i="3" l="1"/>
  <c r="F905" i="3" l="1"/>
  <c r="F906" i="3" l="1"/>
  <c r="F907" i="3" l="1"/>
  <c r="F908" i="3" l="1"/>
  <c r="F909" i="3" l="1"/>
  <c r="F910" i="3" l="1"/>
  <c r="F911" i="3" l="1"/>
  <c r="F912" i="3" l="1"/>
  <c r="F913" i="3" l="1"/>
  <c r="F914" i="3" l="1"/>
  <c r="F915" i="3" l="1"/>
  <c r="F916" i="3" l="1"/>
  <c r="F917" i="3" l="1"/>
  <c r="F918" i="3" l="1"/>
  <c r="F919" i="3" l="1"/>
  <c r="F920" i="3" l="1"/>
  <c r="F921" i="3" l="1"/>
  <c r="F922" i="3" l="1"/>
  <c r="F923" i="3" l="1"/>
  <c r="F924" i="3" l="1"/>
  <c r="F925" i="3" l="1"/>
  <c r="F926" i="3" l="1"/>
  <c r="F927" i="3" l="1"/>
  <c r="F928" i="3" l="1"/>
  <c r="F929" i="3" l="1"/>
  <c r="F930" i="3" l="1"/>
  <c r="F931" i="3" l="1"/>
  <c r="F932" i="3" l="1"/>
  <c r="F933" i="3" l="1"/>
  <c r="F934" i="3" l="1"/>
  <c r="F935" i="3" l="1"/>
  <c r="F936" i="3" l="1"/>
  <c r="F937" i="3" l="1"/>
  <c r="F938" i="3" l="1"/>
  <c r="F939" i="3" l="1"/>
  <c r="F940" i="3" l="1"/>
  <c r="F941" i="3" l="1"/>
  <c r="F942" i="3" l="1"/>
  <c r="F943" i="3" l="1"/>
  <c r="F944" i="3" l="1"/>
  <c r="F945" i="3" l="1"/>
  <c r="F946" i="3" l="1"/>
  <c r="F947" i="3" l="1"/>
  <c r="F948" i="3" l="1"/>
  <c r="F949" i="3" l="1"/>
  <c r="F950" i="3" l="1"/>
  <c r="F951" i="3" l="1"/>
  <c r="F952" i="3" l="1"/>
  <c r="F953" i="3" l="1"/>
  <c r="F954" i="3" l="1"/>
  <c r="F955" i="3" l="1"/>
  <c r="F956" i="3" l="1"/>
  <c r="F957" i="3" l="1"/>
  <c r="F958" i="3" l="1"/>
  <c r="F959" i="3" l="1"/>
  <c r="F960" i="3" l="1"/>
  <c r="F961" i="3" l="1"/>
  <c r="F962" i="3" l="1"/>
  <c r="F963" i="3" l="1"/>
  <c r="F964" i="3" l="1"/>
  <c r="F965" i="3" l="1"/>
  <c r="F966" i="3" l="1"/>
  <c r="F967" i="3" l="1"/>
  <c r="F968" i="3" l="1"/>
  <c r="F969" i="3" l="1"/>
  <c r="F970" i="3" l="1"/>
  <c r="F971" i="3" l="1"/>
  <c r="F972" i="3" l="1"/>
  <c r="F973" i="3" l="1"/>
  <c r="F974" i="3" l="1"/>
  <c r="F975" i="3" l="1"/>
  <c r="F976" i="3" l="1"/>
  <c r="F977" i="3" l="1"/>
  <c r="F978" i="3" l="1"/>
  <c r="F979" i="3" l="1"/>
  <c r="F980" i="3" l="1"/>
  <c r="F981" i="3" l="1"/>
  <c r="F982" i="3" l="1"/>
  <c r="F983" i="3" l="1"/>
  <c r="F984" i="3" l="1"/>
  <c r="F985" i="3" l="1"/>
  <c r="F986" i="3" l="1"/>
  <c r="F987" i="3" l="1"/>
  <c r="F988" i="3" l="1"/>
  <c r="F989" i="3" l="1"/>
  <c r="F990" i="3" l="1"/>
  <c r="F991" i="3" l="1"/>
  <c r="F992" i="3" l="1"/>
  <c r="F993" i="3" l="1"/>
  <c r="F994" i="3" l="1"/>
  <c r="F995" i="3" l="1"/>
  <c r="F996" i="3" l="1"/>
  <c r="F997" i="3" l="1"/>
  <c r="F998" i="3" l="1"/>
  <c r="F999" i="3" l="1"/>
  <c r="F1000" i="3" l="1"/>
  <c r="F1001" i="3" l="1"/>
  <c r="F1002" i="3" l="1"/>
  <c r="F1003" i="3" l="1"/>
  <c r="F1004" i="3" l="1"/>
  <c r="F1005" i="3" l="1"/>
  <c r="F1006" i="3" l="1"/>
  <c r="F1007" i="3" l="1"/>
  <c r="F1008" i="3" l="1"/>
  <c r="F1009" i="3" l="1"/>
  <c r="F1010" i="3" l="1"/>
  <c r="F1011" i="3" l="1"/>
  <c r="F1012" i="3" l="1"/>
  <c r="F1013" i="3" l="1"/>
  <c r="F1014" i="3" l="1"/>
  <c r="F1015" i="3" l="1"/>
  <c r="F1016" i="3" l="1"/>
  <c r="F1017" i="3" s="1"/>
  <c r="F1018" i="3" s="1"/>
  <c r="G1018" i="3" l="1"/>
  <c r="K1018" i="3"/>
  <c r="F1019" i="3"/>
  <c r="I1018" i="3"/>
  <c r="J1018" i="3"/>
  <c r="R1018" i="3"/>
  <c r="H1018" i="3"/>
  <c r="P1018" i="3"/>
  <c r="L1018" i="3"/>
  <c r="Q1018" i="3"/>
  <c r="N1018" i="3"/>
  <c r="O1018" i="3"/>
  <c r="G1019" i="3" l="1"/>
  <c r="J1019" i="3"/>
  <c r="K1019" i="3"/>
  <c r="P1019" i="3"/>
  <c r="H1019" i="3"/>
  <c r="I1019" i="3"/>
  <c r="F1020" i="3"/>
  <c r="L1019" i="3"/>
  <c r="N1019" i="3"/>
  <c r="Q1019" i="3"/>
  <c r="R1019" i="3"/>
  <c r="O1019" i="3"/>
  <c r="F1021" i="3" l="1"/>
  <c r="K1020" i="3"/>
  <c r="O1020" i="3"/>
  <c r="P1020" i="3"/>
  <c r="J1020" i="3"/>
  <c r="L1020" i="3"/>
  <c r="H1020" i="3"/>
  <c r="I1020" i="3"/>
  <c r="G1020" i="3"/>
  <c r="N1020" i="3"/>
  <c r="Q1020" i="3"/>
  <c r="R1020" i="3"/>
  <c r="F1022" i="3" l="1"/>
  <c r="Q1021" i="3"/>
  <c r="H1021" i="3"/>
  <c r="P1021" i="3"/>
  <c r="K1021" i="3"/>
  <c r="L1021" i="3"/>
  <c r="N1021" i="3"/>
  <c r="O1021" i="3"/>
  <c r="R1021" i="3"/>
  <c r="J1021" i="3"/>
  <c r="G1021" i="3"/>
  <c r="I1021" i="3"/>
  <c r="F1023" i="3" l="1"/>
  <c r="H1022" i="3"/>
  <c r="I1022" i="3"/>
  <c r="N1022" i="3"/>
  <c r="L1022" i="3"/>
  <c r="O1022" i="3"/>
  <c r="G1022" i="3"/>
  <c r="J1022" i="3"/>
  <c r="K1022" i="3"/>
  <c r="P1022" i="3"/>
  <c r="Q1022" i="3"/>
  <c r="R1022" i="3"/>
  <c r="F1024" i="3" l="1"/>
  <c r="J1023" i="3"/>
  <c r="N1023" i="3"/>
  <c r="O1023" i="3"/>
  <c r="I1023" i="3"/>
  <c r="L1023" i="3"/>
  <c r="P1023" i="3"/>
  <c r="R1023" i="3"/>
  <c r="K1023" i="3"/>
  <c r="Q1023" i="3"/>
  <c r="G1023" i="3"/>
  <c r="H1023" i="3"/>
  <c r="F1025" i="3" l="1"/>
  <c r="P1024" i="3"/>
  <c r="G1024" i="3"/>
  <c r="O1024" i="3"/>
  <c r="J1024" i="3"/>
  <c r="H1024" i="3"/>
  <c r="I1024" i="3"/>
  <c r="L1024" i="3"/>
  <c r="N1024" i="3"/>
  <c r="K1024" i="3"/>
  <c r="Q1024" i="3"/>
  <c r="R1024" i="3"/>
  <c r="F1026" i="3" l="1"/>
  <c r="G1025" i="3"/>
  <c r="H1025" i="3"/>
  <c r="L1025" i="3"/>
  <c r="O1025" i="3"/>
  <c r="Q1025" i="3"/>
  <c r="P1025" i="3"/>
  <c r="R1025" i="3"/>
  <c r="N1025" i="3"/>
  <c r="J1025" i="3"/>
  <c r="I1025" i="3"/>
  <c r="K1025" i="3"/>
  <c r="F1027" i="3" l="1"/>
  <c r="I1026" i="3"/>
  <c r="L1026" i="3"/>
  <c r="N1026" i="3"/>
  <c r="R1026" i="3"/>
  <c r="H1026" i="3"/>
  <c r="J1026" i="3"/>
  <c r="K1026" i="3"/>
  <c r="G1026" i="3"/>
  <c r="P1026" i="3"/>
  <c r="Q1026" i="3"/>
  <c r="O1026" i="3"/>
  <c r="F1028" i="3" l="1"/>
  <c r="O1027" i="3"/>
  <c r="R1027" i="3"/>
  <c r="N1027" i="3"/>
  <c r="P1027" i="3"/>
  <c r="Q1027" i="3"/>
  <c r="L1027" i="3"/>
  <c r="H1027" i="3"/>
  <c r="I1027" i="3"/>
  <c r="J1027" i="3"/>
  <c r="G1027" i="3"/>
  <c r="K1027" i="3"/>
  <c r="F1029" i="3" l="1"/>
  <c r="G1028" i="3"/>
  <c r="K1028" i="3"/>
  <c r="N1028" i="3"/>
  <c r="H1028" i="3"/>
  <c r="J1028" i="3"/>
  <c r="L1028" i="3"/>
  <c r="P1028" i="3"/>
  <c r="Q1028" i="3"/>
  <c r="I1028" i="3"/>
  <c r="O1028" i="3"/>
  <c r="R1028" i="3"/>
  <c r="J1029" i="3" l="1"/>
  <c r="F1030" i="3"/>
  <c r="H1029" i="3"/>
  <c r="N1029" i="3"/>
  <c r="K1029" i="3"/>
  <c r="Q1029" i="3"/>
  <c r="G1029" i="3"/>
  <c r="L1029" i="3"/>
  <c r="O1029" i="3"/>
  <c r="R1029" i="3"/>
  <c r="P1029" i="3"/>
  <c r="I1029" i="3"/>
  <c r="F1031" i="3" l="1"/>
  <c r="O1030" i="3"/>
  <c r="P1030" i="3"/>
  <c r="L1030" i="3"/>
  <c r="H1030" i="3"/>
  <c r="Q1030" i="3"/>
  <c r="R1030" i="3"/>
  <c r="N1030" i="3"/>
  <c r="G1030" i="3"/>
  <c r="I1030" i="3"/>
  <c r="J1030" i="3"/>
  <c r="K1030" i="3"/>
  <c r="F1032" i="3" l="1"/>
  <c r="L1031" i="3"/>
  <c r="H1031" i="3"/>
  <c r="I1031" i="3"/>
  <c r="O1031" i="3"/>
  <c r="K1031" i="3"/>
  <c r="P1031" i="3"/>
  <c r="G1031" i="3"/>
  <c r="N1031" i="3"/>
  <c r="R1031" i="3"/>
  <c r="J1031" i="3"/>
  <c r="Q1031" i="3"/>
  <c r="F1033" i="3" l="1"/>
  <c r="H1032" i="3"/>
  <c r="K1032" i="3"/>
  <c r="P1032" i="3"/>
  <c r="L1032" i="3"/>
  <c r="J1032" i="3"/>
  <c r="I1032" i="3"/>
  <c r="R1032" i="3"/>
  <c r="G1032" i="3"/>
  <c r="Q1032" i="3"/>
  <c r="O1032" i="3"/>
  <c r="N1032" i="3"/>
  <c r="F1034" i="3" l="1"/>
  <c r="N1033" i="3"/>
  <c r="G1033" i="3"/>
  <c r="H1033" i="3"/>
  <c r="L1033" i="3"/>
  <c r="P1033" i="3"/>
  <c r="R1033" i="3"/>
  <c r="O1033" i="3"/>
  <c r="Q1033" i="3"/>
  <c r="K1033" i="3"/>
  <c r="I1033" i="3"/>
  <c r="J1033" i="3"/>
  <c r="F1035" i="3" l="1"/>
  <c r="N1034" i="3"/>
  <c r="G1034" i="3"/>
  <c r="K1034" i="3"/>
  <c r="R1034" i="3"/>
  <c r="J1034" i="3"/>
  <c r="P1034" i="3"/>
  <c r="H1034" i="3"/>
  <c r="L1034" i="3"/>
  <c r="Q1034" i="3"/>
  <c r="O1034" i="3"/>
  <c r="I1034" i="3"/>
  <c r="F1036" i="3" l="1"/>
  <c r="G1035" i="3"/>
  <c r="O1035" i="3"/>
  <c r="K1035" i="3"/>
  <c r="R1035" i="3"/>
  <c r="I1035" i="3"/>
  <c r="H1035" i="3"/>
  <c r="J1035" i="3"/>
  <c r="Q1035" i="3"/>
  <c r="N1035" i="3"/>
  <c r="L1035" i="3"/>
  <c r="P1035" i="3"/>
  <c r="F1037" i="3" l="1"/>
  <c r="L1036" i="3"/>
  <c r="H1036" i="3"/>
  <c r="G1036" i="3"/>
  <c r="Q1036" i="3"/>
  <c r="J1036" i="3"/>
  <c r="K1036" i="3"/>
  <c r="O1036" i="3"/>
  <c r="P1036" i="3"/>
  <c r="R1036" i="3"/>
  <c r="N1036" i="3"/>
  <c r="I1036" i="3"/>
  <c r="F1038" i="3" l="1"/>
  <c r="R1037" i="3"/>
  <c r="O1037" i="3"/>
  <c r="J1037" i="3"/>
  <c r="P1037" i="3"/>
  <c r="I1037" i="3"/>
  <c r="G1037" i="3"/>
  <c r="K1037" i="3"/>
  <c r="N1037" i="3"/>
  <c r="H1037" i="3"/>
  <c r="L1037" i="3"/>
  <c r="Q1037" i="3"/>
  <c r="F1039" i="3" l="1"/>
  <c r="R1038" i="3"/>
  <c r="O1038" i="3"/>
  <c r="I1038" i="3"/>
  <c r="K1038" i="3"/>
  <c r="N1038" i="3"/>
  <c r="G1038" i="3"/>
  <c r="J1038" i="3"/>
  <c r="L1038" i="3"/>
  <c r="Q1038" i="3"/>
  <c r="H1038" i="3"/>
  <c r="P1038" i="3"/>
  <c r="F1040" i="3" l="1"/>
  <c r="I1039" i="3"/>
  <c r="K1039" i="3"/>
  <c r="H1039" i="3"/>
  <c r="R1039" i="3"/>
  <c r="L1039" i="3"/>
  <c r="N1039" i="3"/>
  <c r="O1039" i="3"/>
  <c r="P1039" i="3"/>
  <c r="J1039" i="3"/>
  <c r="Q1039" i="3"/>
  <c r="G1039" i="3"/>
  <c r="F1041" i="3" l="1"/>
  <c r="O1040" i="3"/>
  <c r="L1040" i="3"/>
  <c r="R1040" i="3"/>
  <c r="K1040" i="3"/>
  <c r="N1040" i="3"/>
  <c r="Q1040" i="3"/>
  <c r="G1040" i="3"/>
  <c r="I1040" i="3"/>
  <c r="P1040" i="3"/>
  <c r="H1040" i="3"/>
  <c r="J1040" i="3"/>
  <c r="F1042" i="3" l="1"/>
  <c r="G1041" i="3"/>
  <c r="O1041" i="3"/>
  <c r="L1041" i="3"/>
  <c r="R1041" i="3"/>
  <c r="Q1041" i="3"/>
  <c r="N1041" i="3"/>
  <c r="I1041" i="3"/>
  <c r="J1041" i="3"/>
  <c r="H1041" i="3"/>
  <c r="K1041" i="3"/>
  <c r="P1041" i="3"/>
  <c r="F1043" i="3" l="1"/>
  <c r="H1042" i="3"/>
  <c r="G1042" i="3"/>
  <c r="L1042" i="3"/>
  <c r="J1042" i="3"/>
  <c r="P1042" i="3"/>
  <c r="Q1042" i="3"/>
  <c r="I1042" i="3"/>
  <c r="K1042" i="3"/>
  <c r="O1042" i="3"/>
  <c r="R1042" i="3"/>
  <c r="N1042" i="3"/>
  <c r="F1044" i="3" l="1"/>
  <c r="N1043" i="3"/>
  <c r="O1043" i="3"/>
  <c r="K1043" i="3"/>
  <c r="G1043" i="3"/>
  <c r="P1043" i="3"/>
  <c r="H1043" i="3"/>
  <c r="J1043" i="3"/>
  <c r="I1043" i="3"/>
  <c r="L1043" i="3"/>
  <c r="Q1043" i="3"/>
  <c r="R1043" i="3"/>
  <c r="F1045" i="3" l="1"/>
  <c r="G1044" i="3"/>
  <c r="H1044" i="3"/>
  <c r="L1044" i="3"/>
  <c r="Q1044" i="3"/>
  <c r="O1044" i="3"/>
  <c r="P1044" i="3"/>
  <c r="R1044" i="3"/>
  <c r="N1044" i="3"/>
  <c r="J1044" i="3"/>
  <c r="I1044" i="3"/>
  <c r="K1044" i="3"/>
  <c r="F1046" i="3" l="1"/>
  <c r="G1045" i="3"/>
  <c r="I1045" i="3"/>
  <c r="N1045" i="3"/>
  <c r="Q1045" i="3"/>
  <c r="J1045" i="3"/>
  <c r="H1045" i="3"/>
  <c r="R1045" i="3"/>
  <c r="L1045" i="3"/>
  <c r="P1045" i="3"/>
  <c r="K1045" i="3"/>
  <c r="O1045" i="3"/>
  <c r="F1047" i="3" l="1"/>
  <c r="L1046" i="3"/>
  <c r="P1046" i="3"/>
  <c r="I1046" i="3"/>
  <c r="H1046" i="3"/>
  <c r="N1046" i="3"/>
  <c r="J1046" i="3"/>
  <c r="K1046" i="3"/>
  <c r="Q1046" i="3"/>
  <c r="R1046" i="3"/>
  <c r="G1046" i="3"/>
  <c r="O1046" i="3"/>
  <c r="F1048" i="3" l="1"/>
  <c r="R1047" i="3"/>
  <c r="H1047" i="3"/>
  <c r="N1047" i="3"/>
  <c r="G1047" i="3"/>
  <c r="I1047" i="3"/>
  <c r="K1047" i="3"/>
  <c r="L1047" i="3"/>
  <c r="O1047" i="3"/>
  <c r="P1047" i="3"/>
  <c r="J1047" i="3"/>
  <c r="Q1047" i="3"/>
  <c r="F1049" i="3" l="1"/>
  <c r="J1048" i="3"/>
  <c r="O1048" i="3"/>
  <c r="G1048" i="3"/>
  <c r="Q1048" i="3"/>
  <c r="H1048" i="3"/>
  <c r="I1048" i="3"/>
  <c r="L1048" i="3"/>
  <c r="P1048" i="3"/>
  <c r="K1048" i="3"/>
  <c r="N1048" i="3"/>
  <c r="R1048" i="3"/>
  <c r="F1050" i="3" l="1"/>
  <c r="K1049" i="3"/>
  <c r="Q1049" i="3"/>
  <c r="J1049" i="3"/>
  <c r="P1049" i="3"/>
  <c r="I1049" i="3"/>
  <c r="N1049" i="3"/>
  <c r="H1049" i="3"/>
  <c r="L1049" i="3"/>
  <c r="R1049" i="3"/>
  <c r="O1049" i="3"/>
  <c r="G1049" i="3"/>
  <c r="F1051" i="3" l="1"/>
  <c r="Q1050" i="3"/>
  <c r="I1050" i="3"/>
  <c r="N1050" i="3"/>
  <c r="J1050" i="3"/>
  <c r="H1050" i="3"/>
  <c r="K1050" i="3"/>
  <c r="L1050" i="3"/>
  <c r="P1050" i="3"/>
  <c r="G1050" i="3"/>
  <c r="O1050" i="3"/>
  <c r="R1050" i="3"/>
  <c r="F1052" i="3" l="1"/>
  <c r="K1051" i="3"/>
  <c r="P1051" i="3"/>
  <c r="H1051" i="3"/>
  <c r="N1051" i="3"/>
  <c r="L1051" i="3"/>
  <c r="Q1051" i="3"/>
  <c r="G1051" i="3"/>
  <c r="J1051" i="3"/>
  <c r="O1051" i="3"/>
  <c r="R1051" i="3"/>
  <c r="I1051" i="3"/>
  <c r="F1053" i="3" l="1"/>
  <c r="J1052" i="3"/>
  <c r="R1052" i="3"/>
  <c r="Q1052" i="3"/>
  <c r="K1052" i="3"/>
  <c r="L1052" i="3"/>
  <c r="P1052" i="3"/>
  <c r="O1052" i="3"/>
  <c r="I1052" i="3"/>
  <c r="N1052" i="3"/>
  <c r="H1052" i="3"/>
  <c r="G1052" i="3"/>
  <c r="F1054" i="3" l="1"/>
  <c r="J1053" i="3"/>
  <c r="K1053" i="3"/>
  <c r="O1053" i="3"/>
  <c r="Q1053" i="3"/>
  <c r="G1053" i="3"/>
  <c r="H1053" i="3"/>
  <c r="L1053" i="3"/>
  <c r="P1053" i="3"/>
  <c r="I1053" i="3"/>
  <c r="R1053" i="3"/>
  <c r="N1053" i="3"/>
  <c r="F1055" i="3" l="1"/>
  <c r="K1054" i="3"/>
  <c r="P1054" i="3"/>
  <c r="N1054" i="3"/>
  <c r="G1054" i="3"/>
  <c r="L1054" i="3"/>
  <c r="H1054" i="3"/>
  <c r="I1054" i="3"/>
  <c r="J1054" i="3"/>
  <c r="O1054" i="3"/>
  <c r="Q1054" i="3"/>
  <c r="R1054" i="3"/>
  <c r="F1056" i="3" l="1"/>
  <c r="Q1055" i="3"/>
  <c r="G1055" i="3"/>
  <c r="O1055" i="3"/>
  <c r="N1055" i="3"/>
  <c r="R1055" i="3"/>
  <c r="J1055" i="3"/>
  <c r="K1055" i="3"/>
  <c r="L1055" i="3"/>
  <c r="I1055" i="3"/>
  <c r="H1055" i="3"/>
  <c r="P1055" i="3"/>
  <c r="F1057" i="3" l="1"/>
  <c r="I1056" i="3"/>
  <c r="J1056" i="3"/>
  <c r="O1056" i="3"/>
  <c r="G1056" i="3"/>
  <c r="K1056" i="3"/>
  <c r="N1056" i="3"/>
  <c r="R1056" i="3"/>
  <c r="H1056" i="3"/>
  <c r="Q1056" i="3"/>
  <c r="P1056" i="3"/>
  <c r="L1056" i="3"/>
  <c r="F1058" i="3" l="1"/>
  <c r="J1057" i="3"/>
  <c r="O1057" i="3"/>
  <c r="R1057" i="3"/>
  <c r="K1057" i="3"/>
  <c r="P1057" i="3"/>
  <c r="N1057" i="3"/>
  <c r="Q1057" i="3"/>
  <c r="L1057" i="3"/>
  <c r="G1057" i="3"/>
  <c r="H1057" i="3"/>
  <c r="I1057" i="3"/>
  <c r="F1059" i="3" l="1"/>
  <c r="P1058" i="3"/>
  <c r="J1058" i="3"/>
  <c r="G1058" i="3"/>
  <c r="H1058" i="3"/>
  <c r="K1058" i="3"/>
  <c r="N1058" i="3"/>
  <c r="Q1058" i="3"/>
  <c r="L1058" i="3"/>
  <c r="O1058" i="3"/>
  <c r="R1058" i="3"/>
  <c r="I1058" i="3"/>
  <c r="F1060" i="3" l="1"/>
  <c r="H1059" i="3"/>
  <c r="N1059" i="3"/>
  <c r="R1059" i="3"/>
  <c r="G1059" i="3"/>
  <c r="P1059" i="3"/>
  <c r="Q1059" i="3"/>
  <c r="O1059" i="3"/>
  <c r="J1059" i="3"/>
  <c r="K1059" i="3"/>
  <c r="L1059" i="3"/>
  <c r="I1059" i="3"/>
  <c r="F1061" i="3" l="1"/>
  <c r="I1060" i="3"/>
  <c r="N1060" i="3"/>
  <c r="P1060" i="3"/>
  <c r="G1060" i="3"/>
  <c r="H1060" i="3"/>
  <c r="J1060" i="3"/>
  <c r="K1060" i="3"/>
  <c r="O1060" i="3"/>
  <c r="R1060" i="3"/>
  <c r="L1060" i="3"/>
  <c r="Q1060" i="3"/>
  <c r="F1062" i="3" l="1"/>
  <c r="O1061" i="3"/>
  <c r="I1061" i="3"/>
  <c r="N1061" i="3"/>
  <c r="Q1061" i="3"/>
  <c r="H1061" i="3"/>
  <c r="J1061" i="3"/>
  <c r="K1061" i="3"/>
  <c r="G1061" i="3"/>
  <c r="P1061" i="3"/>
  <c r="R1061" i="3"/>
  <c r="L1061" i="3"/>
  <c r="F1063" i="3" l="1"/>
  <c r="P1062" i="3"/>
  <c r="J1062" i="3"/>
  <c r="G1062" i="3"/>
  <c r="K1062" i="3"/>
  <c r="L1062" i="3"/>
  <c r="N1062" i="3"/>
  <c r="Q1062" i="3"/>
  <c r="I1062" i="3"/>
  <c r="H1062" i="3"/>
  <c r="R1062" i="3"/>
  <c r="O1062" i="3"/>
  <c r="F1064" i="3" l="1"/>
  <c r="H1063" i="3"/>
  <c r="I1063" i="3"/>
  <c r="Q1063" i="3"/>
  <c r="O1063" i="3"/>
  <c r="R1063" i="3"/>
  <c r="G1063" i="3"/>
  <c r="K1063" i="3"/>
  <c r="N1063" i="3"/>
  <c r="P1063" i="3"/>
  <c r="L1063" i="3"/>
  <c r="J1063" i="3"/>
  <c r="F1065" i="3" l="1"/>
  <c r="N1064" i="3"/>
  <c r="J1064" i="3"/>
  <c r="P1064" i="3"/>
  <c r="L1064" i="3"/>
  <c r="O1064" i="3"/>
  <c r="Q1064" i="3"/>
  <c r="K1064" i="3"/>
  <c r="G1064" i="3"/>
  <c r="I1064" i="3"/>
  <c r="R1064" i="3"/>
  <c r="H1064" i="3"/>
  <c r="F1066" i="3" l="1"/>
  <c r="Q1065" i="3"/>
  <c r="K1065" i="3"/>
  <c r="N1065" i="3"/>
  <c r="P1065" i="3"/>
  <c r="G1065" i="3"/>
  <c r="I1065" i="3"/>
  <c r="L1065" i="3"/>
  <c r="H1065" i="3"/>
  <c r="J1065" i="3"/>
  <c r="O1065" i="3"/>
  <c r="R1065" i="3"/>
  <c r="F1067" i="3" l="1"/>
  <c r="G1066" i="3"/>
  <c r="J1066" i="3"/>
  <c r="R1066" i="3"/>
  <c r="O1066" i="3"/>
  <c r="P1066" i="3"/>
  <c r="Q1066" i="3"/>
  <c r="N1066" i="3"/>
  <c r="I1066" i="3"/>
  <c r="K1066" i="3"/>
  <c r="H1066" i="3"/>
  <c r="L1066" i="3"/>
  <c r="F1068" i="3" l="1"/>
  <c r="L1067" i="3"/>
  <c r="K1067" i="3"/>
  <c r="Q1067" i="3"/>
  <c r="N1067" i="3"/>
  <c r="P1067" i="3"/>
  <c r="H1067" i="3"/>
  <c r="J1067" i="3"/>
  <c r="R1067" i="3"/>
  <c r="O1067" i="3"/>
  <c r="G1067" i="3"/>
  <c r="I1067" i="3"/>
  <c r="F1069" i="3" l="1"/>
  <c r="R1068" i="3"/>
  <c r="L1068" i="3"/>
  <c r="P1068" i="3"/>
  <c r="Q1068" i="3"/>
  <c r="O1068" i="3"/>
  <c r="N1068" i="3"/>
  <c r="H1068" i="3"/>
  <c r="K1068" i="3"/>
  <c r="J1068" i="3"/>
  <c r="G1068" i="3"/>
  <c r="I1068" i="3"/>
  <c r="F1070" i="3" l="1"/>
  <c r="G1069" i="3"/>
  <c r="K1069" i="3"/>
  <c r="L1069" i="3"/>
  <c r="O1069" i="3"/>
  <c r="H1069" i="3"/>
  <c r="J1069" i="3"/>
  <c r="P1069" i="3"/>
  <c r="R1069" i="3"/>
  <c r="I1069" i="3"/>
  <c r="N1069" i="3"/>
  <c r="Q1069" i="3"/>
  <c r="F1071" i="3" l="1"/>
  <c r="K1070" i="3"/>
  <c r="N1070" i="3"/>
  <c r="R1070" i="3"/>
  <c r="G1070" i="3"/>
  <c r="Q1070" i="3"/>
  <c r="I1070" i="3"/>
  <c r="H1070" i="3"/>
  <c r="J1070" i="3"/>
  <c r="L1070" i="3"/>
  <c r="O1070" i="3"/>
  <c r="P1070" i="3"/>
  <c r="F1072" i="3" l="1"/>
  <c r="Q1071" i="3"/>
  <c r="N1071" i="3"/>
  <c r="J1071" i="3"/>
  <c r="L1071" i="3"/>
  <c r="G1071" i="3"/>
  <c r="H1071" i="3"/>
  <c r="I1071" i="3"/>
  <c r="O1071" i="3"/>
  <c r="R1071" i="3"/>
  <c r="K1071" i="3"/>
  <c r="P1071" i="3"/>
  <c r="F1073" i="3" l="1"/>
  <c r="H1072" i="3"/>
  <c r="L1072" i="3"/>
  <c r="I1072" i="3"/>
  <c r="R1072" i="3"/>
  <c r="O1072" i="3"/>
  <c r="P1072" i="3"/>
  <c r="G1072" i="3"/>
  <c r="K1072" i="3"/>
  <c r="Q1072" i="3"/>
  <c r="J1072" i="3"/>
  <c r="N1072" i="3"/>
  <c r="F1074" i="3" l="1"/>
  <c r="J1073" i="3"/>
  <c r="O1073" i="3"/>
  <c r="H1073" i="3"/>
  <c r="I1073" i="3"/>
  <c r="L1073" i="3"/>
  <c r="G1073" i="3"/>
  <c r="K1073" i="3"/>
  <c r="N1073" i="3"/>
  <c r="Q1073" i="3"/>
  <c r="R1073" i="3"/>
  <c r="P1073" i="3"/>
  <c r="F1075" i="3" l="1"/>
  <c r="P1074" i="3"/>
  <c r="G1074" i="3"/>
  <c r="O1074" i="3"/>
  <c r="H1074" i="3"/>
  <c r="J1074" i="3"/>
  <c r="I1074" i="3"/>
  <c r="K1074" i="3"/>
  <c r="L1074" i="3"/>
  <c r="Q1074" i="3"/>
  <c r="R1074" i="3"/>
  <c r="N1074" i="3"/>
  <c r="F1076" i="3" l="1"/>
  <c r="I1075" i="3"/>
  <c r="N1075" i="3"/>
  <c r="H1075" i="3"/>
  <c r="K1075" i="3"/>
  <c r="L1075" i="3"/>
  <c r="O1075" i="3"/>
  <c r="P1075" i="3"/>
  <c r="R1075" i="3"/>
  <c r="J1075" i="3"/>
  <c r="Q1075" i="3"/>
  <c r="G1075" i="3"/>
  <c r="F1077" i="3" l="1"/>
  <c r="I1076" i="3"/>
  <c r="P1076" i="3"/>
  <c r="J1076" i="3"/>
  <c r="H1076" i="3"/>
  <c r="L1076" i="3"/>
  <c r="O1076" i="3"/>
  <c r="Q1076" i="3"/>
  <c r="N1076" i="3"/>
  <c r="K1076" i="3"/>
  <c r="G1076" i="3"/>
  <c r="R1076" i="3"/>
  <c r="F1078" i="3" l="1"/>
  <c r="O1077" i="3"/>
  <c r="H1077" i="3"/>
  <c r="Q1077" i="3"/>
  <c r="G1077" i="3"/>
  <c r="J1077" i="3"/>
  <c r="N1077" i="3"/>
  <c r="P1077" i="3"/>
  <c r="R1077" i="3"/>
  <c r="L1077" i="3"/>
  <c r="I1077" i="3"/>
  <c r="K1077" i="3"/>
  <c r="F1079" i="3" l="1"/>
  <c r="J1078" i="3"/>
  <c r="O1078" i="3"/>
  <c r="R1078" i="3"/>
  <c r="H1078" i="3"/>
  <c r="K1078" i="3"/>
  <c r="N1078" i="3"/>
  <c r="G1078" i="3"/>
  <c r="Q1078" i="3"/>
  <c r="I1078" i="3"/>
  <c r="L1078" i="3"/>
  <c r="P1078" i="3"/>
  <c r="F1080" i="3" l="1"/>
  <c r="H1079" i="3"/>
  <c r="Q1079" i="3"/>
  <c r="K1079" i="3"/>
  <c r="I1079" i="3"/>
  <c r="P1079" i="3"/>
  <c r="R1079" i="3"/>
  <c r="O1079" i="3"/>
  <c r="L1079" i="3"/>
  <c r="G1079" i="3"/>
  <c r="J1079" i="3"/>
  <c r="N1079" i="3"/>
  <c r="F1081" i="3" l="1"/>
  <c r="N1080" i="3"/>
  <c r="I1080" i="3"/>
  <c r="R1080" i="3"/>
  <c r="Q1080" i="3"/>
  <c r="G1080" i="3"/>
  <c r="J1080" i="3"/>
  <c r="L1080" i="3"/>
  <c r="P1080" i="3"/>
  <c r="O1080" i="3"/>
  <c r="H1080" i="3"/>
  <c r="K1080" i="3"/>
  <c r="F1082" i="3" l="1"/>
  <c r="K1081" i="3"/>
  <c r="P1081" i="3"/>
  <c r="H1081" i="3"/>
  <c r="R1081" i="3"/>
  <c r="Q1081" i="3"/>
  <c r="G1081" i="3"/>
  <c r="N1081" i="3"/>
  <c r="O1081" i="3"/>
  <c r="J1081" i="3"/>
  <c r="I1081" i="3"/>
  <c r="L1081" i="3"/>
  <c r="F1083" i="3" l="1"/>
  <c r="G1082" i="3"/>
  <c r="R1082" i="3"/>
  <c r="L1082" i="3"/>
  <c r="P1082" i="3"/>
  <c r="H1082" i="3"/>
  <c r="I1082" i="3"/>
  <c r="K1082" i="3"/>
  <c r="O1082" i="3"/>
  <c r="J1082" i="3"/>
  <c r="N1082" i="3"/>
  <c r="Q1082" i="3"/>
  <c r="F1084" i="3" l="1"/>
  <c r="L1083" i="3"/>
  <c r="J1083" i="3"/>
  <c r="G1083" i="3"/>
  <c r="H1083" i="3"/>
  <c r="R1083" i="3"/>
  <c r="N1083" i="3"/>
  <c r="Q1083" i="3"/>
  <c r="P1083" i="3"/>
  <c r="O1083" i="3"/>
  <c r="K1083" i="3"/>
  <c r="I1083" i="3"/>
  <c r="F1085" i="3" l="1"/>
  <c r="R1084" i="3"/>
  <c r="L1084" i="3"/>
  <c r="Q1084" i="3"/>
  <c r="G1084" i="3"/>
  <c r="O1084" i="3"/>
  <c r="H1084" i="3"/>
  <c r="I1084" i="3"/>
  <c r="J1084" i="3"/>
  <c r="N1084" i="3"/>
  <c r="K1084" i="3"/>
  <c r="P1084" i="3"/>
  <c r="F1086" i="3" l="1"/>
  <c r="N1085" i="3"/>
  <c r="G1085" i="3"/>
  <c r="J1085" i="3"/>
  <c r="L1085" i="3"/>
  <c r="H1085" i="3"/>
  <c r="K1085" i="3"/>
  <c r="O1085" i="3"/>
  <c r="R1085" i="3"/>
  <c r="I1085" i="3"/>
  <c r="P1085" i="3"/>
  <c r="Q1085" i="3"/>
  <c r="F1087" i="3" l="1"/>
  <c r="K1086" i="3"/>
  <c r="G1086" i="3"/>
  <c r="L1086" i="3"/>
  <c r="O1086" i="3"/>
  <c r="Q1086" i="3"/>
  <c r="I1086" i="3"/>
  <c r="J1086" i="3"/>
  <c r="N1086" i="3"/>
  <c r="R1086" i="3"/>
  <c r="H1086" i="3"/>
  <c r="P1086" i="3"/>
  <c r="F1088" i="3" l="1"/>
  <c r="Q1087" i="3"/>
  <c r="N1087" i="3"/>
  <c r="H1087" i="3"/>
  <c r="K1087" i="3"/>
  <c r="P1087" i="3"/>
  <c r="R1087" i="3"/>
  <c r="I1087" i="3"/>
  <c r="G1087" i="3"/>
  <c r="J1087" i="3"/>
  <c r="L1087" i="3"/>
  <c r="O1087" i="3"/>
  <c r="F1089" i="3" l="1"/>
  <c r="G1088" i="3"/>
  <c r="O1088" i="3"/>
  <c r="L1088" i="3"/>
  <c r="P1088" i="3"/>
  <c r="K1088" i="3"/>
  <c r="N1088" i="3"/>
  <c r="Q1088" i="3"/>
  <c r="J1088" i="3"/>
  <c r="R1088" i="3"/>
  <c r="H1088" i="3"/>
  <c r="I1088" i="3"/>
  <c r="F1090" i="3" l="1"/>
  <c r="J1089" i="3"/>
  <c r="H1089" i="3"/>
  <c r="N1089" i="3"/>
  <c r="G1089" i="3"/>
  <c r="O1089" i="3"/>
  <c r="I1089" i="3"/>
  <c r="K1089" i="3"/>
  <c r="L1089" i="3"/>
  <c r="Q1089" i="3"/>
  <c r="R1089" i="3"/>
  <c r="P1089" i="3"/>
  <c r="F1091" i="3" l="1"/>
  <c r="P1090" i="3"/>
  <c r="O1090" i="3"/>
  <c r="J1090" i="3"/>
  <c r="L1090" i="3"/>
  <c r="N1090" i="3"/>
  <c r="Q1090" i="3"/>
  <c r="R1090" i="3"/>
  <c r="K1090" i="3"/>
  <c r="H1090" i="3"/>
  <c r="G1090" i="3"/>
  <c r="I1090" i="3"/>
  <c r="F1092" i="3" l="1"/>
  <c r="R1091" i="3"/>
  <c r="H1091" i="3"/>
  <c r="L1091" i="3"/>
  <c r="J1091" i="3"/>
  <c r="K1091" i="3"/>
  <c r="Q1091" i="3"/>
  <c r="I1091" i="3"/>
  <c r="O1091" i="3"/>
  <c r="G1091" i="3"/>
  <c r="P1091" i="3"/>
  <c r="N1091" i="3"/>
  <c r="F1093" i="3" l="1"/>
  <c r="I1092" i="3"/>
  <c r="J1092" i="3"/>
  <c r="H1092" i="3"/>
  <c r="N1092" i="3"/>
  <c r="O1092" i="3"/>
  <c r="P1092" i="3"/>
  <c r="R1092" i="3"/>
  <c r="L1092" i="3"/>
  <c r="Q1092" i="3"/>
  <c r="G1092" i="3"/>
  <c r="K1092" i="3"/>
  <c r="F1094" i="3" l="1"/>
  <c r="O1093" i="3"/>
  <c r="Q1093" i="3"/>
  <c r="N1093" i="3"/>
  <c r="R1093" i="3"/>
  <c r="J1093" i="3"/>
  <c r="K1093" i="3"/>
  <c r="H1093" i="3"/>
  <c r="I1093" i="3"/>
  <c r="P1093" i="3"/>
  <c r="G1093" i="3"/>
  <c r="L1093" i="3"/>
  <c r="F1095" i="3" l="1"/>
  <c r="K1094" i="3"/>
  <c r="L1094" i="3"/>
  <c r="N1094" i="3"/>
  <c r="P1094" i="3"/>
  <c r="J1094" i="3"/>
  <c r="H1094" i="3"/>
  <c r="I1094" i="3"/>
  <c r="G1094" i="3"/>
  <c r="Q1094" i="3"/>
  <c r="R1094" i="3"/>
  <c r="O1094" i="3"/>
  <c r="F1096" i="3" l="1"/>
  <c r="H1095" i="3"/>
  <c r="K1095" i="3"/>
  <c r="J1095" i="3"/>
  <c r="N1095" i="3"/>
  <c r="I1095" i="3"/>
  <c r="G1095" i="3"/>
  <c r="L1095" i="3"/>
  <c r="O1095" i="3"/>
  <c r="P1095" i="3"/>
  <c r="Q1095" i="3"/>
  <c r="R1095" i="3"/>
  <c r="F1097" i="3" l="1"/>
  <c r="N1096" i="3"/>
  <c r="R1096" i="3"/>
  <c r="I1096" i="3"/>
  <c r="J1096" i="3"/>
  <c r="K1096" i="3"/>
  <c r="O1096" i="3"/>
  <c r="H1096" i="3"/>
  <c r="L1096" i="3"/>
  <c r="Q1096" i="3"/>
  <c r="G1096" i="3"/>
  <c r="P1096" i="3"/>
  <c r="F1098" i="3" l="1"/>
  <c r="G1097" i="3"/>
  <c r="I1097" i="3"/>
  <c r="J1097" i="3"/>
  <c r="R1097" i="3"/>
  <c r="K1097" i="3"/>
  <c r="L1097" i="3"/>
  <c r="Q1097" i="3"/>
  <c r="H1097" i="3"/>
  <c r="N1097" i="3"/>
  <c r="P1097" i="3"/>
  <c r="O1097" i="3"/>
  <c r="F1099" i="3" l="1"/>
  <c r="G1098" i="3"/>
  <c r="L1098" i="3"/>
  <c r="O1098" i="3"/>
  <c r="Q1098" i="3"/>
  <c r="H1098" i="3"/>
  <c r="I1098" i="3"/>
  <c r="J1098" i="3"/>
  <c r="N1098" i="3"/>
  <c r="K1098" i="3"/>
  <c r="P1098" i="3"/>
  <c r="R1098" i="3"/>
  <c r="F1100" i="3" l="1"/>
  <c r="L1099" i="3"/>
  <c r="R1099" i="3"/>
  <c r="H1099" i="3"/>
  <c r="Q1099" i="3"/>
  <c r="K1099" i="3"/>
  <c r="I1099" i="3"/>
  <c r="N1099" i="3"/>
  <c r="O1099" i="3"/>
  <c r="G1099" i="3"/>
  <c r="J1099" i="3"/>
  <c r="P1099" i="3"/>
  <c r="F1101" i="3" l="1"/>
  <c r="R1100" i="3"/>
  <c r="G1100" i="3"/>
  <c r="J1100" i="3"/>
  <c r="L1100" i="3"/>
  <c r="H1100" i="3"/>
  <c r="I1100" i="3"/>
  <c r="N1100" i="3"/>
  <c r="K1100" i="3"/>
  <c r="O1100" i="3"/>
  <c r="P1100" i="3"/>
  <c r="Q1100" i="3"/>
  <c r="F1102" i="3" l="1"/>
  <c r="N1101" i="3"/>
  <c r="R1101" i="3"/>
  <c r="Q1101" i="3"/>
  <c r="G1101" i="3"/>
  <c r="P1101" i="3"/>
  <c r="I1101" i="3"/>
  <c r="J1101" i="3"/>
  <c r="K1101" i="3"/>
  <c r="O1101" i="3"/>
  <c r="H1101" i="3"/>
  <c r="L1101" i="3"/>
  <c r="F1103" i="3" l="1"/>
  <c r="K1102" i="3"/>
  <c r="H1102" i="3"/>
  <c r="G1102" i="3"/>
  <c r="I1102" i="3"/>
  <c r="L1102" i="3"/>
  <c r="Q1102" i="3"/>
  <c r="O1102" i="3"/>
  <c r="J1102" i="3"/>
  <c r="R1102" i="3"/>
  <c r="P1102" i="3"/>
  <c r="N1102" i="3"/>
  <c r="F1104" i="3" l="1"/>
  <c r="Q1103" i="3"/>
  <c r="H1103" i="3"/>
  <c r="N1103" i="3"/>
  <c r="P1103" i="3"/>
  <c r="R1103" i="3"/>
  <c r="O1103" i="3"/>
  <c r="I1103" i="3"/>
  <c r="J1103" i="3"/>
  <c r="G1103" i="3"/>
  <c r="K1103" i="3"/>
  <c r="L1103" i="3"/>
  <c r="F1105" i="3" l="1"/>
  <c r="O1104" i="3"/>
  <c r="G1104" i="3"/>
  <c r="H1104" i="3"/>
  <c r="J1104" i="3"/>
  <c r="P1104" i="3"/>
  <c r="K1104" i="3"/>
  <c r="R1104" i="3"/>
  <c r="L1104" i="3"/>
  <c r="I1104" i="3"/>
  <c r="N1104" i="3"/>
  <c r="Q1104" i="3"/>
  <c r="F1106" i="3" l="1"/>
  <c r="J1105" i="3"/>
  <c r="I1105" i="3"/>
  <c r="L1105" i="3"/>
  <c r="P1105" i="3"/>
  <c r="Q1105" i="3"/>
  <c r="R1105" i="3"/>
  <c r="O1105" i="3"/>
  <c r="K1105" i="3"/>
  <c r="G1105" i="3"/>
  <c r="H1105" i="3"/>
  <c r="N1105" i="3"/>
  <c r="F1107" i="3" l="1"/>
  <c r="P1106" i="3"/>
  <c r="I1106" i="3"/>
  <c r="R1106" i="3"/>
  <c r="H1106" i="3"/>
  <c r="N1106" i="3"/>
  <c r="K1106" i="3"/>
  <c r="L1106" i="3"/>
  <c r="G1106" i="3"/>
  <c r="J1106" i="3"/>
  <c r="O1106" i="3"/>
  <c r="Q1106" i="3"/>
  <c r="F1108" i="3" l="1"/>
  <c r="P1107" i="3"/>
  <c r="H1107" i="3"/>
  <c r="N1107" i="3"/>
  <c r="O1107" i="3"/>
  <c r="Q1107" i="3"/>
  <c r="L1107" i="3"/>
  <c r="I1107" i="3"/>
  <c r="J1107" i="3"/>
  <c r="K1107" i="3"/>
  <c r="R1107" i="3"/>
  <c r="G1107" i="3"/>
  <c r="F1109" i="3" l="1"/>
  <c r="I1108" i="3"/>
  <c r="N1108" i="3"/>
  <c r="P1108" i="3"/>
  <c r="G1108" i="3"/>
  <c r="L1108" i="3"/>
  <c r="O1108" i="3"/>
  <c r="R1108" i="3"/>
  <c r="H1108" i="3"/>
  <c r="J1108" i="3"/>
  <c r="Q1108" i="3"/>
  <c r="K1108" i="3"/>
  <c r="F1110" i="3" l="1"/>
  <c r="O1109" i="3"/>
  <c r="J1109" i="3"/>
  <c r="L1109" i="3"/>
  <c r="N1109" i="3"/>
  <c r="P1109" i="3"/>
  <c r="R1109" i="3"/>
  <c r="K1109" i="3"/>
  <c r="H1109" i="3"/>
  <c r="I1109" i="3"/>
  <c r="G1109" i="3"/>
  <c r="Q1109" i="3"/>
  <c r="F1111" i="3" l="1"/>
  <c r="Q1110" i="3"/>
  <c r="I1110" i="3"/>
  <c r="K1110" i="3"/>
  <c r="L1110" i="3"/>
  <c r="J1110" i="3"/>
  <c r="H1110" i="3"/>
  <c r="N1110" i="3"/>
  <c r="R1110" i="3"/>
  <c r="P1110" i="3"/>
  <c r="G1110" i="3"/>
  <c r="O1110" i="3"/>
  <c r="F1112" i="3" l="1"/>
  <c r="H1111" i="3"/>
  <c r="Q1111" i="3"/>
  <c r="K1111" i="3"/>
  <c r="L1111" i="3"/>
  <c r="N1111" i="3"/>
  <c r="P1111" i="3"/>
  <c r="J1111" i="3"/>
  <c r="O1111" i="3"/>
  <c r="G1111" i="3"/>
  <c r="I1111" i="3"/>
  <c r="R1111" i="3"/>
  <c r="F1113" i="3" l="1"/>
  <c r="N1112" i="3"/>
  <c r="K1112" i="3"/>
  <c r="G1112" i="3"/>
  <c r="J1112" i="3"/>
  <c r="L1112" i="3"/>
  <c r="R1112" i="3"/>
  <c r="Q1112" i="3"/>
  <c r="I1112" i="3"/>
  <c r="O1112" i="3"/>
  <c r="H1112" i="3"/>
  <c r="P1112" i="3"/>
  <c r="F1114" i="3" l="1"/>
  <c r="R1113" i="3"/>
  <c r="L1113" i="3"/>
  <c r="O1113" i="3"/>
  <c r="I1113" i="3"/>
  <c r="J1113" i="3"/>
  <c r="K1113" i="3"/>
  <c r="P1113" i="3"/>
  <c r="G1113" i="3"/>
  <c r="H1113" i="3"/>
  <c r="Q1113" i="3"/>
  <c r="N1113" i="3"/>
  <c r="F1115" i="3" l="1"/>
  <c r="G1114" i="3"/>
  <c r="O1114" i="3"/>
  <c r="P1114" i="3"/>
  <c r="J1114" i="3"/>
  <c r="H1114" i="3"/>
  <c r="N1114" i="3"/>
  <c r="K1114" i="3"/>
  <c r="I1114" i="3"/>
  <c r="R1114" i="3"/>
  <c r="Q1114" i="3"/>
  <c r="L1114" i="3"/>
  <c r="F1116" i="3" l="1"/>
  <c r="L1115" i="3"/>
  <c r="N1115" i="3"/>
  <c r="H1115" i="3"/>
  <c r="J1115" i="3"/>
  <c r="G1115" i="3"/>
  <c r="I1115" i="3"/>
  <c r="K1115" i="3"/>
  <c r="P1115" i="3"/>
  <c r="Q1115" i="3"/>
  <c r="O1115" i="3"/>
  <c r="R1115" i="3"/>
  <c r="F1117" i="3" l="1"/>
  <c r="R1116" i="3"/>
  <c r="Q1116" i="3"/>
  <c r="L1116" i="3"/>
  <c r="J1116" i="3"/>
  <c r="K1116" i="3"/>
  <c r="O1116" i="3"/>
  <c r="P1116" i="3"/>
  <c r="I1116" i="3"/>
  <c r="H1116" i="3"/>
  <c r="G1116" i="3"/>
  <c r="N1116" i="3"/>
  <c r="F1118" i="3" l="1"/>
  <c r="H1117" i="3"/>
  <c r="G1117" i="3"/>
  <c r="I1117" i="3"/>
  <c r="J1117" i="3"/>
  <c r="L1117" i="3"/>
  <c r="K1117" i="3"/>
  <c r="N1117" i="3"/>
  <c r="R1117" i="3"/>
  <c r="Q1117" i="3"/>
  <c r="O1117" i="3"/>
  <c r="P1117" i="3"/>
  <c r="F1119" i="3" l="1"/>
  <c r="K1118" i="3"/>
  <c r="O1118" i="3"/>
  <c r="P1118" i="3"/>
  <c r="Q1118" i="3"/>
  <c r="R1118" i="3"/>
  <c r="G1118" i="3"/>
  <c r="H1118" i="3"/>
  <c r="N1118" i="3"/>
  <c r="J1118" i="3"/>
  <c r="L1118" i="3"/>
  <c r="I1118" i="3"/>
  <c r="F1120" i="3" l="1"/>
  <c r="Q1119" i="3"/>
  <c r="G1119" i="3"/>
  <c r="I1119" i="3"/>
  <c r="N1119" i="3"/>
  <c r="O1119" i="3"/>
  <c r="H1119" i="3"/>
  <c r="L1119" i="3"/>
  <c r="P1119" i="3"/>
  <c r="K1119" i="3"/>
  <c r="J1119" i="3"/>
  <c r="R1119" i="3"/>
  <c r="F1121" i="3" l="1"/>
  <c r="I1120" i="3"/>
  <c r="K1120" i="3"/>
  <c r="N1120" i="3"/>
  <c r="O1120" i="3"/>
  <c r="P1120" i="3"/>
  <c r="R1120" i="3"/>
  <c r="H1120" i="3"/>
  <c r="G1120" i="3"/>
  <c r="J1120" i="3"/>
  <c r="L1120" i="3"/>
  <c r="Q1120" i="3"/>
  <c r="F1122" i="3" l="1"/>
  <c r="J1121" i="3"/>
  <c r="P1121" i="3"/>
  <c r="Q1121" i="3"/>
  <c r="R1121" i="3"/>
  <c r="K1121" i="3"/>
  <c r="H1121" i="3"/>
  <c r="L1121" i="3"/>
  <c r="N1121" i="3"/>
  <c r="G1121" i="3"/>
  <c r="I1121" i="3"/>
  <c r="O1121" i="3"/>
  <c r="F1123" i="3" l="1"/>
  <c r="P1122" i="3"/>
  <c r="G1122" i="3"/>
  <c r="J1122" i="3"/>
  <c r="K1122" i="3"/>
  <c r="L1122" i="3"/>
  <c r="O1122" i="3"/>
  <c r="Q1122" i="3"/>
  <c r="R1122" i="3"/>
  <c r="N1122" i="3"/>
  <c r="I1122" i="3"/>
  <c r="H1122" i="3"/>
  <c r="F1124" i="3" l="1"/>
  <c r="J1123" i="3"/>
  <c r="O1123" i="3"/>
  <c r="N1123" i="3"/>
  <c r="G1123" i="3"/>
  <c r="I1123" i="3"/>
  <c r="K1123" i="3"/>
  <c r="R1123" i="3"/>
  <c r="H1123" i="3"/>
  <c r="P1123" i="3"/>
  <c r="Q1123" i="3"/>
  <c r="L1123" i="3"/>
  <c r="F1125" i="3" l="1"/>
  <c r="I1124" i="3"/>
  <c r="Q1124" i="3"/>
  <c r="G1124" i="3"/>
  <c r="H1124" i="3"/>
  <c r="J1124" i="3"/>
  <c r="L1124" i="3"/>
  <c r="K1124" i="3"/>
  <c r="N1124" i="3"/>
  <c r="O1124" i="3"/>
  <c r="R1124" i="3"/>
  <c r="P1124" i="3"/>
  <c r="F1126" i="3" l="1"/>
  <c r="O1125" i="3"/>
  <c r="J1125" i="3"/>
  <c r="Q1125" i="3"/>
  <c r="R1125" i="3"/>
  <c r="G1125" i="3"/>
  <c r="P1125" i="3"/>
  <c r="L1125" i="3"/>
  <c r="H1125" i="3"/>
  <c r="I1125" i="3"/>
  <c r="K1125" i="3"/>
  <c r="N1125" i="3"/>
  <c r="F1127" i="3" l="1"/>
  <c r="K1126" i="3"/>
  <c r="R1126" i="3"/>
  <c r="G1126" i="3"/>
  <c r="I1126" i="3"/>
  <c r="O1126" i="3"/>
  <c r="P1126" i="3"/>
  <c r="H1126" i="3"/>
  <c r="L1126" i="3"/>
  <c r="N1126" i="3"/>
  <c r="J1126" i="3"/>
  <c r="Q1126" i="3"/>
  <c r="F1128" i="3" l="1"/>
  <c r="H1127" i="3"/>
  <c r="R1127" i="3"/>
  <c r="N1127" i="3"/>
  <c r="O1127" i="3"/>
  <c r="P1127" i="3"/>
  <c r="J1127" i="3"/>
  <c r="K1127" i="3"/>
  <c r="L1127" i="3"/>
  <c r="Q1127" i="3"/>
  <c r="G1127" i="3"/>
  <c r="I1127" i="3"/>
  <c r="F1129" i="3" l="1"/>
  <c r="N1128" i="3"/>
  <c r="O1128" i="3"/>
  <c r="G1128" i="3"/>
  <c r="R1128" i="3"/>
  <c r="K1128" i="3"/>
  <c r="P1128" i="3"/>
  <c r="L1128" i="3"/>
  <c r="I1128" i="3"/>
  <c r="J1128" i="3"/>
  <c r="Q1128" i="3"/>
  <c r="H1128" i="3"/>
  <c r="F1130" i="3" l="1"/>
  <c r="L1129" i="3"/>
  <c r="J1129" i="3"/>
  <c r="K1129" i="3"/>
  <c r="N1129" i="3"/>
  <c r="P1129" i="3"/>
  <c r="G1129" i="3"/>
  <c r="Q1129" i="3"/>
  <c r="H1129" i="3"/>
  <c r="O1129" i="3"/>
  <c r="R1129" i="3"/>
  <c r="I1129" i="3"/>
  <c r="F1131" i="3" l="1"/>
  <c r="G1130" i="3"/>
  <c r="J1130" i="3"/>
  <c r="O1130" i="3"/>
  <c r="L1130" i="3"/>
  <c r="P1130" i="3"/>
  <c r="Q1130" i="3"/>
  <c r="R1130" i="3"/>
  <c r="N1130" i="3"/>
  <c r="H1130" i="3"/>
  <c r="I1130" i="3"/>
  <c r="K1130" i="3"/>
  <c r="F1132" i="3" l="1"/>
  <c r="L1131" i="3"/>
  <c r="G1131" i="3"/>
  <c r="R1131" i="3"/>
  <c r="H1131" i="3"/>
  <c r="I1131" i="3"/>
  <c r="J1131" i="3"/>
  <c r="N1131" i="3"/>
  <c r="K1131" i="3"/>
  <c r="O1131" i="3"/>
  <c r="Q1131" i="3"/>
  <c r="P1131" i="3"/>
  <c r="F1133" i="3" l="1"/>
  <c r="R1132" i="3"/>
  <c r="N1132" i="3"/>
  <c r="Q1132" i="3"/>
  <c r="H1132" i="3"/>
  <c r="J1132" i="3"/>
  <c r="L1132" i="3"/>
  <c r="O1132" i="3"/>
  <c r="G1132" i="3"/>
  <c r="I1132" i="3"/>
  <c r="K1132" i="3"/>
  <c r="P1132" i="3"/>
  <c r="F1134" i="3" l="1"/>
  <c r="N1133" i="3"/>
  <c r="G1133" i="3"/>
  <c r="H1133" i="3"/>
  <c r="J1133" i="3"/>
  <c r="P1133" i="3"/>
  <c r="Q1133" i="3"/>
  <c r="I1133" i="3"/>
  <c r="O1133" i="3"/>
  <c r="L1133" i="3"/>
  <c r="K1133" i="3"/>
  <c r="R1133" i="3"/>
  <c r="F1135" i="3" l="1"/>
  <c r="K1134" i="3"/>
  <c r="H1134" i="3"/>
  <c r="O1134" i="3"/>
  <c r="P1134" i="3"/>
  <c r="Q1134" i="3"/>
  <c r="J1134" i="3"/>
  <c r="I1134" i="3"/>
  <c r="G1134" i="3"/>
  <c r="L1134" i="3"/>
  <c r="N1134" i="3"/>
  <c r="R1134" i="3"/>
  <c r="F1136" i="3" l="1"/>
  <c r="Q1135" i="3"/>
  <c r="O1135" i="3"/>
  <c r="I1135" i="3"/>
  <c r="G1135" i="3"/>
  <c r="L1135" i="3"/>
  <c r="K1135" i="3"/>
  <c r="P1135" i="3"/>
  <c r="R1135" i="3"/>
  <c r="H1135" i="3"/>
  <c r="J1135" i="3"/>
  <c r="N1135" i="3"/>
  <c r="F1137" i="3" l="1"/>
  <c r="Q1136" i="3"/>
  <c r="K1136" i="3"/>
  <c r="L1136" i="3"/>
  <c r="N1136" i="3"/>
  <c r="P1136" i="3"/>
  <c r="G1136" i="3"/>
  <c r="H1136" i="3"/>
  <c r="R1136" i="3"/>
  <c r="O1136" i="3"/>
  <c r="I1136" i="3"/>
  <c r="J1136" i="3"/>
  <c r="F1138" i="3" l="1"/>
  <c r="J1137" i="3"/>
  <c r="I1137" i="3"/>
  <c r="P1137" i="3"/>
  <c r="G1137" i="3"/>
  <c r="R1137" i="3"/>
  <c r="H1137" i="3"/>
  <c r="O1137" i="3"/>
  <c r="L1137" i="3"/>
  <c r="N1137" i="3"/>
  <c r="Q1137" i="3"/>
  <c r="K1137" i="3"/>
  <c r="F1139" i="3" l="1"/>
  <c r="P1138" i="3"/>
  <c r="Q1138" i="3"/>
  <c r="L1138" i="3"/>
  <c r="H1138" i="3"/>
  <c r="I1138" i="3"/>
  <c r="J1138" i="3"/>
  <c r="N1138" i="3"/>
  <c r="K1138" i="3"/>
  <c r="O1138" i="3"/>
  <c r="R1138" i="3"/>
  <c r="G1138" i="3"/>
  <c r="F1140" i="3" l="1"/>
  <c r="Q1139" i="3"/>
  <c r="R1139" i="3"/>
  <c r="I1139" i="3"/>
  <c r="H1139" i="3"/>
  <c r="J1139" i="3"/>
  <c r="O1139" i="3"/>
  <c r="P1139" i="3"/>
  <c r="G1139" i="3"/>
  <c r="K1139" i="3"/>
  <c r="N1139" i="3"/>
  <c r="L1139" i="3"/>
  <c r="F1141" i="3" l="1"/>
  <c r="I1140" i="3"/>
  <c r="K1140" i="3"/>
  <c r="H1140" i="3"/>
  <c r="G1140" i="3"/>
  <c r="L1140" i="3"/>
  <c r="Q1140" i="3"/>
  <c r="R1140" i="3"/>
  <c r="J1140" i="3"/>
  <c r="N1140" i="3"/>
  <c r="O1140" i="3"/>
  <c r="P1140" i="3"/>
  <c r="F1142" i="3" l="1"/>
  <c r="O1141" i="3"/>
  <c r="R1141" i="3"/>
  <c r="Q1141" i="3"/>
  <c r="N1141" i="3"/>
  <c r="P1141" i="3"/>
  <c r="J1141" i="3"/>
  <c r="L1141" i="3"/>
  <c r="I1141" i="3"/>
  <c r="G1141" i="3"/>
  <c r="H1141" i="3"/>
  <c r="K1141" i="3"/>
  <c r="F1143" i="3" l="1"/>
  <c r="G1142" i="3"/>
  <c r="I1142" i="3"/>
  <c r="R1142" i="3"/>
  <c r="N1142" i="3"/>
  <c r="J1142" i="3"/>
  <c r="K1142" i="3"/>
  <c r="Q1142" i="3"/>
  <c r="O1142" i="3"/>
  <c r="H1142" i="3"/>
  <c r="L1142" i="3"/>
  <c r="P1142" i="3"/>
  <c r="F1144" i="3" l="1"/>
  <c r="H1143" i="3"/>
  <c r="L1143" i="3"/>
  <c r="K1143" i="3"/>
  <c r="N1143" i="3"/>
  <c r="O1143" i="3"/>
  <c r="Q1143" i="3"/>
  <c r="G1143" i="3"/>
  <c r="R1143" i="3"/>
  <c r="J1143" i="3"/>
  <c r="P1143" i="3"/>
  <c r="I1143" i="3"/>
  <c r="F1145" i="3" l="1"/>
  <c r="N1144" i="3"/>
  <c r="O1144" i="3"/>
  <c r="L1144" i="3"/>
  <c r="Q1144" i="3"/>
  <c r="R1144" i="3"/>
  <c r="J1144" i="3"/>
  <c r="I1144" i="3"/>
  <c r="G1144" i="3"/>
  <c r="H1144" i="3"/>
  <c r="K1144" i="3"/>
  <c r="P1144" i="3"/>
  <c r="F1146" i="3" l="1"/>
  <c r="G1145" i="3"/>
  <c r="H1145" i="3"/>
  <c r="I1145" i="3"/>
  <c r="L1145" i="3"/>
  <c r="J1145" i="3"/>
  <c r="K1145" i="3"/>
  <c r="Q1145" i="3"/>
  <c r="R1145" i="3"/>
  <c r="O1145" i="3"/>
  <c r="P1145" i="3"/>
  <c r="N1145" i="3"/>
  <c r="F1147" i="3" l="1"/>
  <c r="G1146" i="3"/>
  <c r="N1146" i="3"/>
  <c r="P1146" i="3"/>
  <c r="Q1146" i="3"/>
  <c r="O1146" i="3"/>
  <c r="K1146" i="3"/>
  <c r="I1146" i="3"/>
  <c r="H1146" i="3"/>
  <c r="J1146" i="3"/>
  <c r="L1146" i="3"/>
  <c r="R1146" i="3"/>
  <c r="F1148" i="3" l="1"/>
  <c r="L1147" i="3"/>
  <c r="H1147" i="3"/>
  <c r="J1147" i="3"/>
  <c r="K1147" i="3"/>
  <c r="Q1147" i="3"/>
  <c r="N1147" i="3"/>
  <c r="P1147" i="3"/>
  <c r="R1147" i="3"/>
  <c r="G1147" i="3"/>
  <c r="I1147" i="3"/>
  <c r="O1147" i="3"/>
  <c r="F1149" i="3" l="1"/>
  <c r="R1148" i="3"/>
  <c r="H1148" i="3"/>
  <c r="K1148" i="3"/>
  <c r="L1148" i="3"/>
  <c r="P1148" i="3"/>
  <c r="Q1148" i="3"/>
  <c r="N1148" i="3"/>
  <c r="J1148" i="3"/>
  <c r="O1148" i="3"/>
  <c r="I1148" i="3"/>
  <c r="G1148" i="3"/>
  <c r="F1150" i="3" l="1"/>
  <c r="O1149" i="3"/>
  <c r="J1149" i="3"/>
  <c r="K1149" i="3"/>
  <c r="Q1149" i="3"/>
  <c r="P1149" i="3"/>
  <c r="I1149" i="3"/>
  <c r="L1149" i="3"/>
  <c r="G1149" i="3"/>
  <c r="H1149" i="3"/>
  <c r="N1149" i="3"/>
  <c r="R1149" i="3"/>
  <c r="F1151" i="3" l="1"/>
  <c r="K1150" i="3"/>
  <c r="H1150" i="3"/>
  <c r="L1150" i="3"/>
  <c r="P1150" i="3"/>
  <c r="G1150" i="3"/>
  <c r="J1150" i="3"/>
  <c r="N1150" i="3"/>
  <c r="O1150" i="3"/>
  <c r="I1150" i="3"/>
  <c r="R1150" i="3"/>
  <c r="Q1150" i="3"/>
  <c r="F1152" i="3" l="1"/>
  <c r="Q1151" i="3"/>
  <c r="I1151" i="3"/>
  <c r="P1151" i="3"/>
  <c r="H1151" i="3"/>
  <c r="J1151" i="3"/>
  <c r="O1151" i="3"/>
  <c r="G1151" i="3"/>
  <c r="K1151" i="3"/>
  <c r="L1151" i="3"/>
  <c r="N1151" i="3"/>
  <c r="R1151" i="3"/>
  <c r="F1153" i="3" l="1"/>
  <c r="P1152" i="3"/>
  <c r="H1152" i="3"/>
  <c r="N1152" i="3"/>
  <c r="L1152" i="3"/>
  <c r="Q1152" i="3"/>
  <c r="J1152" i="3"/>
  <c r="R1152" i="3"/>
  <c r="G1152" i="3"/>
  <c r="I1152" i="3"/>
  <c r="K1152" i="3"/>
  <c r="O1152" i="3"/>
  <c r="F1154" i="3" l="1"/>
  <c r="J1153" i="3"/>
  <c r="L1153" i="3"/>
  <c r="P1153" i="3"/>
  <c r="G1153" i="3"/>
  <c r="H1153" i="3"/>
  <c r="O1153" i="3"/>
  <c r="Q1153" i="3"/>
  <c r="I1153" i="3"/>
  <c r="N1153" i="3"/>
  <c r="R1153" i="3"/>
  <c r="K1153" i="3"/>
  <c r="F1155" i="3" l="1"/>
  <c r="P1154" i="3"/>
  <c r="J1154" i="3"/>
  <c r="R1154" i="3"/>
  <c r="L1154" i="3"/>
  <c r="O1154" i="3"/>
  <c r="G1154" i="3"/>
  <c r="H1154" i="3"/>
  <c r="I1154" i="3"/>
  <c r="K1154" i="3"/>
  <c r="N1154" i="3"/>
  <c r="Q1154" i="3"/>
  <c r="F1156" i="3" l="1"/>
  <c r="Q1155" i="3"/>
  <c r="H1155" i="3"/>
  <c r="K1155" i="3"/>
  <c r="G1155" i="3"/>
  <c r="N1155" i="3"/>
  <c r="I1155" i="3"/>
  <c r="L1155" i="3"/>
  <c r="O1155" i="3"/>
  <c r="P1155" i="3"/>
  <c r="J1155" i="3"/>
  <c r="R1155" i="3"/>
  <c r="F1157" i="3" l="1"/>
  <c r="I1156" i="3"/>
  <c r="P1156" i="3"/>
  <c r="Q1156" i="3"/>
  <c r="R1156" i="3"/>
  <c r="K1156" i="3"/>
  <c r="H1156" i="3"/>
  <c r="J1156" i="3"/>
  <c r="L1156" i="3"/>
  <c r="G1156" i="3"/>
  <c r="N1156" i="3"/>
  <c r="O1156" i="3"/>
  <c r="F1158" i="3" l="1"/>
  <c r="O1157" i="3"/>
  <c r="K1157" i="3"/>
  <c r="G1157" i="3"/>
  <c r="L1157" i="3"/>
  <c r="P1157" i="3"/>
  <c r="R1157" i="3"/>
  <c r="J1157" i="3"/>
  <c r="I1157" i="3"/>
  <c r="Q1157" i="3"/>
  <c r="H1157" i="3"/>
  <c r="N1157" i="3"/>
  <c r="F1159" i="3" l="1"/>
  <c r="R1158" i="3"/>
  <c r="K1158" i="3"/>
  <c r="O1158" i="3"/>
  <c r="P1158" i="3"/>
  <c r="Q1158" i="3"/>
  <c r="I1158" i="3"/>
  <c r="N1158" i="3"/>
  <c r="G1158" i="3"/>
  <c r="H1158" i="3"/>
  <c r="J1158" i="3"/>
  <c r="L1158" i="3"/>
  <c r="F1160" i="3" l="1"/>
  <c r="H1159" i="3"/>
  <c r="K1159" i="3"/>
  <c r="R1159" i="3"/>
  <c r="P1159" i="3"/>
  <c r="N1159" i="3"/>
  <c r="O1159" i="3"/>
  <c r="G1159" i="3"/>
  <c r="I1159" i="3"/>
  <c r="J1159" i="3"/>
  <c r="Q1159" i="3"/>
  <c r="L1159" i="3"/>
  <c r="F1161" i="3" l="1"/>
  <c r="N1160" i="3"/>
  <c r="L1160" i="3"/>
  <c r="G1160" i="3"/>
  <c r="J1160" i="3"/>
  <c r="P1160" i="3"/>
  <c r="Q1160" i="3"/>
  <c r="H1160" i="3"/>
  <c r="K1160" i="3"/>
  <c r="R1160" i="3"/>
  <c r="I1160" i="3"/>
  <c r="O1160" i="3"/>
  <c r="F1162" i="3" l="1"/>
  <c r="O1161" i="3"/>
  <c r="R1161" i="3"/>
  <c r="I1161" i="3"/>
  <c r="J1161" i="3"/>
  <c r="Q1161" i="3"/>
  <c r="P1161" i="3"/>
  <c r="G1161" i="3"/>
  <c r="H1161" i="3"/>
  <c r="K1161" i="3"/>
  <c r="L1161" i="3"/>
  <c r="N1161" i="3"/>
  <c r="F1163" i="3" l="1"/>
  <c r="G1162" i="3"/>
  <c r="H1162" i="3"/>
  <c r="N1162" i="3"/>
  <c r="O1162" i="3"/>
  <c r="I1162" i="3"/>
  <c r="P1162" i="3"/>
  <c r="R1162" i="3"/>
  <c r="K1162" i="3"/>
  <c r="J1162" i="3"/>
  <c r="L1162" i="3"/>
  <c r="Q1162" i="3"/>
  <c r="F1164" i="3" l="1"/>
  <c r="L1163" i="3"/>
  <c r="O1163" i="3"/>
  <c r="J1163" i="3"/>
  <c r="P1163" i="3"/>
  <c r="G1163" i="3"/>
  <c r="Q1163" i="3"/>
  <c r="H1163" i="3"/>
  <c r="I1163" i="3"/>
  <c r="K1163" i="3"/>
  <c r="R1163" i="3"/>
  <c r="N1163" i="3"/>
  <c r="F1165" i="3" l="1"/>
  <c r="R1164" i="3"/>
  <c r="K1164" i="3"/>
  <c r="L1164" i="3"/>
  <c r="Q1164" i="3"/>
  <c r="G1164" i="3"/>
  <c r="P1164" i="3"/>
  <c r="H1164" i="3"/>
  <c r="N1164" i="3"/>
  <c r="J1164" i="3"/>
  <c r="I1164" i="3"/>
  <c r="O1164" i="3"/>
  <c r="F1166" i="3" l="1"/>
  <c r="I1165" i="3"/>
  <c r="G1165" i="3"/>
  <c r="K1165" i="3"/>
  <c r="Q1165" i="3"/>
  <c r="J1165" i="3"/>
  <c r="N1165" i="3"/>
  <c r="O1165" i="3"/>
  <c r="H1165" i="3"/>
  <c r="L1165" i="3"/>
  <c r="P1165" i="3"/>
  <c r="R1165" i="3"/>
  <c r="F1167" i="3" l="1"/>
  <c r="K1166" i="3"/>
  <c r="P1166" i="3"/>
  <c r="O1166" i="3"/>
  <c r="I1166" i="3"/>
  <c r="J1166" i="3"/>
  <c r="R1166" i="3"/>
  <c r="H1166" i="3"/>
  <c r="L1166" i="3"/>
  <c r="N1166" i="3"/>
  <c r="Q1166" i="3"/>
  <c r="G1166" i="3"/>
  <c r="F1168" i="3" l="1"/>
  <c r="Q1167" i="3"/>
  <c r="G1167" i="3"/>
  <c r="O1167" i="3"/>
  <c r="N1167" i="3"/>
  <c r="R1167" i="3"/>
  <c r="K1167" i="3"/>
  <c r="J1167" i="3"/>
  <c r="H1167" i="3"/>
  <c r="I1167" i="3"/>
  <c r="L1167" i="3"/>
  <c r="P1167" i="3"/>
  <c r="F1169" i="3" l="1"/>
  <c r="J1168" i="3"/>
  <c r="K1168" i="3"/>
  <c r="H1168" i="3"/>
  <c r="I1168" i="3"/>
  <c r="P1168" i="3"/>
  <c r="Q1168" i="3"/>
  <c r="R1168" i="3"/>
  <c r="G1168" i="3"/>
  <c r="L1168" i="3"/>
  <c r="O1168" i="3"/>
  <c r="N1168" i="3"/>
  <c r="F1170" i="3" l="1"/>
  <c r="J1169" i="3"/>
  <c r="Q1169" i="3"/>
  <c r="R1169" i="3"/>
  <c r="L1169" i="3"/>
  <c r="O1169" i="3"/>
  <c r="K1169" i="3"/>
  <c r="N1169" i="3"/>
  <c r="G1169" i="3"/>
  <c r="H1169" i="3"/>
  <c r="P1169" i="3"/>
  <c r="I1169" i="3"/>
  <c r="F1171" i="3" l="1"/>
  <c r="P1170" i="3"/>
  <c r="G1170" i="3"/>
  <c r="H1170" i="3"/>
  <c r="L1170" i="3"/>
  <c r="I1170" i="3"/>
  <c r="K1170" i="3"/>
  <c r="O1170" i="3"/>
  <c r="R1170" i="3"/>
  <c r="J1170" i="3"/>
  <c r="N1170" i="3"/>
  <c r="Q1170" i="3"/>
  <c r="F1172" i="3" l="1"/>
  <c r="K1171" i="3"/>
  <c r="O1171" i="3"/>
  <c r="P1171" i="3"/>
  <c r="Q1171" i="3"/>
  <c r="I1171" i="3"/>
  <c r="G1171" i="3"/>
  <c r="R1171" i="3"/>
  <c r="H1171" i="3"/>
  <c r="J1171" i="3"/>
  <c r="L1171" i="3"/>
  <c r="N1171" i="3"/>
  <c r="F1173" i="3" l="1"/>
  <c r="I1172" i="3"/>
  <c r="R1172" i="3"/>
  <c r="J1172" i="3"/>
  <c r="L1172" i="3"/>
  <c r="O1172" i="3"/>
  <c r="H1172" i="3"/>
  <c r="P1172" i="3"/>
  <c r="Q1172" i="3"/>
  <c r="G1172" i="3"/>
  <c r="K1172" i="3"/>
  <c r="N1172" i="3"/>
  <c r="F1174" i="3" l="1"/>
  <c r="O1173" i="3"/>
  <c r="J1173" i="3"/>
  <c r="L1173" i="3"/>
  <c r="N1173" i="3"/>
  <c r="G1173" i="3"/>
  <c r="K1173" i="3"/>
  <c r="Q1173" i="3"/>
  <c r="I1173" i="3"/>
  <c r="H1173" i="3"/>
  <c r="P1173" i="3"/>
  <c r="R1173" i="3"/>
  <c r="F1175" i="3" l="1"/>
  <c r="L1174" i="3"/>
  <c r="R1174" i="3"/>
  <c r="G1174" i="3"/>
  <c r="P1174" i="3"/>
  <c r="O1174" i="3"/>
  <c r="K1174" i="3"/>
  <c r="Q1174" i="3"/>
  <c r="H1174" i="3"/>
  <c r="J1174" i="3"/>
  <c r="I1174" i="3"/>
  <c r="N1174" i="3"/>
  <c r="F1176" i="3" l="1"/>
  <c r="H1175" i="3"/>
  <c r="J1175" i="3"/>
  <c r="K1175" i="3"/>
  <c r="P1175" i="3"/>
  <c r="G1175" i="3"/>
  <c r="Q1175" i="3"/>
  <c r="R1175" i="3"/>
  <c r="I1175" i="3"/>
  <c r="L1175" i="3"/>
  <c r="N1175" i="3"/>
  <c r="O1175" i="3"/>
  <c r="F1177" i="3" l="1"/>
  <c r="N1176" i="3"/>
  <c r="G1176" i="3"/>
  <c r="O1176" i="3"/>
  <c r="L1176" i="3"/>
  <c r="Q1176" i="3"/>
  <c r="H1176" i="3"/>
  <c r="P1176" i="3"/>
  <c r="I1176" i="3"/>
  <c r="J1176" i="3"/>
  <c r="K1176" i="3"/>
  <c r="R1176" i="3"/>
  <c r="F1178" i="3" l="1"/>
  <c r="N1177" i="3"/>
  <c r="G1177" i="3"/>
  <c r="H1177" i="3"/>
  <c r="L1177" i="3"/>
  <c r="I1177" i="3"/>
  <c r="K1177" i="3"/>
  <c r="O1177" i="3"/>
  <c r="P1177" i="3"/>
  <c r="Q1177" i="3"/>
  <c r="R1177" i="3"/>
  <c r="J1177" i="3"/>
  <c r="F1179" i="3" l="1"/>
  <c r="G1178" i="3"/>
  <c r="J1178" i="3"/>
  <c r="P1178" i="3"/>
  <c r="Q1178" i="3"/>
  <c r="K1178" i="3"/>
  <c r="H1178" i="3"/>
  <c r="R1178" i="3"/>
  <c r="I1178" i="3"/>
  <c r="L1178" i="3"/>
  <c r="N1178" i="3"/>
  <c r="O1178" i="3"/>
  <c r="F1180" i="3" l="1"/>
  <c r="L1179" i="3"/>
  <c r="H1179" i="3"/>
  <c r="R1179" i="3"/>
  <c r="J1179" i="3"/>
  <c r="N1179" i="3"/>
  <c r="P1179" i="3"/>
  <c r="I1179" i="3"/>
  <c r="G1179" i="3"/>
  <c r="O1179" i="3"/>
  <c r="Q1179" i="3"/>
  <c r="K1179" i="3"/>
  <c r="F1181" i="3" l="1"/>
  <c r="R1180" i="3"/>
  <c r="O1180" i="3"/>
  <c r="L1180" i="3"/>
  <c r="N1180" i="3"/>
  <c r="H1180" i="3"/>
  <c r="K1180" i="3"/>
  <c r="G1180" i="3"/>
  <c r="I1180" i="3"/>
  <c r="J1180" i="3"/>
  <c r="Q1180" i="3"/>
  <c r="P1180" i="3"/>
  <c r="F1182" i="3" l="1"/>
  <c r="N1181" i="3"/>
  <c r="H1181" i="3"/>
  <c r="Q1181" i="3"/>
  <c r="P1181" i="3"/>
  <c r="L1181" i="3"/>
  <c r="J1181" i="3"/>
  <c r="K1181" i="3"/>
  <c r="G1181" i="3"/>
  <c r="O1181" i="3"/>
  <c r="R1181" i="3"/>
  <c r="I1181" i="3"/>
  <c r="F1183" i="3" l="1"/>
  <c r="K1182" i="3"/>
  <c r="I1182" i="3"/>
  <c r="J1182" i="3"/>
  <c r="L1182" i="3"/>
  <c r="Q1182" i="3"/>
  <c r="G1182" i="3"/>
  <c r="R1182" i="3"/>
  <c r="H1182" i="3"/>
  <c r="N1182" i="3"/>
  <c r="O1182" i="3"/>
  <c r="P1182" i="3"/>
  <c r="F1184" i="3" l="1"/>
  <c r="Q1183" i="3"/>
  <c r="P1183" i="3"/>
  <c r="I1183" i="3"/>
  <c r="N1183" i="3"/>
  <c r="R1183" i="3"/>
  <c r="H1183" i="3"/>
  <c r="L1183" i="3"/>
  <c r="O1183" i="3"/>
  <c r="K1183" i="3"/>
  <c r="J1183" i="3"/>
  <c r="G1183" i="3"/>
  <c r="F1185" i="3" l="1"/>
  <c r="Q1184" i="3"/>
  <c r="H1184" i="3"/>
  <c r="I1184" i="3"/>
  <c r="N1184" i="3"/>
  <c r="J1184" i="3"/>
  <c r="L1184" i="3"/>
  <c r="O1184" i="3"/>
  <c r="G1184" i="3"/>
  <c r="K1184" i="3"/>
  <c r="P1184" i="3"/>
  <c r="R1184" i="3"/>
  <c r="F1186" i="3" l="1"/>
  <c r="J1185" i="3"/>
  <c r="K1185" i="3"/>
  <c r="Q1185" i="3"/>
  <c r="R1185" i="3"/>
  <c r="L1185" i="3"/>
  <c r="H1185" i="3"/>
  <c r="I1185" i="3"/>
  <c r="N1185" i="3"/>
  <c r="P1185" i="3"/>
  <c r="O1185" i="3"/>
  <c r="G1185" i="3"/>
  <c r="F1187" i="3" l="1"/>
  <c r="P1186" i="3"/>
  <c r="R1186" i="3"/>
  <c r="L1186" i="3"/>
  <c r="J1186" i="3"/>
  <c r="N1186" i="3"/>
  <c r="Q1186" i="3"/>
  <c r="I1186" i="3"/>
  <c r="H1186" i="3"/>
  <c r="G1186" i="3"/>
  <c r="K1186" i="3"/>
  <c r="O1186" i="3"/>
  <c r="F1188" i="3" l="1"/>
  <c r="N1187" i="3"/>
  <c r="O1187" i="3"/>
  <c r="I1187" i="3"/>
  <c r="L1187" i="3"/>
  <c r="P1187" i="3"/>
  <c r="Q1187" i="3"/>
  <c r="R1187" i="3"/>
  <c r="K1187" i="3"/>
  <c r="G1187" i="3"/>
  <c r="H1187" i="3"/>
  <c r="J1187" i="3"/>
  <c r="F1189" i="3" l="1"/>
  <c r="I1188" i="3"/>
  <c r="L1188" i="3"/>
  <c r="H1188" i="3"/>
  <c r="G1188" i="3"/>
  <c r="R1188" i="3"/>
  <c r="Q1188" i="3"/>
  <c r="O1188" i="3"/>
  <c r="K1188" i="3"/>
  <c r="N1188" i="3"/>
  <c r="J1188" i="3"/>
  <c r="P1188" i="3"/>
  <c r="F1190" i="3" l="1"/>
  <c r="O1189" i="3"/>
  <c r="Q1189" i="3"/>
  <c r="J1189" i="3"/>
  <c r="K1189" i="3"/>
  <c r="R1189" i="3"/>
  <c r="H1189" i="3"/>
  <c r="L1189" i="3"/>
  <c r="G1189" i="3"/>
  <c r="I1189" i="3"/>
  <c r="P1189" i="3"/>
  <c r="N1189" i="3"/>
  <c r="F1191" i="3" l="1"/>
  <c r="G1190" i="3"/>
  <c r="O1190" i="3"/>
  <c r="H1190" i="3"/>
  <c r="Q1190" i="3"/>
  <c r="N1190" i="3"/>
  <c r="I1190" i="3"/>
  <c r="J1190" i="3"/>
  <c r="K1190" i="3"/>
  <c r="L1190" i="3"/>
  <c r="R1190" i="3"/>
  <c r="P1190" i="3"/>
  <c r="F1192" i="3" l="1"/>
  <c r="H1191" i="3"/>
  <c r="N1191" i="3"/>
  <c r="L1191" i="3"/>
  <c r="G1191" i="3"/>
  <c r="I1191" i="3"/>
  <c r="P1191" i="3"/>
  <c r="J1191" i="3"/>
  <c r="O1191" i="3"/>
  <c r="Q1191" i="3"/>
  <c r="R1191" i="3"/>
  <c r="K1191" i="3"/>
  <c r="F1193" i="3" l="1"/>
  <c r="N1192" i="3"/>
  <c r="Q1192" i="3"/>
  <c r="R1192" i="3"/>
  <c r="K1192" i="3"/>
  <c r="I1192" i="3"/>
  <c r="L1192" i="3"/>
  <c r="H1192" i="3"/>
  <c r="J1192" i="3"/>
  <c r="O1192" i="3"/>
  <c r="P1192" i="3"/>
  <c r="G1192" i="3"/>
  <c r="F1194" i="3" l="1"/>
  <c r="H1193" i="3"/>
  <c r="I1193" i="3"/>
  <c r="L1193" i="3"/>
  <c r="O1193" i="3"/>
  <c r="Q1193" i="3"/>
  <c r="K1193" i="3"/>
  <c r="R1193" i="3"/>
  <c r="G1193" i="3"/>
  <c r="J1193" i="3"/>
  <c r="P1193" i="3"/>
  <c r="N1193" i="3"/>
  <c r="F1195" i="3" l="1"/>
  <c r="G1194" i="3"/>
  <c r="O1194" i="3"/>
  <c r="Q1194" i="3"/>
  <c r="N1194" i="3"/>
  <c r="P1194" i="3"/>
  <c r="I1194" i="3"/>
  <c r="L1194" i="3"/>
  <c r="R1194" i="3"/>
  <c r="H1194" i="3"/>
  <c r="J1194" i="3"/>
  <c r="K1194" i="3"/>
  <c r="F1196" i="3" l="1"/>
  <c r="I1195" i="3"/>
  <c r="Q1195" i="3"/>
  <c r="P1195" i="3"/>
  <c r="N1195" i="3"/>
  <c r="G1195" i="3"/>
  <c r="L1195" i="3"/>
  <c r="R1195" i="3"/>
  <c r="H1195" i="3"/>
  <c r="J1195" i="3"/>
  <c r="K1195" i="3"/>
  <c r="O1195" i="3"/>
  <c r="F1197" i="3" l="1"/>
  <c r="H1196" i="3"/>
  <c r="K1196" i="3"/>
  <c r="J1196" i="3"/>
  <c r="L1196" i="3"/>
  <c r="Q1196" i="3"/>
  <c r="G1196" i="3"/>
  <c r="R1196" i="3"/>
  <c r="I1196" i="3"/>
  <c r="N1196" i="3"/>
  <c r="O1196" i="3"/>
  <c r="P1196" i="3"/>
  <c r="F1198" i="3" l="1"/>
  <c r="N1197" i="3"/>
  <c r="R1197" i="3"/>
  <c r="L1197" i="3"/>
  <c r="P1197" i="3"/>
  <c r="K1197" i="3"/>
  <c r="O1197" i="3"/>
  <c r="G1197" i="3"/>
  <c r="H1197" i="3"/>
  <c r="I1197" i="3"/>
  <c r="Q1197" i="3"/>
  <c r="J1197" i="3"/>
  <c r="F1199" i="3" l="1"/>
  <c r="G1198" i="3"/>
  <c r="H1198" i="3"/>
  <c r="L1198" i="3"/>
  <c r="I1198" i="3"/>
  <c r="K1198" i="3"/>
  <c r="R1198" i="3"/>
  <c r="O1198" i="3"/>
  <c r="J1198" i="3"/>
  <c r="N1198" i="3"/>
  <c r="P1198" i="3"/>
  <c r="Q1198" i="3"/>
  <c r="F1200" i="3" l="1"/>
  <c r="G1199" i="3"/>
  <c r="L1199" i="3"/>
  <c r="O1199" i="3"/>
  <c r="P1199" i="3"/>
  <c r="I1199" i="3"/>
  <c r="Q1199" i="3"/>
  <c r="R1199" i="3"/>
  <c r="N1199" i="3"/>
  <c r="K1199" i="3"/>
  <c r="H1199" i="3"/>
  <c r="J1199" i="3"/>
  <c r="F1201" i="3" l="1"/>
  <c r="L1200" i="3"/>
  <c r="H1200" i="3"/>
  <c r="Q1200" i="3"/>
  <c r="J1200" i="3"/>
  <c r="N1200" i="3"/>
  <c r="G1200" i="3"/>
  <c r="O1200" i="3"/>
  <c r="P1200" i="3"/>
  <c r="I1200" i="3"/>
  <c r="K1200" i="3"/>
  <c r="R1200" i="3"/>
  <c r="F1202" i="3" l="1"/>
  <c r="R1201" i="3"/>
  <c r="G1201" i="3"/>
  <c r="J1201" i="3"/>
  <c r="K1201" i="3"/>
  <c r="P1201" i="3"/>
  <c r="I1201" i="3"/>
  <c r="N1201" i="3"/>
  <c r="L1201" i="3"/>
  <c r="H1201" i="3"/>
  <c r="Q1201" i="3"/>
  <c r="O1201" i="3"/>
  <c r="F1203" i="3" l="1"/>
  <c r="N1202" i="3"/>
  <c r="R1202" i="3"/>
  <c r="L1202" i="3"/>
  <c r="K1202" i="3"/>
  <c r="P1202" i="3"/>
  <c r="I1202" i="3"/>
  <c r="Q1202" i="3"/>
  <c r="G1202" i="3"/>
  <c r="H1202" i="3"/>
  <c r="J1202" i="3"/>
  <c r="O1202" i="3"/>
  <c r="F1204" i="3" l="1"/>
  <c r="K1203" i="3"/>
  <c r="G1203" i="3"/>
  <c r="L1203" i="3"/>
  <c r="N1203" i="3"/>
  <c r="O1203" i="3"/>
  <c r="P1203" i="3"/>
  <c r="R1203" i="3"/>
  <c r="Q1203" i="3"/>
  <c r="H1203" i="3"/>
  <c r="I1203" i="3"/>
  <c r="J1203" i="3"/>
  <c r="F1205" i="3" l="1"/>
  <c r="Q1204" i="3"/>
  <c r="L1204" i="3"/>
  <c r="N1204" i="3"/>
  <c r="K1204" i="3"/>
  <c r="P1204" i="3"/>
  <c r="I1204" i="3"/>
  <c r="H1204" i="3"/>
  <c r="G1204" i="3"/>
  <c r="J1204" i="3"/>
  <c r="O1204" i="3"/>
  <c r="R1204" i="3"/>
  <c r="F1206" i="3" l="1"/>
  <c r="J1205" i="3"/>
  <c r="R1205" i="3"/>
  <c r="P1205" i="3"/>
  <c r="Q1205" i="3"/>
  <c r="K1205" i="3"/>
  <c r="G1205" i="3"/>
  <c r="L1205" i="3"/>
  <c r="H1205" i="3"/>
  <c r="I1205" i="3"/>
  <c r="N1205" i="3"/>
  <c r="O1205" i="3"/>
  <c r="F1207" i="3" l="1"/>
  <c r="J1206" i="3"/>
  <c r="G1206" i="3"/>
  <c r="H1206" i="3"/>
  <c r="K1206" i="3"/>
  <c r="N1206" i="3"/>
  <c r="P1206" i="3"/>
  <c r="R1206" i="3"/>
  <c r="L1206" i="3"/>
  <c r="I1206" i="3"/>
  <c r="O1206" i="3"/>
  <c r="Q1206" i="3"/>
  <c r="F1208" i="3" l="1"/>
  <c r="P1207" i="3"/>
  <c r="N1207" i="3"/>
  <c r="O1207" i="3"/>
  <c r="G1207" i="3"/>
  <c r="R1207" i="3"/>
  <c r="L1207" i="3"/>
  <c r="H1207" i="3"/>
  <c r="I1207" i="3"/>
  <c r="J1207" i="3"/>
  <c r="K1207" i="3"/>
  <c r="Q1207" i="3"/>
  <c r="F1209" i="3" l="1"/>
  <c r="H1208" i="3"/>
  <c r="J1208" i="3"/>
  <c r="P1208" i="3"/>
  <c r="K1208" i="3"/>
  <c r="L1208" i="3"/>
  <c r="R1208" i="3"/>
  <c r="G1208" i="3"/>
  <c r="O1208" i="3"/>
  <c r="Q1208" i="3"/>
  <c r="N1208" i="3"/>
  <c r="I1208" i="3"/>
  <c r="F1210" i="3" l="1"/>
  <c r="I1209" i="3"/>
  <c r="H1209" i="3"/>
  <c r="J1209" i="3"/>
  <c r="Q1209" i="3"/>
  <c r="O1209" i="3"/>
  <c r="R1209" i="3"/>
  <c r="G1209" i="3"/>
  <c r="K1209" i="3"/>
  <c r="L1209" i="3"/>
  <c r="N1209" i="3"/>
  <c r="P1209" i="3"/>
  <c r="F1211" i="3" l="1"/>
  <c r="O1210" i="3"/>
  <c r="P1210" i="3"/>
  <c r="G1210" i="3"/>
  <c r="L1210" i="3"/>
  <c r="N1210" i="3"/>
  <c r="Q1210" i="3"/>
  <c r="H1210" i="3"/>
  <c r="I1210" i="3"/>
  <c r="J1210" i="3"/>
  <c r="K1210" i="3"/>
  <c r="R1210" i="3"/>
  <c r="F1212" i="3" l="1"/>
  <c r="L1211" i="3"/>
  <c r="O1211" i="3"/>
  <c r="J1211" i="3"/>
  <c r="I1211" i="3"/>
  <c r="G1211" i="3"/>
  <c r="H1211" i="3"/>
  <c r="P1211" i="3"/>
  <c r="N1211" i="3"/>
  <c r="K1211" i="3"/>
  <c r="Q1211" i="3"/>
  <c r="R1211" i="3"/>
  <c r="F1213" i="3" l="1"/>
  <c r="H1212" i="3"/>
  <c r="I1212" i="3"/>
  <c r="J1212" i="3"/>
  <c r="R1212" i="3"/>
  <c r="P1212" i="3"/>
  <c r="Q1212" i="3"/>
  <c r="K1212" i="3"/>
  <c r="G1212" i="3"/>
  <c r="L1212" i="3"/>
  <c r="O1212" i="3"/>
  <c r="N1212" i="3"/>
  <c r="F1214" i="3" l="1"/>
  <c r="N1213" i="3"/>
  <c r="O1213" i="3"/>
  <c r="H1213" i="3"/>
  <c r="J1213" i="3"/>
  <c r="R1213" i="3"/>
  <c r="L1213" i="3"/>
  <c r="I1213" i="3"/>
  <c r="K1213" i="3"/>
  <c r="P1213" i="3"/>
  <c r="Q1213" i="3"/>
  <c r="G1213" i="3"/>
  <c r="F1215" i="3" l="1"/>
  <c r="P1214" i="3"/>
  <c r="R1214" i="3"/>
  <c r="N1214" i="3"/>
  <c r="K1214" i="3"/>
  <c r="G1214" i="3"/>
  <c r="H1214" i="3"/>
  <c r="L1214" i="3"/>
  <c r="O1214" i="3"/>
  <c r="Q1214" i="3"/>
  <c r="J1214" i="3"/>
  <c r="I1214" i="3"/>
  <c r="F1216" i="3" l="1"/>
  <c r="G1215" i="3"/>
  <c r="H1215" i="3"/>
  <c r="N1215" i="3"/>
  <c r="I1215" i="3"/>
  <c r="J1215" i="3"/>
  <c r="P1215" i="3"/>
  <c r="R1215" i="3"/>
  <c r="K1215" i="3"/>
  <c r="L1215" i="3"/>
  <c r="O1215" i="3"/>
  <c r="Q1215" i="3"/>
  <c r="F1217" i="3" l="1"/>
  <c r="L1216" i="3"/>
  <c r="N1216" i="3"/>
  <c r="K1216" i="3"/>
  <c r="P1216" i="3"/>
  <c r="I1216" i="3"/>
  <c r="Q1216" i="3"/>
  <c r="G1216" i="3"/>
  <c r="H1216" i="3"/>
  <c r="J1216" i="3"/>
  <c r="O1216" i="3"/>
  <c r="R1216" i="3"/>
  <c r="F1218" i="3" l="1"/>
  <c r="R1217" i="3"/>
  <c r="I1217" i="3"/>
  <c r="Q1217" i="3"/>
  <c r="J1217" i="3"/>
  <c r="K1217" i="3"/>
  <c r="P1217" i="3"/>
  <c r="G1217" i="3"/>
  <c r="N1217" i="3"/>
  <c r="H1217" i="3"/>
  <c r="L1217" i="3"/>
  <c r="O1217" i="3"/>
  <c r="F1219" i="3" l="1"/>
  <c r="G1218" i="3"/>
  <c r="I1218" i="3"/>
  <c r="K1218" i="3"/>
  <c r="Q1218" i="3"/>
  <c r="R1218" i="3"/>
  <c r="P1218" i="3"/>
  <c r="H1218" i="3"/>
  <c r="J1218" i="3"/>
  <c r="L1218" i="3"/>
  <c r="N1218" i="3"/>
  <c r="O1218" i="3"/>
  <c r="F1220" i="3" l="1"/>
  <c r="K1219" i="3"/>
  <c r="L1219" i="3"/>
  <c r="Q1219" i="3"/>
  <c r="O1219" i="3"/>
  <c r="J1219" i="3"/>
  <c r="N1219" i="3"/>
  <c r="G1219" i="3"/>
  <c r="H1219" i="3"/>
  <c r="I1219" i="3"/>
  <c r="P1219" i="3"/>
  <c r="R1219" i="3"/>
  <c r="F1221" i="3" l="1"/>
  <c r="Q1220" i="3"/>
  <c r="R1220" i="3"/>
  <c r="G1220" i="3"/>
  <c r="L1220" i="3"/>
  <c r="I1220" i="3"/>
  <c r="H1220" i="3"/>
  <c r="N1220" i="3"/>
  <c r="O1220" i="3"/>
  <c r="P1220" i="3"/>
  <c r="K1220" i="3"/>
  <c r="J1220" i="3"/>
  <c r="F1222" i="3" l="1"/>
  <c r="L1221" i="3"/>
  <c r="O1221" i="3"/>
  <c r="J1221" i="3"/>
  <c r="P1221" i="3"/>
  <c r="Q1221" i="3"/>
  <c r="H1221" i="3"/>
  <c r="R1221" i="3"/>
  <c r="G1221" i="3"/>
  <c r="I1221" i="3"/>
  <c r="K1221" i="3"/>
  <c r="N1221" i="3"/>
  <c r="F1223" i="3" l="1"/>
  <c r="J1222" i="3"/>
  <c r="K1222" i="3"/>
  <c r="H1222" i="3"/>
  <c r="R1222" i="3"/>
  <c r="L1222" i="3"/>
  <c r="G1222" i="3"/>
  <c r="I1222" i="3"/>
  <c r="N1222" i="3"/>
  <c r="O1222" i="3"/>
  <c r="P1222" i="3"/>
  <c r="Q1222" i="3"/>
  <c r="F1224" i="3" l="1"/>
  <c r="P1223" i="3"/>
  <c r="Q1223" i="3"/>
  <c r="H1223" i="3"/>
  <c r="J1223" i="3"/>
  <c r="R1223" i="3"/>
  <c r="K1223" i="3"/>
  <c r="L1223" i="3"/>
  <c r="I1223" i="3"/>
  <c r="G1223" i="3"/>
  <c r="N1223" i="3"/>
  <c r="O1223" i="3"/>
  <c r="F1225" i="3" l="1"/>
  <c r="P1224" i="3"/>
  <c r="R1224" i="3"/>
  <c r="N1224" i="3"/>
  <c r="G1224" i="3"/>
  <c r="H1224" i="3"/>
  <c r="L1224" i="3"/>
  <c r="Q1224" i="3"/>
  <c r="I1224" i="3"/>
  <c r="J1224" i="3"/>
  <c r="K1224" i="3"/>
  <c r="O1224" i="3"/>
  <c r="F1226" i="3" l="1"/>
  <c r="I1225" i="3"/>
  <c r="J1225" i="3"/>
  <c r="N1225" i="3"/>
  <c r="O1225" i="3"/>
  <c r="G1225" i="3"/>
  <c r="H1225" i="3"/>
  <c r="K1225" i="3"/>
  <c r="L1225" i="3"/>
  <c r="Q1225" i="3"/>
  <c r="P1225" i="3"/>
  <c r="R1225" i="3"/>
  <c r="F1227" i="3" l="1"/>
  <c r="O1226" i="3"/>
  <c r="P1226" i="3"/>
  <c r="K1226" i="3"/>
  <c r="N1226" i="3"/>
  <c r="I1226" i="3"/>
  <c r="G1226" i="3"/>
  <c r="H1226" i="3"/>
  <c r="R1226" i="3"/>
  <c r="L1226" i="3"/>
  <c r="Q1226" i="3"/>
  <c r="J1226" i="3"/>
  <c r="F1228" i="3" l="1"/>
  <c r="I1227" i="3"/>
  <c r="Q1227" i="3"/>
  <c r="O1227" i="3"/>
  <c r="P1227" i="3"/>
  <c r="R1227" i="3"/>
  <c r="N1227" i="3"/>
  <c r="H1227" i="3"/>
  <c r="G1227" i="3"/>
  <c r="J1227" i="3"/>
  <c r="K1227" i="3"/>
  <c r="L1227" i="3"/>
  <c r="F1229" i="3" l="1"/>
  <c r="H1228" i="3"/>
  <c r="I1228" i="3"/>
  <c r="G1228" i="3"/>
  <c r="K1228" i="3"/>
  <c r="Q1228" i="3"/>
  <c r="L1228" i="3"/>
  <c r="N1228" i="3"/>
  <c r="J1228" i="3"/>
  <c r="O1228" i="3"/>
  <c r="P1228" i="3"/>
  <c r="R1228" i="3"/>
  <c r="F1230" i="3" l="1"/>
  <c r="N1229" i="3"/>
  <c r="O1229" i="3"/>
  <c r="Q1229" i="3"/>
  <c r="L1229" i="3"/>
  <c r="G1229" i="3"/>
  <c r="J1229" i="3"/>
  <c r="I1229" i="3"/>
  <c r="H1229" i="3"/>
  <c r="K1229" i="3"/>
  <c r="P1229" i="3"/>
  <c r="R1229" i="3"/>
  <c r="F1231" i="3" l="1"/>
  <c r="G1230" i="3"/>
  <c r="L1230" i="3"/>
  <c r="N1230" i="3"/>
  <c r="O1230" i="3"/>
  <c r="H1230" i="3"/>
  <c r="Q1230" i="3"/>
  <c r="R1230" i="3"/>
  <c r="P1230" i="3"/>
  <c r="K1230" i="3"/>
  <c r="I1230" i="3"/>
  <c r="J1230" i="3"/>
  <c r="F1232" i="3" l="1"/>
  <c r="G1231" i="3"/>
  <c r="H1231" i="3"/>
  <c r="L1231" i="3"/>
  <c r="O1231" i="3"/>
  <c r="J1231" i="3"/>
  <c r="I1231" i="3"/>
  <c r="K1231" i="3"/>
  <c r="N1231" i="3"/>
  <c r="P1231" i="3"/>
  <c r="Q1231" i="3"/>
  <c r="R1231" i="3"/>
  <c r="F1233" i="3" l="1"/>
  <c r="L1232" i="3"/>
  <c r="N1232" i="3"/>
  <c r="H1232" i="3"/>
  <c r="R1232" i="3"/>
  <c r="P1232" i="3"/>
  <c r="Q1232" i="3"/>
  <c r="I1232" i="3"/>
  <c r="J1232" i="3"/>
  <c r="K1232" i="3"/>
  <c r="O1232" i="3"/>
  <c r="G1232" i="3"/>
  <c r="F1234" i="3" l="1"/>
  <c r="R1233" i="3"/>
  <c r="H1233" i="3"/>
  <c r="J1233" i="3"/>
  <c r="P1233" i="3"/>
  <c r="L1233" i="3"/>
  <c r="Q1233" i="3"/>
  <c r="O1233" i="3"/>
  <c r="G1233" i="3"/>
  <c r="I1233" i="3"/>
  <c r="K1233" i="3"/>
  <c r="N1233" i="3"/>
  <c r="F1235" i="3" l="1"/>
  <c r="G1234" i="3"/>
  <c r="P1234" i="3"/>
  <c r="R1234" i="3"/>
  <c r="N1234" i="3"/>
  <c r="K1234" i="3"/>
  <c r="H1234" i="3"/>
  <c r="I1234" i="3"/>
  <c r="J1234" i="3"/>
  <c r="L1234" i="3"/>
  <c r="O1234" i="3"/>
  <c r="Q1234" i="3"/>
  <c r="F1236" i="3" l="1"/>
  <c r="K1235" i="3"/>
  <c r="L1235" i="3"/>
  <c r="N1235" i="3"/>
  <c r="G1235" i="3"/>
  <c r="H1235" i="3"/>
  <c r="P1235" i="3"/>
  <c r="J1235" i="3"/>
  <c r="I1235" i="3"/>
  <c r="O1235" i="3"/>
  <c r="Q1235" i="3"/>
  <c r="R1235" i="3"/>
  <c r="F1237" i="3" l="1"/>
  <c r="Q1236" i="3"/>
  <c r="R1236" i="3"/>
  <c r="K1236" i="3"/>
  <c r="N1236" i="3"/>
  <c r="I1236" i="3"/>
  <c r="O1236" i="3"/>
  <c r="P1236" i="3"/>
  <c r="L1236" i="3"/>
  <c r="G1236" i="3"/>
  <c r="H1236" i="3"/>
  <c r="J1236" i="3"/>
  <c r="F1238" i="3" l="1"/>
  <c r="I1237" i="3"/>
  <c r="Q1237" i="3"/>
  <c r="J1237" i="3"/>
  <c r="K1237" i="3"/>
  <c r="P1237" i="3"/>
  <c r="G1237" i="3"/>
  <c r="H1237" i="3"/>
  <c r="L1237" i="3"/>
  <c r="N1237" i="3"/>
  <c r="O1237" i="3"/>
  <c r="R1237" i="3"/>
  <c r="F1239" i="3" l="1"/>
  <c r="J1238" i="3"/>
  <c r="K1238" i="3"/>
  <c r="G1238" i="3"/>
  <c r="I1238" i="3"/>
  <c r="Q1238" i="3"/>
  <c r="R1238" i="3"/>
  <c r="L1238" i="3"/>
  <c r="N1238" i="3"/>
  <c r="O1238" i="3"/>
  <c r="P1238" i="3"/>
  <c r="H1238" i="3"/>
  <c r="F1240" i="3" l="1"/>
  <c r="P1239" i="3"/>
  <c r="Q1239" i="3"/>
  <c r="O1239" i="3"/>
  <c r="L1239" i="3"/>
  <c r="J1239" i="3"/>
  <c r="K1239" i="3"/>
  <c r="R1239" i="3"/>
  <c r="N1239" i="3"/>
  <c r="G1239" i="3"/>
  <c r="H1239" i="3"/>
  <c r="I1239" i="3"/>
  <c r="F1241" i="3" l="1"/>
  <c r="G1240" i="3"/>
  <c r="L1240" i="3"/>
  <c r="I1240" i="3"/>
  <c r="R1240" i="3"/>
  <c r="H1240" i="3"/>
  <c r="J1240" i="3"/>
  <c r="K1240" i="3"/>
  <c r="N1240" i="3"/>
  <c r="O1240" i="3"/>
  <c r="Q1240" i="3"/>
  <c r="P1240" i="3"/>
  <c r="F1242" i="3" l="1"/>
  <c r="I1241" i="3"/>
  <c r="J1241" i="3"/>
  <c r="L1241" i="3"/>
  <c r="O1241" i="3"/>
  <c r="H1241" i="3"/>
  <c r="P1241" i="3"/>
  <c r="Q1241" i="3"/>
  <c r="G1241" i="3"/>
  <c r="K1241" i="3"/>
  <c r="N1241" i="3"/>
  <c r="R1241" i="3"/>
  <c r="F1243" i="3" l="1"/>
  <c r="O1242" i="3"/>
  <c r="P1242" i="3"/>
  <c r="H1242" i="3"/>
  <c r="R1242" i="3"/>
  <c r="J1242" i="3"/>
  <c r="N1242" i="3"/>
  <c r="Q1242" i="3"/>
  <c r="L1242" i="3"/>
  <c r="G1242" i="3"/>
  <c r="I1242" i="3"/>
  <c r="K1242" i="3"/>
  <c r="F1244" i="3" l="1"/>
  <c r="H1243" i="3"/>
  <c r="J1243" i="3"/>
  <c r="P1243" i="3"/>
  <c r="Q1243" i="3"/>
  <c r="R1243" i="3"/>
  <c r="K1243" i="3"/>
  <c r="G1243" i="3"/>
  <c r="I1243" i="3"/>
  <c r="L1243" i="3"/>
  <c r="N1243" i="3"/>
  <c r="O1243" i="3"/>
  <c r="F1245" i="3" l="1"/>
  <c r="H1244" i="3"/>
  <c r="I1244" i="3"/>
  <c r="P1244" i="3"/>
  <c r="R1244" i="3"/>
  <c r="N1244" i="3"/>
  <c r="L1244" i="3"/>
  <c r="J1244" i="3"/>
  <c r="K1244" i="3"/>
  <c r="Q1244" i="3"/>
  <c r="O1244" i="3"/>
  <c r="G1244" i="3"/>
  <c r="F1246" i="3" l="1"/>
  <c r="N1245" i="3"/>
  <c r="O1245" i="3"/>
  <c r="K1245" i="3"/>
  <c r="L1245" i="3"/>
  <c r="P1245" i="3"/>
  <c r="Q1245" i="3"/>
  <c r="R1245" i="3"/>
  <c r="J1245" i="3"/>
  <c r="G1245" i="3"/>
  <c r="H1245" i="3"/>
  <c r="I1245" i="3"/>
  <c r="F1247" i="3" l="1"/>
  <c r="K1246" i="3"/>
  <c r="N1246" i="3"/>
  <c r="I1246" i="3"/>
  <c r="G1246" i="3"/>
  <c r="H1246" i="3"/>
  <c r="P1246" i="3"/>
  <c r="J1246" i="3"/>
  <c r="L1246" i="3"/>
  <c r="O1246" i="3"/>
  <c r="Q1246" i="3"/>
  <c r="R1246" i="3"/>
  <c r="F1248" i="3" l="1"/>
  <c r="G1247" i="3"/>
  <c r="H1247" i="3"/>
  <c r="I1247" i="3"/>
  <c r="Q1247" i="3"/>
  <c r="O1247" i="3"/>
  <c r="J1247" i="3"/>
  <c r="K1247" i="3"/>
  <c r="L1247" i="3"/>
  <c r="R1247" i="3"/>
  <c r="N1247" i="3"/>
  <c r="P1247" i="3"/>
  <c r="F1249" i="3" l="1"/>
  <c r="L1248" i="3"/>
  <c r="N1248" i="3"/>
  <c r="G1248" i="3"/>
  <c r="I1248" i="3"/>
  <c r="Q1248" i="3"/>
  <c r="J1248" i="3"/>
  <c r="K1248" i="3"/>
  <c r="P1248" i="3"/>
  <c r="R1248" i="3"/>
  <c r="O1248" i="3"/>
  <c r="H1248" i="3"/>
  <c r="F1250" i="3" l="1"/>
  <c r="O1249" i="3"/>
  <c r="Q1249" i="3"/>
  <c r="L1249" i="3"/>
  <c r="G1249" i="3"/>
  <c r="R1249" i="3"/>
  <c r="H1249" i="3"/>
  <c r="I1249" i="3"/>
  <c r="J1249" i="3"/>
  <c r="K1249" i="3"/>
  <c r="P1249" i="3"/>
  <c r="N1249" i="3"/>
  <c r="F1251" i="3" l="1"/>
  <c r="J1250" i="3"/>
  <c r="R1250" i="3"/>
  <c r="K1250" i="3"/>
  <c r="L1250" i="3"/>
  <c r="Q1250" i="3"/>
  <c r="G1250" i="3"/>
  <c r="H1250" i="3"/>
  <c r="I1250" i="3"/>
  <c r="N1250" i="3"/>
  <c r="O1250" i="3"/>
  <c r="P1250" i="3"/>
  <c r="F1252" i="3" l="1"/>
  <c r="H1251" i="3"/>
  <c r="J1251" i="3"/>
  <c r="P1251" i="3"/>
  <c r="Q1251" i="3"/>
  <c r="K1251" i="3"/>
  <c r="L1251" i="3"/>
  <c r="N1251" i="3"/>
  <c r="O1251" i="3"/>
  <c r="R1251" i="3"/>
  <c r="I1251" i="3"/>
  <c r="G1251" i="3"/>
  <c r="F1253" i="3" l="1"/>
  <c r="N1252" i="3"/>
  <c r="P1252" i="3"/>
  <c r="K1252" i="3"/>
  <c r="I1252" i="3"/>
  <c r="J1252" i="3"/>
  <c r="R1252" i="3"/>
  <c r="G1252" i="3"/>
  <c r="O1252" i="3"/>
  <c r="H1252" i="3"/>
  <c r="L1252" i="3"/>
  <c r="Q1252" i="3"/>
  <c r="F1254" i="3" l="1"/>
  <c r="I1253" i="3"/>
  <c r="Q1253" i="3"/>
  <c r="O1253" i="3"/>
  <c r="P1253" i="3"/>
  <c r="R1253" i="3"/>
  <c r="N1253" i="3"/>
  <c r="G1253" i="3"/>
  <c r="K1253" i="3"/>
  <c r="L1253" i="3"/>
  <c r="H1253" i="3"/>
  <c r="J1253" i="3"/>
  <c r="F1255" i="3" l="1"/>
  <c r="G1254" i="3"/>
  <c r="I1254" i="3"/>
  <c r="O1254" i="3"/>
  <c r="J1254" i="3"/>
  <c r="K1254" i="3"/>
  <c r="Q1254" i="3"/>
  <c r="H1254" i="3"/>
  <c r="L1254" i="3"/>
  <c r="N1254" i="3"/>
  <c r="P1254" i="3"/>
  <c r="R1254" i="3"/>
  <c r="F1256" i="3" l="1"/>
  <c r="L1255" i="3"/>
  <c r="O1255" i="3"/>
  <c r="J1255" i="3"/>
  <c r="P1255" i="3"/>
  <c r="H1255" i="3"/>
  <c r="I1255" i="3"/>
  <c r="N1255" i="3"/>
  <c r="K1255" i="3"/>
  <c r="Q1255" i="3"/>
  <c r="R1255" i="3"/>
  <c r="G1255" i="3"/>
  <c r="F1257" i="3" l="1"/>
  <c r="R1256" i="3"/>
  <c r="H1256" i="3"/>
  <c r="P1256" i="3"/>
  <c r="I1256" i="3"/>
  <c r="J1256" i="3"/>
  <c r="O1256" i="3"/>
  <c r="L1256" i="3"/>
  <c r="N1256" i="3"/>
  <c r="Q1256" i="3"/>
  <c r="K1256" i="3"/>
  <c r="G1256" i="3"/>
  <c r="F1258" i="3" l="1"/>
  <c r="H1257" i="3"/>
  <c r="N1257" i="3"/>
  <c r="O1257" i="3"/>
  <c r="G1257" i="3"/>
  <c r="I1257" i="3"/>
  <c r="J1257" i="3"/>
  <c r="P1257" i="3"/>
  <c r="L1257" i="3"/>
  <c r="K1257" i="3"/>
  <c r="Q1257" i="3"/>
  <c r="R1257" i="3"/>
  <c r="F1259" i="3" l="1"/>
  <c r="K1258" i="3"/>
  <c r="N1258" i="3"/>
  <c r="I1258" i="3"/>
  <c r="G1258" i="3"/>
  <c r="H1258" i="3"/>
  <c r="P1258" i="3"/>
  <c r="R1258" i="3"/>
  <c r="Q1258" i="3"/>
  <c r="L1258" i="3"/>
  <c r="J1258" i="3"/>
  <c r="O1258" i="3"/>
  <c r="F1260" i="3" l="1"/>
  <c r="Q1259" i="3"/>
  <c r="G1259" i="3"/>
  <c r="O1259" i="3"/>
  <c r="L1259" i="3"/>
  <c r="H1259" i="3"/>
  <c r="I1259" i="3"/>
  <c r="J1259" i="3"/>
  <c r="K1259" i="3"/>
  <c r="N1259" i="3"/>
  <c r="P1259" i="3"/>
  <c r="R1259" i="3"/>
  <c r="F1261" i="3" l="1"/>
  <c r="G1260" i="3"/>
  <c r="L1260" i="3"/>
  <c r="H1260" i="3"/>
  <c r="I1260" i="3"/>
  <c r="O1260" i="3"/>
  <c r="K1260" i="3"/>
  <c r="N1260" i="3"/>
  <c r="P1260" i="3"/>
  <c r="Q1260" i="3"/>
  <c r="R1260" i="3"/>
  <c r="J1260" i="3"/>
  <c r="F1262" i="3" l="1"/>
  <c r="J1261" i="3"/>
  <c r="L1261" i="3"/>
  <c r="R1261" i="3"/>
  <c r="H1261" i="3"/>
  <c r="N1261" i="3"/>
  <c r="O1261" i="3"/>
  <c r="P1261" i="3"/>
  <c r="Q1261" i="3"/>
  <c r="K1261" i="3"/>
  <c r="G1261" i="3"/>
  <c r="I1261" i="3"/>
  <c r="F1263" i="3" l="1"/>
  <c r="P1262" i="3"/>
  <c r="R1262" i="3"/>
  <c r="N1262" i="3"/>
  <c r="G1262" i="3"/>
  <c r="H1262" i="3"/>
  <c r="L1262" i="3"/>
  <c r="I1262" i="3"/>
  <c r="J1262" i="3"/>
  <c r="K1262" i="3"/>
  <c r="O1262" i="3"/>
  <c r="Q1262" i="3"/>
  <c r="F1264" i="3" l="1"/>
  <c r="K1263" i="3"/>
  <c r="Q1263" i="3"/>
  <c r="R1263" i="3"/>
  <c r="L1263" i="3"/>
  <c r="G1263" i="3"/>
  <c r="H1263" i="3"/>
  <c r="I1263" i="3"/>
  <c r="O1263" i="3"/>
  <c r="P1263" i="3"/>
  <c r="J1263" i="3"/>
  <c r="N1263" i="3"/>
  <c r="F1265" i="3" l="1"/>
  <c r="I1264" i="3"/>
  <c r="K1264" i="3"/>
  <c r="Q1264" i="3"/>
  <c r="G1264" i="3"/>
  <c r="N1264" i="3"/>
  <c r="J1264" i="3"/>
  <c r="L1264" i="3"/>
  <c r="O1264" i="3"/>
  <c r="P1264" i="3"/>
  <c r="R1264" i="3"/>
  <c r="H1264" i="3"/>
  <c r="F1266" i="3" l="1"/>
  <c r="O1265" i="3"/>
  <c r="Q1265" i="3"/>
  <c r="L1265" i="3"/>
  <c r="R1265" i="3"/>
  <c r="J1265" i="3"/>
  <c r="G1265" i="3"/>
  <c r="K1265" i="3"/>
  <c r="N1265" i="3"/>
  <c r="P1265" i="3"/>
  <c r="I1265" i="3"/>
  <c r="H1265" i="3"/>
  <c r="F1267" i="3" l="1"/>
  <c r="J1266" i="3"/>
  <c r="R1266" i="3"/>
  <c r="G1266" i="3"/>
  <c r="L1266" i="3"/>
  <c r="P1266" i="3"/>
  <c r="Q1266" i="3"/>
  <c r="O1266" i="3"/>
  <c r="H1266" i="3"/>
  <c r="I1266" i="3"/>
  <c r="K1266" i="3"/>
  <c r="N1266" i="3"/>
  <c r="F1268" i="3" l="1"/>
  <c r="H1267" i="3"/>
  <c r="J1267" i="3"/>
  <c r="P1267" i="3"/>
  <c r="Q1267" i="3"/>
  <c r="R1267" i="3"/>
  <c r="K1267" i="3"/>
  <c r="G1267" i="3"/>
  <c r="I1267" i="3"/>
  <c r="N1267" i="3"/>
  <c r="L1267" i="3"/>
  <c r="O1267" i="3"/>
  <c r="F1269" i="3" l="1"/>
  <c r="N1268" i="3"/>
  <c r="P1268" i="3"/>
  <c r="K1268" i="3"/>
  <c r="J1268" i="3"/>
  <c r="H1268" i="3"/>
  <c r="G1268" i="3"/>
  <c r="I1268" i="3"/>
  <c r="L1268" i="3"/>
  <c r="Q1268" i="3"/>
  <c r="O1268" i="3"/>
  <c r="R1268" i="3"/>
  <c r="F1270" i="3" l="1"/>
  <c r="I1269" i="3"/>
  <c r="Q1269" i="3"/>
  <c r="O1269" i="3"/>
  <c r="P1269" i="3"/>
  <c r="J1269" i="3"/>
  <c r="K1269" i="3"/>
  <c r="L1269" i="3"/>
  <c r="N1269" i="3"/>
  <c r="R1269" i="3"/>
  <c r="H1269" i="3"/>
  <c r="G1269" i="3"/>
  <c r="F1271" i="3" l="1"/>
  <c r="G1270" i="3"/>
  <c r="I1270" i="3"/>
  <c r="O1270" i="3"/>
  <c r="K1270" i="3"/>
  <c r="H1270" i="3"/>
  <c r="J1270" i="3"/>
  <c r="P1270" i="3"/>
  <c r="Q1270" i="3"/>
  <c r="R1270" i="3"/>
  <c r="N1270" i="3"/>
  <c r="L1270" i="3"/>
  <c r="F1272" i="3" l="1"/>
  <c r="L1271" i="3"/>
  <c r="O1271" i="3"/>
  <c r="J1271" i="3"/>
  <c r="P1271" i="3"/>
  <c r="Q1271" i="3"/>
  <c r="H1271" i="3"/>
  <c r="R1271" i="3"/>
  <c r="G1271" i="3"/>
  <c r="I1271" i="3"/>
  <c r="K1271" i="3"/>
  <c r="N1271" i="3"/>
  <c r="F1273" i="3" l="1"/>
  <c r="R1272" i="3"/>
  <c r="H1272" i="3"/>
  <c r="P1272" i="3"/>
  <c r="J1272" i="3"/>
  <c r="G1272" i="3"/>
  <c r="I1272" i="3"/>
  <c r="K1272" i="3"/>
  <c r="L1272" i="3"/>
  <c r="N1272" i="3"/>
  <c r="O1272" i="3"/>
  <c r="Q1272" i="3"/>
  <c r="F1274" i="3" l="1"/>
  <c r="H1273" i="3"/>
  <c r="N1273" i="3"/>
  <c r="O1273" i="3"/>
  <c r="P1273" i="3"/>
  <c r="I1273" i="3"/>
  <c r="J1273" i="3"/>
  <c r="G1273" i="3"/>
  <c r="K1273" i="3"/>
  <c r="L1273" i="3"/>
  <c r="Q1273" i="3"/>
  <c r="R1273" i="3"/>
  <c r="F1275" i="3" l="1"/>
  <c r="K1274" i="3"/>
  <c r="N1274" i="3"/>
  <c r="I1274" i="3"/>
  <c r="H1274" i="3"/>
  <c r="O1274" i="3"/>
  <c r="P1274" i="3"/>
  <c r="Q1274" i="3"/>
  <c r="R1274" i="3"/>
  <c r="L1274" i="3"/>
  <c r="J1274" i="3"/>
  <c r="G1274" i="3"/>
  <c r="F1276" i="3" l="1"/>
  <c r="Q1275" i="3"/>
  <c r="G1275" i="3"/>
  <c r="O1275" i="3"/>
  <c r="L1275" i="3"/>
  <c r="N1275" i="3"/>
  <c r="H1275" i="3"/>
  <c r="I1275" i="3"/>
  <c r="J1275" i="3"/>
  <c r="R1275" i="3"/>
  <c r="P1275" i="3"/>
  <c r="K1275" i="3"/>
  <c r="F1277" i="3" l="1"/>
  <c r="G1276" i="3"/>
  <c r="L1276" i="3"/>
  <c r="I1276" i="3"/>
  <c r="R1276" i="3"/>
  <c r="Q1276" i="3"/>
  <c r="H1276" i="3"/>
  <c r="K1276" i="3"/>
  <c r="J1276" i="3"/>
  <c r="N1276" i="3"/>
  <c r="O1276" i="3"/>
  <c r="P1276" i="3"/>
  <c r="F1278" i="3" l="1"/>
  <c r="J1277" i="3"/>
  <c r="L1277" i="3"/>
  <c r="R1277" i="3"/>
  <c r="H1277" i="3"/>
  <c r="N1277" i="3"/>
  <c r="O1277" i="3"/>
  <c r="G1277" i="3"/>
  <c r="I1277" i="3"/>
  <c r="K1277" i="3"/>
  <c r="P1277" i="3"/>
  <c r="Q1277" i="3"/>
  <c r="F1279" i="3" l="1"/>
  <c r="P1278" i="3"/>
  <c r="R1278" i="3"/>
  <c r="N1278" i="3"/>
  <c r="H1278" i="3"/>
  <c r="G1278" i="3"/>
  <c r="K1278" i="3"/>
  <c r="J1278" i="3"/>
  <c r="L1278" i="3"/>
  <c r="O1278" i="3"/>
  <c r="I1278" i="3"/>
  <c r="Q1278" i="3"/>
  <c r="F1280" i="3" l="1"/>
  <c r="K1279" i="3"/>
  <c r="L1279" i="3"/>
  <c r="N1279" i="3"/>
  <c r="R1279" i="3"/>
  <c r="G1279" i="3"/>
  <c r="P1279" i="3"/>
  <c r="Q1279" i="3"/>
  <c r="O1279" i="3"/>
  <c r="J1279" i="3"/>
  <c r="H1279" i="3"/>
  <c r="I1279" i="3"/>
  <c r="F1281" i="3" l="1"/>
  <c r="I1280" i="3"/>
  <c r="K1280" i="3"/>
  <c r="Q1280" i="3"/>
  <c r="G1280" i="3"/>
  <c r="R1280" i="3"/>
  <c r="H1280" i="3"/>
  <c r="J1280" i="3"/>
  <c r="L1280" i="3"/>
  <c r="N1280" i="3"/>
  <c r="P1280" i="3"/>
  <c r="O1280" i="3"/>
  <c r="F1282" i="3" l="1"/>
  <c r="O1281" i="3"/>
  <c r="Q1281" i="3"/>
  <c r="L1281" i="3"/>
  <c r="J1281" i="3"/>
  <c r="K1281" i="3"/>
  <c r="G1281" i="3"/>
  <c r="H1281" i="3"/>
  <c r="I1281" i="3"/>
  <c r="N1281" i="3"/>
  <c r="P1281" i="3"/>
  <c r="R1281" i="3"/>
  <c r="F1283" i="3" l="1"/>
  <c r="J1282" i="3"/>
  <c r="R1282" i="3"/>
  <c r="G1282" i="3"/>
  <c r="P1282" i="3"/>
  <c r="K1282" i="3"/>
  <c r="L1282" i="3"/>
  <c r="N1282" i="3"/>
  <c r="O1282" i="3"/>
  <c r="Q1282" i="3"/>
  <c r="I1282" i="3"/>
  <c r="H1282" i="3"/>
  <c r="F1284" i="3" l="1"/>
  <c r="H1283" i="3"/>
  <c r="J1283" i="3"/>
  <c r="P1283" i="3"/>
  <c r="K1283" i="3"/>
  <c r="L1283" i="3"/>
  <c r="R1283" i="3"/>
  <c r="G1283" i="3"/>
  <c r="O1283" i="3"/>
  <c r="N1283" i="3"/>
  <c r="I1283" i="3"/>
  <c r="Q1283" i="3"/>
  <c r="F1285" i="3" l="1"/>
  <c r="N1284" i="3"/>
  <c r="P1284" i="3"/>
  <c r="K1284" i="3"/>
  <c r="Q1284" i="3"/>
  <c r="R1284" i="3"/>
  <c r="O1284" i="3"/>
  <c r="G1284" i="3"/>
  <c r="H1284" i="3"/>
  <c r="I1284" i="3"/>
  <c r="L1284" i="3"/>
  <c r="J1284" i="3"/>
  <c r="F1286" i="3" l="1"/>
  <c r="I1285" i="3"/>
  <c r="J1285" i="3"/>
  <c r="K1285" i="3"/>
  <c r="P1285" i="3"/>
  <c r="G1285" i="3"/>
  <c r="H1285" i="3"/>
  <c r="L1285" i="3"/>
  <c r="O1285" i="3"/>
  <c r="N1285" i="3"/>
  <c r="R1285" i="3"/>
  <c r="Q1285" i="3"/>
  <c r="F1287" i="3" l="1"/>
  <c r="G1286" i="3"/>
  <c r="I1286" i="3"/>
  <c r="O1286" i="3"/>
  <c r="N1286" i="3"/>
  <c r="H1286" i="3"/>
  <c r="J1286" i="3"/>
  <c r="K1286" i="3"/>
  <c r="L1286" i="3"/>
  <c r="P1286" i="3"/>
  <c r="Q1286" i="3"/>
  <c r="R1286" i="3"/>
  <c r="F1288" i="3" l="1"/>
  <c r="L1287" i="3"/>
  <c r="O1287" i="3"/>
  <c r="G1287" i="3"/>
  <c r="H1287" i="3"/>
  <c r="N1287" i="3"/>
  <c r="J1287" i="3"/>
  <c r="K1287" i="3"/>
  <c r="P1287" i="3"/>
  <c r="Q1287" i="3"/>
  <c r="R1287" i="3"/>
  <c r="I1287" i="3"/>
  <c r="F1289" i="3" l="1"/>
  <c r="R1288" i="3"/>
  <c r="H1288" i="3"/>
  <c r="P1288" i="3"/>
  <c r="Q1288" i="3"/>
  <c r="K1288" i="3"/>
  <c r="G1288" i="3"/>
  <c r="L1288" i="3"/>
  <c r="I1288" i="3"/>
  <c r="J1288" i="3"/>
  <c r="N1288" i="3"/>
  <c r="O1288" i="3"/>
  <c r="F1290" i="3" l="1"/>
  <c r="H1289" i="3"/>
  <c r="N1289" i="3"/>
  <c r="K1289" i="3"/>
  <c r="P1289" i="3"/>
  <c r="Q1289" i="3"/>
  <c r="R1289" i="3"/>
  <c r="O1289" i="3"/>
  <c r="G1289" i="3"/>
  <c r="I1289" i="3"/>
  <c r="J1289" i="3"/>
  <c r="L1289" i="3"/>
  <c r="F1291" i="3" l="1"/>
  <c r="K1290" i="3"/>
  <c r="N1290" i="3"/>
  <c r="O1290" i="3"/>
  <c r="P1290" i="3"/>
  <c r="H1290" i="3"/>
  <c r="G1290" i="3"/>
  <c r="J1290" i="3"/>
  <c r="I1290" i="3"/>
  <c r="R1290" i="3"/>
  <c r="Q1290" i="3"/>
  <c r="L1290" i="3"/>
  <c r="F1292" i="3" l="1"/>
  <c r="Q1291" i="3"/>
  <c r="G1291" i="3"/>
  <c r="I1291" i="3"/>
  <c r="R1291" i="3"/>
  <c r="P1291" i="3"/>
  <c r="H1291" i="3"/>
  <c r="K1291" i="3"/>
  <c r="J1291" i="3"/>
  <c r="L1291" i="3"/>
  <c r="N1291" i="3"/>
  <c r="O1291" i="3"/>
  <c r="F1293" i="3" l="1"/>
  <c r="G1292" i="3"/>
  <c r="L1292" i="3"/>
  <c r="K1292" i="3"/>
  <c r="N1292" i="3"/>
  <c r="R1292" i="3"/>
  <c r="H1292" i="3"/>
  <c r="I1292" i="3"/>
  <c r="J1292" i="3"/>
  <c r="O1292" i="3"/>
  <c r="P1292" i="3"/>
  <c r="Q1292" i="3"/>
  <c r="F1294" i="3" l="1"/>
  <c r="J1293" i="3"/>
  <c r="L1293" i="3"/>
  <c r="R1293" i="3"/>
  <c r="P1293" i="3"/>
  <c r="I1293" i="3"/>
  <c r="G1293" i="3"/>
  <c r="H1293" i="3"/>
  <c r="K1293" i="3"/>
  <c r="N1293" i="3"/>
  <c r="O1293" i="3"/>
  <c r="Q1293" i="3"/>
  <c r="F1295" i="3" l="1"/>
  <c r="P1294" i="3"/>
  <c r="R1294" i="3"/>
  <c r="I1294" i="3"/>
  <c r="J1294" i="3"/>
  <c r="O1294" i="3"/>
  <c r="L1294" i="3"/>
  <c r="N1294" i="3"/>
  <c r="Q1294" i="3"/>
  <c r="K1294" i="3"/>
  <c r="G1294" i="3"/>
  <c r="H1294" i="3"/>
  <c r="F1296" i="3" l="1"/>
  <c r="K1295" i="3"/>
  <c r="R1295" i="3"/>
  <c r="N1295" i="3"/>
  <c r="G1295" i="3"/>
  <c r="I1295" i="3"/>
  <c r="H1295" i="3"/>
  <c r="O1295" i="3"/>
  <c r="P1295" i="3"/>
  <c r="Q1295" i="3"/>
  <c r="L1295" i="3"/>
  <c r="J1295" i="3"/>
  <c r="F1297" i="3" l="1"/>
  <c r="I1296" i="3"/>
  <c r="K1296" i="3"/>
  <c r="Q1296" i="3"/>
  <c r="G1296" i="3"/>
  <c r="N1296" i="3"/>
  <c r="R1296" i="3"/>
  <c r="P1296" i="3"/>
  <c r="H1296" i="3"/>
  <c r="J1296" i="3"/>
  <c r="L1296" i="3"/>
  <c r="O1296" i="3"/>
  <c r="F1298" i="3" l="1"/>
  <c r="O1297" i="3"/>
  <c r="Q1297" i="3"/>
  <c r="P1297" i="3"/>
  <c r="R1297" i="3"/>
  <c r="J1297" i="3"/>
  <c r="G1297" i="3"/>
  <c r="H1297" i="3"/>
  <c r="I1297" i="3"/>
  <c r="K1297" i="3"/>
  <c r="L1297" i="3"/>
  <c r="N1297" i="3"/>
  <c r="F1299" i="3" l="1"/>
  <c r="J1298" i="3"/>
  <c r="R1298" i="3"/>
  <c r="H1298" i="3"/>
  <c r="Q1298" i="3"/>
  <c r="G1298" i="3"/>
  <c r="I1298" i="3"/>
  <c r="K1298" i="3"/>
  <c r="L1298" i="3"/>
  <c r="O1298" i="3"/>
  <c r="P1298" i="3"/>
  <c r="N1298" i="3"/>
  <c r="F1300" i="3" l="1"/>
  <c r="H1299" i="3"/>
  <c r="J1299" i="3"/>
  <c r="L1299" i="3"/>
  <c r="N1299" i="3"/>
  <c r="R1299" i="3"/>
  <c r="G1299" i="3"/>
  <c r="I1299" i="3"/>
  <c r="K1299" i="3"/>
  <c r="O1299" i="3"/>
  <c r="Q1299" i="3"/>
  <c r="P1299" i="3"/>
  <c r="F1301" i="3" l="1"/>
  <c r="N1300" i="3"/>
  <c r="P1300" i="3"/>
  <c r="O1300" i="3"/>
  <c r="I1300" i="3"/>
  <c r="J1300" i="3"/>
  <c r="L1300" i="3"/>
  <c r="K1300" i="3"/>
  <c r="Q1300" i="3"/>
  <c r="R1300" i="3"/>
  <c r="H1300" i="3"/>
  <c r="G1300" i="3"/>
  <c r="F1302" i="3" l="1"/>
  <c r="H1301" i="3"/>
  <c r="I1301" i="3"/>
  <c r="N1301" i="3"/>
  <c r="K1301" i="3"/>
  <c r="L1301" i="3"/>
  <c r="O1301" i="3"/>
  <c r="P1301" i="3"/>
  <c r="Q1301" i="3"/>
  <c r="R1301" i="3"/>
  <c r="J1301" i="3"/>
  <c r="G1301" i="3"/>
  <c r="F1303" i="3" l="1"/>
  <c r="G1302" i="3"/>
  <c r="I1302" i="3"/>
  <c r="P1302" i="3"/>
  <c r="Q1302" i="3"/>
  <c r="K1302" i="3"/>
  <c r="L1302" i="3"/>
  <c r="H1302" i="3"/>
  <c r="N1302" i="3"/>
  <c r="O1302" i="3"/>
  <c r="J1302" i="3"/>
  <c r="R1302" i="3"/>
  <c r="F1304" i="3" l="1"/>
  <c r="L1303" i="3"/>
  <c r="O1303" i="3"/>
  <c r="I1303" i="3"/>
  <c r="N1303" i="3"/>
  <c r="P1303" i="3"/>
  <c r="Q1303" i="3"/>
  <c r="R1303" i="3"/>
  <c r="K1303" i="3"/>
  <c r="G1303" i="3"/>
  <c r="H1303" i="3"/>
  <c r="J1303" i="3"/>
  <c r="F1305" i="3" l="1"/>
  <c r="R1304" i="3"/>
  <c r="K1304" i="3"/>
  <c r="L1304" i="3"/>
  <c r="Q1304" i="3"/>
  <c r="G1304" i="3"/>
  <c r="I1304" i="3"/>
  <c r="H1304" i="3"/>
  <c r="O1304" i="3"/>
  <c r="P1304" i="3"/>
  <c r="N1304" i="3"/>
  <c r="J1304" i="3"/>
  <c r="F1306" i="3" l="1"/>
  <c r="H1305" i="3"/>
  <c r="O1305" i="3"/>
  <c r="P1305" i="3"/>
  <c r="Q1305" i="3"/>
  <c r="R1305" i="3"/>
  <c r="N1305" i="3"/>
  <c r="G1305" i="3"/>
  <c r="I1305" i="3"/>
  <c r="J1305" i="3"/>
  <c r="K1305" i="3"/>
  <c r="L1305" i="3"/>
  <c r="F1307" i="3" l="1"/>
  <c r="K1306" i="3"/>
  <c r="N1306" i="3"/>
  <c r="G1306" i="3"/>
  <c r="H1306" i="3"/>
  <c r="O1306" i="3"/>
  <c r="I1306" i="3"/>
  <c r="J1306" i="3"/>
  <c r="L1306" i="3"/>
  <c r="R1306" i="3"/>
  <c r="P1306" i="3"/>
  <c r="Q1306" i="3"/>
  <c r="F1308" i="3" l="1"/>
  <c r="Q1307" i="3"/>
  <c r="O1307" i="3"/>
  <c r="P1307" i="3"/>
  <c r="J1307" i="3"/>
  <c r="R1307" i="3"/>
  <c r="G1307" i="3"/>
  <c r="H1307" i="3"/>
  <c r="L1307" i="3"/>
  <c r="K1307" i="3"/>
  <c r="I1307" i="3"/>
  <c r="N1307" i="3"/>
  <c r="F1309" i="3" l="1"/>
  <c r="G1308" i="3"/>
  <c r="J1308" i="3"/>
  <c r="R1308" i="3"/>
  <c r="H1308" i="3"/>
  <c r="I1308" i="3"/>
  <c r="K1308" i="3"/>
  <c r="L1308" i="3"/>
  <c r="N1308" i="3"/>
  <c r="O1308" i="3"/>
  <c r="Q1308" i="3"/>
  <c r="P1308" i="3"/>
  <c r="F1310" i="3" l="1"/>
  <c r="J1309" i="3"/>
  <c r="L1309" i="3"/>
  <c r="K1309" i="3"/>
  <c r="N1309" i="3"/>
  <c r="R1309" i="3"/>
  <c r="G1309" i="3"/>
  <c r="H1309" i="3"/>
  <c r="O1309" i="3"/>
  <c r="I1309" i="3"/>
  <c r="P1309" i="3"/>
  <c r="Q1309" i="3"/>
  <c r="F1311" i="3" l="1"/>
  <c r="P1310" i="3"/>
  <c r="R1310" i="3"/>
  <c r="N1310" i="3"/>
  <c r="I1310" i="3"/>
  <c r="J1310" i="3"/>
  <c r="K1310" i="3"/>
  <c r="L1310" i="3"/>
  <c r="O1310" i="3"/>
  <c r="Q1310" i="3"/>
  <c r="H1310" i="3"/>
  <c r="G1310" i="3"/>
  <c r="F1312" i="3" l="1"/>
  <c r="H1311" i="3"/>
  <c r="I1311" i="3"/>
  <c r="N1311" i="3"/>
  <c r="K1311" i="3"/>
  <c r="J1311" i="3"/>
  <c r="G1311" i="3"/>
  <c r="L1311" i="3"/>
  <c r="O1311" i="3"/>
  <c r="P1311" i="3"/>
  <c r="R1311" i="3"/>
  <c r="Q1311" i="3"/>
  <c r="F1313" i="3" l="1"/>
  <c r="I1312" i="3"/>
  <c r="K1312" i="3"/>
  <c r="P1312" i="3"/>
  <c r="Q1312" i="3"/>
  <c r="J1312" i="3"/>
  <c r="L1312" i="3"/>
  <c r="N1312" i="3"/>
  <c r="O1312" i="3"/>
  <c r="R1312" i="3"/>
  <c r="H1312" i="3"/>
  <c r="G1312" i="3"/>
  <c r="F1314" i="3" l="1"/>
  <c r="O1313" i="3"/>
  <c r="Q1313" i="3"/>
  <c r="I1313" i="3"/>
  <c r="G1313" i="3"/>
  <c r="H1313" i="3"/>
  <c r="L1313" i="3"/>
  <c r="N1313" i="3"/>
  <c r="P1313" i="3"/>
  <c r="R1313" i="3"/>
  <c r="K1313" i="3"/>
  <c r="J1313" i="3"/>
  <c r="F1315" i="3" l="1"/>
  <c r="K1314" i="3"/>
  <c r="L1314" i="3"/>
  <c r="Q1314" i="3"/>
  <c r="G1314" i="3"/>
  <c r="O1314" i="3"/>
  <c r="P1314" i="3"/>
  <c r="R1314" i="3"/>
  <c r="N1314" i="3"/>
  <c r="H1314" i="3"/>
  <c r="I1314" i="3"/>
  <c r="J1314" i="3"/>
  <c r="F1316" i="3" l="1"/>
  <c r="H1315" i="3"/>
  <c r="J1315" i="3"/>
  <c r="O1315" i="3"/>
  <c r="G1315" i="3"/>
  <c r="K1315" i="3"/>
  <c r="I1315" i="3"/>
  <c r="P1315" i="3"/>
  <c r="L1315" i="3"/>
  <c r="N1315" i="3"/>
  <c r="Q1315" i="3"/>
  <c r="R1315" i="3"/>
  <c r="F1317" i="3" l="1"/>
  <c r="N1316" i="3"/>
  <c r="P1316" i="3"/>
  <c r="G1316" i="3"/>
  <c r="H1316" i="3"/>
  <c r="L1316" i="3"/>
  <c r="R1316" i="3"/>
  <c r="Q1316" i="3"/>
  <c r="J1316" i="3"/>
  <c r="K1316" i="3"/>
  <c r="O1316" i="3"/>
  <c r="I1316" i="3"/>
  <c r="F1318" i="3" l="1"/>
  <c r="O1317" i="3"/>
  <c r="P1317" i="3"/>
  <c r="J1317" i="3"/>
  <c r="G1317" i="3"/>
  <c r="H1317" i="3"/>
  <c r="I1317" i="3"/>
  <c r="K1317" i="3"/>
  <c r="L1317" i="3"/>
  <c r="R1317" i="3"/>
  <c r="Q1317" i="3"/>
  <c r="N1317" i="3"/>
  <c r="F1319" i="3" l="1"/>
  <c r="G1318" i="3"/>
  <c r="I1318" i="3"/>
  <c r="J1318" i="3"/>
  <c r="R1318" i="3"/>
  <c r="Q1318" i="3"/>
  <c r="H1318" i="3"/>
  <c r="L1318" i="3"/>
  <c r="K1318" i="3"/>
  <c r="N1318" i="3"/>
  <c r="O1318" i="3"/>
  <c r="P1318" i="3"/>
  <c r="F1320" i="3" l="1"/>
  <c r="L1319" i="3"/>
  <c r="O1319" i="3"/>
  <c r="J1319" i="3"/>
  <c r="K1319" i="3"/>
  <c r="R1319" i="3"/>
  <c r="G1319" i="3"/>
  <c r="H1319" i="3"/>
  <c r="I1319" i="3"/>
  <c r="N1319" i="3"/>
  <c r="P1319" i="3"/>
  <c r="Q1319" i="3"/>
  <c r="F1321" i="3" l="1"/>
  <c r="R1320" i="3"/>
  <c r="N1320" i="3"/>
  <c r="I1320" i="3"/>
  <c r="H1320" i="3"/>
  <c r="G1320" i="3"/>
  <c r="J1320" i="3"/>
  <c r="K1320" i="3"/>
  <c r="O1320" i="3"/>
  <c r="P1320" i="3"/>
  <c r="L1320" i="3"/>
  <c r="Q1320" i="3"/>
  <c r="F1322" i="3" l="1"/>
  <c r="H1321" i="3"/>
  <c r="G1321" i="3"/>
  <c r="I1321" i="3"/>
  <c r="N1321" i="3"/>
  <c r="K1321" i="3"/>
  <c r="L1321" i="3"/>
  <c r="O1321" i="3"/>
  <c r="P1321" i="3"/>
  <c r="Q1321" i="3"/>
  <c r="R1321" i="3"/>
  <c r="J1321" i="3"/>
  <c r="F1323" i="3" l="1"/>
  <c r="K1322" i="3"/>
  <c r="N1322" i="3"/>
  <c r="P1322" i="3"/>
  <c r="Q1322" i="3"/>
  <c r="I1322" i="3"/>
  <c r="J1322" i="3"/>
  <c r="L1322" i="3"/>
  <c r="O1322" i="3"/>
  <c r="R1322" i="3"/>
  <c r="H1322" i="3"/>
  <c r="G1322" i="3"/>
  <c r="F1324" i="3" l="1"/>
  <c r="Q1323" i="3"/>
  <c r="I1323" i="3"/>
  <c r="R1323" i="3"/>
  <c r="L1323" i="3"/>
  <c r="N1323" i="3"/>
  <c r="O1323" i="3"/>
  <c r="P1323" i="3"/>
  <c r="K1323" i="3"/>
  <c r="G1323" i="3"/>
  <c r="H1323" i="3"/>
  <c r="J1323" i="3"/>
  <c r="F1325" i="3" l="1"/>
  <c r="G1324" i="3"/>
  <c r="K1324" i="3"/>
  <c r="L1324" i="3"/>
  <c r="Q1324" i="3"/>
  <c r="I1324" i="3"/>
  <c r="H1324" i="3"/>
  <c r="O1324" i="3"/>
  <c r="J1324" i="3"/>
  <c r="P1324" i="3"/>
  <c r="R1324" i="3"/>
  <c r="N1324" i="3"/>
  <c r="F1326" i="3" l="1"/>
  <c r="J1325" i="3"/>
  <c r="L1325" i="3"/>
  <c r="O1325" i="3"/>
  <c r="P1325" i="3"/>
  <c r="Q1325" i="3"/>
  <c r="R1325" i="3"/>
  <c r="N1325" i="3"/>
  <c r="I1325" i="3"/>
  <c r="K1325" i="3"/>
  <c r="G1325" i="3"/>
  <c r="H1325" i="3"/>
  <c r="F1327" i="3" l="1"/>
  <c r="P1326" i="3"/>
  <c r="R1326" i="3"/>
  <c r="G1326" i="3"/>
  <c r="H1326" i="3"/>
  <c r="L1326" i="3"/>
  <c r="I1326" i="3"/>
  <c r="J1326" i="3"/>
  <c r="K1326" i="3"/>
  <c r="Q1326" i="3"/>
  <c r="O1326" i="3"/>
  <c r="N1326" i="3"/>
  <c r="F1328" i="3" l="1"/>
  <c r="O1327" i="3"/>
  <c r="P1327" i="3"/>
  <c r="J1327" i="3"/>
  <c r="R1327" i="3"/>
  <c r="Q1327" i="3"/>
  <c r="G1327" i="3"/>
  <c r="H1327" i="3"/>
  <c r="I1327" i="3"/>
  <c r="K1327" i="3"/>
  <c r="L1327" i="3"/>
  <c r="N1327" i="3"/>
  <c r="F1329" i="3" l="1"/>
  <c r="I1328" i="3"/>
  <c r="K1328" i="3"/>
  <c r="H1328" i="3"/>
  <c r="R1328" i="3"/>
  <c r="G1328" i="3"/>
  <c r="J1328" i="3"/>
  <c r="L1328" i="3"/>
  <c r="O1328" i="3"/>
  <c r="N1328" i="3"/>
  <c r="P1328" i="3"/>
  <c r="Q1328" i="3"/>
  <c r="F1330" i="3" l="1"/>
  <c r="O1329" i="3"/>
  <c r="Q1329" i="3"/>
  <c r="J1329" i="3"/>
  <c r="K1329" i="3"/>
  <c r="R1329" i="3"/>
  <c r="G1329" i="3"/>
  <c r="H1329" i="3"/>
  <c r="I1329" i="3"/>
  <c r="N1329" i="3"/>
  <c r="P1329" i="3"/>
  <c r="L1329" i="3"/>
  <c r="F1331" i="3" l="1"/>
  <c r="R1330" i="3"/>
  <c r="N1330" i="3"/>
  <c r="I1330" i="3"/>
  <c r="J1330" i="3"/>
  <c r="K1330" i="3"/>
  <c r="L1330" i="3"/>
  <c r="O1330" i="3"/>
  <c r="P1330" i="3"/>
  <c r="H1330" i="3"/>
  <c r="G1330" i="3"/>
  <c r="Q1330" i="3"/>
  <c r="F1332" i="3" l="1"/>
  <c r="H1331" i="3"/>
  <c r="J1331" i="3"/>
  <c r="G1331" i="3"/>
  <c r="N1331" i="3"/>
  <c r="K1331" i="3"/>
  <c r="L1331" i="3"/>
  <c r="P1331" i="3"/>
  <c r="O1331" i="3"/>
  <c r="Q1331" i="3"/>
  <c r="R1331" i="3"/>
  <c r="I1331" i="3"/>
  <c r="F1333" i="3" l="1"/>
  <c r="N1332" i="3"/>
  <c r="P1332" i="3"/>
  <c r="O1332" i="3"/>
  <c r="Q1332" i="3"/>
  <c r="I1332" i="3"/>
  <c r="J1332" i="3"/>
  <c r="K1332" i="3"/>
  <c r="L1332" i="3"/>
  <c r="R1332" i="3"/>
  <c r="H1332" i="3"/>
  <c r="G1332" i="3"/>
  <c r="F1334" i="3" l="1"/>
  <c r="I1333" i="3"/>
  <c r="Q1333" i="3"/>
  <c r="H1333" i="3"/>
  <c r="G1333" i="3"/>
  <c r="L1333" i="3"/>
  <c r="K1333" i="3"/>
  <c r="J1333" i="3"/>
  <c r="N1333" i="3"/>
  <c r="O1333" i="3"/>
  <c r="R1333" i="3"/>
  <c r="P1333" i="3"/>
  <c r="F1335" i="3" l="1"/>
  <c r="G1334" i="3"/>
  <c r="I1334" i="3"/>
  <c r="K1334" i="3"/>
  <c r="L1334" i="3"/>
  <c r="Q1334" i="3"/>
  <c r="O1334" i="3"/>
  <c r="P1334" i="3"/>
  <c r="R1334" i="3"/>
  <c r="N1334" i="3"/>
  <c r="H1334" i="3"/>
  <c r="J1334" i="3"/>
  <c r="F1336" i="3" l="1"/>
  <c r="L1335" i="3"/>
  <c r="O1335" i="3"/>
  <c r="N1335" i="3"/>
  <c r="G1335" i="3"/>
  <c r="I1335" i="3"/>
  <c r="H1335" i="3"/>
  <c r="P1335" i="3"/>
  <c r="Q1335" i="3"/>
  <c r="R1335" i="3"/>
  <c r="K1335" i="3"/>
  <c r="J1335" i="3"/>
  <c r="F1337" i="3" l="1"/>
  <c r="R1336" i="3"/>
  <c r="G1336" i="3"/>
  <c r="H1336" i="3"/>
  <c r="L1336" i="3"/>
  <c r="P1336" i="3"/>
  <c r="Q1336" i="3"/>
  <c r="O1336" i="3"/>
  <c r="I1336" i="3"/>
  <c r="J1336" i="3"/>
  <c r="K1336" i="3"/>
  <c r="N1336" i="3"/>
  <c r="F1338" i="3" l="1"/>
  <c r="H1337" i="3"/>
  <c r="O1337" i="3"/>
  <c r="P1337" i="3"/>
  <c r="J1337" i="3"/>
  <c r="G1337" i="3"/>
  <c r="I1337" i="3"/>
  <c r="K1337" i="3"/>
  <c r="L1337" i="3"/>
  <c r="R1337" i="3"/>
  <c r="Q1337" i="3"/>
  <c r="N1337" i="3"/>
  <c r="F1339" i="3" l="1"/>
  <c r="K1338" i="3"/>
  <c r="N1338" i="3"/>
  <c r="H1338" i="3"/>
  <c r="R1338" i="3"/>
  <c r="Q1338" i="3"/>
  <c r="G1338" i="3"/>
  <c r="I1338" i="3"/>
  <c r="L1338" i="3"/>
  <c r="O1338" i="3"/>
  <c r="P1338" i="3"/>
  <c r="J1338" i="3"/>
  <c r="F1340" i="3" l="1"/>
  <c r="Q1339" i="3"/>
  <c r="J1339" i="3"/>
  <c r="K1339" i="3"/>
  <c r="P1339" i="3"/>
  <c r="G1339" i="3"/>
  <c r="H1339" i="3"/>
  <c r="I1339" i="3"/>
  <c r="L1339" i="3"/>
  <c r="N1339" i="3"/>
  <c r="O1339" i="3"/>
  <c r="R1339" i="3"/>
  <c r="F1341" i="3" l="1"/>
  <c r="G1340" i="3"/>
  <c r="R1340" i="3"/>
  <c r="N1340" i="3"/>
  <c r="I1340" i="3"/>
  <c r="J1340" i="3"/>
  <c r="L1340" i="3"/>
  <c r="K1340" i="3"/>
  <c r="O1340" i="3"/>
  <c r="P1340" i="3"/>
  <c r="Q1340" i="3"/>
  <c r="H1340" i="3"/>
  <c r="F1342" i="3" l="1"/>
  <c r="J1341" i="3"/>
  <c r="L1341" i="3"/>
  <c r="G1341" i="3"/>
  <c r="N1341" i="3"/>
  <c r="I1341" i="3"/>
  <c r="K1341" i="3"/>
  <c r="O1341" i="3"/>
  <c r="P1341" i="3"/>
  <c r="R1341" i="3"/>
  <c r="Q1341" i="3"/>
  <c r="H1341" i="3"/>
  <c r="F1343" i="3" l="1"/>
  <c r="P1342" i="3"/>
  <c r="R1342" i="3"/>
  <c r="N1342" i="3"/>
  <c r="O1342" i="3"/>
  <c r="I1342" i="3"/>
  <c r="J1342" i="3"/>
  <c r="G1342" i="3"/>
  <c r="K1342" i="3"/>
  <c r="L1342" i="3"/>
  <c r="H1342" i="3"/>
  <c r="Q1342" i="3"/>
  <c r="F1344" i="3" l="1"/>
  <c r="I1343" i="3"/>
  <c r="Q1343" i="3"/>
  <c r="L1343" i="3"/>
  <c r="N1343" i="3"/>
  <c r="O1343" i="3"/>
  <c r="P1343" i="3"/>
  <c r="R1343" i="3"/>
  <c r="K1343" i="3"/>
  <c r="G1343" i="3"/>
  <c r="H1343" i="3"/>
  <c r="J1343" i="3"/>
  <c r="F1345" i="3" l="1"/>
  <c r="I1344" i="3"/>
  <c r="K1344" i="3"/>
  <c r="J1344" i="3"/>
  <c r="L1344" i="3"/>
  <c r="Q1344" i="3"/>
  <c r="G1344" i="3"/>
  <c r="O1344" i="3"/>
  <c r="P1344" i="3"/>
  <c r="R1344" i="3"/>
  <c r="N1344" i="3"/>
  <c r="H1344" i="3"/>
  <c r="F1346" i="3" l="1"/>
  <c r="O1345" i="3"/>
  <c r="Q1345" i="3"/>
  <c r="L1345" i="3"/>
  <c r="N1345" i="3"/>
  <c r="P1345" i="3"/>
  <c r="R1345" i="3"/>
  <c r="K1345" i="3"/>
  <c r="H1345" i="3"/>
  <c r="I1345" i="3"/>
  <c r="J1345" i="3"/>
  <c r="G1345" i="3"/>
  <c r="F1347" i="3" l="1"/>
  <c r="G1346" i="3"/>
  <c r="H1346" i="3"/>
  <c r="L1346" i="3"/>
  <c r="I1346" i="3"/>
  <c r="J1346" i="3"/>
  <c r="K1346" i="3"/>
  <c r="P1346" i="3"/>
  <c r="Q1346" i="3"/>
  <c r="R1346" i="3"/>
  <c r="N1346" i="3"/>
  <c r="O1346" i="3"/>
  <c r="F1348" i="3" l="1"/>
  <c r="H1347" i="3"/>
  <c r="J1347" i="3"/>
  <c r="O1347" i="3"/>
  <c r="P1347" i="3"/>
  <c r="Q1347" i="3"/>
  <c r="R1347" i="3"/>
  <c r="N1347" i="3"/>
  <c r="I1347" i="3"/>
  <c r="K1347" i="3"/>
  <c r="G1347" i="3"/>
  <c r="L1347" i="3"/>
  <c r="F1349" i="3" l="1"/>
  <c r="N1348" i="3"/>
  <c r="P1348" i="3"/>
  <c r="H1348" i="3"/>
  <c r="G1348" i="3"/>
  <c r="I1348" i="3"/>
  <c r="K1348" i="3"/>
  <c r="J1348" i="3"/>
  <c r="Q1348" i="3"/>
  <c r="R1348" i="3"/>
  <c r="O1348" i="3"/>
  <c r="L1348" i="3"/>
  <c r="F1350" i="3" l="1"/>
  <c r="J1349" i="3"/>
  <c r="K1349" i="3"/>
  <c r="P1349" i="3"/>
  <c r="Q1349" i="3"/>
  <c r="R1349" i="3"/>
  <c r="O1349" i="3"/>
  <c r="G1349" i="3"/>
  <c r="H1349" i="3"/>
  <c r="I1349" i="3"/>
  <c r="L1349" i="3"/>
  <c r="N1349" i="3"/>
  <c r="F1351" i="3" l="1"/>
  <c r="G1350" i="3"/>
  <c r="I1350" i="3"/>
  <c r="R1350" i="3"/>
  <c r="H1350" i="3"/>
  <c r="J1350" i="3"/>
  <c r="K1350" i="3"/>
  <c r="L1350" i="3"/>
  <c r="P1350" i="3"/>
  <c r="N1350" i="3"/>
  <c r="Q1350" i="3"/>
  <c r="O1350" i="3"/>
  <c r="F1352" i="3" l="1"/>
  <c r="L1351" i="3"/>
  <c r="O1351" i="3"/>
  <c r="G1351" i="3"/>
  <c r="K1351" i="3"/>
  <c r="R1351" i="3"/>
  <c r="Q1351" i="3"/>
  <c r="H1351" i="3"/>
  <c r="I1351" i="3"/>
  <c r="P1351" i="3"/>
  <c r="J1351" i="3"/>
  <c r="N1351" i="3"/>
  <c r="F1353" i="3" l="1"/>
  <c r="R1352" i="3"/>
  <c r="N1352" i="3"/>
  <c r="O1352" i="3"/>
  <c r="G1352" i="3"/>
  <c r="H1352" i="3"/>
  <c r="I1352" i="3"/>
  <c r="J1352" i="3"/>
  <c r="K1352" i="3"/>
  <c r="Q1352" i="3"/>
  <c r="P1352" i="3"/>
  <c r="L1352" i="3"/>
  <c r="F1354" i="3" l="1"/>
  <c r="H1353" i="3"/>
  <c r="I1353" i="3"/>
  <c r="Q1353" i="3"/>
  <c r="R1353" i="3"/>
  <c r="P1353" i="3"/>
  <c r="G1353" i="3"/>
  <c r="K1353" i="3"/>
  <c r="J1353" i="3"/>
  <c r="L1353" i="3"/>
  <c r="N1353" i="3"/>
  <c r="O1353" i="3"/>
  <c r="F1355" i="3" l="1"/>
  <c r="K1354" i="3"/>
  <c r="N1354" i="3"/>
  <c r="I1354" i="3"/>
  <c r="J1354" i="3"/>
  <c r="G1354" i="3"/>
  <c r="H1354" i="3"/>
  <c r="O1354" i="3"/>
  <c r="L1354" i="3"/>
  <c r="R1354" i="3"/>
  <c r="P1354" i="3"/>
  <c r="Q1354" i="3"/>
  <c r="F1356" i="3" l="1"/>
  <c r="Q1355" i="3"/>
  <c r="R1355" i="3"/>
  <c r="O1355" i="3"/>
  <c r="P1355" i="3"/>
  <c r="N1355" i="3"/>
  <c r="G1355" i="3"/>
  <c r="H1355" i="3"/>
  <c r="L1355" i="3"/>
  <c r="I1355" i="3"/>
  <c r="J1355" i="3"/>
  <c r="K1355" i="3"/>
  <c r="F1357" i="3" l="1"/>
  <c r="G1356" i="3"/>
  <c r="H1356" i="3"/>
  <c r="I1356" i="3"/>
  <c r="J1356" i="3"/>
  <c r="K1356" i="3"/>
  <c r="L1356" i="3"/>
  <c r="P1356" i="3"/>
  <c r="Q1356" i="3"/>
  <c r="R1356" i="3"/>
  <c r="O1356" i="3"/>
  <c r="N1356" i="3"/>
  <c r="F1358" i="3" l="1"/>
  <c r="J1357" i="3"/>
  <c r="L1357" i="3"/>
  <c r="O1357" i="3"/>
  <c r="P1357" i="3"/>
  <c r="Q1357" i="3"/>
  <c r="R1357" i="3"/>
  <c r="N1357" i="3"/>
  <c r="G1357" i="3"/>
  <c r="H1357" i="3"/>
  <c r="I1357" i="3"/>
  <c r="K1357" i="3"/>
  <c r="F1359" i="3" l="1"/>
  <c r="R1358" i="3"/>
  <c r="G1358" i="3"/>
  <c r="H1358" i="3"/>
  <c r="I1358" i="3"/>
  <c r="J1358" i="3"/>
  <c r="N1358" i="3"/>
  <c r="K1358" i="3"/>
  <c r="O1358" i="3"/>
  <c r="P1358" i="3"/>
  <c r="L1358" i="3"/>
  <c r="Q1358" i="3"/>
  <c r="F1360" i="3" l="1"/>
  <c r="I1359" i="3"/>
  <c r="J1359" i="3"/>
  <c r="N1359" i="3"/>
  <c r="O1359" i="3"/>
  <c r="P1359" i="3"/>
  <c r="Q1359" i="3"/>
  <c r="R1359" i="3"/>
  <c r="L1359" i="3"/>
  <c r="K1359" i="3"/>
  <c r="G1359" i="3"/>
  <c r="H1359" i="3"/>
  <c r="F1361" i="3" l="1"/>
  <c r="K1360" i="3"/>
  <c r="P1360" i="3"/>
  <c r="Q1360" i="3"/>
  <c r="G1360" i="3"/>
  <c r="J1360" i="3"/>
  <c r="L1360" i="3"/>
  <c r="O1360" i="3"/>
  <c r="N1360" i="3"/>
  <c r="R1360" i="3"/>
  <c r="I1360" i="3"/>
  <c r="H1360" i="3"/>
  <c r="F1362" i="3" l="1"/>
  <c r="Q1361" i="3"/>
  <c r="J1361" i="3"/>
  <c r="K1361" i="3"/>
  <c r="L1361" i="3"/>
  <c r="N1361" i="3"/>
  <c r="O1361" i="3"/>
  <c r="P1361" i="3"/>
  <c r="I1361" i="3"/>
  <c r="R1361" i="3"/>
  <c r="G1361" i="3"/>
  <c r="H1361" i="3"/>
  <c r="F1363" i="3" l="1"/>
  <c r="J1362" i="3"/>
  <c r="K1362" i="3"/>
  <c r="H1362" i="3"/>
  <c r="R1362" i="3"/>
  <c r="I1362" i="3"/>
  <c r="L1362" i="3"/>
  <c r="Q1362" i="3"/>
  <c r="N1362" i="3"/>
  <c r="O1362" i="3"/>
  <c r="G1362" i="3"/>
  <c r="P1362" i="3"/>
  <c r="F1364" i="3" l="1"/>
  <c r="J1363" i="3"/>
  <c r="Q1363" i="3"/>
  <c r="R1363" i="3"/>
  <c r="G1363" i="3"/>
  <c r="H1363" i="3"/>
  <c r="I1363" i="3"/>
  <c r="K1363" i="3"/>
  <c r="N1363" i="3"/>
  <c r="L1363" i="3"/>
  <c r="P1363" i="3"/>
  <c r="O1363" i="3"/>
  <c r="F1365" i="3" l="1"/>
  <c r="P1364" i="3"/>
  <c r="Q1364" i="3"/>
  <c r="R1364" i="3"/>
  <c r="G1364" i="3"/>
  <c r="O1364" i="3"/>
  <c r="H1364" i="3"/>
  <c r="I1364" i="3"/>
  <c r="J1364" i="3"/>
  <c r="K1364" i="3"/>
  <c r="L1364" i="3"/>
  <c r="N1364" i="3"/>
  <c r="F1366" i="3" l="1"/>
  <c r="K1365" i="3"/>
  <c r="L1365" i="3"/>
  <c r="G1365" i="3"/>
  <c r="H1365" i="3"/>
  <c r="I1365" i="3"/>
  <c r="J1365" i="3"/>
  <c r="P1365" i="3"/>
  <c r="N1365" i="3"/>
  <c r="Q1365" i="3"/>
  <c r="R1365" i="3"/>
  <c r="O1365" i="3"/>
  <c r="F1367" i="3" l="1"/>
  <c r="Q1366" i="3"/>
  <c r="R1366" i="3"/>
  <c r="L1366" i="3"/>
  <c r="N1366" i="3"/>
  <c r="O1366" i="3"/>
  <c r="P1366" i="3"/>
  <c r="K1366" i="3"/>
  <c r="G1366" i="3"/>
  <c r="I1366" i="3"/>
  <c r="H1366" i="3"/>
  <c r="J1366" i="3"/>
  <c r="F1368" i="3" l="1"/>
  <c r="H1367" i="3"/>
  <c r="G1367" i="3"/>
  <c r="K1367" i="3"/>
  <c r="L1367" i="3"/>
  <c r="O1367" i="3"/>
  <c r="N1367" i="3"/>
  <c r="P1367" i="3"/>
  <c r="Q1367" i="3"/>
  <c r="R1367" i="3"/>
  <c r="J1367" i="3"/>
  <c r="I1367" i="3"/>
  <c r="F1369" i="3" l="1"/>
  <c r="J1368" i="3"/>
  <c r="K1368" i="3"/>
  <c r="H1368" i="3"/>
  <c r="I1368" i="3"/>
  <c r="L1368" i="3"/>
  <c r="N1368" i="3"/>
  <c r="O1368" i="3"/>
  <c r="P1368" i="3"/>
  <c r="G1368" i="3"/>
  <c r="Q1368" i="3"/>
  <c r="R1368" i="3"/>
  <c r="F1370" i="3" l="1"/>
  <c r="P1369" i="3"/>
  <c r="Q1369" i="3"/>
  <c r="R1369" i="3"/>
  <c r="G1369" i="3"/>
  <c r="O1369" i="3"/>
  <c r="H1369" i="3"/>
  <c r="I1369" i="3"/>
  <c r="L1369" i="3"/>
  <c r="N1369" i="3"/>
  <c r="K1369" i="3"/>
  <c r="J1369" i="3"/>
  <c r="F1371" i="3" l="1"/>
  <c r="G1370" i="3"/>
  <c r="H1370" i="3"/>
  <c r="I1370" i="3"/>
  <c r="K1370" i="3"/>
  <c r="J1370" i="3"/>
  <c r="O1370" i="3"/>
  <c r="P1370" i="3"/>
  <c r="Q1370" i="3"/>
  <c r="R1370" i="3"/>
  <c r="N1370" i="3"/>
  <c r="L1370" i="3"/>
  <c r="F1372" i="3" l="1"/>
  <c r="I1371" i="3"/>
  <c r="J1371" i="3"/>
  <c r="N1371" i="3"/>
  <c r="O1371" i="3"/>
  <c r="P1371" i="3"/>
  <c r="Q1371" i="3"/>
  <c r="R1371" i="3"/>
  <c r="L1371" i="3"/>
  <c r="G1371" i="3"/>
  <c r="H1371" i="3"/>
  <c r="K1371" i="3"/>
  <c r="F1373" i="3" l="1"/>
  <c r="O1372" i="3"/>
  <c r="P1372" i="3"/>
  <c r="G1372" i="3"/>
  <c r="J1372" i="3"/>
  <c r="H1372" i="3"/>
  <c r="K1372" i="3"/>
  <c r="L1372" i="3"/>
  <c r="Q1372" i="3"/>
  <c r="R1372" i="3"/>
  <c r="I1372" i="3"/>
  <c r="N1372" i="3"/>
  <c r="F1374" i="3" l="1"/>
  <c r="I1373" i="3"/>
  <c r="J1373" i="3"/>
  <c r="K1373" i="3"/>
  <c r="L1373" i="3"/>
  <c r="O1373" i="3"/>
  <c r="N1373" i="3"/>
  <c r="R1373" i="3"/>
  <c r="H1373" i="3"/>
  <c r="Q1373" i="3"/>
  <c r="G1373" i="3"/>
  <c r="P1373" i="3"/>
  <c r="F1375" i="3" l="1"/>
  <c r="H1374" i="3"/>
  <c r="I1374" i="3"/>
  <c r="Q1374" i="3"/>
  <c r="R1374" i="3"/>
  <c r="P1374" i="3"/>
  <c r="G1374" i="3"/>
  <c r="K1374" i="3"/>
  <c r="J1374" i="3"/>
  <c r="L1374" i="3"/>
  <c r="N1374" i="3"/>
  <c r="O1374" i="3"/>
  <c r="F1376" i="3" l="1"/>
  <c r="N1375" i="3"/>
  <c r="O1375" i="3"/>
  <c r="G1375" i="3"/>
  <c r="H1375" i="3"/>
  <c r="I1375" i="3"/>
  <c r="J1375" i="3"/>
  <c r="P1375" i="3"/>
  <c r="K1375" i="3"/>
  <c r="Q1375" i="3"/>
  <c r="R1375" i="3"/>
  <c r="L1375" i="3"/>
  <c r="F1377" i="3" l="1"/>
  <c r="L1376" i="3"/>
  <c r="O1376" i="3"/>
  <c r="P1376" i="3"/>
  <c r="Q1376" i="3"/>
  <c r="R1376" i="3"/>
  <c r="K1376" i="3"/>
  <c r="N1376" i="3"/>
  <c r="I1376" i="3"/>
  <c r="H1376" i="3"/>
  <c r="J1376" i="3"/>
  <c r="G1376" i="3"/>
  <c r="F1378" i="3" l="1"/>
  <c r="G1377" i="3"/>
  <c r="H1377" i="3"/>
  <c r="K1377" i="3"/>
  <c r="L1377" i="3"/>
  <c r="O1377" i="3"/>
  <c r="N1377" i="3"/>
  <c r="P1377" i="3"/>
  <c r="Q1377" i="3"/>
  <c r="R1377" i="3"/>
  <c r="J1377" i="3"/>
  <c r="I1377" i="3"/>
  <c r="F1379" i="3" l="1"/>
  <c r="L1378" i="3"/>
  <c r="N1378" i="3"/>
  <c r="H1378" i="3"/>
  <c r="I1378" i="3"/>
  <c r="J1378" i="3"/>
  <c r="K1378" i="3"/>
  <c r="O1378" i="3"/>
  <c r="P1378" i="3"/>
  <c r="G1378" i="3"/>
  <c r="Q1378" i="3"/>
  <c r="R1378" i="3"/>
  <c r="F1380" i="3" l="1"/>
  <c r="R1379" i="3"/>
  <c r="P1379" i="3"/>
  <c r="Q1379" i="3"/>
  <c r="G1379" i="3"/>
  <c r="O1379" i="3"/>
  <c r="H1379" i="3"/>
  <c r="I1379" i="3"/>
  <c r="K1379" i="3"/>
  <c r="L1379" i="3"/>
  <c r="J1379" i="3"/>
  <c r="N1379" i="3"/>
  <c r="F1381" i="3" l="1"/>
  <c r="G1380" i="3"/>
  <c r="H1380" i="3"/>
  <c r="I1380" i="3"/>
  <c r="J1380" i="3"/>
  <c r="K1380" i="3"/>
  <c r="O1380" i="3"/>
  <c r="P1380" i="3"/>
  <c r="Q1380" i="3"/>
  <c r="R1380" i="3"/>
  <c r="N1380" i="3"/>
  <c r="L1380" i="3"/>
  <c r="F1382" i="3" l="1"/>
  <c r="K1381" i="3"/>
  <c r="L1381" i="3"/>
  <c r="N1381" i="3"/>
  <c r="O1381" i="3"/>
  <c r="P1381" i="3"/>
  <c r="Q1381" i="3"/>
  <c r="R1381" i="3"/>
  <c r="J1381" i="3"/>
  <c r="G1381" i="3"/>
  <c r="H1381" i="3"/>
  <c r="I1381" i="3"/>
  <c r="F1383" i="3" l="1"/>
  <c r="Q1382" i="3"/>
  <c r="R1382" i="3"/>
  <c r="G1382" i="3"/>
  <c r="J1382" i="3"/>
  <c r="H1382" i="3"/>
  <c r="K1382" i="3"/>
  <c r="L1382" i="3"/>
  <c r="I1382" i="3"/>
  <c r="N1382" i="3"/>
  <c r="O1382" i="3"/>
  <c r="P1382" i="3"/>
  <c r="F1384" i="3" l="1"/>
  <c r="I1383" i="3"/>
  <c r="J1383" i="3"/>
  <c r="K1383" i="3"/>
  <c r="L1383" i="3"/>
  <c r="N1383" i="3"/>
  <c r="O1383" i="3"/>
  <c r="R1383" i="3"/>
  <c r="H1383" i="3"/>
  <c r="Q1383" i="3"/>
  <c r="P1383" i="3"/>
  <c r="G1383" i="3"/>
  <c r="F1385" i="3" l="1"/>
  <c r="J1384" i="3"/>
  <c r="K1384" i="3"/>
  <c r="Q1384" i="3"/>
  <c r="R1384" i="3"/>
  <c r="P1384" i="3"/>
  <c r="G1384" i="3"/>
  <c r="I1384" i="3"/>
  <c r="H1384" i="3"/>
  <c r="L1384" i="3"/>
  <c r="N1384" i="3"/>
  <c r="O1384" i="3"/>
  <c r="F1386" i="3" l="1"/>
  <c r="P1385" i="3"/>
  <c r="Q1385" i="3"/>
  <c r="G1385" i="3"/>
  <c r="H1385" i="3"/>
  <c r="I1385" i="3"/>
  <c r="J1385" i="3"/>
  <c r="N1385" i="3"/>
  <c r="K1385" i="3"/>
  <c r="O1385" i="3"/>
  <c r="R1385" i="3"/>
  <c r="L1385" i="3"/>
  <c r="F1387" i="3" l="1"/>
  <c r="L1386" i="3"/>
  <c r="N1386" i="3"/>
  <c r="O1386" i="3"/>
  <c r="P1386" i="3"/>
  <c r="Q1386" i="3"/>
  <c r="K1386" i="3"/>
  <c r="J1386" i="3"/>
  <c r="G1386" i="3"/>
  <c r="R1386" i="3"/>
  <c r="H1386" i="3"/>
  <c r="I1386" i="3"/>
  <c r="F1388" i="3" l="1"/>
  <c r="I1387" i="3"/>
  <c r="J1387" i="3"/>
  <c r="K1387" i="3"/>
  <c r="H1387" i="3"/>
  <c r="N1387" i="3"/>
  <c r="R1387" i="3"/>
  <c r="L1387" i="3"/>
  <c r="P1387" i="3"/>
  <c r="Q1387" i="3"/>
  <c r="G1387" i="3"/>
  <c r="O1387" i="3"/>
  <c r="F1389" i="3" l="1"/>
  <c r="O1388" i="3"/>
  <c r="P1388" i="3"/>
  <c r="H1388" i="3"/>
  <c r="I1388" i="3"/>
  <c r="J1388" i="3"/>
  <c r="K1388" i="3"/>
  <c r="L1388" i="3"/>
  <c r="G1388" i="3"/>
  <c r="Q1388" i="3"/>
  <c r="R1388" i="3"/>
  <c r="N1388" i="3"/>
  <c r="F1390" i="3" l="1"/>
  <c r="P1389" i="3"/>
  <c r="Q1389" i="3"/>
  <c r="R1389" i="3"/>
  <c r="G1389" i="3"/>
  <c r="O1389" i="3"/>
  <c r="N1389" i="3"/>
  <c r="K1389" i="3"/>
  <c r="H1389" i="3"/>
  <c r="L1389" i="3"/>
  <c r="I1389" i="3"/>
  <c r="J1389" i="3"/>
  <c r="F1391" i="3" l="1"/>
  <c r="H1390" i="3"/>
  <c r="I1390" i="3"/>
  <c r="G1390" i="3"/>
  <c r="J1390" i="3"/>
  <c r="O1390" i="3"/>
  <c r="K1390" i="3"/>
  <c r="L1390" i="3"/>
  <c r="N1390" i="3"/>
  <c r="P1390" i="3"/>
  <c r="Q1390" i="3"/>
  <c r="R1390" i="3"/>
  <c r="F1392" i="3" l="1"/>
  <c r="N1391" i="3"/>
  <c r="O1391" i="3"/>
  <c r="K1391" i="3"/>
  <c r="L1391" i="3"/>
  <c r="P1391" i="3"/>
  <c r="Q1391" i="3"/>
  <c r="R1391" i="3"/>
  <c r="J1391" i="3"/>
  <c r="G1391" i="3"/>
  <c r="I1391" i="3"/>
  <c r="H1391" i="3"/>
  <c r="F1393" i="3" l="1"/>
  <c r="J1392" i="3"/>
  <c r="R1392" i="3"/>
  <c r="P1392" i="3"/>
  <c r="Q1392" i="3"/>
  <c r="G1392" i="3"/>
  <c r="O1392" i="3"/>
  <c r="H1392" i="3"/>
  <c r="I1392" i="3"/>
  <c r="K1392" i="3"/>
  <c r="N1392" i="3"/>
  <c r="L1392" i="3"/>
  <c r="F1394" i="3" l="1"/>
  <c r="G1393" i="3"/>
  <c r="H1393" i="3"/>
  <c r="I1393" i="3"/>
  <c r="J1393" i="3"/>
  <c r="K1393" i="3"/>
  <c r="L1393" i="3"/>
  <c r="N1393" i="3"/>
  <c r="R1393" i="3"/>
  <c r="O1393" i="3"/>
  <c r="P1393" i="3"/>
  <c r="Q1393" i="3"/>
  <c r="F1395" i="3" l="1"/>
  <c r="L1394" i="3"/>
  <c r="N1394" i="3"/>
  <c r="Q1394" i="3"/>
  <c r="R1394" i="3"/>
  <c r="P1394" i="3"/>
  <c r="G1394" i="3"/>
  <c r="J1394" i="3"/>
  <c r="K1394" i="3"/>
  <c r="H1394" i="3"/>
  <c r="I1394" i="3"/>
  <c r="O1394" i="3"/>
  <c r="F1396" i="3" l="1"/>
  <c r="R1395" i="3"/>
  <c r="G1395" i="3"/>
  <c r="H1395" i="3"/>
  <c r="I1395" i="3"/>
  <c r="N1395" i="3"/>
  <c r="Q1395" i="3"/>
  <c r="P1395" i="3"/>
  <c r="L1395" i="3"/>
  <c r="O1395" i="3"/>
  <c r="K1395" i="3"/>
  <c r="J1395" i="3"/>
  <c r="F1397" i="3" l="1"/>
  <c r="G1396" i="3"/>
  <c r="L1396" i="3"/>
  <c r="N1396" i="3"/>
  <c r="O1396" i="3"/>
  <c r="P1396" i="3"/>
  <c r="Q1396" i="3"/>
  <c r="K1396" i="3"/>
  <c r="I1396" i="3"/>
  <c r="H1396" i="3"/>
  <c r="J1396" i="3"/>
  <c r="R1396" i="3"/>
  <c r="F1398" i="3" l="1"/>
  <c r="K1397" i="3"/>
  <c r="L1397" i="3"/>
  <c r="I1397" i="3"/>
  <c r="G1397" i="3"/>
  <c r="H1397" i="3"/>
  <c r="N1397" i="3"/>
  <c r="O1397" i="3"/>
  <c r="Q1397" i="3"/>
  <c r="R1397" i="3"/>
  <c r="J1397" i="3"/>
  <c r="P1397" i="3"/>
  <c r="F1399" i="3" l="1"/>
  <c r="Q1398" i="3"/>
  <c r="R1398" i="3"/>
  <c r="H1398" i="3"/>
  <c r="I1398" i="3"/>
  <c r="J1398" i="3"/>
  <c r="K1398" i="3"/>
  <c r="L1398" i="3"/>
  <c r="G1398" i="3"/>
  <c r="P1398" i="3"/>
  <c r="N1398" i="3"/>
  <c r="O1398" i="3"/>
  <c r="F1400" i="3" l="1"/>
  <c r="P1399" i="3"/>
  <c r="Q1399" i="3"/>
  <c r="R1399" i="3"/>
  <c r="G1399" i="3"/>
  <c r="O1399" i="3"/>
  <c r="H1399" i="3"/>
  <c r="I1399" i="3"/>
  <c r="J1399" i="3"/>
  <c r="K1399" i="3"/>
  <c r="L1399" i="3"/>
  <c r="N1399" i="3"/>
  <c r="F1401" i="3" l="1"/>
  <c r="J1400" i="3"/>
  <c r="K1400" i="3"/>
  <c r="G1400" i="3"/>
  <c r="H1400" i="3"/>
  <c r="O1400" i="3"/>
  <c r="I1400" i="3"/>
  <c r="N1400" i="3"/>
  <c r="P1400" i="3"/>
  <c r="Q1400" i="3"/>
  <c r="R1400" i="3"/>
  <c r="L1400" i="3"/>
  <c r="F1402" i="3" l="1"/>
  <c r="P1401" i="3"/>
  <c r="Q1401" i="3"/>
  <c r="K1401" i="3"/>
  <c r="L1401" i="3"/>
  <c r="N1401" i="3"/>
  <c r="O1401" i="3"/>
  <c r="R1401" i="3"/>
  <c r="J1401" i="3"/>
  <c r="G1401" i="3"/>
  <c r="H1401" i="3"/>
  <c r="I1401" i="3"/>
  <c r="F1403" i="3" l="1"/>
  <c r="J1402" i="3"/>
  <c r="R1402" i="3"/>
  <c r="H1402" i="3"/>
  <c r="K1402" i="3"/>
  <c r="I1402" i="3"/>
  <c r="L1402" i="3"/>
  <c r="P1402" i="3"/>
  <c r="N1402" i="3"/>
  <c r="O1402" i="3"/>
  <c r="G1402" i="3"/>
  <c r="Q1402" i="3"/>
  <c r="F1404" i="3" l="1"/>
  <c r="I1403" i="3"/>
  <c r="J1403" i="3"/>
  <c r="G1403" i="3"/>
  <c r="H1403" i="3"/>
  <c r="K1403" i="3"/>
  <c r="L1403" i="3"/>
  <c r="N1403" i="3"/>
  <c r="R1403" i="3"/>
  <c r="O1403" i="3"/>
  <c r="P1403" i="3"/>
  <c r="Q1403" i="3"/>
  <c r="F1405" i="3" l="1"/>
  <c r="O1404" i="3"/>
  <c r="P1404" i="3"/>
  <c r="Q1404" i="3"/>
  <c r="R1404" i="3"/>
  <c r="N1404" i="3"/>
  <c r="L1404" i="3"/>
  <c r="K1404" i="3"/>
  <c r="I1404" i="3"/>
  <c r="G1404" i="3"/>
  <c r="H1404" i="3"/>
  <c r="J1404" i="3"/>
  <c r="F1406" i="3" l="1"/>
  <c r="G1405" i="3"/>
  <c r="H1405" i="3"/>
  <c r="I1405" i="3"/>
  <c r="N1405" i="3"/>
  <c r="J1405" i="3"/>
  <c r="Q1405" i="3"/>
  <c r="K1405" i="3"/>
  <c r="L1405" i="3"/>
  <c r="O1405" i="3"/>
  <c r="P1405" i="3"/>
  <c r="R1405" i="3"/>
  <c r="F1407" i="3" l="1"/>
  <c r="H1406" i="3"/>
  <c r="I1406" i="3"/>
  <c r="L1406" i="3"/>
  <c r="N1406" i="3"/>
  <c r="O1406" i="3"/>
  <c r="P1406" i="3"/>
  <c r="Q1406" i="3"/>
  <c r="K1406" i="3"/>
  <c r="G1406" i="3"/>
  <c r="J1406" i="3"/>
  <c r="R1406" i="3"/>
  <c r="F1408" i="3" l="1"/>
  <c r="N1407" i="3"/>
  <c r="O1407" i="3"/>
  <c r="I1407" i="3"/>
  <c r="P1407" i="3"/>
  <c r="R1407" i="3"/>
  <c r="Q1407" i="3"/>
  <c r="L1407" i="3"/>
  <c r="J1407" i="3"/>
  <c r="G1407" i="3"/>
  <c r="K1407" i="3"/>
  <c r="H1407" i="3"/>
  <c r="F1409" i="3" l="1"/>
  <c r="H1408" i="3"/>
  <c r="I1408" i="3"/>
  <c r="J1408" i="3"/>
  <c r="K1408" i="3"/>
  <c r="L1408" i="3"/>
  <c r="Q1408" i="3"/>
  <c r="G1408" i="3"/>
  <c r="R1408" i="3"/>
  <c r="N1408" i="3"/>
  <c r="O1408" i="3"/>
  <c r="P1408" i="3"/>
  <c r="F1410" i="3" l="1"/>
  <c r="G1409" i="3"/>
  <c r="H1409" i="3"/>
  <c r="P1409" i="3"/>
  <c r="Q1409" i="3"/>
  <c r="R1409" i="3"/>
  <c r="O1409" i="3"/>
  <c r="J1409" i="3"/>
  <c r="K1409" i="3"/>
  <c r="L1409" i="3"/>
  <c r="I1409" i="3"/>
  <c r="N1409" i="3"/>
  <c r="F1411" i="3" l="1"/>
  <c r="L1410" i="3"/>
  <c r="N1410" i="3"/>
  <c r="G1410" i="3"/>
  <c r="H1410" i="3"/>
  <c r="O1410" i="3"/>
  <c r="Q1410" i="3"/>
  <c r="R1410" i="3"/>
  <c r="P1410" i="3"/>
  <c r="K1410" i="3"/>
  <c r="J1410" i="3"/>
  <c r="I1410" i="3"/>
  <c r="F1412" i="3" l="1"/>
  <c r="R1411" i="3"/>
  <c r="K1411" i="3"/>
  <c r="N1411" i="3"/>
  <c r="O1411" i="3"/>
  <c r="P1411" i="3"/>
  <c r="J1411" i="3"/>
  <c r="L1411" i="3"/>
  <c r="G1411" i="3"/>
  <c r="H1411" i="3"/>
  <c r="I1411" i="3"/>
  <c r="Q1411" i="3"/>
  <c r="F1413" i="3" l="1"/>
  <c r="G1412" i="3"/>
  <c r="J1412" i="3"/>
  <c r="R1412" i="3"/>
  <c r="H1412" i="3"/>
  <c r="K1412" i="3"/>
  <c r="L1412" i="3"/>
  <c r="Q1412" i="3"/>
  <c r="I1412" i="3"/>
  <c r="O1412" i="3"/>
  <c r="N1412" i="3"/>
  <c r="P1412" i="3"/>
  <c r="F1414" i="3" l="1"/>
  <c r="K1413" i="3"/>
  <c r="L1413" i="3"/>
  <c r="G1413" i="3"/>
  <c r="H1413" i="3"/>
  <c r="I1413" i="3"/>
  <c r="J1413" i="3"/>
  <c r="N1413" i="3"/>
  <c r="R1413" i="3"/>
  <c r="Q1413" i="3"/>
  <c r="P1413" i="3"/>
  <c r="O1413" i="3"/>
  <c r="F1415" i="3" l="1"/>
  <c r="Q1414" i="3"/>
  <c r="R1414" i="3"/>
  <c r="O1414" i="3"/>
  <c r="P1414" i="3"/>
  <c r="N1414" i="3"/>
  <c r="H1414" i="3"/>
  <c r="G1414" i="3"/>
  <c r="J1414" i="3"/>
  <c r="K1414" i="3"/>
  <c r="L1414" i="3"/>
  <c r="I1414" i="3"/>
  <c r="F1416" i="3" l="1"/>
  <c r="G1415" i="3"/>
  <c r="H1415" i="3"/>
  <c r="I1415" i="3"/>
  <c r="N1415" i="3"/>
  <c r="K1415" i="3"/>
  <c r="L1415" i="3"/>
  <c r="Q1415" i="3"/>
  <c r="J1415" i="3"/>
  <c r="O1415" i="3"/>
  <c r="R1415" i="3"/>
  <c r="P1415" i="3"/>
  <c r="F1417" i="3" l="1"/>
  <c r="K1416" i="3"/>
  <c r="J1416" i="3"/>
  <c r="L1416" i="3"/>
  <c r="N1416" i="3"/>
  <c r="O1416" i="3"/>
  <c r="P1416" i="3"/>
  <c r="I1416" i="3"/>
  <c r="Q1416" i="3"/>
  <c r="R1416" i="3"/>
  <c r="H1416" i="3"/>
  <c r="G1416" i="3"/>
  <c r="F1418" i="3" l="1"/>
  <c r="Q1417" i="3"/>
  <c r="R1417" i="3"/>
  <c r="H1417" i="3"/>
  <c r="P1417" i="3"/>
  <c r="L1417" i="3"/>
  <c r="I1417" i="3"/>
  <c r="J1417" i="3"/>
  <c r="K1417" i="3"/>
  <c r="O1417" i="3"/>
  <c r="G1417" i="3"/>
  <c r="N1417" i="3"/>
  <c r="F1419" i="3" l="1"/>
  <c r="G1418" i="3"/>
  <c r="H1418" i="3"/>
  <c r="I1418" i="3"/>
  <c r="J1418" i="3"/>
  <c r="O1418" i="3"/>
  <c r="K1418" i="3"/>
  <c r="R1418" i="3"/>
  <c r="Q1418" i="3"/>
  <c r="N1418" i="3"/>
  <c r="P1418" i="3"/>
  <c r="L1418" i="3"/>
  <c r="F1420" i="3" l="1"/>
  <c r="J1419" i="3"/>
  <c r="L1419" i="3"/>
  <c r="N1419" i="3"/>
  <c r="O1419" i="3"/>
  <c r="P1419" i="3"/>
  <c r="Q1419" i="3"/>
  <c r="K1419" i="3"/>
  <c r="H1419" i="3"/>
  <c r="R1419" i="3"/>
  <c r="I1419" i="3"/>
  <c r="G1419" i="3"/>
  <c r="F1421" i="3" l="1"/>
  <c r="P1420" i="3"/>
  <c r="I1420" i="3"/>
  <c r="R1420" i="3"/>
  <c r="K1420" i="3"/>
  <c r="G1420" i="3"/>
  <c r="H1420" i="3"/>
  <c r="J1420" i="3"/>
  <c r="N1420" i="3"/>
  <c r="O1420" i="3"/>
  <c r="L1420" i="3"/>
  <c r="Q1420" i="3"/>
  <c r="F1422" i="3" l="1"/>
  <c r="G1421" i="3"/>
  <c r="H1421" i="3"/>
  <c r="I1421" i="3"/>
  <c r="J1421" i="3"/>
  <c r="K1421" i="3"/>
  <c r="P1421" i="3"/>
  <c r="R1421" i="3"/>
  <c r="L1421" i="3"/>
  <c r="N1421" i="3"/>
  <c r="O1421" i="3"/>
  <c r="Q1421" i="3"/>
  <c r="F1423" i="3" l="1"/>
  <c r="I1422" i="3"/>
  <c r="N1422" i="3"/>
  <c r="O1422" i="3"/>
  <c r="P1422" i="3"/>
  <c r="Q1422" i="3"/>
  <c r="R1422" i="3"/>
  <c r="L1422" i="3"/>
  <c r="G1422" i="3"/>
  <c r="H1422" i="3"/>
  <c r="J1422" i="3"/>
  <c r="K1422" i="3"/>
  <c r="F1424" i="3" l="1"/>
  <c r="O1423" i="3"/>
  <c r="J1423" i="3"/>
  <c r="I1423" i="3"/>
  <c r="G1423" i="3"/>
  <c r="H1423" i="3"/>
  <c r="L1423" i="3"/>
  <c r="N1423" i="3"/>
  <c r="K1423" i="3"/>
  <c r="Q1423" i="3"/>
  <c r="P1423" i="3"/>
  <c r="R1423" i="3"/>
  <c r="F1425" i="3" l="1"/>
  <c r="H1424" i="3"/>
  <c r="I1424" i="3"/>
  <c r="J1424" i="3"/>
  <c r="K1424" i="3"/>
  <c r="L1424" i="3"/>
  <c r="Q1424" i="3"/>
  <c r="G1424" i="3"/>
  <c r="R1424" i="3"/>
  <c r="P1424" i="3"/>
  <c r="N1424" i="3"/>
  <c r="O1424" i="3"/>
  <c r="F1426" i="3" l="1"/>
  <c r="N1425" i="3"/>
  <c r="P1425" i="3"/>
  <c r="Q1425" i="3"/>
  <c r="R1425" i="3"/>
  <c r="L1425" i="3"/>
  <c r="O1425" i="3"/>
  <c r="H1425" i="3"/>
  <c r="G1425" i="3"/>
  <c r="I1425" i="3"/>
  <c r="J1425" i="3"/>
  <c r="K1425" i="3"/>
  <c r="F1427" i="3" l="1"/>
  <c r="J1426" i="3"/>
  <c r="R1426" i="3"/>
  <c r="I1426" i="3"/>
  <c r="K1426" i="3"/>
  <c r="G1426" i="3"/>
  <c r="P1426" i="3"/>
  <c r="H1426" i="3"/>
  <c r="O1426" i="3"/>
  <c r="N1426" i="3"/>
  <c r="Q1426" i="3"/>
  <c r="L1426" i="3"/>
  <c r="F1428" i="3" l="1"/>
  <c r="G1427" i="3"/>
  <c r="H1427" i="3"/>
  <c r="I1427" i="3"/>
  <c r="J1427" i="3"/>
  <c r="K1427" i="3"/>
  <c r="P1427" i="3"/>
  <c r="N1427" i="3"/>
  <c r="Q1427" i="3"/>
  <c r="O1427" i="3"/>
  <c r="R1427" i="3"/>
  <c r="L1427" i="3"/>
  <c r="F1429" i="3" l="1"/>
  <c r="L1428" i="3"/>
  <c r="N1428" i="3"/>
  <c r="O1428" i="3"/>
  <c r="P1428" i="3"/>
  <c r="Q1428" i="3"/>
  <c r="K1428" i="3"/>
  <c r="I1428" i="3"/>
  <c r="G1428" i="3"/>
  <c r="H1428" i="3"/>
  <c r="R1428" i="3"/>
  <c r="J1428" i="3"/>
  <c r="F1430" i="3" l="1"/>
  <c r="R1429" i="3"/>
  <c r="I1429" i="3"/>
  <c r="Q1429" i="3"/>
  <c r="P1429" i="3"/>
  <c r="G1429" i="3"/>
  <c r="O1429" i="3"/>
  <c r="H1429" i="3"/>
  <c r="N1429" i="3"/>
  <c r="J1429" i="3"/>
  <c r="K1429" i="3"/>
  <c r="L1429" i="3"/>
  <c r="F1431" i="3" l="1"/>
  <c r="H1430" i="3"/>
  <c r="I1430" i="3"/>
  <c r="J1430" i="3"/>
  <c r="O1430" i="3"/>
  <c r="G1430" i="3"/>
  <c r="R1430" i="3"/>
  <c r="K1430" i="3"/>
  <c r="L1430" i="3"/>
  <c r="P1430" i="3"/>
  <c r="Q1430" i="3"/>
  <c r="N1430" i="3"/>
  <c r="F1432" i="3" l="1"/>
  <c r="K1431" i="3"/>
  <c r="L1431" i="3"/>
  <c r="N1431" i="3"/>
  <c r="O1431" i="3"/>
  <c r="P1431" i="3"/>
  <c r="J1431" i="3"/>
  <c r="H1431" i="3"/>
  <c r="I1431" i="3"/>
  <c r="G1431" i="3"/>
  <c r="R1431" i="3"/>
  <c r="Q1431" i="3"/>
  <c r="F1433" i="3" l="1"/>
  <c r="Q1432" i="3"/>
  <c r="R1432" i="3"/>
  <c r="H1432" i="3"/>
  <c r="P1432" i="3"/>
  <c r="L1432" i="3"/>
  <c r="O1432" i="3"/>
  <c r="N1432" i="3"/>
  <c r="K1432" i="3"/>
  <c r="I1432" i="3"/>
  <c r="J1432" i="3"/>
  <c r="G1432" i="3"/>
  <c r="F1434" i="3" l="1"/>
  <c r="G1433" i="3"/>
  <c r="H1433" i="3"/>
  <c r="I1433" i="3"/>
  <c r="N1433" i="3"/>
  <c r="J1433" i="3"/>
  <c r="O1433" i="3"/>
  <c r="K1433" i="3"/>
  <c r="L1433" i="3"/>
  <c r="Q1433" i="3"/>
  <c r="R1433" i="3"/>
  <c r="P1433" i="3"/>
  <c r="F1435" i="3" l="1"/>
  <c r="J1434" i="3"/>
  <c r="L1434" i="3"/>
  <c r="N1434" i="3"/>
  <c r="O1434" i="3"/>
  <c r="I1434" i="3"/>
  <c r="K1434" i="3"/>
  <c r="Q1434" i="3"/>
  <c r="R1434" i="3"/>
  <c r="G1434" i="3"/>
  <c r="P1434" i="3"/>
  <c r="H1434" i="3"/>
  <c r="F1436" i="3" l="1"/>
  <c r="P1435" i="3"/>
  <c r="Q1435" i="3"/>
  <c r="R1435" i="3"/>
  <c r="G1435" i="3"/>
  <c r="O1435" i="3"/>
  <c r="I1435" i="3"/>
  <c r="J1435" i="3"/>
  <c r="K1435" i="3"/>
  <c r="L1435" i="3"/>
  <c r="N1435" i="3"/>
  <c r="H1435" i="3"/>
  <c r="F1437" i="3" l="1"/>
  <c r="G1436" i="3"/>
  <c r="H1436" i="3"/>
  <c r="L1436" i="3"/>
  <c r="I1436" i="3"/>
  <c r="J1436" i="3"/>
  <c r="N1436" i="3"/>
  <c r="O1436" i="3"/>
  <c r="P1436" i="3"/>
  <c r="Q1436" i="3"/>
  <c r="K1436" i="3"/>
  <c r="R1436" i="3"/>
  <c r="F1438" i="3" l="1"/>
  <c r="I1437" i="3"/>
  <c r="K1437" i="3"/>
  <c r="L1437" i="3"/>
  <c r="N1437" i="3"/>
  <c r="R1437" i="3"/>
  <c r="H1437" i="3"/>
  <c r="J1437" i="3"/>
  <c r="Q1437" i="3"/>
  <c r="P1437" i="3"/>
  <c r="O1437" i="3"/>
  <c r="G1437" i="3"/>
  <c r="F1439" i="3" l="1"/>
  <c r="O1438" i="3"/>
  <c r="Q1438" i="3"/>
  <c r="R1438" i="3"/>
  <c r="N1438" i="3"/>
  <c r="P1438" i="3"/>
  <c r="H1438" i="3"/>
  <c r="L1438" i="3"/>
  <c r="G1438" i="3"/>
  <c r="I1438" i="3"/>
  <c r="J1438" i="3"/>
  <c r="K1438" i="3"/>
  <c r="F1440" i="3" l="1"/>
  <c r="G1439" i="3"/>
  <c r="K1439" i="3"/>
  <c r="I1439" i="3"/>
  <c r="J1439" i="3"/>
  <c r="R1439" i="3"/>
  <c r="N1439" i="3"/>
  <c r="Q1439" i="3"/>
  <c r="O1439" i="3"/>
  <c r="P1439" i="3"/>
  <c r="H1439" i="3"/>
  <c r="L1439" i="3"/>
  <c r="F1441" i="3" l="1"/>
  <c r="H1440" i="3"/>
  <c r="I1440" i="3"/>
  <c r="J1440" i="3"/>
  <c r="K1440" i="3"/>
  <c r="L1440" i="3"/>
  <c r="Q1440" i="3"/>
  <c r="G1440" i="3"/>
  <c r="N1440" i="3"/>
  <c r="O1440" i="3"/>
  <c r="P1440" i="3"/>
  <c r="R1440" i="3"/>
  <c r="F1442" i="3" l="1"/>
  <c r="N1441" i="3"/>
  <c r="P1441" i="3"/>
  <c r="Q1441" i="3"/>
  <c r="R1441" i="3"/>
  <c r="L1441" i="3"/>
  <c r="O1441" i="3"/>
  <c r="I1441" i="3"/>
  <c r="G1441" i="3"/>
  <c r="H1441" i="3"/>
  <c r="K1441" i="3"/>
  <c r="J1441" i="3"/>
  <c r="F1443" i="3" l="1"/>
  <c r="J1442" i="3"/>
  <c r="R1442" i="3"/>
  <c r="P1442" i="3"/>
  <c r="Q1442" i="3"/>
  <c r="G1442" i="3"/>
  <c r="O1442" i="3"/>
  <c r="I1442" i="3"/>
  <c r="K1442" i="3"/>
  <c r="N1442" i="3"/>
  <c r="L1442" i="3"/>
  <c r="H1442" i="3"/>
  <c r="F1444" i="3" l="1"/>
  <c r="G1443" i="3"/>
  <c r="H1443" i="3"/>
  <c r="I1443" i="3"/>
  <c r="J1443" i="3"/>
  <c r="K1443" i="3"/>
  <c r="P1443" i="3"/>
  <c r="L1443" i="3"/>
  <c r="R1443" i="3"/>
  <c r="N1443" i="3"/>
  <c r="O1443" i="3"/>
  <c r="Q1443" i="3"/>
  <c r="F1445" i="3" l="1"/>
  <c r="L1444" i="3"/>
  <c r="O1444" i="3"/>
  <c r="P1444" i="3"/>
  <c r="Q1444" i="3"/>
  <c r="K1444" i="3"/>
  <c r="N1444" i="3"/>
  <c r="H1444" i="3"/>
  <c r="I1444" i="3"/>
  <c r="J1444" i="3"/>
  <c r="R1444" i="3"/>
  <c r="G1444" i="3"/>
  <c r="F1446" i="3" l="1"/>
  <c r="R1445" i="3"/>
  <c r="I1445" i="3"/>
  <c r="Q1445" i="3"/>
  <c r="L1445" i="3"/>
  <c r="O1445" i="3"/>
  <c r="N1445" i="3"/>
  <c r="P1445" i="3"/>
  <c r="K1445" i="3"/>
  <c r="G1445" i="3"/>
  <c r="H1445" i="3"/>
  <c r="J1445" i="3"/>
  <c r="F1447" i="3" l="1"/>
  <c r="G1446" i="3"/>
  <c r="H1446" i="3"/>
  <c r="I1446" i="3"/>
  <c r="J1446" i="3"/>
  <c r="O1446" i="3"/>
  <c r="N1446" i="3"/>
  <c r="K1446" i="3"/>
  <c r="L1446" i="3"/>
  <c r="Q1446" i="3"/>
  <c r="R1446" i="3"/>
  <c r="P1446" i="3"/>
  <c r="F1448" i="3" l="1"/>
  <c r="K1447" i="3"/>
  <c r="N1447" i="3"/>
  <c r="O1447" i="3"/>
  <c r="P1447" i="3"/>
  <c r="J1447" i="3"/>
  <c r="L1447" i="3"/>
  <c r="G1447" i="3"/>
  <c r="Q1447" i="3"/>
  <c r="I1447" i="3"/>
  <c r="R1447" i="3"/>
  <c r="H1447" i="3"/>
  <c r="F1449" i="3" l="1"/>
  <c r="Q1448" i="3"/>
  <c r="R1448" i="3"/>
  <c r="H1448" i="3"/>
  <c r="P1448" i="3"/>
  <c r="I1448" i="3"/>
  <c r="J1448" i="3"/>
  <c r="K1448" i="3"/>
  <c r="L1448" i="3"/>
  <c r="N1448" i="3"/>
  <c r="O1448" i="3"/>
  <c r="G1448" i="3"/>
  <c r="F1450" i="3" l="1"/>
  <c r="O1449" i="3"/>
  <c r="H1449" i="3"/>
  <c r="L1449" i="3"/>
  <c r="I1449" i="3"/>
  <c r="P1449" i="3"/>
  <c r="G1449" i="3"/>
  <c r="Q1449" i="3"/>
  <c r="K1449" i="3"/>
  <c r="R1449" i="3"/>
  <c r="N1449" i="3"/>
  <c r="J1449" i="3"/>
  <c r="F1451" i="3" l="1"/>
  <c r="K1450" i="3"/>
  <c r="P1450" i="3"/>
  <c r="I1450" i="3"/>
  <c r="O1450" i="3"/>
  <c r="N1450" i="3"/>
  <c r="H1450" i="3"/>
  <c r="L1450" i="3"/>
  <c r="G1450" i="3"/>
  <c r="J1450" i="3"/>
  <c r="Q1450" i="3"/>
  <c r="R1450" i="3"/>
  <c r="F1452" i="3" l="1"/>
  <c r="H1451" i="3"/>
  <c r="R1451" i="3"/>
  <c r="I1451" i="3"/>
  <c r="Q1451" i="3"/>
  <c r="J1451" i="3"/>
  <c r="O1451" i="3"/>
  <c r="L1451" i="3"/>
  <c r="G1451" i="3"/>
  <c r="P1451" i="3"/>
  <c r="K1451" i="3"/>
  <c r="N1451" i="3"/>
  <c r="F1453" i="3" l="1"/>
  <c r="N1452" i="3"/>
  <c r="K1452" i="3"/>
  <c r="Q1452" i="3"/>
  <c r="H1452" i="3"/>
  <c r="J1452" i="3"/>
  <c r="O1452" i="3"/>
  <c r="G1452" i="3"/>
  <c r="L1452" i="3"/>
  <c r="P1452" i="3"/>
  <c r="R1452" i="3"/>
  <c r="I1452" i="3"/>
  <c r="F1454" i="3" l="1"/>
  <c r="L1453" i="3"/>
  <c r="N1453" i="3"/>
  <c r="I1453" i="3"/>
  <c r="P1453" i="3"/>
  <c r="Q1453" i="3"/>
  <c r="G1453" i="3"/>
  <c r="K1453" i="3"/>
  <c r="J1453" i="3"/>
  <c r="R1453" i="3"/>
  <c r="H1453" i="3"/>
  <c r="O1453" i="3"/>
  <c r="F1455" i="3" l="1"/>
  <c r="G1454" i="3"/>
  <c r="H1454" i="3"/>
  <c r="L1454" i="3"/>
  <c r="K1454" i="3"/>
  <c r="R1454" i="3"/>
  <c r="P1454" i="3"/>
  <c r="J1454" i="3"/>
  <c r="Q1454" i="3"/>
  <c r="N1454" i="3"/>
  <c r="O1454" i="3"/>
  <c r="I1454" i="3"/>
  <c r="F1456" i="3" l="1"/>
  <c r="L1455" i="3"/>
  <c r="G1455" i="3"/>
  <c r="P1455" i="3"/>
  <c r="I1455" i="3"/>
  <c r="O1455" i="3"/>
  <c r="J1455" i="3"/>
  <c r="K1455" i="3"/>
  <c r="R1455" i="3"/>
  <c r="N1455" i="3"/>
  <c r="Q1455" i="3"/>
  <c r="H1455" i="3"/>
  <c r="F1457" i="3" l="1"/>
  <c r="R1456" i="3"/>
  <c r="N1456" i="3"/>
  <c r="H1456" i="3"/>
  <c r="G1456" i="3"/>
  <c r="L1456" i="3"/>
  <c r="J1456" i="3"/>
  <c r="I1456" i="3"/>
  <c r="K1456" i="3"/>
  <c r="O1456" i="3"/>
  <c r="Q1456" i="3"/>
  <c r="P1456" i="3"/>
  <c r="F1458" i="3" l="1"/>
  <c r="K1457" i="3"/>
  <c r="P1457" i="3"/>
  <c r="H1457" i="3"/>
  <c r="N1457" i="3"/>
  <c r="L1457" i="3"/>
  <c r="Q1457" i="3"/>
  <c r="J1457" i="3"/>
  <c r="I1457" i="3"/>
  <c r="R1457" i="3"/>
  <c r="G1457" i="3"/>
  <c r="O1457" i="3"/>
  <c r="F1459" i="3" l="1"/>
  <c r="K1458" i="3"/>
  <c r="H1458" i="3"/>
  <c r="R1458" i="3"/>
  <c r="I1458" i="3"/>
  <c r="O1458" i="3"/>
  <c r="G1458" i="3"/>
  <c r="Q1458" i="3"/>
  <c r="J1458" i="3"/>
  <c r="L1458" i="3"/>
  <c r="P1458" i="3"/>
  <c r="N1458" i="3"/>
  <c r="F1460" i="3" l="1"/>
  <c r="Q1459" i="3"/>
  <c r="O1459" i="3"/>
  <c r="G1459" i="3"/>
  <c r="K1459" i="3"/>
  <c r="L1459" i="3"/>
  <c r="P1459" i="3"/>
  <c r="N1459" i="3"/>
  <c r="R1459" i="3"/>
  <c r="J1459" i="3"/>
  <c r="H1459" i="3"/>
  <c r="I1459" i="3"/>
  <c r="F1461" i="3" l="1"/>
  <c r="O1460" i="3"/>
  <c r="Q1460" i="3"/>
  <c r="J1460" i="3"/>
  <c r="P1460" i="3"/>
  <c r="K1460" i="3"/>
  <c r="N1460" i="3"/>
  <c r="H1460" i="3"/>
  <c r="G1460" i="3"/>
  <c r="L1460" i="3"/>
  <c r="R1460" i="3"/>
  <c r="I1460" i="3"/>
  <c r="F1462" i="3" l="1"/>
  <c r="J1461" i="3"/>
  <c r="I1461" i="3"/>
  <c r="G1461" i="3"/>
  <c r="L1461" i="3"/>
  <c r="Q1461" i="3"/>
  <c r="O1461" i="3"/>
  <c r="H1461" i="3"/>
  <c r="N1461" i="3"/>
  <c r="R1461" i="3"/>
  <c r="P1461" i="3"/>
  <c r="K1461" i="3"/>
  <c r="F1463" i="3" l="1"/>
  <c r="P1462" i="3"/>
  <c r="Q1462" i="3"/>
  <c r="J1462" i="3"/>
  <c r="O1462" i="3"/>
  <c r="R1462" i="3"/>
  <c r="K1462" i="3"/>
  <c r="N1462" i="3"/>
  <c r="G1462" i="3"/>
  <c r="H1462" i="3"/>
  <c r="I1462" i="3"/>
  <c r="L1462" i="3"/>
  <c r="F1464" i="3" l="1"/>
  <c r="R1463" i="3"/>
  <c r="J1463" i="3"/>
  <c r="H1463" i="3"/>
  <c r="Q1463" i="3"/>
  <c r="I1463" i="3"/>
  <c r="L1463" i="3"/>
  <c r="K1463" i="3"/>
  <c r="N1463" i="3"/>
  <c r="O1463" i="3"/>
  <c r="G1463" i="3"/>
  <c r="P1463" i="3"/>
  <c r="F1465" i="3" l="1"/>
  <c r="I1464" i="3"/>
  <c r="K1464" i="3"/>
  <c r="L1464" i="3"/>
  <c r="P1464" i="3"/>
  <c r="O1464" i="3"/>
  <c r="H1464" i="3"/>
  <c r="G1464" i="3"/>
  <c r="N1464" i="3"/>
  <c r="R1464" i="3"/>
  <c r="J1464" i="3"/>
  <c r="Q1464" i="3"/>
  <c r="F1466" i="3" l="1"/>
  <c r="O1465" i="3"/>
  <c r="R1465" i="3"/>
  <c r="N1465" i="3"/>
  <c r="H1465" i="3"/>
  <c r="I1465" i="3"/>
  <c r="P1465" i="3"/>
  <c r="K1465" i="3"/>
  <c r="Q1465" i="3"/>
  <c r="L1465" i="3"/>
  <c r="G1465" i="3"/>
  <c r="J1465" i="3"/>
  <c r="F1467" i="3" l="1"/>
  <c r="H1466" i="3"/>
  <c r="N1466" i="3"/>
  <c r="R1466" i="3"/>
  <c r="P1466" i="3"/>
  <c r="I1466" i="3"/>
  <c r="G1466" i="3"/>
  <c r="Q1466" i="3"/>
  <c r="O1466" i="3"/>
  <c r="L1466" i="3"/>
  <c r="K1466" i="3"/>
  <c r="J1466" i="3"/>
  <c r="F1468" i="3" l="1"/>
  <c r="H1467" i="3"/>
  <c r="L1467" i="3"/>
  <c r="J1467" i="3"/>
  <c r="P1467" i="3"/>
  <c r="K1467" i="3"/>
  <c r="G1467" i="3"/>
  <c r="I1467" i="3"/>
  <c r="O1467" i="3"/>
  <c r="R1467" i="3"/>
  <c r="N1467" i="3"/>
  <c r="Q1467" i="3"/>
  <c r="F1469" i="3" l="1"/>
  <c r="N1468" i="3"/>
  <c r="R1468" i="3"/>
  <c r="K1468" i="3"/>
  <c r="Q1468" i="3"/>
  <c r="I1468" i="3"/>
  <c r="J1468" i="3"/>
  <c r="O1468" i="3"/>
  <c r="G1468" i="3"/>
  <c r="L1468" i="3"/>
  <c r="P1468" i="3"/>
  <c r="H1468" i="3"/>
  <c r="F1470" i="3" l="1"/>
  <c r="G1469" i="3"/>
  <c r="K1469" i="3"/>
  <c r="H1469" i="3"/>
  <c r="N1469" i="3"/>
  <c r="O1469" i="3"/>
  <c r="R1469" i="3"/>
  <c r="I1469" i="3"/>
  <c r="Q1469" i="3"/>
  <c r="P1469" i="3"/>
  <c r="L1469" i="3"/>
  <c r="J1469" i="3"/>
  <c r="F1471" i="3" l="1"/>
  <c r="G1470" i="3"/>
  <c r="N1470" i="3"/>
  <c r="O1470" i="3"/>
  <c r="J1470" i="3"/>
  <c r="Q1470" i="3"/>
  <c r="K1470" i="3"/>
  <c r="P1470" i="3"/>
  <c r="H1470" i="3"/>
  <c r="I1470" i="3"/>
  <c r="L1470" i="3"/>
  <c r="R1470" i="3"/>
  <c r="F1472" i="3" l="1"/>
  <c r="L1471" i="3"/>
  <c r="G1471" i="3"/>
  <c r="I1471" i="3"/>
  <c r="O1471" i="3"/>
  <c r="H1471" i="3"/>
  <c r="K1471" i="3"/>
  <c r="J1471" i="3"/>
  <c r="P1471" i="3"/>
  <c r="R1471" i="3"/>
  <c r="N1471" i="3"/>
  <c r="Q1471" i="3"/>
  <c r="F1473" i="3" l="1"/>
  <c r="R1472" i="3"/>
  <c r="H1472" i="3"/>
  <c r="J1472" i="3"/>
  <c r="O1472" i="3"/>
  <c r="I1472" i="3"/>
  <c r="P1472" i="3"/>
  <c r="N1472" i="3"/>
  <c r="G1472" i="3"/>
  <c r="K1472" i="3"/>
  <c r="L1472" i="3"/>
  <c r="Q1472" i="3"/>
  <c r="F1474" i="3" l="1"/>
  <c r="O1473" i="3"/>
  <c r="R1473" i="3"/>
  <c r="J1473" i="3"/>
  <c r="P1473" i="3"/>
  <c r="N1473" i="3"/>
  <c r="K1473" i="3"/>
  <c r="Q1473" i="3"/>
  <c r="L1473" i="3"/>
  <c r="G1473" i="3"/>
  <c r="H1473" i="3"/>
  <c r="I1473" i="3"/>
  <c r="F1475" i="3" l="1"/>
  <c r="K1474" i="3"/>
  <c r="J1474" i="3"/>
  <c r="H1474" i="3"/>
  <c r="O1474" i="3"/>
  <c r="Q1474" i="3"/>
  <c r="G1474" i="3"/>
  <c r="R1474" i="3"/>
  <c r="I1474" i="3"/>
  <c r="L1474" i="3"/>
  <c r="P1474" i="3"/>
  <c r="N1474" i="3"/>
  <c r="F1476" i="3" l="1"/>
  <c r="Q1475" i="3"/>
  <c r="I1475" i="3"/>
  <c r="N1475" i="3"/>
  <c r="K1475" i="3"/>
  <c r="R1475" i="3"/>
  <c r="H1475" i="3"/>
  <c r="L1475" i="3"/>
  <c r="G1475" i="3"/>
  <c r="J1475" i="3"/>
  <c r="O1475" i="3"/>
  <c r="P1475" i="3"/>
  <c r="F1477" i="3" l="1"/>
  <c r="P1476" i="3"/>
  <c r="G1476" i="3"/>
  <c r="K1476" i="3"/>
  <c r="Q1476" i="3"/>
  <c r="J1476" i="3"/>
  <c r="N1476" i="3"/>
  <c r="R1476" i="3"/>
  <c r="I1476" i="3"/>
  <c r="H1476" i="3"/>
  <c r="L1476" i="3"/>
  <c r="O1476" i="3"/>
  <c r="F1478" i="3" l="1"/>
  <c r="J1477" i="3"/>
  <c r="I1477" i="3"/>
  <c r="P1477" i="3"/>
  <c r="L1477" i="3"/>
  <c r="R1477" i="3"/>
  <c r="K1477" i="3"/>
  <c r="G1477" i="3"/>
  <c r="H1477" i="3"/>
  <c r="N1477" i="3"/>
  <c r="Q1477" i="3"/>
  <c r="O1477" i="3"/>
  <c r="F1479" i="3" l="1"/>
  <c r="P1478" i="3"/>
  <c r="J1478" i="3"/>
  <c r="R1478" i="3"/>
  <c r="H1478" i="3"/>
  <c r="Q1478" i="3"/>
  <c r="O1478" i="3"/>
  <c r="I1478" i="3"/>
  <c r="L1478" i="3"/>
  <c r="K1478" i="3"/>
  <c r="N1478" i="3"/>
  <c r="G1478" i="3"/>
  <c r="Q1479" i="3" l="1"/>
  <c r="L1479" i="3"/>
  <c r="R1479" i="3"/>
  <c r="K1479" i="3"/>
  <c r="H1479" i="3"/>
  <c r="P1479" i="3"/>
  <c r="O1479" i="3"/>
  <c r="G1479" i="3"/>
  <c r="J1479" i="3"/>
  <c r="N1479" i="3"/>
  <c r="I1479" i="3"/>
  <c r="F1480" i="3"/>
  <c r="I1480" i="3" l="1"/>
  <c r="N1480" i="3"/>
  <c r="G1480" i="3"/>
  <c r="Q1480" i="3"/>
  <c r="J1480" i="3"/>
  <c r="K1480" i="3"/>
  <c r="L1480" i="3"/>
  <c r="P1480" i="3"/>
  <c r="H1480" i="3"/>
  <c r="O1480" i="3"/>
  <c r="R1480" i="3"/>
  <c r="F1481" i="3"/>
  <c r="I1481" i="3" l="1"/>
  <c r="N1481" i="3"/>
  <c r="R1481" i="3"/>
  <c r="J1481" i="3"/>
  <c r="O1481" i="3"/>
  <c r="P1481" i="3"/>
  <c r="H1481" i="3"/>
  <c r="K1481" i="3"/>
  <c r="Q1481" i="3"/>
  <c r="L1481" i="3"/>
  <c r="F1482" i="3"/>
  <c r="G1481" i="3"/>
  <c r="F1483" i="3" l="1"/>
  <c r="N1482" i="3"/>
  <c r="R1482" i="3"/>
  <c r="H1482" i="3"/>
  <c r="I1482" i="3"/>
  <c r="O1482" i="3"/>
  <c r="G1482" i="3"/>
  <c r="K1482" i="3"/>
  <c r="P1482" i="3"/>
  <c r="Q1482" i="3"/>
  <c r="J1482" i="3"/>
  <c r="L1482" i="3"/>
  <c r="F1484" i="3" l="1"/>
  <c r="J1483" i="3"/>
  <c r="K1483" i="3"/>
  <c r="P1483" i="3"/>
  <c r="N1483" i="3"/>
  <c r="H1483" i="3"/>
  <c r="Q1483" i="3"/>
  <c r="I1483" i="3"/>
  <c r="G1483" i="3"/>
  <c r="L1483" i="3"/>
  <c r="O1483" i="3"/>
  <c r="R1483" i="3"/>
  <c r="F1485" i="3" l="1"/>
  <c r="G1484" i="3"/>
  <c r="K1484" i="3"/>
  <c r="R1484" i="3"/>
  <c r="I1484" i="3"/>
  <c r="O1484" i="3"/>
  <c r="J1484" i="3"/>
  <c r="Q1484" i="3"/>
  <c r="H1484" i="3"/>
  <c r="N1484" i="3"/>
  <c r="L1484" i="3"/>
  <c r="P1484" i="3"/>
  <c r="F1486" i="3" l="1"/>
  <c r="L1485" i="3"/>
  <c r="Q1485" i="3"/>
  <c r="G1485" i="3"/>
  <c r="K1485" i="3"/>
  <c r="O1485" i="3"/>
  <c r="J1485" i="3"/>
  <c r="H1485" i="3"/>
  <c r="N1485" i="3"/>
  <c r="I1485" i="3"/>
  <c r="R1485" i="3"/>
  <c r="P1485" i="3"/>
  <c r="F1487" i="3" l="1"/>
  <c r="R1486" i="3"/>
  <c r="N1486" i="3"/>
  <c r="O1486" i="3"/>
  <c r="I1486" i="3"/>
  <c r="P1486" i="3"/>
  <c r="Q1486" i="3"/>
  <c r="L1486" i="3"/>
  <c r="H1486" i="3"/>
  <c r="K1486" i="3"/>
  <c r="G1486" i="3"/>
  <c r="J1486" i="3"/>
  <c r="F1488" i="3" l="1"/>
  <c r="J1487" i="3"/>
  <c r="H1487" i="3"/>
  <c r="O1487" i="3"/>
  <c r="L1487" i="3"/>
  <c r="I1487" i="3"/>
  <c r="K1487" i="3"/>
  <c r="R1487" i="3"/>
  <c r="Q1487" i="3"/>
  <c r="G1487" i="3"/>
  <c r="N1487" i="3"/>
  <c r="P1487" i="3"/>
  <c r="F1489" i="3" l="1"/>
  <c r="K1488" i="3"/>
  <c r="P1488" i="3"/>
  <c r="I1488" i="3"/>
  <c r="J1488" i="3"/>
  <c r="Q1488" i="3"/>
  <c r="H1488" i="3"/>
  <c r="R1488" i="3"/>
  <c r="L1488" i="3"/>
  <c r="G1488" i="3"/>
  <c r="N1488" i="3"/>
  <c r="O1488" i="3"/>
  <c r="F1490" i="3" l="1"/>
  <c r="Q1489" i="3"/>
  <c r="R1489" i="3"/>
  <c r="N1489" i="3"/>
  <c r="J1489" i="3"/>
  <c r="P1489" i="3"/>
  <c r="I1489" i="3"/>
  <c r="K1489" i="3"/>
  <c r="H1489" i="3"/>
  <c r="O1489" i="3"/>
  <c r="G1489" i="3"/>
  <c r="L1489" i="3"/>
  <c r="F1491" i="3" l="1"/>
  <c r="I1490" i="3"/>
  <c r="G1490" i="3"/>
  <c r="L1490" i="3"/>
  <c r="K1490" i="3"/>
  <c r="Q1490" i="3"/>
  <c r="J1490" i="3"/>
  <c r="O1490" i="3"/>
  <c r="R1490" i="3"/>
  <c r="H1490" i="3"/>
  <c r="P1490" i="3"/>
  <c r="N1490" i="3"/>
  <c r="F1492" i="3" l="1"/>
  <c r="J1491" i="3"/>
  <c r="O1491" i="3"/>
  <c r="N1491" i="3"/>
  <c r="P1491" i="3"/>
  <c r="Q1491" i="3"/>
  <c r="R1491" i="3"/>
  <c r="L1491" i="3"/>
  <c r="I1491" i="3"/>
  <c r="K1491" i="3"/>
  <c r="G1491" i="3"/>
  <c r="H1491" i="3"/>
  <c r="F1493" i="3" l="1"/>
  <c r="P1492" i="3"/>
  <c r="H1492" i="3"/>
  <c r="K1492" i="3"/>
  <c r="Q1492" i="3"/>
  <c r="L1492" i="3"/>
  <c r="N1492" i="3"/>
  <c r="I1492" i="3"/>
  <c r="R1492" i="3"/>
  <c r="J1492" i="3"/>
  <c r="G1492" i="3"/>
  <c r="O1492" i="3"/>
  <c r="F1494" i="3" l="1"/>
  <c r="H1493" i="3"/>
  <c r="J1493" i="3"/>
  <c r="K1493" i="3"/>
  <c r="P1493" i="3"/>
  <c r="Q1493" i="3"/>
  <c r="I1493" i="3"/>
  <c r="O1493" i="3"/>
  <c r="G1493" i="3"/>
  <c r="L1493" i="3"/>
  <c r="N1493" i="3"/>
  <c r="R1493" i="3"/>
  <c r="F1495" i="3" l="1"/>
  <c r="I1494" i="3"/>
  <c r="N1494" i="3"/>
  <c r="R1494" i="3"/>
  <c r="K1494" i="3"/>
  <c r="Q1494" i="3"/>
  <c r="J1494" i="3"/>
  <c r="H1494" i="3"/>
  <c r="O1494" i="3"/>
  <c r="G1494" i="3"/>
  <c r="P1494" i="3"/>
  <c r="L1494" i="3"/>
  <c r="F1496" i="3" l="1"/>
  <c r="O1495" i="3"/>
  <c r="G1495" i="3"/>
  <c r="K1495" i="3"/>
  <c r="Q1495" i="3"/>
  <c r="H1495" i="3"/>
  <c r="N1495" i="3"/>
  <c r="R1495" i="3"/>
  <c r="J1495" i="3"/>
  <c r="P1495" i="3"/>
  <c r="L1495" i="3"/>
  <c r="I1495" i="3"/>
  <c r="F1497" i="3" l="1"/>
  <c r="G1496" i="3"/>
  <c r="N1496" i="3"/>
  <c r="O1496" i="3"/>
  <c r="K1496" i="3"/>
  <c r="R1496" i="3"/>
  <c r="Q1496" i="3"/>
  <c r="P1496" i="3"/>
  <c r="I1496" i="3"/>
  <c r="H1496" i="3"/>
  <c r="L1496" i="3"/>
  <c r="J1496" i="3"/>
  <c r="F1498" i="3" l="1"/>
  <c r="H1497" i="3"/>
  <c r="L1497" i="3"/>
  <c r="G1497" i="3"/>
  <c r="Q1497" i="3"/>
  <c r="N1497" i="3"/>
  <c r="P1497" i="3"/>
  <c r="O1497" i="3"/>
  <c r="R1497" i="3"/>
  <c r="J1497" i="3"/>
  <c r="K1497" i="3"/>
  <c r="I1497" i="3"/>
  <c r="F1499" i="3" l="1"/>
  <c r="N1498" i="3"/>
  <c r="R1498" i="3"/>
  <c r="I1498" i="3"/>
  <c r="J1498" i="3"/>
  <c r="P1498" i="3"/>
  <c r="L1498" i="3"/>
  <c r="O1498" i="3"/>
  <c r="G1498" i="3"/>
  <c r="K1498" i="3"/>
  <c r="H1498" i="3"/>
  <c r="Q1498" i="3"/>
  <c r="F1500" i="3" l="1"/>
  <c r="Q1499" i="3"/>
  <c r="R1499" i="3"/>
  <c r="H1499" i="3"/>
  <c r="P1499" i="3"/>
  <c r="K1499" i="3"/>
  <c r="J1499" i="3"/>
  <c r="L1499" i="3"/>
  <c r="O1499" i="3"/>
  <c r="G1499" i="3"/>
  <c r="N1499" i="3"/>
  <c r="I1499" i="3"/>
  <c r="F1501" i="3" l="1"/>
  <c r="G1500" i="3"/>
  <c r="K1500" i="3"/>
  <c r="L1500" i="3"/>
  <c r="O1500" i="3"/>
  <c r="H1500" i="3"/>
  <c r="Q1500" i="3"/>
  <c r="J1500" i="3"/>
  <c r="P1500" i="3"/>
  <c r="I1500" i="3"/>
  <c r="R1500" i="3"/>
  <c r="N1500" i="3"/>
  <c r="F1502" i="3" l="1"/>
  <c r="L1501" i="3"/>
  <c r="Q1501" i="3"/>
  <c r="N1501" i="3"/>
  <c r="O1501" i="3"/>
  <c r="G1501" i="3"/>
  <c r="R1501" i="3"/>
  <c r="P1501" i="3"/>
  <c r="K1501" i="3"/>
  <c r="I1501" i="3"/>
  <c r="J1501" i="3"/>
  <c r="H1501" i="3"/>
  <c r="F1503" i="3" l="1"/>
  <c r="R1502" i="3"/>
  <c r="L1502" i="3"/>
  <c r="Q1502" i="3"/>
  <c r="G1502" i="3"/>
  <c r="K1502" i="3"/>
  <c r="N1502" i="3"/>
  <c r="H1502" i="3"/>
  <c r="J1502" i="3"/>
  <c r="O1502" i="3"/>
  <c r="I1502" i="3"/>
  <c r="P1502" i="3"/>
  <c r="F1504" i="3" l="1"/>
  <c r="J1503" i="3"/>
  <c r="I1503" i="3"/>
  <c r="K1503" i="3"/>
  <c r="Q1503" i="3"/>
  <c r="O1503" i="3"/>
  <c r="L1503" i="3"/>
  <c r="H1503" i="3"/>
  <c r="N1503" i="3"/>
  <c r="P1503" i="3"/>
  <c r="G1503" i="3"/>
  <c r="R1503" i="3"/>
  <c r="F1505" i="3" l="1"/>
  <c r="K1504" i="3"/>
  <c r="P1504" i="3"/>
  <c r="R1504" i="3"/>
  <c r="J1504" i="3"/>
  <c r="Q1504" i="3"/>
  <c r="H1504" i="3"/>
  <c r="O1504" i="3"/>
  <c r="G1504" i="3"/>
  <c r="N1504" i="3"/>
  <c r="I1504" i="3"/>
  <c r="L1504" i="3"/>
  <c r="F1506" i="3" l="1"/>
  <c r="Q1505" i="3"/>
  <c r="G1505" i="3"/>
  <c r="O1505" i="3"/>
  <c r="K1505" i="3"/>
  <c r="L1505" i="3"/>
  <c r="P1505" i="3"/>
  <c r="I1505" i="3"/>
  <c r="H1505" i="3"/>
  <c r="N1505" i="3"/>
  <c r="R1505" i="3"/>
  <c r="J1505" i="3"/>
  <c r="F1507" i="3" l="1"/>
  <c r="I1506" i="3"/>
  <c r="N1506" i="3"/>
  <c r="O1506" i="3"/>
  <c r="J1506" i="3"/>
  <c r="Q1506" i="3"/>
  <c r="L1506" i="3"/>
  <c r="K1506" i="3"/>
  <c r="P1506" i="3"/>
  <c r="H1506" i="3"/>
  <c r="G1506" i="3"/>
  <c r="R1506" i="3"/>
  <c r="F1508" i="3" l="1"/>
  <c r="J1507" i="3"/>
  <c r="O1507" i="3"/>
  <c r="N1507" i="3"/>
  <c r="H1507" i="3"/>
  <c r="L1507" i="3"/>
  <c r="G1507" i="3"/>
  <c r="Q1507" i="3"/>
  <c r="R1507" i="3"/>
  <c r="P1507" i="3"/>
  <c r="K1507" i="3"/>
  <c r="I1507" i="3"/>
  <c r="F1509" i="3" l="1"/>
  <c r="P1508" i="3"/>
  <c r="I1508" i="3"/>
  <c r="J1508" i="3"/>
  <c r="H1508" i="3"/>
  <c r="O1508" i="3"/>
  <c r="R1508" i="3"/>
  <c r="Q1508" i="3"/>
  <c r="G1508" i="3"/>
  <c r="L1508" i="3"/>
  <c r="K1508" i="3"/>
  <c r="N1508" i="3"/>
  <c r="F1510" i="3" l="1"/>
  <c r="H1509" i="3"/>
  <c r="Q1509" i="3"/>
  <c r="R1509" i="3"/>
  <c r="L1509" i="3"/>
  <c r="K1509" i="3"/>
  <c r="N1509" i="3"/>
  <c r="G1509" i="3"/>
  <c r="J1509" i="3"/>
  <c r="I1509" i="3"/>
  <c r="P1509" i="3"/>
  <c r="O1509" i="3"/>
  <c r="F1511" i="3" l="1"/>
  <c r="I1510" i="3"/>
  <c r="H1510" i="3"/>
  <c r="N1510" i="3"/>
  <c r="R1510" i="3"/>
  <c r="K1510" i="3"/>
  <c r="Q1510" i="3"/>
  <c r="L1510" i="3"/>
  <c r="J1510" i="3"/>
  <c r="O1510" i="3"/>
  <c r="P1510" i="3"/>
  <c r="G1510" i="3"/>
  <c r="F1512" i="3" l="1"/>
  <c r="O1511" i="3"/>
  <c r="K1511" i="3"/>
  <c r="L1511" i="3"/>
  <c r="R1511" i="3"/>
  <c r="I1511" i="3"/>
  <c r="G1511" i="3"/>
  <c r="P1511" i="3"/>
  <c r="H1511" i="3"/>
  <c r="N1511" i="3"/>
  <c r="Q1511" i="3"/>
  <c r="J1511" i="3"/>
  <c r="F1513" i="3" l="1"/>
  <c r="R1512" i="3"/>
  <c r="J1512" i="3"/>
  <c r="P1512" i="3"/>
  <c r="I1512" i="3"/>
  <c r="K1512" i="3"/>
  <c r="N1512" i="3"/>
  <c r="G1512" i="3"/>
  <c r="L1512" i="3"/>
  <c r="O1512" i="3"/>
  <c r="Q1512" i="3"/>
  <c r="H1512" i="3"/>
  <c r="F1514" i="3" l="1"/>
  <c r="H1513" i="3"/>
  <c r="G1513" i="3"/>
  <c r="O1513" i="3"/>
  <c r="I1513" i="3"/>
  <c r="K1513" i="3"/>
  <c r="Q1513" i="3"/>
  <c r="J1513" i="3"/>
  <c r="P1513" i="3"/>
  <c r="R1513" i="3"/>
  <c r="N1513" i="3"/>
  <c r="L1513" i="3"/>
  <c r="F1515" i="3" l="1"/>
  <c r="N1514" i="3"/>
  <c r="L1514" i="3"/>
  <c r="O1514" i="3"/>
  <c r="G1514" i="3"/>
  <c r="R1514" i="3"/>
  <c r="Q1514" i="3"/>
  <c r="I1514" i="3"/>
  <c r="K1514" i="3"/>
  <c r="P1514" i="3"/>
  <c r="H1514" i="3"/>
  <c r="J1514" i="3"/>
  <c r="F1516" i="3" l="1"/>
  <c r="K1515" i="3"/>
  <c r="P1515" i="3"/>
  <c r="L1515" i="3"/>
  <c r="R1515" i="3"/>
  <c r="J1515" i="3"/>
  <c r="O1515" i="3"/>
  <c r="N1515" i="3"/>
  <c r="H1515" i="3"/>
  <c r="G1515" i="3"/>
  <c r="I1515" i="3"/>
  <c r="Q1515" i="3"/>
  <c r="F1517" i="3" l="1"/>
  <c r="G1516" i="3"/>
  <c r="H1516" i="3"/>
  <c r="I1516" i="3"/>
  <c r="O1516" i="3"/>
  <c r="L1516" i="3"/>
  <c r="J1516" i="3"/>
  <c r="R1516" i="3"/>
  <c r="Q1516" i="3"/>
  <c r="P1516" i="3"/>
  <c r="K1516" i="3"/>
  <c r="N1516" i="3"/>
  <c r="F1518" i="3" l="1"/>
  <c r="L1517" i="3"/>
  <c r="O1517" i="3"/>
  <c r="P1517" i="3"/>
  <c r="H1517" i="3"/>
  <c r="N1517" i="3"/>
  <c r="Q1517" i="3"/>
  <c r="K1517" i="3"/>
  <c r="J1517" i="3"/>
  <c r="G1517" i="3"/>
  <c r="I1517" i="3"/>
  <c r="R1517" i="3"/>
  <c r="F1519" i="3" l="1"/>
  <c r="R1518" i="3"/>
  <c r="Q1518" i="3"/>
  <c r="K1518" i="3"/>
  <c r="I1518" i="3"/>
  <c r="L1518" i="3"/>
  <c r="P1518" i="3"/>
  <c r="N1518" i="3"/>
  <c r="G1518" i="3"/>
  <c r="J1518" i="3"/>
  <c r="H1518" i="3"/>
  <c r="O1518" i="3"/>
  <c r="F1520" i="3" l="1"/>
  <c r="I1519" i="3"/>
  <c r="J1519" i="3"/>
  <c r="L1519" i="3"/>
  <c r="Q1519" i="3"/>
  <c r="P1519" i="3"/>
  <c r="G1519" i="3"/>
  <c r="K1519" i="3"/>
  <c r="H1519" i="3"/>
  <c r="N1519" i="3"/>
  <c r="R1519" i="3"/>
  <c r="O1519" i="3"/>
  <c r="F1521" i="3" l="1"/>
  <c r="K1520" i="3"/>
  <c r="P1520" i="3"/>
  <c r="Q1520" i="3"/>
  <c r="O1520" i="3"/>
  <c r="H1520" i="3"/>
  <c r="J1520" i="3"/>
  <c r="I1520" i="3"/>
  <c r="L1520" i="3"/>
  <c r="G1520" i="3"/>
  <c r="N1520" i="3"/>
  <c r="R1520" i="3"/>
  <c r="F1522" i="3" l="1"/>
  <c r="Q1521" i="3"/>
  <c r="I1521" i="3"/>
  <c r="R1521" i="3"/>
  <c r="P1521" i="3"/>
  <c r="H1521" i="3"/>
  <c r="N1521" i="3"/>
  <c r="O1521" i="3"/>
  <c r="J1521" i="3"/>
  <c r="K1521" i="3"/>
  <c r="L1521" i="3"/>
  <c r="G1521" i="3"/>
  <c r="F1523" i="3" l="1"/>
  <c r="J1522" i="3"/>
  <c r="K1522" i="3"/>
  <c r="N1522" i="3"/>
  <c r="R1522" i="3"/>
  <c r="G1522" i="3"/>
  <c r="O1522" i="3"/>
  <c r="I1522" i="3"/>
  <c r="P1522" i="3"/>
  <c r="L1522" i="3"/>
  <c r="Q1522" i="3"/>
  <c r="H1522" i="3"/>
  <c r="F1524" i="3" l="1"/>
  <c r="J1523" i="3"/>
  <c r="Q1523" i="3"/>
  <c r="R1523" i="3"/>
  <c r="O1523" i="3"/>
  <c r="N1523" i="3"/>
  <c r="G1523" i="3"/>
  <c r="L1523" i="3"/>
  <c r="H1523" i="3"/>
  <c r="K1523" i="3"/>
  <c r="I1523" i="3"/>
  <c r="P1523" i="3"/>
  <c r="F1525" i="3" l="1"/>
  <c r="P1524" i="3"/>
  <c r="J1524" i="3"/>
  <c r="O1524" i="3"/>
  <c r="I1524" i="3"/>
  <c r="Q1524" i="3"/>
  <c r="H1524" i="3"/>
  <c r="L1524" i="3"/>
  <c r="K1524" i="3"/>
  <c r="N1524" i="3"/>
  <c r="R1524" i="3"/>
  <c r="G1524" i="3"/>
  <c r="F1526" i="3" l="1"/>
  <c r="K1525" i="3"/>
  <c r="L1525" i="3"/>
  <c r="N1525" i="3"/>
  <c r="O1525" i="3"/>
  <c r="J1525" i="3"/>
  <c r="Q1525" i="3"/>
  <c r="H1525" i="3"/>
  <c r="P1525" i="3"/>
  <c r="R1525" i="3"/>
  <c r="I1525" i="3"/>
  <c r="G1525" i="3"/>
  <c r="F1527" i="3" l="1"/>
  <c r="I1526" i="3"/>
  <c r="R1526" i="3"/>
  <c r="G1526" i="3"/>
  <c r="L1526" i="3"/>
  <c r="K1526" i="3"/>
  <c r="Q1526" i="3"/>
  <c r="J1526" i="3"/>
  <c r="N1526" i="3"/>
  <c r="H1526" i="3"/>
  <c r="P1526" i="3"/>
  <c r="O1526" i="3"/>
  <c r="F1528" i="3" l="1"/>
  <c r="O1527" i="3"/>
  <c r="G1527" i="3"/>
  <c r="Q1527" i="3"/>
  <c r="J1527" i="3"/>
  <c r="I1527" i="3"/>
  <c r="H1527" i="3"/>
  <c r="L1527" i="3"/>
  <c r="P1527" i="3"/>
  <c r="K1527" i="3"/>
  <c r="R1527" i="3"/>
  <c r="N1527" i="3"/>
  <c r="F1529" i="3" l="1"/>
  <c r="L1528" i="3"/>
  <c r="N1528" i="3"/>
  <c r="I1528" i="3"/>
  <c r="O1528" i="3"/>
  <c r="K1528" i="3"/>
  <c r="H1528" i="3"/>
  <c r="Q1528" i="3"/>
  <c r="J1528" i="3"/>
  <c r="G1528" i="3"/>
  <c r="P1528" i="3"/>
  <c r="R1528" i="3"/>
  <c r="F1530" i="3" l="1"/>
  <c r="H1529" i="3"/>
  <c r="N1529" i="3"/>
  <c r="R1529" i="3"/>
  <c r="G1529" i="3"/>
  <c r="I1529" i="3"/>
  <c r="J1529" i="3"/>
  <c r="P1529" i="3"/>
  <c r="K1529" i="3"/>
  <c r="Q1529" i="3"/>
  <c r="O1529" i="3"/>
  <c r="L1529" i="3"/>
  <c r="F1531" i="3" l="1"/>
  <c r="N1530" i="3"/>
  <c r="G1530" i="3"/>
  <c r="H1530" i="3"/>
  <c r="Q1530" i="3"/>
  <c r="P1530" i="3"/>
  <c r="O1530" i="3"/>
  <c r="J1530" i="3"/>
  <c r="I1530" i="3"/>
  <c r="K1530" i="3"/>
  <c r="L1530" i="3"/>
  <c r="R1530" i="3"/>
  <c r="F1532" i="3" l="1"/>
  <c r="N1531" i="3"/>
  <c r="O1531" i="3"/>
  <c r="J1531" i="3"/>
  <c r="Q1531" i="3"/>
  <c r="I1531" i="3"/>
  <c r="R1531" i="3"/>
  <c r="G1531" i="3"/>
  <c r="P1531" i="3"/>
  <c r="H1531" i="3"/>
  <c r="L1531" i="3"/>
  <c r="K1531" i="3"/>
  <c r="F1533" i="3" l="1"/>
  <c r="G1532" i="3"/>
  <c r="N1532" i="3"/>
  <c r="Q1532" i="3"/>
  <c r="P1532" i="3"/>
  <c r="K1532" i="3"/>
  <c r="I1532" i="3"/>
  <c r="L1532" i="3"/>
  <c r="J1532" i="3"/>
  <c r="R1532" i="3"/>
  <c r="H1532" i="3"/>
  <c r="O1532" i="3"/>
  <c r="F1534" i="3" l="1"/>
  <c r="L1533" i="3"/>
  <c r="H1533" i="3"/>
  <c r="I1533" i="3"/>
  <c r="G1533" i="3"/>
  <c r="O1533" i="3"/>
  <c r="N1533" i="3"/>
  <c r="Q1533" i="3"/>
  <c r="P1533" i="3"/>
  <c r="K1533" i="3"/>
  <c r="J1533" i="3"/>
  <c r="R1533" i="3"/>
  <c r="F1535" i="3" l="1"/>
  <c r="R1534" i="3"/>
  <c r="O1534" i="3"/>
  <c r="P1534" i="3"/>
  <c r="J1534" i="3"/>
  <c r="K1534" i="3"/>
  <c r="Q1534" i="3"/>
  <c r="I1534" i="3"/>
  <c r="L1534" i="3"/>
  <c r="N1534" i="3"/>
  <c r="H1534" i="3"/>
  <c r="G1534" i="3"/>
  <c r="F1536" i="3" l="1"/>
  <c r="G1535" i="3"/>
  <c r="K1535" i="3"/>
  <c r="I1535" i="3"/>
  <c r="O1535" i="3"/>
  <c r="H1535" i="3"/>
  <c r="J1535" i="3"/>
  <c r="N1535" i="3"/>
  <c r="Q1535" i="3"/>
  <c r="P1535" i="3"/>
  <c r="R1535" i="3"/>
  <c r="L1535" i="3"/>
  <c r="F1537" i="3" l="1"/>
  <c r="K1536" i="3"/>
  <c r="I1536" i="3"/>
  <c r="J1536" i="3"/>
  <c r="P1536" i="3"/>
  <c r="G1536" i="3"/>
  <c r="L1536" i="3"/>
  <c r="Q1536" i="3"/>
  <c r="H1536" i="3"/>
  <c r="O1536" i="3"/>
  <c r="N1536" i="3"/>
  <c r="R1536" i="3"/>
  <c r="F1538" i="3" l="1"/>
  <c r="Q1537" i="3"/>
  <c r="P1537" i="3"/>
  <c r="R1537" i="3"/>
  <c r="H1537" i="3"/>
  <c r="J1537" i="3"/>
  <c r="O1537" i="3"/>
  <c r="I1537" i="3"/>
  <c r="G1537" i="3"/>
  <c r="N1537" i="3"/>
  <c r="K1537" i="3"/>
  <c r="L1537" i="3"/>
  <c r="F1539" i="3" l="1"/>
  <c r="L1538" i="3"/>
  <c r="Q1538" i="3"/>
  <c r="G1538" i="3"/>
  <c r="H1538" i="3"/>
  <c r="R1538" i="3"/>
  <c r="O1538" i="3"/>
  <c r="K1538" i="3"/>
  <c r="P1538" i="3"/>
  <c r="N1538" i="3"/>
  <c r="I1538" i="3"/>
  <c r="J1538" i="3"/>
  <c r="F1540" i="3" l="1"/>
  <c r="J1539" i="3"/>
  <c r="K1539" i="3"/>
  <c r="L1539" i="3"/>
  <c r="P1539" i="3"/>
  <c r="N1539" i="3"/>
  <c r="Q1539" i="3"/>
  <c r="G1539" i="3"/>
  <c r="H1539" i="3"/>
  <c r="I1539" i="3"/>
  <c r="R1539" i="3"/>
  <c r="O1539" i="3"/>
  <c r="F1541" i="3" l="1"/>
  <c r="P1540" i="3"/>
  <c r="R1540" i="3"/>
  <c r="I1540" i="3"/>
  <c r="N1540" i="3"/>
  <c r="G1540" i="3"/>
  <c r="K1540" i="3"/>
  <c r="H1540" i="3"/>
  <c r="L1540" i="3"/>
  <c r="Q1540" i="3"/>
  <c r="J1540" i="3"/>
  <c r="O1540" i="3"/>
  <c r="F1542" i="3" l="1"/>
  <c r="G1541" i="3"/>
  <c r="R1541" i="3"/>
  <c r="L1541" i="3"/>
  <c r="O1541" i="3"/>
  <c r="K1541" i="3"/>
  <c r="P1541" i="3"/>
  <c r="J1541" i="3"/>
  <c r="Q1541" i="3"/>
  <c r="I1541" i="3"/>
  <c r="N1541" i="3"/>
  <c r="H1541" i="3"/>
  <c r="F1543" i="3" l="1"/>
  <c r="I1542" i="3"/>
  <c r="L1542" i="3"/>
  <c r="N1542" i="3"/>
  <c r="K1542" i="3"/>
  <c r="H1542" i="3"/>
  <c r="J1542" i="3"/>
  <c r="R1542" i="3"/>
  <c r="G1542" i="3"/>
  <c r="Q1542" i="3"/>
  <c r="P1542" i="3"/>
  <c r="O1542" i="3"/>
  <c r="F1544" i="3" l="1"/>
  <c r="O1543" i="3"/>
  <c r="P1543" i="3"/>
  <c r="I1543" i="3"/>
  <c r="Q1543" i="3"/>
  <c r="R1543" i="3"/>
  <c r="H1543" i="3"/>
  <c r="G1543" i="3"/>
  <c r="J1543" i="3"/>
  <c r="K1543" i="3"/>
  <c r="N1543" i="3"/>
  <c r="L1543" i="3"/>
  <c r="F1545" i="3" l="1"/>
  <c r="G1544" i="3"/>
  <c r="H1544" i="3"/>
  <c r="J1544" i="3"/>
  <c r="R1544" i="3"/>
  <c r="L1544" i="3"/>
  <c r="P1544" i="3"/>
  <c r="Q1544" i="3"/>
  <c r="N1544" i="3"/>
  <c r="K1544" i="3"/>
  <c r="O1544" i="3"/>
  <c r="I1544" i="3"/>
  <c r="F1546" i="3" l="1"/>
  <c r="H1545" i="3"/>
  <c r="N1545" i="3"/>
  <c r="O1545" i="3"/>
  <c r="L1545" i="3"/>
  <c r="J1545" i="3"/>
  <c r="I1545" i="3"/>
  <c r="G1545" i="3"/>
  <c r="P1545" i="3"/>
  <c r="K1545" i="3"/>
  <c r="Q1545" i="3"/>
  <c r="R1545" i="3"/>
  <c r="F1547" i="3" l="1"/>
  <c r="N1546" i="3"/>
  <c r="G1546" i="3"/>
  <c r="P1546" i="3"/>
  <c r="H1546" i="3"/>
  <c r="L1546" i="3"/>
  <c r="K1546" i="3"/>
  <c r="I1546" i="3"/>
  <c r="R1546" i="3"/>
  <c r="Q1546" i="3"/>
  <c r="J1546" i="3"/>
  <c r="O1546" i="3"/>
  <c r="F1548" i="3" l="1"/>
  <c r="H1547" i="3"/>
  <c r="I1547" i="3"/>
  <c r="K1547" i="3"/>
  <c r="P1547" i="3"/>
  <c r="J1547" i="3"/>
  <c r="Q1547" i="3"/>
  <c r="R1547" i="3"/>
  <c r="N1547" i="3"/>
  <c r="G1547" i="3"/>
  <c r="L1547" i="3"/>
  <c r="O1547" i="3"/>
  <c r="F1549" i="3" l="1"/>
  <c r="G1548" i="3"/>
  <c r="O1548" i="3"/>
  <c r="P1548" i="3"/>
  <c r="L1548" i="3"/>
  <c r="I1548" i="3"/>
  <c r="Q1548" i="3"/>
  <c r="J1548" i="3"/>
  <c r="H1548" i="3"/>
  <c r="N1548" i="3"/>
  <c r="R1548" i="3"/>
  <c r="K1548" i="3"/>
  <c r="F1550" i="3" l="1"/>
  <c r="L1549" i="3"/>
  <c r="H1549" i="3"/>
  <c r="N1549" i="3"/>
  <c r="P1549" i="3"/>
  <c r="G1549" i="3"/>
  <c r="J1549" i="3"/>
  <c r="I1549" i="3"/>
  <c r="O1549" i="3"/>
  <c r="R1549" i="3"/>
  <c r="Q1549" i="3"/>
  <c r="K1549" i="3"/>
  <c r="F1551" i="3" l="1"/>
  <c r="R1550" i="3"/>
  <c r="I1550" i="3"/>
  <c r="J1550" i="3"/>
  <c r="Q1550" i="3"/>
  <c r="K1550" i="3"/>
  <c r="L1550" i="3"/>
  <c r="H1550" i="3"/>
  <c r="O1550" i="3"/>
  <c r="P1550" i="3"/>
  <c r="G1550" i="3"/>
  <c r="N1550" i="3"/>
  <c r="F1552" i="3" l="1"/>
  <c r="P1551" i="3"/>
  <c r="Q1551" i="3"/>
  <c r="J1551" i="3"/>
  <c r="G1551" i="3"/>
  <c r="L1551" i="3"/>
  <c r="H1551" i="3"/>
  <c r="K1551" i="3"/>
  <c r="I1551" i="3"/>
  <c r="N1551" i="3"/>
  <c r="O1551" i="3"/>
  <c r="R1551" i="3"/>
  <c r="F1553" i="3" l="1"/>
  <c r="K1552" i="3"/>
  <c r="O1552" i="3"/>
  <c r="H1552" i="3"/>
  <c r="N1552" i="3"/>
  <c r="I1552" i="3"/>
  <c r="Q1552" i="3"/>
  <c r="J1552" i="3"/>
  <c r="G1552" i="3"/>
  <c r="P1552" i="3"/>
  <c r="R1552" i="3"/>
  <c r="L1552" i="3"/>
  <c r="F1554" i="3" l="1"/>
  <c r="Q1553" i="3"/>
  <c r="J1553" i="3"/>
  <c r="K1553" i="3"/>
  <c r="G1553" i="3"/>
  <c r="R1553" i="3"/>
  <c r="H1553" i="3"/>
  <c r="O1553" i="3"/>
  <c r="I1553" i="3"/>
  <c r="N1553" i="3"/>
  <c r="P1553" i="3"/>
  <c r="L1553" i="3"/>
  <c r="F1555" i="3" l="1"/>
  <c r="Q1554" i="3"/>
  <c r="R1554" i="3"/>
  <c r="K1554" i="3"/>
  <c r="P1554" i="3"/>
  <c r="O1554" i="3"/>
  <c r="N1554" i="3"/>
  <c r="G1554" i="3"/>
  <c r="H1554" i="3"/>
  <c r="J1554" i="3"/>
  <c r="L1554" i="3"/>
  <c r="I1554" i="3"/>
  <c r="F1556" i="3" l="1"/>
  <c r="J1555" i="3"/>
  <c r="O1555" i="3"/>
  <c r="K1555" i="3"/>
  <c r="L1555" i="3"/>
  <c r="N1555" i="3"/>
  <c r="I1555" i="3"/>
  <c r="P1555" i="3"/>
  <c r="Q1555" i="3"/>
  <c r="H1555" i="3"/>
  <c r="R1555" i="3"/>
  <c r="G1555" i="3"/>
  <c r="F1557" i="3" l="1"/>
  <c r="P1556" i="3"/>
  <c r="K1556" i="3"/>
  <c r="L1556" i="3"/>
  <c r="H1556" i="3"/>
  <c r="O1556" i="3"/>
  <c r="J1556" i="3"/>
  <c r="Q1556" i="3"/>
  <c r="G1556" i="3"/>
  <c r="N1556" i="3"/>
  <c r="R1556" i="3"/>
  <c r="I1556" i="3"/>
  <c r="F1558" i="3" l="1"/>
  <c r="R1557" i="3"/>
  <c r="Q1557" i="3"/>
  <c r="K1557" i="3"/>
  <c r="G1557" i="3"/>
  <c r="L1557" i="3"/>
  <c r="I1557" i="3"/>
  <c r="P1557" i="3"/>
  <c r="H1557" i="3"/>
  <c r="N1557" i="3"/>
  <c r="J1557" i="3"/>
  <c r="O1557" i="3"/>
  <c r="F1559" i="3" l="1"/>
  <c r="I1558" i="3"/>
  <c r="G1558" i="3"/>
  <c r="L1558" i="3"/>
  <c r="Q1558" i="3"/>
  <c r="N1558" i="3"/>
  <c r="R1558" i="3"/>
  <c r="H1558" i="3"/>
  <c r="J1558" i="3"/>
  <c r="K1558" i="3"/>
  <c r="O1558" i="3"/>
  <c r="P1558" i="3"/>
  <c r="F1560" i="3" l="1"/>
  <c r="O1559" i="3"/>
  <c r="L1559" i="3"/>
  <c r="N1559" i="3"/>
  <c r="Q1559" i="3"/>
  <c r="H1559" i="3"/>
  <c r="G1559" i="3"/>
  <c r="P1559" i="3"/>
  <c r="R1559" i="3"/>
  <c r="I1559" i="3"/>
  <c r="J1559" i="3"/>
  <c r="K1559" i="3"/>
  <c r="F1561" i="3" l="1"/>
  <c r="I1560" i="3"/>
  <c r="Q1560" i="3"/>
  <c r="K1560" i="3"/>
  <c r="J1560" i="3"/>
  <c r="N1560" i="3"/>
  <c r="G1560" i="3"/>
  <c r="L1560" i="3"/>
  <c r="P1560" i="3"/>
  <c r="H1560" i="3"/>
  <c r="R1560" i="3"/>
  <c r="O1560" i="3"/>
  <c r="F1562" i="3" l="1"/>
  <c r="H1561" i="3"/>
  <c r="G1561" i="3"/>
  <c r="I1561" i="3"/>
  <c r="N1561" i="3"/>
  <c r="R1561" i="3"/>
  <c r="K1561" i="3"/>
  <c r="Q1561" i="3"/>
  <c r="L1561" i="3"/>
  <c r="O1561" i="3"/>
  <c r="J1561" i="3"/>
  <c r="P1561" i="3"/>
  <c r="F1563" i="3" l="1"/>
  <c r="N1562" i="3"/>
  <c r="O1562" i="3"/>
  <c r="P1562" i="3"/>
  <c r="Q1562" i="3"/>
  <c r="I1562" i="3"/>
  <c r="R1562" i="3"/>
  <c r="K1562" i="3"/>
  <c r="J1562" i="3"/>
  <c r="G1562" i="3"/>
  <c r="H1562" i="3"/>
  <c r="L1562" i="3"/>
  <c r="F1564" i="3" l="1"/>
  <c r="J1563" i="3"/>
  <c r="O1563" i="3"/>
  <c r="L1563" i="3"/>
  <c r="R1563" i="3"/>
  <c r="Q1563" i="3"/>
  <c r="I1563" i="3"/>
  <c r="N1563" i="3"/>
  <c r="G1563" i="3"/>
  <c r="K1563" i="3"/>
  <c r="P1563" i="3"/>
  <c r="H1563" i="3"/>
  <c r="F1565" i="3" l="1"/>
  <c r="G1564" i="3"/>
  <c r="I1564" i="3"/>
  <c r="J1564" i="3"/>
  <c r="N1564" i="3"/>
  <c r="P1564" i="3"/>
  <c r="O1564" i="3"/>
  <c r="H1564" i="3"/>
  <c r="L1564" i="3"/>
  <c r="R1564" i="3"/>
  <c r="K1564" i="3"/>
  <c r="Q1564" i="3"/>
  <c r="F1566" i="3" l="1"/>
  <c r="L1565" i="3"/>
  <c r="P1565" i="3"/>
  <c r="Q1565" i="3"/>
  <c r="G1565" i="3"/>
  <c r="K1565" i="3"/>
  <c r="O1565" i="3"/>
  <c r="I1565" i="3"/>
  <c r="J1565" i="3"/>
  <c r="H1565" i="3"/>
  <c r="N1565" i="3"/>
  <c r="R1565" i="3"/>
  <c r="F1567" i="3" l="1"/>
  <c r="R1566" i="3"/>
  <c r="P1566" i="3"/>
  <c r="J1566" i="3"/>
  <c r="I1566" i="3"/>
  <c r="L1566" i="3"/>
  <c r="K1566" i="3"/>
  <c r="O1566" i="3"/>
  <c r="G1566" i="3"/>
  <c r="Q1566" i="3"/>
  <c r="H1566" i="3"/>
  <c r="N1566" i="3"/>
  <c r="F1568" i="3" l="1"/>
  <c r="J1567" i="3"/>
  <c r="K1567" i="3"/>
  <c r="I1567" i="3"/>
  <c r="Q1567" i="3"/>
  <c r="H1567" i="3"/>
  <c r="P1567" i="3"/>
  <c r="O1567" i="3"/>
  <c r="N1567" i="3"/>
  <c r="R1567" i="3"/>
  <c r="L1567" i="3"/>
  <c r="G1567" i="3"/>
  <c r="F1569" i="3" l="1"/>
  <c r="K1568" i="3"/>
  <c r="Q1568" i="3"/>
  <c r="R1568" i="3"/>
  <c r="N1568" i="3"/>
  <c r="G1568" i="3"/>
  <c r="J1568" i="3"/>
  <c r="H1568" i="3"/>
  <c r="L1568" i="3"/>
  <c r="P1568" i="3"/>
  <c r="I1568" i="3"/>
  <c r="O1568" i="3"/>
  <c r="F1570" i="3" l="1"/>
  <c r="Q1569" i="3"/>
  <c r="H1569" i="3"/>
  <c r="P1569" i="3"/>
  <c r="N1569" i="3"/>
  <c r="G1569" i="3"/>
  <c r="K1569" i="3"/>
  <c r="O1569" i="3"/>
  <c r="I1569" i="3"/>
  <c r="L1569" i="3"/>
  <c r="R1569" i="3"/>
  <c r="J1569" i="3"/>
  <c r="F1571" i="3" l="1"/>
  <c r="K1570" i="3"/>
  <c r="L1570" i="3"/>
  <c r="J1570" i="3"/>
  <c r="Q1570" i="3"/>
  <c r="G1570" i="3"/>
  <c r="O1570" i="3"/>
  <c r="I1570" i="3"/>
  <c r="R1570" i="3"/>
  <c r="N1570" i="3"/>
  <c r="P1570" i="3"/>
  <c r="H1570" i="3"/>
  <c r="J1571" i="3" l="1"/>
  <c r="R1571" i="3"/>
  <c r="N1571" i="3"/>
  <c r="K1571" i="3"/>
  <c r="Q1571" i="3"/>
  <c r="L1571" i="3"/>
  <c r="O1571" i="3"/>
  <c r="P1571" i="3"/>
  <c r="I1571" i="3"/>
  <c r="G1571" i="3"/>
  <c r="H1571" i="3"/>
  <c r="G5" i="3" a="1"/>
  <c r="G5" i="3"/>
  <c r="H5" i="3" a="1"/>
  <c r="H5" i="3"/>
  <c r="I5" i="3" a="1"/>
  <c r="I5" i="3"/>
  <c r="J5" i="3" a="1"/>
  <c r="J5" i="3"/>
  <c r="K5" i="3" a="1"/>
  <c r="K5" i="3"/>
  <c r="L5" i="3"/>
  <c r="N5" i="3"/>
  <c r="O5" i="3"/>
  <c r="P5" i="3"/>
  <c r="Q5" i="3"/>
  <c r="R5" i="3"/>
  <c r="T10" i="3"/>
  <c r="U10" i="3"/>
  <c r="V10" i="3"/>
  <c r="W10" i="3"/>
  <c r="X10" i="3"/>
  <c r="Y10" i="3"/>
  <c r="Z10" i="3"/>
  <c r="AA10" i="3"/>
  <c r="AC10" i="3"/>
  <c r="AD10" i="3"/>
  <c r="F11" i="3"/>
  <c r="T11" i="3"/>
  <c r="U11" i="3"/>
  <c r="V11" i="3"/>
  <c r="W11" i="3"/>
  <c r="X11" i="3"/>
  <c r="Y11" i="3"/>
  <c r="Z11" i="3"/>
  <c r="AA11" i="3"/>
  <c r="AC11" i="3"/>
  <c r="AD11" i="3"/>
  <c r="F12" i="3"/>
  <c r="T12" i="3"/>
  <c r="U12" i="3"/>
  <c r="V12" i="3"/>
  <c r="W12" i="3"/>
  <c r="X12" i="3"/>
  <c r="Y12" i="3"/>
  <c r="Z12" i="3"/>
  <c r="AA12" i="3"/>
  <c r="AC12" i="3"/>
  <c r="AD12" i="3"/>
  <c r="F13" i="3" a="1"/>
  <c r="F13" i="3"/>
  <c r="T13" i="3"/>
  <c r="U13" i="3"/>
  <c r="V13" i="3"/>
  <c r="W13" i="3"/>
  <c r="X13" i="3"/>
  <c r="Y13" i="3"/>
  <c r="Z13" i="3"/>
  <c r="AA13" i="3"/>
  <c r="AC13" i="3"/>
  <c r="AD13" i="3"/>
  <c r="T14" i="3"/>
  <c r="U14" i="3"/>
  <c r="V14" i="3"/>
  <c r="W14" i="3"/>
  <c r="X14" i="3"/>
  <c r="Y14" i="3"/>
  <c r="Z14" i="3"/>
  <c r="AA14" i="3"/>
  <c r="AC14" i="3"/>
  <c r="AD14" i="3"/>
  <c r="T15" i="3"/>
  <c r="U15" i="3"/>
  <c r="V15" i="3"/>
  <c r="W15" i="3"/>
  <c r="X15" i="3"/>
  <c r="Y15" i="3"/>
  <c r="Z15" i="3"/>
  <c r="AA15" i="3"/>
  <c r="AC15" i="3"/>
  <c r="AD15" i="3"/>
  <c r="T16" i="3"/>
  <c r="U16" i="3"/>
  <c r="V16" i="3"/>
  <c r="W16" i="3"/>
  <c r="X16" i="3"/>
  <c r="Y16" i="3"/>
  <c r="Z16" i="3"/>
  <c r="AA16" i="3"/>
  <c r="AC16" i="3"/>
  <c r="AD16" i="3"/>
  <c r="G17" i="3"/>
  <c r="H17" i="3"/>
  <c r="I17" i="3"/>
  <c r="J17" i="3"/>
  <c r="K17" i="3"/>
  <c r="L17" i="3"/>
  <c r="N17" i="3"/>
  <c r="O17" i="3"/>
  <c r="P17" i="3"/>
  <c r="Q17" i="3"/>
  <c r="R17" i="3"/>
  <c r="T17" i="3"/>
  <c r="U17" i="3"/>
  <c r="V17" i="3"/>
  <c r="W17" i="3"/>
  <c r="X17" i="3"/>
  <c r="Y17" i="3"/>
  <c r="Z17" i="3"/>
  <c r="AA17" i="3"/>
  <c r="AC17" i="3"/>
  <c r="AD17" i="3"/>
  <c r="G18" i="3"/>
  <c r="H18" i="3"/>
  <c r="I18" i="3"/>
  <c r="J18" i="3"/>
  <c r="K18" i="3"/>
  <c r="L18" i="3"/>
  <c r="N18" i="3"/>
  <c r="O18" i="3"/>
  <c r="P18" i="3"/>
  <c r="Q18" i="3"/>
  <c r="R18" i="3"/>
  <c r="T18" i="3"/>
  <c r="U18" i="3"/>
  <c r="V18" i="3"/>
  <c r="W18" i="3"/>
  <c r="X18" i="3"/>
  <c r="Y18" i="3"/>
  <c r="Z18" i="3"/>
  <c r="AA18" i="3"/>
  <c r="AC18" i="3"/>
  <c r="AD18" i="3"/>
  <c r="G19" i="3"/>
  <c r="H19" i="3"/>
  <c r="I19" i="3"/>
  <c r="J19" i="3"/>
  <c r="K19" i="3"/>
  <c r="L19" i="3"/>
  <c r="N19" i="3"/>
  <c r="O19" i="3"/>
  <c r="P19" i="3"/>
  <c r="Q19" i="3"/>
  <c r="R19" i="3"/>
  <c r="T19" i="3"/>
  <c r="U19" i="3"/>
  <c r="V19" i="3"/>
  <c r="W19" i="3"/>
  <c r="X19" i="3"/>
  <c r="Y19" i="3"/>
  <c r="Z19" i="3"/>
  <c r="AA19" i="3"/>
  <c r="AC19" i="3"/>
  <c r="AD19" i="3"/>
  <c r="G20" i="3"/>
  <c r="H20" i="3"/>
  <c r="I20" i="3"/>
  <c r="J20" i="3"/>
  <c r="K20" i="3"/>
  <c r="L20" i="3"/>
  <c r="N20" i="3"/>
  <c r="O20" i="3"/>
  <c r="P20" i="3"/>
  <c r="Q20" i="3"/>
  <c r="R20" i="3"/>
  <c r="T20" i="3"/>
  <c r="U20" i="3"/>
  <c r="V20" i="3"/>
  <c r="W20" i="3"/>
  <c r="X20" i="3"/>
  <c r="Y20" i="3"/>
  <c r="Z20" i="3"/>
  <c r="AA20" i="3"/>
  <c r="AC20" i="3"/>
  <c r="AD20" i="3"/>
  <c r="G21" i="3"/>
  <c r="H21" i="3"/>
  <c r="I21" i="3"/>
  <c r="J21" i="3"/>
  <c r="K21" i="3"/>
  <c r="L21" i="3"/>
  <c r="N21" i="3"/>
  <c r="O21" i="3"/>
  <c r="P21" i="3"/>
  <c r="Q21" i="3"/>
  <c r="R21" i="3"/>
  <c r="T21" i="3"/>
  <c r="U21" i="3"/>
  <c r="V21" i="3"/>
  <c r="W21" i="3"/>
  <c r="X21" i="3"/>
  <c r="Y21" i="3"/>
  <c r="Z21" i="3"/>
  <c r="AA21" i="3"/>
  <c r="AC21" i="3"/>
  <c r="AD21" i="3"/>
  <c r="G22" i="3"/>
  <c r="H22" i="3"/>
  <c r="I22" i="3"/>
  <c r="J22" i="3"/>
  <c r="K22" i="3"/>
  <c r="L22" i="3"/>
  <c r="N22" i="3"/>
  <c r="O22" i="3"/>
  <c r="P22" i="3"/>
  <c r="Q22" i="3"/>
  <c r="R22" i="3"/>
  <c r="T22" i="3"/>
  <c r="U22" i="3"/>
  <c r="V22" i="3"/>
  <c r="W22" i="3"/>
  <c r="X22" i="3"/>
  <c r="Y22" i="3"/>
  <c r="Z22" i="3"/>
  <c r="AA22" i="3"/>
  <c r="AC22" i="3"/>
  <c r="AD22" i="3"/>
  <c r="G23" i="3"/>
  <c r="H23" i="3"/>
  <c r="I23" i="3"/>
  <c r="J23" i="3"/>
  <c r="K23" i="3"/>
  <c r="L23" i="3"/>
  <c r="N23" i="3"/>
  <c r="O23" i="3"/>
  <c r="P23" i="3"/>
  <c r="Q23" i="3"/>
  <c r="R23" i="3"/>
  <c r="T23" i="3"/>
  <c r="U23" i="3"/>
  <c r="V23" i="3"/>
  <c r="W23" i="3"/>
  <c r="X23" i="3"/>
  <c r="Y23" i="3"/>
  <c r="Z23" i="3"/>
  <c r="AA23" i="3"/>
  <c r="AC23" i="3"/>
  <c r="AD23" i="3"/>
  <c r="G24" i="3"/>
  <c r="H24" i="3"/>
  <c r="I24" i="3"/>
  <c r="J24" i="3"/>
  <c r="K24" i="3"/>
  <c r="L24" i="3"/>
  <c r="N24" i="3"/>
  <c r="O24" i="3"/>
  <c r="P24" i="3"/>
  <c r="Q24" i="3"/>
  <c r="R24" i="3"/>
  <c r="T24" i="3"/>
  <c r="U24" i="3"/>
  <c r="V24" i="3"/>
  <c r="W24" i="3"/>
  <c r="X24" i="3"/>
  <c r="Y24" i="3"/>
  <c r="Z24" i="3"/>
  <c r="AA24" i="3"/>
  <c r="AC24" i="3"/>
  <c r="AD24" i="3"/>
  <c r="G25" i="3"/>
  <c r="H25" i="3"/>
  <c r="I25" i="3"/>
  <c r="J25" i="3"/>
  <c r="K25" i="3"/>
  <c r="L25" i="3"/>
  <c r="N25" i="3"/>
  <c r="O25" i="3"/>
  <c r="P25" i="3"/>
  <c r="Q25" i="3"/>
  <c r="R25" i="3"/>
  <c r="T25" i="3"/>
  <c r="U25" i="3"/>
  <c r="V25" i="3"/>
  <c r="W25" i="3"/>
  <c r="X25" i="3"/>
  <c r="Y25" i="3"/>
  <c r="Z25" i="3"/>
  <c r="AA25" i="3"/>
  <c r="AC25" i="3"/>
  <c r="AD25" i="3"/>
  <c r="G26" i="3"/>
  <c r="H26" i="3"/>
  <c r="I26" i="3"/>
  <c r="J26" i="3"/>
  <c r="K26" i="3"/>
  <c r="L26" i="3"/>
  <c r="N26" i="3"/>
  <c r="O26" i="3"/>
  <c r="P26" i="3"/>
  <c r="Q26" i="3"/>
  <c r="R26" i="3"/>
  <c r="T26" i="3"/>
  <c r="U26" i="3"/>
  <c r="V26" i="3"/>
  <c r="W26" i="3"/>
  <c r="X26" i="3"/>
  <c r="Y26" i="3"/>
  <c r="Z26" i="3"/>
  <c r="AA26" i="3"/>
  <c r="AC26" i="3"/>
  <c r="AD26" i="3"/>
  <c r="G27" i="3"/>
  <c r="H27" i="3"/>
  <c r="I27" i="3"/>
  <c r="J27" i="3"/>
  <c r="K27" i="3"/>
  <c r="L27" i="3"/>
  <c r="N27" i="3"/>
  <c r="O27" i="3"/>
  <c r="P27" i="3"/>
  <c r="Q27" i="3"/>
  <c r="R27" i="3"/>
  <c r="T27" i="3"/>
  <c r="U27" i="3"/>
  <c r="V27" i="3"/>
  <c r="W27" i="3"/>
  <c r="X27" i="3"/>
  <c r="Y27" i="3"/>
  <c r="Z27" i="3"/>
  <c r="AA27" i="3"/>
  <c r="AC27" i="3"/>
  <c r="AD27" i="3"/>
  <c r="G28" i="3"/>
  <c r="H28" i="3"/>
  <c r="I28" i="3"/>
  <c r="J28" i="3"/>
  <c r="K28" i="3"/>
  <c r="L28" i="3"/>
  <c r="N28" i="3"/>
  <c r="O28" i="3"/>
  <c r="P28" i="3"/>
  <c r="Q28" i="3"/>
  <c r="R28" i="3"/>
  <c r="G29" i="3"/>
  <c r="H29" i="3"/>
  <c r="I29" i="3"/>
  <c r="J29" i="3"/>
  <c r="K29" i="3"/>
  <c r="L29" i="3"/>
  <c r="N29" i="3"/>
  <c r="O29" i="3"/>
  <c r="P29" i="3"/>
  <c r="Q29" i="3"/>
  <c r="R29" i="3"/>
  <c r="G30" i="3"/>
  <c r="H30" i="3"/>
  <c r="I30" i="3"/>
  <c r="J30" i="3"/>
  <c r="K30" i="3"/>
  <c r="L30" i="3"/>
  <c r="N30" i="3"/>
  <c r="O30" i="3"/>
  <c r="P30" i="3"/>
  <c r="Q30" i="3"/>
  <c r="R30" i="3"/>
  <c r="G31" i="3"/>
  <c r="H31" i="3"/>
  <c r="I31" i="3"/>
  <c r="J31" i="3"/>
  <c r="K31" i="3"/>
  <c r="L31" i="3"/>
  <c r="N31" i="3"/>
  <c r="O31" i="3"/>
  <c r="P31" i="3"/>
  <c r="Q31" i="3"/>
  <c r="R31" i="3"/>
  <c r="G32" i="3"/>
  <c r="H32" i="3"/>
  <c r="I32" i="3"/>
  <c r="J32" i="3"/>
  <c r="K32" i="3"/>
  <c r="L32" i="3"/>
  <c r="N32" i="3"/>
  <c r="O32" i="3"/>
  <c r="P32" i="3"/>
  <c r="Q32" i="3"/>
  <c r="R32" i="3"/>
  <c r="G33" i="3"/>
  <c r="H33" i="3"/>
  <c r="I33" i="3"/>
  <c r="J33" i="3"/>
  <c r="K33" i="3"/>
  <c r="L33" i="3"/>
  <c r="N33" i="3"/>
  <c r="O33" i="3"/>
  <c r="P33" i="3"/>
  <c r="Q33" i="3"/>
  <c r="R33" i="3"/>
  <c r="G34" i="3"/>
  <c r="H34" i="3"/>
  <c r="I34" i="3"/>
  <c r="J34" i="3"/>
  <c r="K34" i="3"/>
  <c r="L34" i="3"/>
  <c r="N34" i="3"/>
  <c r="O34" i="3"/>
  <c r="P34" i="3"/>
  <c r="Q34" i="3"/>
  <c r="R34" i="3"/>
  <c r="G35" i="3"/>
  <c r="H35" i="3"/>
  <c r="I35" i="3"/>
  <c r="J35" i="3"/>
  <c r="K35" i="3"/>
  <c r="L35" i="3"/>
  <c r="N35" i="3"/>
  <c r="O35" i="3"/>
  <c r="P35" i="3"/>
  <c r="Q35" i="3"/>
  <c r="R35" i="3"/>
  <c r="G36" i="3"/>
  <c r="H36" i="3"/>
  <c r="I36" i="3"/>
  <c r="J36" i="3"/>
  <c r="K36" i="3"/>
  <c r="L36" i="3"/>
  <c r="N36" i="3"/>
  <c r="O36" i="3"/>
  <c r="P36" i="3"/>
  <c r="Q36" i="3"/>
  <c r="R36" i="3"/>
  <c r="G37" i="3"/>
  <c r="H37" i="3"/>
  <c r="I37" i="3"/>
  <c r="J37" i="3"/>
  <c r="K37" i="3"/>
  <c r="L37" i="3"/>
  <c r="N37" i="3"/>
  <c r="O37" i="3"/>
  <c r="P37" i="3"/>
  <c r="Q37" i="3"/>
  <c r="R37" i="3"/>
  <c r="G38" i="3"/>
  <c r="H38" i="3"/>
  <c r="I38" i="3"/>
  <c r="J38" i="3"/>
  <c r="K38" i="3"/>
  <c r="L38" i="3"/>
  <c r="N38" i="3"/>
  <c r="O38" i="3"/>
  <c r="P38" i="3"/>
  <c r="Q38" i="3"/>
  <c r="R38" i="3"/>
  <c r="G39" i="3"/>
  <c r="H39" i="3"/>
  <c r="I39" i="3"/>
  <c r="J39" i="3"/>
  <c r="K39" i="3"/>
  <c r="L39" i="3"/>
  <c r="N39" i="3"/>
  <c r="O39" i="3"/>
  <c r="P39" i="3"/>
  <c r="Q39" i="3"/>
  <c r="R39" i="3"/>
  <c r="G40" i="3"/>
  <c r="H40" i="3"/>
  <c r="I40" i="3"/>
  <c r="J40" i="3"/>
  <c r="K40" i="3"/>
  <c r="L40" i="3"/>
  <c r="N40" i="3"/>
  <c r="O40" i="3"/>
  <c r="P40" i="3"/>
  <c r="Q40" i="3"/>
  <c r="R40" i="3"/>
  <c r="G41" i="3"/>
  <c r="H41" i="3"/>
  <c r="I41" i="3"/>
  <c r="J41" i="3"/>
  <c r="K41" i="3"/>
  <c r="L41" i="3"/>
  <c r="N41" i="3"/>
  <c r="O41" i="3"/>
  <c r="P41" i="3"/>
  <c r="Q41" i="3"/>
  <c r="R41" i="3"/>
  <c r="G42" i="3"/>
  <c r="H42" i="3"/>
  <c r="I42" i="3"/>
  <c r="J42" i="3"/>
  <c r="K42" i="3"/>
  <c r="L42" i="3"/>
  <c r="N42" i="3"/>
  <c r="O42" i="3"/>
  <c r="P42" i="3"/>
  <c r="Q42" i="3"/>
  <c r="R42" i="3"/>
  <c r="G43" i="3"/>
  <c r="H43" i="3"/>
  <c r="I43" i="3"/>
  <c r="J43" i="3"/>
  <c r="K43" i="3"/>
  <c r="L43" i="3"/>
  <c r="N43" i="3"/>
  <c r="O43" i="3"/>
  <c r="P43" i="3"/>
  <c r="Q43" i="3"/>
  <c r="R43" i="3"/>
  <c r="G44" i="3"/>
  <c r="H44" i="3"/>
  <c r="I44" i="3"/>
  <c r="J44" i="3"/>
  <c r="K44" i="3"/>
  <c r="L44" i="3"/>
  <c r="N44" i="3"/>
  <c r="O44" i="3"/>
  <c r="P44" i="3"/>
  <c r="Q44" i="3"/>
  <c r="R44" i="3"/>
  <c r="G45" i="3"/>
  <c r="H45" i="3"/>
  <c r="I45" i="3"/>
  <c r="J45" i="3"/>
  <c r="K45" i="3"/>
  <c r="L45" i="3"/>
  <c r="N45" i="3"/>
  <c r="O45" i="3"/>
  <c r="P45" i="3"/>
  <c r="Q45" i="3"/>
  <c r="R45" i="3"/>
  <c r="G46" i="3"/>
  <c r="H46" i="3"/>
  <c r="I46" i="3"/>
  <c r="J46" i="3"/>
  <c r="K46" i="3"/>
  <c r="L46" i="3"/>
  <c r="N46" i="3"/>
  <c r="O46" i="3"/>
  <c r="P46" i="3"/>
  <c r="Q46" i="3"/>
  <c r="R46" i="3"/>
  <c r="G47" i="3"/>
  <c r="H47" i="3"/>
  <c r="I47" i="3"/>
  <c r="J47" i="3"/>
  <c r="K47" i="3"/>
  <c r="L47" i="3"/>
  <c r="N47" i="3"/>
  <c r="O47" i="3"/>
  <c r="P47" i="3"/>
  <c r="Q47" i="3"/>
  <c r="R47" i="3"/>
  <c r="G48" i="3"/>
  <c r="H48" i="3"/>
  <c r="I48" i="3"/>
  <c r="J48" i="3"/>
  <c r="K48" i="3"/>
  <c r="L48" i="3"/>
  <c r="N48" i="3"/>
  <c r="O48" i="3"/>
  <c r="P48" i="3"/>
  <c r="Q48" i="3"/>
  <c r="R48" i="3"/>
  <c r="G49" i="3"/>
  <c r="H49" i="3"/>
  <c r="I49" i="3"/>
  <c r="J49" i="3"/>
  <c r="K49" i="3"/>
  <c r="L49" i="3"/>
  <c r="N49" i="3"/>
  <c r="O49" i="3"/>
  <c r="P49" i="3"/>
  <c r="Q49" i="3"/>
  <c r="R49" i="3"/>
  <c r="G50" i="3"/>
  <c r="H50" i="3"/>
  <c r="I50" i="3"/>
  <c r="J50" i="3"/>
  <c r="K50" i="3"/>
  <c r="L50" i="3"/>
  <c r="N50" i="3"/>
  <c r="O50" i="3"/>
  <c r="P50" i="3"/>
  <c r="Q50" i="3"/>
  <c r="R50" i="3"/>
  <c r="G51" i="3"/>
  <c r="H51" i="3"/>
  <c r="I51" i="3"/>
  <c r="J51" i="3"/>
  <c r="K51" i="3"/>
  <c r="L51" i="3"/>
  <c r="N51" i="3"/>
  <c r="O51" i="3"/>
  <c r="P51" i="3"/>
  <c r="Q51" i="3"/>
  <c r="R51" i="3"/>
  <c r="G52" i="3"/>
  <c r="H52" i="3"/>
  <c r="I52" i="3"/>
  <c r="J52" i="3"/>
  <c r="K52" i="3"/>
  <c r="L52" i="3"/>
  <c r="N52" i="3"/>
  <c r="O52" i="3"/>
  <c r="P52" i="3"/>
  <c r="Q52" i="3"/>
  <c r="R52" i="3"/>
  <c r="G53" i="3"/>
  <c r="H53" i="3"/>
  <c r="I53" i="3"/>
  <c r="J53" i="3"/>
  <c r="K53" i="3"/>
  <c r="L53" i="3"/>
  <c r="N53" i="3"/>
  <c r="O53" i="3"/>
  <c r="P53" i="3"/>
  <c r="Q53" i="3"/>
  <c r="R53" i="3"/>
  <c r="G54" i="3"/>
  <c r="H54" i="3"/>
  <c r="I54" i="3"/>
  <c r="J54" i="3"/>
  <c r="K54" i="3"/>
  <c r="L54" i="3"/>
  <c r="N54" i="3"/>
  <c r="O54" i="3"/>
  <c r="P54" i="3"/>
  <c r="Q54" i="3"/>
  <c r="R54" i="3"/>
  <c r="G55" i="3"/>
  <c r="H55" i="3"/>
  <c r="I55" i="3"/>
  <c r="J55" i="3"/>
  <c r="K55" i="3"/>
  <c r="L55" i="3"/>
  <c r="N55" i="3"/>
  <c r="O55" i="3"/>
  <c r="P55" i="3"/>
  <c r="Q55" i="3"/>
  <c r="R55" i="3"/>
  <c r="G56" i="3"/>
  <c r="H56" i="3"/>
  <c r="I56" i="3"/>
  <c r="J56" i="3"/>
  <c r="K56" i="3"/>
  <c r="L56" i="3"/>
  <c r="N56" i="3"/>
  <c r="O56" i="3"/>
  <c r="P56" i="3"/>
  <c r="Q56" i="3"/>
  <c r="R56" i="3"/>
  <c r="G57" i="3"/>
  <c r="H57" i="3"/>
  <c r="I57" i="3"/>
  <c r="J57" i="3"/>
  <c r="K57" i="3"/>
  <c r="L57" i="3"/>
  <c r="N57" i="3"/>
  <c r="O57" i="3"/>
  <c r="P57" i="3"/>
  <c r="Q57" i="3"/>
  <c r="R57" i="3"/>
  <c r="G58" i="3"/>
  <c r="H58" i="3"/>
  <c r="I58" i="3"/>
  <c r="J58" i="3"/>
  <c r="K58" i="3"/>
  <c r="L58" i="3"/>
  <c r="N58" i="3"/>
  <c r="O58" i="3"/>
  <c r="P58" i="3"/>
  <c r="Q58" i="3"/>
  <c r="R58" i="3"/>
  <c r="G59" i="3"/>
  <c r="H59" i="3"/>
  <c r="I59" i="3"/>
  <c r="J59" i="3"/>
  <c r="K59" i="3"/>
  <c r="L59" i="3"/>
  <c r="N59" i="3"/>
  <c r="O59" i="3"/>
  <c r="P59" i="3"/>
  <c r="Q59" i="3"/>
  <c r="R59" i="3"/>
  <c r="G60" i="3"/>
  <c r="H60" i="3"/>
  <c r="I60" i="3"/>
  <c r="J60" i="3"/>
  <c r="K60" i="3"/>
  <c r="L60" i="3"/>
  <c r="N60" i="3"/>
  <c r="O60" i="3"/>
  <c r="P60" i="3"/>
  <c r="Q60" i="3"/>
  <c r="R60" i="3"/>
  <c r="G61" i="3"/>
  <c r="H61" i="3"/>
  <c r="I61" i="3"/>
  <c r="J61" i="3"/>
  <c r="K61" i="3"/>
  <c r="L61" i="3"/>
  <c r="N61" i="3"/>
  <c r="O61" i="3"/>
  <c r="P61" i="3"/>
  <c r="Q61" i="3"/>
  <c r="R61" i="3"/>
  <c r="G62" i="3"/>
  <c r="H62" i="3"/>
  <c r="I62" i="3"/>
  <c r="J62" i="3"/>
  <c r="K62" i="3"/>
  <c r="L62" i="3"/>
  <c r="N62" i="3"/>
  <c r="O62" i="3"/>
  <c r="P62" i="3"/>
  <c r="Q62" i="3"/>
  <c r="R62" i="3"/>
  <c r="G63" i="3"/>
  <c r="H63" i="3"/>
  <c r="I63" i="3"/>
  <c r="J63" i="3"/>
  <c r="K63" i="3"/>
  <c r="L63" i="3"/>
  <c r="N63" i="3"/>
  <c r="O63" i="3"/>
  <c r="P63" i="3"/>
  <c r="Q63" i="3"/>
  <c r="R63" i="3"/>
  <c r="G64" i="3"/>
  <c r="H64" i="3"/>
  <c r="I64" i="3"/>
  <c r="J64" i="3"/>
  <c r="K64" i="3"/>
  <c r="L64" i="3"/>
  <c r="N64" i="3"/>
  <c r="O64" i="3"/>
  <c r="P64" i="3"/>
  <c r="Q64" i="3"/>
  <c r="R64" i="3"/>
  <c r="G65" i="3"/>
  <c r="H65" i="3"/>
  <c r="I65" i="3"/>
  <c r="J65" i="3"/>
  <c r="K65" i="3"/>
  <c r="L65" i="3"/>
  <c r="N65" i="3"/>
  <c r="O65" i="3"/>
  <c r="P65" i="3"/>
  <c r="Q65" i="3"/>
  <c r="R65" i="3"/>
  <c r="G66" i="3"/>
  <c r="H66" i="3"/>
  <c r="I66" i="3"/>
  <c r="J66" i="3"/>
  <c r="K66" i="3"/>
  <c r="L66" i="3"/>
  <c r="N66" i="3"/>
  <c r="O66" i="3"/>
  <c r="P66" i="3"/>
  <c r="Q66" i="3"/>
  <c r="R66" i="3"/>
  <c r="G67" i="3"/>
  <c r="H67" i="3"/>
  <c r="I67" i="3"/>
  <c r="J67" i="3"/>
  <c r="K67" i="3"/>
  <c r="L67" i="3"/>
  <c r="N67" i="3"/>
  <c r="O67" i="3"/>
  <c r="P67" i="3"/>
  <c r="Q67" i="3"/>
  <c r="R67" i="3"/>
  <c r="G68" i="3"/>
  <c r="H68" i="3"/>
  <c r="I68" i="3"/>
  <c r="J68" i="3"/>
  <c r="K68" i="3"/>
  <c r="L68" i="3"/>
  <c r="N68" i="3"/>
  <c r="O68" i="3"/>
  <c r="P68" i="3"/>
  <c r="Q68" i="3"/>
  <c r="R68" i="3"/>
  <c r="G69" i="3"/>
  <c r="H69" i="3"/>
  <c r="I69" i="3"/>
  <c r="J69" i="3"/>
  <c r="K69" i="3"/>
  <c r="L69" i="3"/>
  <c r="N69" i="3"/>
  <c r="O69" i="3"/>
  <c r="P69" i="3"/>
  <c r="Q69" i="3"/>
  <c r="R69" i="3"/>
  <c r="G70" i="3"/>
  <c r="H70" i="3"/>
  <c r="I70" i="3"/>
  <c r="J70" i="3"/>
  <c r="K70" i="3"/>
  <c r="L70" i="3"/>
  <c r="N70" i="3"/>
  <c r="O70" i="3"/>
  <c r="P70" i="3"/>
  <c r="Q70" i="3"/>
  <c r="R70" i="3"/>
  <c r="G71" i="3"/>
  <c r="H71" i="3"/>
  <c r="I71" i="3"/>
  <c r="J71" i="3"/>
  <c r="K71" i="3"/>
  <c r="L71" i="3"/>
  <c r="N71" i="3"/>
  <c r="O71" i="3"/>
  <c r="P71" i="3"/>
  <c r="Q71" i="3"/>
  <c r="R71" i="3"/>
  <c r="G72" i="3"/>
  <c r="H72" i="3"/>
  <c r="I72" i="3"/>
  <c r="J72" i="3"/>
  <c r="K72" i="3"/>
  <c r="L72" i="3"/>
  <c r="N72" i="3"/>
  <c r="O72" i="3"/>
  <c r="P72" i="3"/>
  <c r="Q72" i="3"/>
  <c r="R72" i="3"/>
  <c r="G73" i="3"/>
  <c r="H73" i="3"/>
  <c r="I73" i="3"/>
  <c r="J73" i="3"/>
  <c r="K73" i="3"/>
  <c r="L73" i="3"/>
  <c r="N73" i="3"/>
  <c r="O73" i="3"/>
  <c r="P73" i="3"/>
  <c r="Q73" i="3"/>
  <c r="R73" i="3"/>
  <c r="G74" i="3"/>
  <c r="H74" i="3"/>
  <c r="I74" i="3"/>
  <c r="J74" i="3"/>
  <c r="K74" i="3"/>
  <c r="L74" i="3"/>
  <c r="N74" i="3"/>
  <c r="O74" i="3"/>
  <c r="P74" i="3"/>
  <c r="Q74" i="3"/>
  <c r="R74" i="3"/>
  <c r="G75" i="3"/>
  <c r="H75" i="3"/>
  <c r="I75" i="3"/>
  <c r="J75" i="3"/>
  <c r="K75" i="3"/>
  <c r="L75" i="3"/>
  <c r="N75" i="3"/>
  <c r="O75" i="3"/>
  <c r="P75" i="3"/>
  <c r="Q75" i="3"/>
  <c r="R75" i="3"/>
  <c r="G76" i="3"/>
  <c r="H76" i="3"/>
  <c r="I76" i="3"/>
  <c r="J76" i="3"/>
  <c r="K76" i="3"/>
  <c r="L76" i="3"/>
  <c r="N76" i="3"/>
  <c r="O76" i="3"/>
  <c r="P76" i="3"/>
  <c r="Q76" i="3"/>
  <c r="R76" i="3"/>
  <c r="G77" i="3"/>
  <c r="H77" i="3"/>
  <c r="I77" i="3"/>
  <c r="J77" i="3"/>
  <c r="K77" i="3"/>
  <c r="L77" i="3"/>
  <c r="N77" i="3"/>
  <c r="O77" i="3"/>
  <c r="P77" i="3"/>
  <c r="Q77" i="3"/>
  <c r="R77" i="3"/>
  <c r="G78" i="3"/>
  <c r="H78" i="3"/>
  <c r="I78" i="3"/>
  <c r="J78" i="3"/>
  <c r="K78" i="3"/>
  <c r="L78" i="3"/>
  <c r="N78" i="3"/>
  <c r="O78" i="3"/>
  <c r="P78" i="3"/>
  <c r="Q78" i="3"/>
  <c r="R78" i="3"/>
  <c r="G79" i="3"/>
  <c r="H79" i="3"/>
  <c r="I79" i="3"/>
  <c r="J79" i="3"/>
  <c r="K79" i="3"/>
  <c r="L79" i="3"/>
  <c r="N79" i="3"/>
  <c r="O79" i="3"/>
  <c r="P79" i="3"/>
  <c r="Q79" i="3"/>
  <c r="R79" i="3"/>
  <c r="G80" i="3"/>
  <c r="H80" i="3"/>
  <c r="I80" i="3"/>
  <c r="J80" i="3"/>
  <c r="K80" i="3"/>
  <c r="L80" i="3"/>
  <c r="N80" i="3"/>
  <c r="O80" i="3"/>
  <c r="P80" i="3"/>
  <c r="Q80" i="3"/>
  <c r="R80" i="3"/>
  <c r="G81" i="3"/>
  <c r="H81" i="3"/>
  <c r="I81" i="3"/>
  <c r="J81" i="3"/>
  <c r="K81" i="3"/>
  <c r="L81" i="3"/>
  <c r="N81" i="3"/>
  <c r="O81" i="3"/>
  <c r="P81" i="3"/>
  <c r="Q81" i="3"/>
  <c r="R81" i="3"/>
  <c r="G82" i="3"/>
  <c r="H82" i="3"/>
  <c r="I82" i="3"/>
  <c r="J82" i="3"/>
  <c r="K82" i="3"/>
  <c r="L82" i="3"/>
  <c r="N82" i="3"/>
  <c r="O82" i="3"/>
  <c r="P82" i="3"/>
  <c r="Q82" i="3"/>
  <c r="R82" i="3"/>
  <c r="G83" i="3"/>
  <c r="H83" i="3"/>
  <c r="I83" i="3"/>
  <c r="J83" i="3"/>
  <c r="K83" i="3"/>
  <c r="L83" i="3"/>
  <c r="N83" i="3"/>
  <c r="O83" i="3"/>
  <c r="P83" i="3"/>
  <c r="Q83" i="3"/>
  <c r="R83" i="3"/>
  <c r="G84" i="3"/>
  <c r="H84" i="3"/>
  <c r="I84" i="3"/>
  <c r="J84" i="3"/>
  <c r="K84" i="3"/>
  <c r="L84" i="3"/>
  <c r="N84" i="3"/>
  <c r="O84" i="3"/>
  <c r="P84" i="3"/>
  <c r="Q84" i="3"/>
  <c r="R84" i="3"/>
  <c r="G85" i="3"/>
  <c r="H85" i="3"/>
  <c r="I85" i="3"/>
  <c r="J85" i="3"/>
  <c r="K85" i="3"/>
  <c r="L85" i="3"/>
  <c r="N85" i="3"/>
  <c r="O85" i="3"/>
  <c r="P85" i="3"/>
  <c r="Q85" i="3"/>
  <c r="R85" i="3"/>
  <c r="G86" i="3"/>
  <c r="H86" i="3"/>
  <c r="I86" i="3"/>
  <c r="J86" i="3"/>
  <c r="K86" i="3"/>
  <c r="L86" i="3"/>
  <c r="N86" i="3"/>
  <c r="O86" i="3"/>
  <c r="P86" i="3"/>
  <c r="Q86" i="3"/>
  <c r="R86" i="3"/>
  <c r="G87" i="3"/>
  <c r="H87" i="3"/>
  <c r="I87" i="3"/>
  <c r="J87" i="3"/>
  <c r="K87" i="3"/>
  <c r="L87" i="3"/>
  <c r="N87" i="3"/>
  <c r="O87" i="3"/>
  <c r="P87" i="3"/>
  <c r="Q87" i="3"/>
  <c r="R87" i="3"/>
  <c r="G88" i="3"/>
  <c r="H88" i="3"/>
  <c r="I88" i="3"/>
  <c r="J88" i="3"/>
  <c r="K88" i="3"/>
  <c r="L88" i="3"/>
  <c r="N88" i="3"/>
  <c r="O88" i="3"/>
  <c r="P88" i="3"/>
  <c r="Q88" i="3"/>
  <c r="R88" i="3"/>
  <c r="G89" i="3"/>
  <c r="H89" i="3"/>
  <c r="I89" i="3"/>
  <c r="J89" i="3"/>
  <c r="K89" i="3"/>
  <c r="L89" i="3"/>
  <c r="N89" i="3"/>
  <c r="O89" i="3"/>
  <c r="P89" i="3"/>
  <c r="Q89" i="3"/>
  <c r="R89" i="3"/>
  <c r="G90" i="3"/>
  <c r="H90" i="3"/>
  <c r="I90" i="3"/>
  <c r="J90" i="3"/>
  <c r="K90" i="3"/>
  <c r="L90" i="3"/>
  <c r="N90" i="3"/>
  <c r="O90" i="3"/>
  <c r="P90" i="3"/>
  <c r="Q90" i="3"/>
  <c r="R90" i="3"/>
  <c r="G91" i="3"/>
  <c r="H91" i="3"/>
  <c r="I91" i="3"/>
  <c r="J91" i="3"/>
  <c r="K91" i="3"/>
  <c r="L91" i="3"/>
  <c r="N91" i="3"/>
  <c r="O91" i="3"/>
  <c r="P91" i="3"/>
  <c r="Q91" i="3"/>
  <c r="R91" i="3"/>
  <c r="G92" i="3"/>
  <c r="H92" i="3"/>
  <c r="I92" i="3"/>
  <c r="J92" i="3"/>
  <c r="K92" i="3"/>
  <c r="L92" i="3"/>
  <c r="N92" i="3"/>
  <c r="O92" i="3"/>
  <c r="P92" i="3"/>
  <c r="Q92" i="3"/>
  <c r="R92" i="3"/>
  <c r="G93" i="3"/>
  <c r="H93" i="3"/>
  <c r="I93" i="3"/>
  <c r="J93" i="3"/>
  <c r="K93" i="3"/>
  <c r="L93" i="3"/>
  <c r="N93" i="3"/>
  <c r="O93" i="3"/>
  <c r="P93" i="3"/>
  <c r="Q93" i="3"/>
  <c r="R93" i="3"/>
  <c r="G94" i="3"/>
  <c r="H94" i="3"/>
  <c r="I94" i="3"/>
  <c r="J94" i="3"/>
  <c r="K94" i="3"/>
  <c r="L94" i="3"/>
  <c r="N94" i="3"/>
  <c r="O94" i="3"/>
  <c r="P94" i="3"/>
  <c r="Q94" i="3"/>
  <c r="R94" i="3"/>
  <c r="G95" i="3"/>
  <c r="H95" i="3"/>
  <c r="I95" i="3"/>
  <c r="J95" i="3"/>
  <c r="K95" i="3"/>
  <c r="L95" i="3"/>
  <c r="N95" i="3"/>
  <c r="O95" i="3"/>
  <c r="P95" i="3"/>
  <c r="Q95" i="3"/>
  <c r="R95" i="3"/>
  <c r="G96" i="3"/>
  <c r="H96" i="3"/>
  <c r="I96" i="3"/>
  <c r="J96" i="3"/>
  <c r="K96" i="3"/>
  <c r="L96" i="3"/>
  <c r="N96" i="3"/>
  <c r="O96" i="3"/>
  <c r="P96" i="3"/>
  <c r="Q96" i="3"/>
  <c r="R96" i="3"/>
  <c r="G97" i="3"/>
  <c r="H97" i="3"/>
  <c r="I97" i="3"/>
  <c r="J97" i="3"/>
  <c r="K97" i="3"/>
  <c r="L97" i="3"/>
  <c r="N97" i="3"/>
  <c r="O97" i="3"/>
  <c r="P97" i="3"/>
  <c r="Q97" i="3"/>
  <c r="R97" i="3"/>
  <c r="G98" i="3"/>
  <c r="H98" i="3"/>
  <c r="I98" i="3"/>
  <c r="J98" i="3"/>
  <c r="K98" i="3"/>
  <c r="L98" i="3"/>
  <c r="N98" i="3"/>
  <c r="O98" i="3"/>
  <c r="P98" i="3"/>
  <c r="Q98" i="3"/>
  <c r="R98" i="3"/>
  <c r="G99" i="3"/>
  <c r="H99" i="3"/>
  <c r="I99" i="3"/>
  <c r="J99" i="3"/>
  <c r="K99" i="3"/>
  <c r="L99" i="3"/>
  <c r="N99" i="3"/>
  <c r="O99" i="3"/>
  <c r="P99" i="3"/>
  <c r="Q99" i="3"/>
  <c r="R99" i="3"/>
  <c r="G100" i="3"/>
  <c r="H100" i="3"/>
  <c r="I100" i="3"/>
  <c r="J100" i="3"/>
  <c r="K100" i="3"/>
  <c r="L100" i="3"/>
  <c r="N100" i="3"/>
  <c r="O100" i="3"/>
  <c r="P100" i="3"/>
  <c r="Q100" i="3"/>
  <c r="R100" i="3"/>
  <c r="G101" i="3"/>
  <c r="H101" i="3"/>
  <c r="I101" i="3"/>
  <c r="J101" i="3"/>
  <c r="K101" i="3"/>
  <c r="L101" i="3"/>
  <c r="N101" i="3"/>
  <c r="O101" i="3"/>
  <c r="P101" i="3"/>
  <c r="Q101" i="3"/>
  <c r="R101" i="3"/>
  <c r="G102" i="3"/>
  <c r="H102" i="3"/>
  <c r="I102" i="3"/>
  <c r="J102" i="3"/>
  <c r="K102" i="3"/>
  <c r="L102" i="3"/>
  <c r="N102" i="3"/>
  <c r="O102" i="3"/>
  <c r="P102" i="3"/>
  <c r="Q102" i="3"/>
  <c r="R102" i="3"/>
  <c r="G103" i="3"/>
  <c r="H103" i="3"/>
  <c r="I103" i="3"/>
  <c r="J103" i="3"/>
  <c r="K103" i="3"/>
  <c r="L103" i="3"/>
  <c r="N103" i="3"/>
  <c r="O103" i="3"/>
  <c r="P103" i="3"/>
  <c r="Q103" i="3"/>
  <c r="R103" i="3"/>
  <c r="G104" i="3"/>
  <c r="H104" i="3"/>
  <c r="I104" i="3"/>
  <c r="J104" i="3"/>
  <c r="K104" i="3"/>
  <c r="L104" i="3"/>
  <c r="N104" i="3"/>
  <c r="O104" i="3"/>
  <c r="P104" i="3"/>
  <c r="Q104" i="3"/>
  <c r="R104" i="3"/>
  <c r="G105" i="3"/>
  <c r="H105" i="3"/>
  <c r="I105" i="3"/>
  <c r="J105" i="3"/>
  <c r="K105" i="3"/>
  <c r="L105" i="3"/>
  <c r="N105" i="3"/>
  <c r="O105" i="3"/>
  <c r="P105" i="3"/>
  <c r="Q105" i="3"/>
  <c r="R105" i="3"/>
  <c r="G106" i="3"/>
  <c r="H106" i="3"/>
  <c r="I106" i="3"/>
  <c r="J106" i="3"/>
  <c r="K106" i="3"/>
  <c r="L106" i="3"/>
  <c r="N106" i="3"/>
  <c r="O106" i="3"/>
  <c r="P106" i="3"/>
  <c r="Q106" i="3"/>
  <c r="R106" i="3"/>
  <c r="G107" i="3"/>
  <c r="H107" i="3"/>
  <c r="I107" i="3"/>
  <c r="J107" i="3"/>
  <c r="K107" i="3"/>
  <c r="L107" i="3"/>
  <c r="N107" i="3"/>
  <c r="O107" i="3"/>
  <c r="P107" i="3"/>
  <c r="Q107" i="3"/>
  <c r="R107" i="3"/>
  <c r="G108" i="3"/>
  <c r="H108" i="3"/>
  <c r="I108" i="3"/>
  <c r="J108" i="3"/>
  <c r="K108" i="3"/>
  <c r="L108" i="3"/>
  <c r="N108" i="3"/>
  <c r="O108" i="3"/>
  <c r="P108" i="3"/>
  <c r="Q108" i="3"/>
  <c r="R108" i="3"/>
  <c r="G109" i="3"/>
  <c r="H109" i="3"/>
  <c r="I109" i="3"/>
  <c r="J109" i="3"/>
  <c r="K109" i="3"/>
  <c r="L109" i="3"/>
  <c r="N109" i="3"/>
  <c r="O109" i="3"/>
  <c r="P109" i="3"/>
  <c r="Q109" i="3"/>
  <c r="R109" i="3"/>
  <c r="G110" i="3"/>
  <c r="H110" i="3"/>
  <c r="I110" i="3"/>
  <c r="J110" i="3"/>
  <c r="K110" i="3"/>
  <c r="L110" i="3"/>
  <c r="N110" i="3"/>
  <c r="O110" i="3"/>
  <c r="P110" i="3"/>
  <c r="Q110" i="3"/>
  <c r="R110" i="3"/>
  <c r="G111" i="3"/>
  <c r="H111" i="3"/>
  <c r="I111" i="3"/>
  <c r="J111" i="3"/>
  <c r="K111" i="3"/>
  <c r="L111" i="3"/>
  <c r="N111" i="3"/>
  <c r="O111" i="3"/>
  <c r="P111" i="3"/>
  <c r="Q111" i="3"/>
  <c r="R111" i="3"/>
  <c r="G112" i="3"/>
  <c r="H112" i="3"/>
  <c r="I112" i="3"/>
  <c r="J112" i="3"/>
  <c r="K112" i="3"/>
  <c r="L112" i="3"/>
  <c r="N112" i="3"/>
  <c r="O112" i="3"/>
  <c r="P112" i="3"/>
  <c r="Q112" i="3"/>
  <c r="R112" i="3"/>
  <c r="G113" i="3"/>
  <c r="H113" i="3"/>
  <c r="I113" i="3"/>
  <c r="J113" i="3"/>
  <c r="K113" i="3"/>
  <c r="L113" i="3"/>
  <c r="N113" i="3"/>
  <c r="O113" i="3"/>
  <c r="P113" i="3"/>
  <c r="Q113" i="3"/>
  <c r="R113" i="3"/>
  <c r="G114" i="3"/>
  <c r="H114" i="3"/>
  <c r="I114" i="3"/>
  <c r="J114" i="3"/>
  <c r="K114" i="3"/>
  <c r="L114" i="3"/>
  <c r="N114" i="3"/>
  <c r="O114" i="3"/>
  <c r="P114" i="3"/>
  <c r="Q114" i="3"/>
  <c r="R114" i="3"/>
  <c r="G115" i="3"/>
  <c r="H115" i="3"/>
  <c r="I115" i="3"/>
  <c r="J115" i="3"/>
  <c r="K115" i="3"/>
  <c r="L115" i="3"/>
  <c r="N115" i="3"/>
  <c r="O115" i="3"/>
  <c r="P115" i="3"/>
  <c r="Q115" i="3"/>
  <c r="R115" i="3"/>
  <c r="G116" i="3"/>
  <c r="H116" i="3"/>
  <c r="I116" i="3"/>
  <c r="J116" i="3"/>
  <c r="K116" i="3"/>
  <c r="L116" i="3"/>
  <c r="N116" i="3"/>
  <c r="O116" i="3"/>
  <c r="P116" i="3"/>
  <c r="Q116" i="3"/>
  <c r="R116" i="3"/>
  <c r="G117" i="3"/>
  <c r="H117" i="3"/>
  <c r="I117" i="3"/>
  <c r="J117" i="3"/>
  <c r="K117" i="3"/>
  <c r="L117" i="3"/>
  <c r="N117" i="3"/>
  <c r="O117" i="3"/>
  <c r="P117" i="3"/>
  <c r="Q117" i="3"/>
  <c r="R117" i="3"/>
  <c r="G118" i="3"/>
  <c r="H118" i="3"/>
  <c r="I118" i="3"/>
  <c r="J118" i="3"/>
  <c r="K118" i="3"/>
  <c r="L118" i="3"/>
  <c r="N118" i="3"/>
  <c r="O118" i="3"/>
  <c r="P118" i="3"/>
  <c r="Q118" i="3"/>
  <c r="R118" i="3"/>
  <c r="G119" i="3"/>
  <c r="H119" i="3"/>
  <c r="I119" i="3"/>
  <c r="J119" i="3"/>
  <c r="K119" i="3"/>
  <c r="L119" i="3"/>
  <c r="N119" i="3"/>
  <c r="O119" i="3"/>
  <c r="P119" i="3"/>
  <c r="Q119" i="3"/>
  <c r="R119" i="3"/>
  <c r="G120" i="3"/>
  <c r="H120" i="3"/>
  <c r="I120" i="3"/>
  <c r="J120" i="3"/>
  <c r="K120" i="3"/>
  <c r="L120" i="3"/>
  <c r="N120" i="3"/>
  <c r="O120" i="3"/>
  <c r="P120" i="3"/>
  <c r="Q120" i="3"/>
  <c r="R120" i="3"/>
  <c r="G121" i="3"/>
  <c r="H121" i="3"/>
  <c r="I121" i="3"/>
  <c r="J121" i="3"/>
  <c r="K121" i="3"/>
  <c r="L121" i="3"/>
  <c r="N121" i="3"/>
  <c r="O121" i="3"/>
  <c r="P121" i="3"/>
  <c r="Q121" i="3"/>
  <c r="R121" i="3"/>
  <c r="G122" i="3"/>
  <c r="H122" i="3"/>
  <c r="I122" i="3"/>
  <c r="J122" i="3"/>
  <c r="K122" i="3"/>
  <c r="L122" i="3"/>
  <c r="N122" i="3"/>
  <c r="O122" i="3"/>
  <c r="P122" i="3"/>
  <c r="Q122" i="3"/>
  <c r="R122" i="3"/>
  <c r="G123" i="3"/>
  <c r="H123" i="3"/>
  <c r="I123" i="3"/>
  <c r="J123" i="3"/>
  <c r="K123" i="3"/>
  <c r="L123" i="3"/>
  <c r="N123" i="3"/>
  <c r="O123" i="3"/>
  <c r="P123" i="3"/>
  <c r="Q123" i="3"/>
  <c r="R123" i="3"/>
  <c r="G124" i="3"/>
  <c r="H124" i="3"/>
  <c r="I124" i="3"/>
  <c r="J124" i="3"/>
  <c r="K124" i="3"/>
  <c r="L124" i="3"/>
  <c r="N124" i="3"/>
  <c r="O124" i="3"/>
  <c r="P124" i="3"/>
  <c r="Q124" i="3"/>
  <c r="R124" i="3"/>
  <c r="G125" i="3"/>
  <c r="H125" i="3"/>
  <c r="I125" i="3"/>
  <c r="J125" i="3"/>
  <c r="K125" i="3"/>
  <c r="L125" i="3"/>
  <c r="N125" i="3"/>
  <c r="O125" i="3"/>
  <c r="P125" i="3"/>
  <c r="Q125" i="3"/>
  <c r="R125" i="3"/>
  <c r="G126" i="3"/>
  <c r="H126" i="3"/>
  <c r="I126" i="3"/>
  <c r="J126" i="3"/>
  <c r="K126" i="3"/>
  <c r="L126" i="3"/>
  <c r="N126" i="3"/>
  <c r="O126" i="3"/>
  <c r="P126" i="3"/>
  <c r="Q126" i="3"/>
  <c r="R126" i="3"/>
  <c r="G127" i="3"/>
  <c r="H127" i="3"/>
  <c r="I127" i="3"/>
  <c r="J127" i="3"/>
  <c r="K127" i="3"/>
  <c r="L127" i="3"/>
  <c r="N127" i="3"/>
  <c r="O127" i="3"/>
  <c r="P127" i="3"/>
  <c r="Q127" i="3"/>
  <c r="R127" i="3"/>
  <c r="G128" i="3"/>
  <c r="H128" i="3"/>
  <c r="I128" i="3"/>
  <c r="J128" i="3"/>
  <c r="K128" i="3"/>
  <c r="L128" i="3"/>
  <c r="N128" i="3"/>
  <c r="O128" i="3"/>
  <c r="P128" i="3"/>
  <c r="Q128" i="3"/>
  <c r="R128" i="3"/>
  <c r="G129" i="3"/>
  <c r="H129" i="3"/>
  <c r="I129" i="3"/>
  <c r="J129" i="3"/>
  <c r="K129" i="3"/>
  <c r="L129" i="3"/>
  <c r="N129" i="3"/>
  <c r="O129" i="3"/>
  <c r="P129" i="3"/>
  <c r="Q129" i="3"/>
  <c r="R129" i="3"/>
  <c r="G130" i="3"/>
  <c r="H130" i="3"/>
  <c r="I130" i="3"/>
  <c r="J130" i="3"/>
  <c r="K130" i="3"/>
  <c r="L130" i="3"/>
  <c r="N130" i="3"/>
  <c r="O130" i="3"/>
  <c r="P130" i="3"/>
  <c r="Q130" i="3"/>
  <c r="R130" i="3"/>
  <c r="G131" i="3"/>
  <c r="H131" i="3"/>
  <c r="I131" i="3"/>
  <c r="J131" i="3"/>
  <c r="K131" i="3"/>
  <c r="L131" i="3"/>
  <c r="N131" i="3"/>
  <c r="O131" i="3"/>
  <c r="P131" i="3"/>
  <c r="Q131" i="3"/>
  <c r="R131" i="3"/>
  <c r="G132" i="3"/>
  <c r="H132" i="3"/>
  <c r="I132" i="3"/>
  <c r="J132" i="3"/>
  <c r="K132" i="3"/>
  <c r="L132" i="3"/>
  <c r="N132" i="3"/>
  <c r="O132" i="3"/>
  <c r="P132" i="3"/>
  <c r="Q132" i="3"/>
  <c r="R132" i="3"/>
  <c r="G133" i="3"/>
  <c r="H133" i="3"/>
  <c r="I133" i="3"/>
  <c r="J133" i="3"/>
  <c r="K133" i="3"/>
  <c r="L133" i="3"/>
  <c r="N133" i="3"/>
  <c r="O133" i="3"/>
  <c r="P133" i="3"/>
  <c r="Q133" i="3"/>
  <c r="R133" i="3"/>
  <c r="G134" i="3"/>
  <c r="H134" i="3"/>
  <c r="I134" i="3"/>
  <c r="J134" i="3"/>
  <c r="K134" i="3"/>
  <c r="L134" i="3"/>
  <c r="N134" i="3"/>
  <c r="O134" i="3"/>
  <c r="P134" i="3"/>
  <c r="Q134" i="3"/>
  <c r="R134" i="3"/>
  <c r="G135" i="3"/>
  <c r="H135" i="3"/>
  <c r="I135" i="3"/>
  <c r="J135" i="3"/>
  <c r="K135" i="3"/>
  <c r="L135" i="3"/>
  <c r="N135" i="3"/>
  <c r="O135" i="3"/>
  <c r="P135" i="3"/>
  <c r="Q135" i="3"/>
  <c r="R135" i="3"/>
  <c r="G136" i="3"/>
  <c r="H136" i="3"/>
  <c r="I136" i="3"/>
  <c r="J136" i="3"/>
  <c r="K136" i="3"/>
  <c r="L136" i="3"/>
  <c r="N136" i="3"/>
  <c r="O136" i="3"/>
  <c r="P136" i="3"/>
  <c r="Q136" i="3"/>
  <c r="R136" i="3"/>
  <c r="G137" i="3"/>
  <c r="H137" i="3"/>
  <c r="I137" i="3"/>
  <c r="J137" i="3"/>
  <c r="K137" i="3"/>
  <c r="L137" i="3"/>
  <c r="N137" i="3"/>
  <c r="O137" i="3"/>
  <c r="P137" i="3"/>
  <c r="Q137" i="3"/>
  <c r="R137" i="3"/>
  <c r="G138" i="3"/>
  <c r="H138" i="3"/>
  <c r="I138" i="3"/>
  <c r="J138" i="3"/>
  <c r="K138" i="3"/>
  <c r="L138" i="3"/>
  <c r="N138" i="3"/>
  <c r="O138" i="3"/>
  <c r="P138" i="3"/>
  <c r="Q138" i="3"/>
  <c r="R138" i="3"/>
  <c r="G139" i="3"/>
  <c r="H139" i="3"/>
  <c r="I139" i="3"/>
  <c r="J139" i="3"/>
  <c r="K139" i="3"/>
  <c r="L139" i="3"/>
  <c r="N139" i="3"/>
  <c r="O139" i="3"/>
  <c r="P139" i="3"/>
  <c r="Q139" i="3"/>
  <c r="R139" i="3"/>
  <c r="G140" i="3"/>
  <c r="H140" i="3"/>
  <c r="I140" i="3"/>
  <c r="J140" i="3"/>
  <c r="K140" i="3"/>
  <c r="L140" i="3"/>
  <c r="N140" i="3"/>
  <c r="O140" i="3"/>
  <c r="P140" i="3"/>
  <c r="Q140" i="3"/>
  <c r="R140" i="3"/>
  <c r="G141" i="3"/>
  <c r="H141" i="3"/>
  <c r="I141" i="3"/>
  <c r="J141" i="3"/>
  <c r="K141" i="3"/>
  <c r="L141" i="3"/>
  <c r="N141" i="3"/>
  <c r="O141" i="3"/>
  <c r="P141" i="3"/>
  <c r="Q141" i="3"/>
  <c r="R141" i="3"/>
  <c r="G142" i="3"/>
  <c r="H142" i="3"/>
  <c r="I142" i="3"/>
  <c r="J142" i="3"/>
  <c r="K142" i="3"/>
  <c r="L142" i="3"/>
  <c r="N142" i="3"/>
  <c r="O142" i="3"/>
  <c r="P142" i="3"/>
  <c r="Q142" i="3"/>
  <c r="R142" i="3"/>
  <c r="G143" i="3"/>
  <c r="H143" i="3"/>
  <c r="I143" i="3"/>
  <c r="J143" i="3"/>
  <c r="K143" i="3"/>
  <c r="L143" i="3"/>
  <c r="N143" i="3"/>
  <c r="O143" i="3"/>
  <c r="P143" i="3"/>
  <c r="Q143" i="3"/>
  <c r="R143" i="3"/>
  <c r="G144" i="3"/>
  <c r="H144" i="3"/>
  <c r="I144" i="3"/>
  <c r="J144" i="3"/>
  <c r="K144" i="3"/>
  <c r="L144" i="3"/>
  <c r="N144" i="3"/>
  <c r="O144" i="3"/>
  <c r="P144" i="3"/>
  <c r="Q144" i="3"/>
  <c r="R144" i="3"/>
  <c r="G145" i="3"/>
  <c r="H145" i="3"/>
  <c r="I145" i="3"/>
  <c r="J145" i="3"/>
  <c r="K145" i="3"/>
  <c r="L145" i="3"/>
  <c r="N145" i="3"/>
  <c r="O145" i="3"/>
  <c r="P145" i="3"/>
  <c r="Q145" i="3"/>
  <c r="R145" i="3"/>
  <c r="G146" i="3"/>
  <c r="H146" i="3"/>
  <c r="I146" i="3"/>
  <c r="J146" i="3"/>
  <c r="K146" i="3"/>
  <c r="L146" i="3"/>
  <c r="N146" i="3"/>
  <c r="O146" i="3"/>
  <c r="P146" i="3"/>
  <c r="Q146" i="3"/>
  <c r="R146" i="3"/>
  <c r="G147" i="3"/>
  <c r="H147" i="3"/>
  <c r="I147" i="3"/>
  <c r="J147" i="3"/>
  <c r="K147" i="3"/>
  <c r="L147" i="3"/>
  <c r="N147" i="3"/>
  <c r="O147" i="3"/>
  <c r="P147" i="3"/>
  <c r="Q147" i="3"/>
  <c r="R147" i="3"/>
  <c r="G148" i="3"/>
  <c r="H148" i="3"/>
  <c r="I148" i="3"/>
  <c r="J148" i="3"/>
  <c r="K148" i="3"/>
  <c r="L148" i="3"/>
  <c r="N148" i="3"/>
  <c r="O148" i="3"/>
  <c r="P148" i="3"/>
  <c r="Q148" i="3"/>
  <c r="R148" i="3"/>
  <c r="G149" i="3"/>
  <c r="H149" i="3"/>
  <c r="I149" i="3"/>
  <c r="J149" i="3"/>
  <c r="K149" i="3"/>
  <c r="L149" i="3"/>
  <c r="N149" i="3"/>
  <c r="O149" i="3"/>
  <c r="P149" i="3"/>
  <c r="Q149" i="3"/>
  <c r="R149" i="3"/>
  <c r="G150" i="3"/>
  <c r="H150" i="3"/>
  <c r="I150" i="3"/>
  <c r="J150" i="3"/>
  <c r="K150" i="3"/>
  <c r="L150" i="3"/>
  <c r="N150" i="3"/>
  <c r="O150" i="3"/>
  <c r="P150" i="3"/>
  <c r="Q150" i="3"/>
  <c r="R150" i="3"/>
  <c r="G151" i="3"/>
  <c r="H151" i="3"/>
  <c r="I151" i="3"/>
  <c r="J151" i="3"/>
  <c r="K151" i="3"/>
  <c r="L151" i="3"/>
  <c r="N151" i="3"/>
  <c r="O151" i="3"/>
  <c r="P151" i="3"/>
  <c r="Q151" i="3"/>
  <c r="R151" i="3"/>
  <c r="G152" i="3"/>
  <c r="H152" i="3"/>
  <c r="I152" i="3"/>
  <c r="J152" i="3"/>
  <c r="K152" i="3"/>
  <c r="L152" i="3"/>
  <c r="N152" i="3"/>
  <c r="O152" i="3"/>
  <c r="P152" i="3"/>
  <c r="Q152" i="3"/>
  <c r="R152" i="3"/>
  <c r="G153" i="3"/>
  <c r="H153" i="3"/>
  <c r="I153" i="3"/>
  <c r="J153" i="3"/>
  <c r="K153" i="3"/>
  <c r="L153" i="3"/>
  <c r="N153" i="3"/>
  <c r="O153" i="3"/>
  <c r="P153" i="3"/>
  <c r="Q153" i="3"/>
  <c r="R153" i="3"/>
  <c r="G154" i="3"/>
  <c r="H154" i="3"/>
  <c r="I154" i="3"/>
  <c r="J154" i="3"/>
  <c r="K154" i="3"/>
  <c r="L154" i="3"/>
  <c r="N154" i="3"/>
  <c r="O154" i="3"/>
  <c r="P154" i="3"/>
  <c r="Q154" i="3"/>
  <c r="R154" i="3"/>
  <c r="G155" i="3"/>
  <c r="H155" i="3"/>
  <c r="I155" i="3"/>
  <c r="J155" i="3"/>
  <c r="K155" i="3"/>
  <c r="L155" i="3"/>
  <c r="N155" i="3"/>
  <c r="O155" i="3"/>
  <c r="P155" i="3"/>
  <c r="Q155" i="3"/>
  <c r="R155" i="3"/>
  <c r="G156" i="3"/>
  <c r="H156" i="3"/>
  <c r="I156" i="3"/>
  <c r="J156" i="3"/>
  <c r="K156" i="3"/>
  <c r="L156" i="3"/>
  <c r="N156" i="3"/>
  <c r="O156" i="3"/>
  <c r="P156" i="3"/>
  <c r="Q156" i="3"/>
  <c r="R156" i="3"/>
  <c r="G157" i="3"/>
  <c r="H157" i="3"/>
  <c r="I157" i="3"/>
  <c r="J157" i="3"/>
  <c r="K157" i="3"/>
  <c r="L157" i="3"/>
  <c r="N157" i="3"/>
  <c r="O157" i="3"/>
  <c r="P157" i="3"/>
  <c r="Q157" i="3"/>
  <c r="R157" i="3"/>
  <c r="G158" i="3"/>
  <c r="H158" i="3"/>
  <c r="I158" i="3"/>
  <c r="J158" i="3"/>
  <c r="K158" i="3"/>
  <c r="L158" i="3"/>
  <c r="N158" i="3"/>
  <c r="O158" i="3"/>
  <c r="P158" i="3"/>
  <c r="Q158" i="3"/>
  <c r="R158" i="3"/>
  <c r="G159" i="3"/>
  <c r="H159" i="3"/>
  <c r="I159" i="3"/>
  <c r="J159" i="3"/>
  <c r="K159" i="3"/>
  <c r="L159" i="3"/>
  <c r="N159" i="3"/>
  <c r="O159" i="3"/>
  <c r="P159" i="3"/>
  <c r="Q159" i="3"/>
  <c r="R159" i="3"/>
  <c r="G160" i="3"/>
  <c r="H160" i="3"/>
  <c r="I160" i="3"/>
  <c r="J160" i="3"/>
  <c r="K160" i="3"/>
  <c r="L160" i="3"/>
  <c r="N160" i="3"/>
  <c r="O160" i="3"/>
  <c r="P160" i="3"/>
  <c r="Q160" i="3"/>
  <c r="R160" i="3"/>
  <c r="G161" i="3"/>
  <c r="H161" i="3"/>
  <c r="I161" i="3"/>
  <c r="J161" i="3"/>
  <c r="K161" i="3"/>
  <c r="L161" i="3"/>
  <c r="N161" i="3"/>
  <c r="O161" i="3"/>
  <c r="P161" i="3"/>
  <c r="Q161" i="3"/>
  <c r="R161" i="3"/>
  <c r="G162" i="3"/>
  <c r="H162" i="3"/>
  <c r="I162" i="3"/>
  <c r="J162" i="3"/>
  <c r="K162" i="3"/>
  <c r="L162" i="3"/>
  <c r="N162" i="3"/>
  <c r="O162" i="3"/>
  <c r="P162" i="3"/>
  <c r="Q162" i="3"/>
  <c r="R162" i="3"/>
  <c r="G163" i="3"/>
  <c r="H163" i="3"/>
  <c r="I163" i="3"/>
  <c r="J163" i="3"/>
  <c r="K163" i="3"/>
  <c r="L163" i="3"/>
  <c r="N163" i="3"/>
  <c r="O163" i="3"/>
  <c r="P163" i="3"/>
  <c r="Q163" i="3"/>
  <c r="R163" i="3"/>
  <c r="G164" i="3"/>
  <c r="H164" i="3"/>
  <c r="I164" i="3"/>
  <c r="J164" i="3"/>
  <c r="K164" i="3"/>
  <c r="L164" i="3"/>
  <c r="N164" i="3"/>
  <c r="O164" i="3"/>
  <c r="P164" i="3"/>
  <c r="Q164" i="3"/>
  <c r="R164" i="3"/>
  <c r="G165" i="3"/>
  <c r="H165" i="3"/>
  <c r="I165" i="3"/>
  <c r="J165" i="3"/>
  <c r="K165" i="3"/>
  <c r="L165" i="3"/>
  <c r="N165" i="3"/>
  <c r="O165" i="3"/>
  <c r="P165" i="3"/>
  <c r="Q165" i="3"/>
  <c r="R165" i="3"/>
  <c r="G166" i="3"/>
  <c r="H166" i="3"/>
  <c r="I166" i="3"/>
  <c r="J166" i="3"/>
  <c r="K166" i="3"/>
  <c r="L166" i="3"/>
  <c r="N166" i="3"/>
  <c r="O166" i="3"/>
  <c r="P166" i="3"/>
  <c r="Q166" i="3"/>
  <c r="R166" i="3"/>
  <c r="G167" i="3"/>
  <c r="H167" i="3"/>
  <c r="I167" i="3"/>
  <c r="J167" i="3"/>
  <c r="K167" i="3"/>
  <c r="L167" i="3"/>
  <c r="N167" i="3"/>
  <c r="O167" i="3"/>
  <c r="P167" i="3"/>
  <c r="Q167" i="3"/>
  <c r="R167" i="3"/>
  <c r="G168" i="3"/>
  <c r="H168" i="3"/>
  <c r="I168" i="3"/>
  <c r="J168" i="3"/>
  <c r="K168" i="3"/>
  <c r="L168" i="3"/>
  <c r="N168" i="3"/>
  <c r="O168" i="3"/>
  <c r="P168" i="3"/>
  <c r="Q168" i="3"/>
  <c r="R168" i="3"/>
  <c r="G169" i="3"/>
  <c r="H169" i="3"/>
  <c r="I169" i="3"/>
  <c r="J169" i="3"/>
  <c r="K169" i="3"/>
  <c r="L169" i="3"/>
  <c r="N169" i="3"/>
  <c r="O169" i="3"/>
  <c r="P169" i="3"/>
  <c r="Q169" i="3"/>
  <c r="R169" i="3"/>
  <c r="G170" i="3"/>
  <c r="H170" i="3"/>
  <c r="I170" i="3"/>
  <c r="J170" i="3"/>
  <c r="K170" i="3"/>
  <c r="L170" i="3"/>
  <c r="N170" i="3"/>
  <c r="O170" i="3"/>
  <c r="P170" i="3"/>
  <c r="Q170" i="3"/>
  <c r="R170" i="3"/>
  <c r="G171" i="3"/>
  <c r="H171" i="3"/>
  <c r="I171" i="3"/>
  <c r="J171" i="3"/>
  <c r="K171" i="3"/>
  <c r="L171" i="3"/>
  <c r="N171" i="3"/>
  <c r="O171" i="3"/>
  <c r="P171" i="3"/>
  <c r="Q171" i="3"/>
  <c r="R171" i="3"/>
  <c r="G172" i="3"/>
  <c r="H172" i="3"/>
  <c r="I172" i="3"/>
  <c r="J172" i="3"/>
  <c r="K172" i="3"/>
  <c r="L172" i="3"/>
  <c r="N172" i="3"/>
  <c r="O172" i="3"/>
  <c r="P172" i="3"/>
  <c r="Q172" i="3"/>
  <c r="R172" i="3"/>
  <c r="G173" i="3"/>
  <c r="H173" i="3"/>
  <c r="I173" i="3"/>
  <c r="J173" i="3"/>
  <c r="K173" i="3"/>
  <c r="L173" i="3"/>
  <c r="N173" i="3"/>
  <c r="O173" i="3"/>
  <c r="P173" i="3"/>
  <c r="Q173" i="3"/>
  <c r="R173" i="3"/>
  <c r="G174" i="3"/>
  <c r="H174" i="3"/>
  <c r="I174" i="3"/>
  <c r="J174" i="3"/>
  <c r="K174" i="3"/>
  <c r="L174" i="3"/>
  <c r="N174" i="3"/>
  <c r="O174" i="3"/>
  <c r="P174" i="3"/>
  <c r="Q174" i="3"/>
  <c r="R174" i="3"/>
  <c r="G175" i="3"/>
  <c r="H175" i="3"/>
  <c r="I175" i="3"/>
  <c r="J175" i="3"/>
  <c r="K175" i="3"/>
  <c r="L175" i="3"/>
  <c r="N175" i="3"/>
  <c r="O175" i="3"/>
  <c r="P175" i="3"/>
  <c r="Q175" i="3"/>
  <c r="R175" i="3"/>
  <c r="G176" i="3"/>
  <c r="H176" i="3"/>
  <c r="I176" i="3"/>
  <c r="J176" i="3"/>
  <c r="K176" i="3"/>
  <c r="L176" i="3"/>
  <c r="N176" i="3"/>
  <c r="O176" i="3"/>
  <c r="P176" i="3"/>
  <c r="Q176" i="3"/>
  <c r="R176" i="3"/>
  <c r="G177" i="3"/>
  <c r="H177" i="3"/>
  <c r="I177" i="3"/>
  <c r="J177" i="3"/>
  <c r="K177" i="3"/>
  <c r="L177" i="3"/>
  <c r="N177" i="3"/>
  <c r="O177" i="3"/>
  <c r="P177" i="3"/>
  <c r="Q177" i="3"/>
  <c r="R177" i="3"/>
  <c r="G178" i="3"/>
  <c r="H178" i="3"/>
  <c r="I178" i="3"/>
  <c r="J178" i="3"/>
  <c r="K178" i="3"/>
  <c r="L178" i="3"/>
  <c r="N178" i="3"/>
  <c r="O178" i="3"/>
  <c r="P178" i="3"/>
  <c r="Q178" i="3"/>
  <c r="R178" i="3"/>
  <c r="G179" i="3"/>
  <c r="H179" i="3"/>
  <c r="I179" i="3"/>
  <c r="J179" i="3"/>
  <c r="K179" i="3"/>
  <c r="L179" i="3"/>
  <c r="N179" i="3"/>
  <c r="O179" i="3"/>
  <c r="P179" i="3"/>
  <c r="Q179" i="3"/>
  <c r="R179" i="3"/>
  <c r="G180" i="3"/>
  <c r="H180" i="3"/>
  <c r="I180" i="3"/>
  <c r="J180" i="3"/>
  <c r="K180" i="3"/>
  <c r="L180" i="3"/>
  <c r="N180" i="3"/>
  <c r="O180" i="3"/>
  <c r="P180" i="3"/>
  <c r="Q180" i="3"/>
  <c r="R180" i="3"/>
  <c r="G181" i="3"/>
  <c r="H181" i="3"/>
  <c r="I181" i="3"/>
  <c r="J181" i="3"/>
  <c r="K181" i="3"/>
  <c r="L181" i="3"/>
  <c r="N181" i="3"/>
  <c r="O181" i="3"/>
  <c r="P181" i="3"/>
  <c r="Q181" i="3"/>
  <c r="R181" i="3"/>
  <c r="G182" i="3"/>
  <c r="H182" i="3"/>
  <c r="I182" i="3"/>
  <c r="J182" i="3"/>
  <c r="K182" i="3"/>
  <c r="L182" i="3"/>
  <c r="N182" i="3"/>
  <c r="O182" i="3"/>
  <c r="P182" i="3"/>
  <c r="Q182" i="3"/>
  <c r="R182" i="3"/>
  <c r="G183" i="3"/>
  <c r="H183" i="3"/>
  <c r="I183" i="3"/>
  <c r="J183" i="3"/>
  <c r="K183" i="3"/>
  <c r="L183" i="3"/>
  <c r="N183" i="3"/>
  <c r="O183" i="3"/>
  <c r="P183" i="3"/>
  <c r="Q183" i="3"/>
  <c r="R183" i="3"/>
  <c r="G184" i="3"/>
  <c r="H184" i="3"/>
  <c r="I184" i="3"/>
  <c r="J184" i="3"/>
  <c r="K184" i="3"/>
  <c r="L184" i="3"/>
  <c r="N184" i="3"/>
  <c r="O184" i="3"/>
  <c r="P184" i="3"/>
  <c r="Q184" i="3"/>
  <c r="R184" i="3"/>
  <c r="G185" i="3"/>
  <c r="H185" i="3"/>
  <c r="I185" i="3"/>
  <c r="J185" i="3"/>
  <c r="K185" i="3"/>
  <c r="L185" i="3"/>
  <c r="N185" i="3"/>
  <c r="O185" i="3"/>
  <c r="P185" i="3"/>
  <c r="Q185" i="3"/>
  <c r="R185" i="3"/>
  <c r="G186" i="3"/>
  <c r="H186" i="3"/>
  <c r="I186" i="3"/>
  <c r="J186" i="3"/>
  <c r="K186" i="3"/>
  <c r="L186" i="3"/>
  <c r="N186" i="3"/>
  <c r="O186" i="3"/>
  <c r="P186" i="3"/>
  <c r="Q186" i="3"/>
  <c r="R186" i="3"/>
  <c r="G187" i="3"/>
  <c r="H187" i="3"/>
  <c r="I187" i="3"/>
  <c r="J187" i="3"/>
  <c r="K187" i="3"/>
  <c r="L187" i="3"/>
  <c r="N187" i="3"/>
  <c r="O187" i="3"/>
  <c r="P187" i="3"/>
  <c r="Q187" i="3"/>
  <c r="R187" i="3"/>
  <c r="G188" i="3"/>
  <c r="H188" i="3"/>
  <c r="I188" i="3"/>
  <c r="J188" i="3"/>
  <c r="K188" i="3"/>
  <c r="L188" i="3"/>
  <c r="N188" i="3"/>
  <c r="O188" i="3"/>
  <c r="P188" i="3"/>
  <c r="Q188" i="3"/>
  <c r="R188" i="3"/>
  <c r="G189" i="3"/>
  <c r="H189" i="3"/>
  <c r="I189" i="3"/>
  <c r="J189" i="3"/>
  <c r="K189" i="3"/>
  <c r="L189" i="3"/>
  <c r="N189" i="3"/>
  <c r="O189" i="3"/>
  <c r="P189" i="3"/>
  <c r="Q189" i="3"/>
  <c r="R189" i="3"/>
  <c r="G190" i="3"/>
  <c r="H190" i="3"/>
  <c r="I190" i="3"/>
  <c r="J190" i="3"/>
  <c r="K190" i="3"/>
  <c r="L190" i="3"/>
  <c r="N190" i="3"/>
  <c r="O190" i="3"/>
  <c r="P190" i="3"/>
  <c r="Q190" i="3"/>
  <c r="R190" i="3"/>
  <c r="G191" i="3"/>
  <c r="H191" i="3"/>
  <c r="I191" i="3"/>
  <c r="J191" i="3"/>
  <c r="K191" i="3"/>
  <c r="L191" i="3"/>
  <c r="N191" i="3"/>
  <c r="O191" i="3"/>
  <c r="P191" i="3"/>
  <c r="Q191" i="3"/>
  <c r="R191" i="3"/>
  <c r="G192" i="3"/>
  <c r="H192" i="3"/>
  <c r="I192" i="3"/>
  <c r="J192" i="3"/>
  <c r="K192" i="3"/>
  <c r="L192" i="3"/>
  <c r="N192" i="3"/>
  <c r="O192" i="3"/>
  <c r="P192" i="3"/>
  <c r="Q192" i="3"/>
  <c r="R192" i="3"/>
  <c r="G193" i="3"/>
  <c r="H193" i="3"/>
  <c r="I193" i="3"/>
  <c r="J193" i="3"/>
  <c r="K193" i="3"/>
  <c r="L193" i="3"/>
  <c r="N193" i="3"/>
  <c r="O193" i="3"/>
  <c r="P193" i="3"/>
  <c r="Q193" i="3"/>
  <c r="R193" i="3"/>
  <c r="G194" i="3"/>
  <c r="H194" i="3"/>
  <c r="I194" i="3"/>
  <c r="J194" i="3"/>
  <c r="K194" i="3"/>
  <c r="L194" i="3"/>
  <c r="N194" i="3"/>
  <c r="O194" i="3"/>
  <c r="P194" i="3"/>
  <c r="Q194" i="3"/>
  <c r="R194" i="3"/>
  <c r="G195" i="3"/>
  <c r="H195" i="3"/>
  <c r="I195" i="3"/>
  <c r="J195" i="3"/>
  <c r="K195" i="3"/>
  <c r="L195" i="3"/>
  <c r="N195" i="3"/>
  <c r="O195" i="3"/>
  <c r="P195" i="3"/>
  <c r="Q195" i="3"/>
  <c r="R195" i="3"/>
  <c r="G196" i="3"/>
  <c r="H196" i="3"/>
  <c r="I196" i="3"/>
  <c r="J196" i="3"/>
  <c r="K196" i="3"/>
  <c r="L196" i="3"/>
  <c r="N196" i="3"/>
  <c r="O196" i="3"/>
  <c r="P196" i="3"/>
  <c r="Q196" i="3"/>
  <c r="R196" i="3"/>
  <c r="G197" i="3"/>
  <c r="H197" i="3"/>
  <c r="I197" i="3"/>
  <c r="J197" i="3"/>
  <c r="K197" i="3"/>
  <c r="L197" i="3"/>
  <c r="N197" i="3"/>
  <c r="O197" i="3"/>
  <c r="P197" i="3"/>
  <c r="Q197" i="3"/>
  <c r="R197" i="3"/>
  <c r="G198" i="3"/>
  <c r="H198" i="3"/>
  <c r="I198" i="3"/>
  <c r="J198" i="3"/>
  <c r="K198" i="3"/>
  <c r="L198" i="3"/>
  <c r="N198" i="3"/>
  <c r="O198" i="3"/>
  <c r="P198" i="3"/>
  <c r="Q198" i="3"/>
  <c r="R198" i="3"/>
  <c r="G199" i="3"/>
  <c r="H199" i="3"/>
  <c r="I199" i="3"/>
  <c r="J199" i="3"/>
  <c r="K199" i="3"/>
  <c r="L199" i="3"/>
  <c r="N199" i="3"/>
  <c r="O199" i="3"/>
  <c r="P199" i="3"/>
  <c r="Q199" i="3"/>
  <c r="R199" i="3"/>
  <c r="G200" i="3"/>
  <c r="H200" i="3"/>
  <c r="I200" i="3"/>
  <c r="J200" i="3"/>
  <c r="K200" i="3"/>
  <c r="L200" i="3"/>
  <c r="N200" i="3"/>
  <c r="O200" i="3"/>
  <c r="P200" i="3"/>
  <c r="Q200" i="3"/>
  <c r="R200" i="3"/>
  <c r="G201" i="3"/>
  <c r="H201" i="3"/>
  <c r="I201" i="3"/>
  <c r="J201" i="3"/>
  <c r="K201" i="3"/>
  <c r="L201" i="3"/>
  <c r="N201" i="3"/>
  <c r="O201" i="3"/>
  <c r="P201" i="3"/>
  <c r="Q201" i="3"/>
  <c r="R201" i="3"/>
  <c r="G202" i="3"/>
  <c r="H202" i="3"/>
  <c r="I202" i="3"/>
  <c r="J202" i="3"/>
  <c r="K202" i="3"/>
  <c r="L202" i="3"/>
  <c r="N202" i="3"/>
  <c r="O202" i="3"/>
  <c r="P202" i="3"/>
  <c r="Q202" i="3"/>
  <c r="R202" i="3"/>
  <c r="G203" i="3"/>
  <c r="H203" i="3"/>
  <c r="I203" i="3"/>
  <c r="J203" i="3"/>
  <c r="K203" i="3"/>
  <c r="L203" i="3"/>
  <c r="N203" i="3"/>
  <c r="O203" i="3"/>
  <c r="P203" i="3"/>
  <c r="Q203" i="3"/>
  <c r="R203" i="3"/>
  <c r="G204" i="3"/>
  <c r="H204" i="3"/>
  <c r="I204" i="3"/>
  <c r="J204" i="3"/>
  <c r="K204" i="3"/>
  <c r="L204" i="3"/>
  <c r="N204" i="3"/>
  <c r="O204" i="3"/>
  <c r="P204" i="3"/>
  <c r="Q204" i="3"/>
  <c r="R204" i="3"/>
  <c r="G205" i="3"/>
  <c r="H205" i="3"/>
  <c r="I205" i="3"/>
  <c r="J205" i="3"/>
  <c r="K205" i="3"/>
  <c r="L205" i="3"/>
  <c r="N205" i="3"/>
  <c r="O205" i="3"/>
  <c r="P205" i="3"/>
  <c r="Q205" i="3"/>
  <c r="R205" i="3"/>
  <c r="G206" i="3"/>
  <c r="H206" i="3"/>
  <c r="I206" i="3"/>
  <c r="J206" i="3"/>
  <c r="K206" i="3"/>
  <c r="L206" i="3"/>
  <c r="N206" i="3"/>
  <c r="O206" i="3"/>
  <c r="P206" i="3"/>
  <c r="Q206" i="3"/>
  <c r="R206" i="3"/>
  <c r="G207" i="3"/>
  <c r="H207" i="3"/>
  <c r="I207" i="3"/>
  <c r="J207" i="3"/>
  <c r="K207" i="3"/>
  <c r="L207" i="3"/>
  <c r="N207" i="3"/>
  <c r="O207" i="3"/>
  <c r="P207" i="3"/>
  <c r="Q207" i="3"/>
  <c r="R207" i="3"/>
  <c r="G208" i="3"/>
  <c r="H208" i="3"/>
  <c r="I208" i="3"/>
  <c r="J208" i="3"/>
  <c r="K208" i="3"/>
  <c r="L208" i="3"/>
  <c r="N208" i="3"/>
  <c r="O208" i="3"/>
  <c r="P208" i="3"/>
  <c r="Q208" i="3"/>
  <c r="R208" i="3"/>
  <c r="G209" i="3"/>
  <c r="H209" i="3"/>
  <c r="I209" i="3"/>
  <c r="J209" i="3"/>
  <c r="K209" i="3"/>
  <c r="L209" i="3"/>
  <c r="N209" i="3"/>
  <c r="O209" i="3"/>
  <c r="P209" i="3"/>
  <c r="Q209" i="3"/>
  <c r="R209" i="3"/>
  <c r="G210" i="3"/>
  <c r="H210" i="3"/>
  <c r="I210" i="3"/>
  <c r="J210" i="3"/>
  <c r="K210" i="3"/>
  <c r="L210" i="3"/>
  <c r="N210" i="3"/>
  <c r="O210" i="3"/>
  <c r="P210" i="3"/>
  <c r="Q210" i="3"/>
  <c r="R210" i="3"/>
  <c r="G211" i="3"/>
  <c r="H211" i="3"/>
  <c r="I211" i="3"/>
  <c r="J211" i="3"/>
  <c r="K211" i="3"/>
  <c r="L211" i="3"/>
  <c r="N211" i="3"/>
  <c r="O211" i="3"/>
  <c r="P211" i="3"/>
  <c r="Q211" i="3"/>
  <c r="R211" i="3"/>
  <c r="G212" i="3"/>
  <c r="H212" i="3"/>
  <c r="I212" i="3"/>
  <c r="J212" i="3"/>
  <c r="K212" i="3"/>
  <c r="L212" i="3"/>
  <c r="N212" i="3"/>
  <c r="O212" i="3"/>
  <c r="P212" i="3"/>
  <c r="Q212" i="3"/>
  <c r="R212" i="3"/>
  <c r="G213" i="3"/>
  <c r="H213" i="3"/>
  <c r="I213" i="3"/>
  <c r="J213" i="3"/>
  <c r="K213" i="3"/>
  <c r="L213" i="3"/>
  <c r="N213" i="3"/>
  <c r="O213" i="3"/>
  <c r="P213" i="3"/>
  <c r="Q213" i="3"/>
  <c r="R213" i="3"/>
  <c r="G214" i="3"/>
  <c r="H214" i="3"/>
  <c r="I214" i="3"/>
  <c r="J214" i="3"/>
  <c r="K214" i="3"/>
  <c r="L214" i="3"/>
  <c r="N214" i="3"/>
  <c r="O214" i="3"/>
  <c r="P214" i="3"/>
  <c r="Q214" i="3"/>
  <c r="R214" i="3"/>
  <c r="G215" i="3"/>
  <c r="H215" i="3"/>
  <c r="I215" i="3"/>
  <c r="J215" i="3"/>
  <c r="K215" i="3"/>
  <c r="L215" i="3"/>
  <c r="N215" i="3"/>
  <c r="O215" i="3"/>
  <c r="P215" i="3"/>
  <c r="Q215" i="3"/>
  <c r="R215" i="3"/>
  <c r="G216" i="3"/>
  <c r="H216" i="3"/>
  <c r="I216" i="3"/>
  <c r="J216" i="3"/>
  <c r="K216" i="3"/>
  <c r="L216" i="3"/>
  <c r="N216" i="3"/>
  <c r="O216" i="3"/>
  <c r="P216" i="3"/>
  <c r="Q216" i="3"/>
  <c r="R216" i="3"/>
  <c r="G217" i="3"/>
  <c r="H217" i="3"/>
  <c r="I217" i="3"/>
  <c r="J217" i="3"/>
  <c r="K217" i="3"/>
  <c r="L217" i="3"/>
  <c r="N217" i="3"/>
  <c r="O217" i="3"/>
  <c r="P217" i="3"/>
  <c r="Q217" i="3"/>
  <c r="R217" i="3"/>
  <c r="G218" i="3"/>
  <c r="H218" i="3"/>
  <c r="I218" i="3"/>
  <c r="J218" i="3"/>
  <c r="K218" i="3"/>
  <c r="L218" i="3"/>
  <c r="N218" i="3"/>
  <c r="O218" i="3"/>
  <c r="P218" i="3"/>
  <c r="Q218" i="3"/>
  <c r="R218" i="3"/>
  <c r="G219" i="3"/>
  <c r="H219" i="3"/>
  <c r="I219" i="3"/>
  <c r="J219" i="3"/>
  <c r="K219" i="3"/>
  <c r="L219" i="3"/>
  <c r="N219" i="3"/>
  <c r="O219" i="3"/>
  <c r="P219" i="3"/>
  <c r="Q219" i="3"/>
  <c r="R219" i="3"/>
  <c r="G220" i="3"/>
  <c r="H220" i="3"/>
  <c r="I220" i="3"/>
  <c r="J220" i="3"/>
  <c r="K220" i="3"/>
  <c r="L220" i="3"/>
  <c r="N220" i="3"/>
  <c r="O220" i="3"/>
  <c r="P220" i="3"/>
  <c r="Q220" i="3"/>
  <c r="R220" i="3"/>
  <c r="G221" i="3"/>
  <c r="H221" i="3"/>
  <c r="I221" i="3"/>
  <c r="J221" i="3"/>
  <c r="K221" i="3"/>
  <c r="L221" i="3"/>
  <c r="N221" i="3"/>
  <c r="O221" i="3"/>
  <c r="P221" i="3"/>
  <c r="Q221" i="3"/>
  <c r="R221" i="3"/>
  <c r="G222" i="3"/>
  <c r="H222" i="3"/>
  <c r="I222" i="3"/>
  <c r="J222" i="3"/>
  <c r="K222" i="3"/>
  <c r="L222" i="3"/>
  <c r="N222" i="3"/>
  <c r="O222" i="3"/>
  <c r="P222" i="3"/>
  <c r="Q222" i="3"/>
  <c r="R222" i="3"/>
  <c r="G223" i="3"/>
  <c r="H223" i="3"/>
  <c r="I223" i="3"/>
  <c r="J223" i="3"/>
  <c r="K223" i="3"/>
  <c r="L223" i="3"/>
  <c r="N223" i="3"/>
  <c r="O223" i="3"/>
  <c r="P223" i="3"/>
  <c r="Q223" i="3"/>
  <c r="R223" i="3"/>
  <c r="G224" i="3"/>
  <c r="H224" i="3"/>
  <c r="I224" i="3"/>
  <c r="J224" i="3"/>
  <c r="K224" i="3"/>
  <c r="L224" i="3"/>
  <c r="N224" i="3"/>
  <c r="O224" i="3"/>
  <c r="P224" i="3"/>
  <c r="Q224" i="3"/>
  <c r="R224" i="3"/>
  <c r="G225" i="3"/>
  <c r="H225" i="3"/>
  <c r="I225" i="3"/>
  <c r="J225" i="3"/>
  <c r="K225" i="3"/>
  <c r="L225" i="3"/>
  <c r="N225" i="3"/>
  <c r="O225" i="3"/>
  <c r="P225" i="3"/>
  <c r="Q225" i="3"/>
  <c r="R225" i="3"/>
  <c r="G226" i="3"/>
  <c r="H226" i="3"/>
  <c r="I226" i="3"/>
  <c r="J226" i="3"/>
  <c r="K226" i="3"/>
  <c r="L226" i="3"/>
  <c r="N226" i="3"/>
  <c r="O226" i="3"/>
  <c r="P226" i="3"/>
  <c r="Q226" i="3"/>
  <c r="R226" i="3"/>
  <c r="G227" i="3"/>
  <c r="H227" i="3"/>
  <c r="I227" i="3"/>
  <c r="J227" i="3"/>
  <c r="K227" i="3"/>
  <c r="L227" i="3"/>
  <c r="N227" i="3"/>
  <c r="O227" i="3"/>
  <c r="P227" i="3"/>
  <c r="Q227" i="3"/>
  <c r="R227" i="3"/>
  <c r="G228" i="3"/>
  <c r="H228" i="3"/>
  <c r="I228" i="3"/>
  <c r="J228" i="3"/>
  <c r="K228" i="3"/>
  <c r="L228" i="3"/>
  <c r="N228" i="3"/>
  <c r="O228" i="3"/>
  <c r="P228" i="3"/>
  <c r="Q228" i="3"/>
  <c r="R228" i="3"/>
  <c r="G229" i="3"/>
  <c r="H229" i="3"/>
  <c r="I229" i="3"/>
  <c r="J229" i="3"/>
  <c r="K229" i="3"/>
  <c r="L229" i="3"/>
  <c r="N229" i="3"/>
  <c r="O229" i="3"/>
  <c r="P229" i="3"/>
  <c r="Q229" i="3"/>
  <c r="R229" i="3"/>
  <c r="G230" i="3"/>
  <c r="H230" i="3"/>
  <c r="I230" i="3"/>
  <c r="J230" i="3"/>
  <c r="K230" i="3"/>
  <c r="L230" i="3"/>
  <c r="N230" i="3"/>
  <c r="O230" i="3"/>
  <c r="P230" i="3"/>
  <c r="Q230" i="3"/>
  <c r="R230" i="3"/>
  <c r="G231" i="3"/>
  <c r="H231" i="3"/>
  <c r="I231" i="3"/>
  <c r="J231" i="3"/>
  <c r="K231" i="3"/>
  <c r="L231" i="3"/>
  <c r="N231" i="3"/>
  <c r="O231" i="3"/>
  <c r="P231" i="3"/>
  <c r="Q231" i="3"/>
  <c r="R231" i="3"/>
  <c r="G232" i="3"/>
  <c r="H232" i="3"/>
  <c r="I232" i="3"/>
  <c r="J232" i="3"/>
  <c r="K232" i="3"/>
  <c r="L232" i="3"/>
  <c r="N232" i="3"/>
  <c r="O232" i="3"/>
  <c r="P232" i="3"/>
  <c r="Q232" i="3"/>
  <c r="R232" i="3"/>
  <c r="G233" i="3"/>
  <c r="H233" i="3"/>
  <c r="I233" i="3"/>
  <c r="J233" i="3"/>
  <c r="K233" i="3"/>
  <c r="L233" i="3"/>
  <c r="N233" i="3"/>
  <c r="O233" i="3"/>
  <c r="P233" i="3"/>
  <c r="Q233" i="3"/>
  <c r="R233" i="3"/>
  <c r="G234" i="3"/>
  <c r="H234" i="3"/>
  <c r="I234" i="3"/>
  <c r="J234" i="3"/>
  <c r="K234" i="3"/>
  <c r="L234" i="3"/>
  <c r="N234" i="3"/>
  <c r="O234" i="3"/>
  <c r="P234" i="3"/>
  <c r="Q234" i="3"/>
  <c r="R234" i="3"/>
  <c r="G235" i="3"/>
  <c r="H235" i="3"/>
  <c r="I235" i="3"/>
  <c r="J235" i="3"/>
  <c r="K235" i="3"/>
  <c r="L235" i="3"/>
  <c r="N235" i="3"/>
  <c r="O235" i="3"/>
  <c r="P235" i="3"/>
  <c r="Q235" i="3"/>
  <c r="R235" i="3"/>
  <c r="G236" i="3"/>
  <c r="H236" i="3"/>
  <c r="I236" i="3"/>
  <c r="J236" i="3"/>
  <c r="K236" i="3"/>
  <c r="L236" i="3"/>
  <c r="N236" i="3"/>
  <c r="O236" i="3"/>
  <c r="P236" i="3"/>
  <c r="Q236" i="3"/>
  <c r="R236" i="3"/>
  <c r="G237" i="3"/>
  <c r="H237" i="3"/>
  <c r="I237" i="3"/>
  <c r="J237" i="3"/>
  <c r="K237" i="3"/>
  <c r="L237" i="3"/>
  <c r="N237" i="3"/>
  <c r="O237" i="3"/>
  <c r="P237" i="3"/>
  <c r="Q237" i="3"/>
  <c r="R237" i="3"/>
  <c r="G238" i="3"/>
  <c r="H238" i="3"/>
  <c r="I238" i="3"/>
  <c r="J238" i="3"/>
  <c r="K238" i="3"/>
  <c r="L238" i="3"/>
  <c r="N238" i="3"/>
  <c r="O238" i="3"/>
  <c r="P238" i="3"/>
  <c r="Q238" i="3"/>
  <c r="R238" i="3"/>
  <c r="G239" i="3"/>
  <c r="H239" i="3"/>
  <c r="I239" i="3"/>
  <c r="J239" i="3"/>
  <c r="K239" i="3"/>
  <c r="L239" i="3"/>
  <c r="N239" i="3"/>
  <c r="O239" i="3"/>
  <c r="P239" i="3"/>
  <c r="Q239" i="3"/>
  <c r="R239" i="3"/>
  <c r="G240" i="3"/>
  <c r="H240" i="3"/>
  <c r="I240" i="3"/>
  <c r="J240" i="3"/>
  <c r="K240" i="3"/>
  <c r="L240" i="3"/>
  <c r="N240" i="3"/>
  <c r="O240" i="3"/>
  <c r="P240" i="3"/>
  <c r="Q240" i="3"/>
  <c r="R240" i="3"/>
  <c r="G241" i="3"/>
  <c r="H241" i="3"/>
  <c r="I241" i="3"/>
  <c r="J241" i="3"/>
  <c r="K241" i="3"/>
  <c r="L241" i="3"/>
  <c r="N241" i="3"/>
  <c r="O241" i="3"/>
  <c r="P241" i="3"/>
  <c r="Q241" i="3"/>
  <c r="R241" i="3"/>
  <c r="G242" i="3"/>
  <c r="H242" i="3"/>
  <c r="I242" i="3"/>
  <c r="J242" i="3"/>
  <c r="K242" i="3"/>
  <c r="L242" i="3"/>
  <c r="N242" i="3"/>
  <c r="O242" i="3"/>
  <c r="P242" i="3"/>
  <c r="Q242" i="3"/>
  <c r="R242" i="3"/>
  <c r="G243" i="3"/>
  <c r="H243" i="3"/>
  <c r="I243" i="3"/>
  <c r="J243" i="3"/>
  <c r="K243" i="3"/>
  <c r="L243" i="3"/>
  <c r="N243" i="3"/>
  <c r="O243" i="3"/>
  <c r="P243" i="3"/>
  <c r="Q243" i="3"/>
  <c r="R243" i="3"/>
  <c r="G244" i="3"/>
  <c r="H244" i="3"/>
  <c r="I244" i="3"/>
  <c r="J244" i="3"/>
  <c r="K244" i="3"/>
  <c r="L244" i="3"/>
  <c r="N244" i="3"/>
  <c r="O244" i="3"/>
  <c r="P244" i="3"/>
  <c r="Q244" i="3"/>
  <c r="R244" i="3"/>
  <c r="G245" i="3"/>
  <c r="H245" i="3"/>
  <c r="I245" i="3"/>
  <c r="J245" i="3"/>
  <c r="K245" i="3"/>
  <c r="L245" i="3"/>
  <c r="N245" i="3"/>
  <c r="O245" i="3"/>
  <c r="P245" i="3"/>
  <c r="Q245" i="3"/>
  <c r="R245" i="3"/>
  <c r="G246" i="3"/>
  <c r="H246" i="3"/>
  <c r="I246" i="3"/>
  <c r="J246" i="3"/>
  <c r="K246" i="3"/>
  <c r="L246" i="3"/>
  <c r="N246" i="3"/>
  <c r="O246" i="3"/>
  <c r="P246" i="3"/>
  <c r="Q246" i="3"/>
  <c r="R246" i="3"/>
  <c r="G247" i="3"/>
  <c r="H247" i="3"/>
  <c r="I247" i="3"/>
  <c r="J247" i="3"/>
  <c r="K247" i="3"/>
  <c r="L247" i="3"/>
  <c r="N247" i="3"/>
  <c r="O247" i="3"/>
  <c r="P247" i="3"/>
  <c r="Q247" i="3"/>
  <c r="R247" i="3"/>
  <c r="G248" i="3"/>
  <c r="H248" i="3"/>
  <c r="I248" i="3"/>
  <c r="J248" i="3"/>
  <c r="K248" i="3"/>
  <c r="L248" i="3"/>
  <c r="N248" i="3"/>
  <c r="O248" i="3"/>
  <c r="P248" i="3"/>
  <c r="Q248" i="3"/>
  <c r="R248" i="3"/>
  <c r="G249" i="3"/>
  <c r="H249" i="3"/>
  <c r="I249" i="3"/>
  <c r="J249" i="3"/>
  <c r="K249" i="3"/>
  <c r="L249" i="3"/>
  <c r="N249" i="3"/>
  <c r="O249" i="3"/>
  <c r="P249" i="3"/>
  <c r="Q249" i="3"/>
  <c r="R249" i="3"/>
  <c r="G250" i="3"/>
  <c r="H250" i="3"/>
  <c r="I250" i="3"/>
  <c r="J250" i="3"/>
  <c r="K250" i="3"/>
  <c r="L250" i="3"/>
  <c r="N250" i="3"/>
  <c r="O250" i="3"/>
  <c r="P250" i="3"/>
  <c r="Q250" i="3"/>
  <c r="R250" i="3"/>
  <c r="G251" i="3"/>
  <c r="H251" i="3"/>
  <c r="I251" i="3"/>
  <c r="J251" i="3"/>
  <c r="K251" i="3"/>
  <c r="L251" i="3"/>
  <c r="N251" i="3"/>
  <c r="O251" i="3"/>
  <c r="P251" i="3"/>
  <c r="Q251" i="3"/>
  <c r="R251" i="3"/>
  <c r="G252" i="3"/>
  <c r="H252" i="3"/>
  <c r="I252" i="3"/>
  <c r="J252" i="3"/>
  <c r="K252" i="3"/>
  <c r="L252" i="3"/>
  <c r="N252" i="3"/>
  <c r="O252" i="3"/>
  <c r="P252" i="3"/>
  <c r="Q252" i="3"/>
  <c r="R252" i="3"/>
  <c r="G253" i="3"/>
  <c r="H253" i="3"/>
  <c r="I253" i="3"/>
  <c r="J253" i="3"/>
  <c r="K253" i="3"/>
  <c r="L253" i="3"/>
  <c r="N253" i="3"/>
  <c r="O253" i="3"/>
  <c r="P253" i="3"/>
  <c r="Q253" i="3"/>
  <c r="R253" i="3"/>
  <c r="G254" i="3"/>
  <c r="H254" i="3"/>
  <c r="I254" i="3"/>
  <c r="J254" i="3"/>
  <c r="K254" i="3"/>
  <c r="L254" i="3"/>
  <c r="N254" i="3"/>
  <c r="O254" i="3"/>
  <c r="P254" i="3"/>
  <c r="Q254" i="3"/>
  <c r="R254" i="3"/>
  <c r="G255" i="3"/>
  <c r="H255" i="3"/>
  <c r="I255" i="3"/>
  <c r="J255" i="3"/>
  <c r="K255" i="3"/>
  <c r="L255" i="3"/>
  <c r="N255" i="3"/>
  <c r="O255" i="3"/>
  <c r="P255" i="3"/>
  <c r="Q255" i="3"/>
  <c r="R255" i="3"/>
  <c r="G256" i="3"/>
  <c r="H256" i="3"/>
  <c r="I256" i="3"/>
  <c r="J256" i="3"/>
  <c r="K256" i="3"/>
  <c r="L256" i="3"/>
  <c r="N256" i="3"/>
  <c r="O256" i="3"/>
  <c r="P256" i="3"/>
  <c r="Q256" i="3"/>
  <c r="R256" i="3"/>
  <c r="G257" i="3"/>
  <c r="H257" i="3"/>
  <c r="I257" i="3"/>
  <c r="J257" i="3"/>
  <c r="K257" i="3"/>
  <c r="L257" i="3"/>
  <c r="N257" i="3"/>
  <c r="O257" i="3"/>
  <c r="P257" i="3"/>
  <c r="Q257" i="3"/>
  <c r="R257" i="3"/>
  <c r="G258" i="3"/>
  <c r="H258" i="3"/>
  <c r="I258" i="3"/>
  <c r="J258" i="3"/>
  <c r="K258" i="3"/>
  <c r="L258" i="3"/>
  <c r="N258" i="3"/>
  <c r="O258" i="3"/>
  <c r="P258" i="3"/>
  <c r="Q258" i="3"/>
  <c r="R258" i="3"/>
  <c r="G259" i="3"/>
  <c r="H259" i="3"/>
  <c r="I259" i="3"/>
  <c r="J259" i="3"/>
  <c r="K259" i="3"/>
  <c r="L259" i="3"/>
  <c r="N259" i="3"/>
  <c r="O259" i="3"/>
  <c r="P259" i="3"/>
  <c r="Q259" i="3"/>
  <c r="R259" i="3"/>
  <c r="G260" i="3"/>
  <c r="H260" i="3"/>
  <c r="I260" i="3"/>
  <c r="J260" i="3"/>
  <c r="K260" i="3"/>
  <c r="L260" i="3"/>
  <c r="N260" i="3"/>
  <c r="O260" i="3"/>
  <c r="P260" i="3"/>
  <c r="Q260" i="3"/>
  <c r="R260" i="3"/>
  <c r="G261" i="3"/>
  <c r="H261" i="3"/>
  <c r="I261" i="3"/>
  <c r="J261" i="3"/>
  <c r="K261" i="3"/>
  <c r="L261" i="3"/>
  <c r="N261" i="3"/>
  <c r="O261" i="3"/>
  <c r="P261" i="3"/>
  <c r="Q261" i="3"/>
  <c r="R261" i="3"/>
  <c r="G262" i="3"/>
  <c r="H262" i="3"/>
  <c r="I262" i="3"/>
  <c r="J262" i="3"/>
  <c r="K262" i="3"/>
  <c r="L262" i="3"/>
  <c r="N262" i="3"/>
  <c r="O262" i="3"/>
  <c r="P262" i="3"/>
  <c r="Q262" i="3"/>
  <c r="R262" i="3"/>
  <c r="G263" i="3"/>
  <c r="H263" i="3"/>
  <c r="I263" i="3"/>
  <c r="J263" i="3"/>
  <c r="K263" i="3"/>
  <c r="L263" i="3"/>
  <c r="N263" i="3"/>
  <c r="O263" i="3"/>
  <c r="P263" i="3"/>
  <c r="Q263" i="3"/>
  <c r="R263" i="3"/>
  <c r="G264" i="3"/>
  <c r="H264" i="3"/>
  <c r="I264" i="3"/>
  <c r="J264" i="3"/>
  <c r="K264" i="3"/>
  <c r="L264" i="3"/>
  <c r="N264" i="3"/>
  <c r="O264" i="3"/>
  <c r="P264" i="3"/>
  <c r="Q264" i="3"/>
  <c r="R264" i="3"/>
  <c r="G265" i="3"/>
  <c r="H265" i="3"/>
  <c r="I265" i="3"/>
  <c r="J265" i="3"/>
  <c r="K265" i="3"/>
  <c r="L265" i="3"/>
  <c r="N265" i="3"/>
  <c r="O265" i="3"/>
  <c r="P265" i="3"/>
  <c r="Q265" i="3"/>
  <c r="R265" i="3"/>
  <c r="G266" i="3"/>
  <c r="H266" i="3"/>
  <c r="I266" i="3"/>
  <c r="J266" i="3"/>
  <c r="K266" i="3"/>
  <c r="L266" i="3"/>
  <c r="N266" i="3"/>
  <c r="O266" i="3"/>
  <c r="P266" i="3"/>
  <c r="Q266" i="3"/>
  <c r="R266" i="3"/>
  <c r="G267" i="3"/>
  <c r="H267" i="3"/>
  <c r="I267" i="3"/>
  <c r="J267" i="3"/>
  <c r="K267" i="3"/>
  <c r="L267" i="3"/>
  <c r="N267" i="3"/>
  <c r="O267" i="3"/>
  <c r="P267" i="3"/>
  <c r="Q267" i="3"/>
  <c r="R267" i="3"/>
  <c r="G268" i="3"/>
  <c r="H268" i="3"/>
  <c r="I268" i="3"/>
  <c r="J268" i="3"/>
  <c r="K268" i="3"/>
  <c r="L268" i="3"/>
  <c r="N268" i="3"/>
  <c r="O268" i="3"/>
  <c r="P268" i="3"/>
  <c r="Q268" i="3"/>
  <c r="R268" i="3"/>
  <c r="G269" i="3"/>
  <c r="H269" i="3"/>
  <c r="I269" i="3"/>
  <c r="J269" i="3"/>
  <c r="K269" i="3"/>
  <c r="L269" i="3"/>
  <c r="N269" i="3"/>
  <c r="O269" i="3"/>
  <c r="P269" i="3"/>
  <c r="Q269" i="3"/>
  <c r="R269" i="3"/>
  <c r="G270" i="3"/>
  <c r="H270" i="3"/>
  <c r="I270" i="3"/>
  <c r="J270" i="3"/>
  <c r="K270" i="3"/>
  <c r="L270" i="3"/>
  <c r="N270" i="3"/>
  <c r="O270" i="3"/>
  <c r="P270" i="3"/>
  <c r="Q270" i="3"/>
  <c r="R270" i="3"/>
  <c r="G271" i="3"/>
  <c r="H271" i="3"/>
  <c r="I271" i="3"/>
  <c r="J271" i="3"/>
  <c r="K271" i="3"/>
  <c r="L271" i="3"/>
  <c r="N271" i="3"/>
  <c r="O271" i="3"/>
  <c r="P271" i="3"/>
  <c r="Q271" i="3"/>
  <c r="R271" i="3"/>
  <c r="G272" i="3"/>
  <c r="H272" i="3"/>
  <c r="I272" i="3"/>
  <c r="J272" i="3"/>
  <c r="K272" i="3"/>
  <c r="L272" i="3"/>
  <c r="N272" i="3"/>
  <c r="O272" i="3"/>
  <c r="P272" i="3"/>
  <c r="Q272" i="3"/>
  <c r="R272" i="3"/>
  <c r="G273" i="3"/>
  <c r="H273" i="3"/>
  <c r="I273" i="3"/>
  <c r="J273" i="3"/>
  <c r="K273" i="3"/>
  <c r="L273" i="3"/>
  <c r="N273" i="3"/>
  <c r="O273" i="3"/>
  <c r="P273" i="3"/>
  <c r="Q273" i="3"/>
  <c r="R273" i="3"/>
  <c r="G274" i="3"/>
  <c r="H274" i="3"/>
  <c r="I274" i="3"/>
  <c r="J274" i="3"/>
  <c r="K274" i="3"/>
  <c r="L274" i="3"/>
  <c r="N274" i="3"/>
  <c r="O274" i="3"/>
  <c r="P274" i="3"/>
  <c r="Q274" i="3"/>
  <c r="R274" i="3"/>
  <c r="G275" i="3"/>
  <c r="H275" i="3"/>
  <c r="I275" i="3"/>
  <c r="J275" i="3"/>
  <c r="K275" i="3"/>
  <c r="L275" i="3"/>
  <c r="N275" i="3"/>
  <c r="O275" i="3"/>
  <c r="P275" i="3"/>
  <c r="Q275" i="3"/>
  <c r="R275" i="3"/>
  <c r="G276" i="3"/>
  <c r="H276" i="3"/>
  <c r="I276" i="3"/>
  <c r="J276" i="3"/>
  <c r="K276" i="3"/>
  <c r="L276" i="3"/>
  <c r="N276" i="3"/>
  <c r="O276" i="3"/>
  <c r="P276" i="3"/>
  <c r="Q276" i="3"/>
  <c r="R276" i="3"/>
  <c r="G277" i="3"/>
  <c r="H277" i="3"/>
  <c r="I277" i="3"/>
  <c r="J277" i="3"/>
  <c r="K277" i="3"/>
  <c r="L277" i="3"/>
  <c r="N277" i="3"/>
  <c r="O277" i="3"/>
  <c r="P277" i="3"/>
  <c r="Q277" i="3"/>
  <c r="R277" i="3"/>
  <c r="G278" i="3"/>
  <c r="H278" i="3"/>
  <c r="I278" i="3"/>
  <c r="J278" i="3"/>
  <c r="K278" i="3"/>
  <c r="L278" i="3"/>
  <c r="N278" i="3"/>
  <c r="O278" i="3"/>
  <c r="P278" i="3"/>
  <c r="Q278" i="3"/>
  <c r="R278" i="3"/>
  <c r="G279" i="3"/>
  <c r="H279" i="3"/>
  <c r="I279" i="3"/>
  <c r="J279" i="3"/>
  <c r="K279" i="3"/>
  <c r="L279" i="3"/>
  <c r="N279" i="3"/>
  <c r="O279" i="3"/>
  <c r="P279" i="3"/>
  <c r="Q279" i="3"/>
  <c r="R279" i="3"/>
  <c r="G280" i="3"/>
  <c r="H280" i="3"/>
  <c r="I280" i="3"/>
  <c r="J280" i="3"/>
  <c r="K280" i="3"/>
  <c r="L280" i="3"/>
  <c r="N280" i="3"/>
  <c r="O280" i="3"/>
  <c r="P280" i="3"/>
  <c r="Q280" i="3"/>
  <c r="R280" i="3"/>
  <c r="G281" i="3"/>
  <c r="H281" i="3"/>
  <c r="I281" i="3"/>
  <c r="J281" i="3"/>
  <c r="K281" i="3"/>
  <c r="L281" i="3"/>
  <c r="N281" i="3"/>
  <c r="O281" i="3"/>
  <c r="P281" i="3"/>
  <c r="Q281" i="3"/>
  <c r="R281" i="3"/>
  <c r="G282" i="3"/>
  <c r="H282" i="3"/>
  <c r="I282" i="3"/>
  <c r="J282" i="3"/>
  <c r="K282" i="3"/>
  <c r="L282" i="3"/>
  <c r="N282" i="3"/>
  <c r="O282" i="3"/>
  <c r="P282" i="3"/>
  <c r="Q282" i="3"/>
  <c r="R282" i="3"/>
  <c r="G283" i="3"/>
  <c r="H283" i="3"/>
  <c r="I283" i="3"/>
  <c r="J283" i="3"/>
  <c r="K283" i="3"/>
  <c r="L283" i="3"/>
  <c r="N283" i="3"/>
  <c r="O283" i="3"/>
  <c r="P283" i="3"/>
  <c r="Q283" i="3"/>
  <c r="R283" i="3"/>
  <c r="G284" i="3"/>
  <c r="H284" i="3"/>
  <c r="I284" i="3"/>
  <c r="J284" i="3"/>
  <c r="K284" i="3"/>
  <c r="L284" i="3"/>
  <c r="N284" i="3"/>
  <c r="O284" i="3"/>
  <c r="P284" i="3"/>
  <c r="Q284" i="3"/>
  <c r="R284" i="3"/>
  <c r="G285" i="3"/>
  <c r="H285" i="3"/>
  <c r="I285" i="3"/>
  <c r="J285" i="3"/>
  <c r="K285" i="3"/>
  <c r="L285" i="3"/>
  <c r="N285" i="3"/>
  <c r="O285" i="3"/>
  <c r="P285" i="3"/>
  <c r="Q285" i="3"/>
  <c r="R285" i="3"/>
  <c r="G286" i="3"/>
  <c r="H286" i="3"/>
  <c r="I286" i="3"/>
  <c r="J286" i="3"/>
  <c r="K286" i="3"/>
  <c r="L286" i="3"/>
  <c r="N286" i="3"/>
  <c r="O286" i="3"/>
  <c r="P286" i="3"/>
  <c r="Q286" i="3"/>
  <c r="R286" i="3"/>
  <c r="G287" i="3"/>
  <c r="H287" i="3"/>
  <c r="I287" i="3"/>
  <c r="J287" i="3"/>
  <c r="K287" i="3"/>
  <c r="L287" i="3"/>
  <c r="N287" i="3"/>
  <c r="O287" i="3"/>
  <c r="P287" i="3"/>
  <c r="Q287" i="3"/>
  <c r="R287" i="3"/>
  <c r="G288" i="3"/>
  <c r="H288" i="3"/>
  <c r="I288" i="3"/>
  <c r="J288" i="3"/>
  <c r="K288" i="3"/>
  <c r="L288" i="3"/>
  <c r="N288" i="3"/>
  <c r="O288" i="3"/>
  <c r="P288" i="3"/>
  <c r="Q288" i="3"/>
  <c r="R288" i="3"/>
  <c r="G289" i="3"/>
  <c r="H289" i="3"/>
  <c r="I289" i="3"/>
  <c r="J289" i="3"/>
  <c r="K289" i="3"/>
  <c r="L289" i="3"/>
  <c r="N289" i="3"/>
  <c r="O289" i="3"/>
  <c r="P289" i="3"/>
  <c r="Q289" i="3"/>
  <c r="R289" i="3"/>
  <c r="G290" i="3"/>
  <c r="H290" i="3"/>
  <c r="I290" i="3"/>
  <c r="J290" i="3"/>
  <c r="K290" i="3"/>
  <c r="L290" i="3"/>
  <c r="N290" i="3"/>
  <c r="O290" i="3"/>
  <c r="P290" i="3"/>
  <c r="Q290" i="3"/>
  <c r="R290" i="3"/>
  <c r="G291" i="3"/>
  <c r="H291" i="3"/>
  <c r="I291" i="3"/>
  <c r="J291" i="3"/>
  <c r="K291" i="3"/>
  <c r="L291" i="3"/>
  <c r="N291" i="3"/>
  <c r="O291" i="3"/>
  <c r="P291" i="3"/>
  <c r="Q291" i="3"/>
  <c r="R291" i="3"/>
  <c r="G292" i="3"/>
  <c r="H292" i="3"/>
  <c r="I292" i="3"/>
  <c r="J292" i="3"/>
  <c r="K292" i="3"/>
  <c r="L292" i="3"/>
  <c r="N292" i="3"/>
  <c r="O292" i="3"/>
  <c r="P292" i="3"/>
  <c r="Q292" i="3"/>
  <c r="R292" i="3"/>
  <c r="G293" i="3"/>
  <c r="H293" i="3"/>
  <c r="I293" i="3"/>
  <c r="J293" i="3"/>
  <c r="K293" i="3"/>
  <c r="L293" i="3"/>
  <c r="N293" i="3"/>
  <c r="O293" i="3"/>
  <c r="P293" i="3"/>
  <c r="Q293" i="3"/>
  <c r="R293" i="3"/>
  <c r="G294" i="3"/>
  <c r="H294" i="3"/>
  <c r="I294" i="3"/>
  <c r="J294" i="3"/>
  <c r="K294" i="3"/>
  <c r="L294" i="3"/>
  <c r="N294" i="3"/>
  <c r="O294" i="3"/>
  <c r="P294" i="3"/>
  <c r="Q294" i="3"/>
  <c r="R294" i="3"/>
  <c r="G295" i="3"/>
  <c r="H295" i="3"/>
  <c r="I295" i="3"/>
  <c r="J295" i="3"/>
  <c r="K295" i="3"/>
  <c r="L295" i="3"/>
  <c r="N295" i="3"/>
  <c r="O295" i="3"/>
  <c r="P295" i="3"/>
  <c r="Q295" i="3"/>
  <c r="R295" i="3"/>
  <c r="G296" i="3"/>
  <c r="H296" i="3"/>
  <c r="I296" i="3"/>
  <c r="J296" i="3"/>
  <c r="K296" i="3"/>
  <c r="L296" i="3"/>
  <c r="N296" i="3"/>
  <c r="O296" i="3"/>
  <c r="P296" i="3"/>
  <c r="Q296" i="3"/>
  <c r="R296" i="3"/>
  <c r="G297" i="3"/>
  <c r="H297" i="3"/>
  <c r="I297" i="3"/>
  <c r="J297" i="3"/>
  <c r="K297" i="3"/>
  <c r="L297" i="3"/>
  <c r="N297" i="3"/>
  <c r="O297" i="3"/>
  <c r="P297" i="3"/>
  <c r="Q297" i="3"/>
  <c r="R297" i="3"/>
  <c r="G298" i="3"/>
  <c r="H298" i="3"/>
  <c r="I298" i="3"/>
  <c r="J298" i="3"/>
  <c r="K298" i="3"/>
  <c r="L298" i="3"/>
  <c r="N298" i="3"/>
  <c r="O298" i="3"/>
  <c r="P298" i="3"/>
  <c r="Q298" i="3"/>
  <c r="R298" i="3"/>
  <c r="G299" i="3"/>
  <c r="H299" i="3"/>
  <c r="I299" i="3"/>
  <c r="J299" i="3"/>
  <c r="K299" i="3"/>
  <c r="L299" i="3"/>
  <c r="N299" i="3"/>
  <c r="O299" i="3"/>
  <c r="P299" i="3"/>
  <c r="Q299" i="3"/>
  <c r="R299" i="3"/>
  <c r="G300" i="3"/>
  <c r="H300" i="3"/>
  <c r="I300" i="3"/>
  <c r="J300" i="3"/>
  <c r="K300" i="3"/>
  <c r="L300" i="3"/>
  <c r="N300" i="3"/>
  <c r="O300" i="3"/>
  <c r="P300" i="3"/>
  <c r="Q300" i="3"/>
  <c r="R300" i="3"/>
  <c r="G301" i="3"/>
  <c r="H301" i="3"/>
  <c r="I301" i="3"/>
  <c r="J301" i="3"/>
  <c r="K301" i="3"/>
  <c r="L301" i="3"/>
  <c r="N301" i="3"/>
  <c r="O301" i="3"/>
  <c r="P301" i="3"/>
  <c r="Q301" i="3"/>
  <c r="R301" i="3"/>
  <c r="G302" i="3"/>
  <c r="H302" i="3"/>
  <c r="I302" i="3"/>
  <c r="J302" i="3"/>
  <c r="K302" i="3"/>
  <c r="L302" i="3"/>
  <c r="N302" i="3"/>
  <c r="O302" i="3"/>
  <c r="P302" i="3"/>
  <c r="Q302" i="3"/>
  <c r="R302" i="3"/>
  <c r="G303" i="3"/>
  <c r="H303" i="3"/>
  <c r="I303" i="3"/>
  <c r="J303" i="3"/>
  <c r="K303" i="3"/>
  <c r="L303" i="3"/>
  <c r="N303" i="3"/>
  <c r="O303" i="3"/>
  <c r="P303" i="3"/>
  <c r="Q303" i="3"/>
  <c r="R303" i="3"/>
  <c r="G304" i="3"/>
  <c r="H304" i="3"/>
  <c r="I304" i="3"/>
  <c r="J304" i="3"/>
  <c r="K304" i="3"/>
  <c r="L304" i="3"/>
  <c r="N304" i="3"/>
  <c r="O304" i="3"/>
  <c r="P304" i="3"/>
  <c r="Q304" i="3"/>
  <c r="R304" i="3"/>
  <c r="G305" i="3"/>
  <c r="H305" i="3"/>
  <c r="I305" i="3"/>
  <c r="J305" i="3"/>
  <c r="K305" i="3"/>
  <c r="L305" i="3"/>
  <c r="N305" i="3"/>
  <c r="O305" i="3"/>
  <c r="P305" i="3"/>
  <c r="Q305" i="3"/>
  <c r="R305" i="3"/>
  <c r="G306" i="3"/>
  <c r="H306" i="3"/>
  <c r="I306" i="3"/>
  <c r="J306" i="3"/>
  <c r="K306" i="3"/>
  <c r="L306" i="3"/>
  <c r="N306" i="3"/>
  <c r="O306" i="3"/>
  <c r="P306" i="3"/>
  <c r="Q306" i="3"/>
  <c r="R306" i="3"/>
  <c r="G307" i="3"/>
  <c r="H307" i="3"/>
  <c r="I307" i="3"/>
  <c r="J307" i="3"/>
  <c r="K307" i="3"/>
  <c r="L307" i="3"/>
  <c r="N307" i="3"/>
  <c r="O307" i="3"/>
  <c r="P307" i="3"/>
  <c r="Q307" i="3"/>
  <c r="R307" i="3"/>
  <c r="G308" i="3"/>
  <c r="H308" i="3"/>
  <c r="I308" i="3"/>
  <c r="J308" i="3"/>
  <c r="K308" i="3"/>
  <c r="L308" i="3"/>
  <c r="N308" i="3"/>
  <c r="O308" i="3"/>
  <c r="P308" i="3"/>
  <c r="Q308" i="3"/>
  <c r="R308" i="3"/>
  <c r="G309" i="3"/>
  <c r="H309" i="3"/>
  <c r="I309" i="3"/>
  <c r="J309" i="3"/>
  <c r="K309" i="3"/>
  <c r="L309" i="3"/>
  <c r="N309" i="3"/>
  <c r="O309" i="3"/>
  <c r="P309" i="3"/>
  <c r="Q309" i="3"/>
  <c r="R309" i="3"/>
  <c r="G310" i="3"/>
  <c r="H310" i="3"/>
  <c r="I310" i="3"/>
  <c r="J310" i="3"/>
  <c r="K310" i="3"/>
  <c r="L310" i="3"/>
  <c r="N310" i="3"/>
  <c r="O310" i="3"/>
  <c r="P310" i="3"/>
  <c r="Q310" i="3"/>
  <c r="R310" i="3"/>
  <c r="G311" i="3"/>
  <c r="H311" i="3"/>
  <c r="I311" i="3"/>
  <c r="J311" i="3"/>
  <c r="K311" i="3"/>
  <c r="L311" i="3"/>
  <c r="N311" i="3"/>
  <c r="O311" i="3"/>
  <c r="P311" i="3"/>
  <c r="Q311" i="3"/>
  <c r="R311" i="3"/>
  <c r="G312" i="3"/>
  <c r="H312" i="3"/>
  <c r="I312" i="3"/>
  <c r="J312" i="3"/>
  <c r="K312" i="3"/>
  <c r="L312" i="3"/>
  <c r="N312" i="3"/>
  <c r="O312" i="3"/>
  <c r="P312" i="3"/>
  <c r="Q312" i="3"/>
  <c r="R312" i="3"/>
  <c r="G313" i="3"/>
  <c r="H313" i="3"/>
  <c r="I313" i="3"/>
  <c r="J313" i="3"/>
  <c r="K313" i="3"/>
  <c r="L313" i="3"/>
  <c r="N313" i="3"/>
  <c r="O313" i="3"/>
  <c r="P313" i="3"/>
  <c r="Q313" i="3"/>
  <c r="R313" i="3"/>
  <c r="G314" i="3"/>
  <c r="H314" i="3"/>
  <c r="I314" i="3"/>
  <c r="J314" i="3"/>
  <c r="K314" i="3"/>
  <c r="L314" i="3"/>
  <c r="N314" i="3"/>
  <c r="O314" i="3"/>
  <c r="P314" i="3"/>
  <c r="Q314" i="3"/>
  <c r="R314" i="3"/>
  <c r="G315" i="3"/>
  <c r="H315" i="3"/>
  <c r="I315" i="3"/>
  <c r="J315" i="3"/>
  <c r="K315" i="3"/>
  <c r="L315" i="3"/>
  <c r="N315" i="3"/>
  <c r="O315" i="3"/>
  <c r="P315" i="3"/>
  <c r="Q315" i="3"/>
  <c r="R315" i="3"/>
  <c r="G316" i="3"/>
  <c r="H316" i="3"/>
  <c r="I316" i="3"/>
  <c r="J316" i="3"/>
  <c r="K316" i="3"/>
  <c r="L316" i="3"/>
  <c r="N316" i="3"/>
  <c r="O316" i="3"/>
  <c r="P316" i="3"/>
  <c r="Q316" i="3"/>
  <c r="R316" i="3"/>
  <c r="G317" i="3"/>
  <c r="H317" i="3"/>
  <c r="I317" i="3"/>
  <c r="J317" i="3"/>
  <c r="K317" i="3"/>
  <c r="L317" i="3"/>
  <c r="N317" i="3"/>
  <c r="O317" i="3"/>
  <c r="P317" i="3"/>
  <c r="Q317" i="3"/>
  <c r="R317" i="3"/>
  <c r="G318" i="3"/>
  <c r="H318" i="3"/>
  <c r="I318" i="3"/>
  <c r="J318" i="3"/>
  <c r="K318" i="3"/>
  <c r="L318" i="3"/>
  <c r="N318" i="3"/>
  <c r="O318" i="3"/>
  <c r="P318" i="3"/>
  <c r="Q318" i="3"/>
  <c r="R318" i="3"/>
  <c r="G319" i="3"/>
  <c r="H319" i="3"/>
  <c r="I319" i="3"/>
  <c r="J319" i="3"/>
  <c r="K319" i="3"/>
  <c r="L319" i="3"/>
  <c r="N319" i="3"/>
  <c r="O319" i="3"/>
  <c r="P319" i="3"/>
  <c r="Q319" i="3"/>
  <c r="R319" i="3"/>
  <c r="G320" i="3"/>
  <c r="H320" i="3"/>
  <c r="I320" i="3"/>
  <c r="J320" i="3"/>
  <c r="K320" i="3"/>
  <c r="L320" i="3"/>
  <c r="N320" i="3"/>
  <c r="O320" i="3"/>
  <c r="P320" i="3"/>
  <c r="Q320" i="3"/>
  <c r="R320" i="3"/>
  <c r="G321" i="3"/>
  <c r="H321" i="3"/>
  <c r="I321" i="3"/>
  <c r="J321" i="3"/>
  <c r="K321" i="3"/>
  <c r="L321" i="3"/>
  <c r="N321" i="3"/>
  <c r="O321" i="3"/>
  <c r="P321" i="3"/>
  <c r="Q321" i="3"/>
  <c r="R321" i="3"/>
  <c r="G322" i="3"/>
  <c r="H322" i="3"/>
  <c r="I322" i="3"/>
  <c r="J322" i="3"/>
  <c r="K322" i="3"/>
  <c r="L322" i="3"/>
  <c r="N322" i="3"/>
  <c r="O322" i="3"/>
  <c r="P322" i="3"/>
  <c r="Q322" i="3"/>
  <c r="R322" i="3"/>
  <c r="G323" i="3"/>
  <c r="H323" i="3"/>
  <c r="I323" i="3"/>
  <c r="J323" i="3"/>
  <c r="K323" i="3"/>
  <c r="L323" i="3"/>
  <c r="N323" i="3"/>
  <c r="O323" i="3"/>
  <c r="P323" i="3"/>
  <c r="Q323" i="3"/>
  <c r="R323" i="3"/>
  <c r="G324" i="3"/>
  <c r="H324" i="3"/>
  <c r="I324" i="3"/>
  <c r="J324" i="3"/>
  <c r="K324" i="3"/>
  <c r="L324" i="3"/>
  <c r="N324" i="3"/>
  <c r="O324" i="3"/>
  <c r="P324" i="3"/>
  <c r="Q324" i="3"/>
  <c r="R324" i="3"/>
  <c r="G325" i="3"/>
  <c r="H325" i="3"/>
  <c r="I325" i="3"/>
  <c r="J325" i="3"/>
  <c r="K325" i="3"/>
  <c r="L325" i="3"/>
  <c r="N325" i="3"/>
  <c r="O325" i="3"/>
  <c r="P325" i="3"/>
  <c r="Q325" i="3"/>
  <c r="R325" i="3"/>
  <c r="G326" i="3"/>
  <c r="H326" i="3"/>
  <c r="I326" i="3"/>
  <c r="J326" i="3"/>
  <c r="K326" i="3"/>
  <c r="L326" i="3"/>
  <c r="N326" i="3"/>
  <c r="O326" i="3"/>
  <c r="P326" i="3"/>
  <c r="Q326" i="3"/>
  <c r="R326" i="3"/>
  <c r="G327" i="3"/>
  <c r="H327" i="3"/>
  <c r="I327" i="3"/>
  <c r="J327" i="3"/>
  <c r="K327" i="3"/>
  <c r="L327" i="3"/>
  <c r="N327" i="3"/>
  <c r="O327" i="3"/>
  <c r="P327" i="3"/>
  <c r="Q327" i="3"/>
  <c r="R327" i="3"/>
  <c r="G328" i="3"/>
  <c r="H328" i="3"/>
  <c r="I328" i="3"/>
  <c r="J328" i="3"/>
  <c r="K328" i="3"/>
  <c r="L328" i="3"/>
  <c r="N328" i="3"/>
  <c r="O328" i="3"/>
  <c r="P328" i="3"/>
  <c r="Q328" i="3"/>
  <c r="R328" i="3"/>
  <c r="G329" i="3"/>
  <c r="H329" i="3"/>
  <c r="I329" i="3"/>
  <c r="J329" i="3"/>
  <c r="K329" i="3"/>
  <c r="L329" i="3"/>
  <c r="N329" i="3"/>
  <c r="O329" i="3"/>
  <c r="P329" i="3"/>
  <c r="Q329" i="3"/>
  <c r="R329" i="3"/>
  <c r="G330" i="3"/>
  <c r="H330" i="3"/>
  <c r="I330" i="3"/>
  <c r="J330" i="3"/>
  <c r="K330" i="3"/>
  <c r="L330" i="3"/>
  <c r="N330" i="3"/>
  <c r="O330" i="3"/>
  <c r="P330" i="3"/>
  <c r="Q330" i="3"/>
  <c r="R330" i="3"/>
  <c r="G331" i="3"/>
  <c r="H331" i="3"/>
  <c r="I331" i="3"/>
  <c r="J331" i="3"/>
  <c r="K331" i="3"/>
  <c r="L331" i="3"/>
  <c r="N331" i="3"/>
  <c r="O331" i="3"/>
  <c r="P331" i="3"/>
  <c r="Q331" i="3"/>
  <c r="R331" i="3"/>
  <c r="G332" i="3"/>
  <c r="H332" i="3"/>
  <c r="I332" i="3"/>
  <c r="J332" i="3"/>
  <c r="K332" i="3"/>
  <c r="L332" i="3"/>
  <c r="N332" i="3"/>
  <c r="O332" i="3"/>
  <c r="P332" i="3"/>
  <c r="Q332" i="3"/>
  <c r="R332" i="3"/>
  <c r="G333" i="3"/>
  <c r="H333" i="3"/>
  <c r="I333" i="3"/>
  <c r="J333" i="3"/>
  <c r="K333" i="3"/>
  <c r="L333" i="3"/>
  <c r="N333" i="3"/>
  <c r="O333" i="3"/>
  <c r="P333" i="3"/>
  <c r="Q333" i="3"/>
  <c r="R333" i="3"/>
  <c r="G334" i="3"/>
  <c r="H334" i="3"/>
  <c r="I334" i="3"/>
  <c r="J334" i="3"/>
  <c r="K334" i="3"/>
  <c r="L334" i="3"/>
  <c r="N334" i="3"/>
  <c r="O334" i="3"/>
  <c r="P334" i="3"/>
  <c r="Q334" i="3"/>
  <c r="R334" i="3"/>
  <c r="G335" i="3"/>
  <c r="H335" i="3"/>
  <c r="I335" i="3"/>
  <c r="J335" i="3"/>
  <c r="K335" i="3"/>
  <c r="L335" i="3"/>
  <c r="N335" i="3"/>
  <c r="O335" i="3"/>
  <c r="P335" i="3"/>
  <c r="Q335" i="3"/>
  <c r="R335" i="3"/>
  <c r="G336" i="3"/>
  <c r="H336" i="3"/>
  <c r="I336" i="3"/>
  <c r="J336" i="3"/>
  <c r="K336" i="3"/>
  <c r="L336" i="3"/>
  <c r="N336" i="3"/>
  <c r="O336" i="3"/>
  <c r="P336" i="3"/>
  <c r="Q336" i="3"/>
  <c r="R336" i="3"/>
  <c r="G337" i="3"/>
  <c r="H337" i="3"/>
  <c r="I337" i="3"/>
  <c r="J337" i="3"/>
  <c r="K337" i="3"/>
  <c r="L337" i="3"/>
  <c r="N337" i="3"/>
  <c r="O337" i="3"/>
  <c r="P337" i="3"/>
  <c r="Q337" i="3"/>
  <c r="R337" i="3"/>
  <c r="G338" i="3"/>
  <c r="H338" i="3"/>
  <c r="I338" i="3"/>
  <c r="J338" i="3"/>
  <c r="K338" i="3"/>
  <c r="L338" i="3"/>
  <c r="N338" i="3"/>
  <c r="O338" i="3"/>
  <c r="P338" i="3"/>
  <c r="Q338" i="3"/>
  <c r="R338" i="3"/>
  <c r="G339" i="3"/>
  <c r="H339" i="3"/>
  <c r="I339" i="3"/>
  <c r="J339" i="3"/>
  <c r="K339" i="3"/>
  <c r="L339" i="3"/>
  <c r="N339" i="3"/>
  <c r="O339" i="3"/>
  <c r="P339" i="3"/>
  <c r="Q339" i="3"/>
  <c r="R339" i="3"/>
  <c r="G340" i="3"/>
  <c r="H340" i="3"/>
  <c r="I340" i="3"/>
  <c r="J340" i="3"/>
  <c r="K340" i="3"/>
  <c r="L340" i="3"/>
  <c r="N340" i="3"/>
  <c r="O340" i="3"/>
  <c r="P340" i="3"/>
  <c r="Q340" i="3"/>
  <c r="R340" i="3"/>
  <c r="G341" i="3"/>
  <c r="H341" i="3"/>
  <c r="I341" i="3"/>
  <c r="J341" i="3"/>
  <c r="K341" i="3"/>
  <c r="L341" i="3"/>
  <c r="N341" i="3"/>
  <c r="O341" i="3"/>
  <c r="P341" i="3"/>
  <c r="Q341" i="3"/>
  <c r="R341" i="3"/>
  <c r="G342" i="3"/>
  <c r="H342" i="3"/>
  <c r="I342" i="3"/>
  <c r="J342" i="3"/>
  <c r="K342" i="3"/>
  <c r="L342" i="3"/>
  <c r="N342" i="3"/>
  <c r="O342" i="3"/>
  <c r="P342" i="3"/>
  <c r="Q342" i="3"/>
  <c r="R342" i="3"/>
  <c r="G343" i="3"/>
  <c r="H343" i="3"/>
  <c r="I343" i="3"/>
  <c r="J343" i="3"/>
  <c r="K343" i="3"/>
  <c r="L343" i="3"/>
  <c r="N343" i="3"/>
  <c r="O343" i="3"/>
  <c r="P343" i="3"/>
  <c r="Q343" i="3"/>
  <c r="R343" i="3"/>
  <c r="G344" i="3"/>
  <c r="H344" i="3"/>
  <c r="I344" i="3"/>
  <c r="J344" i="3"/>
  <c r="K344" i="3"/>
  <c r="L344" i="3"/>
  <c r="N344" i="3"/>
  <c r="O344" i="3"/>
  <c r="P344" i="3"/>
  <c r="Q344" i="3"/>
  <c r="R344" i="3"/>
  <c r="G345" i="3"/>
  <c r="H345" i="3"/>
  <c r="I345" i="3"/>
  <c r="J345" i="3"/>
  <c r="K345" i="3"/>
  <c r="L345" i="3"/>
  <c r="N345" i="3"/>
  <c r="O345" i="3"/>
  <c r="P345" i="3"/>
  <c r="Q345" i="3"/>
  <c r="R345" i="3"/>
  <c r="G346" i="3"/>
  <c r="H346" i="3"/>
  <c r="I346" i="3"/>
  <c r="J346" i="3"/>
  <c r="K346" i="3"/>
  <c r="L346" i="3"/>
  <c r="N346" i="3"/>
  <c r="O346" i="3"/>
  <c r="P346" i="3"/>
  <c r="Q346" i="3"/>
  <c r="R346" i="3"/>
  <c r="G347" i="3"/>
  <c r="H347" i="3"/>
  <c r="I347" i="3"/>
  <c r="J347" i="3"/>
  <c r="K347" i="3"/>
  <c r="L347" i="3"/>
  <c r="N347" i="3"/>
  <c r="O347" i="3"/>
  <c r="P347" i="3"/>
  <c r="Q347" i="3"/>
  <c r="R347" i="3"/>
  <c r="G348" i="3"/>
  <c r="H348" i="3"/>
  <c r="I348" i="3"/>
  <c r="J348" i="3"/>
  <c r="K348" i="3"/>
  <c r="L348" i="3"/>
  <c r="N348" i="3"/>
  <c r="O348" i="3"/>
  <c r="P348" i="3"/>
  <c r="Q348" i="3"/>
  <c r="R348" i="3"/>
  <c r="G349" i="3"/>
  <c r="H349" i="3"/>
  <c r="I349" i="3"/>
  <c r="J349" i="3"/>
  <c r="K349" i="3"/>
  <c r="L349" i="3"/>
  <c r="N349" i="3"/>
  <c r="O349" i="3"/>
  <c r="P349" i="3"/>
  <c r="Q349" i="3"/>
  <c r="R349" i="3"/>
  <c r="G350" i="3"/>
  <c r="H350" i="3"/>
  <c r="I350" i="3"/>
  <c r="J350" i="3"/>
  <c r="K350" i="3"/>
  <c r="L350" i="3"/>
  <c r="N350" i="3"/>
  <c r="O350" i="3"/>
  <c r="P350" i="3"/>
  <c r="Q350" i="3"/>
  <c r="R350" i="3"/>
  <c r="G351" i="3"/>
  <c r="H351" i="3"/>
  <c r="I351" i="3"/>
  <c r="J351" i="3"/>
  <c r="K351" i="3"/>
  <c r="L351" i="3"/>
  <c r="N351" i="3"/>
  <c r="O351" i="3"/>
  <c r="P351" i="3"/>
  <c r="Q351" i="3"/>
  <c r="R351" i="3"/>
  <c r="G352" i="3"/>
  <c r="H352" i="3"/>
  <c r="I352" i="3"/>
  <c r="J352" i="3"/>
  <c r="K352" i="3"/>
  <c r="L352" i="3"/>
  <c r="N352" i="3"/>
  <c r="O352" i="3"/>
  <c r="P352" i="3"/>
  <c r="Q352" i="3"/>
  <c r="R352" i="3"/>
  <c r="G353" i="3"/>
  <c r="H353" i="3"/>
  <c r="I353" i="3"/>
  <c r="J353" i="3"/>
  <c r="K353" i="3"/>
  <c r="L353" i="3"/>
  <c r="N353" i="3"/>
  <c r="O353" i="3"/>
  <c r="P353" i="3"/>
  <c r="Q353" i="3"/>
  <c r="R353" i="3"/>
  <c r="G354" i="3"/>
  <c r="H354" i="3"/>
  <c r="I354" i="3"/>
  <c r="J354" i="3"/>
  <c r="K354" i="3"/>
  <c r="L354" i="3"/>
  <c r="N354" i="3"/>
  <c r="O354" i="3"/>
  <c r="P354" i="3"/>
  <c r="Q354" i="3"/>
  <c r="R354" i="3"/>
  <c r="G355" i="3"/>
  <c r="H355" i="3"/>
  <c r="I355" i="3"/>
  <c r="J355" i="3"/>
  <c r="K355" i="3"/>
  <c r="L355" i="3"/>
  <c r="N355" i="3"/>
  <c r="O355" i="3"/>
  <c r="P355" i="3"/>
  <c r="Q355" i="3"/>
  <c r="R355" i="3"/>
  <c r="G356" i="3"/>
  <c r="H356" i="3"/>
  <c r="I356" i="3"/>
  <c r="J356" i="3"/>
  <c r="K356" i="3"/>
  <c r="L356" i="3"/>
  <c r="N356" i="3"/>
  <c r="O356" i="3"/>
  <c r="P356" i="3"/>
  <c r="Q356" i="3"/>
  <c r="R356" i="3"/>
  <c r="G357" i="3"/>
  <c r="H357" i="3"/>
  <c r="I357" i="3"/>
  <c r="J357" i="3"/>
  <c r="K357" i="3"/>
  <c r="L357" i="3"/>
  <c r="N357" i="3"/>
  <c r="O357" i="3"/>
  <c r="P357" i="3"/>
  <c r="Q357" i="3"/>
  <c r="R357" i="3"/>
  <c r="G358" i="3"/>
  <c r="H358" i="3"/>
  <c r="I358" i="3"/>
  <c r="J358" i="3"/>
  <c r="K358" i="3"/>
  <c r="L358" i="3"/>
  <c r="N358" i="3"/>
  <c r="O358" i="3"/>
  <c r="P358" i="3"/>
  <c r="Q358" i="3"/>
  <c r="R358" i="3"/>
  <c r="G359" i="3"/>
  <c r="H359" i="3"/>
  <c r="I359" i="3"/>
  <c r="J359" i="3"/>
  <c r="K359" i="3"/>
  <c r="L359" i="3"/>
  <c r="N359" i="3"/>
  <c r="O359" i="3"/>
  <c r="P359" i="3"/>
  <c r="Q359" i="3"/>
  <c r="R359" i="3"/>
  <c r="G360" i="3"/>
  <c r="H360" i="3"/>
  <c r="I360" i="3"/>
  <c r="J360" i="3"/>
  <c r="K360" i="3"/>
  <c r="L360" i="3"/>
  <c r="N360" i="3"/>
  <c r="O360" i="3"/>
  <c r="P360" i="3"/>
  <c r="Q360" i="3"/>
  <c r="R360" i="3"/>
  <c r="G361" i="3"/>
  <c r="H361" i="3"/>
  <c r="I361" i="3"/>
  <c r="J361" i="3"/>
  <c r="K361" i="3"/>
  <c r="L361" i="3"/>
  <c r="N361" i="3"/>
  <c r="O361" i="3"/>
  <c r="P361" i="3"/>
  <c r="Q361" i="3"/>
  <c r="R361" i="3"/>
  <c r="G362" i="3"/>
  <c r="H362" i="3"/>
  <c r="I362" i="3"/>
  <c r="J362" i="3"/>
  <c r="K362" i="3"/>
  <c r="L362" i="3"/>
  <c r="N362" i="3"/>
  <c r="O362" i="3"/>
  <c r="P362" i="3"/>
  <c r="Q362" i="3"/>
  <c r="R362" i="3"/>
  <c r="G363" i="3"/>
  <c r="H363" i="3"/>
  <c r="I363" i="3"/>
  <c r="J363" i="3"/>
  <c r="K363" i="3"/>
  <c r="L363" i="3"/>
  <c r="N363" i="3"/>
  <c r="O363" i="3"/>
  <c r="P363" i="3"/>
  <c r="Q363" i="3"/>
  <c r="R363" i="3"/>
  <c r="G364" i="3"/>
  <c r="H364" i="3"/>
  <c r="I364" i="3"/>
  <c r="J364" i="3"/>
  <c r="K364" i="3"/>
  <c r="L364" i="3"/>
  <c r="N364" i="3"/>
  <c r="O364" i="3"/>
  <c r="P364" i="3"/>
  <c r="Q364" i="3"/>
  <c r="R364" i="3"/>
  <c r="G365" i="3"/>
  <c r="H365" i="3"/>
  <c r="I365" i="3"/>
  <c r="J365" i="3"/>
  <c r="K365" i="3"/>
  <c r="L365" i="3"/>
  <c r="N365" i="3"/>
  <c r="O365" i="3"/>
  <c r="P365" i="3"/>
  <c r="Q365" i="3"/>
  <c r="R365" i="3"/>
  <c r="G366" i="3"/>
  <c r="H366" i="3"/>
  <c r="I366" i="3"/>
  <c r="J366" i="3"/>
  <c r="K366" i="3"/>
  <c r="L366" i="3"/>
  <c r="N366" i="3"/>
  <c r="O366" i="3"/>
  <c r="P366" i="3"/>
  <c r="Q366" i="3"/>
  <c r="R366" i="3"/>
  <c r="G367" i="3"/>
  <c r="H367" i="3"/>
  <c r="I367" i="3"/>
  <c r="J367" i="3"/>
  <c r="K367" i="3"/>
  <c r="L367" i="3"/>
  <c r="N367" i="3"/>
  <c r="O367" i="3"/>
  <c r="P367" i="3"/>
  <c r="Q367" i="3"/>
  <c r="R367" i="3"/>
  <c r="G368" i="3"/>
  <c r="H368" i="3"/>
  <c r="I368" i="3"/>
  <c r="J368" i="3"/>
  <c r="K368" i="3"/>
  <c r="L368" i="3"/>
  <c r="N368" i="3"/>
  <c r="O368" i="3"/>
  <c r="P368" i="3"/>
  <c r="Q368" i="3"/>
  <c r="R368" i="3"/>
  <c r="G369" i="3"/>
  <c r="H369" i="3"/>
  <c r="I369" i="3"/>
  <c r="J369" i="3"/>
  <c r="K369" i="3"/>
  <c r="L369" i="3"/>
  <c r="N369" i="3"/>
  <c r="O369" i="3"/>
  <c r="P369" i="3"/>
  <c r="Q369" i="3"/>
  <c r="R369" i="3"/>
  <c r="G370" i="3"/>
  <c r="H370" i="3"/>
  <c r="I370" i="3"/>
  <c r="J370" i="3"/>
  <c r="K370" i="3"/>
  <c r="L370" i="3"/>
  <c r="N370" i="3"/>
  <c r="O370" i="3"/>
  <c r="P370" i="3"/>
  <c r="Q370" i="3"/>
  <c r="R370" i="3"/>
  <c r="G371" i="3"/>
  <c r="H371" i="3"/>
  <c r="I371" i="3"/>
  <c r="J371" i="3"/>
  <c r="K371" i="3"/>
  <c r="L371" i="3"/>
  <c r="N371" i="3"/>
  <c r="O371" i="3"/>
  <c r="P371" i="3"/>
  <c r="Q371" i="3"/>
  <c r="R371" i="3"/>
  <c r="G372" i="3"/>
  <c r="H372" i="3"/>
  <c r="I372" i="3"/>
  <c r="J372" i="3"/>
  <c r="K372" i="3"/>
  <c r="L372" i="3"/>
  <c r="N372" i="3"/>
  <c r="O372" i="3"/>
  <c r="P372" i="3"/>
  <c r="Q372" i="3"/>
  <c r="R372" i="3"/>
  <c r="G373" i="3"/>
  <c r="H373" i="3"/>
  <c r="I373" i="3"/>
  <c r="J373" i="3"/>
  <c r="K373" i="3"/>
  <c r="L373" i="3"/>
  <c r="N373" i="3"/>
  <c r="O373" i="3"/>
  <c r="P373" i="3"/>
  <c r="Q373" i="3"/>
  <c r="R373" i="3"/>
  <c r="G374" i="3"/>
  <c r="H374" i="3"/>
  <c r="I374" i="3"/>
  <c r="J374" i="3"/>
  <c r="K374" i="3"/>
  <c r="L374" i="3"/>
  <c r="N374" i="3"/>
  <c r="O374" i="3"/>
  <c r="P374" i="3"/>
  <c r="Q374" i="3"/>
  <c r="R374" i="3"/>
  <c r="G375" i="3"/>
  <c r="H375" i="3"/>
  <c r="I375" i="3"/>
  <c r="J375" i="3"/>
  <c r="K375" i="3"/>
  <c r="L375" i="3"/>
  <c r="N375" i="3"/>
  <c r="O375" i="3"/>
  <c r="P375" i="3"/>
  <c r="Q375" i="3"/>
  <c r="R375" i="3"/>
  <c r="G376" i="3"/>
  <c r="H376" i="3"/>
  <c r="I376" i="3"/>
  <c r="J376" i="3"/>
  <c r="K376" i="3"/>
  <c r="L376" i="3"/>
  <c r="N376" i="3"/>
  <c r="O376" i="3"/>
  <c r="P376" i="3"/>
  <c r="Q376" i="3"/>
  <c r="R376" i="3"/>
  <c r="G377" i="3"/>
  <c r="H377" i="3"/>
  <c r="I377" i="3"/>
  <c r="J377" i="3"/>
  <c r="K377" i="3"/>
  <c r="L377" i="3"/>
  <c r="N377" i="3"/>
  <c r="O377" i="3"/>
  <c r="P377" i="3"/>
  <c r="Q377" i="3"/>
  <c r="R377" i="3"/>
  <c r="G378" i="3"/>
  <c r="H378" i="3"/>
  <c r="I378" i="3"/>
  <c r="J378" i="3"/>
  <c r="K378" i="3"/>
  <c r="L378" i="3"/>
  <c r="N378" i="3"/>
  <c r="O378" i="3"/>
  <c r="P378" i="3"/>
  <c r="Q378" i="3"/>
  <c r="R378" i="3"/>
  <c r="G379" i="3"/>
  <c r="H379" i="3"/>
  <c r="I379" i="3"/>
  <c r="J379" i="3"/>
  <c r="K379" i="3"/>
  <c r="L379" i="3"/>
  <c r="N379" i="3"/>
  <c r="O379" i="3"/>
  <c r="P379" i="3"/>
  <c r="Q379" i="3"/>
  <c r="R379" i="3"/>
  <c r="G380" i="3"/>
  <c r="H380" i="3"/>
  <c r="I380" i="3"/>
  <c r="J380" i="3"/>
  <c r="K380" i="3"/>
  <c r="L380" i="3"/>
  <c r="N380" i="3"/>
  <c r="O380" i="3"/>
  <c r="P380" i="3"/>
  <c r="Q380" i="3"/>
  <c r="R380" i="3"/>
  <c r="G381" i="3"/>
  <c r="H381" i="3"/>
  <c r="I381" i="3"/>
  <c r="J381" i="3"/>
  <c r="K381" i="3"/>
  <c r="L381" i="3"/>
  <c r="N381" i="3"/>
  <c r="O381" i="3"/>
  <c r="P381" i="3"/>
  <c r="Q381" i="3"/>
  <c r="R381" i="3"/>
  <c r="G382" i="3"/>
  <c r="H382" i="3"/>
  <c r="I382" i="3"/>
  <c r="J382" i="3"/>
  <c r="K382" i="3"/>
  <c r="L382" i="3"/>
  <c r="N382" i="3"/>
  <c r="O382" i="3"/>
  <c r="P382" i="3"/>
  <c r="Q382" i="3"/>
  <c r="R382" i="3"/>
  <c r="G383" i="3"/>
  <c r="H383" i="3"/>
  <c r="I383" i="3"/>
  <c r="J383" i="3"/>
  <c r="K383" i="3"/>
  <c r="L383" i="3"/>
  <c r="N383" i="3"/>
  <c r="O383" i="3"/>
  <c r="P383" i="3"/>
  <c r="Q383" i="3"/>
  <c r="R383" i="3"/>
  <c r="G384" i="3"/>
  <c r="H384" i="3"/>
  <c r="I384" i="3"/>
  <c r="J384" i="3"/>
  <c r="K384" i="3"/>
  <c r="L384" i="3"/>
  <c r="N384" i="3"/>
  <c r="O384" i="3"/>
  <c r="P384" i="3"/>
  <c r="Q384" i="3"/>
  <c r="R384" i="3"/>
  <c r="G385" i="3"/>
  <c r="H385" i="3"/>
  <c r="I385" i="3"/>
  <c r="J385" i="3"/>
  <c r="K385" i="3"/>
  <c r="L385" i="3"/>
  <c r="N385" i="3"/>
  <c r="O385" i="3"/>
  <c r="P385" i="3"/>
  <c r="Q385" i="3"/>
  <c r="R385" i="3"/>
  <c r="G386" i="3"/>
  <c r="H386" i="3"/>
  <c r="I386" i="3"/>
  <c r="J386" i="3"/>
  <c r="K386" i="3"/>
  <c r="L386" i="3"/>
  <c r="N386" i="3"/>
  <c r="O386" i="3"/>
  <c r="P386" i="3"/>
  <c r="Q386" i="3"/>
  <c r="R386" i="3"/>
  <c r="G387" i="3"/>
  <c r="H387" i="3"/>
  <c r="I387" i="3"/>
  <c r="J387" i="3"/>
  <c r="K387" i="3"/>
  <c r="L387" i="3"/>
  <c r="N387" i="3"/>
  <c r="O387" i="3"/>
  <c r="P387" i="3"/>
  <c r="Q387" i="3"/>
  <c r="R387" i="3"/>
  <c r="G388" i="3"/>
  <c r="H388" i="3"/>
  <c r="I388" i="3"/>
  <c r="J388" i="3"/>
  <c r="K388" i="3"/>
  <c r="L388" i="3"/>
  <c r="N388" i="3"/>
  <c r="O388" i="3"/>
  <c r="P388" i="3"/>
  <c r="Q388" i="3"/>
  <c r="R388" i="3"/>
  <c r="G389" i="3"/>
  <c r="H389" i="3"/>
  <c r="I389" i="3"/>
  <c r="J389" i="3"/>
  <c r="K389" i="3"/>
  <c r="L389" i="3"/>
  <c r="N389" i="3"/>
  <c r="O389" i="3"/>
  <c r="P389" i="3"/>
  <c r="Q389" i="3"/>
  <c r="R389" i="3"/>
  <c r="G390" i="3"/>
  <c r="H390" i="3"/>
  <c r="I390" i="3"/>
  <c r="J390" i="3"/>
  <c r="K390" i="3"/>
  <c r="L390" i="3"/>
  <c r="N390" i="3"/>
  <c r="O390" i="3"/>
  <c r="P390" i="3"/>
  <c r="Q390" i="3"/>
  <c r="R390" i="3"/>
  <c r="G391" i="3"/>
  <c r="H391" i="3"/>
  <c r="I391" i="3"/>
  <c r="J391" i="3"/>
  <c r="K391" i="3"/>
  <c r="L391" i="3"/>
  <c r="N391" i="3"/>
  <c r="O391" i="3"/>
  <c r="P391" i="3"/>
  <c r="Q391" i="3"/>
  <c r="R391" i="3"/>
  <c r="G392" i="3"/>
  <c r="H392" i="3"/>
  <c r="I392" i="3"/>
  <c r="J392" i="3"/>
  <c r="K392" i="3"/>
  <c r="L392" i="3"/>
  <c r="N392" i="3"/>
  <c r="O392" i="3"/>
  <c r="P392" i="3"/>
  <c r="Q392" i="3"/>
  <c r="R392" i="3"/>
  <c r="G393" i="3"/>
  <c r="H393" i="3"/>
  <c r="I393" i="3"/>
  <c r="J393" i="3"/>
  <c r="K393" i="3"/>
  <c r="L393" i="3"/>
  <c r="N393" i="3"/>
  <c r="O393" i="3"/>
  <c r="P393" i="3"/>
  <c r="Q393" i="3"/>
  <c r="R393" i="3"/>
  <c r="G394" i="3"/>
  <c r="H394" i="3"/>
  <c r="I394" i="3"/>
  <c r="J394" i="3"/>
  <c r="K394" i="3"/>
  <c r="L394" i="3"/>
  <c r="N394" i="3"/>
  <c r="O394" i="3"/>
  <c r="P394" i="3"/>
  <c r="Q394" i="3"/>
  <c r="R394" i="3"/>
  <c r="G395" i="3"/>
  <c r="H395" i="3"/>
  <c r="I395" i="3"/>
  <c r="J395" i="3"/>
  <c r="K395" i="3"/>
  <c r="L395" i="3"/>
  <c r="N395" i="3"/>
  <c r="O395" i="3"/>
  <c r="P395" i="3"/>
  <c r="Q395" i="3"/>
  <c r="R395" i="3"/>
  <c r="G396" i="3"/>
  <c r="H396" i="3"/>
  <c r="I396" i="3"/>
  <c r="J396" i="3"/>
  <c r="K396" i="3"/>
  <c r="L396" i="3"/>
  <c r="N396" i="3"/>
  <c r="O396" i="3"/>
  <c r="P396" i="3"/>
  <c r="Q396" i="3"/>
  <c r="R396" i="3"/>
  <c r="G397" i="3"/>
  <c r="H397" i="3"/>
  <c r="I397" i="3"/>
  <c r="J397" i="3"/>
  <c r="K397" i="3"/>
  <c r="L397" i="3"/>
  <c r="N397" i="3"/>
  <c r="O397" i="3"/>
  <c r="P397" i="3"/>
  <c r="Q397" i="3"/>
  <c r="R397" i="3"/>
  <c r="G398" i="3"/>
  <c r="H398" i="3"/>
  <c r="I398" i="3"/>
  <c r="J398" i="3"/>
  <c r="K398" i="3"/>
  <c r="L398" i="3"/>
  <c r="N398" i="3"/>
  <c r="O398" i="3"/>
  <c r="P398" i="3"/>
  <c r="Q398" i="3"/>
  <c r="R398" i="3"/>
  <c r="G399" i="3"/>
  <c r="H399" i="3"/>
  <c r="I399" i="3"/>
  <c r="J399" i="3"/>
  <c r="K399" i="3"/>
  <c r="L399" i="3"/>
  <c r="N399" i="3"/>
  <c r="O399" i="3"/>
  <c r="P399" i="3"/>
  <c r="Q399" i="3"/>
  <c r="R399" i="3"/>
  <c r="G400" i="3"/>
  <c r="H400" i="3"/>
  <c r="I400" i="3"/>
  <c r="J400" i="3"/>
  <c r="K400" i="3"/>
  <c r="L400" i="3"/>
  <c r="N400" i="3"/>
  <c r="O400" i="3"/>
  <c r="P400" i="3"/>
  <c r="Q400" i="3"/>
  <c r="R400" i="3"/>
  <c r="G401" i="3"/>
  <c r="H401" i="3"/>
  <c r="I401" i="3"/>
  <c r="J401" i="3"/>
  <c r="K401" i="3"/>
  <c r="L401" i="3"/>
  <c r="N401" i="3"/>
  <c r="O401" i="3"/>
  <c r="P401" i="3"/>
  <c r="Q401" i="3"/>
  <c r="R401" i="3"/>
  <c r="G402" i="3"/>
  <c r="H402" i="3"/>
  <c r="I402" i="3"/>
  <c r="J402" i="3"/>
  <c r="K402" i="3"/>
  <c r="L402" i="3"/>
  <c r="N402" i="3"/>
  <c r="O402" i="3"/>
  <c r="P402" i="3"/>
  <c r="Q402" i="3"/>
  <c r="R402" i="3"/>
  <c r="G403" i="3"/>
  <c r="H403" i="3"/>
  <c r="I403" i="3"/>
  <c r="J403" i="3"/>
  <c r="K403" i="3"/>
  <c r="L403" i="3"/>
  <c r="N403" i="3"/>
  <c r="O403" i="3"/>
  <c r="P403" i="3"/>
  <c r="Q403" i="3"/>
  <c r="R403" i="3"/>
  <c r="G404" i="3"/>
  <c r="H404" i="3"/>
  <c r="I404" i="3"/>
  <c r="J404" i="3"/>
  <c r="K404" i="3"/>
  <c r="L404" i="3"/>
  <c r="N404" i="3"/>
  <c r="O404" i="3"/>
  <c r="P404" i="3"/>
  <c r="Q404" i="3"/>
  <c r="R404" i="3"/>
  <c r="G405" i="3"/>
  <c r="H405" i="3"/>
  <c r="I405" i="3"/>
  <c r="J405" i="3"/>
  <c r="K405" i="3"/>
  <c r="L405" i="3"/>
  <c r="N405" i="3"/>
  <c r="O405" i="3"/>
  <c r="P405" i="3"/>
  <c r="Q405" i="3"/>
  <c r="R405" i="3"/>
  <c r="G406" i="3"/>
  <c r="H406" i="3"/>
  <c r="I406" i="3"/>
  <c r="J406" i="3"/>
  <c r="K406" i="3"/>
  <c r="L406" i="3"/>
  <c r="N406" i="3"/>
  <c r="O406" i="3"/>
  <c r="P406" i="3"/>
  <c r="Q406" i="3"/>
  <c r="R406" i="3"/>
  <c r="G407" i="3"/>
  <c r="H407" i="3"/>
  <c r="I407" i="3"/>
  <c r="J407" i="3"/>
  <c r="K407" i="3"/>
  <c r="L407" i="3"/>
  <c r="N407" i="3"/>
  <c r="O407" i="3"/>
  <c r="P407" i="3"/>
  <c r="Q407" i="3"/>
  <c r="R407" i="3"/>
  <c r="G408" i="3"/>
  <c r="H408" i="3"/>
  <c r="I408" i="3"/>
  <c r="J408" i="3"/>
  <c r="K408" i="3"/>
  <c r="L408" i="3"/>
  <c r="N408" i="3"/>
  <c r="O408" i="3"/>
  <c r="P408" i="3"/>
  <c r="Q408" i="3"/>
  <c r="R408" i="3"/>
  <c r="G409" i="3"/>
  <c r="H409" i="3"/>
  <c r="I409" i="3"/>
  <c r="J409" i="3"/>
  <c r="K409" i="3"/>
  <c r="L409" i="3"/>
  <c r="N409" i="3"/>
  <c r="O409" i="3"/>
  <c r="P409" i="3"/>
  <c r="Q409" i="3"/>
  <c r="R409" i="3"/>
  <c r="G410" i="3"/>
  <c r="H410" i="3"/>
  <c r="I410" i="3"/>
  <c r="J410" i="3"/>
  <c r="K410" i="3"/>
  <c r="L410" i="3"/>
  <c r="N410" i="3"/>
  <c r="O410" i="3"/>
  <c r="P410" i="3"/>
  <c r="Q410" i="3"/>
  <c r="R410" i="3"/>
  <c r="G411" i="3"/>
  <c r="H411" i="3"/>
  <c r="I411" i="3"/>
  <c r="J411" i="3"/>
  <c r="K411" i="3"/>
  <c r="L411" i="3"/>
  <c r="N411" i="3"/>
  <c r="O411" i="3"/>
  <c r="P411" i="3"/>
  <c r="Q411" i="3"/>
  <c r="R411" i="3"/>
  <c r="G412" i="3"/>
  <c r="H412" i="3"/>
  <c r="I412" i="3"/>
  <c r="J412" i="3"/>
  <c r="K412" i="3"/>
  <c r="L412" i="3"/>
  <c r="N412" i="3"/>
  <c r="O412" i="3"/>
  <c r="P412" i="3"/>
  <c r="Q412" i="3"/>
  <c r="R412" i="3"/>
  <c r="G413" i="3"/>
  <c r="H413" i="3"/>
  <c r="I413" i="3"/>
  <c r="J413" i="3"/>
  <c r="K413" i="3"/>
  <c r="L413" i="3"/>
  <c r="N413" i="3"/>
  <c r="O413" i="3"/>
  <c r="P413" i="3"/>
  <c r="Q413" i="3"/>
  <c r="R413" i="3"/>
  <c r="G414" i="3"/>
  <c r="H414" i="3"/>
  <c r="I414" i="3"/>
  <c r="J414" i="3"/>
  <c r="K414" i="3"/>
  <c r="L414" i="3"/>
  <c r="N414" i="3"/>
  <c r="O414" i="3"/>
  <c r="P414" i="3"/>
  <c r="Q414" i="3"/>
  <c r="R414" i="3"/>
  <c r="G415" i="3"/>
  <c r="H415" i="3"/>
  <c r="I415" i="3"/>
  <c r="J415" i="3"/>
  <c r="K415" i="3"/>
  <c r="L415" i="3"/>
  <c r="N415" i="3"/>
  <c r="O415" i="3"/>
  <c r="P415" i="3"/>
  <c r="Q415" i="3"/>
  <c r="R415" i="3"/>
  <c r="G416" i="3"/>
  <c r="H416" i="3"/>
  <c r="I416" i="3"/>
  <c r="J416" i="3"/>
  <c r="K416" i="3"/>
  <c r="L416" i="3"/>
  <c r="N416" i="3"/>
  <c r="O416" i="3"/>
  <c r="P416" i="3"/>
  <c r="Q416" i="3"/>
  <c r="R416" i="3"/>
  <c r="G417" i="3"/>
  <c r="H417" i="3"/>
  <c r="I417" i="3"/>
  <c r="J417" i="3"/>
  <c r="K417" i="3"/>
  <c r="L417" i="3"/>
  <c r="N417" i="3"/>
  <c r="O417" i="3"/>
  <c r="P417" i="3"/>
  <c r="Q417" i="3"/>
  <c r="R417" i="3"/>
  <c r="G418" i="3"/>
  <c r="H418" i="3"/>
  <c r="I418" i="3"/>
  <c r="J418" i="3"/>
  <c r="K418" i="3"/>
  <c r="L418" i="3"/>
  <c r="N418" i="3"/>
  <c r="O418" i="3"/>
  <c r="P418" i="3"/>
  <c r="Q418" i="3"/>
  <c r="R418" i="3"/>
  <c r="G419" i="3"/>
  <c r="H419" i="3"/>
  <c r="I419" i="3"/>
  <c r="J419" i="3"/>
  <c r="K419" i="3"/>
  <c r="L419" i="3"/>
  <c r="N419" i="3"/>
  <c r="O419" i="3"/>
  <c r="P419" i="3"/>
  <c r="Q419" i="3"/>
  <c r="R419" i="3"/>
  <c r="G420" i="3"/>
  <c r="H420" i="3"/>
  <c r="I420" i="3"/>
  <c r="J420" i="3"/>
  <c r="K420" i="3"/>
  <c r="L420" i="3"/>
  <c r="N420" i="3"/>
  <c r="O420" i="3"/>
  <c r="P420" i="3"/>
  <c r="Q420" i="3"/>
  <c r="R420" i="3"/>
  <c r="G421" i="3"/>
  <c r="H421" i="3"/>
  <c r="I421" i="3"/>
  <c r="J421" i="3"/>
  <c r="K421" i="3"/>
  <c r="L421" i="3"/>
  <c r="N421" i="3"/>
  <c r="O421" i="3"/>
  <c r="P421" i="3"/>
  <c r="Q421" i="3"/>
  <c r="R421" i="3"/>
  <c r="G422" i="3"/>
  <c r="H422" i="3"/>
  <c r="I422" i="3"/>
  <c r="J422" i="3"/>
  <c r="K422" i="3"/>
  <c r="L422" i="3"/>
  <c r="N422" i="3"/>
  <c r="O422" i="3"/>
  <c r="P422" i="3"/>
  <c r="Q422" i="3"/>
  <c r="R422" i="3"/>
  <c r="G423" i="3"/>
  <c r="H423" i="3"/>
  <c r="I423" i="3"/>
  <c r="J423" i="3"/>
  <c r="K423" i="3"/>
  <c r="L423" i="3"/>
  <c r="N423" i="3"/>
  <c r="O423" i="3"/>
  <c r="P423" i="3"/>
  <c r="Q423" i="3"/>
  <c r="R423" i="3"/>
  <c r="G424" i="3"/>
  <c r="H424" i="3"/>
  <c r="I424" i="3"/>
  <c r="J424" i="3"/>
  <c r="K424" i="3"/>
  <c r="L424" i="3"/>
  <c r="N424" i="3"/>
  <c r="O424" i="3"/>
  <c r="P424" i="3"/>
  <c r="Q424" i="3"/>
  <c r="R424" i="3"/>
  <c r="G425" i="3"/>
  <c r="H425" i="3"/>
  <c r="I425" i="3"/>
  <c r="J425" i="3"/>
  <c r="K425" i="3"/>
  <c r="L425" i="3"/>
  <c r="N425" i="3"/>
  <c r="O425" i="3"/>
  <c r="P425" i="3"/>
  <c r="Q425" i="3"/>
  <c r="R425" i="3"/>
  <c r="G426" i="3"/>
  <c r="H426" i="3"/>
  <c r="I426" i="3"/>
  <c r="J426" i="3"/>
  <c r="K426" i="3"/>
  <c r="L426" i="3"/>
  <c r="N426" i="3"/>
  <c r="O426" i="3"/>
  <c r="P426" i="3"/>
  <c r="Q426" i="3"/>
  <c r="R426" i="3"/>
  <c r="G427" i="3"/>
  <c r="H427" i="3"/>
  <c r="I427" i="3"/>
  <c r="J427" i="3"/>
  <c r="K427" i="3"/>
  <c r="L427" i="3"/>
  <c r="N427" i="3"/>
  <c r="O427" i="3"/>
  <c r="P427" i="3"/>
  <c r="Q427" i="3"/>
  <c r="R427" i="3"/>
  <c r="G428" i="3"/>
  <c r="H428" i="3"/>
  <c r="I428" i="3"/>
  <c r="J428" i="3"/>
  <c r="K428" i="3"/>
  <c r="L428" i="3"/>
  <c r="N428" i="3"/>
  <c r="O428" i="3"/>
  <c r="P428" i="3"/>
  <c r="Q428" i="3"/>
  <c r="R428" i="3"/>
  <c r="G429" i="3"/>
  <c r="H429" i="3"/>
  <c r="I429" i="3"/>
  <c r="J429" i="3"/>
  <c r="K429" i="3"/>
  <c r="L429" i="3"/>
  <c r="N429" i="3"/>
  <c r="O429" i="3"/>
  <c r="P429" i="3"/>
  <c r="Q429" i="3"/>
  <c r="R429" i="3"/>
  <c r="G430" i="3"/>
  <c r="H430" i="3"/>
  <c r="I430" i="3"/>
  <c r="J430" i="3"/>
  <c r="K430" i="3"/>
  <c r="L430" i="3"/>
  <c r="N430" i="3"/>
  <c r="O430" i="3"/>
  <c r="P430" i="3"/>
  <c r="Q430" i="3"/>
  <c r="R430" i="3"/>
  <c r="G431" i="3"/>
  <c r="H431" i="3"/>
  <c r="I431" i="3"/>
  <c r="J431" i="3"/>
  <c r="K431" i="3"/>
  <c r="L431" i="3"/>
  <c r="N431" i="3"/>
  <c r="O431" i="3"/>
  <c r="P431" i="3"/>
  <c r="Q431" i="3"/>
  <c r="R431" i="3"/>
  <c r="G432" i="3"/>
  <c r="H432" i="3"/>
  <c r="I432" i="3"/>
  <c r="J432" i="3"/>
  <c r="K432" i="3"/>
  <c r="L432" i="3"/>
  <c r="N432" i="3"/>
  <c r="O432" i="3"/>
  <c r="P432" i="3"/>
  <c r="Q432" i="3"/>
  <c r="R432" i="3"/>
  <c r="G433" i="3"/>
  <c r="H433" i="3"/>
  <c r="I433" i="3"/>
  <c r="J433" i="3"/>
  <c r="K433" i="3"/>
  <c r="L433" i="3"/>
  <c r="N433" i="3"/>
  <c r="O433" i="3"/>
  <c r="P433" i="3"/>
  <c r="Q433" i="3"/>
  <c r="R433" i="3"/>
  <c r="G434" i="3"/>
  <c r="H434" i="3"/>
  <c r="I434" i="3"/>
  <c r="J434" i="3"/>
  <c r="K434" i="3"/>
  <c r="L434" i="3"/>
  <c r="N434" i="3"/>
  <c r="O434" i="3"/>
  <c r="P434" i="3"/>
  <c r="Q434" i="3"/>
  <c r="R434" i="3"/>
  <c r="G435" i="3"/>
  <c r="H435" i="3"/>
  <c r="I435" i="3"/>
  <c r="J435" i="3"/>
  <c r="K435" i="3"/>
  <c r="L435" i="3"/>
  <c r="N435" i="3"/>
  <c r="O435" i="3"/>
  <c r="P435" i="3"/>
  <c r="Q435" i="3"/>
  <c r="R435" i="3"/>
  <c r="G436" i="3"/>
  <c r="H436" i="3"/>
  <c r="I436" i="3"/>
  <c r="J436" i="3"/>
  <c r="K436" i="3"/>
  <c r="L436" i="3"/>
  <c r="N436" i="3"/>
  <c r="O436" i="3"/>
  <c r="P436" i="3"/>
  <c r="Q436" i="3"/>
  <c r="R436" i="3"/>
  <c r="G437" i="3"/>
  <c r="H437" i="3"/>
  <c r="I437" i="3"/>
  <c r="J437" i="3"/>
  <c r="K437" i="3"/>
  <c r="L437" i="3"/>
  <c r="N437" i="3"/>
  <c r="O437" i="3"/>
  <c r="P437" i="3"/>
  <c r="Q437" i="3"/>
  <c r="R437" i="3"/>
  <c r="G438" i="3"/>
  <c r="H438" i="3"/>
  <c r="I438" i="3"/>
  <c r="J438" i="3"/>
  <c r="K438" i="3"/>
  <c r="L438" i="3"/>
  <c r="N438" i="3"/>
  <c r="O438" i="3"/>
  <c r="P438" i="3"/>
  <c r="Q438" i="3"/>
  <c r="R438" i="3"/>
  <c r="G439" i="3"/>
  <c r="H439" i="3"/>
  <c r="I439" i="3"/>
  <c r="J439" i="3"/>
  <c r="K439" i="3"/>
  <c r="L439" i="3"/>
  <c r="N439" i="3"/>
  <c r="O439" i="3"/>
  <c r="P439" i="3"/>
  <c r="Q439" i="3"/>
  <c r="R439" i="3"/>
  <c r="G440" i="3"/>
  <c r="H440" i="3"/>
  <c r="I440" i="3"/>
  <c r="J440" i="3"/>
  <c r="K440" i="3"/>
  <c r="L440" i="3"/>
  <c r="N440" i="3"/>
  <c r="O440" i="3"/>
  <c r="P440" i="3"/>
  <c r="Q440" i="3"/>
  <c r="R440" i="3"/>
  <c r="G441" i="3"/>
  <c r="H441" i="3"/>
  <c r="I441" i="3"/>
  <c r="J441" i="3"/>
  <c r="K441" i="3"/>
  <c r="L441" i="3"/>
  <c r="N441" i="3"/>
  <c r="O441" i="3"/>
  <c r="P441" i="3"/>
  <c r="Q441" i="3"/>
  <c r="R441" i="3"/>
  <c r="G442" i="3"/>
  <c r="H442" i="3"/>
  <c r="I442" i="3"/>
  <c r="J442" i="3"/>
  <c r="K442" i="3"/>
  <c r="L442" i="3"/>
  <c r="N442" i="3"/>
  <c r="O442" i="3"/>
  <c r="P442" i="3"/>
  <c r="Q442" i="3"/>
  <c r="R442" i="3"/>
  <c r="G443" i="3"/>
  <c r="H443" i="3"/>
  <c r="I443" i="3"/>
  <c r="J443" i="3"/>
  <c r="K443" i="3"/>
  <c r="L443" i="3"/>
  <c r="N443" i="3"/>
  <c r="O443" i="3"/>
  <c r="P443" i="3"/>
  <c r="Q443" i="3"/>
  <c r="R443" i="3"/>
  <c r="G444" i="3"/>
  <c r="H444" i="3"/>
  <c r="I444" i="3"/>
  <c r="J444" i="3"/>
  <c r="K444" i="3"/>
  <c r="L444" i="3"/>
  <c r="N444" i="3"/>
  <c r="O444" i="3"/>
  <c r="P444" i="3"/>
  <c r="Q444" i="3"/>
  <c r="R444" i="3"/>
  <c r="G445" i="3"/>
  <c r="H445" i="3"/>
  <c r="I445" i="3"/>
  <c r="J445" i="3"/>
  <c r="K445" i="3"/>
  <c r="L445" i="3"/>
  <c r="N445" i="3"/>
  <c r="O445" i="3"/>
  <c r="P445" i="3"/>
  <c r="Q445" i="3"/>
  <c r="R445" i="3"/>
  <c r="G446" i="3"/>
  <c r="H446" i="3"/>
  <c r="I446" i="3"/>
  <c r="J446" i="3"/>
  <c r="K446" i="3"/>
  <c r="L446" i="3"/>
  <c r="N446" i="3"/>
  <c r="O446" i="3"/>
  <c r="P446" i="3"/>
  <c r="Q446" i="3"/>
  <c r="R446" i="3"/>
  <c r="G447" i="3"/>
  <c r="H447" i="3"/>
  <c r="I447" i="3"/>
  <c r="J447" i="3"/>
  <c r="K447" i="3"/>
  <c r="L447" i="3"/>
  <c r="N447" i="3"/>
  <c r="O447" i="3"/>
  <c r="P447" i="3"/>
  <c r="Q447" i="3"/>
  <c r="R447" i="3"/>
  <c r="G448" i="3"/>
  <c r="H448" i="3"/>
  <c r="I448" i="3"/>
  <c r="J448" i="3"/>
  <c r="K448" i="3"/>
  <c r="L448" i="3"/>
  <c r="N448" i="3"/>
  <c r="O448" i="3"/>
  <c r="P448" i="3"/>
  <c r="Q448" i="3"/>
  <c r="R448" i="3"/>
  <c r="G449" i="3"/>
  <c r="H449" i="3"/>
  <c r="I449" i="3"/>
  <c r="J449" i="3"/>
  <c r="K449" i="3"/>
  <c r="L449" i="3"/>
  <c r="N449" i="3"/>
  <c r="O449" i="3"/>
  <c r="P449" i="3"/>
  <c r="Q449" i="3"/>
  <c r="R449" i="3"/>
  <c r="G450" i="3"/>
  <c r="H450" i="3"/>
  <c r="I450" i="3"/>
  <c r="J450" i="3"/>
  <c r="K450" i="3"/>
  <c r="L450" i="3"/>
  <c r="N450" i="3"/>
  <c r="O450" i="3"/>
  <c r="P450" i="3"/>
  <c r="Q450" i="3"/>
  <c r="R450" i="3"/>
  <c r="G451" i="3"/>
  <c r="H451" i="3"/>
  <c r="I451" i="3"/>
  <c r="J451" i="3"/>
  <c r="K451" i="3"/>
  <c r="L451" i="3"/>
  <c r="N451" i="3"/>
  <c r="O451" i="3"/>
  <c r="P451" i="3"/>
  <c r="Q451" i="3"/>
  <c r="R451" i="3"/>
  <c r="G452" i="3"/>
  <c r="H452" i="3"/>
  <c r="I452" i="3"/>
  <c r="J452" i="3"/>
  <c r="K452" i="3"/>
  <c r="L452" i="3"/>
  <c r="N452" i="3"/>
  <c r="O452" i="3"/>
  <c r="P452" i="3"/>
  <c r="Q452" i="3"/>
  <c r="R452" i="3"/>
  <c r="G453" i="3"/>
  <c r="H453" i="3"/>
  <c r="I453" i="3"/>
  <c r="J453" i="3"/>
  <c r="K453" i="3"/>
  <c r="L453" i="3"/>
  <c r="N453" i="3"/>
  <c r="O453" i="3"/>
  <c r="P453" i="3"/>
  <c r="Q453" i="3"/>
  <c r="R453" i="3"/>
  <c r="G454" i="3"/>
  <c r="H454" i="3"/>
  <c r="I454" i="3"/>
  <c r="J454" i="3"/>
  <c r="K454" i="3"/>
  <c r="L454" i="3"/>
  <c r="N454" i="3"/>
  <c r="O454" i="3"/>
  <c r="P454" i="3"/>
  <c r="Q454" i="3"/>
  <c r="R454" i="3"/>
  <c r="G455" i="3"/>
  <c r="H455" i="3"/>
  <c r="I455" i="3"/>
  <c r="J455" i="3"/>
  <c r="K455" i="3"/>
  <c r="L455" i="3"/>
  <c r="N455" i="3"/>
  <c r="O455" i="3"/>
  <c r="P455" i="3"/>
  <c r="Q455" i="3"/>
  <c r="R455" i="3"/>
  <c r="G456" i="3"/>
  <c r="H456" i="3"/>
  <c r="I456" i="3"/>
  <c r="J456" i="3"/>
  <c r="K456" i="3"/>
  <c r="L456" i="3"/>
  <c r="N456" i="3"/>
  <c r="O456" i="3"/>
  <c r="P456" i="3"/>
  <c r="Q456" i="3"/>
  <c r="R456" i="3"/>
  <c r="G457" i="3"/>
  <c r="H457" i="3"/>
  <c r="I457" i="3"/>
  <c r="J457" i="3"/>
  <c r="K457" i="3"/>
  <c r="L457" i="3"/>
  <c r="N457" i="3"/>
  <c r="O457" i="3"/>
  <c r="P457" i="3"/>
  <c r="Q457" i="3"/>
  <c r="R457" i="3"/>
  <c r="G458" i="3"/>
  <c r="H458" i="3"/>
  <c r="I458" i="3"/>
  <c r="J458" i="3"/>
  <c r="K458" i="3"/>
  <c r="L458" i="3"/>
  <c r="N458" i="3"/>
  <c r="O458" i="3"/>
  <c r="P458" i="3"/>
  <c r="Q458" i="3"/>
  <c r="R458" i="3"/>
  <c r="G459" i="3"/>
  <c r="H459" i="3"/>
  <c r="I459" i="3"/>
  <c r="J459" i="3"/>
  <c r="K459" i="3"/>
  <c r="L459" i="3"/>
  <c r="N459" i="3"/>
  <c r="O459" i="3"/>
  <c r="P459" i="3"/>
  <c r="Q459" i="3"/>
  <c r="R459" i="3"/>
  <c r="G460" i="3"/>
  <c r="H460" i="3"/>
  <c r="I460" i="3"/>
  <c r="J460" i="3"/>
  <c r="K460" i="3"/>
  <c r="L460" i="3"/>
  <c r="N460" i="3"/>
  <c r="O460" i="3"/>
  <c r="P460" i="3"/>
  <c r="Q460" i="3"/>
  <c r="R460" i="3"/>
  <c r="G461" i="3"/>
  <c r="H461" i="3"/>
  <c r="I461" i="3"/>
  <c r="J461" i="3"/>
  <c r="K461" i="3"/>
  <c r="L461" i="3"/>
  <c r="N461" i="3"/>
  <c r="O461" i="3"/>
  <c r="P461" i="3"/>
  <c r="Q461" i="3"/>
  <c r="R461" i="3"/>
  <c r="G462" i="3"/>
  <c r="H462" i="3"/>
  <c r="I462" i="3"/>
  <c r="J462" i="3"/>
  <c r="K462" i="3"/>
  <c r="L462" i="3"/>
  <c r="N462" i="3"/>
  <c r="O462" i="3"/>
  <c r="P462" i="3"/>
  <c r="Q462" i="3"/>
  <c r="R462" i="3"/>
  <c r="G463" i="3"/>
  <c r="H463" i="3"/>
  <c r="I463" i="3"/>
  <c r="J463" i="3"/>
  <c r="K463" i="3"/>
  <c r="L463" i="3"/>
  <c r="N463" i="3"/>
  <c r="O463" i="3"/>
  <c r="P463" i="3"/>
  <c r="Q463" i="3"/>
  <c r="R463" i="3"/>
  <c r="G464" i="3"/>
  <c r="H464" i="3"/>
  <c r="I464" i="3"/>
  <c r="J464" i="3"/>
  <c r="K464" i="3"/>
  <c r="L464" i="3"/>
  <c r="N464" i="3"/>
  <c r="O464" i="3"/>
  <c r="P464" i="3"/>
  <c r="Q464" i="3"/>
  <c r="R464" i="3"/>
  <c r="G465" i="3"/>
  <c r="H465" i="3"/>
  <c r="I465" i="3"/>
  <c r="J465" i="3"/>
  <c r="K465" i="3"/>
  <c r="L465" i="3"/>
  <c r="N465" i="3"/>
  <c r="O465" i="3"/>
  <c r="P465" i="3"/>
  <c r="Q465" i="3"/>
  <c r="R465" i="3"/>
  <c r="G466" i="3"/>
  <c r="H466" i="3"/>
  <c r="I466" i="3"/>
  <c r="J466" i="3"/>
  <c r="K466" i="3"/>
  <c r="L466" i="3"/>
  <c r="N466" i="3"/>
  <c r="O466" i="3"/>
  <c r="P466" i="3"/>
  <c r="Q466" i="3"/>
  <c r="R466" i="3"/>
  <c r="G467" i="3"/>
  <c r="H467" i="3"/>
  <c r="I467" i="3"/>
  <c r="J467" i="3"/>
  <c r="K467" i="3"/>
  <c r="L467" i="3"/>
  <c r="N467" i="3"/>
  <c r="O467" i="3"/>
  <c r="P467" i="3"/>
  <c r="Q467" i="3"/>
  <c r="R467" i="3"/>
  <c r="G468" i="3"/>
  <c r="H468" i="3"/>
  <c r="I468" i="3"/>
  <c r="J468" i="3"/>
  <c r="K468" i="3"/>
  <c r="L468" i="3"/>
  <c r="N468" i="3"/>
  <c r="O468" i="3"/>
  <c r="P468" i="3"/>
  <c r="Q468" i="3"/>
  <c r="R468" i="3"/>
  <c r="G469" i="3"/>
  <c r="H469" i="3"/>
  <c r="I469" i="3"/>
  <c r="J469" i="3"/>
  <c r="K469" i="3"/>
  <c r="L469" i="3"/>
  <c r="N469" i="3"/>
  <c r="O469" i="3"/>
  <c r="P469" i="3"/>
  <c r="Q469" i="3"/>
  <c r="R469" i="3"/>
  <c r="G470" i="3"/>
  <c r="H470" i="3"/>
  <c r="I470" i="3"/>
  <c r="J470" i="3"/>
  <c r="K470" i="3"/>
  <c r="L470" i="3"/>
  <c r="N470" i="3"/>
  <c r="O470" i="3"/>
  <c r="P470" i="3"/>
  <c r="Q470" i="3"/>
  <c r="R470" i="3"/>
  <c r="G471" i="3"/>
  <c r="H471" i="3"/>
  <c r="I471" i="3"/>
  <c r="J471" i="3"/>
  <c r="K471" i="3"/>
  <c r="L471" i="3"/>
  <c r="N471" i="3"/>
  <c r="O471" i="3"/>
  <c r="P471" i="3"/>
  <c r="Q471" i="3"/>
  <c r="R471" i="3"/>
  <c r="G472" i="3"/>
  <c r="H472" i="3"/>
  <c r="I472" i="3"/>
  <c r="J472" i="3"/>
  <c r="K472" i="3"/>
  <c r="L472" i="3"/>
  <c r="N472" i="3"/>
  <c r="O472" i="3"/>
  <c r="P472" i="3"/>
  <c r="Q472" i="3"/>
  <c r="R472" i="3"/>
  <c r="G473" i="3"/>
  <c r="H473" i="3"/>
  <c r="I473" i="3"/>
  <c r="J473" i="3"/>
  <c r="K473" i="3"/>
  <c r="L473" i="3"/>
  <c r="N473" i="3"/>
  <c r="O473" i="3"/>
  <c r="P473" i="3"/>
  <c r="Q473" i="3"/>
  <c r="R473" i="3"/>
  <c r="G474" i="3"/>
  <c r="H474" i="3"/>
  <c r="I474" i="3"/>
  <c r="J474" i="3"/>
  <c r="K474" i="3"/>
  <c r="L474" i="3"/>
  <c r="N474" i="3"/>
  <c r="O474" i="3"/>
  <c r="P474" i="3"/>
  <c r="Q474" i="3"/>
  <c r="R474" i="3"/>
  <c r="G475" i="3"/>
  <c r="H475" i="3"/>
  <c r="I475" i="3"/>
  <c r="J475" i="3"/>
  <c r="K475" i="3"/>
  <c r="L475" i="3"/>
  <c r="N475" i="3"/>
  <c r="O475" i="3"/>
  <c r="P475" i="3"/>
  <c r="Q475" i="3"/>
  <c r="R475" i="3"/>
  <c r="G476" i="3"/>
  <c r="H476" i="3"/>
  <c r="I476" i="3"/>
  <c r="J476" i="3"/>
  <c r="K476" i="3"/>
  <c r="L476" i="3"/>
  <c r="N476" i="3"/>
  <c r="O476" i="3"/>
  <c r="P476" i="3"/>
  <c r="Q476" i="3"/>
  <c r="R476" i="3"/>
  <c r="G477" i="3"/>
  <c r="H477" i="3"/>
  <c r="I477" i="3"/>
  <c r="J477" i="3"/>
  <c r="K477" i="3"/>
  <c r="L477" i="3"/>
  <c r="N477" i="3"/>
  <c r="O477" i="3"/>
  <c r="P477" i="3"/>
  <c r="Q477" i="3"/>
  <c r="R477" i="3"/>
  <c r="G478" i="3"/>
  <c r="H478" i="3"/>
  <c r="I478" i="3"/>
  <c r="J478" i="3"/>
  <c r="K478" i="3"/>
  <c r="L478" i="3"/>
  <c r="N478" i="3"/>
  <c r="O478" i="3"/>
  <c r="P478" i="3"/>
  <c r="Q478" i="3"/>
  <c r="R478" i="3"/>
  <c r="G479" i="3"/>
  <c r="H479" i="3"/>
  <c r="I479" i="3"/>
  <c r="J479" i="3"/>
  <c r="K479" i="3"/>
  <c r="L479" i="3"/>
  <c r="N479" i="3"/>
  <c r="O479" i="3"/>
  <c r="P479" i="3"/>
  <c r="Q479" i="3"/>
  <c r="R479" i="3"/>
  <c r="G480" i="3"/>
  <c r="H480" i="3"/>
  <c r="I480" i="3"/>
  <c r="J480" i="3"/>
  <c r="K480" i="3"/>
  <c r="L480" i="3"/>
  <c r="N480" i="3"/>
  <c r="O480" i="3"/>
  <c r="P480" i="3"/>
  <c r="Q480" i="3"/>
  <c r="R480" i="3"/>
  <c r="G481" i="3"/>
  <c r="H481" i="3"/>
  <c r="I481" i="3"/>
  <c r="J481" i="3"/>
  <c r="K481" i="3"/>
  <c r="L481" i="3"/>
  <c r="N481" i="3"/>
  <c r="O481" i="3"/>
  <c r="P481" i="3"/>
  <c r="Q481" i="3"/>
  <c r="R481" i="3"/>
  <c r="G482" i="3"/>
  <c r="H482" i="3"/>
  <c r="I482" i="3"/>
  <c r="J482" i="3"/>
  <c r="K482" i="3"/>
  <c r="L482" i="3"/>
  <c r="N482" i="3"/>
  <c r="O482" i="3"/>
  <c r="P482" i="3"/>
  <c r="Q482" i="3"/>
  <c r="R482" i="3"/>
  <c r="G483" i="3"/>
  <c r="H483" i="3"/>
  <c r="I483" i="3"/>
  <c r="J483" i="3"/>
  <c r="K483" i="3"/>
  <c r="L483" i="3"/>
  <c r="N483" i="3"/>
  <c r="O483" i="3"/>
  <c r="P483" i="3"/>
  <c r="Q483" i="3"/>
  <c r="R483" i="3"/>
  <c r="G484" i="3"/>
  <c r="H484" i="3"/>
  <c r="I484" i="3"/>
  <c r="J484" i="3"/>
  <c r="K484" i="3"/>
  <c r="L484" i="3"/>
  <c r="N484" i="3"/>
  <c r="O484" i="3"/>
  <c r="P484" i="3"/>
  <c r="Q484" i="3"/>
  <c r="R484" i="3"/>
  <c r="G485" i="3"/>
  <c r="H485" i="3"/>
  <c r="I485" i="3"/>
  <c r="J485" i="3"/>
  <c r="K485" i="3"/>
  <c r="L485" i="3"/>
  <c r="N485" i="3"/>
  <c r="O485" i="3"/>
  <c r="P485" i="3"/>
  <c r="Q485" i="3"/>
  <c r="R485" i="3"/>
  <c r="G486" i="3"/>
  <c r="H486" i="3"/>
  <c r="I486" i="3"/>
  <c r="J486" i="3"/>
  <c r="K486" i="3"/>
  <c r="L486" i="3"/>
  <c r="N486" i="3"/>
  <c r="O486" i="3"/>
  <c r="P486" i="3"/>
  <c r="Q486" i="3"/>
  <c r="R486" i="3"/>
  <c r="G487" i="3"/>
  <c r="H487" i="3"/>
  <c r="I487" i="3"/>
  <c r="J487" i="3"/>
  <c r="K487" i="3"/>
  <c r="L487" i="3"/>
  <c r="N487" i="3"/>
  <c r="O487" i="3"/>
  <c r="P487" i="3"/>
  <c r="Q487" i="3"/>
  <c r="R487" i="3"/>
  <c r="G488" i="3"/>
  <c r="H488" i="3"/>
  <c r="I488" i="3"/>
  <c r="J488" i="3"/>
  <c r="K488" i="3"/>
  <c r="L488" i="3"/>
  <c r="N488" i="3"/>
  <c r="O488" i="3"/>
  <c r="P488" i="3"/>
  <c r="Q488" i="3"/>
  <c r="R488" i="3"/>
  <c r="G489" i="3"/>
  <c r="H489" i="3"/>
  <c r="I489" i="3"/>
  <c r="J489" i="3"/>
  <c r="K489" i="3"/>
  <c r="L489" i="3"/>
  <c r="N489" i="3"/>
  <c r="O489" i="3"/>
  <c r="P489" i="3"/>
  <c r="Q489" i="3"/>
  <c r="R489" i="3"/>
  <c r="G490" i="3"/>
  <c r="H490" i="3"/>
  <c r="I490" i="3"/>
  <c r="J490" i="3"/>
  <c r="K490" i="3"/>
  <c r="L490" i="3"/>
  <c r="N490" i="3"/>
  <c r="O490" i="3"/>
  <c r="P490" i="3"/>
  <c r="Q490" i="3"/>
  <c r="R490" i="3"/>
  <c r="G491" i="3"/>
  <c r="H491" i="3"/>
  <c r="I491" i="3"/>
  <c r="J491" i="3"/>
  <c r="K491" i="3"/>
  <c r="L491" i="3"/>
  <c r="N491" i="3"/>
  <c r="O491" i="3"/>
  <c r="P491" i="3"/>
  <c r="Q491" i="3"/>
  <c r="R491" i="3"/>
  <c r="G492" i="3"/>
  <c r="H492" i="3"/>
  <c r="I492" i="3"/>
  <c r="J492" i="3"/>
  <c r="K492" i="3"/>
  <c r="L492" i="3"/>
  <c r="N492" i="3"/>
  <c r="O492" i="3"/>
  <c r="P492" i="3"/>
  <c r="Q492" i="3"/>
  <c r="R492" i="3"/>
  <c r="G493" i="3"/>
  <c r="H493" i="3"/>
  <c r="I493" i="3"/>
  <c r="J493" i="3"/>
  <c r="K493" i="3"/>
  <c r="L493" i="3"/>
  <c r="N493" i="3"/>
  <c r="O493" i="3"/>
  <c r="P493" i="3"/>
  <c r="Q493" i="3"/>
  <c r="R493" i="3"/>
  <c r="G494" i="3"/>
  <c r="H494" i="3"/>
  <c r="I494" i="3"/>
  <c r="J494" i="3"/>
  <c r="K494" i="3"/>
  <c r="L494" i="3"/>
  <c r="N494" i="3"/>
  <c r="O494" i="3"/>
  <c r="P494" i="3"/>
  <c r="Q494" i="3"/>
  <c r="R494" i="3"/>
  <c r="G495" i="3"/>
  <c r="H495" i="3"/>
  <c r="I495" i="3"/>
  <c r="J495" i="3"/>
  <c r="K495" i="3"/>
  <c r="L495" i="3"/>
  <c r="N495" i="3"/>
  <c r="O495" i="3"/>
  <c r="P495" i="3"/>
  <c r="Q495" i="3"/>
  <c r="R495" i="3"/>
  <c r="G496" i="3"/>
  <c r="H496" i="3"/>
  <c r="I496" i="3"/>
  <c r="J496" i="3"/>
  <c r="K496" i="3"/>
  <c r="L496" i="3"/>
  <c r="N496" i="3"/>
  <c r="O496" i="3"/>
  <c r="P496" i="3"/>
  <c r="Q496" i="3"/>
  <c r="R496" i="3"/>
  <c r="G497" i="3"/>
  <c r="H497" i="3"/>
  <c r="I497" i="3"/>
  <c r="J497" i="3"/>
  <c r="K497" i="3"/>
  <c r="L497" i="3"/>
  <c r="N497" i="3"/>
  <c r="O497" i="3"/>
  <c r="P497" i="3"/>
  <c r="Q497" i="3"/>
  <c r="R497" i="3"/>
  <c r="G498" i="3"/>
  <c r="H498" i="3"/>
  <c r="I498" i="3"/>
  <c r="J498" i="3"/>
  <c r="K498" i="3"/>
  <c r="L498" i="3"/>
  <c r="N498" i="3"/>
  <c r="O498" i="3"/>
  <c r="P498" i="3"/>
  <c r="Q498" i="3"/>
  <c r="R498" i="3"/>
  <c r="G499" i="3"/>
  <c r="H499" i="3"/>
  <c r="I499" i="3"/>
  <c r="J499" i="3"/>
  <c r="K499" i="3"/>
  <c r="L499" i="3"/>
  <c r="N499" i="3"/>
  <c r="O499" i="3"/>
  <c r="P499" i="3"/>
  <c r="Q499" i="3"/>
  <c r="R499" i="3"/>
  <c r="G500" i="3"/>
  <c r="H500" i="3"/>
  <c r="I500" i="3"/>
  <c r="J500" i="3"/>
  <c r="K500" i="3"/>
  <c r="L500" i="3"/>
  <c r="N500" i="3"/>
  <c r="O500" i="3"/>
  <c r="P500" i="3"/>
  <c r="Q500" i="3"/>
  <c r="R500" i="3"/>
  <c r="G501" i="3"/>
  <c r="H501" i="3"/>
  <c r="I501" i="3"/>
  <c r="J501" i="3"/>
  <c r="K501" i="3"/>
  <c r="L501" i="3"/>
  <c r="N501" i="3"/>
  <c r="O501" i="3"/>
  <c r="P501" i="3"/>
  <c r="Q501" i="3"/>
  <c r="R501" i="3"/>
  <c r="G502" i="3"/>
  <c r="H502" i="3"/>
  <c r="I502" i="3"/>
  <c r="J502" i="3"/>
  <c r="K502" i="3"/>
  <c r="L502" i="3"/>
  <c r="N502" i="3"/>
  <c r="O502" i="3"/>
  <c r="P502" i="3"/>
  <c r="Q502" i="3"/>
  <c r="R502" i="3"/>
  <c r="G503" i="3"/>
  <c r="H503" i="3"/>
  <c r="I503" i="3"/>
  <c r="J503" i="3"/>
  <c r="K503" i="3"/>
  <c r="L503" i="3"/>
  <c r="N503" i="3"/>
  <c r="O503" i="3"/>
  <c r="P503" i="3"/>
  <c r="Q503" i="3"/>
  <c r="R503" i="3"/>
  <c r="G504" i="3"/>
  <c r="H504" i="3"/>
  <c r="I504" i="3"/>
  <c r="J504" i="3"/>
  <c r="K504" i="3"/>
  <c r="L504" i="3"/>
  <c r="N504" i="3"/>
  <c r="O504" i="3"/>
  <c r="P504" i="3"/>
  <c r="Q504" i="3"/>
  <c r="R504" i="3"/>
  <c r="G505" i="3"/>
  <c r="H505" i="3"/>
  <c r="I505" i="3"/>
  <c r="J505" i="3"/>
  <c r="K505" i="3"/>
  <c r="L505" i="3"/>
  <c r="N505" i="3"/>
  <c r="O505" i="3"/>
  <c r="P505" i="3"/>
  <c r="Q505" i="3"/>
  <c r="R505" i="3"/>
  <c r="G506" i="3"/>
  <c r="H506" i="3"/>
  <c r="I506" i="3"/>
  <c r="J506" i="3"/>
  <c r="K506" i="3"/>
  <c r="L506" i="3"/>
  <c r="N506" i="3"/>
  <c r="O506" i="3"/>
  <c r="P506" i="3"/>
  <c r="Q506" i="3"/>
  <c r="R506" i="3"/>
  <c r="G507" i="3"/>
  <c r="H507" i="3"/>
  <c r="I507" i="3"/>
  <c r="J507" i="3"/>
  <c r="K507" i="3"/>
  <c r="L507" i="3"/>
  <c r="N507" i="3"/>
  <c r="O507" i="3"/>
  <c r="P507" i="3"/>
  <c r="Q507" i="3"/>
  <c r="R507" i="3"/>
  <c r="G508" i="3"/>
  <c r="H508" i="3"/>
  <c r="I508" i="3"/>
  <c r="J508" i="3"/>
  <c r="K508" i="3"/>
  <c r="L508" i="3"/>
  <c r="N508" i="3"/>
  <c r="O508" i="3"/>
  <c r="P508" i="3"/>
  <c r="Q508" i="3"/>
  <c r="R508" i="3"/>
  <c r="G509" i="3"/>
  <c r="H509" i="3"/>
  <c r="I509" i="3"/>
  <c r="J509" i="3"/>
  <c r="K509" i="3"/>
  <c r="L509" i="3"/>
  <c r="N509" i="3"/>
  <c r="O509" i="3"/>
  <c r="P509" i="3"/>
  <c r="Q509" i="3"/>
  <c r="R509" i="3"/>
  <c r="G510" i="3"/>
  <c r="H510" i="3"/>
  <c r="I510" i="3"/>
  <c r="J510" i="3"/>
  <c r="K510" i="3"/>
  <c r="L510" i="3"/>
  <c r="N510" i="3"/>
  <c r="O510" i="3"/>
  <c r="P510" i="3"/>
  <c r="Q510" i="3"/>
  <c r="R510" i="3"/>
  <c r="G511" i="3"/>
  <c r="H511" i="3"/>
  <c r="I511" i="3"/>
  <c r="J511" i="3"/>
  <c r="K511" i="3"/>
  <c r="L511" i="3"/>
  <c r="N511" i="3"/>
  <c r="O511" i="3"/>
  <c r="P511" i="3"/>
  <c r="Q511" i="3"/>
  <c r="R511" i="3"/>
  <c r="G512" i="3"/>
  <c r="H512" i="3"/>
  <c r="I512" i="3"/>
  <c r="J512" i="3"/>
  <c r="K512" i="3"/>
  <c r="L512" i="3"/>
  <c r="N512" i="3"/>
  <c r="O512" i="3"/>
  <c r="P512" i="3"/>
  <c r="Q512" i="3"/>
  <c r="R512" i="3"/>
  <c r="G513" i="3"/>
  <c r="H513" i="3"/>
  <c r="I513" i="3"/>
  <c r="J513" i="3"/>
  <c r="K513" i="3"/>
  <c r="L513" i="3"/>
  <c r="N513" i="3"/>
  <c r="O513" i="3"/>
  <c r="P513" i="3"/>
  <c r="Q513" i="3"/>
  <c r="R513" i="3"/>
  <c r="G514" i="3"/>
  <c r="H514" i="3"/>
  <c r="I514" i="3"/>
  <c r="J514" i="3"/>
  <c r="K514" i="3"/>
  <c r="L514" i="3"/>
  <c r="N514" i="3"/>
  <c r="O514" i="3"/>
  <c r="P514" i="3"/>
  <c r="Q514" i="3"/>
  <c r="R514" i="3"/>
  <c r="G515" i="3"/>
  <c r="H515" i="3"/>
  <c r="I515" i="3"/>
  <c r="J515" i="3"/>
  <c r="K515" i="3"/>
  <c r="L515" i="3"/>
  <c r="N515" i="3"/>
  <c r="O515" i="3"/>
  <c r="P515" i="3"/>
  <c r="Q515" i="3"/>
  <c r="R515" i="3"/>
  <c r="G516" i="3"/>
  <c r="H516" i="3"/>
  <c r="I516" i="3"/>
  <c r="J516" i="3"/>
  <c r="K516" i="3"/>
  <c r="L516" i="3"/>
  <c r="N516" i="3"/>
  <c r="O516" i="3"/>
  <c r="P516" i="3"/>
  <c r="Q516" i="3"/>
  <c r="R516" i="3"/>
  <c r="G517" i="3"/>
  <c r="H517" i="3"/>
  <c r="I517" i="3"/>
  <c r="J517" i="3"/>
  <c r="K517" i="3"/>
  <c r="L517" i="3"/>
  <c r="N517" i="3"/>
  <c r="O517" i="3"/>
  <c r="P517" i="3"/>
  <c r="Q517" i="3"/>
  <c r="R517" i="3"/>
  <c r="G518" i="3"/>
  <c r="H518" i="3"/>
  <c r="I518" i="3"/>
  <c r="J518" i="3"/>
  <c r="K518" i="3"/>
  <c r="L518" i="3"/>
  <c r="N518" i="3"/>
  <c r="O518" i="3"/>
  <c r="P518" i="3"/>
  <c r="Q518" i="3"/>
  <c r="R518" i="3"/>
  <c r="G519" i="3"/>
  <c r="H519" i="3"/>
  <c r="I519" i="3"/>
  <c r="J519" i="3"/>
  <c r="K519" i="3"/>
  <c r="L519" i="3"/>
  <c r="N519" i="3"/>
  <c r="O519" i="3"/>
  <c r="P519" i="3"/>
  <c r="Q519" i="3"/>
  <c r="R519" i="3"/>
  <c r="G520" i="3"/>
  <c r="H520" i="3"/>
  <c r="I520" i="3"/>
  <c r="J520" i="3"/>
  <c r="K520" i="3"/>
  <c r="L520" i="3"/>
  <c r="N520" i="3"/>
  <c r="O520" i="3"/>
  <c r="P520" i="3"/>
  <c r="Q520" i="3"/>
  <c r="R520" i="3"/>
  <c r="G521" i="3"/>
  <c r="H521" i="3"/>
  <c r="I521" i="3"/>
  <c r="J521" i="3"/>
  <c r="K521" i="3"/>
  <c r="L521" i="3"/>
  <c r="N521" i="3"/>
  <c r="O521" i="3"/>
  <c r="P521" i="3"/>
  <c r="Q521" i="3"/>
  <c r="R521" i="3"/>
  <c r="G522" i="3"/>
  <c r="H522" i="3"/>
  <c r="I522" i="3"/>
  <c r="J522" i="3"/>
  <c r="K522" i="3"/>
  <c r="L522" i="3"/>
  <c r="N522" i="3"/>
  <c r="O522" i="3"/>
  <c r="P522" i="3"/>
  <c r="Q522" i="3"/>
  <c r="R522" i="3"/>
  <c r="G523" i="3"/>
  <c r="H523" i="3"/>
  <c r="I523" i="3"/>
  <c r="J523" i="3"/>
  <c r="K523" i="3"/>
  <c r="L523" i="3"/>
  <c r="N523" i="3"/>
  <c r="O523" i="3"/>
  <c r="P523" i="3"/>
  <c r="Q523" i="3"/>
  <c r="R523" i="3"/>
  <c r="G524" i="3"/>
  <c r="H524" i="3"/>
  <c r="I524" i="3"/>
  <c r="J524" i="3"/>
  <c r="K524" i="3"/>
  <c r="L524" i="3"/>
  <c r="N524" i="3"/>
  <c r="O524" i="3"/>
  <c r="P524" i="3"/>
  <c r="Q524" i="3"/>
  <c r="R524" i="3"/>
  <c r="G525" i="3"/>
  <c r="H525" i="3"/>
  <c r="I525" i="3"/>
  <c r="J525" i="3"/>
  <c r="K525" i="3"/>
  <c r="L525" i="3"/>
  <c r="N525" i="3"/>
  <c r="O525" i="3"/>
  <c r="P525" i="3"/>
  <c r="Q525" i="3"/>
  <c r="R525" i="3"/>
  <c r="G526" i="3"/>
  <c r="H526" i="3"/>
  <c r="I526" i="3"/>
  <c r="J526" i="3"/>
  <c r="K526" i="3"/>
  <c r="L526" i="3"/>
  <c r="N526" i="3"/>
  <c r="O526" i="3"/>
  <c r="P526" i="3"/>
  <c r="Q526" i="3"/>
  <c r="R526" i="3"/>
  <c r="G527" i="3"/>
  <c r="H527" i="3"/>
  <c r="I527" i="3"/>
  <c r="J527" i="3"/>
  <c r="K527" i="3"/>
  <c r="L527" i="3"/>
  <c r="N527" i="3"/>
  <c r="O527" i="3"/>
  <c r="P527" i="3"/>
  <c r="Q527" i="3"/>
  <c r="R527" i="3"/>
  <c r="G528" i="3"/>
  <c r="H528" i="3"/>
  <c r="I528" i="3"/>
  <c r="J528" i="3"/>
  <c r="K528" i="3"/>
  <c r="L528" i="3"/>
  <c r="N528" i="3"/>
  <c r="O528" i="3"/>
  <c r="P528" i="3"/>
  <c r="Q528" i="3"/>
  <c r="R528" i="3"/>
  <c r="G529" i="3"/>
  <c r="H529" i="3"/>
  <c r="I529" i="3"/>
  <c r="J529" i="3"/>
  <c r="K529" i="3"/>
  <c r="L529" i="3"/>
  <c r="N529" i="3"/>
  <c r="O529" i="3"/>
  <c r="P529" i="3"/>
  <c r="Q529" i="3"/>
  <c r="R529" i="3"/>
  <c r="G530" i="3"/>
  <c r="H530" i="3"/>
  <c r="I530" i="3"/>
  <c r="J530" i="3"/>
  <c r="K530" i="3"/>
  <c r="L530" i="3"/>
  <c r="N530" i="3"/>
  <c r="O530" i="3"/>
  <c r="P530" i="3"/>
  <c r="Q530" i="3"/>
  <c r="R530" i="3"/>
  <c r="G531" i="3"/>
  <c r="H531" i="3"/>
  <c r="I531" i="3"/>
  <c r="J531" i="3"/>
  <c r="K531" i="3"/>
  <c r="L531" i="3"/>
  <c r="N531" i="3"/>
  <c r="O531" i="3"/>
  <c r="P531" i="3"/>
  <c r="Q531" i="3"/>
  <c r="R531" i="3"/>
  <c r="G532" i="3"/>
  <c r="H532" i="3"/>
  <c r="I532" i="3"/>
  <c r="J532" i="3"/>
  <c r="K532" i="3"/>
  <c r="L532" i="3"/>
  <c r="N532" i="3"/>
  <c r="O532" i="3"/>
  <c r="P532" i="3"/>
  <c r="Q532" i="3"/>
  <c r="R532" i="3"/>
  <c r="G533" i="3"/>
  <c r="H533" i="3"/>
  <c r="I533" i="3"/>
  <c r="J533" i="3"/>
  <c r="K533" i="3"/>
  <c r="L533" i="3"/>
  <c r="N533" i="3"/>
  <c r="O533" i="3"/>
  <c r="P533" i="3"/>
  <c r="Q533" i="3"/>
  <c r="R533" i="3"/>
  <c r="G534" i="3"/>
  <c r="H534" i="3"/>
  <c r="I534" i="3"/>
  <c r="J534" i="3"/>
  <c r="K534" i="3"/>
  <c r="L534" i="3"/>
  <c r="N534" i="3"/>
  <c r="O534" i="3"/>
  <c r="P534" i="3"/>
  <c r="Q534" i="3"/>
  <c r="R534" i="3"/>
  <c r="G535" i="3"/>
  <c r="H535" i="3"/>
  <c r="I535" i="3"/>
  <c r="J535" i="3"/>
  <c r="K535" i="3"/>
  <c r="L535" i="3"/>
  <c r="N535" i="3"/>
  <c r="O535" i="3"/>
  <c r="P535" i="3"/>
  <c r="Q535" i="3"/>
  <c r="R535" i="3"/>
  <c r="G536" i="3"/>
  <c r="H536" i="3"/>
  <c r="I536" i="3"/>
  <c r="J536" i="3"/>
  <c r="K536" i="3"/>
  <c r="L536" i="3"/>
  <c r="N536" i="3"/>
  <c r="O536" i="3"/>
  <c r="P536" i="3"/>
  <c r="Q536" i="3"/>
  <c r="R536" i="3"/>
  <c r="G537" i="3"/>
  <c r="H537" i="3"/>
  <c r="I537" i="3"/>
  <c r="J537" i="3"/>
  <c r="K537" i="3"/>
  <c r="L537" i="3"/>
  <c r="N537" i="3"/>
  <c r="O537" i="3"/>
  <c r="P537" i="3"/>
  <c r="Q537" i="3"/>
  <c r="R537" i="3"/>
  <c r="G538" i="3"/>
  <c r="H538" i="3"/>
  <c r="I538" i="3"/>
  <c r="J538" i="3"/>
  <c r="K538" i="3"/>
  <c r="L538" i="3"/>
  <c r="N538" i="3"/>
  <c r="O538" i="3"/>
  <c r="P538" i="3"/>
  <c r="Q538" i="3"/>
  <c r="R538" i="3"/>
  <c r="G539" i="3"/>
  <c r="H539" i="3"/>
  <c r="I539" i="3"/>
  <c r="J539" i="3"/>
  <c r="K539" i="3"/>
  <c r="L539" i="3"/>
  <c r="N539" i="3"/>
  <c r="O539" i="3"/>
  <c r="P539" i="3"/>
  <c r="Q539" i="3"/>
  <c r="R539" i="3"/>
  <c r="G540" i="3"/>
  <c r="H540" i="3"/>
  <c r="I540" i="3"/>
  <c r="J540" i="3"/>
  <c r="K540" i="3"/>
  <c r="L540" i="3"/>
  <c r="N540" i="3"/>
  <c r="O540" i="3"/>
  <c r="P540" i="3"/>
  <c r="Q540" i="3"/>
  <c r="R540" i="3"/>
  <c r="G541" i="3"/>
  <c r="H541" i="3"/>
  <c r="I541" i="3"/>
  <c r="J541" i="3"/>
  <c r="K541" i="3"/>
  <c r="L541" i="3"/>
  <c r="N541" i="3"/>
  <c r="O541" i="3"/>
  <c r="P541" i="3"/>
  <c r="Q541" i="3"/>
  <c r="R541" i="3"/>
  <c r="G542" i="3"/>
  <c r="H542" i="3"/>
  <c r="I542" i="3"/>
  <c r="J542" i="3"/>
  <c r="K542" i="3"/>
  <c r="L542" i="3"/>
  <c r="N542" i="3"/>
  <c r="O542" i="3"/>
  <c r="P542" i="3"/>
  <c r="Q542" i="3"/>
  <c r="R542" i="3"/>
  <c r="G543" i="3"/>
  <c r="H543" i="3"/>
  <c r="I543" i="3"/>
  <c r="J543" i="3"/>
  <c r="K543" i="3"/>
  <c r="L543" i="3"/>
  <c r="N543" i="3"/>
  <c r="O543" i="3"/>
  <c r="P543" i="3"/>
  <c r="Q543" i="3"/>
  <c r="R543" i="3"/>
  <c r="G544" i="3"/>
  <c r="H544" i="3"/>
  <c r="I544" i="3"/>
  <c r="J544" i="3"/>
  <c r="K544" i="3"/>
  <c r="L544" i="3"/>
  <c r="N544" i="3"/>
  <c r="O544" i="3"/>
  <c r="P544" i="3"/>
  <c r="Q544" i="3"/>
  <c r="R544" i="3"/>
  <c r="G545" i="3"/>
  <c r="H545" i="3"/>
  <c r="I545" i="3"/>
  <c r="J545" i="3"/>
  <c r="K545" i="3"/>
  <c r="L545" i="3"/>
  <c r="N545" i="3"/>
  <c r="O545" i="3"/>
  <c r="P545" i="3"/>
  <c r="Q545" i="3"/>
  <c r="R545" i="3"/>
  <c r="G546" i="3"/>
  <c r="H546" i="3"/>
  <c r="I546" i="3"/>
  <c r="J546" i="3"/>
  <c r="K546" i="3"/>
  <c r="L546" i="3"/>
  <c r="N546" i="3"/>
  <c r="O546" i="3"/>
  <c r="P546" i="3"/>
  <c r="Q546" i="3"/>
  <c r="R546" i="3"/>
  <c r="G547" i="3"/>
  <c r="H547" i="3"/>
  <c r="I547" i="3"/>
  <c r="J547" i="3"/>
  <c r="K547" i="3"/>
  <c r="L547" i="3"/>
  <c r="N547" i="3"/>
  <c r="O547" i="3"/>
  <c r="P547" i="3"/>
  <c r="Q547" i="3"/>
  <c r="R547" i="3"/>
  <c r="G548" i="3"/>
  <c r="H548" i="3"/>
  <c r="I548" i="3"/>
  <c r="J548" i="3"/>
  <c r="K548" i="3"/>
  <c r="L548" i="3"/>
  <c r="N548" i="3"/>
  <c r="O548" i="3"/>
  <c r="P548" i="3"/>
  <c r="Q548" i="3"/>
  <c r="R548" i="3"/>
  <c r="G549" i="3"/>
  <c r="H549" i="3"/>
  <c r="I549" i="3"/>
  <c r="J549" i="3"/>
  <c r="K549" i="3"/>
  <c r="L549" i="3"/>
  <c r="N549" i="3"/>
  <c r="O549" i="3"/>
  <c r="P549" i="3"/>
  <c r="Q549" i="3"/>
  <c r="R549" i="3"/>
  <c r="G550" i="3"/>
  <c r="H550" i="3"/>
  <c r="I550" i="3"/>
  <c r="J550" i="3"/>
  <c r="K550" i="3"/>
  <c r="L550" i="3"/>
  <c r="N550" i="3"/>
  <c r="O550" i="3"/>
  <c r="P550" i="3"/>
  <c r="Q550" i="3"/>
  <c r="R550" i="3"/>
  <c r="G551" i="3"/>
  <c r="H551" i="3"/>
  <c r="I551" i="3"/>
  <c r="J551" i="3"/>
  <c r="K551" i="3"/>
  <c r="L551" i="3"/>
  <c r="N551" i="3"/>
  <c r="O551" i="3"/>
  <c r="P551" i="3"/>
  <c r="Q551" i="3"/>
  <c r="R551" i="3"/>
  <c r="G552" i="3"/>
  <c r="H552" i="3"/>
  <c r="I552" i="3"/>
  <c r="J552" i="3"/>
  <c r="K552" i="3"/>
  <c r="L552" i="3"/>
  <c r="N552" i="3"/>
  <c r="O552" i="3"/>
  <c r="P552" i="3"/>
  <c r="Q552" i="3"/>
  <c r="R552" i="3"/>
  <c r="G553" i="3"/>
  <c r="H553" i="3"/>
  <c r="I553" i="3"/>
  <c r="J553" i="3"/>
  <c r="K553" i="3"/>
  <c r="L553" i="3"/>
  <c r="N553" i="3"/>
  <c r="O553" i="3"/>
  <c r="P553" i="3"/>
  <c r="Q553" i="3"/>
  <c r="R553" i="3"/>
  <c r="G554" i="3"/>
  <c r="H554" i="3"/>
  <c r="I554" i="3"/>
  <c r="J554" i="3"/>
  <c r="K554" i="3"/>
  <c r="L554" i="3"/>
  <c r="N554" i="3"/>
  <c r="O554" i="3"/>
  <c r="P554" i="3"/>
  <c r="Q554" i="3"/>
  <c r="R554" i="3"/>
  <c r="G555" i="3"/>
  <c r="H555" i="3"/>
  <c r="I555" i="3"/>
  <c r="J555" i="3"/>
  <c r="K555" i="3"/>
  <c r="L555" i="3"/>
  <c r="N555" i="3"/>
  <c r="O555" i="3"/>
  <c r="P555" i="3"/>
  <c r="Q555" i="3"/>
  <c r="R555" i="3"/>
  <c r="G556" i="3"/>
  <c r="H556" i="3"/>
  <c r="I556" i="3"/>
  <c r="J556" i="3"/>
  <c r="K556" i="3"/>
  <c r="L556" i="3"/>
  <c r="N556" i="3"/>
  <c r="O556" i="3"/>
  <c r="P556" i="3"/>
  <c r="Q556" i="3"/>
  <c r="R556" i="3"/>
  <c r="G557" i="3"/>
  <c r="H557" i="3"/>
  <c r="I557" i="3"/>
  <c r="J557" i="3"/>
  <c r="K557" i="3"/>
  <c r="L557" i="3"/>
  <c r="N557" i="3"/>
  <c r="O557" i="3"/>
  <c r="P557" i="3"/>
  <c r="Q557" i="3"/>
  <c r="R557" i="3"/>
  <c r="G558" i="3"/>
  <c r="H558" i="3"/>
  <c r="I558" i="3"/>
  <c r="J558" i="3"/>
  <c r="K558" i="3"/>
  <c r="L558" i="3"/>
  <c r="N558" i="3"/>
  <c r="O558" i="3"/>
  <c r="P558" i="3"/>
  <c r="Q558" i="3"/>
  <c r="R558" i="3"/>
  <c r="G559" i="3"/>
  <c r="H559" i="3"/>
  <c r="I559" i="3"/>
  <c r="J559" i="3"/>
  <c r="K559" i="3"/>
  <c r="L559" i="3"/>
  <c r="N559" i="3"/>
  <c r="O559" i="3"/>
  <c r="P559" i="3"/>
  <c r="Q559" i="3"/>
  <c r="R559" i="3"/>
  <c r="G560" i="3"/>
  <c r="H560" i="3"/>
  <c r="I560" i="3"/>
  <c r="J560" i="3"/>
  <c r="K560" i="3"/>
  <c r="L560" i="3"/>
  <c r="N560" i="3"/>
  <c r="O560" i="3"/>
  <c r="P560" i="3"/>
  <c r="Q560" i="3"/>
  <c r="R560" i="3"/>
  <c r="G561" i="3"/>
  <c r="H561" i="3"/>
  <c r="I561" i="3"/>
  <c r="J561" i="3"/>
  <c r="K561" i="3"/>
  <c r="L561" i="3"/>
  <c r="N561" i="3"/>
  <c r="O561" i="3"/>
  <c r="P561" i="3"/>
  <c r="Q561" i="3"/>
  <c r="R561" i="3"/>
  <c r="G562" i="3"/>
  <c r="H562" i="3"/>
  <c r="I562" i="3"/>
  <c r="J562" i="3"/>
  <c r="K562" i="3"/>
  <c r="L562" i="3"/>
  <c r="N562" i="3"/>
  <c r="O562" i="3"/>
  <c r="P562" i="3"/>
  <c r="Q562" i="3"/>
  <c r="R562" i="3"/>
  <c r="G563" i="3"/>
  <c r="H563" i="3"/>
  <c r="I563" i="3"/>
  <c r="J563" i="3"/>
  <c r="K563" i="3"/>
  <c r="L563" i="3"/>
  <c r="N563" i="3"/>
  <c r="O563" i="3"/>
  <c r="P563" i="3"/>
  <c r="Q563" i="3"/>
  <c r="R563" i="3"/>
  <c r="G564" i="3"/>
  <c r="H564" i="3"/>
  <c r="I564" i="3"/>
  <c r="J564" i="3"/>
  <c r="K564" i="3"/>
  <c r="L564" i="3"/>
  <c r="N564" i="3"/>
  <c r="O564" i="3"/>
  <c r="P564" i="3"/>
  <c r="Q564" i="3"/>
  <c r="R564" i="3"/>
  <c r="G565" i="3"/>
  <c r="H565" i="3"/>
  <c r="I565" i="3"/>
  <c r="J565" i="3"/>
  <c r="K565" i="3"/>
  <c r="L565" i="3"/>
  <c r="N565" i="3"/>
  <c r="O565" i="3"/>
  <c r="P565" i="3"/>
  <c r="Q565" i="3"/>
  <c r="R565" i="3"/>
  <c r="G566" i="3"/>
  <c r="H566" i="3"/>
  <c r="I566" i="3"/>
  <c r="J566" i="3"/>
  <c r="K566" i="3"/>
  <c r="L566" i="3"/>
  <c r="N566" i="3"/>
  <c r="O566" i="3"/>
  <c r="P566" i="3"/>
  <c r="Q566" i="3"/>
  <c r="R566" i="3"/>
  <c r="G567" i="3"/>
  <c r="H567" i="3"/>
  <c r="I567" i="3"/>
  <c r="J567" i="3"/>
  <c r="K567" i="3"/>
  <c r="L567" i="3"/>
  <c r="N567" i="3"/>
  <c r="O567" i="3"/>
  <c r="P567" i="3"/>
  <c r="Q567" i="3"/>
  <c r="R567" i="3"/>
  <c r="G568" i="3"/>
  <c r="H568" i="3"/>
  <c r="I568" i="3"/>
  <c r="J568" i="3"/>
  <c r="K568" i="3"/>
  <c r="L568" i="3"/>
  <c r="N568" i="3"/>
  <c r="O568" i="3"/>
  <c r="P568" i="3"/>
  <c r="Q568" i="3"/>
  <c r="R568" i="3"/>
  <c r="G569" i="3"/>
  <c r="H569" i="3"/>
  <c r="I569" i="3"/>
  <c r="J569" i="3"/>
  <c r="K569" i="3"/>
  <c r="L569" i="3"/>
  <c r="N569" i="3"/>
  <c r="O569" i="3"/>
  <c r="P569" i="3"/>
  <c r="Q569" i="3"/>
  <c r="R569" i="3"/>
  <c r="G570" i="3"/>
  <c r="H570" i="3"/>
  <c r="I570" i="3"/>
  <c r="J570" i="3"/>
  <c r="K570" i="3"/>
  <c r="L570" i="3"/>
  <c r="N570" i="3"/>
  <c r="O570" i="3"/>
  <c r="P570" i="3"/>
  <c r="Q570" i="3"/>
  <c r="R570" i="3"/>
  <c r="G571" i="3"/>
  <c r="H571" i="3"/>
  <c r="I571" i="3"/>
  <c r="J571" i="3"/>
  <c r="K571" i="3"/>
  <c r="L571" i="3"/>
  <c r="N571" i="3"/>
  <c r="O571" i="3"/>
  <c r="P571" i="3"/>
  <c r="Q571" i="3"/>
  <c r="R571" i="3"/>
  <c r="G572" i="3"/>
  <c r="H572" i="3"/>
  <c r="I572" i="3"/>
  <c r="J572" i="3"/>
  <c r="K572" i="3"/>
  <c r="L572" i="3"/>
  <c r="N572" i="3"/>
  <c r="O572" i="3"/>
  <c r="P572" i="3"/>
  <c r="Q572" i="3"/>
  <c r="R572" i="3"/>
  <c r="G573" i="3"/>
  <c r="H573" i="3"/>
  <c r="I573" i="3"/>
  <c r="J573" i="3"/>
  <c r="K573" i="3"/>
  <c r="L573" i="3"/>
  <c r="N573" i="3"/>
  <c r="O573" i="3"/>
  <c r="P573" i="3"/>
  <c r="Q573" i="3"/>
  <c r="R573" i="3"/>
  <c r="G574" i="3"/>
  <c r="H574" i="3"/>
  <c r="I574" i="3"/>
  <c r="J574" i="3"/>
  <c r="K574" i="3"/>
  <c r="L574" i="3"/>
  <c r="N574" i="3"/>
  <c r="O574" i="3"/>
  <c r="P574" i="3"/>
  <c r="Q574" i="3"/>
  <c r="R574" i="3"/>
  <c r="G575" i="3"/>
  <c r="H575" i="3"/>
  <c r="I575" i="3"/>
  <c r="J575" i="3"/>
  <c r="K575" i="3"/>
  <c r="L575" i="3"/>
  <c r="N575" i="3"/>
  <c r="O575" i="3"/>
  <c r="P575" i="3"/>
  <c r="Q575" i="3"/>
  <c r="R575" i="3"/>
  <c r="G576" i="3"/>
  <c r="H576" i="3"/>
  <c r="I576" i="3"/>
  <c r="J576" i="3"/>
  <c r="K576" i="3"/>
  <c r="L576" i="3"/>
  <c r="N576" i="3"/>
  <c r="O576" i="3"/>
  <c r="P576" i="3"/>
  <c r="Q576" i="3"/>
  <c r="R576" i="3"/>
  <c r="G577" i="3"/>
  <c r="H577" i="3"/>
  <c r="I577" i="3"/>
  <c r="J577" i="3"/>
  <c r="K577" i="3"/>
  <c r="L577" i="3"/>
  <c r="N577" i="3"/>
  <c r="O577" i="3"/>
  <c r="P577" i="3"/>
  <c r="Q577" i="3"/>
  <c r="R577" i="3"/>
  <c r="G578" i="3"/>
  <c r="H578" i="3"/>
  <c r="I578" i="3"/>
  <c r="J578" i="3"/>
  <c r="K578" i="3"/>
  <c r="L578" i="3"/>
  <c r="N578" i="3"/>
  <c r="O578" i="3"/>
  <c r="P578" i="3"/>
  <c r="Q578" i="3"/>
  <c r="R578" i="3"/>
  <c r="G579" i="3"/>
  <c r="H579" i="3"/>
  <c r="I579" i="3"/>
  <c r="J579" i="3"/>
  <c r="K579" i="3"/>
  <c r="L579" i="3"/>
  <c r="N579" i="3"/>
  <c r="O579" i="3"/>
  <c r="P579" i="3"/>
  <c r="Q579" i="3"/>
  <c r="R579" i="3"/>
  <c r="G580" i="3"/>
  <c r="H580" i="3"/>
  <c r="I580" i="3"/>
  <c r="J580" i="3"/>
  <c r="K580" i="3"/>
  <c r="L580" i="3"/>
  <c r="N580" i="3"/>
  <c r="O580" i="3"/>
  <c r="P580" i="3"/>
  <c r="Q580" i="3"/>
  <c r="R580" i="3"/>
  <c r="G581" i="3"/>
  <c r="H581" i="3"/>
  <c r="I581" i="3"/>
  <c r="J581" i="3"/>
  <c r="K581" i="3"/>
  <c r="L581" i="3"/>
  <c r="N581" i="3"/>
  <c r="O581" i="3"/>
  <c r="P581" i="3"/>
  <c r="Q581" i="3"/>
  <c r="R581" i="3"/>
  <c r="G582" i="3"/>
  <c r="H582" i="3"/>
  <c r="I582" i="3"/>
  <c r="J582" i="3"/>
  <c r="K582" i="3"/>
  <c r="L582" i="3"/>
  <c r="N582" i="3"/>
  <c r="O582" i="3"/>
  <c r="P582" i="3"/>
  <c r="Q582" i="3"/>
  <c r="R582" i="3"/>
  <c r="G583" i="3"/>
  <c r="H583" i="3"/>
  <c r="I583" i="3"/>
  <c r="J583" i="3"/>
  <c r="K583" i="3"/>
  <c r="L583" i="3"/>
  <c r="N583" i="3"/>
  <c r="O583" i="3"/>
  <c r="P583" i="3"/>
  <c r="Q583" i="3"/>
  <c r="R583" i="3"/>
  <c r="G584" i="3"/>
  <c r="H584" i="3"/>
  <c r="I584" i="3"/>
  <c r="J584" i="3"/>
  <c r="K584" i="3"/>
  <c r="L584" i="3"/>
  <c r="N584" i="3"/>
  <c r="O584" i="3"/>
  <c r="P584" i="3"/>
  <c r="Q584" i="3"/>
  <c r="R584" i="3"/>
  <c r="G585" i="3"/>
  <c r="H585" i="3"/>
  <c r="I585" i="3"/>
  <c r="J585" i="3"/>
  <c r="K585" i="3"/>
  <c r="L585" i="3"/>
  <c r="N585" i="3"/>
  <c r="O585" i="3"/>
  <c r="P585" i="3"/>
  <c r="Q585" i="3"/>
  <c r="R585" i="3"/>
  <c r="G586" i="3"/>
  <c r="H586" i="3"/>
  <c r="I586" i="3"/>
  <c r="J586" i="3"/>
  <c r="K586" i="3"/>
  <c r="L586" i="3"/>
  <c r="N586" i="3"/>
  <c r="O586" i="3"/>
  <c r="P586" i="3"/>
  <c r="Q586" i="3"/>
  <c r="R586" i="3"/>
  <c r="G587" i="3"/>
  <c r="H587" i="3"/>
  <c r="I587" i="3"/>
  <c r="J587" i="3"/>
  <c r="K587" i="3"/>
  <c r="L587" i="3"/>
  <c r="N587" i="3"/>
  <c r="O587" i="3"/>
  <c r="P587" i="3"/>
  <c r="Q587" i="3"/>
  <c r="R587" i="3"/>
  <c r="G588" i="3"/>
  <c r="H588" i="3"/>
  <c r="I588" i="3"/>
  <c r="J588" i="3"/>
  <c r="K588" i="3"/>
  <c r="L588" i="3"/>
  <c r="N588" i="3"/>
  <c r="O588" i="3"/>
  <c r="P588" i="3"/>
  <c r="Q588" i="3"/>
  <c r="R588" i="3"/>
  <c r="G589" i="3"/>
  <c r="H589" i="3"/>
  <c r="I589" i="3"/>
  <c r="J589" i="3"/>
  <c r="K589" i="3"/>
  <c r="L589" i="3"/>
  <c r="N589" i="3"/>
  <c r="O589" i="3"/>
  <c r="P589" i="3"/>
  <c r="Q589" i="3"/>
  <c r="R589" i="3"/>
  <c r="G590" i="3"/>
  <c r="H590" i="3"/>
  <c r="I590" i="3"/>
  <c r="J590" i="3"/>
  <c r="K590" i="3"/>
  <c r="L590" i="3"/>
  <c r="N590" i="3"/>
  <c r="O590" i="3"/>
  <c r="P590" i="3"/>
  <c r="Q590" i="3"/>
  <c r="R590" i="3"/>
  <c r="G591" i="3"/>
  <c r="H591" i="3"/>
  <c r="I591" i="3"/>
  <c r="J591" i="3"/>
  <c r="K591" i="3"/>
  <c r="L591" i="3"/>
  <c r="N591" i="3"/>
  <c r="O591" i="3"/>
  <c r="P591" i="3"/>
  <c r="Q591" i="3"/>
  <c r="R591" i="3"/>
  <c r="G592" i="3"/>
  <c r="H592" i="3"/>
  <c r="I592" i="3"/>
  <c r="J592" i="3"/>
  <c r="K592" i="3"/>
  <c r="L592" i="3"/>
  <c r="N592" i="3"/>
  <c r="O592" i="3"/>
  <c r="P592" i="3"/>
  <c r="Q592" i="3"/>
  <c r="R592" i="3"/>
  <c r="G593" i="3"/>
  <c r="H593" i="3"/>
  <c r="I593" i="3"/>
  <c r="J593" i="3"/>
  <c r="K593" i="3"/>
  <c r="L593" i="3"/>
  <c r="N593" i="3"/>
  <c r="O593" i="3"/>
  <c r="P593" i="3"/>
  <c r="Q593" i="3"/>
  <c r="R593" i="3"/>
  <c r="G594" i="3"/>
  <c r="H594" i="3"/>
  <c r="I594" i="3"/>
  <c r="J594" i="3"/>
  <c r="K594" i="3"/>
  <c r="L594" i="3"/>
  <c r="N594" i="3"/>
  <c r="O594" i="3"/>
  <c r="P594" i="3"/>
  <c r="Q594" i="3"/>
  <c r="R594" i="3"/>
  <c r="G595" i="3"/>
  <c r="H595" i="3"/>
  <c r="I595" i="3"/>
  <c r="J595" i="3"/>
  <c r="K595" i="3"/>
  <c r="L595" i="3"/>
  <c r="N595" i="3"/>
  <c r="O595" i="3"/>
  <c r="P595" i="3"/>
  <c r="Q595" i="3"/>
  <c r="R595" i="3"/>
  <c r="G596" i="3"/>
  <c r="H596" i="3"/>
  <c r="I596" i="3"/>
  <c r="J596" i="3"/>
  <c r="K596" i="3"/>
  <c r="L596" i="3"/>
  <c r="N596" i="3"/>
  <c r="O596" i="3"/>
  <c r="P596" i="3"/>
  <c r="Q596" i="3"/>
  <c r="R596" i="3"/>
  <c r="G597" i="3"/>
  <c r="H597" i="3"/>
  <c r="I597" i="3"/>
  <c r="J597" i="3"/>
  <c r="K597" i="3"/>
  <c r="L597" i="3"/>
  <c r="N597" i="3"/>
  <c r="O597" i="3"/>
  <c r="P597" i="3"/>
  <c r="Q597" i="3"/>
  <c r="R597" i="3"/>
  <c r="G598" i="3"/>
  <c r="H598" i="3"/>
  <c r="I598" i="3"/>
  <c r="J598" i="3"/>
  <c r="K598" i="3"/>
  <c r="L598" i="3"/>
  <c r="N598" i="3"/>
  <c r="O598" i="3"/>
  <c r="P598" i="3"/>
  <c r="Q598" i="3"/>
  <c r="R598" i="3"/>
  <c r="G599" i="3"/>
  <c r="H599" i="3"/>
  <c r="I599" i="3"/>
  <c r="J599" i="3"/>
  <c r="K599" i="3"/>
  <c r="L599" i="3"/>
  <c r="N599" i="3"/>
  <c r="O599" i="3"/>
  <c r="P599" i="3"/>
  <c r="Q599" i="3"/>
  <c r="R599" i="3"/>
  <c r="G600" i="3"/>
  <c r="H600" i="3"/>
  <c r="I600" i="3"/>
  <c r="J600" i="3"/>
  <c r="K600" i="3"/>
  <c r="L600" i="3"/>
  <c r="N600" i="3"/>
  <c r="O600" i="3"/>
  <c r="P600" i="3"/>
  <c r="Q600" i="3"/>
  <c r="R600" i="3"/>
  <c r="G601" i="3"/>
  <c r="H601" i="3"/>
  <c r="I601" i="3"/>
  <c r="J601" i="3"/>
  <c r="K601" i="3"/>
  <c r="L601" i="3"/>
  <c r="N601" i="3"/>
  <c r="O601" i="3"/>
  <c r="P601" i="3"/>
  <c r="Q601" i="3"/>
  <c r="R601" i="3"/>
  <c r="G602" i="3"/>
  <c r="H602" i="3"/>
  <c r="I602" i="3"/>
  <c r="J602" i="3"/>
  <c r="K602" i="3"/>
  <c r="L602" i="3"/>
  <c r="N602" i="3"/>
  <c r="O602" i="3"/>
  <c r="P602" i="3"/>
  <c r="Q602" i="3"/>
  <c r="R602" i="3"/>
  <c r="G603" i="3"/>
  <c r="H603" i="3"/>
  <c r="I603" i="3"/>
  <c r="J603" i="3"/>
  <c r="K603" i="3"/>
  <c r="L603" i="3"/>
  <c r="N603" i="3"/>
  <c r="O603" i="3"/>
  <c r="P603" i="3"/>
  <c r="Q603" i="3"/>
  <c r="R603" i="3"/>
  <c r="G604" i="3"/>
  <c r="H604" i="3"/>
  <c r="I604" i="3"/>
  <c r="J604" i="3"/>
  <c r="K604" i="3"/>
  <c r="L604" i="3"/>
  <c r="N604" i="3"/>
  <c r="O604" i="3"/>
  <c r="P604" i="3"/>
  <c r="Q604" i="3"/>
  <c r="R604" i="3"/>
  <c r="G605" i="3"/>
  <c r="H605" i="3"/>
  <c r="I605" i="3"/>
  <c r="J605" i="3"/>
  <c r="K605" i="3"/>
  <c r="L605" i="3"/>
  <c r="N605" i="3"/>
  <c r="O605" i="3"/>
  <c r="P605" i="3"/>
  <c r="Q605" i="3"/>
  <c r="R605" i="3"/>
  <c r="G606" i="3"/>
  <c r="H606" i="3"/>
  <c r="I606" i="3"/>
  <c r="J606" i="3"/>
  <c r="K606" i="3"/>
  <c r="L606" i="3"/>
  <c r="N606" i="3"/>
  <c r="O606" i="3"/>
  <c r="P606" i="3"/>
  <c r="Q606" i="3"/>
  <c r="R606" i="3"/>
  <c r="G607" i="3"/>
  <c r="H607" i="3"/>
  <c r="I607" i="3"/>
  <c r="J607" i="3"/>
  <c r="K607" i="3"/>
  <c r="L607" i="3"/>
  <c r="N607" i="3"/>
  <c r="O607" i="3"/>
  <c r="P607" i="3"/>
  <c r="Q607" i="3"/>
  <c r="R607" i="3"/>
  <c r="G608" i="3"/>
  <c r="H608" i="3"/>
  <c r="I608" i="3"/>
  <c r="J608" i="3"/>
  <c r="K608" i="3"/>
  <c r="L608" i="3"/>
  <c r="N608" i="3"/>
  <c r="O608" i="3"/>
  <c r="P608" i="3"/>
  <c r="Q608" i="3"/>
  <c r="R608" i="3"/>
  <c r="G609" i="3"/>
  <c r="H609" i="3"/>
  <c r="I609" i="3"/>
  <c r="J609" i="3"/>
  <c r="K609" i="3"/>
  <c r="L609" i="3"/>
  <c r="N609" i="3"/>
  <c r="O609" i="3"/>
  <c r="P609" i="3"/>
  <c r="Q609" i="3"/>
  <c r="R609" i="3"/>
  <c r="G610" i="3"/>
  <c r="H610" i="3"/>
  <c r="I610" i="3"/>
  <c r="J610" i="3"/>
  <c r="K610" i="3"/>
  <c r="L610" i="3"/>
  <c r="N610" i="3"/>
  <c r="O610" i="3"/>
  <c r="P610" i="3"/>
  <c r="Q610" i="3"/>
  <c r="R610" i="3"/>
  <c r="G611" i="3"/>
  <c r="H611" i="3"/>
  <c r="I611" i="3"/>
  <c r="J611" i="3"/>
  <c r="K611" i="3"/>
  <c r="L611" i="3"/>
  <c r="N611" i="3"/>
  <c r="O611" i="3"/>
  <c r="P611" i="3"/>
  <c r="Q611" i="3"/>
  <c r="R611" i="3"/>
  <c r="G612" i="3"/>
  <c r="H612" i="3"/>
  <c r="I612" i="3"/>
  <c r="J612" i="3"/>
  <c r="K612" i="3"/>
  <c r="L612" i="3"/>
  <c r="N612" i="3"/>
  <c r="O612" i="3"/>
  <c r="P612" i="3"/>
  <c r="Q612" i="3"/>
  <c r="R612" i="3"/>
  <c r="G613" i="3"/>
  <c r="H613" i="3"/>
  <c r="I613" i="3"/>
  <c r="J613" i="3"/>
  <c r="K613" i="3"/>
  <c r="L613" i="3"/>
  <c r="N613" i="3"/>
  <c r="O613" i="3"/>
  <c r="P613" i="3"/>
  <c r="Q613" i="3"/>
  <c r="R613" i="3"/>
  <c r="G614" i="3"/>
  <c r="H614" i="3"/>
  <c r="I614" i="3"/>
  <c r="J614" i="3"/>
  <c r="K614" i="3"/>
  <c r="L614" i="3"/>
  <c r="N614" i="3"/>
  <c r="O614" i="3"/>
  <c r="P614" i="3"/>
  <c r="Q614" i="3"/>
  <c r="R614" i="3"/>
  <c r="G615" i="3"/>
  <c r="H615" i="3"/>
  <c r="I615" i="3"/>
  <c r="J615" i="3"/>
  <c r="K615" i="3"/>
  <c r="L615" i="3"/>
  <c r="N615" i="3"/>
  <c r="O615" i="3"/>
  <c r="P615" i="3"/>
  <c r="Q615" i="3"/>
  <c r="R615" i="3"/>
  <c r="G616" i="3"/>
  <c r="H616" i="3"/>
  <c r="I616" i="3"/>
  <c r="J616" i="3"/>
  <c r="K616" i="3"/>
  <c r="L616" i="3"/>
  <c r="N616" i="3"/>
  <c r="O616" i="3"/>
  <c r="P616" i="3"/>
  <c r="Q616" i="3"/>
  <c r="R616" i="3"/>
  <c r="G617" i="3"/>
  <c r="H617" i="3"/>
  <c r="I617" i="3"/>
  <c r="J617" i="3"/>
  <c r="K617" i="3"/>
  <c r="L617" i="3"/>
  <c r="N617" i="3"/>
  <c r="O617" i="3"/>
  <c r="P617" i="3"/>
  <c r="Q617" i="3"/>
  <c r="R617" i="3"/>
  <c r="G618" i="3"/>
  <c r="H618" i="3"/>
  <c r="I618" i="3"/>
  <c r="J618" i="3"/>
  <c r="K618" i="3"/>
  <c r="L618" i="3"/>
  <c r="N618" i="3"/>
  <c r="O618" i="3"/>
  <c r="P618" i="3"/>
  <c r="Q618" i="3"/>
  <c r="R618" i="3"/>
  <c r="G619" i="3"/>
  <c r="H619" i="3"/>
  <c r="I619" i="3"/>
  <c r="J619" i="3"/>
  <c r="K619" i="3"/>
  <c r="L619" i="3"/>
  <c r="N619" i="3"/>
  <c r="O619" i="3"/>
  <c r="P619" i="3"/>
  <c r="Q619" i="3"/>
  <c r="R619" i="3"/>
  <c r="G620" i="3"/>
  <c r="H620" i="3"/>
  <c r="I620" i="3"/>
  <c r="J620" i="3"/>
  <c r="K620" i="3"/>
  <c r="L620" i="3"/>
  <c r="N620" i="3"/>
  <c r="O620" i="3"/>
  <c r="P620" i="3"/>
  <c r="Q620" i="3"/>
  <c r="R620" i="3"/>
  <c r="G621" i="3"/>
  <c r="H621" i="3"/>
  <c r="I621" i="3"/>
  <c r="J621" i="3"/>
  <c r="K621" i="3"/>
  <c r="L621" i="3"/>
  <c r="N621" i="3"/>
  <c r="O621" i="3"/>
  <c r="P621" i="3"/>
  <c r="Q621" i="3"/>
  <c r="R621" i="3"/>
  <c r="G622" i="3"/>
  <c r="H622" i="3"/>
  <c r="I622" i="3"/>
  <c r="J622" i="3"/>
  <c r="K622" i="3"/>
  <c r="L622" i="3"/>
  <c r="N622" i="3"/>
  <c r="O622" i="3"/>
  <c r="P622" i="3"/>
  <c r="Q622" i="3"/>
  <c r="R622" i="3"/>
  <c r="G623" i="3"/>
  <c r="H623" i="3"/>
  <c r="I623" i="3"/>
  <c r="J623" i="3"/>
  <c r="K623" i="3"/>
  <c r="L623" i="3"/>
  <c r="N623" i="3"/>
  <c r="O623" i="3"/>
  <c r="P623" i="3"/>
  <c r="Q623" i="3"/>
  <c r="R623" i="3"/>
  <c r="G624" i="3"/>
  <c r="H624" i="3"/>
  <c r="I624" i="3"/>
  <c r="J624" i="3"/>
  <c r="K624" i="3"/>
  <c r="L624" i="3"/>
  <c r="N624" i="3"/>
  <c r="O624" i="3"/>
  <c r="P624" i="3"/>
  <c r="Q624" i="3"/>
  <c r="R624" i="3"/>
  <c r="G625" i="3"/>
  <c r="H625" i="3"/>
  <c r="I625" i="3"/>
  <c r="J625" i="3"/>
  <c r="K625" i="3"/>
  <c r="L625" i="3"/>
  <c r="N625" i="3"/>
  <c r="O625" i="3"/>
  <c r="P625" i="3"/>
  <c r="Q625" i="3"/>
  <c r="R625" i="3"/>
  <c r="G626" i="3"/>
  <c r="H626" i="3"/>
  <c r="I626" i="3"/>
  <c r="J626" i="3"/>
  <c r="K626" i="3"/>
  <c r="L626" i="3"/>
  <c r="N626" i="3"/>
  <c r="O626" i="3"/>
  <c r="P626" i="3"/>
  <c r="Q626" i="3"/>
  <c r="R626" i="3"/>
  <c r="G627" i="3"/>
  <c r="H627" i="3"/>
  <c r="I627" i="3"/>
  <c r="J627" i="3"/>
  <c r="K627" i="3"/>
  <c r="L627" i="3"/>
  <c r="N627" i="3"/>
  <c r="O627" i="3"/>
  <c r="P627" i="3"/>
  <c r="Q627" i="3"/>
  <c r="R627" i="3"/>
  <c r="G628" i="3"/>
  <c r="H628" i="3"/>
  <c r="I628" i="3"/>
  <c r="J628" i="3"/>
  <c r="K628" i="3"/>
  <c r="L628" i="3"/>
  <c r="N628" i="3"/>
  <c r="O628" i="3"/>
  <c r="P628" i="3"/>
  <c r="Q628" i="3"/>
  <c r="R628" i="3"/>
  <c r="G629" i="3"/>
  <c r="H629" i="3"/>
  <c r="I629" i="3"/>
  <c r="J629" i="3"/>
  <c r="K629" i="3"/>
  <c r="L629" i="3"/>
  <c r="N629" i="3"/>
  <c r="O629" i="3"/>
  <c r="P629" i="3"/>
  <c r="Q629" i="3"/>
  <c r="R629" i="3"/>
  <c r="G630" i="3"/>
  <c r="H630" i="3"/>
  <c r="I630" i="3"/>
  <c r="J630" i="3"/>
  <c r="K630" i="3"/>
  <c r="L630" i="3"/>
  <c r="N630" i="3"/>
  <c r="O630" i="3"/>
  <c r="P630" i="3"/>
  <c r="Q630" i="3"/>
  <c r="R630" i="3"/>
  <c r="G631" i="3"/>
  <c r="H631" i="3"/>
  <c r="I631" i="3"/>
  <c r="J631" i="3"/>
  <c r="K631" i="3"/>
  <c r="L631" i="3"/>
  <c r="N631" i="3"/>
  <c r="O631" i="3"/>
  <c r="P631" i="3"/>
  <c r="Q631" i="3"/>
  <c r="R631" i="3"/>
  <c r="G632" i="3"/>
  <c r="H632" i="3"/>
  <c r="I632" i="3"/>
  <c r="J632" i="3"/>
  <c r="K632" i="3"/>
  <c r="L632" i="3"/>
  <c r="N632" i="3"/>
  <c r="O632" i="3"/>
  <c r="P632" i="3"/>
  <c r="Q632" i="3"/>
  <c r="R632" i="3"/>
  <c r="G633" i="3"/>
  <c r="H633" i="3"/>
  <c r="I633" i="3"/>
  <c r="J633" i="3"/>
  <c r="K633" i="3"/>
  <c r="L633" i="3"/>
  <c r="N633" i="3"/>
  <c r="O633" i="3"/>
  <c r="P633" i="3"/>
  <c r="Q633" i="3"/>
  <c r="R633" i="3"/>
  <c r="G634" i="3"/>
  <c r="H634" i="3"/>
  <c r="I634" i="3"/>
  <c r="J634" i="3"/>
  <c r="K634" i="3"/>
  <c r="L634" i="3"/>
  <c r="N634" i="3"/>
  <c r="O634" i="3"/>
  <c r="P634" i="3"/>
  <c r="Q634" i="3"/>
  <c r="R634" i="3"/>
  <c r="G635" i="3"/>
  <c r="H635" i="3"/>
  <c r="I635" i="3"/>
  <c r="J635" i="3"/>
  <c r="K635" i="3"/>
  <c r="L635" i="3"/>
  <c r="N635" i="3"/>
  <c r="O635" i="3"/>
  <c r="P635" i="3"/>
  <c r="Q635" i="3"/>
  <c r="R635" i="3"/>
  <c r="G636" i="3"/>
  <c r="H636" i="3"/>
  <c r="I636" i="3"/>
  <c r="J636" i="3"/>
  <c r="K636" i="3"/>
  <c r="L636" i="3"/>
  <c r="N636" i="3"/>
  <c r="O636" i="3"/>
  <c r="P636" i="3"/>
  <c r="Q636" i="3"/>
  <c r="R636" i="3"/>
  <c r="G637" i="3"/>
  <c r="H637" i="3"/>
  <c r="I637" i="3"/>
  <c r="J637" i="3"/>
  <c r="K637" i="3"/>
  <c r="L637" i="3"/>
  <c r="N637" i="3"/>
  <c r="O637" i="3"/>
  <c r="P637" i="3"/>
  <c r="Q637" i="3"/>
  <c r="R637" i="3"/>
  <c r="G638" i="3"/>
  <c r="H638" i="3"/>
  <c r="I638" i="3"/>
  <c r="J638" i="3"/>
  <c r="K638" i="3"/>
  <c r="L638" i="3"/>
  <c r="N638" i="3"/>
  <c r="O638" i="3"/>
  <c r="P638" i="3"/>
  <c r="Q638" i="3"/>
  <c r="R638" i="3"/>
  <c r="G639" i="3"/>
  <c r="H639" i="3"/>
  <c r="I639" i="3"/>
  <c r="J639" i="3"/>
  <c r="K639" i="3"/>
  <c r="L639" i="3"/>
  <c r="N639" i="3"/>
  <c r="O639" i="3"/>
  <c r="P639" i="3"/>
  <c r="Q639" i="3"/>
  <c r="R639" i="3"/>
  <c r="G640" i="3"/>
  <c r="H640" i="3"/>
  <c r="I640" i="3"/>
  <c r="J640" i="3"/>
  <c r="K640" i="3"/>
  <c r="L640" i="3"/>
  <c r="N640" i="3"/>
  <c r="O640" i="3"/>
  <c r="P640" i="3"/>
  <c r="Q640" i="3"/>
  <c r="R640" i="3"/>
  <c r="G641" i="3"/>
  <c r="H641" i="3"/>
  <c r="I641" i="3"/>
  <c r="J641" i="3"/>
  <c r="K641" i="3"/>
  <c r="L641" i="3"/>
  <c r="N641" i="3"/>
  <c r="O641" i="3"/>
  <c r="P641" i="3"/>
  <c r="Q641" i="3"/>
  <c r="R641" i="3"/>
  <c r="G642" i="3"/>
  <c r="H642" i="3"/>
  <c r="I642" i="3"/>
  <c r="J642" i="3"/>
  <c r="K642" i="3"/>
  <c r="L642" i="3"/>
  <c r="N642" i="3"/>
  <c r="O642" i="3"/>
  <c r="P642" i="3"/>
  <c r="Q642" i="3"/>
  <c r="R642" i="3"/>
  <c r="G643" i="3"/>
  <c r="H643" i="3"/>
  <c r="I643" i="3"/>
  <c r="J643" i="3"/>
  <c r="K643" i="3"/>
  <c r="L643" i="3"/>
  <c r="N643" i="3"/>
  <c r="O643" i="3"/>
  <c r="P643" i="3"/>
  <c r="Q643" i="3"/>
  <c r="R643" i="3"/>
  <c r="G644" i="3"/>
  <c r="H644" i="3"/>
  <c r="I644" i="3"/>
  <c r="J644" i="3"/>
  <c r="K644" i="3"/>
  <c r="L644" i="3"/>
  <c r="N644" i="3"/>
  <c r="O644" i="3"/>
  <c r="P644" i="3"/>
  <c r="Q644" i="3"/>
  <c r="R644" i="3"/>
  <c r="G645" i="3"/>
  <c r="H645" i="3"/>
  <c r="I645" i="3"/>
  <c r="J645" i="3"/>
  <c r="K645" i="3"/>
  <c r="L645" i="3"/>
  <c r="N645" i="3"/>
  <c r="O645" i="3"/>
  <c r="P645" i="3"/>
  <c r="Q645" i="3"/>
  <c r="R645" i="3"/>
  <c r="G646" i="3"/>
  <c r="H646" i="3"/>
  <c r="I646" i="3"/>
  <c r="J646" i="3"/>
  <c r="K646" i="3"/>
  <c r="L646" i="3"/>
  <c r="N646" i="3"/>
  <c r="O646" i="3"/>
  <c r="P646" i="3"/>
  <c r="Q646" i="3"/>
  <c r="R646" i="3"/>
  <c r="G647" i="3"/>
  <c r="H647" i="3"/>
  <c r="I647" i="3"/>
  <c r="J647" i="3"/>
  <c r="K647" i="3"/>
  <c r="L647" i="3"/>
  <c r="N647" i="3"/>
  <c r="O647" i="3"/>
  <c r="P647" i="3"/>
  <c r="Q647" i="3"/>
  <c r="R647" i="3"/>
  <c r="G648" i="3"/>
  <c r="H648" i="3"/>
  <c r="I648" i="3"/>
  <c r="J648" i="3"/>
  <c r="K648" i="3"/>
  <c r="L648" i="3"/>
  <c r="N648" i="3"/>
  <c r="O648" i="3"/>
  <c r="P648" i="3"/>
  <c r="Q648" i="3"/>
  <c r="R648" i="3"/>
  <c r="G649" i="3"/>
  <c r="H649" i="3"/>
  <c r="I649" i="3"/>
  <c r="J649" i="3"/>
  <c r="K649" i="3"/>
  <c r="L649" i="3"/>
  <c r="N649" i="3"/>
  <c r="O649" i="3"/>
  <c r="P649" i="3"/>
  <c r="Q649" i="3"/>
  <c r="R649" i="3"/>
  <c r="G650" i="3"/>
  <c r="H650" i="3"/>
  <c r="I650" i="3"/>
  <c r="J650" i="3"/>
  <c r="K650" i="3"/>
  <c r="L650" i="3"/>
  <c r="N650" i="3"/>
  <c r="O650" i="3"/>
  <c r="P650" i="3"/>
  <c r="Q650" i="3"/>
  <c r="R650" i="3"/>
  <c r="G651" i="3"/>
  <c r="H651" i="3"/>
  <c r="I651" i="3"/>
  <c r="J651" i="3"/>
  <c r="K651" i="3"/>
  <c r="L651" i="3"/>
  <c r="N651" i="3"/>
  <c r="O651" i="3"/>
  <c r="P651" i="3"/>
  <c r="Q651" i="3"/>
  <c r="R651" i="3"/>
  <c r="G652" i="3"/>
  <c r="H652" i="3"/>
  <c r="I652" i="3"/>
  <c r="J652" i="3"/>
  <c r="K652" i="3"/>
  <c r="L652" i="3"/>
  <c r="N652" i="3"/>
  <c r="O652" i="3"/>
  <c r="P652" i="3"/>
  <c r="Q652" i="3"/>
  <c r="R652" i="3"/>
  <c r="G653" i="3"/>
  <c r="H653" i="3"/>
  <c r="I653" i="3"/>
  <c r="J653" i="3"/>
  <c r="K653" i="3"/>
  <c r="L653" i="3"/>
  <c r="N653" i="3"/>
  <c r="O653" i="3"/>
  <c r="P653" i="3"/>
  <c r="Q653" i="3"/>
  <c r="R653" i="3"/>
  <c r="G654" i="3"/>
  <c r="H654" i="3"/>
  <c r="I654" i="3"/>
  <c r="J654" i="3"/>
  <c r="K654" i="3"/>
  <c r="L654" i="3"/>
  <c r="N654" i="3"/>
  <c r="O654" i="3"/>
  <c r="P654" i="3"/>
  <c r="Q654" i="3"/>
  <c r="R654" i="3"/>
  <c r="G655" i="3"/>
  <c r="H655" i="3"/>
  <c r="I655" i="3"/>
  <c r="J655" i="3"/>
  <c r="K655" i="3"/>
  <c r="L655" i="3"/>
  <c r="N655" i="3"/>
  <c r="O655" i="3"/>
  <c r="P655" i="3"/>
  <c r="Q655" i="3"/>
  <c r="R655" i="3"/>
  <c r="G656" i="3"/>
  <c r="H656" i="3"/>
  <c r="I656" i="3"/>
  <c r="J656" i="3"/>
  <c r="K656" i="3"/>
  <c r="L656" i="3"/>
  <c r="N656" i="3"/>
  <c r="O656" i="3"/>
  <c r="P656" i="3"/>
  <c r="Q656" i="3"/>
  <c r="R656" i="3"/>
  <c r="G657" i="3"/>
  <c r="H657" i="3"/>
  <c r="I657" i="3"/>
  <c r="J657" i="3"/>
  <c r="K657" i="3"/>
  <c r="L657" i="3"/>
  <c r="N657" i="3"/>
  <c r="O657" i="3"/>
  <c r="P657" i="3"/>
  <c r="Q657" i="3"/>
  <c r="R657" i="3"/>
  <c r="G658" i="3"/>
  <c r="H658" i="3"/>
  <c r="I658" i="3"/>
  <c r="J658" i="3"/>
  <c r="K658" i="3"/>
  <c r="L658" i="3"/>
  <c r="N658" i="3"/>
  <c r="O658" i="3"/>
  <c r="P658" i="3"/>
  <c r="Q658" i="3"/>
  <c r="R658" i="3"/>
  <c r="G659" i="3"/>
  <c r="H659" i="3"/>
  <c r="I659" i="3"/>
  <c r="J659" i="3"/>
  <c r="K659" i="3"/>
  <c r="L659" i="3"/>
  <c r="N659" i="3"/>
  <c r="O659" i="3"/>
  <c r="P659" i="3"/>
  <c r="Q659" i="3"/>
  <c r="R659" i="3"/>
  <c r="G660" i="3"/>
  <c r="H660" i="3"/>
  <c r="I660" i="3"/>
  <c r="J660" i="3"/>
  <c r="K660" i="3"/>
  <c r="L660" i="3"/>
  <c r="N660" i="3"/>
  <c r="O660" i="3"/>
  <c r="P660" i="3"/>
  <c r="Q660" i="3"/>
  <c r="R660" i="3"/>
  <c r="G661" i="3"/>
  <c r="H661" i="3"/>
  <c r="I661" i="3"/>
  <c r="J661" i="3"/>
  <c r="K661" i="3"/>
  <c r="L661" i="3"/>
  <c r="N661" i="3"/>
  <c r="O661" i="3"/>
  <c r="P661" i="3"/>
  <c r="Q661" i="3"/>
  <c r="R661" i="3"/>
  <c r="G662" i="3"/>
  <c r="H662" i="3"/>
  <c r="I662" i="3"/>
  <c r="J662" i="3"/>
  <c r="K662" i="3"/>
  <c r="L662" i="3"/>
  <c r="N662" i="3"/>
  <c r="O662" i="3"/>
  <c r="P662" i="3"/>
  <c r="Q662" i="3"/>
  <c r="R662" i="3"/>
  <c r="G663" i="3"/>
  <c r="H663" i="3"/>
  <c r="I663" i="3"/>
  <c r="J663" i="3"/>
  <c r="K663" i="3"/>
  <c r="L663" i="3"/>
  <c r="N663" i="3"/>
  <c r="O663" i="3"/>
  <c r="P663" i="3"/>
  <c r="Q663" i="3"/>
  <c r="R663" i="3"/>
  <c r="G664" i="3"/>
  <c r="H664" i="3"/>
  <c r="I664" i="3"/>
  <c r="J664" i="3"/>
  <c r="K664" i="3"/>
  <c r="L664" i="3"/>
  <c r="N664" i="3"/>
  <c r="O664" i="3"/>
  <c r="P664" i="3"/>
  <c r="Q664" i="3"/>
  <c r="R664" i="3"/>
  <c r="G665" i="3"/>
  <c r="H665" i="3"/>
  <c r="I665" i="3"/>
  <c r="J665" i="3"/>
  <c r="K665" i="3"/>
  <c r="L665" i="3"/>
  <c r="N665" i="3"/>
  <c r="O665" i="3"/>
  <c r="P665" i="3"/>
  <c r="Q665" i="3"/>
  <c r="R665" i="3"/>
  <c r="G666" i="3"/>
  <c r="H666" i="3"/>
  <c r="I666" i="3"/>
  <c r="J666" i="3"/>
  <c r="K666" i="3"/>
  <c r="L666" i="3"/>
  <c r="N666" i="3"/>
  <c r="O666" i="3"/>
  <c r="P666" i="3"/>
  <c r="Q666" i="3"/>
  <c r="R666" i="3"/>
  <c r="G667" i="3"/>
  <c r="H667" i="3"/>
  <c r="I667" i="3"/>
  <c r="J667" i="3"/>
  <c r="K667" i="3"/>
  <c r="L667" i="3"/>
  <c r="N667" i="3"/>
  <c r="O667" i="3"/>
  <c r="P667" i="3"/>
  <c r="Q667" i="3"/>
  <c r="R667" i="3"/>
  <c r="G668" i="3"/>
  <c r="H668" i="3"/>
  <c r="I668" i="3"/>
  <c r="J668" i="3"/>
  <c r="K668" i="3"/>
  <c r="L668" i="3"/>
  <c r="N668" i="3"/>
  <c r="O668" i="3"/>
  <c r="P668" i="3"/>
  <c r="Q668" i="3"/>
  <c r="R668" i="3"/>
  <c r="G669" i="3"/>
  <c r="H669" i="3"/>
  <c r="I669" i="3"/>
  <c r="J669" i="3"/>
  <c r="K669" i="3"/>
  <c r="L669" i="3"/>
  <c r="N669" i="3"/>
  <c r="O669" i="3"/>
  <c r="P669" i="3"/>
  <c r="Q669" i="3"/>
  <c r="R669" i="3"/>
  <c r="G670" i="3"/>
  <c r="H670" i="3"/>
  <c r="I670" i="3"/>
  <c r="J670" i="3"/>
  <c r="K670" i="3"/>
  <c r="L670" i="3"/>
  <c r="N670" i="3"/>
  <c r="O670" i="3"/>
  <c r="P670" i="3"/>
  <c r="Q670" i="3"/>
  <c r="R670" i="3"/>
  <c r="G671" i="3"/>
  <c r="H671" i="3"/>
  <c r="I671" i="3"/>
  <c r="J671" i="3"/>
  <c r="K671" i="3"/>
  <c r="L671" i="3"/>
  <c r="N671" i="3"/>
  <c r="O671" i="3"/>
  <c r="P671" i="3"/>
  <c r="Q671" i="3"/>
  <c r="R671" i="3"/>
  <c r="G672" i="3"/>
  <c r="H672" i="3"/>
  <c r="I672" i="3"/>
  <c r="J672" i="3"/>
  <c r="K672" i="3"/>
  <c r="L672" i="3"/>
  <c r="N672" i="3"/>
  <c r="O672" i="3"/>
  <c r="P672" i="3"/>
  <c r="Q672" i="3"/>
  <c r="R672" i="3"/>
  <c r="G673" i="3"/>
  <c r="H673" i="3"/>
  <c r="I673" i="3"/>
  <c r="J673" i="3"/>
  <c r="K673" i="3"/>
  <c r="L673" i="3"/>
  <c r="N673" i="3"/>
  <c r="O673" i="3"/>
  <c r="P673" i="3"/>
  <c r="Q673" i="3"/>
  <c r="R673" i="3"/>
  <c r="G674" i="3"/>
  <c r="H674" i="3"/>
  <c r="I674" i="3"/>
  <c r="J674" i="3"/>
  <c r="K674" i="3"/>
  <c r="L674" i="3"/>
  <c r="N674" i="3"/>
  <c r="O674" i="3"/>
  <c r="P674" i="3"/>
  <c r="Q674" i="3"/>
  <c r="R674" i="3"/>
  <c r="G675" i="3"/>
  <c r="H675" i="3"/>
  <c r="I675" i="3"/>
  <c r="J675" i="3"/>
  <c r="K675" i="3"/>
  <c r="L675" i="3"/>
  <c r="N675" i="3"/>
  <c r="O675" i="3"/>
  <c r="P675" i="3"/>
  <c r="Q675" i="3"/>
  <c r="R675" i="3"/>
  <c r="G676" i="3"/>
  <c r="H676" i="3"/>
  <c r="I676" i="3"/>
  <c r="J676" i="3"/>
  <c r="K676" i="3"/>
  <c r="L676" i="3"/>
  <c r="N676" i="3"/>
  <c r="O676" i="3"/>
  <c r="P676" i="3"/>
  <c r="Q676" i="3"/>
  <c r="R676" i="3"/>
  <c r="G677" i="3"/>
  <c r="H677" i="3"/>
  <c r="I677" i="3"/>
  <c r="J677" i="3"/>
  <c r="K677" i="3"/>
  <c r="L677" i="3"/>
  <c r="N677" i="3"/>
  <c r="O677" i="3"/>
  <c r="P677" i="3"/>
  <c r="Q677" i="3"/>
  <c r="R677" i="3"/>
  <c r="G678" i="3"/>
  <c r="H678" i="3"/>
  <c r="I678" i="3"/>
  <c r="J678" i="3"/>
  <c r="K678" i="3"/>
  <c r="L678" i="3"/>
  <c r="N678" i="3"/>
  <c r="O678" i="3"/>
  <c r="P678" i="3"/>
  <c r="Q678" i="3"/>
  <c r="R678" i="3"/>
  <c r="G679" i="3"/>
  <c r="H679" i="3"/>
  <c r="I679" i="3"/>
  <c r="J679" i="3"/>
  <c r="K679" i="3"/>
  <c r="L679" i="3"/>
  <c r="N679" i="3"/>
  <c r="O679" i="3"/>
  <c r="P679" i="3"/>
  <c r="Q679" i="3"/>
  <c r="R679" i="3"/>
  <c r="G680" i="3"/>
  <c r="H680" i="3"/>
  <c r="I680" i="3"/>
  <c r="J680" i="3"/>
  <c r="K680" i="3"/>
  <c r="L680" i="3"/>
  <c r="N680" i="3"/>
  <c r="O680" i="3"/>
  <c r="P680" i="3"/>
  <c r="Q680" i="3"/>
  <c r="R680" i="3"/>
  <c r="G681" i="3"/>
  <c r="H681" i="3"/>
  <c r="I681" i="3"/>
  <c r="J681" i="3"/>
  <c r="K681" i="3"/>
  <c r="L681" i="3"/>
  <c r="N681" i="3"/>
  <c r="O681" i="3"/>
  <c r="P681" i="3"/>
  <c r="Q681" i="3"/>
  <c r="R681" i="3"/>
  <c r="G682" i="3"/>
  <c r="H682" i="3"/>
  <c r="I682" i="3"/>
  <c r="J682" i="3"/>
  <c r="K682" i="3"/>
  <c r="L682" i="3"/>
  <c r="N682" i="3"/>
  <c r="O682" i="3"/>
  <c r="P682" i="3"/>
  <c r="Q682" i="3"/>
  <c r="R682" i="3"/>
  <c r="G683" i="3"/>
  <c r="H683" i="3"/>
  <c r="I683" i="3"/>
  <c r="J683" i="3"/>
  <c r="K683" i="3"/>
  <c r="L683" i="3"/>
  <c r="N683" i="3"/>
  <c r="O683" i="3"/>
  <c r="P683" i="3"/>
  <c r="Q683" i="3"/>
  <c r="R683" i="3"/>
  <c r="G684" i="3"/>
  <c r="H684" i="3"/>
  <c r="I684" i="3"/>
  <c r="J684" i="3"/>
  <c r="K684" i="3"/>
  <c r="L684" i="3"/>
  <c r="N684" i="3"/>
  <c r="O684" i="3"/>
  <c r="P684" i="3"/>
  <c r="Q684" i="3"/>
  <c r="R684" i="3"/>
  <c r="G685" i="3"/>
  <c r="H685" i="3"/>
  <c r="I685" i="3"/>
  <c r="J685" i="3"/>
  <c r="K685" i="3"/>
  <c r="L685" i="3"/>
  <c r="N685" i="3"/>
  <c r="O685" i="3"/>
  <c r="P685" i="3"/>
  <c r="Q685" i="3"/>
  <c r="R685" i="3"/>
  <c r="G686" i="3"/>
  <c r="H686" i="3"/>
  <c r="I686" i="3"/>
  <c r="J686" i="3"/>
  <c r="K686" i="3"/>
  <c r="L686" i="3"/>
  <c r="N686" i="3"/>
  <c r="O686" i="3"/>
  <c r="P686" i="3"/>
  <c r="Q686" i="3"/>
  <c r="R686" i="3"/>
  <c r="G687" i="3"/>
  <c r="H687" i="3"/>
  <c r="I687" i="3"/>
  <c r="J687" i="3"/>
  <c r="K687" i="3"/>
  <c r="L687" i="3"/>
  <c r="N687" i="3"/>
  <c r="O687" i="3"/>
  <c r="P687" i="3"/>
  <c r="Q687" i="3"/>
  <c r="R687" i="3"/>
  <c r="G688" i="3"/>
  <c r="H688" i="3"/>
  <c r="I688" i="3"/>
  <c r="J688" i="3"/>
  <c r="K688" i="3"/>
  <c r="L688" i="3"/>
  <c r="N688" i="3"/>
  <c r="O688" i="3"/>
  <c r="P688" i="3"/>
  <c r="Q688" i="3"/>
  <c r="R688" i="3"/>
  <c r="G689" i="3"/>
  <c r="H689" i="3"/>
  <c r="I689" i="3"/>
  <c r="J689" i="3"/>
  <c r="K689" i="3"/>
  <c r="L689" i="3"/>
  <c r="N689" i="3"/>
  <c r="O689" i="3"/>
  <c r="P689" i="3"/>
  <c r="Q689" i="3"/>
  <c r="R689" i="3"/>
  <c r="G690" i="3"/>
  <c r="H690" i="3"/>
  <c r="I690" i="3"/>
  <c r="J690" i="3"/>
  <c r="K690" i="3"/>
  <c r="L690" i="3"/>
  <c r="N690" i="3"/>
  <c r="O690" i="3"/>
  <c r="P690" i="3"/>
  <c r="Q690" i="3"/>
  <c r="R690" i="3"/>
  <c r="G691" i="3"/>
  <c r="H691" i="3"/>
  <c r="I691" i="3"/>
  <c r="J691" i="3"/>
  <c r="K691" i="3"/>
  <c r="L691" i="3"/>
  <c r="N691" i="3"/>
  <c r="O691" i="3"/>
  <c r="P691" i="3"/>
  <c r="Q691" i="3"/>
  <c r="R691" i="3"/>
  <c r="G692" i="3"/>
  <c r="H692" i="3"/>
  <c r="I692" i="3"/>
  <c r="J692" i="3"/>
  <c r="K692" i="3"/>
  <c r="L692" i="3"/>
  <c r="N692" i="3"/>
  <c r="O692" i="3"/>
  <c r="P692" i="3"/>
  <c r="Q692" i="3"/>
  <c r="R692" i="3"/>
  <c r="G693" i="3"/>
  <c r="H693" i="3"/>
  <c r="I693" i="3"/>
  <c r="J693" i="3"/>
  <c r="K693" i="3"/>
  <c r="L693" i="3"/>
  <c r="N693" i="3"/>
  <c r="O693" i="3"/>
  <c r="P693" i="3"/>
  <c r="Q693" i="3"/>
  <c r="R693" i="3"/>
  <c r="G694" i="3"/>
  <c r="H694" i="3"/>
  <c r="I694" i="3"/>
  <c r="J694" i="3"/>
  <c r="K694" i="3"/>
  <c r="L694" i="3"/>
  <c r="N694" i="3"/>
  <c r="O694" i="3"/>
  <c r="P694" i="3"/>
  <c r="Q694" i="3"/>
  <c r="R694" i="3"/>
  <c r="G695" i="3"/>
  <c r="H695" i="3"/>
  <c r="I695" i="3"/>
  <c r="J695" i="3"/>
  <c r="K695" i="3"/>
  <c r="L695" i="3"/>
  <c r="N695" i="3"/>
  <c r="O695" i="3"/>
  <c r="P695" i="3"/>
  <c r="Q695" i="3"/>
  <c r="R695" i="3"/>
  <c r="G696" i="3"/>
  <c r="H696" i="3"/>
  <c r="I696" i="3"/>
  <c r="J696" i="3"/>
  <c r="K696" i="3"/>
  <c r="L696" i="3"/>
  <c r="N696" i="3"/>
  <c r="O696" i="3"/>
  <c r="P696" i="3"/>
  <c r="Q696" i="3"/>
  <c r="R696" i="3"/>
  <c r="G697" i="3"/>
  <c r="H697" i="3"/>
  <c r="I697" i="3"/>
  <c r="J697" i="3"/>
  <c r="K697" i="3"/>
  <c r="L697" i="3"/>
  <c r="N697" i="3"/>
  <c r="O697" i="3"/>
  <c r="P697" i="3"/>
  <c r="Q697" i="3"/>
  <c r="R697" i="3"/>
  <c r="G698" i="3"/>
  <c r="H698" i="3"/>
  <c r="I698" i="3"/>
  <c r="J698" i="3"/>
  <c r="K698" i="3"/>
  <c r="L698" i="3"/>
  <c r="N698" i="3"/>
  <c r="O698" i="3"/>
  <c r="P698" i="3"/>
  <c r="Q698" i="3"/>
  <c r="R698" i="3"/>
  <c r="G699" i="3"/>
  <c r="H699" i="3"/>
  <c r="I699" i="3"/>
  <c r="J699" i="3"/>
  <c r="K699" i="3"/>
  <c r="L699" i="3"/>
  <c r="N699" i="3"/>
  <c r="O699" i="3"/>
  <c r="P699" i="3"/>
  <c r="Q699" i="3"/>
  <c r="R699" i="3"/>
  <c r="G700" i="3"/>
  <c r="H700" i="3"/>
  <c r="I700" i="3"/>
  <c r="J700" i="3"/>
  <c r="K700" i="3"/>
  <c r="L700" i="3"/>
  <c r="N700" i="3"/>
  <c r="O700" i="3"/>
  <c r="P700" i="3"/>
  <c r="Q700" i="3"/>
  <c r="R700" i="3"/>
  <c r="G701" i="3"/>
  <c r="H701" i="3"/>
  <c r="I701" i="3"/>
  <c r="J701" i="3"/>
  <c r="K701" i="3"/>
  <c r="L701" i="3"/>
  <c r="N701" i="3"/>
  <c r="O701" i="3"/>
  <c r="P701" i="3"/>
  <c r="Q701" i="3"/>
  <c r="R701" i="3"/>
  <c r="G702" i="3"/>
  <c r="H702" i="3"/>
  <c r="I702" i="3"/>
  <c r="J702" i="3"/>
  <c r="K702" i="3"/>
  <c r="L702" i="3"/>
  <c r="N702" i="3"/>
  <c r="O702" i="3"/>
  <c r="P702" i="3"/>
  <c r="Q702" i="3"/>
  <c r="R702" i="3"/>
  <c r="G703" i="3"/>
  <c r="H703" i="3"/>
  <c r="I703" i="3"/>
  <c r="J703" i="3"/>
  <c r="K703" i="3"/>
  <c r="L703" i="3"/>
  <c r="N703" i="3"/>
  <c r="O703" i="3"/>
  <c r="P703" i="3"/>
  <c r="Q703" i="3"/>
  <c r="R703" i="3"/>
  <c r="G704" i="3"/>
  <c r="H704" i="3"/>
  <c r="I704" i="3"/>
  <c r="J704" i="3"/>
  <c r="K704" i="3"/>
  <c r="L704" i="3"/>
  <c r="N704" i="3"/>
  <c r="O704" i="3"/>
  <c r="P704" i="3"/>
  <c r="Q704" i="3"/>
  <c r="R704" i="3"/>
  <c r="G705" i="3"/>
  <c r="H705" i="3"/>
  <c r="I705" i="3"/>
  <c r="J705" i="3"/>
  <c r="K705" i="3"/>
  <c r="L705" i="3"/>
  <c r="N705" i="3"/>
  <c r="O705" i="3"/>
  <c r="P705" i="3"/>
  <c r="Q705" i="3"/>
  <c r="R705" i="3"/>
  <c r="G706" i="3"/>
  <c r="H706" i="3"/>
  <c r="I706" i="3"/>
  <c r="J706" i="3"/>
  <c r="K706" i="3"/>
  <c r="L706" i="3"/>
  <c r="N706" i="3"/>
  <c r="O706" i="3"/>
  <c r="P706" i="3"/>
  <c r="Q706" i="3"/>
  <c r="R706" i="3"/>
  <c r="G707" i="3"/>
  <c r="H707" i="3"/>
  <c r="I707" i="3"/>
  <c r="J707" i="3"/>
  <c r="K707" i="3"/>
  <c r="L707" i="3"/>
  <c r="N707" i="3"/>
  <c r="O707" i="3"/>
  <c r="P707" i="3"/>
  <c r="Q707" i="3"/>
  <c r="R707" i="3"/>
  <c r="G708" i="3"/>
  <c r="H708" i="3"/>
  <c r="I708" i="3"/>
  <c r="J708" i="3"/>
  <c r="K708" i="3"/>
  <c r="L708" i="3"/>
  <c r="N708" i="3"/>
  <c r="O708" i="3"/>
  <c r="P708" i="3"/>
  <c r="Q708" i="3"/>
  <c r="R708" i="3"/>
  <c r="G709" i="3"/>
  <c r="H709" i="3"/>
  <c r="I709" i="3"/>
  <c r="J709" i="3"/>
  <c r="K709" i="3"/>
  <c r="L709" i="3"/>
  <c r="N709" i="3"/>
  <c r="O709" i="3"/>
  <c r="P709" i="3"/>
  <c r="Q709" i="3"/>
  <c r="R709" i="3"/>
  <c r="G710" i="3"/>
  <c r="H710" i="3"/>
  <c r="I710" i="3"/>
  <c r="J710" i="3"/>
  <c r="K710" i="3"/>
  <c r="L710" i="3"/>
  <c r="N710" i="3"/>
  <c r="O710" i="3"/>
  <c r="P710" i="3"/>
  <c r="Q710" i="3"/>
  <c r="R710" i="3"/>
  <c r="G711" i="3"/>
  <c r="H711" i="3"/>
  <c r="I711" i="3"/>
  <c r="J711" i="3"/>
  <c r="K711" i="3"/>
  <c r="L711" i="3"/>
  <c r="N711" i="3"/>
  <c r="O711" i="3"/>
  <c r="P711" i="3"/>
  <c r="Q711" i="3"/>
  <c r="R711" i="3"/>
  <c r="G712" i="3"/>
  <c r="H712" i="3"/>
  <c r="I712" i="3"/>
  <c r="J712" i="3"/>
  <c r="K712" i="3"/>
  <c r="L712" i="3"/>
  <c r="N712" i="3"/>
  <c r="O712" i="3"/>
  <c r="P712" i="3"/>
  <c r="Q712" i="3"/>
  <c r="R712" i="3"/>
  <c r="G713" i="3"/>
  <c r="H713" i="3"/>
  <c r="I713" i="3"/>
  <c r="J713" i="3"/>
  <c r="K713" i="3"/>
  <c r="L713" i="3"/>
  <c r="N713" i="3"/>
  <c r="O713" i="3"/>
  <c r="P713" i="3"/>
  <c r="Q713" i="3"/>
  <c r="R713" i="3"/>
  <c r="G714" i="3"/>
  <c r="H714" i="3"/>
  <c r="I714" i="3"/>
  <c r="J714" i="3"/>
  <c r="K714" i="3"/>
  <c r="L714" i="3"/>
  <c r="N714" i="3"/>
  <c r="O714" i="3"/>
  <c r="P714" i="3"/>
  <c r="Q714" i="3"/>
  <c r="R714" i="3"/>
  <c r="G715" i="3"/>
  <c r="H715" i="3"/>
  <c r="I715" i="3"/>
  <c r="J715" i="3"/>
  <c r="K715" i="3"/>
  <c r="L715" i="3"/>
  <c r="N715" i="3"/>
  <c r="O715" i="3"/>
  <c r="P715" i="3"/>
  <c r="Q715" i="3"/>
  <c r="R715" i="3"/>
  <c r="G716" i="3"/>
  <c r="H716" i="3"/>
  <c r="I716" i="3"/>
  <c r="J716" i="3"/>
  <c r="K716" i="3"/>
  <c r="L716" i="3"/>
  <c r="N716" i="3"/>
  <c r="O716" i="3"/>
  <c r="P716" i="3"/>
  <c r="Q716" i="3"/>
  <c r="R716" i="3"/>
  <c r="G717" i="3"/>
  <c r="H717" i="3"/>
  <c r="I717" i="3"/>
  <c r="J717" i="3"/>
  <c r="K717" i="3"/>
  <c r="L717" i="3"/>
  <c r="N717" i="3"/>
  <c r="O717" i="3"/>
  <c r="P717" i="3"/>
  <c r="Q717" i="3"/>
  <c r="R717" i="3"/>
  <c r="G718" i="3"/>
  <c r="H718" i="3"/>
  <c r="I718" i="3"/>
  <c r="J718" i="3"/>
  <c r="K718" i="3"/>
  <c r="L718" i="3"/>
  <c r="N718" i="3"/>
  <c r="O718" i="3"/>
  <c r="P718" i="3"/>
  <c r="Q718" i="3"/>
  <c r="R718" i="3"/>
  <c r="G719" i="3"/>
  <c r="H719" i="3"/>
  <c r="I719" i="3"/>
  <c r="J719" i="3"/>
  <c r="K719" i="3"/>
  <c r="L719" i="3"/>
  <c r="N719" i="3"/>
  <c r="O719" i="3"/>
  <c r="P719" i="3"/>
  <c r="Q719" i="3"/>
  <c r="R719" i="3"/>
  <c r="G720" i="3"/>
  <c r="H720" i="3"/>
  <c r="I720" i="3"/>
  <c r="J720" i="3"/>
  <c r="K720" i="3"/>
  <c r="L720" i="3"/>
  <c r="N720" i="3"/>
  <c r="O720" i="3"/>
  <c r="P720" i="3"/>
  <c r="Q720" i="3"/>
  <c r="R720" i="3"/>
  <c r="G721" i="3"/>
  <c r="H721" i="3"/>
  <c r="I721" i="3"/>
  <c r="J721" i="3"/>
  <c r="K721" i="3"/>
  <c r="L721" i="3"/>
  <c r="N721" i="3"/>
  <c r="O721" i="3"/>
  <c r="P721" i="3"/>
  <c r="Q721" i="3"/>
  <c r="R721" i="3"/>
  <c r="G722" i="3"/>
  <c r="H722" i="3"/>
  <c r="I722" i="3"/>
  <c r="J722" i="3"/>
  <c r="K722" i="3"/>
  <c r="L722" i="3"/>
  <c r="N722" i="3"/>
  <c r="O722" i="3"/>
  <c r="P722" i="3"/>
  <c r="Q722" i="3"/>
  <c r="R722" i="3"/>
  <c r="G723" i="3"/>
  <c r="H723" i="3"/>
  <c r="I723" i="3"/>
  <c r="J723" i="3"/>
  <c r="K723" i="3"/>
  <c r="L723" i="3"/>
  <c r="N723" i="3"/>
  <c r="O723" i="3"/>
  <c r="P723" i="3"/>
  <c r="Q723" i="3"/>
  <c r="R723" i="3"/>
  <c r="G724" i="3"/>
  <c r="H724" i="3"/>
  <c r="I724" i="3"/>
  <c r="J724" i="3"/>
  <c r="K724" i="3"/>
  <c r="L724" i="3"/>
  <c r="N724" i="3"/>
  <c r="O724" i="3"/>
  <c r="P724" i="3"/>
  <c r="Q724" i="3"/>
  <c r="R724" i="3"/>
  <c r="G725" i="3"/>
  <c r="H725" i="3"/>
  <c r="I725" i="3"/>
  <c r="J725" i="3"/>
  <c r="K725" i="3"/>
  <c r="L725" i="3"/>
  <c r="N725" i="3"/>
  <c r="O725" i="3"/>
  <c r="P725" i="3"/>
  <c r="Q725" i="3"/>
  <c r="R725" i="3"/>
  <c r="G726" i="3"/>
  <c r="H726" i="3"/>
  <c r="I726" i="3"/>
  <c r="J726" i="3"/>
  <c r="K726" i="3"/>
  <c r="L726" i="3"/>
  <c r="N726" i="3"/>
  <c r="O726" i="3"/>
  <c r="P726" i="3"/>
  <c r="Q726" i="3"/>
  <c r="R726" i="3"/>
  <c r="G727" i="3"/>
  <c r="H727" i="3"/>
  <c r="I727" i="3"/>
  <c r="J727" i="3"/>
  <c r="K727" i="3"/>
  <c r="L727" i="3"/>
  <c r="N727" i="3"/>
  <c r="O727" i="3"/>
  <c r="P727" i="3"/>
  <c r="Q727" i="3"/>
  <c r="R727" i="3"/>
  <c r="G728" i="3"/>
  <c r="H728" i="3"/>
  <c r="I728" i="3"/>
  <c r="J728" i="3"/>
  <c r="K728" i="3"/>
  <c r="L728" i="3"/>
  <c r="N728" i="3"/>
  <c r="O728" i="3"/>
  <c r="P728" i="3"/>
  <c r="Q728" i="3"/>
  <c r="R728" i="3"/>
  <c r="G729" i="3"/>
  <c r="H729" i="3"/>
  <c r="I729" i="3"/>
  <c r="J729" i="3"/>
  <c r="K729" i="3"/>
  <c r="L729" i="3"/>
  <c r="N729" i="3"/>
  <c r="O729" i="3"/>
  <c r="P729" i="3"/>
  <c r="Q729" i="3"/>
  <c r="R729" i="3"/>
  <c r="G730" i="3"/>
  <c r="H730" i="3"/>
  <c r="I730" i="3"/>
  <c r="J730" i="3"/>
  <c r="K730" i="3"/>
  <c r="L730" i="3"/>
  <c r="N730" i="3"/>
  <c r="O730" i="3"/>
  <c r="P730" i="3"/>
  <c r="Q730" i="3"/>
  <c r="R730" i="3"/>
  <c r="G731" i="3"/>
  <c r="H731" i="3"/>
  <c r="I731" i="3"/>
  <c r="J731" i="3"/>
  <c r="K731" i="3"/>
  <c r="L731" i="3"/>
  <c r="N731" i="3"/>
  <c r="O731" i="3"/>
  <c r="P731" i="3"/>
  <c r="Q731" i="3"/>
  <c r="R731" i="3"/>
  <c r="G732" i="3"/>
  <c r="H732" i="3"/>
  <c r="I732" i="3"/>
  <c r="J732" i="3"/>
  <c r="K732" i="3"/>
  <c r="L732" i="3"/>
  <c r="N732" i="3"/>
  <c r="O732" i="3"/>
  <c r="P732" i="3"/>
  <c r="Q732" i="3"/>
  <c r="R732" i="3"/>
  <c r="G733" i="3"/>
  <c r="H733" i="3"/>
  <c r="I733" i="3"/>
  <c r="J733" i="3"/>
  <c r="K733" i="3"/>
  <c r="L733" i="3"/>
  <c r="N733" i="3"/>
  <c r="O733" i="3"/>
  <c r="P733" i="3"/>
  <c r="Q733" i="3"/>
  <c r="R733" i="3"/>
  <c r="G734" i="3"/>
  <c r="H734" i="3"/>
  <c r="I734" i="3"/>
  <c r="J734" i="3"/>
  <c r="K734" i="3"/>
  <c r="L734" i="3"/>
  <c r="N734" i="3"/>
  <c r="O734" i="3"/>
  <c r="P734" i="3"/>
  <c r="Q734" i="3"/>
  <c r="R734" i="3"/>
  <c r="G735" i="3"/>
  <c r="H735" i="3"/>
  <c r="I735" i="3"/>
  <c r="J735" i="3"/>
  <c r="K735" i="3"/>
  <c r="L735" i="3"/>
  <c r="N735" i="3"/>
  <c r="O735" i="3"/>
  <c r="P735" i="3"/>
  <c r="Q735" i="3"/>
  <c r="R735" i="3"/>
  <c r="G736" i="3"/>
  <c r="H736" i="3"/>
  <c r="I736" i="3"/>
  <c r="J736" i="3"/>
  <c r="K736" i="3"/>
  <c r="L736" i="3"/>
  <c r="N736" i="3"/>
  <c r="O736" i="3"/>
  <c r="P736" i="3"/>
  <c r="Q736" i="3"/>
  <c r="R736" i="3"/>
  <c r="G737" i="3"/>
  <c r="H737" i="3"/>
  <c r="I737" i="3"/>
  <c r="J737" i="3"/>
  <c r="K737" i="3"/>
  <c r="L737" i="3"/>
  <c r="N737" i="3"/>
  <c r="O737" i="3"/>
  <c r="P737" i="3"/>
  <c r="Q737" i="3"/>
  <c r="R737" i="3"/>
  <c r="G738" i="3"/>
  <c r="H738" i="3"/>
  <c r="I738" i="3"/>
  <c r="J738" i="3"/>
  <c r="K738" i="3"/>
  <c r="L738" i="3"/>
  <c r="N738" i="3"/>
  <c r="O738" i="3"/>
  <c r="P738" i="3"/>
  <c r="Q738" i="3"/>
  <c r="R738" i="3"/>
  <c r="G739" i="3"/>
  <c r="H739" i="3"/>
  <c r="I739" i="3"/>
  <c r="J739" i="3"/>
  <c r="K739" i="3"/>
  <c r="L739" i="3"/>
  <c r="N739" i="3"/>
  <c r="O739" i="3"/>
  <c r="P739" i="3"/>
  <c r="Q739" i="3"/>
  <c r="R739" i="3"/>
  <c r="G740" i="3"/>
  <c r="H740" i="3"/>
  <c r="I740" i="3"/>
  <c r="J740" i="3"/>
  <c r="K740" i="3"/>
  <c r="L740" i="3"/>
  <c r="N740" i="3"/>
  <c r="O740" i="3"/>
  <c r="P740" i="3"/>
  <c r="Q740" i="3"/>
  <c r="R740" i="3"/>
  <c r="G741" i="3"/>
  <c r="H741" i="3"/>
  <c r="I741" i="3"/>
  <c r="J741" i="3"/>
  <c r="K741" i="3"/>
  <c r="L741" i="3"/>
  <c r="N741" i="3"/>
  <c r="O741" i="3"/>
  <c r="P741" i="3"/>
  <c r="Q741" i="3"/>
  <c r="R741" i="3"/>
  <c r="G742" i="3"/>
  <c r="H742" i="3"/>
  <c r="I742" i="3"/>
  <c r="J742" i="3"/>
  <c r="K742" i="3"/>
  <c r="L742" i="3"/>
  <c r="N742" i="3"/>
  <c r="O742" i="3"/>
  <c r="P742" i="3"/>
  <c r="Q742" i="3"/>
  <c r="R742" i="3"/>
  <c r="G743" i="3"/>
  <c r="H743" i="3"/>
  <c r="I743" i="3"/>
  <c r="J743" i="3"/>
  <c r="K743" i="3"/>
  <c r="L743" i="3"/>
  <c r="N743" i="3"/>
  <c r="O743" i="3"/>
  <c r="P743" i="3"/>
  <c r="Q743" i="3"/>
  <c r="R743" i="3"/>
  <c r="G744" i="3"/>
  <c r="H744" i="3"/>
  <c r="I744" i="3"/>
  <c r="J744" i="3"/>
  <c r="K744" i="3"/>
  <c r="L744" i="3"/>
  <c r="N744" i="3"/>
  <c r="O744" i="3"/>
  <c r="P744" i="3"/>
  <c r="Q744" i="3"/>
  <c r="R744" i="3"/>
  <c r="G745" i="3"/>
  <c r="H745" i="3"/>
  <c r="I745" i="3"/>
  <c r="J745" i="3"/>
  <c r="K745" i="3"/>
  <c r="L745" i="3"/>
  <c r="N745" i="3"/>
  <c r="O745" i="3"/>
  <c r="P745" i="3"/>
  <c r="Q745" i="3"/>
  <c r="R745" i="3"/>
  <c r="G746" i="3"/>
  <c r="H746" i="3"/>
  <c r="I746" i="3"/>
  <c r="J746" i="3"/>
  <c r="K746" i="3"/>
  <c r="L746" i="3"/>
  <c r="N746" i="3"/>
  <c r="O746" i="3"/>
  <c r="P746" i="3"/>
  <c r="Q746" i="3"/>
  <c r="R746" i="3"/>
  <c r="G747" i="3"/>
  <c r="H747" i="3"/>
  <c r="I747" i="3"/>
  <c r="J747" i="3"/>
  <c r="K747" i="3"/>
  <c r="L747" i="3"/>
  <c r="N747" i="3"/>
  <c r="O747" i="3"/>
  <c r="P747" i="3"/>
  <c r="Q747" i="3"/>
  <c r="R747" i="3"/>
  <c r="G748" i="3"/>
  <c r="H748" i="3"/>
  <c r="I748" i="3"/>
  <c r="J748" i="3"/>
  <c r="K748" i="3"/>
  <c r="L748" i="3"/>
  <c r="N748" i="3"/>
  <c r="O748" i="3"/>
  <c r="P748" i="3"/>
  <c r="Q748" i="3"/>
  <c r="R748" i="3"/>
  <c r="G749" i="3"/>
  <c r="H749" i="3"/>
  <c r="I749" i="3"/>
  <c r="J749" i="3"/>
  <c r="K749" i="3"/>
  <c r="L749" i="3"/>
  <c r="N749" i="3"/>
  <c r="O749" i="3"/>
  <c r="P749" i="3"/>
  <c r="Q749" i="3"/>
  <c r="R749" i="3"/>
  <c r="G750" i="3"/>
  <c r="H750" i="3"/>
  <c r="I750" i="3"/>
  <c r="J750" i="3"/>
  <c r="K750" i="3"/>
  <c r="L750" i="3"/>
  <c r="N750" i="3"/>
  <c r="O750" i="3"/>
  <c r="P750" i="3"/>
  <c r="Q750" i="3"/>
  <c r="R750" i="3"/>
  <c r="G751" i="3"/>
  <c r="H751" i="3"/>
  <c r="I751" i="3"/>
  <c r="J751" i="3"/>
  <c r="K751" i="3"/>
  <c r="L751" i="3"/>
  <c r="N751" i="3"/>
  <c r="O751" i="3"/>
  <c r="P751" i="3"/>
  <c r="Q751" i="3"/>
  <c r="R751" i="3"/>
  <c r="G752" i="3"/>
  <c r="H752" i="3"/>
  <c r="I752" i="3"/>
  <c r="J752" i="3"/>
  <c r="K752" i="3"/>
  <c r="L752" i="3"/>
  <c r="N752" i="3"/>
  <c r="O752" i="3"/>
  <c r="P752" i="3"/>
  <c r="Q752" i="3"/>
  <c r="R752" i="3"/>
  <c r="G753" i="3"/>
  <c r="H753" i="3"/>
  <c r="I753" i="3"/>
  <c r="J753" i="3"/>
  <c r="K753" i="3"/>
  <c r="L753" i="3"/>
  <c r="N753" i="3"/>
  <c r="O753" i="3"/>
  <c r="P753" i="3"/>
  <c r="Q753" i="3"/>
  <c r="R753" i="3"/>
  <c r="G754" i="3"/>
  <c r="H754" i="3"/>
  <c r="I754" i="3"/>
  <c r="J754" i="3"/>
  <c r="K754" i="3"/>
  <c r="L754" i="3"/>
  <c r="N754" i="3"/>
  <c r="O754" i="3"/>
  <c r="P754" i="3"/>
  <c r="Q754" i="3"/>
  <c r="R754" i="3"/>
  <c r="G755" i="3"/>
  <c r="H755" i="3"/>
  <c r="I755" i="3"/>
  <c r="J755" i="3"/>
  <c r="K755" i="3"/>
  <c r="L755" i="3"/>
  <c r="N755" i="3"/>
  <c r="O755" i="3"/>
  <c r="P755" i="3"/>
  <c r="Q755" i="3"/>
  <c r="R755" i="3"/>
  <c r="G756" i="3"/>
  <c r="H756" i="3"/>
  <c r="I756" i="3"/>
  <c r="J756" i="3"/>
  <c r="K756" i="3"/>
  <c r="L756" i="3"/>
  <c r="N756" i="3"/>
  <c r="O756" i="3"/>
  <c r="P756" i="3"/>
  <c r="Q756" i="3"/>
  <c r="R756" i="3"/>
  <c r="G757" i="3"/>
  <c r="H757" i="3"/>
  <c r="I757" i="3"/>
  <c r="J757" i="3"/>
  <c r="K757" i="3"/>
  <c r="L757" i="3"/>
  <c r="N757" i="3"/>
  <c r="O757" i="3"/>
  <c r="P757" i="3"/>
  <c r="Q757" i="3"/>
  <c r="R757" i="3"/>
  <c r="G758" i="3"/>
  <c r="H758" i="3"/>
  <c r="I758" i="3"/>
  <c r="J758" i="3"/>
  <c r="K758" i="3"/>
  <c r="L758" i="3"/>
  <c r="N758" i="3"/>
  <c r="O758" i="3"/>
  <c r="P758" i="3"/>
  <c r="Q758" i="3"/>
  <c r="R758" i="3"/>
  <c r="G759" i="3"/>
  <c r="H759" i="3"/>
  <c r="I759" i="3"/>
  <c r="J759" i="3"/>
  <c r="K759" i="3"/>
  <c r="L759" i="3"/>
  <c r="N759" i="3"/>
  <c r="O759" i="3"/>
  <c r="P759" i="3"/>
  <c r="Q759" i="3"/>
  <c r="R759" i="3"/>
  <c r="G760" i="3"/>
  <c r="H760" i="3"/>
  <c r="I760" i="3"/>
  <c r="J760" i="3"/>
  <c r="K760" i="3"/>
  <c r="L760" i="3"/>
  <c r="N760" i="3"/>
  <c r="O760" i="3"/>
  <c r="P760" i="3"/>
  <c r="Q760" i="3"/>
  <c r="R760" i="3"/>
  <c r="G761" i="3"/>
  <c r="H761" i="3"/>
  <c r="I761" i="3"/>
  <c r="J761" i="3"/>
  <c r="K761" i="3"/>
  <c r="L761" i="3"/>
  <c r="N761" i="3"/>
  <c r="O761" i="3"/>
  <c r="P761" i="3"/>
  <c r="Q761" i="3"/>
  <c r="R761" i="3"/>
  <c r="G762" i="3"/>
  <c r="H762" i="3"/>
  <c r="I762" i="3"/>
  <c r="J762" i="3"/>
  <c r="K762" i="3"/>
  <c r="L762" i="3"/>
  <c r="N762" i="3"/>
  <c r="O762" i="3"/>
  <c r="P762" i="3"/>
  <c r="Q762" i="3"/>
  <c r="R762" i="3"/>
  <c r="G763" i="3"/>
  <c r="H763" i="3"/>
  <c r="I763" i="3"/>
  <c r="J763" i="3"/>
  <c r="K763" i="3"/>
  <c r="L763" i="3"/>
  <c r="N763" i="3"/>
  <c r="O763" i="3"/>
  <c r="P763" i="3"/>
  <c r="Q763" i="3"/>
  <c r="R763" i="3"/>
  <c r="G764" i="3"/>
  <c r="H764" i="3"/>
  <c r="I764" i="3"/>
  <c r="J764" i="3"/>
  <c r="K764" i="3"/>
  <c r="L764" i="3"/>
  <c r="N764" i="3"/>
  <c r="O764" i="3"/>
  <c r="P764" i="3"/>
  <c r="Q764" i="3"/>
  <c r="R764" i="3"/>
  <c r="G765" i="3"/>
  <c r="H765" i="3"/>
  <c r="I765" i="3"/>
  <c r="J765" i="3"/>
  <c r="K765" i="3"/>
  <c r="L765" i="3"/>
  <c r="N765" i="3"/>
  <c r="O765" i="3"/>
  <c r="P765" i="3"/>
  <c r="Q765" i="3"/>
  <c r="R765" i="3"/>
  <c r="G766" i="3"/>
  <c r="H766" i="3"/>
  <c r="I766" i="3"/>
  <c r="J766" i="3"/>
  <c r="K766" i="3"/>
  <c r="L766" i="3"/>
  <c r="N766" i="3"/>
  <c r="O766" i="3"/>
  <c r="P766" i="3"/>
  <c r="Q766" i="3"/>
  <c r="R766" i="3"/>
  <c r="G767" i="3"/>
  <c r="H767" i="3"/>
  <c r="I767" i="3"/>
  <c r="J767" i="3"/>
  <c r="K767" i="3"/>
  <c r="L767" i="3"/>
  <c r="N767" i="3"/>
  <c r="O767" i="3"/>
  <c r="P767" i="3"/>
  <c r="Q767" i="3"/>
  <c r="R767" i="3"/>
  <c r="G768" i="3"/>
  <c r="H768" i="3"/>
  <c r="I768" i="3"/>
  <c r="J768" i="3"/>
  <c r="K768" i="3"/>
  <c r="L768" i="3"/>
  <c r="N768" i="3"/>
  <c r="O768" i="3"/>
  <c r="P768" i="3"/>
  <c r="Q768" i="3"/>
  <c r="R768" i="3"/>
  <c r="G769" i="3"/>
  <c r="H769" i="3"/>
  <c r="I769" i="3"/>
  <c r="J769" i="3"/>
  <c r="K769" i="3"/>
  <c r="L769" i="3"/>
  <c r="N769" i="3"/>
  <c r="O769" i="3"/>
  <c r="P769" i="3"/>
  <c r="Q769" i="3"/>
  <c r="R769" i="3"/>
  <c r="G770" i="3"/>
  <c r="H770" i="3"/>
  <c r="I770" i="3"/>
  <c r="J770" i="3"/>
  <c r="K770" i="3"/>
  <c r="L770" i="3"/>
  <c r="N770" i="3"/>
  <c r="O770" i="3"/>
  <c r="P770" i="3"/>
  <c r="Q770" i="3"/>
  <c r="R770" i="3"/>
  <c r="G771" i="3"/>
  <c r="H771" i="3"/>
  <c r="I771" i="3"/>
  <c r="J771" i="3"/>
  <c r="K771" i="3"/>
  <c r="L771" i="3"/>
  <c r="N771" i="3"/>
  <c r="O771" i="3"/>
  <c r="P771" i="3"/>
  <c r="Q771" i="3"/>
  <c r="R771" i="3"/>
  <c r="G772" i="3"/>
  <c r="H772" i="3"/>
  <c r="I772" i="3"/>
  <c r="J772" i="3"/>
  <c r="K772" i="3"/>
  <c r="L772" i="3"/>
  <c r="N772" i="3"/>
  <c r="O772" i="3"/>
  <c r="P772" i="3"/>
  <c r="Q772" i="3"/>
  <c r="R772" i="3"/>
  <c r="G773" i="3"/>
  <c r="H773" i="3"/>
  <c r="I773" i="3"/>
  <c r="J773" i="3"/>
  <c r="K773" i="3"/>
  <c r="L773" i="3"/>
  <c r="N773" i="3"/>
  <c r="O773" i="3"/>
  <c r="P773" i="3"/>
  <c r="Q773" i="3"/>
  <c r="R773" i="3"/>
  <c r="G774" i="3"/>
  <c r="H774" i="3"/>
  <c r="I774" i="3"/>
  <c r="J774" i="3"/>
  <c r="K774" i="3"/>
  <c r="L774" i="3"/>
  <c r="N774" i="3"/>
  <c r="O774" i="3"/>
  <c r="P774" i="3"/>
  <c r="Q774" i="3"/>
  <c r="R774" i="3"/>
  <c r="G775" i="3"/>
  <c r="H775" i="3"/>
  <c r="I775" i="3"/>
  <c r="J775" i="3"/>
  <c r="K775" i="3"/>
  <c r="L775" i="3"/>
  <c r="N775" i="3"/>
  <c r="O775" i="3"/>
  <c r="P775" i="3"/>
  <c r="Q775" i="3"/>
  <c r="R775" i="3"/>
  <c r="G776" i="3"/>
  <c r="H776" i="3"/>
  <c r="I776" i="3"/>
  <c r="J776" i="3"/>
  <c r="K776" i="3"/>
  <c r="L776" i="3"/>
  <c r="N776" i="3"/>
  <c r="O776" i="3"/>
  <c r="P776" i="3"/>
  <c r="Q776" i="3"/>
  <c r="R776" i="3"/>
  <c r="G777" i="3"/>
  <c r="H777" i="3"/>
  <c r="I777" i="3"/>
  <c r="J777" i="3"/>
  <c r="K777" i="3"/>
  <c r="L777" i="3"/>
  <c r="N777" i="3"/>
  <c r="O777" i="3"/>
  <c r="P777" i="3"/>
  <c r="Q777" i="3"/>
  <c r="R777" i="3"/>
  <c r="G778" i="3"/>
  <c r="H778" i="3"/>
  <c r="I778" i="3"/>
  <c r="J778" i="3"/>
  <c r="K778" i="3"/>
  <c r="L778" i="3"/>
  <c r="N778" i="3"/>
  <c r="O778" i="3"/>
  <c r="P778" i="3"/>
  <c r="Q778" i="3"/>
  <c r="R778" i="3"/>
  <c r="G779" i="3"/>
  <c r="H779" i="3"/>
  <c r="I779" i="3"/>
  <c r="J779" i="3"/>
  <c r="K779" i="3"/>
  <c r="L779" i="3"/>
  <c r="N779" i="3"/>
  <c r="O779" i="3"/>
  <c r="P779" i="3"/>
  <c r="Q779" i="3"/>
  <c r="R779" i="3"/>
  <c r="G780" i="3"/>
  <c r="H780" i="3"/>
  <c r="I780" i="3"/>
  <c r="J780" i="3"/>
  <c r="K780" i="3"/>
  <c r="L780" i="3"/>
  <c r="N780" i="3"/>
  <c r="O780" i="3"/>
  <c r="P780" i="3"/>
  <c r="Q780" i="3"/>
  <c r="R780" i="3"/>
  <c r="G781" i="3"/>
  <c r="H781" i="3"/>
  <c r="I781" i="3"/>
  <c r="J781" i="3"/>
  <c r="K781" i="3"/>
  <c r="L781" i="3"/>
  <c r="N781" i="3"/>
  <c r="O781" i="3"/>
  <c r="P781" i="3"/>
  <c r="Q781" i="3"/>
  <c r="R781" i="3"/>
  <c r="G782" i="3"/>
  <c r="H782" i="3"/>
  <c r="I782" i="3"/>
  <c r="J782" i="3"/>
  <c r="K782" i="3"/>
  <c r="L782" i="3"/>
  <c r="N782" i="3"/>
  <c r="O782" i="3"/>
  <c r="P782" i="3"/>
  <c r="Q782" i="3"/>
  <c r="R782" i="3"/>
  <c r="G783" i="3"/>
  <c r="H783" i="3"/>
  <c r="I783" i="3"/>
  <c r="J783" i="3"/>
  <c r="K783" i="3"/>
  <c r="L783" i="3"/>
  <c r="N783" i="3"/>
  <c r="O783" i="3"/>
  <c r="P783" i="3"/>
  <c r="Q783" i="3"/>
  <c r="R783" i="3"/>
  <c r="G784" i="3"/>
  <c r="H784" i="3"/>
  <c r="I784" i="3"/>
  <c r="J784" i="3"/>
  <c r="K784" i="3"/>
  <c r="L784" i="3"/>
  <c r="N784" i="3"/>
  <c r="O784" i="3"/>
  <c r="P784" i="3"/>
  <c r="Q784" i="3"/>
  <c r="R784" i="3"/>
  <c r="G785" i="3"/>
  <c r="H785" i="3"/>
  <c r="I785" i="3"/>
  <c r="J785" i="3"/>
  <c r="K785" i="3"/>
  <c r="L785" i="3"/>
  <c r="N785" i="3"/>
  <c r="O785" i="3"/>
  <c r="P785" i="3"/>
  <c r="Q785" i="3"/>
  <c r="R785" i="3"/>
  <c r="G786" i="3"/>
  <c r="H786" i="3"/>
  <c r="I786" i="3"/>
  <c r="J786" i="3"/>
  <c r="K786" i="3"/>
  <c r="L786" i="3"/>
  <c r="N786" i="3"/>
  <c r="O786" i="3"/>
  <c r="P786" i="3"/>
  <c r="Q786" i="3"/>
  <c r="R786" i="3"/>
  <c r="G787" i="3"/>
  <c r="H787" i="3"/>
  <c r="I787" i="3"/>
  <c r="J787" i="3"/>
  <c r="K787" i="3"/>
  <c r="L787" i="3"/>
  <c r="N787" i="3"/>
  <c r="O787" i="3"/>
  <c r="P787" i="3"/>
  <c r="Q787" i="3"/>
  <c r="R787" i="3"/>
  <c r="G788" i="3"/>
  <c r="H788" i="3"/>
  <c r="I788" i="3"/>
  <c r="J788" i="3"/>
  <c r="K788" i="3"/>
  <c r="L788" i="3"/>
  <c r="N788" i="3"/>
  <c r="O788" i="3"/>
  <c r="P788" i="3"/>
  <c r="Q788" i="3"/>
  <c r="R788" i="3"/>
  <c r="G789" i="3"/>
  <c r="H789" i="3"/>
  <c r="I789" i="3"/>
  <c r="J789" i="3"/>
  <c r="K789" i="3"/>
  <c r="L789" i="3"/>
  <c r="N789" i="3"/>
  <c r="O789" i="3"/>
  <c r="P789" i="3"/>
  <c r="Q789" i="3"/>
  <c r="R789" i="3"/>
  <c r="G790" i="3"/>
  <c r="H790" i="3"/>
  <c r="I790" i="3"/>
  <c r="J790" i="3"/>
  <c r="K790" i="3"/>
  <c r="L790" i="3"/>
  <c r="N790" i="3"/>
  <c r="O790" i="3"/>
  <c r="P790" i="3"/>
  <c r="Q790" i="3"/>
  <c r="R790" i="3"/>
  <c r="G791" i="3"/>
  <c r="H791" i="3"/>
  <c r="I791" i="3"/>
  <c r="J791" i="3"/>
  <c r="K791" i="3"/>
  <c r="L791" i="3"/>
  <c r="N791" i="3"/>
  <c r="O791" i="3"/>
  <c r="P791" i="3"/>
  <c r="Q791" i="3"/>
  <c r="R791" i="3"/>
  <c r="G792" i="3"/>
  <c r="H792" i="3"/>
  <c r="I792" i="3"/>
  <c r="J792" i="3"/>
  <c r="K792" i="3"/>
  <c r="L792" i="3"/>
  <c r="N792" i="3"/>
  <c r="O792" i="3"/>
  <c r="P792" i="3"/>
  <c r="Q792" i="3"/>
  <c r="R792" i="3"/>
  <c r="G793" i="3"/>
  <c r="H793" i="3"/>
  <c r="I793" i="3"/>
  <c r="J793" i="3"/>
  <c r="K793" i="3"/>
  <c r="L793" i="3"/>
  <c r="N793" i="3"/>
  <c r="O793" i="3"/>
  <c r="P793" i="3"/>
  <c r="Q793" i="3"/>
  <c r="R793" i="3"/>
  <c r="G794" i="3"/>
  <c r="H794" i="3"/>
  <c r="I794" i="3"/>
  <c r="J794" i="3"/>
  <c r="K794" i="3"/>
  <c r="L794" i="3"/>
  <c r="N794" i="3"/>
  <c r="O794" i="3"/>
  <c r="P794" i="3"/>
  <c r="Q794" i="3"/>
  <c r="R794" i="3"/>
  <c r="G795" i="3"/>
  <c r="H795" i="3"/>
  <c r="I795" i="3"/>
  <c r="J795" i="3"/>
  <c r="K795" i="3"/>
  <c r="L795" i="3"/>
  <c r="N795" i="3"/>
  <c r="O795" i="3"/>
  <c r="P795" i="3"/>
  <c r="Q795" i="3"/>
  <c r="R795" i="3"/>
  <c r="G796" i="3"/>
  <c r="H796" i="3"/>
  <c r="I796" i="3"/>
  <c r="J796" i="3"/>
  <c r="K796" i="3"/>
  <c r="L796" i="3"/>
  <c r="N796" i="3"/>
  <c r="O796" i="3"/>
  <c r="P796" i="3"/>
  <c r="Q796" i="3"/>
  <c r="R796" i="3"/>
  <c r="G797" i="3"/>
  <c r="H797" i="3"/>
  <c r="I797" i="3"/>
  <c r="J797" i="3"/>
  <c r="K797" i="3"/>
  <c r="L797" i="3"/>
  <c r="N797" i="3"/>
  <c r="O797" i="3"/>
  <c r="P797" i="3"/>
  <c r="Q797" i="3"/>
  <c r="R797" i="3"/>
  <c r="G798" i="3"/>
  <c r="H798" i="3"/>
  <c r="I798" i="3"/>
  <c r="J798" i="3"/>
  <c r="K798" i="3"/>
  <c r="L798" i="3"/>
  <c r="N798" i="3"/>
  <c r="O798" i="3"/>
  <c r="P798" i="3"/>
  <c r="Q798" i="3"/>
  <c r="R798" i="3"/>
  <c r="G799" i="3"/>
  <c r="H799" i="3"/>
  <c r="I799" i="3"/>
  <c r="J799" i="3"/>
  <c r="K799" i="3"/>
  <c r="L799" i="3"/>
  <c r="N799" i="3"/>
  <c r="O799" i="3"/>
  <c r="P799" i="3"/>
  <c r="Q799" i="3"/>
  <c r="R799" i="3"/>
  <c r="G800" i="3"/>
  <c r="H800" i="3"/>
  <c r="I800" i="3"/>
  <c r="J800" i="3"/>
  <c r="K800" i="3"/>
  <c r="L800" i="3"/>
  <c r="N800" i="3"/>
  <c r="O800" i="3"/>
  <c r="P800" i="3"/>
  <c r="Q800" i="3"/>
  <c r="R800" i="3"/>
  <c r="G801" i="3"/>
  <c r="H801" i="3"/>
  <c r="I801" i="3"/>
  <c r="J801" i="3"/>
  <c r="K801" i="3"/>
  <c r="L801" i="3"/>
  <c r="N801" i="3"/>
  <c r="O801" i="3"/>
  <c r="P801" i="3"/>
  <c r="Q801" i="3"/>
  <c r="R801" i="3"/>
  <c r="G802" i="3"/>
  <c r="H802" i="3"/>
  <c r="I802" i="3"/>
  <c r="J802" i="3"/>
  <c r="K802" i="3"/>
  <c r="L802" i="3"/>
  <c r="N802" i="3"/>
  <c r="O802" i="3"/>
  <c r="P802" i="3"/>
  <c r="Q802" i="3"/>
  <c r="R802" i="3"/>
  <c r="G803" i="3"/>
  <c r="H803" i="3"/>
  <c r="I803" i="3"/>
  <c r="J803" i="3"/>
  <c r="K803" i="3"/>
  <c r="L803" i="3"/>
  <c r="N803" i="3"/>
  <c r="O803" i="3"/>
  <c r="P803" i="3"/>
  <c r="Q803" i="3"/>
  <c r="R803" i="3"/>
  <c r="G804" i="3"/>
  <c r="H804" i="3"/>
  <c r="I804" i="3"/>
  <c r="J804" i="3"/>
  <c r="K804" i="3"/>
  <c r="L804" i="3"/>
  <c r="N804" i="3"/>
  <c r="O804" i="3"/>
  <c r="P804" i="3"/>
  <c r="Q804" i="3"/>
  <c r="R804" i="3"/>
  <c r="G805" i="3"/>
  <c r="H805" i="3"/>
  <c r="I805" i="3"/>
  <c r="J805" i="3"/>
  <c r="K805" i="3"/>
  <c r="L805" i="3"/>
  <c r="N805" i="3"/>
  <c r="O805" i="3"/>
  <c r="P805" i="3"/>
  <c r="Q805" i="3"/>
  <c r="R805" i="3"/>
  <c r="G806" i="3"/>
  <c r="H806" i="3"/>
  <c r="I806" i="3"/>
  <c r="J806" i="3"/>
  <c r="K806" i="3"/>
  <c r="L806" i="3"/>
  <c r="N806" i="3"/>
  <c r="O806" i="3"/>
  <c r="P806" i="3"/>
  <c r="Q806" i="3"/>
  <c r="R806" i="3"/>
  <c r="G807" i="3"/>
  <c r="H807" i="3"/>
  <c r="I807" i="3"/>
  <c r="J807" i="3"/>
  <c r="K807" i="3"/>
  <c r="L807" i="3"/>
  <c r="N807" i="3"/>
  <c r="O807" i="3"/>
  <c r="P807" i="3"/>
  <c r="Q807" i="3"/>
  <c r="R807" i="3"/>
  <c r="G808" i="3"/>
  <c r="H808" i="3"/>
  <c r="I808" i="3"/>
  <c r="J808" i="3"/>
  <c r="K808" i="3"/>
  <c r="L808" i="3"/>
  <c r="N808" i="3"/>
  <c r="O808" i="3"/>
  <c r="P808" i="3"/>
  <c r="Q808" i="3"/>
  <c r="R808" i="3"/>
  <c r="G809" i="3"/>
  <c r="H809" i="3"/>
  <c r="I809" i="3"/>
  <c r="J809" i="3"/>
  <c r="K809" i="3"/>
  <c r="L809" i="3"/>
  <c r="N809" i="3"/>
  <c r="O809" i="3"/>
  <c r="P809" i="3"/>
  <c r="Q809" i="3"/>
  <c r="R809" i="3"/>
  <c r="G810" i="3"/>
  <c r="H810" i="3"/>
  <c r="I810" i="3"/>
  <c r="J810" i="3"/>
  <c r="K810" i="3"/>
  <c r="L810" i="3"/>
  <c r="N810" i="3"/>
  <c r="O810" i="3"/>
  <c r="P810" i="3"/>
  <c r="Q810" i="3"/>
  <c r="R810" i="3"/>
  <c r="G811" i="3"/>
  <c r="H811" i="3"/>
  <c r="I811" i="3"/>
  <c r="J811" i="3"/>
  <c r="K811" i="3"/>
  <c r="L811" i="3"/>
  <c r="N811" i="3"/>
  <c r="O811" i="3"/>
  <c r="P811" i="3"/>
  <c r="Q811" i="3"/>
  <c r="R811" i="3"/>
  <c r="G812" i="3"/>
  <c r="H812" i="3"/>
  <c r="I812" i="3"/>
  <c r="J812" i="3"/>
  <c r="K812" i="3"/>
  <c r="L812" i="3"/>
  <c r="N812" i="3"/>
  <c r="O812" i="3"/>
  <c r="P812" i="3"/>
  <c r="Q812" i="3"/>
  <c r="R812" i="3"/>
  <c r="G813" i="3"/>
  <c r="H813" i="3"/>
  <c r="I813" i="3"/>
  <c r="J813" i="3"/>
  <c r="K813" i="3"/>
  <c r="L813" i="3"/>
  <c r="N813" i="3"/>
  <c r="O813" i="3"/>
  <c r="P813" i="3"/>
  <c r="Q813" i="3"/>
  <c r="R813" i="3"/>
  <c r="G814" i="3"/>
  <c r="H814" i="3"/>
  <c r="I814" i="3"/>
  <c r="J814" i="3"/>
  <c r="K814" i="3"/>
  <c r="L814" i="3"/>
  <c r="N814" i="3"/>
  <c r="O814" i="3"/>
  <c r="P814" i="3"/>
  <c r="Q814" i="3"/>
  <c r="R814" i="3"/>
  <c r="G815" i="3"/>
  <c r="H815" i="3"/>
  <c r="I815" i="3"/>
  <c r="J815" i="3"/>
  <c r="K815" i="3"/>
  <c r="L815" i="3"/>
  <c r="N815" i="3"/>
  <c r="O815" i="3"/>
  <c r="P815" i="3"/>
  <c r="Q815" i="3"/>
  <c r="R815" i="3"/>
  <c r="G816" i="3"/>
  <c r="H816" i="3"/>
  <c r="I816" i="3"/>
  <c r="J816" i="3"/>
  <c r="K816" i="3"/>
  <c r="L816" i="3"/>
  <c r="N816" i="3"/>
  <c r="O816" i="3"/>
  <c r="P816" i="3"/>
  <c r="Q816" i="3"/>
  <c r="R816" i="3"/>
  <c r="G817" i="3"/>
  <c r="H817" i="3"/>
  <c r="I817" i="3"/>
  <c r="J817" i="3"/>
  <c r="K817" i="3"/>
  <c r="L817" i="3"/>
  <c r="N817" i="3"/>
  <c r="O817" i="3"/>
  <c r="P817" i="3"/>
  <c r="Q817" i="3"/>
  <c r="R817" i="3"/>
  <c r="G818" i="3"/>
  <c r="H818" i="3"/>
  <c r="I818" i="3"/>
  <c r="J818" i="3"/>
  <c r="K818" i="3"/>
  <c r="L818" i="3"/>
  <c r="N818" i="3"/>
  <c r="O818" i="3"/>
  <c r="P818" i="3"/>
  <c r="Q818" i="3"/>
  <c r="R818" i="3"/>
  <c r="G819" i="3"/>
  <c r="H819" i="3"/>
  <c r="I819" i="3"/>
  <c r="J819" i="3"/>
  <c r="K819" i="3"/>
  <c r="L819" i="3"/>
  <c r="N819" i="3"/>
  <c r="O819" i="3"/>
  <c r="P819" i="3"/>
  <c r="Q819" i="3"/>
  <c r="R819" i="3"/>
  <c r="G820" i="3"/>
  <c r="H820" i="3"/>
  <c r="I820" i="3"/>
  <c r="J820" i="3"/>
  <c r="K820" i="3"/>
  <c r="L820" i="3"/>
  <c r="N820" i="3"/>
  <c r="O820" i="3"/>
  <c r="P820" i="3"/>
  <c r="Q820" i="3"/>
  <c r="R820" i="3"/>
  <c r="G821" i="3"/>
  <c r="H821" i="3"/>
  <c r="I821" i="3"/>
  <c r="J821" i="3"/>
  <c r="K821" i="3"/>
  <c r="L821" i="3"/>
  <c r="N821" i="3"/>
  <c r="O821" i="3"/>
  <c r="P821" i="3"/>
  <c r="Q821" i="3"/>
  <c r="R821" i="3"/>
  <c r="G822" i="3"/>
  <c r="H822" i="3"/>
  <c r="I822" i="3"/>
  <c r="J822" i="3"/>
  <c r="K822" i="3"/>
  <c r="L822" i="3"/>
  <c r="N822" i="3"/>
  <c r="O822" i="3"/>
  <c r="P822" i="3"/>
  <c r="Q822" i="3"/>
  <c r="R822" i="3"/>
  <c r="G823" i="3"/>
  <c r="H823" i="3"/>
  <c r="I823" i="3"/>
  <c r="J823" i="3"/>
  <c r="K823" i="3"/>
  <c r="L823" i="3"/>
  <c r="N823" i="3"/>
  <c r="O823" i="3"/>
  <c r="P823" i="3"/>
  <c r="Q823" i="3"/>
  <c r="R823" i="3"/>
  <c r="G824" i="3"/>
  <c r="H824" i="3"/>
  <c r="I824" i="3"/>
  <c r="J824" i="3"/>
  <c r="K824" i="3"/>
  <c r="L824" i="3"/>
  <c r="N824" i="3"/>
  <c r="O824" i="3"/>
  <c r="P824" i="3"/>
  <c r="Q824" i="3"/>
  <c r="R824" i="3"/>
  <c r="G825" i="3"/>
  <c r="H825" i="3"/>
  <c r="I825" i="3"/>
  <c r="J825" i="3"/>
  <c r="K825" i="3"/>
  <c r="L825" i="3"/>
  <c r="N825" i="3"/>
  <c r="O825" i="3"/>
  <c r="P825" i="3"/>
  <c r="Q825" i="3"/>
  <c r="R825" i="3"/>
  <c r="G826" i="3"/>
  <c r="H826" i="3"/>
  <c r="I826" i="3"/>
  <c r="J826" i="3"/>
  <c r="K826" i="3"/>
  <c r="L826" i="3"/>
  <c r="N826" i="3"/>
  <c r="O826" i="3"/>
  <c r="P826" i="3"/>
  <c r="Q826" i="3"/>
  <c r="R826" i="3"/>
  <c r="G827" i="3"/>
  <c r="H827" i="3"/>
  <c r="I827" i="3"/>
  <c r="J827" i="3"/>
  <c r="K827" i="3"/>
  <c r="L827" i="3"/>
  <c r="N827" i="3"/>
  <c r="O827" i="3"/>
  <c r="P827" i="3"/>
  <c r="Q827" i="3"/>
  <c r="R827" i="3"/>
  <c r="G828" i="3"/>
  <c r="H828" i="3"/>
  <c r="I828" i="3"/>
  <c r="J828" i="3"/>
  <c r="K828" i="3"/>
  <c r="L828" i="3"/>
  <c r="N828" i="3"/>
  <c r="O828" i="3"/>
  <c r="P828" i="3"/>
  <c r="Q828" i="3"/>
  <c r="R828" i="3"/>
  <c r="G829" i="3"/>
  <c r="H829" i="3"/>
  <c r="I829" i="3"/>
  <c r="J829" i="3"/>
  <c r="K829" i="3"/>
  <c r="L829" i="3"/>
  <c r="N829" i="3"/>
  <c r="O829" i="3"/>
  <c r="P829" i="3"/>
  <c r="Q829" i="3"/>
  <c r="R829" i="3"/>
  <c r="G830" i="3"/>
  <c r="H830" i="3"/>
  <c r="I830" i="3"/>
  <c r="J830" i="3"/>
  <c r="K830" i="3"/>
  <c r="L830" i="3"/>
  <c r="N830" i="3"/>
  <c r="O830" i="3"/>
  <c r="P830" i="3"/>
  <c r="Q830" i="3"/>
  <c r="R830" i="3"/>
  <c r="G831" i="3"/>
  <c r="H831" i="3"/>
  <c r="I831" i="3"/>
  <c r="J831" i="3"/>
  <c r="K831" i="3"/>
  <c r="L831" i="3"/>
  <c r="N831" i="3"/>
  <c r="O831" i="3"/>
  <c r="P831" i="3"/>
  <c r="Q831" i="3"/>
  <c r="R831" i="3"/>
  <c r="G832" i="3"/>
  <c r="H832" i="3"/>
  <c r="I832" i="3"/>
  <c r="J832" i="3"/>
  <c r="K832" i="3"/>
  <c r="L832" i="3"/>
  <c r="N832" i="3"/>
  <c r="O832" i="3"/>
  <c r="P832" i="3"/>
  <c r="Q832" i="3"/>
  <c r="R832" i="3"/>
  <c r="G833" i="3"/>
  <c r="H833" i="3"/>
  <c r="I833" i="3"/>
  <c r="J833" i="3"/>
  <c r="K833" i="3"/>
  <c r="L833" i="3"/>
  <c r="N833" i="3"/>
  <c r="O833" i="3"/>
  <c r="P833" i="3"/>
  <c r="Q833" i="3"/>
  <c r="R833" i="3"/>
  <c r="G834" i="3"/>
  <c r="H834" i="3"/>
  <c r="I834" i="3"/>
  <c r="J834" i="3"/>
  <c r="K834" i="3"/>
  <c r="L834" i="3"/>
  <c r="N834" i="3"/>
  <c r="O834" i="3"/>
  <c r="P834" i="3"/>
  <c r="Q834" i="3"/>
  <c r="R834" i="3"/>
  <c r="G835" i="3"/>
  <c r="H835" i="3"/>
  <c r="I835" i="3"/>
  <c r="J835" i="3"/>
  <c r="K835" i="3"/>
  <c r="L835" i="3"/>
  <c r="N835" i="3"/>
  <c r="O835" i="3"/>
  <c r="P835" i="3"/>
  <c r="Q835" i="3"/>
  <c r="R835" i="3"/>
  <c r="G836" i="3"/>
  <c r="H836" i="3"/>
  <c r="I836" i="3"/>
  <c r="J836" i="3"/>
  <c r="K836" i="3"/>
  <c r="L836" i="3"/>
  <c r="N836" i="3"/>
  <c r="O836" i="3"/>
  <c r="P836" i="3"/>
  <c r="Q836" i="3"/>
  <c r="R836" i="3"/>
  <c r="G837" i="3"/>
  <c r="H837" i="3"/>
  <c r="I837" i="3"/>
  <c r="J837" i="3"/>
  <c r="K837" i="3"/>
  <c r="L837" i="3"/>
  <c r="N837" i="3"/>
  <c r="O837" i="3"/>
  <c r="P837" i="3"/>
  <c r="Q837" i="3"/>
  <c r="R837" i="3"/>
  <c r="G838" i="3"/>
  <c r="H838" i="3"/>
  <c r="I838" i="3"/>
  <c r="J838" i="3"/>
  <c r="K838" i="3"/>
  <c r="L838" i="3"/>
  <c r="N838" i="3"/>
  <c r="O838" i="3"/>
  <c r="P838" i="3"/>
  <c r="Q838" i="3"/>
  <c r="R838" i="3"/>
  <c r="G839" i="3"/>
  <c r="H839" i="3"/>
  <c r="I839" i="3"/>
  <c r="J839" i="3"/>
  <c r="K839" i="3"/>
  <c r="L839" i="3"/>
  <c r="N839" i="3"/>
  <c r="O839" i="3"/>
  <c r="P839" i="3"/>
  <c r="Q839" i="3"/>
  <c r="R839" i="3"/>
  <c r="G840" i="3"/>
  <c r="H840" i="3"/>
  <c r="I840" i="3"/>
  <c r="J840" i="3"/>
  <c r="K840" i="3"/>
  <c r="L840" i="3"/>
  <c r="N840" i="3"/>
  <c r="O840" i="3"/>
  <c r="P840" i="3"/>
  <c r="Q840" i="3"/>
  <c r="R840" i="3"/>
  <c r="G841" i="3"/>
  <c r="H841" i="3"/>
  <c r="I841" i="3"/>
  <c r="J841" i="3"/>
  <c r="K841" i="3"/>
  <c r="L841" i="3"/>
  <c r="N841" i="3"/>
  <c r="O841" i="3"/>
  <c r="P841" i="3"/>
  <c r="Q841" i="3"/>
  <c r="R841" i="3"/>
  <c r="G842" i="3"/>
  <c r="H842" i="3"/>
  <c r="I842" i="3"/>
  <c r="J842" i="3"/>
  <c r="K842" i="3"/>
  <c r="L842" i="3"/>
  <c r="N842" i="3"/>
  <c r="O842" i="3"/>
  <c r="P842" i="3"/>
  <c r="Q842" i="3"/>
  <c r="R842" i="3"/>
  <c r="G843" i="3"/>
  <c r="H843" i="3"/>
  <c r="I843" i="3"/>
  <c r="J843" i="3"/>
  <c r="K843" i="3"/>
  <c r="L843" i="3"/>
  <c r="N843" i="3"/>
  <c r="O843" i="3"/>
  <c r="P843" i="3"/>
  <c r="Q843" i="3"/>
  <c r="R843" i="3"/>
  <c r="G844" i="3"/>
  <c r="H844" i="3"/>
  <c r="I844" i="3"/>
  <c r="J844" i="3"/>
  <c r="K844" i="3"/>
  <c r="L844" i="3"/>
  <c r="N844" i="3"/>
  <c r="O844" i="3"/>
  <c r="P844" i="3"/>
  <c r="Q844" i="3"/>
  <c r="R844" i="3"/>
  <c r="G845" i="3"/>
  <c r="H845" i="3"/>
  <c r="I845" i="3"/>
  <c r="J845" i="3"/>
  <c r="K845" i="3"/>
  <c r="L845" i="3"/>
  <c r="N845" i="3"/>
  <c r="O845" i="3"/>
  <c r="P845" i="3"/>
  <c r="Q845" i="3"/>
  <c r="R845" i="3"/>
  <c r="G846" i="3"/>
  <c r="H846" i="3"/>
  <c r="I846" i="3"/>
  <c r="J846" i="3"/>
  <c r="K846" i="3"/>
  <c r="L846" i="3"/>
  <c r="N846" i="3"/>
  <c r="O846" i="3"/>
  <c r="P846" i="3"/>
  <c r="Q846" i="3"/>
  <c r="R846" i="3"/>
  <c r="G847" i="3"/>
  <c r="H847" i="3"/>
  <c r="I847" i="3"/>
  <c r="J847" i="3"/>
  <c r="K847" i="3"/>
  <c r="L847" i="3"/>
  <c r="N847" i="3"/>
  <c r="O847" i="3"/>
  <c r="P847" i="3"/>
  <c r="Q847" i="3"/>
  <c r="R847" i="3"/>
  <c r="G848" i="3"/>
  <c r="H848" i="3"/>
  <c r="I848" i="3"/>
  <c r="J848" i="3"/>
  <c r="K848" i="3"/>
  <c r="L848" i="3"/>
  <c r="N848" i="3"/>
  <c r="O848" i="3"/>
  <c r="P848" i="3"/>
  <c r="Q848" i="3"/>
  <c r="R848" i="3"/>
  <c r="G849" i="3"/>
  <c r="H849" i="3"/>
  <c r="I849" i="3"/>
  <c r="J849" i="3"/>
  <c r="K849" i="3"/>
  <c r="L849" i="3"/>
  <c r="N849" i="3"/>
  <c r="O849" i="3"/>
  <c r="P849" i="3"/>
  <c r="Q849" i="3"/>
  <c r="R849" i="3"/>
  <c r="G850" i="3"/>
  <c r="H850" i="3"/>
  <c r="I850" i="3"/>
  <c r="J850" i="3"/>
  <c r="K850" i="3"/>
  <c r="L850" i="3"/>
  <c r="N850" i="3"/>
  <c r="O850" i="3"/>
  <c r="P850" i="3"/>
  <c r="Q850" i="3"/>
  <c r="R850" i="3"/>
  <c r="G851" i="3"/>
  <c r="H851" i="3"/>
  <c r="I851" i="3"/>
  <c r="J851" i="3"/>
  <c r="K851" i="3"/>
  <c r="L851" i="3"/>
  <c r="N851" i="3"/>
  <c r="O851" i="3"/>
  <c r="P851" i="3"/>
  <c r="Q851" i="3"/>
  <c r="R851" i="3"/>
  <c r="G852" i="3"/>
  <c r="H852" i="3"/>
  <c r="I852" i="3"/>
  <c r="J852" i="3"/>
  <c r="K852" i="3"/>
  <c r="L852" i="3"/>
  <c r="N852" i="3"/>
  <c r="O852" i="3"/>
  <c r="P852" i="3"/>
  <c r="Q852" i="3"/>
  <c r="R852" i="3"/>
  <c r="G853" i="3"/>
  <c r="H853" i="3"/>
  <c r="I853" i="3"/>
  <c r="J853" i="3"/>
  <c r="K853" i="3"/>
  <c r="L853" i="3"/>
  <c r="N853" i="3"/>
  <c r="O853" i="3"/>
  <c r="P853" i="3"/>
  <c r="Q853" i="3"/>
  <c r="R853" i="3"/>
  <c r="G854" i="3"/>
  <c r="H854" i="3"/>
  <c r="I854" i="3"/>
  <c r="J854" i="3"/>
  <c r="K854" i="3"/>
  <c r="L854" i="3"/>
  <c r="N854" i="3"/>
  <c r="O854" i="3"/>
  <c r="P854" i="3"/>
  <c r="Q854" i="3"/>
  <c r="R854" i="3"/>
  <c r="G855" i="3"/>
  <c r="H855" i="3"/>
  <c r="I855" i="3"/>
  <c r="J855" i="3"/>
  <c r="K855" i="3"/>
  <c r="L855" i="3"/>
  <c r="N855" i="3"/>
  <c r="O855" i="3"/>
  <c r="P855" i="3"/>
  <c r="Q855" i="3"/>
  <c r="R855" i="3"/>
  <c r="G856" i="3"/>
  <c r="H856" i="3"/>
  <c r="I856" i="3"/>
  <c r="J856" i="3"/>
  <c r="K856" i="3"/>
  <c r="L856" i="3"/>
  <c r="N856" i="3"/>
  <c r="O856" i="3"/>
  <c r="P856" i="3"/>
  <c r="Q856" i="3"/>
  <c r="R856" i="3"/>
  <c r="G857" i="3"/>
  <c r="H857" i="3"/>
  <c r="I857" i="3"/>
  <c r="J857" i="3"/>
  <c r="K857" i="3"/>
  <c r="L857" i="3"/>
  <c r="N857" i="3"/>
  <c r="O857" i="3"/>
  <c r="P857" i="3"/>
  <c r="Q857" i="3"/>
  <c r="R857" i="3"/>
  <c r="G858" i="3"/>
  <c r="H858" i="3"/>
  <c r="I858" i="3"/>
  <c r="J858" i="3"/>
  <c r="K858" i="3"/>
  <c r="L858" i="3"/>
  <c r="N858" i="3"/>
  <c r="O858" i="3"/>
  <c r="P858" i="3"/>
  <c r="Q858" i="3"/>
  <c r="R858" i="3"/>
  <c r="G859" i="3"/>
  <c r="H859" i="3"/>
  <c r="I859" i="3"/>
  <c r="J859" i="3"/>
  <c r="K859" i="3"/>
  <c r="L859" i="3"/>
  <c r="N859" i="3"/>
  <c r="O859" i="3"/>
  <c r="P859" i="3"/>
  <c r="Q859" i="3"/>
  <c r="R859" i="3"/>
  <c r="G860" i="3"/>
  <c r="H860" i="3"/>
  <c r="I860" i="3"/>
  <c r="J860" i="3"/>
  <c r="K860" i="3"/>
  <c r="L860" i="3"/>
  <c r="N860" i="3"/>
  <c r="O860" i="3"/>
  <c r="P860" i="3"/>
  <c r="Q860" i="3"/>
  <c r="R860" i="3"/>
  <c r="G861" i="3"/>
  <c r="H861" i="3"/>
  <c r="I861" i="3"/>
  <c r="J861" i="3"/>
  <c r="K861" i="3"/>
  <c r="L861" i="3"/>
  <c r="N861" i="3"/>
  <c r="O861" i="3"/>
  <c r="P861" i="3"/>
  <c r="Q861" i="3"/>
  <c r="R861" i="3"/>
  <c r="G862" i="3"/>
  <c r="H862" i="3"/>
  <c r="I862" i="3"/>
  <c r="J862" i="3"/>
  <c r="K862" i="3"/>
  <c r="L862" i="3"/>
  <c r="N862" i="3"/>
  <c r="O862" i="3"/>
  <c r="P862" i="3"/>
  <c r="Q862" i="3"/>
  <c r="R862" i="3"/>
  <c r="G863" i="3"/>
  <c r="H863" i="3"/>
  <c r="I863" i="3"/>
  <c r="J863" i="3"/>
  <c r="K863" i="3"/>
  <c r="L863" i="3"/>
  <c r="N863" i="3"/>
  <c r="O863" i="3"/>
  <c r="P863" i="3"/>
  <c r="Q863" i="3"/>
  <c r="R863" i="3"/>
  <c r="G864" i="3"/>
  <c r="H864" i="3"/>
  <c r="I864" i="3"/>
  <c r="J864" i="3"/>
  <c r="K864" i="3"/>
  <c r="L864" i="3"/>
  <c r="N864" i="3"/>
  <c r="O864" i="3"/>
  <c r="P864" i="3"/>
  <c r="Q864" i="3"/>
  <c r="R864" i="3"/>
  <c r="G865" i="3"/>
  <c r="H865" i="3"/>
  <c r="I865" i="3"/>
  <c r="J865" i="3"/>
  <c r="K865" i="3"/>
  <c r="L865" i="3"/>
  <c r="N865" i="3"/>
  <c r="O865" i="3"/>
  <c r="P865" i="3"/>
  <c r="Q865" i="3"/>
  <c r="R865" i="3"/>
  <c r="G866" i="3"/>
  <c r="H866" i="3"/>
  <c r="I866" i="3"/>
  <c r="J866" i="3"/>
  <c r="K866" i="3"/>
  <c r="L866" i="3"/>
  <c r="N866" i="3"/>
  <c r="O866" i="3"/>
  <c r="P866" i="3"/>
  <c r="Q866" i="3"/>
  <c r="R866" i="3"/>
  <c r="G867" i="3"/>
  <c r="H867" i="3"/>
  <c r="I867" i="3"/>
  <c r="J867" i="3"/>
  <c r="K867" i="3"/>
  <c r="L867" i="3"/>
  <c r="N867" i="3"/>
  <c r="O867" i="3"/>
  <c r="P867" i="3"/>
  <c r="Q867" i="3"/>
  <c r="R867" i="3"/>
  <c r="G868" i="3"/>
  <c r="H868" i="3"/>
  <c r="I868" i="3"/>
  <c r="J868" i="3"/>
  <c r="K868" i="3"/>
  <c r="L868" i="3"/>
  <c r="N868" i="3"/>
  <c r="O868" i="3"/>
  <c r="P868" i="3"/>
  <c r="Q868" i="3"/>
  <c r="R868" i="3"/>
  <c r="G869" i="3"/>
  <c r="H869" i="3"/>
  <c r="I869" i="3"/>
  <c r="J869" i="3"/>
  <c r="K869" i="3"/>
  <c r="L869" i="3"/>
  <c r="N869" i="3"/>
  <c r="O869" i="3"/>
  <c r="P869" i="3"/>
  <c r="Q869" i="3"/>
  <c r="R869" i="3"/>
  <c r="G870" i="3"/>
  <c r="H870" i="3"/>
  <c r="I870" i="3"/>
  <c r="J870" i="3"/>
  <c r="K870" i="3"/>
  <c r="L870" i="3"/>
  <c r="N870" i="3"/>
  <c r="O870" i="3"/>
  <c r="P870" i="3"/>
  <c r="Q870" i="3"/>
  <c r="R870" i="3"/>
  <c r="G871" i="3"/>
  <c r="H871" i="3"/>
  <c r="I871" i="3"/>
  <c r="J871" i="3"/>
  <c r="K871" i="3"/>
  <c r="L871" i="3"/>
  <c r="N871" i="3"/>
  <c r="O871" i="3"/>
  <c r="P871" i="3"/>
  <c r="Q871" i="3"/>
  <c r="R871" i="3"/>
  <c r="G872" i="3"/>
  <c r="H872" i="3"/>
  <c r="I872" i="3"/>
  <c r="J872" i="3"/>
  <c r="K872" i="3"/>
  <c r="L872" i="3"/>
  <c r="N872" i="3"/>
  <c r="O872" i="3"/>
  <c r="P872" i="3"/>
  <c r="Q872" i="3"/>
  <c r="R872" i="3"/>
  <c r="G873" i="3"/>
  <c r="H873" i="3"/>
  <c r="I873" i="3"/>
  <c r="J873" i="3"/>
  <c r="K873" i="3"/>
  <c r="L873" i="3"/>
  <c r="N873" i="3"/>
  <c r="O873" i="3"/>
  <c r="P873" i="3"/>
  <c r="Q873" i="3"/>
  <c r="R873" i="3"/>
  <c r="G874" i="3"/>
  <c r="H874" i="3"/>
  <c r="I874" i="3"/>
  <c r="J874" i="3"/>
  <c r="K874" i="3"/>
  <c r="L874" i="3"/>
  <c r="N874" i="3"/>
  <c r="O874" i="3"/>
  <c r="P874" i="3"/>
  <c r="Q874" i="3"/>
  <c r="R874" i="3"/>
  <c r="G875" i="3"/>
  <c r="H875" i="3"/>
  <c r="I875" i="3"/>
  <c r="J875" i="3"/>
  <c r="K875" i="3"/>
  <c r="L875" i="3"/>
  <c r="N875" i="3"/>
  <c r="O875" i="3"/>
  <c r="P875" i="3"/>
  <c r="Q875" i="3"/>
  <c r="R875" i="3"/>
  <c r="G876" i="3"/>
  <c r="H876" i="3"/>
  <c r="I876" i="3"/>
  <c r="J876" i="3"/>
  <c r="K876" i="3"/>
  <c r="L876" i="3"/>
  <c r="N876" i="3"/>
  <c r="O876" i="3"/>
  <c r="P876" i="3"/>
  <c r="Q876" i="3"/>
  <c r="R876" i="3"/>
  <c r="G877" i="3"/>
  <c r="H877" i="3"/>
  <c r="I877" i="3"/>
  <c r="J877" i="3"/>
  <c r="K877" i="3"/>
  <c r="L877" i="3"/>
  <c r="N877" i="3"/>
  <c r="O877" i="3"/>
  <c r="P877" i="3"/>
  <c r="Q877" i="3"/>
  <c r="R877" i="3"/>
  <c r="G878" i="3"/>
  <c r="H878" i="3"/>
  <c r="I878" i="3"/>
  <c r="J878" i="3"/>
  <c r="K878" i="3"/>
  <c r="L878" i="3"/>
  <c r="N878" i="3"/>
  <c r="O878" i="3"/>
  <c r="P878" i="3"/>
  <c r="Q878" i="3"/>
  <c r="R878" i="3"/>
  <c r="G879" i="3"/>
  <c r="H879" i="3"/>
  <c r="I879" i="3"/>
  <c r="J879" i="3"/>
  <c r="K879" i="3"/>
  <c r="L879" i="3"/>
  <c r="N879" i="3"/>
  <c r="O879" i="3"/>
  <c r="P879" i="3"/>
  <c r="Q879" i="3"/>
  <c r="R879" i="3"/>
  <c r="G880" i="3"/>
  <c r="H880" i="3"/>
  <c r="I880" i="3"/>
  <c r="J880" i="3"/>
  <c r="K880" i="3"/>
  <c r="L880" i="3"/>
  <c r="N880" i="3"/>
  <c r="O880" i="3"/>
  <c r="P880" i="3"/>
  <c r="Q880" i="3"/>
  <c r="R880" i="3"/>
  <c r="G881" i="3"/>
  <c r="H881" i="3"/>
  <c r="I881" i="3"/>
  <c r="J881" i="3"/>
  <c r="K881" i="3"/>
  <c r="L881" i="3"/>
  <c r="N881" i="3"/>
  <c r="O881" i="3"/>
  <c r="P881" i="3"/>
  <c r="Q881" i="3"/>
  <c r="R881" i="3"/>
  <c r="G882" i="3"/>
  <c r="H882" i="3"/>
  <c r="I882" i="3"/>
  <c r="J882" i="3"/>
  <c r="K882" i="3"/>
  <c r="L882" i="3"/>
  <c r="N882" i="3"/>
  <c r="O882" i="3"/>
  <c r="P882" i="3"/>
  <c r="Q882" i="3"/>
  <c r="R882" i="3"/>
  <c r="G883" i="3"/>
  <c r="H883" i="3"/>
  <c r="I883" i="3"/>
  <c r="J883" i="3"/>
  <c r="K883" i="3"/>
  <c r="L883" i="3"/>
  <c r="N883" i="3"/>
  <c r="O883" i="3"/>
  <c r="P883" i="3"/>
  <c r="Q883" i="3"/>
  <c r="R883" i="3"/>
  <c r="G884" i="3"/>
  <c r="H884" i="3"/>
  <c r="I884" i="3"/>
  <c r="J884" i="3"/>
  <c r="K884" i="3"/>
  <c r="L884" i="3"/>
  <c r="N884" i="3"/>
  <c r="O884" i="3"/>
  <c r="P884" i="3"/>
  <c r="Q884" i="3"/>
  <c r="R884" i="3"/>
  <c r="G885" i="3"/>
  <c r="H885" i="3"/>
  <c r="I885" i="3"/>
  <c r="J885" i="3"/>
  <c r="K885" i="3"/>
  <c r="L885" i="3"/>
  <c r="N885" i="3"/>
  <c r="O885" i="3"/>
  <c r="P885" i="3"/>
  <c r="Q885" i="3"/>
  <c r="R885" i="3"/>
  <c r="G886" i="3"/>
  <c r="H886" i="3"/>
  <c r="I886" i="3"/>
  <c r="J886" i="3"/>
  <c r="K886" i="3"/>
  <c r="L886" i="3"/>
  <c r="N886" i="3"/>
  <c r="O886" i="3"/>
  <c r="P886" i="3"/>
  <c r="Q886" i="3"/>
  <c r="R886" i="3"/>
  <c r="G887" i="3"/>
  <c r="H887" i="3"/>
  <c r="I887" i="3"/>
  <c r="J887" i="3"/>
  <c r="K887" i="3"/>
  <c r="L887" i="3"/>
  <c r="N887" i="3"/>
  <c r="O887" i="3"/>
  <c r="P887" i="3"/>
  <c r="Q887" i="3"/>
  <c r="R887" i="3"/>
  <c r="G888" i="3"/>
  <c r="H888" i="3"/>
  <c r="I888" i="3"/>
  <c r="J888" i="3"/>
  <c r="K888" i="3"/>
  <c r="L888" i="3"/>
  <c r="N888" i="3"/>
  <c r="O888" i="3"/>
  <c r="P888" i="3"/>
  <c r="Q888" i="3"/>
  <c r="R888" i="3"/>
  <c r="G889" i="3"/>
  <c r="H889" i="3"/>
  <c r="I889" i="3"/>
  <c r="J889" i="3"/>
  <c r="K889" i="3"/>
  <c r="L889" i="3"/>
  <c r="N889" i="3"/>
  <c r="O889" i="3"/>
  <c r="P889" i="3"/>
  <c r="Q889" i="3"/>
  <c r="R889" i="3"/>
  <c r="G890" i="3"/>
  <c r="H890" i="3"/>
  <c r="I890" i="3"/>
  <c r="J890" i="3"/>
  <c r="K890" i="3"/>
  <c r="L890" i="3"/>
  <c r="N890" i="3"/>
  <c r="O890" i="3"/>
  <c r="P890" i="3"/>
  <c r="Q890" i="3"/>
  <c r="R890" i="3"/>
  <c r="G891" i="3"/>
  <c r="H891" i="3"/>
  <c r="I891" i="3"/>
  <c r="J891" i="3"/>
  <c r="K891" i="3"/>
  <c r="L891" i="3"/>
  <c r="N891" i="3"/>
  <c r="O891" i="3"/>
  <c r="P891" i="3"/>
  <c r="Q891" i="3"/>
  <c r="R891" i="3"/>
  <c r="G892" i="3"/>
  <c r="H892" i="3"/>
  <c r="I892" i="3"/>
  <c r="J892" i="3"/>
  <c r="K892" i="3"/>
  <c r="L892" i="3"/>
  <c r="N892" i="3"/>
  <c r="O892" i="3"/>
  <c r="P892" i="3"/>
  <c r="Q892" i="3"/>
  <c r="R892" i="3"/>
  <c r="G893" i="3"/>
  <c r="H893" i="3"/>
  <c r="I893" i="3"/>
  <c r="J893" i="3"/>
  <c r="K893" i="3"/>
  <c r="L893" i="3"/>
  <c r="N893" i="3"/>
  <c r="O893" i="3"/>
  <c r="P893" i="3"/>
  <c r="Q893" i="3"/>
  <c r="R893" i="3"/>
  <c r="G894" i="3"/>
  <c r="H894" i="3"/>
  <c r="I894" i="3"/>
  <c r="J894" i="3"/>
  <c r="K894" i="3"/>
  <c r="L894" i="3"/>
  <c r="N894" i="3"/>
  <c r="O894" i="3"/>
  <c r="P894" i="3"/>
  <c r="Q894" i="3"/>
  <c r="R894" i="3"/>
  <c r="G895" i="3"/>
  <c r="H895" i="3"/>
  <c r="I895" i="3"/>
  <c r="J895" i="3"/>
  <c r="K895" i="3"/>
  <c r="L895" i="3"/>
  <c r="N895" i="3"/>
  <c r="O895" i="3"/>
  <c r="P895" i="3"/>
  <c r="Q895" i="3"/>
  <c r="R895" i="3"/>
  <c r="G896" i="3"/>
  <c r="H896" i="3"/>
  <c r="I896" i="3"/>
  <c r="J896" i="3"/>
  <c r="K896" i="3"/>
  <c r="L896" i="3"/>
  <c r="N896" i="3"/>
  <c r="O896" i="3"/>
  <c r="P896" i="3"/>
  <c r="Q896" i="3"/>
  <c r="R896" i="3"/>
  <c r="G897" i="3"/>
  <c r="H897" i="3"/>
  <c r="I897" i="3"/>
  <c r="J897" i="3"/>
  <c r="K897" i="3"/>
  <c r="L897" i="3"/>
  <c r="N897" i="3"/>
  <c r="O897" i="3"/>
  <c r="P897" i="3"/>
  <c r="Q897" i="3"/>
  <c r="R897" i="3"/>
  <c r="G898" i="3"/>
  <c r="H898" i="3"/>
  <c r="I898" i="3"/>
  <c r="J898" i="3"/>
  <c r="K898" i="3"/>
  <c r="L898" i="3"/>
  <c r="N898" i="3"/>
  <c r="O898" i="3"/>
  <c r="P898" i="3"/>
  <c r="Q898" i="3"/>
  <c r="R898" i="3"/>
  <c r="G899" i="3"/>
  <c r="H899" i="3"/>
  <c r="I899" i="3"/>
  <c r="J899" i="3"/>
  <c r="K899" i="3"/>
  <c r="L899" i="3"/>
  <c r="N899" i="3"/>
  <c r="O899" i="3"/>
  <c r="P899" i="3"/>
  <c r="Q899" i="3"/>
  <c r="R899" i="3"/>
  <c r="G900" i="3"/>
  <c r="H900" i="3"/>
  <c r="I900" i="3"/>
  <c r="J900" i="3"/>
  <c r="K900" i="3"/>
  <c r="L900" i="3"/>
  <c r="N900" i="3"/>
  <c r="O900" i="3"/>
  <c r="P900" i="3"/>
  <c r="Q900" i="3"/>
  <c r="R900" i="3"/>
  <c r="G901" i="3"/>
  <c r="H901" i="3"/>
  <c r="I901" i="3"/>
  <c r="J901" i="3"/>
  <c r="K901" i="3"/>
  <c r="L901" i="3"/>
  <c r="N901" i="3"/>
  <c r="O901" i="3"/>
  <c r="P901" i="3"/>
  <c r="Q901" i="3"/>
  <c r="R901" i="3"/>
  <c r="G902" i="3"/>
  <c r="H902" i="3"/>
  <c r="I902" i="3"/>
  <c r="J902" i="3"/>
  <c r="K902" i="3"/>
  <c r="L902" i="3"/>
  <c r="N902" i="3"/>
  <c r="O902" i="3"/>
  <c r="P902" i="3"/>
  <c r="Q902" i="3"/>
  <c r="R902" i="3"/>
  <c r="G903" i="3"/>
  <c r="H903" i="3"/>
  <c r="I903" i="3"/>
  <c r="J903" i="3"/>
  <c r="K903" i="3"/>
  <c r="L903" i="3"/>
  <c r="N903" i="3"/>
  <c r="O903" i="3"/>
  <c r="P903" i="3"/>
  <c r="Q903" i="3"/>
  <c r="R903" i="3"/>
  <c r="G904" i="3"/>
  <c r="H904" i="3"/>
  <c r="I904" i="3"/>
  <c r="J904" i="3"/>
  <c r="K904" i="3"/>
  <c r="L904" i="3"/>
  <c r="N904" i="3"/>
  <c r="O904" i="3"/>
  <c r="P904" i="3"/>
  <c r="Q904" i="3"/>
  <c r="R904" i="3"/>
  <c r="G905" i="3"/>
  <c r="H905" i="3"/>
  <c r="I905" i="3"/>
  <c r="J905" i="3"/>
  <c r="K905" i="3"/>
  <c r="L905" i="3"/>
  <c r="N905" i="3"/>
  <c r="O905" i="3"/>
  <c r="P905" i="3"/>
  <c r="Q905" i="3"/>
  <c r="R905" i="3"/>
  <c r="G906" i="3"/>
  <c r="H906" i="3"/>
  <c r="I906" i="3"/>
  <c r="J906" i="3"/>
  <c r="K906" i="3"/>
  <c r="L906" i="3"/>
  <c r="N906" i="3"/>
  <c r="O906" i="3"/>
  <c r="P906" i="3"/>
  <c r="Q906" i="3"/>
  <c r="R906" i="3"/>
  <c r="G907" i="3"/>
  <c r="H907" i="3"/>
  <c r="I907" i="3"/>
  <c r="J907" i="3"/>
  <c r="K907" i="3"/>
  <c r="L907" i="3"/>
  <c r="N907" i="3"/>
  <c r="O907" i="3"/>
  <c r="P907" i="3"/>
  <c r="Q907" i="3"/>
  <c r="R907" i="3"/>
  <c r="G908" i="3"/>
  <c r="H908" i="3"/>
  <c r="I908" i="3"/>
  <c r="J908" i="3"/>
  <c r="K908" i="3"/>
  <c r="L908" i="3"/>
  <c r="N908" i="3"/>
  <c r="O908" i="3"/>
  <c r="P908" i="3"/>
  <c r="Q908" i="3"/>
  <c r="R908" i="3"/>
  <c r="G909" i="3"/>
  <c r="H909" i="3"/>
  <c r="I909" i="3"/>
  <c r="J909" i="3"/>
  <c r="K909" i="3"/>
  <c r="L909" i="3"/>
  <c r="N909" i="3"/>
  <c r="O909" i="3"/>
  <c r="P909" i="3"/>
  <c r="Q909" i="3"/>
  <c r="R909" i="3"/>
  <c r="G910" i="3"/>
  <c r="H910" i="3"/>
  <c r="I910" i="3"/>
  <c r="J910" i="3"/>
  <c r="K910" i="3"/>
  <c r="L910" i="3"/>
  <c r="N910" i="3"/>
  <c r="O910" i="3"/>
  <c r="P910" i="3"/>
  <c r="Q910" i="3"/>
  <c r="R910" i="3"/>
  <c r="G911" i="3"/>
  <c r="H911" i="3"/>
  <c r="I911" i="3"/>
  <c r="J911" i="3"/>
  <c r="K911" i="3"/>
  <c r="L911" i="3"/>
  <c r="N911" i="3"/>
  <c r="O911" i="3"/>
  <c r="P911" i="3"/>
  <c r="Q911" i="3"/>
  <c r="R911" i="3"/>
  <c r="G912" i="3"/>
  <c r="H912" i="3"/>
  <c r="I912" i="3"/>
  <c r="J912" i="3"/>
  <c r="K912" i="3"/>
  <c r="L912" i="3"/>
  <c r="N912" i="3"/>
  <c r="O912" i="3"/>
  <c r="P912" i="3"/>
  <c r="Q912" i="3"/>
  <c r="R912" i="3"/>
  <c r="G913" i="3"/>
  <c r="H913" i="3"/>
  <c r="I913" i="3"/>
  <c r="J913" i="3"/>
  <c r="K913" i="3"/>
  <c r="L913" i="3"/>
  <c r="N913" i="3"/>
  <c r="O913" i="3"/>
  <c r="P913" i="3"/>
  <c r="Q913" i="3"/>
  <c r="R913" i="3"/>
  <c r="G914" i="3"/>
  <c r="H914" i="3"/>
  <c r="I914" i="3"/>
  <c r="J914" i="3"/>
  <c r="K914" i="3"/>
  <c r="L914" i="3"/>
  <c r="N914" i="3"/>
  <c r="O914" i="3"/>
  <c r="P914" i="3"/>
  <c r="Q914" i="3"/>
  <c r="R914" i="3"/>
  <c r="G915" i="3"/>
  <c r="H915" i="3"/>
  <c r="I915" i="3"/>
  <c r="J915" i="3"/>
  <c r="K915" i="3"/>
  <c r="L915" i="3"/>
  <c r="N915" i="3"/>
  <c r="O915" i="3"/>
  <c r="P915" i="3"/>
  <c r="Q915" i="3"/>
  <c r="R915" i="3"/>
  <c r="G916" i="3"/>
  <c r="H916" i="3"/>
  <c r="I916" i="3"/>
  <c r="J916" i="3"/>
  <c r="K916" i="3"/>
  <c r="L916" i="3"/>
  <c r="N916" i="3"/>
  <c r="O916" i="3"/>
  <c r="P916" i="3"/>
  <c r="Q916" i="3"/>
  <c r="R916" i="3"/>
  <c r="G917" i="3"/>
  <c r="H917" i="3"/>
  <c r="I917" i="3"/>
  <c r="J917" i="3"/>
  <c r="K917" i="3"/>
  <c r="L917" i="3"/>
  <c r="N917" i="3"/>
  <c r="O917" i="3"/>
  <c r="P917" i="3"/>
  <c r="Q917" i="3"/>
  <c r="R917" i="3"/>
  <c r="G918" i="3"/>
  <c r="H918" i="3"/>
  <c r="I918" i="3"/>
  <c r="J918" i="3"/>
  <c r="K918" i="3"/>
  <c r="L918" i="3"/>
  <c r="N918" i="3"/>
  <c r="O918" i="3"/>
  <c r="P918" i="3"/>
  <c r="Q918" i="3"/>
  <c r="R918" i="3"/>
  <c r="G919" i="3"/>
  <c r="H919" i="3"/>
  <c r="I919" i="3"/>
  <c r="J919" i="3"/>
  <c r="K919" i="3"/>
  <c r="L919" i="3"/>
  <c r="N919" i="3"/>
  <c r="O919" i="3"/>
  <c r="P919" i="3"/>
  <c r="Q919" i="3"/>
  <c r="R919" i="3"/>
  <c r="G920" i="3"/>
  <c r="H920" i="3"/>
  <c r="I920" i="3"/>
  <c r="J920" i="3"/>
  <c r="K920" i="3"/>
  <c r="L920" i="3"/>
  <c r="N920" i="3"/>
  <c r="O920" i="3"/>
  <c r="P920" i="3"/>
  <c r="Q920" i="3"/>
  <c r="R920" i="3"/>
  <c r="G921" i="3"/>
  <c r="H921" i="3"/>
  <c r="I921" i="3"/>
  <c r="J921" i="3"/>
  <c r="K921" i="3"/>
  <c r="L921" i="3"/>
  <c r="N921" i="3"/>
  <c r="O921" i="3"/>
  <c r="P921" i="3"/>
  <c r="Q921" i="3"/>
  <c r="R921" i="3"/>
  <c r="G922" i="3"/>
  <c r="H922" i="3"/>
  <c r="I922" i="3"/>
  <c r="J922" i="3"/>
  <c r="K922" i="3"/>
  <c r="L922" i="3"/>
  <c r="N922" i="3"/>
  <c r="O922" i="3"/>
  <c r="P922" i="3"/>
  <c r="Q922" i="3"/>
  <c r="R922" i="3"/>
  <c r="G923" i="3"/>
  <c r="H923" i="3"/>
  <c r="I923" i="3"/>
  <c r="J923" i="3"/>
  <c r="K923" i="3"/>
  <c r="L923" i="3"/>
  <c r="N923" i="3"/>
  <c r="O923" i="3"/>
  <c r="P923" i="3"/>
  <c r="Q923" i="3"/>
  <c r="R923" i="3"/>
  <c r="G924" i="3"/>
  <c r="H924" i="3"/>
  <c r="I924" i="3"/>
  <c r="J924" i="3"/>
  <c r="K924" i="3"/>
  <c r="L924" i="3"/>
  <c r="N924" i="3"/>
  <c r="O924" i="3"/>
  <c r="P924" i="3"/>
  <c r="Q924" i="3"/>
  <c r="R924" i="3"/>
  <c r="G925" i="3"/>
  <c r="H925" i="3"/>
  <c r="I925" i="3"/>
  <c r="J925" i="3"/>
  <c r="K925" i="3"/>
  <c r="L925" i="3"/>
  <c r="N925" i="3"/>
  <c r="O925" i="3"/>
  <c r="P925" i="3"/>
  <c r="Q925" i="3"/>
  <c r="R925" i="3"/>
  <c r="G926" i="3"/>
  <c r="H926" i="3"/>
  <c r="I926" i="3"/>
  <c r="J926" i="3"/>
  <c r="K926" i="3"/>
  <c r="L926" i="3"/>
  <c r="N926" i="3"/>
  <c r="O926" i="3"/>
  <c r="P926" i="3"/>
  <c r="Q926" i="3"/>
  <c r="R926" i="3"/>
  <c r="G927" i="3"/>
  <c r="H927" i="3"/>
  <c r="I927" i="3"/>
  <c r="J927" i="3"/>
  <c r="K927" i="3"/>
  <c r="L927" i="3"/>
  <c r="N927" i="3"/>
  <c r="O927" i="3"/>
  <c r="P927" i="3"/>
  <c r="Q927" i="3"/>
  <c r="R927" i="3"/>
  <c r="G928" i="3"/>
  <c r="H928" i="3"/>
  <c r="I928" i="3"/>
  <c r="J928" i="3"/>
  <c r="K928" i="3"/>
  <c r="L928" i="3"/>
  <c r="N928" i="3"/>
  <c r="O928" i="3"/>
  <c r="P928" i="3"/>
  <c r="Q928" i="3"/>
  <c r="R928" i="3"/>
  <c r="G929" i="3"/>
  <c r="H929" i="3"/>
  <c r="I929" i="3"/>
  <c r="J929" i="3"/>
  <c r="K929" i="3"/>
  <c r="L929" i="3"/>
  <c r="N929" i="3"/>
  <c r="O929" i="3"/>
  <c r="P929" i="3"/>
  <c r="Q929" i="3"/>
  <c r="R929" i="3"/>
  <c r="G930" i="3"/>
  <c r="H930" i="3"/>
  <c r="I930" i="3"/>
  <c r="J930" i="3"/>
  <c r="K930" i="3"/>
  <c r="L930" i="3"/>
  <c r="N930" i="3"/>
  <c r="O930" i="3"/>
  <c r="P930" i="3"/>
  <c r="Q930" i="3"/>
  <c r="R930" i="3"/>
  <c r="G931" i="3"/>
  <c r="H931" i="3"/>
  <c r="I931" i="3"/>
  <c r="J931" i="3"/>
  <c r="K931" i="3"/>
  <c r="L931" i="3"/>
  <c r="N931" i="3"/>
  <c r="O931" i="3"/>
  <c r="P931" i="3"/>
  <c r="Q931" i="3"/>
  <c r="R931" i="3"/>
  <c r="G932" i="3"/>
  <c r="H932" i="3"/>
  <c r="I932" i="3"/>
  <c r="J932" i="3"/>
  <c r="K932" i="3"/>
  <c r="L932" i="3"/>
  <c r="N932" i="3"/>
  <c r="O932" i="3"/>
  <c r="P932" i="3"/>
  <c r="Q932" i="3"/>
  <c r="R932" i="3"/>
  <c r="G933" i="3"/>
  <c r="H933" i="3"/>
  <c r="I933" i="3"/>
  <c r="J933" i="3"/>
  <c r="K933" i="3"/>
  <c r="L933" i="3"/>
  <c r="N933" i="3"/>
  <c r="O933" i="3"/>
  <c r="P933" i="3"/>
  <c r="Q933" i="3"/>
  <c r="R933" i="3"/>
  <c r="G934" i="3"/>
  <c r="H934" i="3"/>
  <c r="I934" i="3"/>
  <c r="J934" i="3"/>
  <c r="K934" i="3"/>
  <c r="L934" i="3"/>
  <c r="N934" i="3"/>
  <c r="O934" i="3"/>
  <c r="P934" i="3"/>
  <c r="Q934" i="3"/>
  <c r="R934" i="3"/>
  <c r="G935" i="3"/>
  <c r="H935" i="3"/>
  <c r="I935" i="3"/>
  <c r="J935" i="3"/>
  <c r="K935" i="3"/>
  <c r="L935" i="3"/>
  <c r="N935" i="3"/>
  <c r="O935" i="3"/>
  <c r="P935" i="3"/>
  <c r="Q935" i="3"/>
  <c r="R935" i="3"/>
  <c r="G936" i="3"/>
  <c r="H936" i="3"/>
  <c r="I936" i="3"/>
  <c r="J936" i="3"/>
  <c r="K936" i="3"/>
  <c r="L936" i="3"/>
  <c r="N936" i="3"/>
  <c r="O936" i="3"/>
  <c r="P936" i="3"/>
  <c r="Q936" i="3"/>
  <c r="R936" i="3"/>
  <c r="G937" i="3"/>
  <c r="H937" i="3"/>
  <c r="I937" i="3"/>
  <c r="J937" i="3"/>
  <c r="K937" i="3"/>
  <c r="L937" i="3"/>
  <c r="N937" i="3"/>
  <c r="O937" i="3"/>
  <c r="P937" i="3"/>
  <c r="Q937" i="3"/>
  <c r="R937" i="3"/>
  <c r="G938" i="3"/>
  <c r="H938" i="3"/>
  <c r="I938" i="3"/>
  <c r="J938" i="3"/>
  <c r="K938" i="3"/>
  <c r="L938" i="3"/>
  <c r="N938" i="3"/>
  <c r="O938" i="3"/>
  <c r="P938" i="3"/>
  <c r="Q938" i="3"/>
  <c r="R938" i="3"/>
  <c r="G939" i="3"/>
  <c r="H939" i="3"/>
  <c r="I939" i="3"/>
  <c r="J939" i="3"/>
  <c r="K939" i="3"/>
  <c r="L939" i="3"/>
  <c r="N939" i="3"/>
  <c r="O939" i="3"/>
  <c r="P939" i="3"/>
  <c r="Q939" i="3"/>
  <c r="R939" i="3"/>
  <c r="G940" i="3"/>
  <c r="H940" i="3"/>
  <c r="I940" i="3"/>
  <c r="J940" i="3"/>
  <c r="K940" i="3"/>
  <c r="L940" i="3"/>
  <c r="N940" i="3"/>
  <c r="O940" i="3"/>
  <c r="P940" i="3"/>
  <c r="Q940" i="3"/>
  <c r="R940" i="3"/>
  <c r="G941" i="3"/>
  <c r="H941" i="3"/>
  <c r="I941" i="3"/>
  <c r="J941" i="3"/>
  <c r="K941" i="3"/>
  <c r="L941" i="3"/>
  <c r="N941" i="3"/>
  <c r="O941" i="3"/>
  <c r="P941" i="3"/>
  <c r="Q941" i="3"/>
  <c r="R941" i="3"/>
  <c r="G942" i="3"/>
  <c r="H942" i="3"/>
  <c r="I942" i="3"/>
  <c r="J942" i="3"/>
  <c r="K942" i="3"/>
  <c r="L942" i="3"/>
  <c r="N942" i="3"/>
  <c r="O942" i="3"/>
  <c r="P942" i="3"/>
  <c r="Q942" i="3"/>
  <c r="R942" i="3"/>
  <c r="G943" i="3"/>
  <c r="H943" i="3"/>
  <c r="I943" i="3"/>
  <c r="J943" i="3"/>
  <c r="K943" i="3"/>
  <c r="L943" i="3"/>
  <c r="N943" i="3"/>
  <c r="O943" i="3"/>
  <c r="P943" i="3"/>
  <c r="Q943" i="3"/>
  <c r="R943" i="3"/>
  <c r="G944" i="3"/>
  <c r="H944" i="3"/>
  <c r="I944" i="3"/>
  <c r="J944" i="3"/>
  <c r="K944" i="3"/>
  <c r="L944" i="3"/>
  <c r="N944" i="3"/>
  <c r="O944" i="3"/>
  <c r="P944" i="3"/>
  <c r="Q944" i="3"/>
  <c r="R944" i="3"/>
  <c r="G945" i="3"/>
  <c r="H945" i="3"/>
  <c r="I945" i="3"/>
  <c r="J945" i="3"/>
  <c r="K945" i="3"/>
  <c r="L945" i="3"/>
  <c r="N945" i="3"/>
  <c r="O945" i="3"/>
  <c r="P945" i="3"/>
  <c r="Q945" i="3"/>
  <c r="R945" i="3"/>
  <c r="G946" i="3"/>
  <c r="H946" i="3"/>
  <c r="I946" i="3"/>
  <c r="J946" i="3"/>
  <c r="K946" i="3"/>
  <c r="L946" i="3"/>
  <c r="N946" i="3"/>
  <c r="O946" i="3"/>
  <c r="P946" i="3"/>
  <c r="Q946" i="3"/>
  <c r="R946" i="3"/>
  <c r="G947" i="3"/>
  <c r="H947" i="3"/>
  <c r="I947" i="3"/>
  <c r="J947" i="3"/>
  <c r="K947" i="3"/>
  <c r="L947" i="3"/>
  <c r="N947" i="3"/>
  <c r="O947" i="3"/>
  <c r="P947" i="3"/>
  <c r="Q947" i="3"/>
  <c r="R947" i="3"/>
  <c r="G948" i="3"/>
  <c r="H948" i="3"/>
  <c r="I948" i="3"/>
  <c r="J948" i="3"/>
  <c r="K948" i="3"/>
  <c r="L948" i="3"/>
  <c r="N948" i="3"/>
  <c r="O948" i="3"/>
  <c r="P948" i="3"/>
  <c r="Q948" i="3"/>
  <c r="R948" i="3"/>
  <c r="G949" i="3"/>
  <c r="H949" i="3"/>
  <c r="I949" i="3"/>
  <c r="J949" i="3"/>
  <c r="K949" i="3"/>
  <c r="L949" i="3"/>
  <c r="N949" i="3"/>
  <c r="O949" i="3"/>
  <c r="P949" i="3"/>
  <c r="Q949" i="3"/>
  <c r="R949" i="3"/>
  <c r="G950" i="3"/>
  <c r="H950" i="3"/>
  <c r="I950" i="3"/>
  <c r="J950" i="3"/>
  <c r="K950" i="3"/>
  <c r="L950" i="3"/>
  <c r="N950" i="3"/>
  <c r="O950" i="3"/>
  <c r="P950" i="3"/>
  <c r="Q950" i="3"/>
  <c r="R950" i="3"/>
  <c r="G951" i="3"/>
  <c r="H951" i="3"/>
  <c r="I951" i="3"/>
  <c r="J951" i="3"/>
  <c r="K951" i="3"/>
  <c r="L951" i="3"/>
  <c r="N951" i="3"/>
  <c r="O951" i="3"/>
  <c r="P951" i="3"/>
  <c r="Q951" i="3"/>
  <c r="R951" i="3"/>
  <c r="G952" i="3"/>
  <c r="H952" i="3"/>
  <c r="I952" i="3"/>
  <c r="J952" i="3"/>
  <c r="K952" i="3"/>
  <c r="L952" i="3"/>
  <c r="N952" i="3"/>
  <c r="O952" i="3"/>
  <c r="P952" i="3"/>
  <c r="Q952" i="3"/>
  <c r="R952" i="3"/>
  <c r="G953" i="3"/>
  <c r="H953" i="3"/>
  <c r="I953" i="3"/>
  <c r="J953" i="3"/>
  <c r="K953" i="3"/>
  <c r="L953" i="3"/>
  <c r="N953" i="3"/>
  <c r="O953" i="3"/>
  <c r="P953" i="3"/>
  <c r="Q953" i="3"/>
  <c r="R953" i="3"/>
  <c r="G954" i="3"/>
  <c r="H954" i="3"/>
  <c r="I954" i="3"/>
  <c r="J954" i="3"/>
  <c r="K954" i="3"/>
  <c r="L954" i="3"/>
  <c r="N954" i="3"/>
  <c r="O954" i="3"/>
  <c r="P954" i="3"/>
  <c r="Q954" i="3"/>
  <c r="R954" i="3"/>
  <c r="G955" i="3"/>
  <c r="H955" i="3"/>
  <c r="I955" i="3"/>
  <c r="J955" i="3"/>
  <c r="K955" i="3"/>
  <c r="L955" i="3"/>
  <c r="N955" i="3"/>
  <c r="O955" i="3"/>
  <c r="P955" i="3"/>
  <c r="Q955" i="3"/>
  <c r="R955" i="3"/>
  <c r="G956" i="3"/>
  <c r="H956" i="3"/>
  <c r="I956" i="3"/>
  <c r="J956" i="3"/>
  <c r="K956" i="3"/>
  <c r="L956" i="3"/>
  <c r="N956" i="3"/>
  <c r="O956" i="3"/>
  <c r="P956" i="3"/>
  <c r="Q956" i="3"/>
  <c r="R956" i="3"/>
  <c r="G957" i="3"/>
  <c r="H957" i="3"/>
  <c r="I957" i="3"/>
  <c r="J957" i="3"/>
  <c r="K957" i="3"/>
  <c r="L957" i="3"/>
  <c r="N957" i="3"/>
  <c r="O957" i="3"/>
  <c r="P957" i="3"/>
  <c r="Q957" i="3"/>
  <c r="R957" i="3"/>
  <c r="G958" i="3"/>
  <c r="H958" i="3"/>
  <c r="I958" i="3"/>
  <c r="J958" i="3"/>
  <c r="K958" i="3"/>
  <c r="L958" i="3"/>
  <c r="N958" i="3"/>
  <c r="O958" i="3"/>
  <c r="P958" i="3"/>
  <c r="Q958" i="3"/>
  <c r="R958" i="3"/>
  <c r="G959" i="3"/>
  <c r="H959" i="3"/>
  <c r="I959" i="3"/>
  <c r="J959" i="3"/>
  <c r="K959" i="3"/>
  <c r="L959" i="3"/>
  <c r="N959" i="3"/>
  <c r="O959" i="3"/>
  <c r="P959" i="3"/>
  <c r="Q959" i="3"/>
  <c r="R959" i="3"/>
  <c r="G960" i="3"/>
  <c r="H960" i="3"/>
  <c r="I960" i="3"/>
  <c r="J960" i="3"/>
  <c r="K960" i="3"/>
  <c r="L960" i="3"/>
  <c r="N960" i="3"/>
  <c r="O960" i="3"/>
  <c r="P960" i="3"/>
  <c r="Q960" i="3"/>
  <c r="R960" i="3"/>
  <c r="G961" i="3"/>
  <c r="H961" i="3"/>
  <c r="I961" i="3"/>
  <c r="J961" i="3"/>
  <c r="K961" i="3"/>
  <c r="L961" i="3"/>
  <c r="N961" i="3"/>
  <c r="O961" i="3"/>
  <c r="P961" i="3"/>
  <c r="Q961" i="3"/>
  <c r="R961" i="3"/>
  <c r="G962" i="3"/>
  <c r="H962" i="3"/>
  <c r="I962" i="3"/>
  <c r="J962" i="3"/>
  <c r="K962" i="3"/>
  <c r="L962" i="3"/>
  <c r="N962" i="3"/>
  <c r="O962" i="3"/>
  <c r="P962" i="3"/>
  <c r="Q962" i="3"/>
  <c r="R962" i="3"/>
  <c r="G963" i="3"/>
  <c r="H963" i="3"/>
  <c r="I963" i="3"/>
  <c r="J963" i="3"/>
  <c r="K963" i="3"/>
  <c r="L963" i="3"/>
  <c r="N963" i="3"/>
  <c r="O963" i="3"/>
  <c r="P963" i="3"/>
  <c r="Q963" i="3"/>
  <c r="R963" i="3"/>
  <c r="G964" i="3"/>
  <c r="H964" i="3"/>
  <c r="I964" i="3"/>
  <c r="J964" i="3"/>
  <c r="K964" i="3"/>
  <c r="L964" i="3"/>
  <c r="N964" i="3"/>
  <c r="O964" i="3"/>
  <c r="P964" i="3"/>
  <c r="Q964" i="3"/>
  <c r="R964" i="3"/>
  <c r="G965" i="3"/>
  <c r="H965" i="3"/>
  <c r="I965" i="3"/>
  <c r="J965" i="3"/>
  <c r="K965" i="3"/>
  <c r="L965" i="3"/>
  <c r="N965" i="3"/>
  <c r="O965" i="3"/>
  <c r="P965" i="3"/>
  <c r="Q965" i="3"/>
  <c r="R965" i="3"/>
  <c r="G966" i="3"/>
  <c r="H966" i="3"/>
  <c r="I966" i="3"/>
  <c r="J966" i="3"/>
  <c r="K966" i="3"/>
  <c r="L966" i="3"/>
  <c r="N966" i="3"/>
  <c r="O966" i="3"/>
  <c r="P966" i="3"/>
  <c r="Q966" i="3"/>
  <c r="R966" i="3"/>
  <c r="G967" i="3"/>
  <c r="H967" i="3"/>
  <c r="I967" i="3"/>
  <c r="J967" i="3"/>
  <c r="K967" i="3"/>
  <c r="L967" i="3"/>
  <c r="N967" i="3"/>
  <c r="O967" i="3"/>
  <c r="P967" i="3"/>
  <c r="Q967" i="3"/>
  <c r="R967" i="3"/>
  <c r="G968" i="3"/>
  <c r="H968" i="3"/>
  <c r="I968" i="3"/>
  <c r="J968" i="3"/>
  <c r="K968" i="3"/>
  <c r="L968" i="3"/>
  <c r="N968" i="3"/>
  <c r="O968" i="3"/>
  <c r="P968" i="3"/>
  <c r="Q968" i="3"/>
  <c r="R968" i="3"/>
  <c r="G969" i="3"/>
  <c r="H969" i="3"/>
  <c r="I969" i="3"/>
  <c r="J969" i="3"/>
  <c r="K969" i="3"/>
  <c r="L969" i="3"/>
  <c r="N969" i="3"/>
  <c r="O969" i="3"/>
  <c r="P969" i="3"/>
  <c r="Q969" i="3"/>
  <c r="R969" i="3"/>
  <c r="G970" i="3"/>
  <c r="H970" i="3"/>
  <c r="I970" i="3"/>
  <c r="J970" i="3"/>
  <c r="K970" i="3"/>
  <c r="L970" i="3"/>
  <c r="N970" i="3"/>
  <c r="O970" i="3"/>
  <c r="P970" i="3"/>
  <c r="Q970" i="3"/>
  <c r="R970" i="3"/>
  <c r="G971" i="3"/>
  <c r="H971" i="3"/>
  <c r="I971" i="3"/>
  <c r="J971" i="3"/>
  <c r="K971" i="3"/>
  <c r="L971" i="3"/>
  <c r="N971" i="3"/>
  <c r="O971" i="3"/>
  <c r="P971" i="3"/>
  <c r="Q971" i="3"/>
  <c r="R971" i="3"/>
  <c r="G972" i="3"/>
  <c r="H972" i="3"/>
  <c r="I972" i="3"/>
  <c r="J972" i="3"/>
  <c r="K972" i="3"/>
  <c r="L972" i="3"/>
  <c r="N972" i="3"/>
  <c r="O972" i="3"/>
  <c r="P972" i="3"/>
  <c r="Q972" i="3"/>
  <c r="R972" i="3"/>
  <c r="G973" i="3"/>
  <c r="H973" i="3"/>
  <c r="I973" i="3"/>
  <c r="J973" i="3"/>
  <c r="K973" i="3"/>
  <c r="L973" i="3"/>
  <c r="N973" i="3"/>
  <c r="O973" i="3"/>
  <c r="P973" i="3"/>
  <c r="Q973" i="3"/>
  <c r="R973" i="3"/>
  <c r="G974" i="3"/>
  <c r="H974" i="3"/>
  <c r="I974" i="3"/>
  <c r="J974" i="3"/>
  <c r="K974" i="3"/>
  <c r="L974" i="3"/>
  <c r="N974" i="3"/>
  <c r="O974" i="3"/>
  <c r="P974" i="3"/>
  <c r="Q974" i="3"/>
  <c r="R974" i="3"/>
  <c r="G975" i="3"/>
  <c r="H975" i="3"/>
  <c r="I975" i="3"/>
  <c r="J975" i="3"/>
  <c r="K975" i="3"/>
  <c r="L975" i="3"/>
  <c r="N975" i="3"/>
  <c r="O975" i="3"/>
  <c r="P975" i="3"/>
  <c r="Q975" i="3"/>
  <c r="R975" i="3"/>
  <c r="G976" i="3"/>
  <c r="H976" i="3"/>
  <c r="I976" i="3"/>
  <c r="J976" i="3"/>
  <c r="K976" i="3"/>
  <c r="L976" i="3"/>
  <c r="N976" i="3"/>
  <c r="O976" i="3"/>
  <c r="P976" i="3"/>
  <c r="Q976" i="3"/>
  <c r="R976" i="3"/>
  <c r="G977" i="3"/>
  <c r="H977" i="3"/>
  <c r="I977" i="3"/>
  <c r="J977" i="3"/>
  <c r="K977" i="3"/>
  <c r="L977" i="3"/>
  <c r="N977" i="3"/>
  <c r="O977" i="3"/>
  <c r="P977" i="3"/>
  <c r="Q977" i="3"/>
  <c r="R977" i="3"/>
  <c r="G978" i="3"/>
  <c r="H978" i="3"/>
  <c r="I978" i="3"/>
  <c r="J978" i="3"/>
  <c r="K978" i="3"/>
  <c r="L978" i="3"/>
  <c r="N978" i="3"/>
  <c r="O978" i="3"/>
  <c r="P978" i="3"/>
  <c r="Q978" i="3"/>
  <c r="R978" i="3"/>
  <c r="G979" i="3"/>
  <c r="H979" i="3"/>
  <c r="I979" i="3"/>
  <c r="J979" i="3"/>
  <c r="K979" i="3"/>
  <c r="L979" i="3"/>
  <c r="N979" i="3"/>
  <c r="O979" i="3"/>
  <c r="P979" i="3"/>
  <c r="Q979" i="3"/>
  <c r="R979" i="3"/>
  <c r="G980" i="3"/>
  <c r="H980" i="3"/>
  <c r="I980" i="3"/>
  <c r="J980" i="3"/>
  <c r="K980" i="3"/>
  <c r="L980" i="3"/>
  <c r="N980" i="3"/>
  <c r="O980" i="3"/>
  <c r="P980" i="3"/>
  <c r="Q980" i="3"/>
  <c r="R980" i="3"/>
  <c r="G981" i="3"/>
  <c r="H981" i="3"/>
  <c r="I981" i="3"/>
  <c r="J981" i="3"/>
  <c r="K981" i="3"/>
  <c r="L981" i="3"/>
  <c r="N981" i="3"/>
  <c r="O981" i="3"/>
  <c r="P981" i="3"/>
  <c r="Q981" i="3"/>
  <c r="R981" i="3"/>
  <c r="G982" i="3"/>
  <c r="H982" i="3"/>
  <c r="I982" i="3"/>
  <c r="J982" i="3"/>
  <c r="K982" i="3"/>
  <c r="L982" i="3"/>
  <c r="N982" i="3"/>
  <c r="O982" i="3"/>
  <c r="P982" i="3"/>
  <c r="Q982" i="3"/>
  <c r="R982" i="3"/>
  <c r="G983" i="3"/>
  <c r="H983" i="3"/>
  <c r="I983" i="3"/>
  <c r="J983" i="3"/>
  <c r="K983" i="3"/>
  <c r="L983" i="3"/>
  <c r="N983" i="3"/>
  <c r="O983" i="3"/>
  <c r="P983" i="3"/>
  <c r="Q983" i="3"/>
  <c r="R983" i="3"/>
  <c r="G984" i="3"/>
  <c r="H984" i="3"/>
  <c r="I984" i="3"/>
  <c r="J984" i="3"/>
  <c r="K984" i="3"/>
  <c r="L984" i="3"/>
  <c r="N984" i="3"/>
  <c r="O984" i="3"/>
  <c r="P984" i="3"/>
  <c r="Q984" i="3"/>
  <c r="R984" i="3"/>
  <c r="G985" i="3"/>
  <c r="H985" i="3"/>
  <c r="I985" i="3"/>
  <c r="J985" i="3"/>
  <c r="K985" i="3"/>
  <c r="L985" i="3"/>
  <c r="N985" i="3"/>
  <c r="O985" i="3"/>
  <c r="P985" i="3"/>
  <c r="Q985" i="3"/>
  <c r="R985" i="3"/>
  <c r="G986" i="3"/>
  <c r="H986" i="3"/>
  <c r="I986" i="3"/>
  <c r="J986" i="3"/>
  <c r="K986" i="3"/>
  <c r="L986" i="3"/>
  <c r="N986" i="3"/>
  <c r="O986" i="3"/>
  <c r="P986" i="3"/>
  <c r="Q986" i="3"/>
  <c r="R986" i="3"/>
  <c r="G987" i="3"/>
  <c r="H987" i="3"/>
  <c r="I987" i="3"/>
  <c r="J987" i="3"/>
  <c r="K987" i="3"/>
  <c r="L987" i="3"/>
  <c r="N987" i="3"/>
  <c r="O987" i="3"/>
  <c r="P987" i="3"/>
  <c r="Q987" i="3"/>
  <c r="R987" i="3"/>
  <c r="G988" i="3"/>
  <c r="H988" i="3"/>
  <c r="I988" i="3"/>
  <c r="J988" i="3"/>
  <c r="K988" i="3"/>
  <c r="L988" i="3"/>
  <c r="N988" i="3"/>
  <c r="O988" i="3"/>
  <c r="P988" i="3"/>
  <c r="Q988" i="3"/>
  <c r="R988" i="3"/>
  <c r="G989" i="3"/>
  <c r="H989" i="3"/>
  <c r="I989" i="3"/>
  <c r="J989" i="3"/>
  <c r="K989" i="3"/>
  <c r="L989" i="3"/>
  <c r="N989" i="3"/>
  <c r="O989" i="3"/>
  <c r="P989" i="3"/>
  <c r="Q989" i="3"/>
  <c r="R989" i="3"/>
  <c r="G990" i="3"/>
  <c r="H990" i="3"/>
  <c r="I990" i="3"/>
  <c r="J990" i="3"/>
  <c r="K990" i="3"/>
  <c r="L990" i="3"/>
  <c r="N990" i="3"/>
  <c r="O990" i="3"/>
  <c r="P990" i="3"/>
  <c r="Q990" i="3"/>
  <c r="R990" i="3"/>
  <c r="G991" i="3"/>
  <c r="H991" i="3"/>
  <c r="I991" i="3"/>
  <c r="J991" i="3"/>
  <c r="K991" i="3"/>
  <c r="L991" i="3"/>
  <c r="N991" i="3"/>
  <c r="O991" i="3"/>
  <c r="P991" i="3"/>
  <c r="Q991" i="3"/>
  <c r="R991" i="3"/>
  <c r="G992" i="3"/>
  <c r="H992" i="3"/>
  <c r="I992" i="3"/>
  <c r="J992" i="3"/>
  <c r="K992" i="3"/>
  <c r="L992" i="3"/>
  <c r="N992" i="3"/>
  <c r="O992" i="3"/>
  <c r="P992" i="3"/>
  <c r="Q992" i="3"/>
  <c r="R992" i="3"/>
  <c r="G993" i="3"/>
  <c r="H993" i="3"/>
  <c r="I993" i="3"/>
  <c r="J993" i="3"/>
  <c r="K993" i="3"/>
  <c r="L993" i="3"/>
  <c r="N993" i="3"/>
  <c r="O993" i="3"/>
  <c r="P993" i="3"/>
  <c r="Q993" i="3"/>
  <c r="R993" i="3"/>
  <c r="G994" i="3"/>
  <c r="H994" i="3"/>
  <c r="I994" i="3"/>
  <c r="J994" i="3"/>
  <c r="K994" i="3"/>
  <c r="L994" i="3"/>
  <c r="N994" i="3"/>
  <c r="O994" i="3"/>
  <c r="P994" i="3"/>
  <c r="Q994" i="3"/>
  <c r="R994" i="3"/>
  <c r="G995" i="3"/>
  <c r="H995" i="3"/>
  <c r="I995" i="3"/>
  <c r="J995" i="3"/>
  <c r="K995" i="3"/>
  <c r="L995" i="3"/>
  <c r="N995" i="3"/>
  <c r="O995" i="3"/>
  <c r="P995" i="3"/>
  <c r="Q995" i="3"/>
  <c r="R995" i="3"/>
  <c r="G996" i="3"/>
  <c r="H996" i="3"/>
  <c r="I996" i="3"/>
  <c r="J996" i="3"/>
  <c r="K996" i="3"/>
  <c r="L996" i="3"/>
  <c r="N996" i="3"/>
  <c r="O996" i="3"/>
  <c r="P996" i="3"/>
  <c r="Q996" i="3"/>
  <c r="R996" i="3"/>
  <c r="G997" i="3"/>
  <c r="H997" i="3"/>
  <c r="I997" i="3"/>
  <c r="J997" i="3"/>
  <c r="K997" i="3"/>
  <c r="L997" i="3"/>
  <c r="N997" i="3"/>
  <c r="O997" i="3"/>
  <c r="P997" i="3"/>
  <c r="Q997" i="3"/>
  <c r="R997" i="3"/>
  <c r="G998" i="3"/>
  <c r="H998" i="3"/>
  <c r="I998" i="3"/>
  <c r="J998" i="3"/>
  <c r="K998" i="3"/>
  <c r="L998" i="3"/>
  <c r="N998" i="3"/>
  <c r="O998" i="3"/>
  <c r="P998" i="3"/>
  <c r="Q998" i="3"/>
  <c r="R998" i="3"/>
  <c r="G999" i="3"/>
  <c r="H999" i="3"/>
  <c r="I999" i="3"/>
  <c r="J999" i="3"/>
  <c r="K999" i="3"/>
  <c r="L999" i="3"/>
  <c r="N999" i="3"/>
  <c r="O999" i="3"/>
  <c r="P999" i="3"/>
  <c r="Q999" i="3"/>
  <c r="R999" i="3"/>
  <c r="G1000" i="3"/>
  <c r="H1000" i="3"/>
  <c r="I1000" i="3"/>
  <c r="J1000" i="3"/>
  <c r="K1000" i="3"/>
  <c r="L1000" i="3"/>
  <c r="N1000" i="3"/>
  <c r="O1000" i="3"/>
  <c r="P1000" i="3"/>
  <c r="Q1000" i="3"/>
  <c r="R1000" i="3"/>
  <c r="G1001" i="3"/>
  <c r="H1001" i="3"/>
  <c r="I1001" i="3"/>
  <c r="J1001" i="3"/>
  <c r="K1001" i="3"/>
  <c r="L1001" i="3"/>
  <c r="N1001" i="3"/>
  <c r="O1001" i="3"/>
  <c r="P1001" i="3"/>
  <c r="Q1001" i="3"/>
  <c r="R1001" i="3"/>
  <c r="G1002" i="3"/>
  <c r="H1002" i="3"/>
  <c r="I1002" i="3"/>
  <c r="J1002" i="3"/>
  <c r="K1002" i="3"/>
  <c r="L1002" i="3"/>
  <c r="N1002" i="3"/>
  <c r="O1002" i="3"/>
  <c r="P1002" i="3"/>
  <c r="Q1002" i="3"/>
  <c r="R1002" i="3"/>
  <c r="G1003" i="3"/>
  <c r="H1003" i="3"/>
  <c r="I1003" i="3"/>
  <c r="J1003" i="3"/>
  <c r="K1003" i="3"/>
  <c r="L1003" i="3"/>
  <c r="N1003" i="3"/>
  <c r="O1003" i="3"/>
  <c r="P1003" i="3"/>
  <c r="Q1003" i="3"/>
  <c r="R1003" i="3"/>
  <c r="G1004" i="3"/>
  <c r="H1004" i="3"/>
  <c r="I1004" i="3"/>
  <c r="J1004" i="3"/>
  <c r="K1004" i="3"/>
  <c r="L1004" i="3"/>
  <c r="N1004" i="3"/>
  <c r="O1004" i="3"/>
  <c r="P1004" i="3"/>
  <c r="Q1004" i="3"/>
  <c r="R1004" i="3"/>
  <c r="G1005" i="3"/>
  <c r="H1005" i="3"/>
  <c r="I1005" i="3"/>
  <c r="J1005" i="3"/>
  <c r="K1005" i="3"/>
  <c r="L1005" i="3"/>
  <c r="N1005" i="3"/>
  <c r="O1005" i="3"/>
  <c r="P1005" i="3"/>
  <c r="Q1005" i="3"/>
  <c r="R1005" i="3"/>
  <c r="G1006" i="3"/>
  <c r="H1006" i="3"/>
  <c r="I1006" i="3"/>
  <c r="J1006" i="3"/>
  <c r="K1006" i="3"/>
  <c r="L1006" i="3"/>
  <c r="N1006" i="3"/>
  <c r="O1006" i="3"/>
  <c r="P1006" i="3"/>
  <c r="Q1006" i="3"/>
  <c r="R1006" i="3"/>
  <c r="G1007" i="3"/>
  <c r="H1007" i="3"/>
  <c r="I1007" i="3"/>
  <c r="J1007" i="3"/>
  <c r="K1007" i="3"/>
  <c r="L1007" i="3"/>
  <c r="N1007" i="3"/>
  <c r="O1007" i="3"/>
  <c r="P1007" i="3"/>
  <c r="Q1007" i="3"/>
  <c r="R1007" i="3"/>
  <c r="G1008" i="3"/>
  <c r="H1008" i="3"/>
  <c r="I1008" i="3"/>
  <c r="J1008" i="3"/>
  <c r="K1008" i="3"/>
  <c r="L1008" i="3"/>
  <c r="N1008" i="3"/>
  <c r="O1008" i="3"/>
  <c r="P1008" i="3"/>
  <c r="Q1008" i="3"/>
  <c r="R1008" i="3"/>
  <c r="G1009" i="3"/>
  <c r="H1009" i="3"/>
  <c r="I1009" i="3"/>
  <c r="J1009" i="3"/>
  <c r="K1009" i="3"/>
  <c r="L1009" i="3"/>
  <c r="N1009" i="3"/>
  <c r="O1009" i="3"/>
  <c r="P1009" i="3"/>
  <c r="Q1009" i="3"/>
  <c r="R1009" i="3"/>
  <c r="G1010" i="3"/>
  <c r="H1010" i="3"/>
  <c r="I1010" i="3"/>
  <c r="J1010" i="3"/>
  <c r="K1010" i="3"/>
  <c r="L1010" i="3"/>
  <c r="N1010" i="3"/>
  <c r="O1010" i="3"/>
  <c r="P1010" i="3"/>
  <c r="Q1010" i="3"/>
  <c r="R1010" i="3"/>
  <c r="G1011" i="3"/>
  <c r="H1011" i="3"/>
  <c r="I1011" i="3"/>
  <c r="J1011" i="3"/>
  <c r="K1011" i="3"/>
  <c r="L1011" i="3"/>
  <c r="N1011" i="3"/>
  <c r="O1011" i="3"/>
  <c r="P1011" i="3"/>
  <c r="Q1011" i="3"/>
  <c r="R1011" i="3"/>
  <c r="G1012" i="3"/>
  <c r="H1012" i="3"/>
  <c r="I1012" i="3"/>
  <c r="J1012" i="3"/>
  <c r="K1012" i="3"/>
  <c r="L1012" i="3"/>
  <c r="N1012" i="3"/>
  <c r="O1012" i="3"/>
  <c r="P1012" i="3"/>
  <c r="Q1012" i="3"/>
  <c r="R1012" i="3"/>
  <c r="G1013" i="3"/>
  <c r="H1013" i="3"/>
  <c r="I1013" i="3"/>
  <c r="J1013" i="3"/>
  <c r="K1013" i="3"/>
  <c r="L1013" i="3"/>
  <c r="N1013" i="3"/>
  <c r="O1013" i="3"/>
  <c r="P1013" i="3"/>
  <c r="Q1013" i="3"/>
  <c r="R1013" i="3"/>
  <c r="G1014" i="3"/>
  <c r="H1014" i="3"/>
  <c r="I1014" i="3"/>
  <c r="J1014" i="3"/>
  <c r="K1014" i="3"/>
  <c r="L1014" i="3"/>
  <c r="N1014" i="3"/>
  <c r="O1014" i="3"/>
  <c r="P1014" i="3"/>
  <c r="Q1014" i="3"/>
  <c r="R1014" i="3"/>
  <c r="G1015" i="3"/>
  <c r="H1015" i="3"/>
  <c r="I1015" i="3"/>
  <c r="J1015" i="3"/>
  <c r="K1015" i="3"/>
  <c r="L1015" i="3"/>
  <c r="N1015" i="3"/>
  <c r="O1015" i="3"/>
  <c r="P1015" i="3"/>
  <c r="Q1015" i="3"/>
  <c r="R1015" i="3"/>
  <c r="G1016" i="3"/>
  <c r="H1016" i="3"/>
  <c r="I1016" i="3"/>
  <c r="J1016" i="3"/>
  <c r="K1016" i="3"/>
  <c r="L1016" i="3"/>
  <c r="N1016" i="3"/>
  <c r="O1016" i="3"/>
  <c r="P1016" i="3"/>
  <c r="Q1016" i="3"/>
  <c r="R1016" i="3"/>
  <c r="G1017" i="3"/>
  <c r="H1017" i="3"/>
  <c r="I1017" i="3"/>
  <c r="J1017" i="3"/>
  <c r="K1017" i="3"/>
  <c r="L1017" i="3"/>
  <c r="N1017" i="3"/>
  <c r="O1017" i="3"/>
  <c r="P1017" i="3"/>
  <c r="Q1017" i="3"/>
  <c r="R1017"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S1" authorId="0" shapeId="0" xr:uid="{6F7C0682-C1C2-44FC-8E78-2ADE659EE4B9}">
      <text>
        <r>
          <rPr>
            <b/>
            <sz val="12"/>
            <color indexed="81"/>
            <rFont val="Tahoma"/>
            <family val="2"/>
          </rPr>
          <t>Learning Rate Scheduler</t>
        </r>
        <r>
          <rPr>
            <sz val="12"/>
            <color indexed="81"/>
            <rFont val="Tahoma"/>
            <family val="2"/>
          </rPr>
          <t xml:space="preserve">:  "From Step /To Step / use this LR" table says </t>
        </r>
        <r>
          <rPr>
            <b/>
            <sz val="12"/>
            <color indexed="81"/>
            <rFont val="Tahoma"/>
            <family val="2"/>
          </rPr>
          <t>how much</t>
        </r>
        <r>
          <rPr>
            <sz val="12"/>
            <color indexed="81"/>
            <rFont val="Tahoma"/>
            <family val="2"/>
          </rPr>
          <t xml:space="preserve"> </t>
        </r>
        <r>
          <rPr>
            <b/>
            <sz val="12"/>
            <color indexed="81"/>
            <rFont val="Tahoma"/>
            <family val="2"/>
          </rPr>
          <t>to change the weights</t>
        </r>
        <r>
          <rPr>
            <sz val="12"/>
            <color indexed="81"/>
            <rFont val="Tahoma"/>
            <family val="2"/>
          </rPr>
          <t xml:space="preserve"> </t>
        </r>
        <r>
          <rPr>
            <i/>
            <sz val="12"/>
            <color indexed="81"/>
            <rFont val="Tahoma"/>
            <family val="2"/>
          </rPr>
          <t>a</t>
        </r>
        <r>
          <rPr>
            <sz val="12"/>
            <color indexed="81"/>
            <rFont val="Tahoma"/>
            <family val="2"/>
          </rPr>
          <t xml:space="preserve">, </t>
        </r>
        <r>
          <rPr>
            <i/>
            <sz val="12"/>
            <color indexed="81"/>
            <rFont val="Tahoma"/>
            <family val="2"/>
          </rPr>
          <t>b</t>
        </r>
        <r>
          <rPr>
            <sz val="12"/>
            <color indexed="81"/>
            <rFont val="Tahoma"/>
            <family val="2"/>
          </rPr>
          <t xml:space="preserve">, </t>
        </r>
        <r>
          <rPr>
            <i/>
            <sz val="12"/>
            <color indexed="81"/>
            <rFont val="Tahoma"/>
            <family val="2"/>
          </rPr>
          <t>c</t>
        </r>
        <r>
          <rPr>
            <sz val="12"/>
            <color indexed="81"/>
            <rFont val="Tahoma"/>
            <family val="2"/>
          </rPr>
          <t xml:space="preserve">, </t>
        </r>
        <r>
          <rPr>
            <i/>
            <sz val="12"/>
            <color indexed="81"/>
            <rFont val="Tahoma"/>
            <family val="2"/>
          </rPr>
          <t>d</t>
        </r>
        <r>
          <rPr>
            <sz val="12"/>
            <color indexed="81"/>
            <rFont val="Tahoma"/>
            <family val="2"/>
          </rPr>
          <t xml:space="preserve">, and </t>
        </r>
        <r>
          <rPr>
            <i/>
            <sz val="12"/>
            <color indexed="81"/>
            <rFont val="Tahoma"/>
            <family val="2"/>
          </rPr>
          <t>e</t>
        </r>
        <r>
          <rPr>
            <sz val="12"/>
            <color indexed="81"/>
            <rFont val="Tahoma"/>
            <family val="2"/>
          </rPr>
          <t xml:space="preserve"> in the opposite direction of the gradient of each weight. The  step i - Epoch -  will  use the LR value of its range.</t>
        </r>
      </text>
    </comment>
    <comment ref="G4" authorId="0" shapeId="0" xr:uid="{0E85A6E3-6717-4AC7-8693-34D3C8694C51}">
      <text>
        <r>
          <rPr>
            <sz val="12"/>
            <color indexed="81"/>
            <rFont val="Tahoma"/>
            <family val="2"/>
          </rPr>
          <t xml:space="preserve">Compute the new value for a used for iteration (current step) computing the new Total Loss in the expectation that the error will decrease. 
Trick: the formula in cell is </t>
        </r>
        <r>
          <rPr>
            <b/>
            <sz val="12"/>
            <color indexed="81"/>
            <rFont val="Tahoma"/>
            <family val="2"/>
          </rPr>
          <t>recursive</t>
        </r>
        <r>
          <rPr>
            <sz val="12"/>
            <color indexed="81"/>
            <rFont val="Tahoma"/>
            <family val="2"/>
          </rPr>
          <t xml:space="preserve">, or </t>
        </r>
        <r>
          <rPr>
            <b/>
            <sz val="12"/>
            <color indexed="81"/>
            <rFont val="Tahoma"/>
            <family val="2"/>
          </rPr>
          <t>iterative</t>
        </r>
        <r>
          <rPr>
            <sz val="12"/>
            <color indexed="81"/>
            <rFont val="Tahoma"/>
            <family val="2"/>
          </rPr>
          <t>,</t>
        </r>
        <r>
          <rPr>
            <b/>
            <sz val="12"/>
            <color indexed="81"/>
            <rFont val="Tahoma"/>
            <family val="2"/>
          </rPr>
          <t xml:space="preserve"> </t>
        </r>
        <r>
          <rPr>
            <sz val="12"/>
            <color indexed="81"/>
            <rFont val="Tahoma"/>
            <family val="2"/>
          </rPr>
          <t>because id defined as the cell itself less the related gradient multiplied by LR(current step).</t>
        </r>
      </text>
    </comment>
    <comment ref="L4" authorId="0" shapeId="0" xr:uid="{7AFA01C4-90F3-412F-8277-FA4F85A98BC4}">
      <text>
        <r>
          <rPr>
            <sz val="12"/>
            <color indexed="81"/>
            <rFont val="Tahoma"/>
            <family val="2"/>
          </rPr>
          <t xml:space="preserve">The goal of the model is </t>
        </r>
        <r>
          <rPr>
            <b/>
            <sz val="12"/>
            <color indexed="81"/>
            <rFont val="Tahoma"/>
            <family val="2"/>
          </rPr>
          <t xml:space="preserve">to find </t>
        </r>
        <r>
          <rPr>
            <sz val="12"/>
            <color indexed="81"/>
            <rFont val="Tahoma"/>
            <family val="2"/>
          </rPr>
          <t xml:space="preserve">the parameters (or </t>
        </r>
        <r>
          <rPr>
            <b/>
            <sz val="12"/>
            <color indexed="81"/>
            <rFont val="Tahoma"/>
            <family val="2"/>
          </rPr>
          <t>weights</t>
        </r>
        <r>
          <rPr>
            <sz val="12"/>
            <color indexed="81"/>
            <rFont val="Tahoma"/>
            <family val="2"/>
          </rPr>
          <t>)</t>
        </r>
        <r>
          <rPr>
            <b/>
            <sz val="12"/>
            <color indexed="81"/>
            <rFont val="Tahoma"/>
            <family val="2"/>
          </rPr>
          <t xml:space="preserve"> </t>
        </r>
        <r>
          <rPr>
            <sz val="12"/>
            <color indexed="81"/>
            <rFont val="Tahoma"/>
            <family val="2"/>
          </rPr>
          <t xml:space="preserve">a, b, c, d and e </t>
        </r>
        <r>
          <rPr>
            <b/>
            <sz val="12"/>
            <color indexed="81"/>
            <rFont val="Tahoma"/>
            <family val="2"/>
          </rPr>
          <t>that minimize</t>
        </r>
        <r>
          <rPr>
            <sz val="12"/>
            <color indexed="81"/>
            <rFont val="Tahoma"/>
            <family val="2"/>
          </rPr>
          <t xml:space="preserve"> the error - </t>
        </r>
        <r>
          <rPr>
            <b/>
            <sz val="12"/>
            <color indexed="81"/>
            <rFont val="Tahoma"/>
            <family val="2"/>
          </rPr>
          <t>Total Loss</t>
        </r>
        <r>
          <rPr>
            <sz val="12"/>
            <color indexed="81"/>
            <rFont val="Tahoma"/>
            <family val="2"/>
          </rPr>
          <t xml:space="preserve"> - computed as Sum of Squared Errors - </t>
        </r>
        <r>
          <rPr>
            <b/>
            <sz val="12"/>
            <color indexed="81"/>
            <rFont val="Tahoma"/>
            <family val="2"/>
          </rPr>
          <t>SSE -</t>
        </r>
      </text>
    </comment>
    <comment ref="N4" authorId="0" shapeId="0" xr:uid="{2F96B9E5-3847-4440-B1AF-F03EFFE29A38}">
      <text>
        <r>
          <rPr>
            <b/>
            <sz val="12"/>
            <color indexed="81"/>
            <rFont val="Tahoma"/>
            <family val="2"/>
          </rPr>
          <t>Batch Gradient Descent</t>
        </r>
        <r>
          <rPr>
            <sz val="12"/>
            <color indexed="81"/>
            <rFont val="Tahoma"/>
            <family val="2"/>
          </rPr>
          <t xml:space="preserve">: The gradient of each weight (a, b, c, d) is computed as the average of the gradient of all points. Every point votes how to change the curve in order to "touch it" (go up or down): it is a compromise that satisfies all points (15 point in our simple example) at the same time and minimize the noise caused by outliers as the point with x = 2 in our example.
While the </t>
        </r>
        <r>
          <rPr>
            <b/>
            <sz val="12"/>
            <color indexed="81"/>
            <rFont val="Tahoma"/>
            <family val="2"/>
          </rPr>
          <t>Stochastic Gradient Descent</t>
        </r>
        <r>
          <rPr>
            <sz val="12"/>
            <color indexed="81"/>
            <rFont val="Tahoma"/>
            <family val="2"/>
          </rPr>
          <t xml:space="preserve"> uses one point at time, the Batch Gradient Descent observes all the data in same time and completes an </t>
        </r>
        <r>
          <rPr>
            <b/>
            <sz val="12"/>
            <color indexed="81"/>
            <rFont val="Tahoma"/>
            <family val="2"/>
          </rPr>
          <t xml:space="preserve">Epoch: </t>
        </r>
        <r>
          <rPr>
            <sz val="12"/>
            <color indexed="81"/>
            <rFont val="Tahoma"/>
            <family val="2"/>
          </rPr>
          <t xml:space="preserve">each time our &lt;current_step&gt; increases by 1, we have completed an epoch.
</t>
        </r>
      </text>
    </comment>
    <comment ref="V8" authorId="0" shapeId="0" xr:uid="{FF50A7EF-90D9-4D6A-BC18-5100A5B94E72}">
      <text>
        <r>
          <rPr>
            <b/>
            <sz val="12"/>
            <color indexed="81"/>
            <rFont val="Tahoma"/>
            <family val="2"/>
          </rPr>
          <t>Local Gradient</t>
        </r>
        <r>
          <rPr>
            <sz val="12"/>
            <color indexed="81"/>
            <rFont val="Tahoma"/>
            <family val="2"/>
          </rPr>
          <t xml:space="preserve"> computation: I trust the formula Gemini provided me and I have copied in the cell. 
The gradient says how the weights (parameters a, b, c, ...)  contribute to the error (y^ - y): changing the weights in the opposite direction of the related gradient then the Total Loss should decrease.
The process that "propagates" the error backward from "y" to weights a, b, c, and d is called </t>
        </r>
        <r>
          <rPr>
            <b/>
            <sz val="12"/>
            <color indexed="81"/>
            <rFont val="Tahoma"/>
            <family val="2"/>
          </rPr>
          <t>backpropagation</t>
        </r>
        <r>
          <rPr>
            <sz val="12"/>
            <color indexed="81"/>
            <rFont val="Tahoma"/>
            <family val="2"/>
          </rPr>
          <t xml:space="preserve">. See https://youtu.be/SmZmBKc7Lrs?si=pj_KpEU2GtxYdmXC to have a simple explanation of this algorithm 
</t>
        </r>
        <r>
          <rPr>
            <b/>
            <sz val="12"/>
            <color indexed="81"/>
            <rFont val="Tahoma"/>
            <family val="2"/>
          </rPr>
          <t>Gradient</t>
        </r>
        <r>
          <rPr>
            <sz val="12"/>
            <color indexed="81"/>
            <rFont val="Tahoma"/>
            <family val="2"/>
          </rPr>
          <t>: Average of Local Gradient</t>
        </r>
      </text>
    </comment>
    <comment ref="G11" authorId="0" shapeId="0" xr:uid="{FEA67A8E-1ABF-4073-AB39-8E5788C4E303}">
      <text>
        <r>
          <rPr>
            <b/>
            <sz val="9"/>
            <color indexed="81"/>
            <rFont val="Tahoma"/>
            <family val="2"/>
          </rPr>
          <t xml:space="preserve">The 4th degree polynomial explains R^2% of the cases of the observed phenomenon
R^2 &gt; 0.9: Excellent
R^2 &lt; 0.50: week
</t>
        </r>
      </text>
    </comment>
    <comment ref="G12" authorId="0" shapeId="0" xr:uid="{3F3E5DE9-472E-486E-A6DB-87654063D50F}">
      <text>
        <r>
          <rPr>
            <b/>
            <sz val="9"/>
            <color indexed="81"/>
            <rFont val="Tahoma"/>
            <family val="2"/>
          </rPr>
          <t>It means that on average, your predictions are off by MAE units</t>
        </r>
      </text>
    </comment>
    <comment ref="G13" authorId="0" shapeId="0" xr:uid="{9CC45E56-51C6-4B7B-8E5A-F0E36C5E2A1F}">
      <text>
        <r>
          <rPr>
            <b/>
            <sz val="9"/>
            <color indexed="81"/>
            <rFont val="Tahoma"/>
            <family val="2"/>
          </rPr>
          <t>Values under 10% indicate excellent model performance in most fields</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<sst xmlns="http://schemas.openxmlformats.org/spreadsheetml/2006/main" count="1653" uniqueCount="79">
  <si>
    <t>d</t>
  </si>
  <si>
    <t>y</t>
  </si>
  <si>
    <t>X</t>
  </si>
  <si>
    <t xml:space="preserve">y_hat </t>
  </si>
  <si>
    <t>Grad_a</t>
  </si>
  <si>
    <t>2 (y_hat - y) *  x^3</t>
  </si>
  <si>
    <t>2 (y_hat - y) *  x^2</t>
  </si>
  <si>
    <t xml:space="preserve">2 (y_hat - y) </t>
  </si>
  <si>
    <t>a</t>
  </si>
  <si>
    <t>+</t>
  </si>
  <si>
    <t>x</t>
  </si>
  <si>
    <t>Squared Error</t>
  </si>
  <si>
    <t>Grad_b</t>
  </si>
  <si>
    <t>Grad_c</t>
  </si>
  <si>
    <t>Grad_d</t>
  </si>
  <si>
    <t>Step</t>
  </si>
  <si>
    <t>Current
Step</t>
  </si>
  <si>
    <t>Current 
a</t>
  </si>
  <si>
    <t>b</t>
  </si>
  <si>
    <t>c</t>
  </si>
  <si>
    <t>Total Loss</t>
  </si>
  <si>
    <t>Total Loss
(SSE)</t>
  </si>
  <si>
    <t>Current 
b</t>
  </si>
  <si>
    <t>Current 
c</t>
  </si>
  <si>
    <t>Current 
d</t>
  </si>
  <si>
    <t>y^</t>
  </si>
  <si>
    <t>(y ^- y)</t>
  </si>
  <si>
    <t>==&gt;</t>
  </si>
  <si>
    <t>Current 
Grad_a</t>
  </si>
  <si>
    <t>Current 
Grad_b</t>
  </si>
  <si>
    <t>Current 
Grad_c</t>
  </si>
  <si>
    <t>Current 
Grad_d</t>
  </si>
  <si>
    <t>(y_hat - y) ^2</t>
  </si>
  <si>
    <t>&lt;- MAX iterations</t>
  </si>
  <si>
    <t>LR</t>
  </si>
  <si>
    <t>FromStep</t>
  </si>
  <si>
    <t>ToStep</t>
  </si>
  <si>
    <t>y_prediction</t>
  </si>
  <si>
    <t>e =</t>
  </si>
  <si>
    <t>a =</t>
  </si>
  <si>
    <t>b =</t>
  </si>
  <si>
    <t>c =</t>
  </si>
  <si>
    <t>d =</t>
  </si>
  <si>
    <t>e</t>
  </si>
  <si>
    <t>Current 
e</t>
  </si>
  <si>
    <t>Grad_e</t>
  </si>
  <si>
    <t>2 (y_hat - y) *  x^4</t>
  </si>
  <si>
    <t>2 (y_hat - y)  * x</t>
  </si>
  <si>
    <t>Current 
Grad_e</t>
  </si>
  <si>
    <t>&gt;&gt;&gt;&gt;&gt;&gt;2</t>
  </si>
  <si>
    <t>&lt;-- Corr(x,y)</t>
  </si>
  <si>
    <t>&lt;-- x  Avg</t>
  </si>
  <si>
    <t>&lt;-- x StdDev</t>
  </si>
  <si>
    <t>x_input</t>
  </si>
  <si>
    <t>Real Data x,y</t>
  </si>
  <si>
    <t>y=</t>
  </si>
  <si>
    <t>Err</t>
  </si>
  <si>
    <t>ABS_ERR</t>
  </si>
  <si>
    <t>x_scaled= (x - Avg(x) ) / 
StdDev(x)</t>
  </si>
  <si>
    <t>x_scaled</t>
  </si>
  <si>
    <r>
      <rPr>
        <b/>
        <sz val="22"/>
        <color theme="1"/>
        <rFont val="Arial"/>
        <family val="2"/>
      </rPr>
      <t>a</t>
    </r>
    <r>
      <rPr>
        <b/>
        <sz val="11"/>
        <color theme="1"/>
        <rFont val="Arial"/>
        <family val="2"/>
      </rPr>
      <t xml:space="preserve"> * x^4</t>
    </r>
  </si>
  <si>
    <r>
      <rPr>
        <b/>
        <sz val="22"/>
        <color theme="1"/>
        <rFont val="Arial"/>
        <family val="2"/>
      </rPr>
      <t>b</t>
    </r>
    <r>
      <rPr>
        <b/>
        <sz val="11"/>
        <color theme="1"/>
        <rFont val="Arial"/>
        <family val="2"/>
      </rPr>
      <t xml:space="preserve"> * x^3</t>
    </r>
  </si>
  <si>
    <r>
      <rPr>
        <b/>
        <sz val="22"/>
        <color theme="1"/>
        <rFont val="Arial"/>
        <family val="2"/>
      </rPr>
      <t>c</t>
    </r>
    <r>
      <rPr>
        <b/>
        <sz val="11"/>
        <color theme="1"/>
        <rFont val="Arial"/>
        <family val="2"/>
      </rPr>
      <t xml:space="preserve"> * x^2</t>
    </r>
  </si>
  <si>
    <r>
      <rPr>
        <b/>
        <sz val="22"/>
        <color theme="1"/>
        <rFont val="Arial"/>
        <family val="2"/>
      </rPr>
      <t>d</t>
    </r>
    <r>
      <rPr>
        <b/>
        <sz val="16"/>
        <color theme="1"/>
        <rFont val="Arial"/>
        <family val="2"/>
      </rPr>
      <t xml:space="preserve"> * x</t>
    </r>
  </si>
  <si>
    <t>&lt;-- MAPE - Mean Abs Perc. Error</t>
  </si>
  <si>
    <t>&lt;-- MAE - Mean Absolute Error</t>
  </si>
  <si>
    <t xml:space="preserve">&lt;-- R^2 - R-Squared </t>
  </si>
  <si>
    <t>Model Performance Metrics</t>
  </si>
  <si>
    <t>X_NORM</t>
  </si>
  <si>
    <t>SSE</t>
  </si>
  <si>
    <t>Y_PREDICT - 4th grade</t>
  </si>
  <si>
    <t>Current f</t>
  </si>
  <si>
    <t>Iterations</t>
  </si>
  <si>
    <t>Y_PREDICT - 45h grade</t>
  </si>
  <si>
    <t>Local_Grad_a</t>
  </si>
  <si>
    <t>Local_Grad_b</t>
  </si>
  <si>
    <t>Local_Grad_c</t>
  </si>
  <si>
    <t>Local_Grad_d</t>
  </si>
  <si>
    <t>Local_Grad_e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</si>
</sst>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0"/>
      <name val="Calibri"/>
      <family val="2"/>
      <scheme val="minor"/>
    </font>
    <font>
      <sz val="11"/>
      <color theme="0"/>
      <name val="Calibri"/>
      <family val="2"/>
      <scheme val="minor"/>
    </font>
    <font>
      <b/>
      <sz val="12"/>
      <color theme="1"/>
      <name val="Calibri"/>
      <family val="2"/>
      <scheme val="minor"/>
    </font>
    <font>
      <b/>
      <sz val="11"/>
      <color theme="1"/>
      <name val="Arial"/>
      <family val="2"/>
    </font>
    <font>
      <sz val="8"/>
      <name val="Calibri"/>
      <family val="2"/>
      <scheme val="minor"/>
    </font>
    <font>
      <b/>
      <sz val="14"/>
      <color theme="0"/>
      <name val="Calibri"/>
      <family val="2"/>
      <scheme val="minor"/>
    </font>
    <font>
      <sz val="11"/>
      <color rgb="FF00133A"/>
      <name val="Calibri"/>
      <family val="2"/>
      <scheme val="minor"/>
    </font>
    <font>
      <b/>
      <sz val="16"/>
      <color theme="1"/>
      <name val="Arial"/>
      <family val="2"/>
    </font>
    <font>
      <b/>
      <sz val="16"/>
      <color theme="1"/>
      <name val="Calibri"/>
      <family val="2"/>
      <scheme val="minor"/>
    </font>
    <font>
      <b/>
      <sz val="18"/>
      <color theme="0"/>
      <name val="Calibri"/>
      <family val="2"/>
      <scheme val="minor"/>
    </font>
    <font>
      <sz val="12"/>
      <color indexed="81"/>
      <name val="Tahoma"/>
      <family val="2"/>
    </font>
    <font>
      <b/>
      <sz val="12"/>
      <color indexed="81"/>
      <name val="Tahoma"/>
      <family val="2"/>
    </font>
    <font>
      <i/>
      <sz val="12"/>
      <color indexed="81"/>
      <name val="Tahoma"/>
      <family val="2"/>
    </font>
    <font>
      <sz val="11"/>
      <color theme="1"/>
      <name val="Calibri"/>
      <family val="2"/>
      <scheme val="minor"/>
    </font>
    <font>
      <b/>
      <sz val="22"/>
      <color theme="1"/>
      <name val="Arial"/>
      <family val="2"/>
    </font>
    <font>
      <sz val="9"/>
      <color indexed="81"/>
      <name val="Tahoma"/>
      <family val="2"/>
    </font>
    <font>
      <b/>
      <sz val="9"/>
      <color indexed="81"/>
      <name val="Tahoma"/>
      <family val="2"/>
    </font>
    <font>
      <b/>
      <sz val="11"/>
      <color theme="0"/>
      <name val="Arial"/>
      <family val="2"/>
    </font>
    <font>
      <b/>
      <sz val="14"/>
      <color theme="0"/>
      <name val="Arial"/>
      <family val="2"/>
    </font>
  </fonts>
  <fills count="9">
    <fill>
      <patternFill patternType="none"/>
    </fill>
    <fill>
      <patternFill patternType="gray125"/>
    </fill>
    <fill>
      <patternFill patternType="solid">
        <fgColor rgb="FFA5A5A5"/>
      </patternFill>
    </fill>
    <fill>
      <patternFill patternType="solid">
        <fgColor theme="8"/>
      </patternFill>
    </fill>
    <fill>
      <patternFill patternType="solid">
        <fgColor theme="4"/>
        <bgColor theme="4"/>
      </patternFill>
    </fill>
    <fill>
      <patternFill patternType="solid">
        <fgColor theme="6"/>
        <bgColor indexed="64"/>
      </patternFill>
    </fill>
    <fill>
      <patternFill patternType="solid">
        <fgColor theme="0" tint="-0.24994659260841701"/>
        <bgColor indexed="64"/>
      </patternFill>
    </fill>
    <fill>
      <patternFill patternType="solid">
        <fgColor theme="4"/>
        <bgColor indexed="64"/>
      </patternFill>
    </fill>
    <fill>
      <patternFill patternType="solid">
        <fgColor theme="9" tint="0.39997558519241921"/>
        <bgColor indexed="64"/>
      </patternFill>
    </fill>
  </fills>
  <borders count="6">
    <border>
      <left/>
      <right/>
      <top/>
      <bottom/>
      <diagonal/>
    </border>
    <border>
      <left style="double">
        <color rgb="FF3F3F3F"/>
      </left>
      <right style="double">
        <color rgb="FF3F3F3F"/>
      </right>
      <top style="double">
        <color rgb="FF3F3F3F"/>
      </top>
      <bottom style="double">
        <color rgb="FF3F3F3F"/>
      </bottom>
      <diagonal/>
    </border>
    <border>
      <left style="thin">
        <color theme="6"/>
      </left>
      <right style="thin">
        <color theme="6"/>
      </right>
      <top style="thin">
        <color theme="6"/>
      </top>
      <bottom/>
      <diagonal/>
    </border>
    <border>
      <left style="thin">
        <color theme="6"/>
      </left>
      <right style="thin">
        <color theme="6"/>
      </right>
      <top/>
      <bottom style="thin">
        <color theme="6"/>
      </bottom>
      <diagonal/>
    </border>
    <border>
      <left/>
      <right style="double">
        <color rgb="FF3F3F3F"/>
      </right>
      <top style="double">
        <color rgb="FF3F3F3F"/>
      </top>
      <bottom style="double">
        <color rgb="FF3F3F3F"/>
      </bottom>
      <diagonal/>
    </border>
    <border>
      <left style="double">
        <color rgb="FF3F3F3F"/>
      </left>
      <right/>
      <top style="double">
        <color rgb="FF3F3F3F"/>
      </top>
      <bottom style="double">
        <color rgb="FF3F3F3F"/>
      </bottom>
      <diagonal/>
    </border>
  </borders>
  <cellStyleXfs count="4">
    <xf numFmtId="0" fontId="0" fillId="0" borderId="0"/>
    <xf numFmtId="0" fontId="1" fillId="2" borderId="1" applyNumberFormat="0" applyAlignment="0" applyProtection="0"/>
    <xf numFmtId="0" fontId="2" fillId="3" borderId="0" applyNumberFormat="0" applyBorder="0" applyAlignment="0" applyProtection="0"/>
    <xf numFmtId="9" fontId="14" fillId="0" borderId="0" applyFont="0" applyFill="0" applyBorder="0" applyAlignment="0" applyProtection="0"/>
  </cellStyleXfs>
  <cellXfs count="36">
    <xf numFmtId="0" fontId="0" fillId="0" borderId="0" xfId="0"/>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center"/>
    </xf>
    <xf numFmtId="0" fontId="0" fillId="0" borderId="0" xfId="0" applyAlignment="1">
      <alignment horizontal="center" vertical="center"/>
    </xf>
    <xf numFmtId="0" fontId="1" fillId="2" borderId="1" xfId="1" applyAlignment="1">
      <alignment horizontal="center" vertical="center" wrapText="1"/>
    </xf>
    <xf numFmtId="0" fontId="7" fillId="5" borderId="0" xfId="2" quotePrefix="1" applyFont="1" applyFill="1" applyAlignment="1">
      <alignment horizontal="center" vertical="center" wrapText="1"/>
    </xf>
    <xf numFmtId="0" fontId="1" fillId="2" borderId="1" xfId="1" quotePrefix="1" applyAlignment="1">
      <alignment horizontal="center" vertical="center" wrapText="1"/>
    </xf>
    <xf numFmtId="0" fontId="0" fillId="0" borderId="0" xfId="0" applyAlignment="1">
      <alignment horizontal="left" vertical="center"/>
    </xf>
    <xf numFmtId="0" fontId="0" fillId="0" borderId="0" xfId="0" quotePrefix="1" applyAlignment="1">
      <alignment horizontal="left" vertical="center"/>
    </xf>
    <xf numFmtId="0" fontId="6" fillId="4"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3" xfId="0" quotePrefix="1" applyBorder="1" applyAlignment="1">
      <alignment horizontal="center" vertical="center" wrapText="1"/>
    </xf>
    <xf numFmtId="0" fontId="8" fillId="0" borderId="0" xfId="0" applyFont="1" applyAlignment="1">
      <alignment horizontal="center"/>
    </xf>
    <xf numFmtId="0" fontId="9" fillId="0" borderId="0" xfId="0" applyFont="1" applyAlignment="1">
      <alignment horizontal="center"/>
    </xf>
    <xf numFmtId="0" fontId="10" fillId="2" borderId="1" xfId="1" applyFont="1" applyAlignment="1">
      <alignment horizontal="center"/>
    </xf>
    <xf numFmtId="0" fontId="3" fillId="0" borderId="0" xfId="0" quotePrefix="1" applyFont="1"/>
    <xf numFmtId="0" fontId="0" fillId="0" borderId="0" xfId="0" applyAlignment="1">
      <alignment horizontal="right" vertical="center" wrapText="1"/>
    </xf>
    <xf numFmtId="0" fontId="10" fillId="2" borderId="1" xfId="1" applyFont="1" applyAlignment="1"/>
    <xf numFmtId="0" fontId="4" fillId="6" borderId="0" xfId="0" applyFont="1" applyFill="1" applyAlignment="1">
      <alignment horizontal="center"/>
    </xf>
    <xf numFmtId="0" fontId="4" fillId="6" borderId="0" xfId="0" applyFont="1" applyFill="1" applyAlignment="1">
      <alignment horizontal="right"/>
    </xf>
    <xf numFmtId="0" fontId="0" fillId="6" borderId="0" xfId="0" applyFill="1"/>
    <xf numFmtId="0" fontId="0" fillId="6" borderId="0" xfId="0" applyFill="1" applyAlignment="1">
      <alignment horizontal="center" vertical="center" wrapText="1"/>
    </xf>
    <xf numFmtId="0" fontId="15" fillId="0" borderId="0" xfId="0" applyFont="1" applyAlignment="1">
      <alignment horizontal="center"/>
    </xf>
    <xf numFmtId="0" fontId="19" fillId="8" borderId="0" xfId="0" applyFont="1" applyFill="1" applyAlignment="1">
      <alignment horizontal="center"/>
    </xf>
    <xf numFmtId="0" fontId="6" fillId="2" borderId="1" xfId="1" applyFont="1" applyAlignment="1">
      <alignment horizontal="center" vertical="center" wrapText="1"/>
    </xf>
    <xf numFmtId="0" fontId="1" fillId="2" borderId="1" xfId="1" applyAlignment="1">
      <alignment horizontal="left"/>
    </xf>
    <xf numFmtId="0" fontId="10" fillId="2" borderId="1" xfId="1" applyFont="1" applyAlignment="1">
      <alignment horizontal="left"/>
    </xf>
    <xf numFmtId="0" fontId="3" fillId="0" borderId="0" xfId="0" applyFont="1" applyAlignment="1">
      <alignment horizontal="center" vertical="center"/>
    </xf>
    <xf numFmtId="0" fontId="3" fillId="0" borderId="0" xfId="0" quotePrefix="1" applyFont="1" applyAlignment="1">
      <alignment horizontal="left" vertical="center"/>
    </xf>
    <xf numFmtId="0" fontId="0" fillId="0" borderId="0" xfId="0" applyAlignment="1">
      <alignment vertical="center"/>
    </xf>
    <xf numFmtId="0" fontId="1" fillId="2" borderId="5" xfId="1" applyBorder="1" applyAlignment="1">
      <alignment horizontal="left"/>
    </xf>
    <xf numFmtId="0" fontId="1" fillId="2" borderId="4" xfId="1" applyBorder="1" applyAlignment="1">
      <alignment horizontal="left"/>
    </xf>
    <xf numFmtId="10" fontId="18" fillId="7" borderId="5" xfId="3" applyNumberFormat="1" applyFont="1" applyFill="1" applyBorder="1" applyAlignment="1">
      <alignment horizontal="center"/>
    </xf>
    <xf numFmtId="2" fontId="18" fillId="7" borderId="5" xfId="0" quotePrefix="1" applyNumberFormat="1" applyFont="1" applyFill="1" applyBorder="1" applyAlignment="1">
      <alignment horizontal="center"/>
    </xf>
    <xf numFmtId="4" fontId="0" fillId="0" borderId="0" xfId="0" applyNumberFormat="1"/>
  </cellXfs>
  <cellStyles count="4">
    <cellStyle name="Accent5" xfId="2" builtinId="45"/>
    <cellStyle name="Check Cell" xfId="1" builtinId="23"/>
    <cellStyle name="Normal" xfId="0" builtinId="0"/>
    <cellStyle name="Percent" xfId="3" builtinId="5"/>
  </cellStyles>
  <dxfs count="40">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font>
        <strike val="0"/>
        <outline val="0"/>
        <shadow val="0"/>
        <u val="none"/>
        <vertAlign val="baseline"/>
        <sz val="11"/>
        <color rgb="FF00133A"/>
        <name val="Calibri"/>
        <family val="2"/>
        <scheme val="minor"/>
      </font>
      <fill>
        <patternFill patternType="solid">
          <fgColor indexed="64"/>
          <bgColor theme="6"/>
        </patternFill>
      </fil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bottom style="thin">
          <color theme="6"/>
        </bottom>
      </border>
    </dxf>
    <dxf>
      <border diagonalUp="0" diagonalDown="0">
        <left style="thin">
          <color theme="6"/>
        </left>
        <right style="thin">
          <color theme="6"/>
        </right>
        <top/>
        <bottom/>
        <vertical style="thin">
          <color theme="6"/>
        </vertical>
        <horizontal/>
      </border>
    </dxf>
    <dxf>
      <numFmt numFmtId="0" formatCode="General"/>
    </dxf>
    <dxf>
      <numFmt numFmtId="0" formatCode="General"/>
    </dxf>
    <dxf>
      <alignment horizontal="center" vertical="center" textRotation="0" wrapText="0" indent="0" justifyLastLine="0" shrinkToFit="0" readingOrder="0"/>
    </dxf>
  </dxfs>
  <tableStyles count="0" defaultTableStyle="TableStyleMedium2" defaultPivotStyle="PivotStyleLight16"/>
  <colors>
    <mruColors>
      <color rgb="FF00133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766756279625149E-2"/>
          <c:y val="6.9011373785755503E-2"/>
          <c:w val="0.71402310955670634"/>
          <c:h val="0.77660222970462933"/>
        </c:manualLayout>
      </c:layout>
      <c:scatterChart>
        <c:scatterStyle val="smoothMarker"/>
        <c:varyColors val="0"/>
        <c:ser>
          <c:idx val="1"/>
          <c:order val="1"/>
          <c:tx>
            <c:v>Prediction Step i</c:v>
          </c:tx>
          <c:spPr>
            <a:ln w="19050" cap="rnd">
              <a:solidFill>
                <a:schemeClr val="accent2"/>
              </a:solidFill>
              <a:round/>
            </a:ln>
            <a:effectLst/>
          </c:spPr>
          <c:marker>
            <c:symbol val="none"/>
          </c:marker>
          <c:xVal>
            <c:numRef>
              <c:f>'Model Training'!$A$10:$A$27</c:f>
              <c:numCache>
                <c:formatCode>General</c:formatCode>
                <c:ptCount val="18"/>
                <c:pt idx="0">
                  <c:v>-3</c:v>
                </c:pt>
                <c:pt idx="1">
                  <c:v>-2</c:v>
                </c:pt>
                <c:pt idx="2">
                  <c:v>-1</c:v>
                </c:pt>
                <c:pt idx="3">
                  <c:v>1</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numCache>
            </c:numRef>
          </c:xVal>
          <c:yVal>
            <c:numRef>
              <c:f>'Model Training'!$AC$10:$AC$27</c:f>
              <c:numCache>
                <c:formatCode>General</c:formatCode>
                <c:ptCount val="18"/>
                <c:pt idx="0">
                  <c:v>6.8735333238120866</c:v>
                </c:pt>
                <c:pt idx="1">
                  <c:v>17.965005227460235</c:v>
                </c:pt>
                <c:pt idx="2">
                  <c:v>23.414168862464344</c:v>
                </c:pt>
                <c:pt idx="3">
                  <c:v>23.517150294301736</c:v>
                </c:pt>
                <c:pt idx="4">
                  <c:v>20.735649343704051</c:v>
                </c:pt>
                <c:pt idx="5">
                  <c:v>17.441202629600369</c:v>
                </c:pt>
                <c:pt idx="6">
                  <c:v>14.415042546963569</c:v>
                </c:pt>
                <c:pt idx="7">
                  <c:v>12.237958198241865</c:v>
                </c:pt>
                <c:pt idx="8">
                  <c:v>11.290295393358818</c:v>
                </c:pt>
                <c:pt idx="9">
                  <c:v>11.751956649713335</c:v>
                </c:pt>
                <c:pt idx="10">
                  <c:v>13.602401192179663</c:v>
                </c:pt>
                <c:pt idx="11">
                  <c:v>16.620644953107394</c:v>
                </c:pt>
                <c:pt idx="12">
                  <c:v>20.38526057232146</c:v>
                </c:pt>
                <c:pt idx="13">
                  <c:v>24.274377397122144</c:v>
                </c:pt>
                <c:pt idx="14">
                  <c:v>27.465681482285074</c:v>
                </c:pt>
                <c:pt idx="15">
                  <c:v>28.936415590061205</c:v>
                </c:pt>
                <c:pt idx="16">
                  <c:v>27.463379190176855</c:v>
                </c:pt>
                <c:pt idx="17">
                  <c:v>21.622928459833663</c:v>
                </c:pt>
              </c:numCache>
            </c:numRef>
          </c:yVal>
          <c:smooth val="1"/>
          <c:extLst>
            <c:ext xmlns:c16="http://schemas.microsoft.com/office/drawing/2014/chart" uri="{C3380CC4-5D6E-409C-BE32-E72D297353CC}">
              <c16:uniqueId val="{00000002-C8FC-4D49-B955-1E8322E326A7}"/>
            </c:ext>
          </c:extLst>
        </c:ser>
        <c:dLbls>
          <c:showLegendKey val="0"/>
          <c:showVal val="0"/>
          <c:showCatName val="0"/>
          <c:showSerName val="0"/>
          <c:showPercent val="0"/>
          <c:showBubbleSize val="0"/>
        </c:dLbls>
        <c:axId val="105469680"/>
        <c:axId val="105470160"/>
      </c:scatterChart>
      <c:scatterChart>
        <c:scatterStyle val="lineMarker"/>
        <c:varyColors val="0"/>
        <c:ser>
          <c:idx val="0"/>
          <c:order val="0"/>
          <c:tx>
            <c:v>Real Data</c:v>
          </c:tx>
          <c:spPr>
            <a:ln w="25400" cap="rnd">
              <a:noFill/>
              <a:round/>
            </a:ln>
            <a:effectLst/>
          </c:spPr>
          <c:marker>
            <c:symbol val="circle"/>
            <c:size val="5"/>
            <c:spPr>
              <a:solidFill>
                <a:schemeClr val="accent1"/>
              </a:solidFill>
              <a:ln w="9525">
                <a:solidFill>
                  <a:schemeClr val="accent1"/>
                </a:solidFill>
              </a:ln>
              <a:effectLst/>
            </c:spPr>
          </c:marker>
          <c:xVal>
            <c:numRef>
              <c:f>'Model Training'!$A$10:$A$27</c:f>
              <c:numCache>
                <c:formatCode>General</c:formatCode>
                <c:ptCount val="18"/>
                <c:pt idx="0">
                  <c:v>-3</c:v>
                </c:pt>
                <c:pt idx="1">
                  <c:v>-2</c:v>
                </c:pt>
                <c:pt idx="2">
                  <c:v>-1</c:v>
                </c:pt>
                <c:pt idx="3">
                  <c:v>1</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numCache>
            </c:numRef>
          </c:xVal>
          <c:yVal>
            <c:numRef>
              <c:f>'Model Training'!$B$10:$B$27</c:f>
              <c:numCache>
                <c:formatCode>General</c:formatCode>
                <c:ptCount val="18"/>
                <c:pt idx="0">
                  <c:v>10</c:v>
                </c:pt>
                <c:pt idx="1">
                  <c:v>15</c:v>
                </c:pt>
                <c:pt idx="2">
                  <c:v>20</c:v>
                </c:pt>
                <c:pt idx="3">
                  <c:v>23</c:v>
                </c:pt>
                <c:pt idx="4">
                  <c:v>27</c:v>
                </c:pt>
                <c:pt idx="5">
                  <c:v>18</c:v>
                </c:pt>
                <c:pt idx="6">
                  <c:v>14</c:v>
                </c:pt>
                <c:pt idx="7">
                  <c:v>12</c:v>
                </c:pt>
                <c:pt idx="8">
                  <c:v>10</c:v>
                </c:pt>
                <c:pt idx="9">
                  <c:v>10</c:v>
                </c:pt>
                <c:pt idx="10">
                  <c:v>12</c:v>
                </c:pt>
                <c:pt idx="11">
                  <c:v>17</c:v>
                </c:pt>
                <c:pt idx="12">
                  <c:v>20</c:v>
                </c:pt>
                <c:pt idx="13">
                  <c:v>26</c:v>
                </c:pt>
                <c:pt idx="14">
                  <c:v>30</c:v>
                </c:pt>
                <c:pt idx="15">
                  <c:v>28</c:v>
                </c:pt>
                <c:pt idx="16">
                  <c:v>26</c:v>
                </c:pt>
                <c:pt idx="17">
                  <c:v>22</c:v>
                </c:pt>
              </c:numCache>
            </c:numRef>
          </c:yVal>
          <c:smooth val="0"/>
          <c:extLst>
            <c:ext xmlns:c16="http://schemas.microsoft.com/office/drawing/2014/chart" uri="{C3380CC4-5D6E-409C-BE32-E72D297353CC}">
              <c16:uniqueId val="{00000000-C8FC-4D49-B955-1E8322E326A7}"/>
            </c:ext>
          </c:extLst>
        </c:ser>
        <c:dLbls>
          <c:showLegendKey val="0"/>
          <c:showVal val="0"/>
          <c:showCatName val="0"/>
          <c:showSerName val="0"/>
          <c:showPercent val="0"/>
          <c:showBubbleSize val="0"/>
        </c:dLbls>
        <c:axId val="105469680"/>
        <c:axId val="105470160"/>
      </c:scatterChart>
      <c:valAx>
        <c:axId val="10546968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a:p>
                <a:pPr>
                  <a:defRPr/>
                </a:pPr>
                <a:r>
                  <a:rPr lang="en-US" sz="1400" b="1"/>
                  <a:t>Axis x</a:t>
                </a:r>
              </a:p>
              <a:p>
                <a:pPr>
                  <a:defRPr/>
                </a:pPr>
                <a:endParaRPr lang="en-US"/>
              </a:p>
            </c:rich>
          </c:tx>
          <c:layout>
            <c:manualLayout>
              <c:xMode val="edge"/>
              <c:yMode val="edge"/>
              <c:x val="0.45029475482964632"/>
              <c:y val="0.8395464904779412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70160"/>
        <c:crosses val="autoZero"/>
        <c:crossBetween val="midCat"/>
      </c:valAx>
      <c:valAx>
        <c:axId val="1054701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Axis y</a:t>
                </a:r>
              </a:p>
            </c:rich>
          </c:tx>
          <c:layout>
            <c:manualLayout>
              <c:xMode val="edge"/>
              <c:yMode val="edge"/>
              <c:x val="2.5730997114126849E-2"/>
              <c:y val="0.1880902256750208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469680"/>
        <c:crosses val="autoZero"/>
        <c:crossBetween val="midCat"/>
      </c:valAx>
      <c:spPr>
        <a:noFill/>
        <a:ln>
          <a:noFill/>
        </a:ln>
        <a:effectLst/>
      </c:spPr>
    </c:plotArea>
    <c:legend>
      <c:legendPos val="r"/>
      <c:legendEntry>
        <c:idx val="0"/>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Entry>
      <c:legendEntry>
        <c:idx val="1"/>
        <c:txPr>
          <a:bodyPr rot="0" spcFirstLastPara="1" vertOverflow="ellipsis" vert="horz" wrap="square" anchor="ctr" anchorCtr="1"/>
          <a:lstStyle/>
          <a:p>
            <a:pPr>
              <a:defRPr sz="1200" b="1"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924213032445111"/>
          <c:y val="0.26865431279096419"/>
          <c:w val="0.18052320502276822"/>
          <c:h val="0.4250488068985685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72980437610015"/>
          <c:y val="4.9219714665415436E-2"/>
          <c:w val="0.81493031382672676"/>
          <c:h val="0.7932855197341262"/>
        </c:manualLayout>
      </c:layout>
      <c:scatterChart>
        <c:scatterStyle val="lineMarker"/>
        <c:varyColors val="0"/>
        <c:ser>
          <c:idx val="2"/>
          <c:order val="2"/>
          <c:tx>
            <c:strRef>
              <c:f>'Model Training'!$A$9</c:f>
              <c:strCache>
                <c:ptCount val="1"/>
                <c:pt idx="0">
                  <c:v>x</c:v>
                </c:pt>
              </c:strCache>
            </c:strRef>
          </c:tx>
          <c:spPr>
            <a:ln w="25400" cap="rnd">
              <a:noFill/>
              <a:round/>
            </a:ln>
            <a:effectLst/>
          </c:spPr>
          <c:marker>
            <c:symbol val="circle"/>
            <c:size val="5"/>
            <c:spPr>
              <a:solidFill>
                <a:schemeClr val="accent3"/>
              </a:solidFill>
              <a:ln w="9525">
                <a:solidFill>
                  <a:schemeClr val="accent3"/>
                </a:solidFill>
              </a:ln>
              <a:effectLst/>
            </c:spPr>
          </c:marker>
          <c:xVal>
            <c:numRef>
              <c:f>'Model Training'!$A$10:$A$27</c:f>
              <c:numCache>
                <c:formatCode>General</c:formatCode>
                <c:ptCount val="18"/>
                <c:pt idx="0">
                  <c:v>-3</c:v>
                </c:pt>
                <c:pt idx="1">
                  <c:v>-2</c:v>
                </c:pt>
                <c:pt idx="2">
                  <c:v>-1</c:v>
                </c:pt>
                <c:pt idx="3">
                  <c:v>1</c:v>
                </c:pt>
                <c:pt idx="4">
                  <c:v>2</c:v>
                </c:pt>
                <c:pt idx="5">
                  <c:v>3</c:v>
                </c:pt>
                <c:pt idx="6">
                  <c:v>4</c:v>
                </c:pt>
                <c:pt idx="7">
                  <c:v>5</c:v>
                </c:pt>
                <c:pt idx="8">
                  <c:v>6</c:v>
                </c:pt>
                <c:pt idx="9">
                  <c:v>7</c:v>
                </c:pt>
                <c:pt idx="10">
                  <c:v>8</c:v>
                </c:pt>
                <c:pt idx="11">
                  <c:v>9</c:v>
                </c:pt>
                <c:pt idx="12">
                  <c:v>10</c:v>
                </c:pt>
                <c:pt idx="13">
                  <c:v>11</c:v>
                </c:pt>
                <c:pt idx="14">
                  <c:v>12</c:v>
                </c:pt>
                <c:pt idx="15">
                  <c:v>13</c:v>
                </c:pt>
                <c:pt idx="16">
                  <c:v>14</c:v>
                </c:pt>
                <c:pt idx="17">
                  <c:v>15</c:v>
                </c:pt>
              </c:numCache>
            </c:numRef>
          </c:xVal>
          <c:yVal>
            <c:numRef>
              <c:f>'Model Training'!$B$10:$B$27</c:f>
              <c:numCache>
                <c:formatCode>General</c:formatCode>
                <c:ptCount val="18"/>
                <c:pt idx="0">
                  <c:v>10</c:v>
                </c:pt>
                <c:pt idx="1">
                  <c:v>15</c:v>
                </c:pt>
                <c:pt idx="2">
                  <c:v>20</c:v>
                </c:pt>
                <c:pt idx="3">
                  <c:v>23</c:v>
                </c:pt>
                <c:pt idx="4">
                  <c:v>27</c:v>
                </c:pt>
                <c:pt idx="5">
                  <c:v>18</c:v>
                </c:pt>
                <c:pt idx="6">
                  <c:v>14</c:v>
                </c:pt>
                <c:pt idx="7">
                  <c:v>12</c:v>
                </c:pt>
                <c:pt idx="8">
                  <c:v>10</c:v>
                </c:pt>
                <c:pt idx="9">
                  <c:v>10</c:v>
                </c:pt>
                <c:pt idx="10">
                  <c:v>12</c:v>
                </c:pt>
                <c:pt idx="11">
                  <c:v>17</c:v>
                </c:pt>
                <c:pt idx="12">
                  <c:v>20</c:v>
                </c:pt>
                <c:pt idx="13">
                  <c:v>26</c:v>
                </c:pt>
                <c:pt idx="14">
                  <c:v>30</c:v>
                </c:pt>
                <c:pt idx="15">
                  <c:v>28</c:v>
                </c:pt>
                <c:pt idx="16">
                  <c:v>26</c:v>
                </c:pt>
                <c:pt idx="17">
                  <c:v>22</c:v>
                </c:pt>
              </c:numCache>
            </c:numRef>
          </c:yVal>
          <c:smooth val="0"/>
          <c:extLst>
            <c:ext xmlns:c16="http://schemas.microsoft.com/office/drawing/2014/chart" uri="{C3380CC4-5D6E-409C-BE32-E72D297353CC}">
              <c16:uniqueId val="{00000004-94BB-4AED-A691-2B19A40920A6}"/>
            </c:ext>
          </c:extLst>
        </c:ser>
        <c:dLbls>
          <c:showLegendKey val="0"/>
          <c:showVal val="0"/>
          <c:showCatName val="0"/>
          <c:showSerName val="0"/>
          <c:showPercent val="0"/>
          <c:showBubbleSize val="0"/>
        </c:dLbls>
        <c:axId val="1361933424"/>
        <c:axId val="1361932944"/>
      </c:scatterChart>
      <c:scatterChart>
        <c:scatterStyle val="smoothMarker"/>
        <c:varyColors val="0"/>
        <c:ser>
          <c:idx val="0"/>
          <c:order val="0"/>
          <c:tx>
            <c:strRef>
              <c:f>Sheet1!$C$21</c:f>
              <c:strCache>
                <c:ptCount val="1"/>
                <c:pt idx="0">
                  <c:v>Y_PREDICT - 4th grade</c:v>
                </c:pt>
              </c:strCache>
            </c:strRef>
          </c:tx>
          <c:spPr>
            <a:ln w="28575" cap="rnd">
              <a:solidFill>
                <a:schemeClr val="accent1"/>
              </a:solidFill>
              <a:round/>
            </a:ln>
            <a:effectLst/>
          </c:spPr>
          <c:marker>
            <c:symbol val="none"/>
          </c:marker>
          <c:xVal>
            <c:numRef>
              <c:f>Sheet1!$A$22:$A$112</c:f>
              <c:numCache>
                <c:formatCode>General</c:formatCode>
                <c:ptCount val="91"/>
                <c:pt idx="0">
                  <c:v>-3</c:v>
                </c:pt>
                <c:pt idx="1">
                  <c:v>-2.8</c:v>
                </c:pt>
                <c:pt idx="2">
                  <c:v>-2.5999999999999996</c:v>
                </c:pt>
                <c:pt idx="3">
                  <c:v>-2.3999999999999995</c:v>
                </c:pt>
                <c:pt idx="4">
                  <c:v>-2.1999999999999993</c:v>
                </c:pt>
                <c:pt idx="5">
                  <c:v>-1.9999999999999993</c:v>
                </c:pt>
                <c:pt idx="6">
                  <c:v>-1.7999999999999994</c:v>
                </c:pt>
                <c:pt idx="7">
                  <c:v>-1.5999999999999994</c:v>
                </c:pt>
                <c:pt idx="8">
                  <c:v>-1.3999999999999995</c:v>
                </c:pt>
                <c:pt idx="9">
                  <c:v>-1.1999999999999995</c:v>
                </c:pt>
                <c:pt idx="10">
                  <c:v>-0.99999999999999956</c:v>
                </c:pt>
                <c:pt idx="11">
                  <c:v>-0.7999999999999996</c:v>
                </c:pt>
                <c:pt idx="12">
                  <c:v>-0.59999999999999964</c:v>
                </c:pt>
                <c:pt idx="13">
                  <c:v>-0.39999999999999963</c:v>
                </c:pt>
                <c:pt idx="14">
                  <c:v>-0.19999999999999962</c:v>
                </c:pt>
                <c:pt idx="15">
                  <c:v>0</c:v>
                </c:pt>
                <c:pt idx="16">
                  <c:v>0.2</c:v>
                </c:pt>
                <c:pt idx="17">
                  <c:v>0.4</c:v>
                </c:pt>
                <c:pt idx="18">
                  <c:v>0.60000000000000009</c:v>
                </c:pt>
                <c:pt idx="19">
                  <c:v>0.8</c:v>
                </c:pt>
                <c:pt idx="20">
                  <c:v>1</c:v>
                </c:pt>
                <c:pt idx="21">
                  <c:v>1.2</c:v>
                </c:pt>
                <c:pt idx="22">
                  <c:v>1.4</c:v>
                </c:pt>
                <c:pt idx="23">
                  <c:v>1.5999999999999999</c:v>
                </c:pt>
                <c:pt idx="24">
                  <c:v>1.7999999999999998</c:v>
                </c:pt>
                <c:pt idx="25">
                  <c:v>1.9999999999999998</c:v>
                </c:pt>
                <c:pt idx="26">
                  <c:v>2.1999999999999997</c:v>
                </c:pt>
                <c:pt idx="27">
                  <c:v>2.4</c:v>
                </c:pt>
                <c:pt idx="28">
                  <c:v>2.6</c:v>
                </c:pt>
                <c:pt idx="29">
                  <c:v>2.8000000000000003</c:v>
                </c:pt>
                <c:pt idx="30">
                  <c:v>3.0000000000000004</c:v>
                </c:pt>
                <c:pt idx="31">
                  <c:v>3.2000000000000006</c:v>
                </c:pt>
                <c:pt idx="32">
                  <c:v>3.4000000000000008</c:v>
                </c:pt>
                <c:pt idx="33">
                  <c:v>3.600000000000001</c:v>
                </c:pt>
                <c:pt idx="34">
                  <c:v>3.8000000000000012</c:v>
                </c:pt>
                <c:pt idx="35">
                  <c:v>4.0000000000000009</c:v>
                </c:pt>
                <c:pt idx="36">
                  <c:v>4.2000000000000011</c:v>
                </c:pt>
                <c:pt idx="37">
                  <c:v>4.4000000000000012</c:v>
                </c:pt>
                <c:pt idx="38">
                  <c:v>4.6000000000000014</c:v>
                </c:pt>
                <c:pt idx="39">
                  <c:v>4.8000000000000016</c:v>
                </c:pt>
                <c:pt idx="40">
                  <c:v>5.0000000000000018</c:v>
                </c:pt>
                <c:pt idx="41">
                  <c:v>5.200000000000002</c:v>
                </c:pt>
                <c:pt idx="42">
                  <c:v>5.4000000000000021</c:v>
                </c:pt>
                <c:pt idx="43">
                  <c:v>5.6000000000000023</c:v>
                </c:pt>
                <c:pt idx="44">
                  <c:v>5.8000000000000025</c:v>
                </c:pt>
                <c:pt idx="45">
                  <c:v>6.0000000000000027</c:v>
                </c:pt>
                <c:pt idx="46">
                  <c:v>6.2000000000000028</c:v>
                </c:pt>
                <c:pt idx="47">
                  <c:v>6.400000000000003</c:v>
                </c:pt>
                <c:pt idx="48">
                  <c:v>6.6000000000000032</c:v>
                </c:pt>
                <c:pt idx="49">
                  <c:v>6.8000000000000034</c:v>
                </c:pt>
                <c:pt idx="50">
                  <c:v>7.0000000000000036</c:v>
                </c:pt>
                <c:pt idx="51">
                  <c:v>7.2000000000000037</c:v>
                </c:pt>
                <c:pt idx="52">
                  <c:v>7.4000000000000039</c:v>
                </c:pt>
                <c:pt idx="53">
                  <c:v>7.6000000000000041</c:v>
                </c:pt>
                <c:pt idx="54">
                  <c:v>7.8000000000000043</c:v>
                </c:pt>
                <c:pt idx="55">
                  <c:v>8.0000000000000036</c:v>
                </c:pt>
                <c:pt idx="56">
                  <c:v>8.2000000000000028</c:v>
                </c:pt>
                <c:pt idx="57">
                  <c:v>8.4000000000000021</c:v>
                </c:pt>
                <c:pt idx="58">
                  <c:v>8.6000000000000014</c:v>
                </c:pt>
                <c:pt idx="59">
                  <c:v>8.8000000000000007</c:v>
                </c:pt>
                <c:pt idx="60">
                  <c:v>9</c:v>
                </c:pt>
                <c:pt idx="61">
                  <c:v>9.1999999999999993</c:v>
                </c:pt>
                <c:pt idx="62">
                  <c:v>9.3999999999999986</c:v>
                </c:pt>
                <c:pt idx="63">
                  <c:v>9.5999999999999979</c:v>
                </c:pt>
                <c:pt idx="64">
                  <c:v>9.7999999999999972</c:v>
                </c:pt>
                <c:pt idx="65">
                  <c:v>9.9999999999999964</c:v>
                </c:pt>
                <c:pt idx="66">
                  <c:v>10.199999999999996</c:v>
                </c:pt>
                <c:pt idx="67">
                  <c:v>10.399999999999995</c:v>
                </c:pt>
                <c:pt idx="68">
                  <c:v>10.599999999999994</c:v>
                </c:pt>
                <c:pt idx="69">
                  <c:v>10.799999999999994</c:v>
                </c:pt>
                <c:pt idx="70">
                  <c:v>10.999999999999993</c:v>
                </c:pt>
                <c:pt idx="71">
                  <c:v>11.199999999999992</c:v>
                </c:pt>
                <c:pt idx="72">
                  <c:v>11.399999999999991</c:v>
                </c:pt>
                <c:pt idx="73">
                  <c:v>11.599999999999991</c:v>
                </c:pt>
                <c:pt idx="74">
                  <c:v>11.79999999999999</c:v>
                </c:pt>
                <c:pt idx="75">
                  <c:v>11.999999999999989</c:v>
                </c:pt>
                <c:pt idx="76">
                  <c:v>12.199999999999989</c:v>
                </c:pt>
                <c:pt idx="77">
                  <c:v>12.399999999999988</c:v>
                </c:pt>
                <c:pt idx="78">
                  <c:v>12.599999999999987</c:v>
                </c:pt>
                <c:pt idx="79">
                  <c:v>12.799999999999986</c:v>
                </c:pt>
                <c:pt idx="80">
                  <c:v>12.999999999999986</c:v>
                </c:pt>
                <c:pt idx="81">
                  <c:v>13.199999999999985</c:v>
                </c:pt>
                <c:pt idx="82">
                  <c:v>13.399999999999984</c:v>
                </c:pt>
                <c:pt idx="83">
                  <c:v>13.599999999999984</c:v>
                </c:pt>
                <c:pt idx="84">
                  <c:v>13.799999999999983</c:v>
                </c:pt>
                <c:pt idx="85">
                  <c:v>13.999999999999982</c:v>
                </c:pt>
                <c:pt idx="86">
                  <c:v>14.199999999999982</c:v>
                </c:pt>
                <c:pt idx="87">
                  <c:v>14.399999999999981</c:v>
                </c:pt>
                <c:pt idx="88">
                  <c:v>14.59999999999998</c:v>
                </c:pt>
                <c:pt idx="89">
                  <c:v>14.799999999999979</c:v>
                </c:pt>
                <c:pt idx="90">
                  <c:v>14.999999999999979</c:v>
                </c:pt>
              </c:numCache>
            </c:numRef>
          </c:xVal>
          <c:yVal>
            <c:numRef>
              <c:f>Sheet1!$C$22:$C$112</c:f>
              <c:numCache>
                <c:formatCode>General</c:formatCode>
                <c:ptCount val="91"/>
                <c:pt idx="0">
                  <c:v>6.9190703805185274</c:v>
                </c:pt>
                <c:pt idx="1">
                  <c:v>9.6534810079172964</c:v>
                </c:pt>
                <c:pt idx="2">
                  <c:v>12.108422731321445</c:v>
                </c:pt>
                <c:pt idx="3">
                  <c:v>14.298375457886529</c:v>
                </c:pt>
                <c:pt idx="4">
                  <c:v>16.237500850006278</c:v>
                </c:pt>
                <c:pt idx="5">
                  <c:v>17.939642325312565</c:v>
                </c:pt>
                <c:pt idx="6">
                  <c:v>19.418325056675521</c:v>
                </c:pt>
                <c:pt idx="7">
                  <c:v>20.686755972203407</c:v>
                </c:pt>
                <c:pt idx="8">
                  <c:v>21.757823755242665</c:v>
                </c:pt>
                <c:pt idx="9">
                  <c:v>22.644098844377929</c:v>
                </c:pt>
                <c:pt idx="10">
                  <c:v>23.35783343343201</c:v>
                </c:pt>
                <c:pt idx="11">
                  <c:v>23.910961471465903</c:v>
                </c:pt>
                <c:pt idx="12">
                  <c:v>24.315098662778777</c:v>
                </c:pt>
                <c:pt idx="13">
                  <c:v>24.581542466907973</c:v>
                </c:pt>
                <c:pt idx="14">
                  <c:v>24.721272098629033</c:v>
                </c:pt>
                <c:pt idx="15">
                  <c:v>24.744948527955664</c:v>
                </c:pt>
                <c:pt idx="16">
                  <c:v>24.662914480139754</c:v>
                </c:pt>
                <c:pt idx="17">
                  <c:v>24.485194435671378</c:v>
                </c:pt>
                <c:pt idx="18">
                  <c:v>24.221494630278787</c:v>
                </c:pt>
                <c:pt idx="19">
                  <c:v>23.881203054928406</c:v>
                </c:pt>
                <c:pt idx="20">
                  <c:v>23.473389455824851</c:v>
                </c:pt>
                <c:pt idx="21">
                  <c:v>23.006805334410913</c:v>
                </c:pt>
                <c:pt idx="22">
                  <c:v>22.489883947367556</c:v>
                </c:pt>
                <c:pt idx="23">
                  <c:v>21.930740306613941</c:v>
                </c:pt>
                <c:pt idx="24">
                  <c:v>21.337171179307393</c:v>
                </c:pt>
                <c:pt idx="25">
                  <c:v>20.716655087843421</c:v>
                </c:pt>
                <c:pt idx="26">
                  <c:v>20.076352309855722</c:v>
                </c:pt>
                <c:pt idx="27">
                  <c:v>19.423104878216169</c:v>
                </c:pt>
                <c:pt idx="28">
                  <c:v>18.763436581034803</c:v>
                </c:pt>
                <c:pt idx="29">
                  <c:v>18.103552961659862</c:v>
                </c:pt>
                <c:pt idx="30">
                  <c:v>17.44934131867776</c:v>
                </c:pt>
                <c:pt idx="31">
                  <c:v>16.806370705913082</c:v>
                </c:pt>
                <c:pt idx="32">
                  <c:v>16.1798919324286</c:v>
                </c:pt>
                <c:pt idx="33">
                  <c:v>15.57483756252527</c:v>
                </c:pt>
                <c:pt idx="34">
                  <c:v>14.995821915742219</c:v>
                </c:pt>
                <c:pt idx="35">
                  <c:v>14.447141066856766</c:v>
                </c:pt>
                <c:pt idx="36">
                  <c:v>13.932772845884392</c:v>
                </c:pt>
                <c:pt idx="37">
                  <c:v>13.456376838078775</c:v>
                </c:pt>
                <c:pt idx="38">
                  <c:v>13.021294383931764</c:v>
                </c:pt>
                <c:pt idx="39">
                  <c:v>12.630548579173393</c:v>
                </c:pt>
                <c:pt idx="40">
                  <c:v>12.286844274771871</c:v>
                </c:pt>
                <c:pt idx="41">
                  <c:v>11.992568076933592</c:v>
                </c:pt>
                <c:pt idx="42">
                  <c:v>11.749788347103127</c:v>
                </c:pt>
                <c:pt idx="43">
                  <c:v>11.560255201963228</c:v>
                </c:pt>
                <c:pt idx="44">
                  <c:v>11.425400513434825</c:v>
                </c:pt>
                <c:pt idx="45">
                  <c:v>11.346337908677034</c:v>
                </c:pt>
                <c:pt idx="46">
                  <c:v>11.323862770087143</c:v>
                </c:pt>
                <c:pt idx="47">
                  <c:v>11.358452235300625</c:v>
                </c:pt>
                <c:pt idx="48">
                  <c:v>11.450265197191133</c:v>
                </c:pt>
                <c:pt idx="49">
                  <c:v>11.599142303870497</c:v>
                </c:pt>
                <c:pt idx="50">
                  <c:v>11.804605958688732</c:v>
                </c:pt>
                <c:pt idx="51">
                  <c:v>12.065860320234028</c:v>
                </c:pt>
                <c:pt idx="52">
                  <c:v>12.381791302332758</c:v>
                </c:pt>
                <c:pt idx="53">
                  <c:v>12.750966574049473</c:v>
                </c:pt>
                <c:pt idx="54">
                  <c:v>13.171635559686907</c:v>
                </c:pt>
                <c:pt idx="55">
                  <c:v>13.641729438785967</c:v>
                </c:pt>
                <c:pt idx="56">
                  <c:v>14.158861146125751</c:v>
                </c:pt>
                <c:pt idx="57">
                  <c:v>14.720325371723529</c:v>
                </c:pt>
                <c:pt idx="58">
                  <c:v>15.323098560834755</c:v>
                </c:pt>
                <c:pt idx="59">
                  <c:v>15.963838913953062</c:v>
                </c:pt>
                <c:pt idx="60">
                  <c:v>16.638886386810256</c:v>
                </c:pt>
                <c:pt idx="61">
                  <c:v>17.34426269037634</c:v>
                </c:pt>
                <c:pt idx="62">
                  <c:v>18.075671290859479</c:v>
                </c:pt>
                <c:pt idx="63">
                  <c:v>18.828497409706024</c:v>
                </c:pt>
                <c:pt idx="64">
                  <c:v>19.597808023600514</c:v>
                </c:pt>
                <c:pt idx="65">
                  <c:v>20.378351864465664</c:v>
                </c:pt>
                <c:pt idx="66">
                  <c:v>21.164559419462357</c:v>
                </c:pt>
                <c:pt idx="67">
                  <c:v>21.950542930989673</c:v>
                </c:pt>
                <c:pt idx="68">
                  <c:v>22.730096396684861</c:v>
                </c:pt>
                <c:pt idx="69">
                  <c:v>23.496695569423359</c:v>
                </c:pt>
                <c:pt idx="70">
                  <c:v>24.243497957318773</c:v>
                </c:pt>
                <c:pt idx="71">
                  <c:v>24.963342823722897</c:v>
                </c:pt>
                <c:pt idx="72">
                  <c:v>25.648751187225709</c:v>
                </c:pt>
                <c:pt idx="73">
                  <c:v>26.291925821655362</c:v>
                </c:pt>
                <c:pt idx="74">
                  <c:v>26.884751256078189</c:v>
                </c:pt>
                <c:pt idx="75">
                  <c:v>27.418793774798697</c:v>
                </c:pt>
                <c:pt idx="76">
                  <c:v>27.885301417359585</c:v>
                </c:pt>
                <c:pt idx="77">
                  <c:v>28.275203978541725</c:v>
                </c:pt>
                <c:pt idx="78">
                  <c:v>28.579113008364168</c:v>
                </c:pt>
                <c:pt idx="79">
                  <c:v>28.787321812084151</c:v>
                </c:pt>
                <c:pt idx="80">
                  <c:v>28.88980545019708</c:v>
                </c:pt>
                <c:pt idx="81">
                  <c:v>28.876220738436562</c:v>
                </c:pt>
                <c:pt idx="82">
                  <c:v>28.735906247774363</c:v>
                </c:pt>
                <c:pt idx="83">
                  <c:v>28.45788230442043</c:v>
                </c:pt>
                <c:pt idx="84">
                  <c:v>28.030850989822902</c:v>
                </c:pt>
                <c:pt idx="85">
                  <c:v>27.443196140668103</c:v>
                </c:pt>
                <c:pt idx="86">
                  <c:v>26.682983348880509</c:v>
                </c:pt>
                <c:pt idx="87">
                  <c:v>25.737959961622792</c:v>
                </c:pt>
                <c:pt idx="88">
                  <c:v>24.595555081295831</c:v>
                </c:pt>
                <c:pt idx="89">
                  <c:v>23.242879565538644</c:v>
                </c:pt>
                <c:pt idx="90">
                  <c:v>21.666726027228449</c:v>
                </c:pt>
              </c:numCache>
            </c:numRef>
          </c:yVal>
          <c:smooth val="1"/>
          <c:extLst>
            <c:ext xmlns:c16="http://schemas.microsoft.com/office/drawing/2014/chart" uri="{C3380CC4-5D6E-409C-BE32-E72D297353CC}">
              <c16:uniqueId val="{00000000-94BB-4AED-A691-2B19A40920A6}"/>
            </c:ext>
          </c:extLst>
        </c:ser>
        <c:ser>
          <c:idx val="1"/>
          <c:order val="1"/>
          <c:tx>
            <c:strRef>
              <c:f>Sheet1!$D$21</c:f>
              <c:strCache>
                <c:ptCount val="1"/>
                <c:pt idx="0">
                  <c:v>Y_PREDICT - 45h grade</c:v>
                </c:pt>
              </c:strCache>
            </c:strRef>
          </c:tx>
          <c:spPr>
            <a:ln w="28575" cap="rnd">
              <a:solidFill>
                <a:schemeClr val="accent2"/>
              </a:solidFill>
              <a:round/>
            </a:ln>
            <a:effectLst/>
          </c:spPr>
          <c:marker>
            <c:symbol val="none"/>
          </c:marker>
          <c:xVal>
            <c:numRef>
              <c:f>Sheet1!$A$22:$A$112</c:f>
              <c:numCache>
                <c:formatCode>General</c:formatCode>
                <c:ptCount val="91"/>
                <c:pt idx="0">
                  <c:v>-3</c:v>
                </c:pt>
                <c:pt idx="1">
                  <c:v>-2.8</c:v>
                </c:pt>
                <c:pt idx="2">
                  <c:v>-2.5999999999999996</c:v>
                </c:pt>
                <c:pt idx="3">
                  <c:v>-2.3999999999999995</c:v>
                </c:pt>
                <c:pt idx="4">
                  <c:v>-2.1999999999999993</c:v>
                </c:pt>
                <c:pt idx="5">
                  <c:v>-1.9999999999999993</c:v>
                </c:pt>
                <c:pt idx="6">
                  <c:v>-1.7999999999999994</c:v>
                </c:pt>
                <c:pt idx="7">
                  <c:v>-1.5999999999999994</c:v>
                </c:pt>
                <c:pt idx="8">
                  <c:v>-1.3999999999999995</c:v>
                </c:pt>
                <c:pt idx="9">
                  <c:v>-1.1999999999999995</c:v>
                </c:pt>
                <c:pt idx="10">
                  <c:v>-0.99999999999999956</c:v>
                </c:pt>
                <c:pt idx="11">
                  <c:v>-0.7999999999999996</c:v>
                </c:pt>
                <c:pt idx="12">
                  <c:v>-0.59999999999999964</c:v>
                </c:pt>
                <c:pt idx="13">
                  <c:v>-0.39999999999999963</c:v>
                </c:pt>
                <c:pt idx="14">
                  <c:v>-0.19999999999999962</c:v>
                </c:pt>
                <c:pt idx="15">
                  <c:v>0</c:v>
                </c:pt>
                <c:pt idx="16">
                  <c:v>0.2</c:v>
                </c:pt>
                <c:pt idx="17">
                  <c:v>0.4</c:v>
                </c:pt>
                <c:pt idx="18">
                  <c:v>0.60000000000000009</c:v>
                </c:pt>
                <c:pt idx="19">
                  <c:v>0.8</c:v>
                </c:pt>
                <c:pt idx="20">
                  <c:v>1</c:v>
                </c:pt>
                <c:pt idx="21">
                  <c:v>1.2</c:v>
                </c:pt>
                <c:pt idx="22">
                  <c:v>1.4</c:v>
                </c:pt>
                <c:pt idx="23">
                  <c:v>1.5999999999999999</c:v>
                </c:pt>
                <c:pt idx="24">
                  <c:v>1.7999999999999998</c:v>
                </c:pt>
                <c:pt idx="25">
                  <c:v>1.9999999999999998</c:v>
                </c:pt>
                <c:pt idx="26">
                  <c:v>2.1999999999999997</c:v>
                </c:pt>
                <c:pt idx="27">
                  <c:v>2.4</c:v>
                </c:pt>
                <c:pt idx="28">
                  <c:v>2.6</c:v>
                </c:pt>
                <c:pt idx="29">
                  <c:v>2.8000000000000003</c:v>
                </c:pt>
                <c:pt idx="30">
                  <c:v>3.0000000000000004</c:v>
                </c:pt>
                <c:pt idx="31">
                  <c:v>3.2000000000000006</c:v>
                </c:pt>
                <c:pt idx="32">
                  <c:v>3.4000000000000008</c:v>
                </c:pt>
                <c:pt idx="33">
                  <c:v>3.600000000000001</c:v>
                </c:pt>
                <c:pt idx="34">
                  <c:v>3.8000000000000012</c:v>
                </c:pt>
                <c:pt idx="35">
                  <c:v>4.0000000000000009</c:v>
                </c:pt>
                <c:pt idx="36">
                  <c:v>4.2000000000000011</c:v>
                </c:pt>
                <c:pt idx="37">
                  <c:v>4.4000000000000012</c:v>
                </c:pt>
                <c:pt idx="38">
                  <c:v>4.6000000000000014</c:v>
                </c:pt>
                <c:pt idx="39">
                  <c:v>4.8000000000000016</c:v>
                </c:pt>
                <c:pt idx="40">
                  <c:v>5.0000000000000018</c:v>
                </c:pt>
                <c:pt idx="41">
                  <c:v>5.200000000000002</c:v>
                </c:pt>
                <c:pt idx="42">
                  <c:v>5.4000000000000021</c:v>
                </c:pt>
                <c:pt idx="43">
                  <c:v>5.6000000000000023</c:v>
                </c:pt>
                <c:pt idx="44">
                  <c:v>5.8000000000000025</c:v>
                </c:pt>
                <c:pt idx="45">
                  <c:v>6.0000000000000027</c:v>
                </c:pt>
                <c:pt idx="46">
                  <c:v>6.2000000000000028</c:v>
                </c:pt>
                <c:pt idx="47">
                  <c:v>6.400000000000003</c:v>
                </c:pt>
                <c:pt idx="48">
                  <c:v>6.6000000000000032</c:v>
                </c:pt>
                <c:pt idx="49">
                  <c:v>6.8000000000000034</c:v>
                </c:pt>
                <c:pt idx="50">
                  <c:v>7.0000000000000036</c:v>
                </c:pt>
                <c:pt idx="51">
                  <c:v>7.2000000000000037</c:v>
                </c:pt>
                <c:pt idx="52">
                  <c:v>7.4000000000000039</c:v>
                </c:pt>
                <c:pt idx="53">
                  <c:v>7.6000000000000041</c:v>
                </c:pt>
                <c:pt idx="54">
                  <c:v>7.8000000000000043</c:v>
                </c:pt>
                <c:pt idx="55">
                  <c:v>8.0000000000000036</c:v>
                </c:pt>
                <c:pt idx="56">
                  <c:v>8.2000000000000028</c:v>
                </c:pt>
                <c:pt idx="57">
                  <c:v>8.4000000000000021</c:v>
                </c:pt>
                <c:pt idx="58">
                  <c:v>8.6000000000000014</c:v>
                </c:pt>
                <c:pt idx="59">
                  <c:v>8.8000000000000007</c:v>
                </c:pt>
                <c:pt idx="60">
                  <c:v>9</c:v>
                </c:pt>
                <c:pt idx="61">
                  <c:v>9.1999999999999993</c:v>
                </c:pt>
                <c:pt idx="62">
                  <c:v>9.3999999999999986</c:v>
                </c:pt>
                <c:pt idx="63">
                  <c:v>9.5999999999999979</c:v>
                </c:pt>
                <c:pt idx="64">
                  <c:v>9.7999999999999972</c:v>
                </c:pt>
                <c:pt idx="65">
                  <c:v>9.9999999999999964</c:v>
                </c:pt>
                <c:pt idx="66">
                  <c:v>10.199999999999996</c:v>
                </c:pt>
                <c:pt idx="67">
                  <c:v>10.399999999999995</c:v>
                </c:pt>
                <c:pt idx="68">
                  <c:v>10.599999999999994</c:v>
                </c:pt>
                <c:pt idx="69">
                  <c:v>10.799999999999994</c:v>
                </c:pt>
                <c:pt idx="70">
                  <c:v>10.999999999999993</c:v>
                </c:pt>
                <c:pt idx="71">
                  <c:v>11.199999999999992</c:v>
                </c:pt>
                <c:pt idx="72">
                  <c:v>11.399999999999991</c:v>
                </c:pt>
                <c:pt idx="73">
                  <c:v>11.599999999999991</c:v>
                </c:pt>
                <c:pt idx="74">
                  <c:v>11.79999999999999</c:v>
                </c:pt>
                <c:pt idx="75">
                  <c:v>11.999999999999989</c:v>
                </c:pt>
                <c:pt idx="76">
                  <c:v>12.199999999999989</c:v>
                </c:pt>
                <c:pt idx="77">
                  <c:v>12.399999999999988</c:v>
                </c:pt>
                <c:pt idx="78">
                  <c:v>12.599999999999987</c:v>
                </c:pt>
                <c:pt idx="79">
                  <c:v>12.799999999999986</c:v>
                </c:pt>
                <c:pt idx="80">
                  <c:v>12.999999999999986</c:v>
                </c:pt>
                <c:pt idx="81">
                  <c:v>13.199999999999985</c:v>
                </c:pt>
                <c:pt idx="82">
                  <c:v>13.399999999999984</c:v>
                </c:pt>
                <c:pt idx="83">
                  <c:v>13.599999999999984</c:v>
                </c:pt>
                <c:pt idx="84">
                  <c:v>13.799999999999983</c:v>
                </c:pt>
                <c:pt idx="85">
                  <c:v>13.999999999999982</c:v>
                </c:pt>
                <c:pt idx="86">
                  <c:v>14.199999999999982</c:v>
                </c:pt>
                <c:pt idx="87">
                  <c:v>14.399999999999981</c:v>
                </c:pt>
                <c:pt idx="88">
                  <c:v>14.59999999999998</c:v>
                </c:pt>
                <c:pt idx="89">
                  <c:v>14.799999999999979</c:v>
                </c:pt>
                <c:pt idx="90">
                  <c:v>14.999999999999979</c:v>
                </c:pt>
              </c:numCache>
            </c:numRef>
          </c:xVal>
          <c:yVal>
            <c:numRef>
              <c:f>Sheet1!$D$22:$D$112</c:f>
              <c:numCache>
                <c:formatCode>General</c:formatCode>
                <c:ptCount val="91"/>
                <c:pt idx="0">
                  <c:v>8.278790734537214</c:v>
                </c:pt>
                <c:pt idx="1">
                  <c:v>10.371390600582957</c:v>
                </c:pt>
                <c:pt idx="2">
                  <c:v>12.287608235753074</c:v>
                </c:pt>
                <c:pt idx="3">
                  <c:v>14.032643101696836</c:v>
                </c:pt>
                <c:pt idx="4">
                  <c:v>15.611849612024974</c:v>
                </c:pt>
                <c:pt idx="5">
                  <c:v>17.030726290652542</c:v>
                </c:pt>
                <c:pt idx="6">
                  <c:v>18.294904930141726</c:v>
                </c:pt>
                <c:pt idx="7">
                  <c:v>19.410139750044475</c:v>
                </c:pt>
                <c:pt idx="8">
                  <c:v>20.382296555245432</c:v>
                </c:pt>
                <c:pt idx="9">
                  <c:v>21.217341894304617</c:v>
                </c:pt>
                <c:pt idx="10">
                  <c:v>21.921332217800206</c:v>
                </c:pt>
                <c:pt idx="11">
                  <c:v>22.500403036671358</c:v>
                </c:pt>
                <c:pt idx="12">
                  <c:v>22.960758080560943</c:v>
                </c:pt>
                <c:pt idx="13">
                  <c:v>23.308658456158334</c:v>
                </c:pt>
                <c:pt idx="14">
                  <c:v>23.550411805542179</c:v>
                </c:pt>
                <c:pt idx="15">
                  <c:v>23.692361464523184</c:v>
                </c:pt>
                <c:pt idx="16">
                  <c:v>23.740875620986873</c:v>
                </c:pt>
                <c:pt idx="17">
                  <c:v>23.702336473236386</c:v>
                </c:pt>
                <c:pt idx="18">
                  <c:v>23.583129388335223</c:v>
                </c:pt>
                <c:pt idx="19">
                  <c:v>23.389632060450051</c:v>
                </c:pt>
                <c:pt idx="20">
                  <c:v>23.128203669193454</c:v>
                </c:pt>
                <c:pt idx="21">
                  <c:v>22.805174037966722</c:v>
                </c:pt>
                <c:pt idx="22">
                  <c:v>22.426832792302633</c:v>
                </c:pt>
                <c:pt idx="23">
                  <c:v>21.999418518208198</c:v>
                </c:pt>
                <c:pt idx="24">
                  <c:v>21.529107920507478</c:v>
                </c:pt>
                <c:pt idx="25">
                  <c:v>21.022004981184324</c:v>
                </c:pt>
                <c:pt idx="26">
                  <c:v>20.484130117725162</c:v>
                </c:pt>
                <c:pt idx="27">
                  <c:v>19.921409341461786</c:v>
                </c:pt>
                <c:pt idx="28">
                  <c:v>19.339663415914103</c:v>
                </c:pt>
                <c:pt idx="29">
                  <c:v>18.744597015132939</c:v>
                </c:pt>
                <c:pt idx="30">
                  <c:v>18.141787882042792</c:v>
                </c:pt>
                <c:pt idx="31">
                  <c:v>17.536675986784605</c:v>
                </c:pt>
                <c:pt idx="32">
                  <c:v>16.93455268505857</c:v>
                </c:pt>
                <c:pt idx="33">
                  <c:v>16.340549876466863</c:v>
                </c:pt>
                <c:pt idx="34">
                  <c:v>15.759629162856459</c:v>
                </c:pt>
                <c:pt idx="35">
                  <c:v>15.196571006661875</c:v>
                </c:pt>
                <c:pt idx="36">
                  <c:v>14.655963889247959</c:v>
                </c:pt>
                <c:pt idx="37">
                  <c:v>14.142193469252668</c:v>
                </c:pt>
                <c:pt idx="38">
                  <c:v>13.659431740929836</c:v>
                </c:pt>
                <c:pt idx="39">
                  <c:v>13.211626192491959</c:v>
                </c:pt>
                <c:pt idx="40">
                  <c:v>12.802488964452955</c:v>
                </c:pt>
                <c:pt idx="41">
                  <c:v>12.435486007970955</c:v>
                </c:pt>
                <c:pt idx="42">
                  <c:v>12.113826243191063</c:v>
                </c:pt>
                <c:pt idx="43">
                  <c:v>11.840450717588146</c:v>
                </c:pt>
                <c:pt idx="44">
                  <c:v>11.618021764309599</c:v>
                </c:pt>
                <c:pt idx="45">
                  <c:v>11.448912160518123</c:v>
                </c:pt>
                <c:pt idx="46">
                  <c:v>11.335194285734504</c:v>
                </c:pt>
                <c:pt idx="47">
                  <c:v>11.278629280180381</c:v>
                </c:pt>
                <c:pt idx="48">
                  <c:v>11.280656203121024</c:v>
                </c:pt>
                <c:pt idx="49">
                  <c:v>11.342381191208114</c:v>
                </c:pt>
                <c:pt idx="50">
                  <c:v>11.464566616822511</c:v>
                </c:pt>
                <c:pt idx="51">
                  <c:v>11.647620246417032</c:v>
                </c:pt>
                <c:pt idx="52">
                  <c:v>11.89158439885923</c:v>
                </c:pt>
                <c:pt idx="53">
                  <c:v>12.196125103774159</c:v>
                </c:pt>
                <c:pt idx="54">
                  <c:v>12.560521259887164</c:v>
                </c:pt>
                <c:pt idx="55">
                  <c:v>12.983653793366637</c:v>
                </c:pt>
                <c:pt idx="56">
                  <c:v>13.463994816166812</c:v>
                </c:pt>
                <c:pt idx="57">
                  <c:v>13.99959678437053</c:v>
                </c:pt>
                <c:pt idx="58">
                  <c:v>14.588081656532015</c:v>
                </c:pt>
                <c:pt idx="59">
                  <c:v>15.226630052019644</c:v>
                </c:pt>
                <c:pt idx="60">
                  <c:v>15.911970409358734</c:v>
                </c:pt>
                <c:pt idx="61">
                  <c:v>16.64036814457431</c:v>
                </c:pt>
                <c:pt idx="62">
                  <c:v>17.407614809533875</c:v>
                </c:pt>
                <c:pt idx="63">
                  <c:v>18.209017250290195</c:v>
                </c:pt>
                <c:pt idx="64">
                  <c:v>19.039386765424076</c:v>
                </c:pt>
                <c:pt idx="65">
                  <c:v>19.893028264387134</c:v>
                </c:pt>
                <c:pt idx="66">
                  <c:v>20.763729425844545</c:v>
                </c:pt>
                <c:pt idx="67">
                  <c:v>21.644749856017874</c:v>
                </c:pt>
                <c:pt idx="68">
                  <c:v>22.528810247027806</c:v>
                </c:pt>
                <c:pt idx="69">
                  <c:v>23.408081535236946</c:v>
                </c:pt>
                <c:pt idx="70">
                  <c:v>24.274174059592568</c:v>
                </c:pt>
                <c:pt idx="71">
                  <c:v>25.118126719969425</c:v>
                </c:pt>
                <c:pt idx="72">
                  <c:v>25.930396135512488</c:v>
                </c:pt>
                <c:pt idx="73">
                  <c:v>26.700845802979757</c:v>
                </c:pt>
                <c:pt idx="74">
                  <c:v>27.418735255084989</c:v>
                </c:pt>
                <c:pt idx="75">
                  <c:v>28.072709218840544</c:v>
                </c:pt>
                <c:pt idx="76">
                  <c:v>28.65078677390008</c:v>
                </c:pt>
                <c:pt idx="77">
                  <c:v>29.140350510901385</c:v>
                </c:pt>
                <c:pt idx="78">
                  <c:v>29.528135689809119</c:v>
                </c:pt>
                <c:pt idx="79">
                  <c:v>29.800219398257617</c:v>
                </c:pt>
                <c:pt idx="80">
                  <c:v>29.942009709893661</c:v>
                </c:pt>
                <c:pt idx="81">
                  <c:v>29.938234842719204</c:v>
                </c:pt>
                <c:pt idx="82">
                  <c:v>29.77293231743424</c:v>
                </c:pt>
                <c:pt idx="83">
                  <c:v>29.429438115779483</c:v>
                </c:pt>
                <c:pt idx="84">
                  <c:v>28.890375838879187</c:v>
                </c:pt>
                <c:pt idx="85">
                  <c:v>28.137645865583949</c:v>
                </c:pt>
                <c:pt idx="86">
                  <c:v>27.152414510813422</c:v>
                </c:pt>
                <c:pt idx="87">
                  <c:v>25.915103183899131</c:v>
                </c:pt>
                <c:pt idx="88">
                  <c:v>24.405377546927266</c:v>
                </c:pt>
                <c:pt idx="89">
                  <c:v>22.602136673081375</c:v>
                </c:pt>
                <c:pt idx="90">
                  <c:v>20.48350220498525</c:v>
                </c:pt>
              </c:numCache>
            </c:numRef>
          </c:yVal>
          <c:smooth val="1"/>
          <c:extLst>
            <c:ext xmlns:c16="http://schemas.microsoft.com/office/drawing/2014/chart" uri="{C3380CC4-5D6E-409C-BE32-E72D297353CC}">
              <c16:uniqueId val="{00000003-94BB-4AED-A691-2B19A40920A6}"/>
            </c:ext>
          </c:extLst>
        </c:ser>
        <c:dLbls>
          <c:showLegendKey val="0"/>
          <c:showVal val="0"/>
          <c:showCatName val="0"/>
          <c:showSerName val="0"/>
          <c:showPercent val="0"/>
          <c:showBubbleSize val="0"/>
        </c:dLbls>
        <c:axId val="1361933424"/>
        <c:axId val="1361932944"/>
      </c:scatterChart>
      <c:valAx>
        <c:axId val="1361933424"/>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a:t>
                </a:r>
              </a:p>
            </c:rich>
          </c:tx>
          <c:layout>
            <c:manualLayout>
              <c:xMode val="edge"/>
              <c:yMode val="edge"/>
              <c:x val="0.35367764089581794"/>
              <c:y val="0.9188320796717127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25400" cap="flat" cmpd="sng" algn="ctr">
            <a:solidFill>
              <a:schemeClr val="tx1">
                <a:lumMod val="50000"/>
                <a:lumOff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1932944"/>
        <c:crossesAt val="0"/>
        <c:crossBetween val="midCat"/>
      </c:valAx>
      <c:valAx>
        <c:axId val="1361932944"/>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Y_PREDICT</a:t>
                </a:r>
              </a:p>
            </c:rich>
          </c:tx>
          <c:layout>
            <c:manualLayout>
              <c:xMode val="edge"/>
              <c:yMode val="edge"/>
              <c:x val="1.1208579664671068E-2"/>
              <c:y val="0.3830873321217692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nextTo"/>
        <c:spPr>
          <a:noFill/>
          <a:ln w="22225">
            <a:solidFill>
              <a:schemeClr val="tx1">
                <a:lumMod val="65000"/>
                <a:lumOff val="3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1933424"/>
        <c:crosses val="autoZero"/>
        <c:crossBetween val="midCat"/>
      </c:valAx>
      <c:spPr>
        <a:noFill/>
        <a:ln cmpd="sng">
          <a:solidFill>
            <a:schemeClr val="tx1">
              <a:lumMod val="65000"/>
              <a:lumOff val="35000"/>
            </a:schemeClr>
          </a:solid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0</xdr:colOff>
      <xdr:row>6</xdr:row>
      <xdr:rowOff>5234</xdr:rowOff>
    </xdr:from>
    <xdr:to>
      <xdr:col>8</xdr:col>
      <xdr:colOff>600364</xdr:colOff>
      <xdr:row>7</xdr:row>
      <xdr:rowOff>346363</xdr:rowOff>
    </xdr:to>
    <xdr:sp macro="[0]!RunModelTraining_Click" textlink="">
      <xdr:nvSpPr>
        <xdr:cNvPr id="2" name="RunModelTraining">
          <a:extLst>
            <a:ext uri="{FF2B5EF4-FFF2-40B4-BE49-F238E27FC236}">
              <a16:creationId xmlns:a16="http://schemas.microsoft.com/office/drawing/2014/main" id="{15A47D35-A5A6-4663-FFCB-0ED5DD022A03}"/>
            </a:ext>
          </a:extLst>
        </xdr:cNvPr>
        <xdr:cNvSpPr/>
      </xdr:nvSpPr>
      <xdr:spPr>
        <a:xfrm>
          <a:off x="7004242" y="1667779"/>
          <a:ext cx="2555395" cy="525857"/>
        </a:xfrm>
        <a:prstGeom prst="roundRect">
          <a:avLst/>
        </a:prstGeom>
        <a:solidFill>
          <a:schemeClr val="tx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a:t>Press to Run the Model Training</a:t>
          </a:r>
        </a:p>
      </xdr:txBody>
    </xdr:sp>
    <xdr:clientData/>
  </xdr:twoCellAnchor>
  <xdr:twoCellAnchor>
    <xdr:from>
      <xdr:col>9</xdr:col>
      <xdr:colOff>46192</xdr:colOff>
      <xdr:row>5</xdr:row>
      <xdr:rowOff>53877</xdr:rowOff>
    </xdr:from>
    <xdr:to>
      <xdr:col>17</xdr:col>
      <xdr:colOff>815889</xdr:colOff>
      <xdr:row>14</xdr:row>
      <xdr:rowOff>69272</xdr:rowOff>
    </xdr:to>
    <xdr:graphicFrame macro="">
      <xdr:nvGraphicFramePr>
        <xdr:cNvPr id="3" name="Chart 2">
          <a:extLst>
            <a:ext uri="{FF2B5EF4-FFF2-40B4-BE49-F238E27FC236}">
              <a16:creationId xmlns:a16="http://schemas.microsoft.com/office/drawing/2014/main" id="{29A77F2F-8E41-7893-E92A-059575776D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921026</xdr:colOff>
      <xdr:row>5</xdr:row>
      <xdr:rowOff>19878</xdr:rowOff>
    </xdr:from>
    <xdr:to>
      <xdr:col>15</xdr:col>
      <xdr:colOff>178903</xdr:colOff>
      <xdr:row>28</xdr:row>
      <xdr:rowOff>92766</xdr:rowOff>
    </xdr:to>
    <xdr:graphicFrame macro="">
      <xdr:nvGraphicFramePr>
        <xdr:cNvPr id="2" name="Chart 1">
          <a:extLst>
            <a:ext uri="{FF2B5EF4-FFF2-40B4-BE49-F238E27FC236}">
              <a16:creationId xmlns:a16="http://schemas.microsoft.com/office/drawing/2014/main" id="{712F852A-58F7-9E2C-4EB4-9D893ADB592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D132296-36AF-4476-9A0A-B7A6AAADBAE6}" name="ActualData" displayName="ActualData" ref="A9:D27" totalsRowShown="0" headerRowDxfId="39">
  <autoFilter ref="A9:D27" xr:uid="{BD132296-36AF-4476-9A0A-B7A6AAADBAE6}"/>
  <tableColumns count="4">
    <tableColumn id="1" xr3:uid="{D62213BC-F832-4FD8-B1A5-38BAB3142B39}" name="x"/>
    <tableColumn id="2" xr3:uid="{5D592A57-D328-44CA-AA30-847138F47650}" name="y"/>
    <tableColumn id="3" xr3:uid="{E1CF41B1-29CB-49E6-83BD-C99248CA748D}" name="x_input" dataDxfId="38">
      <calculatedColumnFormula>ActualData[[#This Row],[x_scaled]]</calculatedColumnFormula>
    </tableColumn>
    <tableColumn id="4" xr3:uid="{52F6BAAF-FF31-4D7E-9AED-BDCBA138D5D0}" name="x_scaled" dataDxfId="37">
      <calculatedColumnFormula>(ActualData[[#This Row],[x]] - AVG_X) / STD_X</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AB15460-8792-4E29-BF8A-64FA1131A685}" name="Engine_step_iesimo" displayName="Engine_step_iesimo" ref="T9:AD27" totalsRowShown="0" headerRowDxfId="36" headerRowBorderDxfId="35">
  <autoFilter ref="T9:AD27" xr:uid="{FAB15460-8792-4E29-BF8A-64FA1131A685}"/>
  <tableColumns count="11">
    <tableColumn id="1" xr3:uid="{0D5751AE-E458-418E-9551-D4EDF686F249}" name="y_hat " dataDxfId="34">
      <calculatedColumnFormula>current_a * ActualData[[#This Row],[x_input]]^4 + current_b * ActualData[[#This Row],[x_input]]^3 + current_c * ActualData[[#This Row],[x_input]]^2  + current_d * ActualData[[#This Row],[x_input]] + current_e</calculatedColumnFormula>
    </tableColumn>
    <tableColumn id="2" xr3:uid="{0CE26157-7A37-4115-9F10-12BFEE08BF90}" name="Err" dataDxfId="33">
      <calculatedColumnFormula>(Engine_step_iesimo[[#This Row],[y_hat ]] - ActualData[[#This Row],[y]])</calculatedColumnFormula>
    </tableColumn>
    <tableColumn id="3" xr3:uid="{F397CE1D-8BC7-413D-A2E5-9F03F2D7C322}" name="Local_Grad_a" dataDxfId="32">
      <calculatedColumnFormula xml:space="preserve"> 2 * Engine_step_iesimo[[#This Row],[Err]] * ActualData[[#This Row],[x_input]]^4</calculatedColumnFormula>
    </tableColumn>
    <tableColumn id="5" xr3:uid="{13A8F328-5387-4F10-8F77-89646D3FCE69}" name="Local_Grad_b" dataDxfId="31">
      <calculatedColumnFormula xml:space="preserve"> 2 * Engine_step_iesimo[[#This Row],[Err]] * ActualData[[#This Row],[x_input]]^3</calculatedColumnFormula>
    </tableColumn>
    <tableColumn id="7" xr3:uid="{C1690BD4-AC24-4571-9CFB-CB6ECB246E7D}" name="Local_Grad_c" dataDxfId="30">
      <calculatedColumnFormula xml:space="preserve"> 2 * Engine_step_iesimo[[#This Row],[Err]] * ActualData[[#This Row],[x_input]]^2</calculatedColumnFormula>
    </tableColumn>
    <tableColumn id="4" xr3:uid="{05EA6903-B714-4BB5-90B4-72195EB31547}" name="Local_Grad_d" dataDxfId="29">
      <calculatedColumnFormula xml:space="preserve"> 2 * Engine_step_iesimo[[#This Row],[Err]] * ActualData[[#This Row],[x_input]]</calculatedColumnFormula>
    </tableColumn>
    <tableColumn id="9" xr3:uid="{BAD02683-15AD-4952-B083-F5986665CAE1}" name="Local_Grad_e" dataDxfId="28">
      <calculatedColumnFormula xml:space="preserve"> 2 * Engine_step_iesimo[[#This Row],[Err]]</calculatedColumnFormula>
    </tableColumn>
    <tableColumn id="11" xr3:uid="{50FC584C-4299-49DB-82CB-4A22E0917588}" name="Squared Error" dataDxfId="27">
      <calculatedColumnFormula>Engine_step_iesimo[[#This Row],[Err]] ^ 2</calculatedColumnFormula>
    </tableColumn>
    <tableColumn id="12" xr3:uid="{88E02070-31B4-4612-BCB3-E52D2FF00D22}" name="x" dataDxfId="26">
      <calculatedColumnFormula>ActualData[[#This Row],[x_input]]</calculatedColumnFormula>
    </tableColumn>
    <tableColumn id="13" xr3:uid="{A2316DBE-8E2E-4655-A26A-3840F9623542}" name="y_prediction" dataDxfId="25">
      <calculatedColumnFormula>current_a * ActualData[[#This Row],[x_input]]^4 + current_b * ActualData[[#This Row],[x_input]]^3 + current_c * ActualData[[#This Row],[x_input]]^2 + current_d * ActualData[[#This Row],[x_input]] + current_e</calculatedColumnFormula>
    </tableColumn>
    <tableColumn id="8" xr3:uid="{1A7EE773-E18F-44C2-8199-B1CFB3FF6F87}" name="ABS_ERR" dataDxfId="24">
      <calculatedColumnFormula>ABS(Engine_step_iesimo[[#This Row],[Err]])</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3366C39-A3F8-49DF-8B84-07C0E6709211}" name="Iterations" displayName="Iterations" ref="F16:R1571" totalsRowShown="0" headerRowDxfId="23" dataDxfId="22">
  <autoFilter ref="F16:R1571" xr:uid="{D3366C39-A3F8-49DF-8B84-07C0E6709211}"/>
  <tableColumns count="13">
    <tableColumn id="1" xr3:uid="{5EE8C242-C53C-4871-AA91-46CACE21CDC4}" name="Step" dataDxfId="21"/>
    <tableColumn id="2" xr3:uid="{BF233739-212F-4A1D-9378-53701B16FF9C}" name="a" dataDxfId="20">
      <calculatedColumnFormula>IF(Iterations[[#This Row],[Step]] =current_step, current_a,IF(Iterations[[#This Row],[Step]] &gt; current_step, "",Iterations[[#This Row],[a]]))</calculatedColumnFormula>
    </tableColumn>
    <tableColumn id="3" xr3:uid="{88CEC90A-F9B6-4A7F-8A63-BCBF0E51DF3E}" name="b" dataDxfId="19">
      <calculatedColumnFormula>IF(Iterations[[#This Row],[Step]] =current_step, current_b,IF(Iterations[[#This Row],[Step]] &gt; current_step, "",Iterations[[#This Row],[b]]))</calculatedColumnFormula>
    </tableColumn>
    <tableColumn id="4" xr3:uid="{1416F86A-95DC-4446-866A-40C61205C7D1}" name="c" dataDxfId="18">
      <calculatedColumnFormula>IF(Iterations[[#This Row],[Step]] =current_step, current_c,IF(Iterations[[#This Row],[Step]] &gt; current_step, "",Iterations[[#This Row],[c]]))</calculatedColumnFormula>
    </tableColumn>
    <tableColumn id="5" xr3:uid="{2F6BD9E8-41FF-44CB-AE77-932361BDD6FE}" name="d" dataDxfId="17">
      <calculatedColumnFormula>IF(Iterations[[#This Row],[Step]] =current_step, current_d,IF(Iterations[[#This Row],[Step]] &gt; current_step, "",Iterations[[#This Row],[d]]))</calculatedColumnFormula>
    </tableColumn>
    <tableColumn id="6" xr3:uid="{6F17D359-3D8B-41AE-A073-17DE954BF3E9}" name="e" dataDxfId="16">
      <calculatedColumnFormula>IF(Iterations[[#This Row],[Step]] =current_step, current_e,IF(Iterations[[#This Row],[Step]] &gt; current_step, "",Iterations[[#This Row],[e]]))</calculatedColumnFormula>
    </tableColumn>
    <tableColumn id="11" xr3:uid="{4E1F8903-8A17-4241-AA51-D85151322ABB}" name="Total Loss" dataDxfId="15" dataCellStyle="Accent5">
      <calculatedColumnFormula>IF(Iterations[[#This Row],[Step]] =current_step, current_Total_Loss,IF(Iterations[[#This Row],[Step]] &gt; current_step, "",Iterations[[#This Row],[Total Loss]]))</calculatedColumnFormula>
    </tableColumn>
    <tableColumn id="7" xr3:uid="{069E4C80-DFE9-40CF-8E13-BF3176CA6F13}" name="&gt;&gt;&gt;&gt;&gt;&gt;2" dataDxfId="14">
      <calculatedColumnFormula>IF(Iterations[[#This Row],[Step]] =current_step, current_Grad_a,IF(Iterations[[#This Row],[Step]] &gt; current_step, "",Iterations[[#This Row],[&gt;&gt;&gt;&gt;&gt;&gt;2]]))</calculatedColumnFormula>
    </tableColumn>
    <tableColumn id="8" xr3:uid="{F555397E-503A-4680-9908-81A649761090}" name="Grad_a" dataDxfId="13">
      <calculatedColumnFormula>IF(Iterations[[#This Row],[Step]] =current_step, current_Grad_a,IF(Iterations[[#This Row],[Step]] &gt; current_step, "",Iterations[[#This Row],[Grad_a]]))</calculatedColumnFormula>
    </tableColumn>
    <tableColumn id="9" xr3:uid="{3B2BE400-5B5C-4EA3-A2CF-6445435E2EBF}" name="Grad_b" dataDxfId="12">
      <calculatedColumnFormula>IF(Iterations[[#This Row],[Step]] =current_step, current_Grad_b,IF(Iterations[[#This Row],[Step]] &gt; current_step, "",Iterations[[#This Row],[Grad_b]]))</calculatedColumnFormula>
    </tableColumn>
    <tableColumn id="10" xr3:uid="{42713319-2F90-4C3A-9635-E792697EF775}" name="Grad_c" dataDxfId="11">
      <calculatedColumnFormula>IF(Iterations[[#This Row],[Step]] =current_step, current_Grad_c,IF(Iterations[[#This Row],[Step]] &gt; current_step, "",Iterations[[#This Row],[Grad_c]]))</calculatedColumnFormula>
    </tableColumn>
    <tableColumn id="12" xr3:uid="{2511E303-5C66-4CF3-B7D7-726C69A3B4C8}" name="Grad_d" dataDxfId="10">
      <calculatedColumnFormula>IF(Iterations[[#This Row],[Step]] =current_step, current_Grad_d,IF(Iterations[[#This Row],[Step]] &gt; current_step, "",Iterations[[#This Row],[Grad_d]]))</calculatedColumnFormula>
    </tableColumn>
    <tableColumn id="13" xr3:uid="{577F98D9-2A88-4F47-B6F9-78C8EE73AD3C}" name="Grad_e" dataDxfId="9">
      <calculatedColumnFormula>IF(Iterations[[#This Row],[Step]] =current_step, current_Grad_e,IF(Iterations[[#This Row],[Step]] &gt; current_step, "",Iterations[[#This Row],[Grad_e]]))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4D36D4C-FED9-4AAC-BE76-2755101AE72A}" name="LR_Schedule" displayName="LR_Schedule" ref="T1:V5" totalsRowShown="0" headerRowDxfId="8" dataDxfId="7">
  <autoFilter ref="T1:V5" xr:uid="{04D36D4C-FED9-4AAC-BE76-2755101AE72A}"/>
  <tableColumns count="3">
    <tableColumn id="1" xr3:uid="{7AFB3FAE-53F5-4FE9-A73D-DBA1C1929008}" name="FromStep" dataDxfId="6"/>
    <tableColumn id="2" xr3:uid="{8B63D697-F606-4698-8CD2-05A98B6CCE71}" name="ToStep" dataDxfId="5"/>
    <tableColumn id="3" xr3:uid="{19560DAB-E6FB-4747-A545-9ED79D111D4A}" name="LR" dataDxfId="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4110BFD-A434-4157-8EE8-1E2D4993EB08}" name="Table1" displayName="Table1" ref="A21:D112" totalsRowShown="0" headerRowDxfId="3">
  <autoFilter ref="A21:D112" xr:uid="{84110BFD-A434-4157-8EE8-1E2D4993EB08}"/>
  <tableColumns count="4">
    <tableColumn id="1" xr3:uid="{78C629BC-37F6-4EED-A805-F6B1BE646CA6}" name="X"/>
    <tableColumn id="2" xr3:uid="{2E0E9439-5EA4-48EF-8859-8C63E4CD5F26}" name="X_NORM" dataDxfId="2">
      <calculatedColumnFormula>(Table1[[#This Row],[X]]-AVG_X) / STD_X</calculatedColumnFormula>
    </tableColumn>
    <tableColumn id="3" xr3:uid="{C04CBF33-E2A7-4EEE-A865-D4D326B99864}" name="Y_PREDICT - 4th grade" dataDxfId="1">
      <calculatedColumnFormula>$A$2 * Table1[[#This Row],[X_NORM]]^4 + $B$2 * Table1[[#This Row],[X_NORM]]^3 + $C$2 * Table1[[#This Row],[X_NORM]]^2 + $D$2 * Table1[[#This Row],[X_NORM]] + $E$2</calculatedColumnFormula>
    </tableColumn>
    <tableColumn id="4" xr3:uid="{BDE8F1DE-6628-4B89-A360-1C27F1B7BFB9}" name="Y_PREDICT - 45h grade" dataDxfId="0">
      <calculatedColumnFormula>$I$2 * Table1[[#This Row],[X_NORM]]^5 + $J$2 * Table1[[#This Row],[X_NORM]]^4 + $K$2 * Table1[[#This Row],[X_NORM]]^3 + $L$2 * Table1[[#This Row],[X_NORM]]^2 + $M$2 *Table1[[#This Row],[X_NORM]] + $N$2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7DDF1-E6A5-4A6B-BA45-ADAC93267E1F}">
  <sheetPr codeName="Sheet3"/>
  <dimension ref="A1:AE1571"/>
  <sheetViews>
    <sheetView tabSelected="1" zoomScaleNormal="100" workbookViewId="0">
      <selection activeCell="G11" sqref="G11"/>
    </sheetView>
  </sheetViews>
  <sheetFormatPr defaultRowHeight="14.4" x14ac:dyDescent="0.3"/>
  <cols>
    <col min="1" max="1" width="11.6640625" customWidth="1"/>
    <col min="2" max="2" width="11.33203125" customWidth="1"/>
    <col min="3" max="3" width="21.44140625" customWidth="1"/>
    <col min="4" max="4" width="11.5546875" customWidth="1"/>
    <col min="5" max="5" width="8.5546875" style="21" customWidth="1"/>
    <col min="6" max="6" width="13.77734375" customWidth="1"/>
    <col min="7" max="7" width="10.77734375" customWidth="1"/>
    <col min="8" max="8" width="13.44140625" customWidth="1"/>
    <col min="11" max="11" width="11.44140625" bestFit="1" customWidth="1"/>
    <col min="12" max="12" width="15.44140625" customWidth="1"/>
    <col min="13" max="13" width="10" customWidth="1"/>
    <col min="14" max="14" width="14.21875" customWidth="1"/>
    <col min="15" max="15" width="14.77734375" customWidth="1"/>
    <col min="16" max="18" width="13.88671875" customWidth="1"/>
    <col min="19" max="19" width="8.5546875" style="21" customWidth="1"/>
    <col min="20" max="20" width="11.33203125" customWidth="1"/>
    <col min="21" max="21" width="12.33203125" customWidth="1"/>
    <col min="22" max="22" width="22.44140625" customWidth="1"/>
    <col min="23" max="23" width="25.77734375" customWidth="1"/>
    <col min="24" max="24" width="21.77734375" customWidth="1"/>
    <col min="25" max="25" width="18" bestFit="1" customWidth="1"/>
    <col min="26" max="26" width="14.77734375" bestFit="1" customWidth="1"/>
    <col min="27" max="27" width="17.21875" bestFit="1" customWidth="1"/>
    <col min="28" max="29" width="16.109375" bestFit="1" customWidth="1"/>
    <col min="30" max="30" width="16.109375" customWidth="1"/>
    <col min="31" max="31" width="8.5546875" style="21" customWidth="1"/>
  </cols>
  <sheetData>
    <row r="1" spans="1:31" ht="24.6" thickTop="1" thickBot="1" x14ac:dyDescent="0.5">
      <c r="E1" s="19"/>
      <c r="F1" s="15" t="s">
        <v>39</v>
      </c>
      <c r="G1" s="14">
        <v>0.1</v>
      </c>
      <c r="H1" s="15" t="s">
        <v>40</v>
      </c>
      <c r="I1" s="14">
        <v>0.1</v>
      </c>
      <c r="J1" s="15" t="s">
        <v>41</v>
      </c>
      <c r="K1" s="14">
        <v>0.1</v>
      </c>
      <c r="L1" s="15" t="s">
        <v>42</v>
      </c>
      <c r="M1" s="14">
        <v>0.1</v>
      </c>
      <c r="N1" s="15" t="s">
        <v>38</v>
      </c>
      <c r="O1" s="14">
        <v>18</v>
      </c>
      <c r="S1" s="19"/>
      <c r="T1" s="4" t="s">
        <v>35</v>
      </c>
      <c r="U1" s="4" t="s">
        <v>36</v>
      </c>
      <c r="V1" s="4" t="s">
        <v>34</v>
      </c>
      <c r="AE1" s="19"/>
    </row>
    <row r="2" spans="1:31" ht="28.8" thickTop="1" x14ac:dyDescent="0.5">
      <c r="E2" s="20"/>
      <c r="F2" s="3" t="s">
        <v>55</v>
      </c>
      <c r="G2" s="3" t="s">
        <v>60</v>
      </c>
      <c r="H2" s="3" t="s">
        <v>9</v>
      </c>
      <c r="I2" s="3" t="s">
        <v>61</v>
      </c>
      <c r="J2" s="3" t="s">
        <v>9</v>
      </c>
      <c r="K2" s="3" t="s">
        <v>62</v>
      </c>
      <c r="L2" s="3" t="s">
        <v>9</v>
      </c>
      <c r="M2" s="13" t="s">
        <v>63</v>
      </c>
      <c r="N2" s="3" t="s">
        <v>9</v>
      </c>
      <c r="O2" s="23" t="s">
        <v>43</v>
      </c>
      <c r="S2" s="20"/>
      <c r="T2" s="1">
        <v>0</v>
      </c>
      <c r="U2" s="1">
        <v>50</v>
      </c>
      <c r="V2" s="1">
        <v>0.01</v>
      </c>
      <c r="AE2" s="20"/>
    </row>
    <row r="3" spans="1:31" ht="19.8" customHeight="1" thickBot="1" x14ac:dyDescent="0.35">
      <c r="D3" s="16"/>
      <c r="E3" s="19"/>
      <c r="F3" s="3"/>
      <c r="G3" s="3"/>
      <c r="H3" s="3"/>
      <c r="I3" s="3"/>
      <c r="J3" s="3"/>
      <c r="K3" s="3"/>
      <c r="L3" s="3"/>
      <c r="M3" s="3"/>
      <c r="S3" s="19"/>
      <c r="T3" s="1">
        <v>51</v>
      </c>
      <c r="U3" s="1">
        <v>200</v>
      </c>
      <c r="V3" s="1">
        <v>0.05</v>
      </c>
      <c r="AE3" s="19"/>
    </row>
    <row r="4" spans="1:31" ht="37.200000000000003" customHeight="1" thickTop="1" thickBot="1" x14ac:dyDescent="0.5">
      <c r="A4" s="15"/>
      <c r="B4" s="15" t="s">
        <v>54</v>
      </c>
      <c r="C4" s="18"/>
      <c r="D4" s="18"/>
      <c r="E4" s="19"/>
      <c r="F4" s="5" t="s">
        <v>16</v>
      </c>
      <c r="G4" s="5" t="s">
        <v>17</v>
      </c>
      <c r="H4" s="5" t="s">
        <v>22</v>
      </c>
      <c r="I4" s="5" t="s">
        <v>23</v>
      </c>
      <c r="J4" s="5" t="s">
        <v>24</v>
      </c>
      <c r="K4" s="5" t="s">
        <v>44</v>
      </c>
      <c r="L4" s="25" t="s">
        <v>21</v>
      </c>
      <c r="M4" s="7" t="s">
        <v>27</v>
      </c>
      <c r="N4" s="5" t="s">
        <v>28</v>
      </c>
      <c r="O4" s="5" t="s">
        <v>29</v>
      </c>
      <c r="P4" s="5" t="s">
        <v>30</v>
      </c>
      <c r="Q4" s="5" t="s">
        <v>31</v>
      </c>
      <c r="R4" s="5" t="s">
        <v>48</v>
      </c>
      <c r="S4" s="19"/>
      <c r="T4" s="1">
        <v>201</v>
      </c>
      <c r="U4" s="1">
        <v>450</v>
      </c>
      <c r="V4" s="1">
        <v>7.0000000000000007E-2</v>
      </c>
      <c r="AE4" s="19"/>
    </row>
    <row r="5" spans="1:31" ht="18.600000000000001" thickTop="1" thickBot="1" x14ac:dyDescent="0.35">
      <c r="B5" s="8"/>
      <c r="E5" s="19"/>
      <c r="F5" s="3">
        <v>1000</v>
      </c>
      <c r="G5" s="3" cm="1">
        <f t="array" aca="1" ref="G5" ca="1">IF(current_step = 0, initial_a, INDEX(Iterations[a],current_step) - _xlfn.XLOOKUP(current_step, LR_Schedule[FromStep], LR_Schedule[LR], , -1) * INDEX(Iterations[Grad_a],current_step))</f>
        <v>-7.2955584392359016</v>
      </c>
      <c r="H5" s="3" cm="1">
        <f t="array" aca="1" ref="H5" ca="1">IF(current_step = 0, initial_b, INDEX(Iterations[b],current_step) - _xlfn.XLOOKUP(current_step, LR_Schedule[FromStep], LR_Schedule[LR], , -1) * INDEX(Iterations[Grad_b],current_step))</f>
        <v>0.34456078600815959</v>
      </c>
      <c r="I5" s="3" cm="1">
        <f t="array" aca="1" ref="I5" ca="1">IF(current_step = 0, initial_c, INDEX(Iterations[c],current_step) - _xlfn.XLOOKUP(current_step, LR_Schedule[FromStep], LR_Schedule[LR], , -1) * INDEX(Iterations[Grad_c],current_step))</f>
        <v>21.301460597053104</v>
      </c>
      <c r="J5" s="3" cm="1">
        <f t="array" aca="1" ref="J5" ca="1">IF(current_step = 0, initial_d, INDEX(Iterations[d],current_step) - _xlfn.XLOOKUP(current_step, LR_Schedule[FromStep], LR_Schedule[LR], , -1) * INDEX(Iterations[Grad_d],current_step))</f>
        <v>1.2082682969327339</v>
      </c>
      <c r="K5" s="3" cm="1">
        <f t="array" aca="1" ref="K5" ca="1">IF(current_step = 0, initial_e, INDEX(Iterations[e],current_step) - _xlfn.XLOOKUP(current_step, LR_Schedule[FromStep], LR_Schedule[LR], , -1) * INDEX(Iterations[Grad_e],current_step))</f>
        <v>11.284480928133252</v>
      </c>
      <c r="L5" s="24">
        <f ca="1">ROUND(SUM(Engine_step_iesimo[Squared Error]), 2)</f>
        <v>90.43</v>
      </c>
      <c r="M5" s="7" t="s">
        <v>27</v>
      </c>
      <c r="N5" s="3">
        <f ca="1">AVERAGE(Engine_step_iesimo[Local_Grad_a])</f>
        <v>1.4495913327056008E-3</v>
      </c>
      <c r="O5" s="3">
        <f ca="1">AVERAGE(Engine_step_iesimo[Local_Grad_b])</f>
        <v>2.5281547676746382E-4</v>
      </c>
      <c r="P5" s="3">
        <f ca="1">AVERAGE(Engine_step_iesimo[Local_Grad_c])</f>
        <v>-4.0662662644901986E-3</v>
      </c>
      <c r="Q5" s="3">
        <f ca="1">AVERAGE(Engine_step_iesimo[Local_Grad_d])</f>
        <v>-2.3224454616529075E-4</v>
      </c>
      <c r="R5" s="3">
        <f ca="1">AVERAGE(Engine_step_iesimo[Local_Grad_e])</f>
        <v>1.450145189763003E-3</v>
      </c>
      <c r="S5" s="19"/>
      <c r="T5" s="1">
        <v>451</v>
      </c>
      <c r="U5" s="1">
        <v>10000</v>
      </c>
      <c r="V5" s="1">
        <v>7.0000000000000007E-2</v>
      </c>
      <c r="AE5" s="19"/>
    </row>
    <row r="6" spans="1:31" ht="15" thickTop="1" x14ac:dyDescent="0.3">
      <c r="A6" s="9">
        <f>AVERAGE(ActualData[x])</f>
        <v>6.333333333333333</v>
      </c>
      <c r="B6" s="8" t="s">
        <v>51</v>
      </c>
      <c r="E6" s="19"/>
      <c r="F6" s="3"/>
      <c r="G6" s="3"/>
      <c r="H6" s="3"/>
      <c r="I6" s="3"/>
      <c r="J6" s="3"/>
      <c r="K6" s="3"/>
      <c r="L6" s="3"/>
      <c r="M6" s="3"/>
      <c r="S6" s="19"/>
      <c r="AE6" s="19"/>
    </row>
    <row r="7" spans="1:31" x14ac:dyDescent="0.3">
      <c r="A7" s="8">
        <f>_xlfn.STDEV.P(ActualData[x])</f>
        <v>5.4365021434333638</v>
      </c>
      <c r="B7" s="8" t="s">
        <v>52</v>
      </c>
      <c r="F7" s="3"/>
      <c r="G7" s="3"/>
      <c r="H7" s="3"/>
      <c r="I7" s="3"/>
      <c r="J7" s="3"/>
      <c r="K7" s="3"/>
      <c r="L7" s="3"/>
      <c r="M7" s="3"/>
    </row>
    <row r="8" spans="1:31" ht="23.4" customHeight="1" x14ac:dyDescent="0.3">
      <c r="A8" s="8">
        <f>CORREL(ActualData[x], ActualData[y])</f>
        <v>0.46119561614136456</v>
      </c>
      <c r="B8" s="8" t="s">
        <v>50</v>
      </c>
      <c r="C8" s="17" t="s">
        <v>58</v>
      </c>
      <c r="D8" s="17"/>
      <c r="F8" s="3"/>
      <c r="G8" s="3"/>
      <c r="H8" s="3"/>
      <c r="I8" s="3"/>
      <c r="J8" s="3"/>
      <c r="K8" s="3"/>
      <c r="L8" s="3"/>
      <c r="M8" s="3"/>
      <c r="T8" s="10" t="s">
        <v>25</v>
      </c>
      <c r="U8" s="10" t="s">
        <v>26</v>
      </c>
      <c r="V8" s="10" t="s">
        <v>46</v>
      </c>
      <c r="W8" s="10" t="s">
        <v>5</v>
      </c>
      <c r="X8" s="10" t="s">
        <v>6</v>
      </c>
      <c r="Y8" s="10" t="s">
        <v>47</v>
      </c>
      <c r="Z8" s="10" t="s">
        <v>7</v>
      </c>
      <c r="AA8" s="10" t="s">
        <v>32</v>
      </c>
    </row>
    <row r="9" spans="1:31" ht="41.4" customHeight="1" thickBot="1" x14ac:dyDescent="0.35">
      <c r="A9" s="4" t="s">
        <v>10</v>
      </c>
      <c r="B9" s="4" t="s">
        <v>1</v>
      </c>
      <c r="C9" s="2" t="s">
        <v>53</v>
      </c>
      <c r="D9" s="4" t="s">
        <v>59</v>
      </c>
      <c r="E9" s="22"/>
      <c r="F9" s="28">
        <v>1000</v>
      </c>
      <c r="G9" s="29" t="s">
        <v>33</v>
      </c>
      <c r="H9" s="30"/>
      <c r="I9" s="3"/>
      <c r="J9" s="3"/>
      <c r="K9" s="3"/>
      <c r="L9" s="3"/>
      <c r="M9" s="3"/>
      <c r="S9" s="22"/>
      <c r="T9" s="11" t="s">
        <v>3</v>
      </c>
      <c r="U9" s="11" t="s">
        <v>56</v>
      </c>
      <c r="V9" s="11" t="s">
        <v>74</v>
      </c>
      <c r="W9" s="11" t="s">
        <v>75</v>
      </c>
      <c r="X9" s="12" t="s">
        <v>76</v>
      </c>
      <c r="Y9" s="12" t="s">
        <v>77</v>
      </c>
      <c r="Z9" s="11" t="s">
        <v>78</v>
      </c>
      <c r="AA9" s="11" t="s">
        <v>11</v>
      </c>
      <c r="AB9" s="11" t="s">
        <v>10</v>
      </c>
      <c r="AC9" s="11" t="s">
        <v>37</v>
      </c>
      <c r="AD9" s="11" t="s">
        <v>57</v>
      </c>
      <c r="AE9" s="22"/>
    </row>
    <row r="10" spans="1:31" ht="24.6" thickTop="1" thickBot="1" x14ac:dyDescent="0.5">
      <c r="A10">
        <v>-3</v>
      </c>
      <c r="B10">
        <v>10</v>
      </c>
      <c r="C10">
        <f>ActualData[[#This Row],[x_scaled]]</f>
        <v>-1.716790150557904</v>
      </c>
      <c r="D10">
        <f>(ActualData[[#This Row],[x]] - AVG_X) / STD_X</f>
        <v>-1.716790150557904</v>
      </c>
      <c r="F10" s="27" t="s">
        <v>67</v>
      </c>
      <c r="G10" s="27"/>
      <c r="H10" s="15"/>
      <c r="I10" s="15"/>
      <c r="J10" s="3"/>
      <c r="K10" s="3"/>
      <c r="L10" s="3"/>
      <c r="M10" s="3"/>
      <c r="T10">
        <f ca="1">current_a * ActualData[[#This Row],[x_input]]^4 + current_b * ActualData[[#This Row],[x_input]]^3 + current_c * ActualData[[#This Row],[x_input]]^2  + current_d * ActualData[[#This Row],[x_input]] + current_e</f>
        <v>6.8735333238120866</v>
      </c>
      <c r="U10">
        <f ca="1">(Engine_step_iesimo[[#This Row],[y_hat ]] - ActualData[[#This Row],[y]])</f>
        <v>-3.1264666761879134</v>
      </c>
      <c r="V10">
        <f ca="1" xml:space="preserve"> 2 * Engine_step_iesimo[[#This Row],[Err]] * ActualData[[#This Row],[x_input]]^4</f>
        <v>-54.319110784073622</v>
      </c>
      <c r="W10">
        <f ca="1" xml:space="preserve"> 2 * Engine_step_iesimo[[#This Row],[Err]] * ActualData[[#This Row],[x_input]]^3</f>
        <v>31.639924522179712</v>
      </c>
      <c r="X10">
        <f ca="1" xml:space="preserve"> 2 * Engine_step_iesimo[[#This Row],[Err]] * ActualData[[#This Row],[x_input]]^2</f>
        <v>-18.429698301739272</v>
      </c>
      <c r="Y10">
        <f ca="1" xml:space="preserve"> 2 * Engine_step_iesimo[[#This Row],[Err]] * ActualData[[#This Row],[x_input]]</f>
        <v>10.734974391453834</v>
      </c>
      <c r="Z10">
        <f ca="1" xml:space="preserve"> 2 * Engine_step_iesimo[[#This Row],[Err]]</f>
        <v>-6.2529333523758268</v>
      </c>
      <c r="AA10">
        <f ca="1">Engine_step_iesimo[[#This Row],[Err]] ^ 2</f>
        <v>9.774793877313499</v>
      </c>
      <c r="AB10">
        <f>ActualData[[#This Row],[x_input]]</f>
        <v>-1.716790150557904</v>
      </c>
      <c r="AC10">
        <f ca="1">current_a * ActualData[[#This Row],[x_input]]^4 + current_b * ActualData[[#This Row],[x_input]]^3 + current_c * ActualData[[#This Row],[x_input]]^2 + current_d * ActualData[[#This Row],[x_input]] + current_e</f>
        <v>6.8735333238120866</v>
      </c>
      <c r="AD10">
        <f ca="1">ABS(Engine_step_iesimo[[#This Row],[Err]])</f>
        <v>3.1264666761879134</v>
      </c>
    </row>
    <row r="11" spans="1:31" ht="15.6" thickTop="1" thickBot="1" x14ac:dyDescent="0.35">
      <c r="A11">
        <v>-2</v>
      </c>
      <c r="B11">
        <v>15</v>
      </c>
      <c r="C11">
        <f>ActualData[[#This Row],[x_scaled]]</f>
        <v>-1.5328483487124143</v>
      </c>
      <c r="D11">
        <f>(ActualData[[#This Row],[x]] - AVG_X) / STD_X</f>
        <v>-1.5328483487124143</v>
      </c>
      <c r="F11" s="33">
        <f ca="1">ROUND(CORREL(ActualData[y], Engine_step_iesimo[y_prediction])^2,2)</f>
        <v>0.88</v>
      </c>
      <c r="G11" s="32" t="s">
        <v>66</v>
      </c>
      <c r="H11" s="31"/>
      <c r="I11" s="32"/>
      <c r="J11" s="3"/>
      <c r="K11" s="3"/>
      <c r="L11" s="3"/>
      <c r="M11" s="3"/>
      <c r="T11">
        <f ca="1">current_a * ActualData[[#This Row],[x_input]]^4 + current_b * ActualData[[#This Row],[x_input]]^3 + current_c * ActualData[[#This Row],[x_input]]^2  + current_d * ActualData[[#This Row],[x_input]] + current_e</f>
        <v>17.965005227460235</v>
      </c>
      <c r="U11">
        <f ca="1">(Engine_step_iesimo[[#This Row],[y_hat ]] - ActualData[[#This Row],[y]])</f>
        <v>2.9650052274602352</v>
      </c>
      <c r="V11">
        <f ca="1" xml:space="preserve"> 2 * Engine_step_iesimo[[#This Row],[Err]] * ActualData[[#This Row],[x_input]]^4</f>
        <v>32.73800573736937</v>
      </c>
      <c r="W11">
        <f ca="1" xml:space="preserve"> 2 * Engine_step_iesimo[[#This Row],[Err]] * ActualData[[#This Row],[x_input]]^3</f>
        <v>-21.357628603553085</v>
      </c>
      <c r="X11">
        <f ca="1" xml:space="preserve"> 2 * Engine_step_iesimo[[#This Row],[Err]] * ActualData[[#This Row],[x_input]]^2</f>
        <v>13.93329524182441</v>
      </c>
      <c r="Y11">
        <f ca="1" xml:space="preserve"> 2 * Engine_step_iesimo[[#This Row],[Err]] * ActualData[[#This Row],[x_input]]</f>
        <v>-9.0898067336721962</v>
      </c>
      <c r="Z11">
        <f ca="1" xml:space="preserve"> 2 * Engine_step_iesimo[[#This Row],[Err]]</f>
        <v>5.9300104549204704</v>
      </c>
      <c r="AA11">
        <f ca="1">Engine_step_iesimo[[#This Row],[Err]] ^ 2</f>
        <v>8.7912559988665215</v>
      </c>
      <c r="AB11">
        <f>ActualData[[#This Row],[x_input]]</f>
        <v>-1.5328483487124143</v>
      </c>
      <c r="AC11">
        <f ca="1">current_a * ActualData[[#This Row],[x_input]]^4 + current_b * ActualData[[#This Row],[x_input]]^3 + current_c * ActualData[[#This Row],[x_input]]^2 + current_d * ActualData[[#This Row],[x_input]] + current_e</f>
        <v>17.965005227460235</v>
      </c>
      <c r="AD11">
        <f ca="1">ABS(Engine_step_iesimo[[#This Row],[Err]])</f>
        <v>2.9650052274602352</v>
      </c>
    </row>
    <row r="12" spans="1:31" ht="15.6" thickTop="1" thickBot="1" x14ac:dyDescent="0.35">
      <c r="A12">
        <v>-1</v>
      </c>
      <c r="B12">
        <v>20</v>
      </c>
      <c r="C12">
        <f>ActualData[[#This Row],[x_scaled]]</f>
        <v>-1.3489065468669246</v>
      </c>
      <c r="D12">
        <f>(ActualData[[#This Row],[x]] - AVG_X) / STD_X</f>
        <v>-1.3489065468669246</v>
      </c>
      <c r="F12" s="34">
        <f ca="1">ROUND(AVERAGE(Engine_step_iesimo[ABS_ERR]), 2)</f>
        <v>1.66</v>
      </c>
      <c r="G12" s="32" t="s">
        <v>65</v>
      </c>
      <c r="H12" s="26"/>
      <c r="I12" s="26"/>
      <c r="J12" s="3"/>
      <c r="K12" s="3"/>
      <c r="L12" s="3"/>
      <c r="M12" s="3"/>
      <c r="T12">
        <f ca="1">current_a * ActualData[[#This Row],[x_input]]^4 + current_b * ActualData[[#This Row],[x_input]]^3 + current_c * ActualData[[#This Row],[x_input]]^2  + current_d * ActualData[[#This Row],[x_input]] + current_e</f>
        <v>23.414168862464344</v>
      </c>
      <c r="U12">
        <f ca="1">(Engine_step_iesimo[[#This Row],[y_hat ]] - ActualData[[#This Row],[y]])</f>
        <v>3.4141688624643436</v>
      </c>
      <c r="V12">
        <f ca="1" xml:space="preserve"> 2 * Engine_step_iesimo[[#This Row],[Err]] * ActualData[[#This Row],[x_input]]^4</f>
        <v>22.606974420415138</v>
      </c>
      <c r="W12">
        <f ca="1" xml:space="preserve"> 2 * Engine_step_iesimo[[#This Row],[Err]] * ActualData[[#This Row],[x_input]]^3</f>
        <v>-16.759481576335929</v>
      </c>
      <c r="X12">
        <f ca="1" xml:space="preserve"> 2 * Engine_step_iesimo[[#This Row],[Err]] * ActualData[[#This Row],[x_input]]^2</f>
        <v>12.424494206261215</v>
      </c>
      <c r="Y12">
        <f ca="1" xml:space="preserve"> 2 * Engine_step_iesimo[[#This Row],[Err]] * ActualData[[#This Row],[x_input]]</f>
        <v>-9.2107894613747074</v>
      </c>
      <c r="Z12">
        <f ca="1" xml:space="preserve"> 2 * Engine_step_iesimo[[#This Row],[Err]]</f>
        <v>6.8283377249286872</v>
      </c>
      <c r="AA12">
        <f ca="1">Engine_step_iesimo[[#This Row],[Err]] ^ 2</f>
        <v>11.656549021421069</v>
      </c>
      <c r="AB12">
        <f>ActualData[[#This Row],[x_input]]</f>
        <v>-1.3489065468669246</v>
      </c>
      <c r="AC12">
        <f ca="1">current_a * ActualData[[#This Row],[x_input]]^4 + current_b * ActualData[[#This Row],[x_input]]^3 + current_c * ActualData[[#This Row],[x_input]]^2 + current_d * ActualData[[#This Row],[x_input]] + current_e</f>
        <v>23.414168862464344</v>
      </c>
      <c r="AD12">
        <f ca="1">ABS(Engine_step_iesimo[[#This Row],[Err]])</f>
        <v>3.4141688624643436</v>
      </c>
    </row>
    <row r="13" spans="1:31" ht="15.6" thickTop="1" thickBot="1" x14ac:dyDescent="0.35">
      <c r="A13">
        <v>1</v>
      </c>
      <c r="B13">
        <v>23</v>
      </c>
      <c r="C13">
        <f>ActualData[[#This Row],[x_scaled]]</f>
        <v>-0.98102294317594518</v>
      </c>
      <c r="D13">
        <f>(ActualData[[#This Row],[x]] - AVG_X) / STD_X</f>
        <v>-0.98102294317594518</v>
      </c>
      <c r="F13" s="33" cm="1">
        <f t="array" aca="1" ref="F13" ca="1" xml:space="preserve"> AVERAGE(ABS(Engine_step_iesimo[Err]) / ActualData[y])</f>
        <v>9.7393936099937434E-2</v>
      </c>
      <c r="G13" s="32" t="s">
        <v>64</v>
      </c>
      <c r="H13" s="26"/>
      <c r="I13" s="26"/>
      <c r="J13" s="3"/>
      <c r="K13" s="3"/>
      <c r="L13" s="3"/>
      <c r="M13" s="3"/>
      <c r="T13">
        <f ca="1">current_a * ActualData[[#This Row],[x_input]]^4 + current_b * ActualData[[#This Row],[x_input]]^3 + current_c * ActualData[[#This Row],[x_input]]^2  + current_d * ActualData[[#This Row],[x_input]] + current_e</f>
        <v>23.517150294301736</v>
      </c>
      <c r="U13">
        <f ca="1">(Engine_step_iesimo[[#This Row],[y_hat ]] - ActualData[[#This Row],[y]])</f>
        <v>0.51715029430173587</v>
      </c>
      <c r="V13">
        <f ca="1" xml:space="preserve"> 2 * Engine_step_iesimo[[#This Row],[Err]] * ActualData[[#This Row],[x_input]]^4</f>
        <v>0.95799541204586325</v>
      </c>
      <c r="W13">
        <f ca="1" xml:space="preserve"> 2 * Engine_step_iesimo[[#This Row],[Err]] * ActualData[[#This Row],[x_input]]^3</f>
        <v>-0.97652702080999954</v>
      </c>
      <c r="X13">
        <f ca="1" xml:space="preserve"> 2 * Engine_step_iesimo[[#This Row],[Err]] * ActualData[[#This Row],[x_input]]^2</f>
        <v>0.99541710782890491</v>
      </c>
      <c r="Y13">
        <f ca="1" xml:space="preserve"> 2 * Engine_step_iesimo[[#This Row],[Err]] * ActualData[[#This Row],[x_input]]</f>
        <v>-1.0146726075603902</v>
      </c>
      <c r="Z13">
        <f ca="1" xml:space="preserve"> 2 * Engine_step_iesimo[[#This Row],[Err]]</f>
        <v>1.0343005886034717</v>
      </c>
      <c r="AA13">
        <f ca="1">Engine_step_iesimo[[#This Row],[Err]] ^ 2</f>
        <v>0.26744442689637205</v>
      </c>
      <c r="AB13">
        <f>ActualData[[#This Row],[x_input]]</f>
        <v>-0.98102294317594518</v>
      </c>
      <c r="AC13">
        <f ca="1">current_a * ActualData[[#This Row],[x_input]]^4 + current_b * ActualData[[#This Row],[x_input]]^3 + current_c * ActualData[[#This Row],[x_input]]^2 + current_d * ActualData[[#This Row],[x_input]] + current_e</f>
        <v>23.517150294301736</v>
      </c>
      <c r="AD13">
        <f ca="1">ABS(Engine_step_iesimo[[#This Row],[Err]])</f>
        <v>0.51715029430173587</v>
      </c>
    </row>
    <row r="14" spans="1:31" ht="15" thickTop="1" x14ac:dyDescent="0.3">
      <c r="A14">
        <f>A13+1</f>
        <v>2</v>
      </c>
      <c r="B14">
        <v>27</v>
      </c>
      <c r="C14">
        <f>ActualData[[#This Row],[x_scaled]]</f>
        <v>-0.79708114133045549</v>
      </c>
      <c r="D14">
        <f>(ActualData[[#This Row],[x]] - AVG_X) / STD_X</f>
        <v>-0.79708114133045549</v>
      </c>
      <c r="F14" s="3"/>
      <c r="G14" s="3"/>
      <c r="H14" s="3"/>
      <c r="I14" s="3"/>
      <c r="J14" s="3"/>
      <c r="K14" s="3"/>
      <c r="L14" s="3"/>
      <c r="M14" s="3"/>
      <c r="T14">
        <f ca="1">current_a * ActualData[[#This Row],[x_input]]^4 + current_b * ActualData[[#This Row],[x_input]]^3 + current_c * ActualData[[#This Row],[x_input]]^2  + current_d * ActualData[[#This Row],[x_input]] + current_e</f>
        <v>20.735649343704051</v>
      </c>
      <c r="U14">
        <f ca="1">(Engine_step_iesimo[[#This Row],[y_hat ]] - ActualData[[#This Row],[y]])</f>
        <v>-6.2643506562959494</v>
      </c>
      <c r="V14">
        <f ca="1" xml:space="preserve"> 2 * Engine_step_iesimo[[#This Row],[Err]] * ActualData[[#This Row],[x_input]]^4</f>
        <v>-5.057270594563529</v>
      </c>
      <c r="W14">
        <f ca="1" xml:space="preserve"> 2 * Engine_step_iesimo[[#This Row],[Err]] * ActualData[[#This Row],[x_input]]^3</f>
        <v>6.3447374832154964</v>
      </c>
      <c r="X14">
        <f ca="1" xml:space="preserve"> 2 * Engine_step_iesimo[[#This Row],[Err]] * ActualData[[#This Row],[x_input]]^2</f>
        <v>-7.9599643677745506</v>
      </c>
      <c r="Y14">
        <f ca="1" xml:space="preserve"> 2 * Engine_step_iesimo[[#This Row],[Err]] * ActualData[[#This Row],[x_input]]</f>
        <v>9.9863915416291267</v>
      </c>
      <c r="Z14">
        <f ca="1" xml:space="preserve"> 2 * Engine_step_iesimo[[#This Row],[Err]]</f>
        <v>-12.528701312591899</v>
      </c>
      <c r="AA14">
        <f ca="1">Engine_step_iesimo[[#This Row],[Err]] ^ 2</f>
        <v>39.242089145035493</v>
      </c>
      <c r="AB14">
        <f>ActualData[[#This Row],[x_input]]</f>
        <v>-0.79708114133045549</v>
      </c>
      <c r="AC14">
        <f ca="1">current_a * ActualData[[#This Row],[x_input]]^4 + current_b * ActualData[[#This Row],[x_input]]^3 + current_c * ActualData[[#This Row],[x_input]]^2 + current_d * ActualData[[#This Row],[x_input]] + current_e</f>
        <v>20.735649343704051</v>
      </c>
      <c r="AD14">
        <f ca="1">ABS(Engine_step_iesimo[[#This Row],[Err]])</f>
        <v>6.2643506562959494</v>
      </c>
    </row>
    <row r="15" spans="1:31" x14ac:dyDescent="0.3">
      <c r="A15">
        <f t="shared" ref="A15:A27" si="0">A14+1</f>
        <v>3</v>
      </c>
      <c r="B15">
        <v>18</v>
      </c>
      <c r="C15">
        <f>ActualData[[#This Row],[x_scaled]]</f>
        <v>-0.61313933948496568</v>
      </c>
      <c r="D15">
        <f>(ActualData[[#This Row],[x]] - AVG_X) / STD_X</f>
        <v>-0.61313933948496568</v>
      </c>
      <c r="F15" s="3"/>
      <c r="G15" s="3"/>
      <c r="H15" s="3"/>
      <c r="I15" s="3"/>
      <c r="J15" s="3"/>
      <c r="K15" s="3"/>
      <c r="L15" s="3"/>
      <c r="M15" s="3"/>
      <c r="T15">
        <f ca="1">current_a * ActualData[[#This Row],[x_input]]^4 + current_b * ActualData[[#This Row],[x_input]]^3 + current_c * ActualData[[#This Row],[x_input]]^2  + current_d * ActualData[[#This Row],[x_input]] + current_e</f>
        <v>17.441202629600369</v>
      </c>
      <c r="U15">
        <f ca="1">(Engine_step_iesimo[[#This Row],[y_hat ]] - ActualData[[#This Row],[y]])</f>
        <v>-0.55879737039963118</v>
      </c>
      <c r="V15">
        <f ca="1" xml:space="preserve"> 2 * Engine_step_iesimo[[#This Row],[Err]] * ActualData[[#This Row],[x_input]]^4</f>
        <v>-0.15795052586342664</v>
      </c>
      <c r="W15">
        <f ca="1" xml:space="preserve"> 2 * Engine_step_iesimo[[#This Row],[Err]] * ActualData[[#This Row],[x_input]]^3</f>
        <v>0.2576095117238838</v>
      </c>
      <c r="X15">
        <f ca="1" xml:space="preserve"> 2 * Engine_step_iesimo[[#This Row],[Err]] * ActualData[[#This Row],[x_input]]^2</f>
        <v>-0.42014839879671501</v>
      </c>
      <c r="Y15">
        <f ca="1" xml:space="preserve"> 2 * Engine_step_iesimo[[#This Row],[Err]] * ActualData[[#This Row],[x_input]]</f>
        <v>0.68524130118553117</v>
      </c>
      <c r="Z15">
        <f ca="1" xml:space="preserve"> 2 * Engine_step_iesimo[[#This Row],[Err]]</f>
        <v>-1.1175947407992624</v>
      </c>
      <c r="AA15">
        <f ca="1">Engine_step_iesimo[[#This Row],[Err]] ^ 2</f>
        <v>0.3122545011655426</v>
      </c>
      <c r="AB15">
        <f>ActualData[[#This Row],[x_input]]</f>
        <v>-0.61313933948496568</v>
      </c>
      <c r="AC15">
        <f ca="1">current_a * ActualData[[#This Row],[x_input]]^4 + current_b * ActualData[[#This Row],[x_input]]^3 + current_c * ActualData[[#This Row],[x_input]]^2 + current_d * ActualData[[#This Row],[x_input]] + current_e</f>
        <v>17.441202629600369</v>
      </c>
      <c r="AD15">
        <f ca="1">ABS(Engine_step_iesimo[[#This Row],[Err]])</f>
        <v>0.55879737039963118</v>
      </c>
    </row>
    <row r="16" spans="1:31" x14ac:dyDescent="0.3">
      <c r="A16">
        <f t="shared" si="0"/>
        <v>4</v>
      </c>
      <c r="B16">
        <v>14</v>
      </c>
      <c r="C16">
        <f>ActualData[[#This Row],[x_scaled]]</f>
        <v>-0.42919753763947599</v>
      </c>
      <c r="D16">
        <f>(ActualData[[#This Row],[x]] - AVG_X) / STD_X</f>
        <v>-0.42919753763947599</v>
      </c>
      <c r="F16" s="2" t="s">
        <v>15</v>
      </c>
      <c r="G16" s="2" t="s">
        <v>8</v>
      </c>
      <c r="H16" s="2" t="s">
        <v>18</v>
      </c>
      <c r="I16" s="2" t="s">
        <v>19</v>
      </c>
      <c r="J16" s="2" t="s">
        <v>0</v>
      </c>
      <c r="K16" s="2" t="s">
        <v>43</v>
      </c>
      <c r="L16" s="2" t="s">
        <v>20</v>
      </c>
      <c r="M16" s="2" t="s">
        <v>49</v>
      </c>
      <c r="N16" s="2" t="s">
        <v>4</v>
      </c>
      <c r="O16" s="2" t="s">
        <v>12</v>
      </c>
      <c r="P16" s="2" t="s">
        <v>13</v>
      </c>
      <c r="Q16" s="2" t="s">
        <v>14</v>
      </c>
      <c r="R16" s="2" t="s">
        <v>45</v>
      </c>
      <c r="T16">
        <f ca="1">current_a * ActualData[[#This Row],[x_input]]^4 + current_b * ActualData[[#This Row],[x_input]]^3 + current_c * ActualData[[#This Row],[x_input]]^2  + current_d * ActualData[[#This Row],[x_input]] + current_e</f>
        <v>14.415042546963569</v>
      </c>
      <c r="U16">
        <f ca="1">(Engine_step_iesimo[[#This Row],[y_hat ]] - ActualData[[#This Row],[y]])</f>
        <v>0.41504254696356924</v>
      </c>
      <c r="V16">
        <f ca="1" xml:space="preserve"> 2 * Engine_step_iesimo[[#This Row],[Err]] * ActualData[[#This Row],[x_input]]^4</f>
        <v>2.8167707480907033E-2</v>
      </c>
      <c r="W16">
        <f ca="1" xml:space="preserve"> 2 * Engine_step_iesimo[[#This Row],[Err]] * ActualData[[#This Row],[x_input]]^3</f>
        <v>-6.5628772326666474E-2</v>
      </c>
      <c r="X16">
        <f ca="1" xml:space="preserve"> 2 * Engine_step_iesimo[[#This Row],[Err]] * ActualData[[#This Row],[x_input]]^2</f>
        <v>0.15291041203920966</v>
      </c>
      <c r="Y16">
        <f ca="1" xml:space="preserve"> 2 * Engine_step_iesimo[[#This Row],[Err]] * ActualData[[#This Row],[x_input]]</f>
        <v>-0.356270478344761</v>
      </c>
      <c r="Z16">
        <f ca="1" xml:space="preserve"> 2 * Engine_step_iesimo[[#This Row],[Err]]</f>
        <v>0.83008509392713847</v>
      </c>
      <c r="AA16">
        <f ca="1">Engine_step_iesimo[[#This Row],[Err]] ^ 2</f>
        <v>0.17226031579000659</v>
      </c>
      <c r="AB16">
        <f>ActualData[[#This Row],[x_input]]</f>
        <v>-0.42919753763947599</v>
      </c>
      <c r="AC16">
        <f ca="1">current_a * ActualData[[#This Row],[x_input]]^4 + current_b * ActualData[[#This Row],[x_input]]^3 + current_c * ActualData[[#This Row],[x_input]]^2 + current_d * ActualData[[#This Row],[x_input]] + current_e</f>
        <v>14.415042546963569</v>
      </c>
      <c r="AD16">
        <f ca="1">ABS(Engine_step_iesimo[[#This Row],[Err]])</f>
        <v>0.41504254696356924</v>
      </c>
    </row>
    <row r="17" spans="1:30" x14ac:dyDescent="0.3">
      <c r="A17">
        <f t="shared" si="0"/>
        <v>5</v>
      </c>
      <c r="B17">
        <v>12</v>
      </c>
      <c r="C17">
        <f>ActualData[[#This Row],[x_scaled]]</f>
        <v>-0.24525573579398627</v>
      </c>
      <c r="D17">
        <f>(ActualData[[#This Row],[x]] - AVG_X) / STD_X</f>
        <v>-0.24525573579398627</v>
      </c>
      <c r="F17" s="2">
        <v>0</v>
      </c>
      <c r="G17" s="2">
        <f ca="1">IF(Iterations[[#This Row],[Step]] =current_step, current_a,IF(Iterations[[#This Row],[Step]] &gt; current_step, "",Iterations[[#This Row],[a]]))</f>
        <v>0.1</v>
      </c>
      <c r="H17" s="2">
        <f ca="1">IF(Iterations[[#This Row],[Step]] =current_step, current_b,IF(Iterations[[#This Row],[Step]] &gt; current_step, "",Iterations[[#This Row],[b]]))</f>
        <v>0.1</v>
      </c>
      <c r="I17" s="2">
        <f ca="1">IF(Iterations[[#This Row],[Step]] =current_step, current_c,IF(Iterations[[#This Row],[Step]] &gt; current_step, "",Iterations[[#This Row],[c]]))</f>
        <v>0.1</v>
      </c>
      <c r="J17" s="2">
        <f ca="1">IF(Iterations[[#This Row],[Step]] =current_step, current_d,IF(Iterations[[#This Row],[Step]] &gt; current_step, "",Iterations[[#This Row],[d]]))</f>
        <v>0.1</v>
      </c>
      <c r="K17" s="2">
        <f ca="1">IF(Iterations[[#This Row],[Step]] =current_step, current_e,IF(Iterations[[#This Row],[Step]] &gt; current_step, "",Iterations[[#This Row],[e]]))</f>
        <v>18</v>
      </c>
      <c r="L17" s="2">
        <f ca="1">IF(Iterations[[#This Row],[Step]] =current_step, current_Total_Loss,IF(Iterations[[#This Row],[Step]] &gt; current_step, "",Iterations[[#This Row],[Total Loss]]))</f>
        <v>748.66</v>
      </c>
      <c r="M17" s="6" t="s">
        <v>27</v>
      </c>
      <c r="N17" s="2">
        <f ca="1">IF(Iterations[[#This Row],[Step]] =current_step, current_Grad_a,IF(Iterations[[#This Row],[Step]] &gt; current_step, "",Iterations[[#This Row],[Grad_a]]))</f>
        <v>-0.63114157001526172</v>
      </c>
      <c r="O17" s="2">
        <f ca="1">IF(Iterations[[#This Row],[Step]] =current_step, current_Grad_b,IF(Iterations[[#This Row],[Step]] &gt; current_step, "",Iterations[[#This Row],[Grad_b]]))</f>
        <v>-11.833595534352837</v>
      </c>
      <c r="P17" s="2">
        <f ca="1">IF(Iterations[[#This Row],[Step]] =current_step, current_Grad_c,IF(Iterations[[#This Row],[Step]] &gt; current_step, "",Iterations[[#This Row],[Grad_c]]))</f>
        <v>-3.6232370195243573</v>
      </c>
      <c r="Q17" s="2">
        <f ca="1">IF(Iterations[[#This Row],[Step]] =current_step, current_Grad_d,IF(Iterations[[#This Row],[Step]] &gt; current_step, "",Iterations[[#This Row],[Grad_d]]))</f>
        <v>-5.6069637607788305</v>
      </c>
      <c r="R17" s="2">
        <f ca="1">IF(Iterations[[#This Row],[Step]] =current_step, current_Grad_e,IF(Iterations[[#This Row],[Step]] &gt; current_step, "",Iterations[[#This Row],[Grad_e]]))</f>
        <v>-1.2252395211052489</v>
      </c>
      <c r="T17">
        <f ca="1">current_a * ActualData[[#This Row],[x_input]]^4 + current_b * ActualData[[#This Row],[x_input]]^3 + current_c * ActualData[[#This Row],[x_input]]^2  + current_d * ActualData[[#This Row],[x_input]] + current_e</f>
        <v>12.237958198241865</v>
      </c>
      <c r="U17">
        <f ca="1">(Engine_step_iesimo[[#This Row],[y_hat ]] - ActualData[[#This Row],[y]])</f>
        <v>0.23795819824186459</v>
      </c>
      <c r="V17">
        <f ca="1" xml:space="preserve"> 2 * Engine_step_iesimo[[#This Row],[Err]] * ActualData[[#This Row],[x_input]]^4</f>
        <v>1.7218977542517182E-3</v>
      </c>
      <c r="W17">
        <f ca="1" xml:space="preserve"> 2 * Engine_step_iesimo[[#This Row],[Err]] * ActualData[[#This Row],[x_input]]^3</f>
        <v>-7.0208256238219217E-3</v>
      </c>
      <c r="X17">
        <f ca="1" xml:space="preserve"> 2 * Engine_step_iesimo[[#This Row],[Err]] * ActualData[[#This Row],[x_input]]^2</f>
        <v>2.8626550164434827E-2</v>
      </c>
      <c r="Y17">
        <f ca="1" xml:space="preserve"> 2 * Engine_step_iesimo[[#This Row],[Err]] * ActualData[[#This Row],[x_input]]</f>
        <v>-0.1167212259960395</v>
      </c>
      <c r="Z17">
        <f ca="1" xml:space="preserve"> 2 * Engine_step_iesimo[[#This Row],[Err]]</f>
        <v>0.47591639648372919</v>
      </c>
      <c r="AA17">
        <f ca="1">Engine_step_iesimo[[#This Row],[Err]] ^ 2</f>
        <v>5.662410411051453E-2</v>
      </c>
      <c r="AB17">
        <f>ActualData[[#This Row],[x_input]]</f>
        <v>-0.24525573579398627</v>
      </c>
      <c r="AC17">
        <f ca="1">current_a * ActualData[[#This Row],[x_input]]^4 + current_b * ActualData[[#This Row],[x_input]]^3 + current_c * ActualData[[#This Row],[x_input]]^2 + current_d * ActualData[[#This Row],[x_input]] + current_e</f>
        <v>12.237958198241865</v>
      </c>
      <c r="AD17">
        <f ca="1">ABS(Engine_step_iesimo[[#This Row],[Err]])</f>
        <v>0.23795819824186459</v>
      </c>
    </row>
    <row r="18" spans="1:30" x14ac:dyDescent="0.3">
      <c r="A18">
        <f t="shared" si="0"/>
        <v>6</v>
      </c>
      <c r="B18">
        <v>10</v>
      </c>
      <c r="C18">
        <f>ActualData[[#This Row],[x_scaled]]</f>
        <v>-6.1313933948496525E-2</v>
      </c>
      <c r="D18">
        <f>(ActualData[[#This Row],[x]] - AVG_X) / STD_X</f>
        <v>-6.1313933948496525E-2</v>
      </c>
      <c r="F18" s="2">
        <f>F17+1</f>
        <v>1</v>
      </c>
      <c r="G18" s="2">
        <f ca="1">IF(Iterations[[#This Row],[Step]] =current_step, current_a,IF(Iterations[[#This Row],[Step]] &gt; current_step, "",Iterations[[#This Row],[a]]))</f>
        <v>0.10631141570015262</v>
      </c>
      <c r="H18" s="2">
        <f ca="1">IF(Iterations[[#This Row],[Step]] =current_step, current_b,IF(Iterations[[#This Row],[Step]] &gt; current_step, "",Iterations[[#This Row],[b]]))</f>
        <v>0.21833595534352837</v>
      </c>
      <c r="I18" s="2">
        <f ca="1">IF(Iterations[[#This Row],[Step]] =current_step, current_c,IF(Iterations[[#This Row],[Step]] &gt; current_step, "",Iterations[[#This Row],[c]]))</f>
        <v>0.13623237019524359</v>
      </c>
      <c r="J18" s="2">
        <f ca="1">IF(Iterations[[#This Row],[Step]] =current_step, current_d,IF(Iterations[[#This Row],[Step]] &gt; current_step, "",Iterations[[#This Row],[d]]))</f>
        <v>0.1560696376077883</v>
      </c>
      <c r="K18" s="2">
        <f ca="1">IF(Iterations[[#This Row],[Step]] =current_step, current_e,IF(Iterations[[#This Row],[Step]] &gt; current_step, "",Iterations[[#This Row],[e]]))</f>
        <v>18.012252395211053</v>
      </c>
      <c r="L18" s="2">
        <f ca="1">IF(Iterations[[#This Row],[Step]] =current_step, current_Total_Loss,IF(Iterations[[#This Row],[Step]] &gt; current_step, "",Iterations[[#This Row],[Total Loss]]))</f>
        <v>716.62</v>
      </c>
      <c r="M18" s="6" t="s">
        <v>27</v>
      </c>
      <c r="N18" s="2">
        <f ca="1">IF(Iterations[[#This Row],[Step]] =current_step, current_Grad_a,IF(Iterations[[#This Row],[Step]] &gt; current_step, "",Iterations[[#This Row],[Grad_a]]))</f>
        <v>-0.60159891522049724</v>
      </c>
      <c r="O18" s="2">
        <f ca="1">IF(Iterations[[#This Row],[Step]] =current_step, current_Grad_b,IF(Iterations[[#This Row],[Step]] &gt; current_step, "",Iterations[[#This Row],[Grad_b]]))</f>
        <v>-10.692389700373752</v>
      </c>
      <c r="P18" s="2">
        <f ca="1">IF(Iterations[[#This Row],[Step]] =current_step, current_Grad_c,IF(Iterations[[#This Row],[Step]] &gt; current_step, "",Iterations[[#This Row],[Grad_c]]))</f>
        <v>-3.5364343345929825</v>
      </c>
      <c r="Q18" s="2">
        <f ca="1">IF(Iterations[[#This Row],[Step]] =current_step, current_Grad_d,IF(Iterations[[#This Row],[Step]] &gt; current_step, "",Iterations[[#This Row],[Grad_d]]))</f>
        <v>-5.0657398696855402</v>
      </c>
      <c r="R18" s="2">
        <f ca="1">IF(Iterations[[#This Row],[Step]] =current_step, current_Grad_e,IF(Iterations[[#This Row],[Step]] &gt; current_step, "",Iterations[[#This Row],[Grad_e]]))</f>
        <v>-1.1305507826416406</v>
      </c>
      <c r="T18">
        <f ca="1">current_a * ActualData[[#This Row],[x_input]]^4 + current_b * ActualData[[#This Row],[x_input]]^3 + current_c * ActualData[[#This Row],[x_input]]^2  + current_d * ActualData[[#This Row],[x_input]] + current_e</f>
        <v>11.290295393358818</v>
      </c>
      <c r="U18">
        <f ca="1">(Engine_step_iesimo[[#This Row],[y_hat ]] - ActualData[[#This Row],[y]])</f>
        <v>1.2902953933588179</v>
      </c>
      <c r="V18">
        <f ca="1" xml:space="preserve"> 2 * Engine_step_iesimo[[#This Row],[Err]] * ActualData[[#This Row],[x_input]]^4</f>
        <v>3.6471688432325554E-5</v>
      </c>
      <c r="W18">
        <f ca="1" xml:space="preserve"> 2 * Engine_step_iesimo[[#This Row],[Err]] * ActualData[[#This Row],[x_input]]^3</f>
        <v>-5.948352370109155E-4</v>
      </c>
      <c r="X18">
        <f ca="1" xml:space="preserve"> 2 * Engine_step_iesimo[[#This Row],[Err]] * ActualData[[#This Row],[x_input]]^2</f>
        <v>9.7014691229986138E-3</v>
      </c>
      <c r="Y18">
        <f ca="1" xml:space="preserve"> 2 * Engine_step_iesimo[[#This Row],[Err]] * ActualData[[#This Row],[x_input]]</f>
        <v>-0.1582261730449038</v>
      </c>
      <c r="Z18">
        <f ca="1" xml:space="preserve"> 2 * Engine_step_iesimo[[#This Row],[Err]]</f>
        <v>2.5805907867176359</v>
      </c>
      <c r="AA18">
        <f ca="1">Engine_step_iesimo[[#This Row],[Err]] ^ 2</f>
        <v>1.6648622021229866</v>
      </c>
      <c r="AB18">
        <f>ActualData[[#This Row],[x_input]]</f>
        <v>-6.1313933948496525E-2</v>
      </c>
      <c r="AC18">
        <f ca="1">current_a * ActualData[[#This Row],[x_input]]^4 + current_b * ActualData[[#This Row],[x_input]]^3 + current_c * ActualData[[#This Row],[x_input]]^2 + current_d * ActualData[[#This Row],[x_input]] + current_e</f>
        <v>11.290295393358818</v>
      </c>
      <c r="AD18">
        <f ca="1">ABS(Engine_step_iesimo[[#This Row],[Err]])</f>
        <v>1.2902953933588179</v>
      </c>
    </row>
    <row r="19" spans="1:30" x14ac:dyDescent="0.3">
      <c r="A19">
        <f t="shared" si="0"/>
        <v>7</v>
      </c>
      <c r="B19">
        <v>10</v>
      </c>
      <c r="C19">
        <f>ActualData[[#This Row],[x_scaled]]</f>
        <v>0.1226278678969932</v>
      </c>
      <c r="D19">
        <f>(ActualData[[#This Row],[x]] - AVG_X) / STD_X</f>
        <v>0.1226278678969932</v>
      </c>
      <c r="F19" s="2">
        <f t="shared" ref="F19:F64" si="1">F18+1</f>
        <v>2</v>
      </c>
      <c r="G19" s="2">
        <f ca="1">IF(Iterations[[#This Row],[Step]] =current_step, current_a,IF(Iterations[[#This Row],[Step]] &gt; current_step, "",Iterations[[#This Row],[a]]))</f>
        <v>0.11232740485235759</v>
      </c>
      <c r="H19" s="2">
        <f ca="1">IF(Iterations[[#This Row],[Step]] =current_step, current_b,IF(Iterations[[#This Row],[Step]] &gt; current_step, "",Iterations[[#This Row],[b]]))</f>
        <v>0.3252598523472659</v>
      </c>
      <c r="I19" s="2">
        <f ca="1">IF(Iterations[[#This Row],[Step]] =current_step, current_c,IF(Iterations[[#This Row],[Step]] &gt; current_step, "",Iterations[[#This Row],[c]]))</f>
        <v>0.17159671354117342</v>
      </c>
      <c r="J19" s="2">
        <f ca="1">IF(Iterations[[#This Row],[Step]] =current_step, current_d,IF(Iterations[[#This Row],[Step]] &gt; current_step, "",Iterations[[#This Row],[d]]))</f>
        <v>0.2067270363046437</v>
      </c>
      <c r="K19" s="2">
        <f ca="1">IF(Iterations[[#This Row],[Step]] =current_step, current_e,IF(Iterations[[#This Row],[Step]] &gt; current_step, "",Iterations[[#This Row],[e]]))</f>
        <v>18.023557903037471</v>
      </c>
      <c r="L19" s="2">
        <f ca="1">IF(Iterations[[#This Row],[Step]] =current_step, current_Total_Loss,IF(Iterations[[#This Row],[Step]] &gt; current_step, "",Iterations[[#This Row],[Total Loss]]))</f>
        <v>690.13</v>
      </c>
      <c r="M19" s="6" t="s">
        <v>27</v>
      </c>
      <c r="N19" s="2">
        <f ca="1">IF(Iterations[[#This Row],[Step]] =current_step, current_Grad_a,IF(Iterations[[#This Row],[Step]] &gt; current_step, "",Iterations[[#This Row],[Grad_a]]))</f>
        <v>-0.54571677512025973</v>
      </c>
      <c r="O19" s="2">
        <f ca="1">IF(Iterations[[#This Row],[Step]] =current_step, current_Grad_b,IF(Iterations[[#This Row],[Step]] &gt; current_step, "",Iterations[[#This Row],[Grad_b]]))</f>
        <v>-9.6648773499702934</v>
      </c>
      <c r="P19" s="2">
        <f ca="1">IF(Iterations[[#This Row],[Step]] =current_step, current_Grad_c,IF(Iterations[[#This Row],[Step]] &gt; current_step, "",Iterations[[#This Row],[Grad_c]]))</f>
        <v>-3.4450790445656931</v>
      </c>
      <c r="Q19" s="2">
        <f ca="1">IF(Iterations[[#This Row],[Step]] =current_step, current_Grad_d,IF(Iterations[[#This Row],[Step]] &gt; current_step, "",Iterations[[#This Row],[Grad_d]]))</f>
        <v>-4.5775969380250494</v>
      </c>
      <c r="R19" s="2">
        <f ca="1">IF(Iterations[[#This Row],[Step]] =current_step, current_Grad_e,IF(Iterations[[#This Row],[Step]] &gt; current_step, "",Iterations[[#This Row],[Grad_e]]))</f>
        <v>-1.0380990627213318</v>
      </c>
      <c r="T19">
        <f ca="1">current_a * ActualData[[#This Row],[x_input]]^4 + current_b * ActualData[[#This Row],[x_input]]^3 + current_c * ActualData[[#This Row],[x_input]]^2  + current_d * ActualData[[#This Row],[x_input]] + current_e</f>
        <v>11.751956649713335</v>
      </c>
      <c r="U19">
        <f ca="1">(Engine_step_iesimo[[#This Row],[y_hat ]] - ActualData[[#This Row],[y]])</f>
        <v>1.7519566497133354</v>
      </c>
      <c r="V19">
        <f ca="1" xml:space="preserve"> 2 * Engine_step_iesimo[[#This Row],[Err]] * ActualData[[#This Row],[x_input]]^4</f>
        <v>7.9233722639531347E-4</v>
      </c>
      <c r="W19">
        <f ca="1" xml:space="preserve"> 2 * Engine_step_iesimo[[#This Row],[Err]] * ActualData[[#This Row],[x_input]]^3</f>
        <v>6.461314544430251E-3</v>
      </c>
      <c r="X19">
        <f ca="1" xml:space="preserve"> 2 * Engine_step_iesimo[[#This Row],[Err]] * ActualData[[#This Row],[x_input]]^2</f>
        <v>5.2690425555288314E-2</v>
      </c>
      <c r="Y19">
        <f ca="1" xml:space="preserve"> 2 * Engine_step_iesimo[[#This Row],[Err]] * ActualData[[#This Row],[x_input]]</f>
        <v>0.42967741720461139</v>
      </c>
      <c r="Z19">
        <f ca="1" xml:space="preserve"> 2 * Engine_step_iesimo[[#This Row],[Err]]</f>
        <v>3.5039132994266708</v>
      </c>
      <c r="AA19">
        <f ca="1">Engine_step_iesimo[[#This Row],[Err]] ^ 2</f>
        <v>3.0693521024747747</v>
      </c>
      <c r="AB19">
        <f>ActualData[[#This Row],[x_input]]</f>
        <v>0.1226278678969932</v>
      </c>
      <c r="AC19">
        <f ca="1">current_a * ActualData[[#This Row],[x_input]]^4 + current_b * ActualData[[#This Row],[x_input]]^3 + current_c * ActualData[[#This Row],[x_input]]^2 + current_d * ActualData[[#This Row],[x_input]] + current_e</f>
        <v>11.751956649713335</v>
      </c>
      <c r="AD19">
        <f ca="1">ABS(Engine_step_iesimo[[#This Row],[Err]])</f>
        <v>1.7519566497133354</v>
      </c>
    </row>
    <row r="20" spans="1:30" x14ac:dyDescent="0.3">
      <c r="A20">
        <f t="shared" si="0"/>
        <v>8</v>
      </c>
      <c r="B20">
        <v>12</v>
      </c>
      <c r="C20">
        <f>ActualData[[#This Row],[x_scaled]]</f>
        <v>0.30656966974248295</v>
      </c>
      <c r="D20">
        <f>(ActualData[[#This Row],[x]] - AVG_X) / STD_X</f>
        <v>0.30656966974248295</v>
      </c>
      <c r="F20" s="2">
        <f t="shared" si="1"/>
        <v>3</v>
      </c>
      <c r="G20" s="2">
        <f ca="1">IF(Iterations[[#This Row],[Step]] =current_step, current_a,IF(Iterations[[#This Row],[Step]] &gt; current_step, "",Iterations[[#This Row],[a]]))</f>
        <v>0.11778457260356019</v>
      </c>
      <c r="H20" s="2">
        <f ca="1">IF(Iterations[[#This Row],[Step]] =current_step, current_b,IF(Iterations[[#This Row],[Step]] &gt; current_step, "",Iterations[[#This Row],[b]]))</f>
        <v>0.42190862584696887</v>
      </c>
      <c r="I20" s="2">
        <f ca="1">IF(Iterations[[#This Row],[Step]] =current_step, current_c,IF(Iterations[[#This Row],[Step]] &gt; current_step, "",Iterations[[#This Row],[c]]))</f>
        <v>0.20604750398683036</v>
      </c>
      <c r="J20" s="2">
        <f ca="1">IF(Iterations[[#This Row],[Step]] =current_step, current_d,IF(Iterations[[#This Row],[Step]] &gt; current_step, "",Iterations[[#This Row],[d]]))</f>
        <v>0.2525030056848942</v>
      </c>
      <c r="K20" s="2">
        <f ca="1">IF(Iterations[[#This Row],[Step]] =current_step, current_e,IF(Iterations[[#This Row],[Step]] &gt; current_step, "",Iterations[[#This Row],[e]]))</f>
        <v>18.033938893664683</v>
      </c>
      <c r="L20" s="2">
        <f ca="1">IF(Iterations[[#This Row],[Step]] =current_step, current_Total_Loss,IF(Iterations[[#This Row],[Step]] &gt; current_step, "",Iterations[[#This Row],[Total Loss]]))</f>
        <v>668.19</v>
      </c>
      <c r="M20" s="6" t="s">
        <v>27</v>
      </c>
      <c r="N20" s="2">
        <f ca="1">IF(Iterations[[#This Row],[Step]] =current_step, current_Grad_a,IF(Iterations[[#This Row],[Step]] &gt; current_step, "",Iterations[[#This Row],[Grad_a]]))</f>
        <v>-0.47341112779684758</v>
      </c>
      <c r="O20" s="2">
        <f ca="1">IF(Iterations[[#This Row],[Step]] =current_step, current_Grad_b,IF(Iterations[[#This Row],[Step]] &gt; current_step, "",Iterations[[#This Row],[Grad_b]]))</f>
        <v>-8.7386474040911342</v>
      </c>
      <c r="P20" s="2">
        <f ca="1">IF(Iterations[[#This Row],[Step]] =current_step, current_Grad_c,IF(Iterations[[#This Row],[Step]] &gt; current_step, "",Iterations[[#This Row],[Grad_c]]))</f>
        <v>-3.3527103205370645</v>
      </c>
      <c r="Q20" s="2">
        <f ca="1">IF(Iterations[[#This Row],[Step]] =current_step, current_Grad_d,IF(Iterations[[#This Row],[Step]] &gt; current_step, "",Iterations[[#This Row],[Grad_d]]))</f>
        <v>-4.1369528044369774</v>
      </c>
      <c r="R20" s="2">
        <f ca="1">IF(Iterations[[#This Row],[Step]] =current_step, current_Grad_e,IF(Iterations[[#This Row],[Step]] &gt; current_step, "",Iterations[[#This Row],[Grad_e]]))</f>
        <v>-0.94916588256295453</v>
      </c>
      <c r="T20">
        <f ca="1">current_a * ActualData[[#This Row],[x_input]]^4 + current_b * ActualData[[#This Row],[x_input]]^3 + current_c * ActualData[[#This Row],[x_input]]^2  + current_d * ActualData[[#This Row],[x_input]] + current_e</f>
        <v>13.602401192179663</v>
      </c>
      <c r="U20">
        <f ca="1">(Engine_step_iesimo[[#This Row],[y_hat ]] - ActualData[[#This Row],[y]])</f>
        <v>1.6024011921796628</v>
      </c>
      <c r="V20">
        <f ca="1" xml:space="preserve"> 2 * Engine_step_iesimo[[#This Row],[Err]] * ActualData[[#This Row],[x_input]]^4</f>
        <v>2.8308574399691616E-2</v>
      </c>
      <c r="W20">
        <f ca="1" xml:space="preserve"> 2 * Engine_step_iesimo[[#This Row],[Err]] * ActualData[[#This Row],[x_input]]^3</f>
        <v>9.2339775240879773E-2</v>
      </c>
      <c r="X20">
        <f ca="1" xml:space="preserve"> 2 * Engine_step_iesimo[[#This Row],[Err]] * ActualData[[#This Row],[x_input]]^2</f>
        <v>0.30120323161271867</v>
      </c>
      <c r="Y20">
        <f ca="1" xml:space="preserve"> 2 * Engine_step_iesimo[[#This Row],[Err]] * ActualData[[#This Row],[x_input]]</f>
        <v>0.98249520856296035</v>
      </c>
      <c r="Z20">
        <f ca="1" xml:space="preserve"> 2 * Engine_step_iesimo[[#This Row],[Err]]</f>
        <v>3.2048023843593256</v>
      </c>
      <c r="AA20">
        <f ca="1">Engine_step_iesimo[[#This Row],[Err]] ^ 2</f>
        <v>2.5676895806988047</v>
      </c>
      <c r="AB20">
        <f>ActualData[[#This Row],[x_input]]</f>
        <v>0.30656966974248295</v>
      </c>
      <c r="AC20">
        <f ca="1">current_a * ActualData[[#This Row],[x_input]]^4 + current_b * ActualData[[#This Row],[x_input]]^3 + current_c * ActualData[[#This Row],[x_input]]^2 + current_d * ActualData[[#This Row],[x_input]] + current_e</f>
        <v>13.602401192179663</v>
      </c>
      <c r="AD20">
        <f ca="1">ABS(Engine_step_iesimo[[#This Row],[Err]])</f>
        <v>1.6024011921796628</v>
      </c>
    </row>
    <row r="21" spans="1:30" x14ac:dyDescent="0.3">
      <c r="A21">
        <f t="shared" si="0"/>
        <v>9</v>
      </c>
      <c r="B21">
        <v>17</v>
      </c>
      <c r="C21">
        <f>ActualData[[#This Row],[x_scaled]]</f>
        <v>0.49051147158797265</v>
      </c>
      <c r="D21">
        <f>(ActualData[[#This Row],[x]] - AVG_X) / STD_X</f>
        <v>0.49051147158797265</v>
      </c>
      <c r="F21" s="2">
        <f t="shared" si="1"/>
        <v>4</v>
      </c>
      <c r="G21" s="2">
        <f ca="1">IF(Iterations[[#This Row],[Step]] =current_step, current_a,IF(Iterations[[#This Row],[Step]] &gt; current_step, "",Iterations[[#This Row],[a]]))</f>
        <v>0.12251868388152867</v>
      </c>
      <c r="H21" s="2">
        <f ca="1">IF(Iterations[[#This Row],[Step]] =current_step, current_b,IF(Iterations[[#This Row],[Step]] &gt; current_step, "",Iterations[[#This Row],[b]]))</f>
        <v>0.50929509988788024</v>
      </c>
      <c r="I21" s="2">
        <f ca="1">IF(Iterations[[#This Row],[Step]] =current_step, current_c,IF(Iterations[[#This Row],[Step]] &gt; current_step, "",Iterations[[#This Row],[c]]))</f>
        <v>0.239574607192201</v>
      </c>
      <c r="J21" s="2">
        <f ca="1">IF(Iterations[[#This Row],[Step]] =current_step, current_d,IF(Iterations[[#This Row],[Step]] &gt; current_step, "",Iterations[[#This Row],[d]]))</f>
        <v>0.29387253372926397</v>
      </c>
      <c r="K21" s="2">
        <f ca="1">IF(Iterations[[#This Row],[Step]] =current_step, current_e,IF(Iterations[[#This Row],[Step]] &gt; current_step, "",Iterations[[#This Row],[e]]))</f>
        <v>18.043430552490314</v>
      </c>
      <c r="L21" s="2">
        <f ca="1">IF(Iterations[[#This Row],[Step]] =current_step, current_Total_Loss,IF(Iterations[[#This Row],[Step]] &gt; current_step, "",Iterations[[#This Row],[Total Loss]]))</f>
        <v>649.98</v>
      </c>
      <c r="M21" s="6" t="s">
        <v>27</v>
      </c>
      <c r="N21" s="2">
        <f ca="1">IF(Iterations[[#This Row],[Step]] =current_step, current_Grad_a,IF(Iterations[[#This Row],[Step]] &gt; current_step, "",Iterations[[#This Row],[Grad_a]]))</f>
        <v>-0.39178102234872519</v>
      </c>
      <c r="O21" s="2">
        <f ca="1">IF(Iterations[[#This Row],[Step]] =current_step, current_Grad_b,IF(Iterations[[#This Row],[Step]] &gt; current_step, "",Iterations[[#This Row],[Grad_b]]))</f>
        <v>-7.9029022005640588</v>
      </c>
      <c r="P21" s="2">
        <f ca="1">IF(Iterations[[#This Row],[Step]] =current_step, current_Grad_c,IF(Iterations[[#This Row],[Step]] &gt; current_step, "",Iterations[[#This Row],[Grad_c]]))</f>
        <v>-3.2617481330614027</v>
      </c>
      <c r="Q21" s="2">
        <f ca="1">IF(Iterations[[#This Row],[Step]] =current_step, current_Grad_d,IF(Iterations[[#This Row],[Step]] &gt; current_step, "",Iterations[[#This Row],[Grad_d]]))</f>
        <v>-3.7389048430267868</v>
      </c>
      <c r="R21" s="2">
        <f ca="1">IF(Iterations[[#This Row],[Step]] =current_step, current_Grad_e,IF(Iterations[[#This Row],[Step]] &gt; current_step, "",Iterations[[#This Row],[Grad_e]]))</f>
        <v>-0.86453788195814285</v>
      </c>
      <c r="T21">
        <f ca="1">current_a * ActualData[[#This Row],[x_input]]^4 + current_b * ActualData[[#This Row],[x_input]]^3 + current_c * ActualData[[#This Row],[x_input]]^2  + current_d * ActualData[[#This Row],[x_input]] + current_e</f>
        <v>16.620644953107394</v>
      </c>
      <c r="U21">
        <f ca="1">(Engine_step_iesimo[[#This Row],[y_hat ]] - ActualData[[#This Row],[y]])</f>
        <v>-0.37935504689260569</v>
      </c>
      <c r="V21">
        <f ca="1" xml:space="preserve"> 2 * Engine_step_iesimo[[#This Row],[Err]] * ActualData[[#This Row],[x_input]]^4</f>
        <v>-4.3921032055857116E-2</v>
      </c>
      <c r="W21">
        <f ca="1" xml:space="preserve"> 2 * Engine_step_iesimo[[#This Row],[Err]] * ActualData[[#This Row],[x_input]]^3</f>
        <v>-8.9541294342552258E-2</v>
      </c>
      <c r="X21">
        <f ca="1" xml:space="preserve"> 2 * Engine_step_iesimo[[#This Row],[Err]] * ActualData[[#This Row],[x_input]]^2</f>
        <v>-0.18254678948215614</v>
      </c>
      <c r="Y21">
        <f ca="1" xml:space="preserve"> 2 * Engine_step_iesimo[[#This Row],[Err]] * ActualData[[#This Row],[x_input]]</f>
        <v>-0.37215600461123277</v>
      </c>
      <c r="Z21">
        <f ca="1" xml:space="preserve"> 2 * Engine_step_iesimo[[#This Row],[Err]]</f>
        <v>-0.75871009378521137</v>
      </c>
      <c r="AA21">
        <f ca="1">Engine_step_iesimo[[#This Row],[Err]] ^ 2</f>
        <v>0.14391025160289106</v>
      </c>
      <c r="AB21">
        <f>ActualData[[#This Row],[x_input]]</f>
        <v>0.49051147158797265</v>
      </c>
      <c r="AC21">
        <f ca="1">current_a * ActualData[[#This Row],[x_input]]^4 + current_b * ActualData[[#This Row],[x_input]]^3 + current_c * ActualData[[#This Row],[x_input]]^2 + current_d * ActualData[[#This Row],[x_input]] + current_e</f>
        <v>16.620644953107394</v>
      </c>
      <c r="AD21">
        <f ca="1">ABS(Engine_step_iesimo[[#This Row],[Err]])</f>
        <v>0.37935504689260569</v>
      </c>
    </row>
    <row r="22" spans="1:30" x14ac:dyDescent="0.3">
      <c r="A22">
        <f t="shared" si="0"/>
        <v>10</v>
      </c>
      <c r="B22">
        <v>20</v>
      </c>
      <c r="C22">
        <f>ActualData[[#This Row],[x_scaled]]</f>
        <v>0.6744532734334624</v>
      </c>
      <c r="D22">
        <f>(ActualData[[#This Row],[x]] - AVG_X) / STD_X</f>
        <v>0.6744532734334624</v>
      </c>
      <c r="F22" s="2">
        <f t="shared" si="1"/>
        <v>5</v>
      </c>
      <c r="G22" s="2">
        <f ca="1">IF(Iterations[[#This Row],[Step]] =current_step, current_a,IF(Iterations[[#This Row],[Step]] &gt; current_step, "",Iterations[[#This Row],[a]]))</f>
        <v>0.12643649410501592</v>
      </c>
      <c r="H22" s="2">
        <f ca="1">IF(Iterations[[#This Row],[Step]] =current_step, current_b,IF(Iterations[[#This Row],[Step]] &gt; current_step, "",Iterations[[#This Row],[b]]))</f>
        <v>0.58832412189352079</v>
      </c>
      <c r="I22" s="2">
        <f ca="1">IF(Iterations[[#This Row],[Step]] =current_step, current_c,IF(Iterations[[#This Row],[Step]] &gt; current_step, "",Iterations[[#This Row],[c]]))</f>
        <v>0.27219208852281501</v>
      </c>
      <c r="J22" s="2">
        <f ca="1">IF(Iterations[[#This Row],[Step]] =current_step, current_d,IF(Iterations[[#This Row],[Step]] &gt; current_step, "",Iterations[[#This Row],[d]]))</f>
        <v>0.33126158215953183</v>
      </c>
      <c r="K22" s="2">
        <f ca="1">IF(Iterations[[#This Row],[Step]] =current_step, current_e,IF(Iterations[[#This Row],[Step]] &gt; current_step, "",Iterations[[#This Row],[e]]))</f>
        <v>18.052075931309894</v>
      </c>
      <c r="L22" s="2">
        <f ca="1">IF(Iterations[[#This Row],[Step]] =current_step, current_Total_Loss,IF(Iterations[[#This Row],[Step]] &gt; current_step, "",Iterations[[#This Row],[Total Loss]]))</f>
        <v>634.84</v>
      </c>
      <c r="M22" s="6" t="s">
        <v>27</v>
      </c>
      <c r="N22" s="2">
        <f ca="1">IF(Iterations[[#This Row],[Step]] =current_step, current_Grad_a,IF(Iterations[[#This Row],[Step]] &gt; current_step, "",Iterations[[#This Row],[Grad_a]]))</f>
        <v>-0.30585097116563964</v>
      </c>
      <c r="O22" s="2">
        <f ca="1">IF(Iterations[[#This Row],[Step]] =current_step, current_Grad_b,IF(Iterations[[#This Row],[Step]] &gt; current_step, "",Iterations[[#This Row],[Grad_b]]))</f>
        <v>-7.1481916560137995</v>
      </c>
      <c r="P22" s="2">
        <f ca="1">IF(Iterations[[#This Row],[Step]] =current_step, current_Grad_c,IF(Iterations[[#This Row],[Step]] &gt; current_step, "",Iterations[[#This Row],[Grad_c]]))</f>
        <v>-3.1737976840639122</v>
      </c>
      <c r="Q22" s="2">
        <f ca="1">IF(Iterations[[#This Row],[Step]] =current_step, current_Grad_d,IF(Iterations[[#This Row],[Step]] &gt; current_step, "",Iterations[[#This Row],[Grad_d]]))</f>
        <v>-3.3791264009220563</v>
      </c>
      <c r="R22" s="2">
        <f ca="1">IF(Iterations[[#This Row],[Step]] =current_step, current_Grad_e,IF(Iterations[[#This Row],[Step]] &gt; current_step, "",Iterations[[#This Row],[Grad_e]]))</f>
        <v>-0.78464810993185807</v>
      </c>
      <c r="T22">
        <f ca="1">current_a * ActualData[[#This Row],[x_input]]^4 + current_b * ActualData[[#This Row],[x_input]]^3 + current_c * ActualData[[#This Row],[x_input]]^2  + current_d * ActualData[[#This Row],[x_input]] + current_e</f>
        <v>20.38526057232146</v>
      </c>
      <c r="U22">
        <f ca="1">(Engine_step_iesimo[[#This Row],[y_hat ]] - ActualData[[#This Row],[y]])</f>
        <v>0.38526057232146016</v>
      </c>
      <c r="V22">
        <f ca="1" xml:space="preserve"> 2 * Engine_step_iesimo[[#This Row],[Err]] * ActualData[[#This Row],[x_input]]^4</f>
        <v>0.15943806996886478</v>
      </c>
      <c r="W22">
        <f ca="1" xml:space="preserve"> 2 * Engine_step_iesimo[[#This Row],[Err]] * ActualData[[#This Row],[x_input]]^3</f>
        <v>0.23639602067198512</v>
      </c>
      <c r="X22">
        <f ca="1" xml:space="preserve"> 2 * Engine_step_iesimo[[#This Row],[Err]] * ActualData[[#This Row],[x_input]]^2</f>
        <v>0.350500219931554</v>
      </c>
      <c r="Y22">
        <f ca="1" xml:space="preserve"> 2 * Engine_step_iesimo[[#This Row],[Err]] * ActualData[[#This Row],[x_input]]</f>
        <v>0.51968050825411594</v>
      </c>
      <c r="Z22">
        <f ca="1" xml:space="preserve"> 2 * Engine_step_iesimo[[#This Row],[Err]]</f>
        <v>0.77052114464292032</v>
      </c>
      <c r="AA22">
        <f ca="1">Engine_step_iesimo[[#This Row],[Err]] ^ 2</f>
        <v>0.14842570858545903</v>
      </c>
      <c r="AB22">
        <f>ActualData[[#This Row],[x_input]]</f>
        <v>0.6744532734334624</v>
      </c>
      <c r="AC22">
        <f ca="1">current_a * ActualData[[#This Row],[x_input]]^4 + current_b * ActualData[[#This Row],[x_input]]^3 + current_c * ActualData[[#This Row],[x_input]]^2 + current_d * ActualData[[#This Row],[x_input]] + current_e</f>
        <v>20.38526057232146</v>
      </c>
      <c r="AD22">
        <f ca="1">ABS(Engine_step_iesimo[[#This Row],[Err]])</f>
        <v>0.38526057232146016</v>
      </c>
    </row>
    <row r="23" spans="1:30" x14ac:dyDescent="0.3">
      <c r="A23">
        <f t="shared" si="0"/>
        <v>11</v>
      </c>
      <c r="B23">
        <v>26</v>
      </c>
      <c r="C23">
        <f>ActualData[[#This Row],[x_scaled]]</f>
        <v>0.85839507527895209</v>
      </c>
      <c r="D23">
        <f>(ActualData[[#This Row],[x]] - AVG_X) / STD_X</f>
        <v>0.85839507527895209</v>
      </c>
      <c r="F23" s="2">
        <f t="shared" si="1"/>
        <v>6</v>
      </c>
      <c r="G23" s="2">
        <f ca="1">IF(Iterations[[#This Row],[Step]] =current_step, current_a,IF(Iterations[[#This Row],[Step]] &gt; current_step, "",Iterations[[#This Row],[a]]))</f>
        <v>0.12949500381667231</v>
      </c>
      <c r="H23" s="2">
        <f ca="1">IF(Iterations[[#This Row],[Step]] =current_step, current_b,IF(Iterations[[#This Row],[Step]] &gt; current_step, "",Iterations[[#This Row],[b]]))</f>
        <v>0.65980603845365882</v>
      </c>
      <c r="I23" s="2">
        <f ca="1">IF(Iterations[[#This Row],[Step]] =current_step, current_c,IF(Iterations[[#This Row],[Step]] &gt; current_step, "",Iterations[[#This Row],[c]]))</f>
        <v>0.30393006536345413</v>
      </c>
      <c r="J23" s="2">
        <f ca="1">IF(Iterations[[#This Row],[Step]] =current_step, current_d,IF(Iterations[[#This Row],[Step]] &gt; current_step, "",Iterations[[#This Row],[d]]))</f>
        <v>0.36505284616875239</v>
      </c>
      <c r="K23" s="2">
        <f ca="1">IF(Iterations[[#This Row],[Step]] =current_step, current_e,IF(Iterations[[#This Row],[Step]] &gt; current_step, "",Iterations[[#This Row],[e]]))</f>
        <v>18.059922412409211</v>
      </c>
      <c r="L23" s="2">
        <f ca="1">IF(Iterations[[#This Row],[Step]] =current_step, current_Total_Loss,IF(Iterations[[#This Row],[Step]] &gt; current_step, "",Iterations[[#This Row],[Total Loss]]))</f>
        <v>622.21</v>
      </c>
      <c r="M23" s="6" t="s">
        <v>27</v>
      </c>
      <c r="N23" s="2">
        <f ca="1">IF(Iterations[[#This Row],[Step]] =current_step, current_Grad_a,IF(Iterations[[#This Row],[Step]] &gt; current_step, "",Iterations[[#This Row],[Grad_a]]))</f>
        <v>-0.21912251008343445</v>
      </c>
      <c r="O23" s="2">
        <f ca="1">IF(Iterations[[#This Row],[Step]] =current_step, current_Grad_b,IF(Iterations[[#This Row],[Step]] &gt; current_step, "",Iterations[[#This Row],[Grad_b]]))</f>
        <v>-6.4662014452722012</v>
      </c>
      <c r="P23" s="2">
        <f ca="1">IF(Iterations[[#This Row],[Step]] =current_step, current_Grad_c,IF(Iterations[[#This Row],[Step]] &gt; current_step, "",Iterations[[#This Row],[Grad_c]]))</f>
        <v>-3.0898747339165844</v>
      </c>
      <c r="Q23" s="2">
        <f ca="1">IF(Iterations[[#This Row],[Step]] =current_step, current_Grad_d,IF(Iterations[[#This Row],[Step]] &gt; current_step, "",Iterations[[#This Row],[Grad_d]]))</f>
        <v>-3.0537830720828558</v>
      </c>
      <c r="R23" s="2">
        <f ca="1">IF(Iterations[[#This Row],[Step]] =current_step, current_Grad_e,IF(Iterations[[#This Row],[Step]] &gt; current_step, "",Iterations[[#This Row],[Grad_e]]))</f>
        <v>-0.70968002097730776</v>
      </c>
      <c r="T23">
        <f ca="1">current_a * ActualData[[#This Row],[x_input]]^4 + current_b * ActualData[[#This Row],[x_input]]^3 + current_c * ActualData[[#This Row],[x_input]]^2  + current_d * ActualData[[#This Row],[x_input]] + current_e</f>
        <v>24.274377397122144</v>
      </c>
      <c r="U23">
        <f ca="1">(Engine_step_iesimo[[#This Row],[y_hat ]] - ActualData[[#This Row],[y]])</f>
        <v>-1.7256226028778556</v>
      </c>
      <c r="V23">
        <f ca="1" xml:space="preserve"> 2 * Engine_step_iesimo[[#This Row],[Err]] * ActualData[[#This Row],[x_input]]^4</f>
        <v>-1.8738062612967294</v>
      </c>
      <c r="W23">
        <f ca="1" xml:space="preserve"> 2 * Engine_step_iesimo[[#This Row],[Err]] * ActualData[[#This Row],[x_input]]^3</f>
        <v>-2.1829182334111126</v>
      </c>
      <c r="X23">
        <f ca="1" xml:space="preserve"> 2 * Engine_step_iesimo[[#This Row],[Err]] * ActualData[[#This Row],[x_input]]^2</f>
        <v>-2.5430227831884187</v>
      </c>
      <c r="Y23">
        <f ca="1" xml:space="preserve"> 2 * Engine_step_iesimo[[#This Row],[Err]] * ActualData[[#This Row],[x_input]]</f>
        <v>-2.9625318882007963</v>
      </c>
      <c r="Z23">
        <f ca="1" xml:space="preserve"> 2 * Engine_step_iesimo[[#This Row],[Err]]</f>
        <v>-3.4512452057557113</v>
      </c>
      <c r="AA23">
        <f ca="1">Engine_step_iesimo[[#This Row],[Err]] ^ 2</f>
        <v>2.9777733675629454</v>
      </c>
      <c r="AB23">
        <f>ActualData[[#This Row],[x_input]]</f>
        <v>0.85839507527895209</v>
      </c>
      <c r="AC23">
        <f ca="1">current_a * ActualData[[#This Row],[x_input]]^4 + current_b * ActualData[[#This Row],[x_input]]^3 + current_c * ActualData[[#This Row],[x_input]]^2 + current_d * ActualData[[#This Row],[x_input]] + current_e</f>
        <v>24.274377397122144</v>
      </c>
      <c r="AD23">
        <f ca="1">ABS(Engine_step_iesimo[[#This Row],[Err]])</f>
        <v>1.7256226028778556</v>
      </c>
    </row>
    <row r="24" spans="1:30" x14ac:dyDescent="0.3">
      <c r="A24">
        <f t="shared" si="0"/>
        <v>12</v>
      </c>
      <c r="B24">
        <v>30</v>
      </c>
      <c r="C24">
        <f>ActualData[[#This Row],[x_scaled]]</f>
        <v>1.0423368771244419</v>
      </c>
      <c r="D24">
        <f>(ActualData[[#This Row],[x]] - AVG_X) / STD_X</f>
        <v>1.0423368771244419</v>
      </c>
      <c r="F24" s="2">
        <f t="shared" si="1"/>
        <v>7</v>
      </c>
      <c r="G24" s="2">
        <f ca="1">IF(Iterations[[#This Row],[Step]] =current_step, current_a,IF(Iterations[[#This Row],[Step]] &gt; current_step, "",Iterations[[#This Row],[a]]))</f>
        <v>0.13168622891750664</v>
      </c>
      <c r="H24" s="2">
        <f ca="1">IF(Iterations[[#This Row],[Step]] =current_step, current_b,IF(Iterations[[#This Row],[Step]] &gt; current_step, "",Iterations[[#This Row],[b]]))</f>
        <v>0.72446805290638083</v>
      </c>
      <c r="I24" s="2">
        <f ca="1">IF(Iterations[[#This Row],[Step]] =current_step, current_c,IF(Iterations[[#This Row],[Step]] &gt; current_step, "",Iterations[[#This Row],[c]]))</f>
        <v>0.33482881270261999</v>
      </c>
      <c r="J24" s="2">
        <f ca="1">IF(Iterations[[#This Row],[Step]] =current_step, current_d,IF(Iterations[[#This Row],[Step]] &gt; current_step, "",Iterations[[#This Row],[d]]))</f>
        <v>0.39559067688958094</v>
      </c>
      <c r="K24" s="2">
        <f ca="1">IF(Iterations[[#This Row],[Step]] =current_step, current_e,IF(Iterations[[#This Row],[Step]] &gt; current_step, "",Iterations[[#This Row],[e]]))</f>
        <v>18.067019212618984</v>
      </c>
      <c r="L24" s="2">
        <f ca="1">IF(Iterations[[#This Row],[Step]] =current_step, current_Total_Loss,IF(Iterations[[#This Row],[Step]] &gt; current_step, "",Iterations[[#This Row],[Total Loss]]))</f>
        <v>611.66</v>
      </c>
      <c r="M24" s="6" t="s">
        <v>27</v>
      </c>
      <c r="N24" s="2">
        <f ca="1">IF(Iterations[[#This Row],[Step]] =current_step, current_Grad_a,IF(Iterations[[#This Row],[Step]] &gt; current_step, "",Iterations[[#This Row],[Grad_a]]))</f>
        <v>-0.1339835465953168</v>
      </c>
      <c r="O24" s="2">
        <f ca="1">IF(Iterations[[#This Row],[Step]] =current_step, current_Grad_b,IF(Iterations[[#This Row],[Step]] &gt; current_step, "",Iterations[[#This Row],[Grad_b]]))</f>
        <v>-5.8495827542202896</v>
      </c>
      <c r="P24" s="2">
        <f ca="1">IF(Iterations[[#This Row],[Step]] =current_step, current_Grad_c,IF(Iterations[[#This Row],[Step]] &gt; current_step, "",Iterations[[#This Row],[Grad_c]]))</f>
        <v>-3.0105720563270038</v>
      </c>
      <c r="Q24" s="2">
        <f ca="1">IF(Iterations[[#This Row],[Step]] =current_step, current_Grad_d,IF(Iterations[[#This Row],[Step]] &gt; current_step, "",Iterations[[#This Row],[Grad_d]]))</f>
        <v>-2.759464378331796</v>
      </c>
      <c r="R24" s="2">
        <f ca="1">IF(Iterations[[#This Row],[Step]] =current_step, current_Grad_e,IF(Iterations[[#This Row],[Step]] &gt; current_step, "",Iterations[[#This Row],[Grad_e]]))</f>
        <v>-0.63964376858072092</v>
      </c>
      <c r="T24">
        <f ca="1">current_a * ActualData[[#This Row],[x_input]]^4 + current_b * ActualData[[#This Row],[x_input]]^3 + current_c * ActualData[[#This Row],[x_input]]^2  + current_d * ActualData[[#This Row],[x_input]] + current_e</f>
        <v>27.465681482285074</v>
      </c>
      <c r="U24">
        <f ca="1">(Engine_step_iesimo[[#This Row],[y_hat ]] - ActualData[[#This Row],[y]])</f>
        <v>-2.5343185177149259</v>
      </c>
      <c r="V24">
        <f ca="1" xml:space="preserve"> 2 * Engine_step_iesimo[[#This Row],[Err]] * ActualData[[#This Row],[x_input]]^4</f>
        <v>-5.9830633986677695</v>
      </c>
      <c r="W24">
        <f ca="1" xml:space="preserve"> 2 * Engine_step_iesimo[[#This Row],[Err]] * ActualData[[#This Row],[x_input]]^3</f>
        <v>-5.7400477043214764</v>
      </c>
      <c r="X24">
        <f ca="1" xml:space="preserve"> 2 * Engine_step_iesimo[[#This Row],[Err]] * ActualData[[#This Row],[x_input]]^2</f>
        <v>-5.5069026437564936</v>
      </c>
      <c r="Y24">
        <f ca="1" xml:space="preserve"> 2 * Engine_step_iesimo[[#This Row],[Err]] * ActualData[[#This Row],[x_input]]</f>
        <v>-5.2832272987872413</v>
      </c>
      <c r="Z24">
        <f ca="1" xml:space="preserve"> 2 * Engine_step_iesimo[[#This Row],[Err]]</f>
        <v>-5.0686370354298518</v>
      </c>
      <c r="AA24">
        <f ca="1">Engine_step_iesimo[[#This Row],[Err]] ^ 2</f>
        <v>6.4227703492327795</v>
      </c>
      <c r="AB24">
        <f>ActualData[[#This Row],[x_input]]</f>
        <v>1.0423368771244419</v>
      </c>
      <c r="AC24">
        <f ca="1">current_a * ActualData[[#This Row],[x_input]]^4 + current_b * ActualData[[#This Row],[x_input]]^3 + current_c * ActualData[[#This Row],[x_input]]^2 + current_d * ActualData[[#This Row],[x_input]] + current_e</f>
        <v>27.465681482285074</v>
      </c>
      <c r="AD24">
        <f ca="1">ABS(Engine_step_iesimo[[#This Row],[Err]])</f>
        <v>2.5343185177149259</v>
      </c>
    </row>
    <row r="25" spans="1:30" x14ac:dyDescent="0.3">
      <c r="A25">
        <f t="shared" si="0"/>
        <v>13</v>
      </c>
      <c r="B25">
        <v>28</v>
      </c>
      <c r="C25">
        <f>ActualData[[#This Row],[x_scaled]]</f>
        <v>1.2262786789699316</v>
      </c>
      <c r="D25">
        <f>(ActualData[[#This Row],[x]] - AVG_X) / STD_X</f>
        <v>1.2262786789699316</v>
      </c>
      <c r="F25" s="2">
        <f t="shared" si="1"/>
        <v>8</v>
      </c>
      <c r="G25" s="2">
        <f ca="1">IF(Iterations[[#This Row],[Step]] =current_step, current_a,IF(Iterations[[#This Row],[Step]] &gt; current_step, "",Iterations[[#This Row],[a]]))</f>
        <v>0.13302606438345982</v>
      </c>
      <c r="H25" s="2">
        <f ca="1">IF(Iterations[[#This Row],[Step]] =current_step, current_b,IF(Iterations[[#This Row],[Step]] &gt; current_step, "",Iterations[[#This Row],[b]]))</f>
        <v>0.78296388044858367</v>
      </c>
      <c r="I25" s="2">
        <f ca="1">IF(Iterations[[#This Row],[Step]] =current_step, current_c,IF(Iterations[[#This Row],[Step]] &gt; current_step, "",Iterations[[#This Row],[c]]))</f>
        <v>0.36493453326589004</v>
      </c>
      <c r="J25" s="2">
        <f ca="1">IF(Iterations[[#This Row],[Step]] =current_step, current_d,IF(Iterations[[#This Row],[Step]] &gt; current_step, "",Iterations[[#This Row],[d]]))</f>
        <v>0.42318532067289888</v>
      </c>
      <c r="K25" s="2">
        <f ca="1">IF(Iterations[[#This Row],[Step]] =current_step, current_e,IF(Iterations[[#This Row],[Step]] &gt; current_step, "",Iterations[[#This Row],[e]]))</f>
        <v>18.073415650304792</v>
      </c>
      <c r="L25" s="2">
        <f ca="1">IF(Iterations[[#This Row],[Step]] =current_step, current_Total_Loss,IF(Iterations[[#This Row],[Step]] &gt; current_step, "",Iterations[[#This Row],[Total Loss]]))</f>
        <v>602.79999999999995</v>
      </c>
      <c r="M25" s="6" t="s">
        <v>27</v>
      </c>
      <c r="N25" s="2">
        <f ca="1">IF(Iterations[[#This Row],[Step]] =current_step, current_Grad_a,IF(Iterations[[#This Row],[Step]] &gt; current_step, "",Iterations[[#This Row],[Grad_a]]))</f>
        <v>-5.2011768759052127E-2</v>
      </c>
      <c r="O25" s="2">
        <f ca="1">IF(Iterations[[#This Row],[Step]] =current_step, current_Grad_b,IF(Iterations[[#This Row],[Step]] &gt; current_step, "",Iterations[[#This Row],[Grad_b]]))</f>
        <v>-5.2918141997697106</v>
      </c>
      <c r="P25" s="2">
        <f ca="1">IF(Iterations[[#This Row],[Step]] =current_step, current_Grad_c,IF(Iterations[[#This Row],[Step]] &gt; current_step, "",Iterations[[#This Row],[Grad_c]]))</f>
        <v>-2.9361821081441786</v>
      </c>
      <c r="Q25" s="2">
        <f ca="1">IF(Iterations[[#This Row],[Step]] =current_step, current_Grad_d,IF(Iterations[[#This Row],[Step]] &gt; current_step, "",Iterations[[#This Row],[Grad_d]]))</f>
        <v>-2.4931274953030016</v>
      </c>
      <c r="R25" s="2">
        <f ca="1">IF(Iterations[[#This Row],[Step]] =current_step, current_Grad_e,IF(Iterations[[#This Row],[Step]] &gt; current_step, "",Iterations[[#This Row],[Grad_e]]))</f>
        <v>-0.57443194349905602</v>
      </c>
      <c r="T25">
        <f ca="1">current_a * ActualData[[#This Row],[x_input]]^4 + current_b * ActualData[[#This Row],[x_input]]^3 + current_c * ActualData[[#This Row],[x_input]]^2  + current_d * ActualData[[#This Row],[x_input]] + current_e</f>
        <v>28.936415590061205</v>
      </c>
      <c r="U25">
        <f ca="1">(Engine_step_iesimo[[#This Row],[y_hat ]] - ActualData[[#This Row],[y]])</f>
        <v>0.93641559006120545</v>
      </c>
      <c r="V25">
        <f ca="1" xml:space="preserve"> 2 * Engine_step_iesimo[[#This Row],[Err]] * ActualData[[#This Row],[x_input]]^4</f>
        <v>4.2350187803095949</v>
      </c>
      <c r="W25">
        <f ca="1" xml:space="preserve"> 2 * Engine_step_iesimo[[#This Row],[Err]] * ActualData[[#This Row],[x_input]]^3</f>
        <v>3.4535533014950492</v>
      </c>
      <c r="X25">
        <f ca="1" xml:space="preserve"> 2 * Engine_step_iesimo[[#This Row],[Err]] * ActualData[[#This Row],[x_input]]^2</f>
        <v>2.8162874889058811</v>
      </c>
      <c r="Y25">
        <f ca="1" xml:space="preserve"> 2 * Engine_step_iesimo[[#This Row],[Err]] * ActualData[[#This Row],[x_input]]</f>
        <v>2.2966129454942079</v>
      </c>
      <c r="Z25">
        <f ca="1" xml:space="preserve"> 2 * Engine_step_iesimo[[#This Row],[Err]]</f>
        <v>1.8728311801224109</v>
      </c>
      <c r="AA25">
        <f ca="1">Engine_step_iesimo[[#This Row],[Err]] ^ 2</f>
        <v>0.87687415730967555</v>
      </c>
      <c r="AB25">
        <f>ActualData[[#This Row],[x_input]]</f>
        <v>1.2262786789699316</v>
      </c>
      <c r="AC25">
        <f ca="1">current_a * ActualData[[#This Row],[x_input]]^4 + current_b * ActualData[[#This Row],[x_input]]^3 + current_c * ActualData[[#This Row],[x_input]]^2 + current_d * ActualData[[#This Row],[x_input]] + current_e</f>
        <v>28.936415590061205</v>
      </c>
      <c r="AD25">
        <f ca="1">ABS(Engine_step_iesimo[[#This Row],[Err]])</f>
        <v>0.93641559006120545</v>
      </c>
    </row>
    <row r="26" spans="1:30" x14ac:dyDescent="0.3">
      <c r="A26">
        <f t="shared" si="0"/>
        <v>14</v>
      </c>
      <c r="B26">
        <v>26</v>
      </c>
      <c r="C26">
        <f>ActualData[[#This Row],[x_scaled]]</f>
        <v>1.4102204808154213</v>
      </c>
      <c r="D26">
        <f>(ActualData[[#This Row],[x]] - AVG_X) / STD_X</f>
        <v>1.4102204808154213</v>
      </c>
      <c r="F26" s="2">
        <f t="shared" si="1"/>
        <v>9</v>
      </c>
      <c r="G26" s="2">
        <f ca="1">IF(Iterations[[#This Row],[Step]] =current_step, current_a,IF(Iterations[[#This Row],[Step]] &gt; current_step, "",Iterations[[#This Row],[a]]))</f>
        <v>0.13354618207105035</v>
      </c>
      <c r="H26" s="2">
        <f ca="1">IF(Iterations[[#This Row],[Step]] =current_step, current_b,IF(Iterations[[#This Row],[Step]] &gt; current_step, "",Iterations[[#This Row],[b]]))</f>
        <v>0.83588202244628074</v>
      </c>
      <c r="I26" s="2">
        <f ca="1">IF(Iterations[[#This Row],[Step]] =current_step, current_c,IF(Iterations[[#This Row],[Step]] &gt; current_step, "",Iterations[[#This Row],[c]]))</f>
        <v>0.39429635434733185</v>
      </c>
      <c r="J26" s="2">
        <f ca="1">IF(Iterations[[#This Row],[Step]] =current_step, current_d,IF(Iterations[[#This Row],[Step]] &gt; current_step, "",Iterations[[#This Row],[d]]))</f>
        <v>0.44811659562592887</v>
      </c>
      <c r="K26" s="2">
        <f ca="1">IF(Iterations[[#This Row],[Step]] =current_step, current_e,IF(Iterations[[#This Row],[Step]] &gt; current_step, "",Iterations[[#This Row],[e]]))</f>
        <v>18.079159969739784</v>
      </c>
      <c r="L26" s="2">
        <f ca="1">IF(Iterations[[#This Row],[Step]] =current_step, current_Total_Loss,IF(Iterations[[#This Row],[Step]] &gt; current_step, "",Iterations[[#This Row],[Total Loss]]))</f>
        <v>595.35</v>
      </c>
      <c r="M26" s="6" t="s">
        <v>27</v>
      </c>
      <c r="N26" s="2">
        <f ca="1">IF(Iterations[[#This Row],[Step]] =current_step, current_Grad_a,IF(Iterations[[#This Row],[Step]] &gt; current_step, "",Iterations[[#This Row],[Grad_a]]))</f>
        <v>2.5800828035419263E-2</v>
      </c>
      <c r="O26" s="2">
        <f ca="1">IF(Iterations[[#This Row],[Step]] =current_step, current_Grad_b,IF(Iterations[[#This Row],[Step]] &gt; current_step, "",Iterations[[#This Row],[Grad_b]]))</f>
        <v>-4.7870887893226826</v>
      </c>
      <c r="P26" s="2">
        <f ca="1">IF(Iterations[[#This Row],[Step]] =current_step, current_Grad_c,IF(Iterations[[#This Row],[Step]] &gt; current_step, "",Iterations[[#This Row],[Grad_c]]))</f>
        <v>-2.8667871615330061</v>
      </c>
      <c r="Q26" s="2">
        <f ca="1">IF(Iterations[[#This Row],[Step]] =current_step, current_Grad_d,IF(Iterations[[#This Row],[Step]] &gt; current_step, "",Iterations[[#This Row],[Grad_d]]))</f>
        <v>-2.2520504625687794</v>
      </c>
      <c r="R26" s="2">
        <f ca="1">IF(Iterations[[#This Row],[Step]] =current_step, current_Grad_e,IF(Iterations[[#This Row],[Step]] &gt; current_step, "",Iterations[[#This Row],[Grad_e]]))</f>
        <v>-0.51386008078621659</v>
      </c>
      <c r="T26">
        <f ca="1">current_a * ActualData[[#This Row],[x_input]]^4 + current_b * ActualData[[#This Row],[x_input]]^3 + current_c * ActualData[[#This Row],[x_input]]^2  + current_d * ActualData[[#This Row],[x_input]] + current_e</f>
        <v>27.463379190176855</v>
      </c>
      <c r="U26">
        <f ca="1">(Engine_step_iesimo[[#This Row],[y_hat ]] - ActualData[[#This Row],[y]])</f>
        <v>1.4633791901768554</v>
      </c>
      <c r="V26">
        <f ca="1" xml:space="preserve"> 2 * Engine_step_iesimo[[#This Row],[Err]] * ActualData[[#This Row],[x_input]]^4</f>
        <v>11.575371585682666</v>
      </c>
      <c r="W26">
        <f ca="1" xml:space="preserve"> 2 * Engine_step_iesimo[[#This Row],[Err]] * ActualData[[#This Row],[x_input]]^3</f>
        <v>8.2081998830349736</v>
      </c>
      <c r="X26">
        <f ca="1" xml:space="preserve"> 2 * Engine_step_iesimo[[#This Row],[Err]] * ActualData[[#This Row],[x_input]]^2</f>
        <v>5.8205082075455365</v>
      </c>
      <c r="Y26">
        <f ca="1" xml:space="preserve"> 2 * Engine_step_iesimo[[#This Row],[Err]] * ActualData[[#This Row],[x_input]]</f>
        <v>4.1273746103729732</v>
      </c>
      <c r="Z26">
        <f ca="1" xml:space="preserve"> 2 * Engine_step_iesimo[[#This Row],[Err]]</f>
        <v>2.9267583803537107</v>
      </c>
      <c r="AA26">
        <f ca="1">Engine_step_iesimo[[#This Row],[Err]] ^ 2</f>
        <v>2.1414786542426691</v>
      </c>
      <c r="AB26">
        <f>ActualData[[#This Row],[x_input]]</f>
        <v>1.4102204808154213</v>
      </c>
      <c r="AC26">
        <f ca="1">current_a * ActualData[[#This Row],[x_input]]^4 + current_b * ActualData[[#This Row],[x_input]]^3 + current_c * ActualData[[#This Row],[x_input]]^2 + current_d * ActualData[[#This Row],[x_input]] + current_e</f>
        <v>27.463379190176855</v>
      </c>
      <c r="AD26">
        <f ca="1">ABS(Engine_step_iesimo[[#This Row],[Err]])</f>
        <v>1.4633791901768554</v>
      </c>
    </row>
    <row r="27" spans="1:30" x14ac:dyDescent="0.3">
      <c r="A27">
        <f t="shared" si="0"/>
        <v>15</v>
      </c>
      <c r="B27">
        <v>22</v>
      </c>
      <c r="C27">
        <f>ActualData[[#This Row],[x_scaled]]</f>
        <v>1.5941622826609112</v>
      </c>
      <c r="D27">
        <f>(ActualData[[#This Row],[x]] - AVG_X) / STD_X</f>
        <v>1.5941622826609112</v>
      </c>
      <c r="F27" s="2">
        <f t="shared" si="1"/>
        <v>10</v>
      </c>
      <c r="G27" s="2">
        <f ca="1">IF(Iterations[[#This Row],[Step]] =current_step, current_a,IF(Iterations[[#This Row],[Step]] &gt; current_step, "",Iterations[[#This Row],[a]]))</f>
        <v>0.13328817379069616</v>
      </c>
      <c r="H27" s="2">
        <f ca="1">IF(Iterations[[#This Row],[Step]] =current_step, current_b,IF(Iterations[[#This Row],[Step]] &gt; current_step, "",Iterations[[#This Row],[b]]))</f>
        <v>0.88375291033950754</v>
      </c>
      <c r="I27" s="2">
        <f ca="1">IF(Iterations[[#This Row],[Step]] =current_step, current_c,IF(Iterations[[#This Row],[Step]] &gt; current_step, "",Iterations[[#This Row],[c]]))</f>
        <v>0.42296422596266192</v>
      </c>
      <c r="J27" s="2">
        <f ca="1">IF(Iterations[[#This Row],[Step]] =current_step, current_d,IF(Iterations[[#This Row],[Step]] &gt; current_step, "",Iterations[[#This Row],[d]]))</f>
        <v>0.47063710025161665</v>
      </c>
      <c r="K27" s="2">
        <f ca="1">IF(Iterations[[#This Row],[Step]] =current_step, current_e,IF(Iterations[[#This Row],[Step]] &gt; current_step, "",Iterations[[#This Row],[e]]))</f>
        <v>18.084298570547645</v>
      </c>
      <c r="L27" s="2">
        <f ca="1">IF(Iterations[[#This Row],[Step]] =current_step, current_Total_Loss,IF(Iterations[[#This Row],[Step]] &gt; current_step, "",Iterations[[#This Row],[Total Loss]]))</f>
        <v>589.04999999999995</v>
      </c>
      <c r="M27" s="6" t="s">
        <v>27</v>
      </c>
      <c r="N27" s="2">
        <f ca="1">IF(Iterations[[#This Row],[Step]] =current_step, current_Grad_a,IF(Iterations[[#This Row],[Step]] &gt; current_step, "",Iterations[[#This Row],[Grad_a]]))</f>
        <v>9.8882116816530863E-2</v>
      </c>
      <c r="O27" s="2">
        <f ca="1">IF(Iterations[[#This Row],[Step]] =current_step, current_Grad_b,IF(Iterations[[#This Row],[Step]] &gt; current_step, "",Iterations[[#This Row],[Grad_b]]))</f>
        <v>-4.3302205029577339</v>
      </c>
      <c r="P27" s="2">
        <f ca="1">IF(Iterations[[#This Row],[Step]] =current_step, current_Grad_c,IF(Iterations[[#This Row],[Step]] &gt; current_step, "",Iterations[[#This Row],[Grad_c]]))</f>
        <v>-2.8023252810372923</v>
      </c>
      <c r="Q27" s="2">
        <f ca="1">IF(Iterations[[#This Row],[Step]] =current_step, current_Grad_d,IF(Iterations[[#This Row],[Step]] &gt; current_step, "",Iterations[[#This Row],[Grad_d]]))</f>
        <v>-2.0337929203176839</v>
      </c>
      <c r="R27" s="2">
        <f ca="1">IF(Iterations[[#This Row],[Step]] =current_step, current_Grad_e,IF(Iterations[[#This Row],[Step]] &gt; current_step, "",Iterations[[#This Row],[Grad_e]]))</f>
        <v>-0.45769589940846978</v>
      </c>
      <c r="T27">
        <f ca="1">current_a * ActualData[[#This Row],[x_input]]^4 + current_b * ActualData[[#This Row],[x_input]]^3 + current_c * ActualData[[#This Row],[x_input]]^2  + current_d * ActualData[[#This Row],[x_input]] + current_e</f>
        <v>21.622928459833663</v>
      </c>
      <c r="U27">
        <f ca="1">(Engine_step_iesimo[[#This Row],[y_hat ]] - ActualData[[#This Row],[y]])</f>
        <v>-0.37707154016633737</v>
      </c>
      <c r="V27">
        <f ca="1" xml:space="preserve"> 2 * Engine_step_iesimo[[#This Row],[Err]] * ActualData[[#This Row],[x_input]]^4</f>
        <v>-4.8706157538315402</v>
      </c>
      <c r="W27">
        <f ca="1" xml:space="preserve"> 2 * Engine_step_iesimo[[#This Row],[Err]] * ActualData[[#This Row],[x_input]]^3</f>
        <v>-3.0552822675629394</v>
      </c>
      <c r="X27">
        <f ca="1" xml:space="preserve"> 2 * Engine_step_iesimo[[#This Row],[Err]] * ActualData[[#This Row],[x_input]]^2</f>
        <v>-1.9165440688153692</v>
      </c>
      <c r="Y27">
        <f ca="1" xml:space="preserve"> 2 * Engine_step_iesimo[[#This Row],[Err]] * ActualData[[#This Row],[x_input]]</f>
        <v>-1.2022264543960677</v>
      </c>
      <c r="Z27">
        <f ca="1" xml:space="preserve"> 2 * Engine_step_iesimo[[#This Row],[Err]]</f>
        <v>-0.75414308033267474</v>
      </c>
      <c r="AA27">
        <f ca="1">Engine_step_iesimo[[#This Row],[Err]] ^ 2</f>
        <v>0.14218294640341378</v>
      </c>
      <c r="AB27">
        <f>ActualData[[#This Row],[x_input]]</f>
        <v>1.5941622826609112</v>
      </c>
      <c r="AC27">
        <f ca="1">current_a * ActualData[[#This Row],[x_input]]^4 + current_b * ActualData[[#This Row],[x_input]]^3 + current_c * ActualData[[#This Row],[x_input]]^2 + current_d * ActualData[[#This Row],[x_input]] + current_e</f>
        <v>21.622928459833663</v>
      </c>
      <c r="AD27">
        <f ca="1">ABS(Engine_step_iesimo[[#This Row],[Err]])</f>
        <v>0.37707154016633737</v>
      </c>
    </row>
    <row r="28" spans="1:30" x14ac:dyDescent="0.3">
      <c r="F28" s="2">
        <f t="shared" si="1"/>
        <v>11</v>
      </c>
      <c r="G28" s="2">
        <f ca="1">IF(Iterations[[#This Row],[Step]] =current_step, current_a,IF(Iterations[[#This Row],[Step]] &gt; current_step, "",Iterations[[#This Row],[a]]))</f>
        <v>0.13229935262253084</v>
      </c>
      <c r="H28" s="2">
        <f ca="1">IF(Iterations[[#This Row],[Step]] =current_step, current_b,IF(Iterations[[#This Row],[Step]] &gt; current_step, "",Iterations[[#This Row],[b]]))</f>
        <v>0.92705511536908491</v>
      </c>
      <c r="I28" s="2">
        <f ca="1">IF(Iterations[[#This Row],[Step]] =current_step, current_c,IF(Iterations[[#This Row],[Step]] &gt; current_step, "",Iterations[[#This Row],[c]]))</f>
        <v>0.45098747877303486</v>
      </c>
      <c r="J28" s="2">
        <f ca="1">IF(Iterations[[#This Row],[Step]] =current_step, current_d,IF(Iterations[[#This Row],[Step]] &gt; current_step, "",Iterations[[#This Row],[d]]))</f>
        <v>0.49097502945479349</v>
      </c>
      <c r="K28" s="2">
        <f ca="1">IF(Iterations[[#This Row],[Step]] =current_step, current_e,IF(Iterations[[#This Row],[Step]] &gt; current_step, "",Iterations[[#This Row],[e]]))</f>
        <v>18.088875529541731</v>
      </c>
      <c r="L28" s="2">
        <f ca="1">IF(Iterations[[#This Row],[Step]] =current_step, current_Total_Loss,IF(Iterations[[#This Row],[Step]] &gt; current_step, "",Iterations[[#This Row],[Total Loss]]))</f>
        <v>583.69000000000005</v>
      </c>
      <c r="M28" s="6" t="s">
        <v>27</v>
      </c>
      <c r="N28" s="2">
        <f ca="1">IF(Iterations[[#This Row],[Step]] =current_step, current_Grad_a,IF(Iterations[[#This Row],[Step]] &gt; current_step, "",Iterations[[#This Row],[Grad_a]]))</f>
        <v>0.16695767010040224</v>
      </c>
      <c r="O28" s="2">
        <f ca="1">IF(Iterations[[#This Row],[Step]] =current_step, current_Grad_b,IF(Iterations[[#This Row],[Step]] &gt; current_step, "",Iterations[[#This Row],[Grad_b]]))</f>
        <v>-3.9165663677592963</v>
      </c>
      <c r="P28" s="2">
        <f ca="1">IF(Iterations[[#This Row],[Step]] =current_step, current_Grad_c,IF(Iterations[[#This Row],[Step]] &gt; current_step, "",Iterations[[#This Row],[Grad_c]]))</f>
        <v>-2.7426383906307512</v>
      </c>
      <c r="Q28" s="2">
        <f ca="1">IF(Iterations[[#This Row],[Step]] =current_step, current_Grad_d,IF(Iterations[[#This Row],[Step]] &gt; current_step, "",Iterations[[#This Row],[Grad_d]]))</f>
        <v>-1.8361628694878531</v>
      </c>
      <c r="R28" s="2">
        <f ca="1">IF(Iterations[[#This Row],[Step]] =current_step, current_Grad_e,IF(Iterations[[#This Row],[Step]] &gt; current_step, "",Iterations[[#This Row],[Grad_e]]))</f>
        <v>-0.40568022390312286</v>
      </c>
    </row>
    <row r="29" spans="1:30" x14ac:dyDescent="0.3">
      <c r="F29" s="2">
        <f t="shared" si="1"/>
        <v>12</v>
      </c>
      <c r="G29" s="2">
        <f ca="1">IF(Iterations[[#This Row],[Step]] =current_step, current_a,IF(Iterations[[#This Row],[Step]] &gt; current_step, "",Iterations[[#This Row],[a]]))</f>
        <v>0.13062977592152683</v>
      </c>
      <c r="H29" s="2">
        <f ca="1">IF(Iterations[[#This Row],[Step]] =current_step, current_b,IF(Iterations[[#This Row],[Step]] &gt; current_step, "",Iterations[[#This Row],[b]]))</f>
        <v>0.96622077904667791</v>
      </c>
      <c r="I29" s="2">
        <f ca="1">IF(Iterations[[#This Row],[Step]] =current_step, current_c,IF(Iterations[[#This Row],[Step]] &gt; current_step, "",Iterations[[#This Row],[c]]))</f>
        <v>0.47841386267934238</v>
      </c>
      <c r="J29" s="2">
        <f ca="1">IF(Iterations[[#This Row],[Step]] =current_step, current_d,IF(Iterations[[#This Row],[Step]] &gt; current_step, "",Iterations[[#This Row],[d]]))</f>
        <v>0.50933665814967199</v>
      </c>
      <c r="K29" s="2">
        <f ca="1">IF(Iterations[[#This Row],[Step]] =current_step, current_e,IF(Iterations[[#This Row],[Step]] &gt; current_step, "",Iterations[[#This Row],[e]]))</f>
        <v>18.092932331780762</v>
      </c>
      <c r="L29" s="2">
        <f ca="1">IF(Iterations[[#This Row],[Step]] =current_step, current_Total_Loss,IF(Iterations[[#This Row],[Step]] &gt; current_step, "",Iterations[[#This Row],[Total Loss]]))</f>
        <v>579.11</v>
      </c>
      <c r="M29" s="6" t="s">
        <v>27</v>
      </c>
      <c r="N29" s="2">
        <f ca="1">IF(Iterations[[#This Row],[Step]] =current_step, current_Grad_a,IF(Iterations[[#This Row],[Step]] &gt; current_step, "",Iterations[[#This Row],[Grad_a]]))</f>
        <v>0.22996102890674663</v>
      </c>
      <c r="O29" s="2">
        <f ca="1">IF(Iterations[[#This Row],[Step]] =current_step, current_Grad_b,IF(Iterations[[#This Row],[Step]] &gt; current_step, "",Iterations[[#This Row],[Grad_b]]))</f>
        <v>-3.5419608619711949</v>
      </c>
      <c r="P29" s="2">
        <f ca="1">IF(Iterations[[#This Row],[Step]] =current_step, current_Grad_c,IF(Iterations[[#This Row],[Step]] &gt; current_step, "",Iterations[[#This Row],[Grad_c]]))</f>
        <v>-2.6875070814126625</v>
      </c>
      <c r="Q29" s="2">
        <f ca="1">IF(Iterations[[#This Row],[Step]] =current_step, current_Grad_d,IF(Iterations[[#This Row],[Step]] &gt; current_step, "",Iterations[[#This Row],[Grad_d]]))</f>
        <v>-1.6571882954677863</v>
      </c>
      <c r="R29" s="2">
        <f ca="1">IF(Iterations[[#This Row],[Step]] =current_step, current_Grad_e,IF(Iterations[[#This Row],[Step]] &gt; current_step, "",Iterations[[#This Row],[Grad_e]]))</f>
        <v>-0.35754178117706242</v>
      </c>
    </row>
    <row r="30" spans="1:30" x14ac:dyDescent="0.3">
      <c r="F30" s="2">
        <f t="shared" si="1"/>
        <v>13</v>
      </c>
      <c r="G30" s="2">
        <f ca="1">IF(Iterations[[#This Row],[Step]] =current_step, current_a,IF(Iterations[[#This Row],[Step]] &gt; current_step, "",Iterations[[#This Row],[a]]))</f>
        <v>0.12833016563245936</v>
      </c>
      <c r="H30" s="2">
        <f ca="1">IF(Iterations[[#This Row],[Step]] =current_step, current_b,IF(Iterations[[#This Row],[Step]] &gt; current_step, "",Iterations[[#This Row],[b]]))</f>
        <v>1.00164038766639</v>
      </c>
      <c r="I30" s="2">
        <f ca="1">IF(Iterations[[#This Row],[Step]] =current_step, current_c,IF(Iterations[[#This Row],[Step]] &gt; current_step, "",Iterations[[#This Row],[c]]))</f>
        <v>0.50528893349346904</v>
      </c>
      <c r="J30" s="2">
        <f ca="1">IF(Iterations[[#This Row],[Step]] =current_step, current_d,IF(Iterations[[#This Row],[Step]] &gt; current_step, "",Iterations[[#This Row],[d]]))</f>
        <v>0.52590854110434981</v>
      </c>
      <c r="K30" s="2">
        <f ca="1">IF(Iterations[[#This Row],[Step]] =current_step, current_e,IF(Iterations[[#This Row],[Step]] &gt; current_step, "",Iterations[[#This Row],[e]]))</f>
        <v>18.096507749592533</v>
      </c>
      <c r="L30" s="2">
        <f ca="1">IF(Iterations[[#This Row],[Step]] =current_step, current_Total_Loss,IF(Iterations[[#This Row],[Step]] &gt; current_step, "",Iterations[[#This Row],[Total Loss]]))</f>
        <v>575.16999999999996</v>
      </c>
      <c r="M30" s="6" t="s">
        <v>27</v>
      </c>
      <c r="N30" s="2">
        <f ca="1">IF(Iterations[[#This Row],[Step]] =current_step, current_Grad_a,IF(Iterations[[#This Row],[Step]] &gt; current_step, "",Iterations[[#This Row],[Grad_a]]))</f>
        <v>0.28796804991941055</v>
      </c>
      <c r="O30" s="2">
        <f ca="1">IF(Iterations[[#This Row],[Step]] =current_step, current_Grad_b,IF(Iterations[[#This Row],[Step]] &gt; current_step, "",Iterations[[#This Row],[Grad_b]]))</f>
        <v>-3.2026602168341145</v>
      </c>
      <c r="P30" s="2">
        <f ca="1">IF(Iterations[[#This Row],[Step]] =current_step, current_Grad_c,IF(Iterations[[#This Row],[Step]] &gt; current_step, "",Iterations[[#This Row],[Grad_c]]))</f>
        <v>-2.6366756213931795</v>
      </c>
      <c r="Q30" s="2">
        <f ca="1">IF(Iterations[[#This Row],[Step]] =current_step, current_Grad_d,IF(Iterations[[#This Row],[Step]] &gt; current_step, "",Iterations[[#This Row],[Grad_d]]))</f>
        <v>-1.4950927552176903</v>
      </c>
      <c r="R30" s="2">
        <f ca="1">IF(Iterations[[#This Row],[Step]] =current_step, current_Grad_e,IF(Iterations[[#This Row],[Step]] &gt; current_step, "",Iterations[[#This Row],[Grad_e]]))</f>
        <v>-0.31300750172275865</v>
      </c>
    </row>
    <row r="31" spans="1:30" x14ac:dyDescent="0.3">
      <c r="F31" s="2">
        <f t="shared" si="1"/>
        <v>14</v>
      </c>
      <c r="G31" s="2">
        <f ca="1">IF(Iterations[[#This Row],[Step]] =current_step, current_a,IF(Iterations[[#This Row],[Step]] &gt; current_step, "",Iterations[[#This Row],[a]]))</f>
        <v>0.12545048513326526</v>
      </c>
      <c r="H31" s="2">
        <f ca="1">IF(Iterations[[#This Row],[Step]] =current_step, current_b,IF(Iterations[[#This Row],[Step]] &gt; current_step, "",Iterations[[#This Row],[b]]))</f>
        <v>1.033666989834731</v>
      </c>
      <c r="I31" s="2">
        <f ca="1">IF(Iterations[[#This Row],[Step]] =current_step, current_c,IF(Iterations[[#This Row],[Step]] &gt; current_step, "",Iterations[[#This Row],[c]]))</f>
        <v>0.53165568970740085</v>
      </c>
      <c r="J31" s="2">
        <f ca="1">IF(Iterations[[#This Row],[Step]] =current_step, current_d,IF(Iterations[[#This Row],[Step]] &gt; current_step, "",Iterations[[#This Row],[d]]))</f>
        <v>0.54085946865652668</v>
      </c>
      <c r="K31" s="2">
        <f ca="1">IF(Iterations[[#This Row],[Step]] =current_step, current_e,IF(Iterations[[#This Row],[Step]] &gt; current_step, "",Iterations[[#This Row],[e]]))</f>
        <v>18.099637824609761</v>
      </c>
      <c r="L31" s="2">
        <f ca="1">IF(Iterations[[#This Row],[Step]] =current_step, current_Total_Loss,IF(Iterations[[#This Row],[Step]] &gt; current_step, "",Iterations[[#This Row],[Total Loss]]))</f>
        <v>571.75</v>
      </c>
      <c r="M31" s="6" t="s">
        <v>27</v>
      </c>
      <c r="N31" s="2">
        <f ca="1">IF(Iterations[[#This Row],[Step]] =current_step, current_Grad_a,IF(Iterations[[#This Row],[Step]] &gt; current_step, "",Iterations[[#This Row],[Grad_a]]))</f>
        <v>0.34114910288916062</v>
      </c>
      <c r="O31" s="2">
        <f ca="1">IF(Iterations[[#This Row],[Step]] =current_step, current_Grad_b,IF(Iterations[[#This Row],[Step]] &gt; current_step, "",Iterations[[#This Row],[Grad_b]]))</f>
        <v>-2.8952947357282772</v>
      </c>
      <c r="P31" s="2">
        <f ca="1">IF(Iterations[[#This Row],[Step]] =current_step, current_Grad_c,IF(Iterations[[#This Row],[Step]] &gt; current_step, "",Iterations[[#This Row],[Grad_c]]))</f>
        <v>-2.58986974201455</v>
      </c>
      <c r="Q31" s="2">
        <f ca="1">IF(Iterations[[#This Row],[Step]] =current_step, current_Grad_d,IF(Iterations[[#This Row],[Step]] &gt; current_step, "",Iterations[[#This Row],[Grad_d]]))</f>
        <v>-1.3482742247661745</v>
      </c>
      <c r="R31" s="2">
        <f ca="1">IF(Iterations[[#This Row],[Step]] =current_step, current_Grad_e,IF(Iterations[[#This Row],[Step]] &gt; current_step, "",Iterations[[#This Row],[Grad_e]]))</f>
        <v>-0.27180953436812377</v>
      </c>
    </row>
    <row r="32" spans="1:30" x14ac:dyDescent="0.3">
      <c r="F32" s="2">
        <f t="shared" si="1"/>
        <v>15</v>
      </c>
      <c r="G32" s="2">
        <f ca="1">IF(Iterations[[#This Row],[Step]] =current_step, current_a,IF(Iterations[[#This Row],[Step]] &gt; current_step, "",Iterations[[#This Row],[a]]))</f>
        <v>0.12203899410437366</v>
      </c>
      <c r="H32" s="2">
        <f ca="1">IF(Iterations[[#This Row],[Step]] =current_step, current_b,IF(Iterations[[#This Row],[Step]] &gt; current_step, "",Iterations[[#This Row],[b]]))</f>
        <v>1.0626199371920138</v>
      </c>
      <c r="I32" s="2">
        <f ca="1">IF(Iterations[[#This Row],[Step]] =current_step, current_c,IF(Iterations[[#This Row],[Step]] &gt; current_step, "",Iterations[[#This Row],[c]]))</f>
        <v>0.55755438712754635</v>
      </c>
      <c r="J32" s="2">
        <f ca="1">IF(Iterations[[#This Row],[Step]] =current_step, current_d,IF(Iterations[[#This Row],[Step]] &gt; current_step, "",Iterations[[#This Row],[d]]))</f>
        <v>0.55434221090418845</v>
      </c>
      <c r="K32" s="2">
        <f ca="1">IF(Iterations[[#This Row],[Step]] =current_step, current_e,IF(Iterations[[#This Row],[Step]] &gt; current_step, "",Iterations[[#This Row],[e]]))</f>
        <v>18.102355919953443</v>
      </c>
      <c r="L32" s="2">
        <f ca="1">IF(Iterations[[#This Row],[Step]] =current_step, current_Total_Loss,IF(Iterations[[#This Row],[Step]] &gt; current_step, "",Iterations[[#This Row],[Total Loss]]))</f>
        <v>568.77</v>
      </c>
      <c r="M32" s="6" t="s">
        <v>27</v>
      </c>
      <c r="N32" s="2">
        <f ca="1">IF(Iterations[[#This Row],[Step]] =current_step, current_Grad_a,IF(Iterations[[#This Row],[Step]] &gt; current_step, "",Iterations[[#This Row],[Grad_a]]))</f>
        <v>0.38973448067636024</v>
      </c>
      <c r="O32" s="2">
        <f ca="1">IF(Iterations[[#This Row],[Step]] =current_step, current_Grad_b,IF(Iterations[[#This Row],[Step]] &gt; current_step, "",Iterations[[#This Row],[Grad_b]]))</f>
        <v>-2.6168276681877369</v>
      </c>
      <c r="P32" s="2">
        <f ca="1">IF(Iterations[[#This Row],[Step]] =current_step, current_Grad_c,IF(Iterations[[#This Row],[Step]] &gt; current_step, "",Iterations[[#This Row],[Grad_c]]))</f>
        <v>-2.5468091149205572</v>
      </c>
      <c r="Q32" s="2">
        <f ca="1">IF(Iterations[[#This Row],[Step]] =current_step, current_Grad_d,IF(Iterations[[#This Row],[Step]] &gt; current_step, "",Iterations[[#This Row],[Grad_d]]))</f>
        <v>-1.2152866540783385</v>
      </c>
      <c r="R32" s="2">
        <f ca="1">IF(Iterations[[#This Row],[Step]] =current_step, current_Grad_e,IF(Iterations[[#This Row],[Step]] &gt; current_step, "",Iterations[[#This Row],[Grad_e]]))</f>
        <v>-0.23368987068844366</v>
      </c>
    </row>
    <row r="33" spans="6:18" x14ac:dyDescent="0.3">
      <c r="F33" s="2">
        <f t="shared" si="1"/>
        <v>16</v>
      </c>
      <c r="G33" s="2">
        <f ca="1">IF(Iterations[[#This Row],[Step]] =current_step, current_a,IF(Iterations[[#This Row],[Step]] &gt; current_step, "",Iterations[[#This Row],[a]]))</f>
        <v>0.11814164929761006</v>
      </c>
      <c r="H33" s="2">
        <f ca="1">IF(Iterations[[#This Row],[Step]] =current_step, current_b,IF(Iterations[[#This Row],[Step]] &gt; current_step, "",Iterations[[#This Row],[b]]))</f>
        <v>1.0887882138738911</v>
      </c>
      <c r="I33" s="2">
        <f ca="1">IF(Iterations[[#This Row],[Step]] =current_step, current_c,IF(Iterations[[#This Row],[Step]] &gt; current_step, "",Iterations[[#This Row],[c]]))</f>
        <v>0.58302247827675191</v>
      </c>
      <c r="J33" s="2">
        <f ca="1">IF(Iterations[[#This Row],[Step]] =current_step, current_d,IF(Iterations[[#This Row],[Step]] &gt; current_step, "",Iterations[[#This Row],[d]]))</f>
        <v>0.56649507744497185</v>
      </c>
      <c r="K33" s="2">
        <f ca="1">IF(Iterations[[#This Row],[Step]] =current_step, current_e,IF(Iterations[[#This Row],[Step]] &gt; current_step, "",Iterations[[#This Row],[e]]))</f>
        <v>18.104692818660325</v>
      </c>
      <c r="L33" s="2">
        <f ca="1">IF(Iterations[[#This Row],[Step]] =current_step, current_Total_Loss,IF(Iterations[[#This Row],[Step]] &gt; current_step, "",Iterations[[#This Row],[Total Loss]]))</f>
        <v>566.15</v>
      </c>
      <c r="M33" s="6" t="s">
        <v>27</v>
      </c>
      <c r="N33" s="2">
        <f ca="1">IF(Iterations[[#This Row],[Step]] =current_step, current_Grad_a,IF(Iterations[[#This Row],[Step]] &gt; current_step, "",Iterations[[#This Row],[Grad_a]]))</f>
        <v>0.43398957042944275</v>
      </c>
      <c r="O33" s="2">
        <f ca="1">IF(Iterations[[#This Row],[Step]] =current_step, current_Grad_b,IF(Iterations[[#This Row],[Step]] &gt; current_step, "",Iterations[[#This Row],[Grad_b]]))</f>
        <v>-2.3645194938381291</v>
      </c>
      <c r="P33" s="2">
        <f ca="1">IF(Iterations[[#This Row],[Step]] =current_step, current_Grad_c,IF(Iterations[[#This Row],[Step]] &gt; current_step, "",Iterations[[#This Row],[Grad_c]]))</f>
        <v>-2.5072159397336433</v>
      </c>
      <c r="Q33" s="2">
        <f ca="1">IF(Iterations[[#This Row],[Step]] =current_step, current_Grad_d,IF(Iterations[[#This Row],[Step]] &gt; current_step, "",Iterations[[#This Row],[Grad_d]]))</f>
        <v>-1.0948237909304381</v>
      </c>
      <c r="R33" s="2">
        <f ca="1">IF(Iterations[[#This Row],[Step]] =current_step, current_Grad_e,IF(Iterations[[#This Row],[Step]] &gt; current_step, "",Iterations[[#This Row],[Grad_e]]))</f>
        <v>-0.19840324216481597</v>
      </c>
    </row>
    <row r="34" spans="6:18" x14ac:dyDescent="0.3">
      <c r="F34" s="2">
        <f t="shared" si="1"/>
        <v>17</v>
      </c>
      <c r="G34" s="2">
        <f ca="1">IF(Iterations[[#This Row],[Step]] =current_step, current_a,IF(Iterations[[#This Row],[Step]] &gt; current_step, "",Iterations[[#This Row],[a]]))</f>
        <v>0.11380175359331564</v>
      </c>
      <c r="H34" s="2">
        <f ca="1">IF(Iterations[[#This Row],[Step]] =current_step, current_b,IF(Iterations[[#This Row],[Step]] &gt; current_step, "",Iterations[[#This Row],[b]]))</f>
        <v>1.1124334088122725</v>
      </c>
      <c r="I34" s="2">
        <f ca="1">IF(Iterations[[#This Row],[Step]] =current_step, current_c,IF(Iterations[[#This Row],[Step]] &gt; current_step, "",Iterations[[#This Row],[c]]))</f>
        <v>0.60809463767408833</v>
      </c>
      <c r="J34" s="2">
        <f ca="1">IF(Iterations[[#This Row],[Step]] =current_step, current_d,IF(Iterations[[#This Row],[Step]] &gt; current_step, "",Iterations[[#This Row],[d]]))</f>
        <v>0.57744331535427618</v>
      </c>
      <c r="K34" s="2">
        <f ca="1">IF(Iterations[[#This Row],[Step]] =current_step, current_e,IF(Iterations[[#This Row],[Step]] &gt; current_step, "",Iterations[[#This Row],[e]]))</f>
        <v>18.106676851081975</v>
      </c>
      <c r="L34" s="2">
        <f ca="1">IF(Iterations[[#This Row],[Step]] =current_step, current_Total_Loss,IF(Iterations[[#This Row],[Step]] &gt; current_step, "",Iterations[[#This Row],[Total Loss]]))</f>
        <v>563.82000000000005</v>
      </c>
      <c r="M34" s="6" t="s">
        <v>27</v>
      </c>
      <c r="N34" s="2">
        <f ca="1">IF(Iterations[[#This Row],[Step]] =current_step, current_Grad_a,IF(Iterations[[#This Row],[Step]] &gt; current_step, "",Iterations[[#This Row],[Grad_a]]))</f>
        <v>0.47419721885154131</v>
      </c>
      <c r="O34" s="2">
        <f ca="1">IF(Iterations[[#This Row],[Step]] =current_step, current_Grad_b,IF(Iterations[[#This Row],[Step]] &gt; current_step, "",Iterations[[#This Row],[Grad_b]]))</f>
        <v>-2.135896713287603</v>
      </c>
      <c r="P34" s="2">
        <f ca="1">IF(Iterations[[#This Row],[Step]] =current_step, current_Grad_c,IF(Iterations[[#This Row],[Step]] &gt; current_step, "",Iterations[[#This Row],[Grad_c]]))</f>
        <v>-2.4708206964714341</v>
      </c>
      <c r="Q34" s="2">
        <f ca="1">IF(Iterations[[#This Row],[Step]] =current_step, current_Grad_d,IF(Iterations[[#This Row],[Step]] &gt; current_step, "",Iterations[[#This Row],[Grad_d]]))</f>
        <v>-0.98570492339142157</v>
      </c>
      <c r="R34" s="2">
        <f ca="1">IF(Iterations[[#This Row],[Step]] =current_step, current_Grad_e,IF(Iterations[[#This Row],[Step]] &gt; current_step, "",Iterations[[#This Row],[Grad_e]]))</f>
        <v>-0.16571877975276866</v>
      </c>
    </row>
    <row r="35" spans="6:18" x14ac:dyDescent="0.3">
      <c r="F35" s="2">
        <f t="shared" si="1"/>
        <v>18</v>
      </c>
      <c r="G35" s="2">
        <f ca="1">IF(Iterations[[#This Row],[Step]] =current_step, current_a,IF(Iterations[[#This Row],[Step]] &gt; current_step, "",Iterations[[#This Row],[a]]))</f>
        <v>0.10905978140480023</v>
      </c>
      <c r="H35" s="2">
        <f ca="1">IF(Iterations[[#This Row],[Step]] =current_step, current_b,IF(Iterations[[#This Row],[Step]] &gt; current_step, "",Iterations[[#This Row],[b]]))</f>
        <v>1.1337923759451485</v>
      </c>
      <c r="I35" s="2">
        <f ca="1">IF(Iterations[[#This Row],[Step]] =current_step, current_c,IF(Iterations[[#This Row],[Step]] &gt; current_step, "",Iterations[[#This Row],[c]]))</f>
        <v>0.63280284463880265</v>
      </c>
      <c r="J35" s="2">
        <f ca="1">IF(Iterations[[#This Row],[Step]] =current_step, current_d,IF(Iterations[[#This Row],[Step]] &gt; current_step, "",Iterations[[#This Row],[d]]))</f>
        <v>0.58730036458819035</v>
      </c>
      <c r="K35" s="2">
        <f ca="1">IF(Iterations[[#This Row],[Step]] =current_step, current_e,IF(Iterations[[#This Row],[Step]] &gt; current_step, "",Iterations[[#This Row],[e]]))</f>
        <v>18.108334038879502</v>
      </c>
      <c r="L35" s="2">
        <f ca="1">IF(Iterations[[#This Row],[Step]] =current_step, current_Total_Loss,IF(Iterations[[#This Row],[Step]] &gt; current_step, "",Iterations[[#This Row],[Total Loss]]))</f>
        <v>561.74</v>
      </c>
      <c r="M35" s="6" t="s">
        <v>27</v>
      </c>
      <c r="N35" s="2">
        <f ca="1">IF(Iterations[[#This Row],[Step]] =current_step, current_Grad_a,IF(Iterations[[#This Row],[Step]] &gt; current_step, "",Iterations[[#This Row],[Grad_a]]))</f>
        <v>0.51064538387640901</v>
      </c>
      <c r="O35" s="2">
        <f ca="1">IF(Iterations[[#This Row],[Step]] =current_step, current_Grad_b,IF(Iterations[[#This Row],[Step]] &gt; current_step, "",Iterations[[#This Row],[Grad_b]]))</f>
        <v>-1.9287244281472289</v>
      </c>
      <c r="P35" s="2">
        <f ca="1">IF(Iterations[[#This Row],[Step]] =current_step, current_Grad_c,IF(Iterations[[#This Row],[Step]] &gt; current_step, "",Iterations[[#This Row],[Grad_c]]))</f>
        <v>-2.4373658428200553</v>
      </c>
      <c r="Q35" s="2">
        <f ca="1">IF(Iterations[[#This Row],[Step]] =current_step, current_Grad_d,IF(Iterations[[#This Row],[Step]] &gt; current_step, "",Iterations[[#This Row],[Grad_d]]))</f>
        <v>-0.88686225834127841</v>
      </c>
      <c r="R35" s="2">
        <f ca="1">IF(Iterations[[#This Row],[Step]] =current_step, current_Grad_e,IF(Iterations[[#This Row],[Step]] &gt; current_step, "",Iterations[[#This Row],[Grad_e]]))</f>
        <v>-0.13542079656195188</v>
      </c>
    </row>
    <row r="36" spans="6:18" x14ac:dyDescent="0.3">
      <c r="F36" s="2">
        <f t="shared" si="1"/>
        <v>19</v>
      </c>
      <c r="G36" s="2">
        <f ca="1">IF(Iterations[[#This Row],[Step]] =current_step, current_a,IF(Iterations[[#This Row],[Step]] &gt; current_step, "",Iterations[[#This Row],[a]]))</f>
        <v>0.10395332756603615</v>
      </c>
      <c r="H36" s="2">
        <f ca="1">IF(Iterations[[#This Row],[Step]] =current_step, current_b,IF(Iterations[[#This Row],[Step]] &gt; current_step, "",Iterations[[#This Row],[b]]))</f>
        <v>1.1530796202266207</v>
      </c>
      <c r="I36" s="2">
        <f ca="1">IF(Iterations[[#This Row],[Step]] =current_step, current_c,IF(Iterations[[#This Row],[Step]] &gt; current_step, "",Iterations[[#This Row],[c]]))</f>
        <v>0.65717650306700326</v>
      </c>
      <c r="J36" s="2">
        <f ca="1">IF(Iterations[[#This Row],[Step]] =current_step, current_d,IF(Iterations[[#This Row],[Step]] &gt; current_step, "",Iterations[[#This Row],[d]]))</f>
        <v>0.59616898717160316</v>
      </c>
      <c r="K36" s="2">
        <f ca="1">IF(Iterations[[#This Row],[Step]] =current_step, current_e,IF(Iterations[[#This Row],[Step]] &gt; current_step, "",Iterations[[#This Row],[e]]))</f>
        <v>18.109688246845121</v>
      </c>
      <c r="L36" s="2">
        <f ca="1">IF(Iterations[[#This Row],[Step]] =current_step, current_Total_Loss,IF(Iterations[[#This Row],[Step]] &gt; current_step, "",Iterations[[#This Row],[Total Loss]]))</f>
        <v>559.85</v>
      </c>
      <c r="M36" s="6" t="s">
        <v>27</v>
      </c>
      <c r="N36" s="2">
        <f ca="1">IF(Iterations[[#This Row],[Step]] =current_step, current_Grad_a,IF(Iterations[[#This Row],[Step]] &gt; current_step, "",Iterations[[#This Row],[Grad_a]]))</f>
        <v>0.54361865649496521</v>
      </c>
      <c r="O36" s="2">
        <f ca="1">IF(Iterations[[#This Row],[Step]] =current_step, current_Grad_b,IF(Iterations[[#This Row],[Step]] &gt; current_step, "",Iterations[[#This Row],[Grad_b]]))</f>
        <v>-1.7409821346573224</v>
      </c>
      <c r="P36" s="2">
        <f ca="1">IF(Iterations[[#This Row],[Step]] =current_step, current_Grad_c,IF(Iterations[[#This Row],[Step]] &gt; current_step, "",Iterations[[#This Row],[Grad_c]]))</f>
        <v>-2.4066080329652868</v>
      </c>
      <c r="Q36" s="2">
        <f ca="1">IF(Iterations[[#This Row],[Step]] =current_step, current_Grad_d,IF(Iterations[[#This Row],[Step]] &gt; current_step, "",Iterations[[#This Row],[Grad_d]]))</f>
        <v>-0.797329706052611</v>
      </c>
      <c r="R36" s="2">
        <f ca="1">IF(Iterations[[#This Row],[Step]] =current_step, current_Grad_e,IF(Iterations[[#This Row],[Step]] &gt; current_step, "",Iterations[[#This Row],[Grad_e]]))</f>
        <v>-0.10730895852707789</v>
      </c>
    </row>
    <row r="37" spans="6:18" x14ac:dyDescent="0.3">
      <c r="F37" s="2">
        <f t="shared" si="1"/>
        <v>20</v>
      </c>
      <c r="G37" s="2">
        <f ca="1">IF(Iterations[[#This Row],[Step]] =current_step, current_a,IF(Iterations[[#This Row],[Step]] &gt; current_step, "",Iterations[[#This Row],[a]]))</f>
        <v>9.8517141001086495E-2</v>
      </c>
      <c r="H37" s="2">
        <f ca="1">IF(Iterations[[#This Row],[Step]] =current_step, current_b,IF(Iterations[[#This Row],[Step]] &gt; current_step, "",Iterations[[#This Row],[b]]))</f>
        <v>1.1704894415731939</v>
      </c>
      <c r="I37" s="2">
        <f ca="1">IF(Iterations[[#This Row],[Step]] =current_step, current_c,IF(Iterations[[#This Row],[Step]] &gt; current_step, "",Iterations[[#This Row],[c]]))</f>
        <v>0.68124258339665611</v>
      </c>
      <c r="J37" s="2">
        <f ca="1">IF(Iterations[[#This Row],[Step]] =current_step, current_d,IF(Iterations[[#This Row],[Step]] &gt; current_step, "",Iterations[[#This Row],[d]]))</f>
        <v>0.60414228423212923</v>
      </c>
      <c r="K37" s="2">
        <f ca="1">IF(Iterations[[#This Row],[Step]] =current_step, current_e,IF(Iterations[[#This Row],[Step]] &gt; current_step, "",Iterations[[#This Row],[e]]))</f>
        <v>18.110761336430393</v>
      </c>
      <c r="L37" s="2">
        <f ca="1">IF(Iterations[[#This Row],[Step]] =current_step, current_Total_Loss,IF(Iterations[[#This Row],[Step]] &gt; current_step, "",Iterations[[#This Row],[Total Loss]]))</f>
        <v>558.13</v>
      </c>
      <c r="M37" s="6" t="s">
        <v>27</v>
      </c>
      <c r="N37" s="2">
        <f ca="1">IF(Iterations[[#This Row],[Step]] =current_step, current_Grad_a,IF(Iterations[[#This Row],[Step]] &gt; current_step, "",Iterations[[#This Row],[Grad_a]]))</f>
        <v>0.57339260259283698</v>
      </c>
      <c r="O37" s="2">
        <f ca="1">IF(Iterations[[#This Row],[Step]] =current_step, current_Grad_b,IF(Iterations[[#This Row],[Step]] &gt; current_step, "",Iterations[[#This Row],[Grad_b]]))</f>
        <v>-1.5708422653290697</v>
      </c>
      <c r="P37" s="2">
        <f ca="1">IF(Iterations[[#This Row],[Step]] =current_step, current_Grad_c,IF(Iterations[[#This Row],[Step]] &gt; current_step, "",Iterations[[#This Row],[Grad_c]]))</f>
        <v>-2.3783192832909794</v>
      </c>
      <c r="Q37" s="2">
        <f ca="1">IF(Iterations[[#This Row],[Step]] =current_step, current_Grad_d,IF(Iterations[[#This Row],[Step]] &gt; current_step, "",Iterations[[#This Row],[Grad_d]]))</f>
        <v>-0.71623288190322265</v>
      </c>
      <c r="R37" s="2">
        <f ca="1">IF(Iterations[[#This Row],[Step]] =current_step, current_Grad_e,IF(Iterations[[#This Row],[Step]] &gt; current_step, "",Iterations[[#This Row],[Grad_e]]))</f>
        <v>-8.1198036828745837E-2</v>
      </c>
    </row>
    <row r="38" spans="6:18" x14ac:dyDescent="0.3">
      <c r="F38" s="2">
        <f t="shared" si="1"/>
        <v>21</v>
      </c>
      <c r="G38" s="2">
        <f ca="1">IF(Iterations[[#This Row],[Step]] =current_step, current_a,IF(Iterations[[#This Row],[Step]] &gt; current_step, "",Iterations[[#This Row],[a]]))</f>
        <v>9.2783214975158124E-2</v>
      </c>
      <c r="H38" s="2">
        <f ca="1">IF(Iterations[[#This Row],[Step]] =current_step, current_b,IF(Iterations[[#This Row],[Step]] &gt; current_step, "",Iterations[[#This Row],[b]]))</f>
        <v>1.1861978642264845</v>
      </c>
      <c r="I38" s="2">
        <f ca="1">IF(Iterations[[#This Row],[Step]] =current_step, current_c,IF(Iterations[[#This Row],[Step]] &gt; current_step, "",Iterations[[#This Row],[c]]))</f>
        <v>0.70502577622956586</v>
      </c>
      <c r="J38" s="2">
        <f ca="1">IF(Iterations[[#This Row],[Step]] =current_step, current_d,IF(Iterations[[#This Row],[Step]] &gt; current_step, "",Iterations[[#This Row],[d]]))</f>
        <v>0.61130461305116146</v>
      </c>
      <c r="K38" s="2">
        <f ca="1">IF(Iterations[[#This Row],[Step]] =current_step, current_e,IF(Iterations[[#This Row],[Step]] &gt; current_step, "",Iterations[[#This Row],[e]]))</f>
        <v>18.11157331679868</v>
      </c>
      <c r="L38" s="2">
        <f ca="1">IF(Iterations[[#This Row],[Step]] =current_step, current_Total_Loss,IF(Iterations[[#This Row],[Step]] &gt; current_step, "",Iterations[[#This Row],[Total Loss]]))</f>
        <v>556.54999999999995</v>
      </c>
      <c r="M38" s="6" t="s">
        <v>27</v>
      </c>
      <c r="N38" s="2">
        <f ca="1">IF(Iterations[[#This Row],[Step]] =current_step, current_Grad_a,IF(Iterations[[#This Row],[Step]] &gt; current_step, "",Iterations[[#This Row],[Grad_a]]))</f>
        <v>0.60023014730839341</v>
      </c>
      <c r="O38" s="2">
        <f ca="1">IF(Iterations[[#This Row],[Step]] =current_step, current_Grad_b,IF(Iterations[[#This Row],[Step]] &gt; current_step, "",Iterations[[#This Row],[Grad_b]]))</f>
        <v>-1.4166510984353411</v>
      </c>
      <c r="P38" s="2">
        <f ca="1">IF(Iterations[[#This Row],[Step]] =current_step, current_Grad_c,IF(Iterations[[#This Row],[Step]] &gt; current_step, "",Iterations[[#This Row],[Grad_c]]))</f>
        <v>-2.3522873977239871</v>
      </c>
      <c r="Q38" s="2">
        <f ca="1">IF(Iterations[[#This Row],[Step]] =current_step, current_Grad_d,IF(Iterations[[#This Row],[Step]] &gt; current_step, "",Iterations[[#This Row],[Grad_d]]))</f>
        <v>-0.64278016853689246</v>
      </c>
      <c r="R38" s="2">
        <f ca="1">IF(Iterations[[#This Row],[Step]] =current_step, current_Grad_e,IF(Iterations[[#This Row],[Step]] &gt; current_step, "",Iterations[[#This Row],[Grad_e]]))</f>
        <v>-5.6917383100689674E-2</v>
      </c>
    </row>
    <row r="39" spans="6:18" x14ac:dyDescent="0.3">
      <c r="F39" s="2">
        <f t="shared" si="1"/>
        <v>22</v>
      </c>
      <c r="G39" s="2">
        <f ca="1">IF(Iterations[[#This Row],[Step]] =current_step, current_a,IF(Iterations[[#This Row],[Step]] &gt; current_step, "",Iterations[[#This Row],[a]]))</f>
        <v>8.6780913502074189E-2</v>
      </c>
      <c r="H39" s="2">
        <f ca="1">IF(Iterations[[#This Row],[Step]] =current_step, current_b,IF(Iterations[[#This Row],[Step]] &gt; current_step, "",Iterations[[#This Row],[b]]))</f>
        <v>1.2003643752108379</v>
      </c>
      <c r="I39" s="2">
        <f ca="1">IF(Iterations[[#This Row],[Step]] =current_step, current_c,IF(Iterations[[#This Row],[Step]] &gt; current_step, "",Iterations[[#This Row],[c]]))</f>
        <v>0.7285486502068057</v>
      </c>
      <c r="J39" s="2">
        <f ca="1">IF(Iterations[[#This Row],[Step]] =current_step, current_d,IF(Iterations[[#This Row],[Step]] &gt; current_step, "",Iterations[[#This Row],[d]]))</f>
        <v>0.6177324147365304</v>
      </c>
      <c r="K39" s="2">
        <f ca="1">IF(Iterations[[#This Row],[Step]] =current_step, current_e,IF(Iterations[[#This Row],[Step]] &gt; current_step, "",Iterations[[#This Row],[e]]))</f>
        <v>18.112142490629687</v>
      </c>
      <c r="L39" s="2">
        <f ca="1">IF(Iterations[[#This Row],[Step]] =current_step, current_Total_Loss,IF(Iterations[[#This Row],[Step]] &gt; current_step, "",Iterations[[#This Row],[Total Loss]]))</f>
        <v>555.08000000000004</v>
      </c>
      <c r="M39" s="6" t="s">
        <v>27</v>
      </c>
      <c r="N39" s="2">
        <f ca="1">IF(Iterations[[#This Row],[Step]] =current_step, current_Grad_a,IF(Iterations[[#This Row],[Step]] &gt; current_step, "",Iterations[[#This Row],[Grad_a]]))</f>
        <v>0.62437942735472562</v>
      </c>
      <c r="O39" s="2">
        <f ca="1">IF(Iterations[[#This Row],[Step]] =current_step, current_Grad_b,IF(Iterations[[#This Row],[Step]] &gt; current_step, "",Iterations[[#This Row],[Grad_b]]))</f>
        <v>-1.2769117219996611</v>
      </c>
      <c r="P39" s="2">
        <f ca="1">IF(Iterations[[#This Row],[Step]] =current_step, current_Grad_c,IF(Iterations[[#This Row],[Step]] &gt; current_step, "",Iterations[[#This Row],[Grad_c]]))</f>
        <v>-2.3283158819403678</v>
      </c>
      <c r="Q39" s="2">
        <f ca="1">IF(Iterations[[#This Row],[Step]] =current_step, current_Grad_d,IF(Iterations[[#This Row],[Step]] &gt; current_step, "",Iterations[[#This Row],[Grad_d]]))</f>
        <v>-0.57625470732513306</v>
      </c>
      <c r="R39" s="2">
        <f ca="1">IF(Iterations[[#This Row],[Step]] =current_step, current_Grad_e,IF(Iterations[[#This Row],[Step]] &gt; current_step, "",Iterations[[#This Row],[Grad_e]]))</f>
        <v>-3.4310229439189044E-2</v>
      </c>
    </row>
    <row r="40" spans="6:18" x14ac:dyDescent="0.3">
      <c r="F40" s="2">
        <f t="shared" si="1"/>
        <v>23</v>
      </c>
      <c r="G40" s="2">
        <f ca="1">IF(Iterations[[#This Row],[Step]] =current_step, current_a,IF(Iterations[[#This Row],[Step]] &gt; current_step, "",Iterations[[#This Row],[a]]))</f>
        <v>8.0537119228526938E-2</v>
      </c>
      <c r="H40" s="2">
        <f ca="1">IF(Iterations[[#This Row],[Step]] =current_step, current_b,IF(Iterations[[#This Row],[Step]] &gt; current_step, "",Iterations[[#This Row],[b]]))</f>
        <v>1.2131334924308346</v>
      </c>
      <c r="I40" s="2">
        <f ca="1">IF(Iterations[[#This Row],[Step]] =current_step, current_c,IF(Iterations[[#This Row],[Step]] &gt; current_step, "",Iterations[[#This Row],[c]]))</f>
        <v>0.75183180902620939</v>
      </c>
      <c r="J40" s="2">
        <f ca="1">IF(Iterations[[#This Row],[Step]] =current_step, current_d,IF(Iterations[[#This Row],[Step]] &gt; current_step, "",Iterations[[#This Row],[d]]))</f>
        <v>0.6234949618097817</v>
      </c>
      <c r="K40" s="2">
        <f ca="1">IF(Iterations[[#This Row],[Step]] =current_step, current_e,IF(Iterations[[#This Row],[Step]] &gt; current_step, "",Iterations[[#This Row],[e]]))</f>
        <v>18.112485592924077</v>
      </c>
      <c r="L40" s="2">
        <f ca="1">IF(Iterations[[#This Row],[Step]] =current_step, current_Total_Loss,IF(Iterations[[#This Row],[Step]] &gt; current_step, "",Iterations[[#This Row],[Total Loss]]))</f>
        <v>553.70000000000005</v>
      </c>
      <c r="M40" s="6" t="s">
        <v>27</v>
      </c>
      <c r="N40" s="2">
        <f ca="1">IF(Iterations[[#This Row],[Step]] =current_step, current_Grad_a,IF(Iterations[[#This Row],[Step]] &gt; current_step, "",Iterations[[#This Row],[Grad_a]]))</f>
        <v>0.64607268769546644</v>
      </c>
      <c r="O40" s="2">
        <f ca="1">IF(Iterations[[#This Row],[Step]] =current_step, current_Grad_b,IF(Iterations[[#This Row],[Step]] &gt; current_step, "",Iterations[[#This Row],[Grad_b]]))</f>
        <v>-1.1502687915705607</v>
      </c>
      <c r="P40" s="2">
        <f ca="1">IF(Iterations[[#This Row],[Step]] =current_step, current_Grad_c,IF(Iterations[[#This Row],[Step]] &gt; current_step, "",Iterations[[#This Row],[Grad_c]]))</f>
        <v>-2.306223513665139</v>
      </c>
      <c r="Q40" s="2">
        <f ca="1">IF(Iterations[[#This Row],[Step]] =current_step, current_Grad_d,IF(Iterations[[#This Row],[Step]] &gt; current_step, "",Iterations[[#This Row],[Grad_d]]))</f>
        <v>-0.51600720836980274</v>
      </c>
      <c r="R40" s="2">
        <f ca="1">IF(Iterations[[#This Row],[Step]] =current_step, current_Grad_e,IF(Iterations[[#This Row],[Step]] &gt; current_step, "",Iterations[[#This Row],[Grad_e]]))</f>
        <v>-1.323288640622443E-2</v>
      </c>
    </row>
    <row r="41" spans="6:18" x14ac:dyDescent="0.3">
      <c r="F41" s="2">
        <f t="shared" si="1"/>
        <v>24</v>
      </c>
      <c r="G41" s="2">
        <f ca="1">IF(Iterations[[#This Row],[Step]] =current_step, current_a,IF(Iterations[[#This Row],[Step]] &gt; current_step, "",Iterations[[#This Row],[a]]))</f>
        <v>7.4076392351572276E-2</v>
      </c>
      <c r="H41" s="2">
        <f ca="1">IF(Iterations[[#This Row],[Step]] =current_step, current_b,IF(Iterations[[#This Row],[Step]] &gt; current_step, "",Iterations[[#This Row],[b]]))</f>
        <v>1.2246361803465402</v>
      </c>
      <c r="I41" s="2">
        <f ca="1">IF(Iterations[[#This Row],[Step]] =current_step, current_c,IF(Iterations[[#This Row],[Step]] &gt; current_step, "",Iterations[[#This Row],[c]]))</f>
        <v>0.77489404416286078</v>
      </c>
      <c r="J41" s="2">
        <f ca="1">IF(Iterations[[#This Row],[Step]] =current_step, current_d,IF(Iterations[[#This Row],[Step]] &gt; current_step, "",Iterations[[#This Row],[d]]))</f>
        <v>0.62865503389347976</v>
      </c>
      <c r="K41" s="2">
        <f ca="1">IF(Iterations[[#This Row],[Step]] =current_step, current_e,IF(Iterations[[#This Row],[Step]] &gt; current_step, "",Iterations[[#This Row],[e]]))</f>
        <v>18.112617921788139</v>
      </c>
      <c r="L41" s="2">
        <f ca="1">IF(Iterations[[#This Row],[Step]] =current_step, current_Total_Loss,IF(Iterations[[#This Row],[Step]] &gt; current_step, "",Iterations[[#This Row],[Total Loss]]))</f>
        <v>552.4</v>
      </c>
      <c r="M41" s="6" t="s">
        <v>27</v>
      </c>
      <c r="N41" s="2">
        <f ca="1">IF(Iterations[[#This Row],[Step]] =current_step, current_Grad_a,IF(Iterations[[#This Row],[Step]] &gt; current_step, "",Iterations[[#This Row],[Grad_a]]))</f>
        <v>0.66552591115337534</v>
      </c>
      <c r="O41" s="2">
        <f ca="1">IF(Iterations[[#This Row],[Step]] =current_step, current_Grad_b,IF(Iterations[[#This Row],[Step]] &gt; current_step, "",Iterations[[#This Row],[Grad_b]]))</f>
        <v>-1.0354948628660798</v>
      </c>
      <c r="P41" s="2">
        <f ca="1">IF(Iterations[[#This Row],[Step]] =current_step, current_Grad_c,IF(Iterations[[#This Row],[Step]] &gt; current_step, "",Iterations[[#This Row],[Grad_c]]))</f>
        <v>-2.2858436903891937</v>
      </c>
      <c r="Q41" s="2">
        <f ca="1">IF(Iterations[[#This Row],[Step]] =current_step, current_Grad_d,IF(Iterations[[#This Row],[Step]] &gt; current_step, "",Iterations[[#This Row],[Grad_d]]))</f>
        <v>-0.46144948470651048</v>
      </c>
      <c r="R41" s="2">
        <f ca="1">IF(Iterations[[#This Row],[Step]] =current_step, current_Grad_e,IF(Iterations[[#This Row],[Step]] &gt; current_step, "",Iterations[[#This Row],[Grad_e]]))</f>
        <v>6.4461090230752104E-3</v>
      </c>
    </row>
    <row r="42" spans="6:18" x14ac:dyDescent="0.3">
      <c r="F42" s="2">
        <f t="shared" si="1"/>
        <v>25</v>
      </c>
      <c r="G42" s="2">
        <f ca="1">IF(Iterations[[#This Row],[Step]] =current_step, current_a,IF(Iterations[[#This Row],[Step]] &gt; current_step, "",Iterations[[#This Row],[a]]))</f>
        <v>6.7421133240038525E-2</v>
      </c>
      <c r="H42" s="2">
        <f ca="1">IF(Iterations[[#This Row],[Step]] =current_step, current_b,IF(Iterations[[#This Row],[Step]] &gt; current_step, "",Iterations[[#This Row],[b]]))</f>
        <v>1.2349911289752009</v>
      </c>
      <c r="I42" s="2">
        <f ca="1">IF(Iterations[[#This Row],[Step]] =current_step, current_c,IF(Iterations[[#This Row],[Step]] &gt; current_step, "",Iterations[[#This Row],[c]]))</f>
        <v>0.79775248106675267</v>
      </c>
      <c r="J42" s="2">
        <f ca="1">IF(Iterations[[#This Row],[Step]] =current_step, current_d,IF(Iterations[[#This Row],[Step]] &gt; current_step, "",Iterations[[#This Row],[d]]))</f>
        <v>0.63326952874054487</v>
      </c>
      <c r="K42" s="2">
        <f ca="1">IF(Iterations[[#This Row],[Step]] =current_step, current_e,IF(Iterations[[#This Row],[Step]] &gt; current_step, "",Iterations[[#This Row],[e]]))</f>
        <v>18.11255346069791</v>
      </c>
      <c r="L42" s="2">
        <f ca="1">IF(Iterations[[#This Row],[Step]] =current_step, current_Total_Loss,IF(Iterations[[#This Row],[Step]] &gt; current_step, "",Iterations[[#This Row],[Total Loss]]))</f>
        <v>551.16</v>
      </c>
      <c r="M42" s="6" t="s">
        <v>27</v>
      </c>
      <c r="N42" s="2">
        <f ca="1">IF(Iterations[[#This Row],[Step]] =current_step, current_Grad_a,IF(Iterations[[#This Row],[Step]] &gt; current_step, "",Iterations[[#This Row],[Grad_a]]))</f>
        <v>0.68293895283156181</v>
      </c>
      <c r="O42" s="2">
        <f ca="1">IF(Iterations[[#This Row],[Step]] =current_step, current_Grad_b,IF(Iterations[[#This Row],[Step]] &gt; current_step, "",Iterations[[#This Row],[Grad_b]]))</f>
        <v>-0.9314781138441286</v>
      </c>
      <c r="P42" s="2">
        <f ca="1">IF(Iterations[[#This Row],[Step]] =current_step, current_Grad_c,IF(Iterations[[#This Row],[Step]] &gt; current_step, "",Iterations[[#This Row],[Grad_c]]))</f>
        <v>-2.2670236418841898</v>
      </c>
      <c r="Q42" s="2">
        <f ca="1">IF(Iterations[[#This Row],[Step]] =current_step, current_Grad_d,IF(Iterations[[#This Row],[Step]] &gt; current_step, "",Iterations[[#This Row],[Grad_d]]))</f>
        <v>-0.41204862971518541</v>
      </c>
      <c r="R42" s="2">
        <f ca="1">IF(Iterations[[#This Row],[Step]] =current_step, current_Grad_e,IF(Iterations[[#This Row],[Step]] &gt; current_step, "",Iterations[[#This Row],[Grad_e]]))</f>
        <v>2.4846859223585857E-2</v>
      </c>
    </row>
    <row r="43" spans="6:18" x14ac:dyDescent="0.3">
      <c r="F43" s="2">
        <f t="shared" si="1"/>
        <v>26</v>
      </c>
      <c r="G43" s="2">
        <f ca="1">IF(Iterations[[#This Row],[Step]] =current_step, current_a,IF(Iterations[[#This Row],[Step]] &gt; current_step, "",Iterations[[#This Row],[a]]))</f>
        <v>6.0591743711722906E-2</v>
      </c>
      <c r="H43" s="2">
        <f ca="1">IF(Iterations[[#This Row],[Step]] =current_step, current_b,IF(Iterations[[#This Row],[Step]] &gt; current_step, "",Iterations[[#This Row],[b]]))</f>
        <v>1.2443059101136422</v>
      </c>
      <c r="I43" s="2">
        <f ca="1">IF(Iterations[[#This Row],[Step]] =current_step, current_c,IF(Iterations[[#This Row],[Step]] &gt; current_step, "",Iterations[[#This Row],[c]]))</f>
        <v>0.82042271748559459</v>
      </c>
      <c r="J43" s="2">
        <f ca="1">IF(Iterations[[#This Row],[Step]] =current_step, current_d,IF(Iterations[[#This Row],[Step]] &gt; current_step, "",Iterations[[#This Row],[d]]))</f>
        <v>0.63739001503769677</v>
      </c>
      <c r="K43" s="2">
        <f ca="1">IF(Iterations[[#This Row],[Step]] =current_step, current_e,IF(Iterations[[#This Row],[Step]] &gt; current_step, "",Iterations[[#This Row],[e]]))</f>
        <v>18.112304992105674</v>
      </c>
      <c r="L43" s="2">
        <f ca="1">IF(Iterations[[#This Row],[Step]] =current_step, current_Total_Loss,IF(Iterations[[#This Row],[Step]] &gt; current_step, "",Iterations[[#This Row],[Total Loss]]))</f>
        <v>549.98</v>
      </c>
      <c r="M43" s="6" t="s">
        <v>27</v>
      </c>
      <c r="N43" s="2">
        <f ca="1">IF(Iterations[[#This Row],[Step]] =current_step, current_Grad_a,IF(Iterations[[#This Row],[Step]] &gt; current_step, "",Iterations[[#This Row],[Grad_a]]))</f>
        <v>0.69849601300604724</v>
      </c>
      <c r="O43" s="2">
        <f ca="1">IF(Iterations[[#This Row],[Step]] =current_step, current_Grad_b,IF(Iterations[[#This Row],[Step]] &gt; current_step, "",Iterations[[#This Row],[Grad_b]]))</f>
        <v>-0.83721129779763714</v>
      </c>
      <c r="P43" s="2">
        <f ca="1">IF(Iterations[[#This Row],[Step]] =current_step, current_Grad_c,IF(Iterations[[#This Row],[Step]] &gt; current_step, "",Iterations[[#This Row],[Grad_c]]))</f>
        <v>-2.2496235698550566</v>
      </c>
      <c r="Q43" s="2">
        <f ca="1">IF(Iterations[[#This Row],[Step]] =current_step, current_Grad_d,IF(Iterations[[#This Row],[Step]] &gt; current_step, "",Iterations[[#This Row],[Grad_d]]))</f>
        <v>-0.36732176769440056</v>
      </c>
      <c r="R43" s="2">
        <f ca="1">IF(Iterations[[#This Row],[Step]] =current_step, current_Grad_e,IF(Iterations[[#This Row],[Step]] &gt; current_step, "",Iterations[[#This Row],[Grad_e]]))</f>
        <v>4.2078960471172482E-2</v>
      </c>
    </row>
    <row r="44" spans="6:18" x14ac:dyDescent="0.3">
      <c r="F44" s="2">
        <f t="shared" si="1"/>
        <v>27</v>
      </c>
      <c r="G44" s="2">
        <f ca="1">IF(Iterations[[#This Row],[Step]] =current_step, current_a,IF(Iterations[[#This Row],[Step]] &gt; current_step, "",Iterations[[#This Row],[a]]))</f>
        <v>5.3606783581662432E-2</v>
      </c>
      <c r="H44" s="2">
        <f ca="1">IF(Iterations[[#This Row],[Step]] =current_step, current_b,IF(Iterations[[#This Row],[Step]] &gt; current_step, "",Iterations[[#This Row],[b]]))</f>
        <v>1.2526780230916186</v>
      </c>
      <c r="I44" s="2">
        <f ca="1">IF(Iterations[[#This Row],[Step]] =current_step, current_c,IF(Iterations[[#This Row],[Step]] &gt; current_step, "",Iterations[[#This Row],[c]]))</f>
        <v>0.84291895318414511</v>
      </c>
      <c r="J44" s="2">
        <f ca="1">IF(Iterations[[#This Row],[Step]] =current_step, current_d,IF(Iterations[[#This Row],[Step]] &gt; current_step, "",Iterations[[#This Row],[d]]))</f>
        <v>0.64106323271464072</v>
      </c>
      <c r="K44" s="2">
        <f ca="1">IF(Iterations[[#This Row],[Step]] =current_step, current_e,IF(Iterations[[#This Row],[Step]] &gt; current_step, "",Iterations[[#This Row],[e]]))</f>
        <v>18.111884202500963</v>
      </c>
      <c r="L44" s="2">
        <f ca="1">IF(Iterations[[#This Row],[Step]] =current_step, current_Total_Loss,IF(Iterations[[#This Row],[Step]] &gt; current_step, "",Iterations[[#This Row],[Total Loss]]))</f>
        <v>548.84</v>
      </c>
      <c r="M44" s="6" t="s">
        <v>27</v>
      </c>
      <c r="N44" s="2">
        <f ca="1">IF(Iterations[[#This Row],[Step]] =current_step, current_Grad_a,IF(Iterations[[#This Row],[Step]] &gt; current_step, "",Iterations[[#This Row],[Grad_a]]))</f>
        <v>0.71236632789750509</v>
      </c>
      <c r="O44" s="2">
        <f ca="1">IF(Iterations[[#This Row],[Step]] =current_step, current_Grad_b,IF(Iterations[[#This Row],[Step]] &gt; current_step, "",Iterations[[#This Row],[Grad_b]]))</f>
        <v>-0.75178179112609356</v>
      </c>
      <c r="P44" s="2">
        <f ca="1">IF(Iterations[[#This Row],[Step]] =current_step, current_Grad_c,IF(Iterations[[#This Row],[Step]] &gt; current_step, "",Iterations[[#This Row],[Grad_c]]))</f>
        <v>-2.2335157586463037</v>
      </c>
      <c r="Q44" s="2">
        <f ca="1">IF(Iterations[[#This Row],[Step]] =current_step, current_Grad_d,IF(Iterations[[#This Row],[Step]] &gt; current_step, "",Iterations[[#This Row],[Grad_d]]))</f>
        <v>-0.32683131662533466</v>
      </c>
      <c r="R44" s="2">
        <f ca="1">IF(Iterations[[#This Row],[Step]] =current_step, current_Grad_e,IF(Iterations[[#This Row],[Step]] &gt; current_step, "",Iterations[[#This Row],[Grad_e]]))</f>
        <v>5.8242329679249534E-2</v>
      </c>
    </row>
    <row r="45" spans="6:18" x14ac:dyDescent="0.3">
      <c r="F45" s="2">
        <f t="shared" si="1"/>
        <v>28</v>
      </c>
      <c r="G45" s="2">
        <f ca="1">IF(Iterations[[#This Row],[Step]] =current_step, current_a,IF(Iterations[[#This Row],[Step]] &gt; current_step, "",Iterations[[#This Row],[a]]))</f>
        <v>4.6483120302687378E-2</v>
      </c>
      <c r="H45" s="2">
        <f ca="1">IF(Iterations[[#This Row],[Step]] =current_step, current_b,IF(Iterations[[#This Row],[Step]] &gt; current_step, "",Iterations[[#This Row],[b]]))</f>
        <v>1.2601958410028795</v>
      </c>
      <c r="I45" s="2">
        <f ca="1">IF(Iterations[[#This Row],[Step]] =current_step, current_c,IF(Iterations[[#This Row],[Step]] &gt; current_step, "",Iterations[[#This Row],[c]]))</f>
        <v>0.8652541107706081</v>
      </c>
      <c r="J45" s="2">
        <f ca="1">IF(Iterations[[#This Row],[Step]] =current_step, current_d,IF(Iterations[[#This Row],[Step]] &gt; current_step, "",Iterations[[#This Row],[d]]))</f>
        <v>0.64433154588089403</v>
      </c>
      <c r="K45" s="2">
        <f ca="1">IF(Iterations[[#This Row],[Step]] =current_step, current_e,IF(Iterations[[#This Row],[Step]] &gt; current_step, "",Iterations[[#This Row],[e]]))</f>
        <v>18.111301779204172</v>
      </c>
      <c r="L45" s="2">
        <f ca="1">IF(Iterations[[#This Row],[Step]] =current_step, current_Total_Loss,IF(Iterations[[#This Row],[Step]] &gt; current_step, "",Iterations[[#This Row],[Total Loss]]))</f>
        <v>547.73</v>
      </c>
      <c r="M45" s="6" t="s">
        <v>27</v>
      </c>
      <c r="N45" s="2">
        <f ca="1">IF(Iterations[[#This Row],[Step]] =current_step, current_Grad_a,IF(Iterations[[#This Row],[Step]] &gt; current_step, "",Iterations[[#This Row],[Grad_a]]))</f>
        <v>0.72470499154786461</v>
      </c>
      <c r="O45" s="2">
        <f ca="1">IF(Iterations[[#This Row],[Step]] =current_step, current_Grad_b,IF(Iterations[[#This Row],[Step]] &gt; current_step, "",Iterations[[#This Row],[Grad_b]]))</f>
        <v>-0.67436261758814497</v>
      </c>
      <c r="P45" s="2">
        <f ca="1">IF(Iterations[[#This Row],[Step]] =current_step, current_Grad_c,IF(Iterations[[#This Row],[Step]] &gt; current_step, "",Iterations[[#This Row],[Grad_c]]))</f>
        <v>-2.2185836874097453</v>
      </c>
      <c r="Q45" s="2">
        <f ca="1">IF(Iterations[[#This Row],[Step]] =current_step, current_Grad_d,IF(Iterations[[#This Row],[Step]] &gt; current_step, "",Iterations[[#This Row],[Grad_d]]))</f>
        <v>-0.29018070973278831</v>
      </c>
      <c r="R45" s="2">
        <f ca="1">IF(Iterations[[#This Row],[Step]] =current_step, current_Grad_e,IF(Iterations[[#This Row],[Step]] &gt; current_step, "",Iterations[[#This Row],[Grad_e]]))</f>
        <v>7.3427992742937515E-2</v>
      </c>
    </row>
    <row r="46" spans="6:18" x14ac:dyDescent="0.3">
      <c r="F46" s="2">
        <f t="shared" si="1"/>
        <v>29</v>
      </c>
      <c r="G46" s="2">
        <f ca="1">IF(Iterations[[#This Row],[Step]] =current_step, current_a,IF(Iterations[[#This Row],[Step]] &gt; current_step, "",Iterations[[#This Row],[a]]))</f>
        <v>3.9236070387208735E-2</v>
      </c>
      <c r="H46" s="2">
        <f ca="1">IF(Iterations[[#This Row],[Step]] =current_step, current_b,IF(Iterations[[#This Row],[Step]] &gt; current_step, "",Iterations[[#This Row],[b]]))</f>
        <v>1.266939467178761</v>
      </c>
      <c r="I46" s="2">
        <f ca="1">IF(Iterations[[#This Row],[Step]] =current_step, current_c,IF(Iterations[[#This Row],[Step]] &gt; current_step, "",Iterations[[#This Row],[c]]))</f>
        <v>0.88743994764470557</v>
      </c>
      <c r="J46" s="2">
        <f ca="1">IF(Iterations[[#This Row],[Step]] =current_step, current_d,IF(Iterations[[#This Row],[Step]] &gt; current_step, "",Iterations[[#This Row],[d]]))</f>
        <v>0.64723335297822193</v>
      </c>
      <c r="K46" s="2">
        <f ca="1">IF(Iterations[[#This Row],[Step]] =current_step, current_e,IF(Iterations[[#This Row],[Step]] &gt; current_step, "",Iterations[[#This Row],[e]]))</f>
        <v>18.110567499276744</v>
      </c>
      <c r="L46" s="2">
        <f ca="1">IF(Iterations[[#This Row],[Step]] =current_step, current_Total_Loss,IF(Iterations[[#This Row],[Step]] &gt; current_step, "",Iterations[[#This Row],[Total Loss]]))</f>
        <v>546.66</v>
      </c>
      <c r="M46" s="6" t="s">
        <v>27</v>
      </c>
      <c r="N46" s="2">
        <f ca="1">IF(Iterations[[#This Row],[Step]] =current_step, current_Grad_a,IF(Iterations[[#This Row],[Step]] &gt; current_step, "",Iterations[[#This Row],[Grad_a]]))</f>
        <v>0.73565384696975045</v>
      </c>
      <c r="O46" s="2">
        <f ca="1">IF(Iterations[[#This Row],[Step]] =current_step, current_Grad_b,IF(Iterations[[#This Row],[Step]] &gt; current_step, "",Iterations[[#This Row],[Grad_b]]))</f>
        <v>-0.60420434592401839</v>
      </c>
      <c r="P46" s="2">
        <f ca="1">IF(Iterations[[#This Row],[Step]] =current_step, current_Grad_c,IF(Iterations[[#This Row],[Step]] &gt; current_step, "",Iterations[[#This Row],[Grad_c]]))</f>
        <v>-2.2047211642786793</v>
      </c>
      <c r="Q46" s="2">
        <f ca="1">IF(Iterations[[#This Row],[Step]] =current_step, current_Grad_d,IF(Iterations[[#This Row],[Step]] &gt; current_step, "",Iterations[[#This Row],[Grad_d]]))</f>
        <v>-0.25701052884583686</v>
      </c>
      <c r="R46" s="2">
        <f ca="1">IF(Iterations[[#This Row],[Step]] =current_step, current_Grad_e,IF(Iterations[[#This Row],[Step]] &gt; current_step, "",Iterations[[#This Row],[Grad_e]]))</f>
        <v>8.7718828240630681E-2</v>
      </c>
    </row>
    <row r="47" spans="6:18" x14ac:dyDescent="0.3">
      <c r="F47" s="2">
        <f t="shared" si="1"/>
        <v>30</v>
      </c>
      <c r="G47" s="2">
        <f ca="1">IF(Iterations[[#This Row],[Step]] =current_step, current_a,IF(Iterations[[#This Row],[Step]] &gt; current_step, "",Iterations[[#This Row],[a]]))</f>
        <v>3.1879531917511229E-2</v>
      </c>
      <c r="H47" s="2">
        <f ca="1">IF(Iterations[[#This Row],[Step]] =current_step, current_b,IF(Iterations[[#This Row],[Step]] &gt; current_step, "",Iterations[[#This Row],[b]]))</f>
        <v>1.2729815106380011</v>
      </c>
      <c r="I47" s="2">
        <f ca="1">IF(Iterations[[#This Row],[Step]] =current_step, current_c,IF(Iterations[[#This Row],[Step]] &gt; current_step, "",Iterations[[#This Row],[c]]))</f>
        <v>0.90948715928749235</v>
      </c>
      <c r="J47" s="2">
        <f ca="1">IF(Iterations[[#This Row],[Step]] =current_step, current_d,IF(Iterations[[#This Row],[Step]] &gt; current_step, "",Iterations[[#This Row],[d]]))</f>
        <v>0.64980345826668029</v>
      </c>
      <c r="K47" s="2">
        <f ca="1">IF(Iterations[[#This Row],[Step]] =current_step, current_e,IF(Iterations[[#This Row],[Step]] &gt; current_step, "",Iterations[[#This Row],[e]]))</f>
        <v>18.109690310994338</v>
      </c>
      <c r="L47" s="2">
        <f ca="1">IF(Iterations[[#This Row],[Step]] =current_step, current_Total_Loss,IF(Iterations[[#This Row],[Step]] &gt; current_step, "",Iterations[[#This Row],[Total Loss]]))</f>
        <v>545.62</v>
      </c>
      <c r="M47" s="6" t="s">
        <v>27</v>
      </c>
      <c r="N47" s="2">
        <f ca="1">IF(Iterations[[#This Row],[Step]] =current_step, current_Grad_a,IF(Iterations[[#This Row],[Step]] &gt; current_step, "",Iterations[[#This Row],[Grad_a]]))</f>
        <v>0.745342403080965</v>
      </c>
      <c r="O47" s="2">
        <f ca="1">IF(Iterations[[#This Row],[Step]] =current_step, current_Grad_b,IF(Iterations[[#This Row],[Step]] &gt; current_step, "",Iterations[[#This Row],[Grad_b]]))</f>
        <v>-0.54062777038641441</v>
      </c>
      <c r="P47" s="2">
        <f ca="1">IF(Iterations[[#This Row],[Step]] =current_step, current_Grad_c,IF(Iterations[[#This Row],[Step]] &gt; current_step, "",Iterations[[#This Row],[Grad_c]]))</f>
        <v>-2.1918314959324614</v>
      </c>
      <c r="Q47" s="2">
        <f ca="1">IF(Iterations[[#This Row],[Step]] =current_step, current_Grad_d,IF(Iterations[[#This Row],[Step]] &gt; current_step, "",Iterations[[#This Row],[Grad_d]]))</f>
        <v>-0.22699500800158764</v>
      </c>
      <c r="R47" s="2">
        <f ca="1">IF(Iterations[[#This Row],[Step]] =current_step, current_Grad_e,IF(Iterations[[#This Row],[Step]] &gt; current_step, "",Iterations[[#This Row],[Grad_e]]))</f>
        <v>0.10119026331961105</v>
      </c>
    </row>
    <row r="48" spans="6:18" x14ac:dyDescent="0.3">
      <c r="F48" s="2">
        <f t="shared" si="1"/>
        <v>31</v>
      </c>
      <c r="G48" s="2">
        <f ca="1">IF(Iterations[[#This Row],[Step]] =current_step, current_a,IF(Iterations[[#This Row],[Step]] &gt; current_step, "",Iterations[[#This Row],[a]]))</f>
        <v>2.4426107886701579E-2</v>
      </c>
      <c r="H48" s="2">
        <f ca="1">IF(Iterations[[#This Row],[Step]] =current_step, current_b,IF(Iterations[[#This Row],[Step]] &gt; current_step, "",Iterations[[#This Row],[b]]))</f>
        <v>1.2783877883418653</v>
      </c>
      <c r="I48" s="2">
        <f ca="1">IF(Iterations[[#This Row],[Step]] =current_step, current_c,IF(Iterations[[#This Row],[Step]] &gt; current_step, "",Iterations[[#This Row],[c]]))</f>
        <v>0.93140547424681697</v>
      </c>
      <c r="J48" s="2">
        <f ca="1">IF(Iterations[[#This Row],[Step]] =current_step, current_d,IF(Iterations[[#This Row],[Step]] &gt; current_step, "",Iterations[[#This Row],[d]]))</f>
        <v>0.65207340834669614</v>
      </c>
      <c r="K48" s="2">
        <f ca="1">IF(Iterations[[#This Row],[Step]] =current_step, current_e,IF(Iterations[[#This Row],[Step]] &gt; current_step, "",Iterations[[#This Row],[e]]))</f>
        <v>18.108678408361143</v>
      </c>
      <c r="L48" s="2">
        <f ca="1">IF(Iterations[[#This Row],[Step]] =current_step, current_Total_Loss,IF(Iterations[[#This Row],[Step]] &gt; current_step, "",Iterations[[#This Row],[Total Loss]]))</f>
        <v>544.59</v>
      </c>
      <c r="M48" s="6" t="s">
        <v>27</v>
      </c>
      <c r="N48" s="2">
        <f ca="1">IF(Iterations[[#This Row],[Step]] =current_step, current_Grad_a,IF(Iterations[[#This Row],[Step]] &gt; current_step, "",Iterations[[#This Row],[Grad_a]]))</f>
        <v>0.75388874738136735</v>
      </c>
      <c r="O48" s="2">
        <f ca="1">IF(Iterations[[#This Row],[Step]] =current_step, current_Grad_b,IF(Iterations[[#This Row],[Step]] &gt; current_step, "",Iterations[[#This Row],[Grad_b]]))</f>
        <v>-0.48301729442144276</v>
      </c>
      <c r="P48" s="2">
        <f ca="1">IF(Iterations[[#This Row],[Step]] =current_step, current_Grad_c,IF(Iterations[[#This Row],[Step]] &gt; current_step, "",Iterations[[#This Row],[Grad_c]]))</f>
        <v>-2.1798267007717715</v>
      </c>
      <c r="Q48" s="2">
        <f ca="1">IF(Iterations[[#This Row],[Step]] =current_step, current_Grad_d,IF(Iterations[[#This Row],[Step]] &gt; current_step, "",Iterations[[#This Row],[Grad_d]]))</f>
        <v>-0.19983887040155482</v>
      </c>
      <c r="R48" s="2">
        <f ca="1">IF(Iterations[[#This Row],[Step]] =current_step, current_Grad_e,IF(Iterations[[#This Row],[Step]] &gt; current_step, "",Iterations[[#This Row],[Grad_e]]))</f>
        <v>0.11391092074996696</v>
      </c>
    </row>
    <row r="49" spans="6:18" x14ac:dyDescent="0.3">
      <c r="F49" s="2">
        <f t="shared" si="1"/>
        <v>32</v>
      </c>
      <c r="G49" s="2">
        <f ca="1">IF(Iterations[[#This Row],[Step]] =current_step, current_a,IF(Iterations[[#This Row],[Step]] &gt; current_step, "",Iterations[[#This Row],[a]]))</f>
        <v>1.6887220412887906E-2</v>
      </c>
      <c r="H49" s="2">
        <f ca="1">IF(Iterations[[#This Row],[Step]] =current_step, current_b,IF(Iterations[[#This Row],[Step]] &gt; current_step, "",Iterations[[#This Row],[b]]))</f>
        <v>1.2832179612860797</v>
      </c>
      <c r="I49" s="2">
        <f ca="1">IF(Iterations[[#This Row],[Step]] =current_step, current_c,IF(Iterations[[#This Row],[Step]] &gt; current_step, "",Iterations[[#This Row],[c]]))</f>
        <v>0.95320374125453466</v>
      </c>
      <c r="J49" s="2">
        <f ca="1">IF(Iterations[[#This Row],[Step]] =current_step, current_d,IF(Iterations[[#This Row],[Step]] &gt; current_step, "",Iterations[[#This Row],[d]]))</f>
        <v>0.65407179705071172</v>
      </c>
      <c r="K49" s="2">
        <f ca="1">IF(Iterations[[#This Row],[Step]] =current_step, current_e,IF(Iterations[[#This Row],[Step]] &gt; current_step, "",Iterations[[#This Row],[e]]))</f>
        <v>18.107539299153643</v>
      </c>
      <c r="L49" s="2">
        <f ca="1">IF(Iterations[[#This Row],[Step]] =current_step, current_Total_Loss,IF(Iterations[[#This Row],[Step]] &gt; current_step, "",Iterations[[#This Row],[Total Loss]]))</f>
        <v>543.59</v>
      </c>
      <c r="M49" s="6" t="s">
        <v>27</v>
      </c>
      <c r="N49" s="2">
        <f ca="1">IF(Iterations[[#This Row],[Step]] =current_step, current_Grad_a,IF(Iterations[[#This Row],[Step]] &gt; current_step, "",Iterations[[#This Row],[Grad_a]]))</f>
        <v>0.76140043414017455</v>
      </c>
      <c r="O49" s="2">
        <f ca="1">IF(Iterations[[#This Row],[Step]] =current_step, current_Grad_b,IF(Iterations[[#This Row],[Step]] &gt; current_step, "",Iterations[[#This Row],[Grad_b]]))</f>
        <v>-0.43081494687315414</v>
      </c>
      <c r="P49" s="2">
        <f ca="1">IF(Iterations[[#This Row],[Step]] =current_step, current_Grad_c,IF(Iterations[[#This Row],[Step]] &gt; current_step, "",Iterations[[#This Row],[Grad_c]]))</f>
        <v>-2.1686267702356679</v>
      </c>
      <c r="Q49" s="2">
        <f ca="1">IF(Iterations[[#This Row],[Step]] =current_step, current_Grad_d,IF(Iterations[[#This Row],[Step]] &gt; current_step, "",Iterations[[#This Row],[Grad_d]]))</f>
        <v>-0.17527446586166018</v>
      </c>
      <c r="R49" s="2">
        <f ca="1">IF(Iterations[[#This Row],[Step]] =current_step, current_Grad_e,IF(Iterations[[#This Row],[Step]] &gt; current_step, "",Iterations[[#This Row],[Grad_e]]))</f>
        <v>0.12594321761530125</v>
      </c>
    </row>
    <row r="50" spans="6:18" x14ac:dyDescent="0.3">
      <c r="F50" s="2">
        <f t="shared" si="1"/>
        <v>33</v>
      </c>
      <c r="G50" s="2">
        <f ca="1">IF(Iterations[[#This Row],[Step]] =current_step, current_a,IF(Iterations[[#This Row],[Step]] &gt; current_step, "",Iterations[[#This Row],[a]]))</f>
        <v>9.2732160714861598E-3</v>
      </c>
      <c r="H50" s="2">
        <f ca="1">IF(Iterations[[#This Row],[Step]] =current_step, current_b,IF(Iterations[[#This Row],[Step]] &gt; current_step, "",Iterations[[#This Row],[b]]))</f>
        <v>1.2875261107548113</v>
      </c>
      <c r="I50" s="2">
        <f ca="1">IF(Iterations[[#This Row],[Step]] =current_step, current_c,IF(Iterations[[#This Row],[Step]] &gt; current_step, "",Iterations[[#This Row],[c]]))</f>
        <v>0.97489000895689137</v>
      </c>
      <c r="J50" s="2">
        <f ca="1">IF(Iterations[[#This Row],[Step]] =current_step, current_d,IF(Iterations[[#This Row],[Step]] &gt; current_step, "",Iterations[[#This Row],[d]]))</f>
        <v>0.65582454170932836</v>
      </c>
      <c r="K50" s="2">
        <f ca="1">IF(Iterations[[#This Row],[Step]] =current_step, current_e,IF(Iterations[[#This Row],[Step]] &gt; current_step, "",Iterations[[#This Row],[e]]))</f>
        <v>18.106279866977491</v>
      </c>
      <c r="L50" s="2">
        <f ca="1">IF(Iterations[[#This Row],[Step]] =current_step, current_Total_Loss,IF(Iterations[[#This Row],[Step]] &gt; current_step, "",Iterations[[#This Row],[Total Loss]]))</f>
        <v>542.6</v>
      </c>
      <c r="M50" s="6" t="s">
        <v>27</v>
      </c>
      <c r="N50" s="2">
        <f ca="1">IF(Iterations[[#This Row],[Step]] =current_step, current_Grad_a,IF(Iterations[[#This Row],[Step]] &gt; current_step, "",Iterations[[#This Row],[Grad_a]]))</f>
        <v>0.7679753349806554</v>
      </c>
      <c r="O50" s="2">
        <f ca="1">IF(Iterations[[#This Row],[Step]] =current_step, current_Grad_b,IF(Iterations[[#This Row],[Step]] &gt; current_step, "",Iterations[[#This Row],[Grad_b]]))</f>
        <v>-0.3835149679376097</v>
      </c>
      <c r="P50" s="2">
        <f ca="1">IF(Iterations[[#This Row],[Step]] =current_step, current_Grad_c,IF(Iterations[[#This Row],[Step]] &gt; current_step, "",Iterations[[#This Row],[Grad_c]]))</f>
        <v>-2.1581589801872778</v>
      </c>
      <c r="Q50" s="2">
        <f ca="1">IF(Iterations[[#This Row],[Step]] =current_step, current_Grad_d,IF(Iterations[[#This Row],[Step]] &gt; current_step, "",Iterations[[#This Row],[Grad_d]]))</f>
        <v>-0.15305917940306862</v>
      </c>
      <c r="R50" s="2">
        <f ca="1">IF(Iterations[[#This Row],[Step]] =current_step, current_Grad_e,IF(Iterations[[#This Row],[Step]] &gt; current_step, "",Iterations[[#This Row],[Grad_e]]))</f>
        <v>0.13734391710228244</v>
      </c>
    </row>
    <row r="51" spans="6:18" x14ac:dyDescent="0.3">
      <c r="F51" s="2">
        <f t="shared" si="1"/>
        <v>34</v>
      </c>
      <c r="G51" s="2">
        <f ca="1">IF(Iterations[[#This Row],[Step]] =current_step, current_a,IF(Iterations[[#This Row],[Step]] &gt; current_step, "",Iterations[[#This Row],[a]]))</f>
        <v>1.5934627216796053E-3</v>
      </c>
      <c r="H51" s="2">
        <f ca="1">IF(Iterations[[#This Row],[Step]] =current_step, current_b,IF(Iterations[[#This Row],[Step]] &gt; current_step, "",Iterations[[#This Row],[b]]))</f>
        <v>1.2913612604341873</v>
      </c>
      <c r="I51" s="2">
        <f ca="1">IF(Iterations[[#This Row],[Step]] =current_step, current_c,IF(Iterations[[#This Row],[Step]] &gt; current_step, "",Iterations[[#This Row],[c]]))</f>
        <v>0.99647159875876412</v>
      </c>
      <c r="J51" s="2">
        <f ca="1">IF(Iterations[[#This Row],[Step]] =current_step, current_d,IF(Iterations[[#This Row],[Step]] &gt; current_step, "",Iterations[[#This Row],[d]]))</f>
        <v>0.65735513350335906</v>
      </c>
      <c r="K51" s="2">
        <f ca="1">IF(Iterations[[#This Row],[Step]] =current_step, current_e,IF(Iterations[[#This Row],[Step]] &gt; current_step, "",Iterations[[#This Row],[e]]))</f>
        <v>18.104906427806469</v>
      </c>
      <c r="L51" s="2">
        <f ca="1">IF(Iterations[[#This Row],[Step]] =current_step, current_Total_Loss,IF(Iterations[[#This Row],[Step]] &gt; current_step, "",Iterations[[#This Row],[Total Loss]]))</f>
        <v>541.62</v>
      </c>
      <c r="M51" s="6" t="s">
        <v>27</v>
      </c>
      <c r="N51" s="2">
        <f ca="1">IF(Iterations[[#This Row],[Step]] =current_step, current_Grad_a,IF(Iterations[[#This Row],[Step]] &gt; current_step, "",Iterations[[#This Row],[Grad_a]]))</f>
        <v>0.77370244387740028</v>
      </c>
      <c r="O51" s="2">
        <f ca="1">IF(Iterations[[#This Row],[Step]] =current_step, current_Grad_b,IF(Iterations[[#This Row],[Step]] &gt; current_step, "",Iterations[[#This Row],[Grad_b]]))</f>
        <v>-0.3406589088930766</v>
      </c>
      <c r="P51" s="2">
        <f ca="1">IF(Iterations[[#This Row],[Step]] =current_step, current_Grad_c,IF(Iterations[[#This Row],[Step]] &gt; current_step, "",Iterations[[#This Row],[Grad_c]]))</f>
        <v>-2.1483572524870231</v>
      </c>
      <c r="Q51" s="2">
        <f ca="1">IF(Iterations[[#This Row],[Step]] =current_step, current_Grad_d,IF(Iterations[[#This Row],[Step]] &gt; current_step, "",Iterations[[#This Row],[Grad_d]]))</f>
        <v>-0.1329730846990973</v>
      </c>
      <c r="R51" s="2">
        <f ca="1">IF(Iterations[[#This Row],[Step]] =current_step, current_Grad_e,IF(Iterations[[#This Row],[Step]] &gt; current_step, "",Iterations[[#This Row],[Grad_e]]))</f>
        <v>0.1481646354887004</v>
      </c>
    </row>
    <row r="52" spans="6:18" x14ac:dyDescent="0.3">
      <c r="F52" s="2">
        <f t="shared" si="1"/>
        <v>35</v>
      </c>
      <c r="G52" s="2">
        <f ca="1">IF(Iterations[[#This Row],[Step]] =current_step, current_a,IF(Iterations[[#This Row],[Step]] &gt; current_step, "",Iterations[[#This Row],[a]]))</f>
        <v>-6.1435617170943974E-3</v>
      </c>
      <c r="H52" s="2">
        <f ca="1">IF(Iterations[[#This Row],[Step]] =current_step, current_b,IF(Iterations[[#This Row],[Step]] &gt; current_step, "",Iterations[[#This Row],[b]]))</f>
        <v>1.2947678495231181</v>
      </c>
      <c r="I52" s="2">
        <f ca="1">IF(Iterations[[#This Row],[Step]] =current_step, current_c,IF(Iterations[[#This Row],[Step]] &gt; current_step, "",Iterations[[#This Row],[c]]))</f>
        <v>1.0179551712836343</v>
      </c>
      <c r="J52" s="2">
        <f ca="1">IF(Iterations[[#This Row],[Step]] =current_step, current_d,IF(Iterations[[#This Row],[Step]] &gt; current_step, "",Iterations[[#This Row],[d]]))</f>
        <v>0.65868486435035001</v>
      </c>
      <c r="K52" s="2">
        <f ca="1">IF(Iterations[[#This Row],[Step]] =current_step, current_e,IF(Iterations[[#This Row],[Step]] &gt; current_step, "",Iterations[[#This Row],[e]]))</f>
        <v>18.103424781451583</v>
      </c>
      <c r="L52" s="2">
        <f ca="1">IF(Iterations[[#This Row],[Step]] =current_step, current_Total_Loss,IF(Iterations[[#This Row],[Step]] &gt; current_step, "",Iterations[[#This Row],[Total Loss]]))</f>
        <v>540.66</v>
      </c>
      <c r="M52" s="6" t="s">
        <v>27</v>
      </c>
      <c r="N52" s="2">
        <f ca="1">IF(Iterations[[#This Row],[Step]] =current_step, current_Grad_a,IF(Iterations[[#This Row],[Step]] &gt; current_step, "",Iterations[[#This Row],[Grad_a]]))</f>
        <v>0.77866263224161569</v>
      </c>
      <c r="O52" s="2">
        <f ca="1">IF(Iterations[[#This Row],[Step]] =current_step, current_Grad_b,IF(Iterations[[#This Row],[Step]] &gt; current_step, "",Iterations[[#This Row],[Grad_b]]))</f>
        <v>-0.30183119556067101</v>
      </c>
      <c r="P52" s="2">
        <f ca="1">IF(Iterations[[#This Row],[Step]] =current_step, current_Grad_c,IF(Iterations[[#This Row],[Step]] &gt; current_step, "",Iterations[[#This Row],[Grad_c]]))</f>
        <v>-2.13916156564557</v>
      </c>
      <c r="Q52" s="2">
        <f ca="1">IF(Iterations[[#This Row],[Step]] =current_step, current_Grad_d,IF(Iterations[[#This Row],[Step]] &gt; current_step, "",Iterations[[#This Row],[Grad_d]]))</f>
        <v>-0.11481681879204005</v>
      </c>
      <c r="R52" s="2">
        <f ca="1">IF(Iterations[[#This Row],[Step]] =current_step, current_Grad_e,IF(Iterations[[#This Row],[Step]] &gt; current_step, "",Iterations[[#This Row],[Grad_e]]))</f>
        <v>0.15845230681179798</v>
      </c>
    </row>
    <row r="53" spans="6:18" x14ac:dyDescent="0.3">
      <c r="F53" s="2">
        <f t="shared" si="1"/>
        <v>36</v>
      </c>
      <c r="G53" s="2">
        <f ca="1">IF(Iterations[[#This Row],[Step]] =current_step, current_a,IF(Iterations[[#This Row],[Step]] &gt; current_step, "",Iterations[[#This Row],[a]]))</f>
        <v>-1.3930188039510554E-2</v>
      </c>
      <c r="H53" s="2">
        <f ca="1">IF(Iterations[[#This Row],[Step]] =current_step, current_b,IF(Iterations[[#This Row],[Step]] &gt; current_step, "",Iterations[[#This Row],[b]]))</f>
        <v>1.2977861614787247</v>
      </c>
      <c r="I53" s="2">
        <f ca="1">IF(Iterations[[#This Row],[Step]] =current_step, current_c,IF(Iterations[[#This Row],[Step]] &gt; current_step, "",Iterations[[#This Row],[c]]))</f>
        <v>1.0393467869400901</v>
      </c>
      <c r="J53" s="2">
        <f ca="1">IF(Iterations[[#This Row],[Step]] =current_step, current_d,IF(Iterations[[#This Row],[Step]] &gt; current_step, "",Iterations[[#This Row],[d]]))</f>
        <v>0.65983303253827041</v>
      </c>
      <c r="K53" s="2">
        <f ca="1">IF(Iterations[[#This Row],[Step]] =current_step, current_e,IF(Iterations[[#This Row],[Step]] &gt; current_step, "",Iterations[[#This Row],[e]]))</f>
        <v>18.101840258383465</v>
      </c>
      <c r="L53" s="2">
        <f ca="1">IF(Iterations[[#This Row],[Step]] =current_step, current_Total_Loss,IF(Iterations[[#This Row],[Step]] &gt; current_step, "",Iterations[[#This Row],[Total Loss]]))</f>
        <v>539.71</v>
      </c>
      <c r="M53" s="6" t="s">
        <v>27</v>
      </c>
      <c r="N53" s="2">
        <f ca="1">IF(Iterations[[#This Row],[Step]] =current_step, current_Grad_a,IF(Iterations[[#This Row],[Step]] &gt; current_step, "",Iterations[[#This Row],[Grad_a]]))</f>
        <v>0.78292935234890848</v>
      </c>
      <c r="O53" s="2">
        <f ca="1">IF(Iterations[[#This Row],[Step]] =current_step, current_Grad_b,IF(Iterations[[#This Row],[Step]] &gt; current_step, "",Iterations[[#This Row],[Grad_b]]))</f>
        <v>-0.26665511064642622</v>
      </c>
      <c r="P53" s="2">
        <f ca="1">IF(Iterations[[#This Row],[Step]] =current_step, current_Grad_c,IF(Iterations[[#This Row],[Step]] &gt; current_step, "",Iterations[[#This Row],[Grad_c]]))</f>
        <v>-2.1305174126450046</v>
      </c>
      <c r="Q53" s="2">
        <f ca="1">IF(Iterations[[#This Row],[Step]] =current_step, current_Grad_d,IF(Iterations[[#This Row],[Step]] &gt; current_step, "",Iterations[[#This Row],[Grad_d]]))</f>
        <v>-9.840965687859457E-2</v>
      </c>
      <c r="R53" s="2">
        <f ca="1">IF(Iterations[[#This Row],[Step]] =current_step, current_Grad_e,IF(Iterations[[#This Row],[Step]] &gt; current_step, "",Iterations[[#This Row],[Grad_e]]))</f>
        <v>0.16824960789819463</v>
      </c>
    </row>
    <row r="54" spans="6:18" x14ac:dyDescent="0.3">
      <c r="F54" s="2">
        <f t="shared" si="1"/>
        <v>37</v>
      </c>
      <c r="G54" s="2">
        <f ca="1">IF(Iterations[[#This Row],[Step]] =current_step, current_a,IF(Iterations[[#This Row],[Step]] &gt; current_step, "",Iterations[[#This Row],[a]]))</f>
        <v>-2.1759481562999637E-2</v>
      </c>
      <c r="H54" s="2">
        <f ca="1">IF(Iterations[[#This Row],[Step]] =current_step, current_b,IF(Iterations[[#This Row],[Step]] &gt; current_step, "",Iterations[[#This Row],[b]]))</f>
        <v>1.300452712585189</v>
      </c>
      <c r="I54" s="2">
        <f ca="1">IF(Iterations[[#This Row],[Step]] =current_step, current_c,IF(Iterations[[#This Row],[Step]] &gt; current_step, "",Iterations[[#This Row],[c]]))</f>
        <v>1.0606519610665401</v>
      </c>
      <c r="J54" s="2">
        <f ca="1">IF(Iterations[[#This Row],[Step]] =current_step, current_d,IF(Iterations[[#This Row],[Step]] &gt; current_step, "",Iterations[[#This Row],[d]]))</f>
        <v>0.66081712910705637</v>
      </c>
      <c r="K54" s="2">
        <f ca="1">IF(Iterations[[#This Row],[Step]] =current_step, current_e,IF(Iterations[[#This Row],[Step]] &gt; current_step, "",Iterations[[#This Row],[e]]))</f>
        <v>18.100157762304484</v>
      </c>
      <c r="L54" s="2">
        <f ca="1">IF(Iterations[[#This Row],[Step]] =current_step, current_Total_Loss,IF(Iterations[[#This Row],[Step]] &gt; current_step, "",Iterations[[#This Row],[Total Loss]]))</f>
        <v>538.76</v>
      </c>
      <c r="M54" s="6" t="s">
        <v>27</v>
      </c>
      <c r="N54" s="2">
        <f ca="1">IF(Iterations[[#This Row],[Step]] =current_step, current_Grad_a,IF(Iterations[[#This Row],[Step]] &gt; current_step, "",Iterations[[#This Row],[Grad_a]]))</f>
        <v>0.7865692891514916</v>
      </c>
      <c r="O54" s="2">
        <f ca="1">IF(Iterations[[#This Row],[Step]] =current_step, current_Grad_b,IF(Iterations[[#This Row],[Step]] &gt; current_step, "",Iterations[[#This Row],[Grad_b]]))</f>
        <v>-0.23478915469451581</v>
      </c>
      <c r="P54" s="2">
        <f ca="1">IF(Iterations[[#This Row],[Step]] =current_step, current_Grad_c,IF(Iterations[[#This Row],[Step]] &gt; current_step, "",Iterations[[#This Row],[Grad_c]]))</f>
        <v>-2.1223753035177384</v>
      </c>
      <c r="Q54" s="2">
        <f ca="1">IF(Iterations[[#This Row],[Step]] =current_step, current_Grad_d,IF(Iterations[[#This Row],[Step]] &gt; current_step, "",Iterations[[#This Row],[Grad_d]]))</f>
        <v>-8.358776807846871E-2</v>
      </c>
      <c r="R54" s="2">
        <f ca="1">IF(Iterations[[#This Row],[Step]] =current_step, current_Grad_e,IF(Iterations[[#This Row],[Step]] &gt; current_step, "",Iterations[[#This Row],[Grad_e]]))</f>
        <v>0.17759534650859621</v>
      </c>
    </row>
    <row r="55" spans="6:18" x14ac:dyDescent="0.3">
      <c r="F55" s="2">
        <f t="shared" si="1"/>
        <v>38</v>
      </c>
      <c r="G55" s="2">
        <f ca="1">IF(Iterations[[#This Row],[Step]] =current_step, current_a,IF(Iterations[[#This Row],[Step]] &gt; current_step, "",Iterations[[#This Row],[a]]))</f>
        <v>-2.9625174454514555E-2</v>
      </c>
      <c r="H55" s="2">
        <f ca="1">IF(Iterations[[#This Row],[Step]] =current_step, current_b,IF(Iterations[[#This Row],[Step]] &gt; current_step, "",Iterations[[#This Row],[b]]))</f>
        <v>1.3028006041321343</v>
      </c>
      <c r="I55" s="2">
        <f ca="1">IF(Iterations[[#This Row],[Step]] =current_step, current_c,IF(Iterations[[#This Row],[Step]] &gt; current_step, "",Iterations[[#This Row],[c]]))</f>
        <v>1.0818757141017175</v>
      </c>
      <c r="J55" s="2">
        <f ca="1">IF(Iterations[[#This Row],[Step]] =current_step, current_d,IF(Iterations[[#This Row],[Step]] &gt; current_step, "",Iterations[[#This Row],[d]]))</f>
        <v>0.661653006787841</v>
      </c>
      <c r="K55" s="2">
        <f ca="1">IF(Iterations[[#This Row],[Step]] =current_step, current_e,IF(Iterations[[#This Row],[Step]] &gt; current_step, "",Iterations[[#This Row],[e]]))</f>
        <v>18.098381808839399</v>
      </c>
      <c r="L55" s="2">
        <f ca="1">IF(Iterations[[#This Row],[Step]] =current_step, current_Total_Loss,IF(Iterations[[#This Row],[Step]] &gt; current_step, "",Iterations[[#This Row],[Total Loss]]))</f>
        <v>537.82000000000005</v>
      </c>
      <c r="M55" s="6" t="s">
        <v>27</v>
      </c>
      <c r="N55" s="2">
        <f ca="1">IF(Iterations[[#This Row],[Step]] =current_step, current_Grad_a,IF(Iterations[[#This Row],[Step]] &gt; current_step, "",Iterations[[#This Row],[Grad_a]]))</f>
        <v>0.78964296172480808</v>
      </c>
      <c r="O55" s="2">
        <f ca="1">IF(Iterations[[#This Row],[Step]] =current_step, current_Grad_b,IF(Iterations[[#This Row],[Step]] &gt; current_step, "",Iterations[[#This Row],[Grad_b]]))</f>
        <v>-0.20592374943378053</v>
      </c>
      <c r="P55" s="2">
        <f ca="1">IF(Iterations[[#This Row],[Step]] =current_step, current_Grad_c,IF(Iterations[[#This Row],[Step]] &gt; current_step, "",Iterations[[#This Row],[Grad_c]]))</f>
        <v>-2.1146903099922945</v>
      </c>
      <c r="Q55" s="2">
        <f ca="1">IF(Iterations[[#This Row],[Step]] =current_step, current_Grad_d,IF(Iterations[[#This Row],[Step]] &gt; current_step, "",Iterations[[#This Row],[Grad_d]]))</f>
        <v>-7.0202634984698406E-2</v>
      </c>
      <c r="R55" s="2">
        <f ca="1">IF(Iterations[[#This Row],[Step]] =current_step, current_Grad_e,IF(Iterations[[#This Row],[Step]] &gt; current_step, "",Iterations[[#This Row],[Grad_e]]))</f>
        <v>0.18652481533368637</v>
      </c>
    </row>
    <row r="56" spans="6:18" x14ac:dyDescent="0.3">
      <c r="F56" s="2">
        <f t="shared" si="1"/>
        <v>39</v>
      </c>
      <c r="G56" s="2">
        <f ca="1">IF(Iterations[[#This Row],[Step]] =current_step, current_a,IF(Iterations[[#This Row],[Step]] &gt; current_step, "",Iterations[[#This Row],[a]]))</f>
        <v>-3.7521604071762638E-2</v>
      </c>
      <c r="H56" s="2">
        <f ca="1">IF(Iterations[[#This Row],[Step]] =current_step, current_b,IF(Iterations[[#This Row],[Step]] &gt; current_step, "",Iterations[[#This Row],[b]]))</f>
        <v>1.3048598416264721</v>
      </c>
      <c r="I56" s="2">
        <f ca="1">IF(Iterations[[#This Row],[Step]] =current_step, current_c,IF(Iterations[[#This Row],[Step]] &gt; current_step, "",Iterations[[#This Row],[c]]))</f>
        <v>1.1030226172016404</v>
      </c>
      <c r="J56" s="2">
        <f ca="1">IF(Iterations[[#This Row],[Step]] =current_step, current_d,IF(Iterations[[#This Row],[Step]] &gt; current_step, "",Iterations[[#This Row],[d]]))</f>
        <v>0.66235503313768795</v>
      </c>
      <c r="K56" s="2">
        <f ca="1">IF(Iterations[[#This Row],[Step]] =current_step, current_e,IF(Iterations[[#This Row],[Step]] &gt; current_step, "",Iterations[[#This Row],[e]]))</f>
        <v>18.096516560686062</v>
      </c>
      <c r="L56" s="2">
        <f ca="1">IF(Iterations[[#This Row],[Step]] =current_step, current_Total_Loss,IF(Iterations[[#This Row],[Step]] &gt; current_step, "",Iterations[[#This Row],[Total Loss]]))</f>
        <v>536.89</v>
      </c>
      <c r="M56" s="6" t="s">
        <v>27</v>
      </c>
      <c r="N56" s="2">
        <f ca="1">IF(Iterations[[#This Row],[Step]] =current_step, current_Grad_a,IF(Iterations[[#This Row],[Step]] &gt; current_step, "",Iterations[[#This Row],[Grad_a]]))</f>
        <v>0.79220527638721217</v>
      </c>
      <c r="O56" s="2">
        <f ca="1">IF(Iterations[[#This Row],[Step]] =current_step, current_Grad_b,IF(Iterations[[#This Row],[Step]] &gt; current_step, "",Iterations[[#This Row],[Grad_b]]))</f>
        <v>-0.17977825089953076</v>
      </c>
      <c r="P56" s="2">
        <f ca="1">IF(Iterations[[#This Row],[Step]] =current_step, current_Grad_c,IF(Iterations[[#This Row],[Step]] &gt; current_step, "",Iterations[[#This Row],[Grad_c]]))</f>
        <v>-2.1074216493888338</v>
      </c>
      <c r="Q56" s="2">
        <f ca="1">IF(Iterations[[#This Row],[Step]] =current_step, current_Grad_d,IF(Iterations[[#This Row],[Step]] &gt; current_step, "",Iterations[[#This Row],[Grad_d]]))</f>
        <v>-5.811962147639043E-2</v>
      </c>
      <c r="R56" s="2">
        <f ca="1">IF(Iterations[[#This Row],[Step]] =current_step, current_Grad_e,IF(Iterations[[#This Row],[Step]] &gt; current_step, "",Iterations[[#This Row],[Grad_e]]))</f>
        <v>0.19507011450165063</v>
      </c>
    </row>
    <row r="57" spans="6:18" x14ac:dyDescent="0.3">
      <c r="F57" s="2">
        <f t="shared" si="1"/>
        <v>40</v>
      </c>
      <c r="G57" s="2">
        <f ca="1">IF(Iterations[[#This Row],[Step]] =current_step, current_a,IF(Iterations[[#This Row],[Step]] &gt; current_step, "",Iterations[[#This Row],[a]]))</f>
        <v>-4.5443656835634762E-2</v>
      </c>
      <c r="H57" s="2">
        <f ca="1">IF(Iterations[[#This Row],[Step]] =current_step, current_b,IF(Iterations[[#This Row],[Step]] &gt; current_step, "",Iterations[[#This Row],[b]]))</f>
        <v>1.3066576241354673</v>
      </c>
      <c r="I57" s="2">
        <f ca="1">IF(Iterations[[#This Row],[Step]] =current_step, current_c,IF(Iterations[[#This Row],[Step]] &gt; current_step, "",Iterations[[#This Row],[c]]))</f>
        <v>1.1240968336955288</v>
      </c>
      <c r="J57" s="2">
        <f ca="1">IF(Iterations[[#This Row],[Step]] =current_step, current_d,IF(Iterations[[#This Row],[Step]] &gt; current_step, "",Iterations[[#This Row],[d]]))</f>
        <v>0.66293622935245189</v>
      </c>
      <c r="K57" s="2">
        <f ca="1">IF(Iterations[[#This Row],[Step]] =current_step, current_e,IF(Iterations[[#This Row],[Step]] &gt; current_step, "",Iterations[[#This Row],[e]]))</f>
        <v>18.094565859541046</v>
      </c>
      <c r="L57" s="2">
        <f ca="1">IF(Iterations[[#This Row],[Step]] =current_step, current_Total_Loss,IF(Iterations[[#This Row],[Step]] &gt; current_step, "",Iterations[[#This Row],[Total Loss]]))</f>
        <v>535.97</v>
      </c>
      <c r="M57" s="6" t="s">
        <v>27</v>
      </c>
      <c r="N57" s="2">
        <f ca="1">IF(Iterations[[#This Row],[Step]] =current_step, current_Grad_a,IF(Iterations[[#This Row],[Step]] &gt; current_step, "",Iterations[[#This Row],[Grad_a]]))</f>
        <v>0.79430603401640021</v>
      </c>
      <c r="O57" s="2">
        <f ca="1">IF(Iterations[[#This Row],[Step]] =current_step, current_Grad_b,IF(Iterations[[#This Row],[Step]] &gt; current_step, "",Iterations[[#This Row],[Grad_b]]))</f>
        <v>-0.15609824292142627</v>
      </c>
      <c r="P57" s="2">
        <f ca="1">IF(Iterations[[#This Row],[Step]] =current_step, current_Grad_c,IF(Iterations[[#This Row],[Step]] &gt; current_step, "",Iterations[[#This Row],[Grad_c]]))</f>
        <v>-2.1005323049286639</v>
      </c>
      <c r="Q57" s="2">
        <f ca="1">IF(Iterations[[#This Row],[Step]] =current_step, current_Grad_d,IF(Iterations[[#This Row],[Step]] &gt; current_step, "",Iterations[[#This Row],[Grad_d]]))</f>
        <v>-4.7216674780592091E-2</v>
      </c>
      <c r="R57" s="2">
        <f ca="1">IF(Iterations[[#This Row],[Step]] =current_step, current_Grad_e,IF(Iterations[[#This Row],[Step]] &gt; current_step, "",Iterations[[#This Row],[Grad_e]]))</f>
        <v>0.20326044514327929</v>
      </c>
    </row>
    <row r="58" spans="6:18" x14ac:dyDescent="0.3">
      <c r="F58" s="2">
        <f t="shared" si="1"/>
        <v>41</v>
      </c>
      <c r="G58" s="2">
        <f ca="1">IF(Iterations[[#This Row],[Step]] =current_step, current_a,IF(Iterations[[#This Row],[Step]] &gt; current_step, "",Iterations[[#This Row],[a]]))</f>
        <v>-5.3386717175798765E-2</v>
      </c>
      <c r="H58" s="2">
        <f ca="1">IF(Iterations[[#This Row],[Step]] =current_step, current_b,IF(Iterations[[#This Row],[Step]] &gt; current_step, "",Iterations[[#This Row],[b]]))</f>
        <v>1.3082186065646815</v>
      </c>
      <c r="I58" s="2">
        <f ca="1">IF(Iterations[[#This Row],[Step]] =current_step, current_c,IF(Iterations[[#This Row],[Step]] &gt; current_step, "",Iterations[[#This Row],[c]]))</f>
        <v>1.1451021567448154</v>
      </c>
      <c r="J58" s="2">
        <f ca="1">IF(Iterations[[#This Row],[Step]] =current_step, current_d,IF(Iterations[[#This Row],[Step]] &gt; current_step, "",Iterations[[#This Row],[d]]))</f>
        <v>0.66340839610025781</v>
      </c>
      <c r="K58" s="2">
        <f ca="1">IF(Iterations[[#This Row],[Step]] =current_step, current_e,IF(Iterations[[#This Row],[Step]] &gt; current_step, "",Iterations[[#This Row],[e]]))</f>
        <v>18.092533255089613</v>
      </c>
      <c r="L58" s="2">
        <f ca="1">IF(Iterations[[#This Row],[Step]] =current_step, current_Total_Loss,IF(Iterations[[#This Row],[Step]] &gt; current_step, "",Iterations[[#This Row],[Total Loss]]))</f>
        <v>535.04999999999995</v>
      </c>
      <c r="M58" s="6" t="s">
        <v>27</v>
      </c>
      <c r="N58" s="2">
        <f ca="1">IF(Iterations[[#This Row],[Step]] =current_step, current_Grad_a,IF(Iterations[[#This Row],[Step]] &gt; current_step, "",Iterations[[#This Row],[Grad_a]]))</f>
        <v>0.79599039435506524</v>
      </c>
      <c r="O58" s="2">
        <f ca="1">IF(Iterations[[#This Row],[Step]] =current_step, current_Grad_b,IF(Iterations[[#This Row],[Step]] &gt; current_step, "",Iterations[[#This Row],[Grad_b]]))</f>
        <v>-0.13465308443586269</v>
      </c>
      <c r="P58" s="2">
        <f ca="1">IF(Iterations[[#This Row],[Step]] =current_step, current_Grad_c,IF(Iterations[[#This Row],[Step]] &gt; current_step, "",Iterations[[#This Row],[Grad_c]]))</f>
        <v>-2.0939886796764213</v>
      </c>
      <c r="Q58" s="2">
        <f ca="1">IF(Iterations[[#This Row],[Step]] =current_step, current_Grad_d,IF(Iterations[[#This Row],[Step]] &gt; current_step, "",Iterations[[#This Row],[Grad_d]]))</f>
        <v>-3.7383149120872164E-2</v>
      </c>
      <c r="R58" s="2">
        <f ca="1">IF(Iterations[[#This Row],[Step]] =current_step, current_Grad_e,IF(Iterations[[#This Row],[Step]] &gt; current_step, "",Iterations[[#This Row],[Grad_e]]))</f>
        <v>0.21112237642287746</v>
      </c>
    </row>
    <row r="59" spans="6:18" x14ac:dyDescent="0.3">
      <c r="F59" s="2">
        <f t="shared" si="1"/>
        <v>42</v>
      </c>
      <c r="G59" s="2">
        <f ca="1">IF(Iterations[[#This Row],[Step]] =current_step, current_a,IF(Iterations[[#This Row],[Step]] &gt; current_step, "",Iterations[[#This Row],[a]]))</f>
        <v>-6.1346621119349416E-2</v>
      </c>
      <c r="H59" s="2">
        <f ca="1">IF(Iterations[[#This Row],[Step]] =current_step, current_b,IF(Iterations[[#This Row],[Step]] &gt; current_step, "",Iterations[[#This Row],[b]]))</f>
        <v>1.30956513740904</v>
      </c>
      <c r="I59" s="2">
        <f ca="1">IF(Iterations[[#This Row],[Step]] =current_step, current_c,IF(Iterations[[#This Row],[Step]] &gt; current_step, "",Iterations[[#This Row],[c]]))</f>
        <v>1.1660420435415797</v>
      </c>
      <c r="J59" s="2">
        <f ca="1">IF(Iterations[[#This Row],[Step]] =current_step, current_d,IF(Iterations[[#This Row],[Step]] &gt; current_step, "",Iterations[[#This Row],[d]]))</f>
        <v>0.66378222759146654</v>
      </c>
      <c r="K59" s="2">
        <f ca="1">IF(Iterations[[#This Row],[Step]] =current_step, current_e,IF(Iterations[[#This Row],[Step]] &gt; current_step, "",Iterations[[#This Row],[e]]))</f>
        <v>18.090422031325385</v>
      </c>
      <c r="L59" s="2">
        <f ca="1">IF(Iterations[[#This Row],[Step]] =current_step, current_Total_Loss,IF(Iterations[[#This Row],[Step]] &gt; current_step, "",Iterations[[#This Row],[Total Loss]]))</f>
        <v>534.14</v>
      </c>
      <c r="M59" s="6" t="s">
        <v>27</v>
      </c>
      <c r="N59" s="2">
        <f ca="1">IF(Iterations[[#This Row],[Step]] =current_step, current_Grad_a,IF(Iterations[[#This Row],[Step]] &gt; current_step, "",Iterations[[#This Row],[Grad_a]]))</f>
        <v>0.79729930021381656</v>
      </c>
      <c r="O59" s="2">
        <f ca="1">IF(Iterations[[#This Row],[Step]] =current_step, current_Grad_b,IF(Iterations[[#This Row],[Step]] &gt; current_step, "",Iterations[[#This Row],[Grad_b]]))</f>
        <v>-0.1152336866507804</v>
      </c>
      <c r="P59" s="2">
        <f ca="1">IF(Iterations[[#This Row],[Step]] =current_step, current_Grad_c,IF(Iterations[[#This Row],[Step]] &gt; current_step, "",Iterations[[#This Row],[Grad_c]]))</f>
        <v>-2.0877602814363891</v>
      </c>
      <c r="Q59" s="2">
        <f ca="1">IF(Iterations[[#This Row],[Step]] =current_step, current_Grad_d,IF(Iterations[[#This Row],[Step]] &gt; current_step, "",Iterations[[#This Row],[Grad_d]]))</f>
        <v>-2.8518739504364947E-2</v>
      </c>
      <c r="R59" s="2">
        <f ca="1">IF(Iterations[[#This Row],[Step]] =current_step, current_Grad_e,IF(Iterations[[#This Row],[Step]] &gt; current_step, "",Iterations[[#This Row],[Grad_e]]))</f>
        <v>0.21868008829297261</v>
      </c>
    </row>
    <row r="60" spans="6:18" x14ac:dyDescent="0.3">
      <c r="F60" s="2">
        <f t="shared" si="1"/>
        <v>43</v>
      </c>
      <c r="G60" s="2">
        <f ca="1">IF(Iterations[[#This Row],[Step]] =current_step, current_a,IF(Iterations[[#This Row],[Step]] &gt; current_step, "",Iterations[[#This Row],[a]]))</f>
        <v>-6.9319614121487586E-2</v>
      </c>
      <c r="H60" s="2">
        <f ca="1">IF(Iterations[[#This Row],[Step]] =current_step, current_b,IF(Iterations[[#This Row],[Step]] &gt; current_step, "",Iterations[[#This Row],[b]]))</f>
        <v>1.3107174742755479</v>
      </c>
      <c r="I60" s="2">
        <f ca="1">IF(Iterations[[#This Row],[Step]] =current_step, current_c,IF(Iterations[[#This Row],[Step]] &gt; current_step, "",Iterations[[#This Row],[c]]))</f>
        <v>1.1869196463559435</v>
      </c>
      <c r="J60" s="2">
        <f ca="1">IF(Iterations[[#This Row],[Step]] =current_step, current_d,IF(Iterations[[#This Row],[Step]] &gt; current_step, "",Iterations[[#This Row],[d]]))</f>
        <v>0.66406741498651023</v>
      </c>
      <c r="K60" s="2">
        <f ca="1">IF(Iterations[[#This Row],[Step]] =current_step, current_e,IF(Iterations[[#This Row],[Step]] &gt; current_step, "",Iterations[[#This Row],[e]]))</f>
        <v>18.088235230442457</v>
      </c>
      <c r="L60" s="2">
        <f ca="1">IF(Iterations[[#This Row],[Step]] =current_step, current_Total_Loss,IF(Iterations[[#This Row],[Step]] &gt; current_step, "",Iterations[[#This Row],[Total Loss]]))</f>
        <v>533.23</v>
      </c>
      <c r="M60" s="6" t="s">
        <v>27</v>
      </c>
      <c r="N60" s="2">
        <f ca="1">IF(Iterations[[#This Row],[Step]] =current_step, current_Grad_a,IF(Iterations[[#This Row],[Step]] &gt; current_step, "",Iterations[[#This Row],[Grad_a]]))</f>
        <v>0.79826986448912629</v>
      </c>
      <c r="O60" s="2">
        <f ca="1">IF(Iterations[[#This Row],[Step]] =current_step, current_Grad_b,IF(Iterations[[#This Row],[Step]] &gt; current_step, "",Iterations[[#This Row],[Grad_b]]))</f>
        <v>-9.7650498397082217E-2</v>
      </c>
      <c r="P60" s="2">
        <f ca="1">IF(Iterations[[#This Row],[Step]] =current_step, current_Grad_c,IF(Iterations[[#This Row],[Step]] &gt; current_step, "",Iterations[[#This Row],[Grad_c]]))</f>
        <v>-2.0818194360572821</v>
      </c>
      <c r="Q60" s="2">
        <f ca="1">IF(Iterations[[#This Row],[Step]] =current_step, current_Grad_d,IF(Iterations[[#This Row],[Step]] &gt; current_step, "",Iterations[[#This Row],[Grad_d]]))</f>
        <v>-2.0532515291719931E-2</v>
      </c>
      <c r="R60" s="2">
        <f ca="1">IF(Iterations[[#This Row],[Step]] =current_step, current_Grad_e,IF(Iterations[[#This Row],[Step]] &gt; current_step, "",Iterations[[#This Row],[Grad_e]]))</f>
        <v>0.22595559207568094</v>
      </c>
    </row>
    <row r="61" spans="6:18" x14ac:dyDescent="0.3">
      <c r="F61" s="2">
        <f t="shared" si="1"/>
        <v>44</v>
      </c>
      <c r="G61" s="2">
        <f ca="1">IF(Iterations[[#This Row],[Step]] =current_step, current_a,IF(Iterations[[#This Row],[Step]] &gt; current_step, "",Iterations[[#This Row],[a]]))</f>
        <v>-7.7302312766378847E-2</v>
      </c>
      <c r="H61" s="2">
        <f ca="1">IF(Iterations[[#This Row],[Step]] =current_step, current_b,IF(Iterations[[#This Row],[Step]] &gt; current_step, "",Iterations[[#This Row],[b]]))</f>
        <v>1.3116939792595186</v>
      </c>
      <c r="I61" s="2">
        <f ca="1">IF(Iterations[[#This Row],[Step]] =current_step, current_c,IF(Iterations[[#This Row],[Step]] &gt; current_step, "",Iterations[[#This Row],[c]]))</f>
        <v>1.2077378407165162</v>
      </c>
      <c r="J61" s="2">
        <f ca="1">IF(Iterations[[#This Row],[Step]] =current_step, current_d,IF(Iterations[[#This Row],[Step]] &gt; current_step, "",Iterations[[#This Row],[d]]))</f>
        <v>0.66427274013942739</v>
      </c>
      <c r="K61" s="2">
        <f ca="1">IF(Iterations[[#This Row],[Step]] =current_step, current_e,IF(Iterations[[#This Row],[Step]] &gt; current_step, "",Iterations[[#This Row],[e]]))</f>
        <v>18.085975674521702</v>
      </c>
      <c r="L61" s="2">
        <f ca="1">IF(Iterations[[#This Row],[Step]] =current_step, current_Total_Loss,IF(Iterations[[#This Row],[Step]] &gt; current_step, "",Iterations[[#This Row],[Total Loss]]))</f>
        <v>532.32000000000005</v>
      </c>
      <c r="M61" s="6" t="s">
        <v>27</v>
      </c>
      <c r="N61" s="2">
        <f ca="1">IF(Iterations[[#This Row],[Step]] =current_step, current_Grad_a,IF(Iterations[[#This Row],[Step]] &gt; current_step, "",Iterations[[#This Row],[Grad_a]]))</f>
        <v>0.79893572285121472</v>
      </c>
      <c r="O61" s="2">
        <f ca="1">IF(Iterations[[#This Row],[Step]] =current_step, current_Grad_b,IF(Iterations[[#This Row],[Step]] &gt; current_step, "",Iterations[[#This Row],[Grad_b]]))</f>
        <v>-8.1731680074747085E-2</v>
      </c>
      <c r="P61" s="2">
        <f ca="1">IF(Iterations[[#This Row],[Step]] =current_step, current_Grad_c,IF(Iterations[[#This Row],[Step]] &gt; current_step, "",Iterations[[#This Row],[Grad_c]]))</f>
        <v>-2.0761410267500731</v>
      </c>
      <c r="Q61" s="2">
        <f ca="1">IF(Iterations[[#This Row],[Step]] =current_step, current_Grad_d,IF(Iterations[[#This Row],[Step]] &gt; current_step, "",Iterations[[#This Row],[Grad_d]]))</f>
        <v>-1.334204417908739E-2</v>
      </c>
      <c r="R61" s="2">
        <f ca="1">IF(Iterations[[#This Row],[Step]] =current_step, current_Grad_e,IF(Iterations[[#This Row],[Step]] &gt; current_step, "",Iterations[[#This Row],[Grad_e]]))</f>
        <v>0.23296893081886971</v>
      </c>
    </row>
    <row r="62" spans="6:18" x14ac:dyDescent="0.3">
      <c r="F62" s="2">
        <f t="shared" si="1"/>
        <v>45</v>
      </c>
      <c r="G62" s="2">
        <f ca="1">IF(Iterations[[#This Row],[Step]] =current_step, current_a,IF(Iterations[[#This Row],[Step]] &gt; current_step, "",Iterations[[#This Row],[a]]))</f>
        <v>-8.529166999489099E-2</v>
      </c>
      <c r="H62" s="2">
        <f ca="1">IF(Iterations[[#This Row],[Step]] =current_step, current_b,IF(Iterations[[#This Row],[Step]] &gt; current_step, "",Iterations[[#This Row],[b]]))</f>
        <v>1.3125112960602661</v>
      </c>
      <c r="I62" s="2">
        <f ca="1">IF(Iterations[[#This Row],[Step]] =current_step, current_c,IF(Iterations[[#This Row],[Step]] &gt; current_step, "",Iterations[[#This Row],[c]]))</f>
        <v>1.2284992509840169</v>
      </c>
      <c r="J62" s="2">
        <f ca="1">IF(Iterations[[#This Row],[Step]] =current_step, current_d,IF(Iterations[[#This Row],[Step]] &gt; current_step, "",Iterations[[#This Row],[d]]))</f>
        <v>0.66440616058121826</v>
      </c>
      <c r="K62" s="2">
        <f ca="1">IF(Iterations[[#This Row],[Step]] =current_step, current_e,IF(Iterations[[#This Row],[Step]] &gt; current_step, "",Iterations[[#This Row],[e]]))</f>
        <v>18.083645985213515</v>
      </c>
      <c r="L62" s="2">
        <f ca="1">IF(Iterations[[#This Row],[Step]] =current_step, current_Total_Loss,IF(Iterations[[#This Row],[Step]] &gt; current_step, "",Iterations[[#This Row],[Total Loss]]))</f>
        <v>531.41999999999996</v>
      </c>
      <c r="M62" s="6" t="s">
        <v>27</v>
      </c>
      <c r="N62" s="2">
        <f ca="1">IF(Iterations[[#This Row],[Step]] =current_step, current_Grad_a,IF(Iterations[[#This Row],[Step]] &gt; current_step, "",Iterations[[#This Row],[Grad_a]]))</f>
        <v>0.7993273548468357</v>
      </c>
      <c r="O62" s="2">
        <f ca="1">IF(Iterations[[#This Row],[Step]] =current_step, current_Grad_b,IF(Iterations[[#This Row],[Step]] &gt; current_step, "",Iterations[[#This Row],[Grad_b]]))</f>
        <v>-6.7321448469123704E-2</v>
      </c>
      <c r="P62" s="2">
        <f ca="1">IF(Iterations[[#This Row],[Step]] =current_step, current_Grad_c,IF(Iterations[[#This Row],[Step]] &gt; current_step, "",Iterations[[#This Row],[Grad_c]]))</f>
        <v>-2.0707022571818801</v>
      </c>
      <c r="Q62" s="2">
        <f ca="1">IF(Iterations[[#This Row],[Step]] =current_step, current_Grad_d,IF(Iterations[[#This Row],[Step]] &gt; current_step, "",Iterations[[#This Row],[Grad_d]]))</f>
        <v>-6.8725981095610284E-3</v>
      </c>
      <c r="R62" s="2">
        <f ca="1">IF(Iterations[[#This Row],[Step]] =current_step, current_Grad_e,IF(Iterations[[#This Row],[Step]] &gt; current_step, "",Iterations[[#This Row],[Grad_e]]))</f>
        <v>0.23973836122427392</v>
      </c>
    </row>
    <row r="63" spans="6:18" x14ac:dyDescent="0.3">
      <c r="F63" s="2">
        <f t="shared" si="1"/>
        <v>46</v>
      </c>
      <c r="G63" s="2">
        <f ca="1">IF(Iterations[[#This Row],[Step]] =current_step, current_a,IF(Iterations[[#This Row],[Step]] &gt; current_step, "",Iterations[[#This Row],[a]]))</f>
        <v>-9.3284943543359353E-2</v>
      </c>
      <c r="H63" s="2">
        <f ca="1">IF(Iterations[[#This Row],[Step]] =current_step, current_b,IF(Iterations[[#This Row],[Step]] &gt; current_step, "",Iterations[[#This Row],[b]]))</f>
        <v>1.3131845105449573</v>
      </c>
      <c r="I63" s="2">
        <f ca="1">IF(Iterations[[#This Row],[Step]] =current_step, current_c,IF(Iterations[[#This Row],[Step]] &gt; current_step, "",Iterations[[#This Row],[c]]))</f>
        <v>1.2492062735558358</v>
      </c>
      <c r="J63" s="2">
        <f ca="1">IF(Iterations[[#This Row],[Step]] =current_step, current_d,IF(Iterations[[#This Row],[Step]] &gt; current_step, "",Iterations[[#This Row],[d]]))</f>
        <v>0.6644748865623139</v>
      </c>
      <c r="K63" s="2">
        <f ca="1">IF(Iterations[[#This Row],[Step]] =current_step, current_e,IF(Iterations[[#This Row],[Step]] &gt; current_step, "",Iterations[[#This Row],[e]]))</f>
        <v>18.081248601601271</v>
      </c>
      <c r="L63" s="2">
        <f ca="1">IF(Iterations[[#This Row],[Step]] =current_step, current_Total_Loss,IF(Iterations[[#This Row],[Step]] &gt; current_step, "",Iterations[[#This Row],[Total Loss]]))</f>
        <v>530.53</v>
      </c>
      <c r="M63" s="6" t="s">
        <v>27</v>
      </c>
      <c r="N63" s="2">
        <f ca="1">IF(Iterations[[#This Row],[Step]] =current_step, current_Grad_a,IF(Iterations[[#This Row],[Step]] &gt; current_step, "",Iterations[[#This Row],[Grad_a]]))</f>
        <v>0.79947237602249799</v>
      </c>
      <c r="O63" s="2">
        <f ca="1">IF(Iterations[[#This Row],[Step]] =current_step, current_Grad_b,IF(Iterations[[#This Row],[Step]] &gt; current_step, "",Iterations[[#This Row],[Grad_b]]))</f>
        <v>-5.4278576396398312E-2</v>
      </c>
      <c r="P63" s="2">
        <f ca="1">IF(Iterations[[#This Row],[Step]] =current_step, current_Grad_c,IF(Iterations[[#This Row],[Step]] &gt; current_step, "",Iterations[[#This Row],[Grad_c]]))</f>
        <v>-2.0654824362690345</v>
      </c>
      <c r="Q63" s="2">
        <f ca="1">IF(Iterations[[#This Row],[Step]] =current_step, current_Grad_d,IF(Iterations[[#This Row],[Step]] &gt; current_step, "",Iterations[[#This Row],[Grad_d]]))</f>
        <v>-1.0564334335554865E-3</v>
      </c>
      <c r="R63" s="2">
        <f ca="1">IF(Iterations[[#This Row],[Step]] =current_step, current_Grad_e,IF(Iterations[[#This Row],[Step]] &gt; current_step, "",Iterations[[#This Row],[Grad_e]]))</f>
        <v>0.24628051880019047</v>
      </c>
    </row>
    <row r="64" spans="6:18" x14ac:dyDescent="0.3">
      <c r="F64" s="2">
        <f t="shared" si="1"/>
        <v>47</v>
      </c>
      <c r="G64" s="2">
        <f ca="1">IF(Iterations[[#This Row],[Step]] =current_step, current_a,IF(Iterations[[#This Row],[Step]] &gt; current_step, "",Iterations[[#This Row],[a]]))</f>
        <v>-0.10127966730358433</v>
      </c>
      <c r="H64" s="2">
        <f ca="1">IF(Iterations[[#This Row],[Step]] =current_step, current_b,IF(Iterations[[#This Row],[Step]] &gt; current_step, "",Iterations[[#This Row],[b]]))</f>
        <v>1.3137272963089213</v>
      </c>
      <c r="I64" s="2">
        <f ca="1">IF(Iterations[[#This Row],[Step]] =current_step, current_c,IF(Iterations[[#This Row],[Step]] &gt; current_step, "",Iterations[[#This Row],[c]]))</f>
        <v>1.2698610979185261</v>
      </c>
      <c r="J64" s="2">
        <f ca="1">IF(Iterations[[#This Row],[Step]] =current_step, current_d,IF(Iterations[[#This Row],[Step]] &gt; current_step, "",Iterations[[#This Row],[d]]))</f>
        <v>0.66448545089664945</v>
      </c>
      <c r="K64" s="2">
        <f ca="1">IF(Iterations[[#This Row],[Step]] =current_step, current_e,IF(Iterations[[#This Row],[Step]] &gt; current_step, "",Iterations[[#This Row],[e]]))</f>
        <v>18.078785796413268</v>
      </c>
      <c r="L64" s="2">
        <f ca="1">IF(Iterations[[#This Row],[Step]] =current_step, current_Total_Loss,IF(Iterations[[#This Row],[Step]] &gt; current_step, "",Iterations[[#This Row],[Total Loss]]))</f>
        <v>529.63</v>
      </c>
      <c r="M64" s="6" t="s">
        <v>27</v>
      </c>
      <c r="N64" s="2">
        <f ca="1">IF(Iterations[[#This Row],[Step]] =current_step, current_Grad_a,IF(Iterations[[#This Row],[Step]] &gt; current_step, "",Iterations[[#This Row],[Grad_a]]))</f>
        <v>0.79939580351775574</v>
      </c>
      <c r="O64" s="2">
        <f ca="1">IF(Iterations[[#This Row],[Step]] =current_step, current_Grad_b,IF(Iterations[[#This Row],[Step]] &gt; current_step, "",Iterations[[#This Row],[Grad_b]]))</f>
        <v>-4.2475032656248066E-2</v>
      </c>
      <c r="P64" s="2">
        <f ca="1">IF(Iterations[[#This Row],[Step]] =current_step, current_Grad_c,IF(Iterations[[#This Row],[Step]] &gt; current_step, "",Iterations[[#This Row],[Grad_c]]))</f>
        <v>-2.0604627827499584</v>
      </c>
      <c r="Q64" s="2">
        <f ca="1">IF(Iterations[[#This Row],[Step]] =current_step, current_Grad_d,IF(Iterations[[#This Row],[Step]] &gt; current_step, "",Iterations[[#This Row],[Grad_d]]))</f>
        <v>4.1678616378781896E-3</v>
      </c>
      <c r="R64" s="2">
        <f ca="1">IF(Iterations[[#This Row],[Step]] =current_step, current_Grad_e,IF(Iterations[[#This Row],[Step]] &gt; current_step, "",Iterations[[#This Row],[Grad_e]]))</f>
        <v>0.25261056775430291</v>
      </c>
    </row>
    <row r="65" spans="6:18" x14ac:dyDescent="0.3">
      <c r="F65" s="2">
        <f t="shared" ref="F65:F69" si="2">F64+1</f>
        <v>48</v>
      </c>
      <c r="G65" s="2">
        <f ca="1">IF(Iterations[[#This Row],[Step]] =current_step, current_a,IF(Iterations[[#This Row],[Step]] &gt; current_step, "",Iterations[[#This Row],[a]]))</f>
        <v>-0.10927362533876189</v>
      </c>
      <c r="H65" s="2">
        <f ca="1">IF(Iterations[[#This Row],[Step]] =current_step, current_b,IF(Iterations[[#This Row],[Step]] &gt; current_step, "",Iterations[[#This Row],[b]]))</f>
        <v>1.3141520466354837</v>
      </c>
      <c r="I65" s="2">
        <f ca="1">IF(Iterations[[#This Row],[Step]] =current_step, current_c,IF(Iterations[[#This Row],[Step]] &gt; current_step, "",Iterations[[#This Row],[c]]))</f>
        <v>1.2904657257460257</v>
      </c>
      <c r="J65" s="2">
        <f ca="1">IF(Iterations[[#This Row],[Step]] =current_step, current_d,IF(Iterations[[#This Row],[Step]] &gt; current_step, "",Iterations[[#This Row],[d]]))</f>
        <v>0.66444377228027063</v>
      </c>
      <c r="K65" s="2">
        <f ca="1">IF(Iterations[[#This Row],[Step]] =current_step, current_e,IF(Iterations[[#This Row],[Step]] &gt; current_step, "",Iterations[[#This Row],[e]]))</f>
        <v>18.076259690735725</v>
      </c>
      <c r="L65" s="2">
        <f ca="1">IF(Iterations[[#This Row],[Step]] =current_step, current_Total_Loss,IF(Iterations[[#This Row],[Step]] &gt; current_step, "",Iterations[[#This Row],[Total Loss]]))</f>
        <v>528.74</v>
      </c>
      <c r="M65" s="6" t="s">
        <v>27</v>
      </c>
      <c r="N65" s="2">
        <f ca="1">IF(Iterations[[#This Row],[Step]] =current_step, current_Grad_a,IF(Iterations[[#This Row],[Step]] &gt; current_step, "",Iterations[[#This Row],[Grad_a]]))</f>
        <v>0.79912029741417401</v>
      </c>
      <c r="O65" s="2">
        <f ca="1">IF(Iterations[[#This Row],[Step]] =current_step, current_Grad_b,IF(Iterations[[#This Row],[Step]] &gt; current_step, "",Iterations[[#This Row],[Grad_b]]))</f>
        <v>-3.1794749141751545E-2</v>
      </c>
      <c r="P65" s="2">
        <f ca="1">IF(Iterations[[#This Row],[Step]] =current_step, current_Grad_c,IF(Iterations[[#This Row],[Step]] &gt; current_step, "",Iterations[[#This Row],[Grad_c]]))</f>
        <v>-2.0556262477707512</v>
      </c>
      <c r="Q65" s="2">
        <f ca="1">IF(Iterations[[#This Row],[Step]] =current_step, current_Grad_d,IF(Iterations[[#This Row],[Step]] &gt; current_step, "",Iterations[[#This Row],[Grad_d]]))</f>
        <v>8.8559585875678491E-3</v>
      </c>
      <c r="R65" s="2">
        <f ca="1">IF(Iterations[[#This Row],[Step]] =current_step, current_Grad_e,IF(Iterations[[#This Row],[Step]] &gt; current_step, "",Iterations[[#This Row],[Grad_e]]))</f>
        <v>0.25874233701349819</v>
      </c>
    </row>
    <row r="66" spans="6:18" x14ac:dyDescent="0.3">
      <c r="F66" s="2">
        <f t="shared" si="2"/>
        <v>49</v>
      </c>
      <c r="G66" s="2">
        <f ca="1">IF(Iterations[[#This Row],[Step]] =current_step, current_a,IF(Iterations[[#This Row],[Step]] &gt; current_step, "",Iterations[[#This Row],[a]]))</f>
        <v>-0.11726482831290364</v>
      </c>
      <c r="H66" s="2">
        <f ca="1">IF(Iterations[[#This Row],[Step]] =current_step, current_b,IF(Iterations[[#This Row],[Step]] &gt; current_step, "",Iterations[[#This Row],[b]]))</f>
        <v>1.3144699941269011</v>
      </c>
      <c r="I66" s="2">
        <f ca="1">IF(Iterations[[#This Row],[Step]] =current_step, current_c,IF(Iterations[[#This Row],[Step]] &gt; current_step, "",Iterations[[#This Row],[c]]))</f>
        <v>1.3110219882237333</v>
      </c>
      <c r="J66" s="2">
        <f ca="1">IF(Iterations[[#This Row],[Step]] =current_step, current_d,IF(Iterations[[#This Row],[Step]] &gt; current_step, "",Iterations[[#This Row],[d]]))</f>
        <v>0.6643552126943949</v>
      </c>
      <c r="K66" s="2">
        <f ca="1">IF(Iterations[[#This Row],[Step]] =current_step, current_e,IF(Iterations[[#This Row],[Step]] &gt; current_step, "",Iterations[[#This Row],[e]]))</f>
        <v>18.073672267365591</v>
      </c>
      <c r="L66" s="2">
        <f ca="1">IF(Iterations[[#This Row],[Step]] =current_step, current_Total_Loss,IF(Iterations[[#This Row],[Step]] &gt; current_step, "",Iterations[[#This Row],[Total Loss]]))</f>
        <v>527.86</v>
      </c>
      <c r="M66" s="6" t="s">
        <v>27</v>
      </c>
      <c r="N66" s="2">
        <f ca="1">IF(Iterations[[#This Row],[Step]] =current_step, current_Grad_a,IF(Iterations[[#This Row],[Step]] &gt; current_step, "",Iterations[[#This Row],[Grad_a]]))</f>
        <v>0.79866637996135781</v>
      </c>
      <c r="O66" s="2">
        <f ca="1">IF(Iterations[[#This Row],[Step]] =current_step, current_Grad_b,IF(Iterations[[#This Row],[Step]] &gt; current_step, "",Iterations[[#This Row],[Grad_b]]))</f>
        <v>-2.2132503196283199E-2</v>
      </c>
      <c r="P66" s="2">
        <f ca="1">IF(Iterations[[#This Row],[Step]] =current_step, current_Grad_c,IF(Iterations[[#This Row],[Step]] &gt; current_step, "",Iterations[[#This Row],[Grad_c]]))</f>
        <v>-2.0509573538608477</v>
      </c>
      <c r="Q66" s="2">
        <f ca="1">IF(Iterations[[#This Row],[Step]] =current_step, current_Grad_d,IF(Iterations[[#This Row],[Step]] &gt; current_step, "",Iterations[[#This Row],[Grad_d]]))</f>
        <v>1.3058324862955217E-2</v>
      </c>
      <c r="R66" s="2">
        <f ca="1">IF(Iterations[[#This Row],[Step]] =current_step, current_Grad_e,IF(Iterations[[#This Row],[Step]] &gt; current_step, "",Iterations[[#This Row],[Grad_e]]))</f>
        <v>0.26468844363782451</v>
      </c>
    </row>
    <row r="67" spans="6:18" x14ac:dyDescent="0.3">
      <c r="F67" s="2">
        <f t="shared" si="2"/>
        <v>50</v>
      </c>
      <c r="G67" s="2">
        <f ca="1">IF(Iterations[[#This Row],[Step]] =current_step, current_a,IF(Iterations[[#This Row],[Step]] &gt; current_step, "",Iterations[[#This Row],[a]]))</f>
        <v>-0.12525149211251721</v>
      </c>
      <c r="H67" s="2">
        <f ca="1">IF(Iterations[[#This Row],[Step]] =current_step, current_b,IF(Iterations[[#This Row],[Step]] &gt; current_step, "",Iterations[[#This Row],[b]]))</f>
        <v>1.3146913191588641</v>
      </c>
      <c r="I67" s="2">
        <f ca="1">IF(Iterations[[#This Row],[Step]] =current_step, current_c,IF(Iterations[[#This Row],[Step]] &gt; current_step, "",Iterations[[#This Row],[c]]))</f>
        <v>1.3315315617623418</v>
      </c>
      <c r="J67" s="2">
        <f ca="1">IF(Iterations[[#This Row],[Step]] =current_step, current_d,IF(Iterations[[#This Row],[Step]] &gt; current_step, "",Iterations[[#This Row],[d]]))</f>
        <v>0.66422462944576532</v>
      </c>
      <c r="K67" s="2">
        <f ca="1">IF(Iterations[[#This Row],[Step]] =current_step, current_e,IF(Iterations[[#This Row],[Step]] &gt; current_step, "",Iterations[[#This Row],[e]]))</f>
        <v>18.071025382929214</v>
      </c>
      <c r="L67" s="2">
        <f ca="1">IF(Iterations[[#This Row],[Step]] =current_step, current_Total_Loss,IF(Iterations[[#This Row],[Step]] &gt; current_step, "",Iterations[[#This Row],[Total Loss]]))</f>
        <v>526.97</v>
      </c>
      <c r="M67" s="6" t="s">
        <v>27</v>
      </c>
      <c r="N67" s="2">
        <f ca="1">IF(Iterations[[#This Row],[Step]] =current_step, current_Grad_a,IF(Iterations[[#This Row],[Step]] &gt; current_step, "",Iterations[[#This Row],[Grad_a]]))</f>
        <v>0.79805263463905618</v>
      </c>
      <c r="O67" s="2">
        <f ca="1">IF(Iterations[[#This Row],[Step]] =current_step, current_Grad_b,IF(Iterations[[#This Row],[Step]] &gt; current_step, "",Iterations[[#This Row],[Grad_b]]))</f>
        <v>-1.3392904428348137E-2</v>
      </c>
      <c r="P67" s="2">
        <f ca="1">IF(Iterations[[#This Row],[Step]] =current_step, current_Grad_c,IF(Iterations[[#This Row],[Step]] &gt; current_step, "",Iterations[[#This Row],[Grad_c]]))</f>
        <v>-2.0464420488127835</v>
      </c>
      <c r="Q67" s="2">
        <f ca="1">IF(Iterations[[#This Row],[Step]] =current_step, current_Grad_d,IF(Iterations[[#This Row],[Step]] &gt; current_step, "",Iterations[[#This Row],[Grad_d]]))</f>
        <v>1.6820710035140567E-2</v>
      </c>
      <c r="R67" s="2">
        <f ca="1">IF(Iterations[[#This Row],[Step]] =current_step, current_Grad_e,IF(Iterations[[#This Row],[Step]] &gt; current_step, "",Iterations[[#This Row],[Grad_e]]))</f>
        <v>0.27046040478444372</v>
      </c>
    </row>
    <row r="68" spans="6:18" x14ac:dyDescent="0.3">
      <c r="F68" s="2">
        <f t="shared" si="2"/>
        <v>51</v>
      </c>
      <c r="G68" s="2">
        <f ca="1">IF(Iterations[[#This Row],[Step]] =current_step, current_a,IF(Iterations[[#This Row],[Step]] &gt; current_step, "",Iterations[[#This Row],[a]]))</f>
        <v>-0.16515412384447004</v>
      </c>
      <c r="H68" s="2">
        <f ca="1">IF(Iterations[[#This Row],[Step]] =current_step, current_b,IF(Iterations[[#This Row],[Step]] &gt; current_step, "",Iterations[[#This Row],[b]]))</f>
        <v>1.3153609643802815</v>
      </c>
      <c r="I68" s="2">
        <f ca="1">IF(Iterations[[#This Row],[Step]] =current_step, current_c,IF(Iterations[[#This Row],[Step]] &gt; current_step, "",Iterations[[#This Row],[c]]))</f>
        <v>1.4338536642029809</v>
      </c>
      <c r="J68" s="2">
        <f ca="1">IF(Iterations[[#This Row],[Step]] =current_step, current_d,IF(Iterations[[#This Row],[Step]] &gt; current_step, "",Iterations[[#This Row],[d]]))</f>
        <v>0.66338359394400825</v>
      </c>
      <c r="K68" s="2">
        <f ca="1">IF(Iterations[[#This Row],[Step]] =current_step, current_e,IF(Iterations[[#This Row],[Step]] &gt; current_step, "",Iterations[[#This Row],[e]]))</f>
        <v>18.057502362689991</v>
      </c>
      <c r="L68" s="2">
        <f ca="1">IF(Iterations[[#This Row],[Step]] =current_step, current_Total_Loss,IF(Iterations[[#This Row],[Step]] &gt; current_step, "",Iterations[[#This Row],[Total Loss]]))</f>
        <v>522.58000000000004</v>
      </c>
      <c r="M68" s="6" t="s">
        <v>27</v>
      </c>
      <c r="N68" s="2">
        <f ca="1">IF(Iterations[[#This Row],[Step]] =current_step, current_Grad_a,IF(Iterations[[#This Row],[Step]] &gt; current_step, "",Iterations[[#This Row],[Grad_a]]))</f>
        <v>0.79426889573845161</v>
      </c>
      <c r="O68" s="2">
        <f ca="1">IF(Iterations[[#This Row],[Step]] =current_step, current_Grad_b,IF(Iterations[[#This Row],[Step]] &gt; current_step, "",Iterations[[#This Row],[Grad_b]]))</f>
        <v>2.6124236666587721E-2</v>
      </c>
      <c r="P68" s="2">
        <f ca="1">IF(Iterations[[#This Row],[Step]] =current_step, current_Grad_c,IF(Iterations[[#This Row],[Step]] &gt; current_step, "",Iterations[[#This Row],[Grad_c]]))</f>
        <v>-2.0245696702856386</v>
      </c>
      <c r="Q68" s="2">
        <f ca="1">IF(Iterations[[#This Row],[Step]] =current_step, current_Grad_d,IF(Iterations[[#This Row],[Step]] &gt; current_step, "",Iterations[[#This Row],[Grad_d]]))</f>
        <v>3.3640092524839064E-2</v>
      </c>
      <c r="R68" s="2">
        <f ca="1">IF(Iterations[[#This Row],[Step]] =current_step, current_Grad_e,IF(Iterations[[#This Row],[Step]] &gt; current_step, "",Iterations[[#This Row],[Grad_e]]))</f>
        <v>0.29850207723706507</v>
      </c>
    </row>
    <row r="69" spans="6:18" x14ac:dyDescent="0.3">
      <c r="F69" s="2">
        <f t="shared" si="2"/>
        <v>52</v>
      </c>
      <c r="G69" s="2">
        <f ca="1">IF(Iterations[[#This Row],[Step]] =current_step, current_a,IF(Iterations[[#This Row],[Step]] &gt; current_step, "",Iterations[[#This Row],[a]]))</f>
        <v>-0.2048675686313926</v>
      </c>
      <c r="H69" s="2">
        <f ca="1">IF(Iterations[[#This Row],[Step]] =current_step, current_b,IF(Iterations[[#This Row],[Step]] &gt; current_step, "",Iterations[[#This Row],[b]]))</f>
        <v>1.3140547525469521</v>
      </c>
      <c r="I69" s="2">
        <f ca="1">IF(Iterations[[#This Row],[Step]] =current_step, current_c,IF(Iterations[[#This Row],[Step]] &gt; current_step, "",Iterations[[#This Row],[c]]))</f>
        <v>1.5350821477172629</v>
      </c>
      <c r="J69" s="2">
        <f ca="1">IF(Iterations[[#This Row],[Step]] =current_step, current_d,IF(Iterations[[#This Row],[Step]] &gt; current_step, "",Iterations[[#This Row],[d]]))</f>
        <v>0.66170158931776635</v>
      </c>
      <c r="K69" s="2">
        <f ca="1">IF(Iterations[[#This Row],[Step]] =current_step, current_e,IF(Iterations[[#This Row],[Step]] &gt; current_step, "",Iterations[[#This Row],[e]]))</f>
        <v>18.042577258828139</v>
      </c>
      <c r="L69" s="2">
        <f ca="1">IF(Iterations[[#This Row],[Step]] =current_step, current_Total_Loss,IF(Iterations[[#This Row],[Step]] &gt; current_step, "",Iterations[[#This Row],[Total Loss]]))</f>
        <v>518.26</v>
      </c>
      <c r="M69" s="6" t="s">
        <v>27</v>
      </c>
      <c r="N69" s="2">
        <f ca="1">IF(Iterations[[#This Row],[Step]] =current_step, current_Grad_a,IF(Iterations[[#This Row],[Step]] &gt; current_step, "",Iterations[[#This Row],[Grad_a]]))</f>
        <v>0.78729087889447891</v>
      </c>
      <c r="O69" s="2">
        <f ca="1">IF(Iterations[[#This Row],[Step]] =current_step, current_Grad_b,IF(Iterations[[#This Row],[Step]] &gt; current_step, "",Iterations[[#This Row],[Grad_b]]))</f>
        <v>4.6697002591066114E-2</v>
      </c>
      <c r="P69" s="2">
        <f ca="1">IF(Iterations[[#This Row],[Step]] =current_step, current_Grad_c,IF(Iterations[[#This Row],[Step]] &gt; current_step, "",Iterations[[#This Row],[Grad_c]]))</f>
        <v>-2.0059283478125796</v>
      </c>
      <c r="Q69" s="2">
        <f ca="1">IF(Iterations[[#This Row],[Step]] =current_step, current_Grad_d,IF(Iterations[[#This Row],[Step]] &gt; current_step, "",Iterations[[#This Row],[Grad_d]]))</f>
        <v>4.1436629248564491E-2</v>
      </c>
      <c r="R69" s="2">
        <f ca="1">IF(Iterations[[#This Row],[Step]] =current_step, current_Grad_e,IF(Iterations[[#This Row],[Step]] &gt; current_step, "",Iterations[[#This Row],[Grad_e]]))</f>
        <v>0.32269339868099439</v>
      </c>
    </row>
    <row r="70" spans="6:18" x14ac:dyDescent="0.3">
      <c r="F70" s="2">
        <f t="shared" ref="F70:F133" si="3">F69+1</f>
        <v>53</v>
      </c>
      <c r="G70" s="2">
        <f ca="1">IF(Iterations[[#This Row],[Step]] =current_step, current_a,IF(Iterations[[#This Row],[Step]] &gt; current_step, "",Iterations[[#This Row],[a]]))</f>
        <v>-0.24423211257611654</v>
      </c>
      <c r="H70" s="2">
        <f ca="1">IF(Iterations[[#This Row],[Step]] =current_step, current_b,IF(Iterations[[#This Row],[Step]] &gt; current_step, "",Iterations[[#This Row],[b]]))</f>
        <v>1.3117199024173989</v>
      </c>
      <c r="I70" s="2">
        <f ca="1">IF(Iterations[[#This Row],[Step]] =current_step, current_c,IF(Iterations[[#This Row],[Step]] &gt; current_step, "",Iterations[[#This Row],[c]]))</f>
        <v>1.6353785651078918</v>
      </c>
      <c r="J70" s="2">
        <f ca="1">IF(Iterations[[#This Row],[Step]] =current_step, current_d,IF(Iterations[[#This Row],[Step]] &gt; current_step, "",Iterations[[#This Row],[d]]))</f>
        <v>0.65962975785533817</v>
      </c>
      <c r="K70" s="2">
        <f ca="1">IF(Iterations[[#This Row],[Step]] =current_step, current_e,IF(Iterations[[#This Row],[Step]] &gt; current_step, "",Iterations[[#This Row],[e]]))</f>
        <v>18.026442588894088</v>
      </c>
      <c r="L70" s="2">
        <f ca="1">IF(Iterations[[#This Row],[Step]] =current_step, current_Total_Loss,IF(Iterations[[#This Row],[Step]] &gt; current_step, "",Iterations[[#This Row],[Total Loss]]))</f>
        <v>514</v>
      </c>
      <c r="M70" s="6" t="s">
        <v>27</v>
      </c>
      <c r="N70" s="2">
        <f ca="1">IF(Iterations[[#This Row],[Step]] =current_step, current_Grad_a,IF(Iterations[[#This Row],[Step]] &gt; current_step, "",Iterations[[#This Row],[Grad_a]]))</f>
        <v>0.7788418435483726</v>
      </c>
      <c r="O70" s="2">
        <f ca="1">IF(Iterations[[#This Row],[Step]] =current_step, current_Grad_b,IF(Iterations[[#This Row],[Step]] &gt; current_step, "",Iterations[[#This Row],[Grad_b]]))</f>
        <v>5.7209059930036922E-2</v>
      </c>
      <c r="P70" s="2">
        <f ca="1">IF(Iterations[[#This Row],[Step]] =current_step, current_Grad_c,IF(Iterations[[#This Row],[Step]] &gt; current_step, "",Iterations[[#This Row],[Grad_c]]))</f>
        <v>-1.9892026093140203</v>
      </c>
      <c r="Q70" s="2">
        <f ca="1">IF(Iterations[[#This Row],[Step]] =current_step, current_Grad_d,IF(Iterations[[#This Row],[Step]] &gt; current_step, "",Iterations[[#This Row],[Grad_d]]))</f>
        <v>4.4470256090645338E-2</v>
      </c>
      <c r="R70" s="2">
        <f ca="1">IF(Iterations[[#This Row],[Step]] =current_step, current_Grad_e,IF(Iterations[[#This Row],[Step]] &gt; current_step, "",Iterations[[#This Row],[Grad_e]]))</f>
        <v>0.34413311590748563</v>
      </c>
    </row>
    <row r="71" spans="6:18" x14ac:dyDescent="0.3">
      <c r="F71" s="2">
        <f t="shared" si="3"/>
        <v>54</v>
      </c>
      <c r="G71" s="2">
        <f ca="1">IF(Iterations[[#This Row],[Step]] =current_step, current_a,IF(Iterations[[#This Row],[Step]] &gt; current_step, "",Iterations[[#This Row],[a]]))</f>
        <v>-0.28317420475353516</v>
      </c>
      <c r="H71" s="2">
        <f ca="1">IF(Iterations[[#This Row],[Step]] =current_step, current_b,IF(Iterations[[#This Row],[Step]] &gt; current_step, "",Iterations[[#This Row],[b]]))</f>
        <v>1.3088594494208969</v>
      </c>
      <c r="I71" s="2">
        <f ca="1">IF(Iterations[[#This Row],[Step]] =current_step, current_c,IF(Iterations[[#This Row],[Step]] &gt; current_step, "",Iterations[[#This Row],[c]]))</f>
        <v>1.7348386955735928</v>
      </c>
      <c r="J71" s="2">
        <f ca="1">IF(Iterations[[#This Row],[Step]] =current_step, current_d,IF(Iterations[[#This Row],[Step]] &gt; current_step, "",Iterations[[#This Row],[d]]))</f>
        <v>0.65740624505080592</v>
      </c>
      <c r="K71" s="2">
        <f ca="1">IF(Iterations[[#This Row],[Step]] =current_step, current_e,IF(Iterations[[#This Row],[Step]] &gt; current_step, "",Iterations[[#This Row],[e]]))</f>
        <v>18.009235933098715</v>
      </c>
      <c r="L71" s="2">
        <f ca="1">IF(Iterations[[#This Row],[Step]] =current_step, current_Total_Loss,IF(Iterations[[#This Row],[Step]] &gt; current_step, "",Iterations[[#This Row],[Total Loss]]))</f>
        <v>509.79</v>
      </c>
      <c r="M71" s="6" t="s">
        <v>27</v>
      </c>
      <c r="N71" s="2">
        <f ca="1">IF(Iterations[[#This Row],[Step]] =current_step, current_Grad_a,IF(Iterations[[#This Row],[Step]] &gt; current_step, "",Iterations[[#This Row],[Grad_a]]))</f>
        <v>0.76982613567902858</v>
      </c>
      <c r="O71" s="2">
        <f ca="1">IF(Iterations[[#This Row],[Step]] =current_step, current_Grad_b,IF(Iterations[[#This Row],[Step]] &gt; current_step, "",Iterations[[#This Row],[Grad_b]]))</f>
        <v>6.239291409759002E-2</v>
      </c>
      <c r="P71" s="2">
        <f ca="1">IF(Iterations[[#This Row],[Step]] =current_step, current_Grad_c,IF(Iterations[[#This Row],[Step]] &gt; current_step, "",Iterations[[#This Row],[Grad_c]]))</f>
        <v>-1.973679716344634</v>
      </c>
      <c r="Q71" s="2">
        <f ca="1">IF(Iterations[[#This Row],[Step]] =current_step, current_Grad_d,IF(Iterations[[#This Row],[Step]] &gt; current_step, "",Iterations[[#This Row],[Grad_d]]))</f>
        <v>4.5009054772002739E-2</v>
      </c>
      <c r="R71" s="2">
        <f ca="1">IF(Iterations[[#This Row],[Step]] =current_step, current_Grad_e,IF(Iterations[[#This Row],[Step]] &gt; current_step, "",Iterations[[#This Row],[Grad_e]]))</f>
        <v>0.36345319508301643</v>
      </c>
    </row>
    <row r="72" spans="6:18" x14ac:dyDescent="0.3">
      <c r="F72" s="2">
        <f t="shared" si="3"/>
        <v>55</v>
      </c>
      <c r="G72" s="2">
        <f ca="1">IF(Iterations[[#This Row],[Step]] =current_step, current_a,IF(Iterations[[#This Row],[Step]] &gt; current_step, "",Iterations[[#This Row],[a]]))</f>
        <v>-0.32166551153748657</v>
      </c>
      <c r="H72" s="2">
        <f ca="1">IF(Iterations[[#This Row],[Step]] =current_step, current_b,IF(Iterations[[#This Row],[Step]] &gt; current_step, "",Iterations[[#This Row],[b]]))</f>
        <v>1.3057398037160175</v>
      </c>
      <c r="I72" s="2">
        <f ca="1">IF(Iterations[[#This Row],[Step]] =current_step, current_c,IF(Iterations[[#This Row],[Step]] &gt; current_step, "",Iterations[[#This Row],[c]]))</f>
        <v>1.8335226813908245</v>
      </c>
      <c r="J72" s="2">
        <f ca="1">IF(Iterations[[#This Row],[Step]] =current_step, current_d,IF(Iterations[[#This Row],[Step]] &gt; current_step, "",Iterations[[#This Row],[d]]))</f>
        <v>0.65515579231220578</v>
      </c>
      <c r="K72" s="2">
        <f ca="1">IF(Iterations[[#This Row],[Step]] =current_step, current_e,IF(Iterations[[#This Row],[Step]] &gt; current_step, "",Iterations[[#This Row],[e]]))</f>
        <v>17.991063273344565</v>
      </c>
      <c r="L72" s="2">
        <f ca="1">IF(Iterations[[#This Row],[Step]] =current_step, current_Total_Loss,IF(Iterations[[#This Row],[Step]] &gt; current_step, "",Iterations[[#This Row],[Total Loss]]))</f>
        <v>505.64</v>
      </c>
      <c r="M72" s="6" t="s">
        <v>27</v>
      </c>
      <c r="N72" s="2">
        <f ca="1">IF(Iterations[[#This Row],[Step]] =current_step, current_Grad_a,IF(Iterations[[#This Row],[Step]] &gt; current_step, "",Iterations[[#This Row],[Grad_a]]))</f>
        <v>0.76071188609022089</v>
      </c>
      <c r="O72" s="2">
        <f ca="1">IF(Iterations[[#This Row],[Step]] =current_step, current_Grad_b,IF(Iterations[[#This Row],[Step]] &gt; current_step, "",Iterations[[#This Row],[Grad_b]]))</f>
        <v>6.4768718037205034E-2</v>
      </c>
      <c r="P72" s="2">
        <f ca="1">IF(Iterations[[#This Row],[Step]] =current_step, current_Grad_c,IF(Iterations[[#This Row],[Step]] &gt; current_step, "",Iterations[[#This Row],[Grad_c]]))</f>
        <v>-1.9589692196442821</v>
      </c>
      <c r="Q72" s="2">
        <f ca="1">IF(Iterations[[#This Row],[Step]] =current_step, current_Grad_d,IF(Iterations[[#This Row],[Step]] &gt; current_step, "",Iterations[[#This Row],[Grad_d]]))</f>
        <v>4.4259607108530635E-2</v>
      </c>
      <c r="R72" s="2">
        <f ca="1">IF(Iterations[[#This Row],[Step]] =current_step, current_Grad_e,IF(Iterations[[#This Row],[Step]] &gt; current_step, "",Iterations[[#This Row],[Grad_e]]))</f>
        <v>0.38103363783452415</v>
      </c>
    </row>
    <row r="73" spans="6:18" x14ac:dyDescent="0.3">
      <c r="F73" s="2">
        <f t="shared" si="3"/>
        <v>56</v>
      </c>
      <c r="G73" s="2">
        <f ca="1">IF(Iterations[[#This Row],[Step]] =current_step, current_a,IF(Iterations[[#This Row],[Step]] &gt; current_step, "",Iterations[[#This Row],[a]]))</f>
        <v>-0.3597011058419976</v>
      </c>
      <c r="H73" s="2">
        <f ca="1">IF(Iterations[[#This Row],[Step]] =current_step, current_b,IF(Iterations[[#This Row],[Step]] &gt; current_step, "",Iterations[[#This Row],[b]]))</f>
        <v>1.3025013678141573</v>
      </c>
      <c r="I73" s="2">
        <f ca="1">IF(Iterations[[#This Row],[Step]] =current_step, current_c,IF(Iterations[[#This Row],[Step]] &gt; current_step, "",Iterations[[#This Row],[c]]))</f>
        <v>1.9314711423730386</v>
      </c>
      <c r="J73" s="2">
        <f ca="1">IF(Iterations[[#This Row],[Step]] =current_step, current_d,IF(Iterations[[#This Row],[Step]] &gt; current_step, "",Iterations[[#This Row],[d]]))</f>
        <v>0.65294281195677928</v>
      </c>
      <c r="K73" s="2">
        <f ca="1">IF(Iterations[[#This Row],[Step]] =current_step, current_e,IF(Iterations[[#This Row],[Step]] &gt; current_step, "",Iterations[[#This Row],[e]]))</f>
        <v>17.972011591452841</v>
      </c>
      <c r="L73" s="2">
        <f ca="1">IF(Iterations[[#This Row],[Step]] =current_step, current_Total_Loss,IF(Iterations[[#This Row],[Step]] &gt; current_step, "",Iterations[[#This Row],[Total Loss]]))</f>
        <v>501.54</v>
      </c>
      <c r="M73" s="6" t="s">
        <v>27</v>
      </c>
      <c r="N73" s="2">
        <f ca="1">IF(Iterations[[#This Row],[Step]] =current_step, current_Grad_a,IF(Iterations[[#This Row],[Step]] &gt; current_step, "",Iterations[[#This Row],[Grad_a]]))</f>
        <v>0.75173578852806955</v>
      </c>
      <c r="O73" s="2">
        <f ca="1">IF(Iterations[[#This Row],[Step]] =current_step, current_Grad_b,IF(Iterations[[#This Row],[Step]] &gt; current_step, "",Iterations[[#This Row],[Grad_b]]))</f>
        <v>6.5677496856540785E-2</v>
      </c>
      <c r="P73" s="2">
        <f ca="1">IF(Iterations[[#This Row],[Step]] =current_step, current_Grad_c,IF(Iterations[[#This Row],[Step]] &gt; current_step, "",Iterations[[#This Row],[Grad_c]]))</f>
        <v>-1.9448530709312317</v>
      </c>
      <c r="Q73" s="2">
        <f ca="1">IF(Iterations[[#This Row],[Step]] =current_step, current_Grad_d,IF(Iterations[[#This Row],[Step]] &gt; current_step, "",Iterations[[#This Row],[Grad_d]]))</f>
        <v>4.2862818958001765E-2</v>
      </c>
      <c r="R73" s="2">
        <f ca="1">IF(Iterations[[#This Row],[Step]] =current_step, current_Grad_e,IF(Iterations[[#This Row],[Step]] &gt; current_step, "",Iterations[[#This Row],[Grad_e]]))</f>
        <v>0.39711735111114721</v>
      </c>
    </row>
    <row r="74" spans="6:18" x14ac:dyDescent="0.3">
      <c r="F74" s="2">
        <f t="shared" si="3"/>
        <v>57</v>
      </c>
      <c r="G74" s="2">
        <f ca="1">IF(Iterations[[#This Row],[Step]] =current_step, current_a,IF(Iterations[[#This Row],[Step]] &gt; current_step, "",Iterations[[#This Row],[a]]))</f>
        <v>-0.39728789526840108</v>
      </c>
      <c r="H74" s="2">
        <f ca="1">IF(Iterations[[#This Row],[Step]] =current_step, current_b,IF(Iterations[[#This Row],[Step]] &gt; current_step, "",Iterations[[#This Row],[b]]))</f>
        <v>1.2992174929713303</v>
      </c>
      <c r="I74" s="2">
        <f ca="1">IF(Iterations[[#This Row],[Step]] =current_step, current_c,IF(Iterations[[#This Row],[Step]] &gt; current_step, "",Iterations[[#This Row],[c]]))</f>
        <v>2.0287137959196002</v>
      </c>
      <c r="J74" s="2">
        <f ca="1">IF(Iterations[[#This Row],[Step]] =current_step, current_d,IF(Iterations[[#This Row],[Step]] &gt; current_step, "",Iterations[[#This Row],[d]]))</f>
        <v>0.65079967100887914</v>
      </c>
      <c r="K74" s="2">
        <f ca="1">IF(Iterations[[#This Row],[Step]] =current_step, current_e,IF(Iterations[[#This Row],[Step]] &gt; current_step, "",Iterations[[#This Row],[e]]))</f>
        <v>17.952155723897285</v>
      </c>
      <c r="L74" s="2">
        <f ca="1">IF(Iterations[[#This Row],[Step]] =current_step, current_Total_Loss,IF(Iterations[[#This Row],[Step]] &gt; current_step, "",Iterations[[#This Row],[Total Loss]]))</f>
        <v>497.5</v>
      </c>
      <c r="M74" s="6" t="s">
        <v>27</v>
      </c>
      <c r="N74" s="2">
        <f ca="1">IF(Iterations[[#This Row],[Step]] =current_step, current_Grad_a,IF(Iterations[[#This Row],[Step]] &gt; current_step, "",Iterations[[#This Row],[Grad_a]]))</f>
        <v>0.74301196576198891</v>
      </c>
      <c r="O74" s="2">
        <f ca="1">IF(Iterations[[#This Row],[Step]] =current_step, current_Grad_b,IF(Iterations[[#This Row],[Step]] &gt; current_step, "",Iterations[[#This Row],[Grad_b]]))</f>
        <v>6.5831930270275521E-2</v>
      </c>
      <c r="P74" s="2">
        <f ca="1">IF(Iterations[[#This Row],[Step]] =current_step, current_Grad_c,IF(Iterations[[#This Row],[Step]] &gt; current_step, "",Iterations[[#This Row],[Grad_c]]))</f>
        <v>-1.9312057783235455</v>
      </c>
      <c r="Q74" s="2">
        <f ca="1">IF(Iterations[[#This Row],[Step]] =current_step, current_Grad_d,IF(Iterations[[#This Row],[Step]] &gt; current_step, "",Iterations[[#This Row],[Grad_d]]))</f>
        <v>4.1158218022676114E-2</v>
      </c>
      <c r="R74" s="2">
        <f ca="1">IF(Iterations[[#This Row],[Step]] =current_step, current_Grad_e,IF(Iterations[[#This Row],[Step]] &gt; current_step, "",Iterations[[#This Row],[Grad_e]]))</f>
        <v>0.41187151577078907</v>
      </c>
    </row>
    <row r="75" spans="6:18" x14ac:dyDescent="0.3">
      <c r="F75" s="2">
        <f t="shared" si="3"/>
        <v>58</v>
      </c>
      <c r="G75" s="2">
        <f ca="1">IF(Iterations[[#This Row],[Step]] =current_step, current_a,IF(Iterations[[#This Row],[Step]] &gt; current_step, "",Iterations[[#This Row],[a]]))</f>
        <v>-0.43443849355650055</v>
      </c>
      <c r="H75" s="2">
        <f ca="1">IF(Iterations[[#This Row],[Step]] =current_step, current_b,IF(Iterations[[#This Row],[Step]] &gt; current_step, "",Iterations[[#This Row],[b]]))</f>
        <v>1.2959258964578164</v>
      </c>
      <c r="I75" s="2">
        <f ca="1">IF(Iterations[[#This Row],[Step]] =current_step, current_c,IF(Iterations[[#This Row],[Step]] &gt; current_step, "",Iterations[[#This Row],[c]]))</f>
        <v>2.1252740848357776</v>
      </c>
      <c r="J75" s="2">
        <f ca="1">IF(Iterations[[#This Row],[Step]] =current_step, current_d,IF(Iterations[[#This Row],[Step]] &gt; current_step, "",Iterations[[#This Row],[d]]))</f>
        <v>0.64874176010774531</v>
      </c>
      <c r="K75" s="2">
        <f ca="1">IF(Iterations[[#This Row],[Step]] =current_step, current_e,IF(Iterations[[#This Row],[Step]] &gt; current_step, "",Iterations[[#This Row],[e]]))</f>
        <v>17.931562148108746</v>
      </c>
      <c r="L75" s="2">
        <f ca="1">IF(Iterations[[#This Row],[Step]] =current_step, current_Total_Loss,IF(Iterations[[#This Row],[Step]] &gt; current_step, "",Iterations[[#This Row],[Total Loss]]))</f>
        <v>493.5</v>
      </c>
      <c r="M75" s="6" t="s">
        <v>27</v>
      </c>
      <c r="N75" s="2">
        <f ca="1">IF(Iterations[[#This Row],[Step]] =current_step, current_Grad_a,IF(Iterations[[#This Row],[Step]] &gt; current_step, "",Iterations[[#This Row],[Grad_a]]))</f>
        <v>0.73459000434245858</v>
      </c>
      <c r="O75" s="2">
        <f ca="1">IF(Iterations[[#This Row],[Step]] =current_step, current_Grad_b,IF(Iterations[[#This Row],[Step]] &gt; current_step, "",Iterations[[#This Row],[Grad_b]]))</f>
        <v>6.5609910838409197E-2</v>
      </c>
      <c r="P75" s="2">
        <f ca="1">IF(Iterations[[#This Row],[Step]] =current_step, current_Grad_c,IF(Iterations[[#This Row],[Step]] &gt; current_step, "",Iterations[[#This Row],[Grad_c]]))</f>
        <v>-1.9179517795497698</v>
      </c>
      <c r="Q75" s="2">
        <f ca="1">IF(Iterations[[#This Row],[Step]] =current_step, current_Grad_d,IF(Iterations[[#This Row],[Step]] &gt; current_step, "",Iterations[[#This Row],[Grad_d]]))</f>
        <v>3.932481804646256E-2</v>
      </c>
      <c r="R75" s="2">
        <f ca="1">IF(Iterations[[#This Row],[Step]] =current_step, current_Grad_e,IF(Iterations[[#This Row],[Step]] &gt; current_step, "",Iterations[[#This Row],[Grad_e]]))</f>
        <v>0.42542048262646914</v>
      </c>
    </row>
    <row r="76" spans="6:18" x14ac:dyDescent="0.3">
      <c r="F76" s="2">
        <f t="shared" si="3"/>
        <v>59</v>
      </c>
      <c r="G76" s="2">
        <f ca="1">IF(Iterations[[#This Row],[Step]] =current_step, current_a,IF(Iterations[[#This Row],[Step]] &gt; current_step, "",Iterations[[#This Row],[a]]))</f>
        <v>-0.47116799377362351</v>
      </c>
      <c r="H76" s="2">
        <f ca="1">IF(Iterations[[#This Row],[Step]] =current_step, current_b,IF(Iterations[[#This Row],[Step]] &gt; current_step, "",Iterations[[#This Row],[b]]))</f>
        <v>1.2926454009158959</v>
      </c>
      <c r="I76" s="2">
        <f ca="1">IF(Iterations[[#This Row],[Step]] =current_step, current_c,IF(Iterations[[#This Row],[Step]] &gt; current_step, "",Iterations[[#This Row],[c]]))</f>
        <v>2.2211716738132661</v>
      </c>
      <c r="J76" s="2">
        <f ca="1">IF(Iterations[[#This Row],[Step]] =current_step, current_d,IF(Iterations[[#This Row],[Step]] &gt; current_step, "",Iterations[[#This Row],[d]]))</f>
        <v>0.6467755192054222</v>
      </c>
      <c r="K76" s="2">
        <f ca="1">IF(Iterations[[#This Row],[Step]] =current_step, current_e,IF(Iterations[[#This Row],[Step]] &gt; current_step, "",Iterations[[#This Row],[e]]))</f>
        <v>17.910291123977423</v>
      </c>
      <c r="L76" s="2">
        <f ca="1">IF(Iterations[[#This Row],[Step]] =current_step, current_Total_Loss,IF(Iterations[[#This Row],[Step]] &gt; current_step, "",Iterations[[#This Row],[Total Loss]]))</f>
        <v>489.54</v>
      </c>
      <c r="M76" s="6" t="s">
        <v>27</v>
      </c>
      <c r="N76" s="2">
        <f ca="1">IF(Iterations[[#This Row],[Step]] =current_step, current_Grad_a,IF(Iterations[[#This Row],[Step]] &gt; current_step, "",Iterations[[#This Row],[Grad_a]]))</f>
        <v>0.72648582118857441</v>
      </c>
      <c r="O76" s="2">
        <f ca="1">IF(Iterations[[#This Row],[Step]] =current_step, current_Grad_b,IF(Iterations[[#This Row],[Step]] &gt; current_step, "",Iterations[[#This Row],[Grad_b]]))</f>
        <v>6.5211013519348882E-2</v>
      </c>
      <c r="P76" s="2">
        <f ca="1">IF(Iterations[[#This Row],[Step]] =current_step, current_Grad_c,IF(Iterations[[#This Row],[Step]] &gt; current_step, "",Iterations[[#This Row],[Grad_c]]))</f>
        <v>-1.9050426882523286</v>
      </c>
      <c r="Q76" s="2">
        <f ca="1">IF(Iterations[[#This Row],[Step]] =current_step, current_Grad_d,IF(Iterations[[#This Row],[Step]] &gt; current_step, "",Iterations[[#This Row],[Grad_d]]))</f>
        <v>3.7456196403750752E-2</v>
      </c>
      <c r="R76" s="2">
        <f ca="1">IF(Iterations[[#This Row],[Step]] =current_step, current_Grad_e,IF(Iterations[[#This Row],[Step]] &gt; current_step, "",Iterations[[#This Row],[Grad_e]]))</f>
        <v>0.43786346519989927</v>
      </c>
    </row>
    <row r="77" spans="6:18" x14ac:dyDescent="0.3">
      <c r="F77" s="2">
        <f t="shared" si="3"/>
        <v>60</v>
      </c>
      <c r="G77" s="2">
        <f ca="1">IF(Iterations[[#This Row],[Step]] =current_step, current_a,IF(Iterations[[#This Row],[Step]] &gt; current_step, "",Iterations[[#This Row],[a]]))</f>
        <v>-0.5074922848330522</v>
      </c>
      <c r="H77" s="2">
        <f ca="1">IF(Iterations[[#This Row],[Step]] =current_step, current_b,IF(Iterations[[#This Row],[Step]] &gt; current_step, "",Iterations[[#This Row],[b]]))</f>
        <v>1.2893848502399283</v>
      </c>
      <c r="I77" s="2">
        <f ca="1">IF(Iterations[[#This Row],[Step]] =current_step, current_c,IF(Iterations[[#This Row],[Step]] &gt; current_step, "",Iterations[[#This Row],[c]]))</f>
        <v>2.3164238082258826</v>
      </c>
      <c r="J77" s="2">
        <f ca="1">IF(Iterations[[#This Row],[Step]] =current_step, current_d,IF(Iterations[[#This Row],[Step]] &gt; current_step, "",Iterations[[#This Row],[d]]))</f>
        <v>0.64490270938523464</v>
      </c>
      <c r="K77" s="2">
        <f ca="1">IF(Iterations[[#This Row],[Step]] =current_step, current_e,IF(Iterations[[#This Row],[Step]] &gt; current_step, "",Iterations[[#This Row],[e]]))</f>
        <v>17.88839795071743</v>
      </c>
      <c r="L77" s="2">
        <f ca="1">IF(Iterations[[#This Row],[Step]] =current_step, current_Total_Loss,IF(Iterations[[#This Row],[Step]] &gt; current_step, "",Iterations[[#This Row],[Total Loss]]))</f>
        <v>485.64</v>
      </c>
      <c r="M77" s="6" t="s">
        <v>27</v>
      </c>
      <c r="N77" s="2">
        <f ca="1">IF(Iterations[[#This Row],[Step]] =current_step, current_Grad_a,IF(Iterations[[#This Row],[Step]] &gt; current_step, "",Iterations[[#This Row],[Grad_a]]))</f>
        <v>0.71869807276355424</v>
      </c>
      <c r="O77" s="2">
        <f ca="1">IF(Iterations[[#This Row],[Step]] =current_step, current_Grad_b,IF(Iterations[[#This Row],[Step]] &gt; current_step, "",Iterations[[#This Row],[Grad_b]]))</f>
        <v>6.4739888667464773E-2</v>
      </c>
      <c r="P77" s="2">
        <f ca="1">IF(Iterations[[#This Row],[Step]] =current_step, current_Grad_c,IF(Iterations[[#This Row],[Step]] &gt; current_step, "",Iterations[[#This Row],[Grad_c]]))</f>
        <v>-1.8924451271714584</v>
      </c>
      <c r="Q77" s="2">
        <f ca="1">IF(Iterations[[#This Row],[Step]] =current_step, current_Grad_d,IF(Iterations[[#This Row],[Step]] &gt; current_step, "",Iterations[[#This Row],[Grad_d]]))</f>
        <v>3.5600504360195906E-2</v>
      </c>
      <c r="R77" s="2">
        <f ca="1">IF(Iterations[[#This Row],[Step]] =current_step, current_Grad_e,IF(Iterations[[#This Row],[Step]] &gt; current_step, "",Iterations[[#This Row],[Grad_e]]))</f>
        <v>0.44928412222000191</v>
      </c>
    </row>
    <row r="78" spans="6:18" x14ac:dyDescent="0.3">
      <c r="F78" s="2">
        <f t="shared" si="3"/>
        <v>61</v>
      </c>
      <c r="G78" s="2">
        <f ca="1">IF(Iterations[[#This Row],[Step]] =current_step, current_a,IF(Iterations[[#This Row],[Step]] &gt; current_step, "",Iterations[[#This Row],[a]]))</f>
        <v>-0.54342718847122995</v>
      </c>
      <c r="H78" s="2">
        <f ca="1">IF(Iterations[[#This Row],[Step]] =current_step, current_b,IF(Iterations[[#This Row],[Step]] &gt; current_step, "",Iterations[[#This Row],[b]]))</f>
        <v>1.2861478558065551</v>
      </c>
      <c r="I78" s="2">
        <f ca="1">IF(Iterations[[#This Row],[Step]] =current_step, current_c,IF(Iterations[[#This Row],[Step]] &gt; current_step, "",Iterations[[#This Row],[c]]))</f>
        <v>2.4110460645844554</v>
      </c>
      <c r="J78" s="2">
        <f ca="1">IF(Iterations[[#This Row],[Step]] =current_step, current_d,IF(Iterations[[#This Row],[Step]] &gt; current_step, "",Iterations[[#This Row],[d]]))</f>
        <v>0.64312268416722485</v>
      </c>
      <c r="K78" s="2">
        <f ca="1">IF(Iterations[[#This Row],[Step]] =current_step, current_e,IF(Iterations[[#This Row],[Step]] &gt; current_step, "",Iterations[[#This Row],[e]]))</f>
        <v>17.86593374460643</v>
      </c>
      <c r="L78" s="2">
        <f ca="1">IF(Iterations[[#This Row],[Step]] =current_step, current_Total_Loss,IF(Iterations[[#This Row],[Step]] &gt; current_step, "",Iterations[[#This Row],[Total Loss]]))</f>
        <v>481.77</v>
      </c>
      <c r="M78" s="6" t="s">
        <v>27</v>
      </c>
      <c r="N78" s="2">
        <f ca="1">IF(Iterations[[#This Row],[Step]] =current_step, current_Grad_a,IF(Iterations[[#This Row],[Step]] &gt; current_step, "",Iterations[[#This Row],[Grad_a]]))</f>
        <v>0.71121685564910442</v>
      </c>
      <c r="O78" s="2">
        <f ca="1">IF(Iterations[[#This Row],[Step]] =current_step, current_Grad_b,IF(Iterations[[#This Row],[Step]] &gt; current_step, "",Iterations[[#This Row],[Grad_b]]))</f>
        <v>6.4250705025542407E-2</v>
      </c>
      <c r="P78" s="2">
        <f ca="1">IF(Iterations[[#This Row],[Step]] =current_step, current_Grad_c,IF(Iterations[[#This Row],[Step]] &gt; current_step, "",Iterations[[#This Row],[Grad_c]]))</f>
        <v>-1.8801342091385322</v>
      </c>
      <c r="Q78" s="2">
        <f ca="1">IF(Iterations[[#This Row],[Step]] =current_step, current_Grad_d,IF(Iterations[[#This Row],[Step]] &gt; current_step, "",Iterations[[#This Row],[Grad_d]]))</f>
        <v>3.3781786417192289E-2</v>
      </c>
      <c r="R78" s="2">
        <f ca="1">IF(Iterations[[#This Row],[Step]] =current_step, current_Grad_e,IF(Iterations[[#This Row],[Step]] &gt; current_step, "",Iterations[[#This Row],[Grad_e]]))</f>
        <v>0.45975580615917344</v>
      </c>
    </row>
    <row r="79" spans="6:18" x14ac:dyDescent="0.3">
      <c r="F79" s="2">
        <f t="shared" si="3"/>
        <v>62</v>
      </c>
      <c r="G79" s="2">
        <f ca="1">IF(Iterations[[#This Row],[Step]] =current_step, current_a,IF(Iterations[[#This Row],[Step]] &gt; current_step, "",Iterations[[#This Row],[a]]))</f>
        <v>-0.57898803125368514</v>
      </c>
      <c r="H79" s="2">
        <f ca="1">IF(Iterations[[#This Row],[Step]] =current_step, current_b,IF(Iterations[[#This Row],[Step]] &gt; current_step, "",Iterations[[#This Row],[b]]))</f>
        <v>1.282935320555278</v>
      </c>
      <c r="I79" s="2">
        <f ca="1">IF(Iterations[[#This Row],[Step]] =current_step, current_c,IF(Iterations[[#This Row],[Step]] &gt; current_step, "",Iterations[[#This Row],[c]]))</f>
        <v>2.5050527750413818</v>
      </c>
      <c r="J79" s="2">
        <f ca="1">IF(Iterations[[#This Row],[Step]] =current_step, current_d,IF(Iterations[[#This Row],[Step]] &gt; current_step, "",Iterations[[#This Row],[d]]))</f>
        <v>0.6414335948463652</v>
      </c>
      <c r="K79" s="2">
        <f ca="1">IF(Iterations[[#This Row],[Step]] =current_step, current_e,IF(Iterations[[#This Row],[Step]] &gt; current_step, "",Iterations[[#This Row],[e]]))</f>
        <v>17.842945954298472</v>
      </c>
      <c r="L79" s="2">
        <f ca="1">IF(Iterations[[#This Row],[Step]] =current_step, current_Total_Loss,IF(Iterations[[#This Row],[Step]] &gt; current_step, "",Iterations[[#This Row],[Total Loss]]))</f>
        <v>477.95</v>
      </c>
      <c r="M79" s="6" t="s">
        <v>27</v>
      </c>
      <c r="N79" s="2">
        <f ca="1">IF(Iterations[[#This Row],[Step]] =current_step, current_Grad_a,IF(Iterations[[#This Row],[Step]] &gt; current_step, "",Iterations[[#This Row],[Grad_a]]))</f>
        <v>0.70402830262222416</v>
      </c>
      <c r="O79" s="2">
        <f ca="1">IF(Iterations[[#This Row],[Step]] =current_step, current_Grad_b,IF(Iterations[[#This Row],[Step]] &gt; current_step, "",Iterations[[#This Row],[Grad_b]]))</f>
        <v>6.3770831424627597E-2</v>
      </c>
      <c r="P79" s="2">
        <f ca="1">IF(Iterations[[#This Row],[Step]] =current_step, current_Grad_c,IF(Iterations[[#This Row],[Step]] &gt; current_step, "",Iterations[[#This Row],[Grad_c]]))</f>
        <v>-1.8680900301364245</v>
      </c>
      <c r="Q79" s="2">
        <f ca="1">IF(Iterations[[#This Row],[Step]] =current_step, current_Grad_d,IF(Iterations[[#This Row],[Step]] &gt; current_step, "",Iterations[[#This Row],[Grad_d]]))</f>
        <v>3.201133721859644E-2</v>
      </c>
      <c r="R79" s="2">
        <f ca="1">IF(Iterations[[#This Row],[Step]] =current_step, current_Grad_e,IF(Iterations[[#This Row],[Step]] &gt; current_step, "",Iterations[[#This Row],[Grad_e]]))</f>
        <v>0.46934449271338013</v>
      </c>
    </row>
    <row r="80" spans="6:18" x14ac:dyDescent="0.3">
      <c r="F80" s="2">
        <f t="shared" si="3"/>
        <v>63</v>
      </c>
      <c r="G80" s="2">
        <f ca="1">IF(Iterations[[#This Row],[Step]] =current_step, current_a,IF(Iterations[[#This Row],[Step]] &gt; current_step, "",Iterations[[#This Row],[a]]))</f>
        <v>-0.61418944638479633</v>
      </c>
      <c r="H80" s="2">
        <f ca="1">IF(Iterations[[#This Row],[Step]] =current_step, current_b,IF(Iterations[[#This Row],[Step]] &gt; current_step, "",Iterations[[#This Row],[b]]))</f>
        <v>1.2797467789840467</v>
      </c>
      <c r="I80" s="2">
        <f ca="1">IF(Iterations[[#This Row],[Step]] =current_step, current_c,IF(Iterations[[#This Row],[Step]] &gt; current_step, "",Iterations[[#This Row],[c]]))</f>
        <v>2.5984572765482028</v>
      </c>
      <c r="J80" s="2">
        <f ca="1">IF(Iterations[[#This Row],[Step]] =current_step, current_d,IF(Iterations[[#This Row],[Step]] &gt; current_step, "",Iterations[[#This Row],[d]]))</f>
        <v>0.6398330279854354</v>
      </c>
      <c r="K80" s="2">
        <f ca="1">IF(Iterations[[#This Row],[Step]] =current_step, current_e,IF(Iterations[[#This Row],[Step]] &gt; current_step, "",Iterations[[#This Row],[e]]))</f>
        <v>17.819478729662801</v>
      </c>
      <c r="L80" s="2">
        <f ca="1">IF(Iterations[[#This Row],[Step]] =current_step, current_Total_Loss,IF(Iterations[[#This Row],[Step]] &gt; current_step, "",Iterations[[#This Row],[Total Loss]]))</f>
        <v>474.17</v>
      </c>
      <c r="M80" s="6" t="s">
        <v>27</v>
      </c>
      <c r="N80" s="2">
        <f ca="1">IF(Iterations[[#This Row],[Step]] =current_step, current_Grad_a,IF(Iterations[[#This Row],[Step]] &gt; current_step, "",Iterations[[#This Row],[Grad_a]]))</f>
        <v>0.69711699326147702</v>
      </c>
      <c r="O80" s="2">
        <f ca="1">IF(Iterations[[#This Row],[Step]] =current_step, current_Grad_b,IF(Iterations[[#This Row],[Step]] &gt; current_step, "",Iterations[[#This Row],[Grad_b]]))</f>
        <v>6.3313452712364826E-2</v>
      </c>
      <c r="P80" s="2">
        <f ca="1">IF(Iterations[[#This Row],[Step]] =current_step, current_Grad_c,IF(Iterations[[#This Row],[Step]] &gt; current_step, "",Iterations[[#This Row],[Grad_c]]))</f>
        <v>-1.8562957701349307</v>
      </c>
      <c r="Q80" s="2">
        <f ca="1">IF(Iterations[[#This Row],[Step]] =current_step, current_Grad_d,IF(Iterations[[#This Row],[Step]] &gt; current_step, "",Iterations[[#This Row],[Grad_d]]))</f>
        <v>3.0293748674664341E-2</v>
      </c>
      <c r="R80" s="2">
        <f ca="1">IF(Iterations[[#This Row],[Step]] =current_step, current_Grad_e,IF(Iterations[[#This Row],[Step]] &gt; current_step, "",Iterations[[#This Row],[Grad_e]]))</f>
        <v>0.478110465460717</v>
      </c>
    </row>
    <row r="81" spans="6:18" x14ac:dyDescent="0.3">
      <c r="F81" s="2">
        <f t="shared" si="3"/>
        <v>64</v>
      </c>
      <c r="G81" s="2">
        <f ca="1">IF(Iterations[[#This Row],[Step]] =current_step, current_a,IF(Iterations[[#This Row],[Step]] &gt; current_step, "",Iterations[[#This Row],[a]]))</f>
        <v>-0.6490452960478702</v>
      </c>
      <c r="H81" s="2">
        <f ca="1">IF(Iterations[[#This Row],[Step]] =current_step, current_b,IF(Iterations[[#This Row],[Step]] &gt; current_step, "",Iterations[[#This Row],[b]]))</f>
        <v>1.2765811063484285</v>
      </c>
      <c r="I81" s="2">
        <f ca="1">IF(Iterations[[#This Row],[Step]] =current_step, current_c,IF(Iterations[[#This Row],[Step]] &gt; current_step, "",Iterations[[#This Row],[c]]))</f>
        <v>2.6912720650549495</v>
      </c>
      <c r="J81" s="2">
        <f ca="1">IF(Iterations[[#This Row],[Step]] =current_step, current_d,IF(Iterations[[#This Row],[Step]] &gt; current_step, "",Iterations[[#This Row],[d]]))</f>
        <v>0.63831834055170222</v>
      </c>
      <c r="K81" s="2">
        <f ca="1">IF(Iterations[[#This Row],[Step]] =current_step, current_e,IF(Iterations[[#This Row],[Step]] &gt; current_step, "",Iterations[[#This Row],[e]]))</f>
        <v>17.795573206389765</v>
      </c>
      <c r="L81" s="2">
        <f ca="1">IF(Iterations[[#This Row],[Step]] =current_step, current_Total_Loss,IF(Iterations[[#This Row],[Step]] &gt; current_step, "",Iterations[[#This Row],[Total Loss]]))</f>
        <v>470.43</v>
      </c>
      <c r="M81" s="6" t="s">
        <v>27</v>
      </c>
      <c r="N81" s="2">
        <f ca="1">IF(Iterations[[#This Row],[Step]] =current_step, current_Grad_a,IF(Iterations[[#This Row],[Step]] &gt; current_step, "",Iterations[[#This Row],[Grad_a]]))</f>
        <v>0.69046720230077219</v>
      </c>
      <c r="O81" s="2">
        <f ca="1">IF(Iterations[[#This Row],[Step]] =current_step, current_Grad_b,IF(Iterations[[#This Row],[Step]] &gt; current_step, "",Iterations[[#This Row],[Grad_b]]))</f>
        <v>6.2884287747887332E-2</v>
      </c>
      <c r="P81" s="2">
        <f ca="1">IF(Iterations[[#This Row],[Step]] =current_step, current_Grad_c,IF(Iterations[[#This Row],[Step]] &gt; current_step, "",Iterations[[#This Row],[Grad_c]]))</f>
        <v>-1.844736652827615</v>
      </c>
      <c r="Q81" s="2">
        <f ca="1">IF(Iterations[[#This Row],[Step]] =current_step, current_Grad_d,IF(Iterations[[#This Row],[Step]] &gt; current_step, "",Iterations[[#This Row],[Grad_d]]))</f>
        <v>2.8630127230544328E-2</v>
      </c>
      <c r="R81" s="2">
        <f ca="1">IF(Iterations[[#This Row],[Step]] =current_step, current_Grad_e,IF(Iterations[[#This Row],[Step]] &gt; current_step, "",Iterations[[#This Row],[Grad_e]]))</f>
        <v>0.48610932895940528</v>
      </c>
    </row>
    <row r="82" spans="6:18" x14ac:dyDescent="0.3">
      <c r="F82" s="2">
        <f t="shared" si="3"/>
        <v>65</v>
      </c>
      <c r="G82" s="2">
        <f ca="1">IF(Iterations[[#This Row],[Step]] =current_step, current_a,IF(Iterations[[#This Row],[Step]] &gt; current_step, "",Iterations[[#This Row],[a]]))</f>
        <v>-0.68356865616290885</v>
      </c>
      <c r="H82" s="2">
        <f ca="1">IF(Iterations[[#This Row],[Step]] =current_step, current_b,IF(Iterations[[#This Row],[Step]] &gt; current_step, "",Iterations[[#This Row],[b]]))</f>
        <v>1.2734368919610342</v>
      </c>
      <c r="I82" s="2">
        <f ca="1">IF(Iterations[[#This Row],[Step]] =current_step, current_c,IF(Iterations[[#This Row],[Step]] &gt; current_step, "",Iterations[[#This Row],[c]]))</f>
        <v>2.7835088976963305</v>
      </c>
      <c r="J82" s="2">
        <f ca="1">IF(Iterations[[#This Row],[Step]] =current_step, current_d,IF(Iterations[[#This Row],[Step]] &gt; current_step, "",Iterations[[#This Row],[d]]))</f>
        <v>0.636886834190175</v>
      </c>
      <c r="K82" s="2">
        <f ca="1">IF(Iterations[[#This Row],[Step]] =current_step, current_e,IF(Iterations[[#This Row],[Step]] &gt; current_step, "",Iterations[[#This Row],[e]]))</f>
        <v>17.771267739941795</v>
      </c>
      <c r="L82" s="2">
        <f ca="1">IF(Iterations[[#This Row],[Step]] =current_step, current_Total_Loss,IF(Iterations[[#This Row],[Step]] &gt; current_step, "",Iterations[[#This Row],[Total Loss]]))</f>
        <v>466.73</v>
      </c>
      <c r="M82" s="6" t="s">
        <v>27</v>
      </c>
      <c r="N82" s="2">
        <f ca="1">IF(Iterations[[#This Row],[Step]] =current_step, current_Grad_a,IF(Iterations[[#This Row],[Step]] &gt; current_step, "",Iterations[[#This Row],[Grad_a]]))</f>
        <v>0.68406353083407767</v>
      </c>
      <c r="O82" s="2">
        <f ca="1">IF(Iterations[[#This Row],[Step]] =current_step, current_Grad_b,IF(Iterations[[#This Row],[Step]] &gt; current_step, "",Iterations[[#This Row],[Grad_b]]))</f>
        <v>6.2485164071118739E-2</v>
      </c>
      <c r="P82" s="2">
        <f ca="1">IF(Iterations[[#This Row],[Step]] =current_step, current_Grad_c,IF(Iterations[[#This Row],[Step]] &gt; current_step, "",Iterations[[#This Row],[Grad_c]]))</f>
        <v>-1.8333993650268741</v>
      </c>
      <c r="Q82" s="2">
        <f ca="1">IF(Iterations[[#This Row],[Step]] =current_step, current_Grad_d,IF(Iterations[[#This Row],[Step]] &gt; current_step, "",Iterations[[#This Row],[Grad_d]]))</f>
        <v>2.7019803135600914E-2</v>
      </c>
      <c r="R82" s="2">
        <f ca="1">IF(Iterations[[#This Row],[Step]] =current_step, current_Grad_e,IF(Iterations[[#This Row],[Step]] &gt; current_step, "",Iterations[[#This Row],[Grad_e]]))</f>
        <v>0.493392656350087</v>
      </c>
    </row>
    <row r="83" spans="6:18" x14ac:dyDescent="0.3">
      <c r="F83" s="2">
        <f t="shared" si="3"/>
        <v>66</v>
      </c>
      <c r="G83" s="2">
        <f ca="1">IF(Iterations[[#This Row],[Step]] =current_step, current_a,IF(Iterations[[#This Row],[Step]] &gt; current_step, "",Iterations[[#This Row],[a]]))</f>
        <v>-0.71777183270461276</v>
      </c>
      <c r="H83" s="2">
        <f ca="1">IF(Iterations[[#This Row],[Step]] =current_step, current_b,IF(Iterations[[#This Row],[Step]] &gt; current_step, "",Iterations[[#This Row],[b]]))</f>
        <v>1.2703126337574782</v>
      </c>
      <c r="I83" s="2">
        <f ca="1">IF(Iterations[[#This Row],[Step]] =current_step, current_c,IF(Iterations[[#This Row],[Step]] &gt; current_step, "",Iterations[[#This Row],[c]]))</f>
        <v>2.875178865947674</v>
      </c>
      <c r="J83" s="2">
        <f ca="1">IF(Iterations[[#This Row],[Step]] =current_step, current_d,IF(Iterations[[#This Row],[Step]] &gt; current_step, "",Iterations[[#This Row],[d]]))</f>
        <v>0.63553584403339491</v>
      </c>
      <c r="K83" s="2">
        <f ca="1">IF(Iterations[[#This Row],[Step]] =current_step, current_e,IF(Iterations[[#This Row],[Step]] &gt; current_step, "",Iterations[[#This Row],[e]]))</f>
        <v>17.746598107124292</v>
      </c>
      <c r="L83" s="2">
        <f ca="1">IF(Iterations[[#This Row],[Step]] =current_step, current_Total_Loss,IF(Iterations[[#This Row],[Step]] &gt; current_step, "",Iterations[[#This Row],[Total Loss]]))</f>
        <v>463.07</v>
      </c>
      <c r="M83" s="6" t="s">
        <v>27</v>
      </c>
      <c r="N83" s="2">
        <f ca="1">IF(Iterations[[#This Row],[Step]] =current_step, current_Grad_a,IF(Iterations[[#This Row],[Step]] &gt; current_step, "",Iterations[[#This Row],[Grad_a]]))</f>
        <v>0.67789121080578829</v>
      </c>
      <c r="O83" s="2">
        <f ca="1">IF(Iterations[[#This Row],[Step]] =current_step, current_Grad_b,IF(Iterations[[#This Row],[Step]] &gt; current_step, "",Iterations[[#This Row],[Grad_b]]))</f>
        <v>6.2115917494562467E-2</v>
      </c>
      <c r="P83" s="2">
        <f ca="1">IF(Iterations[[#This Row],[Step]] =current_step, current_Grad_c,IF(Iterations[[#This Row],[Step]] &gt; current_step, "",Iterations[[#This Row],[Grad_c]]))</f>
        <v>-1.8222717227748007</v>
      </c>
      <c r="Q83" s="2">
        <f ca="1">IF(Iterations[[#This Row],[Step]] =current_step, current_Grad_d,IF(Iterations[[#This Row],[Step]] &gt; current_step, "",Iterations[[#This Row],[Grad_d]]))</f>
        <v>2.5461236272272616E-2</v>
      </c>
      <c r="R83" s="2">
        <f ca="1">IF(Iterations[[#This Row],[Step]] =current_step, current_Grad_e,IF(Iterations[[#This Row],[Step]] &gt; current_step, "",Iterations[[#This Row],[Grad_e]]))</f>
        <v>0.50000843510324655</v>
      </c>
    </row>
    <row r="84" spans="6:18" x14ac:dyDescent="0.3">
      <c r="F84" s="2">
        <f t="shared" si="3"/>
        <v>67</v>
      </c>
      <c r="G84" s="2">
        <f ca="1">IF(Iterations[[#This Row],[Step]] =current_step, current_a,IF(Iterations[[#This Row],[Step]] &gt; current_step, "",Iterations[[#This Row],[a]]))</f>
        <v>-0.75166639324490214</v>
      </c>
      <c r="H84" s="2">
        <f ca="1">IF(Iterations[[#This Row],[Step]] =current_step, current_b,IF(Iterations[[#This Row],[Step]] &gt; current_step, "",Iterations[[#This Row],[b]]))</f>
        <v>1.2672068378827501</v>
      </c>
      <c r="I84" s="2">
        <f ca="1">IF(Iterations[[#This Row],[Step]] =current_step, current_c,IF(Iterations[[#This Row],[Step]] &gt; current_step, "",Iterations[[#This Row],[c]]))</f>
        <v>2.9662924520864142</v>
      </c>
      <c r="J84" s="2">
        <f ca="1">IF(Iterations[[#This Row],[Step]] =current_step, current_d,IF(Iterations[[#This Row],[Step]] &gt; current_step, "",Iterations[[#This Row],[d]]))</f>
        <v>0.63426278221978127</v>
      </c>
      <c r="K84" s="2">
        <f ca="1">IF(Iterations[[#This Row],[Step]] =current_step, current_e,IF(Iterations[[#This Row],[Step]] &gt; current_step, "",Iterations[[#This Row],[e]]))</f>
        <v>17.721597685369129</v>
      </c>
      <c r="L84" s="2">
        <f ca="1">IF(Iterations[[#This Row],[Step]] =current_step, current_Total_Loss,IF(Iterations[[#This Row],[Step]] &gt; current_step, "",Iterations[[#This Row],[Total Loss]]))</f>
        <v>459.45</v>
      </c>
      <c r="M84" s="6" t="s">
        <v>27</v>
      </c>
      <c r="N84" s="2">
        <f ca="1">IF(Iterations[[#This Row],[Step]] =current_step, current_Grad_a,IF(Iterations[[#This Row],[Step]] &gt; current_step, "",Iterations[[#This Row],[Grad_a]]))</f>
        <v>0.67193623744136799</v>
      </c>
      <c r="O84" s="2">
        <f ca="1">IF(Iterations[[#This Row],[Step]] =current_step, current_Grad_b,IF(Iterations[[#This Row],[Step]] &gt; current_step, "",Iterations[[#This Row],[Grad_b]]))</f>
        <v>6.1775399211454224E-2</v>
      </c>
      <c r="P84" s="2">
        <f ca="1">IF(Iterations[[#This Row],[Step]] =current_step, current_Grad_c,IF(Iterations[[#This Row],[Step]] &gt; current_step, "",Iterations[[#This Row],[Grad_c]]))</f>
        <v>-1.8113424705575671</v>
      </c>
      <c r="Q84" s="2">
        <f ca="1">IF(Iterations[[#This Row],[Step]] =current_step, current_Grad_d,IF(Iterations[[#This Row],[Step]] &gt; current_step, "",Iterations[[#This Row],[Grad_d]]))</f>
        <v>2.3952494071245962E-2</v>
      </c>
      <c r="R84" s="2">
        <f ca="1">IF(Iterations[[#This Row],[Step]] =current_step, current_Grad_e,IF(Iterations[[#This Row],[Step]] &gt; current_step, "",Iterations[[#This Row],[Grad_e]]))</f>
        <v>0.5060013985953502</v>
      </c>
    </row>
    <row r="85" spans="6:18" x14ac:dyDescent="0.3">
      <c r="F85" s="2">
        <f t="shared" si="3"/>
        <v>68</v>
      </c>
      <c r="G85" s="2">
        <f ca="1">IF(Iterations[[#This Row],[Step]] =current_step, current_a,IF(Iterations[[#This Row],[Step]] &gt; current_step, "",Iterations[[#This Row],[a]]))</f>
        <v>-0.78526320511697056</v>
      </c>
      <c r="H85" s="2">
        <f ca="1">IF(Iterations[[#This Row],[Step]] =current_step, current_b,IF(Iterations[[#This Row],[Step]] &gt; current_step, "",Iterations[[#This Row],[b]]))</f>
        <v>1.2641180679221775</v>
      </c>
      <c r="I85" s="2">
        <f ca="1">IF(Iterations[[#This Row],[Step]] =current_step, current_c,IF(Iterations[[#This Row],[Step]] &gt; current_step, "",Iterations[[#This Row],[c]]))</f>
        <v>3.0568595756142924</v>
      </c>
      <c r="J85" s="2">
        <f ca="1">IF(Iterations[[#This Row],[Step]] =current_step, current_d,IF(Iterations[[#This Row],[Step]] &gt; current_step, "",Iterations[[#This Row],[d]]))</f>
        <v>0.63306515751621895</v>
      </c>
      <c r="K85" s="2">
        <f ca="1">IF(Iterations[[#This Row],[Step]] =current_step, current_e,IF(Iterations[[#This Row],[Step]] &gt; current_step, "",Iterations[[#This Row],[e]]))</f>
        <v>17.696297615439363</v>
      </c>
      <c r="L85" s="2">
        <f ca="1">IF(Iterations[[#This Row],[Step]] =current_step, current_Total_Loss,IF(Iterations[[#This Row],[Step]] &gt; current_step, "",Iterations[[#This Row],[Total Loss]]))</f>
        <v>455.87</v>
      </c>
      <c r="M85" s="6" t="s">
        <v>27</v>
      </c>
      <c r="N85" s="2">
        <f ca="1">IF(Iterations[[#This Row],[Step]] =current_step, current_Grad_a,IF(Iterations[[#This Row],[Step]] &gt; current_step, "",Iterations[[#This Row],[Grad_a]]))</f>
        <v>0.66618541191911496</v>
      </c>
      <c r="O85" s="2">
        <f ca="1">IF(Iterations[[#This Row],[Step]] =current_step, current_Grad_b,IF(Iterations[[#This Row],[Step]] &gt; current_step, "",Iterations[[#This Row],[Grad_b]]))</f>
        <v>6.146200754001975E-2</v>
      </c>
      <c r="P85" s="2">
        <f ca="1">IF(Iterations[[#This Row],[Step]] =current_step, current_Grad_c,IF(Iterations[[#This Row],[Step]] &gt; current_step, "",Iterations[[#This Row],[Grad_c]]))</f>
        <v>-1.8006011529594288</v>
      </c>
      <c r="Q85" s="2">
        <f ca="1">IF(Iterations[[#This Row],[Step]] =current_step, current_Grad_d,IF(Iterations[[#This Row],[Step]] &gt; current_step, "",Iterations[[#This Row],[Grad_d]]))</f>
        <v>2.2491501656933959E-2</v>
      </c>
      <c r="R85" s="2">
        <f ca="1">IF(Iterations[[#This Row],[Step]] =current_step, current_Grad_e,IF(Iterations[[#This Row],[Step]] &gt; current_step, "",Iterations[[#This Row],[Grad_e]]))</f>
        <v>0.51141329068216534</v>
      </c>
    </row>
    <row r="86" spans="6:18" x14ac:dyDescent="0.3">
      <c r="F86" s="2">
        <f t="shared" si="3"/>
        <v>69</v>
      </c>
      <c r="G86" s="2">
        <f ca="1">IF(Iterations[[#This Row],[Step]] =current_step, current_a,IF(Iterations[[#This Row],[Step]] &gt; current_step, "",Iterations[[#This Row],[a]]))</f>
        <v>-0.81857247571292635</v>
      </c>
      <c r="H86" s="2">
        <f ca="1">IF(Iterations[[#This Row],[Step]] =current_step, current_b,IF(Iterations[[#This Row],[Step]] &gt; current_step, "",Iterations[[#This Row],[b]]))</f>
        <v>1.2610449675451765</v>
      </c>
      <c r="I86" s="2">
        <f ca="1">IF(Iterations[[#This Row],[Step]] =current_step, current_c,IF(Iterations[[#This Row],[Step]] &gt; current_step, "",Iterations[[#This Row],[c]]))</f>
        <v>3.1468896332622638</v>
      </c>
      <c r="J86" s="2">
        <f ca="1">IF(Iterations[[#This Row],[Step]] =current_step, current_d,IF(Iterations[[#This Row],[Step]] &gt; current_step, "",Iterations[[#This Row],[d]]))</f>
        <v>0.63194058243337226</v>
      </c>
      <c r="K86" s="2">
        <f ca="1">IF(Iterations[[#This Row],[Step]] =current_step, current_e,IF(Iterations[[#This Row],[Step]] &gt; current_step, "",Iterations[[#This Row],[e]]))</f>
        <v>17.670726950905255</v>
      </c>
      <c r="L86" s="2">
        <f ca="1">IF(Iterations[[#This Row],[Step]] =current_step, current_Total_Loss,IF(Iterations[[#This Row],[Step]] &gt; current_step, "",Iterations[[#This Row],[Total Loss]]))</f>
        <v>452.32</v>
      </c>
      <c r="M86" s="6" t="s">
        <v>27</v>
      </c>
      <c r="N86" s="2">
        <f ca="1">IF(Iterations[[#This Row],[Step]] =current_step, current_Grad_a,IF(Iterations[[#This Row],[Step]] &gt; current_step, "",Iterations[[#This Row],[Grad_a]]))</f>
        <v>0.66062633802359327</v>
      </c>
      <c r="O86" s="2">
        <f ca="1">IF(Iterations[[#This Row],[Step]] =current_step, current_Grad_b,IF(Iterations[[#This Row],[Step]] &gt; current_step, "",Iterations[[#This Row],[Grad_b]]))</f>
        <v>6.1173966617289466E-2</v>
      </c>
      <c r="P86" s="2">
        <f ca="1">IF(Iterations[[#This Row],[Step]] =current_step, current_Grad_c,IF(Iterations[[#This Row],[Step]] &gt; current_step, "",Iterations[[#This Row],[Grad_c]]))</f>
        <v>-1.7900380263233364</v>
      </c>
      <c r="Q86" s="2">
        <f ca="1">IF(Iterations[[#This Row],[Step]] =current_step, current_Grad_d,IF(Iterations[[#This Row],[Step]] &gt; current_step, "",Iterations[[#This Row],[Grad_d]]))</f>
        <v>2.10761708847782E-2</v>
      </c>
      <c r="R86" s="2">
        <f ca="1">IF(Iterations[[#This Row],[Step]] =current_step, current_Grad_e,IF(Iterations[[#This Row],[Step]] &gt; current_step, "",Iterations[[#This Row],[Grad_e]]))</f>
        <v>0.51628308881321539</v>
      </c>
    </row>
    <row r="87" spans="6:18" x14ac:dyDescent="0.3">
      <c r="F87" s="2">
        <f t="shared" si="3"/>
        <v>70</v>
      </c>
      <c r="G87" s="2">
        <f ca="1">IF(Iterations[[#This Row],[Step]] =current_step, current_a,IF(Iterations[[#This Row],[Step]] &gt; current_step, "",Iterations[[#This Row],[a]]))</f>
        <v>-0.85160379261410601</v>
      </c>
      <c r="H87" s="2">
        <f ca="1">IF(Iterations[[#This Row],[Step]] =current_step, current_b,IF(Iterations[[#This Row],[Step]] &gt; current_step, "",Iterations[[#This Row],[b]]))</f>
        <v>1.257986269214312</v>
      </c>
      <c r="I87" s="2">
        <f ca="1">IF(Iterations[[#This Row],[Step]] =current_step, current_c,IF(Iterations[[#This Row],[Step]] &gt; current_step, "",Iterations[[#This Row],[c]]))</f>
        <v>3.2363915345784307</v>
      </c>
      <c r="J87" s="2">
        <f ca="1">IF(Iterations[[#This Row],[Step]] =current_step, current_d,IF(Iterations[[#This Row],[Step]] &gt; current_step, "",Iterations[[#This Row],[d]]))</f>
        <v>0.63088677388913339</v>
      </c>
      <c r="K87" s="2">
        <f ca="1">IF(Iterations[[#This Row],[Step]] =current_step, current_e,IF(Iterations[[#This Row],[Step]] &gt; current_step, "",Iterations[[#This Row],[e]]))</f>
        <v>17.644912796464595</v>
      </c>
      <c r="L87" s="2">
        <f ca="1">IF(Iterations[[#This Row],[Step]] =current_step, current_Total_Loss,IF(Iterations[[#This Row],[Step]] &gt; current_step, "",Iterations[[#This Row],[Total Loss]]))</f>
        <v>448.81</v>
      </c>
      <c r="M87" s="6" t="s">
        <v>27</v>
      </c>
      <c r="N87" s="2">
        <f ca="1">IF(Iterations[[#This Row],[Step]] =current_step, current_Grad_a,IF(Iterations[[#This Row],[Step]] &gt; current_step, "",Iterations[[#This Row],[Grad_a]]))</f>
        <v>0.65524739597633663</v>
      </c>
      <c r="O87" s="2">
        <f ca="1">IF(Iterations[[#This Row],[Step]] =current_step, current_Grad_b,IF(Iterations[[#This Row],[Step]] &gt; current_step, "",Iterations[[#This Row],[Grad_b]]))</f>
        <v>6.0909470520418632E-2</v>
      </c>
      <c r="P87" s="2">
        <f ca="1">IF(Iterations[[#This Row],[Step]] =current_step, current_Grad_c,IF(Iterations[[#This Row],[Step]] &gt; current_step, "",Iterations[[#This Row],[Grad_c]]))</f>
        <v>-1.7796439930392687</v>
      </c>
      <c r="Q87" s="2">
        <f ca="1">IF(Iterations[[#This Row],[Step]] =current_step, current_Grad_d,IF(Iterations[[#This Row],[Step]] &gt; current_step, "",Iterations[[#This Row],[Grad_d]]))</f>
        <v>1.9704465104535371E-2</v>
      </c>
      <c r="R87" s="2">
        <f ca="1">IF(Iterations[[#This Row],[Step]] =current_step, current_Grad_e,IF(Iterations[[#This Row],[Step]] &gt; current_step, "",Iterations[[#This Row],[Grad_e]]))</f>
        <v>0.52064719967881834</v>
      </c>
    </row>
    <row r="88" spans="6:18" x14ac:dyDescent="0.3">
      <c r="F88" s="2">
        <f t="shared" si="3"/>
        <v>71</v>
      </c>
      <c r="G88" s="2">
        <f ca="1">IF(Iterations[[#This Row],[Step]] =current_step, current_a,IF(Iterations[[#This Row],[Step]] &gt; current_step, "",Iterations[[#This Row],[a]]))</f>
        <v>-0.88436616241292287</v>
      </c>
      <c r="H88" s="2">
        <f ca="1">IF(Iterations[[#This Row],[Step]] =current_step, current_b,IF(Iterations[[#This Row],[Step]] &gt; current_step, "",Iterations[[#This Row],[b]]))</f>
        <v>1.254940795688291</v>
      </c>
      <c r="I88" s="2">
        <f ca="1">IF(Iterations[[#This Row],[Step]] =current_step, current_c,IF(Iterations[[#This Row],[Step]] &gt; current_step, "",Iterations[[#This Row],[c]]))</f>
        <v>3.3253737342303942</v>
      </c>
      <c r="J88" s="2">
        <f ca="1">IF(Iterations[[#This Row],[Step]] =current_step, current_d,IF(Iterations[[#This Row],[Step]] &gt; current_step, "",Iterations[[#This Row],[d]]))</f>
        <v>0.62990155063390663</v>
      </c>
      <c r="K88" s="2">
        <f ca="1">IF(Iterations[[#This Row],[Step]] =current_step, current_e,IF(Iterations[[#This Row],[Step]] &gt; current_step, "",Iterations[[#This Row],[e]]))</f>
        <v>17.618880436480655</v>
      </c>
      <c r="L88" s="2">
        <f ca="1">IF(Iterations[[#This Row],[Step]] =current_step, current_Total_Loss,IF(Iterations[[#This Row],[Step]] &gt; current_step, "",Iterations[[#This Row],[Total Loss]]))</f>
        <v>445.33</v>
      </c>
      <c r="M88" s="6" t="s">
        <v>27</v>
      </c>
      <c r="N88" s="2">
        <f ca="1">IF(Iterations[[#This Row],[Step]] =current_step, current_Grad_a,IF(Iterations[[#This Row],[Step]] &gt; current_step, "",Iterations[[#This Row],[Grad_a]]))</f>
        <v>0.65003770569607588</v>
      </c>
      <c r="O88" s="2">
        <f ca="1">IF(Iterations[[#This Row],[Step]] =current_step, current_Grad_b,IF(Iterations[[#This Row],[Step]] &gt; current_step, "",Iterations[[#This Row],[Grad_b]]))</f>
        <v>6.0666755947101886E-2</v>
      </c>
      <c r="P88" s="2">
        <f ca="1">IF(Iterations[[#This Row],[Step]] =current_step, current_Grad_c,IF(Iterations[[#This Row],[Step]] &gt; current_step, "",Iterations[[#This Row],[Grad_c]]))</f>
        <v>-1.7694105491115999</v>
      </c>
      <c r="Q88" s="2">
        <f ca="1">IF(Iterations[[#This Row],[Step]] =current_step, current_Grad_d,IF(Iterations[[#This Row],[Step]] &gt; current_step, "",Iterations[[#This Row],[Grad_d]]))</f>
        <v>1.8374429925355429E-2</v>
      </c>
      <c r="R88" s="2">
        <f ca="1">IF(Iterations[[#This Row],[Step]] =current_step, current_Grad_e,IF(Iterations[[#This Row],[Step]] &gt; current_step, "",Iterations[[#This Row],[Grad_e]]))</f>
        <v>0.52453963519856428</v>
      </c>
    </row>
    <row r="89" spans="6:18" x14ac:dyDescent="0.3">
      <c r="F89" s="2">
        <f t="shared" si="3"/>
        <v>72</v>
      </c>
      <c r="G89" s="2">
        <f ca="1">IF(Iterations[[#This Row],[Step]] =current_step, current_a,IF(Iterations[[#This Row],[Step]] &gt; current_step, "",Iterations[[#This Row],[a]]))</f>
        <v>-0.91686804769772667</v>
      </c>
      <c r="H89" s="2">
        <f ca="1">IF(Iterations[[#This Row],[Step]] =current_step, current_b,IF(Iterations[[#This Row],[Step]] &gt; current_step, "",Iterations[[#This Row],[b]]))</f>
        <v>1.2519074578909359</v>
      </c>
      <c r="I89" s="2">
        <f ca="1">IF(Iterations[[#This Row],[Step]] =current_step, current_c,IF(Iterations[[#This Row],[Step]] &gt; current_step, "",Iterations[[#This Row],[c]]))</f>
        <v>3.4138442616859743</v>
      </c>
      <c r="J89" s="2">
        <f ca="1">IF(Iterations[[#This Row],[Step]] =current_step, current_d,IF(Iterations[[#This Row],[Step]] &gt; current_step, "",Iterations[[#This Row],[d]]))</f>
        <v>0.62898282913763881</v>
      </c>
      <c r="K89" s="2">
        <f ca="1">IF(Iterations[[#This Row],[Step]] =current_step, current_e,IF(Iterations[[#This Row],[Step]] &gt; current_step, "",Iterations[[#This Row],[e]]))</f>
        <v>17.592653454720725</v>
      </c>
      <c r="L89" s="2">
        <f ca="1">IF(Iterations[[#This Row],[Step]] =current_step, current_Total_Loss,IF(Iterations[[#This Row],[Step]] &gt; current_step, "",Iterations[[#This Row],[Total Loss]]))</f>
        <v>441.89</v>
      </c>
      <c r="M89" s="6" t="s">
        <v>27</v>
      </c>
      <c r="N89" s="2">
        <f ca="1">IF(Iterations[[#This Row],[Step]] =current_step, current_Grad_a,IF(Iterations[[#This Row],[Step]] &gt; current_step, "",Iterations[[#This Row],[Grad_a]]))</f>
        <v>0.64498708591521015</v>
      </c>
      <c r="O89" s="2">
        <f ca="1">IF(Iterations[[#This Row],[Step]] =current_step, current_Grad_b,IF(Iterations[[#This Row],[Step]] &gt; current_step, "",Iterations[[#This Row],[Grad_b]]))</f>
        <v>6.0444137087226499E-2</v>
      </c>
      <c r="P89" s="2">
        <f ca="1">IF(Iterations[[#This Row],[Step]] =current_step, current_Grad_c,IF(Iterations[[#This Row],[Step]] &gt; current_step, "",Iterations[[#This Row],[Grad_c]]))</f>
        <v>-1.7593297399427152</v>
      </c>
      <c r="Q89" s="2">
        <f ca="1">IF(Iterations[[#This Row],[Step]] =current_step, current_Grad_d,IF(Iterations[[#This Row],[Step]] &gt; current_step, "",Iterations[[#This Row],[Grad_d]]))</f>
        <v>1.7084206103544258E-2</v>
      </c>
      <c r="R89" s="2">
        <f ca="1">IF(Iterations[[#This Row],[Step]] =current_step, current_Grad_e,IF(Iterations[[#This Row],[Step]] &gt; current_step, "",Iterations[[#This Row],[Grad_e]]))</f>
        <v>0.52799217334181336</v>
      </c>
    </row>
    <row r="90" spans="6:18" x14ac:dyDescent="0.3">
      <c r="F90" s="2">
        <f t="shared" si="3"/>
        <v>73</v>
      </c>
      <c r="G90" s="2">
        <f ca="1">IF(Iterations[[#This Row],[Step]] =current_step, current_a,IF(Iterations[[#This Row],[Step]] &gt; current_step, "",Iterations[[#This Row],[a]]))</f>
        <v>-0.94911740199348715</v>
      </c>
      <c r="H90" s="2">
        <f ca="1">IF(Iterations[[#This Row],[Step]] =current_step, current_b,IF(Iterations[[#This Row],[Step]] &gt; current_step, "",Iterations[[#This Row],[b]]))</f>
        <v>1.2488852510365747</v>
      </c>
      <c r="I90" s="2">
        <f ca="1">IF(Iterations[[#This Row],[Step]] =current_step, current_c,IF(Iterations[[#This Row],[Step]] &gt; current_step, "",Iterations[[#This Row],[c]]))</f>
        <v>3.50181074868311</v>
      </c>
      <c r="J90" s="2">
        <f ca="1">IF(Iterations[[#This Row],[Step]] =current_step, current_d,IF(Iterations[[#This Row],[Step]] &gt; current_step, "",Iterations[[#This Row],[d]]))</f>
        <v>0.62812861883246163</v>
      </c>
      <c r="K90" s="2">
        <f ca="1">IF(Iterations[[#This Row],[Step]] =current_step, current_e,IF(Iterations[[#This Row],[Step]] &gt; current_step, "",Iterations[[#This Row],[e]]))</f>
        <v>17.566253846053634</v>
      </c>
      <c r="L90" s="2">
        <f ca="1">IF(Iterations[[#This Row],[Step]] =current_step, current_Total_Loss,IF(Iterations[[#This Row],[Step]] &gt; current_step, "",Iterations[[#This Row],[Total Loss]]))</f>
        <v>438.49</v>
      </c>
      <c r="M90" s="6" t="s">
        <v>27</v>
      </c>
      <c r="N90" s="2">
        <f ca="1">IF(Iterations[[#This Row],[Step]] =current_step, current_Grad_a,IF(Iterations[[#This Row],[Step]] &gt; current_step, "",Iterations[[#This Row],[Grad_a]]))</f>
        <v>0.64008601248038088</v>
      </c>
      <c r="O90" s="2">
        <f ca="1">IF(Iterations[[#This Row],[Step]] =current_step, current_Grad_b,IF(Iterations[[#This Row],[Step]] &gt; current_step, "",Iterations[[#This Row],[Grad_b]]))</f>
        <v>6.0240020594818589E-2</v>
      </c>
      <c r="P90" s="2">
        <f ca="1">IF(Iterations[[#This Row],[Step]] =current_step, current_Grad_c,IF(Iterations[[#This Row],[Step]] &gt; current_step, "",Iterations[[#This Row],[Grad_c]]))</f>
        <v>-1.7493941215599036</v>
      </c>
      <c r="Q90" s="2">
        <f ca="1">IF(Iterations[[#This Row],[Step]] =current_step, current_Grad_d,IF(Iterations[[#This Row],[Step]] &gt; current_step, "",Iterations[[#This Row],[Grad_d]]))</f>
        <v>1.583203312983085E-2</v>
      </c>
      <c r="R90" s="2">
        <f ca="1">IF(Iterations[[#This Row],[Step]] =current_step, current_Grad_e,IF(Iterations[[#This Row],[Step]] &gt; current_step, "",Iterations[[#This Row],[Grad_e]]))</f>
        <v>0.53103450648046369</v>
      </c>
    </row>
    <row r="91" spans="6:18" x14ac:dyDescent="0.3">
      <c r="F91" s="2">
        <f t="shared" si="3"/>
        <v>74</v>
      </c>
      <c r="G91" s="2">
        <f ca="1">IF(Iterations[[#This Row],[Step]] =current_step, current_a,IF(Iterations[[#This Row],[Step]] &gt; current_step, "",Iterations[[#This Row],[a]]))</f>
        <v>-0.9811217026175062</v>
      </c>
      <c r="H91" s="2">
        <f ca="1">IF(Iterations[[#This Row],[Step]] =current_step, current_b,IF(Iterations[[#This Row],[Step]] &gt; current_step, "",Iterations[[#This Row],[b]]))</f>
        <v>1.2458732500068337</v>
      </c>
      <c r="I91" s="2">
        <f ca="1">IF(Iterations[[#This Row],[Step]] =current_step, current_c,IF(Iterations[[#This Row],[Step]] &gt; current_step, "",Iterations[[#This Row],[c]]))</f>
        <v>3.5892804547611052</v>
      </c>
      <c r="J91" s="2">
        <f ca="1">IF(Iterations[[#This Row],[Step]] =current_step, current_d,IF(Iterations[[#This Row],[Step]] &gt; current_step, "",Iterations[[#This Row],[d]]))</f>
        <v>0.62733701717597012</v>
      </c>
      <c r="K91" s="2">
        <f ca="1">IF(Iterations[[#This Row],[Step]] =current_step, current_e,IF(Iterations[[#This Row],[Step]] &gt; current_step, "",Iterations[[#This Row],[e]]))</f>
        <v>17.539702120729611</v>
      </c>
      <c r="L91" s="2">
        <f ca="1">IF(Iterations[[#This Row],[Step]] =current_step, current_Total_Loss,IF(Iterations[[#This Row],[Step]] &gt; current_step, "",Iterations[[#This Row],[Total Loss]]))</f>
        <v>435.11</v>
      </c>
      <c r="M91" s="6" t="s">
        <v>27</v>
      </c>
      <c r="N91" s="2">
        <f ca="1">IF(Iterations[[#This Row],[Step]] =current_step, current_Grad_a,IF(Iterations[[#This Row],[Step]] &gt; current_step, "",Iterations[[#This Row],[Grad_a]]))</f>
        <v>0.63532557752006291</v>
      </c>
      <c r="O91" s="2">
        <f ca="1">IF(Iterations[[#This Row],[Step]] =current_step, current_Grad_b,IF(Iterations[[#This Row],[Step]] &gt; current_step, "",Iterations[[#This Row],[Grad_b]]))</f>
        <v>6.0052910189821854E-2</v>
      </c>
      <c r="P91" s="2">
        <f ca="1">IF(Iterations[[#This Row],[Step]] =current_step, current_Grad_c,IF(Iterations[[#This Row],[Step]] &gt; current_step, "",Iterations[[#This Row],[Grad_c]]))</f>
        <v>-1.7395967257378373</v>
      </c>
      <c r="Q91" s="2">
        <f ca="1">IF(Iterations[[#This Row],[Step]] =current_step, current_Grad_d,IF(Iterations[[#This Row],[Step]] &gt; current_step, "",Iterations[[#This Row],[Grad_d]]))</f>
        <v>1.4616248072952191E-2</v>
      </c>
      <c r="R91" s="2">
        <f ca="1">IF(Iterations[[#This Row],[Step]] =current_step, current_Grad_e,IF(Iterations[[#This Row],[Step]] &gt; current_step, "",Iterations[[#This Row],[Grad_e]]))</f>
        <v>0.53369437899990446</v>
      </c>
    </row>
    <row r="92" spans="6:18" x14ac:dyDescent="0.3">
      <c r="F92" s="2">
        <f t="shared" si="3"/>
        <v>75</v>
      </c>
      <c r="G92" s="2">
        <f ca="1">IF(Iterations[[#This Row],[Step]] =current_step, current_a,IF(Iterations[[#This Row],[Step]] &gt; current_step, "",Iterations[[#This Row],[a]]))</f>
        <v>-1.0128879814935094</v>
      </c>
      <c r="H92" s="2">
        <f ca="1">IF(Iterations[[#This Row],[Step]] =current_step, current_b,IF(Iterations[[#This Row],[Step]] &gt; current_step, "",Iterations[[#This Row],[b]]))</f>
        <v>1.2428706044973425</v>
      </c>
      <c r="I92" s="2">
        <f ca="1">IF(Iterations[[#This Row],[Step]] =current_step, current_c,IF(Iterations[[#This Row],[Step]] &gt; current_step, "",Iterations[[#This Row],[c]]))</f>
        <v>3.6762602910479973</v>
      </c>
      <c r="J92" s="2">
        <f ca="1">IF(Iterations[[#This Row],[Step]] =current_step, current_d,IF(Iterations[[#This Row],[Step]] &gt; current_step, "",Iterations[[#This Row],[d]]))</f>
        <v>0.62660620477232254</v>
      </c>
      <c r="K92" s="2">
        <f ca="1">IF(Iterations[[#This Row],[Step]] =current_step, current_e,IF(Iterations[[#This Row],[Step]] &gt; current_step, "",Iterations[[#This Row],[e]]))</f>
        <v>17.513017401779617</v>
      </c>
      <c r="L92" s="2">
        <f ca="1">IF(Iterations[[#This Row],[Step]] =current_step, current_Total_Loss,IF(Iterations[[#This Row],[Step]] &gt; current_step, "",Iterations[[#This Row],[Total Loss]]))</f>
        <v>431.78</v>
      </c>
      <c r="M92" s="6" t="s">
        <v>27</v>
      </c>
      <c r="N92" s="2">
        <f ca="1">IF(Iterations[[#This Row],[Step]] =current_step, current_Grad_a,IF(Iterations[[#This Row],[Step]] &gt; current_step, "",Iterations[[#This Row],[Grad_a]]))</f>
        <v>0.63069745029117208</v>
      </c>
      <c r="O92" s="2">
        <f ca="1">IF(Iterations[[#This Row],[Step]] =current_step, current_Grad_b,IF(Iterations[[#This Row],[Step]] &gt; current_step, "",Iterations[[#This Row],[Grad_b]]))</f>
        <v>5.9881405953607865E-2</v>
      </c>
      <c r="P92" s="2">
        <f ca="1">IF(Iterations[[#This Row],[Step]] =current_step, current_Grad_c,IF(Iterations[[#This Row],[Step]] &gt; current_step, "",Iterations[[#This Row],[Grad_c]]))</f>
        <v>-1.7299310281266098</v>
      </c>
      <c r="Q92" s="2">
        <f ca="1">IF(Iterations[[#This Row],[Step]] =current_step, current_Grad_d,IF(Iterations[[#This Row],[Step]] &gt; current_step, "",Iterations[[#This Row],[Grad_d]]))</f>
        <v>1.3435282094447665E-2</v>
      </c>
      <c r="R92" s="2">
        <f ca="1">IF(Iterations[[#This Row],[Step]] =current_step, current_Grad_e,IF(Iterations[[#This Row],[Step]] &gt; current_step, "",Iterations[[#This Row],[Grad_e]]))</f>
        <v>0.53599771535610097</v>
      </c>
    </row>
    <row r="93" spans="6:18" x14ac:dyDescent="0.3">
      <c r="F93" s="2">
        <f t="shared" si="3"/>
        <v>76</v>
      </c>
      <c r="G93" s="2">
        <f ca="1">IF(Iterations[[#This Row],[Step]] =current_step, current_a,IF(Iterations[[#This Row],[Step]] &gt; current_step, "",Iterations[[#This Row],[a]]))</f>
        <v>-1.044422854008068</v>
      </c>
      <c r="H93" s="2">
        <f ca="1">IF(Iterations[[#This Row],[Step]] =current_step, current_b,IF(Iterations[[#This Row],[Step]] &gt; current_step, "",Iterations[[#This Row],[b]]))</f>
        <v>1.2398765341996623</v>
      </c>
      <c r="I93" s="2">
        <f ca="1">IF(Iterations[[#This Row],[Step]] =current_step, current_c,IF(Iterations[[#This Row],[Step]] &gt; current_step, "",Iterations[[#This Row],[c]]))</f>
        <v>3.7627568424543281</v>
      </c>
      <c r="J93" s="2">
        <f ca="1">IF(Iterations[[#This Row],[Step]] =current_step, current_d,IF(Iterations[[#This Row],[Step]] &gt; current_step, "",Iterations[[#This Row],[d]]))</f>
        <v>0.62593444066760018</v>
      </c>
      <c r="K93" s="2">
        <f ca="1">IF(Iterations[[#This Row],[Step]] =current_step, current_e,IF(Iterations[[#This Row],[Step]] &gt; current_step, "",Iterations[[#This Row],[e]]))</f>
        <v>17.486217516011813</v>
      </c>
      <c r="L93" s="2">
        <f ca="1">IF(Iterations[[#This Row],[Step]] =current_step, current_Total_Loss,IF(Iterations[[#This Row],[Step]] &gt; current_step, "",Iterations[[#This Row],[Total Loss]]))</f>
        <v>428.47</v>
      </c>
      <c r="M93" s="6" t="s">
        <v>27</v>
      </c>
      <c r="N93" s="2">
        <f ca="1">IF(Iterations[[#This Row],[Step]] =current_step, current_Grad_a,IF(Iterations[[#This Row],[Step]] &gt; current_step, "",Iterations[[#This Row],[Grad_a]]))</f>
        <v>0.62619384005763401</v>
      </c>
      <c r="O93" s="2">
        <f ca="1">IF(Iterations[[#This Row],[Step]] =current_step, current_Grad_b,IF(Iterations[[#This Row],[Step]] &gt; current_step, "",Iterations[[#This Row],[Grad_b]]))</f>
        <v>5.9724201003080263E-2</v>
      </c>
      <c r="P93" s="2">
        <f ca="1">IF(Iterations[[#This Row],[Step]] =current_step, current_Grad_c,IF(Iterations[[#This Row],[Step]] &gt; current_step, "",Iterations[[#This Row],[Grad_c]]))</f>
        <v>-1.7203909188502928</v>
      </c>
      <c r="Q93" s="2">
        <f ca="1">IF(Iterations[[#This Row],[Step]] =current_step, current_Grad_d,IF(Iterations[[#This Row],[Step]] &gt; current_step, "",Iterations[[#This Row],[Grad_d]]))</f>
        <v>1.2287655908868168E-2</v>
      </c>
      <c r="R93" s="2">
        <f ca="1">IF(Iterations[[#This Row],[Step]] =current_step, current_Grad_e,IF(Iterations[[#This Row],[Step]] &gt; current_step, "",Iterations[[#This Row],[Grad_e]]))</f>
        <v>0.53796873946227086</v>
      </c>
    </row>
    <row r="94" spans="6:18" x14ac:dyDescent="0.3">
      <c r="F94" s="2">
        <f t="shared" si="3"/>
        <v>77</v>
      </c>
      <c r="G94" s="2">
        <f ca="1">IF(Iterations[[#This Row],[Step]] =current_step, current_a,IF(Iterations[[#This Row],[Step]] &gt; current_step, "",Iterations[[#This Row],[a]]))</f>
        <v>-1.0757325460109497</v>
      </c>
      <c r="H94" s="2">
        <f ca="1">IF(Iterations[[#This Row],[Step]] =current_step, current_b,IF(Iterations[[#This Row],[Step]] &gt; current_step, "",Iterations[[#This Row],[b]]))</f>
        <v>1.2368903241495082</v>
      </c>
      <c r="I94" s="2">
        <f ca="1">IF(Iterations[[#This Row],[Step]] =current_step, current_c,IF(Iterations[[#This Row],[Step]] &gt; current_step, "",Iterations[[#This Row],[c]]))</f>
        <v>3.8487763883968427</v>
      </c>
      <c r="J94" s="2">
        <f ca="1">IF(Iterations[[#This Row],[Step]] =current_step, current_d,IF(Iterations[[#This Row],[Step]] &gt; current_step, "",Iterations[[#This Row],[d]]))</f>
        <v>0.62532005787215672</v>
      </c>
      <c r="K94" s="2">
        <f ca="1">IF(Iterations[[#This Row],[Step]] =current_step, current_e,IF(Iterations[[#This Row],[Step]] &gt; current_step, "",Iterations[[#This Row],[e]]))</f>
        <v>17.4593190790387</v>
      </c>
      <c r="L94" s="2">
        <f ca="1">IF(Iterations[[#This Row],[Step]] =current_step, current_Total_Loss,IF(Iterations[[#This Row],[Step]] &gt; current_step, "",Iterations[[#This Row],[Total Loss]]))</f>
        <v>425.2</v>
      </c>
      <c r="M94" s="6" t="s">
        <v>27</v>
      </c>
      <c r="N94" s="2">
        <f ca="1">IF(Iterations[[#This Row],[Step]] =current_step, current_Grad_a,IF(Iterations[[#This Row],[Step]] &gt; current_step, "",Iterations[[#This Row],[Grad_a]]))</f>
        <v>0.62180746111497642</v>
      </c>
      <c r="O94" s="2">
        <f ca="1">IF(Iterations[[#This Row],[Step]] =current_step, current_Grad_b,IF(Iterations[[#This Row],[Step]] &gt; current_step, "",Iterations[[#This Row],[Grad_b]]))</f>
        <v>5.9580076960814431E-2</v>
      </c>
      <c r="P94" s="2">
        <f ca="1">IF(Iterations[[#This Row],[Step]] =current_step, current_Grad_c,IF(Iterations[[#This Row],[Step]] &gt; current_step, "",Iterations[[#This Row],[Grad_c]]))</f>
        <v>-1.710970675233872</v>
      </c>
      <c r="Q94" s="2">
        <f ca="1">IF(Iterations[[#This Row],[Step]] =current_step, current_Grad_d,IF(Iterations[[#This Row],[Step]] &gt; current_step, "",Iterations[[#This Row],[Grad_d]]))</f>
        <v>1.1171974856343247E-2</v>
      </c>
      <c r="R94" s="2">
        <f ca="1">IF(Iterations[[#This Row],[Step]] =current_step, current_Grad_e,IF(Iterations[[#This Row],[Step]] &gt; current_step, "",Iterations[[#This Row],[Grad_e]]))</f>
        <v>0.53963008611014529</v>
      </c>
    </row>
    <row r="95" spans="6:18" x14ac:dyDescent="0.3">
      <c r="F95" s="2">
        <f t="shared" si="3"/>
        <v>78</v>
      </c>
      <c r="G95" s="2">
        <f ca="1">IF(Iterations[[#This Row],[Step]] =current_step, current_a,IF(Iterations[[#This Row],[Step]] &gt; current_step, "",Iterations[[#This Row],[a]]))</f>
        <v>-1.1068229190666985</v>
      </c>
      <c r="H95" s="2">
        <f ca="1">IF(Iterations[[#This Row],[Step]] =current_step, current_b,IF(Iterations[[#This Row],[Step]] &gt; current_step, "",Iterations[[#This Row],[b]]))</f>
        <v>1.2339113203014676</v>
      </c>
      <c r="I95" s="2">
        <f ca="1">IF(Iterations[[#This Row],[Step]] =current_step, current_c,IF(Iterations[[#This Row],[Step]] &gt; current_step, "",Iterations[[#This Row],[c]]))</f>
        <v>3.9343249221585364</v>
      </c>
      <c r="J95" s="2">
        <f ca="1">IF(Iterations[[#This Row],[Step]] =current_step, current_d,IF(Iterations[[#This Row],[Step]] &gt; current_step, "",Iterations[[#This Row],[d]]))</f>
        <v>0.62476145912933956</v>
      </c>
      <c r="K95" s="2">
        <f ca="1">IF(Iterations[[#This Row],[Step]] =current_step, current_e,IF(Iterations[[#This Row],[Step]] &gt; current_step, "",Iterations[[#This Row],[e]]))</f>
        <v>17.432337574733193</v>
      </c>
      <c r="L95" s="2">
        <f ca="1">IF(Iterations[[#This Row],[Step]] =current_step, current_Total_Loss,IF(Iterations[[#This Row],[Step]] &gt; current_step, "",Iterations[[#This Row],[Total Loss]]))</f>
        <v>421.96</v>
      </c>
      <c r="M95" s="6" t="s">
        <v>27</v>
      </c>
      <c r="N95" s="2">
        <f ca="1">IF(Iterations[[#This Row],[Step]] =current_step, current_Grad_a,IF(Iterations[[#This Row],[Step]] &gt; current_step, "",Iterations[[#This Row],[Grad_a]]))</f>
        <v>0.61753149995205014</v>
      </c>
      <c r="O95" s="2">
        <f ca="1">IF(Iterations[[#This Row],[Step]] =current_step, current_Grad_b,IF(Iterations[[#This Row],[Step]] &gt; current_step, "",Iterations[[#This Row],[Grad_b]]))</f>
        <v>5.9447898964230937E-2</v>
      </c>
      <c r="P95" s="2">
        <f ca="1">IF(Iterations[[#This Row],[Step]] =current_step, current_Grad_c,IF(Iterations[[#This Row],[Step]] &gt; current_step, "",Iterations[[#This Row],[Grad_c]]))</f>
        <v>-1.7016649364232501</v>
      </c>
      <c r="Q95" s="2">
        <f ca="1">IF(Iterations[[#This Row],[Step]] =current_step, current_Grad_d,IF(Iterations[[#This Row],[Step]] &gt; current_step, "",Iterations[[#This Row],[Grad_d]]))</f>
        <v>1.0086923931656284E-2</v>
      </c>
      <c r="R95" s="2">
        <f ca="1">IF(Iterations[[#This Row],[Step]] =current_step, current_Grad_e,IF(Iterations[[#This Row],[Step]] &gt; current_step, "",Iterations[[#This Row],[Grad_e]]))</f>
        <v>0.54100290502021364</v>
      </c>
    </row>
    <row r="96" spans="6:18" x14ac:dyDescent="0.3">
      <c r="F96" s="2">
        <f t="shared" si="3"/>
        <v>79</v>
      </c>
      <c r="G96" s="2">
        <f ca="1">IF(Iterations[[#This Row],[Step]] =current_step, current_a,IF(Iterations[[#This Row],[Step]] &gt; current_step, "",Iterations[[#This Row],[a]]))</f>
        <v>-1.137699494064301</v>
      </c>
      <c r="H96" s="2">
        <f ca="1">IF(Iterations[[#This Row],[Step]] =current_step, current_b,IF(Iterations[[#This Row],[Step]] &gt; current_step, "",Iterations[[#This Row],[b]]))</f>
        <v>1.2309389253532561</v>
      </c>
      <c r="I96" s="2">
        <f ca="1">IF(Iterations[[#This Row],[Step]] =current_step, current_c,IF(Iterations[[#This Row],[Step]] &gt; current_step, "",Iterations[[#This Row],[c]]))</f>
        <v>4.019408168979699</v>
      </c>
      <c r="J96" s="2">
        <f ca="1">IF(Iterations[[#This Row],[Step]] =current_step, current_d,IF(Iterations[[#This Row],[Step]] &gt; current_step, "",Iterations[[#This Row],[d]]))</f>
        <v>0.62425711293275676</v>
      </c>
      <c r="K96" s="2">
        <f ca="1">IF(Iterations[[#This Row],[Step]] =current_step, current_e,IF(Iterations[[#This Row],[Step]] &gt; current_step, "",Iterations[[#This Row],[e]]))</f>
        <v>17.405287429482183</v>
      </c>
      <c r="L96" s="2">
        <f ca="1">IF(Iterations[[#This Row],[Step]] =current_step, current_Total_Loss,IF(Iterations[[#This Row],[Step]] &gt; current_step, "",Iterations[[#This Row],[Total Loss]]))</f>
        <v>418.75</v>
      </c>
      <c r="M96" s="6" t="s">
        <v>27</v>
      </c>
      <c r="N96" s="2">
        <f ca="1">IF(Iterations[[#This Row],[Step]] =current_step, current_Grad_a,IF(Iterations[[#This Row],[Step]] &gt; current_step, "",Iterations[[#This Row],[Grad_a]]))</f>
        <v>0.61335958448021366</v>
      </c>
      <c r="O96" s="2">
        <f ca="1">IF(Iterations[[#This Row],[Step]] =current_step, current_Grad_b,IF(Iterations[[#This Row],[Step]] &gt; current_step, "",Iterations[[#This Row],[Grad_b]]))</f>
        <v>5.9326610597896234E-2</v>
      </c>
      <c r="P96" s="2">
        <f ca="1">IF(Iterations[[#This Row],[Step]] =current_step, current_Grad_c,IF(Iterations[[#This Row],[Step]] &gt; current_step, "",Iterations[[#This Row],[Grad_c]]))</f>
        <v>-1.6924686797231914</v>
      </c>
      <c r="Q96" s="2">
        <f ca="1">IF(Iterations[[#This Row],[Step]] =current_step, current_Grad_d,IF(Iterations[[#This Row],[Step]] &gt; current_step, "",Iterations[[#This Row],[Grad_d]]))</f>
        <v>9.0312629425454028E-3</v>
      </c>
      <c r="R96" s="2">
        <f ca="1">IF(Iterations[[#This Row],[Step]] =current_step, current_Grad_e,IF(Iterations[[#This Row],[Step]] &gt; current_step, "",Iterations[[#This Row],[Grad_e]]))</f>
        <v>0.54210695804222786</v>
      </c>
    </row>
    <row r="97" spans="6:18" x14ac:dyDescent="0.3">
      <c r="F97" s="2">
        <f t="shared" si="3"/>
        <v>80</v>
      </c>
      <c r="G97" s="2">
        <f ca="1">IF(Iterations[[#This Row],[Step]] =current_step, current_a,IF(Iterations[[#This Row],[Step]] &gt; current_step, "",Iterations[[#This Row],[a]]))</f>
        <v>-1.1683674732883118</v>
      </c>
      <c r="H97" s="2">
        <f ca="1">IF(Iterations[[#This Row],[Step]] =current_step, current_b,IF(Iterations[[#This Row],[Step]] &gt; current_step, "",Iterations[[#This Row],[b]]))</f>
        <v>1.2279725948233613</v>
      </c>
      <c r="I97" s="2">
        <f ca="1">IF(Iterations[[#This Row],[Step]] =current_step, current_c,IF(Iterations[[#This Row],[Step]] &gt; current_step, "",Iterations[[#This Row],[c]]))</f>
        <v>4.1040316029658586</v>
      </c>
      <c r="J97" s="2">
        <f ca="1">IF(Iterations[[#This Row],[Step]] =current_step, current_d,IF(Iterations[[#This Row],[Step]] &gt; current_step, "",Iterations[[#This Row],[d]]))</f>
        <v>0.62380554978562952</v>
      </c>
      <c r="K97" s="2">
        <f ca="1">IF(Iterations[[#This Row],[Step]] =current_step, current_e,IF(Iterations[[#This Row],[Step]] &gt; current_step, "",Iterations[[#This Row],[e]]))</f>
        <v>17.378182081580071</v>
      </c>
      <c r="L97" s="2">
        <f ca="1">IF(Iterations[[#This Row],[Step]] =current_step, current_Total_Loss,IF(Iterations[[#This Row],[Step]] &gt; current_step, "",Iterations[[#This Row],[Total Loss]]))</f>
        <v>415.57</v>
      </c>
      <c r="M97" s="6" t="s">
        <v>27</v>
      </c>
      <c r="N97" s="2">
        <f ca="1">IF(Iterations[[#This Row],[Step]] =current_step, current_Grad_a,IF(Iterations[[#This Row],[Step]] &gt; current_step, "",Iterations[[#This Row],[Grad_a]]))</f>
        <v>0.60928575523224282</v>
      </c>
      <c r="O97" s="2">
        <f ca="1">IF(Iterations[[#This Row],[Step]] =current_step, current_Grad_b,IF(Iterations[[#This Row],[Step]] &gt; current_step, "",Iterations[[#This Row],[Grad_b]]))</f>
        <v>5.9215228942771127E-2</v>
      </c>
      <c r="P97" s="2">
        <f ca="1">IF(Iterations[[#This Row],[Step]] =current_step, current_Grad_c,IF(Iterations[[#This Row],[Step]] &gt; current_step, "",Iterations[[#This Row],[Grad_c]]))</f>
        <v>-1.6833771985135328</v>
      </c>
      <c r="Q97" s="2">
        <f ca="1">IF(Iterations[[#This Row],[Step]] =current_step, current_Grad_d,IF(Iterations[[#This Row],[Step]] &gt; current_step, "",Iterations[[#This Row],[Grad_d]]))</f>
        <v>8.0038218794229211E-3</v>
      </c>
      <c r="R97" s="2">
        <f ca="1">IF(Iterations[[#This Row],[Step]] =current_step, current_Grad_e,IF(Iterations[[#This Row],[Step]] &gt; current_step, "",Iterations[[#This Row],[Grad_e]]))</f>
        <v>0.54296070997482027</v>
      </c>
    </row>
    <row r="98" spans="6:18" x14ac:dyDescent="0.3">
      <c r="F98" s="2">
        <f t="shared" si="3"/>
        <v>81</v>
      </c>
      <c r="G98" s="2">
        <f ca="1">IF(Iterations[[#This Row],[Step]] =current_step, current_a,IF(Iterations[[#This Row],[Step]] &gt; current_step, "",Iterations[[#This Row],[a]]))</f>
        <v>-1.1988317610499239</v>
      </c>
      <c r="H98" s="2">
        <f ca="1">IF(Iterations[[#This Row],[Step]] =current_step, current_b,IF(Iterations[[#This Row],[Step]] &gt; current_step, "",Iterations[[#This Row],[b]]))</f>
        <v>1.2250118333762228</v>
      </c>
      <c r="I98" s="2">
        <f ca="1">IF(Iterations[[#This Row],[Step]] =current_step, current_c,IF(Iterations[[#This Row],[Step]] &gt; current_step, "",Iterations[[#This Row],[c]]))</f>
        <v>4.188200462891535</v>
      </c>
      <c r="J98" s="2">
        <f ca="1">IF(Iterations[[#This Row],[Step]] =current_step, current_d,IF(Iterations[[#This Row],[Step]] &gt; current_step, "",Iterations[[#This Row],[d]]))</f>
        <v>0.62340535869165836</v>
      </c>
      <c r="K98" s="2">
        <f ca="1">IF(Iterations[[#This Row],[Step]] =current_step, current_e,IF(Iterations[[#This Row],[Step]] &gt; current_step, "",Iterations[[#This Row],[e]]))</f>
        <v>17.351034046081331</v>
      </c>
      <c r="L98" s="2">
        <f ca="1">IF(Iterations[[#This Row],[Step]] =current_step, current_Total_Loss,IF(Iterations[[#This Row],[Step]] &gt; current_step, "",Iterations[[#This Row],[Total Loss]]))</f>
        <v>412.43</v>
      </c>
      <c r="M98" s="6" t="s">
        <v>27</v>
      </c>
      <c r="N98" s="2">
        <f ca="1">IF(Iterations[[#This Row],[Step]] =current_step, current_Grad_a,IF(Iterations[[#This Row],[Step]] &gt; current_step, "",Iterations[[#This Row],[Grad_a]]))</f>
        <v>0.6053044384219497</v>
      </c>
      <c r="O98" s="2">
        <f ca="1">IF(Iterations[[#This Row],[Step]] =current_step, current_Grad_b,IF(Iterations[[#This Row],[Step]] &gt; current_step, "",Iterations[[#This Row],[Grad_b]]))</f>
        <v>5.911283983524819E-2</v>
      </c>
      <c r="P98" s="2">
        <f ca="1">IF(Iterations[[#This Row],[Step]] =current_step, current_Grad_c,IF(Iterations[[#This Row],[Step]] &gt; current_step, "",Iterations[[#This Row],[Grad_c]]))</f>
        <v>-1.6743860816258944</v>
      </c>
      <c r="Q98" s="2">
        <f ca="1">IF(Iterations[[#This Row],[Step]] =current_step, current_Grad_d,IF(Iterations[[#This Row],[Step]] &gt; current_step, "",Iterations[[#This Row],[Grad_d]]))</f>
        <v>7.003496530922841E-3</v>
      </c>
      <c r="R98" s="2">
        <f ca="1">IF(Iterations[[#This Row],[Step]] =current_step, current_Grad_e,IF(Iterations[[#This Row],[Step]] &gt; current_step, "",Iterations[[#This Row],[Grad_e]]))</f>
        <v>0.54358141343264421</v>
      </c>
    </row>
    <row r="99" spans="6:18" x14ac:dyDescent="0.3">
      <c r="F99" s="2">
        <f t="shared" si="3"/>
        <v>82</v>
      </c>
      <c r="G99" s="2">
        <f ca="1">IF(Iterations[[#This Row],[Step]] =current_step, current_a,IF(Iterations[[#This Row],[Step]] &gt; current_step, "",Iterations[[#This Row],[a]]))</f>
        <v>-1.2290969829710214</v>
      </c>
      <c r="H99" s="2">
        <f ca="1">IF(Iterations[[#This Row],[Step]] =current_step, current_b,IF(Iterations[[#This Row],[Step]] &gt; current_step, "",Iterations[[#This Row],[b]]))</f>
        <v>1.2220561913844603</v>
      </c>
      <c r="I99" s="2">
        <f ca="1">IF(Iterations[[#This Row],[Step]] =current_step, current_c,IF(Iterations[[#This Row],[Step]] &gt; current_step, "",Iterations[[#This Row],[c]]))</f>
        <v>4.2719197669728297</v>
      </c>
      <c r="J99" s="2">
        <f ca="1">IF(Iterations[[#This Row],[Step]] =current_step, current_d,IF(Iterations[[#This Row],[Step]] &gt; current_step, "",Iterations[[#This Row],[d]]))</f>
        <v>0.62305518386511227</v>
      </c>
      <c r="K99" s="2">
        <f ca="1">IF(Iterations[[#This Row],[Step]] =current_step, current_e,IF(Iterations[[#This Row],[Step]] &gt; current_step, "",Iterations[[#This Row],[e]]))</f>
        <v>17.323854975409699</v>
      </c>
      <c r="L99" s="2">
        <f ca="1">IF(Iterations[[#This Row],[Step]] =current_step, current_Total_Loss,IF(Iterations[[#This Row],[Step]] &gt; current_step, "",Iterations[[#This Row],[Total Loss]]))</f>
        <v>409.31</v>
      </c>
      <c r="M99" s="6" t="s">
        <v>27</v>
      </c>
      <c r="N99" s="2">
        <f ca="1">IF(Iterations[[#This Row],[Step]] =current_step, current_Grad_a,IF(Iterations[[#This Row],[Step]] &gt; current_step, "",Iterations[[#This Row],[Grad_a]]))</f>
        <v>0.60141042075348261</v>
      </c>
      <c r="O99" s="2">
        <f ca="1">IF(Iterations[[#This Row],[Step]] =current_step, current_Grad_b,IF(Iterations[[#This Row],[Step]] &gt; current_step, "",Iterations[[#This Row],[Grad_b]]))</f>
        <v>5.9018593375932703E-2</v>
      </c>
      <c r="P99" s="2">
        <f ca="1">IF(Iterations[[#This Row],[Step]] =current_step, current_Grad_c,IF(Iterations[[#This Row],[Step]] &gt; current_step, "",Iterations[[#This Row],[Grad_c]]))</f>
        <v>-1.665491194077612</v>
      </c>
      <c r="Q99" s="2">
        <f ca="1">IF(Iterations[[#This Row],[Step]] =current_step, current_Grad_d,IF(Iterations[[#This Row],[Step]] &gt; current_step, "",Iterations[[#This Row],[Grad_d]]))</f>
        <v>6.0292443549974095E-3</v>
      </c>
      <c r="R99" s="2">
        <f ca="1">IF(Iterations[[#This Row],[Step]] =current_step, current_Grad_e,IF(Iterations[[#This Row],[Step]] &gt; current_step, "",Iterations[[#This Row],[Grad_e]]))</f>
        <v>0.5439851881563007</v>
      </c>
    </row>
    <row r="100" spans="6:18" x14ac:dyDescent="0.3">
      <c r="F100" s="2">
        <f t="shared" si="3"/>
        <v>83</v>
      </c>
      <c r="G100" s="2">
        <f ca="1">IF(Iterations[[#This Row],[Step]] =current_step, current_a,IF(Iterations[[#This Row],[Step]] &gt; current_step, "",Iterations[[#This Row],[a]]))</f>
        <v>-1.2591675040086956</v>
      </c>
      <c r="H100" s="2">
        <f ca="1">IF(Iterations[[#This Row],[Step]] =current_step, current_b,IF(Iterations[[#This Row],[Step]] &gt; current_step, "",Iterations[[#This Row],[b]]))</f>
        <v>1.2191052617156637</v>
      </c>
      <c r="I100" s="2">
        <f ca="1">IF(Iterations[[#This Row],[Step]] =current_step, current_c,IF(Iterations[[#This Row],[Step]] &gt; current_step, "",Iterations[[#This Row],[c]]))</f>
        <v>4.3551943266767106</v>
      </c>
      <c r="J100" s="2">
        <f ca="1">IF(Iterations[[#This Row],[Step]] =current_step, current_d,IF(Iterations[[#This Row],[Step]] &gt; current_step, "",Iterations[[#This Row],[d]]))</f>
        <v>0.62275372164736242</v>
      </c>
      <c r="K100" s="2">
        <f ca="1">IF(Iterations[[#This Row],[Step]] =current_step, current_e,IF(Iterations[[#This Row],[Step]] &gt; current_step, "",Iterations[[#This Row],[e]]))</f>
        <v>17.296655716001883</v>
      </c>
      <c r="L100" s="2">
        <f ca="1">IF(Iterations[[#This Row],[Step]] =current_step, current_Total_Loss,IF(Iterations[[#This Row],[Step]] &gt; current_step, "",Iterations[[#This Row],[Total Loss]]))</f>
        <v>406.23</v>
      </c>
      <c r="M100" s="6" t="s">
        <v>27</v>
      </c>
      <c r="N100" s="2">
        <f ca="1">IF(Iterations[[#This Row],[Step]] =current_step, current_Grad_a,IF(Iterations[[#This Row],[Step]] &gt; current_step, "",Iterations[[#This Row],[Grad_a]]))</f>
        <v>0.59759882587158941</v>
      </c>
      <c r="O100" s="2">
        <f ca="1">IF(Iterations[[#This Row],[Step]] =current_step, current_Grad_b,IF(Iterations[[#This Row],[Step]] &gt; current_step, "",Iterations[[#This Row],[Grad_b]]))</f>
        <v>5.8931699700349803E-2</v>
      </c>
      <c r="P100" s="2">
        <f ca="1">IF(Iterations[[#This Row],[Step]] =current_step, current_Grad_c,IF(Iterations[[#This Row],[Step]] &gt; current_step, "",Iterations[[#This Row],[Grad_c]]))</f>
        <v>-1.6566886590699517</v>
      </c>
      <c r="Q100" s="2">
        <f ca="1">IF(Iterations[[#This Row],[Step]] =current_step, current_Grad_d,IF(Iterations[[#This Row],[Step]] &gt; current_step, "",Iterations[[#This Row],[Grad_d]]))</f>
        <v>5.0800806025580337E-3</v>
      </c>
      <c r="R100" s="2">
        <f ca="1">IF(Iterations[[#This Row],[Step]] =current_step, current_Grad_e,IF(Iterations[[#This Row],[Step]] &gt; current_step, "",Iterations[[#This Row],[Grad_e]]))</f>
        <v>0.5441870951316482</v>
      </c>
    </row>
    <row r="101" spans="6:18" x14ac:dyDescent="0.3">
      <c r="F101" s="2">
        <f t="shared" si="3"/>
        <v>84</v>
      </c>
      <c r="G101" s="2">
        <f ca="1">IF(Iterations[[#This Row],[Step]] =current_step, current_a,IF(Iterations[[#This Row],[Step]] &gt; current_step, "",Iterations[[#This Row],[a]]))</f>
        <v>-1.2890474453022751</v>
      </c>
      <c r="H101" s="2">
        <f ca="1">IF(Iterations[[#This Row],[Step]] =current_step, current_b,IF(Iterations[[#This Row],[Step]] &gt; current_step, "",Iterations[[#This Row],[b]]))</f>
        <v>1.2161586767306463</v>
      </c>
      <c r="I101" s="2">
        <f ca="1">IF(Iterations[[#This Row],[Step]] =current_step, current_c,IF(Iterations[[#This Row],[Step]] &gt; current_step, "",Iterations[[#This Row],[c]]))</f>
        <v>4.4380287596302086</v>
      </c>
      <c r="J101" s="2">
        <f ca="1">IF(Iterations[[#This Row],[Step]] =current_step, current_d,IF(Iterations[[#This Row],[Step]] &gt; current_step, "",Iterations[[#This Row],[d]]))</f>
        <v>0.62249971761723455</v>
      </c>
      <c r="K101" s="2">
        <f ca="1">IF(Iterations[[#This Row],[Step]] =current_step, current_e,IF(Iterations[[#This Row],[Step]] &gt; current_step, "",Iterations[[#This Row],[e]]))</f>
        <v>17.269446361245301</v>
      </c>
      <c r="L101" s="2">
        <f ca="1">IF(Iterations[[#This Row],[Step]] =current_step, current_Total_Loss,IF(Iterations[[#This Row],[Step]] &gt; current_step, "",Iterations[[#This Row],[Total Loss]]))</f>
        <v>403.18</v>
      </c>
      <c r="M101" s="6" t="s">
        <v>27</v>
      </c>
      <c r="N101" s="2">
        <f ca="1">IF(Iterations[[#This Row],[Step]] =current_step, current_Grad_a,IF(Iterations[[#This Row],[Step]] &gt; current_step, "",Iterations[[#This Row],[Grad_a]]))</f>
        <v>0.59386509234847296</v>
      </c>
      <c r="O101" s="2">
        <f ca="1">IF(Iterations[[#This Row],[Step]] =current_step, current_Grad_b,IF(Iterations[[#This Row],[Step]] &gt; current_step, "",Iterations[[#This Row],[Grad_b]]))</f>
        <v>5.8851425009730382E-2</v>
      </c>
      <c r="P101" s="2">
        <f ca="1">IF(Iterations[[#This Row],[Step]] =current_step, current_Grad_c,IF(Iterations[[#This Row],[Step]] &gt; current_step, "",Iterations[[#This Row],[Grad_c]]))</f>
        <v>-1.6479748411657784</v>
      </c>
      <c r="Q101" s="2">
        <f ca="1">IF(Iterations[[#This Row],[Step]] =current_step, current_Grad_d,IF(Iterations[[#This Row],[Step]] &gt; current_step, "",Iterations[[#This Row],[Grad_d]]))</f>
        <v>4.1550746845112245E-3</v>
      </c>
      <c r="R101" s="2">
        <f ca="1">IF(Iterations[[#This Row],[Step]] =current_step, current_Grad_e,IF(Iterations[[#This Row],[Step]] &gt; current_step, "",Iterations[[#This Row],[Grad_e]]))</f>
        <v>0.54420120585962506</v>
      </c>
    </row>
    <row r="102" spans="6:18" x14ac:dyDescent="0.3">
      <c r="F102" s="2">
        <f t="shared" si="3"/>
        <v>85</v>
      </c>
      <c r="G102" s="2">
        <f ca="1">IF(Iterations[[#This Row],[Step]] =current_step, current_a,IF(Iterations[[#This Row],[Step]] &gt; current_step, "",Iterations[[#This Row],[a]]))</f>
        <v>-1.3187406999196987</v>
      </c>
      <c r="H102" s="2">
        <f ca="1">IF(Iterations[[#This Row],[Step]] =current_step, current_b,IF(Iterations[[#This Row],[Step]] &gt; current_step, "",Iterations[[#This Row],[b]]))</f>
        <v>1.2132161054801598</v>
      </c>
      <c r="I102" s="2">
        <f ca="1">IF(Iterations[[#This Row],[Step]] =current_step, current_c,IF(Iterations[[#This Row],[Step]] &gt; current_step, "",Iterations[[#This Row],[c]]))</f>
        <v>4.5204275016884976</v>
      </c>
      <c r="J102" s="2">
        <f ca="1">IF(Iterations[[#This Row],[Step]] =current_step, current_d,IF(Iterations[[#This Row],[Step]] &gt; current_step, "",Iterations[[#This Row],[d]]))</f>
        <v>0.622291963883009</v>
      </c>
      <c r="K102" s="2">
        <f ca="1">IF(Iterations[[#This Row],[Step]] =current_step, current_e,IF(Iterations[[#This Row],[Step]] &gt; current_step, "",Iterations[[#This Row],[e]]))</f>
        <v>17.242236300952321</v>
      </c>
      <c r="L102" s="2">
        <f ca="1">IF(Iterations[[#This Row],[Step]] =current_step, current_Total_Loss,IF(Iterations[[#This Row],[Step]] &gt; current_step, "",Iterations[[#This Row],[Total Loss]]))</f>
        <v>400.15</v>
      </c>
      <c r="M102" s="6" t="s">
        <v>27</v>
      </c>
      <c r="N102" s="2">
        <f ca="1">IF(Iterations[[#This Row],[Step]] =current_step, current_Grad_a,IF(Iterations[[#This Row],[Step]] &gt; current_step, "",Iterations[[#This Row],[Grad_a]]))</f>
        <v>0.59020495310836352</v>
      </c>
      <c r="O102" s="2">
        <f ca="1">IF(Iterations[[#This Row],[Step]] =current_step, current_Grad_b,IF(Iterations[[#This Row],[Step]] &gt; current_step, "",Iterations[[#This Row],[Grad_b]]))</f>
        <v>5.8777087852901228E-2</v>
      </c>
      <c r="P102" s="2">
        <f ca="1">IF(Iterations[[#This Row],[Step]] =current_step, current_Grad_c,IF(Iterations[[#This Row],[Step]] &gt; current_step, "",Iterations[[#This Row],[Grad_c]]))</f>
        <v>-1.6393463305683378</v>
      </c>
      <c r="Q102" s="2">
        <f ca="1">IF(Iterations[[#This Row],[Step]] =current_step, current_Grad_d,IF(Iterations[[#This Row],[Step]] &gt; current_step, "",Iterations[[#This Row],[Grad_d]]))</f>
        <v>3.2533467701444017E-3</v>
      </c>
      <c r="R102" s="2">
        <f ca="1">IF(Iterations[[#This Row],[Step]] =current_step, current_Grad_e,IF(Iterations[[#This Row],[Step]] &gt; current_step, "",Iterations[[#This Row],[Grad_e]]))</f>
        <v>0.54404066709465226</v>
      </c>
    </row>
    <row r="103" spans="6:18" x14ac:dyDescent="0.3">
      <c r="F103" s="2">
        <f t="shared" si="3"/>
        <v>86</v>
      </c>
      <c r="G103" s="2">
        <f ca="1">IF(Iterations[[#This Row],[Step]] =current_step, current_a,IF(Iterations[[#This Row],[Step]] &gt; current_step, "",Iterations[[#This Row],[a]]))</f>
        <v>-1.3482509475751168</v>
      </c>
      <c r="H103" s="2">
        <f ca="1">IF(Iterations[[#This Row],[Step]] =current_step, current_b,IF(Iterations[[#This Row],[Step]] &gt; current_step, "",Iterations[[#This Row],[b]]))</f>
        <v>1.2102772510875148</v>
      </c>
      <c r="I103" s="2">
        <f ca="1">IF(Iterations[[#This Row],[Step]] =current_step, current_c,IF(Iterations[[#This Row],[Step]] &gt; current_step, "",Iterations[[#This Row],[c]]))</f>
        <v>4.6023948182169141</v>
      </c>
      <c r="J103" s="2">
        <f ca="1">IF(Iterations[[#This Row],[Step]] =current_step, current_d,IF(Iterations[[#This Row],[Step]] &gt; current_step, "",Iterations[[#This Row],[d]]))</f>
        <v>0.62212929654450178</v>
      </c>
      <c r="K103" s="2">
        <f ca="1">IF(Iterations[[#This Row],[Step]] =current_step, current_e,IF(Iterations[[#This Row],[Step]] &gt; current_step, "",Iterations[[#This Row],[e]]))</f>
        <v>17.215034267597588</v>
      </c>
      <c r="L103" s="2">
        <f ca="1">IF(Iterations[[#This Row],[Step]] =current_step, current_Total_Loss,IF(Iterations[[#This Row],[Step]] &gt; current_step, "",Iterations[[#This Row],[Total Loss]]))</f>
        <v>397.16</v>
      </c>
      <c r="M103" s="6" t="s">
        <v>27</v>
      </c>
      <c r="N103" s="2">
        <f ca="1">IF(Iterations[[#This Row],[Step]] =current_step, current_Grad_a,IF(Iterations[[#This Row],[Step]] &gt; current_step, "",Iterations[[#This Row],[Grad_a]]))</f>
        <v>0.58661441619667321</v>
      </c>
      <c r="O103" s="2">
        <f ca="1">IF(Iterations[[#This Row],[Step]] =current_step, current_Grad_b,IF(Iterations[[#This Row],[Step]] &gt; current_step, "",Iterations[[#This Row],[Grad_b]]))</f>
        <v>5.8708055647232901E-2</v>
      </c>
      <c r="P103" s="2">
        <f ca="1">IF(Iterations[[#This Row],[Step]] =current_step, current_Grad_c,IF(Iterations[[#This Row],[Step]] &gt; current_step, "",Iterations[[#This Row],[Grad_c]]))</f>
        <v>-1.6307999284285213</v>
      </c>
      <c r="Q103" s="2">
        <f ca="1">IF(Iterations[[#This Row],[Step]] =current_step, current_Grad_d,IF(Iterations[[#This Row],[Step]] &gt; current_step, "",Iterations[[#This Row],[Grad_d]]))</f>
        <v>2.3740646038739044E-3</v>
      </c>
      <c r="R103" s="2">
        <f ca="1">IF(Iterations[[#This Row],[Step]] =current_step, current_Grad_e,IF(Iterations[[#This Row],[Step]] &gt; current_step, "",Iterations[[#This Row],[Grad_e]]))</f>
        <v>0.54371776134845762</v>
      </c>
    </row>
    <row r="104" spans="6:18" x14ac:dyDescent="0.3">
      <c r="F104" s="2">
        <f t="shared" si="3"/>
        <v>87</v>
      </c>
      <c r="G104" s="2">
        <f ca="1">IF(Iterations[[#This Row],[Step]] =current_step, current_a,IF(Iterations[[#This Row],[Step]] &gt; current_step, "",Iterations[[#This Row],[a]]))</f>
        <v>-1.3775816683849504</v>
      </c>
      <c r="H104" s="2">
        <f ca="1">IF(Iterations[[#This Row],[Step]] =current_step, current_b,IF(Iterations[[#This Row],[Step]] &gt; current_step, "",Iterations[[#This Row],[b]]))</f>
        <v>1.2073418483051532</v>
      </c>
      <c r="I104" s="2">
        <f ca="1">IF(Iterations[[#This Row],[Step]] =current_step, current_c,IF(Iterations[[#This Row],[Step]] &gt; current_step, "",Iterations[[#This Row],[c]]))</f>
        <v>4.6839348146383397</v>
      </c>
      <c r="J104" s="2">
        <f ca="1">IF(Iterations[[#This Row],[Step]] =current_step, current_d,IF(Iterations[[#This Row],[Step]] &gt; current_step, "",Iterations[[#This Row],[d]]))</f>
        <v>0.62201059331430808</v>
      </c>
      <c r="K104" s="2">
        <f ca="1">IF(Iterations[[#This Row],[Step]] =current_step, current_e,IF(Iterations[[#This Row],[Step]] &gt; current_step, "",Iterations[[#This Row],[e]]))</f>
        <v>17.187848379530166</v>
      </c>
      <c r="L104" s="2">
        <f ca="1">IF(Iterations[[#This Row],[Step]] =current_step, current_Total_Loss,IF(Iterations[[#This Row],[Step]] &gt; current_step, "",Iterations[[#This Row],[Total Loss]]))</f>
        <v>394.19</v>
      </c>
      <c r="M104" s="6" t="s">
        <v>27</v>
      </c>
      <c r="N104" s="2">
        <f ca="1">IF(Iterations[[#This Row],[Step]] =current_step, current_Grad_a,IF(Iterations[[#This Row],[Step]] &gt; current_step, "",Iterations[[#This Row],[Grad_a]]))</f>
        <v>0.5830897468063243</v>
      </c>
      <c r="O104" s="2">
        <f ca="1">IF(Iterations[[#This Row],[Step]] =current_step, current_Grad_b,IF(Iterations[[#This Row],[Step]] &gt; current_step, "",Iterations[[#This Row],[Grad_b]]))</f>
        <v>5.864374142528482E-2</v>
      </c>
      <c r="P104" s="2">
        <f ca="1">IF(Iterations[[#This Row],[Step]] =current_step, current_Grad_c,IF(Iterations[[#This Row],[Step]] &gt; current_step, "",Iterations[[#This Row],[Grad_c]]))</f>
        <v>-1.6223326331129675</v>
      </c>
      <c r="Q104" s="2">
        <f ca="1">IF(Iterations[[#This Row],[Step]] =current_step, current_Grad_d,IF(Iterations[[#This Row],[Step]] &gt; current_step, "",Iterations[[#This Row],[Grad_d]]))</f>
        <v>1.5164405271864074E-3</v>
      </c>
      <c r="R104" s="2">
        <f ca="1">IF(Iterations[[#This Row],[Step]] =current_step, current_Grad_e,IF(Iterations[[#This Row],[Step]] &gt; current_step, "",Iterations[[#This Row],[Grad_e]]))</f>
        <v>0.54324396343654113</v>
      </c>
    </row>
    <row r="105" spans="6:18" x14ac:dyDescent="0.3">
      <c r="F105" s="2">
        <f t="shared" si="3"/>
        <v>88</v>
      </c>
      <c r="G105" s="2">
        <f ca="1">IF(Iterations[[#This Row],[Step]] =current_step, current_a,IF(Iterations[[#This Row],[Step]] &gt; current_step, "",Iterations[[#This Row],[a]]))</f>
        <v>-1.4067361557252667</v>
      </c>
      <c r="H105" s="2">
        <f ca="1">IF(Iterations[[#This Row],[Step]] =current_step, current_b,IF(Iterations[[#This Row],[Step]] &gt; current_step, "",Iterations[[#This Row],[b]]))</f>
        <v>1.204409661233889</v>
      </c>
      <c r="I105" s="2">
        <f ca="1">IF(Iterations[[#This Row],[Step]] =current_step, current_c,IF(Iterations[[#This Row],[Step]] &gt; current_step, "",Iterations[[#This Row],[c]]))</f>
        <v>4.7650514462939881</v>
      </c>
      <c r="J105" s="2">
        <f ca="1">IF(Iterations[[#This Row],[Step]] =current_step, current_d,IF(Iterations[[#This Row],[Step]] &gt; current_step, "",Iterations[[#This Row],[d]]))</f>
        <v>0.62193477128794872</v>
      </c>
      <c r="K105" s="2">
        <f ca="1">IF(Iterations[[#This Row],[Step]] =current_step, current_e,IF(Iterations[[#This Row],[Step]] &gt; current_step, "",Iterations[[#This Row],[e]]))</f>
        <v>17.16068618135834</v>
      </c>
      <c r="L105" s="2">
        <f ca="1">IF(Iterations[[#This Row],[Step]] =current_step, current_Total_Loss,IF(Iterations[[#This Row],[Step]] &gt; current_step, "",Iterations[[#This Row],[Total Loss]]))</f>
        <v>391.26</v>
      </c>
      <c r="M105" s="6" t="s">
        <v>27</v>
      </c>
      <c r="N105" s="2">
        <f ca="1">IF(Iterations[[#This Row],[Step]] =current_step, current_Grad_a,IF(Iterations[[#This Row],[Step]] &gt; current_step, "",Iterations[[#This Row],[Grad_a]]))</f>
        <v>0.57962745047893405</v>
      </c>
      <c r="O105" s="2">
        <f ca="1">IF(Iterations[[#This Row],[Step]] =current_step, current_Grad_b,IF(Iterations[[#This Row],[Step]] &gt; current_step, "",Iterations[[#This Row],[Grad_b]]))</f>
        <v>5.8583600793636177E-2</v>
      </c>
      <c r="P105" s="2">
        <f ca="1">IF(Iterations[[#This Row],[Step]] =current_step, current_Grad_c,IF(Iterations[[#This Row],[Step]] &gt; current_step, "",Iterations[[#This Row],[Grad_c]]))</f>
        <v>-1.613941627370163</v>
      </c>
      <c r="Q105" s="2">
        <f ca="1">IF(Iterations[[#This Row],[Step]] =current_step, current_Grad_d,IF(Iterations[[#This Row],[Step]] &gt; current_step, "",Iterations[[#This Row],[Grad_d]]))</f>
        <v>6.797286929654965E-4</v>
      </c>
      <c r="R105" s="2">
        <f ca="1">IF(Iterations[[#This Row],[Step]] =current_step, current_Grad_e,IF(Iterations[[#This Row],[Step]] &gt; current_step, "",Iterations[[#This Row],[Grad_e]]))</f>
        <v>0.54262999332612771</v>
      </c>
    </row>
    <row r="106" spans="6:18" x14ac:dyDescent="0.3">
      <c r="F106" s="2">
        <f t="shared" si="3"/>
        <v>89</v>
      </c>
      <c r="G106" s="2">
        <f ca="1">IF(Iterations[[#This Row],[Step]] =current_step, current_a,IF(Iterations[[#This Row],[Step]] &gt; current_step, "",Iterations[[#This Row],[a]]))</f>
        <v>-1.4357175282492134</v>
      </c>
      <c r="H106" s="2">
        <f ca="1">IF(Iterations[[#This Row],[Step]] =current_step, current_b,IF(Iterations[[#This Row],[Step]] &gt; current_step, "",Iterations[[#This Row],[b]]))</f>
        <v>1.2014804811942073</v>
      </c>
      <c r="I106" s="2">
        <f ca="1">IF(Iterations[[#This Row],[Step]] =current_step, current_c,IF(Iterations[[#This Row],[Step]] &gt; current_step, "",Iterations[[#This Row],[c]]))</f>
        <v>4.8457485276624963</v>
      </c>
      <c r="J106" s="2">
        <f ca="1">IF(Iterations[[#This Row],[Step]] =current_step, current_d,IF(Iterations[[#This Row],[Step]] &gt; current_step, "",Iterations[[#This Row],[d]]))</f>
        <v>0.62190078485330047</v>
      </c>
      <c r="K106" s="2">
        <f ca="1">IF(Iterations[[#This Row],[Step]] =current_step, current_e,IF(Iterations[[#This Row],[Step]] &gt; current_step, "",Iterations[[#This Row],[e]]))</f>
        <v>17.133554681692033</v>
      </c>
      <c r="L106" s="2">
        <f ca="1">IF(Iterations[[#This Row],[Step]] =current_step, current_Total_Loss,IF(Iterations[[#This Row],[Step]] &gt; current_step, "",Iterations[[#This Row],[Total Loss]]))</f>
        <v>388.35</v>
      </c>
      <c r="M106" s="6" t="s">
        <v>27</v>
      </c>
      <c r="N106" s="2">
        <f ca="1">IF(Iterations[[#This Row],[Step]] =current_step, current_Grad_a,IF(Iterations[[#This Row],[Step]] &gt; current_step, "",Iterations[[#This Row],[Grad_a]]))</f>
        <v>0.57622425740475924</v>
      </c>
      <c r="O106" s="2">
        <f ca="1">IF(Iterations[[#This Row],[Step]] =current_step, current_Grad_b,IF(Iterations[[#This Row],[Step]] &gt; current_step, "",Iterations[[#This Row],[Grad_b]]))</f>
        <v>5.8527129090588464E-2</v>
      </c>
      <c r="P106" s="2">
        <f ca="1">IF(Iterations[[#This Row],[Step]] =current_step, current_Grad_c,IF(Iterations[[#This Row],[Step]] &gt; current_step, "",Iterations[[#This Row],[Grad_c]]))</f>
        <v>-1.6056242663354388</v>
      </c>
      <c r="Q106" s="2">
        <f ca="1">IF(Iterations[[#This Row],[Step]] =current_step, current_Grad_d,IF(Iterations[[#This Row],[Step]] &gt; current_step, "",Iterations[[#This Row],[Grad_d]]))</f>
        <v>-1.367775400435731E-4</v>
      </c>
      <c r="R106" s="2">
        <f ca="1">IF(Iterations[[#This Row],[Step]] =current_step, current_Grad_e,IF(Iterations[[#This Row],[Step]] &gt; current_step, "",Iterations[[#This Row],[Grad_e]]))</f>
        <v>0.54188586552771567</v>
      </c>
    </row>
    <row r="107" spans="6:18" x14ac:dyDescent="0.3">
      <c r="F107" s="2">
        <f t="shared" si="3"/>
        <v>90</v>
      </c>
      <c r="G107" s="2">
        <f ca="1">IF(Iterations[[#This Row],[Step]] =current_step, current_a,IF(Iterations[[#This Row],[Step]] &gt; current_step, "",Iterations[[#This Row],[a]]))</f>
        <v>-1.4645287411194514</v>
      </c>
      <c r="H107" s="2">
        <f ca="1">IF(Iterations[[#This Row],[Step]] =current_step, current_b,IF(Iterations[[#This Row],[Step]] &gt; current_step, "",Iterations[[#This Row],[b]]))</f>
        <v>1.1985541247396778</v>
      </c>
      <c r="I107" s="2">
        <f ca="1">IF(Iterations[[#This Row],[Step]] =current_step, current_c,IF(Iterations[[#This Row],[Step]] &gt; current_step, "",Iterations[[#This Row],[c]]))</f>
        <v>4.9260297409792679</v>
      </c>
      <c r="J107" s="2">
        <f ca="1">IF(Iterations[[#This Row],[Step]] =current_step, current_d,IF(Iterations[[#This Row],[Step]] &gt; current_step, "",Iterations[[#This Row],[d]]))</f>
        <v>0.62190762373030262</v>
      </c>
      <c r="K107" s="2">
        <f ca="1">IF(Iterations[[#This Row],[Step]] =current_step, current_e,IF(Iterations[[#This Row],[Step]] &gt; current_step, "",Iterations[[#This Row],[e]]))</f>
        <v>17.106460388415648</v>
      </c>
      <c r="L107" s="2">
        <f ca="1">IF(Iterations[[#This Row],[Step]] =current_step, current_Total_Loss,IF(Iterations[[#This Row],[Step]] &gt; current_step, "",Iterations[[#This Row],[Total Loss]]))</f>
        <v>385.47</v>
      </c>
      <c r="M107" s="6" t="s">
        <v>27</v>
      </c>
      <c r="N107" s="2">
        <f ca="1">IF(Iterations[[#This Row],[Step]] =current_step, current_Grad_a,IF(Iterations[[#This Row],[Step]] &gt; current_step, "",Iterations[[#This Row],[Grad_a]]))</f>
        <v>0.57287710774896738</v>
      </c>
      <c r="O107" s="2">
        <f ca="1">IF(Iterations[[#This Row],[Step]] =current_step, current_Grad_b,IF(Iterations[[#This Row],[Step]] &gt; current_step, "",Iterations[[#This Row],[Grad_b]]))</f>
        <v>5.8473858730186339E-2</v>
      </c>
      <c r="P107" s="2">
        <f ca="1">IF(Iterations[[#This Row],[Step]] =current_step, current_Grad_c,IF(Iterations[[#This Row],[Step]] &gt; current_step, "",Iterations[[#This Row],[Grad_c]]))</f>
        <v>-1.5973780663202262</v>
      </c>
      <c r="Q107" s="2">
        <f ca="1">IF(Iterations[[#This Row],[Step]] =current_step, current_Grad_d,IF(Iterations[[#This Row],[Step]] &gt; current_step, "",Iterations[[#This Row],[Grad_d]]))</f>
        <v>-9.3374804421595152E-4</v>
      </c>
      <c r="R107" s="2">
        <f ca="1">IF(Iterations[[#This Row],[Step]] =current_step, current_Grad_e,IF(Iterations[[#This Row],[Step]] &gt; current_step, "",Iterations[[#This Row],[Grad_e]]))</f>
        <v>0.54102093525618811</v>
      </c>
    </row>
    <row r="108" spans="6:18" x14ac:dyDescent="0.3">
      <c r="F108" s="2">
        <f t="shared" si="3"/>
        <v>91</v>
      </c>
      <c r="G108" s="2">
        <f ca="1">IF(Iterations[[#This Row],[Step]] =current_step, current_a,IF(Iterations[[#This Row],[Step]] &gt; current_step, "",Iterations[[#This Row],[a]]))</f>
        <v>-1.4931725965068998</v>
      </c>
      <c r="H108" s="2">
        <f ca="1">IF(Iterations[[#This Row],[Step]] =current_step, current_b,IF(Iterations[[#This Row],[Step]] &gt; current_step, "",Iterations[[#This Row],[b]]))</f>
        <v>1.1956304318031685</v>
      </c>
      <c r="I108" s="2">
        <f ca="1">IF(Iterations[[#This Row],[Step]] =current_step, current_c,IF(Iterations[[#This Row],[Step]] &gt; current_step, "",Iterations[[#This Row],[c]]))</f>
        <v>5.0058986442952795</v>
      </c>
      <c r="J108" s="2">
        <f ca="1">IF(Iterations[[#This Row],[Step]] =current_step, current_d,IF(Iterations[[#This Row],[Step]] &gt; current_step, "",Iterations[[#This Row],[d]]))</f>
        <v>0.62195431113251343</v>
      </c>
      <c r="K108" s="2">
        <f ca="1">IF(Iterations[[#This Row],[Step]] =current_step, current_e,IF(Iterations[[#This Row],[Step]] &gt; current_step, "",Iterations[[#This Row],[e]]))</f>
        <v>17.079409341652838</v>
      </c>
      <c r="L108" s="2">
        <f ca="1">IF(Iterations[[#This Row],[Step]] =current_step, current_Total_Loss,IF(Iterations[[#This Row],[Step]] &gt; current_step, "",Iterations[[#This Row],[Total Loss]]))</f>
        <v>382.62</v>
      </c>
      <c r="M108" s="6" t="s">
        <v>27</v>
      </c>
      <c r="N108" s="2">
        <f ca="1">IF(Iterations[[#This Row],[Step]] =current_step, current_Grad_a,IF(Iterations[[#This Row],[Step]] &gt; current_step, "",Iterations[[#This Row],[Grad_a]]))</f>
        <v>0.56958313793756332</v>
      </c>
      <c r="O108" s="2">
        <f ca="1">IF(Iterations[[#This Row],[Step]] =current_step, current_Grad_b,IF(Iterations[[#This Row],[Step]] &gt; current_step, "",Iterations[[#This Row],[Grad_b]]))</f>
        <v>5.8423356720447392E-2</v>
      </c>
      <c r="P108" s="2">
        <f ca="1">IF(Iterations[[#This Row],[Step]] =current_step, current_Grad_c,IF(Iterations[[#This Row],[Step]] &gt; current_step, "",Iterations[[#This Row],[Grad_c]]))</f>
        <v>-1.5892006943341057</v>
      </c>
      <c r="Q108" s="2">
        <f ca="1">IF(Iterations[[#This Row],[Step]] =current_step, current_Grad_d,IF(Iterations[[#This Row],[Step]] &gt; current_step, "",Iterations[[#This Row],[Grad_d]]))</f>
        <v>-1.7118182023967421E-3</v>
      </c>
      <c r="R108" s="2">
        <f ca="1">IF(Iterations[[#This Row],[Step]] =current_step, current_Grad_e,IF(Iterations[[#This Row],[Step]] &gt; current_step, "",Iterations[[#This Row],[Grad_e]]))</f>
        <v>0.54004394157280133</v>
      </c>
    </row>
    <row r="109" spans="6:18" x14ac:dyDescent="0.3">
      <c r="F109" s="2">
        <f t="shared" si="3"/>
        <v>92</v>
      </c>
      <c r="G109" s="2">
        <f ca="1">IF(Iterations[[#This Row],[Step]] =current_step, current_a,IF(Iterations[[#This Row],[Step]] &gt; current_step, "",Iterations[[#This Row],[a]]))</f>
        <v>-1.5216517534037779</v>
      </c>
      <c r="H109" s="2">
        <f ca="1">IF(Iterations[[#This Row],[Step]] =current_step, current_b,IF(Iterations[[#This Row],[Step]] &gt; current_step, "",Iterations[[#This Row],[b]]))</f>
        <v>1.1927092639671462</v>
      </c>
      <c r="I109" s="2">
        <f ca="1">IF(Iterations[[#This Row],[Step]] =current_step, current_c,IF(Iterations[[#This Row],[Step]] &gt; current_step, "",Iterations[[#This Row],[c]]))</f>
        <v>5.0853586790119847</v>
      </c>
      <c r="J109" s="2">
        <f ca="1">IF(Iterations[[#This Row],[Step]] =current_step, current_d,IF(Iterations[[#This Row],[Step]] &gt; current_step, "",Iterations[[#This Row],[d]]))</f>
        <v>0.62203990204263326</v>
      </c>
      <c r="K109" s="2">
        <f ca="1">IF(Iterations[[#This Row],[Step]] =current_step, current_e,IF(Iterations[[#This Row],[Step]] &gt; current_step, "",Iterations[[#This Row],[e]]))</f>
        <v>17.052407144574197</v>
      </c>
      <c r="L109" s="2">
        <f ca="1">IF(Iterations[[#This Row],[Step]] =current_step, current_Total_Loss,IF(Iterations[[#This Row],[Step]] &gt; current_step, "",Iterations[[#This Row],[Total Loss]]))</f>
        <v>379.79</v>
      </c>
      <c r="M109" s="6" t="s">
        <v>27</v>
      </c>
      <c r="N109" s="2">
        <f ca="1">IF(Iterations[[#This Row],[Step]] =current_step, current_Grad_a,IF(Iterations[[#This Row],[Step]] &gt; current_step, "",Iterations[[#This Row],[Grad_a]]))</f>
        <v>0.56633966784018364</v>
      </c>
      <c r="O109" s="2">
        <f ca="1">IF(Iterations[[#This Row],[Step]] =current_step, current_Grad_b,IF(Iterations[[#This Row],[Step]] &gt; current_step, "",Iterations[[#This Row],[Grad_b]]))</f>
        <v>5.8375222344583283E-2</v>
      </c>
      <c r="P109" s="2">
        <f ca="1">IF(Iterations[[#This Row],[Step]] =current_step, current_Grad_c,IF(Iterations[[#This Row],[Step]] &gt; current_step, "",Iterations[[#This Row],[Grad_c]]))</f>
        <v>-1.5810899582916942</v>
      </c>
      <c r="Q109" s="2">
        <f ca="1">IF(Iterations[[#This Row],[Step]] =current_step, current_Grad_d,IF(Iterations[[#This Row],[Step]] &gt; current_step, "",Iterations[[#This Row],[Grad_d]]))</f>
        <v>-2.4715910398430316E-3</v>
      </c>
      <c r="R109" s="2">
        <f ca="1">IF(Iterations[[#This Row],[Step]] =current_step, current_Grad_e,IF(Iterations[[#This Row],[Step]] &gt; current_step, "",Iterations[[#This Row],[Grad_e]]))</f>
        <v>0.53896304770559267</v>
      </c>
    </row>
    <row r="110" spans="6:18" x14ac:dyDescent="0.3">
      <c r="F110" s="2">
        <f t="shared" si="3"/>
        <v>93</v>
      </c>
      <c r="G110" s="2">
        <f ca="1">IF(Iterations[[#This Row],[Step]] =current_step, current_a,IF(Iterations[[#This Row],[Step]] &gt; current_step, "",Iterations[[#This Row],[a]]))</f>
        <v>-1.5499687367957871</v>
      </c>
      <c r="H110" s="2">
        <f ca="1">IF(Iterations[[#This Row],[Step]] =current_step, current_b,IF(Iterations[[#This Row],[Step]] &gt; current_step, "",Iterations[[#This Row],[b]]))</f>
        <v>1.1897905028499169</v>
      </c>
      <c r="I110" s="2">
        <f ca="1">IF(Iterations[[#This Row],[Step]] =current_step, current_c,IF(Iterations[[#This Row],[Step]] &gt; current_step, "",Iterations[[#This Row],[c]]))</f>
        <v>5.1644131769265691</v>
      </c>
      <c r="J110" s="2">
        <f ca="1">IF(Iterations[[#This Row],[Step]] =current_step, current_d,IF(Iterations[[#This Row],[Step]] &gt; current_step, "",Iterations[[#This Row],[d]]))</f>
        <v>0.62216348159462542</v>
      </c>
      <c r="K110" s="2">
        <f ca="1">IF(Iterations[[#This Row],[Step]] =current_step, current_e,IF(Iterations[[#This Row],[Step]] &gt; current_step, "",Iterations[[#This Row],[e]]))</f>
        <v>17.025458992188916</v>
      </c>
      <c r="L110" s="2">
        <f ca="1">IF(Iterations[[#This Row],[Step]] =current_step, current_Total_Loss,IF(Iterations[[#This Row],[Step]] &gt; current_step, "",Iterations[[#This Row],[Total Loss]]))</f>
        <v>377</v>
      </c>
      <c r="M110" s="6" t="s">
        <v>27</v>
      </c>
      <c r="N110" s="2">
        <f ca="1">IF(Iterations[[#This Row],[Step]] =current_step, current_Grad_a,IF(Iterations[[#This Row],[Step]] &gt; current_step, "",Iterations[[#This Row],[Grad_a]]))</f>
        <v>0.56314418879079597</v>
      </c>
      <c r="O110" s="2">
        <f ca="1">IF(Iterations[[#This Row],[Step]] =current_step, current_Grad_b,IF(Iterations[[#This Row],[Step]] &gt; current_step, "",Iterations[[#This Row],[Grad_b]]))</f>
        <v>5.8329084994519595E-2</v>
      </c>
      <c r="P110" s="2">
        <f ca="1">IF(Iterations[[#This Row],[Step]] =current_step, current_Grad_c,IF(Iterations[[#This Row],[Step]] &gt; current_step, "",Iterations[[#This Row],[Grad_c]]))</f>
        <v>-1.5730437978597516</v>
      </c>
      <c r="Q110" s="2">
        <f ca="1">IF(Iterations[[#This Row],[Step]] =current_step, current_Grad_d,IF(Iterations[[#This Row],[Step]] &gt; current_step, "",Iterations[[#This Row],[Grad_d]]))</f>
        <v>-3.2136392183748086E-3</v>
      </c>
      <c r="R110" s="2">
        <f ca="1">IF(Iterations[[#This Row],[Step]] =current_step, current_Grad_e,IF(Iterations[[#This Row],[Step]] &gt; current_step, "",Iterations[[#This Row],[Grad_e]]))</f>
        <v>0.53778587873260109</v>
      </c>
    </row>
    <row r="111" spans="6:18" x14ac:dyDescent="0.3">
      <c r="F111" s="2">
        <f t="shared" si="3"/>
        <v>94</v>
      </c>
      <c r="G111" s="2">
        <f ca="1">IF(Iterations[[#This Row],[Step]] =current_step, current_a,IF(Iterations[[#This Row],[Step]] &gt; current_step, "",Iterations[[#This Row],[a]]))</f>
        <v>-1.5781259462353268</v>
      </c>
      <c r="H111" s="2">
        <f ca="1">IF(Iterations[[#This Row],[Step]] =current_step, current_b,IF(Iterations[[#This Row],[Step]] &gt; current_step, "",Iterations[[#This Row],[b]]))</f>
        <v>1.186874048600191</v>
      </c>
      <c r="I111" s="2">
        <f ca="1">IF(Iterations[[#This Row],[Step]] =current_step, current_c,IF(Iterations[[#This Row],[Step]] &gt; current_step, "",Iterations[[#This Row],[c]]))</f>
        <v>5.2430653668195566</v>
      </c>
      <c r="J111" s="2">
        <f ca="1">IF(Iterations[[#This Row],[Step]] =current_step, current_d,IF(Iterations[[#This Row],[Step]] &gt; current_step, "",Iterations[[#This Row],[d]]))</f>
        <v>0.62232416355554421</v>
      </c>
      <c r="K111" s="2">
        <f ca="1">IF(Iterations[[#This Row],[Step]] =current_step, current_e,IF(Iterations[[#This Row],[Step]] &gt; current_step, "",Iterations[[#This Row],[e]]))</f>
        <v>16.998569698252286</v>
      </c>
      <c r="L111" s="2">
        <f ca="1">IF(Iterations[[#This Row],[Step]] =current_step, current_Total_Loss,IF(Iterations[[#This Row],[Step]] &gt; current_step, "",Iterations[[#This Row],[Total Loss]]))</f>
        <v>374.23</v>
      </c>
      <c r="M111" s="6" t="s">
        <v>27</v>
      </c>
      <c r="N111" s="2">
        <f ca="1">IF(Iterations[[#This Row],[Step]] =current_step, current_Grad_a,IF(Iterations[[#This Row],[Step]] &gt; current_step, "",Iterations[[#This Row],[Grad_a]]))</f>
        <v>0.55999435239210071</v>
      </c>
      <c r="O111" s="2">
        <f ca="1">IF(Iterations[[#This Row],[Step]] =current_step, current_Grad_b,IF(Iterations[[#This Row],[Step]] &gt; current_step, "",Iterations[[#This Row],[Grad_b]]))</f>
        <v>5.82846021468022E-2</v>
      </c>
      <c r="P111" s="2">
        <f ca="1">IF(Iterations[[#This Row],[Step]] =current_step, current_Grad_c,IF(Iterations[[#This Row],[Step]] &gt; current_step, "",Iterations[[#This Row],[Grad_c]]))</f>
        <v>-1.5650602759023602</v>
      </c>
      <c r="Q111" s="2">
        <f ca="1">IF(Iterations[[#This Row],[Step]] =current_step, current_Grad_d,IF(Iterations[[#This Row],[Step]] &gt; current_step, "",Iterations[[#This Row],[Grad_d]]))</f>
        <v>-3.9385069017036957E-3</v>
      </c>
      <c r="R111" s="2">
        <f ca="1">IF(Iterations[[#This Row],[Step]] =current_step, current_Grad_e,IF(Iterations[[#This Row],[Step]] &gt; current_step, "",Iterations[[#This Row],[Grad_e]]))</f>
        <v>0.53651955680053554</v>
      </c>
    </row>
    <row r="112" spans="6:18" x14ac:dyDescent="0.3">
      <c r="F112" s="2">
        <f t="shared" si="3"/>
        <v>95</v>
      </c>
      <c r="G112" s="2">
        <f ca="1">IF(Iterations[[#This Row],[Step]] =current_step, current_a,IF(Iterations[[#This Row],[Step]] &gt; current_step, "",Iterations[[#This Row],[a]]))</f>
        <v>-1.6061256638549317</v>
      </c>
      <c r="H112" s="2">
        <f ca="1">IF(Iterations[[#This Row],[Step]] =current_step, current_b,IF(Iterations[[#This Row],[Step]] &gt; current_step, "",Iterations[[#This Row],[b]]))</f>
        <v>1.1839598184928508</v>
      </c>
      <c r="I112" s="2">
        <f ca="1">IF(Iterations[[#This Row],[Step]] =current_step, current_c,IF(Iterations[[#This Row],[Step]] &gt; current_step, "",Iterations[[#This Row],[c]]))</f>
        <v>5.3213183806146747</v>
      </c>
      <c r="J112" s="2">
        <f ca="1">IF(Iterations[[#This Row],[Step]] =current_step, current_d,IF(Iterations[[#This Row],[Step]] &gt; current_step, "",Iterations[[#This Row],[d]]))</f>
        <v>0.6225210889006294</v>
      </c>
      <c r="K112" s="2">
        <f ca="1">IF(Iterations[[#This Row],[Step]] =current_step, current_e,IF(Iterations[[#This Row],[Step]] &gt; current_step, "",Iterations[[#This Row],[e]]))</f>
        <v>16.97174372041226</v>
      </c>
      <c r="L112" s="2">
        <f ca="1">IF(Iterations[[#This Row],[Step]] =current_step, current_Total_Loss,IF(Iterations[[#This Row],[Step]] &gt; current_step, "",Iterations[[#This Row],[Total Loss]]))</f>
        <v>371.49</v>
      </c>
      <c r="M112" s="6" t="s">
        <v>27</v>
      </c>
      <c r="N112" s="2">
        <f ca="1">IF(Iterations[[#This Row],[Step]] =current_step, current_Grad_a,IF(Iterations[[#This Row],[Step]] &gt; current_step, "",Iterations[[#This Row],[Grad_a]]))</f>
        <v>0.55688796005165231</v>
      </c>
      <c r="O112" s="2">
        <f ca="1">IF(Iterations[[#This Row],[Step]] =current_step, current_Grad_b,IF(Iterations[[#This Row],[Step]] &gt; current_step, "",Iterations[[#This Row],[Grad_b]]))</f>
        <v>5.8241457471630419E-2</v>
      </c>
      <c r="P112" s="2">
        <f ca="1">IF(Iterations[[#This Row],[Step]] =current_step, current_Grad_c,IF(Iterations[[#This Row],[Step]] &gt; current_step, "",Iterations[[#This Row],[Grad_c]]))</f>
        <v>-1.5571375704853772</v>
      </c>
      <c r="Q112" s="2">
        <f ca="1">IF(Iterations[[#This Row],[Step]] =current_step, current_Grad_d,IF(Iterations[[#This Row],[Step]] &gt; current_step, "",Iterations[[#This Row],[Grad_d]]))</f>
        <v>-4.6467115003187625E-3</v>
      </c>
      <c r="R112" s="2">
        <f ca="1">IF(Iterations[[#This Row],[Step]] =current_step, current_Grad_e,IF(Iterations[[#This Row],[Step]] &gt; current_step, "",Iterations[[#This Row],[Grad_e]]))</f>
        <v>0.53517073403992932</v>
      </c>
    </row>
    <row r="113" spans="6:18" x14ac:dyDescent="0.3">
      <c r="F113" s="2">
        <f t="shared" si="3"/>
        <v>96</v>
      </c>
      <c r="G113" s="2">
        <f ca="1">IF(Iterations[[#This Row],[Step]] =current_step, current_a,IF(Iterations[[#This Row],[Step]] &gt; current_step, "",Iterations[[#This Row],[a]]))</f>
        <v>-1.6339700618575144</v>
      </c>
      <c r="H113" s="2">
        <f ca="1">IF(Iterations[[#This Row],[Step]] =current_step, current_b,IF(Iterations[[#This Row],[Step]] &gt; current_step, "",Iterations[[#This Row],[b]]))</f>
        <v>1.1810477456192694</v>
      </c>
      <c r="I113" s="2">
        <f ca="1">IF(Iterations[[#This Row],[Step]] =current_step, current_c,IF(Iterations[[#This Row],[Step]] &gt; current_step, "",Iterations[[#This Row],[c]]))</f>
        <v>5.3991752591389437</v>
      </c>
      <c r="J113" s="2">
        <f ca="1">IF(Iterations[[#This Row],[Step]] =current_step, current_d,IF(Iterations[[#This Row],[Step]] &gt; current_step, "",Iterations[[#This Row],[d]]))</f>
        <v>0.6227534244756453</v>
      </c>
      <c r="K113" s="2">
        <f ca="1">IF(Iterations[[#This Row],[Step]] =current_step, current_e,IF(Iterations[[#This Row],[Step]] &gt; current_step, "",Iterations[[#This Row],[e]]))</f>
        <v>16.944985183710262</v>
      </c>
      <c r="L113" s="2">
        <f ca="1">IF(Iterations[[#This Row],[Step]] =current_step, current_Total_Loss,IF(Iterations[[#This Row],[Step]] &gt; current_step, "",Iterations[[#This Row],[Total Loss]]))</f>
        <v>368.77</v>
      </c>
      <c r="M113" s="6" t="s">
        <v>27</v>
      </c>
      <c r="N113" s="2">
        <f ca="1">IF(Iterations[[#This Row],[Step]] =current_step, current_Grad_a,IF(Iterations[[#This Row],[Step]] &gt; current_step, "",Iterations[[#This Row],[Grad_a]]))</f>
        <v>0.55382295320261421</v>
      </c>
      <c r="O113" s="2">
        <f ca="1">IF(Iterations[[#This Row],[Step]] =current_step, current_Grad_b,IF(Iterations[[#This Row],[Step]] &gt; current_step, "",Iterations[[#This Row],[Grad_b]]))</f>
        <v>5.8199359066215491E-2</v>
      </c>
      <c r="P113" s="2">
        <f ca="1">IF(Iterations[[#This Row],[Step]] =current_step, current_Grad_c,IF(Iterations[[#This Row],[Step]] &gt; current_step, "",Iterations[[#This Row],[Grad_c]]))</f>
        <v>-1.5492739674032747</v>
      </c>
      <c r="Q113" s="2">
        <f ca="1">IF(Iterations[[#This Row],[Step]] =current_step, current_Grad_d,IF(Iterations[[#This Row],[Step]] &gt; current_step, "",Iterations[[#This Row],[Grad_d]]))</f>
        <v>-5.3387453038151733E-3</v>
      </c>
      <c r="R113" s="2">
        <f ca="1">IF(Iterations[[#This Row],[Step]] =current_step, current_Grad_e,IF(Iterations[[#This Row],[Step]] &gt; current_step, "",Iterations[[#This Row],[Grad_e]]))</f>
        <v>0.53374562332755615</v>
      </c>
    </row>
    <row r="114" spans="6:18" x14ac:dyDescent="0.3">
      <c r="F114" s="2">
        <f t="shared" si="3"/>
        <v>97</v>
      </c>
      <c r="G114" s="2">
        <f ca="1">IF(Iterations[[#This Row],[Step]] =current_step, current_a,IF(Iterations[[#This Row],[Step]] &gt; current_step, "",Iterations[[#This Row],[a]]))</f>
        <v>-1.6616612095176451</v>
      </c>
      <c r="H114" s="2">
        <f ca="1">IF(Iterations[[#This Row],[Step]] =current_step, current_b,IF(Iterations[[#This Row],[Step]] &gt; current_step, "",Iterations[[#This Row],[b]]))</f>
        <v>1.1781377776659587</v>
      </c>
      <c r="I114" s="2">
        <f ca="1">IF(Iterations[[#This Row],[Step]] =current_step, current_c,IF(Iterations[[#This Row],[Step]] &gt; current_step, "",Iterations[[#This Row],[c]]))</f>
        <v>5.476638957509107</v>
      </c>
      <c r="J114" s="2">
        <f ca="1">IF(Iterations[[#This Row],[Step]] =current_step, current_d,IF(Iterations[[#This Row],[Step]] &gt; current_step, "",Iterations[[#This Row],[d]]))</f>
        <v>0.62302036174083608</v>
      </c>
      <c r="K114" s="2">
        <f ca="1">IF(Iterations[[#This Row],[Step]] =current_step, current_e,IF(Iterations[[#This Row],[Step]] &gt; current_step, "",Iterations[[#This Row],[e]]))</f>
        <v>16.918297902543884</v>
      </c>
      <c r="L114" s="2">
        <f ca="1">IF(Iterations[[#This Row],[Step]] =current_step, current_Total_Loss,IF(Iterations[[#This Row],[Step]] &gt; current_step, "",Iterations[[#This Row],[Total Loss]]))</f>
        <v>366.08</v>
      </c>
      <c r="M114" s="6" t="s">
        <v>27</v>
      </c>
      <c r="N114" s="2">
        <f ca="1">IF(Iterations[[#This Row],[Step]] =current_step, current_Grad_a,IF(Iterations[[#This Row],[Step]] &gt; current_step, "",Iterations[[#This Row],[Grad_a]]))</f>
        <v>0.55079740416366441</v>
      </c>
      <c r="O114" s="2">
        <f ca="1">IF(Iterations[[#This Row],[Step]] =current_step, current_Grad_b,IF(Iterations[[#This Row],[Step]] &gt; current_step, "",Iterations[[#This Row],[Grad_b]]))</f>
        <v>5.8158037804414815E-2</v>
      </c>
      <c r="P114" s="2">
        <f ca="1">IF(Iterations[[#This Row],[Step]] =current_step, current_Grad_c,IF(Iterations[[#This Row],[Step]] &gt; current_step, "",Iterations[[#This Row],[Grad_c]]))</f>
        <v>-1.5414678531944848</v>
      </c>
      <c r="Q114" s="2">
        <f ca="1">IF(Iterations[[#This Row],[Step]] =current_step, current_Grad_d,IF(Iterations[[#This Row],[Step]] &gt; current_step, "",Iterations[[#This Row],[Grad_d]]))</f>
        <v>-6.0150770079798006E-3</v>
      </c>
      <c r="R114" s="2">
        <f ca="1">IF(Iterations[[#This Row],[Step]] =current_step, current_Grad_e,IF(Iterations[[#This Row],[Step]] &gt; current_step, "",Iterations[[#This Row],[Grad_e]]))</f>
        <v>0.53225002703680879</v>
      </c>
    </row>
    <row r="115" spans="6:18" x14ac:dyDescent="0.3">
      <c r="F115" s="2">
        <f t="shared" si="3"/>
        <v>98</v>
      </c>
      <c r="G115" s="2">
        <f ca="1">IF(Iterations[[#This Row],[Step]] =current_step, current_a,IF(Iterations[[#This Row],[Step]] &gt; current_step, "",Iterations[[#This Row],[a]]))</f>
        <v>-1.6892010797258283</v>
      </c>
      <c r="H115" s="2">
        <f ca="1">IF(Iterations[[#This Row],[Step]] =current_step, current_b,IF(Iterations[[#This Row],[Step]] &gt; current_step, "",Iterations[[#This Row],[b]]))</f>
        <v>1.175229875775738</v>
      </c>
      <c r="I115" s="2">
        <f ca="1">IF(Iterations[[#This Row],[Step]] =current_step, current_c,IF(Iterations[[#This Row],[Step]] &gt; current_step, "",Iterations[[#This Row],[c]]))</f>
        <v>5.5537123501688317</v>
      </c>
      <c r="J115" s="2">
        <f ca="1">IF(Iterations[[#This Row],[Step]] =current_step, current_d,IF(Iterations[[#This Row],[Step]] &gt; current_step, "",Iterations[[#This Row],[d]]))</f>
        <v>0.62332111559123504</v>
      </c>
      <c r="K115" s="2">
        <f ca="1">IF(Iterations[[#This Row],[Step]] =current_step, current_e,IF(Iterations[[#This Row],[Step]] &gt; current_step, "",Iterations[[#This Row],[e]]))</f>
        <v>16.891685401192042</v>
      </c>
      <c r="L115" s="2">
        <f ca="1">IF(Iterations[[#This Row],[Step]] =current_step, current_Total_Loss,IF(Iterations[[#This Row],[Step]] &gt; current_step, "",Iterations[[#This Row],[Total Loss]]))</f>
        <v>363.42</v>
      </c>
      <c r="M115" s="6" t="s">
        <v>27</v>
      </c>
      <c r="N115" s="2">
        <f ca="1">IF(Iterations[[#This Row],[Step]] =current_step, current_Grad_a,IF(Iterations[[#This Row],[Step]] &gt; current_step, "",Iterations[[#This Row],[Grad_a]]))</f>
        <v>0.54780950759683955</v>
      </c>
      <c r="O115" s="2">
        <f ca="1">IF(Iterations[[#This Row],[Step]] =current_step, current_Grad_b,IF(Iterations[[#This Row],[Step]] &gt; current_step, "",Iterations[[#This Row],[Grad_b]]))</f>
        <v>5.8117245794968277E-2</v>
      </c>
      <c r="P115" s="2">
        <f ca="1">IF(Iterations[[#This Row],[Step]] =current_step, current_Grad_c,IF(Iterations[[#This Row],[Step]] &gt; current_step, "",Iterations[[#This Row],[Grad_c]]))</f>
        <v>-1.5337177086130795</v>
      </c>
      <c r="Q115" s="2">
        <f ca="1">IF(Iterations[[#This Row],[Step]] =current_step, current_Grad_d,IF(Iterations[[#This Row],[Step]] &gt; current_step, "",Iterations[[#This Row],[Grad_d]]))</f>
        <v>-6.6761531435094073E-3</v>
      </c>
      <c r="R115" s="2">
        <f ca="1">IF(Iterations[[#This Row],[Step]] =current_step, current_Grad_e,IF(Iterations[[#This Row],[Step]] &gt; current_step, "",Iterations[[#This Row],[Grad_e]]))</f>
        <v>0.53068936390766319</v>
      </c>
    </row>
    <row r="116" spans="6:18" x14ac:dyDescent="0.3">
      <c r="F116" s="2">
        <f t="shared" si="3"/>
        <v>99</v>
      </c>
      <c r="G116" s="2">
        <f ca="1">IF(Iterations[[#This Row],[Step]] =current_step, current_a,IF(Iterations[[#This Row],[Step]] &gt; current_step, "",Iterations[[#This Row],[a]]))</f>
        <v>-1.7165915551056703</v>
      </c>
      <c r="H116" s="2">
        <f ca="1">IF(Iterations[[#This Row],[Step]] =current_step, current_b,IF(Iterations[[#This Row],[Step]] &gt; current_step, "",Iterations[[#This Row],[b]]))</f>
        <v>1.1723240134859896</v>
      </c>
      <c r="I116" s="2">
        <f ca="1">IF(Iterations[[#This Row],[Step]] =current_step, current_c,IF(Iterations[[#This Row],[Step]] &gt; current_step, "",Iterations[[#This Row],[c]]))</f>
        <v>5.6303982355994853</v>
      </c>
      <c r="J116" s="2">
        <f ca="1">IF(Iterations[[#This Row],[Step]] =current_step, current_d,IF(Iterations[[#This Row],[Step]] &gt; current_step, "",Iterations[[#This Row],[d]]))</f>
        <v>0.62365492324841054</v>
      </c>
      <c r="K116" s="2">
        <f ca="1">IF(Iterations[[#This Row],[Step]] =current_step, current_e,IF(Iterations[[#This Row],[Step]] &gt; current_step, "",Iterations[[#This Row],[e]]))</f>
        <v>16.865150932996659</v>
      </c>
      <c r="L116" s="2">
        <f ca="1">IF(Iterations[[#This Row],[Step]] =current_step, current_Total_Loss,IF(Iterations[[#This Row],[Step]] &gt; current_step, "",Iterations[[#This Row],[Total Loss]]))</f>
        <v>360.78</v>
      </c>
      <c r="M116" s="6" t="s">
        <v>27</v>
      </c>
      <c r="N116" s="2">
        <f ca="1">IF(Iterations[[#This Row],[Step]] =current_step, current_Grad_a,IF(Iterations[[#This Row],[Step]] &gt; current_step, "",Iterations[[#This Row],[Grad_a]]))</f>
        <v>0.54485757252373068</v>
      </c>
      <c r="O116" s="2">
        <f ca="1">IF(Iterations[[#This Row],[Step]] =current_step, current_Grad_b,IF(Iterations[[#This Row],[Step]] &gt; current_step, "",Iterations[[#This Row],[Grad_b]]))</f>
        <v>5.8076754941294065E-2</v>
      </c>
      <c r="P116" s="2">
        <f ca="1">IF(Iterations[[#This Row],[Step]] =current_step, current_Grad_c,IF(Iterations[[#This Row],[Step]] &gt; current_step, "",Iterations[[#This Row],[Grad_c]]))</f>
        <v>-1.5260221025271175</v>
      </c>
      <c r="Q116" s="2">
        <f ca="1">IF(Iterations[[#This Row],[Step]] =current_step, current_Grad_d,IF(Iterations[[#This Row],[Step]] &gt; current_step, "",Iterations[[#This Row],[Grad_d]]))</f>
        <v>-7.322399412757561E-3</v>
      </c>
      <c r="R116" s="2">
        <f ca="1">IF(Iterations[[#This Row],[Step]] =current_step, current_Grad_e,IF(Iterations[[#This Row],[Step]] &gt; current_step, "",Iterations[[#This Row],[Grad_e]]))</f>
        <v>0.52906869415921898</v>
      </c>
    </row>
    <row r="117" spans="6:18" x14ac:dyDescent="0.3">
      <c r="F117" s="2">
        <f t="shared" si="3"/>
        <v>100</v>
      </c>
      <c r="G117" s="2">
        <f ca="1">IF(Iterations[[#This Row],[Step]] =current_step, current_a,IF(Iterations[[#This Row],[Step]] &gt; current_step, "",Iterations[[#This Row],[a]]))</f>
        <v>-1.7438344337318568</v>
      </c>
      <c r="H117" s="2">
        <f ca="1">IF(Iterations[[#This Row],[Step]] =current_step, current_b,IF(Iterations[[#This Row],[Step]] &gt; current_step, "",Iterations[[#This Row],[b]]))</f>
        <v>1.1694201757389249</v>
      </c>
      <c r="I117" s="2">
        <f ca="1">IF(Iterations[[#This Row],[Step]] =current_step, current_c,IF(Iterations[[#This Row],[Step]] &gt; current_step, "",Iterations[[#This Row],[c]]))</f>
        <v>5.7066993407258408</v>
      </c>
      <c r="J117" s="2">
        <f ca="1">IF(Iterations[[#This Row],[Step]] =current_step, current_d,IF(Iterations[[#This Row],[Step]] &gt; current_step, "",Iterations[[#This Row],[d]]))</f>
        <v>0.62402104321904839</v>
      </c>
      <c r="K117" s="2">
        <f ca="1">IF(Iterations[[#This Row],[Step]] =current_step, current_e,IF(Iterations[[#This Row],[Step]] &gt; current_step, "",Iterations[[#This Row],[e]]))</f>
        <v>16.838697498288699</v>
      </c>
      <c r="L117" s="2">
        <f ca="1">IF(Iterations[[#This Row],[Step]] =current_step, current_Total_Loss,IF(Iterations[[#This Row],[Step]] &gt; current_step, "",Iterations[[#This Row],[Total Loss]]))</f>
        <v>358.17</v>
      </c>
      <c r="M117" s="6" t="s">
        <v>27</v>
      </c>
      <c r="N117" s="2">
        <f ca="1">IF(Iterations[[#This Row],[Step]] =current_step, current_Grad_a,IF(Iterations[[#This Row],[Step]] &gt; current_step, "",Iterations[[#This Row],[Grad_a]]))</f>
        <v>0.54194001486394094</v>
      </c>
      <c r="O117" s="2">
        <f ca="1">IF(Iterations[[#This Row],[Step]] =current_step, current_Grad_b,IF(Iterations[[#This Row],[Step]] &gt; current_step, "",Iterations[[#This Row],[Grad_b]]))</f>
        <v>5.8036355596104192E-2</v>
      </c>
      <c r="P117" s="2">
        <f ca="1">IF(Iterations[[#This Row],[Step]] =current_step, current_Grad_c,IF(Iterations[[#This Row],[Step]] &gt; current_step, "",Iterations[[#This Row],[Grad_c]]))</f>
        <v>-1.5183796862156165</v>
      </c>
      <c r="Q117" s="2">
        <f ca="1">IF(Iterations[[#This Row],[Step]] =current_step, current_Grad_d,IF(Iterations[[#This Row],[Step]] &gt; current_step, "",Iterations[[#This Row],[Grad_d]]))</f>
        <v>-7.9542219405405058E-3</v>
      </c>
      <c r="R117" s="2">
        <f ca="1">IF(Iterations[[#This Row],[Step]] =current_step, current_Grad_e,IF(Iterations[[#This Row],[Step]] &gt; current_step, "",Iterations[[#This Row],[Grad_e]]))</f>
        <v>0.52739274295972416</v>
      </c>
    </row>
    <row r="118" spans="6:18" x14ac:dyDescent="0.3">
      <c r="F118" s="2">
        <f t="shared" si="3"/>
        <v>101</v>
      </c>
      <c r="G118" s="2">
        <f ca="1">IF(Iterations[[#This Row],[Step]] =current_step, current_a,IF(Iterations[[#This Row],[Step]] &gt; current_step, "",Iterations[[#This Row],[a]]))</f>
        <v>-1.7709314344750537</v>
      </c>
      <c r="H118" s="2">
        <f ca="1">IF(Iterations[[#This Row],[Step]] =current_step, current_b,IF(Iterations[[#This Row],[Step]] &gt; current_step, "",Iterations[[#This Row],[b]]))</f>
        <v>1.1665183579591196</v>
      </c>
      <c r="I118" s="2">
        <f ca="1">IF(Iterations[[#This Row],[Step]] =current_step, current_c,IF(Iterations[[#This Row],[Step]] &gt; current_step, "",Iterations[[#This Row],[c]]))</f>
        <v>5.7826183250366219</v>
      </c>
      <c r="J118" s="2">
        <f ca="1">IF(Iterations[[#This Row],[Step]] =current_step, current_d,IF(Iterations[[#This Row],[Step]] &gt; current_step, "",Iterations[[#This Row],[d]]))</f>
        <v>0.62441875431607541</v>
      </c>
      <c r="K118" s="2">
        <f ca="1">IF(Iterations[[#This Row],[Step]] =current_step, current_e,IF(Iterations[[#This Row],[Step]] &gt; current_step, "",Iterations[[#This Row],[e]]))</f>
        <v>16.812327861140712</v>
      </c>
      <c r="L118" s="2">
        <f ca="1">IF(Iterations[[#This Row],[Step]] =current_step, current_Total_Loss,IF(Iterations[[#This Row],[Step]] &gt; current_step, "",Iterations[[#This Row],[Total Loss]]))</f>
        <v>355.58</v>
      </c>
      <c r="M118" s="6" t="s">
        <v>27</v>
      </c>
      <c r="N118" s="2">
        <f ca="1">IF(Iterations[[#This Row],[Step]] =current_step, current_Grad_a,IF(Iterations[[#This Row],[Step]] &gt; current_step, "",Iterations[[#This Row],[Grad_a]]))</f>
        <v>0.53905535046129316</v>
      </c>
      <c r="O118" s="2">
        <f ca="1">IF(Iterations[[#This Row],[Step]] =current_step, current_Grad_b,IF(Iterations[[#This Row],[Step]] &gt; current_step, "",Iterations[[#This Row],[Grad_b]]))</f>
        <v>5.7995855304704906E-2</v>
      </c>
      <c r="P118" s="2">
        <f ca="1">IF(Iterations[[#This Row],[Step]] =current_step, current_Grad_c,IF(Iterations[[#This Row],[Step]] &gt; current_step, "",Iterations[[#This Row],[Grad_c]]))</f>
        <v>-1.5107891880381887</v>
      </c>
      <c r="Q118" s="2">
        <f ca="1">IF(Iterations[[#This Row],[Step]] =current_step, current_Grad_d,IF(Iterations[[#This Row],[Step]] &gt; current_step, "",Iterations[[#This Row],[Grad_d]]))</f>
        <v>-8.5720084445618152E-3</v>
      </c>
      <c r="R118" s="2">
        <f ca="1">IF(Iterations[[#This Row],[Step]] =current_step, current_Grad_e,IF(Iterations[[#This Row],[Step]] &gt; current_step, "",Iterations[[#This Row],[Grad_e]]))</f>
        <v>0.52566592236152709</v>
      </c>
    </row>
    <row r="119" spans="6:18" x14ac:dyDescent="0.3">
      <c r="F119" s="2">
        <f t="shared" si="3"/>
        <v>102</v>
      </c>
      <c r="G119" s="2">
        <f ca="1">IF(Iterations[[#This Row],[Step]] =current_step, current_a,IF(Iterations[[#This Row],[Step]] &gt; current_step, "",Iterations[[#This Row],[a]]))</f>
        <v>-1.7978842019981185</v>
      </c>
      <c r="H119" s="2">
        <f ca="1">IF(Iterations[[#This Row],[Step]] =current_step, current_b,IF(Iterations[[#This Row],[Step]] &gt; current_step, "",Iterations[[#This Row],[b]]))</f>
        <v>1.1636185651938844</v>
      </c>
      <c r="I119" s="2">
        <f ca="1">IF(Iterations[[#This Row],[Step]] =current_step, current_c,IF(Iterations[[#This Row],[Step]] &gt; current_step, "",Iterations[[#This Row],[c]]))</f>
        <v>5.8581577844385313</v>
      </c>
      <c r="J119" s="2">
        <f ca="1">IF(Iterations[[#This Row],[Step]] =current_step, current_d,IF(Iterations[[#This Row],[Step]] &gt; current_step, "",Iterations[[#This Row],[d]]))</f>
        <v>0.62484735473830355</v>
      </c>
      <c r="K119" s="2">
        <f ca="1">IF(Iterations[[#This Row],[Step]] =current_step, current_e,IF(Iterations[[#This Row],[Step]] &gt; current_step, "",Iterations[[#This Row],[e]]))</f>
        <v>16.786044565022635</v>
      </c>
      <c r="L119" s="2">
        <f ca="1">IF(Iterations[[#This Row],[Step]] =current_step, current_Total_Loss,IF(Iterations[[#This Row],[Step]] &gt; current_step, "",Iterations[[#This Row],[Total Loss]]))</f>
        <v>353.02</v>
      </c>
      <c r="M119" s="6" t="s">
        <v>27</v>
      </c>
      <c r="N119" s="2">
        <f ca="1">IF(Iterations[[#This Row],[Step]] =current_step, current_Grad_a,IF(Iterations[[#This Row],[Step]] &gt; current_step, "",Iterations[[#This Row],[Grad_a]]))</f>
        <v>0.53620218856613866</v>
      </c>
      <c r="O119" s="2">
        <f ca="1">IF(Iterations[[#This Row],[Step]] =current_step, current_Grad_b,IF(Iterations[[#This Row],[Step]] &gt; current_step, "",Iterations[[#This Row],[Grad_b]]))</f>
        <v>5.7955077631160909E-2</v>
      </c>
      <c r="P119" s="2">
        <f ca="1">IF(Iterations[[#This Row],[Step]] =current_step, current_Grad_c,IF(Iterations[[#This Row],[Step]] &gt; current_step, "",Iterations[[#This Row],[Grad_c]]))</f>
        <v>-1.5032494084529018</v>
      </c>
      <c r="Q119" s="2">
        <f ca="1">IF(Iterations[[#This Row],[Step]] =current_step, current_Grad_d,IF(Iterations[[#This Row],[Step]] &gt; current_step, "",Iterations[[#This Row],[Grad_d]]))</f>
        <v>-9.1761293307214154E-3</v>
      </c>
      <c r="R119" s="2">
        <f ca="1">IF(Iterations[[#This Row],[Step]] =current_step, current_Grad_e,IF(Iterations[[#This Row],[Step]] &gt; current_step, "",Iterations[[#This Row],[Grad_e]]))</f>
        <v>0.52389235180135707</v>
      </c>
    </row>
    <row r="120" spans="6:18" x14ac:dyDescent="0.3">
      <c r="F120" s="2">
        <f t="shared" si="3"/>
        <v>103</v>
      </c>
      <c r="G120" s="2">
        <f ca="1">IF(Iterations[[#This Row],[Step]] =current_step, current_a,IF(Iterations[[#This Row],[Step]] &gt; current_step, "",Iterations[[#This Row],[a]]))</f>
        <v>-1.8246943114264254</v>
      </c>
      <c r="H120" s="2">
        <f ca="1">IF(Iterations[[#This Row],[Step]] =current_step, current_b,IF(Iterations[[#This Row],[Step]] &gt; current_step, "",Iterations[[#This Row],[b]]))</f>
        <v>1.1607208113123264</v>
      </c>
      <c r="I120" s="2">
        <f ca="1">IF(Iterations[[#This Row],[Step]] =current_step, current_c,IF(Iterations[[#This Row],[Step]] &gt; current_step, "",Iterations[[#This Row],[c]]))</f>
        <v>5.9333202548611768</v>
      </c>
      <c r="J120" s="2">
        <f ca="1">IF(Iterations[[#This Row],[Step]] =current_step, current_d,IF(Iterations[[#This Row],[Step]] &gt; current_step, "",Iterations[[#This Row],[d]]))</f>
        <v>0.62530616120483962</v>
      </c>
      <c r="K120" s="2">
        <f ca="1">IF(Iterations[[#This Row],[Step]] =current_step, current_e,IF(Iterations[[#This Row],[Step]] &gt; current_step, "",Iterations[[#This Row],[e]]))</f>
        <v>16.759849947432567</v>
      </c>
      <c r="L120" s="2">
        <f ca="1">IF(Iterations[[#This Row],[Step]] =current_step, current_Total_Loss,IF(Iterations[[#This Row],[Step]] &gt; current_step, "",Iterations[[#This Row],[Total Loss]]))</f>
        <v>350.49</v>
      </c>
      <c r="M120" s="6" t="s">
        <v>27</v>
      </c>
      <c r="N120" s="2">
        <f ca="1">IF(Iterations[[#This Row],[Step]] =current_step, current_Grad_a,IF(Iterations[[#This Row],[Step]] &gt; current_step, "",Iterations[[#This Row],[Grad_a]]))</f>
        <v>0.53337922574380969</v>
      </c>
      <c r="O120" s="2">
        <f ca="1">IF(Iterations[[#This Row],[Step]] =current_step, current_Grad_b,IF(Iterations[[#This Row],[Step]] &gt; current_step, "",Iterations[[#This Row],[Grad_b]]))</f>
        <v>5.7913861061837345E-2</v>
      </c>
      <c r="P120" s="2">
        <f ca="1">IF(Iterations[[#This Row],[Step]] =current_step, current_Grad_c,IF(Iterations[[#This Row],[Step]] &gt; current_step, "",Iterations[[#This Row],[Grad_c]]))</f>
        <v>-1.4957592153596289</v>
      </c>
      <c r="Q120" s="2">
        <f ca="1">IF(Iterations[[#This Row],[Step]] =current_step, current_Grad_d,IF(Iterations[[#This Row],[Step]] &gt; current_step, "",Iterations[[#This Row],[Grad_d]]))</f>
        <v>-9.7669387182064173E-3</v>
      </c>
      <c r="R120" s="2">
        <f ca="1">IF(Iterations[[#This Row],[Step]] =current_step, current_Grad_e,IF(Iterations[[#This Row],[Step]] &gt; current_step, "",Iterations[[#This Row],[Grad_e]]))</f>
        <v>0.52207587725972482</v>
      </c>
    </row>
    <row r="121" spans="6:18" x14ac:dyDescent="0.3">
      <c r="F121" s="2">
        <f t="shared" si="3"/>
        <v>104</v>
      </c>
      <c r="G121" s="2">
        <f ca="1">IF(Iterations[[#This Row],[Step]] =current_step, current_a,IF(Iterations[[#This Row],[Step]] &gt; current_step, "",Iterations[[#This Row],[a]]))</f>
        <v>-1.8513632727136158</v>
      </c>
      <c r="H121" s="2">
        <f ca="1">IF(Iterations[[#This Row],[Step]] =current_step, current_b,IF(Iterations[[#This Row],[Step]] &gt; current_step, "",Iterations[[#This Row],[b]]))</f>
        <v>1.1578251182592345</v>
      </c>
      <c r="I121" s="2">
        <f ca="1">IF(Iterations[[#This Row],[Step]] =current_step, current_c,IF(Iterations[[#This Row],[Step]] &gt; current_step, "",Iterations[[#This Row],[c]]))</f>
        <v>6.0081082156291581</v>
      </c>
      <c r="J121" s="2">
        <f ca="1">IF(Iterations[[#This Row],[Step]] =current_step, current_d,IF(Iterations[[#This Row],[Step]] &gt; current_step, "",Iterations[[#This Row],[d]]))</f>
        <v>0.62579450814074988</v>
      </c>
      <c r="K121" s="2">
        <f ca="1">IF(Iterations[[#This Row],[Step]] =current_step, current_e,IF(Iterations[[#This Row],[Step]] &gt; current_step, "",Iterations[[#This Row],[e]]))</f>
        <v>16.73374615356958</v>
      </c>
      <c r="L121" s="2">
        <f ca="1">IF(Iterations[[#This Row],[Step]] =current_step, current_Total_Loss,IF(Iterations[[#This Row],[Step]] &gt; current_step, "",Iterations[[#This Row],[Total Loss]]))</f>
        <v>347.97</v>
      </c>
      <c r="M121" s="6" t="s">
        <v>27</v>
      </c>
      <c r="N121" s="2">
        <f ca="1">IF(Iterations[[#This Row],[Step]] =current_step, current_Grad_a,IF(Iterations[[#This Row],[Step]] &gt; current_step, "",Iterations[[#This Row],[Grad_a]]))</f>
        <v>0.53058524018134023</v>
      </c>
      <c r="O121" s="2">
        <f ca="1">IF(Iterations[[#This Row],[Step]] =current_step, current_Grad_b,IF(Iterations[[#This Row],[Step]] &gt; current_step, "",Iterations[[#This Row],[Grad_b]]))</f>
        <v>5.7872057981351567E-2</v>
      </c>
      <c r="P121" s="2">
        <f ca="1">IF(Iterations[[#This Row],[Step]] =current_step, current_Grad_c,IF(Iterations[[#This Row],[Step]] &gt; current_step, "",Iterations[[#This Row],[Grad_c]]))</f>
        <v>-1.4883175397476169</v>
      </c>
      <c r="Q121" s="2">
        <f ca="1">IF(Iterations[[#This Row],[Step]] =current_step, current_Grad_d,IF(Iterations[[#This Row],[Step]] &gt; current_step, "",Iterations[[#This Row],[Grad_d]]))</f>
        <v>-1.0344775398901737E-2</v>
      </c>
      <c r="R121" s="2">
        <f ca="1">IF(Iterations[[#This Row],[Step]] =current_step, current_Grad_e,IF(Iterations[[#This Row],[Step]] &gt; current_step, "",Iterations[[#This Row],[Grad_e]]))</f>
        <v>0.52022008916716045</v>
      </c>
    </row>
    <row r="122" spans="6:18" x14ac:dyDescent="0.3">
      <c r="F122" s="2">
        <f t="shared" si="3"/>
        <v>105</v>
      </c>
      <c r="G122" s="2">
        <f ca="1">IF(Iterations[[#This Row],[Step]] =current_step, current_a,IF(Iterations[[#This Row],[Step]] &gt; current_step, "",Iterations[[#This Row],[a]]))</f>
        <v>-1.8778925347226827</v>
      </c>
      <c r="H122" s="2">
        <f ca="1">IF(Iterations[[#This Row],[Step]] =current_step, current_b,IF(Iterations[[#This Row],[Step]] &gt; current_step, "",Iterations[[#This Row],[b]]))</f>
        <v>1.1549315153601669</v>
      </c>
      <c r="I122" s="2">
        <f ca="1">IF(Iterations[[#This Row],[Step]] =current_step, current_c,IF(Iterations[[#This Row],[Step]] &gt; current_step, "",Iterations[[#This Row],[c]]))</f>
        <v>6.0825240926165387</v>
      </c>
      <c r="J122" s="2">
        <f ca="1">IF(Iterations[[#This Row],[Step]] =current_step, current_d,IF(Iterations[[#This Row],[Step]] &gt; current_step, "",Iterations[[#This Row],[d]]))</f>
        <v>0.62631174691069502</v>
      </c>
      <c r="K122" s="2">
        <f ca="1">IF(Iterations[[#This Row],[Step]] =current_step, current_e,IF(Iterations[[#This Row],[Step]] &gt; current_step, "",Iterations[[#This Row],[e]]))</f>
        <v>16.707735149111222</v>
      </c>
      <c r="L122" s="2">
        <f ca="1">IF(Iterations[[#This Row],[Step]] =current_step, current_Total_Loss,IF(Iterations[[#This Row],[Step]] &gt; current_step, "",Iterations[[#This Row],[Total Loss]]))</f>
        <v>345.49</v>
      </c>
      <c r="M122" s="6" t="s">
        <v>27</v>
      </c>
      <c r="N122" s="2">
        <f ca="1">IF(Iterations[[#This Row],[Step]] =current_step, current_Grad_a,IF(Iterations[[#This Row],[Step]] &gt; current_step, "",Iterations[[#This Row],[Grad_a]]))</f>
        <v>0.52781908636654584</v>
      </c>
      <c r="O122" s="2">
        <f ca="1">IF(Iterations[[#This Row],[Step]] =current_step, current_Grad_b,IF(Iterations[[#This Row],[Step]] &gt; current_step, "",Iterations[[#This Row],[Grad_b]]))</f>
        <v>5.7829533716105094E-2</v>
      </c>
      <c r="P122" s="2">
        <f ca="1">IF(Iterations[[#This Row],[Step]] =current_step, current_Grad_c,IF(Iterations[[#This Row],[Step]] &gt; current_step, "",Iterations[[#This Row],[Grad_c]]))</f>
        <v>-1.4809233716273029</v>
      </c>
      <c r="Q122" s="2">
        <f ca="1">IF(Iterations[[#This Row],[Step]] =current_step, current_Grad_d,IF(Iterations[[#This Row],[Step]] &gt; current_step, "",Iterations[[#This Row],[Grad_d]]))</f>
        <v>-1.0909963735445751E-2</v>
      </c>
      <c r="R122" s="2">
        <f ca="1">IF(Iterations[[#This Row],[Step]] =current_step, current_Grad_e,IF(Iterations[[#This Row],[Step]] &gt; current_step, "",Iterations[[#This Row],[Grad_e]]))</f>
        <v>0.51832833913928456</v>
      </c>
    </row>
    <row r="123" spans="6:18" x14ac:dyDescent="0.3">
      <c r="F123" s="2">
        <f t="shared" si="3"/>
        <v>106</v>
      </c>
      <c r="G123" s="2">
        <f ca="1">IF(Iterations[[#This Row],[Step]] =current_step, current_a,IF(Iterations[[#This Row],[Step]] &gt; current_step, "",Iterations[[#This Row],[a]]))</f>
        <v>-1.9042834890410101</v>
      </c>
      <c r="H123" s="2">
        <f ca="1">IF(Iterations[[#This Row],[Step]] =current_step, current_b,IF(Iterations[[#This Row],[Step]] &gt; current_step, "",Iterations[[#This Row],[b]]))</f>
        <v>1.1520400386743617</v>
      </c>
      <c r="I123" s="2">
        <f ca="1">IF(Iterations[[#This Row],[Step]] =current_step, current_c,IF(Iterations[[#This Row],[Step]] &gt; current_step, "",Iterations[[#This Row],[c]]))</f>
        <v>6.1565702611979036</v>
      </c>
      <c r="J123" s="2">
        <f ca="1">IF(Iterations[[#This Row],[Step]] =current_step, current_d,IF(Iterations[[#This Row],[Step]] &gt; current_step, "",Iterations[[#This Row],[d]]))</f>
        <v>0.62685724509746732</v>
      </c>
      <c r="K123" s="2">
        <f ca="1">IF(Iterations[[#This Row],[Step]] =current_step, current_e,IF(Iterations[[#This Row],[Step]] &gt; current_step, "",Iterations[[#This Row],[e]]))</f>
        <v>16.681818732154259</v>
      </c>
      <c r="L123" s="2">
        <f ca="1">IF(Iterations[[#This Row],[Step]] =current_step, current_Total_Loss,IF(Iterations[[#This Row],[Step]] &gt; current_step, "",Iterations[[#This Row],[Total Loss]]))</f>
        <v>343.02</v>
      </c>
      <c r="M123" s="6" t="s">
        <v>27</v>
      </c>
      <c r="N123" s="2">
        <f ca="1">IF(Iterations[[#This Row],[Step]] =current_step, current_Grad_a,IF(Iterations[[#This Row],[Step]] &gt; current_step, "",Iterations[[#This Row],[Grad_a]]))</f>
        <v>0.52507969011488997</v>
      </c>
      <c r="O123" s="2">
        <f ca="1">IF(Iterations[[#This Row],[Step]] =current_step, current_Grad_b,IF(Iterations[[#This Row],[Step]] &gt; current_step, "",Iterations[[#This Row],[Grad_b]]))</f>
        <v>5.7786165640988645E-2</v>
      </c>
      <c r="P123" s="2">
        <f ca="1">IF(Iterations[[#This Row],[Step]] =current_step, current_Grad_c,IF(Iterations[[#This Row],[Step]] &gt; current_step, "",Iterations[[#This Row],[Grad_c]]))</f>
        <v>-1.4735757562279126</v>
      </c>
      <c r="Q123" s="2">
        <f ca="1">IF(Iterations[[#This Row],[Step]] =current_step, current_Grad_d,IF(Iterations[[#This Row],[Step]] &gt; current_step, "",Iterations[[#This Row],[Grad_d]]))</f>
        <v>-1.1462814501902722E-2</v>
      </c>
      <c r="R123" s="2">
        <f ca="1">IF(Iterations[[#This Row],[Step]] =current_step, current_Grad_e,IF(Iterations[[#This Row],[Step]] &gt; current_step, "",Iterations[[#This Row],[Grad_e]]))</f>
        <v>0.5164037556172103</v>
      </c>
    </row>
    <row r="124" spans="6:18" x14ac:dyDescent="0.3">
      <c r="F124" s="2">
        <f t="shared" si="3"/>
        <v>107</v>
      </c>
      <c r="G124" s="2">
        <f ca="1">IF(Iterations[[#This Row],[Step]] =current_step, current_a,IF(Iterations[[#This Row],[Step]] &gt; current_step, "",Iterations[[#This Row],[a]]))</f>
        <v>-1.9305374735467546</v>
      </c>
      <c r="H124" s="2">
        <f ca="1">IF(Iterations[[#This Row],[Step]] =current_step, current_b,IF(Iterations[[#This Row],[Step]] &gt; current_step, "",Iterations[[#This Row],[b]]))</f>
        <v>1.1491507303923123</v>
      </c>
      <c r="I124" s="2">
        <f ca="1">IF(Iterations[[#This Row],[Step]] =current_step, current_c,IF(Iterations[[#This Row],[Step]] &gt; current_step, "",Iterations[[#This Row],[c]]))</f>
        <v>6.2302490490092994</v>
      </c>
      <c r="J124" s="2">
        <f ca="1">IF(Iterations[[#This Row],[Step]] =current_step, current_d,IF(Iterations[[#This Row],[Step]] &gt; current_step, "",Iterations[[#This Row],[d]]))</f>
        <v>0.6274303858225625</v>
      </c>
      <c r="K124" s="2">
        <f ca="1">IF(Iterations[[#This Row],[Step]] =current_step, current_e,IF(Iterations[[#This Row],[Step]] &gt; current_step, "",Iterations[[#This Row],[e]]))</f>
        <v>16.6559985443734</v>
      </c>
      <c r="L124" s="2">
        <f ca="1">IF(Iterations[[#This Row],[Step]] =current_step, current_Total_Loss,IF(Iterations[[#This Row],[Step]] &gt; current_step, "",Iterations[[#This Row],[Total Loss]]))</f>
        <v>340.58</v>
      </c>
      <c r="M124" s="6" t="s">
        <v>27</v>
      </c>
      <c r="N124" s="2">
        <f ca="1">IF(Iterations[[#This Row],[Step]] =current_step, current_Grad_a,IF(Iterations[[#This Row],[Step]] &gt; current_step, "",Iterations[[#This Row],[Grad_a]]))</f>
        <v>0.52236604392167862</v>
      </c>
      <c r="O124" s="2">
        <f ca="1">IF(Iterations[[#This Row],[Step]] =current_step, current_Grad_b,IF(Iterations[[#This Row],[Step]] &gt; current_step, "",Iterations[[#This Row],[Grad_b]]))</f>
        <v>5.7741842345127817E-2</v>
      </c>
      <c r="P124" s="2">
        <f ca="1">IF(Iterations[[#This Row],[Step]] =current_step, current_Grad_c,IF(Iterations[[#This Row],[Step]] &gt; current_step, "",Iterations[[#This Row],[Grad_c]]))</f>
        <v>-1.4662737904433227</v>
      </c>
      <c r="Q124" s="2">
        <f ca="1">IF(Iterations[[#This Row],[Step]] =current_step, current_Grad_d,IF(Iterations[[#This Row],[Step]] &gt; current_step, "",Iterations[[#This Row],[Grad_d]]))</f>
        <v>-1.2003625670785389E-2</v>
      </c>
      <c r="R124" s="2">
        <f ca="1">IF(Iterations[[#This Row],[Step]] =current_step, current_Grad_e,IF(Iterations[[#This Row],[Step]] &gt; current_step, "",Iterations[[#This Row],[Grad_e]]))</f>
        <v>0.51444925848498591</v>
      </c>
    </row>
    <row r="125" spans="6:18" x14ac:dyDescent="0.3">
      <c r="F125" s="2">
        <f t="shared" si="3"/>
        <v>108</v>
      </c>
      <c r="G125" s="2">
        <f ca="1">IF(Iterations[[#This Row],[Step]] =current_step, current_a,IF(Iterations[[#This Row],[Step]] &gt; current_step, "",Iterations[[#This Row],[a]]))</f>
        <v>-1.9566557757428387</v>
      </c>
      <c r="H125" s="2">
        <f ca="1">IF(Iterations[[#This Row],[Step]] =current_step, current_b,IF(Iterations[[#This Row],[Step]] &gt; current_step, "",Iterations[[#This Row],[b]]))</f>
        <v>1.146263638275056</v>
      </c>
      <c r="I125" s="2">
        <f ca="1">IF(Iterations[[#This Row],[Step]] =current_step, current_c,IF(Iterations[[#This Row],[Step]] &gt; current_step, "",Iterations[[#This Row],[c]]))</f>
        <v>6.3035627385314656</v>
      </c>
      <c r="J125" s="2">
        <f ca="1">IF(Iterations[[#This Row],[Step]] =current_step, current_d,IF(Iterations[[#This Row],[Step]] &gt; current_step, "",Iterations[[#This Row],[d]]))</f>
        <v>0.62803056710610172</v>
      </c>
      <c r="K125" s="2">
        <f ca="1">IF(Iterations[[#This Row],[Step]] =current_step, current_e,IF(Iterations[[#This Row],[Step]] &gt; current_step, "",Iterations[[#This Row],[e]]))</f>
        <v>16.63027608144915</v>
      </c>
      <c r="L125" s="2">
        <f ca="1">IF(Iterations[[#This Row],[Step]] =current_step, current_Total_Loss,IF(Iterations[[#This Row],[Step]] &gt; current_step, "",Iterations[[#This Row],[Total Loss]]))</f>
        <v>338.17</v>
      </c>
      <c r="M125" s="6" t="s">
        <v>27</v>
      </c>
      <c r="N125" s="2">
        <f ca="1">IF(Iterations[[#This Row],[Step]] =current_step, current_Grad_a,IF(Iterations[[#This Row],[Step]] &gt; current_step, "",Iterations[[#This Row],[Grad_a]]))</f>
        <v>0.51967720261789552</v>
      </c>
      <c r="O125" s="2">
        <f ca="1">IF(Iterations[[#This Row],[Step]] =current_step, current_Grad_b,IF(Iterations[[#This Row],[Step]] &gt; current_step, "",Iterations[[#This Row],[Grad_b]]))</f>
        <v>5.7696462852871652E-2</v>
      </c>
      <c r="P125" s="2">
        <f ca="1">IF(Iterations[[#This Row],[Step]] =current_step, current_Grad_c,IF(Iterations[[#This Row],[Step]] &gt; current_step, "",Iterations[[#This Row],[Grad_c]]))</f>
        <v>-1.4590166195101173</v>
      </c>
      <c r="Q125" s="2">
        <f ca="1">IF(Iterations[[#This Row],[Step]] =current_step, current_Grad_d,IF(Iterations[[#This Row],[Step]] &gt; current_step, "",Iterations[[#This Row],[Grad_d]]))</f>
        <v>-1.2532683149904954E-2</v>
      </c>
      <c r="R125" s="2">
        <f ca="1">IF(Iterations[[#This Row],[Step]] =current_step, current_Grad_e,IF(Iterations[[#This Row],[Step]] &gt; current_step, "",Iterations[[#This Row],[Grad_e]]))</f>
        <v>0.5124675727308643</v>
      </c>
    </row>
    <row r="126" spans="6:18" x14ac:dyDescent="0.3">
      <c r="F126" s="2">
        <f t="shared" si="3"/>
        <v>109</v>
      </c>
      <c r="G126" s="2">
        <f ca="1">IF(Iterations[[#This Row],[Step]] =current_step, current_a,IF(Iterations[[#This Row],[Step]] &gt; current_step, "",Iterations[[#This Row],[a]]))</f>
        <v>-1.9826396358737335</v>
      </c>
      <c r="H126" s="2">
        <f ca="1">IF(Iterations[[#This Row],[Step]] =current_step, current_b,IF(Iterations[[#This Row],[Step]] &gt; current_step, "",Iterations[[#This Row],[b]]))</f>
        <v>1.1433788151324125</v>
      </c>
      <c r="I126" s="2">
        <f ca="1">IF(Iterations[[#This Row],[Step]] =current_step, current_c,IF(Iterations[[#This Row],[Step]] &gt; current_step, "",Iterations[[#This Row],[c]]))</f>
        <v>6.3765135695069715</v>
      </c>
      <c r="J126" s="2">
        <f ca="1">IF(Iterations[[#This Row],[Step]] =current_step, current_d,IF(Iterations[[#This Row],[Step]] &gt; current_step, "",Iterations[[#This Row],[d]]))</f>
        <v>0.62865720126359692</v>
      </c>
      <c r="K126" s="2">
        <f ca="1">IF(Iterations[[#This Row],[Step]] =current_step, current_e,IF(Iterations[[#This Row],[Step]] &gt; current_step, "",Iterations[[#This Row],[e]]))</f>
        <v>16.604652702812608</v>
      </c>
      <c r="L126" s="2">
        <f ca="1">IF(Iterations[[#This Row],[Step]] =current_step, current_Total_Loss,IF(Iterations[[#This Row],[Step]] &gt; current_step, "",Iterations[[#This Row],[Total Loss]]))</f>
        <v>335.78</v>
      </c>
      <c r="M126" s="6" t="s">
        <v>27</v>
      </c>
      <c r="N126" s="2">
        <f ca="1">IF(Iterations[[#This Row],[Step]] =current_step, current_Grad_a,IF(Iterations[[#This Row],[Step]] &gt; current_step, "",Iterations[[#This Row],[Grad_a]]))</f>
        <v>0.51701227931037863</v>
      </c>
      <c r="O126" s="2">
        <f ca="1">IF(Iterations[[#This Row],[Step]] =current_step, current_Grad_b,IF(Iterations[[#This Row],[Step]] &gt; current_step, "",Iterations[[#This Row],[Grad_b]]))</f>
        <v>5.7649935896208739E-2</v>
      </c>
      <c r="P126" s="2">
        <f ca="1">IF(Iterations[[#This Row],[Step]] =current_step, current_Grad_c,IF(Iterations[[#This Row],[Step]] &gt; current_step, "",Iterations[[#This Row],[Grad_c]]))</f>
        <v>-1.4518034339024459</v>
      </c>
      <c r="Q126" s="2">
        <f ca="1">IF(Iterations[[#This Row],[Step]] =current_step, current_Grad_d,IF(Iterations[[#This Row],[Step]] &gt; current_step, "",Iterations[[#This Row],[Grad_d]]))</f>
        <v>-1.3050261472368676E-2</v>
      </c>
      <c r="R126" s="2">
        <f ca="1">IF(Iterations[[#This Row],[Step]] =current_step, current_Grad_e,IF(Iterations[[#This Row],[Step]] &gt; current_step, "",Iterations[[#This Row],[Grad_e]]))</f>
        <v>0.51046124121506353</v>
      </c>
    </row>
    <row r="127" spans="6:18" x14ac:dyDescent="0.3">
      <c r="F127" s="2">
        <f t="shared" si="3"/>
        <v>110</v>
      </c>
      <c r="G127" s="2">
        <f ca="1">IF(Iterations[[#This Row],[Step]] =current_step, current_a,IF(Iterations[[#This Row],[Step]] &gt; current_step, "",Iterations[[#This Row],[a]]))</f>
        <v>-2.0084902498392525</v>
      </c>
      <c r="H127" s="2">
        <f ca="1">IF(Iterations[[#This Row],[Step]] =current_step, current_b,IF(Iterations[[#This Row],[Step]] &gt; current_step, "",Iterations[[#This Row],[b]]))</f>
        <v>1.140496318337602</v>
      </c>
      <c r="I127" s="2">
        <f ca="1">IF(Iterations[[#This Row],[Step]] =current_step, current_c,IF(Iterations[[#This Row],[Step]] &gt; current_step, "",Iterations[[#This Row],[c]]))</f>
        <v>6.4491037412020935</v>
      </c>
      <c r="J127" s="2">
        <f ca="1">IF(Iterations[[#This Row],[Step]] =current_step, current_d,IF(Iterations[[#This Row],[Step]] &gt; current_step, "",Iterations[[#This Row],[d]]))</f>
        <v>0.62930971433721539</v>
      </c>
      <c r="K127" s="2">
        <f ca="1">IF(Iterations[[#This Row],[Step]] =current_step, current_e,IF(Iterations[[#This Row],[Step]] &gt; current_step, "",Iterations[[#This Row],[e]]))</f>
        <v>16.579129640751855</v>
      </c>
      <c r="L127" s="2">
        <f ca="1">IF(Iterations[[#This Row],[Step]] =current_step, current_Total_Loss,IF(Iterations[[#This Row],[Step]] &gt; current_step, "",Iterations[[#This Row],[Total Loss]]))</f>
        <v>333.41</v>
      </c>
      <c r="M127" s="6" t="s">
        <v>27</v>
      </c>
      <c r="N127" s="2">
        <f ca="1">IF(Iterations[[#This Row],[Step]] =current_step, current_Grad_a,IF(Iterations[[#This Row],[Step]] &gt; current_step, "",Iterations[[#This Row],[Grad_a]]))</f>
        <v>0.5143704415871978</v>
      </c>
      <c r="O127" s="2">
        <f ca="1">IF(Iterations[[#This Row],[Step]] =current_step, current_Grad_b,IF(Iterations[[#This Row],[Step]] &gt; current_step, "",Iterations[[#This Row],[Grad_b]]))</f>
        <v>5.7602179235484385E-2</v>
      </c>
      <c r="P127" s="2">
        <f ca="1">IF(Iterations[[#This Row],[Step]] =current_step, current_Grad_c,IF(Iterations[[#This Row],[Step]] &gt; current_step, "",Iterations[[#This Row],[Grad_c]]))</f>
        <v>-1.4446334664297189</v>
      </c>
      <c r="Q127" s="2">
        <f ca="1">IF(Iterations[[#This Row],[Step]] =current_step, current_Grad_d,IF(Iterations[[#This Row],[Step]] &gt; current_step, "",Iterations[[#This Row],[Grad_d]]))</f>
        <v>-1.3556624442699968E-2</v>
      </c>
      <c r="R127" s="2">
        <f ca="1">IF(Iterations[[#This Row],[Step]] =current_step, current_Grad_e,IF(Iterations[[#This Row],[Step]] &gt; current_step, "",Iterations[[#This Row],[Grad_e]]))</f>
        <v>0.50843263660230853</v>
      </c>
    </row>
    <row r="128" spans="6:18" x14ac:dyDescent="0.3">
      <c r="F128" s="2">
        <f t="shared" si="3"/>
        <v>111</v>
      </c>
      <c r="G128" s="2">
        <f ca="1">IF(Iterations[[#This Row],[Step]] =current_step, current_a,IF(Iterations[[#This Row],[Step]] &gt; current_step, "",Iterations[[#This Row],[a]]))</f>
        <v>-2.0342087719186126</v>
      </c>
      <c r="H128" s="2">
        <f ca="1">IF(Iterations[[#This Row],[Step]] =current_step, current_b,IF(Iterations[[#This Row],[Step]] &gt; current_step, "",Iterations[[#This Row],[b]]))</f>
        <v>1.1376162093758277</v>
      </c>
      <c r="I128" s="2">
        <f ca="1">IF(Iterations[[#This Row],[Step]] =current_step, current_c,IF(Iterations[[#This Row],[Step]] &gt; current_step, "",Iterations[[#This Row],[c]]))</f>
        <v>6.5213354145235796</v>
      </c>
      <c r="J128" s="2">
        <f ca="1">IF(Iterations[[#This Row],[Step]] =current_step, current_d,IF(Iterations[[#This Row],[Step]] &gt; current_step, "",Iterations[[#This Row],[d]]))</f>
        <v>0.62998754555935044</v>
      </c>
      <c r="K128" s="2">
        <f ca="1">IF(Iterations[[#This Row],[Step]] =current_step, current_e,IF(Iterations[[#This Row],[Step]] &gt; current_step, "",Iterations[[#This Row],[e]]))</f>
        <v>16.553708008921738</v>
      </c>
      <c r="L128" s="2">
        <f ca="1">IF(Iterations[[#This Row],[Step]] =current_step, current_Total_Loss,IF(Iterations[[#This Row],[Step]] &gt; current_step, "",Iterations[[#This Row],[Total Loss]]))</f>
        <v>331.06</v>
      </c>
      <c r="M128" s="6" t="s">
        <v>27</v>
      </c>
      <c r="N128" s="2">
        <f ca="1">IF(Iterations[[#This Row],[Step]] =current_step, current_Grad_a,IF(Iterations[[#This Row],[Step]] &gt; current_step, "",Iterations[[#This Row],[Grad_a]]))</f>
        <v>0.51175090797115053</v>
      </c>
      <c r="O128" s="2">
        <f ca="1">IF(Iterations[[#This Row],[Step]] =current_step, current_Grad_b,IF(Iterations[[#This Row],[Step]] &gt; current_step, "",Iterations[[#This Row],[Grad_b]]))</f>
        <v>5.7553119025053529E-2</v>
      </c>
      <c r="P128" s="2">
        <f ca="1">IF(Iterations[[#This Row],[Step]] =current_step, current_Grad_c,IF(Iterations[[#This Row],[Step]] &gt; current_step, "",Iterations[[#This Row],[Grad_c]]))</f>
        <v>-1.4375059895237703</v>
      </c>
      <c r="Q128" s="2">
        <f ca="1">IF(Iterations[[#This Row],[Step]] =current_step, current_Grad_d,IF(Iterations[[#This Row],[Step]] &gt; current_step, "",Iterations[[#This Row],[Grad_d]]))</f>
        <v>-1.4052025741990271E-2</v>
      </c>
      <c r="R128" s="2">
        <f ca="1">IF(Iterations[[#This Row],[Step]] =current_step, current_Grad_e,IF(Iterations[[#This Row],[Step]] &gt; current_step, "",Iterations[[#This Row],[Grad_e]]))</f>
        <v>0.50638397251388811</v>
      </c>
    </row>
    <row r="129" spans="6:18" x14ac:dyDescent="0.3">
      <c r="F129" s="2">
        <f t="shared" si="3"/>
        <v>112</v>
      </c>
      <c r="G129" s="2">
        <f ca="1">IF(Iterations[[#This Row],[Step]] =current_step, current_a,IF(Iterations[[#This Row],[Step]] &gt; current_step, "",Iterations[[#This Row],[a]]))</f>
        <v>-2.0597963173171703</v>
      </c>
      <c r="H129" s="2">
        <f ca="1">IF(Iterations[[#This Row],[Step]] =current_step, current_b,IF(Iterations[[#This Row],[Step]] &gt; current_step, "",Iterations[[#This Row],[b]]))</f>
        <v>1.1347385534245751</v>
      </c>
      <c r="I129" s="2">
        <f ca="1">IF(Iterations[[#This Row],[Step]] =current_step, current_c,IF(Iterations[[#This Row],[Step]] &gt; current_step, "",Iterations[[#This Row],[c]]))</f>
        <v>6.5932107139997678</v>
      </c>
      <c r="J129" s="2">
        <f ca="1">IF(Iterations[[#This Row],[Step]] =current_step, current_d,IF(Iterations[[#This Row],[Step]] &gt; current_step, "",Iterations[[#This Row],[d]]))</f>
        <v>0.63069014684644997</v>
      </c>
      <c r="K129" s="2">
        <f ca="1">IF(Iterations[[#This Row],[Step]] =current_step, current_e,IF(Iterations[[#This Row],[Step]] &gt; current_step, "",Iterations[[#This Row],[e]]))</f>
        <v>16.528388810296043</v>
      </c>
      <c r="L129" s="2">
        <f ca="1">IF(Iterations[[#This Row],[Step]] =current_step, current_Total_Loss,IF(Iterations[[#This Row],[Step]] &gt; current_step, "",Iterations[[#This Row],[Total Loss]]))</f>
        <v>328.74</v>
      </c>
      <c r="M129" s="6" t="s">
        <v>27</v>
      </c>
      <c r="N129" s="2">
        <f ca="1">IF(Iterations[[#This Row],[Step]] =current_step, current_Grad_a,IF(Iterations[[#This Row],[Step]] &gt; current_step, "",Iterations[[#This Row],[Grad_a]]))</f>
        <v>0.50915294460527916</v>
      </c>
      <c r="O129" s="2">
        <f ca="1">IF(Iterations[[#This Row],[Step]] =current_step, current_Grad_b,IF(Iterations[[#This Row],[Step]] &gt; current_step, "",Iterations[[#This Row],[Grad_b]]))</f>
        <v>5.7502689221058979E-2</v>
      </c>
      <c r="P129" s="2">
        <f ca="1">IF(Iterations[[#This Row],[Step]] =current_step, current_Grad_c,IF(Iterations[[#This Row],[Step]] &gt; current_step, "",Iterations[[#This Row],[Grad_c]]))</f>
        <v>-1.4304203127030379</v>
      </c>
      <c r="Q129" s="2">
        <f ca="1">IF(Iterations[[#This Row],[Step]] =current_step, current_Grad_d,IF(Iterations[[#This Row],[Step]] &gt; current_step, "",Iterations[[#This Row],[Grad_d]]))</f>
        <v>-1.4536709494708965E-2</v>
      </c>
      <c r="R129" s="2">
        <f ca="1">IF(Iterations[[#This Row],[Step]] =current_step, current_Grad_e,IF(Iterations[[#This Row],[Step]] &gt; current_step, "",Iterations[[#This Row],[Grad_e]]))</f>
        <v>0.50431731395025836</v>
      </c>
    </row>
    <row r="130" spans="6:18" x14ac:dyDescent="0.3">
      <c r="F130" s="2">
        <f t="shared" si="3"/>
        <v>113</v>
      </c>
      <c r="G130" s="2">
        <f ca="1">IF(Iterations[[#This Row],[Step]] =current_step, current_a,IF(Iterations[[#This Row],[Step]] &gt; current_step, "",Iterations[[#This Row],[a]]))</f>
        <v>-2.0852539645474342</v>
      </c>
      <c r="H130" s="2">
        <f ca="1">IF(Iterations[[#This Row],[Step]] =current_step, current_b,IF(Iterations[[#This Row],[Step]] &gt; current_step, "",Iterations[[#This Row],[b]]))</f>
        <v>1.1318634189635222</v>
      </c>
      <c r="I130" s="2">
        <f ca="1">IF(Iterations[[#This Row],[Step]] =current_step, current_c,IF(Iterations[[#This Row],[Step]] &gt; current_step, "",Iterations[[#This Row],[c]]))</f>
        <v>6.6647317296349193</v>
      </c>
      <c r="J130" s="2">
        <f ca="1">IF(Iterations[[#This Row],[Step]] =current_step, current_d,IF(Iterations[[#This Row],[Step]] &gt; current_step, "",Iterations[[#This Row],[d]]))</f>
        <v>0.63141698232118537</v>
      </c>
      <c r="K130" s="2">
        <f ca="1">IF(Iterations[[#This Row],[Step]] =current_step, current_e,IF(Iterations[[#This Row],[Step]] &gt; current_step, "",Iterations[[#This Row],[e]]))</f>
        <v>16.503172944598532</v>
      </c>
      <c r="L130" s="2">
        <f ca="1">IF(Iterations[[#This Row],[Step]] =current_step, current_Total_Loss,IF(Iterations[[#This Row],[Step]] &gt; current_step, "",Iterations[[#This Row],[Total Loss]]))</f>
        <v>326.43</v>
      </c>
      <c r="M130" s="6" t="s">
        <v>27</v>
      </c>
      <c r="N130" s="2">
        <f ca="1">IF(Iterations[[#This Row],[Step]] =current_step, current_Grad_a,IF(Iterations[[#This Row],[Step]] &gt; current_step, "",Iterations[[#This Row],[Grad_a]]))</f>
        <v>0.50657586215490247</v>
      </c>
      <c r="O130" s="2">
        <f ca="1">IF(Iterations[[#This Row],[Step]] =current_step, current_Grad_b,IF(Iterations[[#This Row],[Step]] &gt; current_step, "",Iterations[[#This Row],[Grad_b]]))</f>
        <v>5.74508310284296E-2</v>
      </c>
      <c r="P130" s="2">
        <f ca="1">IF(Iterations[[#This Row],[Step]] =current_step, current_Grad_c,IF(Iterations[[#This Row],[Step]] &gt; current_step, "",Iterations[[#This Row],[Grad_c]]))</f>
        <v>-1.423375780202351</v>
      </c>
      <c r="Q130" s="2">
        <f ca="1">IF(Iterations[[#This Row],[Step]] =current_step, current_Grad_d,IF(Iterations[[#This Row],[Step]] &gt; current_step, "",Iterations[[#This Row],[Grad_d]]))</f>
        <v>-1.5010910799703799E-2</v>
      </c>
      <c r="R130" s="2">
        <f ca="1">IF(Iterations[[#This Row],[Step]] =current_step, current_Grad_e,IF(Iterations[[#This Row],[Step]] &gt; current_step, "",Iterations[[#This Row],[Grad_e]]))</f>
        <v>0.50223458703183022</v>
      </c>
    </row>
    <row r="131" spans="6:18" x14ac:dyDescent="0.3">
      <c r="F131" s="2">
        <f t="shared" si="3"/>
        <v>114</v>
      </c>
      <c r="G131" s="2">
        <f ca="1">IF(Iterations[[#This Row],[Step]] =current_step, current_a,IF(Iterations[[#This Row],[Step]] &gt; current_step, "",Iterations[[#This Row],[a]]))</f>
        <v>-2.1105827576551794</v>
      </c>
      <c r="H131" s="2">
        <f ca="1">IF(Iterations[[#This Row],[Step]] =current_step, current_b,IF(Iterations[[#This Row],[Step]] &gt; current_step, "",Iterations[[#This Row],[b]]))</f>
        <v>1.1289908774121007</v>
      </c>
      <c r="I131" s="2">
        <f ca="1">IF(Iterations[[#This Row],[Step]] =current_step, current_c,IF(Iterations[[#This Row],[Step]] &gt; current_step, "",Iterations[[#This Row],[c]]))</f>
        <v>6.7359005186450371</v>
      </c>
      <c r="J131" s="2">
        <f ca="1">IF(Iterations[[#This Row],[Step]] =current_step, current_d,IF(Iterations[[#This Row],[Step]] &gt; current_step, "",Iterations[[#This Row],[d]]))</f>
        <v>0.63216752786117059</v>
      </c>
      <c r="K131" s="2">
        <f ca="1">IF(Iterations[[#This Row],[Step]] =current_step, current_e,IF(Iterations[[#This Row],[Step]] &gt; current_step, "",Iterations[[#This Row],[e]]))</f>
        <v>16.478061215246939</v>
      </c>
      <c r="L131" s="2">
        <f ca="1">IF(Iterations[[#This Row],[Step]] =current_step, current_Total_Loss,IF(Iterations[[#This Row],[Step]] &gt; current_step, "",Iterations[[#This Row],[Total Loss]]))</f>
        <v>324.16000000000003</v>
      </c>
      <c r="M131" s="6" t="s">
        <v>27</v>
      </c>
      <c r="N131" s="2">
        <f ca="1">IF(Iterations[[#This Row],[Step]] =current_step, current_Grad_a,IF(Iterations[[#This Row],[Step]] &gt; current_step, "",Iterations[[#This Row],[Grad_a]]))</f>
        <v>0.50401901291220796</v>
      </c>
      <c r="O131" s="2">
        <f ca="1">IF(Iterations[[#This Row],[Step]] =current_step, current_Grad_b,IF(Iterations[[#This Row],[Step]] &gt; current_step, "",Iterations[[#This Row],[Grad_b]]))</f>
        <v>5.7397492384759649E-2</v>
      </c>
      <c r="P131" s="2">
        <f ca="1">IF(Iterations[[#This Row],[Step]] =current_step, current_Grad_c,IF(Iterations[[#This Row],[Step]] &gt; current_step, "",Iterations[[#This Row],[Grad_c]]))</f>
        <v>-1.4163717687573782</v>
      </c>
      <c r="Q131" s="2">
        <f ca="1">IF(Iterations[[#This Row],[Step]] =current_step, current_Grad_d,IF(Iterations[[#This Row],[Step]] &gt; current_step, "",Iterations[[#This Row],[Grad_d]]))</f>
        <v>-1.5474856227644353E-2</v>
      </c>
      <c r="R131" s="2">
        <f ca="1">IF(Iterations[[#This Row],[Step]] =current_step, current_Grad_e,IF(Iterations[[#This Row],[Step]] &gt; current_step, "",Iterations[[#This Row],[Grad_e]]))</f>
        <v>0.50013758810258702</v>
      </c>
    </row>
    <row r="132" spans="6:18" x14ac:dyDescent="0.3">
      <c r="F132" s="2">
        <f t="shared" si="3"/>
        <v>115</v>
      </c>
      <c r="G132" s="2">
        <f ca="1">IF(Iterations[[#This Row],[Step]] =current_step, current_a,IF(Iterations[[#This Row],[Step]] &gt; current_step, "",Iterations[[#This Row],[a]]))</f>
        <v>-2.13578370830079</v>
      </c>
      <c r="H132" s="2">
        <f ca="1">IF(Iterations[[#This Row],[Step]] =current_step, current_b,IF(Iterations[[#This Row],[Step]] &gt; current_step, "",Iterations[[#This Row],[b]]))</f>
        <v>1.1261210027928628</v>
      </c>
      <c r="I132" s="2">
        <f ca="1">IF(Iterations[[#This Row],[Step]] =current_step, current_c,IF(Iterations[[#This Row],[Step]] &gt; current_step, "",Iterations[[#This Row],[c]]))</f>
        <v>6.8067191070829063</v>
      </c>
      <c r="J132" s="2">
        <f ca="1">IF(Iterations[[#This Row],[Step]] =current_step, current_d,IF(Iterations[[#This Row],[Step]] &gt; current_step, "",Iterations[[#This Row],[d]]))</f>
        <v>0.63294127067255279</v>
      </c>
      <c r="K132" s="2">
        <f ca="1">IF(Iterations[[#This Row],[Step]] =current_step, current_e,IF(Iterations[[#This Row],[Step]] &gt; current_step, "",Iterations[[#This Row],[e]]))</f>
        <v>16.453054335841809</v>
      </c>
      <c r="L132" s="2">
        <f ca="1">IF(Iterations[[#This Row],[Step]] =current_step, current_Total_Loss,IF(Iterations[[#This Row],[Step]] &gt; current_step, "",Iterations[[#This Row],[Total Loss]]))</f>
        <v>321.89999999999998</v>
      </c>
      <c r="M132" s="6" t="s">
        <v>27</v>
      </c>
      <c r="N132" s="2">
        <f ca="1">IF(Iterations[[#This Row],[Step]] =current_step, current_Grad_a,IF(Iterations[[#This Row],[Step]] &gt; current_step, "",Iterations[[#This Row],[Grad_a]]))</f>
        <v>0.50148178809036048</v>
      </c>
      <c r="O132" s="2">
        <f ca="1">IF(Iterations[[#This Row],[Step]] =current_step, current_Grad_b,IF(Iterations[[#This Row],[Step]] &gt; current_step, "",Iterations[[#This Row],[Grad_b]]))</f>
        <v>5.7342627478313091E-2</v>
      </c>
      <c r="P132" s="2">
        <f ca="1">IF(Iterations[[#This Row],[Step]] =current_step, current_Grad_c,IF(Iterations[[#This Row],[Step]] &gt; current_step, "",Iterations[[#This Row],[Grad_c]]))</f>
        <v>-1.4094076855335558</v>
      </c>
      <c r="Q132" s="2">
        <f ca="1">IF(Iterations[[#This Row],[Step]] =current_step, current_Grad_d,IF(Iterations[[#This Row],[Step]] &gt; current_step, "",Iterations[[#This Row],[Grad_d]]))</f>
        <v>-1.5928764287199471E-2</v>
      </c>
      <c r="R132" s="2">
        <f ca="1">IF(Iterations[[#This Row],[Step]] =current_step, current_Grad_e,IF(Iterations[[#This Row],[Step]] &gt; current_step, "",Iterations[[#This Row],[Grad_e]]))</f>
        <v>0.49802799223827104</v>
      </c>
    </row>
    <row r="133" spans="6:18" x14ac:dyDescent="0.3">
      <c r="F133" s="2">
        <f t="shared" si="3"/>
        <v>116</v>
      </c>
      <c r="G133" s="2">
        <f ca="1">IF(Iterations[[#This Row],[Step]] =current_step, current_a,IF(Iterations[[#This Row],[Step]] &gt; current_step, "",Iterations[[#This Row],[a]]))</f>
        <v>-2.1608577977053081</v>
      </c>
      <c r="H133" s="2">
        <f ca="1">IF(Iterations[[#This Row],[Step]] =current_step, current_b,IF(Iterations[[#This Row],[Step]] &gt; current_step, "",Iterations[[#This Row],[b]]))</f>
        <v>1.1232538714189471</v>
      </c>
      <c r="I133" s="2">
        <f ca="1">IF(Iterations[[#This Row],[Step]] =current_step, current_c,IF(Iterations[[#This Row],[Step]] &gt; current_step, "",Iterations[[#This Row],[c]]))</f>
        <v>6.8771894913595837</v>
      </c>
      <c r="J133" s="2">
        <f ca="1">IF(Iterations[[#This Row],[Step]] =current_step, current_d,IF(Iterations[[#This Row],[Step]] &gt; current_step, "",Iterations[[#This Row],[d]]))</f>
        <v>0.63373770888691272</v>
      </c>
      <c r="K133" s="2">
        <f ca="1">IF(Iterations[[#This Row],[Step]] =current_step, current_e,IF(Iterations[[#This Row],[Step]] &gt; current_step, "",Iterations[[#This Row],[e]]))</f>
        <v>16.428152936229896</v>
      </c>
      <c r="L133" s="2">
        <f ca="1">IF(Iterations[[#This Row],[Step]] =current_step, current_Total_Loss,IF(Iterations[[#This Row],[Step]] &gt; current_step, "",Iterations[[#This Row],[Total Loss]]))</f>
        <v>319.66000000000003</v>
      </c>
      <c r="M133" s="6" t="s">
        <v>27</v>
      </c>
      <c r="N133" s="2">
        <f ca="1">IF(Iterations[[#This Row],[Step]] =current_step, current_Grad_a,IF(Iterations[[#This Row],[Step]] &gt; current_step, "",Iterations[[#This Row],[Grad_a]]))</f>
        <v>0.49896361529399552</v>
      </c>
      <c r="O133" s="2">
        <f ca="1">IF(Iterations[[#This Row],[Step]] =current_step, current_Grad_b,IF(Iterations[[#This Row],[Step]] &gt; current_step, "",Iterations[[#This Row],[Grad_b]]))</f>
        <v>5.728619629828044E-2</v>
      </c>
      <c r="P133" s="2">
        <f ca="1">IF(Iterations[[#This Row],[Step]] =current_step, current_Grad_c,IF(Iterations[[#This Row],[Step]] &gt; current_step, "",Iterations[[#This Row],[Grad_c]]))</f>
        <v>-1.4024829661903631</v>
      </c>
      <c r="Q133" s="2">
        <f ca="1">IF(Iterations[[#This Row],[Step]] =current_step, current_Grad_d,IF(Iterations[[#This Row],[Step]] &gt; current_step, "",Iterations[[#This Row],[Grad_d]]))</f>
        <v>-1.637284586185829E-2</v>
      </c>
      <c r="R133" s="2">
        <f ca="1">IF(Iterations[[#This Row],[Step]] =current_step, current_Grad_e,IF(Iterations[[#This Row],[Step]] &gt; current_step, "",Iterations[[#This Row],[Grad_e]]))</f>
        <v>0.49590736119786566</v>
      </c>
    </row>
    <row r="134" spans="6:18" x14ac:dyDescent="0.3">
      <c r="F134" s="2">
        <f t="shared" ref="F134:F197" si="4">F133+1</f>
        <v>117</v>
      </c>
      <c r="G134" s="2">
        <f ca="1">IF(Iterations[[#This Row],[Step]] =current_step, current_a,IF(Iterations[[#This Row],[Step]] &gt; current_step, "",Iterations[[#This Row],[a]]))</f>
        <v>-2.1858059784700079</v>
      </c>
      <c r="H134" s="2">
        <f ca="1">IF(Iterations[[#This Row],[Step]] =current_step, current_b,IF(Iterations[[#This Row],[Step]] &gt; current_step, "",Iterations[[#This Row],[b]]))</f>
        <v>1.1203895616040331</v>
      </c>
      <c r="I134" s="2">
        <f ca="1">IF(Iterations[[#This Row],[Step]] =current_step, current_c,IF(Iterations[[#This Row],[Step]] &gt; current_step, "",Iterations[[#This Row],[c]]))</f>
        <v>6.947313639669102</v>
      </c>
      <c r="J134" s="2">
        <f ca="1">IF(Iterations[[#This Row],[Step]] =current_step, current_d,IF(Iterations[[#This Row],[Step]] &gt; current_step, "",Iterations[[#This Row],[d]]))</f>
        <v>0.63455635118000564</v>
      </c>
      <c r="K134" s="2">
        <f ca="1">IF(Iterations[[#This Row],[Step]] =current_step, current_e,IF(Iterations[[#This Row],[Step]] &gt; current_step, "",Iterations[[#This Row],[e]]))</f>
        <v>16.403357568170001</v>
      </c>
      <c r="L134" s="2">
        <f ca="1">IF(Iterations[[#This Row],[Step]] =current_step, current_Total_Loss,IF(Iterations[[#This Row],[Step]] &gt; current_step, "",Iterations[[#This Row],[Total Loss]]))</f>
        <v>317.45</v>
      </c>
      <c r="M134" s="6" t="s">
        <v>27</v>
      </c>
      <c r="N134" s="2">
        <f ca="1">IF(Iterations[[#This Row],[Step]] =current_step, current_Grad_a,IF(Iterations[[#This Row],[Step]] &gt; current_step, "",Iterations[[#This Row],[Grad_a]]))</f>
        <v>0.49646395615573902</v>
      </c>
      <c r="O134" s="2">
        <f ca="1">IF(Iterations[[#This Row],[Step]] =current_step, current_Grad_b,IF(Iterations[[#This Row],[Step]] &gt; current_step, "",Iterations[[#This Row],[Grad_b]]))</f>
        <v>5.7228164214856117E-2</v>
      </c>
      <c r="P134" s="2">
        <f ca="1">IF(Iterations[[#This Row],[Step]] =current_step, current_Grad_c,IF(Iterations[[#This Row],[Step]] &gt; current_step, "",Iterations[[#This Row],[Grad_c]]))</f>
        <v>-1.3955970730715921</v>
      </c>
      <c r="Q134" s="2">
        <f ca="1">IF(Iterations[[#This Row],[Step]] =current_step, current_Grad_d,IF(Iterations[[#This Row],[Step]] &gt; current_step, "",Iterations[[#This Row],[Grad_d]]))</f>
        <v>-1.6807304619390569E-2</v>
      </c>
      <c r="R134" s="2">
        <f ca="1">IF(Iterations[[#This Row],[Step]] =current_step, current_Grad_e,IF(Iterations[[#This Row],[Step]] &gt; current_step, "",Iterations[[#This Row],[Grad_e]]))</f>
        <v>0.49377715085507767</v>
      </c>
    </row>
    <row r="135" spans="6:18" x14ac:dyDescent="0.3">
      <c r="F135" s="2">
        <f t="shared" si="4"/>
        <v>118</v>
      </c>
      <c r="G135" s="2">
        <f ca="1">IF(Iterations[[#This Row],[Step]] =current_step, current_a,IF(Iterations[[#This Row],[Step]] &gt; current_step, "",Iterations[[#This Row],[a]]))</f>
        <v>-2.210629176277795</v>
      </c>
      <c r="H135" s="2">
        <f ca="1">IF(Iterations[[#This Row],[Step]] =current_step, current_b,IF(Iterations[[#This Row],[Step]] &gt; current_step, "",Iterations[[#This Row],[b]]))</f>
        <v>1.1175281533932904</v>
      </c>
      <c r="I135" s="2">
        <f ca="1">IF(Iterations[[#This Row],[Step]] =current_step, current_c,IF(Iterations[[#This Row],[Step]] &gt; current_step, "",Iterations[[#This Row],[c]]))</f>
        <v>7.0170934933226814</v>
      </c>
      <c r="J135" s="2">
        <f ca="1">IF(Iterations[[#This Row],[Step]] =current_step, current_d,IF(Iterations[[#This Row],[Step]] &gt; current_step, "",Iterations[[#This Row],[d]]))</f>
        <v>0.63539671641097517</v>
      </c>
      <c r="K135" s="2">
        <f ca="1">IF(Iterations[[#This Row],[Step]] =current_step, current_e,IF(Iterations[[#This Row],[Step]] &gt; current_step, "",Iterations[[#This Row],[e]]))</f>
        <v>16.378668710627249</v>
      </c>
      <c r="L135" s="2">
        <f ca="1">IF(Iterations[[#This Row],[Step]] =current_step, current_Total_Loss,IF(Iterations[[#This Row],[Step]] &gt; current_step, "",Iterations[[#This Row],[Total Loss]]))</f>
        <v>315.26</v>
      </c>
      <c r="M135" s="6" t="s">
        <v>27</v>
      </c>
      <c r="N135" s="2">
        <f ca="1">IF(Iterations[[#This Row],[Step]] =current_step, current_Grad_a,IF(Iterations[[#This Row],[Step]] &gt; current_step, "",Iterations[[#This Row],[Grad_a]]))</f>
        <v>0.49398230412657579</v>
      </c>
      <c r="O135" s="2">
        <f ca="1">IF(Iterations[[#This Row],[Step]] =current_step, current_Grad_b,IF(Iterations[[#This Row],[Step]] &gt; current_step, "",Iterations[[#This Row],[Grad_b]]))</f>
        <v>5.7168501587433695E-2</v>
      </c>
      <c r="P135" s="2">
        <f ca="1">IF(Iterations[[#This Row],[Step]] =current_step, current_Grad_c,IF(Iterations[[#This Row],[Step]] &gt; current_step, "",Iterations[[#This Row],[Grad_c]]))</f>
        <v>-1.3887494935139231</v>
      </c>
      <c r="Q135" s="2">
        <f ca="1">IF(Iterations[[#This Row],[Step]] =current_step, current_Grad_d,IF(Iterations[[#This Row],[Step]] &gt; current_step, "",Iterations[[#This Row],[Grad_d]]))</f>
        <v>-1.723233739566056E-2</v>
      </c>
      <c r="R135" s="2">
        <f ca="1">IF(Iterations[[#This Row],[Step]] =current_step, current_Grad_e,IF(Iterations[[#This Row],[Step]] &gt; current_step, "",Iterations[[#This Row],[Grad_e]]))</f>
        <v>0.4916387181435567</v>
      </c>
    </row>
    <row r="136" spans="6:18" x14ac:dyDescent="0.3">
      <c r="F136" s="2">
        <f t="shared" si="4"/>
        <v>119</v>
      </c>
      <c r="G136" s="2">
        <f ca="1">IF(Iterations[[#This Row],[Step]] =current_step, current_a,IF(Iterations[[#This Row],[Step]] &gt; current_step, "",Iterations[[#This Row],[a]]))</f>
        <v>-2.2353282914841239</v>
      </c>
      <c r="H136" s="2">
        <f ca="1">IF(Iterations[[#This Row],[Step]] =current_step, current_b,IF(Iterations[[#This Row],[Step]] &gt; current_step, "",Iterations[[#This Row],[b]]))</f>
        <v>1.1146697283139186</v>
      </c>
      <c r="I136" s="2">
        <f ca="1">IF(Iterations[[#This Row],[Step]] =current_step, current_c,IF(Iterations[[#This Row],[Step]] &gt; current_step, "",Iterations[[#This Row],[c]]))</f>
        <v>7.0865309679983772</v>
      </c>
      <c r="J136" s="2">
        <f ca="1">IF(Iterations[[#This Row],[Step]] =current_step, current_d,IF(Iterations[[#This Row],[Step]] &gt; current_step, "",Iterations[[#This Row],[d]]))</f>
        <v>0.6362583332807582</v>
      </c>
      <c r="K136" s="2">
        <f ca="1">IF(Iterations[[#This Row],[Step]] =current_step, current_e,IF(Iterations[[#This Row],[Step]] &gt; current_step, "",Iterations[[#This Row],[e]]))</f>
        <v>16.35408677472007</v>
      </c>
      <c r="L136" s="2">
        <f ca="1">IF(Iterations[[#This Row],[Step]] =current_step, current_Total_Loss,IF(Iterations[[#This Row],[Step]] &gt; current_step, "",Iterations[[#This Row],[Total Loss]]))</f>
        <v>313.08999999999997</v>
      </c>
      <c r="M136" s="6" t="s">
        <v>27</v>
      </c>
      <c r="N136" s="2">
        <f ca="1">IF(Iterations[[#This Row],[Step]] =current_step, current_Grad_a,IF(Iterations[[#This Row],[Step]] &gt; current_step, "",Iterations[[#This Row],[Grad_a]]))</f>
        <v>0.49151818241110512</v>
      </c>
      <c r="O136" s="2">
        <f ca="1">IF(Iterations[[#This Row],[Step]] =current_step, current_Grad_b,IF(Iterations[[#This Row],[Step]] &gt; current_step, "",Iterations[[#This Row],[Grad_b]]))</f>
        <v>5.7107183398829399E-2</v>
      </c>
      <c r="P136" s="2">
        <f ca="1">IF(Iterations[[#This Row],[Step]] =current_step, current_Grad_c,IF(Iterations[[#This Row],[Step]] &gt; current_step, "",Iterations[[#This Row],[Grad_c]]))</f>
        <v>-1.3819397382656324</v>
      </c>
      <c r="Q136" s="2">
        <f ca="1">IF(Iterations[[#This Row],[Step]] =current_step, current_Grad_d,IF(Iterations[[#This Row],[Step]] &gt; current_step, "",Iterations[[#This Row],[Grad_d]]))</f>
        <v>-1.7648134554516599E-2</v>
      </c>
      <c r="R136" s="2">
        <f ca="1">IF(Iterations[[#This Row],[Step]] =current_step, current_Grad_e,IF(Iterations[[#This Row],[Step]] &gt; current_step, "",Iterations[[#This Row],[Grad_e]]))</f>
        <v>0.48949332754782365</v>
      </c>
    </row>
    <row r="137" spans="6:18" x14ac:dyDescent="0.3">
      <c r="F137" s="2">
        <f t="shared" si="4"/>
        <v>120</v>
      </c>
      <c r="G137" s="2">
        <f ca="1">IF(Iterations[[#This Row],[Step]] =current_step, current_a,IF(Iterations[[#This Row],[Step]] &gt; current_step, "",Iterations[[#This Row],[a]]))</f>
        <v>-2.2599042006046792</v>
      </c>
      <c r="H137" s="2">
        <f ca="1">IF(Iterations[[#This Row],[Step]] =current_step, current_b,IF(Iterations[[#This Row],[Step]] &gt; current_step, "",Iterations[[#This Row],[b]]))</f>
        <v>1.1118143691439772</v>
      </c>
      <c r="I137" s="2">
        <f ca="1">IF(Iterations[[#This Row],[Step]] =current_step, current_c,IF(Iterations[[#This Row],[Step]] &gt; current_step, "",Iterations[[#This Row],[c]]))</f>
        <v>7.155627954911659</v>
      </c>
      <c r="J137" s="2">
        <f ca="1">IF(Iterations[[#This Row],[Step]] =current_step, current_d,IF(Iterations[[#This Row],[Step]] &gt; current_step, "",Iterations[[#This Row],[d]]))</f>
        <v>0.63714074000848409</v>
      </c>
      <c r="K137" s="2">
        <f ca="1">IF(Iterations[[#This Row],[Step]] =current_step, current_e,IF(Iterations[[#This Row],[Step]] &gt; current_step, "",Iterations[[#This Row],[e]]))</f>
        <v>16.32961210834268</v>
      </c>
      <c r="L137" s="2">
        <f ca="1">IF(Iterations[[#This Row],[Step]] =current_step, current_Total_Loss,IF(Iterations[[#This Row],[Step]] &gt; current_step, "",Iterations[[#This Row],[Total Loss]]))</f>
        <v>310.94</v>
      </c>
      <c r="M137" s="6" t="s">
        <v>27</v>
      </c>
      <c r="N137" s="2">
        <f ca="1">IF(Iterations[[#This Row],[Step]] =current_step, current_Grad_a,IF(Iterations[[#This Row],[Step]] &gt; current_step, "",Iterations[[#This Row],[Grad_a]]))</f>
        <v>0.48907114203759466</v>
      </c>
      <c r="O137" s="2">
        <f ca="1">IF(Iterations[[#This Row],[Step]] =current_step, current_Grad_b,IF(Iterations[[#This Row],[Step]] &gt; current_step, "",Iterations[[#This Row],[Grad_b]]))</f>
        <v>5.704418891409032E-2</v>
      </c>
      <c r="P137" s="2">
        <f ca="1">IF(Iterations[[#This Row],[Step]] =current_step, current_Grad_c,IF(Iterations[[#This Row],[Step]] &gt; current_step, "",Iterations[[#This Row],[Grad_c]]))</f>
        <v>-1.3751673400084581</v>
      </c>
      <c r="Q137" s="2">
        <f ca="1">IF(Iterations[[#This Row],[Step]] =current_step, current_Grad_d,IF(Iterations[[#This Row],[Step]] &gt; current_step, "",Iterations[[#This Row],[Grad_d]]))</f>
        <v>-1.8054880325223621E-2</v>
      </c>
      <c r="R137" s="2">
        <f ca="1">IF(Iterations[[#This Row],[Step]] =current_step, current_Grad_e,IF(Iterations[[#This Row],[Step]] &gt; current_step, "",Iterations[[#This Row],[Grad_e]]))</f>
        <v>0.48734215716958729</v>
      </c>
    </row>
    <row r="138" spans="6:18" x14ac:dyDescent="0.3">
      <c r="F138" s="2">
        <f t="shared" si="4"/>
        <v>121</v>
      </c>
      <c r="G138" s="2">
        <f ca="1">IF(Iterations[[#This Row],[Step]] =current_step, current_a,IF(Iterations[[#This Row],[Step]] &gt; current_step, "",Iterations[[#This Row],[a]]))</f>
        <v>-2.2843577577065588</v>
      </c>
      <c r="H138" s="2">
        <f ca="1">IF(Iterations[[#This Row],[Step]] =current_step, current_b,IF(Iterations[[#This Row],[Step]] &gt; current_step, "",Iterations[[#This Row],[b]]))</f>
        <v>1.1089621596982728</v>
      </c>
      <c r="I138" s="2">
        <f ca="1">IF(Iterations[[#This Row],[Step]] =current_step, current_c,IF(Iterations[[#This Row],[Step]] &gt; current_step, "",Iterations[[#This Row],[c]]))</f>
        <v>7.2243863219120819</v>
      </c>
      <c r="J138" s="2">
        <f ca="1">IF(Iterations[[#This Row],[Step]] =current_step, current_d,IF(Iterations[[#This Row],[Step]] &gt; current_step, "",Iterations[[#This Row],[d]]))</f>
        <v>0.63804348402474531</v>
      </c>
      <c r="K138" s="2">
        <f ca="1">IF(Iterations[[#This Row],[Step]] =current_step, current_e,IF(Iterations[[#This Row],[Step]] &gt; current_step, "",Iterations[[#This Row],[e]]))</f>
        <v>16.305245000484199</v>
      </c>
      <c r="L138" s="2">
        <f ca="1">IF(Iterations[[#This Row],[Step]] =current_step, current_Total_Loss,IF(Iterations[[#This Row],[Step]] &gt; current_step, "",Iterations[[#This Row],[Total Loss]]))</f>
        <v>308.81</v>
      </c>
      <c r="M138" s="6" t="s">
        <v>27</v>
      </c>
      <c r="N138" s="2">
        <f ca="1">IF(Iterations[[#This Row],[Step]] =current_step, current_Grad_a,IF(Iterations[[#This Row],[Step]] &gt; current_step, "",Iterations[[#This Row],[Grad_a]]))</f>
        <v>0.48664076005406975</v>
      </c>
      <c r="O138" s="2">
        <f ca="1">IF(Iterations[[#This Row],[Step]] =current_step, current_Grad_b,IF(Iterations[[#This Row],[Step]] &gt; current_step, "",Iterations[[#This Row],[Grad_b]]))</f>
        <v>5.6979501362033683E-2</v>
      </c>
      <c r="P138" s="2">
        <f ca="1">IF(Iterations[[#This Row],[Step]] =current_step, current_Grad_c,IF(Iterations[[#This Row],[Step]] &gt; current_step, "",Iterations[[#This Row],[Grad_c]]))</f>
        <v>-1.3684318519758869</v>
      </c>
      <c r="Q138" s="2">
        <f ca="1">IF(Iterations[[#This Row],[Step]] =current_step, current_Grad_d,IF(Iterations[[#This Row],[Step]] &gt; current_step, "",Iterations[[#This Row],[Grad_d]]))</f>
        <v>-1.8452753118977663E-2</v>
      </c>
      <c r="R138" s="2">
        <f ca="1">IF(Iterations[[#This Row],[Step]] =current_step, current_Grad_e,IF(Iterations[[#This Row],[Step]] &gt; current_step, "",Iterations[[#This Row],[Grad_e]]))</f>
        <v>0.48518630439712079</v>
      </c>
    </row>
    <row r="139" spans="6:18" x14ac:dyDescent="0.3">
      <c r="F139" s="2">
        <f t="shared" si="4"/>
        <v>122</v>
      </c>
      <c r="G139" s="2">
        <f ca="1">IF(Iterations[[#This Row],[Step]] =current_step, current_a,IF(Iterations[[#This Row],[Step]] &gt; current_step, "",Iterations[[#This Row],[a]]))</f>
        <v>-2.3086897957092622</v>
      </c>
      <c r="H139" s="2">
        <f ca="1">IF(Iterations[[#This Row],[Step]] =current_step, current_b,IF(Iterations[[#This Row],[Step]] &gt; current_step, "",Iterations[[#This Row],[b]]))</f>
        <v>1.1061131846301711</v>
      </c>
      <c r="I139" s="2">
        <f ca="1">IF(Iterations[[#This Row],[Step]] =current_step, current_c,IF(Iterations[[#This Row],[Step]] &gt; current_step, "",Iterations[[#This Row],[c]]))</f>
        <v>7.2928079145108766</v>
      </c>
      <c r="J139" s="2">
        <f ca="1">IF(Iterations[[#This Row],[Step]] =current_step, current_d,IF(Iterations[[#This Row],[Step]] &gt; current_step, "",Iterations[[#This Row],[d]]))</f>
        <v>0.63896612168069422</v>
      </c>
      <c r="K139" s="2">
        <f ca="1">IF(Iterations[[#This Row],[Step]] =current_step, current_e,IF(Iterations[[#This Row],[Step]] &gt; current_step, "",Iterations[[#This Row],[e]]))</f>
        <v>16.280985685264344</v>
      </c>
      <c r="L139" s="2">
        <f ca="1">IF(Iterations[[#This Row],[Step]] =current_step, current_Total_Loss,IF(Iterations[[#This Row],[Step]] &gt; current_step, "",Iterations[[#This Row],[Total Loss]]))</f>
        <v>306.7</v>
      </c>
      <c r="M139" s="6" t="s">
        <v>27</v>
      </c>
      <c r="N139" s="2">
        <f ca="1">IF(Iterations[[#This Row],[Step]] =current_step, current_Grad_a,IF(Iterations[[#This Row],[Step]] &gt; current_step, "",Iterations[[#This Row],[Grad_a]]))</f>
        <v>0.48422663784262654</v>
      </c>
      <c r="O139" s="2">
        <f ca="1">IF(Iterations[[#This Row],[Step]] =current_step, current_Grad_b,IF(Iterations[[#This Row],[Step]] &gt; current_step, "",Iterations[[#This Row],[Grad_b]]))</f>
        <v>5.6913107638115079E-2</v>
      </c>
      <c r="P139" s="2">
        <f ca="1">IF(Iterations[[#This Row],[Step]] =current_step, current_Grad_c,IF(Iterations[[#This Row],[Step]] &gt; current_step, "",Iterations[[#This Row],[Grad_c]]))</f>
        <v>-1.3617328466613536</v>
      </c>
      <c r="Q139" s="2">
        <f ca="1">IF(Iterations[[#This Row],[Step]] =current_step, current_Grad_d,IF(Iterations[[#This Row],[Step]] &gt; current_step, "",Iterations[[#This Row],[Grad_d]]))</f>
        <v>-1.8841925825830923E-2</v>
      </c>
      <c r="R139" s="2">
        <f ca="1">IF(Iterations[[#This Row],[Step]] =current_step, current_Grad_e,IF(Iterations[[#This Row],[Step]] &gt; current_step, "",Iterations[[#This Row],[Grad_e]]))</f>
        <v>0.48302679120386138</v>
      </c>
    </row>
    <row r="140" spans="6:18" x14ac:dyDescent="0.3">
      <c r="F140" s="2">
        <f t="shared" si="4"/>
        <v>123</v>
      </c>
      <c r="G140" s="2">
        <f ca="1">IF(Iterations[[#This Row],[Step]] =current_step, current_a,IF(Iterations[[#This Row],[Step]] &gt; current_step, "",Iterations[[#This Row],[a]]))</f>
        <v>-2.3329011276013936</v>
      </c>
      <c r="H140" s="2">
        <f ca="1">IF(Iterations[[#This Row],[Step]] =current_step, current_b,IF(Iterations[[#This Row],[Step]] &gt; current_step, "",Iterations[[#This Row],[b]]))</f>
        <v>1.1032675292482652</v>
      </c>
      <c r="I140" s="2">
        <f ca="1">IF(Iterations[[#This Row],[Step]] =current_step, current_c,IF(Iterations[[#This Row],[Step]] &gt; current_step, "",Iterations[[#This Row],[c]]))</f>
        <v>7.3608945568439443</v>
      </c>
      <c r="J140" s="2">
        <f ca="1">IF(Iterations[[#This Row],[Step]] =current_step, current_d,IF(Iterations[[#This Row],[Step]] &gt; current_step, "",Iterations[[#This Row],[d]]))</f>
        <v>0.63990821797198572</v>
      </c>
      <c r="K140" s="2">
        <f ca="1">IF(Iterations[[#This Row],[Step]] =current_step, current_e,IF(Iterations[[#This Row],[Step]] &gt; current_step, "",Iterations[[#This Row],[e]]))</f>
        <v>16.256834345704153</v>
      </c>
      <c r="L140" s="2">
        <f ca="1">IF(Iterations[[#This Row],[Step]] =current_step, current_Total_Loss,IF(Iterations[[#This Row],[Step]] &gt; current_step, "",Iterations[[#This Row],[Total Loss]]))</f>
        <v>304.61</v>
      </c>
      <c r="M140" s="6" t="s">
        <v>27</v>
      </c>
      <c r="N140" s="2">
        <f ca="1">IF(Iterations[[#This Row],[Step]] =current_step, current_Grad_a,IF(Iterations[[#This Row],[Step]] &gt; current_step, "",Iterations[[#This Row],[Grad_a]]))</f>
        <v>0.48182839954343376</v>
      </c>
      <c r="O140" s="2">
        <f ca="1">IF(Iterations[[#This Row],[Step]] =current_step, current_Grad_b,IF(Iterations[[#This Row],[Step]] &gt; current_step, "",Iterations[[#This Row],[Grad_b]]))</f>
        <v>5.6844998027388627E-2</v>
      </c>
      <c r="P140" s="2">
        <f ca="1">IF(Iterations[[#This Row],[Step]] =current_step, current_Grad_c,IF(Iterations[[#This Row],[Step]] &gt; current_step, "",Iterations[[#This Row],[Grad_c]]))</f>
        <v>-1.3550699146108327</v>
      </c>
      <c r="Q140" s="2">
        <f ca="1">IF(Iterations[[#This Row],[Step]] =current_step, current_Grad_d,IF(Iterations[[#This Row],[Step]] &gt; current_step, "",Iterations[[#This Row],[Grad_d]]))</f>
        <v>-1.9222566093207542E-2</v>
      </c>
      <c r="R140" s="2">
        <f ca="1">IF(Iterations[[#This Row],[Step]] =current_step, current_Grad_e,IF(Iterations[[#This Row],[Step]] &gt; current_step, "",Iterations[[#This Row],[Grad_e]]))</f>
        <v>0.48086456910020497</v>
      </c>
    </row>
    <row r="141" spans="6:18" x14ac:dyDescent="0.3">
      <c r="F141" s="2">
        <f t="shared" si="4"/>
        <v>124</v>
      </c>
      <c r="G141" s="2">
        <f ca="1">IF(Iterations[[#This Row],[Step]] =current_step, current_a,IF(Iterations[[#This Row],[Step]] &gt; current_step, "",Iterations[[#This Row],[a]]))</f>
        <v>-2.3569925475785651</v>
      </c>
      <c r="H141" s="2">
        <f ca="1">IF(Iterations[[#This Row],[Step]] =current_step, current_b,IF(Iterations[[#This Row],[Step]] &gt; current_step, "",Iterations[[#This Row],[b]]))</f>
        <v>1.1004252793468958</v>
      </c>
      <c r="I141" s="2">
        <f ca="1">IF(Iterations[[#This Row],[Step]] =current_step, current_c,IF(Iterations[[#This Row],[Step]] &gt; current_step, "",Iterations[[#This Row],[c]]))</f>
        <v>7.428648052574486</v>
      </c>
      <c r="J141" s="2">
        <f ca="1">IF(Iterations[[#This Row],[Step]] =current_step, current_d,IF(Iterations[[#This Row],[Step]] &gt; current_step, "",Iterations[[#This Row],[d]]))</f>
        <v>0.64086934627664605</v>
      </c>
      <c r="K141" s="2">
        <f ca="1">IF(Iterations[[#This Row],[Step]] =current_step, current_e,IF(Iterations[[#This Row],[Step]] &gt; current_step, "",Iterations[[#This Row],[e]]))</f>
        <v>16.232791117249143</v>
      </c>
      <c r="L141" s="2">
        <f ca="1">IF(Iterations[[#This Row],[Step]] =current_step, current_Total_Loss,IF(Iterations[[#This Row],[Step]] &gt; current_step, "",Iterations[[#This Row],[Total Loss]]))</f>
        <v>302.54000000000002</v>
      </c>
      <c r="M141" s="6" t="s">
        <v>27</v>
      </c>
      <c r="N141" s="2">
        <f ca="1">IF(Iterations[[#This Row],[Step]] =current_step, current_Grad_a,IF(Iterations[[#This Row],[Step]] &gt; current_step, "",Iterations[[#This Row],[Grad_a]]))</f>
        <v>0.47944569058231562</v>
      </c>
      <c r="O141" s="2">
        <f ca="1">IF(Iterations[[#This Row],[Step]] =current_step, current_Grad_b,IF(Iterations[[#This Row],[Step]] &gt; current_step, "",Iterations[[#This Row],[Grad_b]]))</f>
        <v>5.6775165945830132E-2</v>
      </c>
      <c r="P141" s="2">
        <f ca="1">IF(Iterations[[#This Row],[Step]] =current_step, current_Grad_c,IF(Iterations[[#This Row],[Step]] &gt; current_step, "",Iterations[[#This Row],[Grad_c]]))</f>
        <v>-1.3484426632938384</v>
      </c>
      <c r="Q141" s="2">
        <f ca="1">IF(Iterations[[#This Row],[Step]] =current_step, current_Grad_d,IF(Iterations[[#This Row],[Step]] &gt; current_step, "",Iterations[[#This Row],[Grad_d]]))</f>
        <v>-1.9594836587390238E-2</v>
      </c>
      <c r="R141" s="2">
        <f ca="1">IF(Iterations[[#This Row],[Step]] =current_step, current_Grad_e,IF(Iterations[[#This Row],[Step]] &gt; current_step, "",Iterations[[#This Row],[Grad_e]]))</f>
        <v>0.47870052376148919</v>
      </c>
    </row>
    <row r="142" spans="6:18" x14ac:dyDescent="0.3">
      <c r="F142" s="2">
        <f t="shared" si="4"/>
        <v>125</v>
      </c>
      <c r="G142" s="2">
        <f ca="1">IF(Iterations[[#This Row],[Step]] =current_step, current_a,IF(Iterations[[#This Row],[Step]] &gt; current_step, "",Iterations[[#This Row],[a]]))</f>
        <v>-2.3809648321076811</v>
      </c>
      <c r="H142" s="2">
        <f ca="1">IF(Iterations[[#This Row],[Step]] =current_step, current_b,IF(Iterations[[#This Row],[Step]] &gt; current_step, "",Iterations[[#This Row],[b]]))</f>
        <v>1.0975865210496043</v>
      </c>
      <c r="I142" s="2">
        <f ca="1">IF(Iterations[[#This Row],[Step]] =current_step, current_c,IF(Iterations[[#This Row],[Step]] &gt; current_step, "",Iterations[[#This Row],[c]]))</f>
        <v>7.4960701857391783</v>
      </c>
      <c r="J142" s="2">
        <f ca="1">IF(Iterations[[#This Row],[Step]] =current_step, current_d,IF(Iterations[[#This Row],[Step]] &gt; current_step, "",Iterations[[#This Row],[d]]))</f>
        <v>0.6418490881060156</v>
      </c>
      <c r="K142" s="2">
        <f ca="1">IF(Iterations[[#This Row],[Step]] =current_step, current_e,IF(Iterations[[#This Row],[Step]] &gt; current_step, "",Iterations[[#This Row],[e]]))</f>
        <v>16.208856091061069</v>
      </c>
      <c r="L142" s="2">
        <f ca="1">IF(Iterations[[#This Row],[Step]] =current_step, current_Total_Loss,IF(Iterations[[#This Row],[Step]] &gt; current_step, "",Iterations[[#This Row],[Total Loss]]))</f>
        <v>300.5</v>
      </c>
      <c r="M142" s="6" t="s">
        <v>27</v>
      </c>
      <c r="N142" s="2">
        <f ca="1">IF(Iterations[[#This Row],[Step]] =current_step, current_Grad_a,IF(Iterations[[#This Row],[Step]] &gt; current_step, "",Iterations[[#This Row],[Grad_a]]))</f>
        <v>0.47707817629402727</v>
      </c>
      <c r="O142" s="2">
        <f ca="1">IF(Iterations[[#This Row],[Step]] =current_step, current_Grad_b,IF(Iterations[[#This Row],[Step]] &gt; current_step, "",Iterations[[#This Row],[Grad_b]]))</f>
        <v>5.6703607699309364E-2</v>
      </c>
      <c r="P142" s="2">
        <f ca="1">IF(Iterations[[#This Row],[Step]] =current_step, current_Grad_c,IF(Iterations[[#This Row],[Step]] &gt; current_step, "",Iterations[[#This Row],[Grad_c]]))</f>
        <v>-1.341850716048191</v>
      </c>
      <c r="Q142" s="2">
        <f ca="1">IF(Iterations[[#This Row],[Step]] =current_step, current_Grad_d,IF(Iterations[[#This Row],[Step]] &gt; current_step, "",Iterations[[#This Row],[Grad_d]]))</f>
        <v>-1.9958895238857386E-2</v>
      </c>
      <c r="R142" s="2">
        <f ca="1">IF(Iterations[[#This Row],[Step]] =current_step, current_Grad_e,IF(Iterations[[#This Row],[Step]] &gt; current_step, "",Iterations[[#This Row],[Grad_e]]))</f>
        <v>0.47653547935307256</v>
      </c>
    </row>
    <row r="143" spans="6:18" x14ac:dyDescent="0.3">
      <c r="F143" s="2">
        <f t="shared" si="4"/>
        <v>126</v>
      </c>
      <c r="G143" s="2">
        <f ca="1">IF(Iterations[[#This Row],[Step]] =current_step, current_a,IF(Iterations[[#This Row],[Step]] &gt; current_step, "",Iterations[[#This Row],[a]]))</f>
        <v>-2.4048187409223822</v>
      </c>
      <c r="H143" s="2">
        <f ca="1">IF(Iterations[[#This Row],[Step]] =current_step, current_b,IF(Iterations[[#This Row],[Step]] &gt; current_step, "",Iterations[[#This Row],[b]]))</f>
        <v>1.0947513406646388</v>
      </c>
      <c r="I143" s="2">
        <f ca="1">IF(Iterations[[#This Row],[Step]] =current_step, current_c,IF(Iterations[[#This Row],[Step]] &gt; current_step, "",Iterations[[#This Row],[c]]))</f>
        <v>7.5631627215415875</v>
      </c>
      <c r="J143" s="2">
        <f ca="1">IF(Iterations[[#This Row],[Step]] =current_step, current_d,IF(Iterations[[#This Row],[Step]] &gt; current_step, "",Iterations[[#This Row],[d]]))</f>
        <v>0.64284703286795841</v>
      </c>
      <c r="K143" s="2">
        <f ca="1">IF(Iterations[[#This Row],[Step]] =current_step, current_e,IF(Iterations[[#This Row],[Step]] &gt; current_step, "",Iterations[[#This Row],[e]]))</f>
        <v>16.185029317093417</v>
      </c>
      <c r="L143" s="2">
        <f ca="1">IF(Iterations[[#This Row],[Step]] =current_step, current_Total_Loss,IF(Iterations[[#This Row],[Step]] &gt; current_step, "",Iterations[[#This Row],[Total Loss]]))</f>
        <v>298.47000000000003</v>
      </c>
      <c r="M143" s="6" t="s">
        <v>27</v>
      </c>
      <c r="N143" s="2">
        <f ca="1">IF(Iterations[[#This Row],[Step]] =current_step, current_Grad_a,IF(Iterations[[#This Row],[Step]] &gt; current_step, "",Iterations[[#This Row],[Grad_a]]))</f>
        <v>0.47472554063579431</v>
      </c>
      <c r="O143" s="2">
        <f ca="1">IF(Iterations[[#This Row],[Step]] =current_step, current_Grad_b,IF(Iterations[[#This Row],[Step]] &gt; current_step, "",Iterations[[#This Row],[Grad_b]]))</f>
        <v>5.6630322258679575E-2</v>
      </c>
      <c r="P143" s="2">
        <f ca="1">IF(Iterations[[#This Row],[Step]] =current_step, current_Grad_c,IF(Iterations[[#This Row],[Step]] &gt; current_step, "",Iterations[[#This Row],[Grad_c]]))</f>
        <v>-1.3352937110933678</v>
      </c>
      <c r="Q143" s="2">
        <f ca="1">IF(Iterations[[#This Row],[Step]] =current_step, current_Grad_d,IF(Iterations[[#This Row],[Step]] &gt; current_step, "",Iterations[[#This Row],[Grad_d]]))</f>
        <v>-2.0314895472676002E-2</v>
      </c>
      <c r="R143" s="2">
        <f ca="1">IF(Iterations[[#This Row],[Step]] =current_step, current_Grad_e,IF(Iterations[[#This Row],[Step]] &gt; current_step, "",Iterations[[#This Row],[Grad_e]]))</f>
        <v>0.47437020257247475</v>
      </c>
    </row>
    <row r="144" spans="6:18" x14ac:dyDescent="0.3">
      <c r="F144" s="2">
        <f t="shared" si="4"/>
        <v>127</v>
      </c>
      <c r="G144" s="2">
        <f ca="1">IF(Iterations[[#This Row],[Step]] =current_step, current_a,IF(Iterations[[#This Row],[Step]] &gt; current_step, "",Iterations[[#This Row],[a]]))</f>
        <v>-2.4285550179541722</v>
      </c>
      <c r="H144" s="2">
        <f ca="1">IF(Iterations[[#This Row],[Step]] =current_step, current_b,IF(Iterations[[#This Row],[Step]] &gt; current_step, "",Iterations[[#This Row],[b]]))</f>
        <v>1.0919198245517048</v>
      </c>
      <c r="I144" s="2">
        <f ca="1">IF(Iterations[[#This Row],[Step]] =current_step, current_c,IF(Iterations[[#This Row],[Step]] &gt; current_step, "",Iterations[[#This Row],[c]]))</f>
        <v>7.6299274070962557</v>
      </c>
      <c r="J144" s="2">
        <f ca="1">IF(Iterations[[#This Row],[Step]] =current_step, current_d,IF(Iterations[[#This Row],[Step]] &gt; current_step, "",Iterations[[#This Row],[d]]))</f>
        <v>0.64386277764159217</v>
      </c>
      <c r="K144" s="2">
        <f ca="1">IF(Iterations[[#This Row],[Step]] =current_step, current_e,IF(Iterations[[#This Row],[Step]] &gt; current_step, "",Iterations[[#This Row],[e]]))</f>
        <v>16.161310806964792</v>
      </c>
      <c r="L144" s="2">
        <f ca="1">IF(Iterations[[#This Row],[Step]] =current_step, current_Total_Loss,IF(Iterations[[#This Row],[Step]] &gt; current_step, "",Iterations[[#This Row],[Total Loss]]))</f>
        <v>296.45999999999998</v>
      </c>
      <c r="M144" s="6" t="s">
        <v>27</v>
      </c>
      <c r="N144" s="2">
        <f ca="1">IF(Iterations[[#This Row],[Step]] =current_step, current_Grad_a,IF(Iterations[[#This Row],[Step]] &gt; current_step, "",Iterations[[#This Row],[Grad_a]]))</f>
        <v>0.4723874849849119</v>
      </c>
      <c r="O144" s="2">
        <f ca="1">IF(Iterations[[#This Row],[Step]] =current_step, current_Grad_b,IF(Iterations[[#This Row],[Step]] &gt; current_step, "",Iterations[[#This Row],[Grad_b]]))</f>
        <v>5.6555311050060238E-2</v>
      </c>
      <c r="P144" s="2">
        <f ca="1">IF(Iterations[[#This Row],[Step]] =current_step, current_Grad_c,IF(Iterations[[#This Row],[Step]] &gt; current_step, "",Iterations[[#This Row],[Grad_c]]))</f>
        <v>-1.3287713006080957</v>
      </c>
      <c r="Q144" s="2">
        <f ca="1">IF(Iterations[[#This Row],[Step]] =current_step, current_Grad_d,IF(Iterations[[#This Row],[Step]] &gt; current_step, "",Iterations[[#This Row],[Grad_d]]))</f>
        <v>-2.0662986424855114E-2</v>
      </c>
      <c r="R144" s="2">
        <f ca="1">IF(Iterations[[#This Row],[Step]] =current_step, current_Grad_e,IF(Iterations[[#This Row],[Step]] &gt; current_step, "",Iterations[[#This Row],[Grad_e]]))</f>
        <v>0.47220540642705683</v>
      </c>
    </row>
    <row r="145" spans="6:18" x14ac:dyDescent="0.3">
      <c r="F145" s="2">
        <f t="shared" si="4"/>
        <v>128</v>
      </c>
      <c r="G145" s="2">
        <f ca="1">IF(Iterations[[#This Row],[Step]] =current_step, current_a,IF(Iterations[[#This Row],[Step]] &gt; current_step, "",Iterations[[#This Row],[a]]))</f>
        <v>-2.4521743922034176</v>
      </c>
      <c r="H145" s="2">
        <f ca="1">IF(Iterations[[#This Row],[Step]] =current_step, current_b,IF(Iterations[[#This Row],[Step]] &gt; current_step, "",Iterations[[#This Row],[b]]))</f>
        <v>1.0890920589992017</v>
      </c>
      <c r="I145" s="2">
        <f ca="1">IF(Iterations[[#This Row],[Step]] =current_step, current_c,IF(Iterations[[#This Row],[Step]] &gt; current_step, "",Iterations[[#This Row],[c]]))</f>
        <v>7.6963659721266602</v>
      </c>
      <c r="J145" s="2">
        <f ca="1">IF(Iterations[[#This Row],[Step]] =current_step, current_d,IF(Iterations[[#This Row],[Step]] &gt; current_step, "",Iterations[[#This Row],[d]]))</f>
        <v>0.64489592696283493</v>
      </c>
      <c r="K145" s="2">
        <f ca="1">IF(Iterations[[#This Row],[Step]] =current_step, current_e,IF(Iterations[[#This Row],[Step]] &gt; current_step, "",Iterations[[#This Row],[e]]))</f>
        <v>16.13770053664344</v>
      </c>
      <c r="L145" s="2">
        <f ca="1">IF(Iterations[[#This Row],[Step]] =current_step, current_Total_Loss,IF(Iterations[[#This Row],[Step]] &gt; current_step, "",Iterations[[#This Row],[Total Loss]]))</f>
        <v>294.47000000000003</v>
      </c>
      <c r="M145" s="6" t="s">
        <v>27</v>
      </c>
      <c r="N145" s="2">
        <f ca="1">IF(Iterations[[#This Row],[Step]] =current_step, current_Grad_a,IF(Iterations[[#This Row],[Step]] &gt; current_step, "",Iterations[[#This Row],[Grad_a]]))</f>
        <v>0.47006372701475857</v>
      </c>
      <c r="O145" s="2">
        <f ca="1">IF(Iterations[[#This Row],[Step]] =current_step, current_Grad_b,IF(Iterations[[#This Row],[Step]] &gt; current_step, "",Iterations[[#This Row],[Grad_b]]))</f>
        <v>5.647857775936297E-2</v>
      </c>
      <c r="P145" s="2">
        <f ca="1">IF(Iterations[[#This Row],[Step]] =current_step, current_Grad_c,IF(Iterations[[#This Row],[Step]] &gt; current_step, "",Iterations[[#This Row],[Grad_c]]))</f>
        <v>-1.3222831498680261</v>
      </c>
      <c r="Q145" s="2">
        <f ca="1">IF(Iterations[[#This Row],[Step]] =current_step, current_Grad_d,IF(Iterations[[#This Row],[Step]] &gt; current_step, "",Iterations[[#This Row],[Grad_d]]))</f>
        <v>-2.1003313145541332E-2</v>
      </c>
      <c r="R145" s="2">
        <f ca="1">IF(Iterations[[#This Row],[Step]] =current_step, current_Grad_e,IF(Iterations[[#This Row],[Step]] &gt; current_step, "",Iterations[[#This Row],[Grad_e]]))</f>
        <v>0.47004175376449947</v>
      </c>
    </row>
    <row r="146" spans="6:18" x14ac:dyDescent="0.3">
      <c r="F146" s="2">
        <f t="shared" si="4"/>
        <v>129</v>
      </c>
      <c r="G146" s="2">
        <f ca="1">IF(Iterations[[#This Row],[Step]] =current_step, current_a,IF(Iterations[[#This Row],[Step]] &gt; current_step, "",Iterations[[#This Row],[a]]))</f>
        <v>-2.4756775785541554</v>
      </c>
      <c r="H146" s="2">
        <f ca="1">IF(Iterations[[#This Row],[Step]] =current_step, current_b,IF(Iterations[[#This Row],[Step]] &gt; current_step, "",Iterations[[#This Row],[b]]))</f>
        <v>1.0862681301112336</v>
      </c>
      <c r="I146" s="2">
        <f ca="1">IF(Iterations[[#This Row],[Step]] =current_step, current_c,IF(Iterations[[#This Row],[Step]] &gt; current_step, "",Iterations[[#This Row],[c]]))</f>
        <v>7.7624801296200614</v>
      </c>
      <c r="J146" s="2">
        <f ca="1">IF(Iterations[[#This Row],[Step]] =current_step, current_d,IF(Iterations[[#This Row],[Step]] &gt; current_step, "",Iterations[[#This Row],[d]]))</f>
        <v>0.64594609262011204</v>
      </c>
      <c r="K146" s="2">
        <f ca="1">IF(Iterations[[#This Row],[Step]] =current_step, current_e,IF(Iterations[[#This Row],[Step]] &gt; current_step, "",Iterations[[#This Row],[e]]))</f>
        <v>16.114198448955214</v>
      </c>
      <c r="L146" s="2">
        <f ca="1">IF(Iterations[[#This Row],[Step]] =current_step, current_Total_Loss,IF(Iterations[[#This Row],[Step]] &gt; current_step, "",Iterations[[#This Row],[Total Loss]]))</f>
        <v>292.5</v>
      </c>
      <c r="M146" s="6" t="s">
        <v>27</v>
      </c>
      <c r="N146" s="2">
        <f ca="1">IF(Iterations[[#This Row],[Step]] =current_step, current_Grad_a,IF(Iterations[[#This Row],[Step]] &gt; current_step, "",Iterations[[#This Row],[Grad_a]]))</f>
        <v>0.46775399964432968</v>
      </c>
      <c r="O146" s="2">
        <f ca="1">IF(Iterations[[#This Row],[Step]] =current_step, current_Grad_b,IF(Iterations[[#This Row],[Step]] &gt; current_step, "",Iterations[[#This Row],[Grad_b]]))</f>
        <v>5.6400128150044852E-2</v>
      </c>
      <c r="P146" s="2">
        <f ca="1">IF(Iterations[[#This Row],[Step]] =current_step, current_Grad_c,IF(Iterations[[#This Row],[Step]] &gt; current_step, "",Iterations[[#This Row],[Grad_c]]))</f>
        <v>-1.3158289364394922</v>
      </c>
      <c r="Q146" s="2">
        <f ca="1">IF(Iterations[[#This Row],[Step]] =current_step, current_Grad_d,IF(Iterations[[#This Row],[Step]] &gt; current_step, "",Iterations[[#This Row],[Grad_d]]))</f>
        <v>-2.133601678994405E-2</v>
      </c>
      <c r="R146" s="2">
        <f ca="1">IF(Iterations[[#This Row],[Step]] =current_step, current_Grad_e,IF(Iterations[[#This Row],[Step]] &gt; current_step, "",Iterations[[#This Row],[Grad_e]]))</f>
        <v>0.46787986057226583</v>
      </c>
    </row>
    <row r="147" spans="6:18" x14ac:dyDescent="0.3">
      <c r="F147" s="2">
        <f t="shared" si="4"/>
        <v>130</v>
      </c>
      <c r="G147" s="2">
        <f ca="1">IF(Iterations[[#This Row],[Step]] =current_step, current_a,IF(Iterations[[#This Row],[Step]] &gt; current_step, "",Iterations[[#This Row],[a]]))</f>
        <v>-2.4990652785363721</v>
      </c>
      <c r="H147" s="2">
        <f ca="1">IF(Iterations[[#This Row],[Step]] =current_step, current_b,IF(Iterations[[#This Row],[Step]] &gt; current_step, "",Iterations[[#This Row],[b]]))</f>
        <v>1.0834481237037312</v>
      </c>
      <c r="I147" s="2">
        <f ca="1">IF(Iterations[[#This Row],[Step]] =current_step, current_c,IF(Iterations[[#This Row],[Step]] &gt; current_step, "",Iterations[[#This Row],[c]]))</f>
        <v>7.8282715764420363</v>
      </c>
      <c r="J147" s="2">
        <f ca="1">IF(Iterations[[#This Row],[Step]] =current_step, current_d,IF(Iterations[[#This Row],[Step]] &gt; current_step, "",Iterations[[#This Row],[d]]))</f>
        <v>0.64701289345960922</v>
      </c>
      <c r="K147" s="2">
        <f ca="1">IF(Iterations[[#This Row],[Step]] =current_step, current_e,IF(Iterations[[#This Row],[Step]] &gt; current_step, "",Iterations[[#This Row],[e]]))</f>
        <v>16.090804455926602</v>
      </c>
      <c r="L147" s="2">
        <f ca="1">IF(Iterations[[#This Row],[Step]] =current_step, current_Total_Loss,IF(Iterations[[#This Row],[Step]] &gt; current_step, "",Iterations[[#This Row],[Total Loss]]))</f>
        <v>290.55</v>
      </c>
      <c r="M147" s="6" t="s">
        <v>27</v>
      </c>
      <c r="N147" s="2">
        <f ca="1">IF(Iterations[[#This Row],[Step]] =current_step, current_Grad_a,IF(Iterations[[#This Row],[Step]] &gt; current_step, "",Iterations[[#This Row],[Grad_a]]))</f>
        <v>0.46545805005647306</v>
      </c>
      <c r="O147" s="2">
        <f ca="1">IF(Iterations[[#This Row],[Step]] =current_step, current_Grad_b,IF(Iterations[[#This Row],[Step]] &gt; current_step, "",Iterations[[#This Row],[Grad_b]]))</f>
        <v>5.6319969893189596E-2</v>
      </c>
      <c r="P147" s="2">
        <f ca="1">IF(Iterations[[#This Row],[Step]] =current_step, current_Grad_c,IF(Iterations[[#This Row],[Step]] &gt; current_step, "",Iterations[[#This Row],[Grad_c]]))</f>
        <v>-1.3094083494256681</v>
      </c>
      <c r="Q147" s="2">
        <f ca="1">IF(Iterations[[#This Row],[Step]] =current_step, current_Grad_d,IF(Iterations[[#This Row],[Step]] &gt; current_step, "",Iterations[[#This Row],[Grad_d]]))</f>
        <v>-2.1661234797781346E-2</v>
      </c>
      <c r="R147" s="2">
        <f ca="1">IF(Iterations[[#This Row],[Step]] =current_step, current_Grad_e,IF(Iterations[[#This Row],[Step]] &gt; current_step, "",Iterations[[#This Row],[Grad_e]]))</f>
        <v>0.46572029906119283</v>
      </c>
    </row>
    <row r="148" spans="6:18" x14ac:dyDescent="0.3">
      <c r="F148" s="2">
        <f t="shared" si="4"/>
        <v>131</v>
      </c>
      <c r="G148" s="2">
        <f ca="1">IF(Iterations[[#This Row],[Step]] =current_step, current_a,IF(Iterations[[#This Row],[Step]] &gt; current_step, "",Iterations[[#This Row],[a]]))</f>
        <v>-2.5223381810391956</v>
      </c>
      <c r="H148" s="2">
        <f ca="1">IF(Iterations[[#This Row],[Step]] =current_step, current_b,IF(Iterations[[#This Row],[Step]] &gt; current_step, "",Iterations[[#This Row],[b]]))</f>
        <v>1.0806321252090718</v>
      </c>
      <c r="I148" s="2">
        <f ca="1">IF(Iterations[[#This Row],[Step]] =current_step, current_c,IF(Iterations[[#This Row],[Step]] &gt; current_step, "",Iterations[[#This Row],[c]]))</f>
        <v>7.89374199391332</v>
      </c>
      <c r="J148" s="2">
        <f ca="1">IF(Iterations[[#This Row],[Step]] =current_step, current_d,IF(Iterations[[#This Row],[Step]] &gt; current_step, "",Iterations[[#This Row],[d]]))</f>
        <v>0.64809595519949825</v>
      </c>
      <c r="K148" s="2">
        <f ca="1">IF(Iterations[[#This Row],[Step]] =current_step, current_e,IF(Iterations[[#This Row],[Step]] &gt; current_step, "",Iterations[[#This Row],[e]]))</f>
        <v>16.067518440973544</v>
      </c>
      <c r="L148" s="2">
        <f ca="1">IF(Iterations[[#This Row],[Step]] =current_step, current_Total_Loss,IF(Iterations[[#This Row],[Step]] &gt; current_step, "",Iterations[[#This Row],[Total Loss]]))</f>
        <v>288.62</v>
      </c>
      <c r="M148" s="6" t="s">
        <v>27</v>
      </c>
      <c r="N148" s="2">
        <f ca="1">IF(Iterations[[#This Row],[Step]] =current_step, current_Grad_a,IF(Iterations[[#This Row],[Step]] &gt; current_step, "",Iterations[[#This Row],[Grad_a]]))</f>
        <v>0.46317563878016643</v>
      </c>
      <c r="O148" s="2">
        <f ca="1">IF(Iterations[[#This Row],[Step]] =current_step, current_Grad_b,IF(Iterations[[#This Row],[Step]] &gt; current_step, "",Iterations[[#This Row],[Grad_b]]))</f>
        <v>5.6238112409248982E-2</v>
      </c>
      <c r="P148" s="2">
        <f ca="1">IF(Iterations[[#This Row],[Step]] =current_step, current_Grad_c,IF(Iterations[[#This Row],[Step]] &gt; current_step, "",Iterations[[#This Row],[Grad_c]]))</f>
        <v>-1.303021088761783</v>
      </c>
      <c r="Q148" s="2">
        <f ca="1">IF(Iterations[[#This Row],[Step]] =current_step, current_Grad_d,IF(Iterations[[#This Row],[Step]] &gt; current_step, "",Iterations[[#This Row],[Grad_d]]))</f>
        <v>-2.1979101061931336E-2</v>
      </c>
      <c r="R148" s="2">
        <f ca="1">IF(Iterations[[#This Row],[Step]] =current_step, current_Grad_e,IF(Iterations[[#This Row],[Step]] &gt; current_step, "",Iterations[[#This Row],[Grad_e]]))</f>
        <v>0.4635636005472803</v>
      </c>
    </row>
    <row r="149" spans="6:18" x14ac:dyDescent="0.3">
      <c r="F149" s="2">
        <f t="shared" si="4"/>
        <v>132</v>
      </c>
      <c r="G149" s="2">
        <f ca="1">IF(Iterations[[#This Row],[Step]] =current_step, current_a,IF(Iterations[[#This Row],[Step]] &gt; current_step, "",Iterations[[#This Row],[a]]))</f>
        <v>-2.5454969629782038</v>
      </c>
      <c r="H149" s="2">
        <f ca="1">IF(Iterations[[#This Row],[Step]] =current_step, current_b,IF(Iterations[[#This Row],[Step]] &gt; current_step, "",Iterations[[#This Row],[b]]))</f>
        <v>1.0778202195886093</v>
      </c>
      <c r="I149" s="2">
        <f ca="1">IF(Iterations[[#This Row],[Step]] =current_step, current_c,IF(Iterations[[#This Row],[Step]] &gt; current_step, "",Iterations[[#This Row],[c]]))</f>
        <v>7.9588930483514089</v>
      </c>
      <c r="J149" s="2">
        <f ca="1">IF(Iterations[[#This Row],[Step]] =current_step, current_d,IF(Iterations[[#This Row],[Step]] &gt; current_step, "",Iterations[[#This Row],[d]]))</f>
        <v>0.64919491025259479</v>
      </c>
      <c r="K149" s="2">
        <f ca="1">IF(Iterations[[#This Row],[Step]] =current_step, current_e,IF(Iterations[[#This Row],[Step]] &gt; current_step, "",Iterations[[#This Row],[e]]))</f>
        <v>16.044340260946178</v>
      </c>
      <c r="L149" s="2">
        <f ca="1">IF(Iterations[[#This Row],[Step]] =current_step, current_Total_Loss,IF(Iterations[[#This Row],[Step]] &gt; current_step, "",Iterations[[#This Row],[Total Loss]]))</f>
        <v>286.7</v>
      </c>
      <c r="M149" s="6" t="s">
        <v>27</v>
      </c>
      <c r="N149" s="2">
        <f ca="1">IF(Iterations[[#This Row],[Step]] =current_step, current_Grad_a,IF(Iterations[[#This Row],[Step]] &gt; current_step, "",Iterations[[#This Row],[Grad_a]]))</f>
        <v>0.46090653883271515</v>
      </c>
      <c r="O149" s="2">
        <f ca="1">IF(Iterations[[#This Row],[Step]] =current_step, current_Grad_b,IF(Iterations[[#This Row],[Step]] &gt; current_step, "",Iterations[[#This Row],[Grad_b]]))</f>
        <v>5.6154566720509697E-2</v>
      </c>
      <c r="P149" s="2">
        <f ca="1">IF(Iterations[[#This Row],[Step]] =current_step, current_Grad_c,IF(Iterations[[#This Row],[Step]] &gt; current_step, "",Iterations[[#This Row],[Grad_c]]))</f>
        <v>-1.2966668645561568</v>
      </c>
      <c r="Q149" s="2">
        <f ca="1">IF(Iterations[[#This Row],[Step]] =current_step, current_Grad_d,IF(Iterations[[#This Row],[Step]] &gt; current_step, "",Iterations[[#This Row],[Grad_d]]))</f>
        <v>-2.2289746087055719E-2</v>
      </c>
      <c r="R149" s="2">
        <f ca="1">IF(Iterations[[#This Row],[Step]] =current_step, current_Grad_e,IF(Iterations[[#This Row],[Step]] &gt; current_step, "",Iterations[[#This Row],[Grad_e]]))</f>
        <v>0.4614102581448763</v>
      </c>
    </row>
    <row r="150" spans="6:18" x14ac:dyDescent="0.3">
      <c r="F150" s="2">
        <f t="shared" si="4"/>
        <v>133</v>
      </c>
      <c r="G150" s="2">
        <f ca="1">IF(Iterations[[#This Row],[Step]] =current_step, current_a,IF(Iterations[[#This Row],[Step]] &gt; current_step, "",Iterations[[#This Row],[a]]))</f>
        <v>-2.5685422899198396</v>
      </c>
      <c r="H150" s="2">
        <f ca="1">IF(Iterations[[#This Row],[Step]] =current_step, current_b,IF(Iterations[[#This Row],[Step]] &gt; current_step, "",Iterations[[#This Row],[b]]))</f>
        <v>1.0750124912525838</v>
      </c>
      <c r="I150" s="2">
        <f ca="1">IF(Iterations[[#This Row],[Step]] =current_step, current_c,IF(Iterations[[#This Row],[Step]] &gt; current_step, "",Iterations[[#This Row],[c]]))</f>
        <v>8.023726391579217</v>
      </c>
      <c r="J150" s="2">
        <f ca="1">IF(Iterations[[#This Row],[Step]] =current_step, current_d,IF(Iterations[[#This Row],[Step]] &gt; current_step, "",Iterations[[#This Row],[d]]))</f>
        <v>0.65030939755694761</v>
      </c>
      <c r="K150" s="2">
        <f ca="1">IF(Iterations[[#This Row],[Step]] =current_step, current_e,IF(Iterations[[#This Row],[Step]] &gt; current_step, "",Iterations[[#This Row],[e]]))</f>
        <v>16.021269748038936</v>
      </c>
      <c r="L150" s="2">
        <f ca="1">IF(Iterations[[#This Row],[Step]] =current_step, current_Total_Loss,IF(Iterations[[#This Row],[Step]] &gt; current_step, "",Iterations[[#This Row],[Total Loss]]))</f>
        <v>284.81</v>
      </c>
      <c r="M150" s="6" t="s">
        <v>27</v>
      </c>
      <c r="N150" s="2">
        <f ca="1">IF(Iterations[[#This Row],[Step]] =current_step, current_Grad_a,IF(Iterations[[#This Row],[Step]] &gt; current_step, "",Iterations[[#This Row],[Grad_a]]))</f>
        <v>0.4586505349182034</v>
      </c>
      <c r="O150" s="2">
        <f ca="1">IF(Iterations[[#This Row],[Step]] =current_step, current_Grad_b,IF(Iterations[[#This Row],[Step]] &gt; current_step, "",Iterations[[#This Row],[Grad_b]]))</f>
        <v>5.6069345313675162E-2</v>
      </c>
      <c r="P150" s="2">
        <f ca="1">IF(Iterations[[#This Row],[Step]] =current_step, current_Grad_c,IF(Iterations[[#This Row],[Step]] &gt; current_step, "",Iterations[[#This Row],[Grad_c]]))</f>
        <v>-1.2903453964739513</v>
      </c>
      <c r="Q150" s="2">
        <f ca="1">IF(Iterations[[#This Row],[Step]] =current_step, current_Grad_d,IF(Iterations[[#This Row],[Step]] &gt; current_step, "",Iterations[[#This Row],[Grad_d]]))</f>
        <v>-2.2593297138781172E-2</v>
      </c>
      <c r="R150" s="2">
        <f ca="1">IF(Iterations[[#This Row],[Step]] =current_step, current_Grad_e,IF(Iterations[[#This Row],[Step]] &gt; current_step, "",Iterations[[#This Row],[Grad_e]]))</f>
        <v>0.45926072928369344</v>
      </c>
    </row>
    <row r="151" spans="6:18" x14ac:dyDescent="0.3">
      <c r="F151" s="2">
        <f t="shared" si="4"/>
        <v>134</v>
      </c>
      <c r="G151" s="2">
        <f ca="1">IF(Iterations[[#This Row],[Step]] =current_step, current_a,IF(Iterations[[#This Row],[Step]] &gt; current_step, "",Iterations[[#This Row],[a]]))</f>
        <v>-2.5914748166657495</v>
      </c>
      <c r="H151" s="2">
        <f ca="1">IF(Iterations[[#This Row],[Step]] =current_step, current_b,IF(Iterations[[#This Row],[Step]] &gt; current_step, "",Iterations[[#This Row],[b]]))</f>
        <v>1.0722090239869</v>
      </c>
      <c r="I151" s="2">
        <f ca="1">IF(Iterations[[#This Row],[Step]] =current_step, current_c,IF(Iterations[[#This Row],[Step]] &gt; current_step, "",Iterations[[#This Row],[c]]))</f>
        <v>8.088243661402915</v>
      </c>
      <c r="J151" s="2">
        <f ca="1">IF(Iterations[[#This Row],[Step]] =current_step, current_d,IF(Iterations[[#This Row],[Step]] &gt; current_step, "",Iterations[[#This Row],[d]]))</f>
        <v>0.65143906241388672</v>
      </c>
      <c r="K151" s="2">
        <f ca="1">IF(Iterations[[#This Row],[Step]] =current_step, current_e,IF(Iterations[[#This Row],[Step]] &gt; current_step, "",Iterations[[#This Row],[e]]))</f>
        <v>15.998306711574751</v>
      </c>
      <c r="L151" s="2">
        <f ca="1">IF(Iterations[[#This Row],[Step]] =current_step, current_Total_Loss,IF(Iterations[[#This Row],[Step]] &gt; current_step, "",Iterations[[#This Row],[Total Loss]]))</f>
        <v>282.93</v>
      </c>
      <c r="M151" s="6" t="s">
        <v>27</v>
      </c>
      <c r="N151" s="2">
        <f ca="1">IF(Iterations[[#This Row],[Step]] =current_step, current_Grad_a,IF(Iterations[[#This Row],[Step]] &gt; current_step, "",Iterations[[#This Row],[Grad_a]]))</f>
        <v>0.45640742267786805</v>
      </c>
      <c r="O151" s="2">
        <f ca="1">IF(Iterations[[#This Row],[Step]] =current_step, current_Grad_b,IF(Iterations[[#This Row],[Step]] &gt; current_step, "",Iterations[[#This Row],[Grad_b]]))</f>
        <v>5.5982462011884948E-2</v>
      </c>
      <c r="P151" s="2">
        <f ca="1">IF(Iterations[[#This Row],[Step]] =current_step, current_Grad_c,IF(Iterations[[#This Row],[Step]] &gt; current_step, "",Iterations[[#This Row],[Grad_c]]))</f>
        <v>-1.2840564131611303</v>
      </c>
      <c r="Q151" s="2">
        <f ca="1">IF(Iterations[[#This Row],[Step]] =current_step, current_Grad_d,IF(Iterations[[#This Row],[Step]] &gt; current_step, "",Iterations[[#This Row],[Grad_d]]))</f>
        <v>-2.2889878384075659E-2</v>
      </c>
      <c r="R151" s="2">
        <f ca="1">IF(Iterations[[#This Row],[Step]] =current_step, current_Grad_e,IF(Iterations[[#This Row],[Step]] &gt; current_step, "",Iterations[[#This Row],[Grad_e]]))</f>
        <v>0.45711543806095672</v>
      </c>
    </row>
    <row r="152" spans="6:18" x14ac:dyDescent="0.3">
      <c r="F152" s="2">
        <f t="shared" si="4"/>
        <v>135</v>
      </c>
      <c r="G152" s="2">
        <f ca="1">IF(Iterations[[#This Row],[Step]] =current_step, current_a,IF(Iterations[[#This Row],[Step]] &gt; current_step, "",Iterations[[#This Row],[a]]))</f>
        <v>-2.6142951877996428</v>
      </c>
      <c r="H152" s="2">
        <f ca="1">IF(Iterations[[#This Row],[Step]] =current_step, current_b,IF(Iterations[[#This Row],[Step]] &gt; current_step, "",Iterations[[#This Row],[b]]))</f>
        <v>1.0694099008863058</v>
      </c>
      <c r="I152" s="2">
        <f ca="1">IF(Iterations[[#This Row],[Step]] =current_step, current_c,IF(Iterations[[#This Row],[Step]] &gt; current_step, "",Iterations[[#This Row],[c]]))</f>
        <v>8.1524464820609719</v>
      </c>
      <c r="J152" s="2">
        <f ca="1">IF(Iterations[[#This Row],[Step]] =current_step, current_d,IF(Iterations[[#This Row],[Step]] &gt; current_step, "",Iterations[[#This Row],[d]]))</f>
        <v>0.65258355633309051</v>
      </c>
      <c r="K152" s="2">
        <f ca="1">IF(Iterations[[#This Row],[Step]] =current_step, current_e,IF(Iterations[[#This Row],[Step]] &gt; current_step, "",Iterations[[#This Row],[e]]))</f>
        <v>15.975450939671703</v>
      </c>
      <c r="L152" s="2">
        <f ca="1">IF(Iterations[[#This Row],[Step]] =current_step, current_Total_Loss,IF(Iterations[[#This Row],[Step]] &gt; current_step, "",Iterations[[#This Row],[Total Loss]]))</f>
        <v>281.08</v>
      </c>
      <c r="M152" s="6" t="s">
        <v>27</v>
      </c>
      <c r="N152" s="2">
        <f ca="1">IF(Iterations[[#This Row],[Step]] =current_step, current_Grad_a,IF(Iterations[[#This Row],[Step]] &gt; current_step, "",Iterations[[#This Row],[Grad_a]]))</f>
        <v>0.45417700798994076</v>
      </c>
      <c r="O152" s="2">
        <f ca="1">IF(Iterations[[#This Row],[Step]] =current_step, current_Grad_b,IF(Iterations[[#This Row],[Step]] &gt; current_step, "",Iterations[[#This Row],[Grad_b]]))</f>
        <v>5.5893931855512752E-2</v>
      </c>
      <c r="P152" s="2">
        <f ca="1">IF(Iterations[[#This Row],[Step]] =current_step, current_Grad_c,IF(Iterations[[#This Row],[Step]] &gt; current_step, "",Iterations[[#This Row],[Grad_c]]))</f>
        <v>-1.2777996517055863</v>
      </c>
      <c r="Q152" s="2">
        <f ca="1">IF(Iterations[[#This Row],[Step]] =current_step, current_Grad_d,IF(Iterations[[#This Row],[Step]] &gt; current_step, "",Iterations[[#This Row],[Grad_d]]))</f>
        <v>-2.3179611023368532E-2</v>
      </c>
      <c r="R152" s="2">
        <f ca="1">IF(Iterations[[#This Row],[Step]] =current_step, current_Grad_e,IF(Iterations[[#This Row],[Step]] &gt; current_step, "",Iterations[[#This Row],[Grad_e]]))</f>
        <v>0.45497477743977199</v>
      </c>
    </row>
    <row r="153" spans="6:18" x14ac:dyDescent="0.3">
      <c r="F153" s="2">
        <f t="shared" si="4"/>
        <v>136</v>
      </c>
      <c r="G153" s="2">
        <f ca="1">IF(Iterations[[#This Row],[Step]] =current_step, current_a,IF(Iterations[[#This Row],[Step]] &gt; current_step, "",Iterations[[#This Row],[a]]))</f>
        <v>-2.63700403819914</v>
      </c>
      <c r="H153" s="2">
        <f ca="1">IF(Iterations[[#This Row],[Step]] =current_step, current_b,IF(Iterations[[#This Row],[Step]] &gt; current_step, "",Iterations[[#This Row],[b]]))</f>
        <v>1.0666152042935302</v>
      </c>
      <c r="I153" s="2">
        <f ca="1">IF(Iterations[[#This Row],[Step]] =current_step, current_c,IF(Iterations[[#This Row],[Step]] &gt; current_step, "",Iterations[[#This Row],[c]]))</f>
        <v>8.2163364646462504</v>
      </c>
      <c r="J153" s="2">
        <f ca="1">IF(Iterations[[#This Row],[Step]] =current_step, current_d,IF(Iterations[[#This Row],[Step]] &gt; current_step, "",Iterations[[#This Row],[d]]))</f>
        <v>0.65374253688425898</v>
      </c>
      <c r="K153" s="2">
        <f ca="1">IF(Iterations[[#This Row],[Step]] =current_step, current_e,IF(Iterations[[#This Row],[Step]] &gt; current_step, "",Iterations[[#This Row],[e]]))</f>
        <v>15.952702200799713</v>
      </c>
      <c r="L153" s="2">
        <f ca="1">IF(Iterations[[#This Row],[Step]] =current_step, current_Total_Loss,IF(Iterations[[#This Row],[Step]] &gt; current_step, "",Iterations[[#This Row],[Total Loss]]))</f>
        <v>279.23</v>
      </c>
      <c r="M153" s="6" t="s">
        <v>27</v>
      </c>
      <c r="N153" s="2">
        <f ca="1">IF(Iterations[[#This Row],[Step]] =current_step, current_Grad_a,IF(Iterations[[#This Row],[Step]] &gt; current_step, "",Iterations[[#This Row],[Grad_a]]))</f>
        <v>0.45195910631486946</v>
      </c>
      <c r="O153" s="2">
        <f ca="1">IF(Iterations[[#This Row],[Step]] =current_step, current_Grad_b,IF(Iterations[[#This Row],[Step]] &gt; current_step, "",Iterations[[#This Row],[Grad_b]]))</f>
        <v>5.5803770991197744E-2</v>
      </c>
      <c r="P153" s="2">
        <f ca="1">IF(Iterations[[#This Row],[Step]] =current_step, current_Grad_c,IF(Iterations[[#This Row],[Step]] &gt; current_step, "",Iterations[[#This Row],[Grad_c]]))</f>
        <v>-1.2715748571333887</v>
      </c>
      <c r="Q153" s="2">
        <f ca="1">IF(Iterations[[#This Row],[Step]] =current_step, current_Grad_d,IF(Iterations[[#This Row],[Step]] &gt; current_step, "",Iterations[[#This Row],[Grad_d]]))</f>
        <v>-2.3462613414949471E-2</v>
      </c>
      <c r="R153" s="2">
        <f ca="1">IF(Iterations[[#This Row],[Step]] =current_step, current_Grad_e,IF(Iterations[[#This Row],[Step]] &gt; current_step, "",Iterations[[#This Row],[Grad_e]]))</f>
        <v>0.45283911130349908</v>
      </c>
    </row>
    <row r="154" spans="6:18" x14ac:dyDescent="0.3">
      <c r="F154" s="2">
        <f t="shared" si="4"/>
        <v>137</v>
      </c>
      <c r="G154" s="2">
        <f ca="1">IF(Iterations[[#This Row],[Step]] =current_step, current_a,IF(Iterations[[#This Row],[Step]] &gt; current_step, "",Iterations[[#This Row],[a]]))</f>
        <v>-2.6596019935148836</v>
      </c>
      <c r="H154" s="2">
        <f ca="1">IF(Iterations[[#This Row],[Step]] =current_step, current_b,IF(Iterations[[#This Row],[Step]] &gt; current_step, "",Iterations[[#This Row],[b]]))</f>
        <v>1.0638250157439704</v>
      </c>
      <c r="I154" s="2">
        <f ca="1">IF(Iterations[[#This Row],[Step]] =current_step, current_c,IF(Iterations[[#This Row],[Step]] &gt; current_step, "",Iterations[[#This Row],[c]]))</f>
        <v>8.2799152075029205</v>
      </c>
      <c r="J154" s="2">
        <f ca="1">IF(Iterations[[#This Row],[Step]] =current_step, current_d,IF(Iterations[[#This Row],[Step]] &gt; current_step, "",Iterations[[#This Row],[d]]))</f>
        <v>0.65491566755500641</v>
      </c>
      <c r="K154" s="2">
        <f ca="1">IF(Iterations[[#This Row],[Step]] =current_step, current_e,IF(Iterations[[#This Row],[Step]] &gt; current_step, "",Iterations[[#This Row],[e]]))</f>
        <v>15.930060245234538</v>
      </c>
      <c r="L154" s="2">
        <f ca="1">IF(Iterations[[#This Row],[Step]] =current_step, current_Total_Loss,IF(Iterations[[#This Row],[Step]] &gt; current_step, "",Iterations[[#This Row],[Total Loss]]))</f>
        <v>277.41000000000003</v>
      </c>
      <c r="M154" s="6" t="s">
        <v>27</v>
      </c>
      <c r="N154" s="2">
        <f ca="1">IF(Iterations[[#This Row],[Step]] =current_step, current_Grad_a,IF(Iterations[[#This Row],[Step]] &gt; current_step, "",Iterations[[#This Row],[Grad_a]]))</f>
        <v>0.44975354208340929</v>
      </c>
      <c r="O154" s="2">
        <f ca="1">IF(Iterations[[#This Row],[Step]] =current_step, current_Grad_b,IF(Iterations[[#This Row],[Step]] &gt; current_step, "",Iterations[[#This Row],[Grad_b]]))</f>
        <v>5.5711996568554217E-2</v>
      </c>
      <c r="P154" s="2">
        <f ca="1">IF(Iterations[[#This Row],[Step]] =current_step, current_Grad_c,IF(Iterations[[#This Row],[Step]] &gt; current_step, "",Iterations[[#This Row],[Grad_c]]))</f>
        <v>-1.2653817819376423</v>
      </c>
      <c r="Q154" s="2">
        <f ca="1">IF(Iterations[[#This Row],[Step]] =current_step, current_Grad_d,IF(Iterations[[#This Row],[Step]] &gt; current_step, "",Iterations[[#This Row],[Grad_d]]))</f>
        <v>-2.3739001192135827E-2</v>
      </c>
      <c r="R154" s="2">
        <f ca="1">IF(Iterations[[#This Row],[Step]] =current_step, current_Grad_e,IF(Iterations[[#This Row],[Step]] &gt; current_step, "",Iterations[[#This Row],[Grad_e]]))</f>
        <v>0.45070877637569751</v>
      </c>
    </row>
    <row r="155" spans="6:18" x14ac:dyDescent="0.3">
      <c r="F155" s="2">
        <f t="shared" si="4"/>
        <v>138</v>
      </c>
      <c r="G155" s="2">
        <f ca="1">IF(Iterations[[#This Row],[Step]] =current_step, current_a,IF(Iterations[[#This Row],[Step]] &gt; current_step, "",Iterations[[#This Row],[a]]))</f>
        <v>-2.682089670619054</v>
      </c>
      <c r="H155" s="2">
        <f ca="1">IF(Iterations[[#This Row],[Step]] =current_step, current_b,IF(Iterations[[#This Row],[Step]] &gt; current_step, "",Iterations[[#This Row],[b]]))</f>
        <v>1.0610394159155427</v>
      </c>
      <c r="I155" s="2">
        <f ca="1">IF(Iterations[[#This Row],[Step]] =current_step, current_c,IF(Iterations[[#This Row],[Step]] &gt; current_step, "",Iterations[[#This Row],[c]]))</f>
        <v>8.3431842965998033</v>
      </c>
      <c r="J155" s="2">
        <f ca="1">IF(Iterations[[#This Row],[Step]] =current_step, current_d,IF(Iterations[[#This Row],[Step]] &gt; current_step, "",Iterations[[#This Row],[d]]))</f>
        <v>0.65610261761461319</v>
      </c>
      <c r="K155" s="2">
        <f ca="1">IF(Iterations[[#This Row],[Step]] =current_step, current_e,IF(Iterations[[#This Row],[Step]] &gt; current_step, "",Iterations[[#This Row],[e]]))</f>
        <v>15.907524806415752</v>
      </c>
      <c r="L155" s="2">
        <f ca="1">IF(Iterations[[#This Row],[Step]] =current_step, current_Total_Loss,IF(Iterations[[#This Row],[Step]] &gt; current_step, "",Iterations[[#This Row],[Total Loss]]))</f>
        <v>275.61</v>
      </c>
      <c r="M155" s="6" t="s">
        <v>27</v>
      </c>
      <c r="N155" s="2">
        <f ca="1">IF(Iterations[[#This Row],[Step]] =current_step, current_Grad_a,IF(Iterations[[#This Row],[Step]] &gt; current_step, "",Iterations[[#This Row],[Grad_a]]))</f>
        <v>0.44756014812452627</v>
      </c>
      <c r="O155" s="2">
        <f ca="1">IF(Iterations[[#This Row],[Step]] =current_step, current_Grad_b,IF(Iterations[[#This Row],[Step]] &gt; current_step, "",Iterations[[#This Row],[Grad_b]]))</f>
        <v>5.5618626644061725E-2</v>
      </c>
      <c r="P155" s="2">
        <f ca="1">IF(Iterations[[#This Row],[Step]] =current_step, current_Grad_c,IF(Iterations[[#This Row],[Step]] &gt; current_step, "",Iterations[[#This Row],[Grad_c]]))</f>
        <v>-1.2592201856379504</v>
      </c>
      <c r="Q155" s="2">
        <f ca="1">IF(Iterations[[#This Row],[Step]] =current_step, current_Grad_d,IF(Iterations[[#This Row],[Step]] &gt; current_step, "",Iterations[[#This Row],[Grad_d]]))</f>
        <v>-2.4008887373670698E-2</v>
      </c>
      <c r="R155" s="2">
        <f ca="1">IF(Iterations[[#This Row],[Step]] =current_step, current_Grad_e,IF(Iterations[[#This Row],[Step]] &gt; current_step, "",Iterations[[#This Row],[Grad_e]]))</f>
        <v>0.4485840840143685</v>
      </c>
    </row>
    <row r="156" spans="6:18" x14ac:dyDescent="0.3">
      <c r="F156" s="2">
        <f t="shared" si="4"/>
        <v>139</v>
      </c>
      <c r="G156" s="2">
        <f ca="1">IF(Iterations[[#This Row],[Step]] =current_step, current_a,IF(Iterations[[#This Row],[Step]] &gt; current_step, "",Iterations[[#This Row],[a]]))</f>
        <v>-2.7044676780252805</v>
      </c>
      <c r="H156" s="2">
        <f ca="1">IF(Iterations[[#This Row],[Step]] =current_step, current_b,IF(Iterations[[#This Row],[Step]] &gt; current_step, "",Iterations[[#This Row],[b]]))</f>
        <v>1.0582584845833396</v>
      </c>
      <c r="I156" s="2">
        <f ca="1">IF(Iterations[[#This Row],[Step]] =current_step, current_c,IF(Iterations[[#This Row],[Step]] &gt; current_step, "",Iterations[[#This Row],[c]]))</f>
        <v>8.4061453058817008</v>
      </c>
      <c r="J156" s="2">
        <f ca="1">IF(Iterations[[#This Row],[Step]] =current_step, current_d,IF(Iterations[[#This Row],[Step]] &gt; current_step, "",Iterations[[#This Row],[d]]))</f>
        <v>0.65730306198329669</v>
      </c>
      <c r="K156" s="2">
        <f ca="1">IF(Iterations[[#This Row],[Step]] =current_step, current_e,IF(Iterations[[#This Row],[Step]] &gt; current_step, "",Iterations[[#This Row],[e]]))</f>
        <v>15.885095602215033</v>
      </c>
      <c r="L156" s="2">
        <f ca="1">IF(Iterations[[#This Row],[Step]] =current_step, current_Total_Loss,IF(Iterations[[#This Row],[Step]] &gt; current_step, "",Iterations[[#This Row],[Total Loss]]))</f>
        <v>273.82</v>
      </c>
      <c r="M156" s="6" t="s">
        <v>27</v>
      </c>
      <c r="N156" s="2">
        <f ca="1">IF(Iterations[[#This Row],[Step]] =current_step, current_Grad_a,IF(Iterations[[#This Row],[Step]] &gt; current_step, "",Iterations[[#This Row],[Grad_a]]))</f>
        <v>0.44537876513099978</v>
      </c>
      <c r="O156" s="2">
        <f ca="1">IF(Iterations[[#This Row],[Step]] =current_step, current_Grad_b,IF(Iterations[[#This Row],[Step]] &gt; current_step, "",Iterations[[#This Row],[Grad_b]]))</f>
        <v>5.5523680091608796E-2</v>
      </c>
      <c r="P156" s="2">
        <f ca="1">IF(Iterations[[#This Row],[Step]] =current_step, current_Grad_c,IF(Iterations[[#This Row],[Step]] &gt; current_step, "",Iterations[[#This Row],[Grad_c]]))</f>
        <v>-1.2530898343682624</v>
      </c>
      <c r="Q156" s="2">
        <f ca="1">IF(Iterations[[#This Row],[Step]] =current_step, current_Grad_d,IF(Iterations[[#This Row],[Step]] &gt; current_step, "",Iterations[[#This Row],[Grad_d]]))</f>
        <v>-2.4272382467789438E-2</v>
      </c>
      <c r="R156" s="2">
        <f ca="1">IF(Iterations[[#This Row],[Step]] =current_step, current_Grad_e,IF(Iterations[[#This Row],[Step]] &gt; current_step, "",Iterations[[#This Row],[Grad_e]]))</f>
        <v>0.44646532188881299</v>
      </c>
    </row>
    <row r="157" spans="6:18" x14ac:dyDescent="0.3">
      <c r="F157" s="2">
        <f t="shared" si="4"/>
        <v>140</v>
      </c>
      <c r="G157" s="2">
        <f ca="1">IF(Iterations[[#This Row],[Step]] =current_step, current_a,IF(Iterations[[#This Row],[Step]] &gt; current_step, "",Iterations[[#This Row],[a]]))</f>
        <v>-2.7267366162818307</v>
      </c>
      <c r="H157" s="2">
        <f ca="1">IF(Iterations[[#This Row],[Step]] =current_step, current_b,IF(Iterations[[#This Row],[Step]] &gt; current_step, "",Iterations[[#This Row],[b]]))</f>
        <v>1.0554823005787592</v>
      </c>
      <c r="I157" s="2">
        <f ca="1">IF(Iterations[[#This Row],[Step]] =current_step, current_c,IF(Iterations[[#This Row],[Step]] &gt; current_step, "",Iterations[[#This Row],[c]]))</f>
        <v>8.4687997976001146</v>
      </c>
      <c r="J157" s="2">
        <f ca="1">IF(Iterations[[#This Row],[Step]] =current_step, current_d,IF(Iterations[[#This Row],[Step]] &gt; current_step, "",Iterations[[#This Row],[d]]))</f>
        <v>0.65851668110668615</v>
      </c>
      <c r="K157" s="2">
        <f ca="1">IF(Iterations[[#This Row],[Step]] =current_step, current_e,IF(Iterations[[#This Row],[Step]] &gt; current_step, "",Iterations[[#This Row],[e]]))</f>
        <v>15.862772336120592</v>
      </c>
      <c r="L157" s="2">
        <f ca="1">IF(Iterations[[#This Row],[Step]] =current_step, current_Total_Loss,IF(Iterations[[#This Row],[Step]] &gt; current_step, "",Iterations[[#This Row],[Total Loss]]))</f>
        <v>272.05</v>
      </c>
      <c r="M157" s="6" t="s">
        <v>27</v>
      </c>
      <c r="N157" s="2">
        <f ca="1">IF(Iterations[[#This Row],[Step]] =current_step, current_Grad_a,IF(Iterations[[#This Row],[Step]] &gt; current_step, "",Iterations[[#This Row],[Grad_a]]))</f>
        <v>0.44320924115951577</v>
      </c>
      <c r="O157" s="2">
        <f ca="1">IF(Iterations[[#This Row],[Step]] =current_step, current_Grad_b,IF(Iterations[[#This Row],[Step]] &gt; current_step, "",Iterations[[#This Row],[Grad_b]]))</f>
        <v>5.5427176519351917E-2</v>
      </c>
      <c r="P157" s="2">
        <f ca="1">IF(Iterations[[#This Row],[Step]] =current_step, current_Grad_c,IF(Iterations[[#This Row],[Step]] &gt; current_step, "",Iterations[[#This Row],[Grad_c]]))</f>
        <v>-1.2469905004915798</v>
      </c>
      <c r="Q157" s="2">
        <f ca="1">IF(Iterations[[#This Row],[Step]] =current_step, current_Grad_d,IF(Iterations[[#This Row],[Step]] &gt; current_step, "",Iterations[[#This Row],[Grad_d]]))</f>
        <v>-2.4529594570338889E-2</v>
      </c>
      <c r="R157" s="2">
        <f ca="1">IF(Iterations[[#This Row],[Step]] =current_step, current_Grad_e,IF(Iterations[[#This Row],[Step]] &gt; current_step, "",Iterations[[#This Row],[Grad_e]]))</f>
        <v>0.4443527555466385</v>
      </c>
    </row>
    <row r="158" spans="6:18" x14ac:dyDescent="0.3">
      <c r="F158" s="2">
        <f t="shared" si="4"/>
        <v>141</v>
      </c>
      <c r="G158" s="2">
        <f ca="1">IF(Iterations[[#This Row],[Step]] =current_step, current_a,IF(Iterations[[#This Row],[Step]] &gt; current_step, "",Iterations[[#This Row],[a]]))</f>
        <v>-2.7488970783398066</v>
      </c>
      <c r="H158" s="2">
        <f ca="1">IF(Iterations[[#This Row],[Step]] =current_step, current_b,IF(Iterations[[#This Row],[Step]] &gt; current_step, "",Iterations[[#This Row],[b]]))</f>
        <v>1.0527109417527916</v>
      </c>
      <c r="I158" s="2">
        <f ca="1">IF(Iterations[[#This Row],[Step]] =current_step, current_c,IF(Iterations[[#This Row],[Step]] &gt; current_step, "",Iterations[[#This Row],[c]]))</f>
        <v>8.5311493226246942</v>
      </c>
      <c r="J158" s="2">
        <f ca="1">IF(Iterations[[#This Row],[Step]] =current_step, current_d,IF(Iterations[[#This Row],[Step]] &gt; current_step, "",Iterations[[#This Row],[d]]))</f>
        <v>0.65974316083520312</v>
      </c>
      <c r="K158" s="2">
        <f ca="1">IF(Iterations[[#This Row],[Step]] =current_step, current_e,IF(Iterations[[#This Row],[Step]] &gt; current_step, "",Iterations[[#This Row],[e]]))</f>
        <v>15.84055469834326</v>
      </c>
      <c r="L158" s="2">
        <f ca="1">IF(Iterations[[#This Row],[Step]] =current_step, current_Total_Loss,IF(Iterations[[#This Row],[Step]] &gt; current_step, "",Iterations[[#This Row],[Total Loss]]))</f>
        <v>270.3</v>
      </c>
      <c r="M158" s="6" t="s">
        <v>27</v>
      </c>
      <c r="N158" s="2">
        <f ca="1">IF(Iterations[[#This Row],[Step]] =current_step, current_Grad_a,IF(Iterations[[#This Row],[Step]] &gt; current_step, "",Iterations[[#This Row],[Grad_a]]))</f>
        <v>0.44105143116352274</v>
      </c>
      <c r="O158" s="2">
        <f ca="1">IF(Iterations[[#This Row],[Step]] =current_step, current_Grad_b,IF(Iterations[[#This Row],[Step]] &gt; current_step, "",Iterations[[#This Row],[Grad_b]]))</f>
        <v>5.5329136192353606E-2</v>
      </c>
      <c r="P158" s="2">
        <f ca="1">IF(Iterations[[#This Row],[Step]] =current_step, current_Grad_c,IF(Iterations[[#This Row],[Step]] &gt; current_step, "",Iterations[[#This Row],[Grad_c]]))</f>
        <v>-1.240921962239524</v>
      </c>
      <c r="Q158" s="2">
        <f ca="1">IF(Iterations[[#This Row],[Step]] =current_step, current_Grad_d,IF(Iterations[[#This Row],[Step]] &gt; current_step, "",Iterations[[#This Row],[Grad_d]]))</f>
        <v>-2.4780629457356165E-2</v>
      </c>
      <c r="R158" s="2">
        <f ca="1">IF(Iterations[[#This Row],[Step]] =current_step, current_Grad_e,IF(Iterations[[#This Row],[Step]] &gt; current_step, "",Iterations[[#This Row],[Grad_e]]))</f>
        <v>0.44224662987819546</v>
      </c>
    </row>
    <row r="159" spans="6:18" x14ac:dyDescent="0.3">
      <c r="F159" s="2">
        <f t="shared" si="4"/>
        <v>142</v>
      </c>
      <c r="G159" s="2">
        <f ca="1">IF(Iterations[[#This Row],[Step]] =current_step, current_a,IF(Iterations[[#This Row],[Step]] &gt; current_step, "",Iterations[[#This Row],[a]]))</f>
        <v>-2.7709496498979829</v>
      </c>
      <c r="H159" s="2">
        <f ca="1">IF(Iterations[[#This Row],[Step]] =current_step, current_b,IF(Iterations[[#This Row],[Step]] &gt; current_step, "",Iterations[[#This Row],[b]]))</f>
        <v>1.0499444849431738</v>
      </c>
      <c r="I159" s="2">
        <f ca="1">IF(Iterations[[#This Row],[Step]] =current_step, current_c,IF(Iterations[[#This Row],[Step]] &gt; current_step, "",Iterations[[#This Row],[c]]))</f>
        <v>8.5931954207366701</v>
      </c>
      <c r="J159" s="2">
        <f ca="1">IF(Iterations[[#This Row],[Step]] =current_step, current_d,IF(Iterations[[#This Row],[Step]] &gt; current_step, "",Iterations[[#This Row],[d]]))</f>
        <v>0.66098219230807098</v>
      </c>
      <c r="K159" s="2">
        <f ca="1">IF(Iterations[[#This Row],[Step]] =current_step, current_e,IF(Iterations[[#This Row],[Step]] &gt; current_step, "",Iterations[[#This Row],[e]]))</f>
        <v>15.81844236684935</v>
      </c>
      <c r="L159" s="2">
        <f ca="1">IF(Iterations[[#This Row],[Step]] =current_step, current_Total_Loss,IF(Iterations[[#This Row],[Step]] &gt; current_step, "",Iterations[[#This Row],[Total Loss]]))</f>
        <v>268.56</v>
      </c>
      <c r="M159" s="6" t="s">
        <v>27</v>
      </c>
      <c r="N159" s="2">
        <f ca="1">IF(Iterations[[#This Row],[Step]] =current_step, current_Grad_a,IF(Iterations[[#This Row],[Step]] &gt; current_step, "",Iterations[[#This Row],[Grad_a]]))</f>
        <v>0.4389051965567291</v>
      </c>
      <c r="O159" s="2">
        <f ca="1">IF(Iterations[[#This Row],[Step]] =current_step, current_Grad_b,IF(Iterations[[#This Row],[Step]] &gt; current_step, "",Iterations[[#This Row],[Grad_b]]))</f>
        <v>5.5229579960715348E-2</v>
      </c>
      <c r="P159" s="2">
        <f ca="1">IF(Iterations[[#This Row],[Step]] =current_step, current_Grad_c,IF(Iterations[[#This Row],[Step]] &gt; current_step, "",Iterations[[#This Row],[Grad_c]]))</f>
        <v>-1.2348840033751511</v>
      </c>
      <c r="Q159" s="2">
        <f ca="1">IF(Iterations[[#This Row],[Step]] =current_step, current_Grad_d,IF(Iterations[[#This Row],[Step]] &gt; current_step, "",Iterations[[#This Row],[Grad_d]]))</f>
        <v>-2.5025590672426427E-2</v>
      </c>
      <c r="R159" s="2">
        <f ca="1">IF(Iterations[[#This Row],[Step]] =current_step, current_Grad_e,IF(Iterations[[#This Row],[Step]] &gt; current_step, "",Iterations[[#This Row],[Grad_e]]))</f>
        <v>0.44014717048518448</v>
      </c>
    </row>
    <row r="160" spans="6:18" x14ac:dyDescent="0.3">
      <c r="F160" s="2">
        <f t="shared" si="4"/>
        <v>143</v>
      </c>
      <c r="G160" s="2">
        <f ca="1">IF(Iterations[[#This Row],[Step]] =current_step, current_a,IF(Iterations[[#This Row],[Step]] &gt; current_step, "",Iterations[[#This Row],[a]]))</f>
        <v>-2.7928949097258191</v>
      </c>
      <c r="H160" s="2">
        <f ca="1">IF(Iterations[[#This Row],[Step]] =current_step, current_b,IF(Iterations[[#This Row],[Step]] &gt; current_step, "",Iterations[[#This Row],[b]]))</f>
        <v>1.0471830059451381</v>
      </c>
      <c r="I160" s="2">
        <f ca="1">IF(Iterations[[#This Row],[Step]] =current_step, current_c,IF(Iterations[[#This Row],[Step]] &gt; current_step, "",Iterations[[#This Row],[c]]))</f>
        <v>8.6549396209054272</v>
      </c>
      <c r="J160" s="2">
        <f ca="1">IF(Iterations[[#This Row],[Step]] =current_step, current_d,IF(Iterations[[#This Row],[Step]] &gt; current_step, "",Iterations[[#This Row],[d]]))</f>
        <v>0.66223347184169234</v>
      </c>
      <c r="K160" s="2">
        <f ca="1">IF(Iterations[[#This Row],[Step]] =current_step, current_e,IF(Iterations[[#This Row],[Step]] &gt; current_step, "",Iterations[[#This Row],[e]]))</f>
        <v>15.796435008325091</v>
      </c>
      <c r="L160" s="2">
        <f ca="1">IF(Iterations[[#This Row],[Step]] =current_step, current_Total_Loss,IF(Iterations[[#This Row],[Step]] &gt; current_step, "",Iterations[[#This Row],[Total Loss]]))</f>
        <v>266.83999999999997</v>
      </c>
      <c r="M160" s="6" t="s">
        <v>27</v>
      </c>
      <c r="N160" s="2">
        <f ca="1">IF(Iterations[[#This Row],[Step]] =current_step, current_Grad_a,IF(Iterations[[#This Row],[Step]] &gt; current_step, "",Iterations[[#This Row],[Grad_a]]))</f>
        <v>0.43677040480487506</v>
      </c>
      <c r="O160" s="2">
        <f ca="1">IF(Iterations[[#This Row],[Step]] =current_step, current_Grad_b,IF(Iterations[[#This Row],[Step]] &gt; current_step, "",Iterations[[#This Row],[Grad_b]]))</f>
        <v>5.5128529192773001E-2</v>
      </c>
      <c r="P160" s="2">
        <f ca="1">IF(Iterations[[#This Row],[Step]] =current_step, current_Grad_c,IF(Iterations[[#This Row],[Step]] &gt; current_step, "",Iterations[[#This Row],[Grad_c]]))</f>
        <v>-1.2288764128776402</v>
      </c>
      <c r="Q160" s="2">
        <f ca="1">IF(Iterations[[#This Row],[Step]] =current_step, current_Grad_d,IF(Iterations[[#This Row],[Step]] &gt; current_step, "",Iterations[[#This Row],[Grad_d]]))</f>
        <v>-2.5264579609172364E-2</v>
      </c>
      <c r="R160" s="2">
        <f ca="1">IF(Iterations[[#This Row],[Step]] =current_step, current_Grad_e,IF(Iterations[[#This Row],[Step]] &gt; current_step, "",Iterations[[#This Row],[Grad_e]]))</f>
        <v>0.43805458495957872</v>
      </c>
    </row>
    <row r="161" spans="6:18" x14ac:dyDescent="0.3">
      <c r="F161" s="2">
        <f t="shared" si="4"/>
        <v>144</v>
      </c>
      <c r="G161" s="2">
        <f ca="1">IF(Iterations[[#This Row],[Step]] =current_step, current_a,IF(Iterations[[#This Row],[Step]] &gt; current_step, "",Iterations[[#This Row],[a]]))</f>
        <v>-2.8147334299660627</v>
      </c>
      <c r="H161" s="2">
        <f ca="1">IF(Iterations[[#This Row],[Step]] =current_step, current_b,IF(Iterations[[#This Row],[Step]] &gt; current_step, "",Iterations[[#This Row],[b]]))</f>
        <v>1.0444265794854994</v>
      </c>
      <c r="I161" s="2">
        <f ca="1">IF(Iterations[[#This Row],[Step]] =current_step, current_c,IF(Iterations[[#This Row],[Step]] &gt; current_step, "",Iterations[[#This Row],[c]]))</f>
        <v>8.7163834415493096</v>
      </c>
      <c r="J161" s="2">
        <f ca="1">IF(Iterations[[#This Row],[Step]] =current_step, current_d,IF(Iterations[[#This Row],[Step]] &gt; current_step, "",Iterations[[#This Row],[d]]))</f>
        <v>0.66349670082215095</v>
      </c>
      <c r="K161" s="2">
        <f ca="1">IF(Iterations[[#This Row],[Step]] =current_step, current_e,IF(Iterations[[#This Row],[Step]] &gt; current_step, "",Iterations[[#This Row],[e]]))</f>
        <v>15.774532279077112</v>
      </c>
      <c r="L161" s="2">
        <f ca="1">IF(Iterations[[#This Row],[Step]] =current_step, current_Total_Loss,IF(Iterations[[#This Row],[Step]] &gt; current_step, "",Iterations[[#This Row],[Total Loss]]))</f>
        <v>265.14</v>
      </c>
      <c r="M161" s="6" t="s">
        <v>27</v>
      </c>
      <c r="N161" s="2">
        <f ca="1">IF(Iterations[[#This Row],[Step]] =current_step, current_Grad_a,IF(Iterations[[#This Row],[Step]] &gt; current_step, "",Iterations[[#This Row],[Grad_a]]))</f>
        <v>0.43464692904417884</v>
      </c>
      <c r="O161" s="2">
        <f ca="1">IF(Iterations[[#This Row],[Step]] =current_step, current_Grad_b,IF(Iterations[[#This Row],[Step]] &gt; current_step, "",Iterations[[#This Row],[Grad_b]]))</f>
        <v>5.5026005713077412E-2</v>
      </c>
      <c r="P161" s="2">
        <f ca="1">IF(Iterations[[#This Row],[Step]] =current_step, current_Grad_c,IF(Iterations[[#This Row],[Step]] &gt; current_step, "",Iterations[[#This Row],[Grad_c]]))</f>
        <v>-1.2228989846473108</v>
      </c>
      <c r="Q161" s="2">
        <f ca="1">IF(Iterations[[#This Row],[Step]] =current_step, current_Grad_d,IF(Iterations[[#This Row],[Step]] &gt; current_step, "",Iterations[[#This Row],[Grad_d]]))</f>
        <v>-2.5497695589171105E-2</v>
      </c>
      <c r="R161" s="2">
        <f ca="1">IF(Iterations[[#This Row],[Step]] =current_step, current_Grad_e,IF(Iterations[[#This Row],[Step]] &gt; current_step, "",Iterations[[#This Row],[Grad_e]]))</f>
        <v>0.43596906407884461</v>
      </c>
    </row>
    <row r="162" spans="6:18" x14ac:dyDescent="0.3">
      <c r="F162" s="2">
        <f t="shared" si="4"/>
        <v>145</v>
      </c>
      <c r="G162" s="2">
        <f ca="1">IF(Iterations[[#This Row],[Step]] =current_step, current_a,IF(Iterations[[#This Row],[Step]] &gt; current_step, "",Iterations[[#This Row],[a]]))</f>
        <v>-2.8364657764182715</v>
      </c>
      <c r="H162" s="2">
        <f ca="1">IF(Iterations[[#This Row],[Step]] =current_step, current_b,IF(Iterations[[#This Row],[Step]] &gt; current_step, "",Iterations[[#This Row],[b]]))</f>
        <v>1.0416752791998456</v>
      </c>
      <c r="I162" s="2">
        <f ca="1">IF(Iterations[[#This Row],[Step]] =current_step, current_c,IF(Iterations[[#This Row],[Step]] &gt; current_step, "",Iterations[[#This Row],[c]]))</f>
        <v>8.7775283907816757</v>
      </c>
      <c r="J162" s="2">
        <f ca="1">IF(Iterations[[#This Row],[Step]] =current_step, current_d,IF(Iterations[[#This Row],[Step]] &gt; current_step, "",Iterations[[#This Row],[d]]))</f>
        <v>0.66477158560160954</v>
      </c>
      <c r="K162" s="2">
        <f ca="1">IF(Iterations[[#This Row],[Step]] =current_step, current_e,IF(Iterations[[#This Row],[Step]] &gt; current_step, "",Iterations[[#This Row],[e]]))</f>
        <v>15.75273382587317</v>
      </c>
      <c r="L162" s="2">
        <f ca="1">IF(Iterations[[#This Row],[Step]] =current_step, current_Total_Loss,IF(Iterations[[#This Row],[Step]] &gt; current_step, "",Iterations[[#This Row],[Total Loss]]))</f>
        <v>263.45</v>
      </c>
      <c r="M162" s="6" t="s">
        <v>27</v>
      </c>
      <c r="N162" s="2">
        <f ca="1">IF(Iterations[[#This Row],[Step]] =current_step, current_Grad_a,IF(Iterations[[#This Row],[Step]] &gt; current_step, "",Iterations[[#This Row],[Grad_a]]))</f>
        <v>0.43253464772478345</v>
      </c>
      <c r="O162" s="2">
        <f ca="1">IF(Iterations[[#This Row],[Step]] =current_step, current_Grad_b,IF(Iterations[[#This Row],[Step]] &gt; current_step, "",Iterations[[#This Row],[Grad_b]]))</f>
        <v>5.492203174473826E-2</v>
      </c>
      <c r="P162" s="2">
        <f ca="1">IF(Iterations[[#This Row],[Step]] =current_step, current_Grad_c,IF(Iterations[[#This Row],[Step]] &gt; current_step, "",Iterations[[#This Row],[Grad_c]]))</f>
        <v>-1.2169515172296532</v>
      </c>
      <c r="Q162" s="2">
        <f ca="1">IF(Iterations[[#This Row],[Step]] =current_step, current_Grad_d,IF(Iterations[[#This Row],[Step]] &gt; current_step, "",Iterations[[#This Row],[Grad_d]]))</f>
        <v>-2.5725035935615911E-2</v>
      </c>
      <c r="R162" s="2">
        <f ca="1">IF(Iterations[[#This Row],[Step]] =current_step, current_Grad_e,IF(Iterations[[#This Row],[Step]] &gt; current_step, "",Iterations[[#This Row],[Grad_e]]))</f>
        <v>0.43389078292286459</v>
      </c>
    </row>
    <row r="163" spans="6:18" x14ac:dyDescent="0.3">
      <c r="F163" s="2">
        <f t="shared" si="4"/>
        <v>146</v>
      </c>
      <c r="G163" s="2">
        <f ca="1">IF(Iterations[[#This Row],[Step]] =current_step, current_a,IF(Iterations[[#This Row],[Step]] &gt; current_step, "",Iterations[[#This Row],[a]]))</f>
        <v>-2.8580925088045106</v>
      </c>
      <c r="H163" s="2">
        <f ca="1">IF(Iterations[[#This Row],[Step]] =current_step, current_b,IF(Iterations[[#This Row],[Step]] &gt; current_step, "",Iterations[[#This Row],[b]]))</f>
        <v>1.0389291776126086</v>
      </c>
      <c r="I163" s="2">
        <f ca="1">IF(Iterations[[#This Row],[Step]] =current_step, current_c,IF(Iterations[[#This Row],[Step]] &gt; current_step, "",Iterations[[#This Row],[c]]))</f>
        <v>8.8383759666431576</v>
      </c>
      <c r="J163" s="2">
        <f ca="1">IF(Iterations[[#This Row],[Step]] =current_step, current_d,IF(Iterations[[#This Row],[Step]] &gt; current_step, "",Iterations[[#This Row],[d]]))</f>
        <v>0.66605783739839031</v>
      </c>
      <c r="K163" s="2">
        <f ca="1">IF(Iterations[[#This Row],[Step]] =current_step, current_e,IF(Iterations[[#This Row],[Step]] &gt; current_step, "",Iterations[[#This Row],[e]]))</f>
        <v>15.731039286727027</v>
      </c>
      <c r="L163" s="2">
        <f ca="1">IF(Iterations[[#This Row],[Step]] =current_step, current_Total_Loss,IF(Iterations[[#This Row],[Step]] &gt; current_step, "",Iterations[[#This Row],[Total Loss]]))</f>
        <v>261.77999999999997</v>
      </c>
      <c r="M163" s="6" t="s">
        <v>27</v>
      </c>
      <c r="N163" s="2">
        <f ca="1">IF(Iterations[[#This Row],[Step]] =current_step, current_Grad_a,IF(Iterations[[#This Row],[Step]] &gt; current_step, "",Iterations[[#This Row],[Grad_a]]))</f>
        <v>0.4304334442772782</v>
      </c>
      <c r="O163" s="2">
        <f ca="1">IF(Iterations[[#This Row],[Step]] =current_step, current_Grad_b,IF(Iterations[[#This Row],[Step]] &gt; current_step, "",Iterations[[#This Row],[Grad_b]]))</f>
        <v>5.4816629856022397E-2</v>
      </c>
      <c r="P163" s="2">
        <f ca="1">IF(Iterations[[#This Row],[Step]] =current_step, current_Grad_c,IF(Iterations[[#This Row],[Step]] &gt; current_step, "",Iterations[[#This Row],[Grad_c]]))</f>
        <v>-1.2110338135571794</v>
      </c>
      <c r="Q163" s="2">
        <f ca="1">IF(Iterations[[#This Row],[Step]] =current_step, current_Grad_d,IF(Iterations[[#This Row],[Step]] &gt; current_step, "",Iterations[[#This Row],[Grad_d]]))</f>
        <v>-2.5946696042917772E-2</v>
      </c>
      <c r="R163" s="2">
        <f ca="1">IF(Iterations[[#This Row],[Step]] =current_step, current_Grad_e,IF(Iterations[[#This Row],[Step]] &gt; current_step, "",Iterations[[#This Row],[Grad_e]]))</f>
        <v>0.43181990191773401</v>
      </c>
    </row>
    <row r="164" spans="6:18" x14ac:dyDescent="0.3">
      <c r="F164" s="2">
        <f t="shared" si="4"/>
        <v>147</v>
      </c>
      <c r="G164" s="2">
        <f ca="1">IF(Iterations[[#This Row],[Step]] =current_step, current_a,IF(Iterations[[#This Row],[Step]] &gt; current_step, "",Iterations[[#This Row],[a]]))</f>
        <v>-2.8796141810183746</v>
      </c>
      <c r="H164" s="2">
        <f ca="1">IF(Iterations[[#This Row],[Step]] =current_step, current_b,IF(Iterations[[#This Row],[Step]] &gt; current_step, "",Iterations[[#This Row],[b]]))</f>
        <v>1.0361883461198076</v>
      </c>
      <c r="I164" s="2">
        <f ca="1">IF(Iterations[[#This Row],[Step]] =current_step, current_c,IF(Iterations[[#This Row],[Step]] &gt; current_step, "",Iterations[[#This Row],[c]]))</f>
        <v>8.8989276573210159</v>
      </c>
      <c r="J164" s="2">
        <f ca="1">IF(Iterations[[#This Row],[Step]] =current_step, current_d,IF(Iterations[[#This Row],[Step]] &gt; current_step, "",Iterations[[#This Row],[d]]))</f>
        <v>0.6673551722005362</v>
      </c>
      <c r="K164" s="2">
        <f ca="1">IF(Iterations[[#This Row],[Step]] =current_step, current_e,IF(Iterations[[#This Row],[Step]] &gt; current_step, "",Iterations[[#This Row],[e]]))</f>
        <v>15.709448291631141</v>
      </c>
      <c r="L164" s="2">
        <f ca="1">IF(Iterations[[#This Row],[Step]] =current_step, current_Total_Loss,IF(Iterations[[#This Row],[Step]] &gt; current_step, "",Iterations[[#This Row],[Total Loss]]))</f>
        <v>260.13</v>
      </c>
      <c r="M164" s="6" t="s">
        <v>27</v>
      </c>
      <c r="N164" s="2">
        <f ca="1">IF(Iterations[[#This Row],[Step]] =current_step, current_Grad_a,IF(Iterations[[#This Row],[Step]] &gt; current_step, "",Iterations[[#This Row],[Grad_a]]))</f>
        <v>0.42834320680121213</v>
      </c>
      <c r="O164" s="2">
        <f ca="1">IF(Iterations[[#This Row],[Step]] =current_step, current_Grad_b,IF(Iterations[[#This Row],[Step]] &gt; current_step, "",Iterations[[#This Row],[Grad_b]]))</f>
        <v>5.4709822910706092E-2</v>
      </c>
      <c r="P164" s="2">
        <f ca="1">IF(Iterations[[#This Row],[Step]] =current_step, current_Grad_c,IF(Iterations[[#This Row],[Step]] &gt; current_step, "",Iterations[[#This Row],[Grad_c]]))</f>
        <v>-1.2051456807078331</v>
      </c>
      <c r="Q164" s="2">
        <f ca="1">IF(Iterations[[#This Row],[Step]] =current_step, current_Grad_d,IF(Iterations[[#This Row],[Step]] &gt; current_step, "",Iterations[[#This Row],[Grad_d]]))</f>
        <v>-2.6162769442599258E-2</v>
      </c>
      <c r="R164" s="2">
        <f ca="1">IF(Iterations[[#This Row],[Step]] =current_step, current_Grad_e,IF(Iterations[[#This Row],[Step]] &gt; current_step, "",Iterations[[#This Row],[Grad_e]]))</f>
        <v>0.42975656781118626</v>
      </c>
    </row>
    <row r="165" spans="6:18" x14ac:dyDescent="0.3">
      <c r="F165" s="2">
        <f t="shared" si="4"/>
        <v>148</v>
      </c>
      <c r="G165" s="2">
        <f ca="1">IF(Iterations[[#This Row],[Step]] =current_step, current_a,IF(Iterations[[#This Row],[Step]] &gt; current_step, "",Iterations[[#This Row],[a]]))</f>
        <v>-2.9010313413584354</v>
      </c>
      <c r="H165" s="2">
        <f ca="1">IF(Iterations[[#This Row],[Step]] =current_step, current_b,IF(Iterations[[#This Row],[Step]] &gt; current_step, "",Iterations[[#This Row],[b]]))</f>
        <v>1.0334528549742723</v>
      </c>
      <c r="I165" s="2">
        <f ca="1">IF(Iterations[[#This Row],[Step]] =current_step, current_c,IF(Iterations[[#This Row],[Step]] &gt; current_step, "",Iterations[[#This Row],[c]]))</f>
        <v>8.9591849413564084</v>
      </c>
      <c r="J165" s="2">
        <f ca="1">IF(Iterations[[#This Row],[Step]] =current_step, current_d,IF(Iterations[[#This Row],[Step]] &gt; current_step, "",Iterations[[#This Row],[d]]))</f>
        <v>0.66866331067266616</v>
      </c>
      <c r="K165" s="2">
        <f ca="1">IF(Iterations[[#This Row],[Step]] =current_step, current_e,IF(Iterations[[#This Row],[Step]] &gt; current_step, "",Iterations[[#This Row],[e]]))</f>
        <v>15.68796046324058</v>
      </c>
      <c r="L165" s="2">
        <f ca="1">IF(Iterations[[#This Row],[Step]] =current_step, current_Total_Loss,IF(Iterations[[#This Row],[Step]] &gt; current_step, "",Iterations[[#This Row],[Total Loss]]))</f>
        <v>258.49</v>
      </c>
      <c r="M165" s="6" t="s">
        <v>27</v>
      </c>
      <c r="N165" s="2">
        <f ca="1">IF(Iterations[[#This Row],[Step]] =current_step, current_Grad_a,IF(Iterations[[#This Row],[Step]] &gt; current_step, "",Iterations[[#This Row],[Grad_a]]))</f>
        <v>0.42626382777362321</v>
      </c>
      <c r="O165" s="2">
        <f ca="1">IF(Iterations[[#This Row],[Step]] =current_step, current_Grad_b,IF(Iterations[[#This Row],[Step]] &gt; current_step, "",Iterations[[#This Row],[Grad_b]]))</f>
        <v>5.4601634022098527E-2</v>
      </c>
      <c r="P165" s="2">
        <f ca="1">IF(Iterations[[#This Row],[Step]] =current_step, current_Grad_c,IF(Iterations[[#This Row],[Step]] &gt; current_step, "",Iterations[[#This Row],[Grad_c]]))</f>
        <v>-1.1992869296790483</v>
      </c>
      <c r="Q165" s="2">
        <f ca="1">IF(Iterations[[#This Row],[Step]] =current_step, current_Grad_d,IF(Iterations[[#This Row],[Step]] &gt; current_step, "",Iterations[[#This Row],[Grad_d]]))</f>
        <v>-2.6373347865643975E-2</v>
      </c>
      <c r="R165" s="2">
        <f ca="1">IF(Iterations[[#This Row],[Step]] =current_step, current_Grad_e,IF(Iterations[[#This Row],[Step]] &gt; current_step, "",Iterations[[#This Row],[Grad_e]]))</f>
        <v>0.4277009145840947</v>
      </c>
    </row>
    <row r="166" spans="6:18" x14ac:dyDescent="0.3">
      <c r="F166" s="2">
        <f t="shared" si="4"/>
        <v>149</v>
      </c>
      <c r="G166" s="2">
        <f ca="1">IF(Iterations[[#This Row],[Step]] =current_step, current_a,IF(Iterations[[#This Row],[Step]] &gt; current_step, "",Iterations[[#This Row],[a]]))</f>
        <v>-2.9223445327471165</v>
      </c>
      <c r="H166" s="2">
        <f ca="1">IF(Iterations[[#This Row],[Step]] =current_step, current_b,IF(Iterations[[#This Row],[Step]] &gt; current_step, "",Iterations[[#This Row],[b]]))</f>
        <v>1.0307227732731674</v>
      </c>
      <c r="I166" s="2">
        <f ca="1">IF(Iterations[[#This Row],[Step]] =current_step, current_c,IF(Iterations[[#This Row],[Step]] &gt; current_step, "",Iterations[[#This Row],[c]]))</f>
        <v>9.0191492878403601</v>
      </c>
      <c r="J166" s="2">
        <f ca="1">IF(Iterations[[#This Row],[Step]] =current_step, current_d,IF(Iterations[[#This Row],[Step]] &gt; current_step, "",Iterations[[#This Row],[d]]))</f>
        <v>0.66998197806594839</v>
      </c>
      <c r="K166" s="2">
        <f ca="1">IF(Iterations[[#This Row],[Step]] =current_step, current_e,IF(Iterations[[#This Row],[Step]] &gt; current_step, "",Iterations[[#This Row],[e]]))</f>
        <v>15.666575417511377</v>
      </c>
      <c r="L166" s="2">
        <f ca="1">IF(Iterations[[#This Row],[Step]] =current_step, current_Total_Loss,IF(Iterations[[#This Row],[Step]] &gt; current_step, "",Iterations[[#This Row],[Total Loss]]))</f>
        <v>256.87</v>
      </c>
      <c r="M166" s="6" t="s">
        <v>27</v>
      </c>
      <c r="N166" s="2">
        <f ca="1">IF(Iterations[[#This Row],[Step]] =current_step, current_Grad_a,IF(Iterations[[#This Row],[Step]] &gt; current_step, "",Iterations[[#This Row],[Grad_a]]))</f>
        <v>0.42419520377673692</v>
      </c>
      <c r="O166" s="2">
        <f ca="1">IF(Iterations[[#This Row],[Step]] =current_step, current_Grad_b,IF(Iterations[[#This Row],[Step]] &gt; current_step, "",Iterations[[#This Row],[Grad_b]]))</f>
        <v>5.4492086510438083E-2</v>
      </c>
      <c r="P166" s="2">
        <f ca="1">IF(Iterations[[#This Row],[Step]] =current_step, current_Grad_c,IF(Iterations[[#This Row],[Step]] &gt; current_step, "",Iterations[[#This Row],[Grad_c]]))</f>
        <v>-1.1934573751762525</v>
      </c>
      <c r="Q166" s="2">
        <f ca="1">IF(Iterations[[#This Row],[Step]] =current_step, current_Grad_d,IF(Iterations[[#This Row],[Step]] &gt; current_step, "",Iterations[[#This Row],[Grad_d]]))</f>
        <v>-2.6578521301533462E-2</v>
      </c>
      <c r="R166" s="2">
        <f ca="1">IF(Iterations[[#This Row],[Step]] =current_step, current_Grad_e,IF(Iterations[[#This Row],[Step]] &gt; current_step, "",Iterations[[#This Row],[Grad_e]]))</f>
        <v>0.42565306430229083</v>
      </c>
    </row>
    <row r="167" spans="6:18" x14ac:dyDescent="0.3">
      <c r="F167" s="2">
        <f t="shared" si="4"/>
        <v>150</v>
      </c>
      <c r="G167" s="2">
        <f ca="1">IF(Iterations[[#This Row],[Step]] =current_step, current_a,IF(Iterations[[#This Row],[Step]] &gt; current_step, "",Iterations[[#This Row],[a]]))</f>
        <v>-2.9435542929359535</v>
      </c>
      <c r="H167" s="2">
        <f ca="1">IF(Iterations[[#This Row],[Step]] =current_step, current_b,IF(Iterations[[#This Row],[Step]] &gt; current_step, "",Iterations[[#This Row],[b]]))</f>
        <v>1.0279981689476456</v>
      </c>
      <c r="I167" s="2">
        <f ca="1">IF(Iterations[[#This Row],[Step]] =current_step, current_c,IF(Iterations[[#This Row],[Step]] &gt; current_step, "",Iterations[[#This Row],[c]]))</f>
        <v>9.0788221565991734</v>
      </c>
      <c r="J167" s="2">
        <f ca="1">IF(Iterations[[#This Row],[Step]] =current_step, current_d,IF(Iterations[[#This Row],[Step]] &gt; current_step, "",Iterations[[#This Row],[d]]))</f>
        <v>0.67131090413102501</v>
      </c>
      <c r="K167" s="2">
        <f ca="1">IF(Iterations[[#This Row],[Step]] =current_step, current_e,IF(Iterations[[#This Row],[Step]] &gt; current_step, "",Iterations[[#This Row],[e]]))</f>
        <v>15.645292764296261</v>
      </c>
      <c r="L167" s="2">
        <f ca="1">IF(Iterations[[#This Row],[Step]] =current_step, current_Total_Loss,IF(Iterations[[#This Row],[Step]] &gt; current_step, "",Iterations[[#This Row],[Total Loss]]))</f>
        <v>255.26</v>
      </c>
      <c r="M167" s="6" t="s">
        <v>27</v>
      </c>
      <c r="N167" s="2">
        <f ca="1">IF(Iterations[[#This Row],[Step]] =current_step, current_Grad_a,IF(Iterations[[#This Row],[Step]] &gt; current_step, "",Iterations[[#This Row],[Grad_a]]))</f>
        <v>0.42213723524346747</v>
      </c>
      <c r="O167" s="2">
        <f ca="1">IF(Iterations[[#This Row],[Step]] =current_step, current_Grad_b,IF(Iterations[[#This Row],[Step]] &gt; current_step, "",Iterations[[#This Row],[Grad_b]]))</f>
        <v>5.4381203863366617E-2</v>
      </c>
      <c r="P167" s="2">
        <f ca="1">IF(Iterations[[#This Row],[Step]] =current_step, current_Grad_c,IF(Iterations[[#This Row],[Step]] &gt; current_step, "",Iterations[[#This Row],[Grad_c]]))</f>
        <v>-1.1876568354149457</v>
      </c>
      <c r="Q167" s="2">
        <f ca="1">IF(Iterations[[#This Row],[Step]] =current_step, current_Grad_d,IF(Iterations[[#This Row],[Step]] &gt; current_step, "",Iterations[[#This Row],[Grad_d]]))</f>
        <v>-2.6778378054214496E-2</v>
      </c>
      <c r="R167" s="2">
        <f ca="1">IF(Iterations[[#This Row],[Step]] =current_step, current_Grad_e,IF(Iterations[[#This Row],[Step]] &gt; current_step, "",Iterations[[#This Row],[Grad_e]]))</f>
        <v>0.42361312791256978</v>
      </c>
    </row>
    <row r="168" spans="6:18" x14ac:dyDescent="0.3">
      <c r="F168" s="2">
        <f t="shared" si="4"/>
        <v>151</v>
      </c>
      <c r="G168" s="2">
        <f ca="1">IF(Iterations[[#This Row],[Step]] =current_step, current_a,IF(Iterations[[#This Row],[Step]] &gt; current_step, "",Iterations[[#This Row],[a]]))</f>
        <v>-2.9646611546981267</v>
      </c>
      <c r="H168" s="2">
        <f ca="1">IF(Iterations[[#This Row],[Step]] =current_step, current_b,IF(Iterations[[#This Row],[Step]] &gt; current_step, "",Iterations[[#This Row],[b]]))</f>
        <v>1.0252791087544773</v>
      </c>
      <c r="I168" s="2">
        <f ca="1">IF(Iterations[[#This Row],[Step]] =current_step, current_c,IF(Iterations[[#This Row],[Step]] &gt; current_step, "",Iterations[[#This Row],[c]]))</f>
        <v>9.1382049983699201</v>
      </c>
      <c r="J168" s="2">
        <f ca="1">IF(Iterations[[#This Row],[Step]] =current_step, current_d,IF(Iterations[[#This Row],[Step]] &gt; current_step, "",Iterations[[#This Row],[d]]))</f>
        <v>0.67264982303373577</v>
      </c>
      <c r="K168" s="2">
        <f ca="1">IF(Iterations[[#This Row],[Step]] =current_step, current_e,IF(Iterations[[#This Row],[Step]] &gt; current_step, "",Iterations[[#This Row],[e]]))</f>
        <v>15.624112107900633</v>
      </c>
      <c r="L168" s="2">
        <f ca="1">IF(Iterations[[#This Row],[Step]] =current_step, current_Total_Loss,IF(Iterations[[#This Row],[Step]] &gt; current_step, "",Iterations[[#This Row],[Total Loss]]))</f>
        <v>253.67</v>
      </c>
      <c r="M168" s="6" t="s">
        <v>27</v>
      </c>
      <c r="N168" s="2">
        <f ca="1">IF(Iterations[[#This Row],[Step]] =current_step, current_Grad_a,IF(Iterations[[#This Row],[Step]] &gt; current_step, "",Iterations[[#This Row],[Grad_a]]))</f>
        <v>0.42008982621927438</v>
      </c>
      <c r="O168" s="2">
        <f ca="1">IF(Iterations[[#This Row],[Step]] =current_step, current_Grad_b,IF(Iterations[[#This Row],[Step]] &gt; current_step, "",Iterations[[#This Row],[Grad_b]]))</f>
        <v>5.4269009699430271E-2</v>
      </c>
      <c r="P168" s="2">
        <f ca="1">IF(Iterations[[#This Row],[Step]] =current_step, current_Grad_c,IF(Iterations[[#This Row],[Step]] &gt; current_step, "",Iterations[[#This Row],[Grad_c]]))</f>
        <v>-1.1818851319355419</v>
      </c>
      <c r="Q168" s="2">
        <f ca="1">IF(Iterations[[#This Row],[Step]] =current_step, current_Grad_d,IF(Iterations[[#This Row],[Step]] &gt; current_step, "",Iterations[[#This Row],[Grad_d]]))</f>
        <v>-2.6973004795133388E-2</v>
      </c>
      <c r="R168" s="2">
        <f ca="1">IF(Iterations[[#This Row],[Step]] =current_step, current_Grad_e,IF(Iterations[[#This Row],[Step]] &gt; current_step, "",Iterations[[#This Row],[Grad_e]]))</f>
        <v>0.42158120598651572</v>
      </c>
    </row>
    <row r="169" spans="6:18" x14ac:dyDescent="0.3">
      <c r="F169" s="2">
        <f t="shared" si="4"/>
        <v>152</v>
      </c>
      <c r="G169" s="2">
        <f ca="1">IF(Iterations[[#This Row],[Step]] =current_step, current_a,IF(Iterations[[#This Row],[Step]] &gt; current_step, "",Iterations[[#This Row],[a]]))</f>
        <v>-2.9856656460090907</v>
      </c>
      <c r="H169" s="2">
        <f ca="1">IF(Iterations[[#This Row],[Step]] =current_step, current_b,IF(Iterations[[#This Row],[Step]] &gt; current_step, "",Iterations[[#This Row],[b]]))</f>
        <v>1.0225656582695057</v>
      </c>
      <c r="I169" s="2">
        <f ca="1">IF(Iterations[[#This Row],[Step]] =current_step, current_c,IF(Iterations[[#This Row],[Step]] &gt; current_step, "",Iterations[[#This Row],[c]]))</f>
        <v>9.1972992549666976</v>
      </c>
      <c r="J169" s="2">
        <f ca="1">IF(Iterations[[#This Row],[Step]] =current_step, current_d,IF(Iterations[[#This Row],[Step]] &gt; current_step, "",Iterations[[#This Row],[d]]))</f>
        <v>0.67399847327349249</v>
      </c>
      <c r="K169" s="2">
        <f ca="1">IF(Iterations[[#This Row],[Step]] =current_step, current_e,IF(Iterations[[#This Row],[Step]] &gt; current_step, "",Iterations[[#This Row],[e]]))</f>
        <v>15.603033047601308</v>
      </c>
      <c r="L169" s="2">
        <f ca="1">IF(Iterations[[#This Row],[Step]] =current_step, current_Total_Loss,IF(Iterations[[#This Row],[Step]] &gt; current_step, "",Iterations[[#This Row],[Total Loss]]))</f>
        <v>252.1</v>
      </c>
      <c r="M169" s="6" t="s">
        <v>27</v>
      </c>
      <c r="N169" s="2">
        <f ca="1">IF(Iterations[[#This Row],[Step]] =current_step, current_Grad_a,IF(Iterations[[#This Row],[Step]] &gt; current_step, "",Iterations[[#This Row],[Grad_a]]))</f>
        <v>0.41805288413982428</v>
      </c>
      <c r="O169" s="2">
        <f ca="1">IF(Iterations[[#This Row],[Step]] =current_step, current_Grad_b,IF(Iterations[[#This Row],[Step]] &gt; current_step, "",Iterations[[#This Row],[Grad_b]]))</f>
        <v>5.4155527734211027E-2</v>
      </c>
      <c r="P169" s="2">
        <f ca="1">IF(Iterations[[#This Row],[Step]] =current_step, current_Grad_c,IF(Iterations[[#This Row],[Step]] &gt; current_step, "",Iterations[[#This Row],[Grad_c]]))</f>
        <v>-1.1761420894299641</v>
      </c>
      <c r="Q169" s="2">
        <f ca="1">IF(Iterations[[#This Row],[Step]] =current_step, current_Grad_d,IF(Iterations[[#This Row],[Step]] &gt; current_step, "",Iterations[[#This Row],[Grad_d]]))</f>
        <v>-2.7162486613576578E-2</v>
      </c>
      <c r="R169" s="2">
        <f ca="1">IF(Iterations[[#This Row],[Step]] =current_step, current_Grad_e,IF(Iterations[[#This Row],[Step]] &gt; current_step, "",Iterations[[#This Row],[Grad_e]]))</f>
        <v>0.41955738941562298</v>
      </c>
    </row>
    <row r="170" spans="6:18" x14ac:dyDescent="0.3">
      <c r="F170" s="2">
        <f t="shared" si="4"/>
        <v>153</v>
      </c>
      <c r="G170" s="2">
        <f ca="1">IF(Iterations[[#This Row],[Step]] =current_step, current_a,IF(Iterations[[#This Row],[Step]] &gt; current_step, "",Iterations[[#This Row],[a]]))</f>
        <v>-3.006568290216082</v>
      </c>
      <c r="H170" s="2">
        <f ca="1">IF(Iterations[[#This Row],[Step]] =current_step, current_b,IF(Iterations[[#This Row],[Step]] &gt; current_step, "",Iterations[[#This Row],[b]]))</f>
        <v>1.0198578818827952</v>
      </c>
      <c r="I170" s="2">
        <f ca="1">IF(Iterations[[#This Row],[Step]] =current_step, current_c,IF(Iterations[[#This Row],[Step]] &gt; current_step, "",Iterations[[#This Row],[c]]))</f>
        <v>9.2561063594381956</v>
      </c>
      <c r="J170" s="2">
        <f ca="1">IF(Iterations[[#This Row],[Step]] =current_step, current_d,IF(Iterations[[#This Row],[Step]] &gt; current_step, "",Iterations[[#This Row],[d]]))</f>
        <v>0.67535659760417133</v>
      </c>
      <c r="K170" s="2">
        <f ca="1">IF(Iterations[[#This Row],[Step]] =current_step, current_e,IF(Iterations[[#This Row],[Step]] &gt; current_step, "",Iterations[[#This Row],[e]]))</f>
        <v>15.582055178130526</v>
      </c>
      <c r="L170" s="2">
        <f ca="1">IF(Iterations[[#This Row],[Step]] =current_step, current_Total_Loss,IF(Iterations[[#This Row],[Step]] &gt; current_step, "",Iterations[[#This Row],[Total Loss]]))</f>
        <v>250.54</v>
      </c>
      <c r="M170" s="6" t="s">
        <v>27</v>
      </c>
      <c r="N170" s="2">
        <f ca="1">IF(Iterations[[#This Row],[Step]] =current_step, current_Grad_a,IF(Iterations[[#This Row],[Step]] &gt; current_step, "",Iterations[[#This Row],[Grad_a]]))</f>
        <v>0.41602631962279663</v>
      </c>
      <c r="O170" s="2">
        <f ca="1">IF(Iterations[[#This Row],[Step]] =current_step, current_Grad_b,IF(Iterations[[#This Row],[Step]] &gt; current_step, "",Iterations[[#This Row],[Grad_b]]))</f>
        <v>5.4040781749113184E-2</v>
      </c>
      <c r="P170" s="2">
        <f ca="1">IF(Iterations[[#This Row],[Step]] =current_step, current_Grad_c,IF(Iterations[[#This Row],[Step]] &gt; current_step, "",Iterations[[#This Row],[Grad_c]]))</f>
        <v>-1.1704275355794693</v>
      </c>
      <c r="Q170" s="2">
        <f ca="1">IF(Iterations[[#This Row],[Step]] =current_step, current_Grad_d,IF(Iterations[[#This Row],[Step]] &gt; current_step, "",Iterations[[#This Row],[Grad_d]]))</f>
        <v>-2.7346907064427758E-2</v>
      </c>
      <c r="R170" s="2">
        <f ca="1">IF(Iterations[[#This Row],[Step]] =current_step, current_Grad_e,IF(Iterations[[#This Row],[Step]] &gt; current_step, "",Iterations[[#This Row],[Grad_e]]))</f>
        <v>0.41754176006078619</v>
      </c>
    </row>
    <row r="171" spans="6:18" x14ac:dyDescent="0.3">
      <c r="F171" s="2">
        <f t="shared" si="4"/>
        <v>154</v>
      </c>
      <c r="G171" s="2">
        <f ca="1">IF(Iterations[[#This Row],[Step]] =current_step, current_a,IF(Iterations[[#This Row],[Step]] &gt; current_step, "",Iterations[[#This Row],[a]]))</f>
        <v>-3.027369606197222</v>
      </c>
      <c r="H171" s="2">
        <f ca="1">IF(Iterations[[#This Row],[Step]] =current_step, current_b,IF(Iterations[[#This Row],[Step]] &gt; current_step, "",Iterations[[#This Row],[b]]))</f>
        <v>1.0171558427953395</v>
      </c>
      <c r="I171" s="2">
        <f ca="1">IF(Iterations[[#This Row],[Step]] =current_step, current_c,IF(Iterations[[#This Row],[Step]] &gt; current_step, "",Iterations[[#This Row],[c]]))</f>
        <v>9.3146277362171688</v>
      </c>
      <c r="J171" s="2">
        <f ca="1">IF(Iterations[[#This Row],[Step]] =current_step, current_d,IF(Iterations[[#This Row],[Step]] &gt; current_step, "",Iterations[[#This Row],[d]]))</f>
        <v>0.67672394295739269</v>
      </c>
      <c r="K171" s="2">
        <f ca="1">IF(Iterations[[#This Row],[Step]] =current_step, current_e,IF(Iterations[[#This Row],[Step]] &gt; current_step, "",Iterations[[#This Row],[e]]))</f>
        <v>15.561178090127486</v>
      </c>
      <c r="L171" s="2">
        <f ca="1">IF(Iterations[[#This Row],[Step]] =current_step, current_Total_Loss,IF(Iterations[[#This Row],[Step]] &gt; current_step, "",Iterations[[#This Row],[Total Loss]]))</f>
        <v>248.99</v>
      </c>
      <c r="M171" s="6" t="s">
        <v>27</v>
      </c>
      <c r="N171" s="2">
        <f ca="1">IF(Iterations[[#This Row],[Step]] =current_step, current_Grad_a,IF(Iterations[[#This Row],[Step]] &gt; current_step, "",Iterations[[#This Row],[Grad_a]]))</f>
        <v>0.41401004627360533</v>
      </c>
      <c r="O171" s="2">
        <f ca="1">IF(Iterations[[#This Row],[Step]] =current_step, current_Grad_b,IF(Iterations[[#This Row],[Step]] &gt; current_step, "",Iterations[[#This Row],[Grad_b]]))</f>
        <v>5.3924795562444672E-2</v>
      </c>
      <c r="P171" s="2">
        <f ca="1">IF(Iterations[[#This Row],[Step]] =current_step, current_Grad_c,IF(Iterations[[#This Row],[Step]] &gt; current_step, "",Iterations[[#This Row],[Grad_c]]))</f>
        <v>-1.1647413009026701</v>
      </c>
      <c r="Q171" s="2">
        <f ca="1">IF(Iterations[[#This Row],[Step]] =current_step, current_Grad_d,IF(Iterations[[#This Row],[Step]] &gt; current_step, "",Iterations[[#This Row],[Grad_d]]))</f>
        <v>-2.7526348213549292E-2</v>
      </c>
      <c r="R171" s="2">
        <f ca="1">IF(Iterations[[#This Row],[Step]] =current_step, current_Grad_e,IF(Iterations[[#This Row],[Step]] &gt; current_step, "",Iterations[[#This Row],[Grad_e]]))</f>
        <v>0.4155343913593163</v>
      </c>
    </row>
    <row r="172" spans="6:18" x14ac:dyDescent="0.3">
      <c r="F172" s="2">
        <f t="shared" si="4"/>
        <v>155</v>
      </c>
      <c r="G172" s="2">
        <f ca="1">IF(Iterations[[#This Row],[Step]] =current_step, current_a,IF(Iterations[[#This Row],[Step]] &gt; current_step, "",Iterations[[#This Row],[a]]))</f>
        <v>-3.0480701085109021</v>
      </c>
      <c r="H172" s="2">
        <f ca="1">IF(Iterations[[#This Row],[Step]] =current_step, current_b,IF(Iterations[[#This Row],[Step]] &gt; current_step, "",Iterations[[#This Row],[b]]))</f>
        <v>1.0144596030172173</v>
      </c>
      <c r="I172" s="2">
        <f ca="1">IF(Iterations[[#This Row],[Step]] =current_step, current_c,IF(Iterations[[#This Row],[Step]] &gt; current_step, "",Iterations[[#This Row],[c]]))</f>
        <v>9.3728648012623026</v>
      </c>
      <c r="J172" s="2">
        <f ca="1">IF(Iterations[[#This Row],[Step]] =current_step, current_d,IF(Iterations[[#This Row],[Step]] &gt; current_step, "",Iterations[[#This Row],[d]]))</f>
        <v>0.67810026036807014</v>
      </c>
      <c r="K172" s="2">
        <f ca="1">IF(Iterations[[#This Row],[Step]] =current_step, current_e,IF(Iterations[[#This Row],[Step]] &gt; current_step, "",Iterations[[#This Row],[e]]))</f>
        <v>15.54040137055952</v>
      </c>
      <c r="L172" s="2">
        <f ca="1">IF(Iterations[[#This Row],[Step]] =current_step, current_Total_Loss,IF(Iterations[[#This Row],[Step]] &gt; current_step, "",Iterations[[#This Row],[Total Loss]]))</f>
        <v>247.46</v>
      </c>
      <c r="M172" s="6" t="s">
        <v>27</v>
      </c>
      <c r="N172" s="2">
        <f ca="1">IF(Iterations[[#This Row],[Step]] =current_step, current_Grad_a,IF(Iterations[[#This Row],[Step]] &gt; current_step, "",Iterations[[#This Row],[Grad_a]]))</f>
        <v>0.41200398050341314</v>
      </c>
      <c r="O172" s="2">
        <f ca="1">IF(Iterations[[#This Row],[Step]] =current_step, current_Grad_b,IF(Iterations[[#This Row],[Step]] &gt; current_step, "",Iterations[[#This Row],[Grad_b]]))</f>
        <v>5.3807593002795549E-2</v>
      </c>
      <c r="P172" s="2">
        <f ca="1">IF(Iterations[[#This Row],[Step]] =current_step, current_Grad_c,IF(Iterations[[#This Row],[Step]] &gt; current_step, "",Iterations[[#This Row],[Grad_c]]))</f>
        <v>-1.1590832186134152</v>
      </c>
      <c r="Q172" s="2">
        <f ca="1">IF(Iterations[[#This Row],[Step]] =current_step, current_Grad_d,IF(Iterations[[#This Row],[Step]] &gt; current_step, "",Iterations[[#This Row],[Grad_d]]))</f>
        <v>-2.7700890680897317E-2</v>
      </c>
      <c r="R172" s="2">
        <f ca="1">IF(Iterations[[#This Row],[Step]] =current_step, current_Grad_e,IF(Iterations[[#This Row],[Step]] &gt; current_step, "",Iterations[[#This Row],[Grad_e]]))</f>
        <v>0.41353534889205967</v>
      </c>
    </row>
    <row r="173" spans="6:18" x14ac:dyDescent="0.3">
      <c r="F173" s="2">
        <f t="shared" si="4"/>
        <v>156</v>
      </c>
      <c r="G173" s="2">
        <f ca="1">IF(Iterations[[#This Row],[Step]] =current_step, current_a,IF(Iterations[[#This Row],[Step]] &gt; current_step, "",Iterations[[#This Row],[a]]))</f>
        <v>-3.0686703075360726</v>
      </c>
      <c r="H173" s="2">
        <f ca="1">IF(Iterations[[#This Row],[Step]] =current_step, current_b,IF(Iterations[[#This Row],[Step]] &gt; current_step, "",Iterations[[#This Row],[b]]))</f>
        <v>1.0117692233670774</v>
      </c>
      <c r="I173" s="2">
        <f ca="1">IF(Iterations[[#This Row],[Step]] =current_step, current_c,IF(Iterations[[#This Row],[Step]] &gt; current_step, "",Iterations[[#This Row],[c]]))</f>
        <v>9.4308189621929728</v>
      </c>
      <c r="J173" s="2">
        <f ca="1">IF(Iterations[[#This Row],[Step]] =current_step, current_d,IF(Iterations[[#This Row],[Step]] &gt; current_step, "",Iterations[[#This Row],[d]]))</f>
        <v>0.67948530490211501</v>
      </c>
      <c r="K173" s="2">
        <f ca="1">IF(Iterations[[#This Row],[Step]] =current_step, current_e,IF(Iterations[[#This Row],[Step]] &gt; current_step, "",Iterations[[#This Row],[e]]))</f>
        <v>15.519724603114916</v>
      </c>
      <c r="L173" s="2">
        <f ca="1">IF(Iterations[[#This Row],[Step]] =current_step, current_Total_Loss,IF(Iterations[[#This Row],[Step]] &gt; current_step, "",Iterations[[#This Row],[Total Loss]]))</f>
        <v>245.95</v>
      </c>
      <c r="M173" s="6" t="s">
        <v>27</v>
      </c>
      <c r="N173" s="2">
        <f ca="1">IF(Iterations[[#This Row],[Step]] =current_step, current_Grad_a,IF(Iterations[[#This Row],[Step]] &gt; current_step, "",Iterations[[#This Row],[Grad_a]]))</f>
        <v>0.41000804135922247</v>
      </c>
      <c r="O173" s="2">
        <f ca="1">IF(Iterations[[#This Row],[Step]] =current_step, current_Grad_b,IF(Iterations[[#This Row],[Step]] &gt; current_step, "",Iterations[[#This Row],[Grad_b]]))</f>
        <v>5.3689197884415937E-2</v>
      </c>
      <c r="P173" s="2">
        <f ca="1">IF(Iterations[[#This Row],[Step]] =current_step, current_Grad_c,IF(Iterations[[#This Row],[Step]] &gt; current_step, "",Iterations[[#This Row],[Grad_c]]))</f>
        <v>-1.1534531244876114</v>
      </c>
      <c r="Q173" s="2">
        <f ca="1">IF(Iterations[[#This Row],[Step]] =current_step, current_Grad_d,IF(Iterations[[#This Row],[Step]] &gt; current_step, "",Iterations[[#This Row],[Grad_d]]))</f>
        <v>-2.787061368154041E-2</v>
      </c>
      <c r="R173" s="2">
        <f ca="1">IF(Iterations[[#This Row],[Step]] =current_step, current_Grad_e,IF(Iterations[[#This Row],[Step]] &gt; current_step, "",Iterations[[#This Row],[Grad_e]]))</f>
        <v>0.41154469091339213</v>
      </c>
    </row>
    <row r="174" spans="6:18" x14ac:dyDescent="0.3">
      <c r="F174" s="2">
        <f t="shared" si="4"/>
        <v>157</v>
      </c>
      <c r="G174" s="2">
        <f ca="1">IF(Iterations[[#This Row],[Step]] =current_step, current_a,IF(Iterations[[#This Row],[Step]] &gt; current_step, "",Iterations[[#This Row],[a]]))</f>
        <v>-3.0891707096040339</v>
      </c>
      <c r="H174" s="2">
        <f ca="1">IF(Iterations[[#This Row],[Step]] =current_step, current_b,IF(Iterations[[#This Row],[Step]] &gt; current_step, "",Iterations[[#This Row],[b]]))</f>
        <v>1.0090847634728566</v>
      </c>
      <c r="I174" s="2">
        <f ca="1">IF(Iterations[[#This Row],[Step]] =current_step, current_c,IF(Iterations[[#This Row],[Step]] &gt; current_step, "",Iterations[[#This Row],[c]]))</f>
        <v>9.4884916184173527</v>
      </c>
      <c r="J174" s="2">
        <f ca="1">IF(Iterations[[#This Row],[Step]] =current_step, current_d,IF(Iterations[[#This Row],[Step]] &gt; current_step, "",Iterations[[#This Row],[d]]))</f>
        <v>0.680878835586192</v>
      </c>
      <c r="K174" s="2">
        <f ca="1">IF(Iterations[[#This Row],[Step]] =current_step, current_e,IF(Iterations[[#This Row],[Step]] &gt; current_step, "",Iterations[[#This Row],[e]]))</f>
        <v>15.499147368569247</v>
      </c>
      <c r="L174" s="2">
        <f ca="1">IF(Iterations[[#This Row],[Step]] =current_step, current_Total_Loss,IF(Iterations[[#This Row],[Step]] &gt; current_step, "",Iterations[[#This Row],[Total Loss]]))</f>
        <v>244.44</v>
      </c>
      <c r="M174" s="6" t="s">
        <v>27</v>
      </c>
      <c r="N174" s="2">
        <f ca="1">IF(Iterations[[#This Row],[Step]] =current_step, current_Grad_a,IF(Iterations[[#This Row],[Step]] &gt; current_step, "",Iterations[[#This Row],[Grad_a]]))</f>
        <v>0.40802215036497241</v>
      </c>
      <c r="O174" s="2">
        <f ca="1">IF(Iterations[[#This Row],[Step]] =current_step, current_Grad_b,IF(Iterations[[#This Row],[Step]] &gt; current_step, "",Iterations[[#This Row],[Grad_b]]))</f>
        <v>5.35696339845744E-2</v>
      </c>
      <c r="P174" s="2">
        <f ca="1">IF(Iterations[[#This Row],[Step]] =current_step, current_Grad_c,IF(Iterations[[#This Row],[Step]] &gt; current_step, "",Iterations[[#This Row],[Grad_c]]))</f>
        <v>-1.1478508567385308</v>
      </c>
      <c r="Q174" s="2">
        <f ca="1">IF(Iterations[[#This Row],[Step]] =current_step, current_Grad_d,IF(Iterations[[#This Row],[Step]] &gt; current_step, "",Iterations[[#This Row],[Grad_d]]))</f>
        <v>-2.8035595064685954E-2</v>
      </c>
      <c r="R174" s="2">
        <f ca="1">IF(Iterations[[#This Row],[Step]] =current_step, current_Grad_e,IF(Iterations[[#This Row],[Step]] &gt; current_step, "",Iterations[[#This Row],[Grad_e]]))</f>
        <v>0.40956246884645214</v>
      </c>
    </row>
    <row r="175" spans="6:18" x14ac:dyDescent="0.3">
      <c r="F175" s="2">
        <f t="shared" si="4"/>
        <v>158</v>
      </c>
      <c r="G175" s="2">
        <f ca="1">IF(Iterations[[#This Row],[Step]] =current_step, current_a,IF(Iterations[[#This Row],[Step]] &gt; current_step, "",Iterations[[#This Row],[a]]))</f>
        <v>-3.1095718171222826</v>
      </c>
      <c r="H175" s="2">
        <f ca="1">IF(Iterations[[#This Row],[Step]] =current_step, current_b,IF(Iterations[[#This Row],[Step]] &gt; current_step, "",Iterations[[#This Row],[b]]))</f>
        <v>1.0064062817736279</v>
      </c>
      <c r="I175" s="2">
        <f ca="1">IF(Iterations[[#This Row],[Step]] =current_step, current_c,IF(Iterations[[#This Row],[Step]] &gt; current_step, "",Iterations[[#This Row],[c]]))</f>
        <v>9.5458841612542784</v>
      </c>
      <c r="J175" s="2">
        <f ca="1">IF(Iterations[[#This Row],[Step]] =current_step, current_d,IF(Iterations[[#This Row],[Step]] &gt; current_step, "",Iterations[[#This Row],[d]]))</f>
        <v>0.6822806153394263</v>
      </c>
      <c r="K175" s="2">
        <f ca="1">IF(Iterations[[#This Row],[Step]] =current_step, current_e,IF(Iterations[[#This Row],[Step]] &gt; current_step, "",Iterations[[#This Row],[e]]))</f>
        <v>15.478669245126925</v>
      </c>
      <c r="L175" s="2">
        <f ca="1">IF(Iterations[[#This Row],[Step]] =current_step, current_Total_Loss,IF(Iterations[[#This Row],[Step]] &gt; current_step, "",Iterations[[#This Row],[Total Loss]]))</f>
        <v>242.96</v>
      </c>
      <c r="M175" s="6" t="s">
        <v>27</v>
      </c>
      <c r="N175" s="2">
        <f ca="1">IF(Iterations[[#This Row],[Step]] =current_step, current_Grad_a,IF(Iterations[[#This Row],[Step]] &gt; current_step, "",Iterations[[#This Row],[Grad_a]]))</f>
        <v>0.40604623137291146</v>
      </c>
      <c r="O175" s="2">
        <f ca="1">IF(Iterations[[#This Row],[Step]] =current_step, current_Grad_b,IF(Iterations[[#This Row],[Step]] &gt; current_step, "",Iterations[[#This Row],[Grad_b]]))</f>
        <v>5.3448925022689053E-2</v>
      </c>
      <c r="P175" s="2">
        <f ca="1">IF(Iterations[[#This Row],[Step]] =current_step, current_Grad_c,IF(Iterations[[#This Row],[Step]] &gt; current_step, "",Iterations[[#This Row],[Grad_c]]))</f>
        <v>-1.1422762559000681</v>
      </c>
      <c r="Q175" s="2">
        <f ca="1">IF(Iterations[[#This Row],[Step]] =current_step, current_Grad_d,IF(Iterations[[#This Row],[Step]] &gt; current_step, "",Iterations[[#This Row],[Grad_d]]))</f>
        <v>-2.8195911350850186E-2</v>
      </c>
      <c r="R175" s="2">
        <f ca="1">IF(Iterations[[#This Row],[Step]] =current_step, current_Grad_e,IF(Iterations[[#This Row],[Step]] &gt; current_step, "",Iterations[[#This Row],[Grad_e]]))</f>
        <v>0.4075887277458623</v>
      </c>
    </row>
    <row r="176" spans="6:18" x14ac:dyDescent="0.3">
      <c r="F176" s="2">
        <f t="shared" si="4"/>
        <v>159</v>
      </c>
      <c r="G176" s="2">
        <f ca="1">IF(Iterations[[#This Row],[Step]] =current_step, current_a,IF(Iterations[[#This Row],[Step]] &gt; current_step, "",Iterations[[#This Row],[a]]))</f>
        <v>-3.1298741286909282</v>
      </c>
      <c r="H176" s="2">
        <f ca="1">IF(Iterations[[#This Row],[Step]] =current_step, current_b,IF(Iterations[[#This Row],[Step]] &gt; current_step, "",Iterations[[#This Row],[b]]))</f>
        <v>1.0037338355224934</v>
      </c>
      <c r="I176" s="2">
        <f ca="1">IF(Iterations[[#This Row],[Step]] =current_step, current_c,IF(Iterations[[#This Row],[Step]] &gt; current_step, "",Iterations[[#This Row],[c]]))</f>
        <v>9.6029979740492823</v>
      </c>
      <c r="J176" s="2">
        <f ca="1">IF(Iterations[[#This Row],[Step]] =current_step, current_d,IF(Iterations[[#This Row],[Step]] &gt; current_step, "",Iterations[[#This Row],[d]]))</f>
        <v>0.6836904109069688</v>
      </c>
      <c r="K176" s="2">
        <f ca="1">IF(Iterations[[#This Row],[Step]] =current_step, current_e,IF(Iterations[[#This Row],[Step]] &gt; current_step, "",Iterations[[#This Row],[e]]))</f>
        <v>15.458289808739632</v>
      </c>
      <c r="L176" s="2">
        <f ca="1">IF(Iterations[[#This Row],[Step]] =current_step, current_Total_Loss,IF(Iterations[[#This Row],[Step]] &gt; current_step, "",Iterations[[#This Row],[Total Loss]]))</f>
        <v>241.49</v>
      </c>
      <c r="M176" s="6" t="s">
        <v>27</v>
      </c>
      <c r="N176" s="2">
        <f ca="1">IF(Iterations[[#This Row],[Step]] =current_step, current_Grad_a,IF(Iterations[[#This Row],[Step]] &gt; current_step, "",Iterations[[#This Row],[Grad_a]]))</f>
        <v>0.40408021042457598</v>
      </c>
      <c r="O176" s="2">
        <f ca="1">IF(Iterations[[#This Row],[Step]] =current_step, current_Grad_b,IF(Iterations[[#This Row],[Step]] &gt; current_step, "",Iterations[[#This Row],[Grad_b]]))</f>
        <v>5.332709464118205E-2</v>
      </c>
      <c r="P176" s="2">
        <f ca="1">IF(Iterations[[#This Row],[Step]] =current_step, current_Grad_c,IF(Iterations[[#This Row],[Step]] &gt; current_step, "",Iterations[[#This Row],[Grad_c]]))</f>
        <v>-1.1367291647174009</v>
      </c>
      <c r="Q176" s="2">
        <f ca="1">IF(Iterations[[#This Row],[Step]] =current_step, current_Grad_d,IF(Iterations[[#This Row],[Step]] &gt; current_step, "",Iterations[[#This Row],[Grad_d]]))</f>
        <v>-2.8351637767262596E-2</v>
      </c>
      <c r="R176" s="2">
        <f ca="1">IF(Iterations[[#This Row],[Step]] =current_step, current_Grad_e,IF(Iterations[[#This Row],[Step]] &gt; current_step, "",Iterations[[#This Row],[Grad_e]]))</f>
        <v>0.40562350673010172</v>
      </c>
    </row>
    <row r="177" spans="6:18" x14ac:dyDescent="0.3">
      <c r="F177" s="2">
        <f t="shared" si="4"/>
        <v>160</v>
      </c>
      <c r="G177" s="2">
        <f ca="1">IF(Iterations[[#This Row],[Step]] =current_step, current_a,IF(Iterations[[#This Row],[Step]] &gt; current_step, "",Iterations[[#This Row],[a]]))</f>
        <v>-3.1500781392121571</v>
      </c>
      <c r="H177" s="2">
        <f ca="1">IF(Iterations[[#This Row],[Step]] =current_step, current_b,IF(Iterations[[#This Row],[Step]] &gt; current_step, "",Iterations[[#This Row],[b]]))</f>
        <v>1.0010674807904343</v>
      </c>
      <c r="I177" s="2">
        <f ca="1">IF(Iterations[[#This Row],[Step]] =current_step, current_c,IF(Iterations[[#This Row],[Step]] &gt; current_step, "",Iterations[[#This Row],[c]]))</f>
        <v>9.6598344322851517</v>
      </c>
      <c r="J177" s="2">
        <f ca="1">IF(Iterations[[#This Row],[Step]] =current_step, current_d,IF(Iterations[[#This Row],[Step]] &gt; current_step, "",Iterations[[#This Row],[d]]))</f>
        <v>0.68510799279533197</v>
      </c>
      <c r="K177" s="2">
        <f ca="1">IF(Iterations[[#This Row],[Step]] =current_step, current_e,IF(Iterations[[#This Row],[Step]] &gt; current_step, "",Iterations[[#This Row],[e]]))</f>
        <v>15.438008633403127</v>
      </c>
      <c r="L177" s="2">
        <f ca="1">IF(Iterations[[#This Row],[Step]] =current_step, current_Total_Loss,IF(Iterations[[#This Row],[Step]] &gt; current_step, "",Iterations[[#This Row],[Total Loss]]))</f>
        <v>240.03</v>
      </c>
      <c r="M177" s="6" t="s">
        <v>27</v>
      </c>
      <c r="N177" s="2">
        <f ca="1">IF(Iterations[[#This Row],[Step]] =current_step, current_Grad_a,IF(Iterations[[#This Row],[Step]] &gt; current_step, "",Iterations[[#This Row],[Grad_a]]))</f>
        <v>0.40212401562098676</v>
      </c>
      <c r="O177" s="2">
        <f ca="1">IF(Iterations[[#This Row],[Step]] =current_step, current_Grad_b,IF(Iterations[[#This Row],[Step]] &gt; current_step, "",Iterations[[#This Row],[Grad_b]]))</f>
        <v>5.3204166387831049E-2</v>
      </c>
      <c r="P177" s="2">
        <f ca="1">IF(Iterations[[#This Row],[Step]] =current_step, current_Grad_c,IF(Iterations[[#This Row],[Step]] &gt; current_step, "",Iterations[[#This Row],[Grad_c]]))</f>
        <v>-1.1312094280444986</v>
      </c>
      <c r="Q177" s="2">
        <f ca="1">IF(Iterations[[#This Row],[Step]] =current_step, current_Grad_d,IF(Iterations[[#This Row],[Step]] &gt; current_step, "",Iterations[[#This Row],[Grad_d]]))</f>
        <v>-2.8502848281654971E-2</v>
      </c>
      <c r="R177" s="2">
        <f ca="1">IF(Iterations[[#This Row],[Step]] =current_step, current_Grad_e,IF(Iterations[[#This Row],[Step]] &gt; current_step, "",Iterations[[#This Row],[Grad_e]]))</f>
        <v>0.40366683938553982</v>
      </c>
    </row>
    <row r="178" spans="6:18" x14ac:dyDescent="0.3">
      <c r="F178" s="2">
        <f t="shared" si="4"/>
        <v>161</v>
      </c>
      <c r="G178" s="2">
        <f ca="1">IF(Iterations[[#This Row],[Step]] =current_step, current_a,IF(Iterations[[#This Row],[Step]] &gt; current_step, "",Iterations[[#This Row],[a]]))</f>
        <v>-3.1701843399932064</v>
      </c>
      <c r="H178" s="2">
        <f ca="1">IF(Iterations[[#This Row],[Step]] =current_step, current_b,IF(Iterations[[#This Row],[Step]] &gt; current_step, "",Iterations[[#This Row],[b]]))</f>
        <v>0.99840727247104277</v>
      </c>
      <c r="I178" s="2">
        <f ca="1">IF(Iterations[[#This Row],[Step]] =current_step, current_c,IF(Iterations[[#This Row],[Step]] &gt; current_step, "",Iterations[[#This Row],[c]]))</f>
        <v>9.7163949036873767</v>
      </c>
      <c r="J178" s="2">
        <f ca="1">IF(Iterations[[#This Row],[Step]] =current_step, current_d,IF(Iterations[[#This Row],[Step]] &gt; current_step, "",Iterations[[#This Row],[d]]))</f>
        <v>0.68653313520941472</v>
      </c>
      <c r="K178" s="2">
        <f ca="1">IF(Iterations[[#This Row],[Step]] =current_step, current_e,IF(Iterations[[#This Row],[Step]] &gt; current_step, "",Iterations[[#This Row],[e]]))</f>
        <v>15.41782529143385</v>
      </c>
      <c r="L178" s="2">
        <f ca="1">IF(Iterations[[#This Row],[Step]] =current_step, current_Total_Loss,IF(Iterations[[#This Row],[Step]] &gt; current_step, "",Iterations[[#This Row],[Total Loss]]))</f>
        <v>238.59</v>
      </c>
      <c r="M178" s="6" t="s">
        <v>27</v>
      </c>
      <c r="N178" s="2">
        <f ca="1">IF(Iterations[[#This Row],[Step]] =current_step, current_Grad_a,IF(Iterations[[#This Row],[Step]] &gt; current_step, "",Iterations[[#This Row],[Grad_a]]))</f>
        <v>0.40017757700111645</v>
      </c>
      <c r="O178" s="2">
        <f ca="1">IF(Iterations[[#This Row],[Step]] =current_step, current_Grad_b,IF(Iterations[[#This Row],[Step]] &gt; current_step, "",Iterations[[#This Row],[Grad_b]]))</f>
        <v>5.3080163699651531E-2</v>
      </c>
      <c r="P178" s="2">
        <f ca="1">IF(Iterations[[#This Row],[Step]] =current_step, current_Grad_c,IF(Iterations[[#This Row],[Step]] &gt; current_step, "",Iterations[[#This Row],[Grad_c]]))</f>
        <v>-1.1257168927481562</v>
      </c>
      <c r="Q178" s="2">
        <f ca="1">IF(Iterations[[#This Row],[Step]] =current_step, current_Grad_d,IF(Iterations[[#This Row],[Step]] &gt; current_step, "",Iterations[[#This Row],[Grad_d]]))</f>
        <v>-2.864961563447456E-2</v>
      </c>
      <c r="R178" s="2">
        <f ca="1">IF(Iterations[[#This Row],[Step]] =current_step, current_Grad_e,IF(Iterations[[#This Row],[Step]] &gt; current_step, "",Iterations[[#This Row],[Grad_e]]))</f>
        <v>0.40171875414391678</v>
      </c>
    </row>
    <row r="179" spans="6:18" x14ac:dyDescent="0.3">
      <c r="F179" s="2">
        <f t="shared" si="4"/>
        <v>162</v>
      </c>
      <c r="G179" s="2">
        <f ca="1">IF(Iterations[[#This Row],[Step]] =current_step, current_a,IF(Iterations[[#This Row],[Step]] &gt; current_step, "",Iterations[[#This Row],[a]]))</f>
        <v>-3.190193218843262</v>
      </c>
      <c r="H179" s="2">
        <f ca="1">IF(Iterations[[#This Row],[Step]] =current_step, current_b,IF(Iterations[[#This Row],[Step]] &gt; current_step, "",Iterations[[#This Row],[b]]))</f>
        <v>0.99575326428606015</v>
      </c>
      <c r="I179" s="2">
        <f ca="1">IF(Iterations[[#This Row],[Step]] =current_step, current_c,IF(Iterations[[#This Row],[Step]] &gt; current_step, "",Iterations[[#This Row],[c]]))</f>
        <v>9.7726807483247846</v>
      </c>
      <c r="J179" s="2">
        <f ca="1">IF(Iterations[[#This Row],[Step]] =current_step, current_d,IF(Iterations[[#This Row],[Step]] &gt; current_step, "",Iterations[[#This Row],[d]]))</f>
        <v>0.68796561599113848</v>
      </c>
      <c r="K179" s="2">
        <f ca="1">IF(Iterations[[#This Row],[Step]] =current_step, current_e,IF(Iterations[[#This Row],[Step]] &gt; current_step, "",Iterations[[#This Row],[e]]))</f>
        <v>15.397739353726655</v>
      </c>
      <c r="L179" s="2">
        <f ca="1">IF(Iterations[[#This Row],[Step]] =current_step, current_Total_Loss,IF(Iterations[[#This Row],[Step]] &gt; current_step, "",Iterations[[#This Row],[Total Loss]]))</f>
        <v>237.16</v>
      </c>
      <c r="M179" s="6" t="s">
        <v>27</v>
      </c>
      <c r="N179" s="2">
        <f ca="1">IF(Iterations[[#This Row],[Step]] =current_step, current_Grad_a,IF(Iterations[[#This Row],[Step]] &gt; current_step, "",Iterations[[#This Row],[Grad_a]]))</f>
        <v>0.3982408264283131</v>
      </c>
      <c r="O179" s="2">
        <f ca="1">IF(Iterations[[#This Row],[Step]] =current_step, current_Grad_b,IF(Iterations[[#This Row],[Step]] &gt; current_step, "",Iterations[[#This Row],[Grad_b]]))</f>
        <v>5.2955109888052E-2</v>
      </c>
      <c r="P179" s="2">
        <f ca="1">IF(Iterations[[#This Row],[Step]] =current_step, current_Grad_c,IF(Iterations[[#This Row],[Step]] &gt; current_step, "",Iterations[[#This Row],[Grad_c]]))</f>
        <v>-1.1202514076180512</v>
      </c>
      <c r="Q179" s="2">
        <f ca="1">IF(Iterations[[#This Row],[Step]] =current_step, current_Grad_d,IF(Iterations[[#This Row],[Step]] &gt; current_step, "",Iterations[[#This Row],[Grad_d]]))</f>
        <v>-2.8792011369683027E-2</v>
      </c>
      <c r="R179" s="2">
        <f ca="1">IF(Iterations[[#This Row],[Step]] =current_step, current_Grad_e,IF(Iterations[[#This Row],[Step]] &gt; current_step, "",Iterations[[#This Row],[Grad_e]]))</f>
        <v>0.39977927463505619</v>
      </c>
    </row>
    <row r="180" spans="6:18" x14ac:dyDescent="0.3">
      <c r="F180" s="2">
        <f t="shared" si="4"/>
        <v>163</v>
      </c>
      <c r="G180" s="2">
        <f ca="1">IF(Iterations[[#This Row],[Step]] =current_step, current_a,IF(Iterations[[#This Row],[Step]] &gt; current_step, "",Iterations[[#This Row],[a]]))</f>
        <v>-3.2101052601646778</v>
      </c>
      <c r="H180" s="2">
        <f ca="1">IF(Iterations[[#This Row],[Step]] =current_step, current_b,IF(Iterations[[#This Row],[Step]] &gt; current_step, "",Iterations[[#This Row],[b]]))</f>
        <v>0.9931055087916576</v>
      </c>
      <c r="I180" s="2">
        <f ca="1">IF(Iterations[[#This Row],[Step]] =current_step, current_c,IF(Iterations[[#This Row],[Step]] &gt; current_step, "",Iterations[[#This Row],[c]]))</f>
        <v>9.8286933187056871</v>
      </c>
      <c r="J180" s="2">
        <f ca="1">IF(Iterations[[#This Row],[Step]] =current_step, current_d,IF(Iterations[[#This Row],[Step]] &gt; current_step, "",Iterations[[#This Row],[d]]))</f>
        <v>0.68940521655962261</v>
      </c>
      <c r="K180" s="2">
        <f ca="1">IF(Iterations[[#This Row],[Step]] =current_step, current_e,IF(Iterations[[#This Row],[Step]] &gt; current_step, "",Iterations[[#This Row],[e]]))</f>
        <v>15.377750389994901</v>
      </c>
      <c r="L180" s="2">
        <f ca="1">IF(Iterations[[#This Row],[Step]] =current_step, current_Total_Loss,IF(Iterations[[#This Row],[Step]] &gt; current_step, "",Iterations[[#This Row],[Total Loss]]))</f>
        <v>235.74</v>
      </c>
      <c r="M180" s="6" t="s">
        <v>27</v>
      </c>
      <c r="N180" s="2">
        <f ca="1">IF(Iterations[[#This Row],[Step]] =current_step, current_Grad_a,IF(Iterations[[#This Row],[Step]] &gt; current_step, "",Iterations[[#This Row],[Grad_a]]))</f>
        <v>0.39631369748394285</v>
      </c>
      <c r="O180" s="2">
        <f ca="1">IF(Iterations[[#This Row],[Step]] =current_step, current_Grad_b,IF(Iterations[[#This Row],[Step]] &gt; current_step, "",Iterations[[#This Row],[Grad_b]]))</f>
        <v>5.2829028125394077E-2</v>
      </c>
      <c r="P180" s="2">
        <f ca="1">IF(Iterations[[#This Row],[Step]] =current_step, current_Grad_c,IF(Iterations[[#This Row],[Step]] &gt; current_step, "",Iterations[[#This Row],[Grad_c]]))</f>
        <v>-1.1148128232825008</v>
      </c>
      <c r="Q180" s="2">
        <f ca="1">IF(Iterations[[#This Row],[Step]] =current_step, current_Grad_d,IF(Iterations[[#This Row],[Step]] &gt; current_step, "",Iterations[[#This Row],[Grad_d]]))</f>
        <v>-2.8930105864131288E-2</v>
      </c>
      <c r="R180" s="2">
        <f ca="1">IF(Iterations[[#This Row],[Step]] =current_step, current_Grad_e,IF(Iterations[[#This Row],[Step]] &gt; current_step, "",Iterations[[#This Row],[Grad_e]]))</f>
        <v>0.39784842001640069</v>
      </c>
    </row>
    <row r="181" spans="6:18" x14ac:dyDescent="0.3">
      <c r="F181" s="2">
        <f t="shared" si="4"/>
        <v>164</v>
      </c>
      <c r="G181" s="2">
        <f ca="1">IF(Iterations[[#This Row],[Step]] =current_step, current_a,IF(Iterations[[#This Row],[Step]] &gt; current_step, "",Iterations[[#This Row],[a]]))</f>
        <v>-3.2299209450388751</v>
      </c>
      <c r="H181" s="2">
        <f ca="1">IF(Iterations[[#This Row],[Step]] =current_step, current_b,IF(Iterations[[#This Row],[Step]] &gt; current_step, "",Iterations[[#This Row],[b]]))</f>
        <v>0.9904640573853879</v>
      </c>
      <c r="I181" s="2">
        <f ca="1">IF(Iterations[[#This Row],[Step]] =current_step, current_c,IF(Iterations[[#This Row],[Step]] &gt; current_step, "",Iterations[[#This Row],[c]]))</f>
        <v>9.8844339598698117</v>
      </c>
      <c r="J181" s="2">
        <f ca="1">IF(Iterations[[#This Row],[Step]] =current_step, current_d,IF(Iterations[[#This Row],[Step]] &gt; current_step, "",Iterations[[#This Row],[d]]))</f>
        <v>0.69085172185282917</v>
      </c>
      <c r="K181" s="2">
        <f ca="1">IF(Iterations[[#This Row],[Step]] =current_step, current_e,IF(Iterations[[#This Row],[Step]] &gt; current_step, "",Iterations[[#This Row],[e]]))</f>
        <v>15.357857968994081</v>
      </c>
      <c r="L181" s="2">
        <f ca="1">IF(Iterations[[#This Row],[Step]] =current_step, current_Total_Loss,IF(Iterations[[#This Row],[Step]] &gt; current_step, "",Iterations[[#This Row],[Total Loss]]))</f>
        <v>234.34</v>
      </c>
      <c r="M181" s="6" t="s">
        <v>27</v>
      </c>
      <c r="N181" s="2">
        <f ca="1">IF(Iterations[[#This Row],[Step]] =current_step, current_Grad_a,IF(Iterations[[#This Row],[Step]] &gt; current_step, "",Iterations[[#This Row],[Grad_a]]))</f>
        <v>0.39439612536832175</v>
      </c>
      <c r="O181" s="2">
        <f ca="1">IF(Iterations[[#This Row],[Step]] =current_step, current_Grad_b,IF(Iterations[[#This Row],[Step]] &gt; current_step, "",Iterations[[#This Row],[Grad_b]]))</f>
        <v>5.2701941432542969E-2</v>
      </c>
      <c r="P181" s="2">
        <f ca="1">IF(Iterations[[#This Row],[Step]] =current_step, current_Grad_c,IF(Iterations[[#This Row],[Step]] &gt; current_step, "",Iterations[[#This Row],[Grad_c]]))</f>
        <v>-1.1094009921293444</v>
      </c>
      <c r="Q181" s="2">
        <f ca="1">IF(Iterations[[#This Row],[Step]] =current_step, current_Grad_d,IF(Iterations[[#This Row],[Step]] &gt; current_step, "",Iterations[[#This Row],[Grad_d]]))</f>
        <v>-2.9063968355726704E-2</v>
      </c>
      <c r="R181" s="2">
        <f ca="1">IF(Iterations[[#This Row],[Step]] =current_step, current_Grad_e,IF(Iterations[[#This Row],[Step]] &gt; current_step, "",Iterations[[#This Row],[Grad_e]]))</f>
        <v>0.39592620528097555</v>
      </c>
    </row>
    <row r="182" spans="6:18" x14ac:dyDescent="0.3">
      <c r="F182" s="2">
        <f t="shared" si="4"/>
        <v>165</v>
      </c>
      <c r="G182" s="2">
        <f ca="1">IF(Iterations[[#This Row],[Step]] =current_step, current_a,IF(Iterations[[#This Row],[Step]] &gt; current_step, "",Iterations[[#This Row],[a]]))</f>
        <v>-3.2496407513072914</v>
      </c>
      <c r="H182" s="2">
        <f ca="1">IF(Iterations[[#This Row],[Step]] =current_step, current_b,IF(Iterations[[#This Row],[Step]] &gt; current_step, "",Iterations[[#This Row],[b]]))</f>
        <v>0.98782896031376077</v>
      </c>
      <c r="I182" s="2">
        <f ca="1">IF(Iterations[[#This Row],[Step]] =current_step, current_c,IF(Iterations[[#This Row],[Step]] &gt; current_step, "",Iterations[[#This Row],[c]]))</f>
        <v>9.9399040094762796</v>
      </c>
      <c r="J182" s="2">
        <f ca="1">IF(Iterations[[#This Row],[Step]] =current_step, current_d,IF(Iterations[[#This Row],[Step]] &gt; current_step, "",Iterations[[#This Row],[d]]))</f>
        <v>0.69230492027061552</v>
      </c>
      <c r="K182" s="2">
        <f ca="1">IF(Iterations[[#This Row],[Step]] =current_step, current_e,IF(Iterations[[#This Row],[Step]] &gt; current_step, "",Iterations[[#This Row],[e]]))</f>
        <v>15.338061658730032</v>
      </c>
      <c r="L182" s="2">
        <f ca="1">IF(Iterations[[#This Row],[Step]] =current_step, current_Total_Loss,IF(Iterations[[#This Row],[Step]] &gt; current_step, "",Iterations[[#This Row],[Total Loss]]))</f>
        <v>232.95</v>
      </c>
      <c r="M182" s="6" t="s">
        <v>27</v>
      </c>
      <c r="N182" s="2">
        <f ca="1">IF(Iterations[[#This Row],[Step]] =current_step, current_Grad_a,IF(Iterations[[#This Row],[Step]] &gt; current_step, "",Iterations[[#This Row],[Grad_a]]))</f>
        <v>0.39248804680752059</v>
      </c>
      <c r="O182" s="2">
        <f ca="1">IF(Iterations[[#This Row],[Step]] =current_step, current_Grad_b,IF(Iterations[[#This Row],[Step]] &gt; current_step, "",Iterations[[#This Row],[Grad_b]]))</f>
        <v>5.2573872667697169E-2</v>
      </c>
      <c r="P182" s="2">
        <f ca="1">IF(Iterations[[#This Row],[Step]] =current_step, current_Grad_c,IF(Iterations[[#This Row],[Step]] &gt; current_step, "",Iterations[[#This Row],[Grad_c]]))</f>
        <v>-1.1040157682319949</v>
      </c>
      <c r="Q182" s="2">
        <f ca="1">IF(Iterations[[#This Row],[Step]] =current_step, current_Grad_d,IF(Iterations[[#This Row],[Step]] &gt; current_step, "",Iterations[[#This Row],[Grad_d]]))</f>
        <v>-2.9193666970316359E-2</v>
      </c>
      <c r="R182" s="2">
        <f ca="1">IF(Iterations[[#This Row],[Step]] =current_step, current_Grad_e,IF(Iterations[[#This Row],[Step]] &gt; current_step, "",Iterations[[#This Row],[Grad_e]]))</f>
        <v>0.3940126415450062</v>
      </c>
    </row>
    <row r="183" spans="6:18" x14ac:dyDescent="0.3">
      <c r="F183" s="2">
        <f t="shared" si="4"/>
        <v>166</v>
      </c>
      <c r="G183" s="2">
        <f ca="1">IF(Iterations[[#This Row],[Step]] =current_step, current_a,IF(Iterations[[#This Row],[Step]] &gt; current_step, "",Iterations[[#This Row],[a]]))</f>
        <v>-3.2692651536476673</v>
      </c>
      <c r="H183" s="2">
        <f ca="1">IF(Iterations[[#This Row],[Step]] =current_step, current_b,IF(Iterations[[#This Row],[Step]] &gt; current_step, "",Iterations[[#This Row],[b]]))</f>
        <v>0.98520026668037597</v>
      </c>
      <c r="I183" s="2">
        <f ca="1">IF(Iterations[[#This Row],[Step]] =current_step, current_c,IF(Iterations[[#This Row],[Step]] &gt; current_step, "",Iterations[[#This Row],[c]]))</f>
        <v>9.9951047978878798</v>
      </c>
      <c r="J183" s="2">
        <f ca="1">IF(Iterations[[#This Row],[Step]] =current_step, current_d,IF(Iterations[[#This Row],[Step]] &gt; current_step, "",Iterations[[#This Row],[d]]))</f>
        <v>0.69376460361913139</v>
      </c>
      <c r="K183" s="2">
        <f ca="1">IF(Iterations[[#This Row],[Step]] =current_step, current_e,IF(Iterations[[#This Row],[Step]] &gt; current_step, "",Iterations[[#This Row],[e]]))</f>
        <v>15.318361026652783</v>
      </c>
      <c r="L183" s="2">
        <f ca="1">IF(Iterations[[#This Row],[Step]] =current_step, current_Total_Loss,IF(Iterations[[#This Row],[Step]] &gt; current_step, "",Iterations[[#This Row],[Total Loss]]))</f>
        <v>231.57</v>
      </c>
      <c r="M183" s="6" t="s">
        <v>27</v>
      </c>
      <c r="N183" s="2">
        <f ca="1">IF(Iterations[[#This Row],[Step]] =current_step, current_Grad_a,IF(Iterations[[#This Row],[Step]] &gt; current_step, "",Iterations[[#This Row],[Grad_a]]))</f>
        <v>0.39058939996658876</v>
      </c>
      <c r="O183" s="2">
        <f ca="1">IF(Iterations[[#This Row],[Step]] =current_step, current_Grad_b,IF(Iterations[[#This Row],[Step]] &gt; current_step, "",Iterations[[#This Row],[Grad_b]]))</f>
        <v>5.244484451613355E-2</v>
      </c>
      <c r="P183" s="2">
        <f ca="1">IF(Iterations[[#This Row],[Step]] =current_step, current_Grad_c,IF(Iterations[[#This Row],[Step]] &gt; current_step, "",Iterations[[#This Row],[Grad_c]]))</f>
        <v>-1.0986570072799355</v>
      </c>
      <c r="Q183" s="2">
        <f ca="1">IF(Iterations[[#This Row],[Step]] =current_step, current_Grad_d,IF(Iterations[[#This Row],[Step]] &gt; current_step, "",Iterations[[#This Row],[Grad_d]]))</f>
        <v>-2.9319268747482634E-2</v>
      </c>
      <c r="R183" s="2">
        <f ca="1">IF(Iterations[[#This Row],[Step]] =current_step, current_Grad_e,IF(Iterations[[#This Row],[Step]] &gt; current_step, "",Iterations[[#This Row],[Grad_e]]))</f>
        <v>0.39210773631672757</v>
      </c>
    </row>
    <row r="184" spans="6:18" x14ac:dyDescent="0.3">
      <c r="F184" s="2">
        <f t="shared" si="4"/>
        <v>167</v>
      </c>
      <c r="G184" s="2">
        <f ca="1">IF(Iterations[[#This Row],[Step]] =current_step, current_a,IF(Iterations[[#This Row],[Step]] &gt; current_step, "",Iterations[[#This Row],[a]]))</f>
        <v>-3.2887946236459968</v>
      </c>
      <c r="H184" s="2">
        <f ca="1">IF(Iterations[[#This Row],[Step]] =current_step, current_b,IF(Iterations[[#This Row],[Step]] &gt; current_step, "",Iterations[[#This Row],[b]]))</f>
        <v>0.98257802445456932</v>
      </c>
      <c r="I184" s="2">
        <f ca="1">IF(Iterations[[#This Row],[Step]] =current_step, current_c,IF(Iterations[[#This Row],[Step]] &gt; current_step, "",Iterations[[#This Row],[c]]))</f>
        <v>10.050037648251877</v>
      </c>
      <c r="J184" s="2">
        <f ca="1">IF(Iterations[[#This Row],[Step]] =current_step, current_d,IF(Iterations[[#This Row],[Step]] &gt; current_step, "",Iterations[[#This Row],[d]]))</f>
        <v>0.69523056705650554</v>
      </c>
      <c r="K184" s="2">
        <f ca="1">IF(Iterations[[#This Row],[Step]] =current_step, current_e,IF(Iterations[[#This Row],[Step]] &gt; current_step, "",Iterations[[#This Row],[e]]))</f>
        <v>15.298755639836946</v>
      </c>
      <c r="L184" s="2">
        <f ca="1">IF(Iterations[[#This Row],[Step]] =current_step, current_Total_Loss,IF(Iterations[[#This Row],[Step]] &gt; current_step, "",Iterations[[#This Row],[Total Loss]]))</f>
        <v>230.21</v>
      </c>
      <c r="M184" s="6" t="s">
        <v>27</v>
      </c>
      <c r="N184" s="2">
        <f ca="1">IF(Iterations[[#This Row],[Step]] =current_step, current_Grad_a,IF(Iterations[[#This Row],[Step]] &gt; current_step, "",Iterations[[#This Row],[Grad_a]]))</f>
        <v>0.38870012436834045</v>
      </c>
      <c r="O184" s="2">
        <f ca="1">IF(Iterations[[#This Row],[Step]] =current_step, current_Grad_b,IF(Iterations[[#This Row],[Step]] &gt; current_step, "",Iterations[[#This Row],[Grad_b]]))</f>
        <v>5.2314879480933781E-2</v>
      </c>
      <c r="P184" s="2">
        <f ca="1">IF(Iterations[[#This Row],[Step]] =current_step, current_Grad_c,IF(Iterations[[#This Row],[Step]] &gt; current_step, "",Iterations[[#This Row],[Grad_c]]))</f>
        <v>-1.0933245665135674</v>
      </c>
      <c r="Q184" s="2">
        <f ca="1">IF(Iterations[[#This Row],[Step]] =current_step, current_Grad_d,IF(Iterations[[#This Row],[Step]] &gt; current_step, "",Iterations[[#This Row],[Grad_d]]))</f>
        <v>-2.9440839665249366E-2</v>
      </c>
      <c r="R184" s="2">
        <f ca="1">IF(Iterations[[#This Row],[Step]] =current_step, current_Grad_e,IF(Iterations[[#This Row],[Step]] &gt; current_step, "",Iterations[[#This Row],[Grad_e]]))</f>
        <v>0.39021149374749342</v>
      </c>
    </row>
    <row r="185" spans="6:18" x14ac:dyDescent="0.3">
      <c r="F185" s="2">
        <f t="shared" si="4"/>
        <v>168</v>
      </c>
      <c r="G185" s="2">
        <f ca="1">IF(Iterations[[#This Row],[Step]] =current_step, current_a,IF(Iterations[[#This Row],[Step]] &gt; current_step, "",Iterations[[#This Row],[a]]))</f>
        <v>-3.3082296298644138</v>
      </c>
      <c r="H185" s="2">
        <f ca="1">IF(Iterations[[#This Row],[Step]] =current_step, current_b,IF(Iterations[[#This Row],[Step]] &gt; current_step, "",Iterations[[#This Row],[b]]))</f>
        <v>0.97996228048052259</v>
      </c>
      <c r="I185" s="2">
        <f ca="1">IF(Iterations[[#This Row],[Step]] =current_step, current_c,IF(Iterations[[#This Row],[Step]] &gt; current_step, "",Iterations[[#This Row],[c]]))</f>
        <v>10.104703876577554</v>
      </c>
      <c r="J185" s="2">
        <f ca="1">IF(Iterations[[#This Row],[Step]] =current_step, current_d,IF(Iterations[[#This Row],[Step]] &gt; current_step, "",Iterations[[#This Row],[d]]))</f>
        <v>0.69670260903976799</v>
      </c>
      <c r="K185" s="2">
        <f ca="1">IF(Iterations[[#This Row],[Step]] =current_step, current_e,IF(Iterations[[#This Row],[Step]] &gt; current_step, "",Iterations[[#This Row],[e]]))</f>
        <v>15.279245065149571</v>
      </c>
      <c r="L185" s="2">
        <f ca="1">IF(Iterations[[#This Row],[Step]] =current_step, current_Total_Loss,IF(Iterations[[#This Row],[Step]] &gt; current_step, "",Iterations[[#This Row],[Total Loss]]))</f>
        <v>228.86</v>
      </c>
      <c r="M185" s="6" t="s">
        <v>27</v>
      </c>
      <c r="N185" s="2">
        <f ca="1">IF(Iterations[[#This Row],[Step]] =current_step, current_Grad_a,IF(Iterations[[#This Row],[Step]] &gt; current_step, "",Iterations[[#This Row],[Grad_a]]))</f>
        <v>0.38682016081727255</v>
      </c>
      <c r="O185" s="2">
        <f ca="1">IF(Iterations[[#This Row],[Step]] =current_step, current_Grad_b,IF(Iterations[[#This Row],[Step]] &gt; current_step, "",Iterations[[#This Row],[Grad_b]]))</f>
        <v>5.21839998746019E-2</v>
      </c>
      <c r="P185" s="2">
        <f ca="1">IF(Iterations[[#This Row],[Step]] =current_step, current_Grad_c,IF(Iterations[[#This Row],[Step]] &gt; current_step, "",Iterations[[#This Row],[Grad_c]]))</f>
        <v>-1.0880183046631293</v>
      </c>
      <c r="Q185" s="2">
        <f ca="1">IF(Iterations[[#This Row],[Step]] =current_step, current_Grad_d,IF(Iterations[[#This Row],[Step]] &gt; current_step, "",Iterations[[#This Row],[Grad_d]]))</f>
        <v>-2.9558444663775774E-2</v>
      </c>
      <c r="R185" s="2">
        <f ca="1">IF(Iterations[[#This Row],[Step]] =current_step, current_Grad_e,IF(Iterations[[#This Row],[Step]] &gt; current_step, "",Iterations[[#This Row],[Grad_e]]))</f>
        <v>0.38832391486637341</v>
      </c>
    </row>
    <row r="186" spans="6:18" x14ac:dyDescent="0.3">
      <c r="F186" s="2">
        <f t="shared" si="4"/>
        <v>169</v>
      </c>
      <c r="G186" s="2">
        <f ca="1">IF(Iterations[[#This Row],[Step]] =current_step, current_a,IF(Iterations[[#This Row],[Step]] &gt; current_step, "",Iterations[[#This Row],[a]]))</f>
        <v>-3.3275706379052776</v>
      </c>
      <c r="H186" s="2">
        <f ca="1">IF(Iterations[[#This Row],[Step]] =current_step, current_b,IF(Iterations[[#This Row],[Step]] &gt; current_step, "",Iterations[[#This Row],[b]]))</f>
        <v>0.97735308048679248</v>
      </c>
      <c r="I186" s="2">
        <f ca="1">IF(Iterations[[#This Row],[Step]] =current_step, current_c,IF(Iterations[[#This Row],[Step]] &gt; current_step, "",Iterations[[#This Row],[c]]))</f>
        <v>10.15910479181071</v>
      </c>
      <c r="J186" s="2">
        <f ca="1">IF(Iterations[[#This Row],[Step]] =current_step, current_d,IF(Iterations[[#This Row],[Step]] &gt; current_step, "",Iterations[[#This Row],[d]]))</f>
        <v>0.69818053127295676</v>
      </c>
      <c r="K186" s="2">
        <f ca="1">IF(Iterations[[#This Row],[Step]] =current_step, current_e,IF(Iterations[[#This Row],[Step]] &gt; current_step, "",Iterations[[#This Row],[e]]))</f>
        <v>15.259828869406252</v>
      </c>
      <c r="L186" s="2">
        <f ca="1">IF(Iterations[[#This Row],[Step]] =current_step, current_Total_Loss,IF(Iterations[[#This Row],[Step]] &gt; current_step, "",Iterations[[#This Row],[Total Loss]]))</f>
        <v>227.53</v>
      </c>
      <c r="M186" s="6" t="s">
        <v>27</v>
      </c>
      <c r="N186" s="2">
        <f ca="1">IF(Iterations[[#This Row],[Step]] =current_step, current_Grad_a,IF(Iterations[[#This Row],[Step]] &gt; current_step, "",Iterations[[#This Row],[Grad_a]]))</f>
        <v>0.384949451328498</v>
      </c>
      <c r="O186" s="2">
        <f ca="1">IF(Iterations[[#This Row],[Step]] =current_step, current_Grad_b,IF(Iterations[[#This Row],[Step]] &gt; current_step, "",Iterations[[#This Row],[Grad_b]]))</f>
        <v>5.2052227811517367E-2</v>
      </c>
      <c r="P186" s="2">
        <f ca="1">IF(Iterations[[#This Row],[Step]] =current_step, current_Grad_c,IF(Iterations[[#This Row],[Step]] &gt; current_step, "",Iterations[[#This Row],[Grad_c]]))</f>
        <v>-1.082738081891363</v>
      </c>
      <c r="Q186" s="2">
        <f ca="1">IF(Iterations[[#This Row],[Step]] =current_step, current_Grad_d,IF(Iterations[[#This Row],[Step]] &gt; current_step, "",Iterations[[#This Row],[Grad_d]]))</f>
        <v>-2.9672147668100755E-2</v>
      </c>
      <c r="R186" s="2">
        <f ca="1">IF(Iterations[[#This Row],[Step]] =current_step, current_Grad_e,IF(Iterations[[#This Row],[Step]] &gt; current_step, "",Iterations[[#This Row],[Grad_e]]))</f>
        <v>0.38644499779932101</v>
      </c>
    </row>
    <row r="187" spans="6:18" x14ac:dyDescent="0.3">
      <c r="F187" s="2">
        <f t="shared" si="4"/>
        <v>170</v>
      </c>
      <c r="G187" s="2">
        <f ca="1">IF(Iterations[[#This Row],[Step]] =current_step, current_a,IF(Iterations[[#This Row],[Step]] &gt; current_step, "",Iterations[[#This Row],[a]]))</f>
        <v>-3.3468181104717027</v>
      </c>
      <c r="H187" s="2">
        <f ca="1">IF(Iterations[[#This Row],[Step]] =current_step, current_b,IF(Iterations[[#This Row],[Step]] &gt; current_step, "",Iterations[[#This Row],[b]]))</f>
        <v>0.97475046909621665</v>
      </c>
      <c r="I187" s="2">
        <f ca="1">IF(Iterations[[#This Row],[Step]] =current_step, current_c,IF(Iterations[[#This Row],[Step]] &gt; current_step, "",Iterations[[#This Row],[c]]))</f>
        <v>10.213241695905278</v>
      </c>
      <c r="J187" s="2">
        <f ca="1">IF(Iterations[[#This Row],[Step]] =current_step, current_d,IF(Iterations[[#This Row],[Step]] &gt; current_step, "",Iterations[[#This Row],[d]]))</f>
        <v>0.69966413865636179</v>
      </c>
      <c r="K187" s="2">
        <f ca="1">IF(Iterations[[#This Row],[Step]] =current_step, current_e,IF(Iterations[[#This Row],[Step]] &gt; current_step, "",Iterations[[#This Row],[e]]))</f>
        <v>15.240506619516287</v>
      </c>
      <c r="L187" s="2">
        <f ca="1">IF(Iterations[[#This Row],[Step]] =current_step, current_Total_Loss,IF(Iterations[[#This Row],[Step]] &gt; current_step, "",Iterations[[#This Row],[Total Loss]]))</f>
        <v>226.2</v>
      </c>
      <c r="M187" s="6" t="s">
        <v>27</v>
      </c>
      <c r="N187" s="2">
        <f ca="1">IF(Iterations[[#This Row],[Step]] =current_step, current_Grad_a,IF(Iterations[[#This Row],[Step]] &gt; current_step, "",Iterations[[#This Row],[Grad_a]]))</f>
        <v>0.38308793906117422</v>
      </c>
      <c r="O187" s="2">
        <f ca="1">IF(Iterations[[#This Row],[Step]] =current_step, current_Grad_b,IF(Iterations[[#This Row],[Step]] &gt; current_step, "",Iterations[[#This Row],[Grad_b]]))</f>
        <v>5.1919585201121755E-2</v>
      </c>
      <c r="P187" s="2">
        <f ca="1">IF(Iterations[[#This Row],[Step]] =current_step, current_Grad_c,IF(Iterations[[#This Row],[Step]] &gt; current_step, "",Iterations[[#This Row],[Grad_c]]))</f>
        <v>-1.0774837597397378</v>
      </c>
      <c r="Q187" s="2">
        <f ca="1">IF(Iterations[[#This Row],[Step]] =current_step, current_Grad_d,IF(Iterations[[#This Row],[Step]] &gt; current_step, "",Iterations[[#This Row],[Grad_d]]))</f>
        <v>-2.9782011610001626E-2</v>
      </c>
      <c r="R187" s="2">
        <f ca="1">IF(Iterations[[#This Row],[Step]] =current_step, current_Grad_e,IF(Iterations[[#This Row],[Step]] &gt; current_step, "",Iterations[[#This Row],[Grad_e]]))</f>
        <v>0.38457473797390546</v>
      </c>
    </row>
    <row r="188" spans="6:18" x14ac:dyDescent="0.3">
      <c r="F188" s="2">
        <f t="shared" si="4"/>
        <v>171</v>
      </c>
      <c r="G188" s="2">
        <f ca="1">IF(Iterations[[#This Row],[Step]] =current_step, current_a,IF(Iterations[[#This Row],[Step]] &gt; current_step, "",Iterations[[#This Row],[a]]))</f>
        <v>-3.3659725074247615</v>
      </c>
      <c r="H188" s="2">
        <f ca="1">IF(Iterations[[#This Row],[Step]] =current_step, current_b,IF(Iterations[[#This Row],[Step]] &gt; current_step, "",Iterations[[#This Row],[b]]))</f>
        <v>0.9721544898361606</v>
      </c>
      <c r="I188" s="2">
        <f ca="1">IF(Iterations[[#This Row],[Step]] =current_step, current_c,IF(Iterations[[#This Row],[Step]] &gt; current_step, "",Iterations[[#This Row],[c]]))</f>
        <v>10.267115883892265</v>
      </c>
      <c r="J188" s="2">
        <f ca="1">IF(Iterations[[#This Row],[Step]] =current_step, current_d,IF(Iterations[[#This Row],[Step]] &gt; current_step, "",Iterations[[#This Row],[d]]))</f>
        <v>0.7011532392368619</v>
      </c>
      <c r="K188" s="2">
        <f ca="1">IF(Iterations[[#This Row],[Step]] =current_step, current_e,IF(Iterations[[#This Row],[Step]] &gt; current_step, "",Iterations[[#This Row],[e]]))</f>
        <v>15.221277882617592</v>
      </c>
      <c r="L188" s="2">
        <f ca="1">IF(Iterations[[#This Row],[Step]] =current_step, current_Total_Loss,IF(Iterations[[#This Row],[Step]] &gt; current_step, "",Iterations[[#This Row],[Total Loss]]))</f>
        <v>224.89</v>
      </c>
      <c r="M188" s="6" t="s">
        <v>27</v>
      </c>
      <c r="N188" s="2">
        <f ca="1">IF(Iterations[[#This Row],[Step]] =current_step, current_Grad_a,IF(Iterations[[#This Row],[Step]] &gt; current_step, "",Iterations[[#This Row],[Grad_a]]))</f>
        <v>0.38123556825638616</v>
      </c>
      <c r="O188" s="2">
        <f ca="1">IF(Iterations[[#This Row],[Step]] =current_step, current_Grad_b,IF(Iterations[[#This Row],[Step]] &gt; current_step, "",Iterations[[#This Row],[Grad_b]]))</f>
        <v>5.1786093741840254E-2</v>
      </c>
      <c r="P188" s="2">
        <f ca="1">IF(Iterations[[#This Row],[Step]] =current_step, current_Grad_c,IF(Iterations[[#This Row],[Step]] &gt; current_step, "",Iterations[[#This Row],[Grad_c]]))</f>
        <v>-1.0722552010779052</v>
      </c>
      <c r="Q188" s="2">
        <f ca="1">IF(Iterations[[#This Row],[Step]] =current_step, current_Grad_d,IF(Iterations[[#This Row],[Step]] &gt; current_step, "",Iterations[[#This Row],[Grad_d]]))</f>
        <v>-2.9888098448992748E-2</v>
      </c>
      <c r="R188" s="2">
        <f ca="1">IF(Iterations[[#This Row],[Step]] =current_step, current_Grad_e,IF(Iterations[[#This Row],[Step]] &gt; current_step, "",Iterations[[#This Row],[Grad_e]]))</f>
        <v>0.38271312831060672</v>
      </c>
    </row>
    <row r="189" spans="6:18" x14ac:dyDescent="0.3">
      <c r="F189" s="2">
        <f t="shared" si="4"/>
        <v>172</v>
      </c>
      <c r="G189" s="2">
        <f ca="1">IF(Iterations[[#This Row],[Step]] =current_step, current_a,IF(Iterations[[#This Row],[Step]] &gt; current_step, "",Iterations[[#This Row],[a]]))</f>
        <v>-3.3850342858375808</v>
      </c>
      <c r="H189" s="2">
        <f ca="1">IF(Iterations[[#This Row],[Step]] =current_step, current_b,IF(Iterations[[#This Row],[Step]] &gt; current_step, "",Iterations[[#This Row],[b]]))</f>
        <v>0.96956518514906853</v>
      </c>
      <c r="I189" s="2">
        <f ca="1">IF(Iterations[[#This Row],[Step]] =current_step, current_c,IF(Iterations[[#This Row],[Step]] &gt; current_step, "",Iterations[[#This Row],[c]]))</f>
        <v>10.320728643946159</v>
      </c>
      <c r="J189" s="2">
        <f ca="1">IF(Iterations[[#This Row],[Step]] =current_step, current_d,IF(Iterations[[#This Row],[Step]] &gt; current_step, "",Iterations[[#This Row],[d]]))</f>
        <v>0.70264764415931158</v>
      </c>
      <c r="K189" s="2">
        <f ca="1">IF(Iterations[[#This Row],[Step]] =current_step, current_e,IF(Iterations[[#This Row],[Step]] &gt; current_step, "",Iterations[[#This Row],[e]]))</f>
        <v>15.202142226202062</v>
      </c>
      <c r="L189" s="2">
        <f ca="1">IF(Iterations[[#This Row],[Step]] =current_step, current_Total_Loss,IF(Iterations[[#This Row],[Step]] &gt; current_step, "",Iterations[[#This Row],[Total Loss]]))</f>
        <v>223.6</v>
      </c>
      <c r="M189" s="6" t="s">
        <v>27</v>
      </c>
      <c r="N189" s="2">
        <f ca="1">IF(Iterations[[#This Row],[Step]] =current_step, current_Grad_a,IF(Iterations[[#This Row],[Step]] &gt; current_step, "",Iterations[[#This Row],[Grad_a]]))</f>
        <v>0.3793922841788871</v>
      </c>
      <c r="O189" s="2">
        <f ca="1">IF(Iterations[[#This Row],[Step]] =current_step, current_Grad_b,IF(Iterations[[#This Row],[Step]] &gt; current_step, "",Iterations[[#This Row],[Grad_b]]))</f>
        <v>5.1651774915686843E-2</v>
      </c>
      <c r="P189" s="2">
        <f ca="1">IF(Iterations[[#This Row],[Step]] =current_step, current_Grad_c,IF(Iterations[[#This Row],[Step]] &gt; current_step, "",Iterations[[#This Row],[Grad_c]]))</f>
        <v>-1.0670522700563008</v>
      </c>
      <c r="Q189" s="2">
        <f ca="1">IF(Iterations[[#This Row],[Step]] =current_step, current_Grad_d,IF(Iterations[[#This Row],[Step]] &gt; current_step, "",Iterations[[#This Row],[Grad_d]]))</f>
        <v>-2.9990469192529703E-2</v>
      </c>
      <c r="R189" s="2">
        <f ca="1">IF(Iterations[[#This Row],[Step]] =current_step, current_Grad_e,IF(Iterations[[#This Row],[Step]] &gt; current_step, "",Iterations[[#This Row],[Grad_e]]))</f>
        <v>0.38086015940147611</v>
      </c>
    </row>
    <row r="190" spans="6:18" x14ac:dyDescent="0.3">
      <c r="F190" s="2">
        <f t="shared" si="4"/>
        <v>173</v>
      </c>
      <c r="G190" s="2">
        <f ca="1">IF(Iterations[[#This Row],[Step]] =current_step, current_a,IF(Iterations[[#This Row],[Step]] &gt; current_step, "",Iterations[[#This Row],[a]]))</f>
        <v>-3.4040039000465252</v>
      </c>
      <c r="H190" s="2">
        <f ca="1">IF(Iterations[[#This Row],[Step]] =current_step, current_b,IF(Iterations[[#This Row],[Step]] &gt; current_step, "",Iterations[[#This Row],[b]]))</f>
        <v>0.96698259640328421</v>
      </c>
      <c r="I190" s="2">
        <f ca="1">IF(Iterations[[#This Row],[Step]] =current_step, current_c,IF(Iterations[[#This Row],[Step]] &gt; current_step, "",Iterations[[#This Row],[c]]))</f>
        <v>10.374081257448974</v>
      </c>
      <c r="J190" s="2">
        <f ca="1">IF(Iterations[[#This Row],[Step]] =current_step, current_d,IF(Iterations[[#This Row],[Step]] &gt; current_step, "",Iterations[[#This Row],[d]]))</f>
        <v>0.70414716761893803</v>
      </c>
      <c r="K190" s="2">
        <f ca="1">IF(Iterations[[#This Row],[Step]] =current_step, current_e,IF(Iterations[[#This Row],[Step]] &gt; current_step, "",Iterations[[#This Row],[e]]))</f>
        <v>15.183099218231987</v>
      </c>
      <c r="L190" s="2">
        <f ca="1">IF(Iterations[[#This Row],[Step]] =current_step, current_Total_Loss,IF(Iterations[[#This Row],[Step]] &gt; current_step, "",Iterations[[#This Row],[Total Loss]]))</f>
        <v>222.31</v>
      </c>
      <c r="M190" s="6" t="s">
        <v>27</v>
      </c>
      <c r="N190" s="2">
        <f ca="1">IF(Iterations[[#This Row],[Step]] =current_step, current_Grad_a,IF(Iterations[[#This Row],[Step]] &gt; current_step, "",Iterations[[#This Row],[Grad_a]]))</f>
        <v>0.37755803306254954</v>
      </c>
      <c r="O190" s="2">
        <f ca="1">IF(Iterations[[#This Row],[Step]] =current_step, current_Grad_b,IF(Iterations[[#This Row],[Step]] &gt; current_step, "",Iterations[[#This Row],[Grad_b]]))</f>
        <v>5.1516649983437385E-2</v>
      </c>
      <c r="P190" s="2">
        <f ca="1">IF(Iterations[[#This Row],[Step]] =current_step, current_Grad_c,IF(Iterations[[#This Row],[Step]] &gt; current_step, "",Iterations[[#This Row],[Grad_c]]))</f>
        <v>-1.061874832061652</v>
      </c>
      <c r="Q190" s="2">
        <f ca="1">IF(Iterations[[#This Row],[Step]] =current_step, current_Grad_d,IF(Iterations[[#This Row],[Step]] &gt; current_step, "",Iterations[[#This Row],[Grad_d]]))</f>
        <v>-3.0089183915472734E-2</v>
      </c>
      <c r="R190" s="2">
        <f ca="1">IF(Iterations[[#This Row],[Step]] =current_step, current_Grad_e,IF(Iterations[[#This Row],[Step]] &gt; current_step, "",Iterations[[#This Row],[Grad_e]]))</f>
        <v>0.3790158196770243</v>
      </c>
    </row>
    <row r="191" spans="6:18" x14ac:dyDescent="0.3">
      <c r="F191" s="2">
        <f t="shared" si="4"/>
        <v>174</v>
      </c>
      <c r="G191" s="2">
        <f ca="1">IF(Iterations[[#This Row],[Step]] =current_step, current_a,IF(Iterations[[#This Row],[Step]] &gt; current_step, "",Iterations[[#This Row],[a]]))</f>
        <v>-3.4228818016996527</v>
      </c>
      <c r="H191" s="2">
        <f ca="1">IF(Iterations[[#This Row],[Step]] =current_step, current_b,IF(Iterations[[#This Row],[Step]] &gt; current_step, "",Iterations[[#This Row],[b]]))</f>
        <v>0.9644067639041124</v>
      </c>
      <c r="I191" s="2">
        <f ca="1">IF(Iterations[[#This Row],[Step]] =current_step, current_c,IF(Iterations[[#This Row],[Step]] &gt; current_step, "",Iterations[[#This Row],[c]]))</f>
        <v>10.427174999052058</v>
      </c>
      <c r="J191" s="2">
        <f ca="1">IF(Iterations[[#This Row],[Step]] =current_step, current_d,IF(Iterations[[#This Row],[Step]] &gt; current_step, "",Iterations[[#This Row],[d]]))</f>
        <v>0.70565162681471172</v>
      </c>
      <c r="K191" s="2">
        <f ca="1">IF(Iterations[[#This Row],[Step]] =current_step, current_e,IF(Iterations[[#This Row],[Step]] &gt; current_step, "",Iterations[[#This Row],[e]]))</f>
        <v>15.164148427248136</v>
      </c>
      <c r="L191" s="2">
        <f ca="1">IF(Iterations[[#This Row],[Step]] =current_step, current_Total_Loss,IF(Iterations[[#This Row],[Step]] &gt; current_step, "",Iterations[[#This Row],[Total Loss]]))</f>
        <v>221.04</v>
      </c>
      <c r="M191" s="6" t="s">
        <v>27</v>
      </c>
      <c r="N191" s="2">
        <f ca="1">IF(Iterations[[#This Row],[Step]] =current_step, current_Grad_a,IF(Iterations[[#This Row],[Step]] &gt; current_step, "",Iterations[[#This Row],[Grad_a]]))</f>
        <v>0.37573276205961925</v>
      </c>
      <c r="O191" s="2">
        <f ca="1">IF(Iterations[[#This Row],[Step]] =current_step, current_Grad_b,IF(Iterations[[#This Row],[Step]] &gt; current_step, "",Iterations[[#This Row],[Grad_b]]))</f>
        <v>5.1380739980419837E-2</v>
      </c>
      <c r="P191" s="2">
        <f ca="1">IF(Iterations[[#This Row],[Step]] =current_step, current_Grad_c,IF(Iterations[[#This Row],[Step]] &gt; current_step, "",Iterations[[#This Row],[Grad_c]]))</f>
        <v>-1.056722753675051</v>
      </c>
      <c r="Q191" s="2">
        <f ca="1">IF(Iterations[[#This Row],[Step]] =current_step, current_Grad_d,IF(Iterations[[#This Row],[Step]] &gt; current_step, "",Iterations[[#This Row],[Grad_d]]))</f>
        <v>-3.018430177881716E-2</v>
      </c>
      <c r="R191" s="2">
        <f ca="1">IF(Iterations[[#This Row],[Step]] =current_step, current_Grad_e,IF(Iterations[[#This Row],[Step]] &gt; current_step, "",Iterations[[#This Row],[Grad_e]]))</f>
        <v>0.3771800955621642</v>
      </c>
    </row>
    <row r="192" spans="6:18" x14ac:dyDescent="0.3">
      <c r="F192" s="2">
        <f t="shared" si="4"/>
        <v>175</v>
      </c>
      <c r="G192" s="2">
        <f ca="1">IF(Iterations[[#This Row],[Step]] =current_step, current_a,IF(Iterations[[#This Row],[Step]] &gt; current_step, "",Iterations[[#This Row],[a]]))</f>
        <v>-3.4416684398026338</v>
      </c>
      <c r="H192" s="2">
        <f ca="1">IF(Iterations[[#This Row],[Step]] =current_step, current_b,IF(Iterations[[#This Row],[Step]] &gt; current_step, "",Iterations[[#This Row],[b]]))</f>
        <v>0.96183772690509139</v>
      </c>
      <c r="I192" s="2">
        <f ca="1">IF(Iterations[[#This Row],[Step]] =current_step, current_c,IF(Iterations[[#This Row],[Step]] &gt; current_step, "",Iterations[[#This Row],[c]]))</f>
        <v>10.480011136735811</v>
      </c>
      <c r="J192" s="2">
        <f ca="1">IF(Iterations[[#This Row],[Step]] =current_step, current_d,IF(Iterations[[#This Row],[Step]] &gt; current_step, "",Iterations[[#This Row],[d]]))</f>
        <v>0.70716084190365258</v>
      </c>
      <c r="K192" s="2">
        <f ca="1">IF(Iterations[[#This Row],[Step]] =current_step, current_e,IF(Iterations[[#This Row],[Step]] &gt; current_step, "",Iterations[[#This Row],[e]]))</f>
        <v>15.145289422470029</v>
      </c>
      <c r="L192" s="2">
        <f ca="1">IF(Iterations[[#This Row],[Step]] =current_step, current_Total_Loss,IF(Iterations[[#This Row],[Step]] &gt; current_step, "",Iterations[[#This Row],[Total Loss]]))</f>
        <v>219.78</v>
      </c>
      <c r="M192" s="6" t="s">
        <v>27</v>
      </c>
      <c r="N192" s="2">
        <f ca="1">IF(Iterations[[#This Row],[Step]] =current_step, current_Grad_a,IF(Iterations[[#This Row],[Step]] &gt; current_step, "",Iterations[[#This Row],[Grad_a]]))</f>
        <v>0.37391641919282292</v>
      </c>
      <c r="O192" s="2">
        <f ca="1">IF(Iterations[[#This Row],[Step]] =current_step, current_Grad_b,IF(Iterations[[#This Row],[Step]] &gt; current_step, "",Iterations[[#This Row],[Grad_b]]))</f>
        <v>5.1244065712809928E-2</v>
      </c>
      <c r="P192" s="2">
        <f ca="1">IF(Iterations[[#This Row],[Step]] =current_step, current_Grad_c,IF(Iterations[[#This Row],[Step]] &gt; current_step, "",Iterations[[#This Row],[Grad_c]]))</f>
        <v>-1.0515959026327275</v>
      </c>
      <c r="Q192" s="2">
        <f ca="1">IF(Iterations[[#This Row],[Step]] =current_step, current_Grad_d,IF(Iterations[[#This Row],[Step]] &gt; current_step, "",Iterations[[#This Row],[Grad_d]]))</f>
        <v>-3.0275881047773505E-2</v>
      </c>
      <c r="R192" s="2">
        <f ca="1">IF(Iterations[[#This Row],[Step]] =current_step, current_Grad_e,IF(Iterations[[#This Row],[Step]] &gt; current_step, "",Iterations[[#This Row],[Grad_e]]))</f>
        <v>0.37535297162178849</v>
      </c>
    </row>
    <row r="193" spans="6:18" x14ac:dyDescent="0.3">
      <c r="F193" s="2">
        <f t="shared" si="4"/>
        <v>176</v>
      </c>
      <c r="G193" s="2">
        <f ca="1">IF(Iterations[[#This Row],[Step]] =current_step, current_a,IF(Iterations[[#This Row],[Step]] &gt; current_step, "",Iterations[[#This Row],[a]]))</f>
        <v>-3.4603642607622751</v>
      </c>
      <c r="H193" s="2">
        <f ca="1">IF(Iterations[[#This Row],[Step]] =current_step, current_b,IF(Iterations[[#This Row],[Step]] &gt; current_step, "",Iterations[[#This Row],[b]]))</f>
        <v>0.9592755236194509</v>
      </c>
      <c r="I193" s="2">
        <f ca="1">IF(Iterations[[#This Row],[Step]] =current_step, current_c,IF(Iterations[[#This Row],[Step]] &gt; current_step, "",Iterations[[#This Row],[c]]))</f>
        <v>10.532590931867448</v>
      </c>
      <c r="J193" s="2">
        <f ca="1">IF(Iterations[[#This Row],[Step]] =current_step, current_d,IF(Iterations[[#This Row],[Step]] &gt; current_step, "",Iterations[[#This Row],[d]]))</f>
        <v>0.7086746359560413</v>
      </c>
      <c r="K193" s="2">
        <f ca="1">IF(Iterations[[#This Row],[Step]] =current_step, current_e,IF(Iterations[[#This Row],[Step]] &gt; current_step, "",Iterations[[#This Row],[e]]))</f>
        <v>15.126521773888939</v>
      </c>
      <c r="L193" s="2">
        <f ca="1">IF(Iterations[[#This Row],[Step]] =current_step, current_Total_Loss,IF(Iterations[[#This Row],[Step]] &gt; current_step, "",Iterations[[#This Row],[Total Loss]]))</f>
        <v>218.53</v>
      </c>
      <c r="M193" s="6" t="s">
        <v>27</v>
      </c>
      <c r="N193" s="2">
        <f ca="1">IF(Iterations[[#This Row],[Step]] =current_step, current_Grad_a,IF(Iterations[[#This Row],[Step]] &gt; current_step, "",Iterations[[#This Row],[Grad_a]]))</f>
        <v>0.37210895331085919</v>
      </c>
      <c r="O193" s="2">
        <f ca="1">IF(Iterations[[#This Row],[Step]] =current_step, current_Grad_b,IF(Iterations[[#This Row],[Step]] &gt; current_step, "",Iterations[[#This Row],[Grad_b]]))</f>
        <v>5.110664775444778E-2</v>
      </c>
      <c r="P193" s="2">
        <f ca="1">IF(Iterations[[#This Row],[Step]] =current_step, current_Grad_c,IF(Iterations[[#This Row],[Step]] &gt; current_step, "",Iterations[[#This Row],[Grad_c]]))</f>
        <v>-1.0464941477890433</v>
      </c>
      <c r="Q193" s="2">
        <f ca="1">IF(Iterations[[#This Row],[Step]] =current_step, current_Grad_d,IF(Iterations[[#This Row],[Step]] &gt; current_step, "",Iterations[[#This Row],[Grad_d]]))</f>
        <v>-3.0363979109192901E-2</v>
      </c>
      <c r="R193" s="2">
        <f ca="1">IF(Iterations[[#This Row],[Step]] =current_step, current_Grad_e,IF(Iterations[[#This Row],[Step]] &gt; current_step, "",Iterations[[#This Row],[Grad_e]]))</f>
        <v>0.37353443069681092</v>
      </c>
    </row>
    <row r="194" spans="6:18" x14ac:dyDescent="0.3">
      <c r="F194" s="2">
        <f t="shared" si="4"/>
        <v>177</v>
      </c>
      <c r="G194" s="2">
        <f ca="1">IF(Iterations[[#This Row],[Step]] =current_step, current_a,IF(Iterations[[#This Row],[Step]] &gt; current_step, "",Iterations[[#This Row],[a]]))</f>
        <v>-3.4789697084278179</v>
      </c>
      <c r="H194" s="2">
        <f ca="1">IF(Iterations[[#This Row],[Step]] =current_step, current_b,IF(Iterations[[#This Row],[Step]] &gt; current_step, "",Iterations[[#This Row],[b]]))</f>
        <v>0.95672019123172847</v>
      </c>
      <c r="I194" s="2">
        <f ca="1">IF(Iterations[[#This Row],[Step]] =current_step, current_c,IF(Iterations[[#This Row],[Step]] &gt; current_step, "",Iterations[[#This Row],[c]]))</f>
        <v>10.5849156392569</v>
      </c>
      <c r="J194" s="2">
        <f ca="1">IF(Iterations[[#This Row],[Step]] =current_step, current_d,IF(Iterations[[#This Row],[Step]] &gt; current_step, "",Iterations[[#This Row],[d]]))</f>
        <v>0.71019283491150098</v>
      </c>
      <c r="K194" s="2">
        <f ca="1">IF(Iterations[[#This Row],[Step]] =current_step, current_e,IF(Iterations[[#This Row],[Step]] &gt; current_step, "",Iterations[[#This Row],[e]]))</f>
        <v>15.107845052354099</v>
      </c>
      <c r="L194" s="2">
        <f ca="1">IF(Iterations[[#This Row],[Step]] =current_step, current_Total_Loss,IF(Iterations[[#This Row],[Step]] &gt; current_step, "",Iterations[[#This Row],[Total Loss]]))</f>
        <v>217.29</v>
      </c>
      <c r="M194" s="6" t="s">
        <v>27</v>
      </c>
      <c r="N194" s="2">
        <f ca="1">IF(Iterations[[#This Row],[Step]] =current_step, current_Grad_a,IF(Iterations[[#This Row],[Step]] &gt; current_step, "",Iterations[[#This Row],[Grad_a]]))</f>
        <v>0.37031031404665959</v>
      </c>
      <c r="O194" s="2">
        <f ca="1">IF(Iterations[[#This Row],[Step]] =current_step, current_Grad_b,IF(Iterations[[#This Row],[Step]] &gt; current_step, "",Iterations[[#This Row],[Grad_b]]))</f>
        <v>5.0968506444073275E-2</v>
      </c>
      <c r="P194" s="2">
        <f ca="1">IF(Iterations[[#This Row],[Step]] =current_step, current_Grad_c,IF(Iterations[[#This Row],[Step]] &gt; current_step, "",Iterations[[#This Row],[Grad_c]]))</f>
        <v>-1.0414173590817342</v>
      </c>
      <c r="Q194" s="2">
        <f ca="1">IF(Iterations[[#This Row],[Step]] =current_step, current_Grad_d,IF(Iterations[[#This Row],[Step]] &gt; current_step, "",Iterations[[#This Row],[Grad_d]]))</f>
        <v>-3.0448652488412047E-2</v>
      </c>
      <c r="R194" s="2">
        <f ca="1">IF(Iterations[[#This Row],[Step]] =current_step, current_Grad_e,IF(Iterations[[#This Row],[Step]] &gt; current_step, "",Iterations[[#This Row],[Grad_e]]))</f>
        <v>0.37172445403120391</v>
      </c>
    </row>
    <row r="195" spans="6:18" x14ac:dyDescent="0.3">
      <c r="F195" s="2">
        <f t="shared" si="4"/>
        <v>178</v>
      </c>
      <c r="G195" s="2">
        <f ca="1">IF(Iterations[[#This Row],[Step]] =current_step, current_a,IF(Iterations[[#This Row],[Step]] &gt; current_step, "",Iterations[[#This Row],[a]]))</f>
        <v>-3.4974852241301511</v>
      </c>
      <c r="H195" s="2">
        <f ca="1">IF(Iterations[[#This Row],[Step]] =current_step, current_b,IF(Iterations[[#This Row],[Step]] &gt; current_step, "",Iterations[[#This Row],[b]]))</f>
        <v>0.95417176590952479</v>
      </c>
      <c r="I195" s="2">
        <f ca="1">IF(Iterations[[#This Row],[Step]] =current_step, current_c,IF(Iterations[[#This Row],[Step]] &gt; current_step, "",Iterations[[#This Row],[c]]))</f>
        <v>10.636986507210986</v>
      </c>
      <c r="J195" s="2">
        <f ca="1">IF(Iterations[[#This Row],[Step]] =current_step, current_d,IF(Iterations[[#This Row],[Step]] &gt; current_step, "",Iterations[[#This Row],[d]]))</f>
        <v>0.71171526753592163</v>
      </c>
      <c r="K195" s="2">
        <f ca="1">IF(Iterations[[#This Row],[Step]] =current_step, current_e,IF(Iterations[[#This Row],[Step]] &gt; current_step, "",Iterations[[#This Row],[e]]))</f>
        <v>15.08925882965254</v>
      </c>
      <c r="L195" s="2">
        <f ca="1">IF(Iterations[[#This Row],[Step]] =current_step, current_Total_Loss,IF(Iterations[[#This Row],[Step]] &gt; current_step, "",Iterations[[#This Row],[Total Loss]]))</f>
        <v>216.07</v>
      </c>
      <c r="M195" s="6" t="s">
        <v>27</v>
      </c>
      <c r="N195" s="2">
        <f ca="1">IF(Iterations[[#This Row],[Step]] =current_step, current_Grad_a,IF(Iterations[[#This Row],[Step]] &gt; current_step, "",Iterations[[#This Row],[Grad_a]]))</f>
        <v>0.36852045177818582</v>
      </c>
      <c r="O195" s="2">
        <f ca="1">IF(Iterations[[#This Row],[Step]] =current_step, current_Grad_b,IF(Iterations[[#This Row],[Step]] &gt; current_step, "",Iterations[[#This Row],[Grad_b]]))</f>
        <v>5.0829661882995855E-2</v>
      </c>
      <c r="P195" s="2">
        <f ca="1">IF(Iterations[[#This Row],[Step]] =current_step, current_Grad_c,IF(Iterations[[#This Row],[Step]] &gt; current_step, "",Iterations[[#This Row],[Grad_c]]))</f>
        <v>-1.0363654074992661</v>
      </c>
      <c r="Q195" s="2">
        <f ca="1">IF(Iterations[[#This Row],[Step]] =current_step, current_Grad_d,IF(Iterations[[#This Row],[Step]] &gt; current_step, "",Iterations[[#This Row],[Grad_d]]))</f>
        <v>-3.052995686552477E-2</v>
      </c>
      <c r="R195" s="2">
        <f ca="1">IF(Iterations[[#This Row],[Step]] =current_step, current_Grad_e,IF(Iterations[[#This Row],[Step]] &gt; current_step, "",Iterations[[#This Row],[Grad_e]]))</f>
        <v>0.36992302139061944</v>
      </c>
    </row>
    <row r="196" spans="6:18" x14ac:dyDescent="0.3">
      <c r="F196" s="2">
        <f t="shared" si="4"/>
        <v>179</v>
      </c>
      <c r="G196" s="2">
        <f ca="1">IF(Iterations[[#This Row],[Step]] =current_step, current_a,IF(Iterations[[#This Row],[Step]] &gt; current_step, "",Iterations[[#This Row],[a]]))</f>
        <v>-3.5159112467190603</v>
      </c>
      <c r="H196" s="2">
        <f ca="1">IF(Iterations[[#This Row],[Step]] =current_step, current_b,IF(Iterations[[#This Row],[Step]] &gt; current_step, "",Iterations[[#This Row],[b]]))</f>
        <v>0.95163028281537498</v>
      </c>
      <c r="I196" s="2">
        <f ca="1">IF(Iterations[[#This Row],[Step]] =current_step, current_c,IF(Iterations[[#This Row],[Step]] &gt; current_step, "",Iterations[[#This Row],[c]]))</f>
        <v>10.68880477758595</v>
      </c>
      <c r="J196" s="2">
        <f ca="1">IF(Iterations[[#This Row],[Step]] =current_step, current_d,IF(Iterations[[#This Row],[Step]] &gt; current_step, "",Iterations[[#This Row],[d]]))</f>
        <v>0.71324176537919781</v>
      </c>
      <c r="K196" s="2">
        <f ca="1">IF(Iterations[[#This Row],[Step]] =current_step, current_e,IF(Iterations[[#This Row],[Step]] &gt; current_step, "",Iterations[[#This Row],[e]]))</f>
        <v>15.070762678583009</v>
      </c>
      <c r="L196" s="2">
        <f ca="1">IF(Iterations[[#This Row],[Step]] =current_step, current_Total_Loss,IF(Iterations[[#This Row],[Step]] &gt; current_step, "",Iterations[[#This Row],[Total Loss]]))</f>
        <v>214.86</v>
      </c>
      <c r="M196" s="6" t="s">
        <v>27</v>
      </c>
      <c r="N196" s="2">
        <f ca="1">IF(Iterations[[#This Row],[Step]] =current_step, current_Grad_a,IF(Iterations[[#This Row],[Step]] &gt; current_step, "",Iterations[[#This Row],[Grad_a]]))</f>
        <v>0.3667393175920185</v>
      </c>
      <c r="O196" s="2">
        <f ca="1">IF(Iterations[[#This Row],[Step]] =current_step, current_Grad_b,IF(Iterations[[#This Row],[Step]] &gt; current_step, "",Iterations[[#This Row],[Grad_b]]))</f>
        <v>5.0690133933215385E-2</v>
      </c>
      <c r="P196" s="2">
        <f ca="1">IF(Iterations[[#This Row],[Step]] =current_step, current_Grad_c,IF(Iterations[[#This Row],[Step]] &gt; current_step, "",Iterations[[#This Row],[Grad_c]]))</f>
        <v>-1.0313381650500009</v>
      </c>
      <c r="Q196" s="2">
        <f ca="1">IF(Iterations[[#This Row],[Step]] =current_step, current_Grad_d,IF(Iterations[[#This Row],[Step]] &gt; current_step, "",Iterations[[#This Row],[Grad_d]]))</f>
        <v>-3.0607947091092293E-2</v>
      </c>
      <c r="R196" s="2">
        <f ca="1">IF(Iterations[[#This Row],[Step]] =current_step, current_Grad_e,IF(Iterations[[#This Row],[Step]] &gt; current_step, "",Iterations[[#This Row],[Grad_e]]))</f>
        <v>0.3681301111732298</v>
      </c>
    </row>
    <row r="197" spans="6:18" x14ac:dyDescent="0.3">
      <c r="F197" s="2">
        <f t="shared" si="4"/>
        <v>180</v>
      </c>
      <c r="G197" s="2">
        <f ca="1">IF(Iterations[[#This Row],[Step]] =current_step, current_a,IF(Iterations[[#This Row],[Step]] &gt; current_step, "",Iterations[[#This Row],[a]]))</f>
        <v>-3.5342482125986612</v>
      </c>
      <c r="H197" s="2">
        <f ca="1">IF(Iterations[[#This Row],[Step]] =current_step, current_b,IF(Iterations[[#This Row],[Step]] &gt; current_step, "",Iterations[[#This Row],[b]]))</f>
        <v>0.94909577611871421</v>
      </c>
      <c r="I197" s="2">
        <f ca="1">IF(Iterations[[#This Row],[Step]] =current_step, current_c,IF(Iterations[[#This Row],[Step]] &gt; current_step, "",Iterations[[#This Row],[c]]))</f>
        <v>10.740371685838451</v>
      </c>
      <c r="J197" s="2">
        <f ca="1">IF(Iterations[[#This Row],[Step]] =current_step, current_d,IF(Iterations[[#This Row],[Step]] &gt; current_step, "",Iterations[[#This Row],[d]]))</f>
        <v>0.71477216273375244</v>
      </c>
      <c r="K197" s="2">
        <f ca="1">IF(Iterations[[#This Row],[Step]] =current_step, current_e,IF(Iterations[[#This Row],[Step]] &gt; current_step, "",Iterations[[#This Row],[e]]))</f>
        <v>15.052356173024346</v>
      </c>
      <c r="L197" s="2">
        <f ca="1">IF(Iterations[[#This Row],[Step]] =current_step, current_Total_Loss,IF(Iterations[[#This Row],[Step]] &gt; current_step, "",Iterations[[#This Row],[Total Loss]]))</f>
        <v>213.66</v>
      </c>
      <c r="M197" s="6" t="s">
        <v>27</v>
      </c>
      <c r="N197" s="2">
        <f ca="1">IF(Iterations[[#This Row],[Step]] =current_step, current_Grad_a,IF(Iterations[[#This Row],[Step]] &gt; current_step, "",Iterations[[#This Row],[Grad_a]]))</f>
        <v>0.36496686324888611</v>
      </c>
      <c r="O197" s="2">
        <f ca="1">IF(Iterations[[#This Row],[Step]] =current_step, current_Grad_b,IF(Iterations[[#This Row],[Step]] &gt; current_step, "",Iterations[[#This Row],[Grad_b]]))</f>
        <v>5.0549942215843892E-2</v>
      </c>
      <c r="P197" s="2">
        <f ca="1">IF(Iterations[[#This Row],[Step]] =current_step, current_Grad_c,IF(Iterations[[#This Row],[Step]] &gt; current_step, "",Iterations[[#This Row],[Grad_c]]))</f>
        <v>-1.026335504733332</v>
      </c>
      <c r="Q197" s="2">
        <f ca="1">IF(Iterations[[#This Row],[Step]] =current_step, current_Grad_d,IF(Iterations[[#This Row],[Step]] &gt; current_step, "",Iterations[[#This Row],[Grad_d]]))</f>
        <v>-3.0682677201370339E-2</v>
      </c>
      <c r="R197" s="2">
        <f ca="1">IF(Iterations[[#This Row],[Step]] =current_step, current_Grad_e,IF(Iterations[[#This Row],[Step]] &gt; current_step, "",Iterations[[#This Row],[Grad_e]]))</f>
        <v>0.36634570051315823</v>
      </c>
    </row>
    <row r="198" spans="6:18" x14ac:dyDescent="0.3">
      <c r="F198" s="2">
        <f t="shared" ref="F198:F261" si="5">F197+1</f>
        <v>181</v>
      </c>
      <c r="G198" s="2">
        <f ca="1">IF(Iterations[[#This Row],[Step]] =current_step, current_a,IF(Iterations[[#This Row],[Step]] &gt; current_step, "",Iterations[[#This Row],[a]]))</f>
        <v>-3.5524965557611057</v>
      </c>
      <c r="H198" s="2">
        <f ca="1">IF(Iterations[[#This Row],[Step]] =current_step, current_b,IF(Iterations[[#This Row],[Step]] &gt; current_step, "",Iterations[[#This Row],[b]]))</f>
        <v>0.94656827900792206</v>
      </c>
      <c r="I198" s="2">
        <f ca="1">IF(Iterations[[#This Row],[Step]] =current_step, current_c,IF(Iterations[[#This Row],[Step]] &gt; current_step, "",Iterations[[#This Row],[c]]))</f>
        <v>10.791688461075116</v>
      </c>
      <c r="J198" s="2">
        <f ca="1">IF(Iterations[[#This Row],[Step]] =current_step, current_d,IF(Iterations[[#This Row],[Step]] &gt; current_step, "",Iterations[[#This Row],[d]]))</f>
        <v>0.71630629659382095</v>
      </c>
      <c r="K198" s="2">
        <f ca="1">IF(Iterations[[#This Row],[Step]] =current_step, current_e,IF(Iterations[[#This Row],[Step]] &gt; current_step, "",Iterations[[#This Row],[e]]))</f>
        <v>15.034038887998689</v>
      </c>
      <c r="L198" s="2">
        <f ca="1">IF(Iterations[[#This Row],[Step]] =current_step, current_Total_Loss,IF(Iterations[[#This Row],[Step]] &gt; current_step, "",Iterations[[#This Row],[Total Loss]]))</f>
        <v>212.47</v>
      </c>
      <c r="M198" s="6" t="s">
        <v>27</v>
      </c>
      <c r="N198" s="2">
        <f ca="1">IF(Iterations[[#This Row],[Step]] =current_step, current_Grad_a,IF(Iterations[[#This Row],[Step]] &gt; current_step, "",Iterations[[#This Row],[Grad_a]]))</f>
        <v>0.36320304115184066</v>
      </c>
      <c r="O198" s="2">
        <f ca="1">IF(Iterations[[#This Row],[Step]] =current_step, current_Grad_b,IF(Iterations[[#This Row],[Step]] &gt; current_step, "",Iterations[[#This Row],[Grad_b]]))</f>
        <v>5.040910610986455E-2</v>
      </c>
      <c r="P198" s="2">
        <f ca="1">IF(Iterations[[#This Row],[Step]] =current_step, current_Grad_c,IF(Iterations[[#This Row],[Step]] &gt; current_step, "",Iterations[[#This Row],[Grad_c]]))</f>
        <v>-1.0213573005123138</v>
      </c>
      <c r="Q198" s="2">
        <f ca="1">IF(Iterations[[#This Row],[Step]] =current_step, current_Grad_d,IF(Iterations[[#This Row],[Step]] &gt; current_step, "",Iterations[[#This Row],[Grad_d]]))</f>
        <v>-3.0754200433055386E-2</v>
      </c>
      <c r="R198" s="2">
        <f ca="1">IF(Iterations[[#This Row],[Step]] =current_step, current_Grad_e,IF(Iterations[[#This Row],[Step]] &gt; current_step, "",Iterations[[#This Row],[Grad_e]]))</f>
        <v>0.36456976537715158</v>
      </c>
    </row>
    <row r="199" spans="6:18" x14ac:dyDescent="0.3">
      <c r="F199" s="2">
        <f t="shared" si="5"/>
        <v>182</v>
      </c>
      <c r="G199" s="2">
        <f ca="1">IF(Iterations[[#This Row],[Step]] =current_step, current_a,IF(Iterations[[#This Row],[Step]] &gt; current_step, "",Iterations[[#This Row],[a]]))</f>
        <v>-3.5706567078186979</v>
      </c>
      <c r="H199" s="2">
        <f ca="1">IF(Iterations[[#This Row],[Step]] =current_step, current_b,IF(Iterations[[#This Row],[Step]] &gt; current_step, "",Iterations[[#This Row],[b]]))</f>
        <v>0.94404782370242879</v>
      </c>
      <c r="I199" s="2">
        <f ca="1">IF(Iterations[[#This Row],[Step]] =current_step, current_c,IF(Iterations[[#This Row],[Step]] &gt; current_step, "",Iterations[[#This Row],[c]]))</f>
        <v>10.842756326100732</v>
      </c>
      <c r="J199" s="2">
        <f ca="1">IF(Iterations[[#This Row],[Step]] =current_step, current_d,IF(Iterations[[#This Row],[Step]] &gt; current_step, "",Iterations[[#This Row],[d]]))</f>
        <v>0.71784400661547376</v>
      </c>
      <c r="K199" s="2">
        <f ca="1">IF(Iterations[[#This Row],[Step]] =current_step, current_e,IF(Iterations[[#This Row],[Step]] &gt; current_step, "",Iterations[[#This Row],[e]]))</f>
        <v>15.015810399729832</v>
      </c>
      <c r="L199" s="2">
        <f ca="1">IF(Iterations[[#This Row],[Step]] =current_step, current_Total_Loss,IF(Iterations[[#This Row],[Step]] &gt; current_step, "",Iterations[[#This Row],[Total Loss]]))</f>
        <v>211.29</v>
      </c>
      <c r="M199" s="6" t="s">
        <v>27</v>
      </c>
      <c r="N199" s="2">
        <f ca="1">IF(Iterations[[#This Row],[Step]] =current_step, current_Grad_a,IF(Iterations[[#This Row],[Step]] &gt; current_step, "",Iterations[[#This Row],[Grad_a]]))</f>
        <v>0.36144780431607082</v>
      </c>
      <c r="O199" s="2">
        <f ca="1">IF(Iterations[[#This Row],[Step]] =current_step, current_Grad_b,IF(Iterations[[#This Row],[Step]] &gt; current_step, "",Iterations[[#This Row],[Grad_b]]))</f>
        <v>5.0267644751235747E-2</v>
      </c>
      <c r="P199" s="2">
        <f ca="1">IF(Iterations[[#This Row],[Step]] =current_step, current_Grad_c,IF(Iterations[[#This Row],[Step]] &gt; current_step, "",Iterations[[#This Row],[Grad_c]]))</f>
        <v>-1.0164034272880373</v>
      </c>
      <c r="Q199" s="2">
        <f ca="1">IF(Iterations[[#This Row],[Step]] =current_step, current_Grad_d,IF(Iterations[[#This Row],[Step]] &gt; current_step, "",Iterations[[#This Row],[Grad_d]]))</f>
        <v>-3.0822569237555539E-2</v>
      </c>
      <c r="R199" s="2">
        <f ca="1">IF(Iterations[[#This Row],[Step]] =current_step, current_Grad_e,IF(Iterations[[#This Row],[Step]] &gt; current_step, "",Iterations[[#This Row],[Grad_e]]))</f>
        <v>0.3628022806547801</v>
      </c>
    </row>
    <row r="200" spans="6:18" x14ac:dyDescent="0.3">
      <c r="F200" s="2">
        <f t="shared" si="5"/>
        <v>183</v>
      </c>
      <c r="G200" s="2">
        <f ca="1">IF(Iterations[[#This Row],[Step]] =current_step, current_a,IF(Iterations[[#This Row],[Step]] &gt; current_step, "",Iterations[[#This Row],[a]]))</f>
        <v>-3.5887290980345017</v>
      </c>
      <c r="H200" s="2">
        <f ca="1">IF(Iterations[[#This Row],[Step]] =current_step, current_b,IF(Iterations[[#This Row],[Step]] &gt; current_step, "",Iterations[[#This Row],[b]]))</f>
        <v>0.94153444146486698</v>
      </c>
      <c r="I200" s="2">
        <f ca="1">IF(Iterations[[#This Row],[Step]] =current_step, current_c,IF(Iterations[[#This Row],[Step]] &gt; current_step, "",Iterations[[#This Row],[c]]))</f>
        <v>10.893576497465133</v>
      </c>
      <c r="J200" s="2">
        <f ca="1">IF(Iterations[[#This Row],[Step]] =current_step, current_d,IF(Iterations[[#This Row],[Step]] &gt; current_step, "",Iterations[[#This Row],[d]]))</f>
        <v>0.71938513507735158</v>
      </c>
      <c r="K200" s="2">
        <f ca="1">IF(Iterations[[#This Row],[Step]] =current_step, current_e,IF(Iterations[[#This Row],[Step]] &gt; current_step, "",Iterations[[#This Row],[e]]))</f>
        <v>14.997670285697092</v>
      </c>
      <c r="L200" s="2">
        <f ca="1">IF(Iterations[[#This Row],[Step]] =current_step, current_Total_Loss,IF(Iterations[[#This Row],[Step]] &gt; current_step, "",Iterations[[#This Row],[Total Loss]]))</f>
        <v>210.13</v>
      </c>
      <c r="M200" s="6" t="s">
        <v>27</v>
      </c>
      <c r="N200" s="2">
        <f ca="1">IF(Iterations[[#This Row],[Step]] =current_step, current_Grad_a,IF(Iterations[[#This Row],[Step]] &gt; current_step, "",Iterations[[#This Row],[Grad_a]]))</f>
        <v>0.35970110634077301</v>
      </c>
      <c r="O200" s="2">
        <f ca="1">IF(Iterations[[#This Row],[Step]] =current_step, current_Grad_b,IF(Iterations[[#This Row],[Step]] &gt; current_step, "",Iterations[[#This Row],[Grad_b]]))</f>
        <v>5.0125577032284006E-2</v>
      </c>
      <c r="P200" s="2">
        <f ca="1">IF(Iterations[[#This Row],[Step]] =current_step, current_Grad_c,IF(Iterations[[#This Row],[Step]] &gt; current_step, "",Iterations[[#This Row],[Grad_c]]))</f>
        <v>-1.0114737608754174</v>
      </c>
      <c r="Q200" s="2">
        <f ca="1">IF(Iterations[[#This Row],[Step]] =current_step, current_Grad_d,IF(Iterations[[#This Row],[Step]] &gt; current_step, "",Iterations[[#This Row],[Grad_d]]))</f>
        <v>-3.0887835294834323E-2</v>
      </c>
      <c r="R200" s="2">
        <f ca="1">IF(Iterations[[#This Row],[Step]] =current_step, current_Grad_e,IF(Iterations[[#This Row],[Step]] &gt; current_step, "",Iterations[[#This Row],[Grad_e]]))</f>
        <v>0.36104322024267393</v>
      </c>
    </row>
    <row r="201" spans="6:18" x14ac:dyDescent="0.3">
      <c r="F201" s="2">
        <f t="shared" si="5"/>
        <v>184</v>
      </c>
      <c r="G201" s="2">
        <f ca="1">IF(Iterations[[#This Row],[Step]] =current_step, current_a,IF(Iterations[[#This Row],[Step]] &gt; current_step, "",Iterations[[#This Row],[a]]))</f>
        <v>-3.6067141533515406</v>
      </c>
      <c r="H201" s="2">
        <f ca="1">IF(Iterations[[#This Row],[Step]] =current_step, current_b,IF(Iterations[[#This Row],[Step]] &gt; current_step, "",Iterations[[#This Row],[b]]))</f>
        <v>0.93902816261325273</v>
      </c>
      <c r="I201" s="2">
        <f ca="1">IF(Iterations[[#This Row],[Step]] =current_step, current_c,IF(Iterations[[#This Row],[Step]] &gt; current_step, "",Iterations[[#This Row],[c]]))</f>
        <v>10.944150185508905</v>
      </c>
      <c r="J201" s="2">
        <f ca="1">IF(Iterations[[#This Row],[Step]] =current_step, current_d,IF(Iterations[[#This Row],[Step]] &gt; current_step, "",Iterations[[#This Row],[d]]))</f>
        <v>0.72092952684209333</v>
      </c>
      <c r="K201" s="2">
        <f ca="1">IF(Iterations[[#This Row],[Step]] =current_step, current_e,IF(Iterations[[#This Row],[Step]] &gt; current_step, "",Iterations[[#This Row],[e]]))</f>
        <v>14.979618124684958</v>
      </c>
      <c r="L201" s="2">
        <f ca="1">IF(Iterations[[#This Row],[Step]] =current_step, current_Total_Loss,IF(Iterations[[#This Row],[Step]] &gt; current_step, "",Iterations[[#This Row],[Total Loss]]))</f>
        <v>208.97</v>
      </c>
      <c r="M201" s="6" t="s">
        <v>27</v>
      </c>
      <c r="N201" s="2">
        <f ca="1">IF(Iterations[[#This Row],[Step]] =current_step, current_Grad_a,IF(Iterations[[#This Row],[Step]] &gt; current_step, "",Iterations[[#This Row],[Grad_a]]))</f>
        <v>0.3579629013830008</v>
      </c>
      <c r="O201" s="2">
        <f ca="1">IF(Iterations[[#This Row],[Step]] =current_step, current_Grad_b,IF(Iterations[[#This Row],[Step]] &gt; current_step, "",Iterations[[#This Row],[Grad_b]]))</f>
        <v>4.9982921601338819E-2</v>
      </c>
      <c r="P201" s="2">
        <f ca="1">IF(Iterations[[#This Row],[Step]] =current_step, current_Grad_c,IF(Iterations[[#This Row],[Step]] &gt; current_step, "",Iterations[[#This Row],[Grad_c]]))</f>
        <v>-1.0065681779802853</v>
      </c>
      <c r="Q201" s="2">
        <f ca="1">IF(Iterations[[#This Row],[Step]] =current_step, current_Grad_d,IF(Iterations[[#This Row],[Step]] &gt; current_step, "",Iterations[[#This Row],[Grad_d]]))</f>
        <v>-3.0950049526845696E-2</v>
      </c>
      <c r="R201" s="2">
        <f ca="1">IF(Iterations[[#This Row],[Step]] =current_step, current_Grad_e,IF(Iterations[[#This Row],[Step]] &gt; current_step, "",Iterations[[#This Row],[Grad_e]]))</f>
        <v>0.35929255712322394</v>
      </c>
    </row>
    <row r="202" spans="6:18" x14ac:dyDescent="0.3">
      <c r="F202" s="2">
        <f t="shared" si="5"/>
        <v>185</v>
      </c>
      <c r="G202" s="2">
        <f ca="1">IF(Iterations[[#This Row],[Step]] =current_step, current_a,IF(Iterations[[#This Row],[Step]] &gt; current_step, "",Iterations[[#This Row],[a]]))</f>
        <v>-3.6246122984206908</v>
      </c>
      <c r="H202" s="2">
        <f ca="1">IF(Iterations[[#This Row],[Step]] =current_step, current_b,IF(Iterations[[#This Row],[Step]] &gt; current_step, "",Iterations[[#This Row],[b]]))</f>
        <v>0.93652901653318577</v>
      </c>
      <c r="I202" s="2">
        <f ca="1">IF(Iterations[[#This Row],[Step]] =current_step, current_c,IF(Iterations[[#This Row],[Step]] &gt; current_step, "",Iterations[[#This Row],[c]]))</f>
        <v>10.994478594407919</v>
      </c>
      <c r="J202" s="2">
        <f ca="1">IF(Iterations[[#This Row],[Step]] =current_step, current_d,IF(Iterations[[#This Row],[Step]] &gt; current_step, "",Iterations[[#This Row],[d]]))</f>
        <v>0.7224770293184356</v>
      </c>
      <c r="K202" s="2">
        <f ca="1">IF(Iterations[[#This Row],[Step]] =current_step, current_e,IF(Iterations[[#This Row],[Step]] &gt; current_step, "",Iterations[[#This Row],[e]]))</f>
        <v>14.961653496828797</v>
      </c>
      <c r="L202" s="2">
        <f ca="1">IF(Iterations[[#This Row],[Step]] =current_step, current_Total_Loss,IF(Iterations[[#This Row],[Step]] &gt; current_step, "",Iterations[[#This Row],[Total Loss]]))</f>
        <v>207.83</v>
      </c>
      <c r="M202" s="6" t="s">
        <v>27</v>
      </c>
      <c r="N202" s="2">
        <f ca="1">IF(Iterations[[#This Row],[Step]] =current_step, current_Grad_a,IF(Iterations[[#This Row],[Step]] &gt; current_step, "",Iterations[[#This Row],[Grad_a]]))</f>
        <v>0.35623314413273177</v>
      </c>
      <c r="O202" s="2">
        <f ca="1">IF(Iterations[[#This Row],[Step]] =current_step, current_Grad_b,IF(Iterations[[#This Row],[Step]] &gt; current_step, "",Iterations[[#This Row],[Grad_b]]))</f>
        <v>4.9839696862643258E-2</v>
      </c>
      <c r="P202" s="2">
        <f ca="1">IF(Iterations[[#This Row],[Step]] =current_step, current_Grad_c,IF(Iterations[[#This Row],[Step]] &gt; current_step, "",Iterations[[#This Row],[Grad_c]]))</f>
        <v>-1.0016865561779502</v>
      </c>
      <c r="Q202" s="2">
        <f ca="1">IF(Iterations[[#This Row],[Step]] =current_step, current_Grad_d,IF(Iterations[[#This Row],[Step]] &gt; current_step, "",Iterations[[#This Row],[Grad_d]]))</f>
        <v>-3.1009262110567093E-2</v>
      </c>
      <c r="R202" s="2">
        <f ca="1">IF(Iterations[[#This Row],[Step]] =current_step, current_Grad_e,IF(Iterations[[#This Row],[Step]] &gt; current_step, "",Iterations[[#This Row],[Grad_e]]))</f>
        <v>0.35755026343796481</v>
      </c>
    </row>
    <row r="203" spans="6:18" x14ac:dyDescent="0.3">
      <c r="F203" s="2">
        <f t="shared" si="5"/>
        <v>186</v>
      </c>
      <c r="G203" s="2">
        <f ca="1">IF(Iterations[[#This Row],[Step]] =current_step, current_a,IF(Iterations[[#This Row],[Step]] &gt; current_step, "",Iterations[[#This Row],[a]]))</f>
        <v>-3.6424239556273275</v>
      </c>
      <c r="H203" s="2">
        <f ca="1">IF(Iterations[[#This Row],[Step]] =current_step, current_b,IF(Iterations[[#This Row],[Step]] &gt; current_step, "",Iterations[[#This Row],[b]]))</f>
        <v>0.93403703169005359</v>
      </c>
      <c r="I203" s="2">
        <f ca="1">IF(Iterations[[#This Row],[Step]] =current_step, current_c,IF(Iterations[[#This Row],[Step]] &gt; current_step, "",Iterations[[#This Row],[c]]))</f>
        <v>11.044562922216818</v>
      </c>
      <c r="J203" s="2">
        <f ca="1">IF(Iterations[[#This Row],[Step]] =current_step, current_d,IF(Iterations[[#This Row],[Step]] &gt; current_step, "",Iterations[[#This Row],[d]]))</f>
        <v>0.72402749242396391</v>
      </c>
      <c r="K203" s="2">
        <f ca="1">IF(Iterations[[#This Row],[Step]] =current_step, current_e,IF(Iterations[[#This Row],[Step]] &gt; current_step, "",Iterations[[#This Row],[e]]))</f>
        <v>14.943775983656899</v>
      </c>
      <c r="L203" s="2">
        <f ca="1">IF(Iterations[[#This Row],[Step]] =current_step, current_Total_Loss,IF(Iterations[[#This Row],[Step]] &gt; current_step, "",Iterations[[#This Row],[Total Loss]]))</f>
        <v>206.69</v>
      </c>
      <c r="M203" s="6" t="s">
        <v>27</v>
      </c>
      <c r="N203" s="2">
        <f ca="1">IF(Iterations[[#This Row],[Step]] =current_step, current_Grad_a,IF(Iterations[[#This Row],[Step]] &gt; current_step, "",Iterations[[#This Row],[Grad_a]]))</f>
        <v>0.35451178979001635</v>
      </c>
      <c r="O203" s="2">
        <f ca="1">IF(Iterations[[#This Row],[Step]] =current_step, current_Grad_b,IF(Iterations[[#This Row],[Step]] &gt; current_step, "",Iterations[[#This Row],[Grad_b]]))</f>
        <v>4.9695920976466863E-2</v>
      </c>
      <c r="P203" s="2">
        <f ca="1">IF(Iterations[[#This Row],[Step]] =current_step, current_Grad_c,IF(Iterations[[#This Row],[Step]] &gt; current_step, "",Iterations[[#This Row],[Grad_c]]))</f>
        <v>-0.99682877389276769</v>
      </c>
      <c r="Q203" s="2">
        <f ca="1">IF(Iterations[[#This Row],[Step]] =current_step, current_Grad_d,IF(Iterations[[#This Row],[Step]] &gt; current_step, "",Iterations[[#This Row],[Grad_d]]))</f>
        <v>-3.1065522490672501E-2</v>
      </c>
      <c r="R203" s="2">
        <f ca="1">IF(Iterations[[#This Row],[Step]] =current_step, current_Grad_e,IF(Iterations[[#This Row],[Step]] &gt; current_step, "",Iterations[[#This Row],[Grad_e]]))</f>
        <v>0.35581631055617025</v>
      </c>
    </row>
    <row r="204" spans="6:18" x14ac:dyDescent="0.3">
      <c r="F204" s="2">
        <f t="shared" si="5"/>
        <v>187</v>
      </c>
      <c r="G204" s="2">
        <f ca="1">IF(Iterations[[#This Row],[Step]] =current_step, current_a,IF(Iterations[[#This Row],[Step]] &gt; current_step, "",Iterations[[#This Row],[a]]))</f>
        <v>-3.6601495451168282</v>
      </c>
      <c r="H204" s="2">
        <f ca="1">IF(Iterations[[#This Row],[Step]] =current_step, current_b,IF(Iterations[[#This Row],[Step]] &gt; current_step, "",Iterations[[#This Row],[b]]))</f>
        <v>0.93155223564123024</v>
      </c>
      <c r="I204" s="2">
        <f ca="1">IF(Iterations[[#This Row],[Step]] =current_step, current_c,IF(Iterations[[#This Row],[Step]] &gt; current_step, "",Iterations[[#This Row],[c]]))</f>
        <v>11.094404360911456</v>
      </c>
      <c r="J204" s="2">
        <f ca="1">IF(Iterations[[#This Row],[Step]] =current_step, current_d,IF(Iterations[[#This Row],[Step]] &gt; current_step, "",Iterations[[#This Row],[d]]))</f>
        <v>0.72558076854849751</v>
      </c>
      <c r="K204" s="2">
        <f ca="1">IF(Iterations[[#This Row],[Step]] =current_step, current_e,IF(Iterations[[#This Row],[Step]] &gt; current_step, "",Iterations[[#This Row],[e]]))</f>
        <v>14.92598516812909</v>
      </c>
      <c r="L204" s="2">
        <f ca="1">IF(Iterations[[#This Row],[Step]] =current_step, current_Total_Loss,IF(Iterations[[#This Row],[Step]] &gt; current_step, "",Iterations[[#This Row],[Total Loss]]))</f>
        <v>205.57</v>
      </c>
      <c r="M204" s="6" t="s">
        <v>27</v>
      </c>
      <c r="N204" s="2">
        <f ca="1">IF(Iterations[[#This Row],[Step]] =current_step, current_Grad_a,IF(Iterations[[#This Row],[Step]] &gt; current_step, "",Iterations[[#This Row],[Grad_a]]))</f>
        <v>0.35279879404315356</v>
      </c>
      <c r="O204" s="2">
        <f ca="1">IF(Iterations[[#This Row],[Step]] =current_step, current_Grad_b,IF(Iterations[[#This Row],[Step]] &gt; current_step, "",Iterations[[#This Row],[Grad_b]]))</f>
        <v>4.955161185941373E-2</v>
      </c>
      <c r="P204" s="2">
        <f ca="1">IF(Iterations[[#This Row],[Step]] =current_step, current_Grad_c,IF(Iterations[[#This Row],[Step]] &gt; current_step, "",Iterations[[#This Row],[Grad_c]]))</f>
        <v>-0.99199471037900344</v>
      </c>
      <c r="Q204" s="2">
        <f ca="1">IF(Iterations[[#This Row],[Step]] =current_step, current_Grad_d,IF(Iterations[[#This Row],[Step]] &gt; current_step, "",Iterations[[#This Row],[Grad_d]]))</f>
        <v>-3.1118879391854745E-2</v>
      </c>
      <c r="R204" s="2">
        <f ca="1">IF(Iterations[[#This Row],[Step]] =current_step, current_Grad_e,IF(Iterations[[#This Row],[Step]] &gt; current_step, "",Iterations[[#This Row],[Grad_e]]))</f>
        <v>0.35409066913881582</v>
      </c>
    </row>
    <row r="205" spans="6:18" x14ac:dyDescent="0.3">
      <c r="F205" s="2">
        <f t="shared" si="5"/>
        <v>188</v>
      </c>
      <c r="G205" s="2">
        <f ca="1">IF(Iterations[[#This Row],[Step]] =current_step, current_a,IF(Iterations[[#This Row],[Step]] &gt; current_step, "",Iterations[[#This Row],[a]]))</f>
        <v>-3.677789484818986</v>
      </c>
      <c r="H205" s="2">
        <f ca="1">IF(Iterations[[#This Row],[Step]] =current_step, current_b,IF(Iterations[[#This Row],[Step]] &gt; current_step, "",Iterations[[#This Row],[b]]))</f>
        <v>0.92907465504825959</v>
      </c>
      <c r="I205" s="2">
        <f ca="1">IF(Iterations[[#This Row],[Step]] =current_step, current_c,IF(Iterations[[#This Row],[Step]] &gt; current_step, "",Iterations[[#This Row],[c]]))</f>
        <v>11.144004096430406</v>
      </c>
      <c r="J205" s="2">
        <f ca="1">IF(Iterations[[#This Row],[Step]] =current_step, current_d,IF(Iterations[[#This Row],[Step]] &gt; current_step, "",Iterations[[#This Row],[d]]))</f>
        <v>0.7271367125180902</v>
      </c>
      <c r="K205" s="2">
        <f ca="1">IF(Iterations[[#This Row],[Step]] =current_step, current_e,IF(Iterations[[#This Row],[Step]] &gt; current_step, "",Iterations[[#This Row],[e]]))</f>
        <v>14.908280634672149</v>
      </c>
      <c r="L205" s="2">
        <f ca="1">IF(Iterations[[#This Row],[Step]] =current_step, current_Total_Loss,IF(Iterations[[#This Row],[Step]] &gt; current_step, "",Iterations[[#This Row],[Total Loss]]))</f>
        <v>204.46</v>
      </c>
      <c r="M205" s="6" t="s">
        <v>27</v>
      </c>
      <c r="N205" s="2">
        <f ca="1">IF(Iterations[[#This Row],[Step]] =current_step, current_Grad_a,IF(Iterations[[#This Row],[Step]] &gt; current_step, "",Iterations[[#This Row],[Grad_a]]))</f>
        <v>0.35109411304840576</v>
      </c>
      <c r="O205" s="2">
        <f ca="1">IF(Iterations[[#This Row],[Step]] =current_step, current_Grad_b,IF(Iterations[[#This Row],[Step]] &gt; current_step, "",Iterations[[#This Row],[Grad_b]]))</f>
        <v>4.9406787185033788E-2</v>
      </c>
      <c r="P205" s="2">
        <f ca="1">IF(Iterations[[#This Row],[Step]] =current_step, current_Grad_c,IF(Iterations[[#This Row],[Step]] &gt; current_step, "",Iterations[[#This Row],[Grad_c]]))</f>
        <v>-0.98718424570268326</v>
      </c>
      <c r="Q205" s="2">
        <f ca="1">IF(Iterations[[#This Row],[Step]] =current_step, current_Grad_d,IF(Iterations[[#This Row],[Step]] &gt; current_step, "",Iterations[[#This Row],[Grad_d]]))</f>
        <v>-3.1169380830772326E-2</v>
      </c>
      <c r="R205" s="2">
        <f ca="1">IF(Iterations[[#This Row],[Step]] =current_step, current_Grad_e,IF(Iterations[[#This Row],[Step]] &gt; current_step, "",Iterations[[#This Row],[Grad_e]]))</f>
        <v>0.35237330919831578</v>
      </c>
    </row>
    <row r="206" spans="6:18" x14ac:dyDescent="0.3">
      <c r="F206" s="2">
        <f t="shared" si="5"/>
        <v>189</v>
      </c>
      <c r="G206" s="2">
        <f ca="1">IF(Iterations[[#This Row],[Step]] =current_step, current_a,IF(Iterations[[#This Row],[Step]] &gt; current_step, "",Iterations[[#This Row],[a]]))</f>
        <v>-3.6953441904714062</v>
      </c>
      <c r="H206" s="2">
        <f ca="1">IF(Iterations[[#This Row],[Step]] =current_step, current_b,IF(Iterations[[#This Row],[Step]] &gt; current_step, "",Iterations[[#This Row],[b]]))</f>
        <v>0.92660431568900792</v>
      </c>
      <c r="I206" s="2">
        <f ca="1">IF(Iterations[[#This Row],[Step]] =current_step, current_c,IF(Iterations[[#This Row],[Step]] &gt; current_step, "",Iterations[[#This Row],[c]]))</f>
        <v>11.19336330871554</v>
      </c>
      <c r="J206" s="2">
        <f ca="1">IF(Iterations[[#This Row],[Step]] =current_step, current_d,IF(Iterations[[#This Row],[Step]] &gt; current_step, "",Iterations[[#This Row],[d]]))</f>
        <v>0.72869518155962887</v>
      </c>
      <c r="K206" s="2">
        <f ca="1">IF(Iterations[[#This Row],[Step]] =current_step, current_e,IF(Iterations[[#This Row],[Step]] &gt; current_step, "",Iterations[[#This Row],[e]]))</f>
        <v>14.890661969212234</v>
      </c>
      <c r="L206" s="2">
        <f ca="1">IF(Iterations[[#This Row],[Step]] =current_step, current_Total_Loss,IF(Iterations[[#This Row],[Step]] &gt; current_step, "",Iterations[[#This Row],[Total Loss]]))</f>
        <v>203.36</v>
      </c>
      <c r="M206" s="6" t="s">
        <v>27</v>
      </c>
      <c r="N206" s="2">
        <f ca="1">IF(Iterations[[#This Row],[Step]] =current_step, current_Grad_a,IF(Iterations[[#This Row],[Step]] &gt; current_step, "",Iterations[[#This Row],[Grad_a]]))</f>
        <v>0.34939770341122434</v>
      </c>
      <c r="O206" s="2">
        <f ca="1">IF(Iterations[[#This Row],[Step]] =current_step, current_Grad_b,IF(Iterations[[#This Row],[Step]] &gt; current_step, "",Iterations[[#This Row],[Grad_b]]))</f>
        <v>4.9261464384398344E-2</v>
      </c>
      <c r="P206" s="2">
        <f ca="1">IF(Iterations[[#This Row],[Step]] =current_step, current_Grad_c,IF(Iterations[[#This Row],[Step]] &gt; current_step, "",Iterations[[#This Row],[Grad_c]]))</f>
        <v>-0.98239726072434175</v>
      </c>
      <c r="Q206" s="2">
        <f ca="1">IF(Iterations[[#This Row],[Step]] =current_step, current_Grad_d,IF(Iterations[[#This Row],[Step]] &gt; current_step, "",Iterations[[#This Row],[Grad_d]]))</f>
        <v>-3.1217074127747619E-2</v>
      </c>
      <c r="R206" s="2">
        <f ca="1">IF(Iterations[[#This Row],[Step]] =current_step, current_Grad_e,IF(Iterations[[#This Row],[Step]] &gt; current_step, "",Iterations[[#This Row],[Grad_e]]))</f>
        <v>0.35066420015430982</v>
      </c>
    </row>
    <row r="207" spans="6:18" x14ac:dyDescent="0.3">
      <c r="F207" s="2">
        <f t="shared" si="5"/>
        <v>190</v>
      </c>
      <c r="G207" s="2">
        <f ca="1">IF(Iterations[[#This Row],[Step]] =current_step, current_a,IF(Iterations[[#This Row],[Step]] &gt; current_step, "",Iterations[[#This Row],[a]]))</f>
        <v>-3.7128140756419672</v>
      </c>
      <c r="H207" s="2">
        <f ca="1">IF(Iterations[[#This Row],[Step]] =current_step, current_b,IF(Iterations[[#This Row],[Step]] &gt; current_step, "",Iterations[[#This Row],[b]]))</f>
        <v>0.92414124246978802</v>
      </c>
      <c r="I207" s="2">
        <f ca="1">IF(Iterations[[#This Row],[Step]] =current_step, current_c,IF(Iterations[[#This Row],[Step]] &gt; current_step, "",Iterations[[#This Row],[c]]))</f>
        <v>11.242483171751758</v>
      </c>
      <c r="J207" s="2">
        <f ca="1">IF(Iterations[[#This Row],[Step]] =current_step, current_d,IF(Iterations[[#This Row],[Step]] &gt; current_step, "",Iterations[[#This Row],[d]]))</f>
        <v>0.73025603526601623</v>
      </c>
      <c r="K207" s="2">
        <f ca="1">IF(Iterations[[#This Row],[Step]] =current_step, current_e,IF(Iterations[[#This Row],[Step]] &gt; current_step, "",Iterations[[#This Row],[e]]))</f>
        <v>14.873128759204517</v>
      </c>
      <c r="L207" s="2">
        <f ca="1">IF(Iterations[[#This Row],[Step]] =current_step, current_Total_Loss,IF(Iterations[[#This Row],[Step]] &gt; current_step, "",Iterations[[#This Row],[Total Loss]]))</f>
        <v>202.27</v>
      </c>
      <c r="M207" s="6" t="s">
        <v>27</v>
      </c>
      <c r="N207" s="2">
        <f ca="1">IF(Iterations[[#This Row],[Step]] =current_step, current_Grad_a,IF(Iterations[[#This Row],[Step]] &gt; current_step, "",Iterations[[#This Row],[Grad_a]]))</f>
        <v>0.34770952216797762</v>
      </c>
      <c r="O207" s="2">
        <f ca="1">IF(Iterations[[#This Row],[Step]] =current_step, current_Grad_b,IF(Iterations[[#This Row],[Step]] &gt; current_step, "",Iterations[[#This Row],[Grad_b]]))</f>
        <v>4.9115660647105291E-2</v>
      </c>
      <c r="P207" s="2">
        <f ca="1">IF(Iterations[[#This Row],[Step]] =current_step, current_Grad_c,IF(Iterations[[#This Row],[Step]] &gt; current_step, "",Iterations[[#This Row],[Grad_c]]))</f>
        <v>-0.97763363708298179</v>
      </c>
      <c r="Q207" s="2">
        <f ca="1">IF(Iterations[[#This Row],[Step]] =current_step, current_Grad_d,IF(Iterations[[#This Row],[Step]] &gt; current_step, "",Iterations[[#This Row],[Grad_d]]))</f>
        <v>-3.1262005918069144E-2</v>
      </c>
      <c r="R207" s="2">
        <f ca="1">IF(Iterations[[#This Row],[Step]] =current_step, current_Grad_e,IF(Iterations[[#This Row],[Step]] &gt; current_step, "",Iterations[[#This Row],[Grad_e]]))</f>
        <v>0.3489633108856014</v>
      </c>
    </row>
    <row r="208" spans="6:18" x14ac:dyDescent="0.3">
      <c r="F208" s="2">
        <f t="shared" si="5"/>
        <v>191</v>
      </c>
      <c r="G208" s="2">
        <f ca="1">IF(Iterations[[#This Row],[Step]] =current_step, current_a,IF(Iterations[[#This Row],[Step]] &gt; current_step, "",Iterations[[#This Row],[a]]))</f>
        <v>-3.7301995517503661</v>
      </c>
      <c r="H208" s="2">
        <f ca="1">IF(Iterations[[#This Row],[Step]] =current_step, current_b,IF(Iterations[[#This Row],[Step]] &gt; current_step, "",Iterations[[#This Row],[b]]))</f>
        <v>0.92168545943743274</v>
      </c>
      <c r="I208" s="2">
        <f ca="1">IF(Iterations[[#This Row],[Step]] =current_step, current_c,IF(Iterations[[#This Row],[Step]] &gt; current_step, "",Iterations[[#This Row],[c]]))</f>
        <v>11.291364853605907</v>
      </c>
      <c r="J208" s="2">
        <f ca="1">IF(Iterations[[#This Row],[Step]] =current_step, current_d,IF(Iterations[[#This Row],[Step]] &gt; current_step, "",Iterations[[#This Row],[d]]))</f>
        <v>0.73181913556191969</v>
      </c>
      <c r="K208" s="2">
        <f ca="1">IF(Iterations[[#This Row],[Step]] =current_step, current_e,IF(Iterations[[#This Row],[Step]] &gt; current_step, "",Iterations[[#This Row],[e]]))</f>
        <v>14.855680593660237</v>
      </c>
      <c r="L208" s="2">
        <f ca="1">IF(Iterations[[#This Row],[Step]] =current_step, current_Total_Loss,IF(Iterations[[#This Row],[Step]] &gt; current_step, "",Iterations[[#This Row],[Total Loss]]))</f>
        <v>201.19</v>
      </c>
      <c r="M208" s="6" t="s">
        <v>27</v>
      </c>
      <c r="N208" s="2">
        <f ca="1">IF(Iterations[[#This Row],[Step]] =current_step, current_Grad_a,IF(Iterations[[#This Row],[Step]] &gt; current_step, "",Iterations[[#This Row],[Grad_a]]))</f>
        <v>0.34602952676967585</v>
      </c>
      <c r="O208" s="2">
        <f ca="1">IF(Iterations[[#This Row],[Step]] =current_step, current_Grad_b,IF(Iterations[[#This Row],[Step]] &gt; current_step, "",Iterations[[#This Row],[Grad_b]]))</f>
        <v>4.89693929222038E-2</v>
      </c>
      <c r="P208" s="2">
        <f ca="1">IF(Iterations[[#This Row],[Step]] =current_step, current_Grad_c,IF(Iterations[[#This Row],[Step]] &gt; current_step, "",Iterations[[#This Row],[Grad_c]]))</f>
        <v>-0.97289325718052189</v>
      </c>
      <c r="Q208" s="2">
        <f ca="1">IF(Iterations[[#This Row],[Step]] =current_step, current_Grad_d,IF(Iterations[[#This Row],[Step]] &gt; current_step, "",Iterations[[#This Row],[Grad_d]]))</f>
        <v>-3.1304222163080521E-2</v>
      </c>
      <c r="R208" s="2">
        <f ca="1">IF(Iterations[[#This Row],[Step]] =current_step, current_Grad_e,IF(Iterations[[#This Row],[Step]] &gt; current_step, "",Iterations[[#This Row],[Grad_e]]))</f>
        <v>0.34727060977880125</v>
      </c>
    </row>
    <row r="209" spans="6:18" x14ac:dyDescent="0.3">
      <c r="F209" s="2">
        <f t="shared" si="5"/>
        <v>192</v>
      </c>
      <c r="G209" s="2">
        <f ca="1">IF(Iterations[[#This Row],[Step]] =current_step, current_a,IF(Iterations[[#This Row],[Step]] &gt; current_step, "",Iterations[[#This Row],[a]]))</f>
        <v>-3.7475010280888501</v>
      </c>
      <c r="H209" s="2">
        <f ca="1">IF(Iterations[[#This Row],[Step]] =current_step, current_b,IF(Iterations[[#This Row],[Step]] &gt; current_step, "",Iterations[[#This Row],[b]]))</f>
        <v>0.91923698979132251</v>
      </c>
      <c r="I209" s="2">
        <f ca="1">IF(Iterations[[#This Row],[Step]] =current_step, current_c,IF(Iterations[[#This Row],[Step]] &gt; current_step, "",Iterations[[#This Row],[c]]))</f>
        <v>11.340009516464933</v>
      </c>
      <c r="J209" s="2">
        <f ca="1">IF(Iterations[[#This Row],[Step]] =current_step, current_d,IF(Iterations[[#This Row],[Step]] &gt; current_step, "",Iterations[[#This Row],[d]]))</f>
        <v>0.73338434667007368</v>
      </c>
      <c r="K209" s="2">
        <f ca="1">IF(Iterations[[#This Row],[Step]] =current_step, current_e,IF(Iterations[[#This Row],[Step]] &gt; current_step, "",Iterations[[#This Row],[e]]))</f>
        <v>14.838317063171298</v>
      </c>
      <c r="L209" s="2">
        <f ca="1">IF(Iterations[[#This Row],[Step]] =current_step, current_Total_Loss,IF(Iterations[[#This Row],[Step]] &gt; current_step, "",Iterations[[#This Row],[Total Loss]]))</f>
        <v>200.12</v>
      </c>
      <c r="M209" s="6" t="s">
        <v>27</v>
      </c>
      <c r="N209" s="2">
        <f ca="1">IF(Iterations[[#This Row],[Step]] =current_step, current_Grad_a,IF(Iterations[[#This Row],[Step]] &gt; current_step, "",Iterations[[#This Row],[Grad_a]]))</f>
        <v>0.34435767506601089</v>
      </c>
      <c r="O209" s="2">
        <f ca="1">IF(Iterations[[#This Row],[Step]] =current_step, current_Grad_b,IF(Iterations[[#This Row],[Step]] &gt; current_step, "",Iterations[[#This Row],[Grad_b]]))</f>
        <v>4.8822677919397921E-2</v>
      </c>
      <c r="P209" s="2">
        <f ca="1">IF(Iterations[[#This Row],[Step]] =current_step, current_Grad_c,IF(Iterations[[#This Row],[Step]] &gt; current_step, "",Iterations[[#This Row],[Grad_c]]))</f>
        <v>-0.96817600416737315</v>
      </c>
      <c r="Q209" s="2">
        <f ca="1">IF(Iterations[[#This Row],[Step]] =current_step, current_Grad_d,IF(Iterations[[#This Row],[Step]] &gt; current_step, "",Iterations[[#This Row],[Grad_d]]))</f>
        <v>-3.1343768160941345E-2</v>
      </c>
      <c r="R209" s="2">
        <f ca="1">IF(Iterations[[#This Row],[Step]] =current_step, current_Grad_e,IF(Iterations[[#This Row],[Step]] &gt; current_step, "",Iterations[[#This Row],[Grad_e]]))</f>
        <v>0.34558606477355702</v>
      </c>
    </row>
    <row r="210" spans="6:18" x14ac:dyDescent="0.3">
      <c r="F210" s="2">
        <f t="shared" si="5"/>
        <v>193</v>
      </c>
      <c r="G210" s="2">
        <f ca="1">IF(Iterations[[#This Row],[Step]] =current_step, current_a,IF(Iterations[[#This Row],[Step]] &gt; current_step, "",Iterations[[#This Row],[a]]))</f>
        <v>-3.7647189118421505</v>
      </c>
      <c r="H210" s="2">
        <f ca="1">IF(Iterations[[#This Row],[Step]] =current_step, current_b,IF(Iterations[[#This Row],[Step]] &gt; current_step, "",Iterations[[#This Row],[b]]))</f>
        <v>0.91679585589535262</v>
      </c>
      <c r="I210" s="2">
        <f ca="1">IF(Iterations[[#This Row],[Step]] =current_step, current_c,IF(Iterations[[#This Row],[Step]] &gt; current_step, "",Iterations[[#This Row],[c]]))</f>
        <v>11.388418316673302</v>
      </c>
      <c r="J210" s="2">
        <f ca="1">IF(Iterations[[#This Row],[Step]] =current_step, current_d,IF(Iterations[[#This Row],[Step]] &gt; current_step, "",Iterations[[#This Row],[d]]))</f>
        <v>0.73495153507812072</v>
      </c>
      <c r="K210" s="2">
        <f ca="1">IF(Iterations[[#This Row],[Step]] =current_step, current_e,IF(Iterations[[#This Row],[Step]] &gt; current_step, "",Iterations[[#This Row],[e]]))</f>
        <v>14.82103775993262</v>
      </c>
      <c r="L210" s="2">
        <f ca="1">IF(Iterations[[#This Row],[Step]] =current_step, current_Total_Loss,IF(Iterations[[#This Row],[Step]] &gt; current_step, "",Iterations[[#This Row],[Total Loss]]))</f>
        <v>199.07</v>
      </c>
      <c r="M210" s="6" t="s">
        <v>27</v>
      </c>
      <c r="N210" s="2">
        <f ca="1">IF(Iterations[[#This Row],[Step]] =current_step, current_Grad_a,IF(Iterations[[#This Row],[Step]] &gt; current_step, "",Iterations[[#This Row],[Grad_a]]))</f>
        <v>0.34269392529081383</v>
      </c>
      <c r="O210" s="2">
        <f ca="1">IF(Iterations[[#This Row],[Step]] =current_step, current_Grad_b,IF(Iterations[[#This Row],[Step]] &gt; current_step, "",Iterations[[#This Row],[Grad_b]]))</f>
        <v>4.8675532110278946E-2</v>
      </c>
      <c r="P210" s="2">
        <f ca="1">IF(Iterations[[#This Row],[Step]] =current_step, current_Grad_c,IF(Iterations[[#This Row],[Step]] &gt; current_step, "",Iterations[[#This Row],[Grad_c]]))</f>
        <v>-0.96348176192858359</v>
      </c>
      <c r="Q210" s="2">
        <f ca="1">IF(Iterations[[#This Row],[Step]] =current_step, current_Grad_d,IF(Iterations[[#This Row],[Step]] &gt; current_step, "",Iterations[[#This Row],[Grad_d]]))</f>
        <v>-3.1380688557158365E-2</v>
      </c>
      <c r="R210" s="2">
        <f ca="1">IF(Iterations[[#This Row],[Step]] =current_step, current_Grad_e,IF(Iterations[[#This Row],[Step]] &gt; current_step, "",Iterations[[#This Row],[Grad_e]]))</f>
        <v>0.34390964340484564</v>
      </c>
    </row>
    <row r="211" spans="6:18" x14ac:dyDescent="0.3">
      <c r="F211" s="2">
        <f t="shared" si="5"/>
        <v>194</v>
      </c>
      <c r="G211" s="2">
        <f ca="1">IF(Iterations[[#This Row],[Step]] =current_step, current_a,IF(Iterations[[#This Row],[Step]] &gt; current_step, "",Iterations[[#This Row],[a]]))</f>
        <v>-3.7818536081066911</v>
      </c>
      <c r="H211" s="2">
        <f ca="1">IF(Iterations[[#This Row],[Step]] =current_step, current_b,IF(Iterations[[#This Row],[Step]] &gt; current_step, "",Iterations[[#This Row],[b]]))</f>
        <v>0.9143620792898387</v>
      </c>
      <c r="I211" s="2">
        <f ca="1">IF(Iterations[[#This Row],[Step]] =current_step, current_c,IF(Iterations[[#This Row],[Step]] &gt; current_step, "",Iterations[[#This Row],[c]]))</f>
        <v>11.436592404769732</v>
      </c>
      <c r="J211" s="2">
        <f ca="1">IF(Iterations[[#This Row],[Step]] =current_step, current_d,IF(Iterations[[#This Row],[Step]] &gt; current_step, "",Iterations[[#This Row],[d]]))</f>
        <v>0.73652056950597866</v>
      </c>
      <c r="K211" s="2">
        <f ca="1">IF(Iterations[[#This Row],[Step]] =current_step, current_e,IF(Iterations[[#This Row],[Step]] &gt; current_step, "",Iterations[[#This Row],[e]]))</f>
        <v>14.803842277762378</v>
      </c>
      <c r="L211" s="2">
        <f ca="1">IF(Iterations[[#This Row],[Step]] =current_step, current_Total_Loss,IF(Iterations[[#This Row],[Step]] &gt; current_step, "",Iterations[[#This Row],[Total Loss]]))</f>
        <v>198.02</v>
      </c>
      <c r="M211" s="6" t="s">
        <v>27</v>
      </c>
      <c r="N211" s="2">
        <f ca="1">IF(Iterations[[#This Row],[Step]] =current_step, current_Grad_a,IF(Iterations[[#This Row],[Step]] &gt; current_step, "",Iterations[[#This Row],[Grad_a]]))</f>
        <v>0.34103823604812372</v>
      </c>
      <c r="O211" s="2">
        <f ca="1">IF(Iterations[[#This Row],[Step]] =current_step, current_Grad_b,IF(Iterations[[#This Row],[Step]] &gt; current_step, "",Iterations[[#This Row],[Grad_b]]))</f>
        <v>4.852797172979844E-2</v>
      </c>
      <c r="P211" s="2">
        <f ca="1">IF(Iterations[[#This Row],[Step]] =current_step, current_Grad_c,IF(Iterations[[#This Row],[Step]] &gt; current_step, "",Iterations[[#This Row],[Grad_c]]))</f>
        <v>-0.95881041507081344</v>
      </c>
      <c r="Q211" s="2">
        <f ca="1">IF(Iterations[[#This Row],[Step]] =current_step, current_Grad_d,IF(Iterations[[#This Row],[Step]] &gt; current_step, "",Iterations[[#This Row],[Grad_d]]))</f>
        <v>-3.1415027354814336E-2</v>
      </c>
      <c r="R211" s="2">
        <f ca="1">IF(Iterations[[#This Row],[Step]] =current_step, current_Grad_e,IF(Iterations[[#This Row],[Step]] &gt; current_step, "",Iterations[[#This Row],[Grad_e]]))</f>
        <v>0.34224131284237402</v>
      </c>
    </row>
    <row r="212" spans="6:18" x14ac:dyDescent="0.3">
      <c r="F212" s="2">
        <f t="shared" si="5"/>
        <v>195</v>
      </c>
      <c r="G212" s="2">
        <f ca="1">IF(Iterations[[#This Row],[Step]] =current_step, current_a,IF(Iterations[[#This Row],[Step]] &gt; current_step, "",Iterations[[#This Row],[a]]))</f>
        <v>-3.7989055199090975</v>
      </c>
      <c r="H212" s="2">
        <f ca="1">IF(Iterations[[#This Row],[Step]] =current_step, current_b,IF(Iterations[[#This Row],[Step]] &gt; current_step, "",Iterations[[#This Row],[b]]))</f>
        <v>0.91193568070334874</v>
      </c>
      <c r="I212" s="2">
        <f ca="1">IF(Iterations[[#This Row],[Step]] =current_step, current_c,IF(Iterations[[#This Row],[Step]] &gt; current_step, "",Iterations[[#This Row],[c]]))</f>
        <v>11.484532925523272</v>
      </c>
      <c r="J212" s="2">
        <f ca="1">IF(Iterations[[#This Row],[Step]] =current_step, current_d,IF(Iterations[[#This Row],[Step]] &gt; current_step, "",Iterations[[#This Row],[d]]))</f>
        <v>0.73809132087371943</v>
      </c>
      <c r="K212" s="2">
        <f ca="1">IF(Iterations[[#This Row],[Step]] =current_step, current_e,IF(Iterations[[#This Row],[Step]] &gt; current_step, "",Iterations[[#This Row],[e]]))</f>
        <v>14.78673021212026</v>
      </c>
      <c r="L212" s="2">
        <f ca="1">IF(Iterations[[#This Row],[Step]] =current_step, current_Total_Loss,IF(Iterations[[#This Row],[Step]] &gt; current_step, "",Iterations[[#This Row],[Total Loss]]))</f>
        <v>196.98</v>
      </c>
      <c r="M212" s="6" t="s">
        <v>27</v>
      </c>
      <c r="N212" s="2">
        <f ca="1">IF(Iterations[[#This Row],[Step]] =current_step, current_Grad_a,IF(Iterations[[#This Row],[Step]] &gt; current_step, "",Iterations[[#This Row],[Grad_a]]))</f>
        <v>0.33939056629938336</v>
      </c>
      <c r="O212" s="2">
        <f ca="1">IF(Iterations[[#This Row],[Step]] =current_step, current_Grad_b,IF(Iterations[[#This Row],[Step]] &gt; current_step, "",Iterations[[#This Row],[Grad_b]]))</f>
        <v>4.8380012777705282E-2</v>
      </c>
      <c r="P212" s="2">
        <f ca="1">IF(Iterations[[#This Row],[Step]] =current_step, current_Grad_c,IF(Iterations[[#This Row],[Step]] &gt; current_step, "",Iterations[[#This Row],[Grad_c]]))</f>
        <v>-0.95416184890986344</v>
      </c>
      <c r="Q212" s="2">
        <f ca="1">IF(Iterations[[#This Row],[Step]] =current_step, current_Grad_d,IF(Iterations[[#This Row],[Step]] &gt; current_step, "",Iterations[[#This Row],[Grad_d]]))</f>
        <v>-3.1446827924601822E-2</v>
      </c>
      <c r="R212" s="2">
        <f ca="1">IF(Iterations[[#This Row],[Step]] =current_step, current_Grad_e,IF(Iterations[[#This Row],[Step]] &gt; current_step, "",Iterations[[#This Row],[Grad_e]]))</f>
        <v>0.3405810399273782</v>
      </c>
    </row>
    <row r="213" spans="6:18" x14ac:dyDescent="0.3">
      <c r="F213" s="2">
        <f t="shared" si="5"/>
        <v>196</v>
      </c>
      <c r="G213" s="2">
        <f ca="1">IF(Iterations[[#This Row],[Step]] =current_step, current_a,IF(Iterations[[#This Row],[Step]] &gt; current_step, "",Iterations[[#This Row],[a]]))</f>
        <v>-3.8158750482240666</v>
      </c>
      <c r="H213" s="2">
        <f ca="1">IF(Iterations[[#This Row],[Step]] =current_step, current_b,IF(Iterations[[#This Row],[Step]] &gt; current_step, "",Iterations[[#This Row],[b]]))</f>
        <v>0.90951668006446351</v>
      </c>
      <c r="I213" s="2">
        <f ca="1">IF(Iterations[[#This Row],[Step]] =current_step, current_c,IF(Iterations[[#This Row],[Step]] &gt; current_step, "",Iterations[[#This Row],[c]]))</f>
        <v>11.532241017968765</v>
      </c>
      <c r="J213" s="2">
        <f ca="1">IF(Iterations[[#This Row],[Step]] =current_step, current_d,IF(Iterations[[#This Row],[Step]] &gt; current_step, "",Iterations[[#This Row],[d]]))</f>
        <v>0.73966366226994951</v>
      </c>
      <c r="K213" s="2">
        <f ca="1">IF(Iterations[[#This Row],[Step]] =current_step, current_e,IF(Iterations[[#This Row],[Step]] &gt; current_step, "",Iterations[[#This Row],[e]]))</f>
        <v>14.769701160123891</v>
      </c>
      <c r="L213" s="2">
        <f ca="1">IF(Iterations[[#This Row],[Step]] =current_step, current_Total_Loss,IF(Iterations[[#This Row],[Step]] &gt; current_step, "",Iterations[[#This Row],[Total Loss]]))</f>
        <v>195.95</v>
      </c>
      <c r="M213" s="6" t="s">
        <v>27</v>
      </c>
      <c r="N213" s="2">
        <f ca="1">IF(Iterations[[#This Row],[Step]] =current_step, current_Grad_a,IF(Iterations[[#This Row],[Step]] &gt; current_step, "",Iterations[[#This Row],[Grad_a]]))</f>
        <v>0.33775087535118353</v>
      </c>
      <c r="O213" s="2">
        <f ca="1">IF(Iterations[[#This Row],[Step]] =current_step, current_Grad_b,IF(Iterations[[#This Row],[Step]] &gt; current_step, "",Iterations[[#This Row],[Grad_b]]))</f>
        <v>4.8231671020171243E-2</v>
      </c>
      <c r="P213" s="2">
        <f ca="1">IF(Iterations[[#This Row],[Step]] =current_step, current_Grad_c,IF(Iterations[[#This Row],[Step]] &gt; current_step, "",Iterations[[#This Row],[Grad_c]]))</f>
        <v>-0.94953594945894038</v>
      </c>
      <c r="Q213" s="2">
        <f ca="1">IF(Iterations[[#This Row],[Step]] =current_step, current_Grad_d,IF(Iterations[[#This Row],[Step]] &gt; current_step, "",Iterations[[#This Row],[Grad_d]]))</f>
        <v>-3.1476133014600977E-2</v>
      </c>
      <c r="R213" s="2">
        <f ca="1">IF(Iterations[[#This Row],[Step]] =current_step, current_Grad_e,IF(Iterations[[#This Row],[Step]] &gt; current_step, "",Iterations[[#This Row],[Grad_e]]))</f>
        <v>0.33892879120688729</v>
      </c>
    </row>
    <row r="214" spans="6:18" x14ac:dyDescent="0.3">
      <c r="F214" s="2">
        <f t="shared" si="5"/>
        <v>197</v>
      </c>
      <c r="G214" s="2">
        <f ca="1">IF(Iterations[[#This Row],[Step]] =current_step, current_a,IF(Iterations[[#This Row],[Step]] &gt; current_step, "",Iterations[[#This Row],[a]]))</f>
        <v>-3.8327625919916257</v>
      </c>
      <c r="H214" s="2">
        <f ca="1">IF(Iterations[[#This Row],[Step]] =current_step, current_b,IF(Iterations[[#This Row],[Step]] &gt; current_step, "",Iterations[[#This Row],[b]]))</f>
        <v>0.90710509651345494</v>
      </c>
      <c r="I214" s="2">
        <f ca="1">IF(Iterations[[#This Row],[Step]] =current_step, current_c,IF(Iterations[[#This Row],[Step]] &gt; current_step, "",Iterations[[#This Row],[c]]))</f>
        <v>11.579717815441713</v>
      </c>
      <c r="J214" s="2">
        <f ca="1">IF(Iterations[[#This Row],[Step]] =current_step, current_d,IF(Iterations[[#This Row],[Step]] &gt; current_step, "",Iterations[[#This Row],[d]]))</f>
        <v>0.74123746892067954</v>
      </c>
      <c r="K214" s="2">
        <f ca="1">IF(Iterations[[#This Row],[Step]] =current_step, current_e,IF(Iterations[[#This Row],[Step]] &gt; current_step, "",Iterations[[#This Row],[e]]))</f>
        <v>14.752754720563546</v>
      </c>
      <c r="L214" s="2">
        <f ca="1">IF(Iterations[[#This Row],[Step]] =current_step, current_Total_Loss,IF(Iterations[[#This Row],[Step]] &gt; current_step, "",Iterations[[#This Row],[Total Loss]]))</f>
        <v>194.93</v>
      </c>
      <c r="M214" s="6" t="s">
        <v>27</v>
      </c>
      <c r="N214" s="2">
        <f ca="1">IF(Iterations[[#This Row],[Step]] =current_step, current_Grad_a,IF(Iterations[[#This Row],[Step]] &gt; current_step, "",Iterations[[#This Row],[Grad_a]]))</f>
        <v>0.33611912284384399</v>
      </c>
      <c r="O214" s="2">
        <f ca="1">IF(Iterations[[#This Row],[Step]] =current_step, current_Grad_b,IF(Iterations[[#This Row],[Step]] &gt; current_step, "",Iterations[[#This Row],[Grad_b]]))</f>
        <v>4.8082961991483666E-2</v>
      </c>
      <c r="P214" s="2">
        <f ca="1">IF(Iterations[[#This Row],[Step]] =current_step, current_Grad_c,IF(Iterations[[#This Row],[Step]] &gt; current_step, "",Iterations[[#This Row],[Grad_c]]))</f>
        <v>-0.9449326034174419</v>
      </c>
      <c r="Q214" s="2">
        <f ca="1">IF(Iterations[[#This Row],[Step]] =current_step, current_Grad_d,IF(Iterations[[#This Row],[Step]] &gt; current_step, "",Iterations[[#This Row],[Grad_d]]))</f>
        <v>-3.1502984759829281E-2</v>
      </c>
      <c r="R214" s="2">
        <f ca="1">IF(Iterations[[#This Row],[Step]] =current_step, current_Grad_e,IF(Iterations[[#This Row],[Step]] &gt; current_step, "",Iterations[[#This Row],[Grad_e]]))</f>
        <v>0.33728453296570649</v>
      </c>
    </row>
    <row r="215" spans="6:18" x14ac:dyDescent="0.3">
      <c r="F215" s="2">
        <f t="shared" si="5"/>
        <v>198</v>
      </c>
      <c r="G215" s="2">
        <f ca="1">IF(Iterations[[#This Row],[Step]] =current_step, current_a,IF(Iterations[[#This Row],[Step]] &gt; current_step, "",Iterations[[#This Row],[a]]))</f>
        <v>-3.849568548133818</v>
      </c>
      <c r="H215" s="2">
        <f ca="1">IF(Iterations[[#This Row],[Step]] =current_step, current_b,IF(Iterations[[#This Row],[Step]] &gt; current_step, "",Iterations[[#This Row],[b]]))</f>
        <v>0.90470094841388071</v>
      </c>
      <c r="I215" s="2">
        <f ca="1">IF(Iterations[[#This Row],[Step]] =current_step, current_c,IF(Iterations[[#This Row],[Step]] &gt; current_step, "",Iterations[[#This Row],[c]]))</f>
        <v>11.626964445612584</v>
      </c>
      <c r="J215" s="2">
        <f ca="1">IF(Iterations[[#This Row],[Step]] =current_step, current_d,IF(Iterations[[#This Row],[Step]] &gt; current_step, "",Iterations[[#This Row],[d]]))</f>
        <v>0.74281261815867106</v>
      </c>
      <c r="K215" s="2">
        <f ca="1">IF(Iterations[[#This Row],[Step]] =current_step, current_e,IF(Iterations[[#This Row],[Step]] &gt; current_step, "",Iterations[[#This Row],[e]]))</f>
        <v>14.73589049391526</v>
      </c>
      <c r="L215" s="2">
        <f ca="1">IF(Iterations[[#This Row],[Step]] =current_step, current_Total_Loss,IF(Iterations[[#This Row],[Step]] &gt; current_step, "",Iterations[[#This Row],[Total Loss]]))</f>
        <v>193.93</v>
      </c>
      <c r="M215" s="6" t="s">
        <v>27</v>
      </c>
      <c r="N215" s="2">
        <f ca="1">IF(Iterations[[#This Row],[Step]] =current_step, current_Grad_a,IF(Iterations[[#This Row],[Step]] &gt; current_step, "",Iterations[[#This Row],[Grad_a]]))</f>
        <v>0.3344952687407956</v>
      </c>
      <c r="O215" s="2">
        <f ca="1">IF(Iterations[[#This Row],[Step]] =current_step, current_Grad_b,IF(Iterations[[#This Row],[Step]] &gt; current_step, "",Iterations[[#This Row],[Grad_b]]))</f>
        <v>4.7933900995790618E-2</v>
      </c>
      <c r="P215" s="2">
        <f ca="1">IF(Iterations[[#This Row],[Step]] =current_step, current_Grad_c,IF(Iterations[[#This Row],[Step]] &gt; current_step, "",Iterations[[#This Row],[Grad_c]]))</f>
        <v>-0.94035169816027342</v>
      </c>
      <c r="Q215" s="2">
        <f ca="1">IF(Iterations[[#This Row],[Step]] =current_step, current_Grad_d,IF(Iterations[[#This Row],[Step]] &gt; current_step, "",Iterations[[#This Row],[Grad_d]]))</f>
        <v>-3.1527424691591061E-2</v>
      </c>
      <c r="R215" s="2">
        <f ca="1">IF(Iterations[[#This Row],[Step]] =current_step, current_Grad_e,IF(Iterations[[#This Row],[Step]] &gt; current_step, "",Iterations[[#This Row],[Grad_e]]))</f>
        <v>0.3356482312562456</v>
      </c>
    </row>
    <row r="216" spans="6:18" x14ac:dyDescent="0.3">
      <c r="F216" s="2">
        <f t="shared" si="5"/>
        <v>199</v>
      </c>
      <c r="G216" s="2">
        <f ca="1">IF(Iterations[[#This Row],[Step]] =current_step, current_a,IF(Iterations[[#This Row],[Step]] &gt; current_step, "",Iterations[[#This Row],[a]]))</f>
        <v>-3.8662933115708578</v>
      </c>
      <c r="H216" s="2">
        <f ca="1">IF(Iterations[[#This Row],[Step]] =current_step, current_b,IF(Iterations[[#This Row],[Step]] &gt; current_step, "",Iterations[[#This Row],[b]]))</f>
        <v>0.90230425336409115</v>
      </c>
      <c r="I216" s="2">
        <f ca="1">IF(Iterations[[#This Row],[Step]] =current_step, current_c,IF(Iterations[[#This Row],[Step]] &gt; current_step, "",Iterations[[#This Row],[c]]))</f>
        <v>11.673982030520598</v>
      </c>
      <c r="J216" s="2">
        <f ca="1">IF(Iterations[[#This Row],[Step]] =current_step, current_d,IF(Iterations[[#This Row],[Step]] &gt; current_step, "",Iterations[[#This Row],[d]]))</f>
        <v>0.7443889893932506</v>
      </c>
      <c r="K216" s="2">
        <f ca="1">IF(Iterations[[#This Row],[Step]] =current_step, current_e,IF(Iterations[[#This Row],[Step]] &gt; current_step, "",Iterations[[#This Row],[e]]))</f>
        <v>14.719108082352449</v>
      </c>
      <c r="L216" s="2">
        <f ca="1">IF(Iterations[[#This Row],[Step]] =current_step, current_Total_Loss,IF(Iterations[[#This Row],[Step]] &gt; current_step, "",Iterations[[#This Row],[Total Loss]]))</f>
        <v>192.93</v>
      </c>
      <c r="M216" s="6" t="s">
        <v>27</v>
      </c>
      <c r="N216" s="2">
        <f ca="1">IF(Iterations[[#This Row],[Step]] =current_step, current_Grad_a,IF(Iterations[[#This Row],[Step]] &gt; current_step, "",Iterations[[#This Row],[Grad_a]]))</f>
        <v>0.33287927331844513</v>
      </c>
      <c r="O216" s="2">
        <f ca="1">IF(Iterations[[#This Row],[Step]] =current_step, current_Grad_b,IF(Iterations[[#This Row],[Step]] &gt; current_step, "",Iterations[[#This Row],[Grad_b]]))</f>
        <v>4.7784503108938066E-2</v>
      </c>
      <c r="P216" s="2">
        <f ca="1">IF(Iterations[[#This Row],[Step]] =current_step, current_Grad_c,IF(Iterations[[#This Row],[Step]] &gt; current_step, "",Iterations[[#This Row],[Grad_c]]))</f>
        <v>-0.93579312172772555</v>
      </c>
      <c r="Q216" s="2">
        <f ca="1">IF(Iterations[[#This Row],[Step]] =current_step, current_Grad_d,IF(Iterations[[#This Row],[Step]] &gt; current_step, "",Iterations[[#This Row],[Grad_d]]))</f>
        <v>-3.1549493746617224E-2</v>
      </c>
      <c r="R216" s="2">
        <f ca="1">IF(Iterations[[#This Row],[Step]] =current_step, current_Grad_e,IF(Iterations[[#This Row],[Step]] &gt; current_step, "",Iterations[[#This Row],[Grad_e]]))</f>
        <v>0.33401985192629779</v>
      </c>
    </row>
    <row r="217" spans="6:18" x14ac:dyDescent="0.3">
      <c r="F217" s="2">
        <f t="shared" si="5"/>
        <v>200</v>
      </c>
      <c r="G217" s="2">
        <f ca="1">IF(Iterations[[#This Row],[Step]] =current_step, current_a,IF(Iterations[[#This Row],[Step]] &gt; current_step, "",Iterations[[#This Row],[a]]))</f>
        <v>-3.8829372752367801</v>
      </c>
      <c r="H217" s="2">
        <f ca="1">IF(Iterations[[#This Row],[Step]] =current_step, current_b,IF(Iterations[[#This Row],[Step]] &gt; current_step, "",Iterations[[#This Row],[b]]))</f>
        <v>0.89991502820864422</v>
      </c>
      <c r="I217" s="2">
        <f ca="1">IF(Iterations[[#This Row],[Step]] =current_step, current_c,IF(Iterations[[#This Row],[Step]] &gt; current_step, "",Iterations[[#This Row],[c]]))</f>
        <v>11.720771686606984</v>
      </c>
      <c r="J217" s="2">
        <f ca="1">IF(Iterations[[#This Row],[Step]] =current_step, current_d,IF(Iterations[[#This Row],[Step]] &gt; current_step, "",Iterations[[#This Row],[d]]))</f>
        <v>0.74596646408058143</v>
      </c>
      <c r="K217" s="2">
        <f ca="1">IF(Iterations[[#This Row],[Step]] =current_step, current_e,IF(Iterations[[#This Row],[Step]] &gt; current_step, "",Iterations[[#This Row],[e]]))</f>
        <v>14.702407089756134</v>
      </c>
      <c r="L217" s="2">
        <f ca="1">IF(Iterations[[#This Row],[Step]] =current_step, current_Total_Loss,IF(Iterations[[#This Row],[Step]] &gt; current_step, "",Iterations[[#This Row],[Total Loss]]))</f>
        <v>191.94</v>
      </c>
      <c r="M217" s="6" t="s">
        <v>27</v>
      </c>
      <c r="N217" s="2">
        <f ca="1">IF(Iterations[[#This Row],[Step]] =current_step, current_Grad_a,IF(Iterations[[#This Row],[Step]] &gt; current_step, "",Iterations[[#This Row],[Grad_a]]))</f>
        <v>0.33127109715671921</v>
      </c>
      <c r="O217" s="2">
        <f ca="1">IF(Iterations[[#This Row],[Step]] =current_step, current_Grad_b,IF(Iterations[[#This Row],[Step]] &gt; current_step, "",Iterations[[#This Row],[Grad_b]]))</f>
        <v>4.7634783180362045E-2</v>
      </c>
      <c r="P217" s="2">
        <f ca="1">IF(Iterations[[#This Row],[Step]] =current_step, current_Grad_c,IF(Iterations[[#This Row],[Step]] &gt; current_step, "",Iterations[[#This Row],[Grad_c]]))</f>
        <v>-0.93125676281580916</v>
      </c>
      <c r="Q217" s="2">
        <f ca="1">IF(Iterations[[#This Row],[Step]] =current_step, current_Grad_d,IF(Iterations[[#This Row],[Step]] &gt; current_step, "",Iterations[[#This Row],[Grad_d]]))</f>
        <v>-3.1569232276006755E-2</v>
      </c>
      <c r="R217" s="2">
        <f ca="1">IF(Iterations[[#This Row],[Step]] =current_step, current_Grad_e,IF(Iterations[[#This Row],[Step]] &gt; current_step, "",Iterations[[#This Row],[Grad_e]]))</f>
        <v>0.33239936064494457</v>
      </c>
    </row>
    <row r="218" spans="6:18" x14ac:dyDescent="0.3">
      <c r="F218" s="2">
        <f t="shared" si="5"/>
        <v>201</v>
      </c>
      <c r="G218" s="2">
        <f ca="1">IF(Iterations[[#This Row],[Step]] =current_step, current_a,IF(Iterations[[#This Row],[Step]] &gt; current_step, "",Iterations[[#This Row],[a]]))</f>
        <v>-3.9061262520377507</v>
      </c>
      <c r="H218" s="2">
        <f ca="1">IF(Iterations[[#This Row],[Step]] =current_step, current_b,IF(Iterations[[#This Row],[Step]] &gt; current_step, "",Iterations[[#This Row],[b]]))</f>
        <v>0.89658059338601892</v>
      </c>
      <c r="I218" s="2">
        <f ca="1">IF(Iterations[[#This Row],[Step]] =current_step, current_c,IF(Iterations[[#This Row],[Step]] &gt; current_step, "",Iterations[[#This Row],[c]]))</f>
        <v>11.785959660004091</v>
      </c>
      <c r="J218" s="2">
        <f ca="1">IF(Iterations[[#This Row],[Step]] =current_step, current_d,IF(Iterations[[#This Row],[Step]] &gt; current_step, "",Iterations[[#This Row],[d]]))</f>
        <v>0.74817631033990195</v>
      </c>
      <c r="K218" s="2">
        <f ca="1">IF(Iterations[[#This Row],[Step]] =current_step, current_e,IF(Iterations[[#This Row],[Step]] &gt; current_step, "",Iterations[[#This Row],[e]]))</f>
        <v>14.679139134510988</v>
      </c>
      <c r="L218" s="2">
        <f ca="1">IF(Iterations[[#This Row],[Step]] =current_step, current_Total_Loss,IF(Iterations[[#This Row],[Step]] &gt; current_step, "",Iterations[[#This Row],[Total Loss]]))</f>
        <v>190.57</v>
      </c>
      <c r="M218" s="6" t="s">
        <v>27</v>
      </c>
      <c r="N218" s="2">
        <f ca="1">IF(Iterations[[#This Row],[Step]] =current_step, current_Grad_a,IF(Iterations[[#This Row],[Step]] &gt; current_step, "",Iterations[[#This Row],[Grad_a]]))</f>
        <v>0.32903054271955529</v>
      </c>
      <c r="O218" s="2">
        <f ca="1">IF(Iterations[[#This Row],[Step]] =current_step, current_Grad_b,IF(Iterations[[#This Row],[Step]] &gt; current_step, "",Iterations[[#This Row],[Grad_b]]))</f>
        <v>4.7424744896972015E-2</v>
      </c>
      <c r="P218" s="2">
        <f ca="1">IF(Iterations[[#This Row],[Step]] =current_step, current_Grad_c,IF(Iterations[[#This Row],[Step]] &gt; current_step, "",Iterations[[#This Row],[Grad_c]]))</f>
        <v>-0.92493680994753469</v>
      </c>
      <c r="Q218" s="2">
        <f ca="1">IF(Iterations[[#This Row],[Step]] =current_step, current_Grad_d,IF(Iterations[[#This Row],[Step]] &gt; current_step, "",Iterations[[#This Row],[Grad_d]]))</f>
        <v>-3.1593659165147926E-2</v>
      </c>
      <c r="R218" s="2">
        <f ca="1">IF(Iterations[[#This Row],[Step]] =current_step, current_Grad_e,IF(Iterations[[#This Row],[Step]] &gt; current_step, "",Iterations[[#This Row],[Grad_e]]))</f>
        <v>0.33014166783939225</v>
      </c>
    </row>
    <row r="219" spans="6:18" x14ac:dyDescent="0.3">
      <c r="F219" s="2">
        <f t="shared" si="5"/>
        <v>202</v>
      </c>
      <c r="G219" s="2">
        <f ca="1">IF(Iterations[[#This Row],[Step]] =current_step, current_a,IF(Iterations[[#This Row],[Step]] &gt; current_step, "",Iterations[[#This Row],[a]]))</f>
        <v>-3.9291583900281197</v>
      </c>
      <c r="H219" s="2">
        <f ca="1">IF(Iterations[[#This Row],[Step]] =current_step, current_b,IF(Iterations[[#This Row],[Step]] &gt; current_step, "",Iterations[[#This Row],[b]]))</f>
        <v>0.8932608612432309</v>
      </c>
      <c r="I219" s="2">
        <f ca="1">IF(Iterations[[#This Row],[Step]] =current_step, current_c,IF(Iterations[[#This Row],[Step]] &gt; current_step, "",Iterations[[#This Row],[c]]))</f>
        <v>11.850705236700419</v>
      </c>
      <c r="J219" s="2">
        <f ca="1">IF(Iterations[[#This Row],[Step]] =current_step, current_d,IF(Iterations[[#This Row],[Step]] &gt; current_step, "",Iterations[[#This Row],[d]]))</f>
        <v>0.75038786648146227</v>
      </c>
      <c r="K219" s="2">
        <f ca="1">IF(Iterations[[#This Row],[Step]] =current_step, current_e,IF(Iterations[[#This Row],[Step]] &gt; current_step, "",Iterations[[#This Row],[e]]))</f>
        <v>14.656029217762232</v>
      </c>
      <c r="L219" s="2">
        <f ca="1">IF(Iterations[[#This Row],[Step]] =current_step, current_Total_Loss,IF(Iterations[[#This Row],[Step]] &gt; current_step, "",Iterations[[#This Row],[Total Loss]]))</f>
        <v>189.22</v>
      </c>
      <c r="M219" s="6" t="s">
        <v>27</v>
      </c>
      <c r="N219" s="2">
        <f ca="1">IF(Iterations[[#This Row],[Step]] =current_step, current_Grad_a,IF(Iterations[[#This Row],[Step]] &gt; current_step, "",Iterations[[#This Row],[Grad_a]]))</f>
        <v>0.32680516122257036</v>
      </c>
      <c r="O219" s="2">
        <f ca="1">IF(Iterations[[#This Row],[Step]] =current_step, current_Grad_b,IF(Iterations[[#This Row],[Step]] &gt; current_step, "",Iterations[[#This Row],[Grad_b]]))</f>
        <v>4.7214132305840276E-2</v>
      </c>
      <c r="P219" s="2">
        <f ca="1">IF(Iterations[[#This Row],[Step]] =current_step, current_Grad_c,IF(Iterations[[#This Row],[Step]] &gt; current_step, "",Iterations[[#This Row],[Grad_c]]))</f>
        <v>-0.91865997089227547</v>
      </c>
      <c r="Q219" s="2">
        <f ca="1">IF(Iterations[[#This Row],[Step]] =current_step, current_Grad_d,IF(Iterations[[#This Row],[Step]] &gt; current_step, "",Iterations[[#This Row],[Grad_d]]))</f>
        <v>-3.1613673025052295E-2</v>
      </c>
      <c r="R219" s="2">
        <f ca="1">IF(Iterations[[#This Row],[Step]] =current_step, current_Grad_e,IF(Iterations[[#This Row],[Step]] &gt; current_step, "",Iterations[[#This Row],[Grad_e]]))</f>
        <v>0.32789930016707558</v>
      </c>
    </row>
    <row r="220" spans="6:18" x14ac:dyDescent="0.3">
      <c r="F220" s="2">
        <f t="shared" si="5"/>
        <v>203</v>
      </c>
      <c r="G220" s="2">
        <f ca="1">IF(Iterations[[#This Row],[Step]] =current_step, current_a,IF(Iterations[[#This Row],[Step]] &gt; current_step, "",Iterations[[#This Row],[a]]))</f>
        <v>-3.9520347513136995</v>
      </c>
      <c r="H220" s="2">
        <f ca="1">IF(Iterations[[#This Row],[Step]] =current_step, current_b,IF(Iterations[[#This Row],[Step]] &gt; current_step, "",Iterations[[#This Row],[b]]))</f>
        <v>0.88995587198182213</v>
      </c>
      <c r="I220" s="2">
        <f ca="1">IF(Iterations[[#This Row],[Step]] =current_step, current_c,IF(Iterations[[#This Row],[Step]] &gt; current_step, "",Iterations[[#This Row],[c]]))</f>
        <v>11.915011434662878</v>
      </c>
      <c r="J220" s="2">
        <f ca="1">IF(Iterations[[#This Row],[Step]] =current_step, current_d,IF(Iterations[[#This Row],[Step]] &gt; current_step, "",Iterations[[#This Row],[d]]))</f>
        <v>0.7526008235932159</v>
      </c>
      <c r="K220" s="2">
        <f ca="1">IF(Iterations[[#This Row],[Step]] =current_step, current_e,IF(Iterations[[#This Row],[Step]] &gt; current_step, "",Iterations[[#This Row],[e]]))</f>
        <v>14.633076266750535</v>
      </c>
      <c r="L220" s="2">
        <f ca="1">IF(Iterations[[#This Row],[Step]] =current_step, current_Total_Loss,IF(Iterations[[#This Row],[Step]] &gt; current_step, "",Iterations[[#This Row],[Total Loss]]))</f>
        <v>187.88</v>
      </c>
      <c r="M220" s="6" t="s">
        <v>27</v>
      </c>
      <c r="N220" s="2">
        <f ca="1">IF(Iterations[[#This Row],[Step]] =current_step, current_Grad_a,IF(Iterations[[#This Row],[Step]] &gt; current_step, "",Iterations[[#This Row],[Grad_a]]))</f>
        <v>0.32459484685497247</v>
      </c>
      <c r="O220" s="2">
        <f ca="1">IF(Iterations[[#This Row],[Step]] =current_step, current_Grad_b,IF(Iterations[[#This Row],[Step]] &gt; current_step, "",Iterations[[#This Row],[Grad_b]]))</f>
        <v>4.7002984322884224E-2</v>
      </c>
      <c r="P220" s="2">
        <f ca="1">IF(Iterations[[#This Row],[Step]] =current_step, current_Grad_c,IF(Iterations[[#This Row],[Step]] &gt; current_step, "",Iterations[[#This Row],[Grad_c]]))</f>
        <v>-0.91242594548262523</v>
      </c>
      <c r="Q220" s="2">
        <f ca="1">IF(Iterations[[#This Row],[Step]] =current_step, current_Grad_d,IF(Iterations[[#This Row],[Step]] &gt; current_step, "",Iterations[[#This Row],[Grad_d]]))</f>
        <v>-3.1629379900277095E-2</v>
      </c>
      <c r="R220" s="2">
        <f ca="1">IF(Iterations[[#This Row],[Step]] =current_step, current_Grad_e,IF(Iterations[[#This Row],[Step]] &gt; current_step, "",Iterations[[#This Row],[Grad_e]]))</f>
        <v>0.32567216233241109</v>
      </c>
    </row>
    <row r="221" spans="6:18" x14ac:dyDescent="0.3">
      <c r="F221" s="2">
        <f t="shared" si="5"/>
        <v>204</v>
      </c>
      <c r="G221" s="2">
        <f ca="1">IF(Iterations[[#This Row],[Step]] =current_step, current_a,IF(Iterations[[#This Row],[Step]] &gt; current_step, "",Iterations[[#This Row],[a]]))</f>
        <v>-3.9747563905935475</v>
      </c>
      <c r="H221" s="2">
        <f ca="1">IF(Iterations[[#This Row],[Step]] =current_step, current_b,IF(Iterations[[#This Row],[Step]] &gt; current_step, "",Iterations[[#This Row],[b]]))</f>
        <v>0.88666566307922023</v>
      </c>
      <c r="I221" s="2">
        <f ca="1">IF(Iterations[[#This Row],[Step]] =current_step, current_c,IF(Iterations[[#This Row],[Step]] &gt; current_step, "",Iterations[[#This Row],[c]]))</f>
        <v>11.978881250846662</v>
      </c>
      <c r="J221" s="2">
        <f ca="1">IF(Iterations[[#This Row],[Step]] =current_step, current_d,IF(Iterations[[#This Row],[Step]] &gt; current_step, "",Iterations[[#This Row],[d]]))</f>
        <v>0.75481488018623533</v>
      </c>
      <c r="K221" s="2">
        <f ca="1">IF(Iterations[[#This Row],[Step]] =current_step, current_e,IF(Iterations[[#This Row],[Step]] &gt; current_step, "",Iterations[[#This Row],[e]]))</f>
        <v>14.610279215387267</v>
      </c>
      <c r="L221" s="2">
        <f ca="1">IF(Iterations[[#This Row],[Step]] =current_step, current_Total_Loss,IF(Iterations[[#This Row],[Step]] &gt; current_step, "",Iterations[[#This Row],[Total Loss]]))</f>
        <v>186.57</v>
      </c>
      <c r="M221" s="6" t="s">
        <v>27</v>
      </c>
      <c r="N221" s="2">
        <f ca="1">IF(Iterations[[#This Row],[Step]] =current_step, current_Grad_a,IF(Iterations[[#This Row],[Step]] &gt; current_step, "",Iterations[[#This Row],[Grad_a]]))</f>
        <v>0.32239949484719077</v>
      </c>
      <c r="O221" s="2">
        <f ca="1">IF(Iterations[[#This Row],[Step]] =current_step, current_Grad_b,IF(Iterations[[#This Row],[Step]] &gt; current_step, "",Iterations[[#This Row],[Grad_b]]))</f>
        <v>4.6791339025359396E-2</v>
      </c>
      <c r="P221" s="2">
        <f ca="1">IF(Iterations[[#This Row],[Step]] =current_step, current_Grad_c,IF(Iterations[[#This Row],[Step]] &gt; current_step, "",Iterations[[#This Row],[Grad_c]]))</f>
        <v>-0.90623443593784947</v>
      </c>
      <c r="Q221" s="2">
        <f ca="1">IF(Iterations[[#This Row],[Step]] =current_step, current_Grad_d,IF(Iterations[[#This Row],[Step]] &gt; current_step, "",Iterations[[#This Row],[Grad_d]]))</f>
        <v>-3.1640883716010232E-2</v>
      </c>
      <c r="R221" s="2">
        <f ca="1">IF(Iterations[[#This Row],[Step]] =current_step, current_Grad_e,IF(Iterations[[#This Row],[Step]] &gt; current_step, "",Iterations[[#This Row],[Grad_e]]))</f>
        <v>0.32346015868786299</v>
      </c>
    </row>
    <row r="222" spans="6:18" x14ac:dyDescent="0.3">
      <c r="F222" s="2">
        <f t="shared" si="5"/>
        <v>205</v>
      </c>
      <c r="G222" s="2">
        <f ca="1">IF(Iterations[[#This Row],[Step]] =current_step, current_a,IF(Iterations[[#This Row],[Step]] &gt; current_step, "",Iterations[[#This Row],[a]]))</f>
        <v>-3.997324355232851</v>
      </c>
      <c r="H222" s="2">
        <f ca="1">IF(Iterations[[#This Row],[Step]] =current_step, current_b,IF(Iterations[[#This Row],[Step]] &gt; current_step, "",Iterations[[#This Row],[b]]))</f>
        <v>0.88339026934744502</v>
      </c>
      <c r="I222" s="2">
        <f ca="1">IF(Iterations[[#This Row],[Step]] =current_step, current_c,IF(Iterations[[#This Row],[Step]] &gt; current_step, "",Iterations[[#This Row],[c]]))</f>
        <v>12.042317661362311</v>
      </c>
      <c r="J222" s="2">
        <f ca="1">IF(Iterations[[#This Row],[Step]] =current_step, current_d,IF(Iterations[[#This Row],[Step]] &gt; current_step, "",Iterations[[#This Row],[d]]))</f>
        <v>0.75702974204635609</v>
      </c>
      <c r="K222" s="2">
        <f ca="1">IF(Iterations[[#This Row],[Step]] =current_step, current_e,IF(Iterations[[#This Row],[Step]] &gt; current_step, "",Iterations[[#This Row],[e]]))</f>
        <v>14.587637004279117</v>
      </c>
      <c r="L222" s="2">
        <f ca="1">IF(Iterations[[#This Row],[Step]] =current_step, current_Total_Loss,IF(Iterations[[#This Row],[Step]] &gt; current_step, "",Iterations[[#This Row],[Total Loss]]))</f>
        <v>185.27</v>
      </c>
      <c r="M222" s="6" t="s">
        <v>27</v>
      </c>
      <c r="N222" s="2">
        <f ca="1">IF(Iterations[[#This Row],[Step]] =current_step, current_Grad_a,IF(Iterations[[#This Row],[Step]] &gt; current_step, "",Iterations[[#This Row],[Grad_a]]))</f>
        <v>0.32021900143301019</v>
      </c>
      <c r="O222" s="2">
        <f ca="1">IF(Iterations[[#This Row],[Step]] =current_step, current_Grad_b,IF(Iterations[[#This Row],[Step]] &gt; current_step, "",Iterations[[#This Row],[Grad_b]]))</f>
        <v>4.65792336634233E-2</v>
      </c>
      <c r="P222" s="2">
        <f ca="1">IF(Iterations[[#This Row],[Step]] =current_step, current_Grad_c,IF(Iterations[[#This Row],[Step]] &gt; current_step, "",Iterations[[#This Row],[Grad_c]]))</f>
        <v>-0.90008514682273322</v>
      </c>
      <c r="Q222" s="2">
        <f ca="1">IF(Iterations[[#This Row],[Step]] =current_step, current_Grad_d,IF(Iterations[[#This Row],[Step]] &gt; current_step, "",Iterations[[#This Row],[Grad_d]]))</f>
        <v>-3.1648286321398461E-2</v>
      </c>
      <c r="R222" s="2">
        <f ca="1">IF(Iterations[[#This Row],[Step]] =current_step, current_Grad_e,IF(Iterations[[#This Row],[Step]] &gt; current_step, "",Iterations[[#This Row],[Grad_e]]))</f>
        <v>0.32126319333155645</v>
      </c>
    </row>
    <row r="223" spans="6:18" x14ac:dyDescent="0.3">
      <c r="F223" s="2">
        <f t="shared" si="5"/>
        <v>206</v>
      </c>
      <c r="G223" s="2">
        <f ca="1">IF(Iterations[[#This Row],[Step]] =current_step, current_a,IF(Iterations[[#This Row],[Step]] &gt; current_step, "",Iterations[[#This Row],[a]]))</f>
        <v>-4.0197396853331622</v>
      </c>
      <c r="H223" s="2">
        <f ca="1">IF(Iterations[[#This Row],[Step]] =current_step, current_b,IF(Iterations[[#This Row],[Step]] &gt; current_step, "",Iterations[[#This Row],[b]]))</f>
        <v>0.88012972299100534</v>
      </c>
      <c r="I223" s="2">
        <f ca="1">IF(Iterations[[#This Row],[Step]] =current_step, current_c,IF(Iterations[[#This Row],[Step]] &gt; current_step, "",Iterations[[#This Row],[c]]))</f>
        <v>12.105323621639902</v>
      </c>
      <c r="J223" s="2">
        <f ca="1">IF(Iterations[[#This Row],[Step]] =current_step, current_d,IF(Iterations[[#This Row],[Step]] &gt; current_step, "",Iterations[[#This Row],[d]]))</f>
        <v>0.75924512208885397</v>
      </c>
      <c r="K223" s="2">
        <f ca="1">IF(Iterations[[#This Row],[Step]] =current_step, current_e,IF(Iterations[[#This Row],[Step]] &gt; current_step, "",Iterations[[#This Row],[e]]))</f>
        <v>14.565148580745907</v>
      </c>
      <c r="L223" s="2">
        <f ca="1">IF(Iterations[[#This Row],[Step]] =current_step, current_Total_Loss,IF(Iterations[[#This Row],[Step]] &gt; current_step, "",Iterations[[#This Row],[Total Loss]]))</f>
        <v>183.99</v>
      </c>
      <c r="M223" s="6" t="s">
        <v>27</v>
      </c>
      <c r="N223" s="2">
        <f ca="1">IF(Iterations[[#This Row],[Step]] =current_step, current_Grad_a,IF(Iterations[[#This Row],[Step]] &gt; current_step, "",Iterations[[#This Row],[Grad_a]]))</f>
        <v>0.31805326381561727</v>
      </c>
      <c r="O223" s="2">
        <f ca="1">IF(Iterations[[#This Row],[Step]] =current_step, current_Grad_b,IF(Iterations[[#This Row],[Step]] &gt; current_step, "",Iterations[[#This Row],[Grad_b]]))</f>
        <v>4.6366704671689303E-2</v>
      </c>
      <c r="P223" s="2">
        <f ca="1">IF(Iterations[[#This Row],[Step]] =current_step, current_Grad_c,IF(Iterations[[#This Row],[Step]] &gt; current_step, "",Iterations[[#This Row],[Grad_c]]))</f>
        <v>-0.89397778500852754</v>
      </c>
      <c r="Q223" s="2">
        <f ca="1">IF(Iterations[[#This Row],[Step]] =current_step, current_Grad_d,IF(Iterations[[#This Row],[Step]] &gt; current_step, "",Iterations[[#This Row],[Grad_d]]))</f>
        <v>-3.1651687531765886E-2</v>
      </c>
      <c r="R223" s="2">
        <f ca="1">IF(Iterations[[#This Row],[Step]] =current_step, current_Grad_e,IF(Iterations[[#This Row],[Step]] &gt; current_step, "",Iterations[[#This Row],[Grad_e]]))</f>
        <v>0.31908117019561172</v>
      </c>
    </row>
    <row r="224" spans="6:18" x14ac:dyDescent="0.3">
      <c r="F224" s="2">
        <f t="shared" si="5"/>
        <v>207</v>
      </c>
      <c r="G224" s="2">
        <f ca="1">IF(Iterations[[#This Row],[Step]] =current_step, current_a,IF(Iterations[[#This Row],[Step]] &gt; current_step, "",Iterations[[#This Row],[a]]))</f>
        <v>-4.0420034138002556</v>
      </c>
      <c r="H224" s="2">
        <f ca="1">IF(Iterations[[#This Row],[Step]] =current_step, current_b,IF(Iterations[[#This Row],[Step]] &gt; current_step, "",Iterations[[#This Row],[b]]))</f>
        <v>0.87688405366398714</v>
      </c>
      <c r="I224" s="2">
        <f ca="1">IF(Iterations[[#This Row],[Step]] =current_step, current_c,IF(Iterations[[#This Row],[Step]] &gt; current_step, "",Iterations[[#This Row],[c]]))</f>
        <v>12.1679020665905</v>
      </c>
      <c r="J224" s="2">
        <f ca="1">IF(Iterations[[#This Row],[Step]] =current_step, current_d,IF(Iterations[[#This Row],[Step]] &gt; current_step, "",Iterations[[#This Row],[d]]))</f>
        <v>0.76146074021607757</v>
      </c>
      <c r="K224" s="2">
        <f ca="1">IF(Iterations[[#This Row],[Step]] =current_step, current_e,IF(Iterations[[#This Row],[Step]] &gt; current_step, "",Iterations[[#This Row],[e]]))</f>
        <v>14.542812898832214</v>
      </c>
      <c r="L224" s="2">
        <f ca="1">IF(Iterations[[#This Row],[Step]] =current_step, current_Total_Loss,IF(Iterations[[#This Row],[Step]] &gt; current_step, "",Iterations[[#This Row],[Total Loss]]))</f>
        <v>182.73</v>
      </c>
      <c r="M224" s="6" t="s">
        <v>27</v>
      </c>
      <c r="N224" s="2">
        <f ca="1">IF(Iterations[[#This Row],[Step]] =current_step, current_Grad_a,IF(Iterations[[#This Row],[Step]] &gt; current_step, "",Iterations[[#This Row],[Grad_a]]))</f>
        <v>0.3159021801355551</v>
      </c>
      <c r="O224" s="2">
        <f ca="1">IF(Iterations[[#This Row],[Step]] =current_step, current_Grad_b,IF(Iterations[[#This Row],[Step]] &gt; current_step, "",Iterations[[#This Row],[Grad_b]]))</f>
        <v>4.6153787681143164E-2</v>
      </c>
      <c r="P224" s="2">
        <f ca="1">IF(Iterations[[#This Row],[Step]] =current_step, current_Grad_c,IF(Iterations[[#This Row],[Step]] &gt; current_step, "",Iterations[[#This Row],[Grad_c]]))</f>
        <v>-0.88791205963649344</v>
      </c>
      <c r="Q224" s="2">
        <f ca="1">IF(Iterations[[#This Row],[Step]] =current_step, current_Grad_d,IF(Iterations[[#This Row],[Step]] &gt; current_step, "",Iterations[[#This Row],[Grad_d]]))</f>
        <v>-3.1651185169658022E-2</v>
      </c>
      <c r="R224" s="2">
        <f ca="1">IF(Iterations[[#This Row],[Step]] =current_step, current_Grad_e,IF(Iterations[[#This Row],[Step]] &gt; current_step, "",Iterations[[#This Row],[Grad_e]]))</f>
        <v>0.31691399312571061</v>
      </c>
    </row>
    <row r="225" spans="6:18" x14ac:dyDescent="0.3">
      <c r="F225" s="2">
        <f t="shared" si="5"/>
        <v>208</v>
      </c>
      <c r="G225" s="2">
        <f ca="1">IF(Iterations[[#This Row],[Step]] =current_step, current_a,IF(Iterations[[#This Row],[Step]] &gt; current_step, "",Iterations[[#This Row],[a]]))</f>
        <v>-4.0641165664097443</v>
      </c>
      <c r="H225" s="2">
        <f ca="1">IF(Iterations[[#This Row],[Step]] =current_step, current_b,IF(Iterations[[#This Row],[Step]] &gt; current_step, "",Iterations[[#This Row],[b]]))</f>
        <v>0.87365328852630708</v>
      </c>
      <c r="I225" s="2">
        <f ca="1">IF(Iterations[[#This Row],[Step]] =current_step, current_c,IF(Iterations[[#This Row],[Step]] &gt; current_step, "",Iterations[[#This Row],[c]]))</f>
        <v>12.230055910765055</v>
      </c>
      <c r="J225" s="2">
        <f ca="1">IF(Iterations[[#This Row],[Step]] =current_step, current_d,IF(Iterations[[#This Row],[Step]] &gt; current_step, "",Iterations[[#This Row],[d]]))</f>
        <v>0.76367632317795364</v>
      </c>
      <c r="K225" s="2">
        <f ca="1">IF(Iterations[[#This Row],[Step]] =current_step, current_e,IF(Iterations[[#This Row],[Step]] &gt; current_step, "",Iterations[[#This Row],[e]]))</f>
        <v>14.520628919313413</v>
      </c>
      <c r="L225" s="2">
        <f ca="1">IF(Iterations[[#This Row],[Step]] =current_step, current_Total_Loss,IF(Iterations[[#This Row],[Step]] &gt; current_step, "",Iterations[[#This Row],[Total Loss]]))</f>
        <v>181.48</v>
      </c>
      <c r="M225" s="6" t="s">
        <v>27</v>
      </c>
      <c r="N225" s="2">
        <f ca="1">IF(Iterations[[#This Row],[Step]] =current_step, current_Grad_a,IF(Iterations[[#This Row],[Step]] &gt; current_step, "",Iterations[[#This Row],[Grad_a]]))</f>
        <v>0.31376564944175023</v>
      </c>
      <c r="O225" s="2">
        <f ca="1">IF(Iterations[[#This Row],[Step]] =current_step, current_Grad_b,IF(Iterations[[#This Row],[Step]] &gt; current_step, "",Iterations[[#This Row],[Grad_b]]))</f>
        <v>4.5940517531145315E-2</v>
      </c>
      <c r="P225" s="2">
        <f ca="1">IF(Iterations[[#This Row],[Step]] =current_step, current_Grad_c,IF(Iterations[[#This Row],[Step]] &gt; current_step, "",Iterations[[#This Row],[Grad_c]]))</f>
        <v>-0.88188768208326129</v>
      </c>
      <c r="Q225" s="2">
        <f ca="1">IF(Iterations[[#This Row],[Step]] =current_step, current_Grad_d,IF(Iterations[[#This Row],[Step]] &gt; current_step, "",Iterations[[#This Row],[Grad_d]]))</f>
        <v>-3.1646875104833133E-2</v>
      </c>
      <c r="R225" s="2">
        <f ca="1">IF(Iterations[[#This Row],[Step]] =current_step, current_Grad_e,IF(Iterations[[#This Row],[Step]] &gt; current_step, "",Iterations[[#This Row],[Grad_e]]))</f>
        <v>0.31476156595297827</v>
      </c>
    </row>
    <row r="226" spans="6:18" x14ac:dyDescent="0.3">
      <c r="F226" s="2">
        <f t="shared" si="5"/>
        <v>209</v>
      </c>
      <c r="G226" s="2">
        <f ca="1">IF(Iterations[[#This Row],[Step]] =current_step, current_a,IF(Iterations[[#This Row],[Step]] &gt; current_step, "",Iterations[[#This Row],[a]]))</f>
        <v>-4.086080161870667</v>
      </c>
      <c r="H226" s="2">
        <f ca="1">IF(Iterations[[#This Row],[Step]] =current_step, current_b,IF(Iterations[[#This Row],[Step]] &gt; current_step, "",Iterations[[#This Row],[b]]))</f>
        <v>0.87043745229912695</v>
      </c>
      <c r="I226" s="2">
        <f ca="1">IF(Iterations[[#This Row],[Step]] =current_step, current_c,IF(Iterations[[#This Row],[Step]] &gt; current_step, "",Iterations[[#This Row],[c]]))</f>
        <v>12.291788048510883</v>
      </c>
      <c r="J226" s="2">
        <f ca="1">IF(Iterations[[#This Row],[Step]] =current_step, current_d,IF(Iterations[[#This Row],[Step]] &gt; current_step, "",Iterations[[#This Row],[d]]))</f>
        <v>0.76589160443529192</v>
      </c>
      <c r="K226" s="2">
        <f ca="1">IF(Iterations[[#This Row],[Step]] =current_step, current_e,IF(Iterations[[#This Row],[Step]] &gt; current_step, "",Iterations[[#This Row],[e]]))</f>
        <v>14.498595609696705</v>
      </c>
      <c r="L226" s="2">
        <f ca="1">IF(Iterations[[#This Row],[Step]] =current_step, current_Total_Loss,IF(Iterations[[#This Row],[Step]] &gt; current_step, "",Iterations[[#This Row],[Total Loss]]))</f>
        <v>180.26</v>
      </c>
      <c r="M226" s="6" t="s">
        <v>27</v>
      </c>
      <c r="N226" s="2">
        <f ca="1">IF(Iterations[[#This Row],[Step]] =current_step, current_Grad_a,IF(Iterations[[#This Row],[Step]] &gt; current_step, "",Iterations[[#This Row],[Grad_a]]))</f>
        <v>0.31164357166464363</v>
      </c>
      <c r="O226" s="2">
        <f ca="1">IF(Iterations[[#This Row],[Step]] =current_step, current_Grad_b,IF(Iterations[[#This Row],[Step]] &gt; current_step, "",Iterations[[#This Row],[Grad_b]]))</f>
        <v>4.5726928281550151E-2</v>
      </c>
      <c r="P226" s="2">
        <f ca="1">IF(Iterations[[#This Row],[Step]] =current_step, current_Grad_c,IF(Iterations[[#This Row],[Step]] &gt; current_step, "",Iterations[[#This Row],[Grad_c]]))</f>
        <v>-0.87590436592813792</v>
      </c>
      <c r="Q226" s="2">
        <f ca="1">IF(Iterations[[#This Row],[Step]] =current_step, current_Grad_d,IF(Iterations[[#This Row],[Step]] &gt; current_step, "",Iterations[[#This Row],[Grad_d]]))</f>
        <v>-3.1638851293228805E-2</v>
      </c>
      <c r="R226" s="2">
        <f ca="1">IF(Iterations[[#This Row],[Step]] =current_step, current_Grad_e,IF(Iterations[[#This Row],[Step]] &gt; current_step, "",Iterations[[#This Row],[Grad_e]]))</f>
        <v>0.3126237925587439</v>
      </c>
    </row>
    <row r="227" spans="6:18" x14ac:dyDescent="0.3">
      <c r="F227" s="2">
        <f t="shared" si="5"/>
        <v>210</v>
      </c>
      <c r="G227" s="2">
        <f ca="1">IF(Iterations[[#This Row],[Step]] =current_step, current_a,IF(Iterations[[#This Row],[Step]] &gt; current_step, "",Iterations[[#This Row],[a]]))</f>
        <v>-4.1078952118871923</v>
      </c>
      <c r="H227" s="2">
        <f ca="1">IF(Iterations[[#This Row],[Step]] =current_step, current_b,IF(Iterations[[#This Row],[Step]] &gt; current_step, "",Iterations[[#This Row],[b]]))</f>
        <v>0.86723656731941845</v>
      </c>
      <c r="I227" s="2">
        <f ca="1">IF(Iterations[[#This Row],[Step]] =current_step, current_c,IF(Iterations[[#This Row],[Step]] &gt; current_step, "",Iterations[[#This Row],[c]]))</f>
        <v>12.353101354125853</v>
      </c>
      <c r="J227" s="2">
        <f ca="1">IF(Iterations[[#This Row],[Step]] =current_step, current_d,IF(Iterations[[#This Row],[Step]] &gt; current_step, "",Iterations[[#This Row],[d]]))</f>
        <v>0.76810632402581791</v>
      </c>
      <c r="K227" s="2">
        <f ca="1">IF(Iterations[[#This Row],[Step]] =current_step, current_e,IF(Iterations[[#This Row],[Step]] &gt; current_step, "",Iterations[[#This Row],[e]]))</f>
        <v>14.476711944217593</v>
      </c>
      <c r="L227" s="2">
        <f ca="1">IF(Iterations[[#This Row],[Step]] =current_step, current_Total_Loss,IF(Iterations[[#This Row],[Step]] &gt; current_step, "",Iterations[[#This Row],[Total Loss]]))</f>
        <v>179.04</v>
      </c>
      <c r="M227" s="6" t="s">
        <v>27</v>
      </c>
      <c r="N227" s="2">
        <f ca="1">IF(Iterations[[#This Row],[Step]] =current_step, current_Grad_a,IF(Iterations[[#This Row],[Step]] &gt; current_step, "",Iterations[[#This Row],[Grad_a]]))</f>
        <v>0.30953584759161146</v>
      </c>
      <c r="O227" s="2">
        <f ca="1">IF(Iterations[[#This Row],[Step]] =current_step, current_Grad_b,IF(Iterations[[#This Row],[Step]] &gt; current_step, "",Iterations[[#This Row],[Grad_b]]))</f>
        <v>4.5513053224809537E-2</v>
      </c>
      <c r="P227" s="2">
        <f ca="1">IF(Iterations[[#This Row],[Step]] =current_step, current_Grad_c,IF(Iterations[[#This Row],[Step]] &gt; current_step, "",Iterations[[#This Row],[Grad_c]]))</f>
        <v>-0.86996182692204271</v>
      </c>
      <c r="Q227" s="2">
        <f ca="1">IF(Iterations[[#This Row],[Step]] =current_step, current_Grad_d,IF(Iterations[[#This Row],[Step]] &gt; current_step, "",Iterations[[#This Row],[Grad_d]]))</f>
        <v>-3.1627205814989096E-2</v>
      </c>
      <c r="R227" s="2">
        <f ca="1">IF(Iterations[[#This Row],[Step]] =current_step, current_Grad_e,IF(Iterations[[#This Row],[Step]] &gt; current_step, "",Iterations[[#This Row],[Grad_e]]))</f>
        <v>0.31050057693291183</v>
      </c>
    </row>
    <row r="228" spans="6:18" x14ac:dyDescent="0.3">
      <c r="F228" s="2">
        <f t="shared" si="5"/>
        <v>211</v>
      </c>
      <c r="G228" s="2">
        <f ca="1">IF(Iterations[[#This Row],[Step]] =current_step, current_a,IF(Iterations[[#This Row],[Step]] &gt; current_step, "",Iterations[[#This Row],[a]]))</f>
        <v>-4.1295627212186048</v>
      </c>
      <c r="H228" s="2">
        <f ca="1">IF(Iterations[[#This Row],[Step]] =current_step, current_b,IF(Iterations[[#This Row],[Step]] &gt; current_step, "",Iterations[[#This Row],[b]]))</f>
        <v>0.86405065359368183</v>
      </c>
      <c r="I228" s="2">
        <f ca="1">IF(Iterations[[#This Row],[Step]] =current_step, current_c,IF(Iterations[[#This Row],[Step]] &gt; current_step, "",Iterations[[#This Row],[c]]))</f>
        <v>12.413998682010396</v>
      </c>
      <c r="J228" s="2">
        <f ca="1">IF(Iterations[[#This Row],[Step]] =current_step, current_d,IF(Iterations[[#This Row],[Step]] &gt; current_step, "",Iterations[[#This Row],[d]]))</f>
        <v>0.77032022843286718</v>
      </c>
      <c r="K228" s="2">
        <f ca="1">IF(Iterations[[#This Row],[Step]] =current_step, current_e,IF(Iterations[[#This Row],[Step]] &gt; current_step, "",Iterations[[#This Row],[e]]))</f>
        <v>14.454976903832289</v>
      </c>
      <c r="L228" s="2">
        <f ca="1">IF(Iterations[[#This Row],[Step]] =current_step, current_Total_Loss,IF(Iterations[[#This Row],[Step]] &gt; current_step, "",Iterations[[#This Row],[Total Loss]]))</f>
        <v>177.85</v>
      </c>
      <c r="M228" s="6" t="s">
        <v>27</v>
      </c>
      <c r="N228" s="2">
        <f ca="1">IF(Iterations[[#This Row],[Step]] =current_step, current_Grad_a,IF(Iterations[[#This Row],[Step]] &gt; current_step, "",Iterations[[#This Row],[Grad_a]]))</f>
        <v>0.30744237884369302</v>
      </c>
      <c r="O228" s="2">
        <f ca="1">IF(Iterations[[#This Row],[Step]] =current_step, current_Grad_b,IF(Iterations[[#This Row],[Step]] &gt; current_step, "",Iterations[[#This Row],[Grad_b]]))</f>
        <v>4.5298924898370965E-2</v>
      </c>
      <c r="P228" s="2">
        <f ca="1">IF(Iterations[[#This Row],[Step]] =current_step, current_Grad_c,IF(Iterations[[#This Row],[Step]] &gt; current_step, "",Iterations[[#This Row],[Grad_c]]))</f>
        <v>-0.86405978295824204</v>
      </c>
      <c r="Q228" s="2">
        <f ca="1">IF(Iterations[[#This Row],[Step]] =current_step, current_Grad_d,IF(Iterations[[#This Row],[Step]] &gt; current_step, "",Iterations[[#This Row],[Grad_d]]))</f>
        <v>-3.1612028911471461E-2</v>
      </c>
      <c r="R228" s="2">
        <f ca="1">IF(Iterations[[#This Row],[Step]] =current_step, current_Grad_e,IF(Iterations[[#This Row],[Step]] &gt; current_step, "",Iterations[[#This Row],[Grad_e]]))</f>
        <v>0.3083918232263968</v>
      </c>
    </row>
    <row r="229" spans="6:18" x14ac:dyDescent="0.3">
      <c r="F229" s="2">
        <f t="shared" si="5"/>
        <v>212</v>
      </c>
      <c r="G229" s="2">
        <f ca="1">IF(Iterations[[#This Row],[Step]] =current_step, current_a,IF(Iterations[[#This Row],[Step]] &gt; current_step, "",Iterations[[#This Row],[a]]))</f>
        <v>-4.1510836877376631</v>
      </c>
      <c r="H229" s="2">
        <f ca="1">IF(Iterations[[#This Row],[Step]] =current_step, current_b,IF(Iterations[[#This Row],[Step]] &gt; current_step, "",Iterations[[#This Row],[b]]))</f>
        <v>0.86087972885079589</v>
      </c>
      <c r="I229" s="2">
        <f ca="1">IF(Iterations[[#This Row],[Step]] =current_step, current_c,IF(Iterations[[#This Row],[Step]] &gt; current_step, "",Iterations[[#This Row],[c]]))</f>
        <v>12.474482866817473</v>
      </c>
      <c r="J229" s="2">
        <f ca="1">IF(Iterations[[#This Row],[Step]] =current_step, current_d,IF(Iterations[[#This Row],[Step]] &gt; current_step, "",Iterations[[#This Row],[d]]))</f>
        <v>0.77253307045667019</v>
      </c>
      <c r="K229" s="2">
        <f ca="1">IF(Iterations[[#This Row],[Step]] =current_step, current_e,IF(Iterations[[#This Row],[Step]] &gt; current_step, "",Iterations[[#This Row],[e]]))</f>
        <v>14.433389476206441</v>
      </c>
      <c r="L229" s="2">
        <f ca="1">IF(Iterations[[#This Row],[Step]] =current_step, current_Total_Loss,IF(Iterations[[#This Row],[Step]] &gt; current_step, "",Iterations[[#This Row],[Total Loss]]))</f>
        <v>176.67</v>
      </c>
      <c r="M229" s="6" t="s">
        <v>27</v>
      </c>
      <c r="N229" s="2">
        <f ca="1">IF(Iterations[[#This Row],[Step]] =current_step, current_Grad_a,IF(Iterations[[#This Row],[Step]] &gt; current_step, "",Iterations[[#This Row],[Grad_a]]))</f>
        <v>0.30536306785498879</v>
      </c>
      <c r="O229" s="2">
        <f ca="1">IF(Iterations[[#This Row],[Step]] =current_step, current_Grad_b,IF(Iterations[[#This Row],[Step]] &gt; current_step, "",Iterations[[#This Row],[Grad_b]]))</f>
        <v>4.5084575096763418E-2</v>
      </c>
      <c r="P229" s="2">
        <f ca="1">IF(Iterations[[#This Row],[Step]] =current_step, current_Grad_c,IF(Iterations[[#This Row],[Step]] &gt; current_step, "",Iterations[[#This Row],[Grad_c]]))</f>
        <v>-0.85819795404413324</v>
      </c>
      <c r="Q229" s="2">
        <f ca="1">IF(Iterations[[#This Row],[Step]] =current_step, current_Grad_d,IF(Iterations[[#This Row],[Step]] &gt; current_step, "",Iterations[[#This Row],[Grad_d]]))</f>
        <v>-3.1593409021481507E-2</v>
      </c>
      <c r="R229" s="2">
        <f ca="1">IF(Iterations[[#This Row],[Step]] =current_step, current_Grad_e,IF(Iterations[[#This Row],[Step]] &gt; current_step, "",Iterations[[#This Row],[Grad_e]]))</f>
        <v>0.30629743579842994</v>
      </c>
    </row>
    <row r="230" spans="6:18" x14ac:dyDescent="0.3">
      <c r="F230" s="2">
        <f t="shared" si="5"/>
        <v>213</v>
      </c>
      <c r="G230" s="2">
        <f ca="1">IF(Iterations[[#This Row],[Step]] =current_step, current_a,IF(Iterations[[#This Row],[Step]] &gt; current_step, "",Iterations[[#This Row],[a]]))</f>
        <v>-4.1724591024875126</v>
      </c>
      <c r="H230" s="2">
        <f ca="1">IF(Iterations[[#This Row],[Step]] =current_step, current_b,IF(Iterations[[#This Row],[Step]] &gt; current_step, "",Iterations[[#This Row],[b]]))</f>
        <v>0.85772380859402242</v>
      </c>
      <c r="I230" s="2">
        <f ca="1">IF(Iterations[[#This Row],[Step]] =current_step, current_c,IF(Iterations[[#This Row],[Step]] &gt; current_step, "",Iterations[[#This Row],[c]]))</f>
        <v>12.534556723600563</v>
      </c>
      <c r="J230" s="2">
        <f ca="1">IF(Iterations[[#This Row],[Step]] =current_step, current_d,IF(Iterations[[#This Row],[Step]] &gt; current_step, "",Iterations[[#This Row],[d]]))</f>
        <v>0.77474460908817389</v>
      </c>
      <c r="K230" s="2">
        <f ca="1">IF(Iterations[[#This Row],[Step]] =current_step, current_e,IF(Iterations[[#This Row],[Step]] &gt; current_step, "",Iterations[[#This Row],[e]]))</f>
        <v>14.411948655700551</v>
      </c>
      <c r="L230" s="2">
        <f ca="1">IF(Iterations[[#This Row],[Step]] =current_step, current_Total_Loss,IF(Iterations[[#This Row],[Step]] &gt; current_step, "",Iterations[[#This Row],[Total Loss]]))</f>
        <v>175.51</v>
      </c>
      <c r="M230" s="6" t="s">
        <v>27</v>
      </c>
      <c r="N230" s="2">
        <f ca="1">IF(Iterations[[#This Row],[Step]] =current_step, current_Grad_a,IF(Iterations[[#This Row],[Step]] &gt; current_step, "",Iterations[[#This Row],[Grad_a]]))</f>
        <v>0.30329781785263893</v>
      </c>
      <c r="O230" s="2">
        <f ca="1">IF(Iterations[[#This Row],[Step]] =current_step, current_Grad_b,IF(Iterations[[#This Row],[Step]] &gt; current_step, "",Iterations[[#This Row],[Grad_b]]))</f>
        <v>4.4870034884020131E-2</v>
      </c>
      <c r="P230" s="2">
        <f ca="1">IF(Iterations[[#This Row],[Step]] =current_step, current_Grad_c,IF(Iterations[[#This Row],[Step]] &gt; current_step, "",Iterations[[#This Row],[Grad_c]]))</f>
        <v>-0.85237606227473761</v>
      </c>
      <c r="Q230" s="2">
        <f ca="1">IF(Iterations[[#This Row],[Step]] =current_step, current_Grad_d,IF(Iterations[[#This Row],[Step]] &gt; current_step, "",Iterations[[#This Row],[Grad_d]]))</f>
        <v>-3.1571432816526045E-2</v>
      </c>
      <c r="R230" s="2">
        <f ca="1">IF(Iterations[[#This Row],[Step]] =current_step, current_Grad_e,IF(Iterations[[#This Row],[Step]] &gt; current_step, "",Iterations[[#This Row],[Grad_e]]))</f>
        <v>0.30421731925888768</v>
      </c>
    </row>
    <row r="231" spans="6:18" x14ac:dyDescent="0.3">
      <c r="F231" s="2">
        <f t="shared" si="5"/>
        <v>214</v>
      </c>
      <c r="G231" s="2">
        <f ca="1">IF(Iterations[[#This Row],[Step]] =current_step, current_a,IF(Iterations[[#This Row],[Step]] &gt; current_step, "",Iterations[[#This Row],[a]]))</f>
        <v>-4.1936899497371973</v>
      </c>
      <c r="H231" s="2">
        <f ca="1">IF(Iterations[[#This Row],[Step]] =current_step, current_b,IF(Iterations[[#This Row],[Step]] &gt; current_step, "",Iterations[[#This Row],[b]]))</f>
        <v>0.85458290615214105</v>
      </c>
      <c r="I231" s="2">
        <f ca="1">IF(Iterations[[#This Row],[Step]] =current_step, current_c,IF(Iterations[[#This Row],[Step]] &gt; current_step, "",Iterations[[#This Row],[c]]))</f>
        <v>12.594223047959794</v>
      </c>
      <c r="J231" s="2">
        <f ca="1">IF(Iterations[[#This Row],[Step]] =current_step, current_d,IF(Iterations[[#This Row],[Step]] &gt; current_step, "",Iterations[[#This Row],[d]]))</f>
        <v>0.77695460938533067</v>
      </c>
      <c r="K231" s="2">
        <f ca="1">IF(Iterations[[#This Row],[Step]] =current_step, current_e,IF(Iterations[[#This Row],[Step]] &gt; current_step, "",Iterations[[#This Row],[e]]))</f>
        <v>14.390653443352429</v>
      </c>
      <c r="L231" s="2">
        <f ca="1">IF(Iterations[[#This Row],[Step]] =current_step, current_Total_Loss,IF(Iterations[[#This Row],[Step]] &gt; current_step, "",Iterations[[#This Row],[Total Loss]]))</f>
        <v>174.36</v>
      </c>
      <c r="M231" s="6" t="s">
        <v>27</v>
      </c>
      <c r="N231" s="2">
        <f ca="1">IF(Iterations[[#This Row],[Step]] =current_step, current_Grad_a,IF(Iterations[[#This Row],[Step]] &gt; current_step, "",Iterations[[#This Row],[Grad_a]]))</f>
        <v>0.30124653283913955</v>
      </c>
      <c r="O231" s="2">
        <f ca="1">IF(Iterations[[#This Row],[Step]] =current_step, current_Grad_b,IF(Iterations[[#This Row],[Step]] &gt; current_step, "",Iterations[[#This Row],[Grad_b]]))</f>
        <v>4.4655334605734391E-2</v>
      </c>
      <c r="P231" s="2">
        <f ca="1">IF(Iterations[[#This Row],[Step]] =current_step, current_Grad_c,IF(Iterations[[#This Row],[Step]] &gt; current_step, "",Iterations[[#This Row],[Grad_c]]))</f>
        <v>-0.84659383180703673</v>
      </c>
      <c r="Q231" s="2">
        <f ca="1">IF(Iterations[[#This Row],[Step]] =current_step, current_Grad_d,IF(Iterations[[#This Row],[Step]] &gt; current_step, "",Iterations[[#This Row],[Grad_d]]))</f>
        <v>-3.1546185235370623E-2</v>
      </c>
      <c r="R231" s="2">
        <f ca="1">IF(Iterations[[#This Row],[Step]] =current_step, current_Grad_e,IF(Iterations[[#This Row],[Step]] &gt; current_step, "",Iterations[[#This Row],[Grad_e]]))</f>
        <v>0.3021513785064105</v>
      </c>
    </row>
    <row r="232" spans="6:18" x14ac:dyDescent="0.3">
      <c r="F232" s="2">
        <f t="shared" si="5"/>
        <v>215</v>
      </c>
      <c r="G232" s="2">
        <f ca="1">IF(Iterations[[#This Row],[Step]] =current_step, current_a,IF(Iterations[[#This Row],[Step]] &gt; current_step, "",Iterations[[#This Row],[a]]))</f>
        <v>-4.2147772070359375</v>
      </c>
      <c r="H232" s="2">
        <f ca="1">IF(Iterations[[#This Row],[Step]] =current_step, current_b,IF(Iterations[[#This Row],[Step]] &gt; current_step, "",Iterations[[#This Row],[b]]))</f>
        <v>0.8514570327297396</v>
      </c>
      <c r="I232" s="2">
        <f ca="1">IF(Iterations[[#This Row],[Step]] =current_step, current_c,IF(Iterations[[#This Row],[Step]] &gt; current_step, "",Iterations[[#This Row],[c]]))</f>
        <v>12.653484616186287</v>
      </c>
      <c r="J232" s="2">
        <f ca="1">IF(Iterations[[#This Row],[Step]] =current_step, current_d,IF(Iterations[[#This Row],[Step]] &gt; current_step, "",Iterations[[#This Row],[d]]))</f>
        <v>0.77916284235180666</v>
      </c>
      <c r="K232" s="2">
        <f ca="1">IF(Iterations[[#This Row],[Step]] =current_step, current_e,IF(Iterations[[#This Row],[Step]] &gt; current_step, "",Iterations[[#This Row],[e]]))</f>
        <v>14.36950284685698</v>
      </c>
      <c r="L232" s="2">
        <f ca="1">IF(Iterations[[#This Row],[Step]] =current_step, current_Total_Loss,IF(Iterations[[#This Row],[Step]] &gt; current_step, "",Iterations[[#This Row],[Total Loss]]))</f>
        <v>173.23</v>
      </c>
      <c r="M232" s="6" t="s">
        <v>27</v>
      </c>
      <c r="N232" s="2">
        <f ca="1">IF(Iterations[[#This Row],[Step]] =current_step, current_Grad_a,IF(Iterations[[#This Row],[Step]] &gt; current_step, "",Iterations[[#This Row],[Grad_a]]))</f>
        <v>0.2992091175750215</v>
      </c>
      <c r="O232" s="2">
        <f ca="1">IF(Iterations[[#This Row],[Step]] =current_step, current_Grad_b,IF(Iterations[[#This Row],[Step]] &gt; current_step, "",Iterations[[#This Row],[Grad_b]]))</f>
        <v>4.4440503901488446E-2</v>
      </c>
      <c r="P232" s="2">
        <f ca="1">IF(Iterations[[#This Row],[Step]] =current_step, current_Grad_c,IF(Iterations[[#This Row],[Step]] &gt; current_step, "",Iterations[[#This Row],[Grad_c]]))</f>
        <v>-0.84085098883577181</v>
      </c>
      <c r="Q232" s="2">
        <f ca="1">IF(Iterations[[#This Row],[Step]] =current_step, current_Grad_d,IF(Iterations[[#This Row],[Step]] &gt; current_step, "",Iterations[[#This Row],[Grad_d]]))</f>
        <v>-3.1517749517660003E-2</v>
      </c>
      <c r="R232" s="2">
        <f ca="1">IF(Iterations[[#This Row],[Step]] =current_step, current_Grad_e,IF(Iterations[[#This Row],[Step]] &gt; current_step, "",Iterations[[#This Row],[Grad_e]]))</f>
        <v>0.30009951876240648</v>
      </c>
    </row>
    <row r="233" spans="6:18" x14ac:dyDescent="0.3">
      <c r="F233" s="2">
        <f t="shared" si="5"/>
        <v>216</v>
      </c>
      <c r="G233" s="2">
        <f ca="1">IF(Iterations[[#This Row],[Step]] =current_step, current_a,IF(Iterations[[#This Row],[Step]] &gt; current_step, "",Iterations[[#This Row],[a]]))</f>
        <v>-4.2357218452661893</v>
      </c>
      <c r="H233" s="2">
        <f ca="1">IF(Iterations[[#This Row],[Step]] =current_step, current_b,IF(Iterations[[#This Row],[Step]] &gt; current_step, "",Iterations[[#This Row],[b]]))</f>
        <v>0.84834619745663542</v>
      </c>
      <c r="I233" s="2">
        <f ca="1">IF(Iterations[[#This Row],[Step]] =current_step, current_c,IF(Iterations[[#This Row],[Step]] &gt; current_step, "",Iterations[[#This Row],[c]]))</f>
        <v>12.71234418540479</v>
      </c>
      <c r="J233" s="2">
        <f ca="1">IF(Iterations[[#This Row],[Step]] =current_step, current_d,IF(Iterations[[#This Row],[Step]] &gt; current_step, "",Iterations[[#This Row],[d]]))</f>
        <v>0.7813690848180429</v>
      </c>
      <c r="K233" s="2">
        <f ca="1">IF(Iterations[[#This Row],[Step]] =current_step, current_e,IF(Iterations[[#This Row],[Step]] &gt; current_step, "",Iterations[[#This Row],[e]]))</f>
        <v>14.348495880543611</v>
      </c>
      <c r="L233" s="2">
        <f ca="1">IF(Iterations[[#This Row],[Step]] =current_step, current_Total_Loss,IF(Iterations[[#This Row],[Step]] &gt; current_step, "",Iterations[[#This Row],[Total Loss]]))</f>
        <v>172.11</v>
      </c>
      <c r="M233" s="6" t="s">
        <v>27</v>
      </c>
      <c r="N233" s="2">
        <f ca="1">IF(Iterations[[#This Row],[Step]] =current_step, current_Grad_a,IF(Iterations[[#This Row],[Step]] &gt; current_step, "",Iterations[[#This Row],[Grad_a]]))</f>
        <v>0.29718547756375163</v>
      </c>
      <c r="O233" s="2">
        <f ca="1">IF(Iterations[[#This Row],[Step]] =current_step, current_Grad_b,IF(Iterations[[#This Row],[Step]] &gt; current_step, "",Iterations[[#This Row],[Grad_b]]))</f>
        <v>4.4225571716738799E-2</v>
      </c>
      <c r="P233" s="2">
        <f ca="1">IF(Iterations[[#This Row],[Step]] =current_step, current_Grad_c,IF(Iterations[[#This Row],[Step]] &gt; current_step, "",Iterations[[#This Row],[Grad_c]]))</f>
        <v>-0.83514726156985231</v>
      </c>
      <c r="Q233" s="2">
        <f ca="1">IF(Iterations[[#This Row],[Step]] =current_step, current_Grad_d,IF(Iterations[[#This Row],[Step]] &gt; current_step, "",Iterations[[#This Row],[Grad_d]]))</f>
        <v>-3.1486207236948421E-2</v>
      </c>
      <c r="R233" s="2">
        <f ca="1">IF(Iterations[[#This Row],[Step]] =current_step, current_Grad_e,IF(Iterations[[#This Row],[Step]] &gt; current_step, "",Iterations[[#This Row],[Grad_e]]))</f>
        <v>0.29806164560164639</v>
      </c>
    </row>
    <row r="234" spans="6:18" x14ac:dyDescent="0.3">
      <c r="F234" s="2">
        <f t="shared" si="5"/>
        <v>217</v>
      </c>
      <c r="G234" s="2">
        <f ca="1">IF(Iterations[[#This Row],[Step]] =current_step, current_a,IF(Iterations[[#This Row],[Step]] &gt; current_step, "",Iterations[[#This Row],[a]]))</f>
        <v>-4.2565248286956523</v>
      </c>
      <c r="H234" s="2">
        <f ca="1">IF(Iterations[[#This Row],[Step]] =current_step, current_b,IF(Iterations[[#This Row],[Step]] &gt; current_step, "",Iterations[[#This Row],[b]]))</f>
        <v>0.84525040743646374</v>
      </c>
      <c r="I234" s="2">
        <f ca="1">IF(Iterations[[#This Row],[Step]] =current_step, current_c,IF(Iterations[[#This Row],[Step]] &gt; current_step, "",Iterations[[#This Row],[c]]))</f>
        <v>12.77080449371468</v>
      </c>
      <c r="J234" s="2">
        <f ca="1">IF(Iterations[[#This Row],[Step]] =current_step, current_d,IF(Iterations[[#This Row],[Step]] &gt; current_step, "",Iterations[[#This Row],[d]]))</f>
        <v>0.78357311932462925</v>
      </c>
      <c r="K234" s="2">
        <f ca="1">IF(Iterations[[#This Row],[Step]] =current_step, current_e,IF(Iterations[[#This Row],[Step]] &gt; current_step, "",Iterations[[#This Row],[e]]))</f>
        <v>14.327631565351496</v>
      </c>
      <c r="L234" s="2">
        <f ca="1">IF(Iterations[[#This Row],[Step]] =current_step, current_Total_Loss,IF(Iterations[[#This Row],[Step]] &gt; current_step, "",Iterations[[#This Row],[Total Loss]]))</f>
        <v>171.01</v>
      </c>
      <c r="M234" s="6" t="s">
        <v>27</v>
      </c>
      <c r="N234" s="2">
        <f ca="1">IF(Iterations[[#This Row],[Step]] =current_step, current_Grad_a,IF(Iterations[[#This Row],[Step]] &gt; current_step, "",Iterations[[#This Row],[Grad_a]]))</f>
        <v>0.29517551903665346</v>
      </c>
      <c r="O234" s="2">
        <f ca="1">IF(Iterations[[#This Row],[Step]] =current_step, current_Grad_b,IF(Iterations[[#This Row],[Step]] &gt; current_step, "",Iterations[[#This Row],[Grad_b]]))</f>
        <v>4.4010566315114415E-2</v>
      </c>
      <c r="P234" s="2">
        <f ca="1">IF(Iterations[[#This Row],[Step]] =current_step, current_Grad_c,IF(Iterations[[#This Row],[Step]] &gt; current_step, "",Iterations[[#This Row],[Grad_c]]))</f>
        <v>-0.82948238021010867</v>
      </c>
      <c r="Q234" s="2">
        <f ca="1">IF(Iterations[[#This Row],[Step]] =current_step, current_Grad_d,IF(Iterations[[#This Row],[Step]] &gt; current_step, "",Iterations[[#This Row],[Grad_d]]))</f>
        <v>-3.1451638332821927E-2</v>
      </c>
      <c r="R234" s="2">
        <f ca="1">IF(Iterations[[#This Row],[Step]] =current_step, current_Grad_e,IF(Iterations[[#This Row],[Step]] &gt; current_step, "",Iterations[[#This Row],[Grad_e]]))</f>
        <v>0.29603766497941009</v>
      </c>
    </row>
    <row r="235" spans="6:18" x14ac:dyDescent="0.3">
      <c r="F235" s="2">
        <f t="shared" si="5"/>
        <v>218</v>
      </c>
      <c r="G235" s="2">
        <f ca="1">IF(Iterations[[#This Row],[Step]] =current_step, current_a,IF(Iterations[[#This Row],[Step]] &gt; current_step, "",Iterations[[#This Row],[a]]))</f>
        <v>-4.2771871150282177</v>
      </c>
      <c r="H235" s="2">
        <f ca="1">IF(Iterations[[#This Row],[Step]] =current_step, current_b,IF(Iterations[[#This Row],[Step]] &gt; current_step, "",Iterations[[#This Row],[b]]))</f>
        <v>0.84216966779440572</v>
      </c>
      <c r="I235" s="2">
        <f ca="1">IF(Iterations[[#This Row],[Step]] =current_step, current_c,IF(Iterations[[#This Row],[Step]] &gt; current_step, "",Iterations[[#This Row],[c]]))</f>
        <v>12.828868260329388</v>
      </c>
      <c r="J235" s="2">
        <f ca="1">IF(Iterations[[#This Row],[Step]] =current_step, current_d,IF(Iterations[[#This Row],[Step]] &gt; current_step, "",Iterations[[#This Row],[d]]))</f>
        <v>0.78577473400792675</v>
      </c>
      <c r="K235" s="2">
        <f ca="1">IF(Iterations[[#This Row],[Step]] =current_step, current_e,IF(Iterations[[#This Row],[Step]] &gt; current_step, "",Iterations[[#This Row],[e]]))</f>
        <v>14.306908928802937</v>
      </c>
      <c r="L235" s="2">
        <f ca="1">IF(Iterations[[#This Row],[Step]] =current_step, current_Total_Loss,IF(Iterations[[#This Row],[Step]] &gt; current_step, "",Iterations[[#This Row],[Total Loss]]))</f>
        <v>169.92</v>
      </c>
      <c r="M235" s="6" t="s">
        <v>27</v>
      </c>
      <c r="N235" s="2">
        <f ca="1">IF(Iterations[[#This Row],[Step]] =current_step, current_Grad_a,IF(Iterations[[#This Row],[Step]] &gt; current_step, "",Iterations[[#This Row],[Grad_a]]))</f>
        <v>0.29317914893980557</v>
      </c>
      <c r="O235" s="2">
        <f ca="1">IF(Iterations[[#This Row],[Step]] =current_step, current_Grad_b,IF(Iterations[[#This Row],[Step]] &gt; current_step, "",Iterations[[#This Row],[Grad_b]]))</f>
        <v>4.3795515290252003E-2</v>
      </c>
      <c r="P235" s="2">
        <f ca="1">IF(Iterations[[#This Row],[Step]] =current_step, current_Grad_c,IF(Iterations[[#This Row],[Step]] &gt; current_step, "",Iterations[[#This Row],[Grad_c]]))</f>
        <v>-0.82385607692749785</v>
      </c>
      <c r="Q235" s="2">
        <f ca="1">IF(Iterations[[#This Row],[Step]] =current_step, current_Grad_d,IF(Iterations[[#This Row],[Step]] &gt; current_step, "",Iterations[[#This Row],[Grad_d]]))</f>
        <v>-3.1414121142453726E-2</v>
      </c>
      <c r="R235" s="2">
        <f ca="1">IF(Iterations[[#This Row],[Step]] =current_step, current_Grad_e,IF(Iterations[[#This Row],[Step]] &gt; current_step, "",Iterations[[#This Row],[Grad_e]]))</f>
        <v>0.29402748325585965</v>
      </c>
    </row>
    <row r="236" spans="6:18" x14ac:dyDescent="0.3">
      <c r="F236" s="2">
        <f t="shared" si="5"/>
        <v>219</v>
      </c>
      <c r="G236" s="2">
        <f ca="1">IF(Iterations[[#This Row],[Step]] =current_step, current_a,IF(Iterations[[#This Row],[Step]] &gt; current_step, "",Iterations[[#This Row],[a]]))</f>
        <v>-4.2977096554540042</v>
      </c>
      <c r="H236" s="2">
        <f ca="1">IF(Iterations[[#This Row],[Step]] =current_step, current_b,IF(Iterations[[#This Row],[Step]] &gt; current_step, "",Iterations[[#This Row],[b]]))</f>
        <v>0.83910398172408807</v>
      </c>
      <c r="I236" s="2">
        <f ca="1">IF(Iterations[[#This Row],[Step]] =current_step, current_c,IF(Iterations[[#This Row],[Step]] &gt; current_step, "",Iterations[[#This Row],[c]]))</f>
        <v>12.886538185714313</v>
      </c>
      <c r="J236" s="2">
        <f ca="1">IF(Iterations[[#This Row],[Step]] =current_step, current_d,IF(Iterations[[#This Row],[Step]] &gt; current_step, "",Iterations[[#This Row],[d]]))</f>
        <v>0.78797372248789854</v>
      </c>
      <c r="K236" s="2">
        <f ca="1">IF(Iterations[[#This Row],[Step]] =current_step, current_e,IF(Iterations[[#This Row],[Step]] &gt; current_step, "",Iterations[[#This Row],[e]]))</f>
        <v>14.286327004975027</v>
      </c>
      <c r="L236" s="2">
        <f ca="1">IF(Iterations[[#This Row],[Step]] =current_step, current_Total_Loss,IF(Iterations[[#This Row],[Step]] &gt; current_step, "",Iterations[[#This Row],[Total Loss]]))</f>
        <v>168.85</v>
      </c>
      <c r="M236" s="6" t="s">
        <v>27</v>
      </c>
      <c r="N236" s="2">
        <f ca="1">IF(Iterations[[#This Row],[Step]] =current_step, current_Grad_a,IF(Iterations[[#This Row],[Step]] &gt; current_step, "",Iterations[[#This Row],[Grad_a]]))</f>
        <v>0.29119627492085598</v>
      </c>
      <c r="O236" s="2">
        <f ca="1">IF(Iterations[[#This Row],[Step]] =current_step, current_Grad_b,IF(Iterations[[#This Row],[Step]] &gt; current_step, "",Iterations[[#This Row],[Grad_b]]))</f>
        <v>4.358044557779836E-2</v>
      </c>
      <c r="P236" s="2">
        <f ca="1">IF(Iterations[[#This Row],[Step]] =current_step, current_Grad_c,IF(Iterations[[#This Row],[Step]] &gt; current_step, "",Iterations[[#This Row],[Grad_c]]))</f>
        <v>-0.81826808584249533</v>
      </c>
      <c r="Q236" s="2">
        <f ca="1">IF(Iterations[[#This Row],[Step]] =current_step, current_Grad_d,IF(Iterations[[#This Row],[Step]] &gt; current_step, "",Iterations[[#This Row],[Grad_d]]))</f>
        <v>-3.1373732431381002E-2</v>
      </c>
      <c r="R236" s="2">
        <f ca="1">IF(Iterations[[#This Row],[Step]] =current_step, current_Grad_e,IF(Iterations[[#This Row],[Step]] &gt; current_step, "",Iterations[[#This Row],[Grad_e]]))</f>
        <v>0.2920310072175511</v>
      </c>
    </row>
    <row r="237" spans="6:18" x14ac:dyDescent="0.3">
      <c r="F237" s="2">
        <f t="shared" si="5"/>
        <v>220</v>
      </c>
      <c r="G237" s="2">
        <f ca="1">IF(Iterations[[#This Row],[Step]] =current_step, current_a,IF(Iterations[[#This Row],[Step]] &gt; current_step, "",Iterations[[#This Row],[a]]))</f>
        <v>-4.3180933946984643</v>
      </c>
      <c r="H237" s="2">
        <f ca="1">IF(Iterations[[#This Row],[Step]] =current_step, current_b,IF(Iterations[[#This Row],[Step]] &gt; current_step, "",Iterations[[#This Row],[b]]))</f>
        <v>0.83605335053364216</v>
      </c>
      <c r="I237" s="2">
        <f ca="1">IF(Iterations[[#This Row],[Step]] =current_step, current_c,IF(Iterations[[#This Row],[Step]] &gt; current_step, "",Iterations[[#This Row],[c]]))</f>
        <v>12.943816951723289</v>
      </c>
      <c r="J237" s="2">
        <f ca="1">IF(Iterations[[#This Row],[Step]] =current_step, current_d,IF(Iterations[[#This Row],[Step]] &gt; current_step, "",Iterations[[#This Row],[d]]))</f>
        <v>0.79016988375809516</v>
      </c>
      <c r="K237" s="2">
        <f ca="1">IF(Iterations[[#This Row],[Step]] =current_step, current_e,IF(Iterations[[#This Row],[Step]] &gt; current_step, "",Iterations[[#This Row],[e]]))</f>
        <v>14.265884834469798</v>
      </c>
      <c r="L237" s="2">
        <f ca="1">IF(Iterations[[#This Row],[Step]] =current_step, current_Total_Loss,IF(Iterations[[#This Row],[Step]] &gt; current_step, "",Iterations[[#This Row],[Total Loss]]))</f>
        <v>167.79</v>
      </c>
      <c r="M237" s="6" t="s">
        <v>27</v>
      </c>
      <c r="N237" s="2">
        <f ca="1">IF(Iterations[[#This Row],[Step]] =current_step, current_Grad_a,IF(Iterations[[#This Row],[Step]] &gt; current_step, "",Iterations[[#This Row],[Grad_a]]))</f>
        <v>0.28922680531773992</v>
      </c>
      <c r="O237" s="2">
        <f ca="1">IF(Iterations[[#This Row],[Step]] =current_step, current_Grad_b,IF(Iterations[[#This Row],[Step]] &gt; current_step, "",Iterations[[#This Row],[Grad_b]]))</f>
        <v>4.336538346707957E-2</v>
      </c>
      <c r="P237" s="2">
        <f ca="1">IF(Iterations[[#This Row],[Step]] =current_step, current_Grad_c,IF(Iterations[[#This Row],[Step]] &gt; current_step, "",Iterations[[#This Row],[Grad_c]]))</f>
        <v>-0.81271814300476297</v>
      </c>
      <c r="Q237" s="2">
        <f ca="1">IF(Iterations[[#This Row],[Step]] =current_step, current_Grad_d,IF(Iterations[[#This Row],[Step]] &gt; current_step, "",Iterations[[#This Row],[Grad_d]]))</f>
        <v>-3.1330547423697168E-2</v>
      </c>
      <c r="R237" s="2">
        <f ca="1">IF(Iterations[[#This Row],[Step]] =current_step, current_Grad_e,IF(Iterations[[#This Row],[Step]] &gt; current_step, "",Iterations[[#This Row],[Grad_e]]))</f>
        <v>0.29004814409671653</v>
      </c>
    </row>
    <row r="238" spans="6:18" x14ac:dyDescent="0.3">
      <c r="F238" s="2">
        <f t="shared" si="5"/>
        <v>221</v>
      </c>
      <c r="G238" s="2">
        <f ca="1">IF(Iterations[[#This Row],[Step]] =current_step, current_a,IF(Iterations[[#This Row],[Step]] &gt; current_step, "",Iterations[[#This Row],[a]]))</f>
        <v>-4.3383392710707058</v>
      </c>
      <c r="H238" s="2">
        <f ca="1">IF(Iterations[[#This Row],[Step]] =current_step, current_b,IF(Iterations[[#This Row],[Step]] &gt; current_step, "",Iterations[[#This Row],[b]]))</f>
        <v>0.83301777369094654</v>
      </c>
      <c r="I238" s="2">
        <f ca="1">IF(Iterations[[#This Row],[Step]] =current_step, current_c,IF(Iterations[[#This Row],[Step]] &gt; current_step, "",Iterations[[#This Row],[c]]))</f>
        <v>13.000707221733622</v>
      </c>
      <c r="J238" s="2">
        <f ca="1">IF(Iterations[[#This Row],[Step]] =current_step, current_d,IF(Iterations[[#This Row],[Step]] &gt; current_step, "",Iterations[[#This Row],[d]]))</f>
        <v>0.792363022077754</v>
      </c>
      <c r="K238" s="2">
        <f ca="1">IF(Iterations[[#This Row],[Step]] =current_step, current_e,IF(Iterations[[#This Row],[Step]] &gt; current_step, "",Iterations[[#This Row],[e]]))</f>
        <v>14.245581464383028</v>
      </c>
      <c r="L238" s="2">
        <f ca="1">IF(Iterations[[#This Row],[Step]] =current_step, current_Total_Loss,IF(Iterations[[#This Row],[Step]] &gt; current_step, "",Iterations[[#This Row],[Total Loss]]))</f>
        <v>166.75</v>
      </c>
      <c r="M238" s="6" t="s">
        <v>27</v>
      </c>
      <c r="N238" s="2">
        <f ca="1">IF(Iterations[[#This Row],[Step]] =current_step, current_Grad_a,IF(Iterations[[#This Row],[Step]] &gt; current_step, "",Iterations[[#This Row],[Grad_a]]))</f>
        <v>0.28727064914688899</v>
      </c>
      <c r="O238" s="2">
        <f ca="1">IF(Iterations[[#This Row],[Step]] =current_step, current_Grad_b,IF(Iterations[[#This Row],[Step]] &gt; current_step, "",Iterations[[#This Row],[Grad_b]]))</f>
        <v>4.3150354612931013E-2</v>
      </c>
      <c r="P238" s="2">
        <f ca="1">IF(Iterations[[#This Row],[Step]] =current_step, current_Grad_c,IF(Iterations[[#This Row],[Step]] &gt; current_step, "",Iterations[[#This Row],[Grad_c]]))</f>
        <v>-0.80720598637399643</v>
      </c>
      <c r="Q238" s="2">
        <f ca="1">IF(Iterations[[#This Row],[Step]] =current_step, current_Grad_d,IF(Iterations[[#This Row],[Step]] &gt; current_step, "",Iterations[[#This Row],[Grad_d]]))</f>
        <v>-3.1284639831513715E-2</v>
      </c>
      <c r="R238" s="2">
        <f ca="1">IF(Iterations[[#This Row],[Step]] =current_step, current_Grad_e,IF(Iterations[[#This Row],[Step]] &gt; current_step, "",Iterations[[#This Row],[Grad_e]]))</f>
        <v>0.28807880158810761</v>
      </c>
    </row>
    <row r="239" spans="6:18" x14ac:dyDescent="0.3">
      <c r="F239" s="2">
        <f t="shared" si="5"/>
        <v>222</v>
      </c>
      <c r="G239" s="2">
        <f ca="1">IF(Iterations[[#This Row],[Step]] =current_step, current_a,IF(Iterations[[#This Row],[Step]] &gt; current_step, "",Iterations[[#This Row],[a]]))</f>
        <v>-4.3584482165109879</v>
      </c>
      <c r="H239" s="2">
        <f ca="1">IF(Iterations[[#This Row],[Step]] =current_step, current_b,IF(Iterations[[#This Row],[Step]] &gt; current_step, "",Iterations[[#This Row],[b]]))</f>
        <v>0.82999724886804138</v>
      </c>
      <c r="I239" s="2">
        <f ca="1">IF(Iterations[[#This Row],[Step]] =current_step, current_c,IF(Iterations[[#This Row],[Step]] &gt; current_step, "",Iterations[[#This Row],[c]]))</f>
        <v>13.057211640779801</v>
      </c>
      <c r="J239" s="2">
        <f ca="1">IF(Iterations[[#This Row],[Step]] =current_step, current_d,IF(Iterations[[#This Row],[Step]] &gt; current_step, "",Iterations[[#This Row],[d]]))</f>
        <v>0.79455294686596001</v>
      </c>
      <c r="K239" s="2">
        <f ca="1">IF(Iterations[[#This Row],[Step]] =current_step, current_e,IF(Iterations[[#This Row],[Step]] &gt; current_step, "",Iterations[[#This Row],[e]]))</f>
        <v>14.225415948271861</v>
      </c>
      <c r="L239" s="2">
        <f ca="1">IF(Iterations[[#This Row],[Step]] =current_step, current_Total_Loss,IF(Iterations[[#This Row],[Step]] &gt; current_step, "",Iterations[[#This Row],[Total Loss]]))</f>
        <v>165.72</v>
      </c>
      <c r="M239" s="6" t="s">
        <v>27</v>
      </c>
      <c r="N239" s="2">
        <f ca="1">IF(Iterations[[#This Row],[Step]] =current_step, current_Grad_a,IF(Iterations[[#This Row],[Step]] &gt; current_step, "",Iterations[[#This Row],[Grad_a]]))</f>
        <v>0.28532771609344149</v>
      </c>
      <c r="O239" s="2">
        <f ca="1">IF(Iterations[[#This Row],[Step]] =current_step, current_Grad_b,IF(Iterations[[#This Row],[Step]] &gt; current_step, "",Iterations[[#This Row],[Grad_b]]))</f>
        <v>4.2935384047074976E-2</v>
      </c>
      <c r="P239" s="2">
        <f ca="1">IF(Iterations[[#This Row],[Step]] =current_step, current_Grad_c,IF(Iterations[[#This Row],[Step]] &gt; current_step, "",Iterations[[#This Row],[Grad_c]]))</f>
        <v>-0.80173135580084176</v>
      </c>
      <c r="Q239" s="2">
        <f ca="1">IF(Iterations[[#This Row],[Step]] =current_step, current_Grad_d,IF(Iterations[[#This Row],[Step]] &gt; current_step, "",Iterations[[#This Row],[Grad_d]]))</f>
        <v>-3.1236081883917785E-2</v>
      </c>
      <c r="R239" s="2">
        <f ca="1">IF(Iterations[[#This Row],[Step]] =current_step, current_Grad_e,IF(Iterations[[#This Row],[Step]] &gt; current_step, "",Iterations[[#This Row],[Grad_e]]))</f>
        <v>0.28612288786409856</v>
      </c>
    </row>
    <row r="240" spans="6:18" x14ac:dyDescent="0.3">
      <c r="F240" s="2">
        <f t="shared" si="5"/>
        <v>223</v>
      </c>
      <c r="G240" s="2">
        <f ca="1">IF(Iterations[[#This Row],[Step]] =current_step, current_a,IF(Iterations[[#This Row],[Step]] &gt; current_step, "",Iterations[[#This Row],[a]]))</f>
        <v>-4.3784211566375291</v>
      </c>
      <c r="H240" s="2">
        <f ca="1">IF(Iterations[[#This Row],[Step]] =current_step, current_b,IF(Iterations[[#This Row],[Step]] &gt; current_step, "",Iterations[[#This Row],[b]]))</f>
        <v>0.82699177198474616</v>
      </c>
      <c r="I240" s="2">
        <f ca="1">IF(Iterations[[#This Row],[Step]] =current_step, current_c,IF(Iterations[[#This Row],[Step]] &gt; current_step, "",Iterations[[#This Row],[c]]))</f>
        <v>13.11333283568586</v>
      </c>
      <c r="J240" s="2">
        <f ca="1">IF(Iterations[[#This Row],[Step]] =current_step, current_d,IF(Iterations[[#This Row],[Step]] &gt; current_step, "",Iterations[[#This Row],[d]]))</f>
        <v>0.79673947259783429</v>
      </c>
      <c r="K240" s="2">
        <f ca="1">IF(Iterations[[#This Row],[Step]] =current_step, current_e,IF(Iterations[[#This Row],[Step]] &gt; current_step, "",Iterations[[#This Row],[e]]))</f>
        <v>14.205387346121373</v>
      </c>
      <c r="L240" s="2">
        <f ca="1">IF(Iterations[[#This Row],[Step]] =current_step, current_Total_Loss,IF(Iterations[[#This Row],[Step]] &gt; current_step, "",Iterations[[#This Row],[Total Loss]]))</f>
        <v>164.7</v>
      </c>
      <c r="M240" s="6" t="s">
        <v>27</v>
      </c>
      <c r="N240" s="2">
        <f ca="1">IF(Iterations[[#This Row],[Step]] =current_step, current_Grad_a,IF(Iterations[[#This Row],[Step]] &gt; current_step, "",Iterations[[#This Row],[Grad_a]]))</f>
        <v>0.28339791650071866</v>
      </c>
      <c r="O240" s="2">
        <f ca="1">IF(Iterations[[#This Row],[Step]] =current_step, current_Grad_b,IF(Iterations[[#This Row],[Step]] &gt; current_step, "",Iterations[[#This Row],[Grad_b]]))</f>
        <v>4.2720496189747457E-2</v>
      </c>
      <c r="P240" s="2">
        <f ca="1">IF(Iterations[[#This Row],[Step]] =current_step, current_Grad_c,IF(Iterations[[#This Row],[Step]] &gt; current_step, "",Iterations[[#This Row],[Grad_c]]))</f>
        <v>-0.7962939930089421</v>
      </c>
      <c r="Q240" s="2">
        <f ca="1">IF(Iterations[[#This Row],[Step]] =current_step, current_Grad_d,IF(Iterations[[#This Row],[Step]] &gt; current_step, "",Iterations[[#This Row],[Grad_d]]))</f>
        <v>-3.1184944355193849E-2</v>
      </c>
      <c r="R240" s="2">
        <f ca="1">IF(Iterations[[#This Row],[Step]] =current_step, current_Grad_e,IF(Iterations[[#This Row],[Step]] &gt; current_step, "",Iterations[[#This Row],[Grad_e]]))</f>
        <v>0.2841803115877034</v>
      </c>
    </row>
    <row r="241" spans="6:18" x14ac:dyDescent="0.3">
      <c r="F241" s="2">
        <f t="shared" si="5"/>
        <v>224</v>
      </c>
      <c r="G241" s="2">
        <f ca="1">IF(Iterations[[#This Row],[Step]] =current_step, current_a,IF(Iterations[[#This Row],[Step]] &gt; current_step, "",Iterations[[#This Row],[a]]))</f>
        <v>-4.3982590107925796</v>
      </c>
      <c r="H241" s="2">
        <f ca="1">IF(Iterations[[#This Row],[Step]] =current_step, current_b,IF(Iterations[[#This Row],[Step]] &gt; current_step, "",Iterations[[#This Row],[b]]))</f>
        <v>0.82400133725146385</v>
      </c>
      <c r="I241" s="2">
        <f ca="1">IF(Iterations[[#This Row],[Step]] =current_step, current_c,IF(Iterations[[#This Row],[Step]] &gt; current_step, "",Iterations[[#This Row],[c]]))</f>
        <v>13.169073415196486</v>
      </c>
      <c r="J241" s="2">
        <f ca="1">IF(Iterations[[#This Row],[Step]] =current_step, current_d,IF(Iterations[[#This Row],[Step]] &gt; current_step, "",Iterations[[#This Row],[d]]))</f>
        <v>0.79892241870269787</v>
      </c>
      <c r="K241" s="2">
        <f ca="1">IF(Iterations[[#This Row],[Step]] =current_step, current_e,IF(Iterations[[#This Row],[Step]] &gt; current_step, "",Iterations[[#This Row],[e]]))</f>
        <v>14.185494724310233</v>
      </c>
      <c r="L241" s="2">
        <f ca="1">IF(Iterations[[#This Row],[Step]] =current_step, current_Total_Loss,IF(Iterations[[#This Row],[Step]] &gt; current_step, "",Iterations[[#This Row],[Total Loss]]))</f>
        <v>163.69999999999999</v>
      </c>
      <c r="M241" s="6" t="s">
        <v>27</v>
      </c>
      <c r="N241" s="2">
        <f ca="1">IF(Iterations[[#This Row],[Step]] =current_step, current_Grad_a,IF(Iterations[[#This Row],[Step]] &gt; current_step, "",Iterations[[#This Row],[Grad_a]]))</f>
        <v>0.28148116136176565</v>
      </c>
      <c r="O241" s="2">
        <f ca="1">IF(Iterations[[#This Row],[Step]] =current_step, current_Grad_b,IF(Iterations[[#This Row],[Step]] &gt; current_step, "",Iterations[[#This Row],[Grad_b]]))</f>
        <v>4.25057148607796E-2</v>
      </c>
      <c r="P241" s="2">
        <f ca="1">IF(Iterations[[#This Row],[Step]] =current_step, current_Grad_c,IF(Iterations[[#This Row],[Step]] &gt; current_step, "",Iterations[[#This Row],[Grad_c]]))</f>
        <v>-0.79089364157688491</v>
      </c>
      <c r="Q241" s="2">
        <f ca="1">IF(Iterations[[#This Row],[Step]] =current_step, current_Grad_d,IF(Iterations[[#This Row],[Step]] &gt; current_step, "",Iterations[[#This Row],[Grad_d]]))</f>
        <v>-3.1131296592608937E-2</v>
      </c>
      <c r="R241" s="2">
        <f ca="1">IF(Iterations[[#This Row],[Step]] =current_step, current_Grad_e,IF(Iterations[[#This Row],[Step]] &gt; current_step, "",Iterations[[#This Row],[Grad_e]]))</f>
        <v>0.28225098192426124</v>
      </c>
    </row>
    <row r="242" spans="6:18" x14ac:dyDescent="0.3">
      <c r="F242" s="2">
        <f t="shared" si="5"/>
        <v>225</v>
      </c>
      <c r="G242" s="2">
        <f ca="1">IF(Iterations[[#This Row],[Step]] =current_step, current_a,IF(Iterations[[#This Row],[Step]] &gt; current_step, "",Iterations[[#This Row],[a]]))</f>
        <v>-4.4179626920879036</v>
      </c>
      <c r="H242" s="2">
        <f ca="1">IF(Iterations[[#This Row],[Step]] =current_step, current_b,IF(Iterations[[#This Row],[Step]] &gt; current_step, "",Iterations[[#This Row],[b]]))</f>
        <v>0.82102593721120931</v>
      </c>
      <c r="I242" s="2">
        <f ca="1">IF(Iterations[[#This Row],[Step]] =current_step, current_c,IF(Iterations[[#This Row],[Step]] &gt; current_step, "",Iterations[[#This Row],[c]]))</f>
        <v>13.224435970106867</v>
      </c>
      <c r="J242" s="2">
        <f ca="1">IF(Iterations[[#This Row],[Step]] =current_step, current_d,IF(Iterations[[#This Row],[Step]] &gt; current_step, "",Iterations[[#This Row],[d]]))</f>
        <v>0.80110160946418052</v>
      </c>
      <c r="K242" s="2">
        <f ca="1">IF(Iterations[[#This Row],[Step]] =current_step, current_e,IF(Iterations[[#This Row],[Step]] &gt; current_step, "",Iterations[[#This Row],[e]]))</f>
        <v>14.165737155575535</v>
      </c>
      <c r="L242" s="2">
        <f ca="1">IF(Iterations[[#This Row],[Step]] =current_step, current_Total_Loss,IF(Iterations[[#This Row],[Step]] &gt; current_step, "",Iterations[[#This Row],[Total Loss]]))</f>
        <v>162.71</v>
      </c>
      <c r="M242" s="6" t="s">
        <v>27</v>
      </c>
      <c r="N242" s="2">
        <f ca="1">IF(Iterations[[#This Row],[Step]] =current_step, current_Grad_a,IF(Iterations[[#This Row],[Step]] &gt; current_step, "",Iterations[[#This Row],[Grad_a]]))</f>
        <v>0.27957736230957903</v>
      </c>
      <c r="O242" s="2">
        <f ca="1">IF(Iterations[[#This Row],[Step]] =current_step, current_Grad_b,IF(Iterations[[#This Row],[Step]] &gt; current_step, "",Iterations[[#This Row],[Grad_b]]))</f>
        <v>4.2291063290960253E-2</v>
      </c>
      <c r="P242" s="2">
        <f ca="1">IF(Iterations[[#This Row],[Step]] =current_step, current_Grad_c,IF(Iterations[[#This Row],[Step]] &gt; current_step, "",Iterations[[#This Row],[Grad_c]]))</f>
        <v>-0.78553004692139805</v>
      </c>
      <c r="Q242" s="2">
        <f ca="1">IF(Iterations[[#This Row],[Step]] =current_step, current_Grad_d,IF(Iterations[[#This Row],[Step]] &gt; current_step, "",Iterations[[#This Row],[Grad_d]]))</f>
        <v>-3.1075206543496246E-2</v>
      </c>
      <c r="R242" s="2">
        <f ca="1">IF(Iterations[[#This Row],[Step]] =current_step, current_Grad_e,IF(Iterations[[#This Row],[Step]] &gt; current_step, "",Iterations[[#This Row],[Grad_e]]))</f>
        <v>0.28033480855126158</v>
      </c>
    </row>
    <row r="243" spans="6:18" x14ac:dyDescent="0.3">
      <c r="F243" s="2">
        <f t="shared" si="5"/>
        <v>226</v>
      </c>
      <c r="G243" s="2">
        <f ca="1">IF(Iterations[[#This Row],[Step]] =current_step, current_a,IF(Iterations[[#This Row],[Step]] &gt; current_step, "",Iterations[[#This Row],[a]]))</f>
        <v>-4.4375331074495739</v>
      </c>
      <c r="H243" s="2">
        <f ca="1">IF(Iterations[[#This Row],[Step]] =current_step, current_b,IF(Iterations[[#This Row],[Step]] &gt; current_step, "",Iterations[[#This Row],[b]]))</f>
        <v>0.81806556278084208</v>
      </c>
      <c r="I243" s="2">
        <f ca="1">IF(Iterations[[#This Row],[Step]] =current_step, current_c,IF(Iterations[[#This Row],[Step]] &gt; current_step, "",Iterations[[#This Row],[c]]))</f>
        <v>13.279423073391365</v>
      </c>
      <c r="J243" s="2">
        <f ca="1">IF(Iterations[[#This Row],[Step]] =current_step, current_d,IF(Iterations[[#This Row],[Step]] &gt; current_step, "",Iterations[[#This Row],[d]]))</f>
        <v>0.80327687392222524</v>
      </c>
      <c r="K243" s="2">
        <f ca="1">IF(Iterations[[#This Row],[Step]] =current_step, current_e,IF(Iterations[[#This Row],[Step]] &gt; current_step, "",Iterations[[#This Row],[e]]))</f>
        <v>14.146113718976947</v>
      </c>
      <c r="L243" s="2">
        <f ca="1">IF(Iterations[[#This Row],[Step]] =current_step, current_Total_Loss,IF(Iterations[[#This Row],[Step]] &gt; current_step, "",Iterations[[#This Row],[Total Loss]]))</f>
        <v>161.72999999999999</v>
      </c>
      <c r="M243" s="6" t="s">
        <v>27</v>
      </c>
      <c r="N243" s="2">
        <f ca="1">IF(Iterations[[#This Row],[Step]] =current_step, current_Grad_a,IF(Iterations[[#This Row],[Step]] &gt; current_step, "",Iterations[[#This Row],[Grad_a]]))</f>
        <v>0.27768643160995726</v>
      </c>
      <c r="O243" s="2">
        <f ca="1">IF(Iterations[[#This Row],[Step]] =current_step, current_Grad_b,IF(Iterations[[#This Row],[Step]] &gt; current_step, "",Iterations[[#This Row],[Grad_b]]))</f>
        <v>4.2076564132878164E-2</v>
      </c>
      <c r="P243" s="2">
        <f ca="1">IF(Iterations[[#This Row],[Step]] =current_step, current_Grad_c,IF(Iterations[[#This Row],[Step]] &gt; current_step, "",Iterations[[#This Row],[Grad_c]]))</f>
        <v>-0.78020295628010061</v>
      </c>
      <c r="Q243" s="2">
        <f ca="1">IF(Iterations[[#This Row],[Step]] =current_step, current_Grad_d,IF(Iterations[[#This Row],[Step]] &gt; current_step, "",Iterations[[#This Row],[Grad_d]]))</f>
        <v>-3.1016740781897905E-2</v>
      </c>
      <c r="R243" s="2">
        <f ca="1">IF(Iterations[[#This Row],[Step]] =current_step, current_Grad_e,IF(Iterations[[#This Row],[Step]] &gt; current_step, "",Iterations[[#This Row],[Grad_e]]))</f>
        <v>0.27843170166724895</v>
      </c>
    </row>
    <row r="244" spans="6:18" x14ac:dyDescent="0.3">
      <c r="F244" s="2">
        <f t="shared" si="5"/>
        <v>227</v>
      </c>
      <c r="G244" s="2">
        <f ca="1">IF(Iterations[[#This Row],[Step]] =current_step, current_a,IF(Iterations[[#This Row],[Step]] &gt; current_step, "",Iterations[[#This Row],[a]]))</f>
        <v>-4.456971157662271</v>
      </c>
      <c r="H244" s="2">
        <f ca="1">IF(Iterations[[#This Row],[Step]] =current_step, current_b,IF(Iterations[[#This Row],[Step]] &gt; current_step, "",Iterations[[#This Row],[b]]))</f>
        <v>0.81512020329154056</v>
      </c>
      <c r="I244" s="2">
        <f ca="1">IF(Iterations[[#This Row],[Step]] =current_step, current_c,IF(Iterations[[#This Row],[Step]] &gt; current_step, "",Iterations[[#This Row],[c]]))</f>
        <v>13.334037280330973</v>
      </c>
      <c r="J244" s="2">
        <f ca="1">IF(Iterations[[#This Row],[Step]] =current_step, current_d,IF(Iterations[[#This Row],[Step]] &gt; current_step, "",Iterations[[#This Row],[d]]))</f>
        <v>0.80544804577695805</v>
      </c>
      <c r="K244" s="2">
        <f ca="1">IF(Iterations[[#This Row],[Step]] =current_step, current_e,IF(Iterations[[#This Row],[Step]] &gt; current_step, "",Iterations[[#This Row],[e]]))</f>
        <v>14.126623499860239</v>
      </c>
      <c r="L244" s="2">
        <f ca="1">IF(Iterations[[#This Row],[Step]] =current_step, current_Total_Loss,IF(Iterations[[#This Row],[Step]] &gt; current_step, "",Iterations[[#This Row],[Total Loss]]))</f>
        <v>160.77000000000001</v>
      </c>
      <c r="M244" s="6" t="s">
        <v>27</v>
      </c>
      <c r="N244" s="2">
        <f ca="1">IF(Iterations[[#This Row],[Step]] =current_step, current_Grad_a,IF(Iterations[[#This Row],[Step]] &gt; current_step, "",Iterations[[#This Row],[Grad_a]]))</f>
        <v>0.27580828215239372</v>
      </c>
      <c r="O244" s="2">
        <f ca="1">IF(Iterations[[#This Row],[Step]] =current_step, current_Grad_b,IF(Iterations[[#This Row],[Step]] &gt; current_step, "",Iterations[[#This Row],[Grad_b]]))</f>
        <v>4.186223947196361E-2</v>
      </c>
      <c r="P244" s="2">
        <f ca="1">IF(Iterations[[#This Row],[Step]] =current_step, current_Grad_c,IF(Iterations[[#This Row],[Step]] &gt; current_step, "",Iterations[[#This Row],[Grad_c]]))</f>
        <v>-0.77491211869566146</v>
      </c>
      <c r="Q244" s="2">
        <f ca="1">IF(Iterations[[#This Row],[Step]] =current_step, current_Grad_d,IF(Iterations[[#This Row],[Step]] &gt; current_step, "",Iterations[[#This Row],[Grad_d]]))</f>
        <v>-3.095596453457751E-2</v>
      </c>
      <c r="R244" s="2">
        <f ca="1">IF(Iterations[[#This Row],[Step]] =current_step, current_Grad_e,IF(Iterations[[#This Row],[Step]] &gt; current_step, "",Iterations[[#This Row],[Grad_e]]))</f>
        <v>0.27654157199904972</v>
      </c>
    </row>
    <row r="245" spans="6:18" x14ac:dyDescent="0.3">
      <c r="F245" s="2">
        <f t="shared" si="5"/>
        <v>228</v>
      </c>
      <c r="G245" s="2">
        <f ca="1">IF(Iterations[[#This Row],[Step]] =current_step, current_a,IF(Iterations[[#This Row],[Step]] &gt; current_step, "",Iterations[[#This Row],[a]]))</f>
        <v>-4.4762777374129383</v>
      </c>
      <c r="H245" s="2">
        <f ca="1">IF(Iterations[[#This Row],[Step]] =current_step, current_b,IF(Iterations[[#This Row],[Step]] &gt; current_step, "",Iterations[[#This Row],[b]]))</f>
        <v>0.81218984652850312</v>
      </c>
      <c r="I245" s="2">
        <f ca="1">IF(Iterations[[#This Row],[Step]] =current_step, current_c,IF(Iterations[[#This Row],[Step]] &gt; current_step, "",Iterations[[#This Row],[c]]))</f>
        <v>13.388281128639669</v>
      </c>
      <c r="J245" s="2">
        <f ca="1">IF(Iterations[[#This Row],[Step]] =current_step, current_d,IF(Iterations[[#This Row],[Step]] &gt; current_step, "",Iterations[[#This Row],[d]]))</f>
        <v>0.80761496329437843</v>
      </c>
      <c r="K245" s="2">
        <f ca="1">IF(Iterations[[#This Row],[Step]] =current_step, current_e,IF(Iterations[[#This Row],[Step]] &gt; current_step, "",Iterations[[#This Row],[e]]))</f>
        <v>14.107265589820305</v>
      </c>
      <c r="L245" s="2">
        <f ca="1">IF(Iterations[[#This Row],[Step]] =current_step, current_Total_Loss,IF(Iterations[[#This Row],[Step]] &gt; current_step, "",Iterations[[#This Row],[Total Loss]]))</f>
        <v>159.82</v>
      </c>
      <c r="M245" s="6" t="s">
        <v>27</v>
      </c>
      <c r="N245" s="2">
        <f ca="1">IF(Iterations[[#This Row],[Step]] =current_step, current_Grad_a,IF(Iterations[[#This Row],[Step]] &gt; current_step, "",Iterations[[#This Row],[Grad_a]]))</f>
        <v>0.27394282744390508</v>
      </c>
      <c r="O245" s="2">
        <f ca="1">IF(Iterations[[#This Row],[Step]] =current_step, current_Grad_b,IF(Iterations[[#This Row],[Step]] &gt; current_step, "",Iterations[[#This Row],[Grad_b]]))</f>
        <v>4.1648110836976691E-2</v>
      </c>
      <c r="P245" s="2">
        <f ca="1">IF(Iterations[[#This Row],[Step]] =current_step, current_Grad_c,IF(Iterations[[#This Row],[Step]] &gt; current_step, "",Iterations[[#This Row],[Grad_c]]))</f>
        <v>-0.76965728499930142</v>
      </c>
      <c r="Q245" s="2">
        <f ca="1">IF(Iterations[[#This Row],[Step]] =current_step, current_Grad_d,IF(Iterations[[#This Row],[Step]] &gt; current_step, "",Iterations[[#This Row],[Grad_d]]))</f>
        <v>-3.0892941706640462E-2</v>
      </c>
      <c r="R245" s="2">
        <f ca="1">IF(Iterations[[#This Row],[Step]] =current_step, current_Grad_e,IF(Iterations[[#This Row],[Step]] &gt; current_step, "",Iterations[[#This Row],[Grad_e]]))</f>
        <v>0.27466433080837305</v>
      </c>
    </row>
    <row r="246" spans="6:18" x14ac:dyDescent="0.3">
      <c r="F246" s="2">
        <f t="shared" si="5"/>
        <v>229</v>
      </c>
      <c r="G246" s="2">
        <f ca="1">IF(Iterations[[#This Row],[Step]] =current_step, current_a,IF(Iterations[[#This Row],[Step]] &gt; current_step, "",Iterations[[#This Row],[a]]))</f>
        <v>-4.4954537353340118</v>
      </c>
      <c r="H246" s="2">
        <f ca="1">IF(Iterations[[#This Row],[Step]] =current_step, current_b,IF(Iterations[[#This Row],[Step]] &gt; current_step, "",Iterations[[#This Row],[b]]))</f>
        <v>0.80927447876991476</v>
      </c>
      <c r="I246" s="2">
        <f ca="1">IF(Iterations[[#This Row],[Step]] =current_step, current_c,IF(Iterations[[#This Row],[Step]] &gt; current_step, "",Iterations[[#This Row],[c]]))</f>
        <v>13.44215713858962</v>
      </c>
      <c r="J246" s="2">
        <f ca="1">IF(Iterations[[#This Row],[Step]] =current_step, current_d,IF(Iterations[[#This Row],[Step]] &gt; current_step, "",Iterations[[#This Row],[d]]))</f>
        <v>0.8097774692138433</v>
      </c>
      <c r="K246" s="2">
        <f ca="1">IF(Iterations[[#This Row],[Step]] =current_step, current_e,IF(Iterations[[#This Row],[Step]] &gt; current_step, "",Iterations[[#This Row],[e]]))</f>
        <v>14.088039086663718</v>
      </c>
      <c r="L246" s="2">
        <f ca="1">IF(Iterations[[#This Row],[Step]] =current_step, current_Total_Loss,IF(Iterations[[#This Row],[Step]] &gt; current_step, "",Iterations[[#This Row],[Total Loss]]))</f>
        <v>158.88999999999999</v>
      </c>
      <c r="M246" s="6" t="s">
        <v>27</v>
      </c>
      <c r="N246" s="2">
        <f ca="1">IF(Iterations[[#This Row],[Step]] =current_step, current_Grad_a,IF(Iterations[[#This Row],[Step]] &gt; current_step, "",Iterations[[#This Row],[Grad_a]]))</f>
        <v>0.27208998160062908</v>
      </c>
      <c r="O246" s="2">
        <f ca="1">IF(Iterations[[#This Row],[Step]] =current_step, current_Grad_b,IF(Iterations[[#This Row],[Step]] &gt; current_step, "",Iterations[[#This Row],[Grad_b]]))</f>
        <v>4.143419921090688E-2</v>
      </c>
      <c r="P246" s="2">
        <f ca="1">IF(Iterations[[#This Row],[Step]] =current_step, current_Grad_c,IF(Iterations[[#This Row],[Step]] &gt; current_step, "",Iterations[[#This Row],[Grad_c]]))</f>
        <v>-0.76443820779571758</v>
      </c>
      <c r="Q246" s="2">
        <f ca="1">IF(Iterations[[#This Row],[Step]] =current_step, current_Grad_d,IF(Iterations[[#This Row],[Step]] &gt; current_step, "",Iterations[[#This Row],[Grad_d]]))</f>
        <v>-3.0827734906450497E-2</v>
      </c>
      <c r="R246" s="2">
        <f ca="1">IF(Iterations[[#This Row],[Step]] =current_step, current_Grad_e,IF(Iterations[[#This Row],[Step]] &gt; current_step, "",Iterations[[#This Row],[Grad_e]]))</f>
        <v>0.27279988989693416</v>
      </c>
    </row>
    <row r="247" spans="6:18" x14ac:dyDescent="0.3">
      <c r="F247" s="2">
        <f t="shared" si="5"/>
        <v>230</v>
      </c>
      <c r="G247" s="2">
        <f ca="1">IF(Iterations[[#This Row],[Step]] =current_step, current_a,IF(Iterations[[#This Row],[Step]] &gt; current_step, "",Iterations[[#This Row],[a]]))</f>
        <v>-4.5145000340460557</v>
      </c>
      <c r="H247" s="2">
        <f ca="1">IF(Iterations[[#This Row],[Step]] =current_step, current_b,IF(Iterations[[#This Row],[Step]] &gt; current_step, "",Iterations[[#This Row],[b]]))</f>
        <v>0.80637408482515127</v>
      </c>
      <c r="I247" s="2">
        <f ca="1">IF(Iterations[[#This Row],[Step]] =current_step, current_c,IF(Iterations[[#This Row],[Step]] &gt; current_step, "",Iterations[[#This Row],[c]]))</f>
        <v>13.49566781313532</v>
      </c>
      <c r="J247" s="2">
        <f ca="1">IF(Iterations[[#This Row],[Step]] =current_step, current_d,IF(Iterations[[#This Row],[Step]] &gt; current_step, "",Iterations[[#This Row],[d]]))</f>
        <v>0.8119354106572948</v>
      </c>
      <c r="K247" s="2">
        <f ca="1">IF(Iterations[[#This Row],[Step]] =current_step, current_e,IF(Iterations[[#This Row],[Step]] &gt; current_step, "",Iterations[[#This Row],[e]]))</f>
        <v>14.068943094370933</v>
      </c>
      <c r="L247" s="2">
        <f ca="1">IF(Iterations[[#This Row],[Step]] =current_step, current_Total_Loss,IF(Iterations[[#This Row],[Step]] &gt; current_step, "",Iterations[[#This Row],[Total Loss]]))</f>
        <v>157.96</v>
      </c>
      <c r="M247" s="6" t="s">
        <v>27</v>
      </c>
      <c r="N247" s="2">
        <f ca="1">IF(Iterations[[#This Row],[Step]] =current_step, current_Grad_a,IF(Iterations[[#This Row],[Step]] &gt; current_step, "",Iterations[[#This Row],[Grad_a]]))</f>
        <v>0.27024965934219775</v>
      </c>
      <c r="O247" s="2">
        <f ca="1">IF(Iterations[[#This Row],[Step]] =current_step, current_Grad_b,IF(Iterations[[#This Row],[Step]] &gt; current_step, "",Iterations[[#This Row],[Grad_b]]))</f>
        <v>4.1220525041018995E-2</v>
      </c>
      <c r="P247" s="2">
        <f ca="1">IF(Iterations[[#This Row],[Step]] =current_step, current_Grad_c,IF(Iterations[[#This Row],[Step]] &gt; current_step, "",Iterations[[#This Row],[Grad_c]]))</f>
        <v>-0.75925464144735288</v>
      </c>
      <c r="Q247" s="2">
        <f ca="1">IF(Iterations[[#This Row],[Step]] =current_step, current_Grad_d,IF(Iterations[[#This Row],[Step]] &gt; current_step, "",Iterations[[#This Row],[Grad_d]]))</f>
        <v>-3.0760405470315739E-2</v>
      </c>
      <c r="R247" s="2">
        <f ca="1">IF(Iterations[[#This Row],[Step]] =current_step, current_Grad_e,IF(Iterations[[#This Row],[Step]] &gt; current_step, "",Iterations[[#This Row],[Grad_e]]))</f>
        <v>0.27094816161111168</v>
      </c>
    </row>
    <row r="248" spans="6:18" x14ac:dyDescent="0.3">
      <c r="F248" s="2">
        <f t="shared" si="5"/>
        <v>231</v>
      </c>
      <c r="G248" s="2">
        <f ca="1">IF(Iterations[[#This Row],[Step]] =current_step, current_a,IF(Iterations[[#This Row],[Step]] &gt; current_step, "",Iterations[[#This Row],[a]]))</f>
        <v>-4.5334175102000094</v>
      </c>
      <c r="H248" s="2">
        <f ca="1">IF(Iterations[[#This Row],[Step]] =current_step, current_b,IF(Iterations[[#This Row],[Step]] &gt; current_step, "",Iterations[[#This Row],[b]]))</f>
        <v>0.80348864807227993</v>
      </c>
      <c r="I248" s="2">
        <f ca="1">IF(Iterations[[#This Row],[Step]] =current_step, current_c,IF(Iterations[[#This Row],[Step]] &gt; current_step, "",Iterations[[#This Row],[c]]))</f>
        <v>13.548815638036634</v>
      </c>
      <c r="J248" s="2">
        <f ca="1">IF(Iterations[[#This Row],[Step]] =current_step, current_d,IF(Iterations[[#This Row],[Step]] &gt; current_step, "",Iterations[[#This Row],[d]]))</f>
        <v>0.81408863904021689</v>
      </c>
      <c r="K248" s="2">
        <f ca="1">IF(Iterations[[#This Row],[Step]] =current_step, current_e,IF(Iterations[[#This Row],[Step]] &gt; current_step, "",Iterations[[#This Row],[e]]))</f>
        <v>14.049976723058155</v>
      </c>
      <c r="L248" s="2">
        <f ca="1">IF(Iterations[[#This Row],[Step]] =current_step, current_Total_Loss,IF(Iterations[[#This Row],[Step]] &gt; current_step, "",Iterations[[#This Row],[Total Loss]]))</f>
        <v>157.05000000000001</v>
      </c>
      <c r="M248" s="6" t="s">
        <v>27</v>
      </c>
      <c r="N248" s="2">
        <f ca="1">IF(Iterations[[#This Row],[Step]] =current_step, current_Grad_a,IF(Iterations[[#This Row],[Step]] &gt; current_step, "",Iterations[[#This Row],[Grad_a]]))</f>
        <v>0.26842177598419981</v>
      </c>
      <c r="O248" s="2">
        <f ca="1">IF(Iterations[[#This Row],[Step]] =current_step, current_Grad_b,IF(Iterations[[#This Row],[Step]] &gt; current_step, "",Iterations[[#This Row],[Grad_b]]))</f>
        <v>4.1007108249468419E-2</v>
      </c>
      <c r="P248" s="2">
        <f ca="1">IF(Iterations[[#This Row],[Step]] =current_step, current_Grad_c,IF(Iterations[[#This Row],[Step]] &gt; current_step, "",Iterations[[#This Row],[Grad_c]]))</f>
        <v>-0.75410634205988059</v>
      </c>
      <c r="Q248" s="2">
        <f ca="1">IF(Iterations[[#This Row],[Step]] =current_step, current_Grad_d,IF(Iterations[[#This Row],[Step]] &gt; current_step, "",Iterations[[#This Row],[Grad_d]]))</f>
        <v>-3.0691013486413787E-2</v>
      </c>
      <c r="R248" s="2">
        <f ca="1">IF(Iterations[[#This Row],[Step]] =current_step, current_Grad_e,IF(Iterations[[#This Row],[Step]] &gt; current_step, "",Iterations[[#This Row],[Grad_e]]))</f>
        <v>0.2691090588453881</v>
      </c>
    </row>
    <row r="249" spans="6:18" x14ac:dyDescent="0.3">
      <c r="F249" s="2">
        <f t="shared" si="5"/>
        <v>232</v>
      </c>
      <c r="G249" s="2">
        <f ca="1">IF(Iterations[[#This Row],[Step]] =current_step, current_a,IF(Iterations[[#This Row],[Step]] &gt; current_step, "",Iterations[[#This Row],[a]]))</f>
        <v>-4.5522070345189034</v>
      </c>
      <c r="H249" s="2">
        <f ca="1">IF(Iterations[[#This Row],[Step]] =current_step, current_b,IF(Iterations[[#This Row],[Step]] &gt; current_step, "",Iterations[[#This Row],[b]]))</f>
        <v>0.8006181504948171</v>
      </c>
      <c r="I249" s="2">
        <f ca="1">IF(Iterations[[#This Row],[Step]] =current_step, current_c,IF(Iterations[[#This Row],[Step]] &gt; current_step, "",Iterations[[#This Row],[c]]))</f>
        <v>13.601603081980826</v>
      </c>
      <c r="J249" s="2">
        <f ca="1">IF(Iterations[[#This Row],[Step]] =current_step, current_d,IF(Iterations[[#This Row],[Step]] &gt; current_step, "",Iterations[[#This Row],[d]]))</f>
        <v>0.81623700998426585</v>
      </c>
      <c r="K249" s="2">
        <f ca="1">IF(Iterations[[#This Row],[Step]] =current_step, current_e,IF(Iterations[[#This Row],[Step]] &gt; current_step, "",Iterations[[#This Row],[e]]))</f>
        <v>14.031139088938977</v>
      </c>
      <c r="L249" s="2">
        <f ca="1">IF(Iterations[[#This Row],[Step]] =current_step, current_Total_Loss,IF(Iterations[[#This Row],[Step]] &gt; current_step, "",Iterations[[#This Row],[Total Loss]]))</f>
        <v>156.15</v>
      </c>
      <c r="M249" s="6" t="s">
        <v>27</v>
      </c>
      <c r="N249" s="2">
        <f ca="1">IF(Iterations[[#This Row],[Step]] =current_step, current_Grad_a,IF(Iterations[[#This Row],[Step]] &gt; current_step, "",Iterations[[#This Row],[Grad_a]]))</f>
        <v>0.26660624743281325</v>
      </c>
      <c r="O249" s="2">
        <f ca="1">IF(Iterations[[#This Row],[Step]] =current_step, current_Grad_b,IF(Iterations[[#This Row],[Step]] &gt; current_step, "",Iterations[[#This Row],[Grad_b]]))</f>
        <v>4.0793968243160367E-2</v>
      </c>
      <c r="P249" s="2">
        <f ca="1">IF(Iterations[[#This Row],[Step]] =current_step, current_Grad_c,IF(Iterations[[#This Row],[Step]] &gt; current_step, "",Iterations[[#This Row],[Grad_c]]))</f>
        <v>-0.74899306746720062</v>
      </c>
      <c r="Q249" s="2">
        <f ca="1">IF(Iterations[[#This Row],[Step]] =current_step, current_Grad_d,IF(Iterations[[#This Row],[Step]] &gt; current_step, "",Iterations[[#This Row],[Grad_d]]))</f>
        <v>-3.0619617818484893E-2</v>
      </c>
      <c r="R249" s="2">
        <f ca="1">IF(Iterations[[#This Row],[Step]] =current_step, current_Grad_e,IF(Iterations[[#This Row],[Step]] &gt; current_step, "",Iterations[[#This Row],[Grad_e]]))</f>
        <v>0.26728249504542373</v>
      </c>
    </row>
    <row r="250" spans="6:18" x14ac:dyDescent="0.3">
      <c r="F250" s="2">
        <f t="shared" si="5"/>
        <v>233</v>
      </c>
      <c r="G250" s="2">
        <f ca="1">IF(Iterations[[#This Row],[Step]] =current_step, current_a,IF(Iterations[[#This Row],[Step]] &gt; current_step, "",Iterations[[#This Row],[a]]))</f>
        <v>-4.5708694718392007</v>
      </c>
      <c r="H250" s="2">
        <f ca="1">IF(Iterations[[#This Row],[Step]] =current_step, current_b,IF(Iterations[[#This Row],[Step]] &gt; current_step, "",Iterations[[#This Row],[b]]))</f>
        <v>0.79776257271779583</v>
      </c>
      <c r="I250" s="2">
        <f ca="1">IF(Iterations[[#This Row],[Step]] =current_step, current_c,IF(Iterations[[#This Row],[Step]] &gt; current_step, "",Iterations[[#This Row],[c]]))</f>
        <v>13.65403259670353</v>
      </c>
      <c r="J250" s="2">
        <f ca="1">IF(Iterations[[#This Row],[Step]] =current_step, current_d,IF(Iterations[[#This Row],[Step]] &gt; current_step, "",Iterations[[#This Row],[d]]))</f>
        <v>0.81838038323155982</v>
      </c>
      <c r="K250" s="2">
        <f ca="1">IF(Iterations[[#This Row],[Step]] =current_step, current_e,IF(Iterations[[#This Row],[Step]] &gt; current_step, "",Iterations[[#This Row],[e]]))</f>
        <v>14.012429314285797</v>
      </c>
      <c r="L250" s="2">
        <f ca="1">IF(Iterations[[#This Row],[Step]] =current_step, current_Total_Loss,IF(Iterations[[#This Row],[Step]] &gt; current_step, "",Iterations[[#This Row],[Total Loss]]))</f>
        <v>155.27000000000001</v>
      </c>
      <c r="M250" s="6" t="s">
        <v>27</v>
      </c>
      <c r="N250" s="2">
        <f ca="1">IF(Iterations[[#This Row],[Step]] =current_step, current_Grad_a,IF(Iterations[[#This Row],[Step]] &gt; current_step, "",Iterations[[#This Row],[Grad_a]]))</f>
        <v>0.26480299017822656</v>
      </c>
      <c r="O250" s="2">
        <f ca="1">IF(Iterations[[#This Row],[Step]] =current_step, current_Grad_b,IF(Iterations[[#This Row],[Step]] &gt; current_step, "",Iterations[[#This Row],[Grad_b]]))</f>
        <v>4.0581123923844151E-2</v>
      </c>
      <c r="P250" s="2">
        <f ca="1">IF(Iterations[[#This Row],[Step]] =current_step, current_Grad_c,IF(Iterations[[#This Row],[Step]] &gt; current_step, "",Iterations[[#This Row],[Grad_c]]))</f>
        <v>-0.74391457721733623</v>
      </c>
      <c r="Q250" s="2">
        <f ca="1">IF(Iterations[[#This Row],[Step]] =current_step, current_Grad_d,IF(Iterations[[#This Row],[Step]] &gt; current_step, "",Iterations[[#This Row],[Grad_d]]))</f>
        <v>-3.0546276128917249E-2</v>
      </c>
      <c r="R250" s="2">
        <f ca="1">IF(Iterations[[#This Row],[Step]] =current_step, current_Grad_e,IF(Iterations[[#This Row],[Step]] &gt; current_step, "",Iterations[[#This Row],[Grad_e]]))</f>
        <v>0.26546838421014246</v>
      </c>
    </row>
    <row r="251" spans="6:18" x14ac:dyDescent="0.3">
      <c r="F251" s="2">
        <f t="shared" si="5"/>
        <v>234</v>
      </c>
      <c r="G251" s="2">
        <f ca="1">IF(Iterations[[#This Row],[Step]] =current_step, current_a,IF(Iterations[[#This Row],[Step]] &gt; current_step, "",Iterations[[#This Row],[a]]))</f>
        <v>-4.5894056811516766</v>
      </c>
      <c r="H251" s="2">
        <f ca="1">IF(Iterations[[#This Row],[Step]] =current_step, current_b,IF(Iterations[[#This Row],[Step]] &gt; current_step, "",Iterations[[#This Row],[b]]))</f>
        <v>0.79492189404312674</v>
      </c>
      <c r="I251" s="2">
        <f ca="1">IF(Iterations[[#This Row],[Step]] =current_step, current_c,IF(Iterations[[#This Row],[Step]] &gt; current_step, "",Iterations[[#This Row],[c]]))</f>
        <v>13.706106617108743</v>
      </c>
      <c r="J251" s="2">
        <f ca="1">IF(Iterations[[#This Row],[Step]] =current_step, current_d,IF(Iterations[[#This Row],[Step]] &gt; current_step, "",Iterations[[#This Row],[d]]))</f>
        <v>0.82051862256058405</v>
      </c>
      <c r="K251" s="2">
        <f ca="1">IF(Iterations[[#This Row],[Step]] =current_step, current_e,IF(Iterations[[#This Row],[Step]] &gt; current_step, "",Iterations[[#This Row],[e]]))</f>
        <v>13.993846527391087</v>
      </c>
      <c r="L251" s="2">
        <f ca="1">IF(Iterations[[#This Row],[Step]] =current_step, current_Total_Loss,IF(Iterations[[#This Row],[Step]] &gt; current_step, "",Iterations[[#This Row],[Total Loss]]))</f>
        <v>154.38999999999999</v>
      </c>
      <c r="M251" s="6" t="s">
        <v>27</v>
      </c>
      <c r="N251" s="2">
        <f ca="1">IF(Iterations[[#This Row],[Step]] =current_step, current_Grad_a,IF(Iterations[[#This Row],[Step]] &gt; current_step, "",Iterations[[#This Row],[Grad_a]]))</f>
        <v>0.26301192128928441</v>
      </c>
      <c r="O251" s="2">
        <f ca="1">IF(Iterations[[#This Row],[Step]] =current_step, current_Grad_b,IF(Iterations[[#This Row],[Step]] &gt; current_step, "",Iterations[[#This Row],[Grad_b]]))</f>
        <v>4.036859369786535E-2</v>
      </c>
      <c r="P251" s="2">
        <f ca="1">IF(Iterations[[#This Row],[Step]] =current_step, current_Grad_c,IF(Iterations[[#This Row],[Step]] &gt; current_step, "",Iterations[[#This Row],[Grad_c]]))</f>
        <v>-0.73887063255816221</v>
      </c>
      <c r="Q251" s="2">
        <f ca="1">IF(Iterations[[#This Row],[Step]] =current_step, current_Grad_d,IF(Iterations[[#This Row],[Step]] &gt; current_step, "",Iterations[[#This Row],[Grad_d]]))</f>
        <v>-3.0471044901453383E-2</v>
      </c>
      <c r="R251" s="2">
        <f ca="1">IF(Iterations[[#This Row],[Step]] =current_step, current_Grad_e,IF(Iterations[[#This Row],[Step]] &gt; current_step, "",Iterations[[#This Row],[Grad_e]]))</f>
        <v>0.26366664089344244</v>
      </c>
    </row>
    <row r="252" spans="6:18" x14ac:dyDescent="0.3">
      <c r="F252" s="2">
        <f t="shared" si="5"/>
        <v>235</v>
      </c>
      <c r="G252" s="2">
        <f ca="1">IF(Iterations[[#This Row],[Step]] =current_step, current_a,IF(Iterations[[#This Row],[Step]] &gt; current_step, "",Iterations[[#This Row],[a]]))</f>
        <v>-4.6078165156419262</v>
      </c>
      <c r="H252" s="2">
        <f ca="1">IF(Iterations[[#This Row],[Step]] =current_step, current_b,IF(Iterations[[#This Row],[Step]] &gt; current_step, "",Iterations[[#This Row],[b]]))</f>
        <v>0.79209609248427615</v>
      </c>
      <c r="I252" s="2">
        <f ca="1">IF(Iterations[[#This Row],[Step]] =current_step, current_c,IF(Iterations[[#This Row],[Step]] &gt; current_step, "",Iterations[[#This Row],[c]]))</f>
        <v>13.757827561387813</v>
      </c>
      <c r="J252" s="2">
        <f ca="1">IF(Iterations[[#This Row],[Step]] =current_step, current_d,IF(Iterations[[#This Row],[Step]] &gt; current_step, "",Iterations[[#This Row],[d]]))</f>
        <v>0.82265159570368585</v>
      </c>
      <c r="K252" s="2">
        <f ca="1">IF(Iterations[[#This Row],[Step]] =current_step, current_e,IF(Iterations[[#This Row],[Step]] &gt; current_step, "",Iterations[[#This Row],[e]]))</f>
        <v>13.975389862528546</v>
      </c>
      <c r="L252" s="2">
        <f ca="1">IF(Iterations[[#This Row],[Step]] =current_step, current_Total_Loss,IF(Iterations[[#This Row],[Step]] &gt; current_step, "",Iterations[[#This Row],[Total Loss]]))</f>
        <v>153.53</v>
      </c>
      <c r="M252" s="6" t="s">
        <v>27</v>
      </c>
      <c r="N252" s="2">
        <f ca="1">IF(Iterations[[#This Row],[Step]] =current_step, current_Grad_a,IF(Iterations[[#This Row],[Step]] &gt; current_step, "",Iterations[[#This Row],[Grad_a]]))</f>
        <v>0.26123295840766364</v>
      </c>
      <c r="O252" s="2">
        <f ca="1">IF(Iterations[[#This Row],[Step]] =current_step, current_Grad_b,IF(Iterations[[#This Row],[Step]] &gt; current_step, "",Iterations[[#This Row],[Grad_b]]))</f>
        <v>4.0156395485837E-2</v>
      </c>
      <c r="P252" s="2">
        <f ca="1">IF(Iterations[[#This Row],[Step]] =current_step, current_Grad_c,IF(Iterations[[#This Row],[Step]] &gt; current_step, "",Iterations[[#This Row],[Grad_c]]))</f>
        <v>-0.7338609964236722</v>
      </c>
      <c r="Q252" s="2">
        <f ca="1">IF(Iterations[[#This Row],[Step]] =current_step, current_Grad_d,IF(Iterations[[#This Row],[Step]] &gt; current_step, "",Iterations[[#This Row],[Grad_d]]))</f>
        <v>-3.0393979463436596E-2</v>
      </c>
      <c r="R252" s="2">
        <f ca="1">IF(Iterations[[#This Row],[Step]] =current_step, current_Grad_e,IF(Iterations[[#This Row],[Step]] &gt; current_step, "",Iterations[[#This Row],[Grad_e]]))</f>
        <v>0.26187718020521028</v>
      </c>
    </row>
    <row r="253" spans="6:18" x14ac:dyDescent="0.3">
      <c r="F253" s="2">
        <f t="shared" si="5"/>
        <v>236</v>
      </c>
      <c r="G253" s="2">
        <f ca="1">IF(Iterations[[#This Row],[Step]] =current_step, current_a,IF(Iterations[[#This Row],[Step]] &gt; current_step, "",Iterations[[#This Row],[a]]))</f>
        <v>-4.6261028227304628</v>
      </c>
      <c r="H253" s="2">
        <f ca="1">IF(Iterations[[#This Row],[Step]] =current_step, current_b,IF(Iterations[[#This Row],[Step]] &gt; current_step, "",Iterations[[#This Row],[b]]))</f>
        <v>0.78928514480026757</v>
      </c>
      <c r="I253" s="2">
        <f ca="1">IF(Iterations[[#This Row],[Step]] =current_step, current_c,IF(Iterations[[#This Row],[Step]] &gt; current_step, "",Iterations[[#This Row],[c]]))</f>
        <v>13.809197831137471</v>
      </c>
      <c r="J253" s="2">
        <f ca="1">IF(Iterations[[#This Row],[Step]] =current_step, current_d,IF(Iterations[[#This Row],[Step]] &gt; current_step, "",Iterations[[#This Row],[d]]))</f>
        <v>0.82477917426612646</v>
      </c>
      <c r="K253" s="2">
        <f ca="1">IF(Iterations[[#This Row],[Step]] =current_step, current_e,IF(Iterations[[#This Row],[Step]] &gt; current_step, "",Iterations[[#This Row],[e]]))</f>
        <v>13.957058459914181</v>
      </c>
      <c r="L253" s="2">
        <f ca="1">IF(Iterations[[#This Row],[Step]] =current_step, current_Total_Loss,IF(Iterations[[#This Row],[Step]] &gt; current_step, "",Iterations[[#This Row],[Total Loss]]))</f>
        <v>152.68</v>
      </c>
      <c r="M253" s="6" t="s">
        <v>27</v>
      </c>
      <c r="N253" s="2">
        <f ca="1">IF(Iterations[[#This Row],[Step]] =current_step, current_Grad_a,IF(Iterations[[#This Row],[Step]] &gt; current_step, "",Iterations[[#This Row],[Grad_a]]))</f>
        <v>0.25946601974269573</v>
      </c>
      <c r="O253" s="2">
        <f ca="1">IF(Iterations[[#This Row],[Step]] =current_step, current_Grad_b,IF(Iterations[[#This Row],[Step]] &gt; current_step, "",Iterations[[#This Row],[Grad_b]]))</f>
        <v>3.9944546732150324E-2</v>
      </c>
      <c r="P253" s="2">
        <f ca="1">IF(Iterations[[#This Row],[Step]] =current_step, current_Grad_c,IF(Iterations[[#This Row],[Step]] &gt; current_step, "",Iterations[[#This Row],[Grad_c]]))</f>
        <v>-0.72888543342028234</v>
      </c>
      <c r="Q253" s="2">
        <f ca="1">IF(Iterations[[#This Row],[Step]] =current_step, current_Grad_d,IF(Iterations[[#This Row],[Step]] &gt; current_step, "",Iterations[[#This Row],[Grad_d]]))</f>
        <v>-3.0315134007634192E-2</v>
      </c>
      <c r="R253" s="2">
        <f ca="1">IF(Iterations[[#This Row],[Step]] =current_step, current_Grad_e,IF(Iterations[[#This Row],[Step]] &gt; current_step, "",Iterations[[#This Row],[Grad_e]]))</f>
        <v>0.26009991781194386</v>
      </c>
    </row>
    <row r="254" spans="6:18" x14ac:dyDescent="0.3">
      <c r="F254" s="2">
        <f t="shared" si="5"/>
        <v>237</v>
      </c>
      <c r="G254" s="2">
        <f ca="1">IF(Iterations[[#This Row],[Step]] =current_step, current_a,IF(Iterations[[#This Row],[Step]] &gt; current_step, "",Iterations[[#This Row],[a]]))</f>
        <v>-4.6442654441124516</v>
      </c>
      <c r="H254" s="2">
        <f ca="1">IF(Iterations[[#This Row],[Step]] =current_step, current_b,IF(Iterations[[#This Row],[Step]] &gt; current_step, "",Iterations[[#This Row],[b]]))</f>
        <v>0.78648902652901709</v>
      </c>
      <c r="I254" s="2">
        <f ca="1">IF(Iterations[[#This Row],[Step]] =current_step, current_c,IF(Iterations[[#This Row],[Step]] &gt; current_step, "",Iterations[[#This Row],[c]]))</f>
        <v>13.86021981147689</v>
      </c>
      <c r="J254" s="2">
        <f ca="1">IF(Iterations[[#This Row],[Step]] =current_step, current_d,IF(Iterations[[#This Row],[Step]] &gt; current_step, "",Iterations[[#This Row],[d]]))</f>
        <v>0.8269012336466609</v>
      </c>
      <c r="K254" s="2">
        <f ca="1">IF(Iterations[[#This Row],[Step]] =current_step, current_e,IF(Iterations[[#This Row],[Step]] &gt; current_step, "",Iterations[[#This Row],[e]]))</f>
        <v>13.938851465667346</v>
      </c>
      <c r="L254" s="2">
        <f ca="1">IF(Iterations[[#This Row],[Step]] =current_step, current_Total_Loss,IF(Iterations[[#This Row],[Step]] &gt; current_step, "",Iterations[[#This Row],[Total Loss]]))</f>
        <v>151.84</v>
      </c>
      <c r="M254" s="6" t="s">
        <v>27</v>
      </c>
      <c r="N254" s="2">
        <f ca="1">IF(Iterations[[#This Row],[Step]] =current_step, current_Grad_a,IF(Iterations[[#This Row],[Step]] &gt; current_step, "",Iterations[[#This Row],[Grad_a]]))</f>
        <v>0.25771102406631763</v>
      </c>
      <c r="O254" s="2">
        <f ca="1">IF(Iterations[[#This Row],[Step]] =current_step, current_Grad_b,IF(Iterations[[#This Row],[Step]] &gt; current_step, "",Iterations[[#This Row],[Grad_b]]))</f>
        <v>3.9733064414229524E-2</v>
      </c>
      <c r="P254" s="2">
        <f ca="1">IF(Iterations[[#This Row],[Step]] =current_step, current_Grad_c,IF(Iterations[[#This Row],[Step]] &gt; current_step, "",Iterations[[#This Row],[Grad_c]]))</f>
        <v>-0.72394370981338796</v>
      </c>
      <c r="Q254" s="2">
        <f ca="1">IF(Iterations[[#This Row],[Step]] =current_step, current_Grad_d,IF(Iterations[[#This Row],[Step]] &gt; current_step, "",Iterations[[#This Row],[Grad_d]]))</f>
        <v>-3.0234561613679805E-2</v>
      </c>
      <c r="R254" s="2">
        <f ca="1">IF(Iterations[[#This Row],[Step]] =current_step, current_Grad_e,IF(Iterations[[#This Row],[Step]] &gt; current_step, "",Iterations[[#This Row],[Grad_e]]))</f>
        <v>0.25833476993690574</v>
      </c>
    </row>
    <row r="255" spans="6:18" x14ac:dyDescent="0.3">
      <c r="F255" s="2">
        <f t="shared" si="5"/>
        <v>238</v>
      </c>
      <c r="G255" s="2">
        <f ca="1">IF(Iterations[[#This Row],[Step]] =current_step, current_a,IF(Iterations[[#This Row],[Step]] &gt; current_step, "",Iterations[[#This Row],[a]]))</f>
        <v>-4.6623052157970939</v>
      </c>
      <c r="H255" s="2">
        <f ca="1">IF(Iterations[[#This Row],[Step]] =current_step, current_b,IF(Iterations[[#This Row],[Step]] &gt; current_step, "",Iterations[[#This Row],[b]]))</f>
        <v>0.78370771202002099</v>
      </c>
      <c r="I255" s="2">
        <f ca="1">IF(Iterations[[#This Row],[Step]] =current_step, current_c,IF(Iterations[[#This Row],[Step]] &gt; current_step, "",Iterations[[#This Row],[c]]))</f>
        <v>13.910895871163827</v>
      </c>
      <c r="J255" s="2">
        <f ca="1">IF(Iterations[[#This Row],[Step]] =current_step, current_d,IF(Iterations[[#This Row],[Step]] &gt; current_step, "",Iterations[[#This Row],[d]]))</f>
        <v>0.82901765295961849</v>
      </c>
      <c r="K255" s="2">
        <f ca="1">IF(Iterations[[#This Row],[Step]] =current_step, current_e,IF(Iterations[[#This Row],[Step]] &gt; current_step, "",Iterations[[#This Row],[e]]))</f>
        <v>13.920768031771763</v>
      </c>
      <c r="L255" s="2">
        <f ca="1">IF(Iterations[[#This Row],[Step]] =current_step, current_Total_Loss,IF(Iterations[[#This Row],[Step]] &gt; current_step, "",Iterations[[#This Row],[Total Loss]]))</f>
        <v>151.01</v>
      </c>
      <c r="M255" s="6" t="s">
        <v>27</v>
      </c>
      <c r="N255" s="2">
        <f ca="1">IF(Iterations[[#This Row],[Step]] =current_step, current_Grad_a,IF(Iterations[[#This Row],[Step]] &gt; current_step, "",Iterations[[#This Row],[Grad_a]]))</f>
        <v>0.25596789070759979</v>
      </c>
      <c r="O255" s="2">
        <f ca="1">IF(Iterations[[#This Row],[Step]] =current_step, current_Grad_b,IF(Iterations[[#This Row],[Step]] &gt; current_step, "",Iterations[[#This Row],[Grad_b]]))</f>
        <v>3.952196505186123E-2</v>
      </c>
      <c r="P255" s="2">
        <f ca="1">IF(Iterations[[#This Row],[Step]] =current_step, current_Grad_c,IF(Iterations[[#This Row],[Step]] &gt; current_step, "",Iterations[[#This Row],[Grad_c]]))</f>
        <v>-0.71903559351435042</v>
      </c>
      <c r="Q255" s="2">
        <f ca="1">IF(Iterations[[#This Row],[Step]] =current_step, current_Grad_d,IF(Iterations[[#This Row],[Step]] &gt; current_step, "",Iterations[[#This Row],[Grad_d]]))</f>
        <v>-3.0152314269028115E-2</v>
      </c>
      <c r="R255" s="2">
        <f ca="1">IF(Iterations[[#This Row],[Step]] =current_step, current_Grad_e,IF(Iterations[[#This Row],[Step]] &gt; current_step, "",Iterations[[#This Row],[Grad_e]]))</f>
        <v>0.25658165335978683</v>
      </c>
    </row>
    <row r="256" spans="6:18" x14ac:dyDescent="0.3">
      <c r="F256" s="2">
        <f t="shared" si="5"/>
        <v>239</v>
      </c>
      <c r="G256" s="2">
        <f ca="1">IF(Iterations[[#This Row],[Step]] =current_step, current_a,IF(Iterations[[#This Row],[Step]] &gt; current_step, "",Iterations[[#This Row],[a]]))</f>
        <v>-4.6802229681466256</v>
      </c>
      <c r="H256" s="2">
        <f ca="1">IF(Iterations[[#This Row],[Step]] =current_step, current_b,IF(Iterations[[#This Row],[Step]] &gt; current_step, "",Iterations[[#This Row],[b]]))</f>
        <v>0.78094117446639066</v>
      </c>
      <c r="I256" s="2">
        <f ca="1">IF(Iterations[[#This Row],[Step]] =current_step, current_c,IF(Iterations[[#This Row],[Step]] &gt; current_step, "",Iterations[[#This Row],[c]]))</f>
        <v>13.961228362709832</v>
      </c>
      <c r="J256" s="2">
        <f ca="1">IF(Iterations[[#This Row],[Step]] =current_step, current_d,IF(Iterations[[#This Row],[Step]] &gt; current_step, "",Iterations[[#This Row],[d]]))</f>
        <v>0.83112831495845041</v>
      </c>
      <c r="K256" s="2">
        <f ca="1">IF(Iterations[[#This Row],[Step]] =current_step, current_e,IF(Iterations[[#This Row],[Step]] &gt; current_step, "",Iterations[[#This Row],[e]]))</f>
        <v>13.902807316036577</v>
      </c>
      <c r="L256" s="2">
        <f ca="1">IF(Iterations[[#This Row],[Step]] =current_step, current_Total_Loss,IF(Iterations[[#This Row],[Step]] &gt; current_step, "",Iterations[[#This Row],[Total Loss]]))</f>
        <v>150.19</v>
      </c>
      <c r="M256" s="6" t="s">
        <v>27</v>
      </c>
      <c r="N256" s="2">
        <f ca="1">IF(Iterations[[#This Row],[Step]] =current_step, current_Grad_a,IF(Iterations[[#This Row],[Step]] &gt; current_step, "",Iterations[[#This Row],[Grad_a]]))</f>
        <v>0.25423653954860509</v>
      </c>
      <c r="O256" s="2">
        <f ca="1">IF(Iterations[[#This Row],[Step]] =current_step, current_Grad_b,IF(Iterations[[#This Row],[Step]] &gt; current_step, "",Iterations[[#This Row],[Grad_b]]))</f>
        <v>3.9311264716075184E-2</v>
      </c>
      <c r="P256" s="2">
        <f ca="1">IF(Iterations[[#This Row],[Step]] =current_step, current_Grad_c,IF(Iterations[[#This Row],[Step]] &gt; current_step, "",Iterations[[#This Row],[Grad_c]]))</f>
        <v>-0.71416085406721219</v>
      </c>
      <c r="Q256" s="2">
        <f ca="1">IF(Iterations[[#This Row],[Step]] =current_step, current_Grad_d,IF(Iterations[[#This Row],[Step]] &gt; current_step, "",Iterations[[#This Row],[Grad_d]]))</f>
        <v>-3.0068442889615285E-2</v>
      </c>
      <c r="R256" s="2">
        <f ca="1">IF(Iterations[[#This Row],[Step]] =current_step, current_Grad_e,IF(Iterations[[#This Row],[Step]] &gt; current_step, "",Iterations[[#This Row],[Grad_e]]))</f>
        <v>0.25484048541621679</v>
      </c>
    </row>
    <row r="257" spans="6:18" x14ac:dyDescent="0.3">
      <c r="F257" s="2">
        <f t="shared" si="5"/>
        <v>240</v>
      </c>
      <c r="G257" s="2">
        <f ca="1">IF(Iterations[[#This Row],[Step]] =current_step, current_a,IF(Iterations[[#This Row],[Step]] &gt; current_step, "",Iterations[[#This Row],[a]]))</f>
        <v>-4.6980195259150284</v>
      </c>
      <c r="H257" s="2">
        <f ca="1">IF(Iterations[[#This Row],[Step]] =current_step, current_b,IF(Iterations[[#This Row],[Step]] &gt; current_step, "",Iterations[[#This Row],[b]]))</f>
        <v>0.77818938593626541</v>
      </c>
      <c r="I257" s="2">
        <f ca="1">IF(Iterations[[#This Row],[Step]] =current_step, current_c,IF(Iterations[[#This Row],[Step]] &gt; current_step, "",Iterations[[#This Row],[c]]))</f>
        <v>14.011219622494536</v>
      </c>
      <c r="J257" s="2">
        <f ca="1">IF(Iterations[[#This Row],[Step]] =current_step, current_d,IF(Iterations[[#This Row],[Step]] &gt; current_step, "",Iterations[[#This Row],[d]]))</f>
        <v>0.83323310596072353</v>
      </c>
      <c r="K257" s="2">
        <f ca="1">IF(Iterations[[#This Row],[Step]] =current_step, current_e,IF(Iterations[[#This Row],[Step]] &gt; current_step, "",Iterations[[#This Row],[e]]))</f>
        <v>13.884968482057442</v>
      </c>
      <c r="L257" s="2">
        <f ca="1">IF(Iterations[[#This Row],[Step]] =current_step, current_Total_Loss,IF(Iterations[[#This Row],[Step]] &gt; current_step, "",Iterations[[#This Row],[Total Loss]]))</f>
        <v>149.38999999999999</v>
      </c>
      <c r="M257" s="6" t="s">
        <v>27</v>
      </c>
      <c r="N257" s="2">
        <f ca="1">IF(Iterations[[#This Row],[Step]] =current_step, current_Grad_a,IF(Iterations[[#This Row],[Step]] &gt; current_step, "",Iterations[[#This Row],[Grad_a]]))</f>
        <v>0.25251689101884445</v>
      </c>
      <c r="O257" s="2">
        <f ca="1">IF(Iterations[[#This Row],[Step]] =current_step, current_Grad_b,IF(Iterations[[#This Row],[Step]] &gt; current_step, "",Iterations[[#This Row],[Grad_b]]))</f>
        <v>3.9100979038182833E-2</v>
      </c>
      <c r="P257" s="2">
        <f ca="1">IF(Iterations[[#This Row],[Step]] =current_step, current_Grad_c,IF(Iterations[[#This Row],[Step]] &gt; current_step, "",Iterations[[#This Row],[Grad_c]]))</f>
        <v>-0.70931926263622258</v>
      </c>
      <c r="Q257" s="2">
        <f ca="1">IF(Iterations[[#This Row],[Step]] =current_step, current_Grad_d,IF(Iterations[[#This Row],[Step]] &gt; current_step, "",Iterations[[#This Row],[Grad_d]]))</f>
        <v>-2.9982997340024593E-2</v>
      </c>
      <c r="R257" s="2">
        <f ca="1">IF(Iterations[[#This Row],[Step]] =current_step, current_Grad_e,IF(Iterations[[#This Row],[Step]] &gt; current_step, "",Iterations[[#This Row],[Grad_e]]))</f>
        <v>0.25311118399667087</v>
      </c>
    </row>
    <row r="258" spans="6:18" x14ac:dyDescent="0.3">
      <c r="F258" s="2">
        <f t="shared" si="5"/>
        <v>241</v>
      </c>
      <c r="G258" s="2">
        <f ca="1">IF(Iterations[[#This Row],[Step]] =current_step, current_a,IF(Iterations[[#This Row],[Step]] &gt; current_step, "",Iterations[[#This Row],[a]]))</f>
        <v>-4.7156957082863471</v>
      </c>
      <c r="H258" s="2">
        <f ca="1">IF(Iterations[[#This Row],[Step]] =current_step, current_b,IF(Iterations[[#This Row],[Step]] &gt; current_step, "",Iterations[[#This Row],[b]]))</f>
        <v>0.77545231740359266</v>
      </c>
      <c r="I258" s="2">
        <f ca="1">IF(Iterations[[#This Row],[Step]] =current_step, current_c,IF(Iterations[[#This Row],[Step]] &gt; current_step, "",Iterations[[#This Row],[c]]))</f>
        <v>14.060871970879072</v>
      </c>
      <c r="J258" s="2">
        <f ca="1">IF(Iterations[[#This Row],[Step]] =current_step, current_d,IF(Iterations[[#This Row],[Step]] &gt; current_step, "",Iterations[[#This Row],[d]]))</f>
        <v>0.83533191577452526</v>
      </c>
      <c r="K258" s="2">
        <f ca="1">IF(Iterations[[#This Row],[Step]] =current_step, current_e,IF(Iterations[[#This Row],[Step]] &gt; current_step, "",Iterations[[#This Row],[e]]))</f>
        <v>13.867250699177674</v>
      </c>
      <c r="L258" s="2">
        <f ca="1">IF(Iterations[[#This Row],[Step]] =current_step, current_Total_Loss,IF(Iterations[[#This Row],[Step]] &gt; current_step, "",Iterations[[#This Row],[Total Loss]]))</f>
        <v>148.59</v>
      </c>
      <c r="M258" s="6" t="s">
        <v>27</v>
      </c>
      <c r="N258" s="2">
        <f ca="1">IF(Iterations[[#This Row],[Step]] =current_step, current_Grad_a,IF(Iterations[[#This Row],[Step]] &gt; current_step, "",Iterations[[#This Row],[Grad_a]]))</f>
        <v>0.25080886609164466</v>
      </c>
      <c r="O258" s="2">
        <f ca="1">IF(Iterations[[#This Row],[Step]] =current_step, current_Grad_b,IF(Iterations[[#This Row],[Step]] &gt; current_step, "",Iterations[[#This Row],[Grad_b]]))</f>
        <v>3.8891123218350941E-2</v>
      </c>
      <c r="P258" s="2">
        <f ca="1">IF(Iterations[[#This Row],[Step]] =current_step, current_Grad_c,IF(Iterations[[#This Row],[Step]] &gt; current_step, "",Iterations[[#This Row],[Grad_c]]))</f>
        <v>-0.70451059199280885</v>
      </c>
      <c r="Q258" s="2">
        <f ca="1">IF(Iterations[[#This Row],[Step]] =current_step, current_Grad_d,IF(Iterations[[#This Row],[Step]] &gt; current_step, "",Iterations[[#This Row],[Grad_d]]))</f>
        <v>-2.9896026453379212E-2</v>
      </c>
      <c r="R258" s="2">
        <f ca="1">IF(Iterations[[#This Row],[Step]] =current_step, current_Grad_e,IF(Iterations[[#This Row],[Step]] &gt; current_step, "",Iterations[[#This Row],[Grad_e]]))</f>
        <v>0.25139366754541848</v>
      </c>
    </row>
    <row r="259" spans="6:18" x14ac:dyDescent="0.3">
      <c r="F259" s="2">
        <f t="shared" si="5"/>
        <v>242</v>
      </c>
      <c r="G259" s="2">
        <f ca="1">IF(Iterations[[#This Row],[Step]] =current_step, current_a,IF(Iterations[[#This Row],[Step]] &gt; current_step, "",Iterations[[#This Row],[a]]))</f>
        <v>-4.7332523289127622</v>
      </c>
      <c r="H259" s="2">
        <f ca="1">IF(Iterations[[#This Row],[Step]] =current_step, current_b,IF(Iterations[[#This Row],[Step]] &gt; current_step, "",Iterations[[#This Row],[b]]))</f>
        <v>0.77272993877830809</v>
      </c>
      <c r="I259" s="2">
        <f ca="1">IF(Iterations[[#This Row],[Step]] =current_step, current_c,IF(Iterations[[#This Row],[Step]] &gt; current_step, "",Iterations[[#This Row],[c]]))</f>
        <v>14.110187712318568</v>
      </c>
      <c r="J259" s="2">
        <f ca="1">IF(Iterations[[#This Row],[Step]] =current_step, current_d,IF(Iterations[[#This Row],[Step]] &gt; current_step, "",Iterations[[#This Row],[d]]))</f>
        <v>0.83742463762626185</v>
      </c>
      <c r="K259" s="2">
        <f ca="1">IF(Iterations[[#This Row],[Step]] =current_step, current_e,IF(Iterations[[#This Row],[Step]] &gt; current_step, "",Iterations[[#This Row],[e]]))</f>
        <v>13.849653142449496</v>
      </c>
      <c r="L259" s="2">
        <f ca="1">IF(Iterations[[#This Row],[Step]] =current_step, current_Total_Loss,IF(Iterations[[#This Row],[Step]] &gt; current_step, "",Iterations[[#This Row],[Total Loss]]))</f>
        <v>147.81</v>
      </c>
      <c r="M259" s="6" t="s">
        <v>27</v>
      </c>
      <c r="N259" s="2">
        <f ca="1">IF(Iterations[[#This Row],[Step]] =current_step, current_Grad_a,IF(Iterations[[#This Row],[Step]] &gt; current_step, "",Iterations[[#This Row],[Grad_a]]))</f>
        <v>0.24911238627856747</v>
      </c>
      <c r="O259" s="2">
        <f ca="1">IF(Iterations[[#This Row],[Step]] =current_step, current_Grad_b,IF(Iterations[[#This Row],[Step]] &gt; current_step, "",Iterations[[#This Row],[Grad_b]]))</f>
        <v>3.8681712034356629E-2</v>
      </c>
      <c r="P259" s="2">
        <f ca="1">IF(Iterations[[#This Row],[Step]] =current_step, current_Grad_c,IF(Iterations[[#This Row],[Step]] &gt; current_step, "",Iterations[[#This Row],[Grad_c]]))</f>
        <v>-0.69973461650357605</v>
      </c>
      <c r="Q259" s="2">
        <f ca="1">IF(Iterations[[#This Row],[Step]] =current_step, current_Grad_d,IF(Iterations[[#This Row],[Step]] &gt; current_step, "",Iterations[[#This Row],[Grad_d]]))</f>
        <v>-2.9807578050747432E-2</v>
      </c>
      <c r="R259" s="2">
        <f ca="1">IF(Iterations[[#This Row],[Step]] =current_step, current_Grad_e,IF(Iterations[[#This Row],[Step]] &gt; current_step, "",Iterations[[#This Row],[Grad_e]]))</f>
        <v>0.24968785505881877</v>
      </c>
    </row>
    <row r="260" spans="6:18" x14ac:dyDescent="0.3">
      <c r="F260" s="2">
        <f t="shared" si="5"/>
        <v>243</v>
      </c>
      <c r="G260" s="2">
        <f ca="1">IF(Iterations[[#This Row],[Step]] =current_step, current_a,IF(Iterations[[#This Row],[Step]] &gt; current_step, "",Iterations[[#This Row],[a]]))</f>
        <v>-4.7506901959522621</v>
      </c>
      <c r="H260" s="2">
        <f ca="1">IF(Iterations[[#This Row],[Step]] =current_step, current_b,IF(Iterations[[#This Row],[Step]] &gt; current_step, "",Iterations[[#This Row],[b]]))</f>
        <v>0.77002221893590317</v>
      </c>
      <c r="I260" s="2">
        <f ca="1">IF(Iterations[[#This Row],[Step]] =current_step, current_c,IF(Iterations[[#This Row],[Step]] &gt; current_step, "",Iterations[[#This Row],[c]]))</f>
        <v>14.159169135473819</v>
      </c>
      <c r="J260" s="2">
        <f ca="1">IF(Iterations[[#This Row],[Step]] =current_step, current_d,IF(Iterations[[#This Row],[Step]] &gt; current_step, "",Iterations[[#This Row],[d]]))</f>
        <v>0.83951116808981419</v>
      </c>
      <c r="K260" s="2">
        <f ca="1">IF(Iterations[[#This Row],[Step]] =current_step, current_e,IF(Iterations[[#This Row],[Step]] &gt; current_step, "",Iterations[[#This Row],[e]]))</f>
        <v>13.832174992595379</v>
      </c>
      <c r="L260" s="2">
        <f ca="1">IF(Iterations[[#This Row],[Step]] =current_step, current_Total_Loss,IF(Iterations[[#This Row],[Step]] &gt; current_step, "",Iterations[[#This Row],[Total Loss]]))</f>
        <v>147.03</v>
      </c>
      <c r="M260" s="6" t="s">
        <v>27</v>
      </c>
      <c r="N260" s="2">
        <f ca="1">IF(Iterations[[#This Row],[Step]] =current_step, current_Grad_a,IF(Iterations[[#This Row],[Step]] &gt; current_step, "",Iterations[[#This Row],[Grad_a]]))</f>
        <v>0.24742737362622691</v>
      </c>
      <c r="O260" s="2">
        <f ca="1">IF(Iterations[[#This Row],[Step]] =current_step, current_Grad_b,IF(Iterations[[#This Row],[Step]] &gt; current_step, "",Iterations[[#This Row],[Grad_b]]))</f>
        <v>3.8472759849858013E-2</v>
      </c>
      <c r="P260" s="2">
        <f ca="1">IF(Iterations[[#This Row],[Step]] =current_step, current_Grad_c,IF(Iterations[[#This Row],[Step]] &gt; current_step, "",Iterations[[#This Row],[Grad_c]]))</f>
        <v>-0.6949911121175103</v>
      </c>
      <c r="Q260" s="2">
        <f ca="1">IF(Iterations[[#This Row],[Step]] =current_step, current_Grad_d,IF(Iterations[[#This Row],[Step]] &gt; current_step, "",Iterations[[#This Row],[Grad_d]]))</f>
        <v>-2.9717698960300323E-2</v>
      </c>
      <c r="R260" s="2">
        <f ca="1">IF(Iterations[[#This Row],[Step]] =current_step, current_Grad_e,IF(Iterations[[#This Row],[Step]] &gt; current_step, "",Iterations[[#This Row],[Grad_e]]))</f>
        <v>0.24799366608382239</v>
      </c>
    </row>
    <row r="261" spans="6:18" x14ac:dyDescent="0.3">
      <c r="F261" s="2">
        <f t="shared" si="5"/>
        <v>244</v>
      </c>
      <c r="G261" s="2">
        <f ca="1">IF(Iterations[[#This Row],[Step]] =current_step, current_a,IF(Iterations[[#This Row],[Step]] &gt; current_step, "",Iterations[[#This Row],[a]]))</f>
        <v>-4.768010112106098</v>
      </c>
      <c r="H261" s="2">
        <f ca="1">IF(Iterations[[#This Row],[Step]] =current_step, current_b,IF(Iterations[[#This Row],[Step]] &gt; current_step, "",Iterations[[#This Row],[b]]))</f>
        <v>0.7673291257464131</v>
      </c>
      <c r="I261" s="2">
        <f ca="1">IF(Iterations[[#This Row],[Step]] =current_step, current_c,IF(Iterations[[#This Row],[Step]] &gt; current_step, "",Iterations[[#This Row],[c]]))</f>
        <v>14.207818513322044</v>
      </c>
      <c r="J261" s="2">
        <f ca="1">IF(Iterations[[#This Row],[Step]] =current_step, current_d,IF(Iterations[[#This Row],[Step]] &gt; current_step, "",Iterations[[#This Row],[d]]))</f>
        <v>0.84159140701703516</v>
      </c>
      <c r="K261" s="2">
        <f ca="1">IF(Iterations[[#This Row],[Step]] =current_step, current_e,IF(Iterations[[#This Row],[Step]] &gt; current_step, "",Iterations[[#This Row],[e]]))</f>
        <v>13.814815435969511</v>
      </c>
      <c r="L261" s="2">
        <f ca="1">IF(Iterations[[#This Row],[Step]] =current_step, current_Total_Loss,IF(Iterations[[#This Row],[Step]] &gt; current_step, "",Iterations[[#This Row],[Total Loss]]))</f>
        <v>146.27000000000001</v>
      </c>
      <c r="M261" s="6" t="s">
        <v>27</v>
      </c>
      <c r="N261" s="2">
        <f ca="1">IF(Iterations[[#This Row],[Step]] =current_step, current_Grad_a,IF(Iterations[[#This Row],[Step]] &gt; current_step, "",Iterations[[#This Row],[Grad_a]]))</f>
        <v>0.24575375071096417</v>
      </c>
      <c r="O261" s="2">
        <f ca="1">IF(Iterations[[#This Row],[Step]] =current_step, current_Grad_b,IF(Iterations[[#This Row],[Step]] &gt; current_step, "",Iterations[[#This Row],[Grad_b]]))</f>
        <v>3.8264280622830701E-2</v>
      </c>
      <c r="P261" s="2">
        <f ca="1">IF(Iterations[[#This Row],[Step]] =current_step, current_Grad_c,IF(Iterations[[#This Row],[Step]] &gt; current_step, "",Iterations[[#This Row],[Grad_c]]))</f>
        <v>-0.69027985635427813</v>
      </c>
      <c r="Q261" s="2">
        <f ca="1">IF(Iterations[[#This Row],[Step]] =current_step, current_Grad_d,IF(Iterations[[#This Row],[Step]] &gt; current_step, "",Iterations[[#This Row],[Grad_d]]))</f>
        <v>-2.9626435036006656E-2</v>
      </c>
      <c r="R261" s="2">
        <f ca="1">IF(Iterations[[#This Row],[Step]] =current_step, current_Grad_e,IF(Iterations[[#This Row],[Step]] &gt; current_step, "",Iterations[[#This Row],[Grad_e]]))</f>
        <v>0.24631102071583044</v>
      </c>
    </row>
    <row r="262" spans="6:18" x14ac:dyDescent="0.3">
      <c r="F262" s="2">
        <f t="shared" ref="F262:F325" si="6">F261+1</f>
        <v>245</v>
      </c>
      <c r="G262" s="2">
        <f ca="1">IF(Iterations[[#This Row],[Step]] =current_step, current_a,IF(Iterations[[#This Row],[Step]] &gt; current_step, "",Iterations[[#This Row],[a]]))</f>
        <v>-4.7852128746558655</v>
      </c>
      <c r="H262" s="2">
        <f ca="1">IF(Iterations[[#This Row],[Step]] =current_step, current_b,IF(Iterations[[#This Row],[Step]] &gt; current_step, "",Iterations[[#This Row],[b]]))</f>
        <v>0.76465062610281498</v>
      </c>
      <c r="I262" s="2">
        <f ca="1">IF(Iterations[[#This Row],[Step]] =current_step, current_c,IF(Iterations[[#This Row],[Step]] &gt; current_step, "",Iterations[[#This Row],[c]]))</f>
        <v>14.256138103266844</v>
      </c>
      <c r="J262" s="2">
        <f ca="1">IF(Iterations[[#This Row],[Step]] =current_step, current_d,IF(Iterations[[#This Row],[Step]] &gt; current_step, "",Iterations[[#This Row],[d]]))</f>
        <v>0.84366525746955567</v>
      </c>
      <c r="K262" s="2">
        <f ca="1">IF(Iterations[[#This Row],[Step]] =current_step, current_e,IF(Iterations[[#This Row],[Step]] &gt; current_step, "",Iterations[[#This Row],[e]]))</f>
        <v>13.797573664519403</v>
      </c>
      <c r="L262" s="2">
        <f ca="1">IF(Iterations[[#This Row],[Step]] =current_step, current_Total_Loss,IF(Iterations[[#This Row],[Step]] &gt; current_step, "",Iterations[[#This Row],[Total Loss]]))</f>
        <v>145.51</v>
      </c>
      <c r="M262" s="6" t="s">
        <v>27</v>
      </c>
      <c r="N262" s="2">
        <f ca="1">IF(Iterations[[#This Row],[Step]] =current_step, current_Grad_a,IF(Iterations[[#This Row],[Step]] &gt; current_step, "",Iterations[[#This Row],[Grad_a]]))</f>
        <v>0.2440914406355667</v>
      </c>
      <c r="O262" s="2">
        <f ca="1">IF(Iterations[[#This Row],[Step]] =current_step, current_Grad_b,IF(Iterations[[#This Row],[Step]] &gt; current_step, "",Iterations[[#This Row],[Grad_b]]))</f>
        <v>3.8056287913584917E-2</v>
      </c>
      <c r="P262" s="2">
        <f ca="1">IF(Iterations[[#This Row],[Step]] =current_step, current_Grad_c,IF(Iterations[[#This Row],[Step]] &gt; current_step, "",Iterations[[#This Row],[Grad_c]]))</f>
        <v>-0.68560062829185775</v>
      </c>
      <c r="Q262" s="2">
        <f ca="1">IF(Iterations[[#This Row],[Step]] =current_step, current_Grad_d,IF(Iterations[[#This Row],[Step]] &gt; current_step, "",Iterations[[#This Row],[Grad_d]]))</f>
        <v>-2.9533831176067241E-2</v>
      </c>
      <c r="R262" s="2">
        <f ca="1">IF(Iterations[[#This Row],[Step]] =current_step, current_Grad_e,IF(Iterations[[#This Row],[Step]] &gt; current_step, "",Iterations[[#This Row],[Grad_e]]))</f>
        <v>0.24463983959674962</v>
      </c>
    </row>
    <row r="263" spans="6:18" x14ac:dyDescent="0.3">
      <c r="F263" s="2">
        <f t="shared" si="6"/>
        <v>246</v>
      </c>
      <c r="G263" s="2">
        <f ca="1">IF(Iterations[[#This Row],[Step]] =current_step, current_a,IF(Iterations[[#This Row],[Step]] &gt; current_step, "",Iterations[[#This Row],[a]]))</f>
        <v>-4.8022992755003555</v>
      </c>
      <c r="H263" s="2">
        <f ca="1">IF(Iterations[[#This Row],[Step]] =current_step, current_b,IF(Iterations[[#This Row],[Step]] &gt; current_step, "",Iterations[[#This Row],[b]]))</f>
        <v>0.76198668594886398</v>
      </c>
      <c r="I263" s="2">
        <f ca="1">IF(Iterations[[#This Row],[Step]] =current_step, current_c,IF(Iterations[[#This Row],[Step]] &gt; current_step, "",Iterations[[#This Row],[c]]))</f>
        <v>14.304130147247275</v>
      </c>
      <c r="J263" s="2">
        <f ca="1">IF(Iterations[[#This Row],[Step]] =current_step, current_d,IF(Iterations[[#This Row],[Step]] &gt; current_step, "",Iterations[[#This Row],[d]]))</f>
        <v>0.84573262565188034</v>
      </c>
      <c r="K263" s="2">
        <f ca="1">IF(Iterations[[#This Row],[Step]] =current_step, current_e,IF(Iterations[[#This Row],[Step]] &gt; current_step, "",Iterations[[#This Row],[e]]))</f>
        <v>13.780448875747631</v>
      </c>
      <c r="L263" s="2">
        <f ca="1">IF(Iterations[[#This Row],[Step]] =current_step, current_Total_Loss,IF(Iterations[[#This Row],[Step]] &gt; current_step, "",Iterations[[#This Row],[Total Loss]]))</f>
        <v>144.77000000000001</v>
      </c>
      <c r="M263" s="6" t="s">
        <v>27</v>
      </c>
      <c r="N263" s="2">
        <f ca="1">IF(Iterations[[#This Row],[Step]] =current_step, current_Grad_a,IF(Iterations[[#This Row],[Step]] &gt; current_step, "",Iterations[[#This Row],[Grad_a]]))</f>
        <v>0.24244036702442509</v>
      </c>
      <c r="O263" s="2">
        <f ca="1">IF(Iterations[[#This Row],[Step]] =current_step, current_Grad_b,IF(Iterations[[#This Row],[Step]] &gt; current_step, "",Iterations[[#This Row],[Grad_b]]))</f>
        <v>3.7848794892937083E-2</v>
      </c>
      <c r="P263" s="2">
        <f ca="1">IF(Iterations[[#This Row],[Step]] =current_step, current_Grad_c,IF(Iterations[[#This Row],[Step]] &gt; current_step, "",Iterations[[#This Row],[Grad_c]]))</f>
        <v>-0.68095320855499675</v>
      </c>
      <c r="Q263" s="2">
        <f ca="1">IF(Iterations[[#This Row],[Step]] =current_step, current_Grad_d,IF(Iterations[[#This Row],[Step]] &gt; current_step, "",Iterations[[#This Row],[Grad_d]]))</f>
        <v>-2.9439931340911545E-2</v>
      </c>
      <c r="R263" s="2">
        <f ca="1">IF(Iterations[[#This Row],[Step]] =current_step, current_Grad_e,IF(Iterations[[#This Row],[Step]] &gt; current_step, "",Iterations[[#This Row],[Grad_e]]))</f>
        <v>0.24298004391255626</v>
      </c>
    </row>
    <row r="264" spans="6:18" x14ac:dyDescent="0.3">
      <c r="F264" s="2">
        <f t="shared" si="6"/>
        <v>247</v>
      </c>
      <c r="G264" s="2">
        <f ca="1">IF(Iterations[[#This Row],[Step]] =current_step, current_a,IF(Iterations[[#This Row],[Step]] &gt; current_step, "",Iterations[[#This Row],[a]]))</f>
        <v>-4.8192701011920649</v>
      </c>
      <c r="H264" s="2">
        <f ca="1">IF(Iterations[[#This Row],[Step]] =current_step, current_b,IF(Iterations[[#This Row],[Step]] &gt; current_step, "",Iterations[[#This Row],[b]]))</f>
        <v>0.75933727030635834</v>
      </c>
      <c r="I264" s="2">
        <f ca="1">IF(Iterations[[#This Row],[Step]] =current_step, current_c,IF(Iterations[[#This Row],[Step]] &gt; current_step, "",Iterations[[#This Row],[c]]))</f>
        <v>14.351796871846124</v>
      </c>
      <c r="J264" s="2">
        <f ca="1">IF(Iterations[[#This Row],[Step]] =current_step, current_d,IF(Iterations[[#This Row],[Step]] &gt; current_step, "",Iterations[[#This Row],[d]]))</f>
        <v>0.84779342084574416</v>
      </c>
      <c r="K264" s="2">
        <f ca="1">IF(Iterations[[#This Row],[Step]] =current_step, current_e,IF(Iterations[[#This Row],[Step]] &gt; current_step, "",Iterations[[#This Row],[e]]))</f>
        <v>13.763440272673751</v>
      </c>
      <c r="L264" s="2">
        <f ca="1">IF(Iterations[[#This Row],[Step]] =current_step, current_Total_Loss,IF(Iterations[[#This Row],[Step]] &gt; current_step, "",Iterations[[#This Row],[Total Loss]]))</f>
        <v>144.04</v>
      </c>
      <c r="M264" s="6" t="s">
        <v>27</v>
      </c>
      <c r="N264" s="2">
        <f ca="1">IF(Iterations[[#This Row],[Step]] =current_step, current_Grad_a,IF(Iterations[[#This Row],[Step]] &gt; current_step, "",Iterations[[#This Row],[Grad_a]]))</f>
        <v>0.24080045402023595</v>
      </c>
      <c r="O264" s="2">
        <f ca="1">IF(Iterations[[#This Row],[Step]] =current_step, current_Grad_b,IF(Iterations[[#This Row],[Step]] &gt; current_step, "",Iterations[[#This Row],[Grad_b]]))</f>
        <v>3.7641814349860345E-2</v>
      </c>
      <c r="P264" s="2">
        <f ca="1">IF(Iterations[[#This Row],[Step]] =current_step, current_Grad_c,IF(Iterations[[#This Row],[Step]] &gt; current_step, "",Iterations[[#This Row],[Grad_c]]))</f>
        <v>-0.67633737930321169</v>
      </c>
      <c r="Q264" s="2">
        <f ca="1">IF(Iterations[[#This Row],[Step]] =current_step, current_Grad_d,IF(Iterations[[#This Row],[Step]] &gt; current_step, "",Iterations[[#This Row],[Grad_d]]))</f>
        <v>-2.934477857098303E-2</v>
      </c>
      <c r="R264" s="2">
        <f ca="1">IF(Iterations[[#This Row],[Step]] =current_step, current_Grad_e,IF(Iterations[[#This Row],[Step]] &gt; current_step, "",Iterations[[#This Row],[Grad_e]]))</f>
        <v>0.24133155539098836</v>
      </c>
    </row>
    <row r="265" spans="6:18" x14ac:dyDescent="0.3">
      <c r="F265" s="2">
        <f t="shared" si="6"/>
        <v>248</v>
      </c>
      <c r="G265" s="2">
        <f ca="1">IF(Iterations[[#This Row],[Step]] =current_step, current_a,IF(Iterations[[#This Row],[Step]] &gt; current_step, "",Iterations[[#This Row],[a]]))</f>
        <v>-4.8361261329734813</v>
      </c>
      <c r="H265" s="2">
        <f ca="1">IF(Iterations[[#This Row],[Step]] =current_step, current_b,IF(Iterations[[#This Row],[Step]] &gt; current_step, "",Iterations[[#This Row],[b]]))</f>
        <v>0.75670234330186814</v>
      </c>
      <c r="I265" s="2">
        <f ca="1">IF(Iterations[[#This Row],[Step]] =current_step, current_c,IF(Iterations[[#This Row],[Step]] &gt; current_step, "",Iterations[[#This Row],[c]]))</f>
        <v>14.399140488397348</v>
      </c>
      <c r="J265" s="2">
        <f ca="1">IF(Iterations[[#This Row],[Step]] =current_step, current_d,IF(Iterations[[#This Row],[Step]] &gt; current_step, "",Iterations[[#This Row],[d]]))</f>
        <v>0.84984755534571299</v>
      </c>
      <c r="K265" s="2">
        <f ca="1">IF(Iterations[[#This Row],[Step]] =current_step, current_e,IF(Iterations[[#This Row],[Step]] &gt; current_step, "",Iterations[[#This Row],[e]]))</f>
        <v>13.746547063796383</v>
      </c>
      <c r="L265" s="2">
        <f ca="1">IF(Iterations[[#This Row],[Step]] =current_step, current_Total_Loss,IF(Iterations[[#This Row],[Step]] &gt; current_step, "",Iterations[[#This Row],[Total Loss]]))</f>
        <v>143.32</v>
      </c>
      <c r="M265" s="6" t="s">
        <v>27</v>
      </c>
      <c r="N265" s="2">
        <f ca="1">IF(Iterations[[#This Row],[Step]] =current_step, current_Grad_a,IF(Iterations[[#This Row],[Step]] &gt; current_step, "",Iterations[[#This Row],[Grad_a]]))</f>
        <v>0.23917162627944696</v>
      </c>
      <c r="O265" s="2">
        <f ca="1">IF(Iterations[[#This Row],[Step]] =current_step, current_Grad_b,IF(Iterations[[#This Row],[Step]] &gt; current_step, "",Iterations[[#This Row],[Grad_b]]))</f>
        <v>3.7435358699423681E-2</v>
      </c>
      <c r="P265" s="2">
        <f ca="1">IF(Iterations[[#This Row],[Step]] =current_step, current_Grad_c,IF(Iterations[[#This Row],[Step]] &gt; current_step, "",Iterations[[#This Row],[Grad_c]]))</f>
        <v>-0.67175292421944954</v>
      </c>
      <c r="Q265" s="2">
        <f ca="1">IF(Iterations[[#This Row],[Step]] =current_step, current_Grad_d,IF(Iterations[[#This Row],[Step]] &gt; current_step, "",Iterations[[#This Row],[Grad_d]]))</f>
        <v>-2.9248415004050326E-2</v>
      </c>
      <c r="R265" s="2">
        <f ca="1">IF(Iterations[[#This Row],[Step]] =current_step, current_Grad_e,IF(Iterations[[#This Row],[Step]] &gt; current_step, "",Iterations[[#This Row],[Grad_e]]))</f>
        <v>0.23969429629887529</v>
      </c>
    </row>
    <row r="266" spans="6:18" x14ac:dyDescent="0.3">
      <c r="F266" s="2">
        <f t="shared" si="6"/>
        <v>249</v>
      </c>
      <c r="G266" s="2">
        <f ca="1">IF(Iterations[[#This Row],[Step]] =current_step, current_a,IF(Iterations[[#This Row],[Step]] &gt; current_step, "",Iterations[[#This Row],[a]]))</f>
        <v>-4.8528681468130426</v>
      </c>
      <c r="H266" s="2">
        <f ca="1">IF(Iterations[[#This Row],[Step]] =current_step, current_b,IF(Iterations[[#This Row],[Step]] &gt; current_step, "",Iterations[[#This Row],[b]]))</f>
        <v>0.75408186819290846</v>
      </c>
      <c r="I266" s="2">
        <f ca="1">IF(Iterations[[#This Row],[Step]] =current_step, current_c,IF(Iterations[[#This Row],[Step]] &gt; current_step, "",Iterations[[#This Row],[c]]))</f>
        <v>14.44616319309271</v>
      </c>
      <c r="J266" s="2">
        <f ca="1">IF(Iterations[[#This Row],[Step]] =current_step, current_d,IF(Iterations[[#This Row],[Step]] &gt; current_step, "",Iterations[[#This Row],[d]]))</f>
        <v>0.85189494439599656</v>
      </c>
      <c r="K266" s="2">
        <f ca="1">IF(Iterations[[#This Row],[Step]] =current_step, current_e,IF(Iterations[[#This Row],[Step]] &gt; current_step, "",Iterations[[#This Row],[e]]))</f>
        <v>13.729768463055462</v>
      </c>
      <c r="L266" s="2">
        <f ca="1">IF(Iterations[[#This Row],[Step]] =current_step, current_Total_Loss,IF(Iterations[[#This Row],[Step]] &gt; current_step, "",Iterations[[#This Row],[Total Loss]]))</f>
        <v>142.6</v>
      </c>
      <c r="M266" s="6" t="s">
        <v>27</v>
      </c>
      <c r="N266" s="2">
        <f ca="1">IF(Iterations[[#This Row],[Step]] =current_step, current_Grad_a,IF(Iterations[[#This Row],[Step]] &gt; current_step, "",Iterations[[#This Row],[Grad_a]]))</f>
        <v>0.23755380896893857</v>
      </c>
      <c r="O266" s="2">
        <f ca="1">IF(Iterations[[#This Row],[Step]] =current_step, current_Grad_b,IF(Iterations[[#This Row],[Step]] &gt; current_step, "",Iterations[[#This Row],[Grad_b]]))</f>
        <v>3.7229439990207086E-2</v>
      </c>
      <c r="P266" s="2">
        <f ca="1">IF(Iterations[[#This Row],[Step]] =current_step, current_Grad_c,IF(Iterations[[#This Row],[Step]] &gt; current_step, "",Iterations[[#This Row],[Grad_c]]))</f>
        <v>-0.66719962849841674</v>
      </c>
      <c r="Q266" s="2">
        <f ca="1">IF(Iterations[[#This Row],[Step]] =current_step, current_Grad_d,IF(Iterations[[#This Row],[Step]] &gt; current_step, "",Iterations[[#This Row],[Grad_d]]))</f>
        <v>-2.9150881892335515E-2</v>
      </c>
      <c r="R266" s="2">
        <f ca="1">IF(Iterations[[#This Row],[Step]] =current_step, current_Grad_e,IF(Iterations[[#This Row],[Step]] &gt; current_step, "",Iterations[[#This Row],[Grad_e]]))</f>
        <v>0.238068189439539</v>
      </c>
    </row>
    <row r="267" spans="6:18" x14ac:dyDescent="0.3">
      <c r="F267" s="2">
        <f t="shared" si="6"/>
        <v>250</v>
      </c>
      <c r="G267" s="2">
        <f ca="1">IF(Iterations[[#This Row],[Step]] =current_step, current_a,IF(Iterations[[#This Row],[Step]] &gt; current_step, "",Iterations[[#This Row],[a]]))</f>
        <v>-4.8694969134408685</v>
      </c>
      <c r="H267" s="2">
        <f ca="1">IF(Iterations[[#This Row],[Step]] =current_step, current_b,IF(Iterations[[#This Row],[Step]] &gt; current_step, "",Iterations[[#This Row],[b]]))</f>
        <v>0.75147580739359399</v>
      </c>
      <c r="I267" s="2">
        <f ca="1">IF(Iterations[[#This Row],[Step]] =current_step, current_c,IF(Iterations[[#This Row],[Step]] &gt; current_step, "",Iterations[[#This Row],[c]]))</f>
        <v>14.492867167087599</v>
      </c>
      <c r="J267" s="2">
        <f ca="1">IF(Iterations[[#This Row],[Step]] =current_step, current_d,IF(Iterations[[#This Row],[Step]] &gt; current_step, "",Iterations[[#This Row],[d]]))</f>
        <v>0.85393550612846003</v>
      </c>
      <c r="K267" s="2">
        <f ca="1">IF(Iterations[[#This Row],[Step]] =current_step, current_e,IF(Iterations[[#This Row],[Step]] &gt; current_step, "",Iterations[[#This Row],[e]]))</f>
        <v>13.713103689794695</v>
      </c>
      <c r="L267" s="2">
        <f ca="1">IF(Iterations[[#This Row],[Step]] =current_step, current_Total_Loss,IF(Iterations[[#This Row],[Step]] &gt; current_step, "",Iterations[[#This Row],[Total Loss]]))</f>
        <v>141.9</v>
      </c>
      <c r="M267" s="6" t="s">
        <v>27</v>
      </c>
      <c r="N267" s="2">
        <f ca="1">IF(Iterations[[#This Row],[Step]] =current_step, current_Grad_a,IF(Iterations[[#This Row],[Step]] &gt; current_step, "",Iterations[[#This Row],[Grad_a]]))</f>
        <v>0.2359469277618701</v>
      </c>
      <c r="O267" s="2">
        <f ca="1">IF(Iterations[[#This Row],[Step]] =current_step, current_Grad_b,IF(Iterations[[#This Row],[Step]] &gt; current_step, "",Iterations[[#This Row],[Grad_b]]))</f>
        <v>3.7024069911867824E-2</v>
      </c>
      <c r="P267" s="2">
        <f ca="1">IF(Iterations[[#This Row],[Step]] =current_step, current_Grad_c,IF(Iterations[[#This Row],[Step]] &gt; current_step, "",Iterations[[#This Row],[Grad_c]]))</f>
        <v>-0.66267727883539662</v>
      </c>
      <c r="Q267" s="2">
        <f ca="1">IF(Iterations[[#This Row],[Step]] =current_step, current_Grad_d,IF(Iterations[[#This Row],[Step]] &gt; current_step, "",Iterations[[#This Row],[Grad_d]]))</f>
        <v>-2.9052219619212179E-2</v>
      </c>
      <c r="R267" s="2">
        <f ca="1">IF(Iterations[[#This Row],[Step]] =current_step, current_Grad_e,IF(Iterations[[#This Row],[Step]] &gt; current_step, "",Iterations[[#This Row],[Grad_e]]))</f>
        <v>0.23645315814994128</v>
      </c>
    </row>
    <row r="268" spans="6:18" x14ac:dyDescent="0.3">
      <c r="F268" s="2">
        <f t="shared" si="6"/>
        <v>251</v>
      </c>
      <c r="G268" s="2">
        <f ca="1">IF(Iterations[[#This Row],[Step]] =current_step, current_a,IF(Iterations[[#This Row],[Step]] &gt; current_step, "",Iterations[[#This Row],[a]]))</f>
        <v>-4.8860131983841999</v>
      </c>
      <c r="H268" s="2">
        <f ca="1">IF(Iterations[[#This Row],[Step]] =current_step, current_b,IF(Iterations[[#This Row],[Step]] &gt; current_step, "",Iterations[[#This Row],[b]]))</f>
        <v>0.74888412249976322</v>
      </c>
      <c r="I268" s="2">
        <f ca="1">IF(Iterations[[#This Row],[Step]] =current_step, current_c,IF(Iterations[[#This Row],[Step]] &gt; current_step, "",Iterations[[#This Row],[c]]))</f>
        <v>14.539254576606076</v>
      </c>
      <c r="J268" s="2">
        <f ca="1">IF(Iterations[[#This Row],[Step]] =current_step, current_d,IF(Iterations[[#This Row],[Step]] &gt; current_step, "",Iterations[[#This Row],[d]]))</f>
        <v>0.85596916150180491</v>
      </c>
      <c r="K268" s="2">
        <f ca="1">IF(Iterations[[#This Row],[Step]] =current_step, current_e,IF(Iterations[[#This Row],[Step]] &gt; current_step, "",Iterations[[#This Row],[e]]))</f>
        <v>13.696551968724199</v>
      </c>
      <c r="L268" s="2">
        <f ca="1">IF(Iterations[[#This Row],[Step]] =current_step, current_Total_Loss,IF(Iterations[[#This Row],[Step]] &gt; current_step, "",Iterations[[#This Row],[Total Loss]]))</f>
        <v>141.19999999999999</v>
      </c>
      <c r="M268" s="6" t="s">
        <v>27</v>
      </c>
      <c r="N268" s="2">
        <f ca="1">IF(Iterations[[#This Row],[Step]] =current_step, current_Grad_a,IF(Iterations[[#This Row],[Step]] &gt; current_step, "",Iterations[[#This Row],[Grad_a]]))</f>
        <v>0.23435090883411824</v>
      </c>
      <c r="O268" s="2">
        <f ca="1">IF(Iterations[[#This Row],[Step]] =current_step, current_Grad_b,IF(Iterations[[#This Row],[Step]] &gt; current_step, "",Iterations[[#This Row],[Grad_b]]))</f>
        <v>3.6819259802430025E-2</v>
      </c>
      <c r="P268" s="2">
        <f ca="1">IF(Iterations[[#This Row],[Step]] =current_step, current_Grad_c,IF(Iterations[[#This Row],[Step]] &gt; current_step, "",Iterations[[#This Row],[Grad_c]]))</f>
        <v>-0.65818566341495299</v>
      </c>
      <c r="Q268" s="2">
        <f ca="1">IF(Iterations[[#This Row],[Step]] =current_step, current_Grad_d,IF(Iterations[[#This Row],[Step]] &gt; current_step, "",Iterations[[#This Row],[Grad_d]]))</f>
        <v>-2.8952467715658167E-2</v>
      </c>
      <c r="R268" s="2">
        <f ca="1">IF(Iterations[[#This Row],[Step]] =current_step, current_Grad_e,IF(Iterations[[#This Row],[Step]] &gt; current_step, "",Iterations[[#This Row],[Grad_e]]))</f>
        <v>0.23484912629785035</v>
      </c>
    </row>
    <row r="269" spans="6:18" x14ac:dyDescent="0.3">
      <c r="F269" s="2">
        <f t="shared" si="6"/>
        <v>252</v>
      </c>
      <c r="G269" s="2">
        <f ca="1">IF(Iterations[[#This Row],[Step]] =current_step, current_a,IF(Iterations[[#This Row],[Step]] &gt; current_step, "",Iterations[[#This Row],[a]]))</f>
        <v>-4.9024177620025879</v>
      </c>
      <c r="H269" s="2">
        <f ca="1">IF(Iterations[[#This Row],[Step]] =current_step, current_b,IF(Iterations[[#This Row],[Step]] &gt; current_step, "",Iterations[[#This Row],[b]]))</f>
        <v>0.74630677431359316</v>
      </c>
      <c r="I269" s="2">
        <f ca="1">IF(Iterations[[#This Row],[Step]] =current_step, current_c,IF(Iterations[[#This Row],[Step]] &gt; current_step, "",Iterations[[#This Row],[c]]))</f>
        <v>14.585327573045124</v>
      </c>
      <c r="J269" s="2">
        <f ca="1">IF(Iterations[[#This Row],[Step]] =current_step, current_d,IF(Iterations[[#This Row],[Step]] &gt; current_step, "",Iterations[[#This Row],[d]]))</f>
        <v>0.85799583424190096</v>
      </c>
      <c r="K269" s="2">
        <f ca="1">IF(Iterations[[#This Row],[Step]] =current_step, current_e,IF(Iterations[[#This Row],[Step]] &gt; current_step, "",Iterations[[#This Row],[e]]))</f>
        <v>13.680112529883349</v>
      </c>
      <c r="L269" s="2">
        <f ca="1">IF(Iterations[[#This Row],[Step]] =current_step, current_Total_Loss,IF(Iterations[[#This Row],[Step]] &gt; current_step, "",Iterations[[#This Row],[Total Loss]]))</f>
        <v>140.52000000000001</v>
      </c>
      <c r="M269" s="6" t="s">
        <v>27</v>
      </c>
      <c r="N269" s="2">
        <f ca="1">IF(Iterations[[#This Row],[Step]] =current_step, current_Grad_a,IF(Iterations[[#This Row],[Step]] &gt; current_step, "",Iterations[[#This Row],[Grad_a]]))</f>
        <v>0.23276567886063285</v>
      </c>
      <c r="O269" s="2">
        <f ca="1">IF(Iterations[[#This Row],[Step]] =current_step, current_Grad_b,IF(Iterations[[#This Row],[Step]] &gt; current_step, "",Iterations[[#This Row],[Grad_b]]))</f>
        <v>3.6615020655410307E-2</v>
      </c>
      <c r="P269" s="2">
        <f ca="1">IF(Iterations[[#This Row],[Step]] =current_step, current_Grad_c,IF(Iterations[[#This Row],[Step]] &gt; current_step, "",Iterations[[#This Row],[Grad_c]]))</f>
        <v>-0.65372457189983024</v>
      </c>
      <c r="Q269" s="2">
        <f ca="1">IF(Iterations[[#This Row],[Step]] =current_step, current_Grad_d,IF(Iterations[[#This Row],[Step]] &gt; current_step, "",Iterations[[#This Row],[Grad_d]]))</f>
        <v>-2.8851664876412206E-2</v>
      </c>
      <c r="R269" s="2">
        <f ca="1">IF(Iterations[[#This Row],[Step]] =current_step, current_Grad_e,IF(Iterations[[#This Row],[Step]] &gt; current_step, "",Iterations[[#This Row],[Grad_e]]))</f>
        <v>0.2332560182788771</v>
      </c>
    </row>
    <row r="270" spans="6:18" x14ac:dyDescent="0.3">
      <c r="F270" s="2">
        <f t="shared" si="6"/>
        <v>253</v>
      </c>
      <c r="G270" s="2">
        <f ca="1">IF(Iterations[[#This Row],[Step]] =current_step, current_a,IF(Iterations[[#This Row],[Step]] &gt; current_step, "",Iterations[[#This Row],[a]]))</f>
        <v>-4.918711359522832</v>
      </c>
      <c r="H270" s="2">
        <f ca="1">IF(Iterations[[#This Row],[Step]] =current_step, current_b,IF(Iterations[[#This Row],[Step]] &gt; current_step, "",Iterations[[#This Row],[b]]))</f>
        <v>0.7437437228677144</v>
      </c>
      <c r="I270" s="2">
        <f ca="1">IF(Iterations[[#This Row],[Step]] =current_step, current_c,IF(Iterations[[#This Row],[Step]] &gt; current_step, "",Iterations[[#This Row],[c]]))</f>
        <v>14.631088293078111</v>
      </c>
      <c r="J270" s="2">
        <f ca="1">IF(Iterations[[#This Row],[Step]] =current_step, current_d,IF(Iterations[[#This Row],[Step]] &gt; current_step, "",Iterations[[#This Row],[d]]))</f>
        <v>0.86001545078324981</v>
      </c>
      <c r="K270" s="2">
        <f ca="1">IF(Iterations[[#This Row],[Step]] =current_step, current_e,IF(Iterations[[#This Row],[Step]] &gt; current_step, "",Iterations[[#This Row],[e]]))</f>
        <v>13.663784608603828</v>
      </c>
      <c r="L270" s="2">
        <f ca="1">IF(Iterations[[#This Row],[Step]] =current_step, current_Total_Loss,IF(Iterations[[#This Row],[Step]] &gt; current_step, "",Iterations[[#This Row],[Total Loss]]))</f>
        <v>139.84</v>
      </c>
      <c r="M270" s="6" t="s">
        <v>27</v>
      </c>
      <c r="N270" s="2">
        <f ca="1">IF(Iterations[[#This Row],[Step]] =current_step, current_Grad_a,IF(Iterations[[#This Row],[Step]] &gt; current_step, "",Iterations[[#This Row],[Grad_a]]))</f>
        <v>0.23119116501162484</v>
      </c>
      <c r="O270" s="2">
        <f ca="1">IF(Iterations[[#This Row],[Step]] =current_step, current_Grad_b,IF(Iterations[[#This Row],[Step]] &gt; current_step, "",Iterations[[#This Row],[Grad_b]]))</f>
        <v>3.6411363127003819E-2</v>
      </c>
      <c r="P270" s="2">
        <f ca="1">IF(Iterations[[#This Row],[Step]] =current_step, current_Grad_c,IF(Iterations[[#This Row],[Step]] &gt; current_step, "",Iterations[[#This Row],[Grad_c]]))</f>
        <v>-0.64929379542004362</v>
      </c>
      <c r="Q270" s="2">
        <f ca="1">IF(Iterations[[#This Row],[Step]] =current_step, current_Grad_d,IF(Iterations[[#This Row],[Step]] &gt; current_step, "",Iterations[[#This Row],[Grad_d]]))</f>
        <v>-2.874984897575756E-2</v>
      </c>
      <c r="R270" s="2">
        <f ca="1">IF(Iterations[[#This Row],[Step]] =current_step, current_Grad_e,IF(Iterations[[#This Row],[Step]] &gt; current_step, "",Iterations[[#This Row],[Grad_e]]))</f>
        <v>0.23167375901341694</v>
      </c>
    </row>
    <row r="271" spans="6:18" x14ac:dyDescent="0.3">
      <c r="F271" s="2">
        <f t="shared" si="6"/>
        <v>254</v>
      </c>
      <c r="G271" s="2">
        <f ca="1">IF(Iterations[[#This Row],[Step]] =current_step, current_a,IF(Iterations[[#This Row],[Step]] &gt; current_step, "",Iterations[[#This Row],[a]]))</f>
        <v>-4.9348947410736459</v>
      </c>
      <c r="H271" s="2">
        <f ca="1">IF(Iterations[[#This Row],[Step]] =current_step, current_b,IF(Iterations[[#This Row],[Step]] &gt; current_step, "",Iterations[[#This Row],[b]]))</f>
        <v>0.74119492744882409</v>
      </c>
      <c r="I271" s="2">
        <f ca="1">IF(Iterations[[#This Row],[Step]] =current_step, current_c,IF(Iterations[[#This Row],[Step]] &gt; current_step, "",Iterations[[#This Row],[c]]))</f>
        <v>14.676538858757514</v>
      </c>
      <c r="J271" s="2">
        <f ca="1">IF(Iterations[[#This Row],[Step]] =current_step, current_d,IF(Iterations[[#This Row],[Step]] &gt; current_step, "",Iterations[[#This Row],[d]]))</f>
        <v>0.86202794021155282</v>
      </c>
      <c r="K271" s="2">
        <f ca="1">IF(Iterations[[#This Row],[Step]] =current_step, current_e,IF(Iterations[[#This Row],[Step]] &gt; current_step, "",Iterations[[#This Row],[e]]))</f>
        <v>13.647567445472889</v>
      </c>
      <c r="L271" s="2">
        <f ca="1">IF(Iterations[[#This Row],[Step]] =current_step, current_Total_Loss,IF(Iterations[[#This Row],[Step]] &gt; current_step, "",Iterations[[#This Row],[Total Loss]]))</f>
        <v>139.18</v>
      </c>
      <c r="M271" s="6" t="s">
        <v>27</v>
      </c>
      <c r="N271" s="2">
        <f ca="1">IF(Iterations[[#This Row],[Step]] =current_step, current_Grad_a,IF(Iterations[[#This Row],[Step]] &gt; current_step, "",Iterations[[#This Row],[Grad_a]]))</f>
        <v>0.22962729494934278</v>
      </c>
      <c r="O271" s="2">
        <f ca="1">IF(Iterations[[#This Row],[Step]] =current_step, current_Grad_b,IF(Iterations[[#This Row],[Step]] &gt; current_step, "",Iterations[[#This Row],[Grad_b]]))</f>
        <v>3.6208297542854789E-2</v>
      </c>
      <c r="P271" s="2">
        <f ca="1">IF(Iterations[[#This Row],[Step]] =current_step, current_Grad_c,IF(Iterations[[#This Row],[Step]] &gt; current_step, "",Iterations[[#This Row],[Grad_c]]))</f>
        <v>-0.64489312656185538</v>
      </c>
      <c r="Q271" s="2">
        <f ca="1">IF(Iterations[[#This Row],[Step]] =current_step, current_Grad_d,IF(Iterations[[#This Row],[Step]] &gt; current_step, "",Iterations[[#This Row],[Grad_d]]))</f>
        <v>-2.864705708312713E-2</v>
      </c>
      <c r="R271" s="2">
        <f ca="1">IF(Iterations[[#This Row],[Step]] =current_step, current_Grad_e,IF(Iterations[[#This Row],[Step]] &gt; current_step, "",Iterations[[#This Row],[Grad_e]]))</f>
        <v>0.23010227394362856</v>
      </c>
    </row>
    <row r="272" spans="6:18" x14ac:dyDescent="0.3">
      <c r="F272" s="2">
        <f t="shared" si="6"/>
        <v>255</v>
      </c>
      <c r="G272" s="2">
        <f ca="1">IF(Iterations[[#This Row],[Step]] =current_step, current_a,IF(Iterations[[#This Row],[Step]] &gt; current_step, "",Iterations[[#This Row],[a]]))</f>
        <v>-4.9509686517200997</v>
      </c>
      <c r="H272" s="2">
        <f ca="1">IF(Iterations[[#This Row],[Step]] =current_step, current_b,IF(Iterations[[#This Row],[Step]] &gt; current_step, "",Iterations[[#This Row],[b]]))</f>
        <v>0.73866034662082425</v>
      </c>
      <c r="I272" s="2">
        <f ca="1">IF(Iterations[[#This Row],[Step]] =current_step, current_c,IF(Iterations[[#This Row],[Step]] &gt; current_step, "",Iterations[[#This Row],[c]]))</f>
        <v>14.721681377616843</v>
      </c>
      <c r="J272" s="2">
        <f ca="1">IF(Iterations[[#This Row],[Step]] =current_step, current_d,IF(Iterations[[#This Row],[Step]] &gt; current_step, "",Iterations[[#This Row],[d]]))</f>
        <v>0.86403323420737177</v>
      </c>
      <c r="K272" s="2">
        <f ca="1">IF(Iterations[[#This Row],[Step]] =current_step, current_e,IF(Iterations[[#This Row],[Step]] &gt; current_step, "",Iterations[[#This Row],[e]]))</f>
        <v>13.631460286296836</v>
      </c>
      <c r="L272" s="2">
        <f ca="1">IF(Iterations[[#This Row],[Step]] =current_step, current_Total_Loss,IF(Iterations[[#This Row],[Step]] &gt; current_step, "",Iterations[[#This Row],[Total Loss]]))</f>
        <v>138.52000000000001</v>
      </c>
      <c r="M272" s="6" t="s">
        <v>27</v>
      </c>
      <c r="N272" s="2">
        <f ca="1">IF(Iterations[[#This Row],[Step]] =current_step, current_Grad_a,IF(Iterations[[#This Row],[Step]] &gt; current_step, "",Iterations[[#This Row],[Grad_a]]))</f>
        <v>0.22807399682420895</v>
      </c>
      <c r="O272" s="2">
        <f ca="1">IF(Iterations[[#This Row],[Step]] =current_step, current_Grad_b,IF(Iterations[[#This Row],[Step]] &gt; current_step, "",Iterations[[#This Row],[Grad_b]]))</f>
        <v>3.6005833905010123E-2</v>
      </c>
      <c r="P272" s="2">
        <f ca="1">IF(Iterations[[#This Row],[Step]] =current_step, current_Grad_c,IF(Iterations[[#This Row],[Step]] &gt; current_step, "",Iterations[[#This Row],[Grad_c]]))</f>
        <v>-0.64052235935715229</v>
      </c>
      <c r="Q272" s="2">
        <f ca="1">IF(Iterations[[#This Row],[Step]] =current_step, current_Grad_d,IF(Iterations[[#This Row],[Step]] &gt; current_step, "",Iterations[[#This Row],[Grad_d]]))</f>
        <v>-2.8543325478300099E-2</v>
      </c>
      <c r="R272" s="2">
        <f ca="1">IF(Iterations[[#This Row],[Step]] =current_step, current_Grad_e,IF(Iterations[[#This Row],[Step]] &gt; current_step, "",Iterations[[#This Row],[Grad_e]]))</f>
        <v>0.22854148903022814</v>
      </c>
    </row>
    <row r="273" spans="6:18" x14ac:dyDescent="0.3">
      <c r="F273" s="2">
        <f t="shared" si="6"/>
        <v>256</v>
      </c>
      <c r="G273" s="2">
        <f ca="1">IF(Iterations[[#This Row],[Step]] =current_step, current_a,IF(Iterations[[#This Row],[Step]] &gt; current_step, "",Iterations[[#This Row],[a]]))</f>
        <v>-4.9669338314977942</v>
      </c>
      <c r="H273" s="2">
        <f ca="1">IF(Iterations[[#This Row],[Step]] =current_step, current_b,IF(Iterations[[#This Row],[Step]] &gt; current_step, "",Iterations[[#This Row],[b]]))</f>
        <v>0.73613993824747359</v>
      </c>
      <c r="I273" s="2">
        <f ca="1">IF(Iterations[[#This Row],[Step]] =current_step, current_c,IF(Iterations[[#This Row],[Step]] &gt; current_step, "",Iterations[[#This Row],[c]]))</f>
        <v>14.766517942771843</v>
      </c>
      <c r="J273" s="2">
        <f ca="1">IF(Iterations[[#This Row],[Step]] =current_step, current_d,IF(Iterations[[#This Row],[Step]] &gt; current_step, "",Iterations[[#This Row],[d]]))</f>
        <v>0.86603126699085275</v>
      </c>
      <c r="K273" s="2">
        <f ca="1">IF(Iterations[[#This Row],[Step]] =current_step, current_e,IF(Iterations[[#This Row],[Step]] &gt; current_step, "",Iterations[[#This Row],[e]]))</f>
        <v>13.61546238206472</v>
      </c>
      <c r="L273" s="2">
        <f ca="1">IF(Iterations[[#This Row],[Step]] =current_step, current_Total_Loss,IF(Iterations[[#This Row],[Step]] &gt; current_step, "",Iterations[[#This Row],[Total Loss]]))</f>
        <v>137.87</v>
      </c>
      <c r="M273" s="6" t="s">
        <v>27</v>
      </c>
      <c r="N273" s="2">
        <f ca="1">IF(Iterations[[#This Row],[Step]] =current_step, current_Grad_a,IF(Iterations[[#This Row],[Step]] &gt; current_step, "",Iterations[[#This Row],[Grad_a]]))</f>
        <v>0.22653119927162693</v>
      </c>
      <c r="O273" s="2">
        <f ca="1">IF(Iterations[[#This Row],[Step]] =current_step, current_Grad_b,IF(Iterations[[#This Row],[Step]] &gt; current_step, "",Iterations[[#This Row],[Grad_b]]))</f>
        <v>3.5803981898487734E-2</v>
      </c>
      <c r="P273" s="2">
        <f ca="1">IF(Iterations[[#This Row],[Step]] =current_step, current_Grad_c,IF(Iterations[[#This Row],[Step]] &gt; current_step, "",Iterations[[#This Row],[Grad_c]]))</f>
        <v>-0.63618128927265438</v>
      </c>
      <c r="Q273" s="2">
        <f ca="1">IF(Iterations[[#This Row],[Step]] =current_step, current_Grad_d,IF(Iterations[[#This Row],[Step]] &gt; current_step, "",Iterations[[#This Row],[Grad_d]]))</f>
        <v>-2.8438689666423687E-2</v>
      </c>
      <c r="R273" s="2">
        <f ca="1">IF(Iterations[[#This Row],[Step]] =current_step, current_Grad_e,IF(Iterations[[#This Row],[Step]] &gt; current_step, "",Iterations[[#This Row],[Grad_e]]))</f>
        <v>0.22699133074936936</v>
      </c>
    </row>
    <row r="274" spans="6:18" x14ac:dyDescent="0.3">
      <c r="F274" s="2">
        <f t="shared" si="6"/>
        <v>257</v>
      </c>
      <c r="G274" s="2">
        <f ca="1">IF(Iterations[[#This Row],[Step]] =current_step, current_a,IF(Iterations[[#This Row],[Step]] &gt; current_step, "",Iterations[[#This Row],[a]]))</f>
        <v>-4.982791015446808</v>
      </c>
      <c r="H274" s="2">
        <f ca="1">IF(Iterations[[#This Row],[Step]] =current_step, current_b,IF(Iterations[[#This Row],[Step]] &gt; current_step, "",Iterations[[#This Row],[b]]))</f>
        <v>0.73363365951457948</v>
      </c>
      <c r="I274" s="2">
        <f ca="1">IF(Iterations[[#This Row],[Step]] =current_step, current_c,IF(Iterations[[#This Row],[Step]] &gt; current_step, "",Iterations[[#This Row],[c]]))</f>
        <v>14.81105063302093</v>
      </c>
      <c r="J274" s="2">
        <f ca="1">IF(Iterations[[#This Row],[Step]] =current_step, current_d,IF(Iterations[[#This Row],[Step]] &gt; current_step, "",Iterations[[#This Row],[d]]))</f>
        <v>0.86802197526750247</v>
      </c>
      <c r="K274" s="2">
        <f ca="1">IF(Iterations[[#This Row],[Step]] =current_step, current_e,IF(Iterations[[#This Row],[Step]] &gt; current_step, "",Iterations[[#This Row],[e]]))</f>
        <v>13.599572988912264</v>
      </c>
      <c r="L274" s="2">
        <f ca="1">IF(Iterations[[#This Row],[Step]] =current_step, current_Total_Loss,IF(Iterations[[#This Row],[Step]] &gt; current_step, "",Iterations[[#This Row],[Total Loss]]))</f>
        <v>137.22999999999999</v>
      </c>
      <c r="M274" s="6" t="s">
        <v>27</v>
      </c>
      <c r="N274" s="2">
        <f ca="1">IF(Iterations[[#This Row],[Step]] =current_step, current_Grad_a,IF(Iterations[[#This Row],[Step]] &gt; current_step, "",Iterations[[#This Row],[Grad_a]]))</f>
        <v>0.22499883140833818</v>
      </c>
      <c r="O274" s="2">
        <f ca="1">IF(Iterations[[#This Row],[Step]] =current_step, current_Grad_b,IF(Iterations[[#This Row],[Step]] &gt; current_step, "",Iterations[[#This Row],[Grad_b]]))</f>
        <v>3.5602750897896072E-2</v>
      </c>
      <c r="P274" s="2">
        <f ca="1">IF(Iterations[[#This Row],[Step]] =current_step, current_Grad_c,IF(Iterations[[#This Row],[Step]] &gt; current_step, "",Iterations[[#This Row],[Grad_c]]))</f>
        <v>-0.63186971319944185</v>
      </c>
      <c r="Q274" s="2">
        <f ca="1">IF(Iterations[[#This Row],[Step]] =current_step, current_Grad_d,IF(Iterations[[#This Row],[Step]] &gt; current_step, "",Iterations[[#This Row],[Grad_d]]))</f>
        <v>-2.8333184392686346E-2</v>
      </c>
      <c r="R274" s="2">
        <f ca="1">IF(Iterations[[#This Row],[Step]] =current_step, current_Grad_e,IF(Iterations[[#This Row],[Step]] &gt; current_step, "",Iterations[[#This Row],[Grad_e]]))</f>
        <v>0.22545172608937059</v>
      </c>
    </row>
    <row r="275" spans="6:18" x14ac:dyDescent="0.3">
      <c r="F275" s="2">
        <f t="shared" si="6"/>
        <v>258</v>
      </c>
      <c r="G275" s="2">
        <f ca="1">IF(Iterations[[#This Row],[Step]] =current_step, current_a,IF(Iterations[[#This Row],[Step]] &gt; current_step, "",Iterations[[#This Row],[a]]))</f>
        <v>-4.9985409336453914</v>
      </c>
      <c r="H275" s="2">
        <f ca="1">IF(Iterations[[#This Row],[Step]] =current_step, current_b,IF(Iterations[[#This Row],[Step]] &gt; current_step, "",Iterations[[#This Row],[b]]))</f>
        <v>0.73114146695172677</v>
      </c>
      <c r="I275" s="2">
        <f ca="1">IF(Iterations[[#This Row],[Step]] =current_step, current_c,IF(Iterations[[#This Row],[Step]] &gt; current_step, "",Iterations[[#This Row],[c]]))</f>
        <v>14.85528151294489</v>
      </c>
      <c r="J275" s="2">
        <f ca="1">IF(Iterations[[#This Row],[Step]] =current_step, current_d,IF(Iterations[[#This Row],[Step]] &gt; current_step, "",Iterations[[#This Row],[d]]))</f>
        <v>0.8700052981749905</v>
      </c>
      <c r="K275" s="2">
        <f ca="1">IF(Iterations[[#This Row],[Step]] =current_step, current_e,IF(Iterations[[#This Row],[Step]] &gt; current_step, "",Iterations[[#This Row],[e]]))</f>
        <v>13.583791368086008</v>
      </c>
      <c r="L275" s="2">
        <f ca="1">IF(Iterations[[#This Row],[Step]] =current_step, current_Total_Loss,IF(Iterations[[#This Row],[Step]] &gt; current_step, "",Iterations[[#This Row],[Total Loss]]))</f>
        <v>136.6</v>
      </c>
      <c r="M275" s="6" t="s">
        <v>27</v>
      </c>
      <c r="N275" s="2">
        <f ca="1">IF(Iterations[[#This Row],[Step]] =current_step, current_Grad_a,IF(Iterations[[#This Row],[Step]] &gt; current_step, "",Iterations[[#This Row],[Grad_a]]))</f>
        <v>0.22347682282924955</v>
      </c>
      <c r="O275" s="2">
        <f ca="1">IF(Iterations[[#This Row],[Step]] =current_step, current_Grad_b,IF(Iterations[[#This Row],[Step]] &gt; current_step, "",Iterations[[#This Row],[Grad_b]]))</f>
        <v>3.5402149973847351E-2</v>
      </c>
      <c r="P275" s="2">
        <f ca="1">IF(Iterations[[#This Row],[Step]] =current_step, current_Grad_c,IF(Iterations[[#This Row],[Step]] &gt; current_step, "",Iterations[[#This Row],[Grad_c]]))</f>
        <v>-0.62758742944239543</v>
      </c>
      <c r="Q275" s="2">
        <f ca="1">IF(Iterations[[#This Row],[Step]] =current_step, current_Grad_d,IF(Iterations[[#This Row],[Step]] &gt; current_step, "",Iterations[[#This Row],[Grad_d]]))</f>
        <v>-2.8226843656755405E-2</v>
      </c>
      <c r="R275" s="2">
        <f ca="1">IF(Iterations[[#This Row],[Step]] =current_step, current_Grad_e,IF(Iterations[[#This Row],[Step]] &gt; current_step, "",Iterations[[#This Row],[Grad_e]]))</f>
        <v>0.22392260254751425</v>
      </c>
    </row>
    <row r="276" spans="6:18" x14ac:dyDescent="0.3">
      <c r="F276" s="2">
        <f t="shared" si="6"/>
        <v>259</v>
      </c>
      <c r="G276" s="2">
        <f ca="1">IF(Iterations[[#This Row],[Step]] =current_step, current_a,IF(Iterations[[#This Row],[Step]] &gt; current_step, "",Iterations[[#This Row],[a]]))</f>
        <v>-5.0141843112434392</v>
      </c>
      <c r="H276" s="2">
        <f ca="1">IF(Iterations[[#This Row],[Step]] =current_step, current_b,IF(Iterations[[#This Row],[Step]] &gt; current_step, "",Iterations[[#This Row],[b]]))</f>
        <v>0.72866331645355742</v>
      </c>
      <c r="I276" s="2">
        <f ca="1">IF(Iterations[[#This Row],[Step]] =current_step, current_c,IF(Iterations[[#This Row],[Step]] &gt; current_step, "",Iterations[[#This Row],[c]]))</f>
        <v>14.899212633005858</v>
      </c>
      <c r="J276" s="2">
        <f ca="1">IF(Iterations[[#This Row],[Step]] =current_step, current_d,IF(Iterations[[#This Row],[Step]] &gt; current_step, "",Iterations[[#This Row],[d]]))</f>
        <v>0.87198117723096336</v>
      </c>
      <c r="K276" s="2">
        <f ca="1">IF(Iterations[[#This Row],[Step]] =current_step, current_e,IF(Iterations[[#This Row],[Step]] &gt; current_step, "",Iterations[[#This Row],[e]]))</f>
        <v>13.568116785907682</v>
      </c>
      <c r="L276" s="2">
        <f ca="1">IF(Iterations[[#This Row],[Step]] =current_step, current_Total_Loss,IF(Iterations[[#This Row],[Step]] &gt; current_step, "",Iterations[[#This Row],[Total Loss]]))</f>
        <v>135.97999999999999</v>
      </c>
      <c r="M276" s="6" t="s">
        <v>27</v>
      </c>
      <c r="N276" s="2">
        <f ca="1">IF(Iterations[[#This Row],[Step]] =current_step, current_Grad_a,IF(Iterations[[#This Row],[Step]] &gt; current_step, "",Iterations[[#This Row],[Grad_a]]))</f>
        <v>0.22196510360382582</v>
      </c>
      <c r="O276" s="2">
        <f ca="1">IF(Iterations[[#This Row],[Step]] =current_step, current_Grad_b,IF(Iterations[[#This Row],[Step]] &gt; current_step, "",Iterations[[#This Row],[Grad_b]]))</f>
        <v>3.5202187899296175E-2</v>
      </c>
      <c r="P276" s="2">
        <f ca="1">IF(Iterations[[#This Row],[Step]] =current_step, current_Grad_c,IF(Iterations[[#This Row],[Step]] &gt; current_step, "",Iterations[[#This Row],[Grad_c]]))</f>
        <v>-0.62333423770992313</v>
      </c>
      <c r="Q276" s="2">
        <f ca="1">IF(Iterations[[#This Row],[Step]] =current_step, current_Grad_d,IF(Iterations[[#This Row],[Step]] &gt; current_step, "",Iterations[[#This Row],[Grad_d]]))</f>
        <v>-2.8119700726933247E-2</v>
      </c>
      <c r="R276" s="2">
        <f ca="1">IF(Iterations[[#This Row],[Step]] =current_step, current_Grad_e,IF(Iterations[[#This Row],[Step]] &gt; current_step, "",Iterations[[#This Row],[Grad_e]]))</f>
        <v>0.2224038881267294</v>
      </c>
    </row>
    <row r="277" spans="6:18" x14ac:dyDescent="0.3">
      <c r="F277" s="2">
        <f t="shared" si="6"/>
        <v>260</v>
      </c>
      <c r="G277" s="2">
        <f ca="1">IF(Iterations[[#This Row],[Step]] =current_step, current_a,IF(Iterations[[#This Row],[Step]] &gt; current_step, "",Iterations[[#This Row],[a]]))</f>
        <v>-5.0297218684957068</v>
      </c>
      <c r="H277" s="2">
        <f ca="1">IF(Iterations[[#This Row],[Step]] =current_step, current_b,IF(Iterations[[#This Row],[Step]] &gt; current_step, "",Iterations[[#This Row],[b]]))</f>
        <v>0.72619916330060663</v>
      </c>
      <c r="I277" s="2">
        <f ca="1">IF(Iterations[[#This Row],[Step]] =current_step, current_c,IF(Iterations[[#This Row],[Step]] &gt; current_step, "",Iterations[[#This Row],[c]]))</f>
        <v>14.942846029645553</v>
      </c>
      <c r="J277" s="2">
        <f ca="1">IF(Iterations[[#This Row],[Step]] =current_step, current_d,IF(Iterations[[#This Row],[Step]] &gt; current_step, "",Iterations[[#This Row],[d]]))</f>
        <v>0.87394955628184867</v>
      </c>
      <c r="K277" s="2">
        <f ca="1">IF(Iterations[[#This Row],[Step]] =current_step, current_e,IF(Iterations[[#This Row],[Step]] &gt; current_step, "",Iterations[[#This Row],[e]]))</f>
        <v>13.552548513738811</v>
      </c>
      <c r="L277" s="2">
        <f ca="1">IF(Iterations[[#This Row],[Step]] =current_step, current_Total_Loss,IF(Iterations[[#This Row],[Step]] &gt; current_step, "",Iterations[[#This Row],[Total Loss]]))</f>
        <v>135.36000000000001</v>
      </c>
      <c r="M277" s="6" t="s">
        <v>27</v>
      </c>
      <c r="N277" s="2">
        <f ca="1">IF(Iterations[[#This Row],[Step]] =current_step, current_Grad_a,IF(Iterations[[#This Row],[Step]] &gt; current_step, "",Iterations[[#This Row],[Grad_a]]))</f>
        <v>0.22046360427319181</v>
      </c>
      <c r="O277" s="2">
        <f ca="1">IF(Iterations[[#This Row],[Step]] =current_step, current_Grad_b,IF(Iterations[[#This Row],[Step]] &gt; current_step, "",Iterations[[#This Row],[Grad_b]]))</f>
        <v>3.5002873155695134E-2</v>
      </c>
      <c r="P277" s="2">
        <f ca="1">IF(Iterations[[#This Row],[Step]] =current_step, current_Grad_c,IF(Iterations[[#This Row],[Step]] &gt; current_step, "",Iterations[[#This Row],[Grad_c]]))</f>
        <v>-0.61910993910352141</v>
      </c>
      <c r="Q277" s="2">
        <f ca="1">IF(Iterations[[#This Row],[Step]] =current_step, current_Grad_d,IF(Iterations[[#This Row],[Step]] &gt; current_step, "",Iterations[[#This Row],[Grad_d]]))</f>
        <v>-2.8011788154078825E-2</v>
      </c>
      <c r="R277" s="2">
        <f ca="1">IF(Iterations[[#This Row],[Step]] =current_step, current_Grad_e,IF(Iterations[[#This Row],[Step]] &gt; current_step, "",Iterations[[#This Row],[Grad_e]]))</f>
        <v>0.22089551133235455</v>
      </c>
    </row>
    <row r="278" spans="6:18" x14ac:dyDescent="0.3">
      <c r="F278" s="2">
        <f t="shared" si="6"/>
        <v>261</v>
      </c>
      <c r="G278" s="2">
        <f ca="1">IF(Iterations[[#This Row],[Step]] =current_step, current_a,IF(Iterations[[#This Row],[Step]] &gt; current_step, "",Iterations[[#This Row],[a]]))</f>
        <v>-5.0451543207948299</v>
      </c>
      <c r="H278" s="2">
        <f ca="1">IF(Iterations[[#This Row],[Step]] =current_step, current_b,IF(Iterations[[#This Row],[Step]] &gt; current_step, "",Iterations[[#This Row],[b]]))</f>
        <v>0.72374896217970797</v>
      </c>
      <c r="I278" s="2">
        <f ca="1">IF(Iterations[[#This Row],[Step]] =current_step, current_c,IF(Iterations[[#This Row],[Step]] &gt; current_step, "",Iterations[[#This Row],[c]]))</f>
        <v>14.9861837253828</v>
      </c>
      <c r="J278" s="2">
        <f ca="1">IF(Iterations[[#This Row],[Step]] =current_step, current_d,IF(Iterations[[#This Row],[Step]] &gt; current_step, "",Iterations[[#This Row],[d]]))</f>
        <v>0.87591038145263422</v>
      </c>
      <c r="K278" s="2">
        <f ca="1">IF(Iterations[[#This Row],[Step]] =current_step, current_e,IF(Iterations[[#This Row],[Step]] &gt; current_step, "",Iterations[[#This Row],[e]]))</f>
        <v>13.537085827945546</v>
      </c>
      <c r="L278" s="2">
        <f ca="1">IF(Iterations[[#This Row],[Step]] =current_step, current_Total_Loss,IF(Iterations[[#This Row],[Step]] &gt; current_step, "",Iterations[[#This Row],[Total Loss]]))</f>
        <v>134.76</v>
      </c>
      <c r="M278" s="6" t="s">
        <v>27</v>
      </c>
      <c r="N278" s="2">
        <f ca="1">IF(Iterations[[#This Row],[Step]] =current_step, current_Grad_a,IF(Iterations[[#This Row],[Step]] &gt; current_step, "",Iterations[[#This Row],[Grad_a]]))</f>
        <v>0.2189722558462725</v>
      </c>
      <c r="O278" s="2">
        <f ca="1">IF(Iterations[[#This Row],[Step]] =current_step, current_Grad_b,IF(Iterations[[#This Row],[Step]] &gt; current_step, "",Iterations[[#This Row],[Grad_b]]))</f>
        <v>3.4804213939163851E-2</v>
      </c>
      <c r="P278" s="2">
        <f ca="1">IF(Iterations[[#This Row],[Step]] =current_step, current_Grad_c,IF(Iterations[[#This Row],[Step]] &gt; current_step, "",Iterations[[#This Row],[Grad_c]]))</f>
        <v>-0.61491433610782686</v>
      </c>
      <c r="Q278" s="2">
        <f ca="1">IF(Iterations[[#This Row],[Step]] =current_step, current_Grad_d,IF(Iterations[[#This Row],[Step]] &gt; current_step, "",Iterations[[#This Row],[Grad_d]]))</f>
        <v>-2.7903137785225733E-2</v>
      </c>
      <c r="R278" s="2">
        <f ca="1">IF(Iterations[[#This Row],[Step]] =current_step, current_Grad_e,IF(Iterations[[#This Row],[Step]] &gt; current_step, "",Iterations[[#This Row],[Grad_e]]))</f>
        <v>0.21939740116872444</v>
      </c>
    </row>
    <row r="279" spans="6:18" x14ac:dyDescent="0.3">
      <c r="F279" s="2">
        <f t="shared" si="6"/>
        <v>262</v>
      </c>
      <c r="G279" s="2">
        <f ca="1">IF(Iterations[[#This Row],[Step]] =current_step, current_a,IF(Iterations[[#This Row],[Step]] &gt; current_step, "",Iterations[[#This Row],[a]]))</f>
        <v>-5.0604823787040694</v>
      </c>
      <c r="H279" s="2">
        <f ca="1">IF(Iterations[[#This Row],[Step]] =current_step, current_b,IF(Iterations[[#This Row],[Step]] &gt; current_step, "",Iterations[[#This Row],[b]]))</f>
        <v>0.72131266720396647</v>
      </c>
      <c r="I279" s="2">
        <f ca="1">IF(Iterations[[#This Row],[Step]] =current_step, current_c,IF(Iterations[[#This Row],[Step]] &gt; current_step, "",Iterations[[#This Row],[c]]))</f>
        <v>15.029227728910348</v>
      </c>
      <c r="J279" s="2">
        <f ca="1">IF(Iterations[[#This Row],[Step]] =current_step, current_d,IF(Iterations[[#This Row],[Step]] &gt; current_step, "",Iterations[[#This Row],[d]]))</f>
        <v>0.87786360109759998</v>
      </c>
      <c r="K279" s="2">
        <f ca="1">IF(Iterations[[#This Row],[Step]] =current_step, current_e,IF(Iterations[[#This Row],[Step]] &gt; current_step, "",Iterations[[#This Row],[e]]))</f>
        <v>13.521728009863736</v>
      </c>
      <c r="L279" s="2">
        <f ca="1">IF(Iterations[[#This Row],[Step]] =current_step, current_Total_Loss,IF(Iterations[[#This Row],[Step]] &gt; current_step, "",Iterations[[#This Row],[Total Loss]]))</f>
        <v>134.16</v>
      </c>
      <c r="M279" s="6" t="s">
        <v>27</v>
      </c>
      <c r="N279" s="2">
        <f ca="1">IF(Iterations[[#This Row],[Step]] =current_step, current_Grad_a,IF(Iterations[[#This Row],[Step]] &gt; current_step, "",Iterations[[#This Row],[Grad_a]]))</f>
        <v>0.21749098979721757</v>
      </c>
      <c r="O279" s="2">
        <f ca="1">IF(Iterations[[#This Row],[Step]] =current_step, current_Grad_b,IF(Iterations[[#This Row],[Step]] &gt; current_step, "",Iterations[[#This Row],[Grad_b]]))</f>
        <v>3.4606218166361655E-2</v>
      </c>
      <c r="P279" s="2">
        <f ca="1">IF(Iterations[[#This Row],[Step]] =current_step, current_Grad_c,IF(Iterations[[#This Row],[Step]] &gt; current_step, "",Iterations[[#This Row],[Grad_c]]))</f>
        <v>-0.61074723258023667</v>
      </c>
      <c r="Q279" s="2">
        <f ca="1">IF(Iterations[[#This Row],[Step]] =current_step, current_Grad_d,IF(Iterations[[#This Row],[Step]] &gt; current_step, "",Iterations[[#This Row],[Grad_d]]))</f>
        <v>-2.7793780777015442E-2</v>
      </c>
      <c r="R279" s="2">
        <f ca="1">IF(Iterations[[#This Row],[Step]] =current_step, current_Grad_e,IF(Iterations[[#This Row],[Step]] &gt; current_step, "",Iterations[[#This Row],[Grad_e]]))</f>
        <v>0.21790948713598229</v>
      </c>
    </row>
    <row r="280" spans="6:18" x14ac:dyDescent="0.3">
      <c r="F280" s="2">
        <f t="shared" si="6"/>
        <v>263</v>
      </c>
      <c r="G280" s="2">
        <f ca="1">IF(Iterations[[#This Row],[Step]] =current_step, current_a,IF(Iterations[[#This Row],[Step]] &gt; current_step, "",Iterations[[#This Row],[a]]))</f>
        <v>-5.0757067479898748</v>
      </c>
      <c r="H280" s="2">
        <f ca="1">IF(Iterations[[#This Row],[Step]] =current_step, current_b,IF(Iterations[[#This Row],[Step]] &gt; current_step, "",Iterations[[#This Row],[b]]))</f>
        <v>0.71889023193232116</v>
      </c>
      <c r="I280" s="2">
        <f ca="1">IF(Iterations[[#This Row],[Step]] =current_step, current_c,IF(Iterations[[#This Row],[Step]] &gt; current_step, "",Iterations[[#This Row],[c]]))</f>
        <v>15.071980035190965</v>
      </c>
      <c r="J280" s="2">
        <f ca="1">IF(Iterations[[#This Row],[Step]] =current_step, current_d,IF(Iterations[[#This Row],[Step]] &gt; current_step, "",Iterations[[#This Row],[d]]))</f>
        <v>0.87980916575199108</v>
      </c>
      <c r="K280" s="2">
        <f ca="1">IF(Iterations[[#This Row],[Step]] =current_step, current_e,IF(Iterations[[#This Row],[Step]] &gt; current_step, "",Iterations[[#This Row],[e]]))</f>
        <v>13.506474345764218</v>
      </c>
      <c r="L280" s="2">
        <f ca="1">IF(Iterations[[#This Row],[Step]] =current_step, current_Total_Loss,IF(Iterations[[#This Row],[Step]] &gt; current_step, "",Iterations[[#This Row],[Total Loss]]))</f>
        <v>133.57</v>
      </c>
      <c r="M280" s="6" t="s">
        <v>27</v>
      </c>
      <c r="N280" s="2">
        <f ca="1">IF(Iterations[[#This Row],[Step]] =current_step, current_Grad_a,IF(Iterations[[#This Row],[Step]] &gt; current_step, "",Iterations[[#This Row],[Grad_a]]))</f>
        <v>0.21601973806162889</v>
      </c>
      <c r="O280" s="2">
        <f ca="1">IF(Iterations[[#This Row],[Step]] =current_step, current_Grad_b,IF(Iterations[[#This Row],[Step]] &gt; current_step, "",Iterations[[#This Row],[Grad_b]]))</f>
        <v>3.4408893480453472E-2</v>
      </c>
      <c r="P280" s="2">
        <f ca="1">IF(Iterations[[#This Row],[Step]] =current_step, current_Grad_c,IF(Iterations[[#This Row],[Step]] &gt; current_step, "",Iterations[[#This Row],[Grad_c]]))</f>
        <v>-0.60660843374114493</v>
      </c>
      <c r="Q280" s="2">
        <f ca="1">IF(Iterations[[#This Row],[Step]] =current_step, current_Grad_d,IF(Iterations[[#This Row],[Step]] &gt; current_step, "",Iterations[[#This Row],[Grad_d]]))</f>
        <v>-2.7683747608809602E-2</v>
      </c>
      <c r="R280" s="2">
        <f ca="1">IF(Iterations[[#This Row],[Step]] =current_step, current_Grad_e,IF(Iterations[[#This Row],[Step]] &gt; current_step, "",Iterations[[#This Row],[Grad_e]]))</f>
        <v>0.21643169922662431</v>
      </c>
    </row>
    <row r="281" spans="6:18" x14ac:dyDescent="0.3">
      <c r="F281" s="2">
        <f t="shared" si="6"/>
        <v>264</v>
      </c>
      <c r="G281" s="2">
        <f ca="1">IF(Iterations[[#This Row],[Step]] =current_step, current_a,IF(Iterations[[#This Row],[Step]] &gt; current_step, "",Iterations[[#This Row],[a]]))</f>
        <v>-5.0908281296541888</v>
      </c>
      <c r="H281" s="2">
        <f ca="1">IF(Iterations[[#This Row],[Step]] =current_step, current_b,IF(Iterations[[#This Row],[Step]] &gt; current_step, "",Iterations[[#This Row],[b]]))</f>
        <v>0.71648160938868943</v>
      </c>
      <c r="I281" s="2">
        <f ca="1">IF(Iterations[[#This Row],[Step]] =current_step, current_c,IF(Iterations[[#This Row],[Step]] &gt; current_step, "",Iterations[[#This Row],[c]]))</f>
        <v>15.114442625552845</v>
      </c>
      <c r="J281" s="2">
        <f ca="1">IF(Iterations[[#This Row],[Step]] =current_step, current_d,IF(Iterations[[#This Row],[Step]] &gt; current_step, "",Iterations[[#This Row],[d]]))</f>
        <v>0.88174702808460781</v>
      </c>
      <c r="K281" s="2">
        <f ca="1">IF(Iterations[[#This Row],[Step]] =current_step, current_e,IF(Iterations[[#This Row],[Step]] &gt; current_step, "",Iterations[[#This Row],[e]]))</f>
        <v>13.491324126818354</v>
      </c>
      <c r="L281" s="2">
        <f ca="1">IF(Iterations[[#This Row],[Step]] =current_step, current_Total_Loss,IF(Iterations[[#This Row],[Step]] &gt; current_step, "",Iterations[[#This Row],[Total Loss]]))</f>
        <v>132.99</v>
      </c>
      <c r="M281" s="6" t="s">
        <v>27</v>
      </c>
      <c r="N281" s="2">
        <f ca="1">IF(Iterations[[#This Row],[Step]] =current_step, current_Grad_a,IF(Iterations[[#This Row],[Step]] &gt; current_step, "",Iterations[[#This Row],[Grad_a]]))</f>
        <v>0.21455843303375724</v>
      </c>
      <c r="O281" s="2">
        <f ca="1">IF(Iterations[[#This Row],[Step]] =current_step, current_Grad_b,IF(Iterations[[#This Row],[Step]] &gt; current_step, "",Iterations[[#This Row],[Grad_b]]))</f>
        <v>3.4212247256782784E-2</v>
      </c>
      <c r="P281" s="2">
        <f ca="1">IF(Iterations[[#This Row],[Step]] =current_step, current_Grad_c,IF(Iterations[[#This Row],[Step]] &gt; current_step, "",Iterations[[#This Row],[Grad_c]]))</f>
        <v>-0.60249774616386298</v>
      </c>
      <c r="Q281" s="2">
        <f ca="1">IF(Iterations[[#This Row],[Step]] =current_step, current_Grad_d,IF(Iterations[[#This Row],[Step]] &gt; current_step, "",Iterations[[#This Row],[Grad_d]]))</f>
        <v>-2.7573068095632831E-2</v>
      </c>
      <c r="R281" s="2">
        <f ca="1">IF(Iterations[[#This Row],[Step]] =current_step, current_Grad_e,IF(Iterations[[#This Row],[Step]] &gt; current_step, "",Iterations[[#This Row],[Grad_e]]))</f>
        <v>0.21496396792223729</v>
      </c>
    </row>
    <row r="282" spans="6:18" x14ac:dyDescent="0.3">
      <c r="F282" s="2">
        <f t="shared" si="6"/>
        <v>265</v>
      </c>
      <c r="G282" s="2">
        <f ca="1">IF(Iterations[[#This Row],[Step]] =current_step, current_a,IF(Iterations[[#This Row],[Step]] &gt; current_step, "",Iterations[[#This Row],[a]]))</f>
        <v>-5.1058472199665514</v>
      </c>
      <c r="H282" s="2">
        <f ca="1">IF(Iterations[[#This Row],[Step]] =current_step, current_b,IF(Iterations[[#This Row],[Step]] &gt; current_step, "",Iterations[[#This Row],[b]]))</f>
        <v>0.71408675208071459</v>
      </c>
      <c r="I282" s="2">
        <f ca="1">IF(Iterations[[#This Row],[Step]] =current_step, current_c,IF(Iterations[[#This Row],[Step]] &gt; current_step, "",Iterations[[#This Row],[c]]))</f>
        <v>15.156617467784315</v>
      </c>
      <c r="J282" s="2">
        <f ca="1">IF(Iterations[[#This Row],[Step]] =current_step, current_d,IF(Iterations[[#This Row],[Step]] &gt; current_step, "",Iterations[[#This Row],[d]]))</f>
        <v>0.88367714285130206</v>
      </c>
      <c r="K282" s="2">
        <f ca="1">IF(Iterations[[#This Row],[Step]] =current_step, current_e,IF(Iterations[[#This Row],[Step]] &gt; current_step, "",Iterations[[#This Row],[e]]))</f>
        <v>13.476276649063797</v>
      </c>
      <c r="L282" s="2">
        <f ca="1">IF(Iterations[[#This Row],[Step]] =current_step, current_Total_Loss,IF(Iterations[[#This Row],[Step]] &gt; current_step, "",Iterations[[#This Row],[Total Loss]]))</f>
        <v>132.41</v>
      </c>
      <c r="M282" s="6" t="s">
        <v>27</v>
      </c>
      <c r="N282" s="2">
        <f ca="1">IF(Iterations[[#This Row],[Step]] =current_step, current_Grad_a,IF(Iterations[[#This Row],[Step]] &gt; current_step, "",Iterations[[#This Row],[Grad_a]]))</f>
        <v>0.21310700756322573</v>
      </c>
      <c r="O282" s="2">
        <f ca="1">IF(Iterations[[#This Row],[Step]] =current_step, current_Grad_b,IF(Iterations[[#This Row],[Step]] &gt; current_step, "",Iterations[[#This Row],[Grad_b]]))</f>
        <v>3.4016286608568258E-2</v>
      </c>
      <c r="P282" s="2">
        <f ca="1">IF(Iterations[[#This Row],[Step]] =current_step, current_Grad_c,IF(Iterations[[#This Row],[Step]] &gt; current_step, "",Iterations[[#This Row],[Grad_c]]))</f>
        <v>-0.59841497776483754</v>
      </c>
      <c r="Q282" s="2">
        <f ca="1">IF(Iterations[[#This Row],[Step]] =current_step, current_Grad_d,IF(Iterations[[#This Row],[Step]] &gt; current_step, "",Iterations[[#This Row],[Grad_d]]))</f>
        <v>-2.7461771400825126E-2</v>
      </c>
      <c r="R282" s="2">
        <f ca="1">IF(Iterations[[#This Row],[Step]] =current_step, current_Grad_e,IF(Iterations[[#This Row],[Step]] &gt; current_step, "",Iterations[[#This Row],[Grad_e]]))</f>
        <v>0.21350622419014087</v>
      </c>
    </row>
    <row r="283" spans="6:18" x14ac:dyDescent="0.3">
      <c r="F283" s="2">
        <f t="shared" si="6"/>
        <v>266</v>
      </c>
      <c r="G283" s="2">
        <f ca="1">IF(Iterations[[#This Row],[Step]] =current_step, current_a,IF(Iterations[[#This Row],[Step]] &gt; current_step, "",Iterations[[#This Row],[a]]))</f>
        <v>-5.120764710495977</v>
      </c>
      <c r="H283" s="2">
        <f ca="1">IF(Iterations[[#This Row],[Step]] =current_step, current_b,IF(Iterations[[#This Row],[Step]] &gt; current_step, "",Iterations[[#This Row],[b]]))</f>
        <v>0.71170561201811477</v>
      </c>
      <c r="I283" s="2">
        <f ca="1">IF(Iterations[[#This Row],[Step]] =current_step, current_c,IF(Iterations[[#This Row],[Step]] &gt; current_step, "",Iterations[[#This Row],[c]]))</f>
        <v>15.198506516227853</v>
      </c>
      <c r="J283" s="2">
        <f ca="1">IF(Iterations[[#This Row],[Step]] =current_step, current_d,IF(Iterations[[#This Row],[Step]] &gt; current_step, "",Iterations[[#This Row],[d]]))</f>
        <v>0.88559946684935986</v>
      </c>
      <c r="K283" s="2">
        <f ca="1">IF(Iterations[[#This Row],[Step]] =current_step, current_e,IF(Iterations[[#This Row],[Step]] &gt; current_step, "",Iterations[[#This Row],[e]]))</f>
        <v>13.461331213370487</v>
      </c>
      <c r="L283" s="2">
        <f ca="1">IF(Iterations[[#This Row],[Step]] =current_step, current_Total_Loss,IF(Iterations[[#This Row],[Step]] &gt; current_step, "",Iterations[[#This Row],[Total Loss]]))</f>
        <v>131.85</v>
      </c>
      <c r="M283" s="6" t="s">
        <v>27</v>
      </c>
      <c r="N283" s="2">
        <f ca="1">IF(Iterations[[#This Row],[Step]] =current_step, current_Grad_a,IF(Iterations[[#This Row],[Step]] &gt; current_step, "",Iterations[[#This Row],[Grad_a]]))</f>
        <v>0.21166539495176709</v>
      </c>
      <c r="O283" s="2">
        <f ca="1">IF(Iterations[[#This Row],[Step]] =current_step, current_Grad_b,IF(Iterations[[#This Row],[Step]] &gt; current_step, "",Iterations[[#This Row],[Grad_b]]))</f>
        <v>3.3821018392469031E-2</v>
      </c>
      <c r="P283" s="2">
        <f ca="1">IF(Iterations[[#This Row],[Step]] =current_step, current_Grad_c,IF(Iterations[[#This Row],[Step]] &gt; current_step, "",Iterations[[#This Row],[Grad_c]]))</f>
        <v>-0.59435993779395757</v>
      </c>
      <c r="Q283" s="2">
        <f ca="1">IF(Iterations[[#This Row],[Step]] =current_step, current_Grad_d,IF(Iterations[[#This Row],[Step]] &gt; current_step, "",Iterations[[#This Row],[Grad_d]]))</f>
        <v>-2.7349886048473424E-2</v>
      </c>
      <c r="R283" s="2">
        <f ca="1">IF(Iterations[[#This Row],[Step]] =current_step, current_Grad_e,IF(Iterations[[#This Row],[Step]] &gt; current_step, "",Iterations[[#This Row],[Grad_e]]))</f>
        <v>0.21205839948002078</v>
      </c>
    </row>
    <row r="284" spans="6:18" x14ac:dyDescent="0.3">
      <c r="F284" s="2">
        <f t="shared" si="6"/>
        <v>267</v>
      </c>
      <c r="G284" s="2">
        <f ca="1">IF(Iterations[[#This Row],[Step]] =current_step, current_a,IF(Iterations[[#This Row],[Step]] &gt; current_step, "",Iterations[[#This Row],[a]]))</f>
        <v>-5.1355812881426006</v>
      </c>
      <c r="H284" s="2">
        <f ca="1">IF(Iterations[[#This Row],[Step]] =current_step, current_b,IF(Iterations[[#This Row],[Step]] &gt; current_step, "",Iterations[[#This Row],[b]]))</f>
        <v>0.70933814073064194</v>
      </c>
      <c r="I284" s="2">
        <f ca="1">IF(Iterations[[#This Row],[Step]] =current_step, current_c,IF(Iterations[[#This Row],[Step]] &gt; current_step, "",Iterations[[#This Row],[c]]))</f>
        <v>15.24011171187343</v>
      </c>
      <c r="J284" s="2">
        <f ca="1">IF(Iterations[[#This Row],[Step]] =current_step, current_d,IF(Iterations[[#This Row],[Step]] &gt; current_step, "",Iterations[[#This Row],[d]]))</f>
        <v>0.88751395887275297</v>
      </c>
      <c r="K284" s="2">
        <f ca="1">IF(Iterations[[#This Row],[Step]] =current_step, current_e,IF(Iterations[[#This Row],[Step]] &gt; current_step, "",Iterations[[#This Row],[e]]))</f>
        <v>13.446487125406886</v>
      </c>
      <c r="L284" s="2">
        <f ca="1">IF(Iterations[[#This Row],[Step]] =current_step, current_Total_Loss,IF(Iterations[[#This Row],[Step]] &gt; current_step, "",Iterations[[#This Row],[Total Loss]]))</f>
        <v>131.29</v>
      </c>
      <c r="M284" s="6" t="s">
        <v>27</v>
      </c>
      <c r="N284" s="2">
        <f ca="1">IF(Iterations[[#This Row],[Step]] =current_step, current_Grad_a,IF(Iterations[[#This Row],[Step]] &gt; current_step, "",Iterations[[#This Row],[Grad_a]]))</f>
        <v>0.21023352895056815</v>
      </c>
      <c r="O284" s="2">
        <f ca="1">IF(Iterations[[#This Row],[Step]] =current_step, current_Grad_b,IF(Iterations[[#This Row],[Step]] &gt; current_step, "",Iterations[[#This Row],[Grad_b]]))</f>
        <v>3.3626449213913605E-2</v>
      </c>
      <c r="P284" s="2">
        <f ca="1">IF(Iterations[[#This Row],[Step]] =current_step, current_Grad_c,IF(Iterations[[#This Row],[Step]] &gt; current_step, "",Iterations[[#This Row],[Grad_c]]))</f>
        <v>-0.59033243682471359</v>
      </c>
      <c r="Q284" s="2">
        <f ca="1">IF(Iterations[[#This Row],[Step]] =current_step, current_Grad_d,IF(Iterations[[#This Row],[Step]] &gt; current_step, "",Iterations[[#This Row],[Grad_d]]))</f>
        <v>-2.7237439935664496E-2</v>
      </c>
      <c r="R284" s="2">
        <f ca="1">IF(Iterations[[#This Row],[Step]] =current_step, current_Grad_e,IF(Iterations[[#This Row],[Step]] &gt; current_step, "",Iterations[[#This Row],[Grad_e]]))</f>
        <v>0.21062042572066669</v>
      </c>
    </row>
    <row r="285" spans="6:18" x14ac:dyDescent="0.3">
      <c r="F285" s="2">
        <f t="shared" si="6"/>
        <v>268</v>
      </c>
      <c r="G285" s="2">
        <f ca="1">IF(Iterations[[#This Row],[Step]] =current_step, current_a,IF(Iterations[[#This Row],[Step]] &gt; current_step, "",Iterations[[#This Row],[a]]))</f>
        <v>-5.1502976351691405</v>
      </c>
      <c r="H285" s="2">
        <f ca="1">IF(Iterations[[#This Row],[Step]] =current_step, current_b,IF(Iterations[[#This Row],[Step]] &gt; current_step, "",Iterations[[#This Row],[b]]))</f>
        <v>0.70698428928566803</v>
      </c>
      <c r="I285" s="2">
        <f ca="1">IF(Iterations[[#This Row],[Step]] =current_step, current_c,IF(Iterations[[#This Row],[Step]] &gt; current_step, "",Iterations[[#This Row],[c]]))</f>
        <v>15.281434982451159</v>
      </c>
      <c r="J285" s="2">
        <f ca="1">IF(Iterations[[#This Row],[Step]] =current_step, current_d,IF(Iterations[[#This Row],[Step]] &gt; current_step, "",Iterations[[#This Row],[d]]))</f>
        <v>0.8894205796682495</v>
      </c>
      <c r="K285" s="2">
        <f ca="1">IF(Iterations[[#This Row],[Step]] =current_step, current_e,IF(Iterations[[#This Row],[Step]] &gt; current_step, "",Iterations[[#This Row],[e]]))</f>
        <v>13.431743695606439</v>
      </c>
      <c r="L285" s="2">
        <f ca="1">IF(Iterations[[#This Row],[Step]] =current_step, current_Total_Loss,IF(Iterations[[#This Row],[Step]] &gt; current_step, "",Iterations[[#This Row],[Total Loss]]))</f>
        <v>130.74</v>
      </c>
      <c r="M285" s="6" t="s">
        <v>27</v>
      </c>
      <c r="N285" s="2">
        <f ca="1">IF(Iterations[[#This Row],[Step]] =current_step, current_Grad_a,IF(Iterations[[#This Row],[Step]] &gt; current_step, "",Iterations[[#This Row],[Grad_a]]))</f>
        <v>0.20881134375661445</v>
      </c>
      <c r="O285" s="2">
        <f ca="1">IF(Iterations[[#This Row],[Step]] =current_step, current_Grad_b,IF(Iterations[[#This Row],[Step]] &gt; current_step, "",Iterations[[#This Row],[Grad_b]]))</f>
        <v>3.3432585432593122E-2</v>
      </c>
      <c r="P285" s="2">
        <f ca="1">IF(Iterations[[#This Row],[Step]] =current_step, current_Grad_c,IF(Iterations[[#This Row],[Step]] &gt; current_step, "",Iterations[[#This Row],[Grad_c]]))</f>
        <v>-0.58633228674485116</v>
      </c>
      <c r="Q285" s="2">
        <f ca="1">IF(Iterations[[#This Row],[Step]] =current_step, current_Grad_d,IF(Iterations[[#This Row],[Step]] &gt; current_step, "",Iterations[[#This Row],[Grad_d]]))</f>
        <v>-2.7124460344413698E-2</v>
      </c>
      <c r="R285" s="2">
        <f ca="1">IF(Iterations[[#This Row],[Step]] =current_step, current_Grad_e,IF(Iterations[[#This Row],[Step]] &gt; current_step, "",Iterations[[#This Row],[Grad_e]]))</f>
        <v>0.20919223531653486</v>
      </c>
    </row>
    <row r="286" spans="6:18" x14ac:dyDescent="0.3">
      <c r="F286" s="2">
        <f t="shared" si="6"/>
        <v>269</v>
      </c>
      <c r="G286" s="2">
        <f ca="1">IF(Iterations[[#This Row],[Step]] =current_step, current_a,IF(Iterations[[#This Row],[Step]] &gt; current_step, "",Iterations[[#This Row],[a]]))</f>
        <v>-5.1649144292321036</v>
      </c>
      <c r="H286" s="2">
        <f ca="1">IF(Iterations[[#This Row],[Step]] =current_step, current_b,IF(Iterations[[#This Row],[Step]] &gt; current_step, "",Iterations[[#This Row],[b]]))</f>
        <v>0.70464400830538654</v>
      </c>
      <c r="I286" s="2">
        <f ca="1">IF(Iterations[[#This Row],[Step]] =current_step, current_c,IF(Iterations[[#This Row],[Step]] &gt; current_step, "",Iterations[[#This Row],[c]]))</f>
        <v>15.322478242523299</v>
      </c>
      <c r="J286" s="2">
        <f ca="1">IF(Iterations[[#This Row],[Step]] =current_step, current_d,IF(Iterations[[#This Row],[Step]] &gt; current_step, "",Iterations[[#This Row],[d]]))</f>
        <v>0.89131929189235848</v>
      </c>
      <c r="K286" s="2">
        <f ca="1">IF(Iterations[[#This Row],[Step]] =current_step, current_e,IF(Iterations[[#This Row],[Step]] &gt; current_step, "",Iterations[[#This Row],[e]]))</f>
        <v>13.417100239134282</v>
      </c>
      <c r="L286" s="2">
        <f ca="1">IF(Iterations[[#This Row],[Step]] =current_step, current_Total_Loss,IF(Iterations[[#This Row],[Step]] &gt; current_step, "",Iterations[[#This Row],[Total Loss]]))</f>
        <v>130.19</v>
      </c>
      <c r="M286" s="6" t="s">
        <v>27</v>
      </c>
      <c r="N286" s="2">
        <f ca="1">IF(Iterations[[#This Row],[Step]] =current_step, current_Grad_a,IF(Iterations[[#This Row],[Step]] &gt; current_step, "",Iterations[[#This Row],[Grad_a]]))</f>
        <v>0.2073987740102709</v>
      </c>
      <c r="O286" s="2">
        <f ca="1">IF(Iterations[[#This Row],[Step]] =current_step, current_Grad_b,IF(Iterations[[#This Row],[Step]] &gt; current_step, "",Iterations[[#This Row],[Grad_b]]))</f>
        <v>3.3239433167559916E-2</v>
      </c>
      <c r="P286" s="2">
        <f ca="1">IF(Iterations[[#This Row],[Step]] =current_step, current_Grad_c,IF(Iterations[[#This Row],[Step]] &gt; current_step, "",Iterations[[#This Row],[Grad_c]]))</f>
        <v>-0.58235930074660613</v>
      </c>
      <c r="Q286" s="2">
        <f ca="1">IF(Iterations[[#This Row],[Step]] =current_step, current_Grad_d,IF(Iterations[[#This Row],[Step]] &gt; current_step, "",Iterations[[#This Row],[Grad_d]]))</f>
        <v>-2.7010973953483446E-2</v>
      </c>
      <c r="R286" s="2">
        <f ca="1">IF(Iterations[[#This Row],[Step]] =current_step, current_Grad_e,IF(Iterations[[#This Row],[Step]] &gt; current_step, "",Iterations[[#This Row],[Grad_e]]))</f>
        <v>0.20777376114455473</v>
      </c>
    </row>
    <row r="287" spans="6:18" x14ac:dyDescent="0.3">
      <c r="F287" s="2">
        <f t="shared" si="6"/>
        <v>270</v>
      </c>
      <c r="G287" s="2">
        <f ca="1">IF(Iterations[[#This Row],[Step]] =current_step, current_a,IF(Iterations[[#This Row],[Step]] &gt; current_step, "",Iterations[[#This Row],[a]]))</f>
        <v>-5.1794323434128229</v>
      </c>
      <c r="H287" s="2">
        <f ca="1">IF(Iterations[[#This Row],[Step]] =current_step, current_b,IF(Iterations[[#This Row],[Step]] &gt; current_step, "",Iterations[[#This Row],[b]]))</f>
        <v>0.70231724798365736</v>
      </c>
      <c r="I287" s="2">
        <f ca="1">IF(Iterations[[#This Row],[Step]] =current_step, current_c,IF(Iterations[[#This Row],[Step]] &gt; current_step, "",Iterations[[#This Row],[c]]))</f>
        <v>15.363243393575562</v>
      </c>
      <c r="J287" s="2">
        <f ca="1">IF(Iterations[[#This Row],[Step]] =current_step, current_d,IF(Iterations[[#This Row],[Step]] &gt; current_step, "",Iterations[[#This Row],[d]]))</f>
        <v>0.89321006006910231</v>
      </c>
      <c r="K287" s="2">
        <f ca="1">IF(Iterations[[#This Row],[Step]] =current_step, current_e,IF(Iterations[[#This Row],[Step]] &gt; current_step, "",Iterations[[#This Row],[e]]))</f>
        <v>13.402556075854163</v>
      </c>
      <c r="L287" s="2">
        <f ca="1">IF(Iterations[[#This Row],[Step]] =current_step, current_Total_Loss,IF(Iterations[[#This Row],[Step]] &gt; current_step, "",Iterations[[#This Row],[Total Loss]]))</f>
        <v>129.66</v>
      </c>
      <c r="M287" s="6" t="s">
        <v>27</v>
      </c>
      <c r="N287" s="2">
        <f ca="1">IF(Iterations[[#This Row],[Step]] =current_step, current_Grad_a,IF(Iterations[[#This Row],[Step]] &gt; current_step, "",Iterations[[#This Row],[Grad_a]]))</f>
        <v>0.20599575479171742</v>
      </c>
      <c r="O287" s="2">
        <f ca="1">IF(Iterations[[#This Row],[Step]] =current_step, current_Grad_b,IF(Iterations[[#This Row],[Step]] &gt; current_step, "",Iterations[[#This Row],[Grad_b]]))</f>
        <v>3.3046998302474741E-2</v>
      </c>
      <c r="P287" s="2">
        <f ca="1">IF(Iterations[[#This Row],[Step]] =current_step, current_Grad_c,IF(Iterations[[#This Row],[Step]] &gt; current_step, "",Iterations[[#This Row],[Grad_c]]))</f>
        <v>-0.57841329331751723</v>
      </c>
      <c r="Q287" s="2">
        <f ca="1">IF(Iterations[[#This Row],[Step]] =current_step, current_Grad_d,IF(Iterations[[#This Row],[Step]] &gt; current_step, "",Iterations[[#This Row],[Grad_d]]))</f>
        <v>-2.6897006849896599E-2</v>
      </c>
      <c r="R287" s="2">
        <f ca="1">IF(Iterations[[#This Row],[Step]] =current_step, current_Grad_e,IF(Iterations[[#This Row],[Step]] &gt; current_step, "",Iterations[[#This Row],[Grad_e]]))</f>
        <v>0.20636493655068378</v>
      </c>
    </row>
    <row r="288" spans="6:18" x14ac:dyDescent="0.3">
      <c r="F288" s="2">
        <f t="shared" si="6"/>
        <v>271</v>
      </c>
      <c r="G288" s="2">
        <f ca="1">IF(Iterations[[#This Row],[Step]] =current_step, current_a,IF(Iterations[[#This Row],[Step]] &gt; current_step, "",Iterations[[#This Row],[a]]))</f>
        <v>-5.1938520462482431</v>
      </c>
      <c r="H288" s="2">
        <f ca="1">IF(Iterations[[#This Row],[Step]] =current_step, current_b,IF(Iterations[[#This Row],[Step]] &gt; current_step, "",Iterations[[#This Row],[b]]))</f>
        <v>0.70000395810248417</v>
      </c>
      <c r="I288" s="2">
        <f ca="1">IF(Iterations[[#This Row],[Step]] =current_step, current_c,IF(Iterations[[#This Row],[Step]] &gt; current_step, "",Iterations[[#This Row],[c]]))</f>
        <v>15.403732324107787</v>
      </c>
      <c r="J288" s="2">
        <f ca="1">IF(Iterations[[#This Row],[Step]] =current_step, current_d,IF(Iterations[[#This Row],[Step]] &gt; current_step, "",Iterations[[#This Row],[d]]))</f>
        <v>0.89509285054859511</v>
      </c>
      <c r="K288" s="2">
        <f ca="1">IF(Iterations[[#This Row],[Step]] =current_step, current_e,IF(Iterations[[#This Row],[Step]] &gt; current_step, "",Iterations[[#This Row],[e]]))</f>
        <v>13.388110530295615</v>
      </c>
      <c r="L288" s="2">
        <f ca="1">IF(Iterations[[#This Row],[Step]] =current_step, current_Total_Loss,IF(Iterations[[#This Row],[Step]] &gt; current_step, "",Iterations[[#This Row],[Total Loss]]))</f>
        <v>129.13</v>
      </c>
      <c r="M288" s="6" t="s">
        <v>27</v>
      </c>
      <c r="N288" s="2">
        <f ca="1">IF(Iterations[[#This Row],[Step]] =current_step, current_Grad_a,IF(Iterations[[#This Row],[Step]] &gt; current_step, "",Iterations[[#This Row],[Grad_a]]))</f>
        <v>0.20460222161844183</v>
      </c>
      <c r="O288" s="2">
        <f ca="1">IF(Iterations[[#This Row],[Step]] =current_step, current_Grad_b,IF(Iterations[[#This Row],[Step]] &gt; current_step, "",Iterations[[#This Row],[Grad_b]]))</f>
        <v>3.2855286490565822E-2</v>
      </c>
      <c r="P288" s="2">
        <f ca="1">IF(Iterations[[#This Row],[Step]] =current_step, current_Grad_c,IF(Iterations[[#This Row],[Step]] &gt; current_step, "",Iterations[[#This Row],[Grad_c]]))</f>
        <v>-0.57449408023086235</v>
      </c>
      <c r="Q288" s="2">
        <f ca="1">IF(Iterations[[#This Row],[Step]] =current_step, current_Grad_d,IF(Iterations[[#This Row],[Step]] &gt; current_step, "",Iterations[[#This Row],[Grad_d]]))</f>
        <v>-2.6782584540303429E-2</v>
      </c>
      <c r="R288" s="2">
        <f ca="1">IF(Iterations[[#This Row],[Step]] =current_step, current_Grad_e,IF(Iterations[[#This Row],[Step]] &gt; current_step, "",Iterations[[#This Row],[Grad_e]]))</f>
        <v>0.2049656953467254</v>
      </c>
    </row>
    <row r="289" spans="6:18" x14ac:dyDescent="0.3">
      <c r="F289" s="2">
        <f t="shared" si="6"/>
        <v>272</v>
      </c>
      <c r="G289" s="2">
        <f ca="1">IF(Iterations[[#This Row],[Step]] =current_step, current_a,IF(Iterations[[#This Row],[Step]] &gt; current_step, "",Iterations[[#This Row],[a]]))</f>
        <v>-5.2081742017615342</v>
      </c>
      <c r="H289" s="2">
        <f ca="1">IF(Iterations[[#This Row],[Step]] =current_step, current_b,IF(Iterations[[#This Row],[Step]] &gt; current_step, "",Iterations[[#This Row],[b]]))</f>
        <v>0.69770408804814454</v>
      </c>
      <c r="I289" s="2">
        <f ca="1">IF(Iterations[[#This Row],[Step]] =current_step, current_c,IF(Iterations[[#This Row],[Step]] &gt; current_step, "",Iterations[[#This Row],[c]]))</f>
        <v>15.443946909723948</v>
      </c>
      <c r="J289" s="2">
        <f ca="1">IF(Iterations[[#This Row],[Step]] =current_step, current_d,IF(Iterations[[#This Row],[Step]] &gt; current_step, "",Iterations[[#This Row],[d]]))</f>
        <v>0.89696763146641634</v>
      </c>
      <c r="K289" s="2">
        <f ca="1">IF(Iterations[[#This Row],[Step]] =current_step, current_e,IF(Iterations[[#This Row],[Step]] &gt; current_step, "",Iterations[[#This Row],[e]]))</f>
        <v>13.373762931621345</v>
      </c>
      <c r="L289" s="2">
        <f ca="1">IF(Iterations[[#This Row],[Step]] =current_step, current_Total_Loss,IF(Iterations[[#This Row],[Step]] &gt; current_step, "",Iterations[[#This Row],[Total Loss]]))</f>
        <v>128.6</v>
      </c>
      <c r="M289" s="6" t="s">
        <v>27</v>
      </c>
      <c r="N289" s="2">
        <f ca="1">IF(Iterations[[#This Row],[Step]] =current_step, current_Grad_a,IF(Iterations[[#This Row],[Step]] &gt; current_step, "",Iterations[[#This Row],[Grad_a]]))</f>
        <v>0.20321811044193261</v>
      </c>
      <c r="O289" s="2">
        <f ca="1">IF(Iterations[[#This Row],[Step]] =current_step, current_Grad_b,IF(Iterations[[#This Row],[Step]] &gt; current_step, "",Iterations[[#This Row],[Grad_b]]))</f>
        <v>3.2664303159632882E-2</v>
      </c>
      <c r="P289" s="2">
        <f ca="1">IF(Iterations[[#This Row],[Step]] =current_step, current_Grad_c,IF(Iterations[[#This Row],[Step]] &gt; current_step, "",Iterations[[#This Row],[Grad_c]]))</f>
        <v>-0.57060147853654719</v>
      </c>
      <c r="Q289" s="2">
        <f ca="1">IF(Iterations[[#This Row],[Step]] =current_step, current_Grad_d,IF(Iterations[[#This Row],[Step]] &gt; current_step, "",Iterations[[#This Row],[Grad_d]]))</f>
        <v>-2.6667731962096018E-2</v>
      </c>
      <c r="R289" s="2">
        <f ca="1">IF(Iterations[[#This Row],[Step]] =current_step, current_Grad_e,IF(Iterations[[#This Row],[Step]] &gt; current_step, "",Iterations[[#This Row],[Grad_e]]))</f>
        <v>0.20357597180694775</v>
      </c>
    </row>
    <row r="290" spans="6:18" x14ac:dyDescent="0.3">
      <c r="F290" s="2">
        <f t="shared" si="6"/>
        <v>273</v>
      </c>
      <c r="G290" s="2">
        <f ca="1">IF(Iterations[[#This Row],[Step]] =current_step, current_a,IF(Iterations[[#This Row],[Step]] &gt; current_step, "",Iterations[[#This Row],[a]]))</f>
        <v>-5.2223994694924691</v>
      </c>
      <c r="H290" s="2">
        <f ca="1">IF(Iterations[[#This Row],[Step]] =current_step, current_b,IF(Iterations[[#This Row],[Step]] &gt; current_step, "",Iterations[[#This Row],[b]]))</f>
        <v>0.69541758682697019</v>
      </c>
      <c r="I290" s="2">
        <f ca="1">IF(Iterations[[#This Row],[Step]] =current_step, current_c,IF(Iterations[[#This Row],[Step]] &gt; current_step, "",Iterations[[#This Row],[c]]))</f>
        <v>15.483889013221507</v>
      </c>
      <c r="J290" s="2">
        <f ca="1">IF(Iterations[[#This Row],[Step]] =current_step, current_d,IF(Iterations[[#This Row],[Step]] &gt; current_step, "",Iterations[[#This Row],[d]]))</f>
        <v>0.8988343727037631</v>
      </c>
      <c r="K290" s="2">
        <f ca="1">IF(Iterations[[#This Row],[Step]] =current_step, current_e,IF(Iterations[[#This Row],[Step]] &gt; current_step, "",Iterations[[#This Row],[e]]))</f>
        <v>13.359512613594859</v>
      </c>
      <c r="L290" s="2">
        <f ca="1">IF(Iterations[[#This Row],[Step]] =current_step, current_Total_Loss,IF(Iterations[[#This Row],[Step]] &gt; current_step, "",Iterations[[#This Row],[Total Loss]]))</f>
        <v>128.09</v>
      </c>
      <c r="M290" s="6" t="s">
        <v>27</v>
      </c>
      <c r="N290" s="2">
        <f ca="1">IF(Iterations[[#This Row],[Step]] =current_step, current_Grad_a,IF(Iterations[[#This Row],[Step]] &gt; current_step, "",Iterations[[#This Row],[Grad_a]]))</f>
        <v>0.2018433576449673</v>
      </c>
      <c r="O290" s="2">
        <f ca="1">IF(Iterations[[#This Row],[Step]] =current_step, current_Grad_b,IF(Iterations[[#This Row],[Step]] &gt; current_step, "",Iterations[[#This Row],[Grad_b]]))</f>
        <v>3.2474053516873568E-2</v>
      </c>
      <c r="P290" s="2">
        <f ca="1">IF(Iterations[[#This Row],[Step]] =current_step, current_Grad_c,IF(Iterations[[#This Row],[Step]] &gt; current_step, "",Iterations[[#This Row],[Grad_c]]))</f>
        <v>-0.56673530655179793</v>
      </c>
      <c r="Q290" s="2">
        <f ca="1">IF(Iterations[[#This Row],[Step]] =current_step, current_Grad_d,IF(Iterations[[#This Row],[Step]] &gt; current_step, "",Iterations[[#This Row],[Grad_d]]))</f>
        <v>-2.6552473494341176E-2</v>
      </c>
      <c r="R290" s="2">
        <f ca="1">IF(Iterations[[#This Row],[Step]] =current_step, current_Grad_e,IF(Iterations[[#This Row],[Step]] &gt; current_step, "",Iterations[[#This Row],[Grad_e]]))</f>
        <v>0.20219570066486486</v>
      </c>
    </row>
    <row r="291" spans="6:18" x14ac:dyDescent="0.3">
      <c r="F291" s="2">
        <f t="shared" si="6"/>
        <v>274</v>
      </c>
      <c r="G291" s="2">
        <f ca="1">IF(Iterations[[#This Row],[Step]] =current_step, current_a,IF(Iterations[[#This Row],[Step]] &gt; current_step, "",Iterations[[#This Row],[a]]))</f>
        <v>-5.2365285045276169</v>
      </c>
      <c r="H291" s="2">
        <f ca="1">IF(Iterations[[#This Row],[Step]] =current_step, current_b,IF(Iterations[[#This Row],[Step]] &gt; current_step, "",Iterations[[#This Row],[b]]))</f>
        <v>0.69314440308078906</v>
      </c>
      <c r="I291" s="2">
        <f ca="1">IF(Iterations[[#This Row],[Step]] =current_step, current_c,IF(Iterations[[#This Row],[Step]] &gt; current_step, "",Iterations[[#This Row],[c]]))</f>
        <v>15.523560484680132</v>
      </c>
      <c r="J291" s="2">
        <f ca="1">IF(Iterations[[#This Row],[Step]] =current_step, current_d,IF(Iterations[[#This Row],[Step]] &gt; current_step, "",Iterations[[#This Row],[d]]))</f>
        <v>0.90069304584836696</v>
      </c>
      <c r="K291" s="2">
        <f ca="1">IF(Iterations[[#This Row],[Step]] =current_step, current_e,IF(Iterations[[#This Row],[Step]] &gt; current_step, "",Iterations[[#This Row],[e]]))</f>
        <v>13.345358914548319</v>
      </c>
      <c r="L291" s="2">
        <f ca="1">IF(Iterations[[#This Row],[Step]] =current_step, current_Total_Loss,IF(Iterations[[#This Row],[Step]] &gt; current_step, "",Iterations[[#This Row],[Total Loss]]))</f>
        <v>127.58</v>
      </c>
      <c r="M291" s="6" t="s">
        <v>27</v>
      </c>
      <c r="N291" s="2">
        <f ca="1">IF(Iterations[[#This Row],[Step]] =current_step, current_Grad_a,IF(Iterations[[#This Row],[Step]] &gt; current_step, "",Iterations[[#This Row],[Grad_a]]))</f>
        <v>0.20047790003847854</v>
      </c>
      <c r="O291" s="2">
        <f ca="1">IF(Iterations[[#This Row],[Step]] =current_step, current_Grad_b,IF(Iterations[[#This Row],[Step]] &gt; current_step, "",Iterations[[#This Row],[Grad_b]]))</f>
        <v>3.2284542553670886E-2</v>
      </c>
      <c r="P291" s="2">
        <f ca="1">IF(Iterations[[#This Row],[Step]] =current_step, current_Grad_c,IF(Iterations[[#This Row],[Step]] &gt; current_step, "",Iterations[[#This Row],[Grad_c]]))</f>
        <v>-0.56289538385214277</v>
      </c>
      <c r="Q291" s="2">
        <f ca="1">IF(Iterations[[#This Row],[Step]] =current_step, current_Grad_d,IF(Iterations[[#This Row],[Step]] &gt; current_step, "",Iterations[[#This Row],[Grad_d]]))</f>
        <v>-2.6436832968503039E-2</v>
      </c>
      <c r="R291" s="2">
        <f ca="1">IF(Iterations[[#This Row],[Step]] =current_step, current_Grad_e,IF(Iterations[[#This Row],[Step]] &gt; current_step, "",Iterations[[#This Row],[Grad_e]]))</f>
        <v>0.20082481710992026</v>
      </c>
    </row>
    <row r="292" spans="6:18" x14ac:dyDescent="0.3">
      <c r="F292" s="2">
        <f t="shared" si="6"/>
        <v>275</v>
      </c>
      <c r="G292" s="2">
        <f ca="1">IF(Iterations[[#This Row],[Step]] =current_step, current_a,IF(Iterations[[#This Row],[Step]] &gt; current_step, "",Iterations[[#This Row],[a]]))</f>
        <v>-5.2505619575303104</v>
      </c>
      <c r="H292" s="2">
        <f ca="1">IF(Iterations[[#This Row],[Step]] =current_step, current_b,IF(Iterations[[#This Row],[Step]] &gt; current_step, "",Iterations[[#This Row],[b]]))</f>
        <v>0.69088448510203215</v>
      </c>
      <c r="I292" s="2">
        <f ca="1">IF(Iterations[[#This Row],[Step]] =current_step, current_c,IF(Iterations[[#This Row],[Step]] &gt; current_step, "",Iterations[[#This Row],[c]]))</f>
        <v>15.562963161549781</v>
      </c>
      <c r="J292" s="2">
        <f ca="1">IF(Iterations[[#This Row],[Step]] =current_step, current_d,IF(Iterations[[#This Row],[Step]] &gt; current_step, "",Iterations[[#This Row],[d]]))</f>
        <v>0.90254362415616218</v>
      </c>
      <c r="K292" s="2">
        <f ca="1">IF(Iterations[[#This Row],[Step]] =current_step, current_e,IF(Iterations[[#This Row],[Step]] &gt; current_step, "",Iterations[[#This Row],[e]]))</f>
        <v>13.331301177350625</v>
      </c>
      <c r="L292" s="2">
        <f ca="1">IF(Iterations[[#This Row],[Step]] =current_step, current_Total_Loss,IF(Iterations[[#This Row],[Step]] &gt; current_step, "",Iterations[[#This Row],[Total Loss]]))</f>
        <v>127.08</v>
      </c>
      <c r="M292" s="6" t="s">
        <v>27</v>
      </c>
      <c r="N292" s="2">
        <f ca="1">IF(Iterations[[#This Row],[Step]] =current_step, current_Grad_a,IF(Iterations[[#This Row],[Step]] &gt; current_step, "",Iterations[[#This Row],[Grad_a]]))</f>
        <v>0.19912167485902821</v>
      </c>
      <c r="O292" s="2">
        <f ca="1">IF(Iterations[[#This Row],[Step]] =current_step, current_Grad_b,IF(Iterations[[#This Row],[Step]] &gt; current_step, "",Iterations[[#This Row],[Grad_b]]))</f>
        <v>3.2095775050238494E-2</v>
      </c>
      <c r="P292" s="2">
        <f ca="1">IF(Iterations[[#This Row],[Step]] =current_step, current_Grad_c,IF(Iterations[[#This Row],[Step]] &gt; current_step, "",Iterations[[#This Row],[Grad_c]]))</f>
        <v>-0.5590815312621995</v>
      </c>
      <c r="Q292" s="2">
        <f ca="1">IF(Iterations[[#This Row],[Step]] =current_step, current_Grad_d,IF(Iterations[[#This Row],[Step]] &gt; current_step, "",Iterations[[#This Row],[Grad_d]]))</f>
        <v>-2.632083367897706E-2</v>
      </c>
      <c r="R292" s="2">
        <f ca="1">IF(Iterations[[#This Row],[Step]] =current_step, current_Grad_e,IF(Iterations[[#This Row],[Step]] &gt; current_step, "",Iterations[[#This Row],[Grad_e]]))</f>
        <v>0.19946325678432628</v>
      </c>
    </row>
    <row r="293" spans="6:18" x14ac:dyDescent="0.3">
      <c r="F293" s="2">
        <f t="shared" si="6"/>
        <v>276</v>
      </c>
      <c r="G293" s="2">
        <f ca="1">IF(Iterations[[#This Row],[Step]] =current_step, current_a,IF(Iterations[[#This Row],[Step]] &gt; current_step, "",Iterations[[#This Row],[a]]))</f>
        <v>-5.2645004747704425</v>
      </c>
      <c r="H293" s="2">
        <f ca="1">IF(Iterations[[#This Row],[Step]] =current_step, current_b,IF(Iterations[[#This Row],[Step]] &gt; current_step, "",Iterations[[#This Row],[b]]))</f>
        <v>0.68863778084851546</v>
      </c>
      <c r="I293" s="2">
        <f ca="1">IF(Iterations[[#This Row],[Step]] =current_step, current_c,IF(Iterations[[#This Row],[Step]] &gt; current_step, "",Iterations[[#This Row],[c]]))</f>
        <v>15.602098868738135</v>
      </c>
      <c r="J293" s="2">
        <f ca="1">IF(Iterations[[#This Row],[Step]] =current_step, current_d,IF(Iterations[[#This Row],[Step]] &gt; current_step, "",Iterations[[#This Row],[d]]))</f>
        <v>0.90438608251369057</v>
      </c>
      <c r="K293" s="2">
        <f ca="1">IF(Iterations[[#This Row],[Step]] =current_step, current_e,IF(Iterations[[#This Row],[Step]] &gt; current_step, "",Iterations[[#This Row],[e]]))</f>
        <v>13.317338749375722</v>
      </c>
      <c r="L293" s="2">
        <f ca="1">IF(Iterations[[#This Row],[Step]] =current_step, current_Total_Loss,IF(Iterations[[#This Row],[Step]] &gt; current_step, "",Iterations[[#This Row],[Total Loss]]))</f>
        <v>126.59</v>
      </c>
      <c r="M293" s="6" t="s">
        <v>27</v>
      </c>
      <c r="N293" s="2">
        <f ca="1">IF(Iterations[[#This Row],[Step]] =current_step, current_Grad_a,IF(Iterations[[#This Row],[Step]] &gt; current_step, "",Iterations[[#This Row],[Grad_a]]))</f>
        <v>0.19777461976548524</v>
      </c>
      <c r="O293" s="2">
        <f ca="1">IF(Iterations[[#This Row],[Step]] =current_step, current_Grad_b,IF(Iterations[[#This Row],[Step]] &gt; current_step, "",Iterations[[#This Row],[Grad_b]]))</f>
        <v>3.1907755580234586E-2</v>
      </c>
      <c r="P293" s="2">
        <f ca="1">IF(Iterations[[#This Row],[Step]] =current_step, current_Grad_c,IF(Iterations[[#This Row],[Step]] &gt; current_step, "",Iterations[[#This Row],[Grad_c]]))</f>
        <v>-0.55529357084689768</v>
      </c>
      <c r="Q293" s="2">
        <f ca="1">IF(Iterations[[#This Row],[Step]] =current_step, current_Grad_d,IF(Iterations[[#This Row],[Step]] &gt; current_step, "",Iterations[[#This Row],[Grad_d]]))</f>
        <v>-2.6204498393420157E-2</v>
      </c>
      <c r="R293" s="2">
        <f ca="1">IF(Iterations[[#This Row],[Step]] =current_step, current_Grad_e,IF(Iterations[[#This Row],[Step]] &gt; current_step, "",Iterations[[#This Row],[Grad_e]]))</f>
        <v>0.19811095577972676</v>
      </c>
    </row>
    <row r="294" spans="6:18" x14ac:dyDescent="0.3">
      <c r="F294" s="2">
        <f t="shared" si="6"/>
        <v>277</v>
      </c>
      <c r="G294" s="2">
        <f ca="1">IF(Iterations[[#This Row],[Step]] =current_step, current_a,IF(Iterations[[#This Row],[Step]] &gt; current_step, "",Iterations[[#This Row],[a]]))</f>
        <v>-5.2783446981540267</v>
      </c>
      <c r="H294" s="2">
        <f ca="1">IF(Iterations[[#This Row],[Step]] =current_step, current_b,IF(Iterations[[#This Row],[Step]] &gt; current_step, "",Iterations[[#This Row],[b]]))</f>
        <v>0.68640423795789907</v>
      </c>
      <c r="I294" s="2">
        <f ca="1">IF(Iterations[[#This Row],[Step]] =current_step, current_c,IF(Iterations[[#This Row],[Step]] &gt; current_step, "",Iterations[[#This Row],[c]]))</f>
        <v>15.640969418697418</v>
      </c>
      <c r="J294" s="2">
        <f ca="1">IF(Iterations[[#This Row],[Step]] =current_step, current_d,IF(Iterations[[#This Row],[Step]] &gt; current_step, "",Iterations[[#This Row],[d]]))</f>
        <v>0.90622039740122995</v>
      </c>
      <c r="K294" s="2">
        <f ca="1">IF(Iterations[[#This Row],[Step]] =current_step, current_e,IF(Iterations[[#This Row],[Step]] &gt; current_step, "",Iterations[[#This Row],[e]]))</f>
        <v>13.303470982471142</v>
      </c>
      <c r="L294" s="2">
        <f ca="1">IF(Iterations[[#This Row],[Step]] =current_step, current_Total_Loss,IF(Iterations[[#This Row],[Step]] &gt; current_step, "",Iterations[[#This Row],[Total Loss]]))</f>
        <v>126.1</v>
      </c>
      <c r="M294" s="6" t="s">
        <v>27</v>
      </c>
      <c r="N294" s="2">
        <f ca="1">IF(Iterations[[#This Row],[Step]] =current_step, current_Grad_a,IF(Iterations[[#This Row],[Step]] &gt; current_step, "",Iterations[[#This Row],[Grad_a]]))</f>
        <v>0.1964366728365802</v>
      </c>
      <c r="O294" s="2">
        <f ca="1">IF(Iterations[[#This Row],[Step]] =current_step, current_Grad_b,IF(Iterations[[#This Row],[Step]] &gt; current_step, "",Iterations[[#This Row],[Grad_b]]))</f>
        <v>3.1720488515211955E-2</v>
      </c>
      <c r="P294" s="2">
        <f ca="1">IF(Iterations[[#This Row],[Step]] =current_step, current_Grad_c,IF(Iterations[[#This Row],[Step]] &gt; current_step, "",Iterations[[#This Row],[Grad_c]]))</f>
        <v>-0.55153132590240428</v>
      </c>
      <c r="Q294" s="2">
        <f ca="1">IF(Iterations[[#This Row],[Step]] =current_step, current_Grad_d,IF(Iterations[[#This Row],[Step]] &gt; current_step, "",Iterations[[#This Row],[Grad_d]]))</f>
        <v>-2.6087849362910691E-2</v>
      </c>
      <c r="R294" s="2">
        <f ca="1">IF(Iterations[[#This Row],[Step]] =current_step, current_Grad_e,IF(Iterations[[#This Row],[Step]] &gt; current_step, "",Iterations[[#This Row],[Grad_e]]))</f>
        <v>0.19676785063406832</v>
      </c>
    </row>
    <row r="295" spans="6:18" x14ac:dyDescent="0.3">
      <c r="F295" s="2">
        <f t="shared" si="6"/>
        <v>278</v>
      </c>
      <c r="G295" s="2">
        <f ca="1">IF(Iterations[[#This Row],[Step]] =current_step, current_a,IF(Iterations[[#This Row],[Step]] &gt; current_step, "",Iterations[[#This Row],[a]]))</f>
        <v>-5.2920952652525877</v>
      </c>
      <c r="H295" s="2">
        <f ca="1">IF(Iterations[[#This Row],[Step]] =current_step, current_b,IF(Iterations[[#This Row],[Step]] &gt; current_step, "",Iterations[[#This Row],[b]]))</f>
        <v>0.68418380376183419</v>
      </c>
      <c r="I295" s="2">
        <f ca="1">IF(Iterations[[#This Row],[Step]] =current_step, current_c,IF(Iterations[[#This Row],[Step]] &gt; current_step, "",Iterations[[#This Row],[c]]))</f>
        <v>15.679576611510587</v>
      </c>
      <c r="J295" s="2">
        <f ca="1">IF(Iterations[[#This Row],[Step]] =current_step, current_d,IF(Iterations[[#This Row],[Step]] &gt; current_step, "",Iterations[[#This Row],[d]]))</f>
        <v>0.90804654685663366</v>
      </c>
      <c r="K295" s="2">
        <f ca="1">IF(Iterations[[#This Row],[Step]] =current_step, current_e,IF(Iterations[[#This Row],[Step]] &gt; current_step, "",Iterations[[#This Row],[e]]))</f>
        <v>13.289697232926757</v>
      </c>
      <c r="L295" s="2">
        <f ca="1">IF(Iterations[[#This Row],[Step]] =current_step, current_Total_Loss,IF(Iterations[[#This Row],[Step]] &gt; current_step, "",Iterations[[#This Row],[Total Loss]]))</f>
        <v>125.62</v>
      </c>
      <c r="M295" s="6" t="s">
        <v>27</v>
      </c>
      <c r="N295" s="2">
        <f ca="1">IF(Iterations[[#This Row],[Step]] =current_step, current_Grad_a,IF(Iterations[[#This Row],[Step]] &gt; current_step, "",Iterations[[#This Row],[Grad_a]]))</f>
        <v>0.1951077725677702</v>
      </c>
      <c r="O295" s="2">
        <f ca="1">IF(Iterations[[#This Row],[Step]] =current_step, current_Grad_b,IF(Iterations[[#This Row],[Step]] &gt; current_step, "",Iterations[[#This Row],[Grad_b]]))</f>
        <v>3.1533978029105687E-2</v>
      </c>
      <c r="P295" s="2">
        <f ca="1">IF(Iterations[[#This Row],[Step]] =current_step, current_Grad_c,IF(Iterations[[#This Row],[Step]] &gt; current_step, "",Iterations[[#This Row],[Grad_c]]))</f>
        <v>-0.54779462094741427</v>
      </c>
      <c r="Q295" s="2">
        <f ca="1">IF(Iterations[[#This Row],[Step]] =current_step, current_Grad_d,IF(Iterations[[#This Row],[Step]] &gt; current_step, "",Iterations[[#This Row],[Grad_d]]))</f>
        <v>-2.5970908331884993E-2</v>
      </c>
      <c r="R295" s="2">
        <f ca="1">IF(Iterations[[#This Row],[Step]] =current_step, current_Grad_e,IF(Iterations[[#This Row],[Step]] &gt; current_step, "",Iterations[[#This Row],[Grad_e]]))</f>
        <v>0.19543387832835238</v>
      </c>
    </row>
    <row r="296" spans="6:18" x14ac:dyDescent="0.3">
      <c r="F296" s="2">
        <f t="shared" si="6"/>
        <v>279</v>
      </c>
      <c r="G296" s="2">
        <f ca="1">IF(Iterations[[#This Row],[Step]] =current_step, current_a,IF(Iterations[[#This Row],[Step]] &gt; current_step, "",Iterations[[#This Row],[a]]))</f>
        <v>-5.3057528093323318</v>
      </c>
      <c r="H296" s="2">
        <f ca="1">IF(Iterations[[#This Row],[Step]] =current_step, current_b,IF(Iterations[[#This Row],[Step]] &gt; current_step, "",Iterations[[#This Row],[b]]))</f>
        <v>0.68197642529979674</v>
      </c>
      <c r="I296" s="2">
        <f ca="1">IF(Iterations[[#This Row],[Step]] =current_step, current_c,IF(Iterations[[#This Row],[Step]] &gt; current_step, "",Iterations[[#This Row],[c]]))</f>
        <v>15.717922234976905</v>
      </c>
      <c r="J296" s="2">
        <f ca="1">IF(Iterations[[#This Row],[Step]] =current_step, current_d,IF(Iterations[[#This Row],[Step]] &gt; current_step, "",Iterations[[#This Row],[d]]))</f>
        <v>0.9098645104398656</v>
      </c>
      <c r="K296" s="2">
        <f ca="1">IF(Iterations[[#This Row],[Step]] =current_step, current_e,IF(Iterations[[#This Row],[Step]] &gt; current_step, "",Iterations[[#This Row],[e]]))</f>
        <v>13.276016861443773</v>
      </c>
      <c r="L296" s="2">
        <f ca="1">IF(Iterations[[#This Row],[Step]] =current_step, current_Total_Loss,IF(Iterations[[#This Row],[Step]] &gt; current_step, "",Iterations[[#This Row],[Total Loss]]))</f>
        <v>125.14</v>
      </c>
      <c r="M296" s="6" t="s">
        <v>27</v>
      </c>
      <c r="N296" s="2">
        <f ca="1">IF(Iterations[[#This Row],[Step]] =current_step, current_Grad_a,IF(Iterations[[#This Row],[Step]] &gt; current_step, "",Iterations[[#This Row],[Grad_a]]))</f>
        <v>0.19378785786871372</v>
      </c>
      <c r="O296" s="2">
        <f ca="1">IF(Iterations[[#This Row],[Step]] =current_step, current_Grad_b,IF(Iterations[[#This Row],[Step]] &gt; current_step, "",Iterations[[#This Row],[Grad_b]]))</f>
        <v>3.1348228102496871E-2</v>
      </c>
      <c r="P296" s="2">
        <f ca="1">IF(Iterations[[#This Row],[Step]] =current_step, current_Grad_c,IF(Iterations[[#This Row],[Step]] &gt; current_step, "",Iterations[[#This Row],[Grad_c]]))</f>
        <v>-0.54408328171427722</v>
      </c>
      <c r="Q296" s="2">
        <f ca="1">IF(Iterations[[#This Row],[Step]] =current_step, current_Grad_d,IF(Iterations[[#This Row],[Step]] &gt; current_step, "",Iterations[[#This Row],[Grad_d]]))</f>
        <v>-2.5853696547934742E-2</v>
      </c>
      <c r="R296" s="2">
        <f ca="1">IF(Iterations[[#This Row],[Step]] =current_step, current_Grad_e,IF(Iterations[[#This Row],[Step]] &gt; current_step, "",Iterations[[#This Row],[Grad_e]]))</f>
        <v>0.19410897628349785</v>
      </c>
    </row>
    <row r="297" spans="6:18" x14ac:dyDescent="0.3">
      <c r="F297" s="2">
        <f t="shared" si="6"/>
        <v>280</v>
      </c>
      <c r="G297" s="2">
        <f ca="1">IF(Iterations[[#This Row],[Step]] =current_step, current_a,IF(Iterations[[#This Row],[Step]] &gt; current_step, "",Iterations[[#This Row],[a]]))</f>
        <v>-5.3193179593831417</v>
      </c>
      <c r="H297" s="2">
        <f ca="1">IF(Iterations[[#This Row],[Step]] =current_step, current_b,IF(Iterations[[#This Row],[Step]] &gt; current_step, "",Iterations[[#This Row],[b]]))</f>
        <v>0.67978204933262198</v>
      </c>
      <c r="I297" s="2">
        <f ca="1">IF(Iterations[[#This Row],[Step]] =current_step, current_c,IF(Iterations[[#This Row],[Step]] &gt; current_step, "",Iterations[[#This Row],[c]]))</f>
        <v>15.756008064696905</v>
      </c>
      <c r="J297" s="2">
        <f ca="1">IF(Iterations[[#This Row],[Step]] =current_step, current_d,IF(Iterations[[#This Row],[Step]] &gt; current_step, "",Iterations[[#This Row],[d]]))</f>
        <v>0.91167426919822103</v>
      </c>
      <c r="K297" s="2">
        <f ca="1">IF(Iterations[[#This Row],[Step]] =current_step, current_e,IF(Iterations[[#This Row],[Step]] &gt; current_step, "",Iterations[[#This Row],[e]]))</f>
        <v>13.262429233103928</v>
      </c>
      <c r="L297" s="2">
        <f ca="1">IF(Iterations[[#This Row],[Step]] =current_step, current_Total_Loss,IF(Iterations[[#This Row],[Step]] &gt; current_step, "",Iterations[[#This Row],[Total Loss]]))</f>
        <v>124.67</v>
      </c>
      <c r="M297" s="6" t="s">
        <v>27</v>
      </c>
      <c r="N297" s="2">
        <f ca="1">IF(Iterations[[#This Row],[Step]] =current_step, current_Grad_a,IF(Iterations[[#This Row],[Step]] &gt; current_step, "",Iterations[[#This Row],[Grad_a]]))</f>
        <v>0.19247686806024186</v>
      </c>
      <c r="O297" s="2">
        <f ca="1">IF(Iterations[[#This Row],[Step]] =current_step, current_Grad_b,IF(Iterations[[#This Row],[Step]] &gt; current_step, "",Iterations[[#This Row],[Grad_b]]))</f>
        <v>3.1163242526891781E-2</v>
      </c>
      <c r="P297" s="2">
        <f ca="1">IF(Iterations[[#This Row],[Step]] =current_step, current_Grad_c,IF(Iterations[[#This Row],[Step]] &gt; current_step, "",Iterations[[#This Row],[Grad_c]]))</f>
        <v>-0.54039713514040399</v>
      </c>
      <c r="Q297" s="2">
        <f ca="1">IF(Iterations[[#This Row],[Step]] =current_step, current_Grad_d,IF(Iterations[[#This Row],[Step]] &gt; current_step, "",Iterations[[#This Row],[Grad_d]]))</f>
        <v>-2.5736234771393616E-2</v>
      </c>
      <c r="R297" s="2">
        <f ca="1">IF(Iterations[[#This Row],[Step]] =current_step, current_Grad_e,IF(Iterations[[#This Row],[Step]] &gt; current_step, "",Iterations[[#This Row],[Grad_e]]))</f>
        <v>0.19279308235714213</v>
      </c>
    </row>
    <row r="298" spans="6:18" x14ac:dyDescent="0.3">
      <c r="F298" s="2">
        <f t="shared" si="6"/>
        <v>281</v>
      </c>
      <c r="G298" s="2">
        <f ca="1">IF(Iterations[[#This Row],[Step]] =current_step, current_a,IF(Iterations[[#This Row],[Step]] &gt; current_step, "",Iterations[[#This Row],[a]]))</f>
        <v>-5.3327913401473586</v>
      </c>
      <c r="H298" s="2">
        <f ca="1">IF(Iterations[[#This Row],[Step]] =current_step, current_b,IF(Iterations[[#This Row],[Step]] &gt; current_step, "",Iterations[[#This Row],[b]]))</f>
        <v>0.67760062235573959</v>
      </c>
      <c r="I298" s="2">
        <f ca="1">IF(Iterations[[#This Row],[Step]] =current_step, current_c,IF(Iterations[[#This Row],[Step]] &gt; current_step, "",Iterations[[#This Row],[c]]))</f>
        <v>15.793835864156733</v>
      </c>
      <c r="J298" s="2">
        <f ca="1">IF(Iterations[[#This Row],[Step]] =current_step, current_d,IF(Iterations[[#This Row],[Step]] &gt; current_step, "",Iterations[[#This Row],[d]]))</f>
        <v>0.91347580563221864</v>
      </c>
      <c r="K298" s="2">
        <f ca="1">IF(Iterations[[#This Row],[Step]] =current_step, current_e,IF(Iterations[[#This Row],[Step]] &gt; current_step, "",Iterations[[#This Row],[e]]))</f>
        <v>13.248933717338929</v>
      </c>
      <c r="L298" s="2">
        <f ca="1">IF(Iterations[[#This Row],[Step]] =current_step, current_Total_Loss,IF(Iterations[[#This Row],[Step]] &gt; current_step, "",Iterations[[#This Row],[Total Loss]]))</f>
        <v>124.21</v>
      </c>
      <c r="M298" s="6" t="s">
        <v>27</v>
      </c>
      <c r="N298" s="2">
        <f ca="1">IF(Iterations[[#This Row],[Step]] =current_step, current_Grad_a,IF(Iterations[[#This Row],[Step]] &gt; current_step, "",Iterations[[#This Row],[Grad_a]]))</f>
        <v>0.1911747428717924</v>
      </c>
      <c r="O298" s="2">
        <f ca="1">IF(Iterations[[#This Row],[Step]] =current_step, current_Grad_b,IF(Iterations[[#This Row],[Step]] &gt; current_step, "",Iterations[[#This Row],[Grad_b]]))</f>
        <v>3.0979024908870636E-2</v>
      </c>
      <c r="P298" s="2">
        <f ca="1">IF(Iterations[[#This Row],[Step]] =current_step, current_Grad_c,IF(Iterations[[#This Row],[Step]] &gt; current_step, "",Iterations[[#This Row],[Grad_c]]))</f>
        <v>-0.53673600935955623</v>
      </c>
      <c r="Q298" s="2">
        <f ca="1">IF(Iterations[[#This Row],[Step]] =current_step, current_Grad_d,IF(Iterations[[#This Row],[Step]] &gt; current_step, "",Iterations[[#This Row],[Grad_d]]))</f>
        <v>-2.5618543284767783E-2</v>
      </c>
      <c r="R298" s="2">
        <f ca="1">IF(Iterations[[#This Row],[Step]] =current_step, current_Grad_e,IF(Iterations[[#This Row],[Step]] &gt; current_step, "",Iterations[[#This Row],[Grad_e]]))</f>
        <v>0.19148613484054186</v>
      </c>
    </row>
    <row r="299" spans="6:18" x14ac:dyDescent="0.3">
      <c r="F299" s="2">
        <f t="shared" si="6"/>
        <v>282</v>
      </c>
      <c r="G299" s="2">
        <f ca="1">IF(Iterations[[#This Row],[Step]] =current_step, current_a,IF(Iterations[[#This Row],[Step]] &gt; current_step, "",Iterations[[#This Row],[a]]))</f>
        <v>-5.3461735721483841</v>
      </c>
      <c r="H299" s="2">
        <f ca="1">IF(Iterations[[#This Row],[Step]] =current_step, current_b,IF(Iterations[[#This Row],[Step]] &gt; current_step, "",Iterations[[#This Row],[b]]))</f>
        <v>0.67543209061211862</v>
      </c>
      <c r="I299" s="2">
        <f ca="1">IF(Iterations[[#This Row],[Step]] =current_step, current_c,IF(Iterations[[#This Row],[Step]] &gt; current_step, "",Iterations[[#This Row],[c]]))</f>
        <v>15.831407384811902</v>
      </c>
      <c r="J299" s="2">
        <f ca="1">IF(Iterations[[#This Row],[Step]] =current_step, current_d,IF(Iterations[[#This Row],[Step]] &gt; current_step, "",Iterations[[#This Row],[d]]))</f>
        <v>0.91526910366215242</v>
      </c>
      <c r="K299" s="2">
        <f ca="1">IF(Iterations[[#This Row],[Step]] =current_step, current_e,IF(Iterations[[#This Row],[Step]] &gt; current_step, "",Iterations[[#This Row],[e]]))</f>
        <v>13.23552968790009</v>
      </c>
      <c r="L299" s="2">
        <f ca="1">IF(Iterations[[#This Row],[Step]] =current_step, current_Total_Loss,IF(Iterations[[#This Row],[Step]] &gt; current_step, "",Iterations[[#This Row],[Total Loss]]))</f>
        <v>123.76</v>
      </c>
      <c r="M299" s="6" t="s">
        <v>27</v>
      </c>
      <c r="N299" s="2">
        <f ca="1">IF(Iterations[[#This Row],[Step]] =current_step, current_Grad_a,IF(Iterations[[#This Row],[Step]] &gt; current_step, "",Iterations[[#This Row],[Grad_a]]))</f>
        <v>0.18988142243849745</v>
      </c>
      <c r="O299" s="2">
        <f ca="1">IF(Iterations[[#This Row],[Step]] =current_step, current_Grad_b,IF(Iterations[[#This Row],[Step]] &gt; current_step, "",Iterations[[#This Row],[Grad_b]]))</f>
        <v>3.0795578674197108E-2</v>
      </c>
      <c r="P299" s="2">
        <f ca="1">IF(Iterations[[#This Row],[Step]] =current_step, current_Grad_c,IF(Iterations[[#This Row],[Step]] &gt; current_step, "",Iterations[[#This Row],[Grad_c]]))</f>
        <v>-0.53309973369336783</v>
      </c>
      <c r="Q299" s="2">
        <f ca="1">IF(Iterations[[#This Row],[Step]] =current_step, current_Grad_d,IF(Iterations[[#This Row],[Step]] &gt; current_step, "",Iterations[[#This Row],[Grad_d]]))</f>
        <v>-2.5500641901971211E-2</v>
      </c>
      <c r="R299" s="2">
        <f ca="1">IF(Iterations[[#This Row],[Step]] =current_step, current_Grad_e,IF(Iterations[[#This Row],[Step]] &gt; current_step, "",Iterations[[#This Row],[Grad_e]]))</f>
        <v>0.19018807245541089</v>
      </c>
    </row>
    <row r="300" spans="6:18" x14ac:dyDescent="0.3">
      <c r="F300" s="2">
        <f t="shared" si="6"/>
        <v>283</v>
      </c>
      <c r="G300" s="2">
        <f ca="1">IF(Iterations[[#This Row],[Step]] =current_step, current_a,IF(Iterations[[#This Row],[Step]] &gt; current_step, "",Iterations[[#This Row],[a]]))</f>
        <v>-5.3594652717190785</v>
      </c>
      <c r="H300" s="2">
        <f ca="1">IF(Iterations[[#This Row],[Step]] =current_step, current_b,IF(Iterations[[#This Row],[Step]] &gt; current_step, "",Iterations[[#This Row],[b]]))</f>
        <v>0.67327640010492484</v>
      </c>
      <c r="I300" s="2">
        <f ca="1">IF(Iterations[[#This Row],[Step]] =current_step, current_c,IF(Iterations[[#This Row],[Step]] &gt; current_step, "",Iterations[[#This Row],[c]]))</f>
        <v>15.868724366170438</v>
      </c>
      <c r="J300" s="2">
        <f ca="1">IF(Iterations[[#This Row],[Step]] =current_step, current_d,IF(Iterations[[#This Row],[Step]] &gt; current_step, "",Iterations[[#This Row],[d]]))</f>
        <v>0.91705414859529044</v>
      </c>
      <c r="K300" s="2">
        <f ca="1">IF(Iterations[[#This Row],[Step]] =current_step, current_e,IF(Iterations[[#This Row],[Step]] &gt; current_step, "",Iterations[[#This Row],[e]]))</f>
        <v>13.222216522828212</v>
      </c>
      <c r="L300" s="2">
        <f ca="1">IF(Iterations[[#This Row],[Step]] =current_step, current_Total_Loss,IF(Iterations[[#This Row],[Step]] &gt; current_step, "",Iterations[[#This Row],[Total Loss]]))</f>
        <v>123.31</v>
      </c>
      <c r="M300" s="6" t="s">
        <v>27</v>
      </c>
      <c r="N300" s="2">
        <f ca="1">IF(Iterations[[#This Row],[Step]] =current_step, current_Grad_a,IF(Iterations[[#This Row],[Step]] &gt; current_step, "",Iterations[[#This Row],[Grad_a]]))</f>
        <v>0.1885968472986459</v>
      </c>
      <c r="O300" s="2">
        <f ca="1">IF(Iterations[[#This Row],[Step]] =current_step, current_Grad_b,IF(Iterations[[#This Row],[Step]] &gt; current_step, "",Iterations[[#This Row],[Grad_b]]))</f>
        <v>3.0612907071790946E-2</v>
      </c>
      <c r="P300" s="2">
        <f ca="1">IF(Iterations[[#This Row],[Step]] =current_step, current_Grad_c,IF(Iterations[[#This Row],[Step]] &gt; current_step, "",Iterations[[#This Row],[Grad_c]]))</f>
        <v>-0.52948813864276323</v>
      </c>
      <c r="Q300" s="2">
        <f ca="1">IF(Iterations[[#This Row],[Step]] =current_step, current_Grad_d,IF(Iterations[[#This Row],[Step]] &gt; current_step, "",Iterations[[#This Row],[Grad_d]]))</f>
        <v>-2.5382549977416465E-2</v>
      </c>
      <c r="R300" s="2">
        <f ca="1">IF(Iterations[[#This Row],[Step]] =current_step, current_Grad_e,IF(Iterations[[#This Row],[Step]] &gt; current_step, "",Iterations[[#This Row],[Grad_e]]))</f>
        <v>0.18889883435087265</v>
      </c>
    </row>
    <row r="301" spans="6:18" x14ac:dyDescent="0.3">
      <c r="F301" s="2">
        <f t="shared" si="6"/>
        <v>284</v>
      </c>
      <c r="G301" s="2">
        <f ca="1">IF(Iterations[[#This Row],[Step]] =current_step, current_a,IF(Iterations[[#This Row],[Step]] &gt; current_step, "",Iterations[[#This Row],[a]]))</f>
        <v>-5.3726670510299837</v>
      </c>
      <c r="H301" s="2">
        <f ca="1">IF(Iterations[[#This Row],[Step]] =current_step, current_b,IF(Iterations[[#This Row],[Step]] &gt; current_step, "",Iterations[[#This Row],[b]]))</f>
        <v>0.67113349660989952</v>
      </c>
      <c r="I301" s="2">
        <f ca="1">IF(Iterations[[#This Row],[Step]] =current_step, current_c,IF(Iterations[[#This Row],[Step]] &gt; current_step, "",Iterations[[#This Row],[c]]))</f>
        <v>15.905788535875432</v>
      </c>
      <c r="J301" s="2">
        <f ca="1">IF(Iterations[[#This Row],[Step]] =current_step, current_d,IF(Iterations[[#This Row],[Step]] &gt; current_step, "",Iterations[[#This Row],[d]]))</f>
        <v>0.91883092709370962</v>
      </c>
      <c r="K301" s="2">
        <f ca="1">IF(Iterations[[#This Row],[Step]] =current_step, current_e,IF(Iterations[[#This Row],[Step]] &gt; current_step, "",Iterations[[#This Row],[e]]))</f>
        <v>13.208993604423652</v>
      </c>
      <c r="L301" s="2">
        <f ca="1">IF(Iterations[[#This Row],[Step]] =current_step, current_Total_Loss,IF(Iterations[[#This Row],[Step]] &gt; current_step, "",Iterations[[#This Row],[Total Loss]]))</f>
        <v>122.86</v>
      </c>
      <c r="M301" s="6" t="s">
        <v>27</v>
      </c>
      <c r="N301" s="2">
        <f ca="1">IF(Iterations[[#This Row],[Step]] =current_step, current_Grad_a,IF(Iterations[[#This Row],[Step]] &gt; current_step, "",Iterations[[#This Row],[Grad_a]]))</f>
        <v>0.18732095839078175</v>
      </c>
      <c r="O301" s="2">
        <f ca="1">IF(Iterations[[#This Row],[Step]] =current_step, current_Grad_b,IF(Iterations[[#This Row],[Step]] &gt; current_step, "",Iterations[[#This Row],[Grad_b]]))</f>
        <v>3.0431013177714523E-2</v>
      </c>
      <c r="P301" s="2">
        <f ca="1">IF(Iterations[[#This Row],[Step]] =current_step, current_Grad_c,IF(Iterations[[#This Row],[Step]] &gt; current_step, "",Iterations[[#This Row],[Grad_c]]))</f>
        <v>-0.52590105587963132</v>
      </c>
      <c r="Q301" s="2">
        <f ca="1">IF(Iterations[[#This Row],[Step]] =current_step, current_Grad_d,IF(Iterations[[#This Row],[Step]] &gt; current_step, "",Iterations[[#This Row],[Grad_d]]))</f>
        <v>-2.5264286414911147E-2</v>
      </c>
      <c r="R301" s="2">
        <f ca="1">IF(Iterations[[#This Row],[Step]] =current_step, current_Grad_e,IF(Iterations[[#This Row],[Step]] &gt; current_step, "",Iterations[[#This Row],[Grad_e]]))</f>
        <v>0.18761836010032418</v>
      </c>
    </row>
    <row r="302" spans="6:18" x14ac:dyDescent="0.3">
      <c r="F302" s="2">
        <f t="shared" si="6"/>
        <v>285</v>
      </c>
      <c r="G302" s="2">
        <f ca="1">IF(Iterations[[#This Row],[Step]] =current_step, current_a,IF(Iterations[[#This Row],[Step]] &gt; current_step, "",Iterations[[#This Row],[a]]))</f>
        <v>-5.3857795181173387</v>
      </c>
      <c r="H302" s="2">
        <f ca="1">IF(Iterations[[#This Row],[Step]] =current_step, current_b,IF(Iterations[[#This Row],[Step]] &gt; current_step, "",Iterations[[#This Row],[b]]))</f>
        <v>0.66900332568745946</v>
      </c>
      <c r="I302" s="2">
        <f ca="1">IF(Iterations[[#This Row],[Step]] =current_step, current_c,IF(Iterations[[#This Row],[Step]] &gt; current_step, "",Iterations[[#This Row],[c]]))</f>
        <v>15.942601609787006</v>
      </c>
      <c r="J302" s="2">
        <f ca="1">IF(Iterations[[#This Row],[Step]] =current_step, current_d,IF(Iterations[[#This Row],[Step]] &gt; current_step, "",Iterations[[#This Row],[d]]))</f>
        <v>0.92059942714275345</v>
      </c>
      <c r="K302" s="2">
        <f ca="1">IF(Iterations[[#This Row],[Step]] =current_step, current_e,IF(Iterations[[#This Row],[Step]] &gt; current_step, "",Iterations[[#This Row],[e]]))</f>
        <v>13.19586031921663</v>
      </c>
      <c r="L302" s="2">
        <f ca="1">IF(Iterations[[#This Row],[Step]] =current_step, current_Total_Loss,IF(Iterations[[#This Row],[Step]] &gt; current_step, "",Iterations[[#This Row],[Total Loss]]))</f>
        <v>122.43</v>
      </c>
      <c r="M302" s="6" t="s">
        <v>27</v>
      </c>
      <c r="N302" s="2">
        <f ca="1">IF(Iterations[[#This Row],[Step]] =current_step, current_Grad_a,IF(Iterations[[#This Row],[Step]] &gt; current_step, "",Iterations[[#This Row],[Grad_a]]))</f>
        <v>0.18605369705113972</v>
      </c>
      <c r="O302" s="2">
        <f ca="1">IF(Iterations[[#This Row],[Step]] =current_step, current_Grad_b,IF(Iterations[[#This Row],[Step]] &gt; current_step, "",Iterations[[#This Row],[Grad_b]]))</f>
        <v>3.0249899898978663E-2</v>
      </c>
      <c r="P302" s="2">
        <f ca="1">IF(Iterations[[#This Row],[Step]] =current_step, current_Grad_c,IF(Iterations[[#This Row],[Step]] &gt; current_step, "",Iterations[[#This Row],[Grad_c]]))</f>
        <v>-0.52233831823840637</v>
      </c>
      <c r="Q302" s="2">
        <f ca="1">IF(Iterations[[#This Row],[Step]] =current_step, current_Grad_d,IF(Iterations[[#This Row],[Step]] &gt; current_step, "",Iterations[[#This Row],[Grad_d]]))</f>
        <v>-2.5145869676419123E-2</v>
      </c>
      <c r="R302" s="2">
        <f ca="1">IF(Iterations[[#This Row],[Step]] =current_step, current_Grad_e,IF(Iterations[[#This Row],[Step]] &gt; current_step, "",Iterations[[#This Row],[Grad_e]]))</f>
        <v>0.18634658969841192</v>
      </c>
    </row>
    <row r="303" spans="6:18" x14ac:dyDescent="0.3">
      <c r="F303" s="2">
        <f t="shared" si="6"/>
        <v>286</v>
      </c>
      <c r="G303" s="2">
        <f ca="1">IF(Iterations[[#This Row],[Step]] =current_step, current_a,IF(Iterations[[#This Row],[Step]] &gt; current_step, "",Iterations[[#This Row],[a]]))</f>
        <v>-5.3988032769109182</v>
      </c>
      <c r="H303" s="2">
        <f ca="1">IF(Iterations[[#This Row],[Step]] =current_step, current_b,IF(Iterations[[#This Row],[Step]] &gt; current_step, "",Iterations[[#This Row],[b]]))</f>
        <v>0.66688583269453094</v>
      </c>
      <c r="I303" s="2">
        <f ca="1">IF(Iterations[[#This Row],[Step]] =current_step, current_c,IF(Iterations[[#This Row],[Step]] &gt; current_step, "",Iterations[[#This Row],[c]]))</f>
        <v>15.979165292063694</v>
      </c>
      <c r="J303" s="2">
        <f ca="1">IF(Iterations[[#This Row],[Step]] =current_step, current_d,IF(Iterations[[#This Row],[Step]] &gt; current_step, "",Iterations[[#This Row],[d]]))</f>
        <v>0.92235963802010279</v>
      </c>
      <c r="K303" s="2">
        <f ca="1">IF(Iterations[[#This Row],[Step]] =current_step, current_e,IF(Iterations[[#This Row],[Step]] &gt; current_step, "",Iterations[[#This Row],[e]]))</f>
        <v>13.182816057937741</v>
      </c>
      <c r="L303" s="2">
        <f ca="1">IF(Iterations[[#This Row],[Step]] =current_step, current_Total_Loss,IF(Iterations[[#This Row],[Step]] &gt; current_step, "",Iterations[[#This Row],[Total Loss]]))</f>
        <v>121.99</v>
      </c>
      <c r="M303" s="6" t="s">
        <v>27</v>
      </c>
      <c r="N303" s="2">
        <f ca="1">IF(Iterations[[#This Row],[Step]] =current_step, current_Grad_a,IF(Iterations[[#This Row],[Step]] &gt; current_step, "",Iterations[[#This Row],[Grad_a]]))</f>
        <v>0.18479500501107785</v>
      </c>
      <c r="O303" s="2">
        <f ca="1">IF(Iterations[[#This Row],[Step]] =current_step, current_Grad_b,IF(Iterations[[#This Row],[Step]] &gt; current_step, "",Iterations[[#This Row],[Grad_b]]))</f>
        <v>3.006956997733232E-2</v>
      </c>
      <c r="P303" s="2">
        <f ca="1">IF(Iterations[[#This Row],[Step]] =current_step, current_Grad_c,IF(Iterations[[#This Row],[Step]] &gt; current_step, "",Iterations[[#This Row],[Grad_c]]))</f>
        <v>-0.51879975970774039</v>
      </c>
      <c r="Q303" s="2">
        <f ca="1">IF(Iterations[[#This Row],[Step]] =current_step, current_Grad_d,IF(Iterations[[#This Row],[Step]] &gt; current_step, "",Iterations[[#This Row],[Grad_d]]))</f>
        <v>-2.5027317790644425E-2</v>
      </c>
      <c r="R303" s="2">
        <f ca="1">IF(Iterations[[#This Row],[Step]] =current_step, current_Grad_e,IF(Iterations[[#This Row],[Step]] &gt; current_step, "",Iterations[[#This Row],[Grad_e]]))</f>
        <v>0.18508346355801031</v>
      </c>
    </row>
    <row r="304" spans="6:18" x14ac:dyDescent="0.3">
      <c r="F304" s="2">
        <f t="shared" si="6"/>
        <v>287</v>
      </c>
      <c r="G304" s="2">
        <f ca="1">IF(Iterations[[#This Row],[Step]] =current_step, current_a,IF(Iterations[[#This Row],[Step]] &gt; current_step, "",Iterations[[#This Row],[a]]))</f>
        <v>-5.4117389272616938</v>
      </c>
      <c r="H304" s="2">
        <f ca="1">IF(Iterations[[#This Row],[Step]] =current_step, current_b,IF(Iterations[[#This Row],[Step]] &gt; current_step, "",Iterations[[#This Row],[b]]))</f>
        <v>0.66478096279611765</v>
      </c>
      <c r="I304" s="2">
        <f ca="1">IF(Iterations[[#This Row],[Step]] =current_step, current_c,IF(Iterations[[#This Row],[Step]] &gt; current_step, "",Iterations[[#This Row],[c]]))</f>
        <v>16.015481275243236</v>
      </c>
      <c r="J304" s="2">
        <f ca="1">IF(Iterations[[#This Row],[Step]] =current_step, current_d,IF(Iterations[[#This Row],[Step]] &gt; current_step, "",Iterations[[#This Row],[d]]))</f>
        <v>0.92411155026544789</v>
      </c>
      <c r="K304" s="2">
        <f ca="1">IF(Iterations[[#This Row],[Step]] =current_step, current_e,IF(Iterations[[#This Row],[Step]] &gt; current_step, "",Iterations[[#This Row],[e]]))</f>
        <v>13.169860215488679</v>
      </c>
      <c r="L304" s="2">
        <f ca="1">IF(Iterations[[#This Row],[Step]] =current_step, current_Total_Loss,IF(Iterations[[#This Row],[Step]] &gt; current_step, "",Iterations[[#This Row],[Total Loss]]))</f>
        <v>121.57</v>
      </c>
      <c r="M304" s="6" t="s">
        <v>27</v>
      </c>
      <c r="N304" s="2">
        <f ca="1">IF(Iterations[[#This Row],[Step]] =current_step, current_Grad_a,IF(Iterations[[#This Row],[Step]] &gt; current_step, "",Iterations[[#This Row],[Grad_a]]))</f>
        <v>0.18354482439408729</v>
      </c>
      <c r="O304" s="2">
        <f ca="1">IF(Iterations[[#This Row],[Step]] =current_step, current_Grad_b,IF(Iterations[[#This Row],[Step]] &gt; current_step, "",Iterations[[#This Row],[Grad_b]]))</f>
        <v>2.9890025993022026E-2</v>
      </c>
      <c r="P304" s="2">
        <f ca="1">IF(Iterations[[#This Row],[Step]] =current_step, current_Grad_c,IF(Iterations[[#This Row],[Step]] &gt; current_step, "",Iterations[[#This Row],[Grad_c]]))</f>
        <v>-0.51528521542241068</v>
      </c>
      <c r="Q304" s="2">
        <f ca="1">IF(Iterations[[#This Row],[Step]] =current_step, current_Grad_d,IF(Iterations[[#This Row],[Step]] &gt; current_step, "",Iterations[[#This Row],[Grad_d]]))</f>
        <v>-2.4908648361445525E-2</v>
      </c>
      <c r="R304" s="2">
        <f ca="1">IF(Iterations[[#This Row],[Step]] =current_step, current_Grad_e,IF(Iterations[[#This Row],[Step]] &gt; current_step, "",Iterations[[#This Row],[Grad_e]]))</f>
        <v>0.18382892250714178</v>
      </c>
    </row>
    <row r="305" spans="6:18" x14ac:dyDescent="0.3">
      <c r="F305" s="2">
        <f t="shared" si="6"/>
        <v>288</v>
      </c>
      <c r="G305" s="2">
        <f ca="1">IF(Iterations[[#This Row],[Step]] =current_step, current_a,IF(Iterations[[#This Row],[Step]] &gt; current_step, "",Iterations[[#This Row],[a]]))</f>
        <v>-5.4245870649692796</v>
      </c>
      <c r="H305" s="2">
        <f ca="1">IF(Iterations[[#This Row],[Step]] =current_step, current_b,IF(Iterations[[#This Row],[Step]] &gt; current_step, "",Iterations[[#This Row],[b]]))</f>
        <v>0.66268866097660606</v>
      </c>
      <c r="I305" s="2">
        <f ca="1">IF(Iterations[[#This Row],[Step]] =current_step, current_c,IF(Iterations[[#This Row],[Step]] &gt; current_step, "",Iterations[[#This Row],[c]]))</f>
        <v>16.051551240322805</v>
      </c>
      <c r="J305" s="2">
        <f ca="1">IF(Iterations[[#This Row],[Step]] =current_step, current_d,IF(Iterations[[#This Row],[Step]] &gt; current_step, "",Iterations[[#This Row],[d]]))</f>
        <v>0.92585515565074905</v>
      </c>
      <c r="K305" s="2">
        <f ca="1">IF(Iterations[[#This Row],[Step]] =current_step, current_e,IF(Iterations[[#This Row],[Step]] &gt; current_step, "",Iterations[[#This Row],[e]]))</f>
        <v>13.156992190913179</v>
      </c>
      <c r="L305" s="2">
        <f ca="1">IF(Iterations[[#This Row],[Step]] =current_step, current_Total_Loss,IF(Iterations[[#This Row],[Step]] &gt; current_step, "",Iterations[[#This Row],[Total Loss]]))</f>
        <v>121.15</v>
      </c>
      <c r="M305" s="6" t="s">
        <v>27</v>
      </c>
      <c r="N305" s="2">
        <f ca="1">IF(Iterations[[#This Row],[Step]] =current_step, current_Grad_a,IF(Iterations[[#This Row],[Step]] &gt; current_step, "",Iterations[[#This Row],[Grad_a]]))</f>
        <v>0.18230309771361852</v>
      </c>
      <c r="O305" s="2">
        <f ca="1">IF(Iterations[[#This Row],[Step]] =current_step, current_Grad_b,IF(Iterations[[#This Row],[Step]] &gt; current_step, "",Iterations[[#This Row],[Grad_b]]))</f>
        <v>2.9711270368362679E-2</v>
      </c>
      <c r="P305" s="2">
        <f ca="1">IF(Iterations[[#This Row],[Step]] =current_step, current_Grad_c,IF(Iterations[[#This Row],[Step]] &gt; current_step, "",Iterations[[#This Row],[Grad_c]]))</f>
        <v>-0.51179452165497197</v>
      </c>
      <c r="Q305" s="2">
        <f ca="1">IF(Iterations[[#This Row],[Step]] =current_step, current_Grad_d,IF(Iterations[[#This Row],[Step]] &gt; current_step, "",Iterations[[#This Row],[Grad_d]]))</f>
        <v>-2.4789878576126616E-2</v>
      </c>
      <c r="R305" s="2">
        <f ca="1">IF(Iterations[[#This Row],[Step]] =current_step, current_Grad_e,IF(Iterations[[#This Row],[Step]] &gt; current_step, "",Iterations[[#This Row],[Grad_e]]))</f>
        <v>0.18258290778606381</v>
      </c>
    </row>
    <row r="306" spans="6:18" x14ac:dyDescent="0.3">
      <c r="F306" s="2">
        <f t="shared" si="6"/>
        <v>289</v>
      </c>
      <c r="G306" s="2">
        <f ca="1">IF(Iterations[[#This Row],[Step]] =current_step, current_a,IF(Iterations[[#This Row],[Step]] &gt; current_step, "",Iterations[[#This Row],[a]]))</f>
        <v>-5.4373482818092329</v>
      </c>
      <c r="H306" s="2">
        <f ca="1">IF(Iterations[[#This Row],[Step]] =current_step, current_b,IF(Iterations[[#This Row],[Step]] &gt; current_step, "",Iterations[[#This Row],[b]]))</f>
        <v>0.66060887205082064</v>
      </c>
      <c r="I306" s="2">
        <f ca="1">IF(Iterations[[#This Row],[Step]] =current_step, current_c,IF(Iterations[[#This Row],[Step]] &gt; current_step, "",Iterations[[#This Row],[c]]))</f>
        <v>16.087376856838652</v>
      </c>
      <c r="J306" s="2">
        <f ca="1">IF(Iterations[[#This Row],[Step]] =current_step, current_d,IF(Iterations[[#This Row],[Step]] &gt; current_step, "",Iterations[[#This Row],[d]]))</f>
        <v>0.92759044715107797</v>
      </c>
      <c r="K306" s="2">
        <f ca="1">IF(Iterations[[#This Row],[Step]] =current_step, current_e,IF(Iterations[[#This Row],[Step]] &gt; current_step, "",Iterations[[#This Row],[e]]))</f>
        <v>13.144211387368156</v>
      </c>
      <c r="L306" s="2">
        <f ca="1">IF(Iterations[[#This Row],[Step]] =current_step, current_Total_Loss,IF(Iterations[[#This Row],[Step]] &gt; current_step, "",Iterations[[#This Row],[Total Loss]]))</f>
        <v>120.73</v>
      </c>
      <c r="M306" s="6" t="s">
        <v>27</v>
      </c>
      <c r="N306" s="2">
        <f ca="1">IF(Iterations[[#This Row],[Step]] =current_step, current_Grad_a,IF(Iterations[[#This Row],[Step]] &gt; current_step, "",Iterations[[#This Row],[Grad_a]]))</f>
        <v>0.18106976787001383</v>
      </c>
      <c r="O306" s="2">
        <f ca="1">IF(Iterations[[#This Row],[Step]] =current_step, current_Grad_b,IF(Iterations[[#This Row],[Step]] &gt; current_step, "",Iterations[[#This Row],[Grad_b]]))</f>
        <v>2.9533305371360601E-2</v>
      </c>
      <c r="P306" s="2">
        <f ca="1">IF(Iterations[[#This Row],[Step]] =current_step, current_Grad_c,IF(Iterations[[#This Row],[Step]] &gt; current_step, "",Iterations[[#This Row],[Grad_c]]))</f>
        <v>-0.50832751580784197</v>
      </c>
      <c r="Q306" s="2">
        <f ca="1">IF(Iterations[[#This Row],[Step]] =current_step, current_Grad_d,IF(Iterations[[#This Row],[Step]] &gt; current_step, "",Iterations[[#This Row],[Grad_d]]))</f>
        <v>-2.4671025213551776E-2</v>
      </c>
      <c r="R306" s="2">
        <f ca="1">IF(Iterations[[#This Row],[Step]] =current_step, current_Grad_e,IF(Iterations[[#This Row],[Step]] &gt; current_step, "",Iterations[[#This Row],[Grad_e]]))</f>
        <v>0.18134536104420562</v>
      </c>
    </row>
    <row r="307" spans="6:18" x14ac:dyDescent="0.3">
      <c r="F307" s="2">
        <f t="shared" si="6"/>
        <v>290</v>
      </c>
      <c r="G307" s="2">
        <f ca="1">IF(Iterations[[#This Row],[Step]] =current_step, current_a,IF(Iterations[[#This Row],[Step]] &gt; current_step, "",Iterations[[#This Row],[a]]))</f>
        <v>-5.4500231655601334</v>
      </c>
      <c r="H307" s="2">
        <f ca="1">IF(Iterations[[#This Row],[Step]] =current_step, current_b,IF(Iterations[[#This Row],[Step]] &gt; current_step, "",Iterations[[#This Row],[b]]))</f>
        <v>0.6585415406748254</v>
      </c>
      <c r="I307" s="2">
        <f ca="1">IF(Iterations[[#This Row],[Step]] =current_step, current_c,IF(Iterations[[#This Row],[Step]] &gt; current_step, "",Iterations[[#This Row],[c]]))</f>
        <v>16.122959782945202</v>
      </c>
      <c r="J307" s="2">
        <f ca="1">IF(Iterations[[#This Row],[Step]] =current_step, current_d,IF(Iterations[[#This Row],[Step]] &gt; current_step, "",Iterations[[#This Row],[d]]))</f>
        <v>0.92931741891602659</v>
      </c>
      <c r="K307" s="2">
        <f ca="1">IF(Iterations[[#This Row],[Step]] =current_step, current_e,IF(Iterations[[#This Row],[Step]] &gt; current_step, "",Iterations[[#This Row],[e]]))</f>
        <v>13.131517212095062</v>
      </c>
      <c r="L307" s="2">
        <f ca="1">IF(Iterations[[#This Row],[Step]] =current_step, current_Total_Loss,IF(Iterations[[#This Row],[Step]] &gt; current_step, "",Iterations[[#This Row],[Total Loss]]))</f>
        <v>120.32</v>
      </c>
      <c r="M307" s="6" t="s">
        <v>27</v>
      </c>
      <c r="N307" s="2">
        <f ca="1">IF(Iterations[[#This Row],[Step]] =current_step, current_Grad_a,IF(Iterations[[#This Row],[Step]] &gt; current_step, "",Iterations[[#This Row],[Grad_a]]))</f>
        <v>0.17984477814838565</v>
      </c>
      <c r="O307" s="2">
        <f ca="1">IF(Iterations[[#This Row],[Step]] =current_step, current_Grad_b,IF(Iterations[[#This Row],[Step]] &gt; current_step, "",Iterations[[#This Row],[Grad_b]]))</f>
        <v>2.9356133119190869E-2</v>
      </c>
      <c r="P307" s="2">
        <f ca="1">IF(Iterations[[#This Row],[Step]] =current_step, current_Grad_c,IF(Iterations[[#This Row],[Step]] &gt; current_step, "",Iterations[[#This Row],[Grad_c]]))</f>
        <v>-0.50488403640506319</v>
      </c>
      <c r="Q307" s="2">
        <f ca="1">IF(Iterations[[#This Row],[Step]] =current_step, current_Grad_d,IF(Iterations[[#This Row],[Step]] &gt; current_step, "",Iterations[[#This Row],[Grad_d]]))</f>
        <v>-2.4552104652107134E-2</v>
      </c>
      <c r="R307" s="2">
        <f ca="1">IF(Iterations[[#This Row],[Step]] =current_step, current_Grad_e,IF(Iterations[[#This Row],[Step]] &gt; current_step, "",Iterations[[#This Row],[Grad_e]]))</f>
        <v>0.18011622433731272</v>
      </c>
    </row>
    <row r="308" spans="6:18" x14ac:dyDescent="0.3">
      <c r="F308" s="2">
        <f t="shared" si="6"/>
        <v>291</v>
      </c>
      <c r="G308" s="2">
        <f ca="1">IF(Iterations[[#This Row],[Step]] =current_step, current_a,IF(Iterations[[#This Row],[Step]] &gt; current_step, "",Iterations[[#This Row],[a]]))</f>
        <v>-5.4626123000305205</v>
      </c>
      <c r="H308" s="2">
        <f ca="1">IF(Iterations[[#This Row],[Step]] =current_step, current_b,IF(Iterations[[#This Row],[Step]] &gt; current_step, "",Iterations[[#This Row],[b]]))</f>
        <v>0.65648661135648201</v>
      </c>
      <c r="I308" s="2">
        <f ca="1">IF(Iterations[[#This Row],[Step]] =current_step, current_c,IF(Iterations[[#This Row],[Step]] &gt; current_step, "",Iterations[[#This Row],[c]]))</f>
        <v>16.158301665493557</v>
      </c>
      <c r="J308" s="2">
        <f ca="1">IF(Iterations[[#This Row],[Step]] =current_step, current_d,IF(Iterations[[#This Row],[Step]] &gt; current_step, "",Iterations[[#This Row],[d]]))</f>
        <v>0.93103606624167412</v>
      </c>
      <c r="K308" s="2">
        <f ca="1">IF(Iterations[[#This Row],[Step]] =current_step, current_e,IF(Iterations[[#This Row],[Step]] &gt; current_step, "",Iterations[[#This Row],[e]]))</f>
        <v>13.11890907639145</v>
      </c>
      <c r="L308" s="2">
        <f ca="1">IF(Iterations[[#This Row],[Step]] =current_step, current_Total_Loss,IF(Iterations[[#This Row],[Step]] &gt; current_step, "",Iterations[[#This Row],[Total Loss]]))</f>
        <v>119.92</v>
      </c>
      <c r="M308" s="6" t="s">
        <v>27</v>
      </c>
      <c r="N308" s="2">
        <f ca="1">IF(Iterations[[#This Row],[Step]] =current_step, current_Grad_a,IF(Iterations[[#This Row],[Step]] &gt; current_step, "",Iterations[[#This Row],[Grad_a]]))</f>
        <v>0.1786280722155541</v>
      </c>
      <c r="O308" s="2">
        <f ca="1">IF(Iterations[[#This Row],[Step]] =current_step, current_Grad_b,IF(Iterations[[#This Row],[Step]] &gt; current_step, "",Iterations[[#This Row],[Grad_b]]))</f>
        <v>2.9179755581631352E-2</v>
      </c>
      <c r="P308" s="2">
        <f ca="1">IF(Iterations[[#This Row],[Step]] =current_step, current_Grad_c,IF(Iterations[[#This Row],[Step]] &gt; current_step, "",Iterations[[#This Row],[Grad_c]]))</f>
        <v>-0.50146392308453502</v>
      </c>
      <c r="Q308" s="2">
        <f ca="1">IF(Iterations[[#This Row],[Step]] =current_step, current_Grad_d,IF(Iterations[[#This Row],[Step]] &gt; current_step, "",Iterations[[#This Row],[Grad_d]]))</f>
        <v>-2.4433132877540009E-2</v>
      </c>
      <c r="R308" s="2">
        <f ca="1">IF(Iterations[[#This Row],[Step]] =current_step, current_Grad_e,IF(Iterations[[#This Row],[Step]] &gt; current_step, "",Iterations[[#This Row],[Grad_e]]))</f>
        <v>0.17889544012440911</v>
      </c>
    </row>
    <row r="309" spans="6:18" x14ac:dyDescent="0.3">
      <c r="F309" s="2">
        <f t="shared" si="6"/>
        <v>292</v>
      </c>
      <c r="G309" s="2">
        <f ca="1">IF(Iterations[[#This Row],[Step]] =current_step, current_a,IF(Iterations[[#This Row],[Step]] &gt; current_step, "",Iterations[[#This Row],[a]]))</f>
        <v>-5.4751162650856093</v>
      </c>
      <c r="H309" s="2">
        <f ca="1">IF(Iterations[[#This Row],[Step]] =current_step, current_b,IF(Iterations[[#This Row],[Step]] &gt; current_step, "",Iterations[[#This Row],[b]]))</f>
        <v>0.65444402846576777</v>
      </c>
      <c r="I309" s="2">
        <f ca="1">IF(Iterations[[#This Row],[Step]] =current_step, current_c,IF(Iterations[[#This Row],[Step]] &gt; current_step, "",Iterations[[#This Row],[c]]))</f>
        <v>16.193404140109475</v>
      </c>
      <c r="J309" s="2">
        <f ca="1">IF(Iterations[[#This Row],[Step]] =current_step, current_d,IF(Iterations[[#This Row],[Step]] &gt; current_step, "",Iterations[[#This Row],[d]]))</f>
        <v>0.93274638554310196</v>
      </c>
      <c r="K309" s="2">
        <f ca="1">IF(Iterations[[#This Row],[Step]] =current_step, current_e,IF(Iterations[[#This Row],[Step]] &gt; current_step, "",Iterations[[#This Row],[e]]))</f>
        <v>13.106386395582742</v>
      </c>
      <c r="L309" s="2">
        <f ca="1">IF(Iterations[[#This Row],[Step]] =current_step, current_Total_Loss,IF(Iterations[[#This Row],[Step]] &gt; current_step, "",Iterations[[#This Row],[Total Loss]]))</f>
        <v>119.52</v>
      </c>
      <c r="M309" s="6" t="s">
        <v>27</v>
      </c>
      <c r="N309" s="2">
        <f ca="1">IF(Iterations[[#This Row],[Step]] =current_step, current_Grad_a,IF(Iterations[[#This Row],[Step]] &gt; current_step, "",Iterations[[#This Row],[Grad_a]]))</f>
        <v>0.17741959411788452</v>
      </c>
      <c r="O309" s="2">
        <f ca="1">IF(Iterations[[#This Row],[Step]] =current_step, current_Grad_b,IF(Iterations[[#This Row],[Step]] &gt; current_step, "",Iterations[[#This Row],[Grad_b]]))</f>
        <v>2.9004174584445302E-2</v>
      </c>
      <c r="P309" s="2">
        <f ca="1">IF(Iterations[[#This Row],[Step]] =current_step, current_Grad_c,IF(Iterations[[#This Row],[Step]] &gt; current_step, "",Iterations[[#This Row],[Grad_c]]))</f>
        <v>-0.49806701658992636</v>
      </c>
      <c r="Q309" s="2">
        <f ca="1">IF(Iterations[[#This Row],[Step]] =current_step, current_Grad_d,IF(Iterations[[#This Row],[Step]] &gt; current_step, "",Iterations[[#This Row],[Grad_d]]))</f>
        <v>-2.4314125490629786E-2</v>
      </c>
      <c r="R309" s="2">
        <f ca="1">IF(Iterations[[#This Row],[Step]] =current_step, current_Grad_e,IF(Iterations[[#This Row],[Step]] &gt; current_step, "",Iterations[[#This Row],[Grad_e]]))</f>
        <v>0.17768295126497632</v>
      </c>
    </row>
    <row r="310" spans="6:18" x14ac:dyDescent="0.3">
      <c r="F310" s="2">
        <f t="shared" si="6"/>
        <v>293</v>
      </c>
      <c r="G310" s="2">
        <f ca="1">IF(Iterations[[#This Row],[Step]] =current_step, current_a,IF(Iterations[[#This Row],[Step]] &gt; current_step, "",Iterations[[#This Row],[a]]))</f>
        <v>-5.4875356366738615</v>
      </c>
      <c r="H310" s="2">
        <f ca="1">IF(Iterations[[#This Row],[Step]] =current_step, current_b,IF(Iterations[[#This Row],[Step]] &gt; current_step, "",Iterations[[#This Row],[b]]))</f>
        <v>0.65241373624485655</v>
      </c>
      <c r="I310" s="2">
        <f ca="1">IF(Iterations[[#This Row],[Step]] =current_step, current_c,IF(Iterations[[#This Row],[Step]] &gt; current_step, "",Iterations[[#This Row],[c]]))</f>
        <v>16.228268831270771</v>
      </c>
      <c r="J310" s="2">
        <f ca="1">IF(Iterations[[#This Row],[Step]] =current_step, current_d,IF(Iterations[[#This Row],[Step]] &gt; current_step, "",Iterations[[#This Row],[d]]))</f>
        <v>0.9344483743274461</v>
      </c>
      <c r="K310" s="2">
        <f ca="1">IF(Iterations[[#This Row],[Step]] =current_step, current_e,IF(Iterations[[#This Row],[Step]] &gt; current_step, "",Iterations[[#This Row],[e]]))</f>
        <v>13.093948588994193</v>
      </c>
      <c r="L310" s="2">
        <f ca="1">IF(Iterations[[#This Row],[Step]] =current_step, current_Total_Loss,IF(Iterations[[#This Row],[Step]] &gt; current_step, "",Iterations[[#This Row],[Total Loss]]))</f>
        <v>119.13</v>
      </c>
      <c r="M310" s="6" t="s">
        <v>27</v>
      </c>
      <c r="N310" s="2">
        <f ca="1">IF(Iterations[[#This Row],[Step]] =current_step, current_Grad_a,IF(Iterations[[#This Row],[Step]] &gt; current_step, "",Iterations[[#This Row],[Grad_a]]))</f>
        <v>0.17621928827854572</v>
      </c>
      <c r="O310" s="2">
        <f ca="1">IF(Iterations[[#This Row],[Step]] =current_step, current_Grad_b,IF(Iterations[[#This Row],[Step]] &gt; current_step, "",Iterations[[#This Row],[Grad_b]]))</f>
        <v>2.8829391812654412E-2</v>
      </c>
      <c r="P310" s="2">
        <f ca="1">IF(Iterations[[#This Row],[Step]] =current_step, current_Grad_c,IF(Iterations[[#This Row],[Step]] &gt; current_step, "",Iterations[[#This Row],[Grad_c]]))</f>
        <v>-0.4946931587629112</v>
      </c>
      <c r="Q310" s="2">
        <f ca="1">IF(Iterations[[#This Row],[Step]] =current_step, current_Grad_d,IF(Iterations[[#This Row],[Step]] &gt; current_step, "",Iterations[[#This Row],[Grad_d]]))</f>
        <v>-2.4195097714731655E-2</v>
      </c>
      <c r="R310" s="2">
        <f ca="1">IF(Iterations[[#This Row],[Step]] =current_step, current_Grad_e,IF(Iterations[[#This Row],[Step]] &gt; current_step, "",Iterations[[#This Row],[Grad_e]]))</f>
        <v>0.17647870101600877</v>
      </c>
    </row>
    <row r="311" spans="6:18" x14ac:dyDescent="0.3">
      <c r="F311" s="2">
        <f t="shared" si="6"/>
        <v>294</v>
      </c>
      <c r="G311" s="2">
        <f ca="1">IF(Iterations[[#This Row],[Step]] =current_step, current_a,IF(Iterations[[#This Row],[Step]] &gt; current_step, "",Iterations[[#This Row],[a]]))</f>
        <v>-5.4998709868533595</v>
      </c>
      <c r="H311" s="2">
        <f ca="1">IF(Iterations[[#This Row],[Step]] =current_step, current_b,IF(Iterations[[#This Row],[Step]] &gt; current_step, "",Iterations[[#This Row],[b]]))</f>
        <v>0.65039567881797078</v>
      </c>
      <c r="I311" s="2">
        <f ca="1">IF(Iterations[[#This Row],[Step]] =current_step, current_c,IF(Iterations[[#This Row],[Step]] &gt; current_step, "",Iterations[[#This Row],[c]]))</f>
        <v>16.262897352384176</v>
      </c>
      <c r="J311" s="2">
        <f ca="1">IF(Iterations[[#This Row],[Step]] =current_step, current_d,IF(Iterations[[#This Row],[Step]] &gt; current_step, "",Iterations[[#This Row],[d]]))</f>
        <v>0.9361420311674773</v>
      </c>
      <c r="K311" s="2">
        <f ca="1">IF(Iterations[[#This Row],[Step]] =current_step, current_e,IF(Iterations[[#This Row],[Step]] &gt; current_step, "",Iterations[[#This Row],[e]]))</f>
        <v>13.081595079923073</v>
      </c>
      <c r="L311" s="2">
        <f ca="1">IF(Iterations[[#This Row],[Step]] =current_step, current_Total_Loss,IF(Iterations[[#This Row],[Step]] &gt; current_step, "",Iterations[[#This Row],[Total Loss]]))</f>
        <v>118.74</v>
      </c>
      <c r="M311" s="6" t="s">
        <v>27</v>
      </c>
      <c r="N311" s="2">
        <f ca="1">IF(Iterations[[#This Row],[Step]] =current_step, current_Grad_a,IF(Iterations[[#This Row],[Step]] &gt; current_step, "",Iterations[[#This Row],[Grad_a]]))</f>
        <v>0.17502709949505618</v>
      </c>
      <c r="O311" s="2">
        <f ca="1">IF(Iterations[[#This Row],[Step]] =current_step, current_Grad_b,IF(Iterations[[#This Row],[Step]] &gt; current_step, "",Iterations[[#This Row],[Grad_b]]))</f>
        <v>2.8655408813798418E-2</v>
      </c>
      <c r="P311" s="2">
        <f ca="1">IF(Iterations[[#This Row],[Step]] =current_step, current_Grad_c,IF(Iterations[[#This Row],[Step]] &gt; current_step, "",Iterations[[#This Row],[Grad_c]]))</f>
        <v>-0.49134219253533612</v>
      </c>
      <c r="Q311" s="2">
        <f ca="1">IF(Iterations[[#This Row],[Step]] =current_step, current_Grad_d,IF(Iterations[[#This Row],[Step]] &gt; current_step, "",Iterations[[#This Row],[Grad_d]]))</f>
        <v>-2.407606440317463E-2</v>
      </c>
      <c r="R311" s="2">
        <f ca="1">IF(Iterations[[#This Row],[Step]] =current_step, current_Grad_e,IF(Iterations[[#This Row],[Step]] &gt; current_step, "",Iterations[[#This Row],[Grad_e]]))</f>
        <v>0.17528263302917621</v>
      </c>
    </row>
    <row r="312" spans="6:18" x14ac:dyDescent="0.3">
      <c r="F312" s="2">
        <f t="shared" si="6"/>
        <v>295</v>
      </c>
      <c r="G312" s="2">
        <f ca="1">IF(Iterations[[#This Row],[Step]] =current_step, current_a,IF(Iterations[[#This Row],[Step]] &gt; current_step, "",Iterations[[#This Row],[a]]))</f>
        <v>-5.5121228838180132</v>
      </c>
      <c r="H312" s="2">
        <f ca="1">IF(Iterations[[#This Row],[Step]] =current_step, current_b,IF(Iterations[[#This Row],[Step]] &gt; current_step, "",Iterations[[#This Row],[b]]))</f>
        <v>0.6483898002010049</v>
      </c>
      <c r="I312" s="2">
        <f ca="1">IF(Iterations[[#This Row],[Step]] =current_step, current_c,IF(Iterations[[#This Row],[Step]] &gt; current_step, "",Iterations[[#This Row],[c]]))</f>
        <v>16.297291305861648</v>
      </c>
      <c r="J312" s="2">
        <f ca="1">IF(Iterations[[#This Row],[Step]] =current_step, current_d,IF(Iterations[[#This Row],[Step]] &gt; current_step, "",Iterations[[#This Row],[d]]))</f>
        <v>0.93782735567569953</v>
      </c>
      <c r="K312" s="2">
        <f ca="1">IF(Iterations[[#This Row],[Step]] =current_step, current_e,IF(Iterations[[#This Row],[Step]] &gt; current_step, "",Iterations[[#This Row],[e]]))</f>
        <v>13.06932529561103</v>
      </c>
      <c r="L312" s="2">
        <f ca="1">IF(Iterations[[#This Row],[Step]] =current_step, current_Total_Loss,IF(Iterations[[#This Row],[Step]] &gt; current_step, "",Iterations[[#This Row],[Total Loss]]))</f>
        <v>118.36</v>
      </c>
      <c r="M312" s="6" t="s">
        <v>27</v>
      </c>
      <c r="N312" s="2">
        <f ca="1">IF(Iterations[[#This Row],[Step]] =current_step, current_Grad_a,IF(Iterations[[#This Row],[Step]] &gt; current_step, "",Iterations[[#This Row],[Grad_a]]))</f>
        <v>0.17384297293668163</v>
      </c>
      <c r="O312" s="2">
        <f ca="1">IF(Iterations[[#This Row],[Step]] =current_step, current_Grad_b,IF(Iterations[[#This Row],[Step]] &gt; current_step, "",Iterations[[#This Row],[Grad_b]]))</f>
        <v>2.8482227001155151E-2</v>
      </c>
      <c r="P312" s="2">
        <f ca="1">IF(Iterations[[#This Row],[Step]] =current_step, current_Grad_c,IF(Iterations[[#This Row],[Step]] &gt; current_step, "",Iterations[[#This Row],[Grad_c]]))</f>
        <v>-0.48801396192153201</v>
      </c>
      <c r="Q312" s="2">
        <f ca="1">IF(Iterations[[#This Row],[Step]] =current_step, current_Grad_d,IF(Iterations[[#This Row],[Step]] &gt; current_step, "",Iterations[[#This Row],[Grad_d]]))</f>
        <v>-2.3957040046509226E-2</v>
      </c>
      <c r="R312" s="2">
        <f ca="1">IF(Iterations[[#This Row],[Step]] =current_step, current_Grad_e,IF(Iterations[[#This Row],[Step]] &gt; current_step, "",Iterations[[#This Row],[Grad_e]]))</f>
        <v>0.17409469134794206</v>
      </c>
    </row>
    <row r="313" spans="6:18" x14ac:dyDescent="0.3">
      <c r="F313" s="2">
        <f t="shared" si="6"/>
        <v>296</v>
      </c>
      <c r="G313" s="2">
        <f ca="1">IF(Iterations[[#This Row],[Step]] =current_step, current_a,IF(Iterations[[#This Row],[Step]] &gt; current_step, "",Iterations[[#This Row],[a]]))</f>
        <v>-5.5242918919235811</v>
      </c>
      <c r="H313" s="2">
        <f ca="1">IF(Iterations[[#This Row],[Step]] =current_step, current_b,IF(Iterations[[#This Row],[Step]] &gt; current_step, "",Iterations[[#This Row],[b]]))</f>
        <v>0.64639604431092401</v>
      </c>
      <c r="I313" s="2">
        <f ca="1">IF(Iterations[[#This Row],[Step]] =current_step, current_c,IF(Iterations[[#This Row],[Step]] &gt; current_step, "",Iterations[[#This Row],[c]]))</f>
        <v>16.331452283196157</v>
      </c>
      <c r="J313" s="2">
        <f ca="1">IF(Iterations[[#This Row],[Step]] =current_step, current_d,IF(Iterations[[#This Row],[Step]] &gt; current_step, "",Iterations[[#This Row],[d]]))</f>
        <v>0.93950434847895514</v>
      </c>
      <c r="K313" s="2">
        <f ca="1">IF(Iterations[[#This Row],[Step]] =current_step, current_e,IF(Iterations[[#This Row],[Step]] &gt; current_step, "",Iterations[[#This Row],[e]]))</f>
        <v>13.057138667216673</v>
      </c>
      <c r="L313" s="2">
        <f ca="1">IF(Iterations[[#This Row],[Step]] =current_step, current_Total_Loss,IF(Iterations[[#This Row],[Step]] &gt; current_step, "",Iterations[[#This Row],[Total Loss]]))</f>
        <v>117.98</v>
      </c>
      <c r="M313" s="6" t="s">
        <v>27</v>
      </c>
      <c r="N313" s="2">
        <f ca="1">IF(Iterations[[#This Row],[Step]] =current_step, current_Grad_a,IF(Iterations[[#This Row],[Step]] &gt; current_step, "",Iterations[[#This Row],[Grad_a]]))</f>
        <v>0.17266685414214894</v>
      </c>
      <c r="O313" s="2">
        <f ca="1">IF(Iterations[[#This Row],[Step]] =current_step, current_Grad_b,IF(Iterations[[#This Row],[Step]] &gt; current_step, "",Iterations[[#This Row],[Grad_b]]))</f>
        <v>2.8309847656722779E-2</v>
      </c>
      <c r="P313" s="2">
        <f ca="1">IF(Iterations[[#This Row],[Step]] =current_step, current_Grad_c,IF(Iterations[[#This Row],[Step]] &gt; current_step, "",Iterations[[#This Row],[Grad_c]]))</f>
        <v>-0.48470831201054959</v>
      </c>
      <c r="Q313" s="2">
        <f ca="1">IF(Iterations[[#This Row],[Step]] =current_step, current_Grad_d,IF(Iterations[[#This Row],[Step]] &gt; current_step, "",Iterations[[#This Row],[Grad_d]]))</f>
        <v>-2.3838038779682231E-2</v>
      </c>
      <c r="R313" s="2">
        <f ca="1">IF(Iterations[[#This Row],[Step]] =current_step, current_Grad_e,IF(Iterations[[#This Row],[Step]] &gt; current_step, "",Iterations[[#This Row],[Grad_e]]))</f>
        <v>0.17291482040478931</v>
      </c>
    </row>
    <row r="314" spans="6:18" x14ac:dyDescent="0.3">
      <c r="F314" s="2">
        <f t="shared" si="6"/>
        <v>297</v>
      </c>
      <c r="G314" s="2">
        <f ca="1">IF(Iterations[[#This Row],[Step]] =current_step, current_a,IF(Iterations[[#This Row],[Step]] &gt; current_step, "",Iterations[[#This Row],[a]]))</f>
        <v>-5.5363785717135316</v>
      </c>
      <c r="H314" s="2">
        <f ca="1">IF(Iterations[[#This Row],[Step]] =current_step, current_b,IF(Iterations[[#This Row],[Step]] &gt; current_step, "",Iterations[[#This Row],[b]]))</f>
        <v>0.64441435497495336</v>
      </c>
      <c r="I314" s="2">
        <f ca="1">IF(Iterations[[#This Row],[Step]] =current_step, current_c,IF(Iterations[[#This Row],[Step]] &gt; current_step, "",Iterations[[#This Row],[c]]))</f>
        <v>16.365381865036895</v>
      </c>
      <c r="J314" s="2">
        <f ca="1">IF(Iterations[[#This Row],[Step]] =current_step, current_d,IF(Iterations[[#This Row],[Step]] &gt; current_step, "",Iterations[[#This Row],[d]]))</f>
        <v>0.94117301119353292</v>
      </c>
      <c r="K314" s="2">
        <f ca="1">IF(Iterations[[#This Row],[Step]] =current_step, current_e,IF(Iterations[[#This Row],[Step]] &gt; current_step, "",Iterations[[#This Row],[e]]))</f>
        <v>13.045034629788338</v>
      </c>
      <c r="L314" s="2">
        <f ca="1">IF(Iterations[[#This Row],[Step]] =current_step, current_Total_Loss,IF(Iterations[[#This Row],[Step]] &gt; current_step, "",Iterations[[#This Row],[Total Loss]]))</f>
        <v>117.61</v>
      </c>
      <c r="M314" s="6" t="s">
        <v>27</v>
      </c>
      <c r="N314" s="2">
        <f ca="1">IF(Iterations[[#This Row],[Step]] =current_step, current_Grad_a,IF(Iterations[[#This Row],[Step]] &gt; current_step, "",Iterations[[#This Row],[Grad_a]]))</f>
        <v>0.17149868901686716</v>
      </c>
      <c r="O314" s="2">
        <f ca="1">IF(Iterations[[#This Row],[Step]] =current_step, current_Grad_b,IF(Iterations[[#This Row],[Step]] &gt; current_step, "",Iterations[[#This Row],[Grad_b]]))</f>
        <v>2.8138271934477131E-2</v>
      </c>
      <c r="P314" s="2">
        <f ca="1">IF(Iterations[[#This Row],[Step]] =current_step, current_Grad_c,IF(Iterations[[#This Row],[Step]] &gt; current_step, "",Iterations[[#This Row],[Grad_c]]))</f>
        <v>-0.48142508895866853</v>
      </c>
      <c r="Q314" s="2">
        <f ca="1">IF(Iterations[[#This Row],[Step]] =current_step, current_Grad_d,IF(Iterations[[#This Row],[Step]] &gt; current_step, "",Iterations[[#This Row],[Grad_d]]))</f>
        <v>-2.3719074388957335E-2</v>
      </c>
      <c r="R314" s="2">
        <f ca="1">IF(Iterations[[#This Row],[Step]] =current_step, current_Grad_e,IF(Iterations[[#This Row],[Step]] &gt; current_step, "",Iterations[[#This Row],[Grad_e]]))</f>
        <v>0.17174296501834738</v>
      </c>
    </row>
    <row r="315" spans="6:18" x14ac:dyDescent="0.3">
      <c r="F315" s="2">
        <f t="shared" si="6"/>
        <v>298</v>
      </c>
      <c r="G315" s="2">
        <f ca="1">IF(Iterations[[#This Row],[Step]] =current_step, current_a,IF(Iterations[[#This Row],[Step]] &gt; current_step, "",Iterations[[#This Row],[a]]))</f>
        <v>-5.5483834799447127</v>
      </c>
      <c r="H315" s="2">
        <f ca="1">IF(Iterations[[#This Row],[Step]] =current_step, current_b,IF(Iterations[[#This Row],[Step]] &gt; current_step, "",Iterations[[#This Row],[b]]))</f>
        <v>0.64244467593953991</v>
      </c>
      <c r="I315" s="2">
        <f ca="1">IF(Iterations[[#This Row],[Step]] =current_step, current_c,IF(Iterations[[#This Row],[Step]] &gt; current_step, "",Iterations[[#This Row],[c]]))</f>
        <v>16.399081621264003</v>
      </c>
      <c r="J315" s="2">
        <f ca="1">IF(Iterations[[#This Row],[Step]] =current_step, current_d,IF(Iterations[[#This Row],[Step]] &gt; current_step, "",Iterations[[#This Row],[d]]))</f>
        <v>0.94283334640075989</v>
      </c>
      <c r="K315" s="2">
        <f ca="1">IF(Iterations[[#This Row],[Step]] =current_step, current_e,IF(Iterations[[#This Row],[Step]] &gt; current_step, "",Iterations[[#This Row],[e]]))</f>
        <v>13.033012622237054</v>
      </c>
      <c r="L315" s="2">
        <f ca="1">IF(Iterations[[#This Row],[Step]] =current_step, current_Total_Loss,IF(Iterations[[#This Row],[Step]] &gt; current_step, "",Iterations[[#This Row],[Total Loss]]))</f>
        <v>117.25</v>
      </c>
      <c r="M315" s="6" t="s">
        <v>27</v>
      </c>
      <c r="N315" s="2">
        <f ca="1">IF(Iterations[[#This Row],[Step]] =current_step, current_Grad_a,IF(Iterations[[#This Row],[Step]] &gt; current_step, "",Iterations[[#This Row],[Grad_a]]))</f>
        <v>0.17033842383092856</v>
      </c>
      <c r="O315" s="2">
        <f ca="1">IF(Iterations[[#This Row],[Step]] =current_step, current_Grad_b,IF(Iterations[[#This Row],[Step]] &gt; current_step, "",Iterations[[#This Row],[Grad_b]]))</f>
        <v>2.7967500863123322E-2</v>
      </c>
      <c r="P315" s="2">
        <f ca="1">IF(Iterations[[#This Row],[Step]] =current_step, current_Grad_c,IF(Iterations[[#This Row],[Step]] &gt; current_step, "",Iterations[[#This Row],[Grad_c]]))</f>
        <v>-0.47816413998165103</v>
      </c>
      <c r="Q315" s="2">
        <f ca="1">IF(Iterations[[#This Row],[Step]] =current_step, current_Grad_d,IF(Iterations[[#This Row],[Step]] &gt; current_step, "",Iterations[[#This Row],[Grad_d]]))</f>
        <v>-2.3600160318879744E-2</v>
      </c>
      <c r="R315" s="2">
        <f ca="1">IF(Iterations[[#This Row],[Step]] =current_step, current_Grad_e,IF(Iterations[[#This Row],[Step]] &gt; current_step, "",Iterations[[#This Row],[Grad_e]]))</f>
        <v>0.17057907039069894</v>
      </c>
    </row>
    <row r="316" spans="6:18" x14ac:dyDescent="0.3">
      <c r="F316" s="2">
        <f t="shared" si="6"/>
        <v>299</v>
      </c>
      <c r="G316" s="2">
        <f ca="1">IF(Iterations[[#This Row],[Step]] =current_step, current_a,IF(Iterations[[#This Row],[Step]] &gt; current_step, "",Iterations[[#This Row],[a]]))</f>
        <v>-5.5603071696128774</v>
      </c>
      <c r="H316" s="2">
        <f ca="1">IF(Iterations[[#This Row],[Step]] =current_step, current_b,IF(Iterations[[#This Row],[Step]] &gt; current_step, "",Iterations[[#This Row],[b]]))</f>
        <v>0.64048695087912133</v>
      </c>
      <c r="I316" s="2">
        <f ca="1">IF(Iterations[[#This Row],[Step]] =current_step, current_c,IF(Iterations[[#This Row],[Step]] &gt; current_step, "",Iterations[[#This Row],[c]]))</f>
        <v>16.432553111062717</v>
      </c>
      <c r="J316" s="2">
        <f ca="1">IF(Iterations[[#This Row],[Step]] =current_step, current_d,IF(Iterations[[#This Row],[Step]] &gt; current_step, "",Iterations[[#This Row],[d]]))</f>
        <v>0.9444853576230815</v>
      </c>
      <c r="K316" s="2">
        <f ca="1">IF(Iterations[[#This Row],[Step]] =current_step, current_e,IF(Iterations[[#This Row],[Step]] &gt; current_step, "",Iterations[[#This Row],[e]]))</f>
        <v>13.021072087309705</v>
      </c>
      <c r="L316" s="2">
        <f ca="1">IF(Iterations[[#This Row],[Step]] =current_step, current_Total_Loss,IF(Iterations[[#This Row],[Step]] &gt; current_step, "",Iterations[[#This Row],[Total Loss]]))</f>
        <v>116.88</v>
      </c>
      <c r="M316" s="6" t="s">
        <v>27</v>
      </c>
      <c r="N316" s="2">
        <f ca="1">IF(Iterations[[#This Row],[Step]] =current_step, current_Grad_a,IF(Iterations[[#This Row],[Step]] &gt; current_step, "",Iterations[[#This Row],[Grad_a]]))</f>
        <v>0.1691860052159552</v>
      </c>
      <c r="O316" s="2">
        <f ca="1">IF(Iterations[[#This Row],[Step]] =current_step, current_Grad_b,IF(Iterations[[#This Row],[Step]] &gt; current_step, "",Iterations[[#This Row],[Grad_b]]))</f>
        <v>2.779753534929514E-2</v>
      </c>
      <c r="P316" s="2">
        <f ca="1">IF(Iterations[[#This Row],[Step]] =current_step, current_Grad_c,IF(Iterations[[#This Row],[Step]] &gt; current_step, "",Iterations[[#This Row],[Grad_c]]))</f>
        <v>-0.47492531334753291</v>
      </c>
      <c r="Q316" s="2">
        <f ca="1">IF(Iterations[[#This Row],[Step]] =current_step, current_Grad_d,IF(Iterations[[#This Row],[Step]] &gt; current_step, "",Iterations[[#This Row],[Grad_d]]))</f>
        <v>-2.3481309678917359E-2</v>
      </c>
      <c r="R316" s="2">
        <f ca="1">IF(Iterations[[#This Row],[Step]] =current_step, current_Grad_e,IF(Iterations[[#This Row],[Step]] &gt; current_step, "",Iterations[[#This Row],[Grad_e]]))</f>
        <v>0.1694230821044774</v>
      </c>
    </row>
    <row r="317" spans="6:18" x14ac:dyDescent="0.3">
      <c r="F317" s="2">
        <f t="shared" si="6"/>
        <v>300</v>
      </c>
      <c r="G317" s="2">
        <f ca="1">IF(Iterations[[#This Row],[Step]] =current_step, current_a,IF(Iterations[[#This Row],[Step]] &gt; current_step, "",Iterations[[#This Row],[a]]))</f>
        <v>-5.5721501899779939</v>
      </c>
      <c r="H317" s="2">
        <f ca="1">IF(Iterations[[#This Row],[Step]] =current_step, current_b,IF(Iterations[[#This Row],[Step]] &gt; current_step, "",Iterations[[#This Row],[b]]))</f>
        <v>0.63854112340467062</v>
      </c>
      <c r="I317" s="2">
        <f ca="1">IF(Iterations[[#This Row],[Step]] =current_step, current_c,IF(Iterations[[#This Row],[Step]] &gt; current_step, "",Iterations[[#This Row],[c]]))</f>
        <v>16.465797882997045</v>
      </c>
      <c r="J317" s="2">
        <f ca="1">IF(Iterations[[#This Row],[Step]] =current_step, current_d,IF(Iterations[[#This Row],[Step]] &gt; current_step, "",Iterations[[#This Row],[d]]))</f>
        <v>0.94612904930060571</v>
      </c>
      <c r="K317" s="2">
        <f ca="1">IF(Iterations[[#This Row],[Step]] =current_step, current_e,IF(Iterations[[#This Row],[Step]] &gt; current_step, "",Iterations[[#This Row],[e]]))</f>
        <v>13.009212471562391</v>
      </c>
      <c r="L317" s="2">
        <f ca="1">IF(Iterations[[#This Row],[Step]] =current_step, current_Total_Loss,IF(Iterations[[#This Row],[Step]] &gt; current_step, "",Iterations[[#This Row],[Total Loss]]))</f>
        <v>116.53</v>
      </c>
      <c r="M317" s="6" t="s">
        <v>27</v>
      </c>
      <c r="N317" s="2">
        <f ca="1">IF(Iterations[[#This Row],[Step]] =current_step, current_Grad_a,IF(Iterations[[#This Row],[Step]] &gt; current_step, "",Iterations[[#This Row],[Grad_a]]))</f>
        <v>0.16804138016372061</v>
      </c>
      <c r="O317" s="2">
        <f ca="1">IF(Iterations[[#This Row],[Step]] =current_step, current_Grad_b,IF(Iterations[[#This Row],[Step]] &gt; current_step, "",Iterations[[#This Row],[Grad_b]]))</f>
        <v>2.762837618015955E-2</v>
      </c>
      <c r="P317" s="2">
        <f ca="1">IF(Iterations[[#This Row],[Step]] =current_step, current_Grad_c,IF(Iterations[[#This Row],[Step]] &gt; current_step, "",Iterations[[#This Row],[Grad_c]]))</f>
        <v>-0.47170845836874364</v>
      </c>
      <c r="Q317" s="2">
        <f ca="1">IF(Iterations[[#This Row],[Step]] =current_step, current_Grad_d,IF(Iterations[[#This Row],[Step]] &gt; current_step, "",Iterations[[#This Row],[Grad_d]]))</f>
        <v>-2.3362535250178999E-2</v>
      </c>
      <c r="R317" s="2">
        <f ca="1">IF(Iterations[[#This Row],[Step]] =current_step, current_Grad_e,IF(Iterations[[#This Row],[Step]] &gt; current_step, "",Iterations[[#This Row],[Grad_e]]))</f>
        <v>0.16827494612033117</v>
      </c>
    </row>
    <row r="318" spans="6:18" x14ac:dyDescent="0.3">
      <c r="F318" s="2">
        <f t="shared" si="6"/>
        <v>301</v>
      </c>
      <c r="G318" s="2">
        <f ca="1">IF(Iterations[[#This Row],[Step]] =current_step, current_a,IF(Iterations[[#This Row],[Step]] &gt; current_step, "",Iterations[[#This Row],[a]]))</f>
        <v>-5.5839130865894546</v>
      </c>
      <c r="H318" s="2">
        <f ca="1">IF(Iterations[[#This Row],[Step]] =current_step, current_b,IF(Iterations[[#This Row],[Step]] &gt; current_step, "",Iterations[[#This Row],[b]]))</f>
        <v>0.6366071370720594</v>
      </c>
      <c r="I318" s="2">
        <f ca="1">IF(Iterations[[#This Row],[Step]] =current_step, current_c,IF(Iterations[[#This Row],[Step]] &gt; current_step, "",Iterations[[#This Row],[c]]))</f>
        <v>16.498817475082856</v>
      </c>
      <c r="J318" s="2">
        <f ca="1">IF(Iterations[[#This Row],[Step]] =current_step, current_d,IF(Iterations[[#This Row],[Step]] &gt; current_step, "",Iterations[[#This Row],[d]]))</f>
        <v>0.94776442676811823</v>
      </c>
      <c r="K318" s="2">
        <f ca="1">IF(Iterations[[#This Row],[Step]] =current_step, current_e,IF(Iterations[[#This Row],[Step]] &gt; current_step, "",Iterations[[#This Row],[e]]))</f>
        <v>12.997433225333967</v>
      </c>
      <c r="L318" s="2">
        <f ca="1">IF(Iterations[[#This Row],[Step]] =current_step, current_Total_Loss,IF(Iterations[[#This Row],[Step]] &gt; current_step, "",Iterations[[#This Row],[Total Loss]]))</f>
        <v>116.18</v>
      </c>
      <c r="M318" s="6" t="s">
        <v>27</v>
      </c>
      <c r="N318" s="2">
        <f ca="1">IF(Iterations[[#This Row],[Step]] =current_step, current_Grad_a,IF(Iterations[[#This Row],[Step]] &gt; current_step, "",Iterations[[#This Row],[Grad_a]]))</f>
        <v>0.16690449602235941</v>
      </c>
      <c r="O318" s="2">
        <f ca="1">IF(Iterations[[#This Row],[Step]] =current_step, current_Grad_b,IF(Iterations[[#This Row],[Step]] &gt; current_step, "",Iterations[[#This Row],[Grad_b]]))</f>
        <v>2.7460024026543659E-2</v>
      </c>
      <c r="P318" s="2">
        <f ca="1">IF(Iterations[[#This Row],[Step]] =current_step, current_Grad_c,IF(Iterations[[#This Row],[Step]] &gt; current_step, "",Iterations[[#This Row],[Grad_c]]))</f>
        <v>-0.46851342539529145</v>
      </c>
      <c r="Q318" s="2">
        <f ca="1">IF(Iterations[[#This Row],[Step]] =current_step, current_Grad_d,IF(Iterations[[#This Row],[Step]] &gt; current_step, "",Iterations[[#This Row],[Grad_d]]))</f>
        <v>-2.3243849491799647E-2</v>
      </c>
      <c r="R318" s="2">
        <f ca="1">IF(Iterations[[#This Row],[Step]] =current_step, current_Grad_e,IF(Iterations[[#This Row],[Step]] &gt; current_step, "",Iterations[[#This Row],[Grad_e]]))</f>
        <v>0.16713460877393199</v>
      </c>
    </row>
    <row r="319" spans="6:18" x14ac:dyDescent="0.3">
      <c r="F319" s="2">
        <f t="shared" si="6"/>
        <v>302</v>
      </c>
      <c r="G319" s="2">
        <f ca="1">IF(Iterations[[#This Row],[Step]] =current_step, current_a,IF(Iterations[[#This Row],[Step]] &gt; current_step, "",Iterations[[#This Row],[a]]))</f>
        <v>-5.5955964013110195</v>
      </c>
      <c r="H319" s="2">
        <f ca="1">IF(Iterations[[#This Row],[Step]] =current_step, current_b,IF(Iterations[[#This Row],[Step]] &gt; current_step, "",Iterations[[#This Row],[b]]))</f>
        <v>0.63468493539020132</v>
      </c>
      <c r="I319" s="2">
        <f ca="1">IF(Iterations[[#This Row],[Step]] =current_step, current_c,IF(Iterations[[#This Row],[Step]] &gt; current_step, "",Iterations[[#This Row],[c]]))</f>
        <v>16.531613414860526</v>
      </c>
      <c r="J319" s="2">
        <f ca="1">IF(Iterations[[#This Row],[Step]] =current_step, current_d,IF(Iterations[[#This Row],[Step]] &gt; current_step, "",Iterations[[#This Row],[d]]))</f>
        <v>0.94939149623254415</v>
      </c>
      <c r="K319" s="2">
        <f ca="1">IF(Iterations[[#This Row],[Step]] =current_step, current_e,IF(Iterations[[#This Row],[Step]] &gt; current_step, "",Iterations[[#This Row],[e]]))</f>
        <v>12.985733802719793</v>
      </c>
      <c r="L319" s="2">
        <f ca="1">IF(Iterations[[#This Row],[Step]] =current_step, current_Total_Loss,IF(Iterations[[#This Row],[Step]] &gt; current_step, "",Iterations[[#This Row],[Total Loss]]))</f>
        <v>115.83</v>
      </c>
      <c r="M319" s="6" t="s">
        <v>27</v>
      </c>
      <c r="N319" s="2">
        <f ca="1">IF(Iterations[[#This Row],[Step]] =current_step, current_Grad_a,IF(Iterations[[#This Row],[Step]] &gt; current_step, "",Iterations[[#This Row],[Grad_a]]))</f>
        <v>0.16577530049563144</v>
      </c>
      <c r="O319" s="2">
        <f ca="1">IF(Iterations[[#This Row],[Step]] =current_step, current_Grad_b,IF(Iterations[[#This Row],[Step]] &gt; current_step, "",Iterations[[#This Row],[Grad_b]]))</f>
        <v>2.729247944535931E-2</v>
      </c>
      <c r="P319" s="2">
        <f ca="1">IF(Iterations[[#This Row],[Step]] =current_step, current_Grad_c,IF(Iterations[[#This Row],[Step]] &gt; current_step, "",Iterations[[#This Row],[Grad_c]]))</f>
        <v>-0.46534006580674347</v>
      </c>
      <c r="Q319" s="2">
        <f ca="1">IF(Iterations[[#This Row],[Step]] =current_step, current_Grad_d,IF(Iterations[[#This Row],[Step]] &gt; current_step, "",Iterations[[#This Row],[Grad_d]]))</f>
        <v>-2.3125264547434885E-2</v>
      </c>
      <c r="R319" s="2">
        <f ca="1">IF(Iterations[[#This Row],[Step]] =current_step, current_Grad_e,IF(Iterations[[#This Row],[Step]] &gt; current_step, "",Iterations[[#This Row],[Grad_e]]))</f>
        <v>0.16600201677359669</v>
      </c>
    </row>
    <row r="320" spans="6:18" x14ac:dyDescent="0.3">
      <c r="F320" s="2">
        <f t="shared" si="6"/>
        <v>303</v>
      </c>
      <c r="G320" s="2">
        <f ca="1">IF(Iterations[[#This Row],[Step]] =current_step, current_a,IF(Iterations[[#This Row],[Step]] &gt; current_step, "",Iterations[[#This Row],[a]]))</f>
        <v>-5.607200672345714</v>
      </c>
      <c r="H320" s="2">
        <f ca="1">IF(Iterations[[#This Row],[Step]] =current_step, current_b,IF(Iterations[[#This Row],[Step]] &gt; current_step, "",Iterations[[#This Row],[b]]))</f>
        <v>0.63277446182902619</v>
      </c>
      <c r="I320" s="2">
        <f ca="1">IF(Iterations[[#This Row],[Step]] =current_step, current_c,IF(Iterations[[#This Row],[Step]] &gt; current_step, "",Iterations[[#This Row],[c]]))</f>
        <v>16.564187219466998</v>
      </c>
      <c r="J320" s="2">
        <f ca="1">IF(Iterations[[#This Row],[Step]] =current_step, current_d,IF(Iterations[[#This Row],[Step]] &gt; current_step, "",Iterations[[#This Row],[d]]))</f>
        <v>0.95101026475086459</v>
      </c>
      <c r="K320" s="2">
        <f ca="1">IF(Iterations[[#This Row],[Step]] =current_step, current_e,IF(Iterations[[#This Row],[Step]] &gt; current_step, "",Iterations[[#This Row],[e]]))</f>
        <v>12.97411366154564</v>
      </c>
      <c r="L320" s="2">
        <f ca="1">IF(Iterations[[#This Row],[Step]] =current_step, current_Total_Loss,IF(Iterations[[#This Row],[Step]] &gt; current_step, "",Iterations[[#This Row],[Total Loss]]))</f>
        <v>115.49</v>
      </c>
      <c r="M320" s="6" t="s">
        <v>27</v>
      </c>
      <c r="N320" s="2">
        <f ca="1">IF(Iterations[[#This Row],[Step]] =current_step, current_Grad_a,IF(Iterations[[#This Row],[Step]] &gt; current_step, "",Iterations[[#This Row],[Grad_a]]))</f>
        <v>0.16465374163876068</v>
      </c>
      <c r="O320" s="2">
        <f ca="1">IF(Iterations[[#This Row],[Step]] =current_step, current_Grad_b,IF(Iterations[[#This Row],[Step]] &gt; current_step, "",Iterations[[#This Row],[Grad_b]]))</f>
        <v>2.7125742882716519E-2</v>
      </c>
      <c r="P320" s="2">
        <f ca="1">IF(Iterations[[#This Row],[Step]] =current_step, current_Grad_c,IF(Iterations[[#This Row],[Step]] &gt; current_step, "",Iterations[[#This Row],[Grad_c]]))</f>
        <v>-0.46218823200569287</v>
      </c>
      <c r="Q320" s="2">
        <f ca="1">IF(Iterations[[#This Row],[Step]] =current_step, current_Grad_d,IF(Iterations[[#This Row],[Step]] &gt; current_step, "",Iterations[[#This Row],[Grad_d]]))</f>
        <v>-2.3006792251381619E-2</v>
      </c>
      <c r="R320" s="2">
        <f ca="1">IF(Iterations[[#This Row],[Step]] =current_step, current_Grad_e,IF(Iterations[[#This Row],[Step]] &gt; current_step, "",Iterations[[#This Row],[Grad_e]]))</f>
        <v>0.16487711719724885</v>
      </c>
    </row>
    <row r="321" spans="6:18" x14ac:dyDescent="0.3">
      <c r="F321" s="2">
        <f t="shared" si="6"/>
        <v>304</v>
      </c>
      <c r="G321" s="2">
        <f ca="1">IF(Iterations[[#This Row],[Step]] =current_step, current_a,IF(Iterations[[#This Row],[Step]] &gt; current_step, "",Iterations[[#This Row],[a]]))</f>
        <v>-5.6187264342604273</v>
      </c>
      <c r="H321" s="2">
        <f ca="1">IF(Iterations[[#This Row],[Step]] =current_step, current_b,IF(Iterations[[#This Row],[Step]] &gt; current_step, "",Iterations[[#This Row],[b]]))</f>
        <v>0.63087565982723603</v>
      </c>
      <c r="I321" s="2">
        <f ca="1">IF(Iterations[[#This Row],[Step]] =current_step, current_c,IF(Iterations[[#This Row],[Step]] &gt; current_step, "",Iterations[[#This Row],[c]]))</f>
        <v>16.596540395707397</v>
      </c>
      <c r="J321" s="2">
        <f ca="1">IF(Iterations[[#This Row],[Step]] =current_step, current_d,IF(Iterations[[#This Row],[Step]] &gt; current_step, "",Iterations[[#This Row],[d]]))</f>
        <v>0.95262074020846133</v>
      </c>
      <c r="K321" s="2">
        <f ca="1">IF(Iterations[[#This Row],[Step]] =current_step, current_e,IF(Iterations[[#This Row],[Step]] &gt; current_step, "",Iterations[[#This Row],[e]]))</f>
        <v>12.962572263341833</v>
      </c>
      <c r="L321" s="2">
        <f ca="1">IF(Iterations[[#This Row],[Step]] =current_step, current_Total_Loss,IF(Iterations[[#This Row],[Step]] &gt; current_step, "",Iterations[[#This Row],[Total Loss]]))</f>
        <v>115.15</v>
      </c>
      <c r="M321" s="6" t="s">
        <v>27</v>
      </c>
      <c r="N321" s="2">
        <f ca="1">IF(Iterations[[#This Row],[Step]] =current_step, current_Grad_a,IF(Iterations[[#This Row],[Step]] &gt; current_step, "",Iterations[[#This Row],[Grad_a]]))</f>
        <v>0.16353976785785088</v>
      </c>
      <c r="O321" s="2">
        <f ca="1">IF(Iterations[[#This Row],[Step]] =current_step, current_Grad_b,IF(Iterations[[#This Row],[Step]] &gt; current_step, "",Iterations[[#This Row],[Grad_b]]))</f>
        <v>2.6959814676138876E-2</v>
      </c>
      <c r="P321" s="2">
        <f ca="1">IF(Iterations[[#This Row],[Step]] =current_step, current_Grad_c,IF(Iterations[[#This Row],[Step]] &gt; current_step, "",Iterations[[#This Row],[Grad_c]]))</f>
        <v>-0.4590577774097887</v>
      </c>
      <c r="Q321" s="2">
        <f ca="1">IF(Iterations[[#This Row],[Step]] =current_step, current_Grad_d,IF(Iterations[[#This Row],[Step]] &gt; current_step, "",Iterations[[#This Row],[Grad_d]]))</f>
        <v>-2.288844413487159E-2</v>
      </c>
      <c r="R321" s="2">
        <f ca="1">IF(Iterations[[#This Row],[Step]] =current_step, current_Grad_e,IF(Iterations[[#This Row],[Step]] &gt; current_step, "",Iterations[[#This Row],[Grad_e]]))</f>
        <v>0.16375985749012539</v>
      </c>
    </row>
    <row r="322" spans="6:18" x14ac:dyDescent="0.3">
      <c r="F322" s="2">
        <f t="shared" si="6"/>
        <v>305</v>
      </c>
      <c r="G322" s="2">
        <f ca="1">IF(Iterations[[#This Row],[Step]] =current_step, current_a,IF(Iterations[[#This Row],[Step]] &gt; current_step, "",Iterations[[#This Row],[a]]))</f>
        <v>-5.6301742180104766</v>
      </c>
      <c r="H322" s="2">
        <f ca="1">IF(Iterations[[#This Row],[Step]] =current_step, current_b,IF(Iterations[[#This Row],[Step]] &gt; current_step, "",Iterations[[#This Row],[b]]))</f>
        <v>0.62898847279990633</v>
      </c>
      <c r="I322" s="2">
        <f ca="1">IF(Iterations[[#This Row],[Step]] =current_step, current_c,IF(Iterations[[#This Row],[Step]] &gt; current_step, "",Iterations[[#This Row],[c]]))</f>
        <v>16.628674440126083</v>
      </c>
      <c r="J322" s="2">
        <f ca="1">IF(Iterations[[#This Row],[Step]] =current_step, current_d,IF(Iterations[[#This Row],[Step]] &gt; current_step, "",Iterations[[#This Row],[d]]))</f>
        <v>0.95422293129790237</v>
      </c>
      <c r="K322" s="2">
        <f ca="1">IF(Iterations[[#This Row],[Step]] =current_step, current_e,IF(Iterations[[#This Row],[Step]] &gt; current_step, "",Iterations[[#This Row],[e]]))</f>
        <v>12.951109073317525</v>
      </c>
      <c r="L322" s="2">
        <f ca="1">IF(Iterations[[#This Row],[Step]] =current_step, current_Total_Loss,IF(Iterations[[#This Row],[Step]] &gt; current_step, "",Iterations[[#This Row],[Total Loss]]))</f>
        <v>114.81</v>
      </c>
      <c r="M322" s="6" t="s">
        <v>27</v>
      </c>
      <c r="N322" s="2">
        <f ca="1">IF(Iterations[[#This Row],[Step]] =current_step, current_Grad_a,IF(Iterations[[#This Row],[Step]] &gt; current_step, "",Iterations[[#This Row],[Grad_a]]))</f>
        <v>0.16243332790590939</v>
      </c>
      <c r="O322" s="2">
        <f ca="1">IF(Iterations[[#This Row],[Step]] =current_step, current_Grad_b,IF(Iterations[[#This Row],[Step]] &gt; current_step, "",Iterations[[#This Row],[Grad_b]]))</f>
        <v>2.6794695057625981E-2</v>
      </c>
      <c r="P322" s="2">
        <f ca="1">IF(Iterations[[#This Row],[Step]] =current_step, current_Grad_c,IF(Iterations[[#This Row],[Step]] &gt; current_step, "",Iterations[[#This Row],[Grad_c]]))</f>
        <v>-0.45594855644525534</v>
      </c>
      <c r="Q322" s="2">
        <f ca="1">IF(Iterations[[#This Row],[Step]] =current_step, current_Grad_d,IF(Iterations[[#This Row],[Step]] &gt; current_step, "",Iterations[[#This Row],[Grad_d]]))</f>
        <v>-2.2770231431943344E-2</v>
      </c>
      <c r="R322" s="2">
        <f ca="1">IF(Iterations[[#This Row],[Step]] =current_step, current_Grad_e,IF(Iterations[[#This Row],[Step]] &gt; current_step, "",Iterations[[#This Row],[Grad_e]]))</f>
        <v>0.16265018546179849</v>
      </c>
    </row>
    <row r="323" spans="6:18" x14ac:dyDescent="0.3">
      <c r="F323" s="2">
        <f t="shared" si="6"/>
        <v>306</v>
      </c>
      <c r="G323" s="2">
        <f ca="1">IF(Iterations[[#This Row],[Step]] =current_step, current_a,IF(Iterations[[#This Row],[Step]] &gt; current_step, "",Iterations[[#This Row],[a]]))</f>
        <v>-5.6415445509638902</v>
      </c>
      <c r="H323" s="2">
        <f ca="1">IF(Iterations[[#This Row],[Step]] =current_step, current_b,IF(Iterations[[#This Row],[Step]] &gt; current_step, "",Iterations[[#This Row],[b]]))</f>
        <v>0.62711284414587254</v>
      </c>
      <c r="I323" s="2">
        <f ca="1">IF(Iterations[[#This Row],[Step]] =current_step, current_c,IF(Iterations[[#This Row],[Step]] &gt; current_step, "",Iterations[[#This Row],[c]]))</f>
        <v>16.660590839077251</v>
      </c>
      <c r="J323" s="2">
        <f ca="1">IF(Iterations[[#This Row],[Step]] =current_step, current_d,IF(Iterations[[#This Row],[Step]] &gt; current_step, "",Iterations[[#This Row],[d]]))</f>
        <v>0.95581684749813844</v>
      </c>
      <c r="K323" s="2">
        <f ca="1">IF(Iterations[[#This Row],[Step]] =current_step, current_e,IF(Iterations[[#This Row],[Step]] &gt; current_step, "",Iterations[[#This Row],[e]]))</f>
        <v>12.939723560335199</v>
      </c>
      <c r="L323" s="2">
        <f ca="1">IF(Iterations[[#This Row],[Step]] =current_step, current_Total_Loss,IF(Iterations[[#This Row],[Step]] &gt; current_step, "",Iterations[[#This Row],[Total Loss]]))</f>
        <v>114.49</v>
      </c>
      <c r="M323" s="6" t="s">
        <v>27</v>
      </c>
      <c r="N323" s="2">
        <f ca="1">IF(Iterations[[#This Row],[Step]] =current_step, current_Grad_a,IF(Iterations[[#This Row],[Step]] &gt; current_step, "",Iterations[[#This Row],[Grad_a]]))</f>
        <v>0.16133437088186003</v>
      </c>
      <c r="O323" s="2">
        <f ca="1">IF(Iterations[[#This Row],[Step]] =current_step, current_Grad_b,IF(Iterations[[#This Row],[Step]] &gt; current_step, "",Iterations[[#This Row],[Grad_b]]))</f>
        <v>2.6630384155811933E-2</v>
      </c>
      <c r="P323" s="2">
        <f ca="1">IF(Iterations[[#This Row],[Step]] =current_step, current_Grad_c,IF(Iterations[[#This Row],[Step]] &gt; current_step, "",Iterations[[#This Row],[Grad_c]]))</f>
        <v>-0.4528604245392176</v>
      </c>
      <c r="Q323" s="2">
        <f ca="1">IF(Iterations[[#This Row],[Step]] =current_step, current_Grad_d,IF(Iterations[[#This Row],[Step]] &gt; current_step, "",Iterations[[#This Row],[Grad_d]]))</f>
        <v>-2.2652165085493663E-2</v>
      </c>
      <c r="R323" s="2">
        <f ca="1">IF(Iterations[[#This Row],[Step]] =current_step, current_Grad_e,IF(Iterations[[#This Row],[Step]] &gt; current_step, "",Iterations[[#This Row],[Grad_e]]))</f>
        <v>0.16154804928382582</v>
      </c>
    </row>
    <row r="324" spans="6:18" x14ac:dyDescent="0.3">
      <c r="F324" s="2">
        <f t="shared" si="6"/>
        <v>307</v>
      </c>
      <c r="G324" s="2">
        <f ca="1">IF(Iterations[[#This Row],[Step]] =current_step, current_a,IF(Iterations[[#This Row],[Step]] &gt; current_step, "",Iterations[[#This Row],[a]]))</f>
        <v>-5.6528379569256204</v>
      </c>
      <c r="H324" s="2">
        <f ca="1">IF(Iterations[[#This Row],[Step]] =current_step, current_b,IF(Iterations[[#This Row],[Step]] &gt; current_step, "",Iterations[[#This Row],[b]]))</f>
        <v>0.62524871725496567</v>
      </c>
      <c r="I324" s="2">
        <f ca="1">IF(Iterations[[#This Row],[Step]] =current_step, current_c,IF(Iterations[[#This Row],[Step]] &gt; current_step, "",Iterations[[#This Row],[c]]))</f>
        <v>16.692291068794997</v>
      </c>
      <c r="J324" s="2">
        <f ca="1">IF(Iterations[[#This Row],[Step]] =current_step, current_d,IF(Iterations[[#This Row],[Step]] &gt; current_step, "",Iterations[[#This Row],[d]]))</f>
        <v>0.957402499054123</v>
      </c>
      <c r="K324" s="2">
        <f ca="1">IF(Iterations[[#This Row],[Step]] =current_step, current_e,IF(Iterations[[#This Row],[Step]] &gt; current_step, "",Iterations[[#This Row],[e]]))</f>
        <v>12.928415196885332</v>
      </c>
      <c r="L324" s="2">
        <f ca="1">IF(Iterations[[#This Row],[Step]] =current_step, current_Total_Loss,IF(Iterations[[#This Row],[Step]] &gt; current_step, "",Iterations[[#This Row],[Total Loss]]))</f>
        <v>114.16</v>
      </c>
      <c r="M324" s="6" t="s">
        <v>27</v>
      </c>
      <c r="N324" s="2">
        <f ca="1">IF(Iterations[[#This Row],[Step]] =current_step, current_Grad_a,IF(Iterations[[#This Row],[Step]] &gt; current_step, "",Iterations[[#This Row],[Grad_a]]))</f>
        <v>0.16024284622727533</v>
      </c>
      <c r="O324" s="2">
        <f ca="1">IF(Iterations[[#This Row],[Step]] =current_step, current_Grad_b,IF(Iterations[[#This Row],[Step]] &gt; current_step, "",Iterations[[#This Row],[Grad_b]]))</f>
        <v>2.6466881998798097E-2</v>
      </c>
      <c r="P324" s="2">
        <f ca="1">IF(Iterations[[#This Row],[Step]] =current_step, current_Grad_c,IF(Iterations[[#This Row],[Step]] &gt; current_step, "",Iterations[[#This Row],[Grad_c]]))</f>
        <v>-0.44979323811303179</v>
      </c>
      <c r="Q324" s="2">
        <f ca="1">IF(Iterations[[#This Row],[Step]] =current_step, current_Grad_d,IF(Iterations[[#This Row],[Step]] &gt; current_step, "",Iterations[[#This Row],[Grad_d]]))</f>
        <v>-2.2534255752971227E-2</v>
      </c>
      <c r="R324" s="2">
        <f ca="1">IF(Iterations[[#This Row],[Step]] =current_step, current_Grad_e,IF(Iterations[[#This Row],[Step]] &gt; current_step, "",Iterations[[#This Row],[Grad_e]]))</f>
        <v>0.16045339748697035</v>
      </c>
    </row>
    <row r="325" spans="6:18" x14ac:dyDescent="0.3">
      <c r="F325" s="2">
        <f t="shared" si="6"/>
        <v>308</v>
      </c>
      <c r="G325" s="2">
        <f ca="1">IF(Iterations[[#This Row],[Step]] =current_step, current_a,IF(Iterations[[#This Row],[Step]] &gt; current_step, "",Iterations[[#This Row],[a]]))</f>
        <v>-5.6640549561615297</v>
      </c>
      <c r="H325" s="2">
        <f ca="1">IF(Iterations[[#This Row],[Step]] =current_step, current_b,IF(Iterations[[#This Row],[Step]] &gt; current_step, "",Iterations[[#This Row],[b]]))</f>
        <v>0.62339603551504985</v>
      </c>
      <c r="I325" s="2">
        <f ca="1">IF(Iterations[[#This Row],[Step]] =current_step, current_c,IF(Iterations[[#This Row],[Step]] &gt; current_step, "",Iterations[[#This Row],[c]]))</f>
        <v>16.723776595462908</v>
      </c>
      <c r="J325" s="2">
        <f ca="1">IF(Iterations[[#This Row],[Step]] =current_step, current_d,IF(Iterations[[#This Row],[Step]] &gt; current_step, "",Iterations[[#This Row],[d]]))</f>
        <v>0.95897989695683095</v>
      </c>
      <c r="K325" s="2">
        <f ca="1">IF(Iterations[[#This Row],[Step]] =current_step, current_e,IF(Iterations[[#This Row],[Step]] &gt; current_step, "",Iterations[[#This Row],[e]]))</f>
        <v>12.917183459061244</v>
      </c>
      <c r="L325" s="2">
        <f ca="1">IF(Iterations[[#This Row],[Step]] =current_step, current_Total_Loss,IF(Iterations[[#This Row],[Step]] &gt; current_step, "",Iterations[[#This Row],[Total Loss]]))</f>
        <v>113.84</v>
      </c>
      <c r="M325" s="6" t="s">
        <v>27</v>
      </c>
      <c r="N325" s="2">
        <f ca="1">IF(Iterations[[#This Row],[Step]] =current_step, current_Grad_a,IF(Iterations[[#This Row],[Step]] &gt; current_step, "",Iterations[[#This Row],[Grad_a]]))</f>
        <v>0.1591587037246559</v>
      </c>
      <c r="O325" s="2">
        <f ca="1">IF(Iterations[[#This Row],[Step]] =current_step, current_Grad_b,IF(Iterations[[#This Row],[Step]] &gt; current_step, "",Iterations[[#This Row],[Grad_b]]))</f>
        <v>2.6304188516359666E-2</v>
      </c>
      <c r="P325" s="2">
        <f ca="1">IF(Iterations[[#This Row],[Step]] =current_step, current_Grad_c,IF(Iterations[[#This Row],[Step]] &gt; current_step, "",Iterations[[#This Row],[Grad_c]]))</f>
        <v>-0.44674685457504448</v>
      </c>
      <c r="Q325" s="2">
        <f ca="1">IF(Iterations[[#This Row],[Step]] =current_step, current_Grad_d,IF(Iterations[[#This Row],[Step]] &gt; current_step, "",Iterations[[#This Row],[Grad_d]]))</f>
        <v>-2.241651381216668E-2</v>
      </c>
      <c r="R325" s="2">
        <f ca="1">IF(Iterations[[#This Row],[Step]] =current_step, current_Grad_e,IF(Iterations[[#This Row],[Step]] &gt; current_step, "",Iterations[[#This Row],[Grad_e]]))</f>
        <v>0.15936617895872038</v>
      </c>
    </row>
    <row r="326" spans="6:18" x14ac:dyDescent="0.3">
      <c r="F326" s="2">
        <f t="shared" ref="F326:F380" si="7">F325+1</f>
        <v>309</v>
      </c>
      <c r="G326" s="2">
        <f ca="1">IF(Iterations[[#This Row],[Step]] =current_step, current_a,IF(Iterations[[#This Row],[Step]] &gt; current_step, "",Iterations[[#This Row],[a]]))</f>
        <v>-5.6751960654222557</v>
      </c>
      <c r="H326" s="2">
        <f ca="1">IF(Iterations[[#This Row],[Step]] =current_step, current_b,IF(Iterations[[#This Row],[Step]] &gt; current_step, "",Iterations[[#This Row],[b]]))</f>
        <v>0.62155474231890473</v>
      </c>
      <c r="I326" s="2">
        <f ca="1">IF(Iterations[[#This Row],[Step]] =current_step, current_c,IF(Iterations[[#This Row],[Step]] &gt; current_step, "",Iterations[[#This Row],[c]]))</f>
        <v>16.755048875283162</v>
      </c>
      <c r="J326" s="2">
        <f ca="1">IF(Iterations[[#This Row],[Step]] =current_step, current_d,IF(Iterations[[#This Row],[Step]] &gt; current_step, "",Iterations[[#This Row],[d]]))</f>
        <v>0.96054905292368264</v>
      </c>
      <c r="K326" s="2">
        <f ca="1">IF(Iterations[[#This Row],[Step]] =current_step, current_e,IF(Iterations[[#This Row],[Step]] &gt; current_step, "",Iterations[[#This Row],[e]]))</f>
        <v>12.906027826534133</v>
      </c>
      <c r="L326" s="2">
        <f ca="1">IF(Iterations[[#This Row],[Step]] =current_step, current_Total_Loss,IF(Iterations[[#This Row],[Step]] &gt; current_step, "",Iterations[[#This Row],[Total Loss]]))</f>
        <v>113.52</v>
      </c>
      <c r="M326" s="6" t="s">
        <v>27</v>
      </c>
      <c r="N326" s="2">
        <f ca="1">IF(Iterations[[#This Row],[Step]] =current_step, current_Grad_a,IF(Iterations[[#This Row],[Step]] &gt; current_step, "",Iterations[[#This Row],[Grad_a]]))</f>
        <v>0.15808189349492252</v>
      </c>
      <c r="O326" s="2">
        <f ca="1">IF(Iterations[[#This Row],[Step]] =current_step, current_Grad_b,IF(Iterations[[#This Row],[Step]] &gt; current_step, "",Iterations[[#This Row],[Grad_b]]))</f>
        <v>2.6142303542543113E-2</v>
      </c>
      <c r="P326" s="2">
        <f ca="1">IF(Iterations[[#This Row],[Step]] =current_step, current_Grad_c,IF(Iterations[[#This Row],[Step]] &gt; current_step, "",Iterations[[#This Row],[Grad_c]]))</f>
        <v>-0.4437211323137229</v>
      </c>
      <c r="Q326" s="2">
        <f ca="1">IF(Iterations[[#This Row],[Step]] =current_step, current_Grad_d,IF(Iterations[[#This Row],[Step]] &gt; current_step, "",Iterations[[#This Row],[Grad_d]]))</f>
        <v>-2.2298949366732171E-2</v>
      </c>
      <c r="R326" s="2">
        <f ca="1">IF(Iterations[[#This Row],[Step]] =current_step, current_Grad_e,IF(Iterations[[#This Row],[Step]] &gt; current_step, "",Iterations[[#This Row],[Grad_e]]))</f>
        <v>0.1582863429407006</v>
      </c>
    </row>
    <row r="327" spans="6:18" x14ac:dyDescent="0.3">
      <c r="F327" s="2">
        <f t="shared" si="7"/>
        <v>310</v>
      </c>
      <c r="G327" s="2">
        <f ca="1">IF(Iterations[[#This Row],[Step]] =current_step, current_a,IF(Iterations[[#This Row],[Step]] &gt; current_step, "",Iterations[[#This Row],[a]]))</f>
        <v>-5.6862617979669006</v>
      </c>
      <c r="H327" s="2">
        <f ca="1">IF(Iterations[[#This Row],[Step]] =current_step, current_b,IF(Iterations[[#This Row],[Step]] &gt; current_step, "",Iterations[[#This Row],[b]]))</f>
        <v>0.61972478107092677</v>
      </c>
      <c r="I327" s="2">
        <f ca="1">IF(Iterations[[#This Row],[Step]] =current_step, current_c,IF(Iterations[[#This Row],[Step]] &gt; current_step, "",Iterations[[#This Row],[c]]))</f>
        <v>16.786109354545122</v>
      </c>
      <c r="J327" s="2">
        <f ca="1">IF(Iterations[[#This Row],[Step]] =current_step, current_d,IF(Iterations[[#This Row],[Step]] &gt; current_step, "",Iterations[[#This Row],[d]]))</f>
        <v>0.96210997937935394</v>
      </c>
      <c r="K327" s="2">
        <f ca="1">IF(Iterations[[#This Row],[Step]] =current_step, current_e,IF(Iterations[[#This Row],[Step]] &gt; current_step, "",Iterations[[#This Row],[e]]))</f>
        <v>12.894947782528284</v>
      </c>
      <c r="L327" s="2">
        <f ca="1">IF(Iterations[[#This Row],[Step]] =current_step, current_Total_Loss,IF(Iterations[[#This Row],[Step]] &gt; current_step, "",Iterations[[#This Row],[Total Loss]]))</f>
        <v>113.21</v>
      </c>
      <c r="M327" s="6" t="s">
        <v>27</v>
      </c>
      <c r="N327" s="2">
        <f ca="1">IF(Iterations[[#This Row],[Step]] =current_step, current_Grad_a,IF(Iterations[[#This Row],[Step]] &gt; current_step, "",Iterations[[#This Row],[Grad_a]]))</f>
        <v>0.15701236599507398</v>
      </c>
      <c r="O327" s="2">
        <f ca="1">IF(Iterations[[#This Row],[Step]] =current_step, current_Grad_b,IF(Iterations[[#This Row],[Step]] &gt; current_step, "",Iterations[[#This Row],[Grad_b]]))</f>
        <v>2.598122681790728E-2</v>
      </c>
      <c r="P327" s="2">
        <f ca="1">IF(Iterations[[#This Row],[Step]] =current_step, current_Grad_c,IF(Iterations[[#This Row],[Step]] &gt; current_step, "",Iterations[[#This Row],[Grad_c]]))</f>
        <v>-0.44071593069079368</v>
      </c>
      <c r="Q327" s="2">
        <f ca="1">IF(Iterations[[#This Row],[Step]] =current_step, current_Grad_d,IF(Iterations[[#This Row],[Step]] &gt; current_step, "",Iterations[[#This Row],[Grad_d]]))</f>
        <v>-2.2181572251721276E-2</v>
      </c>
      <c r="R327" s="2">
        <f ca="1">IF(Iterations[[#This Row],[Step]] =current_step, current_Grad_e,IF(Iterations[[#This Row],[Step]] &gt; current_step, "",Iterations[[#This Row],[Grad_e]]))</f>
        <v>0.15721383902610164</v>
      </c>
    </row>
    <row r="328" spans="6:18" x14ac:dyDescent="0.3">
      <c r="F328" s="2">
        <f t="shared" si="7"/>
        <v>311</v>
      </c>
      <c r="G328" s="2">
        <f ca="1">IF(Iterations[[#This Row],[Step]] =current_step, current_a,IF(Iterations[[#This Row],[Step]] &gt; current_step, "",Iterations[[#This Row],[a]]))</f>
        <v>-5.6972526635865561</v>
      </c>
      <c r="H328" s="2">
        <f ca="1">IF(Iterations[[#This Row],[Step]] =current_step, current_b,IF(Iterations[[#This Row],[Step]] &gt; current_step, "",Iterations[[#This Row],[b]]))</f>
        <v>0.61790609519367323</v>
      </c>
      <c r="I328" s="2">
        <f ca="1">IF(Iterations[[#This Row],[Step]] =current_step, current_c,IF(Iterations[[#This Row],[Step]] &gt; current_step, "",Iterations[[#This Row],[c]]))</f>
        <v>16.816959469693476</v>
      </c>
      <c r="J328" s="2">
        <f ca="1">IF(Iterations[[#This Row],[Step]] =current_step, current_d,IF(Iterations[[#This Row],[Step]] &gt; current_step, "",Iterations[[#This Row],[d]]))</f>
        <v>0.96366268943697442</v>
      </c>
      <c r="K328" s="2">
        <f ca="1">IF(Iterations[[#This Row],[Step]] =current_step, current_e,IF(Iterations[[#This Row],[Step]] &gt; current_step, "",Iterations[[#This Row],[e]]))</f>
        <v>12.883942813796457</v>
      </c>
      <c r="L328" s="2">
        <f ca="1">IF(Iterations[[#This Row],[Step]] =current_step, current_Total_Loss,IF(Iterations[[#This Row],[Step]] &gt; current_step, "",Iterations[[#This Row],[Total Loss]]))</f>
        <v>112.91</v>
      </c>
      <c r="M328" s="6" t="s">
        <v>27</v>
      </c>
      <c r="N328" s="2">
        <f ca="1">IF(Iterations[[#This Row],[Step]] =current_step, current_Grad_a,IF(Iterations[[#This Row],[Step]] &gt; current_step, "",Iterations[[#This Row],[Grad_a]]))</f>
        <v>0.15595007201620387</v>
      </c>
      <c r="O328" s="2">
        <f ca="1">IF(Iterations[[#This Row],[Step]] =current_step, current_Grad_b,IF(Iterations[[#This Row],[Step]] &gt; current_step, "",Iterations[[#This Row],[Grad_b]]))</f>
        <v>2.5820957991916811E-2</v>
      </c>
      <c r="P328" s="2">
        <f ca="1">IF(Iterations[[#This Row],[Step]] =current_step, current_Grad_c,IF(Iterations[[#This Row],[Step]] &gt; current_step, "",Iterations[[#This Row],[Grad_c]]))</f>
        <v>-0.43773111003426296</v>
      </c>
      <c r="Q328" s="2">
        <f ca="1">IF(Iterations[[#This Row],[Step]] =current_step, current_Grad_d,IF(Iterations[[#This Row],[Step]] &gt; current_step, "",Iterations[[#This Row],[Grad_d]]))</f>
        <v>-2.2064392038943122E-2</v>
      </c>
      <c r="R328" s="2">
        <f ca="1">IF(Iterations[[#This Row],[Step]] =current_step, current_Grad_e,IF(Iterations[[#This Row],[Step]] &gt; current_step, "",Iterations[[#This Row],[Grad_e]]))</f>
        <v>0.15614861715722661</v>
      </c>
    </row>
    <row r="329" spans="6:18" x14ac:dyDescent="0.3">
      <c r="F329" s="2">
        <f t="shared" si="7"/>
        <v>312</v>
      </c>
      <c r="G329" s="2">
        <f ca="1">IF(Iterations[[#This Row],[Step]] =current_step, current_a,IF(Iterations[[#This Row],[Step]] &gt; current_step, "",Iterations[[#This Row],[a]]))</f>
        <v>-5.7081691686276903</v>
      </c>
      <c r="H329" s="2">
        <f ca="1">IF(Iterations[[#This Row],[Step]] =current_step, current_b,IF(Iterations[[#This Row],[Step]] &gt; current_step, "",Iterations[[#This Row],[b]]))</f>
        <v>0.6160986281342391</v>
      </c>
      <c r="I329" s="2">
        <f ca="1">IF(Iterations[[#This Row],[Step]] =current_step, current_c,IF(Iterations[[#This Row],[Step]] &gt; current_step, "",Iterations[[#This Row],[c]]))</f>
        <v>16.847600647395875</v>
      </c>
      <c r="J329" s="2">
        <f ca="1">IF(Iterations[[#This Row],[Step]] =current_step, current_d,IF(Iterations[[#This Row],[Step]] &gt; current_step, "",Iterations[[#This Row],[d]]))</f>
        <v>0.96520719687970047</v>
      </c>
      <c r="K329" s="2">
        <f ca="1">IF(Iterations[[#This Row],[Step]] =current_step, current_e,IF(Iterations[[#This Row],[Step]] &gt; current_step, "",Iterations[[#This Row],[e]]))</f>
        <v>12.873012410595452</v>
      </c>
      <c r="L329" s="2">
        <f ca="1">IF(Iterations[[#This Row],[Step]] =current_step, current_Total_Loss,IF(Iterations[[#This Row],[Step]] &gt; current_step, "",Iterations[[#This Row],[Total Loss]]))</f>
        <v>112.6</v>
      </c>
      <c r="M329" s="6" t="s">
        <v>27</v>
      </c>
      <c r="N329" s="2">
        <f ca="1">IF(Iterations[[#This Row],[Step]] =current_step, current_Grad_a,IF(Iterations[[#This Row],[Step]] &gt; current_step, "",Iterations[[#This Row],[Grad_a]]))</f>
        <v>0.15489496268094291</v>
      </c>
      <c r="O329" s="2">
        <f ca="1">IF(Iterations[[#This Row],[Step]] =current_step, current_Grad_b,IF(Iterations[[#This Row],[Step]] &gt; current_step, "",Iterations[[#This Row],[Grad_b]]))</f>
        <v>2.566149662517361E-2</v>
      </c>
      <c r="P329" s="2">
        <f ca="1">IF(Iterations[[#This Row],[Step]] =current_step, current_Grad_c,IF(Iterations[[#This Row],[Step]] &gt; current_step, "",Iterations[[#This Row],[Grad_c]]))</f>
        <v>-0.43476653163176376</v>
      </c>
      <c r="Q329" s="2">
        <f ca="1">IF(Iterations[[#This Row],[Step]] =current_step, current_Grad_d,IF(Iterations[[#This Row],[Step]] &gt; current_step, "",Iterations[[#This Row],[Grad_d]]))</f>
        <v>-2.1947418042262253E-2</v>
      </c>
      <c r="R329" s="2">
        <f ca="1">IF(Iterations[[#This Row],[Step]] =current_step, current_Grad_e,IF(Iterations[[#This Row],[Step]] &gt; current_step, "",Iterations[[#This Row],[Grad_e]]))</f>
        <v>0.1550906276229167</v>
      </c>
    </row>
    <row r="330" spans="6:18" x14ac:dyDescent="0.3">
      <c r="F330" s="2">
        <f t="shared" si="7"/>
        <v>313</v>
      </c>
      <c r="G330" s="2">
        <f ca="1">IF(Iterations[[#This Row],[Step]] =current_step, current_a,IF(Iterations[[#This Row],[Step]] &gt; current_step, "",Iterations[[#This Row],[a]]))</f>
        <v>-5.7190118160153567</v>
      </c>
      <c r="H330" s="2">
        <f ca="1">IF(Iterations[[#This Row],[Step]] =current_step, current_b,IF(Iterations[[#This Row],[Step]] &gt; current_step, "",Iterations[[#This Row],[b]]))</f>
        <v>0.61430232337047697</v>
      </c>
      <c r="I330" s="2">
        <f ca="1">IF(Iterations[[#This Row],[Step]] =current_step, current_c,IF(Iterations[[#This Row],[Step]] &gt; current_step, "",Iterations[[#This Row],[c]]))</f>
        <v>16.8780343046101</v>
      </c>
      <c r="J330" s="2">
        <f ca="1">IF(Iterations[[#This Row],[Step]] =current_step, current_d,IF(Iterations[[#This Row],[Step]] &gt; current_step, "",Iterations[[#This Row],[d]]))</f>
        <v>0.96674351614265885</v>
      </c>
      <c r="K330" s="2">
        <f ca="1">IF(Iterations[[#This Row],[Step]] =current_step, current_e,IF(Iterations[[#This Row],[Step]] &gt; current_step, "",Iterations[[#This Row],[e]]))</f>
        <v>12.862156066661848</v>
      </c>
      <c r="L330" s="2">
        <f ca="1">IF(Iterations[[#This Row],[Step]] =current_step, current_Total_Loss,IF(Iterations[[#This Row],[Step]] &gt; current_step, "",Iterations[[#This Row],[Total Loss]]))</f>
        <v>112.3</v>
      </c>
      <c r="M330" s="6" t="s">
        <v>27</v>
      </c>
      <c r="N330" s="2">
        <f ca="1">IF(Iterations[[#This Row],[Step]] =current_step, current_Grad_a,IF(Iterations[[#This Row],[Step]] &gt; current_step, "",Iterations[[#This Row],[Grad_a]]))</f>
        <v>0.15384698944146852</v>
      </c>
      <c r="O330" s="2">
        <f ca="1">IF(Iterations[[#This Row],[Step]] =current_step, current_Grad_b,IF(Iterations[[#This Row],[Step]] &gt; current_step, "",Iterations[[#This Row],[Grad_b]]))</f>
        <v>2.5502842191642908E-2</v>
      </c>
      <c r="P330" s="2">
        <f ca="1">IF(Iterations[[#This Row],[Step]] =current_step, current_Grad_c,IF(Iterations[[#This Row],[Step]] &gt; current_step, "",Iterations[[#This Row],[Grad_c]]))</f>
        <v>-0.43182205772370558</v>
      </c>
      <c r="Q330" s="2">
        <f ca="1">IF(Iterations[[#This Row],[Step]] =current_step, current_Grad_d,IF(Iterations[[#This Row],[Step]] &gt; current_step, "",Iterations[[#This Row],[Grad_d]]))</f>
        <v>-2.1830659322796746E-2</v>
      </c>
      <c r="R330" s="2">
        <f ca="1">IF(Iterations[[#This Row],[Step]] =current_step, current_Grad_e,IF(Iterations[[#This Row],[Step]] &gt; current_step, "",Iterations[[#This Row],[Grad_e]]))</f>
        <v>0.15403982105611014</v>
      </c>
    </row>
    <row r="331" spans="6:18" x14ac:dyDescent="0.3">
      <c r="F331" s="2">
        <f t="shared" si="7"/>
        <v>314</v>
      </c>
      <c r="G331" s="2">
        <f ca="1">IF(Iterations[[#This Row],[Step]] =current_step, current_a,IF(Iterations[[#This Row],[Step]] &gt; current_step, "",Iterations[[#This Row],[a]]))</f>
        <v>-5.7297811052762597</v>
      </c>
      <c r="H331" s="2">
        <f ca="1">IF(Iterations[[#This Row],[Step]] =current_step, current_b,IF(Iterations[[#This Row],[Step]] &gt; current_step, "",Iterations[[#This Row],[b]]))</f>
        <v>0.61251712441706196</v>
      </c>
      <c r="I331" s="2">
        <f ca="1">IF(Iterations[[#This Row],[Step]] =current_step, current_c,IF(Iterations[[#This Row],[Step]] &gt; current_step, "",Iterations[[#This Row],[c]]))</f>
        <v>16.90826184865076</v>
      </c>
      <c r="J331" s="2">
        <f ca="1">IF(Iterations[[#This Row],[Step]] =current_step, current_d,IF(Iterations[[#This Row],[Step]] &gt; current_step, "",Iterations[[#This Row],[d]]))</f>
        <v>0.96827166229525463</v>
      </c>
      <c r="K331" s="2">
        <f ca="1">IF(Iterations[[#This Row],[Step]] =current_step, current_e,IF(Iterations[[#This Row],[Step]] &gt; current_step, "",Iterations[[#This Row],[e]]))</f>
        <v>12.85137327918792</v>
      </c>
      <c r="L331" s="2">
        <f ca="1">IF(Iterations[[#This Row],[Step]] =current_step, current_Total_Loss,IF(Iterations[[#This Row],[Step]] &gt; current_step, "",Iterations[[#This Row],[Total Loss]]))</f>
        <v>112.01</v>
      </c>
      <c r="M331" s="6" t="s">
        <v>27</v>
      </c>
      <c r="N331" s="2">
        <f ca="1">IF(Iterations[[#This Row],[Step]] =current_step, current_Grad_a,IF(Iterations[[#This Row],[Step]] &gt; current_step, "",Iterations[[#This Row],[Grad_a]]))</f>
        <v>0.15280610407718648</v>
      </c>
      <c r="O331" s="2">
        <f ca="1">IF(Iterations[[#This Row],[Step]] =current_step, current_Grad_b,IF(Iterations[[#This Row],[Step]] &gt; current_step, "",Iterations[[#This Row],[Grad_b]]))</f>
        <v>2.5344994080887615E-2</v>
      </c>
      <c r="P331" s="2">
        <f ca="1">IF(Iterations[[#This Row],[Step]] =current_step, current_Grad_c,IF(Iterations[[#This Row],[Step]] &gt; current_step, "",Iterations[[#This Row],[Grad_c]]))</f>
        <v>-0.42889755149661063</v>
      </c>
      <c r="Q331" s="2">
        <f ca="1">IF(Iterations[[#This Row],[Step]] =current_step, current_Grad_d,IF(Iterations[[#This Row],[Step]] &gt; current_step, "",Iterations[[#This Row],[Grad_d]]))</f>
        <v>-2.1714124693978116E-2</v>
      </c>
      <c r="R331" s="2">
        <f ca="1">IF(Iterations[[#This Row],[Step]] =current_step, current_Grad_e,IF(Iterations[[#This Row],[Step]] &gt; current_step, "",Iterations[[#This Row],[Grad_e]]))</f>
        <v>0.15299614843137593</v>
      </c>
    </row>
    <row r="332" spans="6:18" x14ac:dyDescent="0.3">
      <c r="F332" s="2">
        <f t="shared" si="7"/>
        <v>315</v>
      </c>
      <c r="G332" s="2">
        <f ca="1">IF(Iterations[[#This Row],[Step]] =current_step, current_a,IF(Iterations[[#This Row],[Step]] &gt; current_step, "",Iterations[[#This Row],[a]]))</f>
        <v>-5.7404775325616626</v>
      </c>
      <c r="H332" s="2">
        <f ca="1">IF(Iterations[[#This Row],[Step]] =current_step, current_b,IF(Iterations[[#This Row],[Step]] &gt; current_step, "",Iterations[[#This Row],[b]]))</f>
        <v>0.61074297483139983</v>
      </c>
      <c r="I332" s="2">
        <f ca="1">IF(Iterations[[#This Row],[Step]] =current_step, current_c,IF(Iterations[[#This Row],[Step]] &gt; current_step, "",Iterations[[#This Row],[c]]))</f>
        <v>16.938284677255524</v>
      </c>
      <c r="J332" s="2">
        <f ca="1">IF(Iterations[[#This Row],[Step]] =current_step, current_d,IF(Iterations[[#This Row],[Step]] &gt; current_step, "",Iterations[[#This Row],[d]]))</f>
        <v>0.96979165102383313</v>
      </c>
      <c r="K332" s="2">
        <f ca="1">IF(Iterations[[#This Row],[Step]] =current_step, current_e,IF(Iterations[[#This Row],[Step]] &gt; current_step, "",Iterations[[#This Row],[e]]))</f>
        <v>12.840663548797723</v>
      </c>
      <c r="L332" s="2">
        <f ca="1">IF(Iterations[[#This Row],[Step]] =current_step, current_Total_Loss,IF(Iterations[[#This Row],[Step]] &gt; current_step, "",Iterations[[#This Row],[Total Loss]]))</f>
        <v>111.72</v>
      </c>
      <c r="M332" s="6" t="s">
        <v>27</v>
      </c>
      <c r="N332" s="2">
        <f ca="1">IF(Iterations[[#This Row],[Step]] =current_step, current_Grad_a,IF(Iterations[[#This Row],[Step]] &gt; current_step, "",Iterations[[#This Row],[Grad_a]]))</f>
        <v>0.15177225869265509</v>
      </c>
      <c r="O332" s="2">
        <f ca="1">IF(Iterations[[#This Row],[Step]] =current_step, current_Grad_b,IF(Iterations[[#This Row],[Step]] &gt; current_step, "",Iterations[[#This Row],[Grad_b]]))</f>
        <v>2.5187951600104688E-2</v>
      </c>
      <c r="P332" s="2">
        <f ca="1">IF(Iterations[[#This Row],[Step]] =current_step, current_Grad_c,IF(Iterations[[#This Row],[Step]] &gt; current_step, "",Iterations[[#This Row],[Grad_c]]))</f>
        <v>-0.4259928770764288</v>
      </c>
      <c r="Q332" s="2">
        <f ca="1">IF(Iterations[[#This Row],[Step]] =current_step, current_Grad_d,IF(Iterations[[#This Row],[Step]] &gt; current_step, "",Iterations[[#This Row],[Grad_d]]))</f>
        <v>-2.1597822726593288E-2</v>
      </c>
      <c r="R332" s="2">
        <f ca="1">IF(Iterations[[#This Row],[Step]] =current_step, current_Grad_e,IF(Iterations[[#This Row],[Step]] &gt; current_step, "",Iterations[[#This Row],[Grad_e]]))</f>
        <v>0.15195956106247463</v>
      </c>
    </row>
    <row r="333" spans="6:18" x14ac:dyDescent="0.3">
      <c r="F333" s="2">
        <f t="shared" si="7"/>
        <v>316</v>
      </c>
      <c r="G333" s="2">
        <f ca="1">IF(Iterations[[#This Row],[Step]] =current_step, current_a,IF(Iterations[[#This Row],[Step]] &gt; current_step, "",Iterations[[#This Row],[a]]))</f>
        <v>-5.7511015906701486</v>
      </c>
      <c r="H333" s="2">
        <f ca="1">IF(Iterations[[#This Row],[Step]] =current_step, current_b,IF(Iterations[[#This Row],[Step]] &gt; current_step, "",Iterations[[#This Row],[b]]))</f>
        <v>0.60897981821939251</v>
      </c>
      <c r="I333" s="2">
        <f ca="1">IF(Iterations[[#This Row],[Step]] =current_step, current_c,IF(Iterations[[#This Row],[Step]] &gt; current_step, "",Iterations[[#This Row],[c]]))</f>
        <v>16.968104178650876</v>
      </c>
      <c r="J333" s="2">
        <f ca="1">IF(Iterations[[#This Row],[Step]] =current_step, current_d,IF(Iterations[[#This Row],[Step]] &gt; current_step, "",Iterations[[#This Row],[d]]))</f>
        <v>0.97130349861469467</v>
      </c>
      <c r="K333" s="2">
        <f ca="1">IF(Iterations[[#This Row],[Step]] =current_step, current_e,IF(Iterations[[#This Row],[Step]] &gt; current_step, "",Iterations[[#This Row],[e]]))</f>
        <v>12.83002637952335</v>
      </c>
      <c r="L333" s="2">
        <f ca="1">IF(Iterations[[#This Row],[Step]] =current_step, current_Total_Loss,IF(Iterations[[#This Row],[Step]] &gt; current_step, "",Iterations[[#This Row],[Total Loss]]))</f>
        <v>111.43</v>
      </c>
      <c r="M333" s="6" t="s">
        <v>27</v>
      </c>
      <c r="N333" s="2">
        <f ca="1">IF(Iterations[[#This Row],[Step]] =current_step, current_Grad_a,IF(Iterations[[#This Row],[Step]] &gt; current_step, "",Iterations[[#This Row],[Grad_a]]))</f>
        <v>0.15074540571521389</v>
      </c>
      <c r="O333" s="2">
        <f ca="1">IF(Iterations[[#This Row],[Step]] =current_step, current_Grad_b,IF(Iterations[[#This Row],[Step]] &gt; current_step, "",Iterations[[#This Row],[Grad_b]]))</f>
        <v>2.5031713976365833E-2</v>
      </c>
      <c r="P333" s="2">
        <f ca="1">IF(Iterations[[#This Row],[Step]] =current_step, current_Grad_c,IF(Iterations[[#This Row],[Step]] &gt; current_step, "",Iterations[[#This Row],[Grad_c]]))</f>
        <v>-0.42310789952200939</v>
      </c>
      <c r="Q333" s="2">
        <f ca="1">IF(Iterations[[#This Row],[Step]] =current_step, current_Grad_d,IF(Iterations[[#This Row],[Step]] &gt; current_step, "",Iterations[[#This Row],[Grad_d]]))</f>
        <v>-2.1481761753633269E-2</v>
      </c>
      <c r="R333" s="2">
        <f ca="1">IF(Iterations[[#This Row],[Step]] =current_step, current_Grad_e,IF(Iterations[[#This Row],[Step]] &gt; current_step, "",Iterations[[#This Row],[Grad_e]]))</f>
        <v>0.1509300105999013</v>
      </c>
    </row>
    <row r="334" spans="6:18" x14ac:dyDescent="0.3">
      <c r="F334" s="2">
        <f t="shared" si="7"/>
        <v>317</v>
      </c>
      <c r="G334" s="2">
        <f ca="1">IF(Iterations[[#This Row],[Step]] =current_step, current_a,IF(Iterations[[#This Row],[Step]] &gt; current_step, "",Iterations[[#This Row],[a]]))</f>
        <v>-5.7616537690702136</v>
      </c>
      <c r="H334" s="2">
        <f ca="1">IF(Iterations[[#This Row],[Step]] =current_step, current_b,IF(Iterations[[#This Row],[Step]] &gt; current_step, "",Iterations[[#This Row],[b]]))</f>
        <v>0.60722759824104688</v>
      </c>
      <c r="I334" s="2">
        <f ca="1">IF(Iterations[[#This Row],[Step]] =current_step, current_c,IF(Iterations[[#This Row],[Step]] &gt; current_step, "",Iterations[[#This Row],[c]]))</f>
        <v>16.997721731617418</v>
      </c>
      <c r="J334" s="2">
        <f ca="1">IF(Iterations[[#This Row],[Step]] =current_step, current_d,IF(Iterations[[#This Row],[Step]] &gt; current_step, "",Iterations[[#This Row],[d]]))</f>
        <v>0.97280722193744895</v>
      </c>
      <c r="K334" s="2">
        <f ca="1">IF(Iterations[[#This Row],[Step]] =current_step, current_e,IF(Iterations[[#This Row],[Step]] &gt; current_step, "",Iterations[[#This Row],[e]]))</f>
        <v>12.819461278781358</v>
      </c>
      <c r="L334" s="2">
        <f ca="1">IF(Iterations[[#This Row],[Step]] =current_step, current_Total_Loss,IF(Iterations[[#This Row],[Step]] &gt; current_step, "",Iterations[[#This Row],[Total Loss]]))</f>
        <v>111.15</v>
      </c>
      <c r="M334" s="6" t="s">
        <v>27</v>
      </c>
      <c r="N334" s="2">
        <f ca="1">IF(Iterations[[#This Row],[Step]] =current_step, current_Grad_a,IF(Iterations[[#This Row],[Step]] &gt; current_step, "",Iterations[[#This Row],[Grad_a]]))</f>
        <v>0.14972549789300565</v>
      </c>
      <c r="O334" s="2">
        <f ca="1">IF(Iterations[[#This Row],[Step]] =current_step, current_Grad_b,IF(Iterations[[#This Row],[Step]] &gt; current_step, "",Iterations[[#This Row],[Grad_b]]))</f>
        <v>2.4876280358503325E-2</v>
      </c>
      <c r="P334" s="2">
        <f ca="1">IF(Iterations[[#This Row],[Step]] =current_step, current_Grad_c,IF(Iterations[[#This Row],[Step]] &gt; current_step, "",Iterations[[#This Row],[Grad_c]]))</f>
        <v>-0.42024248481847604</v>
      </c>
      <c r="Q334" s="2">
        <f ca="1">IF(Iterations[[#This Row],[Step]] =current_step, current_Grad_d,IF(Iterations[[#This Row],[Step]] &gt; current_step, "",Iterations[[#This Row],[Grad_d]]))</f>
        <v>-2.1365949875175039E-2</v>
      </c>
      <c r="R334" s="2">
        <f ca="1">IF(Iterations[[#This Row],[Step]] =current_step, current_Grad_e,IF(Iterations[[#This Row],[Step]] &gt; current_step, "",Iterations[[#This Row],[Grad_e]]))</f>
        <v>0.14990744902851283</v>
      </c>
    </row>
    <row r="335" spans="6:18" x14ac:dyDescent="0.3">
      <c r="F335" s="2">
        <f t="shared" si="7"/>
        <v>318</v>
      </c>
      <c r="G335" s="2">
        <f ca="1">IF(Iterations[[#This Row],[Step]] =current_step, current_a,IF(Iterations[[#This Row],[Step]] &gt; current_step, "",Iterations[[#This Row],[a]]))</f>
        <v>-5.772134553922724</v>
      </c>
      <c r="H335" s="2">
        <f ca="1">IF(Iterations[[#This Row],[Step]] =current_step, current_b,IF(Iterations[[#This Row],[Step]] &gt; current_step, "",Iterations[[#This Row],[b]]))</f>
        <v>0.60548625861595162</v>
      </c>
      <c r="I335" s="2">
        <f ca="1">IF(Iterations[[#This Row],[Step]] =current_step, current_c,IF(Iterations[[#This Row],[Step]] &gt; current_step, "",Iterations[[#This Row],[c]]))</f>
        <v>17.027138705554712</v>
      </c>
      <c r="J335" s="2">
        <f ca="1">IF(Iterations[[#This Row],[Step]] =current_step, current_d,IF(Iterations[[#This Row],[Step]] &gt; current_step, "",Iterations[[#This Row],[d]]))</f>
        <v>0.97430283842871124</v>
      </c>
      <c r="K335" s="2">
        <f ca="1">IF(Iterations[[#This Row],[Step]] =current_step, current_e,IF(Iterations[[#This Row],[Step]] &gt; current_step, "",Iterations[[#This Row],[e]]))</f>
        <v>12.808967757349361</v>
      </c>
      <c r="L335" s="2">
        <f ca="1">IF(Iterations[[#This Row],[Step]] =current_step, current_Total_Loss,IF(Iterations[[#This Row],[Step]] &gt; current_step, "",Iterations[[#This Row],[Total Loss]]))</f>
        <v>110.87</v>
      </c>
      <c r="M335" s="6" t="s">
        <v>27</v>
      </c>
      <c r="N335" s="2">
        <f ca="1">IF(Iterations[[#This Row],[Step]] =current_step, current_Grad_a,IF(Iterations[[#This Row],[Step]] &gt; current_step, "",Iterations[[#This Row],[Grad_a]]))</f>
        <v>0.14871248829267852</v>
      </c>
      <c r="O335" s="2">
        <f ca="1">IF(Iterations[[#This Row],[Step]] =current_step, current_Grad_b,IF(Iterations[[#This Row],[Step]] &gt; current_step, "",Iterations[[#This Row],[Grad_b]]))</f>
        <v>2.4721649819293479E-2</v>
      </c>
      <c r="P335" s="2">
        <f ca="1">IF(Iterations[[#This Row],[Step]] =current_step, current_Grad_c,IF(Iterations[[#This Row],[Step]] &gt; current_step, "",Iterations[[#This Row],[Grad_c]]))</f>
        <v>-0.41739649987078276</v>
      </c>
      <c r="Q335" s="2">
        <f ca="1">IF(Iterations[[#This Row],[Step]] =current_step, current_Grad_d,IF(Iterations[[#This Row],[Step]] &gt; current_step, "",Iterations[[#This Row],[Grad_d]]))</f>
        <v>-2.1250394963033405E-2</v>
      </c>
      <c r="R335" s="2">
        <f ca="1">IF(Iterations[[#This Row],[Step]] =current_step, current_Grad_e,IF(Iterations[[#This Row],[Step]] &gt; current_step, "",Iterations[[#This Row],[Grad_e]]))</f>
        <v>0.14889182866511202</v>
      </c>
    </row>
    <row r="336" spans="6:18" x14ac:dyDescent="0.3">
      <c r="F336" s="2">
        <f t="shared" si="7"/>
        <v>319</v>
      </c>
      <c r="G336" s="2">
        <f ca="1">IF(Iterations[[#This Row],[Step]] =current_step, current_a,IF(Iterations[[#This Row],[Step]] &gt; current_step, "",Iterations[[#This Row],[a]]))</f>
        <v>-5.7825444281032112</v>
      </c>
      <c r="H336" s="2">
        <f ca="1">IF(Iterations[[#This Row],[Step]] =current_step, current_b,IF(Iterations[[#This Row],[Step]] &gt; current_step, "",Iterations[[#This Row],[b]]))</f>
        <v>0.60375574312860103</v>
      </c>
      <c r="I336" s="2">
        <f ca="1">IF(Iterations[[#This Row],[Step]] =current_step, current_c,IF(Iterations[[#This Row],[Step]] &gt; current_step, "",Iterations[[#This Row],[c]]))</f>
        <v>17.056356460545668</v>
      </c>
      <c r="J336" s="2">
        <f ca="1">IF(Iterations[[#This Row],[Step]] =current_step, current_d,IF(Iterations[[#This Row],[Step]] &gt; current_step, "",Iterations[[#This Row],[d]]))</f>
        <v>0.97579036607612357</v>
      </c>
      <c r="K336" s="2">
        <f ca="1">IF(Iterations[[#This Row],[Step]] =current_step, current_e,IF(Iterations[[#This Row],[Step]] &gt; current_step, "",Iterations[[#This Row],[e]]))</f>
        <v>12.798545329342803</v>
      </c>
      <c r="L336" s="2">
        <f ca="1">IF(Iterations[[#This Row],[Step]] =current_step, current_Total_Loss,IF(Iterations[[#This Row],[Step]] &gt; current_step, "",Iterations[[#This Row],[Total Loss]]))</f>
        <v>110.59</v>
      </c>
      <c r="M336" s="6" t="s">
        <v>27</v>
      </c>
      <c r="N336" s="2">
        <f ca="1">IF(Iterations[[#This Row],[Step]] =current_step, current_Grad_a,IF(Iterations[[#This Row],[Step]] &gt; current_step, "",Iterations[[#This Row],[Grad_a]]))</f>
        <v>0.14770633029746591</v>
      </c>
      <c r="O336" s="2">
        <f ca="1">IF(Iterations[[#This Row],[Step]] =current_step, current_Grad_b,IF(Iterations[[#This Row],[Step]] &gt; current_step, "",Iterations[[#This Row],[Grad_b]]))</f>
        <v>2.4567821357305064E-2</v>
      </c>
      <c r="P336" s="2">
        <f ca="1">IF(Iterations[[#This Row],[Step]] =current_step, current_Grad_c,IF(Iterations[[#This Row],[Step]] &gt; current_step, "",Iterations[[#This Row],[Grad_c]]))</f>
        <v>-0.41456981249716818</v>
      </c>
      <c r="Q336" s="2">
        <f ca="1">IF(Iterations[[#This Row],[Step]] =current_step, current_Grad_d,IF(Iterations[[#This Row],[Step]] &gt; current_step, "",Iterations[[#This Row],[Grad_d]]))</f>
        <v>-2.1135104665443549E-2</v>
      </c>
      <c r="R336" s="2">
        <f ca="1">IF(Iterations[[#This Row],[Step]] =current_step, current_Grad_e,IF(Iterations[[#This Row],[Step]] &gt; current_step, "",Iterations[[#This Row],[Grad_e]]))</f>
        <v>0.1478831021561216</v>
      </c>
    </row>
    <row r="337" spans="6:18" x14ac:dyDescent="0.3">
      <c r="F337" s="2">
        <f t="shared" si="7"/>
        <v>320</v>
      </c>
      <c r="G337" s="2">
        <f ca="1">IF(Iterations[[#This Row],[Step]] =current_step, current_a,IF(Iterations[[#This Row],[Step]] &gt; current_step, "",Iterations[[#This Row],[a]]))</f>
        <v>-5.792883871224034</v>
      </c>
      <c r="H337" s="2">
        <f ca="1">IF(Iterations[[#This Row],[Step]] =current_step, current_b,IF(Iterations[[#This Row],[Step]] &gt; current_step, "",Iterations[[#This Row],[b]]))</f>
        <v>0.60203599563358967</v>
      </c>
      <c r="I337" s="2">
        <f ca="1">IF(Iterations[[#This Row],[Step]] =current_step, current_c,IF(Iterations[[#This Row],[Step]] &gt; current_step, "",Iterations[[#This Row],[c]]))</f>
        <v>17.085376347420471</v>
      </c>
      <c r="J337" s="2">
        <f ca="1">IF(Iterations[[#This Row],[Step]] =current_step, current_d,IF(Iterations[[#This Row],[Step]] &gt; current_step, "",Iterations[[#This Row],[d]]))</f>
        <v>0.97726982340270463</v>
      </c>
      <c r="K337" s="2">
        <f ca="1">IF(Iterations[[#This Row],[Step]] =current_step, current_e,IF(Iterations[[#This Row],[Step]] &gt; current_step, "",Iterations[[#This Row],[e]]))</f>
        <v>12.788193512191874</v>
      </c>
      <c r="L337" s="2">
        <f ca="1">IF(Iterations[[#This Row],[Step]] =current_step, current_Total_Loss,IF(Iterations[[#This Row],[Step]] &gt; current_step, "",Iterations[[#This Row],[Total Loss]]))</f>
        <v>110.32</v>
      </c>
      <c r="M337" s="6" t="s">
        <v>27</v>
      </c>
      <c r="N337" s="2">
        <f ca="1">IF(Iterations[[#This Row],[Step]] =current_step, current_Grad_a,IF(Iterations[[#This Row],[Step]] &gt; current_step, "",Iterations[[#This Row],[Grad_a]]))</f>
        <v>0.14670697760469442</v>
      </c>
      <c r="O337" s="2">
        <f ca="1">IF(Iterations[[#This Row],[Step]] =current_step, current_Grad_b,IF(Iterations[[#This Row],[Step]] &gt; current_step, "",Iterations[[#This Row],[Grad_b]]))</f>
        <v>2.44147938989085E-2</v>
      </c>
      <c r="P337" s="2">
        <f ca="1">IF(Iterations[[#This Row],[Step]] =current_step, current_Grad_c,IF(Iterations[[#This Row],[Step]] &gt; current_step, "",Iterations[[#This Row],[Grad_c]]))</f>
        <v>-0.41176229142290716</v>
      </c>
      <c r="Q337" s="2">
        <f ca="1">IF(Iterations[[#This Row],[Step]] =current_step, current_Grad_d,IF(Iterations[[#This Row],[Step]] &gt; current_step, "",Iterations[[#This Row],[Grad_d]]))</f>
        <v>-2.1020086411592268E-2</v>
      </c>
      <c r="R337" s="2">
        <f ca="1">IF(Iterations[[#This Row],[Step]] =current_step, current_Grad_e,IF(Iterations[[#This Row],[Step]] &gt; current_step, "",Iterations[[#This Row],[Grad_e]]))</f>
        <v>0.146881222475156</v>
      </c>
    </row>
    <row r="338" spans="6:18" x14ac:dyDescent="0.3">
      <c r="F338" s="2">
        <f t="shared" si="7"/>
        <v>321</v>
      </c>
      <c r="G338" s="2">
        <f ca="1">IF(Iterations[[#This Row],[Step]] =current_step, current_a,IF(Iterations[[#This Row],[Step]] &gt; current_step, "",Iterations[[#This Row],[a]]))</f>
        <v>-5.8031533596563625</v>
      </c>
      <c r="H338" s="2">
        <f ca="1">IF(Iterations[[#This Row],[Step]] =current_step, current_b,IF(Iterations[[#This Row],[Step]] &gt; current_step, "",Iterations[[#This Row],[b]]))</f>
        <v>0.6003269600606661</v>
      </c>
      <c r="I338" s="2">
        <f ca="1">IF(Iterations[[#This Row],[Step]] =current_step, current_c,IF(Iterations[[#This Row],[Step]] &gt; current_step, "",Iterations[[#This Row],[c]]))</f>
        <v>17.114199707820074</v>
      </c>
      <c r="J338" s="2">
        <f ca="1">IF(Iterations[[#This Row],[Step]] =current_step, current_d,IF(Iterations[[#This Row],[Step]] &gt; current_step, "",Iterations[[#This Row],[d]]))</f>
        <v>0.97874122945151609</v>
      </c>
      <c r="K338" s="2">
        <f ca="1">IF(Iterations[[#This Row],[Step]] =current_step, current_e,IF(Iterations[[#This Row],[Step]] &gt; current_step, "",Iterations[[#This Row],[e]]))</f>
        <v>12.777911826618613</v>
      </c>
      <c r="L338" s="2">
        <f ca="1">IF(Iterations[[#This Row],[Step]] =current_step, current_Total_Loss,IF(Iterations[[#This Row],[Step]] &gt; current_step, "",Iterations[[#This Row],[Total Loss]]))</f>
        <v>110.05</v>
      </c>
      <c r="M338" s="6" t="s">
        <v>27</v>
      </c>
      <c r="N338" s="2">
        <f ca="1">IF(Iterations[[#This Row],[Step]] =current_step, current_Grad_a,IF(Iterations[[#This Row],[Step]] &gt; current_step, "",Iterations[[#This Row],[Grad_a]]))</f>
        <v>0.1457143842241736</v>
      </c>
      <c r="O338" s="2">
        <f ca="1">IF(Iterations[[#This Row],[Step]] =current_step, current_Grad_b,IF(Iterations[[#This Row],[Step]] &gt; current_step, "",Iterations[[#This Row],[Grad_b]]))</f>
        <v>2.4262566300129733E-2</v>
      </c>
      <c r="P338" s="2">
        <f ca="1">IF(Iterations[[#This Row],[Step]] =current_step, current_Grad_c,IF(Iterations[[#This Row],[Step]] &gt; current_step, "",Iterations[[#This Row],[Grad_c]]))</f>
        <v>-0.40897380627374375</v>
      </c>
      <c r="Q338" s="2">
        <f ca="1">IF(Iterations[[#This Row],[Step]] =current_step, current_Grad_d,IF(Iterations[[#This Row],[Step]] &gt; current_step, "",Iterations[[#This Row],[Grad_d]]))</f>
        <v>-2.0905347416081386E-2</v>
      </c>
      <c r="R338" s="2">
        <f ca="1">IF(Iterations[[#This Row],[Step]] =current_step, current_Grad_e,IF(Iterations[[#This Row],[Step]] &gt; current_step, "",Iterations[[#This Row],[Grad_e]]))</f>
        <v>0.14588614292078045</v>
      </c>
    </row>
    <row r="339" spans="6:18" x14ac:dyDescent="0.3">
      <c r="F339" s="2">
        <f t="shared" si="7"/>
        <v>322</v>
      </c>
      <c r="G339" s="2">
        <f ca="1">IF(Iterations[[#This Row],[Step]] =current_step, current_a,IF(Iterations[[#This Row],[Step]] &gt; current_step, "",Iterations[[#This Row],[a]]))</f>
        <v>-5.8133533665520547</v>
      </c>
      <c r="H339" s="2">
        <f ca="1">IF(Iterations[[#This Row],[Step]] =current_step, current_b,IF(Iterations[[#This Row],[Step]] &gt; current_step, "",Iterations[[#This Row],[b]]))</f>
        <v>0.59862858041965705</v>
      </c>
      <c r="I339" s="2">
        <f ca="1">IF(Iterations[[#This Row],[Step]] =current_step, current_c,IF(Iterations[[#This Row],[Step]] &gt; current_step, "",Iterations[[#This Row],[c]]))</f>
        <v>17.142827874259236</v>
      </c>
      <c r="J339" s="2">
        <f ca="1">IF(Iterations[[#This Row],[Step]] =current_step, current_d,IF(Iterations[[#This Row],[Step]] &gt; current_step, "",Iterations[[#This Row],[d]]))</f>
        <v>0.98020460377064178</v>
      </c>
      <c r="K339" s="2">
        <f ca="1">IF(Iterations[[#This Row],[Step]] =current_step, current_e,IF(Iterations[[#This Row],[Step]] &gt; current_step, "",Iterations[[#This Row],[e]]))</f>
        <v>12.767699796614158</v>
      </c>
      <c r="L339" s="2">
        <f ca="1">IF(Iterations[[#This Row],[Step]] =current_step, current_Total_Loss,IF(Iterations[[#This Row],[Step]] &gt; current_step, "",Iterations[[#This Row],[Total Loss]]))</f>
        <v>109.79</v>
      </c>
      <c r="M339" s="6" t="s">
        <v>27</v>
      </c>
      <c r="N339" s="2">
        <f ca="1">IF(Iterations[[#This Row],[Step]] =current_step, current_Grad_a,IF(Iterations[[#This Row],[Step]] &gt; current_step, "",Iterations[[#This Row],[Grad_a]]))</f>
        <v>0.14472850447566796</v>
      </c>
      <c r="O339" s="2">
        <f ca="1">IF(Iterations[[#This Row],[Step]] =current_step, current_Grad_b,IF(Iterations[[#This Row],[Step]] &gt; current_step, "",Iterations[[#This Row],[Grad_b]]))</f>
        <v>2.4111137348495435E-2</v>
      </c>
      <c r="P339" s="2">
        <f ca="1">IF(Iterations[[#This Row],[Step]] =current_step, current_Grad_c,IF(Iterations[[#This Row],[Step]] &gt; current_step, "",Iterations[[#This Row],[Grad_c]]))</f>
        <v>-0.40620422756976005</v>
      </c>
      <c r="Q339" s="2">
        <f ca="1">IF(Iterations[[#This Row],[Step]] =current_step, current_Grad_d,IF(Iterations[[#This Row],[Step]] &gt; current_step, "",Iterations[[#This Row],[Grad_d]]))</f>
        <v>-2.0790894683330247E-2</v>
      </c>
      <c r="R339" s="2">
        <f ca="1">IF(Iterations[[#This Row],[Step]] =current_step, current_Grad_e,IF(Iterations[[#This Row],[Step]] &gt; current_step, "",Iterations[[#This Row],[Grad_e]]))</f>
        <v>0.14489781711411512</v>
      </c>
    </row>
    <row r="340" spans="6:18" x14ac:dyDescent="0.3">
      <c r="F340" s="2">
        <f t="shared" si="7"/>
        <v>323</v>
      </c>
      <c r="G340" s="2">
        <f ca="1">IF(Iterations[[#This Row],[Step]] =current_step, current_a,IF(Iterations[[#This Row],[Step]] &gt; current_step, "",Iterations[[#This Row],[a]]))</f>
        <v>-5.8234843618653516</v>
      </c>
      <c r="H340" s="2">
        <f ca="1">IF(Iterations[[#This Row],[Step]] =current_step, current_b,IF(Iterations[[#This Row],[Step]] &gt; current_step, "",Iterations[[#This Row],[b]]))</f>
        <v>0.59694080080526235</v>
      </c>
      <c r="I340" s="2">
        <f ca="1">IF(Iterations[[#This Row],[Step]] =current_step, current_c,IF(Iterations[[#This Row],[Step]] &gt; current_step, "",Iterations[[#This Row],[c]]))</f>
        <v>17.17126217018912</v>
      </c>
      <c r="J340" s="2">
        <f ca="1">IF(Iterations[[#This Row],[Step]] =current_step, current_d,IF(Iterations[[#This Row],[Step]] &gt; current_step, "",Iterations[[#This Row],[d]]))</f>
        <v>0.98165996639847486</v>
      </c>
      <c r="K340" s="2">
        <f ca="1">IF(Iterations[[#This Row],[Step]] =current_step, current_e,IF(Iterations[[#This Row],[Step]] &gt; current_step, "",Iterations[[#This Row],[e]]))</f>
        <v>12.75755694941617</v>
      </c>
      <c r="L340" s="2">
        <f ca="1">IF(Iterations[[#This Row],[Step]] =current_step, current_Total_Loss,IF(Iterations[[#This Row],[Step]] &gt; current_step, "",Iterations[[#This Row],[Total Loss]]))</f>
        <v>109.53</v>
      </c>
      <c r="M340" s="6" t="s">
        <v>27</v>
      </c>
      <c r="N340" s="2">
        <f ca="1">IF(Iterations[[#This Row],[Step]] =current_step, current_Grad_a,IF(Iterations[[#This Row],[Step]] &gt; current_step, "",Iterations[[#This Row],[Grad_a]]))</f>
        <v>0.14374929298692926</v>
      </c>
      <c r="O340" s="2">
        <f ca="1">IF(Iterations[[#This Row],[Step]] =current_step, current_Grad_b,IF(Iterations[[#This Row],[Step]] &gt; current_step, "",Iterations[[#This Row],[Grad_b]]))</f>
        <v>2.3960505764987278E-2</v>
      </c>
      <c r="P340" s="2">
        <f ca="1">IF(Iterations[[#This Row],[Step]] =current_step, current_Grad_c,IF(Iterations[[#This Row],[Step]] &gt; current_step, "",Iterations[[#This Row],[Grad_c]]))</f>
        <v>-0.40345342671905488</v>
      </c>
      <c r="Q340" s="2">
        <f ca="1">IF(Iterations[[#This Row],[Step]] =current_step, current_Grad_d,IF(Iterations[[#This Row],[Step]] &gt; current_step, "",Iterations[[#This Row],[Grad_d]]))</f>
        <v>-2.0676735011806793E-2</v>
      </c>
      <c r="R340" s="2">
        <f ca="1">IF(Iterations[[#This Row],[Step]] =current_step, current_Grad_e,IF(Iterations[[#This Row],[Step]] &gt; current_step, "",Iterations[[#This Row],[Grad_e]]))</f>
        <v>0.14391619899656424</v>
      </c>
    </row>
    <row r="341" spans="6:18" x14ac:dyDescent="0.3">
      <c r="F341" s="2">
        <f t="shared" si="7"/>
        <v>324</v>
      </c>
      <c r="G341" s="2">
        <f ca="1">IF(Iterations[[#This Row],[Step]] =current_step, current_a,IF(Iterations[[#This Row],[Step]] &gt; current_step, "",Iterations[[#This Row],[a]]))</f>
        <v>-5.8335468123744363</v>
      </c>
      <c r="H341" s="2">
        <f ca="1">IF(Iterations[[#This Row],[Step]] =current_step, current_b,IF(Iterations[[#This Row],[Step]] &gt; current_step, "",Iterations[[#This Row],[b]]))</f>
        <v>0.59526356540171321</v>
      </c>
      <c r="I341" s="2">
        <f ca="1">IF(Iterations[[#This Row],[Step]] =current_step, current_c,IF(Iterations[[#This Row],[Step]] &gt; current_step, "",Iterations[[#This Row],[c]]))</f>
        <v>17.199503910059455</v>
      </c>
      <c r="J341" s="2">
        <f ca="1">IF(Iterations[[#This Row],[Step]] =current_step, current_d,IF(Iterations[[#This Row],[Step]] &gt; current_step, "",Iterations[[#This Row],[d]]))</f>
        <v>0.98310733784930138</v>
      </c>
      <c r="K341" s="2">
        <f ca="1">IF(Iterations[[#This Row],[Step]] =current_step, current_e,IF(Iterations[[#This Row],[Step]] &gt; current_step, "",Iterations[[#This Row],[e]]))</f>
        <v>12.747482815486411</v>
      </c>
      <c r="L341" s="2">
        <f ca="1">IF(Iterations[[#This Row],[Step]] =current_step, current_Total_Loss,IF(Iterations[[#This Row],[Step]] &gt; current_step, "",Iterations[[#This Row],[Total Loss]]))</f>
        <v>109.27</v>
      </c>
      <c r="M341" s="6" t="s">
        <v>27</v>
      </c>
      <c r="N341" s="2">
        <f ca="1">IF(Iterations[[#This Row],[Step]] =current_step, current_Grad_a,IF(Iterations[[#This Row],[Step]] &gt; current_step, "",Iterations[[#This Row],[Grad_a]]))</f>
        <v>0.14277670469193959</v>
      </c>
      <c r="O341" s="2">
        <f ca="1">IF(Iterations[[#This Row],[Step]] =current_step, current_Grad_b,IF(Iterations[[#This Row],[Step]] &gt; current_step, "",Iterations[[#This Row],[Grad_b]]))</f>
        <v>2.3810670205587928E-2</v>
      </c>
      <c r="P341" s="2">
        <f ca="1">IF(Iterations[[#This Row],[Step]] =current_step, current_Grad_c,IF(Iterations[[#This Row],[Step]] &gt; current_step, "",Iterations[[#This Row],[Grad_c]]))</f>
        <v>-0.40072127601141122</v>
      </c>
      <c r="Q341" s="2">
        <f ca="1">IF(Iterations[[#This Row],[Step]] =current_step, current_Grad_d,IF(Iterations[[#This Row],[Step]] &gt; current_step, "",Iterations[[#This Row],[Grad_d]]))</f>
        <v>-2.0562874998353423E-2</v>
      </c>
      <c r="R341" s="2">
        <f ca="1">IF(Iterations[[#This Row],[Step]] =current_step, current_Grad_e,IF(Iterations[[#This Row],[Step]] &gt; current_step, "",Iterations[[#This Row],[Grad_e]]))</f>
        <v>0.14294124282757814</v>
      </c>
    </row>
    <row r="342" spans="6:18" x14ac:dyDescent="0.3">
      <c r="F342" s="2">
        <f t="shared" si="7"/>
        <v>325</v>
      </c>
      <c r="G342" s="2">
        <f ca="1">IF(Iterations[[#This Row],[Step]] =current_step, current_a,IF(Iterations[[#This Row],[Step]] &gt; current_step, "",Iterations[[#This Row],[a]]))</f>
        <v>-5.8435411817028724</v>
      </c>
      <c r="H342" s="2">
        <f ca="1">IF(Iterations[[#This Row],[Step]] =current_step, current_b,IF(Iterations[[#This Row],[Step]] &gt; current_step, "",Iterations[[#This Row],[b]]))</f>
        <v>0.59359681848732204</v>
      </c>
      <c r="I342" s="2">
        <f ca="1">IF(Iterations[[#This Row],[Step]] =current_step, current_c,IF(Iterations[[#This Row],[Step]] &gt; current_step, "",Iterations[[#This Row],[c]]))</f>
        <v>17.227554399380253</v>
      </c>
      <c r="J342" s="2">
        <f ca="1">IF(Iterations[[#This Row],[Step]] =current_step, current_d,IF(Iterations[[#This Row],[Step]] &gt; current_step, "",Iterations[[#This Row],[d]]))</f>
        <v>0.98454673909918611</v>
      </c>
      <c r="K342" s="2">
        <f ca="1">IF(Iterations[[#This Row],[Step]] =current_step, current_e,IF(Iterations[[#This Row],[Step]] &gt; current_step, "",Iterations[[#This Row],[e]]))</f>
        <v>12.73747692848848</v>
      </c>
      <c r="L342" s="2">
        <f ca="1">IF(Iterations[[#This Row],[Step]] =current_step, current_Total_Loss,IF(Iterations[[#This Row],[Step]] &gt; current_step, "",Iterations[[#This Row],[Total Loss]]))</f>
        <v>109.01</v>
      </c>
      <c r="M342" s="6" t="s">
        <v>27</v>
      </c>
      <c r="N342" s="2">
        <f ca="1">IF(Iterations[[#This Row],[Step]] =current_step, current_Grad_a,IF(Iterations[[#This Row],[Step]] &gt; current_step, "",Iterations[[#This Row],[Grad_a]]))</f>
        <v>0.14181069482821951</v>
      </c>
      <c r="O342" s="2">
        <f ca="1">IF(Iterations[[#This Row],[Step]] =current_step, current_Grad_b,IF(Iterations[[#This Row],[Step]] &gt; current_step, "",Iterations[[#This Row],[Grad_b]]))</f>
        <v>2.3661629263280009E-2</v>
      </c>
      <c r="P342" s="2">
        <f ca="1">IF(Iterations[[#This Row],[Step]] =current_step, current_Grad_c,IF(Iterations[[#This Row],[Step]] &gt; current_step, "",Iterations[[#This Row],[Grad_c]]))</f>
        <v>-0.39800764861237753</v>
      </c>
      <c r="Q342" s="2">
        <f ca="1">IF(Iterations[[#This Row],[Step]] =current_step, current_Grad_d,IF(Iterations[[#This Row],[Step]] &gt; current_step, "",Iterations[[#This Row],[Grad_d]]))</f>
        <v>-2.0449321042218624E-2</v>
      </c>
      <c r="R342" s="2">
        <f ca="1">IF(Iterations[[#This Row],[Step]] =current_step, current_Grad_e,IF(Iterations[[#This Row],[Step]] &gt; current_step, "",Iterations[[#This Row],[Grad_e]]))</f>
        <v>0.1419729031822777</v>
      </c>
    </row>
    <row r="343" spans="6:18" x14ac:dyDescent="0.3">
      <c r="F343" s="2">
        <f t="shared" si="7"/>
        <v>326</v>
      </c>
      <c r="G343" s="2">
        <f ca="1">IF(Iterations[[#This Row],[Step]] =current_step, current_a,IF(Iterations[[#This Row],[Step]] &gt; current_step, "",Iterations[[#This Row],[a]]))</f>
        <v>-5.8534679303408481</v>
      </c>
      <c r="H343" s="2">
        <f ca="1">IF(Iterations[[#This Row],[Step]] =current_step, current_b,IF(Iterations[[#This Row],[Step]] &gt; current_step, "",Iterations[[#This Row],[b]]))</f>
        <v>0.59194050443889246</v>
      </c>
      <c r="I343" s="2">
        <f ca="1">IF(Iterations[[#This Row],[Step]] =current_step, current_c,IF(Iterations[[#This Row],[Step]] &gt; current_step, "",Iterations[[#This Row],[c]]))</f>
        <v>17.255414934783118</v>
      </c>
      <c r="J343" s="2">
        <f ca="1">IF(Iterations[[#This Row],[Step]] =current_step, current_d,IF(Iterations[[#This Row],[Step]] &gt; current_step, "",Iterations[[#This Row],[d]]))</f>
        <v>0.98597819157214139</v>
      </c>
      <c r="K343" s="2">
        <f ca="1">IF(Iterations[[#This Row],[Step]] =current_step, current_e,IF(Iterations[[#This Row],[Step]] &gt; current_step, "",Iterations[[#This Row],[e]]))</f>
        <v>12.72753882526572</v>
      </c>
      <c r="L343" s="2">
        <f ca="1">IF(Iterations[[#This Row],[Step]] =current_step, current_Total_Loss,IF(Iterations[[#This Row],[Step]] &gt; current_step, "",Iterations[[#This Row],[Total Loss]]))</f>
        <v>108.76</v>
      </c>
      <c r="M343" s="6" t="s">
        <v>27</v>
      </c>
      <c r="N343" s="2">
        <f ca="1">IF(Iterations[[#This Row],[Step]] =current_step, current_Grad_a,IF(Iterations[[#This Row],[Step]] &gt; current_step, "",Iterations[[#This Row],[Grad_a]]))</f>
        <v>0.14085121893566255</v>
      </c>
      <c r="O343" s="2">
        <f ca="1">IF(Iterations[[#This Row],[Step]] =current_step, current_Grad_b,IF(Iterations[[#This Row],[Step]] &gt; current_step, "",Iterations[[#This Row],[Grad_b]]))</f>
        <v>2.3513381469544441E-2</v>
      </c>
      <c r="P343" s="2">
        <f ca="1">IF(Iterations[[#This Row],[Step]] =current_step, current_Grad_c,IF(Iterations[[#This Row],[Step]] &gt; current_step, "",Iterations[[#This Row],[Grad_c]]))</f>
        <v>-0.39531241855678029</v>
      </c>
      <c r="Q343" s="2">
        <f ca="1">IF(Iterations[[#This Row],[Step]] =current_step, current_Grad_d,IF(Iterations[[#This Row],[Step]] &gt; current_step, "",Iterations[[#This Row],[Grad_d]]))</f>
        <v>-2.0336079349204696E-2</v>
      </c>
      <c r="R343" s="2">
        <f ca="1">IF(Iterations[[#This Row],[Step]] =current_step, current_Grad_e,IF(Iterations[[#This Row],[Step]] &gt; current_step, "",Iterations[[#This Row],[Grad_e]]))</f>
        <v>0.14101113494937245</v>
      </c>
    </row>
    <row r="344" spans="6:18" x14ac:dyDescent="0.3">
      <c r="F344" s="2">
        <f t="shared" si="7"/>
        <v>327</v>
      </c>
      <c r="G344" s="2">
        <f ca="1">IF(Iterations[[#This Row],[Step]] =current_step, current_a,IF(Iterations[[#This Row],[Step]] &gt; current_step, "",Iterations[[#This Row],[a]]))</f>
        <v>-5.8633275156663442</v>
      </c>
      <c r="H344" s="2">
        <f ca="1">IF(Iterations[[#This Row],[Step]] =current_step, current_b,IF(Iterations[[#This Row],[Step]] &gt; current_step, "",Iterations[[#This Row],[b]]))</f>
        <v>0.5902945677360244</v>
      </c>
      <c r="I344" s="2">
        <f ca="1">IF(Iterations[[#This Row],[Step]] =current_step, current_c,IF(Iterations[[#This Row],[Step]] &gt; current_step, "",Iterations[[#This Row],[c]]))</f>
        <v>17.283086804082092</v>
      </c>
      <c r="J344" s="2">
        <f ca="1">IF(Iterations[[#This Row],[Step]] =current_step, current_d,IF(Iterations[[#This Row],[Step]] &gt; current_step, "",Iterations[[#This Row],[d]]))</f>
        <v>0.98740171712658575</v>
      </c>
      <c r="K344" s="2">
        <f ca="1">IF(Iterations[[#This Row],[Step]] =current_step, current_e,IF(Iterations[[#This Row],[Step]] &gt; current_step, "",Iterations[[#This Row],[e]]))</f>
        <v>12.717668045819265</v>
      </c>
      <c r="L344" s="2">
        <f ca="1">IF(Iterations[[#This Row],[Step]] =current_step, current_Total_Loss,IF(Iterations[[#This Row],[Step]] &gt; current_step, "",Iterations[[#This Row],[Total Loss]]))</f>
        <v>108.52</v>
      </c>
      <c r="M344" s="6" t="s">
        <v>27</v>
      </c>
      <c r="N344" s="2">
        <f ca="1">IF(Iterations[[#This Row],[Step]] =current_step, current_Grad_a,IF(Iterations[[#This Row],[Step]] &gt; current_step, "",Iterations[[#This Row],[Grad_a]]))</f>
        <v>0.13989823285355588</v>
      </c>
      <c r="O344" s="2">
        <f ca="1">IF(Iterations[[#This Row],[Step]] =current_step, current_Grad_b,IF(Iterations[[#This Row],[Step]] &gt; current_step, "",Iterations[[#This Row],[Grad_b]]))</f>
        <v>2.33659252962479E-2</v>
      </c>
      <c r="P344" s="2">
        <f ca="1">IF(Iterations[[#This Row],[Step]] =current_step, current_Grad_c,IF(Iterations[[#This Row],[Step]] &gt; current_step, "",Iterations[[#This Row],[Grad_c]]))</f>
        <v>-0.39263546074303424</v>
      </c>
      <c r="Q344" s="2">
        <f ca="1">IF(Iterations[[#This Row],[Step]] =current_step, current_Grad_d,IF(Iterations[[#This Row],[Step]] &gt; current_step, "",Iterations[[#This Row],[Grad_d]]))</f>
        <v>-2.0223155935576061E-2</v>
      </c>
      <c r="R344" s="2">
        <f ca="1">IF(Iterations[[#This Row],[Step]] =current_step, current_Grad_e,IF(Iterations[[#This Row],[Step]] &gt; current_step, "",Iterations[[#This Row],[Grad_e]]))</f>
        <v>0.14005589332875268</v>
      </c>
    </row>
    <row r="345" spans="6:18" x14ac:dyDescent="0.3">
      <c r="F345" s="2">
        <f t="shared" si="7"/>
        <v>328</v>
      </c>
      <c r="G345" s="2">
        <f ca="1">IF(Iterations[[#This Row],[Step]] =current_step, current_a,IF(Iterations[[#This Row],[Step]] &gt; current_step, "",Iterations[[#This Row],[a]]))</f>
        <v>-5.8731203919660935</v>
      </c>
      <c r="H345" s="2">
        <f ca="1">IF(Iterations[[#This Row],[Step]] =current_step, current_b,IF(Iterations[[#This Row],[Step]] &gt; current_step, "",Iterations[[#This Row],[b]]))</f>
        <v>0.58865895296528703</v>
      </c>
      <c r="I345" s="2">
        <f ca="1">IF(Iterations[[#This Row],[Step]] =current_step, current_c,IF(Iterations[[#This Row],[Step]] &gt; current_step, "",Iterations[[#This Row],[c]]))</f>
        <v>17.310571286334106</v>
      </c>
      <c r="J345" s="2">
        <f ca="1">IF(Iterations[[#This Row],[Step]] =current_step, current_d,IF(Iterations[[#This Row],[Step]] &gt; current_step, "",Iterations[[#This Row],[d]]))</f>
        <v>0.98881733804207605</v>
      </c>
      <c r="K345" s="2">
        <f ca="1">IF(Iterations[[#This Row],[Step]] =current_step, current_e,IF(Iterations[[#This Row],[Step]] &gt; current_step, "",Iterations[[#This Row],[e]]))</f>
        <v>12.707864133286252</v>
      </c>
      <c r="L345" s="2">
        <f ca="1">IF(Iterations[[#This Row],[Step]] =current_step, current_Total_Loss,IF(Iterations[[#This Row],[Step]] &gt; current_step, "",Iterations[[#This Row],[Total Loss]]))</f>
        <v>108.27</v>
      </c>
      <c r="M345" s="6" t="s">
        <v>27</v>
      </c>
      <c r="N345" s="2">
        <f ca="1">IF(Iterations[[#This Row],[Step]] =current_step, current_Grad_a,IF(Iterations[[#This Row],[Step]] &gt; current_step, "",Iterations[[#This Row],[Grad_a]]))</f>
        <v>0.13895169271934737</v>
      </c>
      <c r="O345" s="2">
        <f ca="1">IF(Iterations[[#This Row],[Step]] =current_step, current_Grad_b,IF(Iterations[[#This Row],[Step]] &gt; current_step, "",Iterations[[#This Row],[Grad_b]]))</f>
        <v>2.321925915707896E-2</v>
      </c>
      <c r="P345" s="2">
        <f ca="1">IF(Iterations[[#This Row],[Step]] =current_step, current_Grad_c,IF(Iterations[[#This Row],[Step]] &gt; current_step, "",Iterations[[#This Row],[Grad_c]]))</f>
        <v>-0.38997665092678813</v>
      </c>
      <c r="Q345" s="2">
        <f ca="1">IF(Iterations[[#This Row],[Step]] =current_step, current_Grad_d,IF(Iterations[[#This Row],[Step]] &gt; current_step, "",Iterations[[#This Row],[Grad_d]]))</f>
        <v>-2.0110556632047812E-2</v>
      </c>
      <c r="R345" s="2">
        <f ca="1">IF(Iterations[[#This Row],[Step]] =current_step, current_Grad_e,IF(Iterations[[#This Row],[Step]] &gt; current_step, "",Iterations[[#This Row],[Grad_e]]))</f>
        <v>0.13910713382941312</v>
      </c>
    </row>
    <row r="346" spans="6:18" x14ac:dyDescent="0.3">
      <c r="F346" s="2">
        <f t="shared" si="7"/>
        <v>329</v>
      </c>
      <c r="G346" s="2">
        <f ca="1">IF(Iterations[[#This Row],[Step]] =current_step, current_a,IF(Iterations[[#This Row],[Step]] &gt; current_step, "",Iterations[[#This Row],[a]]))</f>
        <v>-5.8828470104564481</v>
      </c>
      <c r="H346" s="2">
        <f ca="1">IF(Iterations[[#This Row],[Step]] =current_step, current_b,IF(Iterations[[#This Row],[Step]] &gt; current_step, "",Iterations[[#This Row],[b]]))</f>
        <v>0.58703360482429146</v>
      </c>
      <c r="I346" s="2">
        <f ca="1">IF(Iterations[[#This Row],[Step]] =current_step, current_c,IF(Iterations[[#This Row],[Step]] &gt; current_step, "",Iterations[[#This Row],[c]]))</f>
        <v>17.337869651898981</v>
      </c>
      <c r="J346" s="2">
        <f ca="1">IF(Iterations[[#This Row],[Step]] =current_step, current_d,IF(Iterations[[#This Row],[Step]] &gt; current_step, "",Iterations[[#This Row],[d]]))</f>
        <v>0.99022507700631945</v>
      </c>
      <c r="K346" s="2">
        <f ca="1">IF(Iterations[[#This Row],[Step]] =current_step, current_e,IF(Iterations[[#This Row],[Step]] &gt; current_step, "",Iterations[[#This Row],[e]]))</f>
        <v>12.698126633918193</v>
      </c>
      <c r="L346" s="2">
        <f ca="1">IF(Iterations[[#This Row],[Step]] =current_step, current_Total_Loss,IF(Iterations[[#This Row],[Step]] &gt; current_step, "",Iterations[[#This Row],[Total Loss]]))</f>
        <v>108.03</v>
      </c>
      <c r="M346" s="6" t="s">
        <v>27</v>
      </c>
      <c r="N346" s="2">
        <f ca="1">IF(Iterations[[#This Row],[Step]] =current_step, current_Grad_a,IF(Iterations[[#This Row],[Step]] &gt; current_step, "",Iterations[[#This Row],[Grad_a]]))</f>
        <v>0.13801155496614037</v>
      </c>
      <c r="O346" s="2">
        <f ca="1">IF(Iterations[[#This Row],[Step]] =current_step, current_Grad_b,IF(Iterations[[#This Row],[Step]] &gt; current_step, "",Iterations[[#This Row],[Grad_b]]))</f>
        <v>2.3073381409358981E-2</v>
      </c>
      <c r="P346" s="2">
        <f ca="1">IF(Iterations[[#This Row],[Step]] =current_step, current_Grad_c,IF(Iterations[[#This Row],[Step]] &gt; current_step, "",Iterations[[#This Row],[Grad_c]]))</f>
        <v>-0.38733586571513151</v>
      </c>
      <c r="Q346" s="2">
        <f ca="1">IF(Iterations[[#This Row],[Step]] =current_step, current_Grad_d,IF(Iterations[[#This Row],[Step]] &gt; current_step, "",Iterations[[#This Row],[Grad_d]]))</f>
        <v>-1.9998287087549693E-2</v>
      </c>
      <c r="R346" s="2">
        <f ca="1">IF(Iterations[[#This Row],[Step]] =current_step, current_Grad_e,IF(Iterations[[#This Row],[Step]] &gt; current_step, "",Iterations[[#This Row],[Grad_e]]))</f>
        <v>0.13816481226717492</v>
      </c>
    </row>
    <row r="347" spans="6:18" x14ac:dyDescent="0.3">
      <c r="F347" s="2">
        <f t="shared" si="7"/>
        <v>330</v>
      </c>
      <c r="G347" s="2">
        <f ca="1">IF(Iterations[[#This Row],[Step]] =current_step, current_a,IF(Iterations[[#This Row],[Step]] &gt; current_step, "",Iterations[[#This Row],[a]]))</f>
        <v>-5.8925078193040781</v>
      </c>
      <c r="H347" s="2">
        <f ca="1">IF(Iterations[[#This Row],[Step]] =current_step, current_b,IF(Iterations[[#This Row],[Step]] &gt; current_step, "",Iterations[[#This Row],[b]]))</f>
        <v>0.58541846812563636</v>
      </c>
      <c r="I347" s="2">
        <f ca="1">IF(Iterations[[#This Row],[Step]] =current_step, current_c,IF(Iterations[[#This Row],[Step]] &gt; current_step, "",Iterations[[#This Row],[c]]))</f>
        <v>17.364983162499041</v>
      </c>
      <c r="J347" s="2">
        <f ca="1">IF(Iterations[[#This Row],[Step]] =current_step, current_d,IF(Iterations[[#This Row],[Step]] &gt; current_step, "",Iterations[[#This Row],[d]]))</f>
        <v>0.99162495710244791</v>
      </c>
      <c r="K347" s="2">
        <f ca="1">IF(Iterations[[#This Row],[Step]] =current_step, current_e,IF(Iterations[[#This Row],[Step]] &gt; current_step, "",Iterations[[#This Row],[e]]))</f>
        <v>12.68845509705949</v>
      </c>
      <c r="L347" s="2">
        <f ca="1">IF(Iterations[[#This Row],[Step]] =current_step, current_Total_Loss,IF(Iterations[[#This Row],[Step]] &gt; current_step, "",Iterations[[#This Row],[Total Loss]]))</f>
        <v>107.79</v>
      </c>
      <c r="M347" s="6" t="s">
        <v>27</v>
      </c>
      <c r="N347" s="2">
        <f ca="1">IF(Iterations[[#This Row],[Step]] =current_step, current_Grad_a,IF(Iterations[[#This Row],[Step]] &gt; current_step, "",Iterations[[#This Row],[Grad_a]]))</f>
        <v>0.13707777632114868</v>
      </c>
      <c r="O347" s="2">
        <f ca="1">IF(Iterations[[#This Row],[Step]] =current_step, current_Grad_b,IF(Iterations[[#This Row],[Step]] &gt; current_step, "",Iterations[[#This Row],[Grad_b]]))</f>
        <v>2.2928290355429561E-2</v>
      </c>
      <c r="P347" s="2">
        <f ca="1">IF(Iterations[[#This Row],[Step]] =current_step, current_Grad_c,IF(Iterations[[#This Row],[Step]] &gt; current_step, "",Iterations[[#This Row],[Grad_c]]))</f>
        <v>-0.38471298256046826</v>
      </c>
      <c r="Q347" s="2">
        <f ca="1">IF(Iterations[[#This Row],[Step]] =current_step, current_Grad_d,IF(Iterations[[#This Row],[Step]] &gt; current_step, "",Iterations[[#This Row],[Grad_d]]))</f>
        <v>-1.9886352773060636E-2</v>
      </c>
      <c r="R347" s="2">
        <f ca="1">IF(Iterations[[#This Row],[Step]] =current_step, current_Grad_e,IF(Iterations[[#This Row],[Step]] &gt; current_step, "",Iterations[[#This Row],[Grad_e]]))</f>
        <v>0.13722888476258394</v>
      </c>
    </row>
    <row r="348" spans="6:18" x14ac:dyDescent="0.3">
      <c r="F348" s="2">
        <f t="shared" si="7"/>
        <v>331</v>
      </c>
      <c r="G348" s="2">
        <f ca="1">IF(Iterations[[#This Row],[Step]] =current_step, current_a,IF(Iterations[[#This Row],[Step]] &gt; current_step, "",Iterations[[#This Row],[a]]))</f>
        <v>-5.9021032636465582</v>
      </c>
      <c r="H348" s="2">
        <f ca="1">IF(Iterations[[#This Row],[Step]] =current_step, current_b,IF(Iterations[[#This Row],[Step]] &gt; current_step, "",Iterations[[#This Row],[b]]))</f>
        <v>0.58381348780075626</v>
      </c>
      <c r="I348" s="2">
        <f ca="1">IF(Iterations[[#This Row],[Step]] =current_step, current_c,IF(Iterations[[#This Row],[Step]] &gt; current_step, "",Iterations[[#This Row],[c]]))</f>
        <v>17.391913071278275</v>
      </c>
      <c r="J348" s="2">
        <f ca="1">IF(Iterations[[#This Row],[Step]] =current_step, current_d,IF(Iterations[[#This Row],[Step]] &gt; current_step, "",Iterations[[#This Row],[d]]))</f>
        <v>0.99301700179656216</v>
      </c>
      <c r="K348" s="2">
        <f ca="1">IF(Iterations[[#This Row],[Step]] =current_step, current_e,IF(Iterations[[#This Row],[Step]] &gt; current_step, "",Iterations[[#This Row],[e]]))</f>
        <v>12.678849075126109</v>
      </c>
      <c r="L348" s="2">
        <f ca="1">IF(Iterations[[#This Row],[Step]] =current_step, current_Total_Loss,IF(Iterations[[#This Row],[Step]] &gt; current_step, "",Iterations[[#This Row],[Total Loss]]))</f>
        <v>107.56</v>
      </c>
      <c r="M348" s="6" t="s">
        <v>27</v>
      </c>
      <c r="N348" s="2">
        <f ca="1">IF(Iterations[[#This Row],[Step]] =current_step, current_Grad_a,IF(Iterations[[#This Row],[Step]] &gt; current_step, "",Iterations[[#This Row],[Grad_a]]))</f>
        <v>0.13615031380317427</v>
      </c>
      <c r="O348" s="2">
        <f ca="1">IF(Iterations[[#This Row],[Step]] =current_step, current_Grad_b,IF(Iterations[[#This Row],[Step]] &gt; current_step, "",Iterations[[#This Row],[Grad_b]]))</f>
        <v>2.2783984244384509E-2</v>
      </c>
      <c r="P348" s="2">
        <f ca="1">IF(Iterations[[#This Row],[Step]] =current_step, current_Grad_c,IF(Iterations[[#This Row],[Step]] &gt; current_step, "",Iterations[[#This Row],[Grad_c]]))</f>
        <v>-0.38210787975483779</v>
      </c>
      <c r="Q348" s="2">
        <f ca="1">IF(Iterations[[#This Row],[Step]] =current_step, current_Grad_d,IF(Iterations[[#This Row],[Step]] &gt; current_step, "",Iterations[[#This Row],[Grad_d]]))</f>
        <v>-1.977475898524212E-2</v>
      </c>
      <c r="R348" s="2">
        <f ca="1">IF(Iterations[[#This Row],[Step]] =current_step, current_Grad_e,IF(Iterations[[#This Row],[Step]] &gt; current_step, "",Iterations[[#This Row],[Grad_e]]))</f>
        <v>0.13629930773863841</v>
      </c>
    </row>
    <row r="349" spans="6:18" x14ac:dyDescent="0.3">
      <c r="F349" s="2">
        <f t="shared" si="7"/>
        <v>332</v>
      </c>
      <c r="G349" s="2">
        <f ca="1">IF(Iterations[[#This Row],[Step]] =current_step, current_a,IF(Iterations[[#This Row],[Step]] &gt; current_step, "",Iterations[[#This Row],[a]]))</f>
        <v>-5.9116337856127803</v>
      </c>
      <c r="H349" s="2">
        <f ca="1">IF(Iterations[[#This Row],[Step]] =current_step, current_b,IF(Iterations[[#This Row],[Step]] &gt; current_step, "",Iterations[[#This Row],[b]]))</f>
        <v>0.58221860890364929</v>
      </c>
      <c r="I349" s="2">
        <f ca="1">IF(Iterations[[#This Row],[Step]] =current_step, current_c,IF(Iterations[[#This Row],[Step]] &gt; current_step, "",Iterations[[#This Row],[c]]))</f>
        <v>17.418660622861115</v>
      </c>
      <c r="J349" s="2">
        <f ca="1">IF(Iterations[[#This Row],[Step]] =current_step, current_d,IF(Iterations[[#This Row],[Step]] &gt; current_step, "",Iterations[[#This Row],[d]]))</f>
        <v>0.99440123492552912</v>
      </c>
      <c r="K349" s="2">
        <f ca="1">IF(Iterations[[#This Row],[Step]] =current_step, current_e,IF(Iterations[[#This Row],[Step]] &gt; current_step, "",Iterations[[#This Row],[e]]))</f>
        <v>12.669308123584404</v>
      </c>
      <c r="L349" s="2">
        <f ca="1">IF(Iterations[[#This Row],[Step]] =current_step, current_Total_Loss,IF(Iterations[[#This Row],[Step]] &gt; current_step, "",Iterations[[#This Row],[Total Loss]]))</f>
        <v>107.33</v>
      </c>
      <c r="M349" s="6" t="s">
        <v>27</v>
      </c>
      <c r="N349" s="2">
        <f ca="1">IF(Iterations[[#This Row],[Step]] =current_step, current_Grad_a,IF(Iterations[[#This Row],[Step]] &gt; current_step, "",Iterations[[#This Row],[Grad_a]]))</f>
        <v>0.13522912472120963</v>
      </c>
      <c r="O349" s="2">
        <f ca="1">IF(Iterations[[#This Row],[Step]] =current_step, current_Grad_b,IF(Iterations[[#This Row],[Step]] &gt; current_step, "",Iterations[[#This Row],[Grad_b]]))</f>
        <v>2.2640461273422466E-2</v>
      </c>
      <c r="P349" s="2">
        <f ca="1">IF(Iterations[[#This Row],[Step]] =current_step, current_Grad_c,IF(Iterations[[#This Row],[Step]] &gt; current_step, "",Iterations[[#This Row],[Grad_c]]))</f>
        <v>-0.37952043642381894</v>
      </c>
      <c r="Q349" s="2">
        <f ca="1">IF(Iterations[[#This Row],[Step]] =current_step, current_Grad_d,IF(Iterations[[#This Row],[Step]] &gt; current_step, "",Iterations[[#This Row],[Grad_d]]))</f>
        <v>-1.9663510850116566E-2</v>
      </c>
      <c r="R349" s="2">
        <f ca="1">IF(Iterations[[#This Row],[Step]] =current_step, current_Grad_e,IF(Iterations[[#This Row],[Step]] &gt; current_step, "",Iterations[[#This Row],[Grad_e]]))</f>
        <v>0.13537603791875855</v>
      </c>
    </row>
    <row r="350" spans="6:18" x14ac:dyDescent="0.3">
      <c r="F350" s="2">
        <f t="shared" si="7"/>
        <v>333</v>
      </c>
      <c r="G350" s="2">
        <f ca="1">IF(Iterations[[#This Row],[Step]] =current_step, current_a,IF(Iterations[[#This Row],[Step]] &gt; current_step, "",Iterations[[#This Row],[a]]))</f>
        <v>-5.9210998243432647</v>
      </c>
      <c r="H350" s="2">
        <f ca="1">IF(Iterations[[#This Row],[Step]] =current_step, current_b,IF(Iterations[[#This Row],[Step]] &gt; current_step, "",Iterations[[#This Row],[b]]))</f>
        <v>0.58063377661450977</v>
      </c>
      <c r="I350" s="2">
        <f ca="1">IF(Iterations[[#This Row],[Step]] =current_step, current_c,IF(Iterations[[#This Row],[Step]] &gt; current_step, "",Iterations[[#This Row],[c]]))</f>
        <v>17.445227053410783</v>
      </c>
      <c r="J350" s="2">
        <f ca="1">IF(Iterations[[#This Row],[Step]] =current_step, current_d,IF(Iterations[[#This Row],[Step]] &gt; current_step, "",Iterations[[#This Row],[d]]))</f>
        <v>0.99577768068503725</v>
      </c>
      <c r="K350" s="2">
        <f ca="1">IF(Iterations[[#This Row],[Step]] =current_step, current_e,IF(Iterations[[#This Row],[Step]] &gt; current_step, "",Iterations[[#This Row],[e]]))</f>
        <v>12.659831800930091</v>
      </c>
      <c r="L350" s="2">
        <f ca="1">IF(Iterations[[#This Row],[Step]] =current_step, current_Total_Loss,IF(Iterations[[#This Row],[Step]] &gt; current_step, "",Iterations[[#This Row],[Total Loss]]))</f>
        <v>107.1</v>
      </c>
      <c r="M350" s="6" t="s">
        <v>27</v>
      </c>
      <c r="N350" s="2">
        <f ca="1">IF(Iterations[[#This Row],[Step]] =current_step, current_Grad_a,IF(Iterations[[#This Row],[Step]] &gt; current_step, "",Iterations[[#This Row],[Grad_a]]))</f>
        <v>0.13431416667207463</v>
      </c>
      <c r="O350" s="2">
        <f ca="1">IF(Iterations[[#This Row],[Step]] =current_step, current_Grad_b,IF(Iterations[[#This Row],[Step]] &gt; current_step, "",Iterations[[#This Row],[Grad_b]]))</f>
        <v>2.2497719589476488E-2</v>
      </c>
      <c r="P350" s="2">
        <f ca="1">IF(Iterations[[#This Row],[Step]] =current_step, current_Grad_c,IF(Iterations[[#This Row],[Step]] &gt; current_step, "",Iterations[[#This Row],[Grad_c]]))</f>
        <v>-0.37695053252087857</v>
      </c>
      <c r="Q350" s="2">
        <f ca="1">IF(Iterations[[#This Row],[Step]] =current_step, current_Grad_d,IF(Iterations[[#This Row],[Step]] &gt; current_step, "",Iterations[[#This Row],[Grad_d]]))</f>
        <v>-1.9552613326576603E-2</v>
      </c>
      <c r="R350" s="2">
        <f ca="1">IF(Iterations[[#This Row],[Step]] =current_step, current_Grad_e,IF(Iterations[[#This Row],[Step]] &gt; current_step, "",Iterations[[#This Row],[Grad_e]]))</f>
        <v>0.13445903232457607</v>
      </c>
    </row>
    <row r="351" spans="6:18" x14ac:dyDescent="0.3">
      <c r="F351" s="2">
        <f t="shared" si="7"/>
        <v>334</v>
      </c>
      <c r="G351" s="2">
        <f ca="1">IF(Iterations[[#This Row],[Step]] =current_step, current_a,IF(Iterations[[#This Row],[Step]] &gt; current_step, "",Iterations[[#This Row],[a]]))</f>
        <v>-5.9305018160103096</v>
      </c>
      <c r="H351" s="2">
        <f ca="1">IF(Iterations[[#This Row],[Step]] =current_step, current_b,IF(Iterations[[#This Row],[Step]] &gt; current_step, "",Iterations[[#This Row],[b]]))</f>
        <v>0.57905893624324645</v>
      </c>
      <c r="I351" s="2">
        <f ca="1">IF(Iterations[[#This Row],[Step]] =current_step, current_c,IF(Iterations[[#This Row],[Step]] &gt; current_step, "",Iterations[[#This Row],[c]]))</f>
        <v>17.471613590687245</v>
      </c>
      <c r="J351" s="2">
        <f ca="1">IF(Iterations[[#This Row],[Step]] =current_step, current_d,IF(Iterations[[#This Row],[Step]] &gt; current_step, "",Iterations[[#This Row],[d]]))</f>
        <v>0.99714636361789766</v>
      </c>
      <c r="K351" s="2">
        <f ca="1">IF(Iterations[[#This Row],[Step]] =current_step, current_e,IF(Iterations[[#This Row],[Step]] &gt; current_step, "",Iterations[[#This Row],[e]]))</f>
        <v>12.65041966866737</v>
      </c>
      <c r="L351" s="2">
        <f ca="1">IF(Iterations[[#This Row],[Step]] =current_step, current_Total_Loss,IF(Iterations[[#This Row],[Step]] &gt; current_step, "",Iterations[[#This Row],[Total Loss]]))</f>
        <v>106.88</v>
      </c>
      <c r="M351" s="6" t="s">
        <v>27</v>
      </c>
      <c r="N351" s="2">
        <f ca="1">IF(Iterations[[#This Row],[Step]] =current_step, current_Grad_a,IF(Iterations[[#This Row],[Step]] &gt; current_step, "",Iterations[[#This Row],[Grad_a]]))</f>
        <v>0.13340539753878866</v>
      </c>
      <c r="O351" s="2">
        <f ca="1">IF(Iterations[[#This Row],[Step]] =current_step, current_Grad_b,IF(Iterations[[#This Row],[Step]] &gt; current_step, "",Iterations[[#This Row],[Grad_b]]))</f>
        <v>2.2355757290536182E-2</v>
      </c>
      <c r="P351" s="2">
        <f ca="1">IF(Iterations[[#This Row],[Step]] =current_step, current_Grad_c,IF(Iterations[[#This Row],[Step]] &gt; current_step, "",Iterations[[#This Row],[Grad_c]]))</f>
        <v>-0.37439804882147698</v>
      </c>
      <c r="Q351" s="2">
        <f ca="1">IF(Iterations[[#This Row],[Step]] =current_step, current_Grad_d,IF(Iterations[[#This Row],[Step]] &gt; current_step, "",Iterations[[#This Row],[Grad_d]]))</f>
        <v>-1.9442071209922734E-2</v>
      </c>
      <c r="R351" s="2">
        <f ca="1">IF(Iterations[[#This Row],[Step]] =current_step, current_Grad_e,IF(Iterations[[#This Row],[Step]] &gt; current_step, "",Iterations[[#This Row],[Grad_e]]))</f>
        <v>0.13354824827386627</v>
      </c>
    </row>
    <row r="352" spans="6:18" x14ac:dyDescent="0.3">
      <c r="F352" s="2">
        <f t="shared" si="7"/>
        <v>335</v>
      </c>
      <c r="G352" s="2">
        <f ca="1">IF(Iterations[[#This Row],[Step]] =current_step, current_a,IF(Iterations[[#This Row],[Step]] &gt; current_step, "",Iterations[[#This Row],[a]]))</f>
        <v>-5.939840193838025</v>
      </c>
      <c r="H352" s="2">
        <f ca="1">IF(Iterations[[#This Row],[Step]] =current_step, current_b,IF(Iterations[[#This Row],[Step]] &gt; current_step, "",Iterations[[#This Row],[b]]))</f>
        <v>0.57749403323290893</v>
      </c>
      <c r="I352" s="2">
        <f ca="1">IF(Iterations[[#This Row],[Step]] =current_step, current_c,IF(Iterations[[#This Row],[Step]] &gt; current_step, "",Iterations[[#This Row],[c]]))</f>
        <v>17.497821454104749</v>
      </c>
      <c r="J352" s="2">
        <f ca="1">IF(Iterations[[#This Row],[Step]] =current_step, current_d,IF(Iterations[[#This Row],[Step]] &gt; current_step, "",Iterations[[#This Row],[d]]))</f>
        <v>0.99850730860259229</v>
      </c>
      <c r="K352" s="2">
        <f ca="1">IF(Iterations[[#This Row],[Step]] =current_step, current_e,IF(Iterations[[#This Row],[Step]] &gt; current_step, "",Iterations[[#This Row],[e]]))</f>
        <v>12.641071291288199</v>
      </c>
      <c r="L352" s="2">
        <f ca="1">IF(Iterations[[#This Row],[Step]] =current_step, current_Total_Loss,IF(Iterations[[#This Row],[Step]] &gt; current_step, "",Iterations[[#This Row],[Total Loss]]))</f>
        <v>106.65</v>
      </c>
      <c r="M352" s="6" t="s">
        <v>27</v>
      </c>
      <c r="N352" s="2">
        <f ca="1">IF(Iterations[[#This Row],[Step]] =current_step, current_Grad_a,IF(Iterations[[#This Row],[Step]] &gt; current_step, "",Iterations[[#This Row],[Grad_a]]))</f>
        <v>0.13250277548836012</v>
      </c>
      <c r="O352" s="2">
        <f ca="1">IF(Iterations[[#This Row],[Step]] =current_step, current_Grad_b,IF(Iterations[[#This Row],[Step]] &gt; current_step, "",Iterations[[#This Row],[Grad_b]]))</f>
        <v>2.2214572427189952E-2</v>
      </c>
      <c r="P352" s="2">
        <f ca="1">IF(Iterations[[#This Row],[Step]] =current_step, current_Grad_c,IF(Iterations[[#This Row],[Step]] &gt; current_step, "",Iterations[[#This Row],[Grad_c]]))</f>
        <v>-0.37186286691744019</v>
      </c>
      <c r="Q352" s="2">
        <f ca="1">IF(Iterations[[#This Row],[Step]] =current_step, current_Grad_d,IF(Iterations[[#This Row],[Step]] &gt; current_step, "",Iterations[[#This Row],[Grad_d]]))</f>
        <v>-1.933188913524601E-2</v>
      </c>
      <c r="R352" s="2">
        <f ca="1">IF(Iterations[[#This Row],[Step]] =current_step, current_Grad_e,IF(Iterations[[#This Row],[Step]] &gt; current_step, "",Iterations[[#This Row],[Grad_e]]))</f>
        <v>0.13264364337841567</v>
      </c>
    </row>
    <row r="353" spans="6:18" x14ac:dyDescent="0.3">
      <c r="F353" s="2">
        <f t="shared" si="7"/>
        <v>336</v>
      </c>
      <c r="G353" s="2">
        <f ca="1">IF(Iterations[[#This Row],[Step]] =current_step, current_a,IF(Iterations[[#This Row],[Step]] &gt; current_step, "",Iterations[[#This Row],[a]]))</f>
        <v>-5.9491153881222099</v>
      </c>
      <c r="H353" s="2">
        <f ca="1">IF(Iterations[[#This Row],[Step]] =current_step, current_b,IF(Iterations[[#This Row],[Step]] &gt; current_step, "",Iterations[[#This Row],[b]]))</f>
        <v>0.57593901316300566</v>
      </c>
      <c r="I353" s="2">
        <f ca="1">IF(Iterations[[#This Row],[Step]] =current_step, current_c,IF(Iterations[[#This Row],[Step]] &gt; current_step, "",Iterations[[#This Row],[c]]))</f>
        <v>17.523851854788969</v>
      </c>
      <c r="J353" s="2">
        <f ca="1">IF(Iterations[[#This Row],[Step]] =current_step, current_d,IF(Iterations[[#This Row],[Step]] &gt; current_step, "",Iterations[[#This Row],[d]]))</f>
        <v>0.99986054084205955</v>
      </c>
      <c r="K353" s="2">
        <f ca="1">IF(Iterations[[#This Row],[Step]] =current_step, current_e,IF(Iterations[[#This Row],[Step]] &gt; current_step, "",Iterations[[#This Row],[e]]))</f>
        <v>12.63178623625171</v>
      </c>
      <c r="L353" s="2">
        <f ca="1">IF(Iterations[[#This Row],[Step]] =current_step, current_Total_Loss,IF(Iterations[[#This Row],[Step]] &gt; current_step, "",Iterations[[#This Row],[Total Loss]]))</f>
        <v>106.43</v>
      </c>
      <c r="M353" s="6" t="s">
        <v>27</v>
      </c>
      <c r="N353" s="2">
        <f ca="1">IF(Iterations[[#This Row],[Step]] =current_step, current_Grad_a,IF(Iterations[[#This Row],[Step]] &gt; current_step, "",Iterations[[#This Row],[Grad_a]]))</f>
        <v>0.13160625897014697</v>
      </c>
      <c r="O353" s="2">
        <f ca="1">IF(Iterations[[#This Row],[Step]] =current_step, current_Grad_b,IF(Iterations[[#This Row],[Step]] &gt; current_step, "",Iterations[[#This Row],[Grad_b]]))</f>
        <v>2.2074163003917204E-2</v>
      </c>
      <c r="P353" s="2">
        <f ca="1">IF(Iterations[[#This Row],[Step]] =current_step, current_Grad_c,IF(Iterations[[#This Row],[Step]] &gt; current_step, "",Iterations[[#This Row],[Grad_c]]))</f>
        <v>-0.36934486921116638</v>
      </c>
      <c r="Q353" s="2">
        <f ca="1">IF(Iterations[[#This Row],[Step]] =current_step, current_Grad_d,IF(Iterations[[#This Row],[Step]] &gt; current_step, "",Iterations[[#This Row],[Grad_d]]))</f>
        <v>-1.9222071580826647E-2</v>
      </c>
      <c r="R353" s="2">
        <f ca="1">IF(Iterations[[#This Row],[Step]] =current_step, current_Grad_e,IF(Iterations[[#This Row],[Step]] &gt; current_step, "",Iterations[[#This Row],[Grad_e]]))</f>
        <v>0.13174517554197263</v>
      </c>
    </row>
    <row r="354" spans="6:18" x14ac:dyDescent="0.3">
      <c r="F354" s="2">
        <f t="shared" si="7"/>
        <v>337</v>
      </c>
      <c r="G354" s="2">
        <f ca="1">IF(Iterations[[#This Row],[Step]] =current_step, current_a,IF(Iterations[[#This Row],[Step]] &gt; current_step, "",Iterations[[#This Row],[a]]))</f>
        <v>-5.9583278262501205</v>
      </c>
      <c r="H354" s="2">
        <f ca="1">IF(Iterations[[#This Row],[Step]] =current_step, current_b,IF(Iterations[[#This Row],[Step]] &gt; current_step, "",Iterations[[#This Row],[b]]))</f>
        <v>0.57439382175273146</v>
      </c>
      <c r="I354" s="2">
        <f ca="1">IF(Iterations[[#This Row],[Step]] =current_step, current_c,IF(Iterations[[#This Row],[Step]] &gt; current_step, "",Iterations[[#This Row],[c]]))</f>
        <v>17.549705995633751</v>
      </c>
      <c r="J354" s="2">
        <f ca="1">IF(Iterations[[#This Row],[Step]] =current_step, current_d,IF(Iterations[[#This Row],[Step]] &gt; current_step, "",Iterations[[#This Row],[d]]))</f>
        <v>1.0012060858527174</v>
      </c>
      <c r="K354" s="2">
        <f ca="1">IF(Iterations[[#This Row],[Step]] =current_step, current_e,IF(Iterations[[#This Row],[Step]] &gt; current_step, "",Iterations[[#This Row],[e]]))</f>
        <v>12.622564073963771</v>
      </c>
      <c r="L354" s="2">
        <f ca="1">IF(Iterations[[#This Row],[Step]] =current_step, current_Total_Loss,IF(Iterations[[#This Row],[Step]] &gt; current_step, "",Iterations[[#This Row],[Total Loss]]))</f>
        <v>106.22</v>
      </c>
      <c r="M354" s="6" t="s">
        <v>27</v>
      </c>
      <c r="N354" s="2">
        <f ca="1">IF(Iterations[[#This Row],[Step]] =current_step, current_Grad_a,IF(Iterations[[#This Row],[Step]] &gt; current_step, "",Iterations[[#This Row],[Grad_a]]))</f>
        <v>0.13071580671381941</v>
      </c>
      <c r="O354" s="2">
        <f ca="1">IF(Iterations[[#This Row],[Step]] =current_step, current_Grad_b,IF(Iterations[[#This Row],[Step]] &gt; current_step, "",Iterations[[#This Row],[Grad_b]]))</f>
        <v>2.193452698054241E-2</v>
      </c>
      <c r="P354" s="2">
        <f ca="1">IF(Iterations[[#This Row],[Step]] =current_step, current_Grad_c,IF(Iterations[[#This Row],[Step]] &gt; current_step, "",Iterations[[#This Row],[Grad_c]]))</f>
        <v>-0.36684393891003009</v>
      </c>
      <c r="Q354" s="2">
        <f ca="1">IF(Iterations[[#This Row],[Step]] =current_step, current_Grad_d,IF(Iterations[[#This Row],[Step]] &gt; current_step, "",Iterations[[#This Row],[Grad_d]]))</f>
        <v>-1.9112622871396947E-2</v>
      </c>
      <c r="R354" s="2">
        <f ca="1">IF(Iterations[[#This Row],[Step]] =current_step, current_Grad_e,IF(Iterations[[#This Row],[Step]] &gt; current_step, "",Iterations[[#This Row],[Grad_e]]))</f>
        <v>0.13085280295815938</v>
      </c>
    </row>
    <row r="355" spans="6:18" x14ac:dyDescent="0.3">
      <c r="F355" s="2">
        <f t="shared" si="7"/>
        <v>338</v>
      </c>
      <c r="G355" s="2">
        <f ca="1">IF(Iterations[[#This Row],[Step]] =current_step, current_a,IF(Iterations[[#This Row],[Step]] &gt; current_step, "",Iterations[[#This Row],[a]]))</f>
        <v>-5.9674779327200875</v>
      </c>
      <c r="H355" s="2">
        <f ca="1">IF(Iterations[[#This Row],[Step]] =current_step, current_b,IF(Iterations[[#This Row],[Step]] &gt; current_step, "",Iterations[[#This Row],[b]]))</f>
        <v>0.57285840486409345</v>
      </c>
      <c r="I355" s="2">
        <f ca="1">IF(Iterations[[#This Row],[Step]] =current_step, current_c,IF(Iterations[[#This Row],[Step]] &gt; current_step, "",Iterations[[#This Row],[c]]))</f>
        <v>17.575385071357452</v>
      </c>
      <c r="J355" s="2">
        <f ca="1">IF(Iterations[[#This Row],[Step]] =current_step, current_d,IF(Iterations[[#This Row],[Step]] &gt; current_step, "",Iterations[[#This Row],[d]]))</f>
        <v>1.0025439694537153</v>
      </c>
      <c r="K355" s="2">
        <f ca="1">IF(Iterations[[#This Row],[Step]] =current_step, current_e,IF(Iterations[[#This Row],[Step]] &gt; current_step, "",Iterations[[#This Row],[e]]))</f>
        <v>12.6134043777567</v>
      </c>
      <c r="L355" s="2">
        <f ca="1">IF(Iterations[[#This Row],[Step]] =current_step, current_Total_Loss,IF(Iterations[[#This Row],[Step]] &gt; current_step, "",Iterations[[#This Row],[Total Loss]]))</f>
        <v>106.01</v>
      </c>
      <c r="M355" s="6" t="s">
        <v>27</v>
      </c>
      <c r="N355" s="2">
        <f ca="1">IF(Iterations[[#This Row],[Step]] =current_step, current_Grad_a,IF(Iterations[[#This Row],[Step]] &gt; current_step, "",Iterations[[#This Row],[Grad_a]]))</f>
        <v>0.12983137772742387</v>
      </c>
      <c r="O355" s="2">
        <f ca="1">IF(Iterations[[#This Row],[Step]] =current_step, current_Grad_b,IF(Iterations[[#This Row],[Step]] &gt; current_step, "",Iterations[[#This Row],[Grad_b]]))</f>
        <v>2.1795662273556352E-2</v>
      </c>
      <c r="P355" s="2">
        <f ca="1">IF(Iterations[[#This Row],[Step]] =current_step, current_Grad_c,IF(Iterations[[#This Row],[Step]] &gt; current_step, "",Iterations[[#This Row],[Grad_c]]))</f>
        <v>-0.36435996002078797</v>
      </c>
      <c r="Q355" s="2">
        <f ca="1">IF(Iterations[[#This Row],[Step]] =current_step, current_Grad_d,IF(Iterations[[#This Row],[Step]] &gt; current_step, "",Iterations[[#This Row],[Grad_d]]))</f>
        <v>-1.9003547181389635E-2</v>
      </c>
      <c r="R355" s="2">
        <f ca="1">IF(Iterations[[#This Row],[Step]] =current_step, current_Grad_e,IF(Iterations[[#This Row],[Step]] &gt; current_step, "",Iterations[[#This Row],[Grad_e]]))</f>
        <v>0.12996648410841852</v>
      </c>
    </row>
    <row r="356" spans="6:18" x14ac:dyDescent="0.3">
      <c r="F356" s="2">
        <f t="shared" si="7"/>
        <v>339</v>
      </c>
      <c r="G356" s="2">
        <f ca="1">IF(Iterations[[#This Row],[Step]] =current_step, current_a,IF(Iterations[[#This Row],[Step]] &gt; current_step, "",Iterations[[#This Row],[a]]))</f>
        <v>-5.9765661291610073</v>
      </c>
      <c r="H356" s="2">
        <f ca="1">IF(Iterations[[#This Row],[Step]] =current_step, current_b,IF(Iterations[[#This Row],[Step]] &gt; current_step, "",Iterations[[#This Row],[b]]))</f>
        <v>0.57133270850494455</v>
      </c>
      <c r="I356" s="2">
        <f ca="1">IF(Iterations[[#This Row],[Step]] =current_step, current_c,IF(Iterations[[#This Row],[Step]] &gt; current_step, "",Iterations[[#This Row],[c]]))</f>
        <v>17.600890268558906</v>
      </c>
      <c r="J356" s="2">
        <f ca="1">IF(Iterations[[#This Row],[Step]] =current_step, current_d,IF(Iterations[[#This Row],[Step]] &gt; current_step, "",Iterations[[#This Row],[d]]))</f>
        <v>1.0038742177564126</v>
      </c>
      <c r="K356" s="2">
        <f ca="1">IF(Iterations[[#This Row],[Step]] =current_step, current_e,IF(Iterations[[#This Row],[Step]] &gt; current_step, "",Iterations[[#This Row],[e]]))</f>
        <v>12.60430672386911</v>
      </c>
      <c r="L356" s="2">
        <f ca="1">IF(Iterations[[#This Row],[Step]] =current_step, current_Total_Loss,IF(Iterations[[#This Row],[Step]] &gt; current_step, "",Iterations[[#This Row],[Total Loss]]))</f>
        <v>105.8</v>
      </c>
      <c r="M356" s="6" t="s">
        <v>27</v>
      </c>
      <c r="N356" s="2">
        <f ca="1">IF(Iterations[[#This Row],[Step]] =current_step, current_Grad_a,IF(Iterations[[#This Row],[Step]] &gt; current_step, "",Iterations[[#This Row],[Grad_a]]))</f>
        <v>0.1289529312956933</v>
      </c>
      <c r="O356" s="2">
        <f ca="1">IF(Iterations[[#This Row],[Step]] =current_step, current_Grad_b,IF(Iterations[[#This Row],[Step]] &gt; current_step, "",Iterations[[#This Row],[Grad_b]]))</f>
        <v>2.1657566757343885E-2</v>
      </c>
      <c r="P356" s="2">
        <f ca="1">IF(Iterations[[#This Row],[Step]] =current_step, current_Grad_c,IF(Iterations[[#This Row],[Step]] &gt; current_step, "",Iterations[[#This Row],[Grad_c]]))</f>
        <v>-0.36189281734394441</v>
      </c>
      <c r="Q356" s="2">
        <f ca="1">IF(Iterations[[#This Row],[Step]] =current_step, current_Grad_d,IF(Iterations[[#This Row],[Step]] &gt; current_step, "",Iterations[[#This Row],[Grad_d]]))</f>
        <v>-1.8894848538135351E-2</v>
      </c>
      <c r="R356" s="2">
        <f ca="1">IF(Iterations[[#This Row],[Step]] =current_step, current_Grad_e,IF(Iterations[[#This Row],[Step]] &gt; current_step, "",Iterations[[#This Row],[Grad_e]]))</f>
        <v>0.12908617775999887</v>
      </c>
    </row>
    <row r="357" spans="6:18" x14ac:dyDescent="0.3">
      <c r="F357" s="2">
        <f t="shared" si="7"/>
        <v>340</v>
      </c>
      <c r="G357" s="2">
        <f ca="1">IF(Iterations[[#This Row],[Step]] =current_step, current_a,IF(Iterations[[#This Row],[Step]] &gt; current_step, "",Iterations[[#This Row],[a]]))</f>
        <v>-5.9855928343517055</v>
      </c>
      <c r="H357" s="2">
        <f ca="1">IF(Iterations[[#This Row],[Step]] =current_step, current_b,IF(Iterations[[#This Row],[Step]] &gt; current_step, "",Iterations[[#This Row],[b]]))</f>
        <v>0.56981667883193043</v>
      </c>
      <c r="I357" s="2">
        <f ca="1">IF(Iterations[[#This Row],[Step]] =current_step, current_c,IF(Iterations[[#This Row],[Step]] &gt; current_step, "",Iterations[[#This Row],[c]]))</f>
        <v>17.626222765772983</v>
      </c>
      <c r="J357" s="2">
        <f ca="1">IF(Iterations[[#This Row],[Step]] =current_step, current_d,IF(Iterations[[#This Row],[Step]] &gt; current_step, "",Iterations[[#This Row],[d]]))</f>
        <v>1.0051968571540821</v>
      </c>
      <c r="K357" s="2">
        <f ca="1">IF(Iterations[[#This Row],[Step]] =current_step, current_e,IF(Iterations[[#This Row],[Step]] &gt; current_step, "",Iterations[[#This Row],[e]]))</f>
        <v>12.59527069142591</v>
      </c>
      <c r="L357" s="2">
        <f ca="1">IF(Iterations[[#This Row],[Step]] =current_step, current_Total_Loss,IF(Iterations[[#This Row],[Step]] &gt; current_step, "",Iterations[[#This Row],[Total Loss]]))</f>
        <v>105.59</v>
      </c>
      <c r="M357" s="6" t="s">
        <v>27</v>
      </c>
      <c r="N357" s="2">
        <f ca="1">IF(Iterations[[#This Row],[Step]] =current_step, current_Grad_a,IF(Iterations[[#This Row],[Step]] &gt; current_step, "",Iterations[[#This Row],[Grad_a]]))</f>
        <v>0.12808042697805055</v>
      </c>
      <c r="O357" s="2">
        <f ca="1">IF(Iterations[[#This Row],[Step]] =current_step, current_Grad_b,IF(Iterations[[#This Row],[Step]] &gt; current_step, "",Iterations[[#This Row],[Grad_b]]))</f>
        <v>2.1520238265585492E-2</v>
      </c>
      <c r="P357" s="2">
        <f ca="1">IF(Iterations[[#This Row],[Step]] =current_step, current_Grad_c,IF(Iterations[[#This Row],[Step]] &gt; current_step, "",Iterations[[#This Row],[Grad_c]]))</f>
        <v>-0.35944239646826798</v>
      </c>
      <c r="Q357" s="2">
        <f ca="1">IF(Iterations[[#This Row],[Step]] =current_step, current_Grad_d,IF(Iterations[[#This Row],[Step]] &gt; current_step, "",Iterations[[#This Row],[Grad_d]]))</f>
        <v>-1.8786530824938492E-2</v>
      </c>
      <c r="R357" s="2">
        <f ca="1">IF(Iterations[[#This Row],[Step]] =current_step, current_Grad_e,IF(Iterations[[#This Row],[Step]] &gt; current_step, "",Iterations[[#This Row],[Grad_e]]))</f>
        <v>0.12821184296392532</v>
      </c>
    </row>
    <row r="358" spans="6:18" x14ac:dyDescent="0.3">
      <c r="F358" s="2">
        <f t="shared" si="7"/>
        <v>341</v>
      </c>
      <c r="G358" s="2">
        <f ca="1">IF(Iterations[[#This Row],[Step]] =current_step, current_a,IF(Iterations[[#This Row],[Step]] &gt; current_step, "",Iterations[[#This Row],[a]]))</f>
        <v>-5.9945584642401695</v>
      </c>
      <c r="H358" s="2">
        <f ca="1">IF(Iterations[[#This Row],[Step]] =current_step, current_b,IF(Iterations[[#This Row],[Step]] &gt; current_step, "",Iterations[[#This Row],[b]]))</f>
        <v>0.56831026215333946</v>
      </c>
      <c r="I358" s="2">
        <f ca="1">IF(Iterations[[#This Row],[Step]] =current_step, current_c,IF(Iterations[[#This Row],[Step]] &gt; current_step, "",Iterations[[#This Row],[c]]))</f>
        <v>17.651383733525762</v>
      </c>
      <c r="J358" s="2">
        <f ca="1">IF(Iterations[[#This Row],[Step]] =current_step, current_d,IF(Iterations[[#This Row],[Step]] &gt; current_step, "",Iterations[[#This Row],[d]]))</f>
        <v>1.0065119143118277</v>
      </c>
      <c r="K358" s="2">
        <f ca="1">IF(Iterations[[#This Row],[Step]] =current_step, current_e,IF(Iterations[[#This Row],[Step]] &gt; current_step, "",Iterations[[#This Row],[e]]))</f>
        <v>12.586295862418435</v>
      </c>
      <c r="L358" s="2">
        <f ca="1">IF(Iterations[[#This Row],[Step]] =current_step, current_Total_Loss,IF(Iterations[[#This Row],[Step]] &gt; current_step, "",Iterations[[#This Row],[Total Loss]]))</f>
        <v>105.38</v>
      </c>
      <c r="M358" s="6" t="s">
        <v>27</v>
      </c>
      <c r="N358" s="2">
        <f ca="1">IF(Iterations[[#This Row],[Step]] =current_step, current_Grad_a,IF(Iterations[[#This Row],[Step]] &gt; current_step, "",Iterations[[#This Row],[Grad_a]]))</f>
        <v>0.12721382460670716</v>
      </c>
      <c r="O358" s="2">
        <f ca="1">IF(Iterations[[#This Row],[Step]] =current_step, current_Grad_b,IF(Iterations[[#This Row],[Step]] &gt; current_step, "",Iterations[[#This Row],[Grad_b]]))</f>
        <v>2.1383674592505168E-2</v>
      </c>
      <c r="P358" s="2">
        <f ca="1">IF(Iterations[[#This Row],[Step]] =current_step, current_Grad_c,IF(Iterations[[#This Row],[Step]] &gt; current_step, "",Iterations[[#This Row],[Grad_c]]))</f>
        <v>-0.35700858376533645</v>
      </c>
      <c r="Q358" s="2">
        <f ca="1">IF(Iterations[[#This Row],[Step]] =current_step, current_Grad_d,IF(Iterations[[#This Row],[Step]] &gt; current_step, "",Iterations[[#This Row],[Grad_d]]))</f>
        <v>-1.867859778413293E-2</v>
      </c>
      <c r="R358" s="2">
        <f ca="1">IF(Iterations[[#This Row],[Step]] =current_step, current_Grad_e,IF(Iterations[[#This Row],[Step]] &gt; current_step, "",Iterations[[#This Row],[Grad_e]]))</f>
        <v>0.12734343905296638</v>
      </c>
    </row>
    <row r="359" spans="6:18" x14ac:dyDescent="0.3">
      <c r="F359" s="2">
        <f t="shared" si="7"/>
        <v>342</v>
      </c>
      <c r="G359" s="2">
        <f ca="1">IF(Iterations[[#This Row],[Step]] =current_step, current_a,IF(Iterations[[#This Row],[Step]] &gt; current_step, "",Iterations[[#This Row],[a]]))</f>
        <v>-6.003463431962639</v>
      </c>
      <c r="H359" s="2">
        <f ca="1">IF(Iterations[[#This Row],[Step]] =current_step, current_b,IF(Iterations[[#This Row],[Step]] &gt; current_step, "",Iterations[[#This Row],[b]]))</f>
        <v>0.56681340493186405</v>
      </c>
      <c r="I359" s="2">
        <f ca="1">IF(Iterations[[#This Row],[Step]] =current_step, current_c,IF(Iterations[[#This Row],[Step]] &gt; current_step, "",Iterations[[#This Row],[c]]))</f>
        <v>17.676374334389337</v>
      </c>
      <c r="J359" s="2">
        <f ca="1">IF(Iterations[[#This Row],[Step]] =current_step, current_d,IF(Iterations[[#This Row],[Step]] &gt; current_step, "",Iterations[[#This Row],[d]]))</f>
        <v>1.0078194161567171</v>
      </c>
      <c r="K359" s="2">
        <f ca="1">IF(Iterations[[#This Row],[Step]] =current_step, current_e,IF(Iterations[[#This Row],[Step]] &gt; current_step, "",Iterations[[#This Row],[e]]))</f>
        <v>12.577381821684728</v>
      </c>
      <c r="L359" s="2">
        <f ca="1">IF(Iterations[[#This Row],[Step]] =current_step, current_Total_Loss,IF(Iterations[[#This Row],[Step]] &gt; current_step, "",Iterations[[#This Row],[Total Loss]]))</f>
        <v>105.18</v>
      </c>
      <c r="M359" s="6" t="s">
        <v>27</v>
      </c>
      <c r="N359" s="2">
        <f ca="1">IF(Iterations[[#This Row],[Step]] =current_step, current_Grad_a,IF(Iterations[[#This Row],[Step]] &gt; current_step, "",Iterations[[#This Row],[Grad_a]]))</f>
        <v>0.1263530842852072</v>
      </c>
      <c r="O359" s="2">
        <f ca="1">IF(Iterations[[#This Row],[Step]] =current_step, current_Grad_b,IF(Iterations[[#This Row],[Step]] &gt; current_step, "",Iterations[[#This Row],[Grad_b]]))</f>
        <v>2.1247873493930019E-2</v>
      </c>
      <c r="P359" s="2">
        <f ca="1">IF(Iterations[[#This Row],[Step]] =current_step, current_Grad_c,IF(Iterations[[#This Row],[Step]] &gt; current_step, "",Iterations[[#This Row],[Grad_c]]))</f>
        <v>-0.35459126638392829</v>
      </c>
      <c r="Q359" s="2">
        <f ca="1">IF(Iterations[[#This Row],[Step]] =current_step, current_Grad_d,IF(Iterations[[#This Row],[Step]] &gt; current_step, "",Iterations[[#This Row],[Grad_d]]))</f>
        <v>-1.8571053020147277E-2</v>
      </c>
      <c r="R359" s="2">
        <f ca="1">IF(Iterations[[#This Row],[Step]] =current_step, current_Grad_e,IF(Iterations[[#This Row],[Step]] &gt; current_step, "",Iterations[[#This Row],[Grad_e]]))</f>
        <v>0.12648092563972638</v>
      </c>
    </row>
    <row r="360" spans="6:18" x14ac:dyDescent="0.3">
      <c r="F360" s="2">
        <f t="shared" si="7"/>
        <v>343</v>
      </c>
      <c r="G360" s="2">
        <f ca="1">IF(Iterations[[#This Row],[Step]] =current_step, current_a,IF(Iterations[[#This Row],[Step]] &gt; current_step, "",Iterations[[#This Row],[a]]))</f>
        <v>-6.0123081478626039</v>
      </c>
      <c r="H360" s="2">
        <f ca="1">IF(Iterations[[#This Row],[Step]] =current_step, current_b,IF(Iterations[[#This Row],[Step]] &gt; current_step, "",Iterations[[#This Row],[b]]))</f>
        <v>0.56532605378728895</v>
      </c>
      <c r="I360" s="2">
        <f ca="1">IF(Iterations[[#This Row],[Step]] =current_step, current_c,IF(Iterations[[#This Row],[Step]] &gt; current_step, "",Iterations[[#This Row],[c]]))</f>
        <v>17.701195723036211</v>
      </c>
      <c r="J360" s="2">
        <f ca="1">IF(Iterations[[#This Row],[Step]] =current_step, current_d,IF(Iterations[[#This Row],[Step]] &gt; current_step, "",Iterations[[#This Row],[d]]))</f>
        <v>1.0091193898681274</v>
      </c>
      <c r="K360" s="2">
        <f ca="1">IF(Iterations[[#This Row],[Step]] =current_step, current_e,IF(Iterations[[#This Row],[Step]] &gt; current_step, "",Iterations[[#This Row],[e]]))</f>
        <v>12.568528156889947</v>
      </c>
      <c r="L360" s="2">
        <f ca="1">IF(Iterations[[#This Row],[Step]] =current_step, current_Total_Loss,IF(Iterations[[#This Row],[Step]] &gt; current_step, "",Iterations[[#This Row],[Total Loss]]))</f>
        <v>104.98</v>
      </c>
      <c r="M360" s="6" t="s">
        <v>27</v>
      </c>
      <c r="N360" s="2">
        <f ca="1">IF(Iterations[[#This Row],[Step]] =current_step, current_Grad_a,IF(Iterations[[#This Row],[Step]] &gt; current_step, "",Iterations[[#This Row],[Grad_a]]))</f>
        <v>0.12549816638580402</v>
      </c>
      <c r="O360" s="2">
        <f ca="1">IF(Iterations[[#This Row],[Step]] =current_step, current_Grad_b,IF(Iterations[[#This Row],[Step]] &gt; current_step, "",Iterations[[#This Row],[Grad_b]]))</f>
        <v>2.1112832688793839E-2</v>
      </c>
      <c r="P360" s="2">
        <f ca="1">IF(Iterations[[#This Row],[Step]] =current_step, current_Grad_c,IF(Iterations[[#This Row],[Step]] &gt; current_step, "",Iterations[[#This Row],[Grad_c]]))</f>
        <v>-0.35219033224494339</v>
      </c>
      <c r="Q360" s="2">
        <f ca="1">IF(Iterations[[#This Row],[Step]] =current_step, current_Grad_d,IF(Iterations[[#This Row],[Step]] &gt; current_step, "",Iterations[[#This Row],[Grad_d]]))</f>
        <v>-1.8463900002334072E-2</v>
      </c>
      <c r="R360" s="2">
        <f ca="1">IF(Iterations[[#This Row],[Step]] =current_step, current_Grad_e,IF(Iterations[[#This Row],[Step]] &gt; current_step, "",Iterations[[#This Row],[Grad_e]]))</f>
        <v>0.12562426261451165</v>
      </c>
    </row>
    <row r="361" spans="6:18" x14ac:dyDescent="0.3">
      <c r="F361" s="2">
        <f t="shared" si="7"/>
        <v>344</v>
      </c>
      <c r="G361" s="2">
        <f ca="1">IF(Iterations[[#This Row],[Step]] =current_step, current_a,IF(Iterations[[#This Row],[Step]] &gt; current_step, "",Iterations[[#This Row],[a]]))</f>
        <v>-6.0210930195096104</v>
      </c>
      <c r="H361" s="2">
        <f ca="1">IF(Iterations[[#This Row],[Step]] =current_step, current_b,IF(Iterations[[#This Row],[Step]] &gt; current_step, "",Iterations[[#This Row],[b]]))</f>
        <v>0.56384815549907341</v>
      </c>
      <c r="I361" s="2">
        <f ca="1">IF(Iterations[[#This Row],[Step]] =current_step, current_c,IF(Iterations[[#This Row],[Step]] &gt; current_step, "",Iterations[[#This Row],[c]]))</f>
        <v>17.725849046293355</v>
      </c>
      <c r="J361" s="2">
        <f ca="1">IF(Iterations[[#This Row],[Step]] =current_step, current_d,IF(Iterations[[#This Row],[Step]] &gt; current_step, "",Iterations[[#This Row],[d]]))</f>
        <v>1.0104118628682908</v>
      </c>
      <c r="K361" s="2">
        <f ca="1">IF(Iterations[[#This Row],[Step]] =current_step, current_e,IF(Iterations[[#This Row],[Step]] &gt; current_step, "",Iterations[[#This Row],[e]]))</f>
        <v>12.559734458506931</v>
      </c>
      <c r="L361" s="2">
        <f ca="1">IF(Iterations[[#This Row],[Step]] =current_step, current_Total_Loss,IF(Iterations[[#This Row],[Step]] &gt; current_step, "",Iterations[[#This Row],[Total Loss]]))</f>
        <v>104.79</v>
      </c>
      <c r="M361" s="6" t="s">
        <v>27</v>
      </c>
      <c r="N361" s="2">
        <f ca="1">IF(Iterations[[#This Row],[Step]] =current_step, current_Grad_a,IF(Iterations[[#This Row],[Step]] &gt; current_step, "",Iterations[[#This Row],[Grad_a]]))</f>
        <v>0.12464903154888488</v>
      </c>
      <c r="O361" s="2">
        <f ca="1">IF(Iterations[[#This Row],[Step]] =current_step, current_Grad_b,IF(Iterations[[#This Row],[Step]] &gt; current_step, "",Iterations[[#This Row],[Grad_b]]))</f>
        <v>2.097854986001213E-2</v>
      </c>
      <c r="P361" s="2">
        <f ca="1">IF(Iterations[[#This Row],[Step]] =current_step, current_Grad_c,IF(Iterations[[#This Row],[Step]] &gt; current_step, "",Iterations[[#This Row],[Grad_c]]))</f>
        <v>-0.34980567003552093</v>
      </c>
      <c r="Q361" s="2">
        <f ca="1">IF(Iterations[[#This Row],[Step]] =current_step, current_Grad_d,IF(Iterations[[#This Row],[Step]] &gt; current_step, "",Iterations[[#This Row],[Grad_d]]))</f>
        <v>-1.8357142067965446E-2</v>
      </c>
      <c r="R361" s="2">
        <f ca="1">IF(Iterations[[#This Row],[Step]] =current_step, current_Grad_e,IF(Iterations[[#This Row],[Step]] &gt; current_step, "",Iterations[[#This Row],[Grad_e]]))</f>
        <v>0.12477341014361788</v>
      </c>
    </row>
    <row r="362" spans="6:18" x14ac:dyDescent="0.3">
      <c r="F362" s="2">
        <f t="shared" si="7"/>
        <v>345</v>
      </c>
      <c r="G362" s="2">
        <f ca="1">IF(Iterations[[#This Row],[Step]] =current_step, current_a,IF(Iterations[[#This Row],[Step]] &gt; current_step, "",Iterations[[#This Row],[a]]))</f>
        <v>-6.0298184517180324</v>
      </c>
      <c r="H362" s="2">
        <f ca="1">IF(Iterations[[#This Row],[Step]] =current_step, current_b,IF(Iterations[[#This Row],[Step]] &gt; current_step, "",Iterations[[#This Row],[b]]))</f>
        <v>0.5623796570088726</v>
      </c>
      <c r="I362" s="2">
        <f ca="1">IF(Iterations[[#This Row],[Step]] =current_step, current_c,IF(Iterations[[#This Row],[Step]] &gt; current_step, "",Iterations[[#This Row],[c]]))</f>
        <v>17.750335443195841</v>
      </c>
      <c r="J362" s="2">
        <f ca="1">IF(Iterations[[#This Row],[Step]] =current_step, current_d,IF(Iterations[[#This Row],[Step]] &gt; current_step, "",Iterations[[#This Row],[d]]))</f>
        <v>1.0116968628130483</v>
      </c>
      <c r="K362" s="2">
        <f ca="1">IF(Iterations[[#This Row],[Step]] =current_step, current_e,IF(Iterations[[#This Row],[Step]] &gt; current_step, "",Iterations[[#This Row],[e]]))</f>
        <v>12.551000319796877</v>
      </c>
      <c r="L362" s="2">
        <f ca="1">IF(Iterations[[#This Row],[Step]] =current_step, current_Total_Loss,IF(Iterations[[#This Row],[Step]] &gt; current_step, "",Iterations[[#This Row],[Total Loss]]))</f>
        <v>104.59</v>
      </c>
      <c r="M362" s="6" t="s">
        <v>27</v>
      </c>
      <c r="N362" s="2">
        <f ca="1">IF(Iterations[[#This Row],[Step]] =current_step, current_Grad_a,IF(Iterations[[#This Row],[Step]] &gt; current_step, "",Iterations[[#This Row],[Grad_a]]))</f>
        <v>0.12380564067977061</v>
      </c>
      <c r="O362" s="2">
        <f ca="1">IF(Iterations[[#This Row],[Step]] =current_step, current_Grad_b,IF(Iterations[[#This Row],[Step]] &gt; current_step, "",Iterations[[#This Row],[Grad_b]]))</f>
        <v>2.084502265589188E-2</v>
      </c>
      <c r="P362" s="2">
        <f ca="1">IF(Iterations[[#This Row],[Step]] =current_step, current_Grad_c,IF(Iterations[[#This Row],[Step]] &gt; current_step, "",Iterations[[#This Row],[Grad_c]]))</f>
        <v>-0.34743716920429502</v>
      </c>
      <c r="Q362" s="2">
        <f ca="1">IF(Iterations[[#This Row],[Step]] =current_step, current_Grad_d,IF(Iterations[[#This Row],[Step]] &gt; current_step, "",Iterations[[#This Row],[Grad_d]]))</f>
        <v>-1.8250782424976537E-2</v>
      </c>
      <c r="R362" s="2">
        <f ca="1">IF(Iterations[[#This Row],[Step]] =current_step, current_Grad_e,IF(Iterations[[#This Row],[Step]] &gt; current_step, "",Iterations[[#This Row],[Grad_e]]))</f>
        <v>0.12392832866709942</v>
      </c>
    </row>
    <row r="363" spans="6:18" x14ac:dyDescent="0.3">
      <c r="F363" s="2">
        <f t="shared" si="7"/>
        <v>346</v>
      </c>
      <c r="G363" s="2">
        <f ca="1">IF(Iterations[[#This Row],[Step]] =current_step, current_a,IF(Iterations[[#This Row],[Step]] &gt; current_step, "",Iterations[[#This Row],[a]]))</f>
        <v>-6.0384848465656162</v>
      </c>
      <c r="H363" s="2">
        <f ca="1">IF(Iterations[[#This Row],[Step]] =current_step, current_b,IF(Iterations[[#This Row],[Step]] &gt; current_step, "",Iterations[[#This Row],[b]]))</f>
        <v>0.56092050542296013</v>
      </c>
      <c r="I363" s="2">
        <f ca="1">IF(Iterations[[#This Row],[Step]] =current_step, current_c,IF(Iterations[[#This Row],[Step]] &gt; current_step, "",Iterations[[#This Row],[c]]))</f>
        <v>17.774656045040143</v>
      </c>
      <c r="J363" s="2">
        <f ca="1">IF(Iterations[[#This Row],[Step]] =current_step, current_d,IF(Iterations[[#This Row],[Step]] &gt; current_step, "",Iterations[[#This Row],[d]]))</f>
        <v>1.0129744175827966</v>
      </c>
      <c r="K363" s="2">
        <f ca="1">IF(Iterations[[#This Row],[Step]] =current_step, current_e,IF(Iterations[[#This Row],[Step]] &gt; current_step, "",Iterations[[#This Row],[e]]))</f>
        <v>12.54232533679018</v>
      </c>
      <c r="L363" s="2">
        <f ca="1">IF(Iterations[[#This Row],[Step]] =current_step, current_Total_Loss,IF(Iterations[[#This Row],[Step]] &gt; current_step, "",Iterations[[#This Row],[Total Loss]]))</f>
        <v>104.4</v>
      </c>
      <c r="M363" s="6" t="s">
        <v>27</v>
      </c>
      <c r="N363" s="2">
        <f ca="1">IF(Iterations[[#This Row],[Step]] =current_step, current_Grad_a,IF(Iterations[[#This Row],[Step]] &gt; current_step, "",Iterations[[#This Row],[Grad_a]]))</f>
        <v>0.12296795494807305</v>
      </c>
      <c r="O363" s="2">
        <f ca="1">IF(Iterations[[#This Row],[Step]] =current_step, current_Grad_b,IF(Iterations[[#This Row],[Step]] &gt; current_step, "",Iterations[[#This Row],[Grad_b]]))</f>
        <v>2.0712248691084085E-2</v>
      </c>
      <c r="P363" s="2">
        <f ca="1">IF(Iterations[[#This Row],[Step]] =current_step, current_Grad_c,IF(Iterations[[#This Row],[Step]] &gt; current_step, "",Iterations[[#This Row],[Grad_c]]))</f>
        <v>-0.3450847199556219</v>
      </c>
      <c r="Q363" s="2">
        <f ca="1">IF(Iterations[[#This Row],[Step]] =current_step, current_Grad_d,IF(Iterations[[#This Row],[Step]] &gt; current_step, "",Iterations[[#This Row],[Grad_d]]))</f>
        <v>-1.8144824154801713E-2</v>
      </c>
      <c r="R363" s="2">
        <f ca="1">IF(Iterations[[#This Row],[Step]] =current_step, current_Grad_e,IF(Iterations[[#This Row],[Step]] &gt; current_step, "",Iterations[[#This Row],[Grad_e]]))</f>
        <v>0.12308897889707381</v>
      </c>
    </row>
    <row r="364" spans="6:18" x14ac:dyDescent="0.3">
      <c r="F364" s="2">
        <f t="shared" si="7"/>
        <v>347</v>
      </c>
      <c r="G364" s="2">
        <f ca="1">IF(Iterations[[#This Row],[Step]] =current_step, current_a,IF(Iterations[[#This Row],[Step]] &gt; current_step, "",Iterations[[#This Row],[a]]))</f>
        <v>-6.047092603411981</v>
      </c>
      <c r="H364" s="2">
        <f ca="1">IF(Iterations[[#This Row],[Step]] =current_step, current_b,IF(Iterations[[#This Row],[Step]] &gt; current_step, "",Iterations[[#This Row],[b]]))</f>
        <v>0.55947064801458424</v>
      </c>
      <c r="I364" s="2">
        <f ca="1">IF(Iterations[[#This Row],[Step]] =current_step, current_c,IF(Iterations[[#This Row],[Step]] &gt; current_step, "",Iterations[[#This Row],[c]]))</f>
        <v>17.798811975437037</v>
      </c>
      <c r="J364" s="2">
        <f ca="1">IF(Iterations[[#This Row],[Step]] =current_step, current_d,IF(Iterations[[#This Row],[Step]] &gt; current_step, "",Iterations[[#This Row],[d]]))</f>
        <v>1.0142445552736328</v>
      </c>
      <c r="K364" s="2">
        <f ca="1">IF(Iterations[[#This Row],[Step]] =current_step, current_e,IF(Iterations[[#This Row],[Step]] &gt; current_step, "",Iterations[[#This Row],[e]]))</f>
        <v>12.533709108267384</v>
      </c>
      <c r="L364" s="2">
        <f ca="1">IF(Iterations[[#This Row],[Step]] =current_step, current_Total_Loss,IF(Iterations[[#This Row],[Step]] &gt; current_step, "",Iterations[[#This Row],[Total Loss]]))</f>
        <v>104.21</v>
      </c>
      <c r="M364" s="6" t="s">
        <v>27</v>
      </c>
      <c r="N364" s="2">
        <f ca="1">IF(Iterations[[#This Row],[Step]] =current_step, current_Grad_a,IF(Iterations[[#This Row],[Step]] &gt; current_step, "",Iterations[[#This Row],[Grad_a]]))</f>
        <v>0.12213593578525067</v>
      </c>
      <c r="O364" s="2">
        <f ca="1">IF(Iterations[[#This Row],[Step]] =current_step, current_Grad_b,IF(Iterations[[#This Row],[Step]] &gt; current_step, "",Iterations[[#This Row],[Grad_b]]))</f>
        <v>2.0580225547812397E-2</v>
      </c>
      <c r="P364" s="2">
        <f ca="1">IF(Iterations[[#This Row],[Step]] =current_step, current_Grad_c,IF(Iterations[[#This Row],[Step]] &gt; current_step, "",Iterations[[#This Row],[Grad_c]]))</f>
        <v>-0.34274821324461224</v>
      </c>
      <c r="Q364" s="2">
        <f ca="1">IF(Iterations[[#This Row],[Step]] =current_step, current_Grad_d,IF(Iterations[[#This Row],[Step]] &gt; current_step, "",Iterations[[#This Row],[Grad_d]]))</f>
        <v>-1.8039270215061513E-2</v>
      </c>
      <c r="R364" s="2">
        <f ca="1">IF(Iterations[[#This Row],[Step]] =current_step, current_Grad_e,IF(Iterations[[#This Row],[Step]] &gt; current_step, "",Iterations[[#This Row],[Grad_e]]))</f>
        <v>0.12225532181566232</v>
      </c>
    </row>
    <row r="365" spans="6:18" x14ac:dyDescent="0.3">
      <c r="F365" s="2">
        <f t="shared" si="7"/>
        <v>348</v>
      </c>
      <c r="G365" s="2">
        <f ca="1">IF(Iterations[[#This Row],[Step]] =current_step, current_a,IF(Iterations[[#This Row],[Step]] &gt; current_step, "",Iterations[[#This Row],[a]]))</f>
        <v>-6.0556421189169489</v>
      </c>
      <c r="H365" s="2">
        <f ca="1">IF(Iterations[[#This Row],[Step]] =current_step, current_b,IF(Iterations[[#This Row],[Step]] &gt; current_step, "",Iterations[[#This Row],[b]]))</f>
        <v>0.55803003222623737</v>
      </c>
      <c r="I365" s="2">
        <f ca="1">IF(Iterations[[#This Row],[Step]] =current_step, current_c,IF(Iterations[[#This Row],[Step]] &gt; current_step, "",Iterations[[#This Row],[c]]))</f>
        <v>17.822804350364159</v>
      </c>
      <c r="J365" s="2">
        <f ca="1">IF(Iterations[[#This Row],[Step]] =current_step, current_d,IF(Iterations[[#This Row],[Step]] &gt; current_step, "",Iterations[[#This Row],[d]]))</f>
        <v>1.0155073041886871</v>
      </c>
      <c r="K365" s="2">
        <f ca="1">IF(Iterations[[#This Row],[Step]] =current_step, current_e,IF(Iterations[[#This Row],[Step]] &gt; current_step, "",Iterations[[#This Row],[e]]))</f>
        <v>12.525151235740289</v>
      </c>
      <c r="L365" s="2">
        <f ca="1">IF(Iterations[[#This Row],[Step]] =current_step, current_Total_Loss,IF(Iterations[[#This Row],[Step]] &gt; current_step, "",Iterations[[#This Row],[Total Loss]]))</f>
        <v>104.03</v>
      </c>
      <c r="M365" s="6" t="s">
        <v>27</v>
      </c>
      <c r="N365" s="2">
        <f ca="1">IF(Iterations[[#This Row],[Step]] =current_step, current_Grad_a,IF(Iterations[[#This Row],[Step]] &gt; current_step, "",Iterations[[#This Row],[Grad_a]]))</f>
        <v>0.1213095448831661</v>
      </c>
      <c r="O365" s="2">
        <f ca="1">IF(Iterations[[#This Row],[Step]] =current_step, current_Grad_b,IF(Iterations[[#This Row],[Step]] &gt; current_step, "",Iterations[[#This Row],[Grad_b]]))</f>
        <v>2.0448950776878434E-2</v>
      </c>
      <c r="P365" s="2">
        <f ca="1">IF(Iterations[[#This Row],[Step]] =current_step, current_Grad_c,IF(Iterations[[#This Row],[Step]] &gt; current_step, "",Iterations[[#This Row],[Grad_c]]))</f>
        <v>-0.34042754077177578</v>
      </c>
      <c r="Q365" s="2">
        <f ca="1">IF(Iterations[[#This Row],[Step]] =current_step, current_Grad_d,IF(Iterations[[#This Row],[Step]] &gt; current_step, "",Iterations[[#This Row],[Grad_d]]))</f>
        <v>-1.7934123442259246E-2</v>
      </c>
      <c r="R365" s="2">
        <f ca="1">IF(Iterations[[#This Row],[Step]] =current_step, current_Grad_e,IF(Iterations[[#This Row],[Step]] &gt; current_step, "",Iterations[[#This Row],[Grad_e]]))</f>
        <v>0.1214273186731586</v>
      </c>
    </row>
    <row r="366" spans="6:18" x14ac:dyDescent="0.3">
      <c r="F366" s="2">
        <f t="shared" si="7"/>
        <v>349</v>
      </c>
      <c r="G366" s="2">
        <f ca="1">IF(Iterations[[#This Row],[Step]] =current_step, current_a,IF(Iterations[[#This Row],[Step]] &gt; current_step, "",Iterations[[#This Row],[a]]))</f>
        <v>-6.0641337870587702</v>
      </c>
      <c r="H366" s="2">
        <f ca="1">IF(Iterations[[#This Row],[Step]] =current_step, current_b,IF(Iterations[[#This Row],[Step]] &gt; current_step, "",Iterations[[#This Row],[b]]))</f>
        <v>0.55659860567185593</v>
      </c>
      <c r="I366" s="2">
        <f ca="1">IF(Iterations[[#This Row],[Step]] =current_step, current_c,IF(Iterations[[#This Row],[Step]] &gt; current_step, "",Iterations[[#This Row],[c]]))</f>
        <v>17.846634278218183</v>
      </c>
      <c r="J366" s="2">
        <f ca="1">IF(Iterations[[#This Row],[Step]] =current_step, current_d,IF(Iterations[[#This Row],[Step]] &gt; current_step, "",Iterations[[#This Row],[d]]))</f>
        <v>1.0167626928296452</v>
      </c>
      <c r="K366" s="2">
        <f ca="1">IF(Iterations[[#This Row],[Step]] =current_step, current_e,IF(Iterations[[#This Row],[Step]] &gt; current_step, "",Iterations[[#This Row],[e]]))</f>
        <v>12.516651323433168</v>
      </c>
      <c r="L366" s="2">
        <f ca="1">IF(Iterations[[#This Row],[Step]] =current_step, current_Total_Loss,IF(Iterations[[#This Row],[Step]] &gt; current_step, "",Iterations[[#This Row],[Total Loss]]))</f>
        <v>103.84</v>
      </c>
      <c r="M366" s="6" t="s">
        <v>27</v>
      </c>
      <c r="N366" s="2">
        <f ca="1">IF(Iterations[[#This Row],[Step]] =current_step, current_Grad_a,IF(Iterations[[#This Row],[Step]] &gt; current_step, "",Iterations[[#This Row],[Grad_a]]))</f>
        <v>0.12048874419221282</v>
      </c>
      <c r="O366" s="2">
        <f ca="1">IF(Iterations[[#This Row],[Step]] =current_step, current_Grad_b,IF(Iterations[[#This Row],[Step]] &gt; current_step, "",Iterations[[#This Row],[Grad_b]]))</f>
        <v>2.031842189876951E-2</v>
      </c>
      <c r="P366" s="2">
        <f ca="1">IF(Iterations[[#This Row],[Step]] =current_step, current_Grad_c,IF(Iterations[[#This Row],[Step]] &gt; current_step, "",Iterations[[#This Row],[Grad_c]]))</f>
        <v>-0.33812259497789809</v>
      </c>
      <c r="Q366" s="2">
        <f ca="1">IF(Iterations[[#This Row],[Step]] =current_step, current_Grad_d,IF(Iterations[[#This Row],[Step]] &gt; current_step, "",Iterations[[#This Row],[Grad_d]]))</f>
        <v>-1.7829386554390456E-2</v>
      </c>
      <c r="R366" s="2">
        <f ca="1">IF(Iterations[[#This Row],[Step]] =current_step, current_Grad_e,IF(Iterations[[#This Row],[Step]] &gt; current_step, "",Iterations[[#This Row],[Grad_e]]))</f>
        <v>0.12060493098610998</v>
      </c>
    </row>
    <row r="367" spans="6:18" x14ac:dyDescent="0.3">
      <c r="F367" s="2">
        <f t="shared" si="7"/>
        <v>350</v>
      </c>
      <c r="G367" s="2">
        <f ca="1">IF(Iterations[[#This Row],[Step]] =current_step, current_a,IF(Iterations[[#This Row],[Step]] &gt; current_step, "",Iterations[[#This Row],[a]]))</f>
        <v>-6.0725679991522252</v>
      </c>
      <c r="H367" s="2">
        <f ca="1">IF(Iterations[[#This Row],[Step]] =current_step, current_b,IF(Iterations[[#This Row],[Step]] &gt; current_step, "",Iterations[[#This Row],[b]]))</f>
        <v>0.55517631613894203</v>
      </c>
      <c r="I367" s="2">
        <f ca="1">IF(Iterations[[#This Row],[Step]] =current_step, current_c,IF(Iterations[[#This Row],[Step]] &gt; current_step, "",Iterations[[#This Row],[c]]))</f>
        <v>17.870302859866637</v>
      </c>
      <c r="J367" s="2">
        <f ca="1">IF(Iterations[[#This Row],[Step]] =current_step, current_d,IF(Iterations[[#This Row],[Step]] &gt; current_step, "",Iterations[[#This Row],[d]]))</f>
        <v>1.0180107498884525</v>
      </c>
      <c r="K367" s="2">
        <f ca="1">IF(Iterations[[#This Row],[Step]] =current_step, current_e,IF(Iterations[[#This Row],[Step]] &gt; current_step, "",Iterations[[#This Row],[e]]))</f>
        <v>12.50820897826414</v>
      </c>
      <c r="L367" s="2">
        <f ca="1">IF(Iterations[[#This Row],[Step]] =current_step, current_Total_Loss,IF(Iterations[[#This Row],[Step]] &gt; current_step, "",Iterations[[#This Row],[Total Loss]]))</f>
        <v>103.66</v>
      </c>
      <c r="M367" s="6" t="s">
        <v>27</v>
      </c>
      <c r="N367" s="2">
        <f ca="1">IF(Iterations[[#This Row],[Step]] =current_step, current_Grad_a,IF(Iterations[[#This Row],[Step]] &gt; current_step, "",Iterations[[#This Row],[Grad_a]]))</f>
        <v>0.1196734959196066</v>
      </c>
      <c r="O367" s="2">
        <f ca="1">IF(Iterations[[#This Row],[Step]] =current_step, current_Grad_b,IF(Iterations[[#This Row],[Step]] &gt; current_step, "",Iterations[[#This Row],[Grad_b]]))</f>
        <v>2.0188636404682873E-2</v>
      </c>
      <c r="P367" s="2">
        <f ca="1">IF(Iterations[[#This Row],[Step]] =current_step, current_Grad_c,IF(Iterations[[#This Row],[Step]] &gt; current_step, "",Iterations[[#This Row],[Grad_c]]))</f>
        <v>-0.33583326903888389</v>
      </c>
      <c r="Q367" s="2">
        <f ca="1">IF(Iterations[[#This Row],[Step]] =current_step, current_Grad_d,IF(Iterations[[#This Row],[Step]] &gt; current_step, "",Iterations[[#This Row],[Grad_d]]))</f>
        <v>-1.7725062153518149E-2</v>
      </c>
      <c r="R367" s="2">
        <f ca="1">IF(Iterations[[#This Row],[Step]] =current_step, current_Grad_e,IF(Iterations[[#This Row],[Step]] &gt; current_step, "",Iterations[[#This Row],[Grad_e]]))</f>
        <v>0.11978812053545834</v>
      </c>
    </row>
    <row r="368" spans="6:18" x14ac:dyDescent="0.3">
      <c r="F368" s="2">
        <f t="shared" si="7"/>
        <v>351</v>
      </c>
      <c r="G368" s="2">
        <f ca="1">IF(Iterations[[#This Row],[Step]] =current_step, current_a,IF(Iterations[[#This Row],[Step]] &gt; current_step, "",Iterations[[#This Row],[a]]))</f>
        <v>-6.0809451438665976</v>
      </c>
      <c r="H368" s="2">
        <f ca="1">IF(Iterations[[#This Row],[Step]] =current_step, current_b,IF(Iterations[[#This Row],[Step]] &gt; current_step, "",Iterations[[#This Row],[b]]))</f>
        <v>0.5537631115906142</v>
      </c>
      <c r="I368" s="2">
        <f ca="1">IF(Iterations[[#This Row],[Step]] =current_step, current_c,IF(Iterations[[#This Row],[Step]] &gt; current_step, "",Iterations[[#This Row],[c]]))</f>
        <v>17.89381118869936</v>
      </c>
      <c r="J368" s="2">
        <f ca="1">IF(Iterations[[#This Row],[Step]] =current_step, current_d,IF(Iterations[[#This Row],[Step]] &gt; current_step, "",Iterations[[#This Row],[d]]))</f>
        <v>1.0192515042391987</v>
      </c>
      <c r="K368" s="2">
        <f ca="1">IF(Iterations[[#This Row],[Step]] =current_step, current_e,IF(Iterations[[#This Row],[Step]] &gt; current_step, "",Iterations[[#This Row],[e]]))</f>
        <v>12.499823809826658</v>
      </c>
      <c r="L368" s="2">
        <f ca="1">IF(Iterations[[#This Row],[Step]] =current_step, current_Total_Loss,IF(Iterations[[#This Row],[Step]] &gt; current_step, "",Iterations[[#This Row],[Total Loss]]))</f>
        <v>103.48</v>
      </c>
      <c r="M368" s="6" t="s">
        <v>27</v>
      </c>
      <c r="N368" s="2">
        <f ca="1">IF(Iterations[[#This Row],[Step]] =current_step, current_Grad_a,IF(Iterations[[#This Row],[Step]] &gt; current_step, "",Iterations[[#This Row],[Grad_a]]))</f>
        <v>0.11886376252761055</v>
      </c>
      <c r="O368" s="2">
        <f ca="1">IF(Iterations[[#This Row],[Step]] =current_step, current_Grad_b,IF(Iterations[[#This Row],[Step]] &gt; current_step, "",Iterations[[#This Row],[Grad_b]]))</f>
        <v>2.0059591757557796E-2</v>
      </c>
      <c r="P368" s="2">
        <f ca="1">IF(Iterations[[#This Row],[Step]] =current_step, current_Grad_c,IF(Iterations[[#This Row],[Step]] &gt; current_step, "",Iterations[[#This Row],[Grad_c]]))</f>
        <v>-0.33355945686067617</v>
      </c>
      <c r="Q368" s="2">
        <f ca="1">IF(Iterations[[#This Row],[Step]] =current_step, current_Grad_d,IF(Iterations[[#This Row],[Step]] &gt; current_step, "",Iterations[[#This Row],[Grad_d]]))</f>
        <v>-1.7621152728294107E-2</v>
      </c>
      <c r="R368" s="2">
        <f ca="1">IF(Iterations[[#This Row],[Step]] =current_step, current_Grad_e,IF(Iterations[[#This Row],[Step]] &gt; current_step, "",Iterations[[#This Row],[Grad_e]]))</f>
        <v>0.11897684936466479</v>
      </c>
    </row>
    <row r="369" spans="6:18" x14ac:dyDescent="0.3">
      <c r="F369" s="2">
        <f t="shared" si="7"/>
        <v>352</v>
      </c>
      <c r="G369" s="2">
        <f ca="1">IF(Iterations[[#This Row],[Step]] =current_step, current_a,IF(Iterations[[#This Row],[Step]] &gt; current_step, "",Iterations[[#This Row],[a]]))</f>
        <v>-6.0892656072435303</v>
      </c>
      <c r="H369" s="2">
        <f ca="1">IF(Iterations[[#This Row],[Step]] =current_step, current_b,IF(Iterations[[#This Row],[Step]] &gt; current_step, "",Iterations[[#This Row],[b]]))</f>
        <v>0.55235894016758513</v>
      </c>
      <c r="I369" s="2">
        <f ca="1">IF(Iterations[[#This Row],[Step]] =current_step, current_c,IF(Iterations[[#This Row],[Step]] &gt; current_step, "",Iterations[[#This Row],[c]]))</f>
        <v>17.917160350679605</v>
      </c>
      <c r="J369" s="2">
        <f ca="1">IF(Iterations[[#This Row],[Step]] =current_step, current_d,IF(Iterations[[#This Row],[Step]] &gt; current_step, "",Iterations[[#This Row],[d]]))</f>
        <v>1.0204849849301794</v>
      </c>
      <c r="K369" s="2">
        <f ca="1">IF(Iterations[[#This Row],[Step]] =current_step, current_e,IF(Iterations[[#This Row],[Step]] &gt; current_step, "",Iterations[[#This Row],[e]]))</f>
        <v>12.491495430371131</v>
      </c>
      <c r="L369" s="2">
        <f ca="1">IF(Iterations[[#This Row],[Step]] =current_step, current_Total_Loss,IF(Iterations[[#This Row],[Step]] &gt; current_step, "",Iterations[[#This Row],[Total Loss]]))</f>
        <v>103.31</v>
      </c>
      <c r="M369" s="6" t="s">
        <v>27</v>
      </c>
      <c r="N369" s="2">
        <f ca="1">IF(Iterations[[#This Row],[Step]] =current_step, current_Grad_a,IF(Iterations[[#This Row],[Step]] &gt; current_step, "",Iterations[[#This Row],[Grad_a]]))</f>
        <v>0.11805950673192747</v>
      </c>
      <c r="O369" s="2">
        <f ca="1">IF(Iterations[[#This Row],[Step]] =current_step, current_Grad_b,IF(Iterations[[#This Row],[Step]] &gt; current_step, "",Iterations[[#This Row],[Grad_b]]))</f>
        <v>1.9931285393078004E-2</v>
      </c>
      <c r="P369" s="2">
        <f ca="1">IF(Iterations[[#This Row],[Step]] =current_step, current_Grad_c,IF(Iterations[[#This Row],[Step]] &gt; current_step, "",Iterations[[#This Row],[Grad_c]]))</f>
        <v>-0.33130105307414787</v>
      </c>
      <c r="Q369" s="2">
        <f ca="1">IF(Iterations[[#This Row],[Step]] =current_step, current_Grad_d,IF(Iterations[[#This Row],[Step]] &gt; current_step, "",Iterations[[#This Row],[Grad_d]]))</f>
        <v>-1.7517660656423732E-2</v>
      </c>
      <c r="R369" s="2">
        <f ca="1">IF(Iterations[[#This Row],[Step]] =current_step, current_Grad_e,IF(Iterations[[#This Row],[Step]] &gt; current_step, "",Iterations[[#This Row],[Grad_e]]))</f>
        <v>0.11817107977787769</v>
      </c>
    </row>
    <row r="370" spans="6:18" x14ac:dyDescent="0.3">
      <c r="F370" s="2">
        <f t="shared" si="7"/>
        <v>353</v>
      </c>
      <c r="G370" s="2">
        <f ca="1">IF(Iterations[[#This Row],[Step]] =current_step, current_a,IF(Iterations[[#This Row],[Step]] &gt; current_step, "",Iterations[[#This Row],[a]]))</f>
        <v>-6.0975297727147648</v>
      </c>
      <c r="H370" s="2">
        <f ca="1">IF(Iterations[[#This Row],[Step]] =current_step, current_b,IF(Iterations[[#This Row],[Step]] &gt; current_step, "",Iterations[[#This Row],[b]]))</f>
        <v>0.55096375019006971</v>
      </c>
      <c r="I370" s="2">
        <f ca="1">IF(Iterations[[#This Row],[Step]] =current_step, current_c,IF(Iterations[[#This Row],[Step]] &gt; current_step, "",Iterations[[#This Row],[c]]))</f>
        <v>17.940351424394795</v>
      </c>
      <c r="J370" s="2">
        <f ca="1">IF(Iterations[[#This Row],[Step]] =current_step, current_d,IF(Iterations[[#This Row],[Step]] &gt; current_step, "",Iterations[[#This Row],[d]]))</f>
        <v>1.021711221176129</v>
      </c>
      <c r="K370" s="2">
        <f ca="1">IF(Iterations[[#This Row],[Step]] =current_step, current_e,IF(Iterations[[#This Row],[Step]] &gt; current_step, "",Iterations[[#This Row],[e]]))</f>
        <v>12.48322345478668</v>
      </c>
      <c r="L370" s="2">
        <f ca="1">IF(Iterations[[#This Row],[Step]] =current_step, current_Total_Loss,IF(Iterations[[#This Row],[Step]] &gt; current_step, "",Iterations[[#This Row],[Total Loss]]))</f>
        <v>103.13</v>
      </c>
      <c r="M370" s="6" t="s">
        <v>27</v>
      </c>
      <c r="N370" s="2">
        <f ca="1">IF(Iterations[[#This Row],[Step]] =current_step, current_Grad_a,IF(Iterations[[#This Row],[Step]] &gt; current_step, "",Iterations[[#This Row],[Grad_a]]))</f>
        <v>0.11726069149995662</v>
      </c>
      <c r="O370" s="2">
        <f ca="1">IF(Iterations[[#This Row],[Step]] =current_step, current_Grad_b,IF(Iterations[[#This Row],[Step]] &gt; current_step, "",Iterations[[#This Row],[Grad_b]]))</f>
        <v>1.9803714720597092E-2</v>
      </c>
      <c r="P370" s="2">
        <f ca="1">IF(Iterations[[#This Row],[Step]] =current_step, current_Grad_c,IF(Iterations[[#This Row],[Step]] &gt; current_step, "",Iterations[[#This Row],[Grad_c]]))</f>
        <v>-0.32905795303007523</v>
      </c>
      <c r="Q370" s="2">
        <f ca="1">IF(Iterations[[#This Row],[Step]] =current_step, current_Grad_d,IF(Iterations[[#This Row],[Step]] &gt; current_step, "",Iterations[[#This Row],[Grad_d]]))</f>
        <v>-1.7414588207123421E-2</v>
      </c>
      <c r="R370" s="2">
        <f ca="1">IF(Iterations[[#This Row],[Step]] =current_step, current_Grad_e,IF(Iterations[[#This Row],[Step]] &gt; current_step, "",Iterations[[#This Row],[Grad_e]]))</f>
        <v>0.1173707743381151</v>
      </c>
    </row>
    <row r="371" spans="6:18" x14ac:dyDescent="0.3">
      <c r="F371" s="2">
        <f t="shared" si="7"/>
        <v>354</v>
      </c>
      <c r="G371" s="2">
        <f ca="1">IF(Iterations[[#This Row],[Step]] =current_step, current_a,IF(Iterations[[#This Row],[Step]] &gt; current_step, "",Iterations[[#This Row],[a]]))</f>
        <v>-6.1057380211197616</v>
      </c>
      <c r="H371" s="2">
        <f ca="1">IF(Iterations[[#This Row],[Step]] =current_step, current_b,IF(Iterations[[#This Row],[Step]] &gt; current_step, "",Iterations[[#This Row],[b]]))</f>
        <v>0.54957749015962787</v>
      </c>
      <c r="I371" s="2">
        <f ca="1">IF(Iterations[[#This Row],[Step]] =current_step, current_c,IF(Iterations[[#This Row],[Step]] &gt; current_step, "",Iterations[[#This Row],[c]]))</f>
        <v>17.963385481106901</v>
      </c>
      <c r="J371" s="2">
        <f ca="1">IF(Iterations[[#This Row],[Step]] =current_step, current_d,IF(Iterations[[#This Row],[Step]] &gt; current_step, "",Iterations[[#This Row],[d]]))</f>
        <v>1.0229302423506277</v>
      </c>
      <c r="K371" s="2">
        <f ca="1">IF(Iterations[[#This Row],[Step]] =current_step, current_e,IF(Iterations[[#This Row],[Step]] &gt; current_step, "",Iterations[[#This Row],[e]]))</f>
        <v>12.475007500583011</v>
      </c>
      <c r="L371" s="2">
        <f ca="1">IF(Iterations[[#This Row],[Step]] =current_step, current_Total_Loss,IF(Iterations[[#This Row],[Step]] &gt; current_step, "",Iterations[[#This Row],[Total Loss]]))</f>
        <v>102.96</v>
      </c>
      <c r="M371" s="6" t="s">
        <v>27</v>
      </c>
      <c r="N371" s="2">
        <f ca="1">IF(Iterations[[#This Row],[Step]] =current_step, current_Grad_a,IF(Iterations[[#This Row],[Step]] &gt; current_step, "",Iterations[[#This Row],[Grad_a]]))</f>
        <v>0.11646728004899955</v>
      </c>
      <c r="O371" s="2">
        <f ca="1">IF(Iterations[[#This Row],[Step]] =current_step, current_Grad_b,IF(Iterations[[#This Row],[Step]] &gt; current_step, "",Iterations[[#This Row],[Grad_b]]))</f>
        <v>1.9676877124175637E-2</v>
      </c>
      <c r="P371" s="2">
        <f ca="1">IF(Iterations[[#This Row],[Step]] =current_step, current_Grad_c,IF(Iterations[[#This Row],[Step]] &gt; current_step, "",Iterations[[#This Row],[Grad_c]]))</f>
        <v>-0.32683005279420396</v>
      </c>
      <c r="Q371" s="2">
        <f ca="1">IF(Iterations[[#This Row],[Step]] =current_step, current_Grad_d,IF(Iterations[[#This Row],[Step]] &gt; current_step, "",Iterations[[#This Row],[Grad_d]]))</f>
        <v>-1.7311937543465779E-2</v>
      </c>
      <c r="R371" s="2">
        <f ca="1">IF(Iterations[[#This Row],[Step]] =current_step, current_Grad_e,IF(Iterations[[#This Row],[Step]] &gt; current_step, "",Iterations[[#This Row],[Grad_e]]))</f>
        <v>0.11657589586539746</v>
      </c>
    </row>
    <row r="372" spans="6:18" x14ac:dyDescent="0.3">
      <c r="F372" s="2">
        <f t="shared" si="7"/>
        <v>355</v>
      </c>
      <c r="G372" s="2">
        <f ca="1">IF(Iterations[[#This Row],[Step]] =current_step, current_a,IF(Iterations[[#This Row],[Step]] &gt; current_step, "",Iterations[[#This Row],[a]]))</f>
        <v>-6.1138907307231918</v>
      </c>
      <c r="H372" s="2">
        <f ca="1">IF(Iterations[[#This Row],[Step]] =current_step, current_b,IF(Iterations[[#This Row],[Step]] &gt; current_step, "",Iterations[[#This Row],[b]]))</f>
        <v>0.54820010876093561</v>
      </c>
      <c r="I372" s="2">
        <f ca="1">IF(Iterations[[#This Row],[Step]] =current_step, current_c,IF(Iterations[[#This Row],[Step]] &gt; current_step, "",Iterations[[#This Row],[c]]))</f>
        <v>17.986263584802494</v>
      </c>
      <c r="J372" s="2">
        <f ca="1">IF(Iterations[[#This Row],[Step]] =current_step, current_d,IF(Iterations[[#This Row],[Step]] &gt; current_step, "",Iterations[[#This Row],[d]]))</f>
        <v>1.0241420779786703</v>
      </c>
      <c r="K372" s="2">
        <f ca="1">IF(Iterations[[#This Row],[Step]] =current_step, current_e,IF(Iterations[[#This Row],[Step]] &gt; current_step, "",Iterations[[#This Row],[e]]))</f>
        <v>12.466847187872434</v>
      </c>
      <c r="L372" s="2">
        <f ca="1">IF(Iterations[[#This Row],[Step]] =current_step, current_Total_Loss,IF(Iterations[[#This Row],[Step]] &gt; current_step, "",Iterations[[#This Row],[Total Loss]]))</f>
        <v>102.79</v>
      </c>
      <c r="M372" s="6" t="s">
        <v>27</v>
      </c>
      <c r="N372" s="2">
        <f ca="1">IF(Iterations[[#This Row],[Step]] =current_step, current_Grad_a,IF(Iterations[[#This Row],[Step]] &gt; current_step, "",Iterations[[#This Row],[Grad_a]]))</f>
        <v>0.11567923584464973</v>
      </c>
      <c r="O372" s="2">
        <f ca="1">IF(Iterations[[#This Row],[Step]] =current_step, current_Grad_b,IF(Iterations[[#This Row],[Step]] &gt; current_step, "",Iterations[[#This Row],[Grad_b]]))</f>
        <v>1.9550769963456283E-2</v>
      </c>
      <c r="P372" s="2">
        <f ca="1">IF(Iterations[[#This Row],[Step]] =current_step, current_Grad_c,IF(Iterations[[#This Row],[Step]] &gt; current_step, "",Iterations[[#This Row],[Grad_c]]))</f>
        <v>-0.32461724914224632</v>
      </c>
      <c r="Q372" s="2">
        <f ca="1">IF(Iterations[[#This Row],[Step]] =current_step, current_Grad_d,IF(Iterations[[#This Row],[Step]] &gt; current_step, "",Iterations[[#This Row],[Grad_d]]))</f>
        <v>-1.7209710724736364E-2</v>
      </c>
      <c r="R372" s="2">
        <f ca="1">IF(Iterations[[#This Row],[Step]] =current_step, current_Grad_e,IF(Iterations[[#This Row],[Step]] &gt; current_step, "",Iterations[[#This Row],[Grad_e]]))</f>
        <v>0.11578640743497814</v>
      </c>
    </row>
    <row r="373" spans="6:18" x14ac:dyDescent="0.3">
      <c r="F373" s="2">
        <f t="shared" si="7"/>
        <v>356</v>
      </c>
      <c r="G373" s="2">
        <f ca="1">IF(Iterations[[#This Row],[Step]] =current_step, current_a,IF(Iterations[[#This Row],[Step]] &gt; current_step, "",Iterations[[#This Row],[a]]))</f>
        <v>-6.1219882772323171</v>
      </c>
      <c r="H373" s="2">
        <f ca="1">IF(Iterations[[#This Row],[Step]] =current_step, current_b,IF(Iterations[[#This Row],[Step]] &gt; current_step, "",Iterations[[#This Row],[b]]))</f>
        <v>0.54683155486349366</v>
      </c>
      <c r="I373" s="2">
        <f ca="1">IF(Iterations[[#This Row],[Step]] =current_step, current_c,IF(Iterations[[#This Row],[Step]] &gt; current_step, "",Iterations[[#This Row],[c]]))</f>
        <v>18.00898679224245</v>
      </c>
      <c r="J373" s="2">
        <f ca="1">IF(Iterations[[#This Row],[Step]] =current_step, current_d,IF(Iterations[[#This Row],[Step]] &gt; current_step, "",Iterations[[#This Row],[d]]))</f>
        <v>1.0253467577294018</v>
      </c>
      <c r="K373" s="2">
        <f ca="1">IF(Iterations[[#This Row],[Step]] =current_step, current_e,IF(Iterations[[#This Row],[Step]] &gt; current_step, "",Iterations[[#This Row],[e]]))</f>
        <v>12.458742139351985</v>
      </c>
      <c r="L373" s="2">
        <f ca="1">IF(Iterations[[#This Row],[Step]] =current_step, current_Total_Loss,IF(Iterations[[#This Row],[Step]] &gt; current_step, "",Iterations[[#This Row],[Total Loss]]))</f>
        <v>102.63</v>
      </c>
      <c r="M373" s="6" t="s">
        <v>27</v>
      </c>
      <c r="N373" s="2">
        <f ca="1">IF(Iterations[[#This Row],[Step]] =current_step, current_Grad_a,IF(Iterations[[#This Row],[Step]] &gt; current_step, "",Iterations[[#This Row],[Grad_a]]))</f>
        <v>0.11489652259927777</v>
      </c>
      <c r="O373" s="2">
        <f ca="1">IF(Iterations[[#This Row],[Step]] =current_step, current_Grad_b,IF(Iterations[[#This Row],[Step]] &gt; current_step, "",Iterations[[#This Row],[Grad_b]]))</f>
        <v>1.9425390574567578E-2</v>
      </c>
      <c r="P373" s="2">
        <f ca="1">IF(Iterations[[#This Row],[Step]] =current_step, current_Grad_c,IF(Iterations[[#This Row],[Step]] &gt; current_step, "",Iterations[[#This Row],[Grad_c]]))</f>
        <v>-0.32241943955490221</v>
      </c>
      <c r="Q373" s="2">
        <f ca="1">IF(Iterations[[#This Row],[Step]] =current_step, current_Grad_d,IF(Iterations[[#This Row],[Step]] &gt; current_step, "",Iterations[[#This Row],[Grad_d]]))</f>
        <v>-1.7107909708734374E-2</v>
      </c>
      <c r="R373" s="2">
        <f ca="1">IF(Iterations[[#This Row],[Step]] =current_step, current_Grad_e,IF(Iterations[[#This Row],[Step]] &gt; current_step, "",Iterations[[#This Row],[Grad_e]]))</f>
        <v>0.11500227237557109</v>
      </c>
    </row>
    <row r="374" spans="6:18" x14ac:dyDescent="0.3">
      <c r="F374" s="2">
        <f t="shared" si="7"/>
        <v>357</v>
      </c>
      <c r="G374" s="2">
        <f ca="1">IF(Iterations[[#This Row],[Step]] =current_step, current_a,IF(Iterations[[#This Row],[Step]] &gt; current_step, "",Iterations[[#This Row],[a]]))</f>
        <v>-6.1300310338142667</v>
      </c>
      <c r="H374" s="2">
        <f ca="1">IF(Iterations[[#This Row],[Step]] =current_step, current_b,IF(Iterations[[#This Row],[Step]] &gt; current_step, "",Iterations[[#This Row],[b]]))</f>
        <v>0.54547177752327392</v>
      </c>
      <c r="I374" s="2">
        <f ca="1">IF(Iterations[[#This Row],[Step]] =current_step, current_c,IF(Iterations[[#This Row],[Step]] &gt; current_step, "",Iterations[[#This Row],[c]]))</f>
        <v>18.031556153011294</v>
      </c>
      <c r="J374" s="2">
        <f ca="1">IF(Iterations[[#This Row],[Step]] =current_step, current_d,IF(Iterations[[#This Row],[Step]] &gt; current_step, "",Iterations[[#This Row],[d]]))</f>
        <v>1.0265443114090131</v>
      </c>
      <c r="K374" s="2">
        <f ca="1">IF(Iterations[[#This Row],[Step]] =current_step, current_e,IF(Iterations[[#This Row],[Step]] &gt; current_step, "",Iterations[[#This Row],[e]]))</f>
        <v>12.450691980285695</v>
      </c>
      <c r="L374" s="2">
        <f ca="1">IF(Iterations[[#This Row],[Step]] =current_step, current_Total_Loss,IF(Iterations[[#This Row],[Step]] &gt; current_step, "",Iterations[[#This Row],[Total Loss]]))</f>
        <v>102.46</v>
      </c>
      <c r="M374" s="6" t="s">
        <v>27</v>
      </c>
      <c r="N374" s="2">
        <f ca="1">IF(Iterations[[#This Row],[Step]] =current_step, current_Grad_a,IF(Iterations[[#This Row],[Step]] &gt; current_step, "",Iterations[[#This Row],[Grad_a]]))</f>
        <v>0.11411910427009664</v>
      </c>
      <c r="O374" s="2">
        <f ca="1">IF(Iterations[[#This Row],[Step]] =current_step, current_Grad_b,IF(Iterations[[#This Row],[Step]] &gt; current_step, "",Iterations[[#This Row],[Grad_b]]))</f>
        <v>1.9300736271096259E-2</v>
      </c>
      <c r="P374" s="2">
        <f ca="1">IF(Iterations[[#This Row],[Step]] =current_step, current_Grad_c,IF(Iterations[[#This Row],[Step]] &gt; current_step, "",Iterations[[#This Row],[Grad_c]]))</f>
        <v>-0.32023652221308468</v>
      </c>
      <c r="Q374" s="2">
        <f ca="1">IF(Iterations[[#This Row],[Step]] =current_step, current_Grad_d,IF(Iterations[[#This Row],[Step]] &gt; current_step, "",Iterations[[#This Row],[Grad_d]]))</f>
        <v>-1.7006536353986499E-2</v>
      </c>
      <c r="R374" s="2">
        <f ca="1">IF(Iterations[[#This Row],[Step]] =current_step, current_Grad_e,IF(Iterations[[#This Row],[Step]] &gt; current_step, "",Iterations[[#This Row],[Grad_e]]))</f>
        <v>0.11422345426752302</v>
      </c>
    </row>
    <row r="375" spans="6:18" x14ac:dyDescent="0.3">
      <c r="F375" s="2">
        <f t="shared" si="7"/>
        <v>358</v>
      </c>
      <c r="G375" s="2">
        <f ca="1">IF(Iterations[[#This Row],[Step]] =current_step, current_a,IF(Iterations[[#This Row],[Step]] &gt; current_step, "",Iterations[[#This Row],[a]]))</f>
        <v>-6.1380193711131739</v>
      </c>
      <c r="H375" s="2">
        <f ca="1">IF(Iterations[[#This Row],[Step]] =current_step, current_b,IF(Iterations[[#This Row],[Step]] &gt; current_step, "",Iterations[[#This Row],[b]]))</f>
        <v>0.54412072598429717</v>
      </c>
      <c r="I375" s="2">
        <f ca="1">IF(Iterations[[#This Row],[Step]] =current_step, current_c,IF(Iterations[[#This Row],[Step]] &gt; current_step, "",Iterations[[#This Row],[c]]))</f>
        <v>18.05397270956621</v>
      </c>
      <c r="J375" s="2">
        <f ca="1">IF(Iterations[[#This Row],[Step]] =current_step, current_d,IF(Iterations[[#This Row],[Step]] &gt; current_step, "",Iterations[[#This Row],[d]]))</f>
        <v>1.0277347689537921</v>
      </c>
      <c r="K375" s="2">
        <f ca="1">IF(Iterations[[#This Row],[Step]] =current_step, current_e,IF(Iterations[[#This Row],[Step]] &gt; current_step, "",Iterations[[#This Row],[e]]))</f>
        <v>12.442696338486968</v>
      </c>
      <c r="L375" s="2">
        <f ca="1">IF(Iterations[[#This Row],[Step]] =current_step, current_Total_Loss,IF(Iterations[[#This Row],[Step]] &gt; current_step, "",Iterations[[#This Row],[Total Loss]]))</f>
        <v>102.3</v>
      </c>
      <c r="M375" s="6" t="s">
        <v>27</v>
      </c>
      <c r="N375" s="2">
        <f ca="1">IF(Iterations[[#This Row],[Step]] =current_step, current_Grad_a,IF(Iterations[[#This Row],[Step]] &gt; current_step, "",Iterations[[#This Row],[Grad_a]]))</f>
        <v>0.11334694505761472</v>
      </c>
      <c r="O375" s="2">
        <f ca="1">IF(Iterations[[#This Row],[Step]] =current_step, current_Grad_b,IF(Iterations[[#This Row],[Step]] &gt; current_step, "",Iterations[[#This Row],[Grad_b]]))</f>
        <v>1.9176804344917444E-2</v>
      </c>
      <c r="P375" s="2">
        <f ca="1">IF(Iterations[[#This Row],[Step]] =current_step, current_Grad_c,IF(Iterations[[#This Row],[Step]] &gt; current_step, "",Iterations[[#This Row],[Grad_c]]))</f>
        <v>-0.31806839599302655</v>
      </c>
      <c r="Q375" s="2">
        <f ca="1">IF(Iterations[[#This Row],[Step]] =current_step, current_Grad_d,IF(Iterations[[#This Row],[Step]] &gt; current_step, "",Iterations[[#This Row],[Grad_d]]))</f>
        <v>-1.6905592421969887E-2</v>
      </c>
      <c r="R375" s="2">
        <f ca="1">IF(Iterations[[#This Row],[Step]] =current_step, current_Grad_e,IF(Iterations[[#This Row],[Step]] &gt; current_step, "",Iterations[[#This Row],[Grad_e]]))</f>
        <v>0.11344991694106267</v>
      </c>
    </row>
    <row r="376" spans="6:18" x14ac:dyDescent="0.3">
      <c r="F376" s="2">
        <f t="shared" si="7"/>
        <v>359</v>
      </c>
      <c r="G376" s="2">
        <f ca="1">IF(Iterations[[#This Row],[Step]] =current_step, current_a,IF(Iterations[[#This Row],[Step]] &gt; current_step, "",Iterations[[#This Row],[a]]))</f>
        <v>-6.1459536572672073</v>
      </c>
      <c r="H376" s="2">
        <f ca="1">IF(Iterations[[#This Row],[Step]] =current_step, current_b,IF(Iterations[[#This Row],[Step]] &gt; current_step, "",Iterations[[#This Row],[b]]))</f>
        <v>0.54277834968015293</v>
      </c>
      <c r="I376" s="2">
        <f ca="1">IF(Iterations[[#This Row],[Step]] =current_step, current_c,IF(Iterations[[#This Row],[Step]] &gt; current_step, "",Iterations[[#This Row],[c]]))</f>
        <v>18.076237497285721</v>
      </c>
      <c r="J376" s="2">
        <f ca="1">IF(Iterations[[#This Row],[Step]] =current_step, current_d,IF(Iterations[[#This Row],[Step]] &gt; current_step, "",Iterations[[#This Row],[d]]))</f>
        <v>1.02891816042333</v>
      </c>
      <c r="K376" s="2">
        <f ca="1">IF(Iterations[[#This Row],[Step]] =current_step, current_e,IF(Iterations[[#This Row],[Step]] &gt; current_step, "",Iterations[[#This Row],[e]]))</f>
        <v>12.434754844301093</v>
      </c>
      <c r="L376" s="2">
        <f ca="1">IF(Iterations[[#This Row],[Step]] =current_step, current_Total_Loss,IF(Iterations[[#This Row],[Step]] &gt; current_step, "",Iterations[[#This Row],[Total Loss]]))</f>
        <v>102.14</v>
      </c>
      <c r="M376" s="6" t="s">
        <v>27</v>
      </c>
      <c r="N376" s="2">
        <f ca="1">IF(Iterations[[#This Row],[Step]] =current_step, current_Grad_a,IF(Iterations[[#This Row],[Step]] &gt; current_step, "",Iterations[[#This Row],[Grad_a]]))</f>
        <v>0.11258000940421845</v>
      </c>
      <c r="O376" s="2">
        <f ca="1">IF(Iterations[[#This Row],[Step]] =current_step, current_Grad_b,IF(Iterations[[#This Row],[Step]] &gt; current_step, "",Iterations[[#This Row],[Grad_b]]))</f>
        <v>1.9053592066985005E-2</v>
      </c>
      <c r="P376" s="2">
        <f ca="1">IF(Iterations[[#This Row],[Step]] =current_step, current_Grad_c,IF(Iterations[[#This Row],[Step]] &gt; current_step, "",Iterations[[#This Row],[Grad_c]]))</f>
        <v>-0.31591496046137063</v>
      </c>
      <c r="Q376" s="2">
        <f ca="1">IF(Iterations[[#This Row],[Step]] =current_step, current_Grad_d,IF(Iterations[[#This Row],[Step]] &gt; current_step, "",Iterations[[#This Row],[Grad_d]]))</f>
        <v>-1.6805079579303266E-2</v>
      </c>
      <c r="R376" s="2">
        <f ca="1">IF(Iterations[[#This Row],[Step]] =current_step, current_Grad_e,IF(Iterations[[#This Row],[Step]] &gt; current_step, "",Iterations[[#This Row],[Grad_e]]))</f>
        <v>0.1126816244745993</v>
      </c>
    </row>
    <row r="377" spans="6:18" x14ac:dyDescent="0.3">
      <c r="F377" s="2">
        <f t="shared" si="7"/>
        <v>360</v>
      </c>
      <c r="G377" s="2">
        <f ca="1">IF(Iterations[[#This Row],[Step]] =current_step, current_a,IF(Iterations[[#This Row],[Step]] &gt; current_step, "",Iterations[[#This Row],[a]]))</f>
        <v>-6.153834257925503</v>
      </c>
      <c r="H377" s="2">
        <f ca="1">IF(Iterations[[#This Row],[Step]] =current_step, current_b,IF(Iterations[[#This Row],[Step]] &gt; current_step, "",Iterations[[#This Row],[b]]))</f>
        <v>0.54144459823546398</v>
      </c>
      <c r="I377" s="2">
        <f ca="1">IF(Iterations[[#This Row],[Step]] =current_step, current_c,IF(Iterations[[#This Row],[Step]] &gt; current_step, "",Iterations[[#This Row],[c]]))</f>
        <v>18.098351544518017</v>
      </c>
      <c r="J377" s="2">
        <f ca="1">IF(Iterations[[#This Row],[Step]] =current_step, current_d,IF(Iterations[[#This Row],[Step]] &gt; current_step, "",Iterations[[#This Row],[d]]))</f>
        <v>1.0300945159938812</v>
      </c>
      <c r="K377" s="2">
        <f ca="1">IF(Iterations[[#This Row],[Step]] =current_step, current_e,IF(Iterations[[#This Row],[Step]] &gt; current_step, "",Iterations[[#This Row],[e]]))</f>
        <v>12.426867130587871</v>
      </c>
      <c r="L377" s="2">
        <f ca="1">IF(Iterations[[#This Row],[Step]] =current_step, current_Total_Loss,IF(Iterations[[#This Row],[Step]] &gt; current_step, "",Iterations[[#This Row],[Total Loss]]))</f>
        <v>101.98</v>
      </c>
      <c r="M377" s="6" t="s">
        <v>27</v>
      </c>
      <c r="N377" s="2">
        <f ca="1">IF(Iterations[[#This Row],[Step]] =current_step, current_Grad_a,IF(Iterations[[#This Row],[Step]] &gt; current_step, "",Iterations[[#This Row],[Grad_a]]))</f>
        <v>0.11181826199220232</v>
      </c>
      <c r="O377" s="2">
        <f ca="1">IF(Iterations[[#This Row],[Step]] =current_step, current_Grad_b,IF(Iterations[[#This Row],[Step]] &gt; current_step, "",Iterations[[#This Row],[Grad_b]]))</f>
        <v>1.8931096688298954E-2</v>
      </c>
      <c r="P377" s="2">
        <f ca="1">IF(Iterations[[#This Row],[Step]] =current_step, current_Grad_c,IF(Iterations[[#This Row],[Step]] &gt; current_step, "",Iterations[[#This Row],[Grad_c]]))</f>
        <v>-0.31377611587053411</v>
      </c>
      <c r="Q377" s="2">
        <f ca="1">IF(Iterations[[#This Row],[Step]] =current_step, current_Grad_d,IF(Iterations[[#This Row],[Step]] &gt; current_step, "",Iterations[[#This Row],[Grad_d]]))</f>
        <v>-1.6704999399813181E-2</v>
      </c>
      <c r="R377" s="2">
        <f ca="1">IF(Iterations[[#This Row],[Step]] =current_step, current_Grad_e,IF(Iterations[[#This Row],[Step]] &gt; current_step, "",Iterations[[#This Row],[Grad_e]]))</f>
        <v>0.11191854119290687</v>
      </c>
    </row>
    <row r="378" spans="6:18" x14ac:dyDescent="0.3">
      <c r="F378" s="2">
        <f t="shared" si="7"/>
        <v>361</v>
      </c>
      <c r="G378" s="2">
        <f ca="1">IF(Iterations[[#This Row],[Step]] =current_step, current_a,IF(Iterations[[#This Row],[Step]] &gt; current_step, "",Iterations[[#This Row],[a]]))</f>
        <v>-6.1616615362649574</v>
      </c>
      <c r="H378" s="2">
        <f ca="1">IF(Iterations[[#This Row],[Step]] =current_step, current_b,IF(Iterations[[#This Row],[Step]] &gt; current_step, "",Iterations[[#This Row],[b]]))</f>
        <v>0.54011942146728309</v>
      </c>
      <c r="I378" s="2">
        <f ca="1">IF(Iterations[[#This Row],[Step]] =current_step, current_c,IF(Iterations[[#This Row],[Step]] &gt; current_step, "",Iterations[[#This Row],[c]]))</f>
        <v>18.120315872628954</v>
      </c>
      <c r="J378" s="2">
        <f ca="1">IF(Iterations[[#This Row],[Step]] =current_step, current_d,IF(Iterations[[#This Row],[Step]] &gt; current_step, "",Iterations[[#This Row],[d]]))</f>
        <v>1.0312638659518683</v>
      </c>
      <c r="K378" s="2">
        <f ca="1">IF(Iterations[[#This Row],[Step]] =current_step, current_e,IF(Iterations[[#This Row],[Step]] &gt; current_step, "",Iterations[[#This Row],[e]]))</f>
        <v>12.419032832704367</v>
      </c>
      <c r="L378" s="2">
        <f ca="1">IF(Iterations[[#This Row],[Step]] =current_step, current_Total_Loss,IF(Iterations[[#This Row],[Step]] &gt; current_step, "",Iterations[[#This Row],[Total Loss]]))</f>
        <v>101.83</v>
      </c>
      <c r="M378" s="6" t="s">
        <v>27</v>
      </c>
      <c r="N378" s="2">
        <f ca="1">IF(Iterations[[#This Row],[Step]] =current_step, current_Grad_a,IF(Iterations[[#This Row],[Step]] &gt; current_step, "",Iterations[[#This Row],[Grad_a]]))</f>
        <v>0.11106166774225423</v>
      </c>
      <c r="O378" s="2">
        <f ca="1">IF(Iterations[[#This Row],[Step]] =current_step, current_Grad_b,IF(Iterations[[#This Row],[Step]] &gt; current_step, "",Iterations[[#This Row],[Grad_b]]))</f>
        <v>1.8809315440689891E-2</v>
      </c>
      <c r="P378" s="2">
        <f ca="1">IF(Iterations[[#This Row],[Step]] =current_step, current_Grad_c,IF(Iterations[[#This Row],[Step]] &gt; current_step, "",Iterations[[#This Row],[Grad_c]]))</f>
        <v>-0.31165176315391346</v>
      </c>
      <c r="Q378" s="2">
        <f ca="1">IF(Iterations[[#This Row],[Step]] =current_step, current_Grad_d,IF(Iterations[[#This Row],[Step]] &gt; current_step, "",Iterations[[#This Row],[Grad_d]]))</f>
        <v>-1.6605353366633269E-2</v>
      </c>
      <c r="R378" s="2">
        <f ca="1">IF(Iterations[[#This Row],[Step]] =current_step, current_Grad_e,IF(Iterations[[#This Row],[Step]] &gt; current_step, "",Iterations[[#This Row],[Grad_e]]))</f>
        <v>0.11116063166542449</v>
      </c>
    </row>
    <row r="379" spans="6:18" x14ac:dyDescent="0.3">
      <c r="F379" s="2">
        <f t="shared" si="7"/>
        <v>362</v>
      </c>
      <c r="G379" s="2">
        <f ca="1">IF(Iterations[[#This Row],[Step]] =current_step, current_a,IF(Iterations[[#This Row],[Step]] &gt; current_step, "",Iterations[[#This Row],[a]]))</f>
        <v>-6.1694358530069149</v>
      </c>
      <c r="H379" s="2">
        <f ca="1">IF(Iterations[[#This Row],[Step]] =current_step, current_b,IF(Iterations[[#This Row],[Step]] &gt; current_step, "",Iterations[[#This Row],[b]]))</f>
        <v>0.53880276938643479</v>
      </c>
      <c r="I379" s="2">
        <f ca="1">IF(Iterations[[#This Row],[Step]] =current_step, current_c,IF(Iterations[[#This Row],[Step]] &gt; current_step, "",Iterations[[#This Row],[c]]))</f>
        <v>18.142131496049728</v>
      </c>
      <c r="J379" s="2">
        <f ca="1">IF(Iterations[[#This Row],[Step]] =current_step, current_d,IF(Iterations[[#This Row],[Step]] &gt; current_step, "",Iterations[[#This Row],[d]]))</f>
        <v>1.0324262406875326</v>
      </c>
      <c r="K379" s="2">
        <f ca="1">IF(Iterations[[#This Row],[Step]] =current_step, current_e,IF(Iterations[[#This Row],[Step]] &gt; current_step, "",Iterations[[#This Row],[e]]))</f>
        <v>12.411251588487788</v>
      </c>
      <c r="L379" s="2">
        <f ca="1">IF(Iterations[[#This Row],[Step]] =current_step, current_Total_Loss,IF(Iterations[[#This Row],[Step]] &gt; current_step, "",Iterations[[#This Row],[Total Loss]]))</f>
        <v>101.67</v>
      </c>
      <c r="M379" s="6" t="s">
        <v>27</v>
      </c>
      <c r="N379" s="2">
        <f ca="1">IF(Iterations[[#This Row],[Step]] =current_step, current_Grad_a,IF(Iterations[[#This Row],[Step]] &gt; current_step, "",Iterations[[#This Row],[Grad_a]]))</f>
        <v>0.11031019181222643</v>
      </c>
      <c r="O379" s="2">
        <f ca="1">IF(Iterations[[#This Row],[Step]] =current_step, current_Grad_b,IF(Iterations[[#This Row],[Step]] &gt; current_step, "",Iterations[[#This Row],[Grad_b]]))</f>
        <v>1.8688245537477451E-2</v>
      </c>
      <c r="P379" s="2">
        <f ca="1">IF(Iterations[[#This Row],[Step]] =current_step, current_Grad_c,IF(Iterations[[#This Row],[Step]] &gt; current_step, "",Iterations[[#This Row],[Grad_c]]))</f>
        <v>-0.30954180392101616</v>
      </c>
      <c r="Q379" s="2">
        <f ca="1">IF(Iterations[[#This Row],[Step]] =current_step, current_Grad_d,IF(Iterations[[#This Row],[Step]] &gt; current_step, "",Iterations[[#This Row],[Grad_d]]))</f>
        <v>-1.6506142874296907E-2</v>
      </c>
      <c r="R379" s="2">
        <f ca="1">IF(Iterations[[#This Row],[Step]] =current_step, current_Grad_e,IF(Iterations[[#This Row],[Step]] &gt; current_step, "",Iterations[[#This Row],[Grad_e]]))</f>
        <v>0.11040786070461471</v>
      </c>
    </row>
    <row r="380" spans="6:18" x14ac:dyDescent="0.3">
      <c r="F380" s="2">
        <f t="shared" si="7"/>
        <v>363</v>
      </c>
      <c r="G380" s="2">
        <f ca="1">IF(Iterations[[#This Row],[Step]] =current_step, current_a,IF(Iterations[[#This Row],[Step]] &gt; current_step, "",Iterations[[#This Row],[a]]))</f>
        <v>-6.1771575664337703</v>
      </c>
      <c r="H380" s="2">
        <f ca="1">IF(Iterations[[#This Row],[Step]] =current_step, current_b,IF(Iterations[[#This Row],[Step]] &gt; current_step, "",Iterations[[#This Row],[b]]))</f>
        <v>0.53749459219881135</v>
      </c>
      <c r="I380" s="2">
        <f ca="1">IF(Iterations[[#This Row],[Step]] =current_step, current_c,IF(Iterations[[#This Row],[Step]] &gt; current_step, "",Iterations[[#This Row],[c]]))</f>
        <v>18.1637994223242</v>
      </c>
      <c r="J380" s="2">
        <f ca="1">IF(Iterations[[#This Row],[Step]] =current_step, current_d,IF(Iterations[[#This Row],[Step]] &gt; current_step, "",Iterations[[#This Row],[d]]))</f>
        <v>1.0335816706887335</v>
      </c>
      <c r="K380" s="2">
        <f ca="1">IF(Iterations[[#This Row],[Step]] =current_step, current_e,IF(Iterations[[#This Row],[Step]] &gt; current_step, "",Iterations[[#This Row],[e]]))</f>
        <v>12.403523038238465</v>
      </c>
      <c r="L380" s="2">
        <f ca="1">IF(Iterations[[#This Row],[Step]] =current_step, current_Total_Loss,IF(Iterations[[#This Row],[Step]] &gt; current_step, "",Iterations[[#This Row],[Total Loss]]))</f>
        <v>101.52</v>
      </c>
      <c r="M380" s="6" t="s">
        <v>27</v>
      </c>
      <c r="N380" s="2">
        <f ca="1">IF(Iterations[[#This Row],[Step]] =current_step, current_Grad_a,IF(Iterations[[#This Row],[Step]] &gt; current_step, "",Iterations[[#This Row],[Grad_a]]))</f>
        <v>0.10956379959473736</v>
      </c>
      <c r="O380" s="2">
        <f ca="1">IF(Iterations[[#This Row],[Step]] =current_step, current_Grad_b,IF(Iterations[[#This Row],[Step]] &gt; current_step, "",Iterations[[#This Row],[Grad_b]]))</f>
        <v>1.8567884174527323E-2</v>
      </c>
      <c r="P380" s="2">
        <f ca="1">IF(Iterations[[#This Row],[Step]] =current_step, current_Grad_c,IF(Iterations[[#This Row],[Step]] &gt; current_step, "",Iterations[[#This Row],[Grad_c]]))</f>
        <v>-0.3074461404531228</v>
      </c>
      <c r="Q380" s="2">
        <f ca="1">IF(Iterations[[#This Row],[Step]] =current_step, current_Grad_d,IF(Iterations[[#This Row],[Step]] &gt; current_step, "",Iterations[[#This Row],[Grad_d]]))</f>
        <v>-1.6407369230635609E-2</v>
      </c>
      <c r="R380" s="2">
        <f ca="1">IF(Iterations[[#This Row],[Step]] =current_step, current_Grad_e,IF(Iterations[[#This Row],[Step]] &gt; current_step, "",Iterations[[#This Row],[Grad_e]]))</f>
        <v>0.10966019336409429</v>
      </c>
    </row>
    <row r="381" spans="6:18" x14ac:dyDescent="0.3">
      <c r="F381" s="2">
        <f t="shared" ref="F381:F444" si="8">F380+1</f>
        <v>364</v>
      </c>
      <c r="G381" s="2">
        <f ca="1">IF(Iterations[[#This Row],[Step]] =current_step, current_a,IF(Iterations[[#This Row],[Step]] &gt; current_step, "",Iterations[[#This Row],[a]]))</f>
        <v>-6.1848270324054022</v>
      </c>
      <c r="H381" s="2">
        <f ca="1">IF(Iterations[[#This Row],[Step]] =current_step, current_b,IF(Iterations[[#This Row],[Step]] &gt; current_step, "",Iterations[[#This Row],[b]]))</f>
        <v>0.53619484030659448</v>
      </c>
      <c r="I381" s="2">
        <f ca="1">IF(Iterations[[#This Row],[Step]] =current_step, current_c,IF(Iterations[[#This Row],[Step]] &gt; current_step, "",Iterations[[#This Row],[c]]))</f>
        <v>18.185320652155919</v>
      </c>
      <c r="J381" s="2">
        <f ca="1">IF(Iterations[[#This Row],[Step]] =current_step, current_d,IF(Iterations[[#This Row],[Step]] &gt; current_step, "",Iterations[[#This Row],[d]]))</f>
        <v>1.0347301865348779</v>
      </c>
      <c r="K381" s="2">
        <f ca="1">IF(Iterations[[#This Row],[Step]] =current_step, current_e,IF(Iterations[[#This Row],[Step]] &gt; current_step, "",Iterations[[#This Row],[e]]))</f>
        <v>12.395846824702978</v>
      </c>
      <c r="L381" s="2">
        <f ca="1">IF(Iterations[[#This Row],[Step]] =current_step, current_Total_Loss,IF(Iterations[[#This Row],[Step]] &gt; current_step, "",Iterations[[#This Row],[Total Loss]]))</f>
        <v>101.37</v>
      </c>
      <c r="M381" s="6" t="s">
        <v>27</v>
      </c>
      <c r="N381" s="2">
        <f ca="1">IF(Iterations[[#This Row],[Step]] =current_step, current_Grad_a,IF(Iterations[[#This Row],[Step]] &gt; current_step, "",Iterations[[#This Row],[Grad_a]]))</f>
        <v>0.1088224567165937</v>
      </c>
      <c r="O381" s="2">
        <f ca="1">IF(Iterations[[#This Row],[Step]] =current_step, current_Grad_b,IF(Iterations[[#This Row],[Step]] &gt; current_step, "",Iterations[[#This Row],[Grad_b]]))</f>
        <v>1.8448228530757744E-2</v>
      </c>
      <c r="P381" s="2">
        <f ca="1">IF(Iterations[[#This Row],[Step]] =current_step, current_Grad_c,IF(Iterations[[#This Row],[Step]] &gt; current_step, "",Iterations[[#This Row],[Grad_c]]))</f>
        <v>-0.30536467569820425</v>
      </c>
      <c r="Q381" s="2">
        <f ca="1">IF(Iterations[[#This Row],[Step]] =current_step, current_Grad_d,IF(Iterations[[#This Row],[Step]] &gt; current_step, "",Iterations[[#This Row],[Grad_d]]))</f>
        <v>-1.6309033658837943E-2</v>
      </c>
      <c r="R381" s="2">
        <f ca="1">IF(Iterations[[#This Row],[Step]] =current_step, current_Grad_e,IF(Iterations[[#This Row],[Step]] &gt; current_step, "",Iterations[[#This Row],[Grad_e]]))</f>
        <v>0.10891759493716563</v>
      </c>
    </row>
    <row r="382" spans="6:18" x14ac:dyDescent="0.3">
      <c r="F382" s="2">
        <f t="shared" si="8"/>
        <v>365</v>
      </c>
      <c r="G382" s="2">
        <f ca="1">IF(Iterations[[#This Row],[Step]] =current_step, current_a,IF(Iterations[[#This Row],[Step]] &gt; current_step, "",Iterations[[#This Row],[a]]))</f>
        <v>-6.1924446043755639</v>
      </c>
      <c r="H382" s="2">
        <f ca="1">IF(Iterations[[#This Row],[Step]] =current_step, current_b,IF(Iterations[[#This Row],[Step]] &gt; current_step, "",Iterations[[#This Row],[b]]))</f>
        <v>0.53490346430944147</v>
      </c>
      <c r="I382" s="2">
        <f ca="1">IF(Iterations[[#This Row],[Step]] =current_step, current_c,IF(Iterations[[#This Row],[Step]] &gt; current_step, "",Iterations[[#This Row],[c]]))</f>
        <v>18.206696179454795</v>
      </c>
      <c r="J382" s="2">
        <f ca="1">IF(Iterations[[#This Row],[Step]] =current_step, current_d,IF(Iterations[[#This Row],[Step]] &gt; current_step, "",Iterations[[#This Row],[d]]))</f>
        <v>1.0358718188909966</v>
      </c>
      <c r="K382" s="2">
        <f ca="1">IF(Iterations[[#This Row],[Step]] =current_step, current_e,IF(Iterations[[#This Row],[Step]] &gt; current_step, "",Iterations[[#This Row],[e]]))</f>
        <v>12.388222593057376</v>
      </c>
      <c r="L382" s="2">
        <f ca="1">IF(Iterations[[#This Row],[Step]] =current_step, current_Total_Loss,IF(Iterations[[#This Row],[Step]] &gt; current_step, "",Iterations[[#This Row],[Total Loss]]))</f>
        <v>101.22</v>
      </c>
      <c r="M382" s="6" t="s">
        <v>27</v>
      </c>
      <c r="N382" s="2">
        <f ca="1">IF(Iterations[[#This Row],[Step]] =current_step, current_Grad_a,IF(Iterations[[#This Row],[Step]] &gt; current_step, "",Iterations[[#This Row],[Grad_a]]))</f>
        <v>0.10808612903624867</v>
      </c>
      <c r="O382" s="2">
        <f ca="1">IF(Iterations[[#This Row],[Step]] =current_step, current_Grad_b,IF(Iterations[[#This Row],[Step]] &gt; current_step, "",Iterations[[#This Row],[Grad_b]]))</f>
        <v>1.8329275769077145E-2</v>
      </c>
      <c r="P382" s="2">
        <f ca="1">IF(Iterations[[#This Row],[Step]] =current_step, current_Grad_c,IF(Iterations[[#This Row],[Step]] &gt; current_step, "",Iterations[[#This Row],[Grad_c]]))</f>
        <v>-0.30329731326673326</v>
      </c>
      <c r="Q382" s="2">
        <f ca="1">IF(Iterations[[#This Row],[Step]] =current_step, current_Grad_d,IF(Iterations[[#This Row],[Step]] &gt; current_step, "",Iterations[[#This Row],[Grad_d]]))</f>
        <v>-1.6211137299309675E-2</v>
      </c>
      <c r="R382" s="2">
        <f ca="1">IF(Iterations[[#This Row],[Step]] =current_step, current_Grad_e,IF(Iterations[[#This Row],[Step]] &gt; current_step, "",Iterations[[#This Row],[Grad_e]]))</f>
        <v>0.10818003095492143</v>
      </c>
    </row>
    <row r="383" spans="6:18" x14ac:dyDescent="0.3">
      <c r="F383" s="2">
        <f t="shared" si="8"/>
        <v>366</v>
      </c>
      <c r="G383" s="2">
        <f ca="1">IF(Iterations[[#This Row],[Step]] =current_step, current_a,IF(Iterations[[#This Row],[Step]] &gt; current_step, "",Iterations[[#This Row],[a]]))</f>
        <v>-6.2000106334081009</v>
      </c>
      <c r="H383" s="2">
        <f ca="1">IF(Iterations[[#This Row],[Step]] =current_step, current_b,IF(Iterations[[#This Row],[Step]] &gt; current_step, "",Iterations[[#This Row],[b]]))</f>
        <v>0.53362041500560609</v>
      </c>
      <c r="I383" s="2">
        <f ca="1">IF(Iterations[[#This Row],[Step]] =current_step, current_c,IF(Iterations[[#This Row],[Step]] &gt; current_step, "",Iterations[[#This Row],[c]]))</f>
        <v>18.227926991383466</v>
      </c>
      <c r="J383" s="2">
        <f ca="1">IF(Iterations[[#This Row],[Step]] =current_step, current_d,IF(Iterations[[#This Row],[Step]] &gt; current_step, "",Iterations[[#This Row],[d]]))</f>
        <v>1.0370065985019483</v>
      </c>
      <c r="K383" s="2">
        <f ca="1">IF(Iterations[[#This Row],[Step]] =current_step, current_e,IF(Iterations[[#This Row],[Step]] &gt; current_step, "",Iterations[[#This Row],[e]]))</f>
        <v>12.380649990890532</v>
      </c>
      <c r="L383" s="2">
        <f ca="1">IF(Iterations[[#This Row],[Step]] =current_step, current_Total_Loss,IF(Iterations[[#This Row],[Step]] &gt; current_step, "",Iterations[[#This Row],[Total Loss]]))</f>
        <v>101.08</v>
      </c>
      <c r="M383" s="6" t="s">
        <v>27</v>
      </c>
      <c r="N383" s="2">
        <f ca="1">IF(Iterations[[#This Row],[Step]] =current_step, current_Grad_a,IF(Iterations[[#This Row],[Step]] &gt; current_step, "",Iterations[[#This Row],[Grad_a]]))</f>
        <v>0.10735478264305451</v>
      </c>
      <c r="O383" s="2">
        <f ca="1">IF(Iterations[[#This Row],[Step]] =current_step, current_Grad_b,IF(Iterations[[#This Row],[Step]] &gt; current_step, "",Iterations[[#This Row],[Grad_b]]))</f>
        <v>1.8211023036976502E-2</v>
      </c>
      <c r="P383" s="2">
        <f ca="1">IF(Iterations[[#This Row],[Step]] =current_step, current_Grad_c,IF(Iterations[[#This Row],[Step]] &gt; current_step, "",Iterations[[#This Row],[Grad_c]]))</f>
        <v>-0.30124395742674598</v>
      </c>
      <c r="Q383" s="2">
        <f ca="1">IF(Iterations[[#This Row],[Step]] =current_step, current_Grad_d,IF(Iterations[[#This Row],[Step]] &gt; current_step, "",Iterations[[#This Row],[Grad_d]]))</f>
        <v>-1.6113681211610855E-2</v>
      </c>
      <c r="R383" s="2">
        <f ca="1">IF(Iterations[[#This Row],[Step]] =current_step, current_Grad_e,IF(Iterations[[#This Row],[Step]] &gt; current_step, "",Iterations[[#This Row],[Grad_e]]))</f>
        <v>0.10744746718476922</v>
      </c>
    </row>
    <row r="384" spans="6:18" x14ac:dyDescent="0.3">
      <c r="F384" s="2">
        <f t="shared" si="8"/>
        <v>367</v>
      </c>
      <c r="G384" s="2">
        <f ca="1">IF(Iterations[[#This Row],[Step]] =current_step, current_a,IF(Iterations[[#This Row],[Step]] &gt; current_step, "",Iterations[[#This Row],[a]]))</f>
        <v>-6.2075254681931149</v>
      </c>
      <c r="H384" s="2">
        <f ca="1">IF(Iterations[[#This Row],[Step]] =current_step, current_b,IF(Iterations[[#This Row],[Step]] &gt; current_step, "",Iterations[[#This Row],[b]]))</f>
        <v>0.53234564339301771</v>
      </c>
      <c r="I384" s="2">
        <f ca="1">IF(Iterations[[#This Row],[Step]] =current_step, current_c,IF(Iterations[[#This Row],[Step]] &gt; current_step, "",Iterations[[#This Row],[c]]))</f>
        <v>18.249014068403337</v>
      </c>
      <c r="J384" s="2">
        <f ca="1">IF(Iterations[[#This Row],[Step]] =current_step, current_d,IF(Iterations[[#This Row],[Step]] &gt; current_step, "",Iterations[[#This Row],[d]]))</f>
        <v>1.038134556186761</v>
      </c>
      <c r="K384" s="2">
        <f ca="1">IF(Iterations[[#This Row],[Step]] =current_step, current_e,IF(Iterations[[#This Row],[Step]] &gt; current_step, "",Iterations[[#This Row],[e]]))</f>
        <v>12.373128668187599</v>
      </c>
      <c r="L384" s="2">
        <f ca="1">IF(Iterations[[#This Row],[Step]] =current_step, current_Total_Loss,IF(Iterations[[#This Row],[Step]] &gt; current_step, "",Iterations[[#This Row],[Total Loss]]))</f>
        <v>100.93</v>
      </c>
      <c r="M384" s="6" t="s">
        <v>27</v>
      </c>
      <c r="N384" s="2">
        <f ca="1">IF(Iterations[[#This Row],[Step]] =current_step, current_Grad_a,IF(Iterations[[#This Row],[Step]] &gt; current_step, "",Iterations[[#This Row],[Grad_a]]))</f>
        <v>0.10662838385508344</v>
      </c>
      <c r="O384" s="2">
        <f ca="1">IF(Iterations[[#This Row],[Step]] =current_step, current_Grad_b,IF(Iterations[[#This Row],[Step]] &gt; current_step, "",Iterations[[#This Row],[Grad_b]]))</f>
        <v>1.8093467467368087E-2</v>
      </c>
      <c r="P384" s="2">
        <f ca="1">IF(Iterations[[#This Row],[Step]] =current_step, current_Grad_c,IF(Iterations[[#This Row],[Step]] &gt; current_step, "",Iterations[[#This Row],[Grad_c]]))</f>
        <v>-0.29920451309956941</v>
      </c>
      <c r="Q384" s="2">
        <f ca="1">IF(Iterations[[#This Row],[Step]] =current_step, current_Grad_d,IF(Iterations[[#This Row],[Step]] &gt; current_step, "",Iterations[[#This Row],[Grad_d]]))</f>
        <v>-1.6016666376262742E-2</v>
      </c>
      <c r="R384" s="2">
        <f ca="1">IF(Iterations[[#This Row],[Step]] =current_step, current_Grad_e,IF(Iterations[[#This Row],[Step]] &gt; current_step, "",Iterations[[#This Row],[Grad_e]]))</f>
        <v>0.10671986962863213</v>
      </c>
    </row>
    <row r="385" spans="6:18" x14ac:dyDescent="0.3">
      <c r="F385" s="2">
        <f t="shared" si="8"/>
        <v>368</v>
      </c>
      <c r="G385" s="2">
        <f ca="1">IF(Iterations[[#This Row],[Step]] =current_step, current_a,IF(Iterations[[#This Row],[Step]] &gt; current_step, "",Iterations[[#This Row],[a]]))</f>
        <v>-6.2149894550629705</v>
      </c>
      <c r="H385" s="2">
        <f ca="1">IF(Iterations[[#This Row],[Step]] =current_step, current_b,IF(Iterations[[#This Row],[Step]] &gt; current_step, "",Iterations[[#This Row],[b]]))</f>
        <v>0.53107910067030195</v>
      </c>
      <c r="I385" s="2">
        <f ca="1">IF(Iterations[[#This Row],[Step]] =current_step, current_c,IF(Iterations[[#This Row],[Step]] &gt; current_step, "",Iterations[[#This Row],[c]]))</f>
        <v>18.269958384320308</v>
      </c>
      <c r="J385" s="2">
        <f ca="1">IF(Iterations[[#This Row],[Step]] =current_step, current_d,IF(Iterations[[#This Row],[Step]] &gt; current_step, "",Iterations[[#This Row],[d]]))</f>
        <v>1.0392557228330994</v>
      </c>
      <c r="K385" s="2">
        <f ca="1">IF(Iterations[[#This Row],[Step]] =current_step, current_e,IF(Iterations[[#This Row],[Step]] &gt; current_step, "",Iterations[[#This Row],[e]]))</f>
        <v>12.365658277313594</v>
      </c>
      <c r="L385" s="2">
        <f ca="1">IF(Iterations[[#This Row],[Step]] =current_step, current_Total_Loss,IF(Iterations[[#This Row],[Step]] &gt; current_step, "",Iterations[[#This Row],[Total Loss]]))</f>
        <v>100.79</v>
      </c>
      <c r="M385" s="6" t="s">
        <v>27</v>
      </c>
      <c r="N385" s="2">
        <f ca="1">IF(Iterations[[#This Row],[Step]] =current_step, current_Grad_a,IF(Iterations[[#This Row],[Step]] &gt; current_step, "",Iterations[[#This Row],[Grad_a]]))</f>
        <v>0.1059068992180989</v>
      </c>
      <c r="O385" s="2">
        <f ca="1">IF(Iterations[[#This Row],[Step]] =current_step, current_Grad_b,IF(Iterations[[#This Row],[Step]] &gt; current_step, "",Iterations[[#This Row],[Grad_b]]))</f>
        <v>1.7976606179241239E-2</v>
      </c>
      <c r="P385" s="2">
        <f ca="1">IF(Iterations[[#This Row],[Step]] =current_step, current_Grad_c,IF(Iterations[[#This Row],[Step]] &gt; current_step, "",Iterations[[#This Row],[Grad_c]]))</f>
        <v>-0.29717888585508273</v>
      </c>
      <c r="Q385" s="2">
        <f ca="1">IF(Iterations[[#This Row],[Step]] =current_step, current_Grad_d,IF(Iterations[[#This Row],[Step]] &gt; current_step, "",Iterations[[#This Row],[Grad_d]]))</f>
        <v>-1.5920093696578676E-2</v>
      </c>
      <c r="R385" s="2">
        <f ca="1">IF(Iterations[[#This Row],[Step]] =current_step, current_Grad_e,IF(Iterations[[#This Row],[Step]] &gt; current_step, "",Iterations[[#This Row],[Grad_e]]))</f>
        <v>0.10599720452142661</v>
      </c>
    </row>
    <row r="386" spans="6:18" x14ac:dyDescent="0.3">
      <c r="F386" s="2">
        <f t="shared" si="8"/>
        <v>369</v>
      </c>
      <c r="G386" s="2">
        <f ca="1">IF(Iterations[[#This Row],[Step]] =current_step, current_a,IF(Iterations[[#This Row],[Step]] &gt; current_step, "",Iterations[[#This Row],[a]]))</f>
        <v>-6.2224029380082371</v>
      </c>
      <c r="H386" s="2">
        <f ca="1">IF(Iterations[[#This Row],[Step]] =current_step, current_b,IF(Iterations[[#This Row],[Step]] &gt; current_step, "",Iterations[[#This Row],[b]]))</f>
        <v>0.52982073823775511</v>
      </c>
      <c r="I386" s="2">
        <f ca="1">IF(Iterations[[#This Row],[Step]] =current_step, current_c,IF(Iterations[[#This Row],[Step]] &gt; current_step, "",Iterations[[#This Row],[c]]))</f>
        <v>18.290760906330163</v>
      </c>
      <c r="J386" s="2">
        <f ca="1">IF(Iterations[[#This Row],[Step]] =current_step, current_d,IF(Iterations[[#This Row],[Step]] &gt; current_step, "",Iterations[[#This Row],[d]]))</f>
        <v>1.0403701293918599</v>
      </c>
      <c r="K386" s="2">
        <f ca="1">IF(Iterations[[#This Row],[Step]] =current_step, current_e,IF(Iterations[[#This Row],[Step]] &gt; current_step, "",Iterations[[#This Row],[e]]))</f>
        <v>12.358238472997094</v>
      </c>
      <c r="L386" s="2">
        <f ca="1">IF(Iterations[[#This Row],[Step]] =current_step, current_Total_Loss,IF(Iterations[[#This Row],[Step]] &gt; current_step, "",Iterations[[#This Row],[Total Loss]]))</f>
        <v>100.65</v>
      </c>
      <c r="M386" s="6" t="s">
        <v>27</v>
      </c>
      <c r="N386" s="2">
        <f ca="1">IF(Iterations[[#This Row],[Step]] =current_step, current_Grad_a,IF(Iterations[[#This Row],[Step]] &gt; current_step, "",Iterations[[#This Row],[Grad_a]]))</f>
        <v>0.10519029550346071</v>
      </c>
      <c r="O386" s="2">
        <f ca="1">IF(Iterations[[#This Row],[Step]] =current_step, current_Grad_b,IF(Iterations[[#This Row],[Step]] &gt; current_step, "",Iterations[[#This Row],[Grad_b]]))</f>
        <v>1.7860436278321973E-2</v>
      </c>
      <c r="P386" s="2">
        <f ca="1">IF(Iterations[[#This Row],[Step]] =current_step, current_Grad_c,IF(Iterations[[#This Row],[Step]] &gt; current_step, "",Iterations[[#This Row],[Grad_c]]))</f>
        <v>-0.29516698190747764</v>
      </c>
      <c r="Q386" s="2">
        <f ca="1">IF(Iterations[[#This Row],[Step]] =current_step, current_Grad_d,IF(Iterations[[#This Row],[Step]] &gt; current_step, "",Iterations[[#This Row],[Grad_d]]))</f>
        <v>-1.5823964000463573E-2</v>
      </c>
      <c r="R386" s="2">
        <f ca="1">IF(Iterations[[#This Row],[Step]] =current_step, current_Grad_e,IF(Iterations[[#This Row],[Step]] &gt; current_step, "",Iterations[[#This Row],[Grad_e]]))</f>
        <v>0.10527943832931522</v>
      </c>
    </row>
    <row r="387" spans="6:18" x14ac:dyDescent="0.3">
      <c r="F387" s="2">
        <f t="shared" si="8"/>
        <v>370</v>
      </c>
      <c r="G387" s="2">
        <f ca="1">IF(Iterations[[#This Row],[Step]] =current_step, current_a,IF(Iterations[[#This Row],[Step]] &gt; current_step, "",Iterations[[#This Row],[a]]))</f>
        <v>-6.2297662586934797</v>
      </c>
      <c r="H387" s="2">
        <f ca="1">IF(Iterations[[#This Row],[Step]] =current_step, current_b,IF(Iterations[[#This Row],[Step]] &gt; current_step, "",Iterations[[#This Row],[b]]))</f>
        <v>0.52857050769827252</v>
      </c>
      <c r="I387" s="2">
        <f ca="1">IF(Iterations[[#This Row],[Step]] =current_step, current_c,IF(Iterations[[#This Row],[Step]] &gt; current_step, "",Iterations[[#This Row],[c]]))</f>
        <v>18.311422595063686</v>
      </c>
      <c r="J387" s="2">
        <f ca="1">IF(Iterations[[#This Row],[Step]] =current_step, current_d,IF(Iterations[[#This Row],[Step]] &gt; current_step, "",Iterations[[#This Row],[d]]))</f>
        <v>1.0414778068718924</v>
      </c>
      <c r="K387" s="2">
        <f ca="1">IF(Iterations[[#This Row],[Step]] =current_step, current_e,IF(Iterations[[#This Row],[Step]] &gt; current_step, "",Iterations[[#This Row],[e]]))</f>
        <v>12.350868912314041</v>
      </c>
      <c r="L387" s="2">
        <f ca="1">IF(Iterations[[#This Row],[Step]] =current_step, current_Total_Loss,IF(Iterations[[#This Row],[Step]] &gt; current_step, "",Iterations[[#This Row],[Total Loss]]))</f>
        <v>100.51</v>
      </c>
      <c r="M387" s="6" t="s">
        <v>27</v>
      </c>
      <c r="N387" s="2">
        <f ca="1">IF(Iterations[[#This Row],[Step]] =current_step, current_Grad_a,IF(Iterations[[#This Row],[Step]] &gt; current_step, "",Iterations[[#This Row],[Grad_a]]))</f>
        <v>0.10447853970728464</v>
      </c>
      <c r="O387" s="2">
        <f ca="1">IF(Iterations[[#This Row],[Step]] =current_step, current_Grad_b,IF(Iterations[[#This Row],[Step]] &gt; current_step, "",Iterations[[#This Row],[Grad_b]]))</f>
        <v>1.7744954857772017E-2</v>
      </c>
      <c r="P387" s="2">
        <f ca="1">IF(Iterations[[#This Row],[Step]] =current_step, current_Grad_c,IF(Iterations[[#This Row],[Step]] &gt; current_step, "",Iterations[[#This Row],[Grad_c]]))</f>
        <v>-0.29316870811051682</v>
      </c>
      <c r="Q387" s="2">
        <f ca="1">IF(Iterations[[#This Row],[Step]] =current_step, current_Grad_d,IF(Iterations[[#This Row],[Step]] &gt; current_step, "",Iterations[[#This Row],[Grad_d]]))</f>
        <v>-1.5728278042138461E-2</v>
      </c>
      <c r="R387" s="2">
        <f ca="1">IF(Iterations[[#This Row],[Step]] =current_step, current_Grad_e,IF(Iterations[[#This Row],[Step]] &gt; current_step, "",Iterations[[#This Row],[Grad_e]]))</f>
        <v>0.10456653774822892</v>
      </c>
    </row>
    <row r="388" spans="6:18" x14ac:dyDescent="0.3">
      <c r="F388" s="2">
        <f t="shared" si="8"/>
        <v>371</v>
      </c>
      <c r="G388" s="2">
        <f ca="1">IF(Iterations[[#This Row],[Step]] =current_step, current_a,IF(Iterations[[#This Row],[Step]] &gt; current_step, "",Iterations[[#This Row],[a]]))</f>
        <v>-6.2370797564729896</v>
      </c>
      <c r="H388" s="2">
        <f ca="1">IF(Iterations[[#This Row],[Step]] =current_step, current_b,IF(Iterations[[#This Row],[Step]] &gt; current_step, "",Iterations[[#This Row],[b]]))</f>
        <v>0.52732836085822843</v>
      </c>
      <c r="I388" s="2">
        <f ca="1">IF(Iterations[[#This Row],[Step]] =current_step, current_c,IF(Iterations[[#This Row],[Step]] &gt; current_step, "",Iterations[[#This Row],[c]]))</f>
        <v>18.331944404631422</v>
      </c>
      <c r="J388" s="2">
        <f ca="1">IF(Iterations[[#This Row],[Step]] =current_step, current_d,IF(Iterations[[#This Row],[Step]] &gt; current_step, "",Iterations[[#This Row],[d]]))</f>
        <v>1.0425787863348421</v>
      </c>
      <c r="K388" s="2">
        <f ca="1">IF(Iterations[[#This Row],[Step]] =current_step, current_e,IF(Iterations[[#This Row],[Step]] &gt; current_step, "",Iterations[[#This Row],[e]]))</f>
        <v>12.343549254671665</v>
      </c>
      <c r="L388" s="2">
        <f ca="1">IF(Iterations[[#This Row],[Step]] =current_step, current_Total_Loss,IF(Iterations[[#This Row],[Step]] &gt; current_step, "",Iterations[[#This Row],[Total Loss]]))</f>
        <v>100.38</v>
      </c>
      <c r="M388" s="6" t="s">
        <v>27</v>
      </c>
      <c r="N388" s="2">
        <f ca="1">IF(Iterations[[#This Row],[Step]] =current_step, current_Grad_a,IF(Iterations[[#This Row],[Step]] &gt; current_step, "",Iterations[[#This Row],[Grad_a]]))</f>
        <v>0.10377159904829433</v>
      </c>
      <c r="O388" s="2">
        <f ca="1">IF(Iterations[[#This Row],[Step]] =current_step, current_Grad_b,IF(Iterations[[#This Row],[Step]] &gt; current_step, "",Iterations[[#This Row],[Grad_b]]))</f>
        <v>1.7630158998882539E-2</v>
      </c>
      <c r="P388" s="2">
        <f ca="1">IF(Iterations[[#This Row],[Step]] =current_step, current_Grad_c,IF(Iterations[[#This Row],[Step]] &gt; current_step, "",Iterations[[#This Row],[Grad_c]]))</f>
        <v>-0.29118397195338602</v>
      </c>
      <c r="Q388" s="2">
        <f ca="1">IF(Iterations[[#This Row],[Step]] =current_step, current_Grad_d,IF(Iterations[[#This Row],[Step]] &gt; current_step, "",Iterations[[#This Row],[Grad_d]]))</f>
        <v>-1.5633036503842193E-2</v>
      </c>
      <c r="R388" s="2">
        <f ca="1">IF(Iterations[[#This Row],[Step]] =current_step, current_Grad_e,IF(Iterations[[#This Row],[Step]] &gt; current_step, "",Iterations[[#This Row],[Grad_e]]))</f>
        <v>0.10385846970213475</v>
      </c>
    </row>
    <row r="389" spans="6:18" x14ac:dyDescent="0.3">
      <c r="F389" s="2">
        <f t="shared" si="8"/>
        <v>372</v>
      </c>
      <c r="G389" s="2">
        <f ca="1">IF(Iterations[[#This Row],[Step]] =current_step, current_a,IF(Iterations[[#This Row],[Step]] &gt; current_step, "",Iterations[[#This Row],[a]]))</f>
        <v>-6.2443437684063703</v>
      </c>
      <c r="H389" s="2">
        <f ca="1">IF(Iterations[[#This Row],[Step]] =current_step, current_b,IF(Iterations[[#This Row],[Step]] &gt; current_step, "",Iterations[[#This Row],[b]]))</f>
        <v>0.52609424972830665</v>
      </c>
      <c r="I389" s="2">
        <f ca="1">IF(Iterations[[#This Row],[Step]] =current_step, current_c,IF(Iterations[[#This Row],[Step]] &gt; current_step, "",Iterations[[#This Row],[c]]))</f>
        <v>18.35232728266816</v>
      </c>
      <c r="J389" s="2">
        <f ca="1">IF(Iterations[[#This Row],[Step]] =current_step, current_d,IF(Iterations[[#This Row],[Step]] &gt; current_step, "",Iterations[[#This Row],[d]]))</f>
        <v>1.0436730988901111</v>
      </c>
      <c r="K389" s="2">
        <f ca="1">IF(Iterations[[#This Row],[Step]] =current_step, current_e,IF(Iterations[[#This Row],[Step]] &gt; current_step, "",Iterations[[#This Row],[e]]))</f>
        <v>12.336279161792515</v>
      </c>
      <c r="L389" s="2">
        <f ca="1">IF(Iterations[[#This Row],[Step]] =current_step, current_Total_Loss,IF(Iterations[[#This Row],[Step]] &gt; current_step, "",Iterations[[#This Row],[Total Loss]]))</f>
        <v>100.24</v>
      </c>
      <c r="M389" s="6" t="s">
        <v>27</v>
      </c>
      <c r="N389" s="2">
        <f ca="1">IF(Iterations[[#This Row],[Step]] =current_step, current_Grad_a,IF(Iterations[[#This Row],[Step]] &gt; current_step, "",Iterations[[#This Row],[Grad_a]]))</f>
        <v>0.1030694409667321</v>
      </c>
      <c r="O389" s="2">
        <f ca="1">IF(Iterations[[#This Row],[Step]] =current_step, current_Grad_b,IF(Iterations[[#This Row],[Step]] &gt; current_step, "",Iterations[[#This Row],[Grad_b]]))</f>
        <v>1.7516045771642466E-2</v>
      </c>
      <c r="P389" s="2">
        <f ca="1">IF(Iterations[[#This Row],[Step]] =current_step, current_Grad_c,IF(Iterations[[#This Row],[Step]] &gt; current_step, "",Iterations[[#This Row],[Grad_c]]))</f>
        <v>-0.28921268155612873</v>
      </c>
      <c r="Q389" s="2">
        <f ca="1">IF(Iterations[[#This Row],[Step]] =current_step, current_Grad_d,IF(Iterations[[#This Row],[Step]] &gt; current_step, "",Iterations[[#This Row],[Grad_d]]))</f>
        <v>-1.5538239997547875E-2</v>
      </c>
      <c r="R389" s="2">
        <f ca="1">IF(Iterations[[#This Row],[Step]] =current_step, current_Grad_e,IF(Iterations[[#This Row],[Step]] &gt; current_step, "",Iterations[[#This Row],[Grad_e]]))</f>
        <v>0.10315520134153072</v>
      </c>
    </row>
    <row r="390" spans="6:18" x14ac:dyDescent="0.3">
      <c r="F390" s="2">
        <f t="shared" si="8"/>
        <v>373</v>
      </c>
      <c r="G390" s="2">
        <f ca="1">IF(Iterations[[#This Row],[Step]] =current_step, current_a,IF(Iterations[[#This Row],[Step]] &gt; current_step, "",Iterations[[#This Row],[a]]))</f>
        <v>-6.2515586292740419</v>
      </c>
      <c r="H390" s="2">
        <f ca="1">IF(Iterations[[#This Row],[Step]] =current_step, current_b,IF(Iterations[[#This Row],[Step]] &gt; current_step, "",Iterations[[#This Row],[b]]))</f>
        <v>0.52486812652429171</v>
      </c>
      <c r="I390" s="2">
        <f ca="1">IF(Iterations[[#This Row],[Step]] =current_step, current_c,IF(Iterations[[#This Row],[Step]] &gt; current_step, "",Iterations[[#This Row],[c]]))</f>
        <v>18.37257217037709</v>
      </c>
      <c r="J390" s="2">
        <f ca="1">IF(Iterations[[#This Row],[Step]] =current_step, current_d,IF(Iterations[[#This Row],[Step]] &gt; current_step, "",Iterations[[#This Row],[d]]))</f>
        <v>1.0447607756899393</v>
      </c>
      <c r="K390" s="2">
        <f ca="1">IF(Iterations[[#This Row],[Step]] =current_step, current_e,IF(Iterations[[#This Row],[Step]] &gt; current_step, "",Iterations[[#This Row],[e]]))</f>
        <v>12.329058297698607</v>
      </c>
      <c r="L390" s="2">
        <f ca="1">IF(Iterations[[#This Row],[Step]] =current_step, current_Total_Loss,IF(Iterations[[#This Row],[Step]] &gt; current_step, "",Iterations[[#This Row],[Total Loss]]))</f>
        <v>100.11</v>
      </c>
      <c r="M390" s="6" t="s">
        <v>27</v>
      </c>
      <c r="N390" s="2">
        <f ca="1">IF(Iterations[[#This Row],[Step]] =current_step, current_Grad_a,IF(Iterations[[#This Row],[Step]] &gt; current_step, "",Iterations[[#This Row],[Grad_a]]))</f>
        <v>0.10237203312268524</v>
      </c>
      <c r="O390" s="2">
        <f ca="1">IF(Iterations[[#This Row],[Step]] =current_step, current_Grad_b,IF(Iterations[[#This Row],[Step]] &gt; current_step, "",Iterations[[#This Row],[Grad_b]]))</f>
        <v>1.740261223543698E-2</v>
      </c>
      <c r="P390" s="2">
        <f ca="1">IF(Iterations[[#This Row],[Step]] =current_step, current_Grad_c,IF(Iterations[[#This Row],[Step]] &gt; current_step, "",Iterations[[#This Row],[Grad_c]]))</f>
        <v>-0.28725474566537273</v>
      </c>
      <c r="Q390" s="2">
        <f ca="1">IF(Iterations[[#This Row],[Step]] =current_step, current_Grad_d,IF(Iterations[[#This Row],[Step]] &gt; current_step, "",Iterations[[#This Row],[Grad_d]]))</f>
        <v>-1.5443889066567303E-2</v>
      </c>
      <c r="R390" s="2">
        <f ca="1">IF(Iterations[[#This Row],[Step]] =current_step, current_Grad_e,IF(Iterations[[#This Row],[Step]] &gt; current_step, "",Iterations[[#This Row],[Grad_e]]))</f>
        <v>0.10245670004182234</v>
      </c>
    </row>
    <row r="391" spans="6:18" x14ac:dyDescent="0.3">
      <c r="F391" s="2">
        <f t="shared" si="8"/>
        <v>374</v>
      </c>
      <c r="G391" s="2">
        <f ca="1">IF(Iterations[[#This Row],[Step]] =current_step, current_a,IF(Iterations[[#This Row],[Step]] &gt; current_step, "",Iterations[[#This Row],[a]]))</f>
        <v>-6.2587246715926295</v>
      </c>
      <c r="H391" s="2">
        <f ca="1">IF(Iterations[[#This Row],[Step]] =current_step, current_b,IF(Iterations[[#This Row],[Step]] &gt; current_step, "",Iterations[[#This Row],[b]]))</f>
        <v>0.52364994366781115</v>
      </c>
      <c r="I391" s="2">
        <f ca="1">IF(Iterations[[#This Row],[Step]] =current_step, current_c,IF(Iterations[[#This Row],[Step]] &gt; current_step, "",Iterations[[#This Row],[c]]))</f>
        <v>18.392680002573666</v>
      </c>
      <c r="J391" s="2">
        <f ca="1">IF(Iterations[[#This Row],[Step]] =current_step, current_d,IF(Iterations[[#This Row],[Step]] &gt; current_step, "",Iterations[[#This Row],[d]]))</f>
        <v>1.045841847924599</v>
      </c>
      <c r="K391" s="2">
        <f ca="1">IF(Iterations[[#This Row],[Step]] =current_step, current_e,IF(Iterations[[#This Row],[Step]] &gt; current_step, "",Iterations[[#This Row],[e]]))</f>
        <v>12.32188632869568</v>
      </c>
      <c r="L391" s="2">
        <f ca="1">IF(Iterations[[#This Row],[Step]] =current_step, current_Total_Loss,IF(Iterations[[#This Row],[Step]] &gt; current_step, "",Iterations[[#This Row],[Total Loss]]))</f>
        <v>99.98</v>
      </c>
      <c r="M391" s="6" t="s">
        <v>27</v>
      </c>
      <c r="N391" s="2">
        <f ca="1">IF(Iterations[[#This Row],[Step]] =current_step, current_Grad_a,IF(Iterations[[#This Row],[Step]] &gt; current_step, "",Iterations[[#This Row],[Grad_a]]))</f>
        <v>0.10167934339471439</v>
      </c>
      <c r="O391" s="2">
        <f ca="1">IF(Iterations[[#This Row],[Step]] =current_step, current_Grad_b,IF(Iterations[[#This Row],[Step]] &gt; current_step, "",Iterations[[#This Row],[Grad_b]]))</f>
        <v>1.7289855439614095E-2</v>
      </c>
      <c r="P391" s="2">
        <f ca="1">IF(Iterations[[#This Row],[Step]] =current_step, current_Grad_c,IF(Iterations[[#This Row],[Step]] &gt; current_step, "",Iterations[[#This Row],[Grad_c]]))</f>
        <v>-0.28531007364995808</v>
      </c>
      <c r="Q391" s="2">
        <f ca="1">IF(Iterations[[#This Row],[Step]] =current_step, current_Grad_d,IF(Iterations[[#This Row],[Step]] &gt; current_step, "",Iterations[[#This Row],[Grad_d]]))</f>
        <v>-1.5349984187192085E-2</v>
      </c>
      <c r="R391" s="2">
        <f ca="1">IF(Iterations[[#This Row],[Step]] =current_step, current_Grad_e,IF(Iterations[[#This Row],[Step]] &gt; current_step, "",Iterations[[#This Row],[Grad_e]]))</f>
        <v>0.10176293340177356</v>
      </c>
    </row>
    <row r="392" spans="6:18" x14ac:dyDescent="0.3">
      <c r="F392" s="2">
        <f t="shared" si="8"/>
        <v>375</v>
      </c>
      <c r="G392" s="2">
        <f ca="1">IF(Iterations[[#This Row],[Step]] =current_step, current_a,IF(Iterations[[#This Row],[Step]] &gt; current_step, "",Iterations[[#This Row],[a]]))</f>
        <v>-6.2658422256302595</v>
      </c>
      <c r="H392" s="2">
        <f ca="1">IF(Iterations[[#This Row],[Step]] =current_step, current_b,IF(Iterations[[#This Row],[Step]] &gt; current_step, "",Iterations[[#This Row],[b]]))</f>
        <v>0.52243965378703816</v>
      </c>
      <c r="I392" s="2">
        <f ca="1">IF(Iterations[[#This Row],[Step]] =current_step, current_c,IF(Iterations[[#This Row],[Step]] &gt; current_step, "",Iterations[[#This Row],[c]]))</f>
        <v>18.412651707729164</v>
      </c>
      <c r="J392" s="2">
        <f ca="1">IF(Iterations[[#This Row],[Step]] =current_step, current_d,IF(Iterations[[#This Row],[Step]] &gt; current_step, "",Iterations[[#This Row],[d]]))</f>
        <v>1.0469163468177025</v>
      </c>
      <c r="K392" s="2">
        <f ca="1">IF(Iterations[[#This Row],[Step]] =current_step, current_e,IF(Iterations[[#This Row],[Step]] &gt; current_step, "",Iterations[[#This Row],[e]]))</f>
        <v>12.314762923357556</v>
      </c>
      <c r="L392" s="2">
        <f ca="1">IF(Iterations[[#This Row],[Step]] =current_step, current_Total_Loss,IF(Iterations[[#This Row],[Step]] &gt; current_step, "",Iterations[[#This Row],[Total Loss]]))</f>
        <v>99.85</v>
      </c>
      <c r="M392" s="6" t="s">
        <v>27</v>
      </c>
      <c r="N392" s="2">
        <f ca="1">IF(Iterations[[#This Row],[Step]] =current_step, current_Grad_a,IF(Iterations[[#This Row],[Step]] &gt; current_step, "",Iterations[[#This Row],[Grad_a]]))</f>
        <v>0.10099133987822206</v>
      </c>
      <c r="O392" s="2">
        <f ca="1">IF(Iterations[[#This Row],[Step]] =current_step, current_Grad_b,IF(Iterations[[#This Row],[Step]] &gt; current_step, "",Iterations[[#This Row],[Grad_b]]))</f>
        <v>1.7177772424110078E-2</v>
      </c>
      <c r="P392" s="2">
        <f ca="1">IF(Iterations[[#This Row],[Step]] =current_step, current_Grad_c,IF(Iterations[[#This Row],[Step]] &gt; current_step, "",Iterations[[#This Row],[Grad_c]]))</f>
        <v>-0.28337857549670192</v>
      </c>
      <c r="Q392" s="2">
        <f ca="1">IF(Iterations[[#This Row],[Step]] =current_step, current_Grad_d,IF(Iterations[[#This Row],[Step]] &gt; current_step, "",Iterations[[#This Row],[Grad_d]]))</f>
        <v>-1.5256525770268691E-2</v>
      </c>
      <c r="R392" s="2">
        <f ca="1">IF(Iterations[[#This Row],[Step]] =current_step, current_Grad_e,IF(Iterations[[#This Row],[Step]] &gt; current_step, "",Iterations[[#This Row],[Grad_e]]))</f>
        <v>0.10107386924193139</v>
      </c>
    </row>
    <row r="393" spans="6:18" x14ac:dyDescent="0.3">
      <c r="F393" s="2">
        <f t="shared" si="8"/>
        <v>376</v>
      </c>
      <c r="G393" s="2">
        <f ca="1">IF(Iterations[[#This Row],[Step]] =current_step, current_a,IF(Iterations[[#This Row],[Step]] &gt; current_step, "",Iterations[[#This Row],[a]]))</f>
        <v>-6.2729116194217349</v>
      </c>
      <c r="H393" s="2">
        <f ca="1">IF(Iterations[[#This Row],[Step]] =current_step, current_b,IF(Iterations[[#This Row],[Step]] &gt; current_step, "",Iterations[[#This Row],[b]]))</f>
        <v>0.52123720971735044</v>
      </c>
      <c r="I393" s="2">
        <f ca="1">IF(Iterations[[#This Row],[Step]] =current_step, current_c,IF(Iterations[[#This Row],[Step]] &gt; current_step, "",Iterations[[#This Row],[c]]))</f>
        <v>18.432488208013933</v>
      </c>
      <c r="J393" s="2">
        <f ca="1">IF(Iterations[[#This Row],[Step]] =current_step, current_d,IF(Iterations[[#This Row],[Step]] &gt; current_step, "",Iterations[[#This Row],[d]]))</f>
        <v>1.0479843036216214</v>
      </c>
      <c r="K393" s="2">
        <f ca="1">IF(Iterations[[#This Row],[Step]] =current_step, current_e,IF(Iterations[[#This Row],[Step]] &gt; current_step, "",Iterations[[#This Row],[e]]))</f>
        <v>12.307687752510621</v>
      </c>
      <c r="L393" s="2">
        <f ca="1">IF(Iterations[[#This Row],[Step]] =current_step, current_Total_Loss,IF(Iterations[[#This Row],[Step]] &gt; current_step, "",Iterations[[#This Row],[Total Loss]]))</f>
        <v>99.73</v>
      </c>
      <c r="M393" s="6" t="s">
        <v>27</v>
      </c>
      <c r="N393" s="2">
        <f ca="1">IF(Iterations[[#This Row],[Step]] =current_step, current_Grad_a,IF(Iterations[[#This Row],[Step]] &gt; current_step, "",Iterations[[#This Row],[Grad_a]]))</f>
        <v>0.10030799088416709</v>
      </c>
      <c r="O393" s="2">
        <f ca="1">IF(Iterations[[#This Row],[Step]] =current_step, current_Grad_b,IF(Iterations[[#This Row],[Step]] &gt; current_step, "",Iterations[[#This Row],[Grad_b]]))</f>
        <v>1.7066360220034493E-2</v>
      </c>
      <c r="P393" s="2">
        <f ca="1">IF(Iterations[[#This Row],[Step]] =current_step, current_Grad_c,IF(Iterations[[#This Row],[Step]] &gt; current_step, "",Iterations[[#This Row],[Grad_c]]))</f>
        <v>-0.28146016180607414</v>
      </c>
      <c r="Q393" s="2">
        <f ca="1">IF(Iterations[[#This Row],[Step]] =current_step, current_Grad_d,IF(Iterations[[#This Row],[Step]] &gt; current_step, "",Iterations[[#This Row],[Grad_d]]))</f>
        <v>-1.5163514162745528E-2</v>
      </c>
      <c r="R393" s="2">
        <f ca="1">IF(Iterations[[#This Row],[Step]] =current_step, current_Grad_e,IF(Iterations[[#This Row],[Step]] &gt; current_step, "",Iterations[[#This Row],[Grad_e]]))</f>
        <v>0.10038947560309551</v>
      </c>
    </row>
    <row r="394" spans="6:18" x14ac:dyDescent="0.3">
      <c r="F394" s="2">
        <f t="shared" si="8"/>
        <v>377</v>
      </c>
      <c r="G394" s="2">
        <f ca="1">IF(Iterations[[#This Row],[Step]] =current_step, current_a,IF(Iterations[[#This Row],[Step]] &gt; current_step, "",Iterations[[#This Row],[a]]))</f>
        <v>-6.2799331787836268</v>
      </c>
      <c r="H394" s="2">
        <f ca="1">IF(Iterations[[#This Row],[Step]] =current_step, current_b,IF(Iterations[[#This Row],[Step]] &gt; current_step, "",Iterations[[#This Row],[b]]))</f>
        <v>0.52004256450194797</v>
      </c>
      <c r="I394" s="2">
        <f ca="1">IF(Iterations[[#This Row],[Step]] =current_step, current_c,IF(Iterations[[#This Row],[Step]] &gt; current_step, "",Iterations[[#This Row],[c]]))</f>
        <v>18.452190419340358</v>
      </c>
      <c r="J394" s="2">
        <f ca="1">IF(Iterations[[#This Row],[Step]] =current_step, current_d,IF(Iterations[[#This Row],[Step]] &gt; current_step, "",Iterations[[#This Row],[d]]))</f>
        <v>1.0490457496130137</v>
      </c>
      <c r="K394" s="2">
        <f ca="1">IF(Iterations[[#This Row],[Step]] =current_step, current_e,IF(Iterations[[#This Row],[Step]] &gt; current_step, "",Iterations[[#This Row],[e]]))</f>
        <v>12.300660489218403</v>
      </c>
      <c r="L394" s="2">
        <f ca="1">IF(Iterations[[#This Row],[Step]] =current_step, current_Total_Loss,IF(Iterations[[#This Row],[Step]] &gt; current_step, "",Iterations[[#This Row],[Total Loss]]))</f>
        <v>99.6</v>
      </c>
      <c r="M394" s="6" t="s">
        <v>27</v>
      </c>
      <c r="N394" s="2">
        <f ca="1">IF(Iterations[[#This Row],[Step]] =current_step, current_Grad_a,IF(Iterations[[#This Row],[Step]] &gt; current_step, "",Iterations[[#This Row],[Grad_a]]))</f>
        <v>9.9629264937592554E-2</v>
      </c>
      <c r="O394" s="2">
        <f ca="1">IF(Iterations[[#This Row],[Step]] =current_step, current_Grad_b,IF(Iterations[[#This Row],[Step]] &gt; current_step, "",Iterations[[#This Row],[Grad_b]]))</f>
        <v>1.6955615850223267E-2</v>
      </c>
      <c r="P394" s="2">
        <f ca="1">IF(Iterations[[#This Row],[Step]] =current_step, current_Grad_c,IF(Iterations[[#This Row],[Step]] &gt; current_step, "",Iterations[[#This Row],[Grad_c]]))</f>
        <v>-0.2795547437879603</v>
      </c>
      <c r="Q394" s="2">
        <f ca="1">IF(Iterations[[#This Row],[Step]] =current_step, current_Grad_d,IF(Iterations[[#This Row],[Step]] &gt; current_step, "",Iterations[[#This Row],[Grad_d]]))</f>
        <v>-1.50709496492035E-2</v>
      </c>
      <c r="R394" s="2">
        <f ca="1">IF(Iterations[[#This Row],[Step]] =current_step, current_Grad_e,IF(Iterations[[#This Row],[Step]] &gt; current_step, "",Iterations[[#This Row],[Grad_e]]))</f>
        <v>9.9709720744795824E-2</v>
      </c>
    </row>
    <row r="395" spans="6:18" x14ac:dyDescent="0.3">
      <c r="F395" s="2">
        <f t="shared" si="8"/>
        <v>378</v>
      </c>
      <c r="G395" s="2">
        <f ca="1">IF(Iterations[[#This Row],[Step]] =current_step, current_a,IF(Iterations[[#This Row],[Step]] &gt; current_step, "",Iterations[[#This Row],[a]]))</f>
        <v>-6.2869072273292579</v>
      </c>
      <c r="H395" s="2">
        <f ca="1">IF(Iterations[[#This Row],[Step]] =current_step, current_b,IF(Iterations[[#This Row],[Step]] &gt; current_step, "",Iterations[[#This Row],[b]]))</f>
        <v>0.51885567139243238</v>
      </c>
      <c r="I395" s="2">
        <f ca="1">IF(Iterations[[#This Row],[Step]] =current_step, current_c,IF(Iterations[[#This Row],[Step]] &gt; current_step, "",Iterations[[#This Row],[c]]))</f>
        <v>18.471759251405516</v>
      </c>
      <c r="J395" s="2">
        <f ca="1">IF(Iterations[[#This Row],[Step]] =current_step, current_d,IF(Iterations[[#This Row],[Step]] &gt; current_step, "",Iterations[[#This Row],[d]]))</f>
        <v>1.0501007160884579</v>
      </c>
      <c r="K395" s="2">
        <f ca="1">IF(Iterations[[#This Row],[Step]] =current_step, current_e,IF(Iterations[[#This Row],[Step]] &gt; current_step, "",Iterations[[#This Row],[e]]))</f>
        <v>12.293680808766268</v>
      </c>
      <c r="L395" s="2">
        <f ca="1">IF(Iterations[[#This Row],[Step]] =current_step, current_Total_Loss,IF(Iterations[[#This Row],[Step]] &gt; current_step, "",Iterations[[#This Row],[Total Loss]]))</f>
        <v>99.48</v>
      </c>
      <c r="M395" s="6" t="s">
        <v>27</v>
      </c>
      <c r="N395" s="2">
        <f ca="1">IF(Iterations[[#This Row],[Step]] =current_step, current_Grad_a,IF(Iterations[[#This Row],[Step]] &gt; current_step, "",Iterations[[#This Row],[Grad_a]]))</f>
        <v>9.8955130775994951E-2</v>
      </c>
      <c r="O395" s="2">
        <f ca="1">IF(Iterations[[#This Row],[Step]] =current_step, current_Grad_b,IF(Iterations[[#This Row],[Step]] &gt; current_step, "",Iterations[[#This Row],[Grad_b]]))</f>
        <v>1.6845536329856081E-2</v>
      </c>
      <c r="P395" s="2">
        <f ca="1">IF(Iterations[[#This Row],[Step]] =current_step, current_Grad_c,IF(Iterations[[#This Row],[Step]] &gt; current_step, "",Iterations[[#This Row],[Grad_c]]))</f>
        <v>-0.27766223325754469</v>
      </c>
      <c r="Q395" s="2">
        <f ca="1">IF(Iterations[[#This Row],[Step]] =current_step, current_Grad_d,IF(Iterations[[#This Row],[Step]] &gt; current_step, "",Iterations[[#This Row],[Grad_d]]))</f>
        <v>-1.4978832453329094E-2</v>
      </c>
      <c r="R395" s="2">
        <f ca="1">IF(Iterations[[#This Row],[Step]] =current_step, current_Grad_e,IF(Iterations[[#This Row],[Step]] &gt; current_step, "",Iterations[[#This Row],[Grad_e]]))</f>
        <v>9.9034573143720842E-2</v>
      </c>
    </row>
    <row r="396" spans="6:18" x14ac:dyDescent="0.3">
      <c r="F396" s="2">
        <f t="shared" si="8"/>
        <v>379</v>
      </c>
      <c r="G396" s="2">
        <f ca="1">IF(Iterations[[#This Row],[Step]] =current_step, current_a,IF(Iterations[[#This Row],[Step]] &gt; current_step, "",Iterations[[#This Row],[a]]))</f>
        <v>-6.2938340864835771</v>
      </c>
      <c r="H396" s="2">
        <f ca="1">IF(Iterations[[#This Row],[Step]] =current_step, current_b,IF(Iterations[[#This Row],[Step]] &gt; current_step, "",Iterations[[#This Row],[b]]))</f>
        <v>0.51767648384934251</v>
      </c>
      <c r="I396" s="2">
        <f ca="1">IF(Iterations[[#This Row],[Step]] =current_step, current_c,IF(Iterations[[#This Row],[Step]] &gt; current_step, "",Iterations[[#This Row],[c]]))</f>
        <v>18.491195607733545</v>
      </c>
      <c r="J396" s="2">
        <f ca="1">IF(Iterations[[#This Row],[Step]] =current_step, current_d,IF(Iterations[[#This Row],[Step]] &gt; current_step, "",Iterations[[#This Row],[d]]))</f>
        <v>1.0511492343601909</v>
      </c>
      <c r="K396" s="2">
        <f ca="1">IF(Iterations[[#This Row],[Step]] =current_step, current_e,IF(Iterations[[#This Row],[Step]] &gt; current_step, "",Iterations[[#This Row],[e]]))</f>
        <v>12.286748388646208</v>
      </c>
      <c r="L396" s="2">
        <f ca="1">IF(Iterations[[#This Row],[Step]] =current_step, current_Total_Loss,IF(Iterations[[#This Row],[Step]] &gt; current_step, "",Iterations[[#This Row],[Total Loss]]))</f>
        <v>99.35</v>
      </c>
      <c r="M396" s="6" t="s">
        <v>27</v>
      </c>
      <c r="N396" s="2">
        <f ca="1">IF(Iterations[[#This Row],[Step]] =current_step, current_Grad_a,IF(Iterations[[#This Row],[Step]] &gt; current_step, "",Iterations[[#This Row],[Grad_a]]))</f>
        <v>9.828555734812966E-2</v>
      </c>
      <c r="O396" s="2">
        <f ca="1">IF(Iterations[[#This Row],[Step]] =current_step, current_Grad_b,IF(Iterations[[#This Row],[Step]] &gt; current_step, "",Iterations[[#This Row],[Grad_b]]))</f>
        <v>1.6736118666914799E-2</v>
      </c>
      <c r="P396" s="2">
        <f ca="1">IF(Iterations[[#This Row],[Step]] =current_step, current_Grad_c,IF(Iterations[[#This Row],[Step]] &gt; current_step, "",Iterations[[#This Row],[Grad_c]]))</f>
        <v>-0.27578254263103541</v>
      </c>
      <c r="Q396" s="2">
        <f ca="1">IF(Iterations[[#This Row],[Step]] =current_step, current_Grad_d,IF(Iterations[[#This Row],[Step]] &gt; current_step, "",Iterations[[#This Row],[Grad_d]]))</f>
        <v>-1.4887162739412029E-2</v>
      </c>
      <c r="R396" s="2">
        <f ca="1">IF(Iterations[[#This Row],[Step]] =current_step, current_Grad_e,IF(Iterations[[#This Row],[Step]] &gt; current_step, "",Iterations[[#This Row],[Grad_e]]))</f>
        <v>9.8364001492257491E-2</v>
      </c>
    </row>
    <row r="397" spans="6:18" x14ac:dyDescent="0.3">
      <c r="F397" s="2">
        <f t="shared" si="8"/>
        <v>380</v>
      </c>
      <c r="G397" s="2">
        <f ca="1">IF(Iterations[[#This Row],[Step]] =current_step, current_a,IF(Iterations[[#This Row],[Step]] &gt; current_step, "",Iterations[[#This Row],[a]]))</f>
        <v>-6.3007140754979458</v>
      </c>
      <c r="H397" s="2">
        <f ca="1">IF(Iterations[[#This Row],[Step]] =current_step, current_b,IF(Iterations[[#This Row],[Step]] &gt; current_step, "",Iterations[[#This Row],[b]]))</f>
        <v>0.51650495554265852</v>
      </c>
      <c r="I397" s="2">
        <f ca="1">IF(Iterations[[#This Row],[Step]] =current_step, current_c,IF(Iterations[[#This Row],[Step]] &gt; current_step, "",Iterations[[#This Row],[c]]))</f>
        <v>18.510500385717716</v>
      </c>
      <c r="J397" s="2">
        <f ca="1">IF(Iterations[[#This Row],[Step]] =current_step, current_d,IF(Iterations[[#This Row],[Step]] &gt; current_step, "",Iterations[[#This Row],[d]]))</f>
        <v>1.0521913357519497</v>
      </c>
      <c r="K397" s="2">
        <f ca="1">IF(Iterations[[#This Row],[Step]] =current_step, current_e,IF(Iterations[[#This Row],[Step]] &gt; current_step, "",Iterations[[#This Row],[e]]))</f>
        <v>12.27986290854175</v>
      </c>
      <c r="L397" s="2">
        <f ca="1">IF(Iterations[[#This Row],[Step]] =current_step, current_Total_Loss,IF(Iterations[[#This Row],[Step]] &gt; current_step, "",Iterations[[#This Row],[Total Loss]]))</f>
        <v>99.23</v>
      </c>
      <c r="M397" s="6" t="s">
        <v>27</v>
      </c>
      <c r="N397" s="2">
        <f ca="1">IF(Iterations[[#This Row],[Step]] =current_step, current_Grad_a,IF(Iterations[[#This Row],[Step]] &gt; current_step, "",Iterations[[#This Row],[Grad_a]]))</f>
        <v>9.7620513812444923E-2</v>
      </c>
      <c r="O397" s="2">
        <f ca="1">IF(Iterations[[#This Row],[Step]] =current_step, current_Grad_b,IF(Iterations[[#This Row],[Step]] &gt; current_step, "",Iterations[[#This Row],[Grad_b]]))</f>
        <v>1.6627359862814235E-2</v>
      </c>
      <c r="P397" s="2">
        <f ca="1">IF(Iterations[[#This Row],[Step]] =current_step, current_Grad_c,IF(Iterations[[#This Row],[Step]] &gt; current_step, "",Iterations[[#This Row],[Grad_c]]))</f>
        <v>-0.27391558492157891</v>
      </c>
      <c r="Q397" s="2">
        <f ca="1">IF(Iterations[[#This Row],[Step]] =current_step, current_Grad_d,IF(Iterations[[#This Row],[Step]] &gt; current_step, "",Iterations[[#This Row],[Grad_d]]))</f>
        <v>-1.4795940613737211E-2</v>
      </c>
      <c r="R397" s="2">
        <f ca="1">IF(Iterations[[#This Row],[Step]] =current_step, current_Grad_e,IF(Iterations[[#This Row],[Step]] &gt; current_step, "",Iterations[[#This Row],[Grad_e]]))</f>
        <v>9.7697974696957568E-2</v>
      </c>
    </row>
    <row r="398" spans="6:18" x14ac:dyDescent="0.3">
      <c r="F398" s="2">
        <f t="shared" si="8"/>
        <v>381</v>
      </c>
      <c r="G398" s="2">
        <f ca="1">IF(Iterations[[#This Row],[Step]] =current_step, current_a,IF(Iterations[[#This Row],[Step]] &gt; current_step, "",Iterations[[#This Row],[a]]))</f>
        <v>-6.3075475114648167</v>
      </c>
      <c r="H398" s="2">
        <f ca="1">IF(Iterations[[#This Row],[Step]] =current_step, current_b,IF(Iterations[[#This Row],[Step]] &gt; current_step, "",Iterations[[#This Row],[b]]))</f>
        <v>0.51534104035226147</v>
      </c>
      <c r="I398" s="2">
        <f ca="1">IF(Iterations[[#This Row],[Step]] =current_step, current_c,IF(Iterations[[#This Row],[Step]] &gt; current_step, "",Iterations[[#This Row],[c]]))</f>
        <v>18.529674476662226</v>
      </c>
      <c r="J398" s="2">
        <f ca="1">IF(Iterations[[#This Row],[Step]] =current_step, current_d,IF(Iterations[[#This Row],[Step]] &gt; current_step, "",Iterations[[#This Row],[d]]))</f>
        <v>1.0532270515949114</v>
      </c>
      <c r="K398" s="2">
        <f ca="1">IF(Iterations[[#This Row],[Step]] =current_step, current_e,IF(Iterations[[#This Row],[Step]] &gt; current_step, "",Iterations[[#This Row],[e]]))</f>
        <v>12.273024050312962</v>
      </c>
      <c r="L398" s="2">
        <f ca="1">IF(Iterations[[#This Row],[Step]] =current_step, current_Total_Loss,IF(Iterations[[#This Row],[Step]] &gt; current_step, "",Iterations[[#This Row],[Total Loss]]))</f>
        <v>99.11</v>
      </c>
      <c r="M398" s="6" t="s">
        <v>27</v>
      </c>
      <c r="N398" s="2">
        <f ca="1">IF(Iterations[[#This Row],[Step]] =current_step, current_Grad_a,IF(Iterations[[#This Row],[Step]] &gt; current_step, "",Iterations[[#This Row],[Grad_a]]))</f>
        <v>9.6959969535797386E-2</v>
      </c>
      <c r="O398" s="2">
        <f ca="1">IF(Iterations[[#This Row],[Step]] =current_step, current_Grad_b,IF(Iterations[[#This Row],[Step]] &gt; current_step, "",Iterations[[#This Row],[Grad_b]]))</f>
        <v>1.6519256912848994E-2</v>
      </c>
      <c r="P398" s="2">
        <f ca="1">IF(Iterations[[#This Row],[Step]] =current_step, current_Grad_c,IF(Iterations[[#This Row],[Step]] &gt; current_step, "",Iterations[[#This Row],[Grad_c]]))</f>
        <v>-0.27206127373509265</v>
      </c>
      <c r="Q398" s="2">
        <f ca="1">IF(Iterations[[#This Row],[Step]] =current_step, current_Grad_d,IF(Iterations[[#This Row],[Step]] &gt; current_step, "",Iterations[[#This Row],[Grad_d]]))</f>
        <v>-1.470516612602467E-2</v>
      </c>
      <c r="R398" s="2">
        <f ca="1">IF(Iterations[[#This Row],[Step]] =current_step, current_Grad_e,IF(Iterations[[#This Row],[Step]] &gt; current_step, "",Iterations[[#This Row],[Grad_e]]))</f>
        <v>9.7036461877074875E-2</v>
      </c>
    </row>
    <row r="399" spans="6:18" x14ac:dyDescent="0.3">
      <c r="F399" s="2">
        <f t="shared" si="8"/>
        <v>382</v>
      </c>
      <c r="G399" s="2">
        <f ca="1">IF(Iterations[[#This Row],[Step]] =current_step, current_a,IF(Iterations[[#This Row],[Step]] &gt; current_step, "",Iterations[[#This Row],[a]]))</f>
        <v>-6.3143347093323223</v>
      </c>
      <c r="H399" s="2">
        <f ca="1">IF(Iterations[[#This Row],[Step]] =current_step, current_b,IF(Iterations[[#This Row],[Step]] &gt; current_step, "",Iterations[[#This Row],[b]]))</f>
        <v>0.51418469236836206</v>
      </c>
      <c r="I399" s="2">
        <f ca="1">IF(Iterations[[#This Row],[Step]] =current_step, current_c,IF(Iterations[[#This Row],[Step]] &gt; current_step, "",Iterations[[#This Row],[c]]))</f>
        <v>18.548718765823683</v>
      </c>
      <c r="J399" s="2">
        <f ca="1">IF(Iterations[[#This Row],[Step]] =current_step, current_d,IF(Iterations[[#This Row],[Step]] &gt; current_step, "",Iterations[[#This Row],[d]]))</f>
        <v>1.0542564132237331</v>
      </c>
      <c r="K399" s="2">
        <f ca="1">IF(Iterations[[#This Row],[Step]] =current_step, current_e,IF(Iterations[[#This Row],[Step]] &gt; current_step, "",Iterations[[#This Row],[e]]))</f>
        <v>12.266231497981567</v>
      </c>
      <c r="L399" s="2">
        <f ca="1">IF(Iterations[[#This Row],[Step]] =current_step, current_Total_Loss,IF(Iterations[[#This Row],[Step]] &gt; current_step, "",Iterations[[#This Row],[Total Loss]]))</f>
        <v>99</v>
      </c>
      <c r="M399" s="6" t="s">
        <v>27</v>
      </c>
      <c r="N399" s="2">
        <f ca="1">IF(Iterations[[#This Row],[Step]] =current_step, current_Grad_a,IF(Iterations[[#This Row],[Step]] &gt; current_step, "",Iterations[[#This Row],[Grad_a]]))</f>
        <v>9.6303894091835776E-2</v>
      </c>
      <c r="O399" s="2">
        <f ca="1">IF(Iterations[[#This Row],[Step]] =current_step, current_Grad_b,IF(Iterations[[#This Row],[Step]] &gt; current_step, "",Iterations[[#This Row],[Grad_b]]))</f>
        <v>1.641180680676789E-2</v>
      </c>
      <c r="P399" s="2">
        <f ca="1">IF(Iterations[[#This Row],[Step]] =current_step, current_Grad_c,IF(Iterations[[#This Row],[Step]] &gt; current_step, "",Iterations[[#This Row],[Grad_c]]))</f>
        <v>-0.27021952326627013</v>
      </c>
      <c r="Q399" s="2">
        <f ca="1">IF(Iterations[[#This Row],[Step]] =current_step, current_Grad_d,IF(Iterations[[#This Row],[Step]] &gt; current_step, "",Iterations[[#This Row],[Grad_d]]))</f>
        <v>-1.4614839270781962E-2</v>
      </c>
      <c r="R399" s="2">
        <f ca="1">IF(Iterations[[#This Row],[Step]] =current_step, current_Grad_e,IF(Iterations[[#This Row],[Step]] &gt; current_step, "",Iterations[[#This Row],[Grad_e]]))</f>
        <v>9.6379432363044498E-2</v>
      </c>
    </row>
    <row r="400" spans="6:18" x14ac:dyDescent="0.3">
      <c r="F400" s="2">
        <f t="shared" si="8"/>
        <v>383</v>
      </c>
      <c r="G400" s="2">
        <f ca="1">IF(Iterations[[#This Row],[Step]] =current_step, current_a,IF(Iterations[[#This Row],[Step]] &gt; current_step, "",Iterations[[#This Row],[a]]))</f>
        <v>-6.3210759819187512</v>
      </c>
      <c r="H400" s="2">
        <f ca="1">IF(Iterations[[#This Row],[Step]] =current_step, current_b,IF(Iterations[[#This Row],[Step]] &gt; current_step, "",Iterations[[#This Row],[b]]))</f>
        <v>0.51303586589188832</v>
      </c>
      <c r="I400" s="2">
        <f ca="1">IF(Iterations[[#This Row],[Step]] =current_step, current_c,IF(Iterations[[#This Row],[Step]] &gt; current_step, "",Iterations[[#This Row],[c]]))</f>
        <v>18.567634132452323</v>
      </c>
      <c r="J400" s="2">
        <f ca="1">IF(Iterations[[#This Row],[Step]] =current_step, current_d,IF(Iterations[[#This Row],[Step]] &gt; current_step, "",Iterations[[#This Row],[d]]))</f>
        <v>1.0552794519726878</v>
      </c>
      <c r="K400" s="2">
        <f ca="1">IF(Iterations[[#This Row],[Step]] =current_step, current_e,IF(Iterations[[#This Row],[Step]] &gt; current_step, "",Iterations[[#This Row],[e]]))</f>
        <v>12.259484937716154</v>
      </c>
      <c r="L400" s="2">
        <f ca="1">IF(Iterations[[#This Row],[Step]] =current_step, current_Total_Loss,IF(Iterations[[#This Row],[Step]] &gt; current_step, "",Iterations[[#This Row],[Total Loss]]))</f>
        <v>98.88</v>
      </c>
      <c r="M400" s="6" t="s">
        <v>27</v>
      </c>
      <c r="N400" s="2">
        <f ca="1">IF(Iterations[[#This Row],[Step]] =current_step, current_Grad_a,IF(Iterations[[#This Row],[Step]] &gt; current_step, "",Iterations[[#This Row],[Grad_a]]))</f>
        <v>9.5652257259861609E-2</v>
      </c>
      <c r="O400" s="2">
        <f ca="1">IF(Iterations[[#This Row],[Step]] =current_step, current_Grad_b,IF(Iterations[[#This Row],[Step]] &gt; current_step, "",Iterations[[#This Row],[Grad_b]]))</f>
        <v>1.6305006529212025E-2</v>
      </c>
      <c r="P400" s="2">
        <f ca="1">IF(Iterations[[#This Row],[Step]] =current_step, current_Grad_c,IF(Iterations[[#This Row],[Step]] &gt; current_step, "",Iterations[[#This Row],[Grad_c]]))</f>
        <v>-0.26839024829441499</v>
      </c>
      <c r="Q400" s="2">
        <f ca="1">IF(Iterations[[#This Row],[Step]] =current_step, current_Grad_d,IF(Iterations[[#This Row],[Step]] &gt; current_step, "",Iterations[[#This Row],[Grad_d]]))</f>
        <v>-1.4524959988680308E-2</v>
      </c>
      <c r="R400" s="2">
        <f ca="1">IF(Iterations[[#This Row],[Step]] =current_step, current_Grad_e,IF(Iterations[[#This Row],[Step]] &gt; current_step, "",Iterations[[#This Row],[Grad_e]]))</f>
        <v>9.572685569505987E-2</v>
      </c>
    </row>
    <row r="401" spans="6:18" x14ac:dyDescent="0.3">
      <c r="F401" s="2">
        <f t="shared" si="8"/>
        <v>384</v>
      </c>
      <c r="G401" s="2">
        <f ca="1">IF(Iterations[[#This Row],[Step]] =current_step, current_a,IF(Iterations[[#This Row],[Step]] &gt; current_step, "",Iterations[[#This Row],[a]]))</f>
        <v>-6.3277716399269419</v>
      </c>
      <c r="H401" s="2">
        <f ca="1">IF(Iterations[[#This Row],[Step]] =current_step, current_b,IF(Iterations[[#This Row],[Step]] &gt; current_step, "",Iterations[[#This Row],[b]]))</f>
        <v>0.51189451543484343</v>
      </c>
      <c r="I401" s="2">
        <f ca="1">IF(Iterations[[#This Row],[Step]] =current_step, current_c,IF(Iterations[[#This Row],[Step]] &gt; current_step, "",Iterations[[#This Row],[c]]))</f>
        <v>18.586421449832933</v>
      </c>
      <c r="J401" s="2">
        <f ca="1">IF(Iterations[[#This Row],[Step]] =current_step, current_d,IF(Iterations[[#This Row],[Step]] &gt; current_step, "",Iterations[[#This Row],[d]]))</f>
        <v>1.0562961991718953</v>
      </c>
      <c r="K401" s="2">
        <f ca="1">IF(Iterations[[#This Row],[Step]] =current_step, current_e,IF(Iterations[[#This Row],[Step]] &gt; current_step, "",Iterations[[#This Row],[e]]))</f>
        <v>12.2527840578175</v>
      </c>
      <c r="L401" s="2">
        <f ca="1">IF(Iterations[[#This Row],[Step]] =current_step, current_Total_Loss,IF(Iterations[[#This Row],[Step]] &gt; current_step, "",Iterations[[#This Row],[Total Loss]]))</f>
        <v>98.77</v>
      </c>
      <c r="M401" s="6" t="s">
        <v>27</v>
      </c>
      <c r="N401" s="2">
        <f ca="1">IF(Iterations[[#This Row],[Step]] =current_step, current_Grad_a,IF(Iterations[[#This Row],[Step]] &gt; current_step, "",Iterations[[#This Row],[Grad_a]]))</f>
        <v>9.5005029023205775E-2</v>
      </c>
      <c r="O401" s="2">
        <f ca="1">IF(Iterations[[#This Row],[Step]] =current_step, current_Grad_b,IF(Iterations[[#This Row],[Step]] &gt; current_step, "",Iterations[[#This Row],[Grad_b]]))</f>
        <v>1.6198853060250422E-2</v>
      </c>
      <c r="P401" s="2">
        <f ca="1">IF(Iterations[[#This Row],[Step]] =current_step, current_Grad_c,IF(Iterations[[#This Row],[Step]] &gt; current_step, "",Iterations[[#This Row],[Grad_c]]))</f>
        <v>-0.26657336417951716</v>
      </c>
      <c r="Q401" s="2">
        <f ca="1">IF(Iterations[[#This Row],[Step]] =current_step, current_Grad_d,IF(Iterations[[#This Row],[Step]] &gt; current_step, "",Iterations[[#This Row],[Grad_d]]))</f>
        <v>-1.4435528167861669E-2</v>
      </c>
      <c r="R401" s="2">
        <f ca="1">IF(Iterations[[#This Row],[Step]] =current_step, current_Grad_e,IF(Iterations[[#This Row],[Step]] &gt; current_step, "",Iterations[[#This Row],[Grad_e]]))</f>
        <v>9.507870162156884E-2</v>
      </c>
    </row>
    <row r="402" spans="6:18" x14ac:dyDescent="0.3">
      <c r="F402" s="2">
        <f t="shared" si="8"/>
        <v>385</v>
      </c>
      <c r="G402" s="2">
        <f ca="1">IF(Iterations[[#This Row],[Step]] =current_step, current_a,IF(Iterations[[#This Row],[Step]] &gt; current_step, "",Iterations[[#This Row],[a]]))</f>
        <v>-6.3344219919585667</v>
      </c>
      <c r="H402" s="2">
        <f ca="1">IF(Iterations[[#This Row],[Step]] =current_step, current_b,IF(Iterations[[#This Row],[Step]] &gt; current_step, "",Iterations[[#This Row],[b]]))</f>
        <v>0.51076059572062593</v>
      </c>
      <c r="I402" s="2">
        <f ca="1">IF(Iterations[[#This Row],[Step]] =current_step, current_c,IF(Iterations[[#This Row],[Step]] &gt; current_step, "",Iterations[[#This Row],[c]]))</f>
        <v>18.6050815853255</v>
      </c>
      <c r="J402" s="2">
        <f ca="1">IF(Iterations[[#This Row],[Step]] =current_step, current_d,IF(Iterations[[#This Row],[Step]] &gt; current_step, "",Iterations[[#This Row],[d]]))</f>
        <v>1.0573066861436455</v>
      </c>
      <c r="K402" s="2">
        <f ca="1">IF(Iterations[[#This Row],[Step]] =current_step, current_e,IF(Iterations[[#This Row],[Step]] &gt; current_step, "",Iterations[[#This Row],[e]]))</f>
        <v>12.246128548703991</v>
      </c>
      <c r="L402" s="2">
        <f ca="1">IF(Iterations[[#This Row],[Step]] =current_step, current_Total_Loss,IF(Iterations[[#This Row],[Step]] &gt; current_step, "",Iterations[[#This Row],[Total Loss]]))</f>
        <v>98.66</v>
      </c>
      <c r="M402" s="6" t="s">
        <v>27</v>
      </c>
      <c r="N402" s="2">
        <f ca="1">IF(Iterations[[#This Row],[Step]] =current_step, current_Grad_a,IF(Iterations[[#This Row],[Step]] &gt; current_step, "",Iterations[[#This Row],[Grad_a]]))</f>
        <v>9.4362179568088234E-2</v>
      </c>
      <c r="O402" s="2">
        <f ca="1">IF(Iterations[[#This Row],[Step]] =current_step, current_Grad_b,IF(Iterations[[#This Row],[Step]] &gt; current_step, "",Iterations[[#This Row],[Grad_b]]))</f>
        <v>1.6093343375847446E-2</v>
      </c>
      <c r="P402" s="2">
        <f ca="1">IF(Iterations[[#This Row],[Step]] =current_step, current_Grad_c,IF(Iterations[[#This Row],[Step]] &gt; current_step, "",Iterations[[#This Row],[Grad_c]]))</f>
        <v>-0.2647687868581482</v>
      </c>
      <c r="Q402" s="2">
        <f ca="1">IF(Iterations[[#This Row],[Step]] =current_step, current_Grad_d,IF(Iterations[[#This Row],[Step]] &gt; current_step, "",Iterations[[#This Row],[Grad_d]]))</f>
        <v>-1.4346543645235958E-2</v>
      </c>
      <c r="R402" s="2">
        <f ca="1">IF(Iterations[[#This Row],[Step]] =current_step, current_Grad_e,IF(Iterations[[#This Row],[Step]] &gt; current_step, "",Iterations[[#This Row],[Grad_e]]))</f>
        <v>9.4434940097876272E-2</v>
      </c>
    </row>
    <row r="403" spans="6:18" x14ac:dyDescent="0.3">
      <c r="F403" s="2">
        <f t="shared" si="8"/>
        <v>386</v>
      </c>
      <c r="G403" s="2">
        <f ca="1">IF(Iterations[[#This Row],[Step]] =current_step, current_a,IF(Iterations[[#This Row],[Step]] &gt; current_step, "",Iterations[[#This Row],[a]]))</f>
        <v>-6.3410273445283325</v>
      </c>
      <c r="H403" s="2">
        <f ca="1">IF(Iterations[[#This Row],[Step]] =current_step, current_b,IF(Iterations[[#This Row],[Step]] &gt; current_step, "",Iterations[[#This Row],[b]]))</f>
        <v>0.50963406168431657</v>
      </c>
      <c r="I403" s="2">
        <f ca="1">IF(Iterations[[#This Row],[Step]] =current_step, current_c,IF(Iterations[[#This Row],[Step]] &gt; current_step, "",Iterations[[#This Row],[c]]))</f>
        <v>18.623615400405569</v>
      </c>
      <c r="J403" s="2">
        <f ca="1">IF(Iterations[[#This Row],[Step]] =current_step, current_d,IF(Iterations[[#This Row],[Step]] &gt; current_step, "",Iterations[[#This Row],[d]]))</f>
        <v>1.0583109441988121</v>
      </c>
      <c r="K403" s="2">
        <f ca="1">IF(Iterations[[#This Row],[Step]] =current_step, current_e,IF(Iterations[[#This Row],[Step]] &gt; current_step, "",Iterations[[#This Row],[e]]))</f>
        <v>12.23951810289714</v>
      </c>
      <c r="L403" s="2">
        <f ca="1">IF(Iterations[[#This Row],[Step]] =current_step, current_Total_Loss,IF(Iterations[[#This Row],[Step]] &gt; current_step, "",Iterations[[#This Row],[Total Loss]]))</f>
        <v>98.54</v>
      </c>
      <c r="M403" s="6" t="s">
        <v>27</v>
      </c>
      <c r="N403" s="2">
        <f ca="1">IF(Iterations[[#This Row],[Step]] =current_step, current_Grad_a,IF(Iterations[[#This Row],[Step]] &gt; current_step, "",Iterations[[#This Row],[Grad_a]]))</f>
        <v>9.3723679282069733E-2</v>
      </c>
      <c r="O403" s="2">
        <f ca="1">IF(Iterations[[#This Row],[Step]] =current_step, current_Grad_b,IF(Iterations[[#This Row],[Step]] &gt; current_step, "",Iterations[[#This Row],[Grad_b]]))</f>
        <v>1.5988474448279048E-2</v>
      </c>
      <c r="P403" s="2">
        <f ca="1">IF(Iterations[[#This Row],[Step]] =current_step, current_Grad_c,IF(Iterations[[#This Row],[Step]] &gt; current_step, "",Iterations[[#This Row],[Grad_c]]))</f>
        <v>-0.2629764328395815</v>
      </c>
      <c r="Q403" s="2">
        <f ca="1">IF(Iterations[[#This Row],[Step]] =current_step, current_Grad_d,IF(Iterations[[#This Row],[Step]] &gt; current_step, "",Iterations[[#This Row],[Grad_d]]))</f>
        <v>-1.4258006207780456E-2</v>
      </c>
      <c r="R403" s="2">
        <f ca="1">IF(Iterations[[#This Row],[Step]] =current_step, current_Grad_e,IF(Iterations[[#This Row],[Step]] &gt; current_step, "",Iterations[[#This Row],[Grad_e]]))</f>
        <v>9.3795541284655198E-2</v>
      </c>
    </row>
    <row r="404" spans="6:18" x14ac:dyDescent="0.3">
      <c r="F404" s="2">
        <f t="shared" si="8"/>
        <v>387</v>
      </c>
      <c r="G404" s="2">
        <f ca="1">IF(Iterations[[#This Row],[Step]] =current_step, current_a,IF(Iterations[[#This Row],[Step]] &gt; current_step, "",Iterations[[#This Row],[a]]))</f>
        <v>-6.3475880020780773</v>
      </c>
      <c r="H404" s="2">
        <f ca="1">IF(Iterations[[#This Row],[Step]] =current_step, current_b,IF(Iterations[[#This Row],[Step]] &gt; current_step, "",Iterations[[#This Row],[b]]))</f>
        <v>0.50851486847293703</v>
      </c>
      <c r="I404" s="2">
        <f ca="1">IF(Iterations[[#This Row],[Step]] =current_step, current_c,IF(Iterations[[#This Row],[Step]] &gt; current_step, "",Iterations[[#This Row],[c]]))</f>
        <v>18.64202375070434</v>
      </c>
      <c r="J404" s="2">
        <f ca="1">IF(Iterations[[#This Row],[Step]] =current_step, current_d,IF(Iterations[[#This Row],[Step]] &gt; current_step, "",Iterations[[#This Row],[d]]))</f>
        <v>1.0593090046333566</v>
      </c>
      <c r="K404" s="2">
        <f ca="1">IF(Iterations[[#This Row],[Step]] =current_step, current_e,IF(Iterations[[#This Row],[Step]] &gt; current_step, "",Iterations[[#This Row],[e]]))</f>
        <v>12.232952415007214</v>
      </c>
      <c r="L404" s="2">
        <f ca="1">IF(Iterations[[#This Row],[Step]] =current_step, current_Total_Loss,IF(Iterations[[#This Row],[Step]] &gt; current_step, "",Iterations[[#This Row],[Total Loss]]))</f>
        <v>98.43</v>
      </c>
      <c r="M404" s="6" t="s">
        <v>27</v>
      </c>
      <c r="N404" s="2">
        <f ca="1">IF(Iterations[[#This Row],[Step]] =current_step, current_Grad_a,IF(Iterations[[#This Row],[Step]] &gt; current_step, "",Iterations[[#This Row],[Grad_a]]))</f>
        <v>9.3089498752699368E-2</v>
      </c>
      <c r="O404" s="2">
        <f ca="1">IF(Iterations[[#This Row],[Step]] =current_step, current_Grad_b,IF(Iterations[[#This Row],[Step]] &gt; current_step, "",Iterations[[#This Row],[Grad_b]]))</f>
        <v>1.5884243246708365E-2</v>
      </c>
      <c r="P404" s="2">
        <f ca="1">IF(Iterations[[#This Row],[Step]] =current_step, current_Grad_c,IF(Iterations[[#This Row],[Step]] &gt; current_step, "",Iterations[[#This Row],[Grad_c]]))</f>
        <v>-0.26119621920182023</v>
      </c>
      <c r="Q404" s="2">
        <f ca="1">IF(Iterations[[#This Row],[Step]] =current_step, current_Grad_d,IF(Iterations[[#This Row],[Step]] &gt; current_step, "",Iterations[[#This Row],[Grad_d]]))</f>
        <v>-1.4169915593732436E-2</v>
      </c>
      <c r="R404" s="2">
        <f ca="1">IF(Iterations[[#This Row],[Step]] =current_step, current_Grad_e,IF(Iterations[[#This Row],[Step]] &gt; current_step, "",Iterations[[#This Row],[Grad_e]]))</f>
        <v>9.3160475546555252E-2</v>
      </c>
    </row>
    <row r="405" spans="6:18" x14ac:dyDescent="0.3">
      <c r="F405" s="2">
        <f t="shared" si="8"/>
        <v>388</v>
      </c>
      <c r="G405" s="2">
        <f ca="1">IF(Iterations[[#This Row],[Step]] =current_step, current_a,IF(Iterations[[#This Row],[Step]] &gt; current_step, "",Iterations[[#This Row],[a]]))</f>
        <v>-6.3541042669907659</v>
      </c>
      <c r="H405" s="2">
        <f ca="1">IF(Iterations[[#This Row],[Step]] =current_step, current_b,IF(Iterations[[#This Row],[Step]] &gt; current_step, "",Iterations[[#This Row],[b]]))</f>
        <v>0.50740297144566748</v>
      </c>
      <c r="I405" s="2">
        <f ca="1">IF(Iterations[[#This Row],[Step]] =current_step, current_c,IF(Iterations[[#This Row],[Step]] &gt; current_step, "",Iterations[[#This Row],[c]]))</f>
        <v>18.660307486048467</v>
      </c>
      <c r="J405" s="2">
        <f ca="1">IF(Iterations[[#This Row],[Step]] =current_step, current_d,IF(Iterations[[#This Row],[Step]] &gt; current_step, "",Iterations[[#This Row],[d]]))</f>
        <v>1.0603008987249178</v>
      </c>
      <c r="K405" s="2">
        <f ca="1">IF(Iterations[[#This Row],[Step]] =current_step, current_e,IF(Iterations[[#This Row],[Step]] &gt; current_step, "",Iterations[[#This Row],[e]]))</f>
        <v>12.226431181718954</v>
      </c>
      <c r="L405" s="2">
        <f ca="1">IF(Iterations[[#This Row],[Step]] =current_step, current_Total_Loss,IF(Iterations[[#This Row],[Step]] &gt; current_step, "",Iterations[[#This Row],[Total Loss]]))</f>
        <v>98.33</v>
      </c>
      <c r="M405" s="6" t="s">
        <v>27</v>
      </c>
      <c r="N405" s="2">
        <f ca="1">IF(Iterations[[#This Row],[Step]] =current_step, current_Grad_a,IF(Iterations[[#This Row],[Step]] &gt; current_step, "",Iterations[[#This Row],[Grad_a]]))</f>
        <v>9.2459608766434248E-2</v>
      </c>
      <c r="O405" s="2">
        <f ca="1">IF(Iterations[[#This Row],[Step]] =current_step, current_Grad_b,IF(Iterations[[#This Row],[Step]] &gt; current_step, "",Iterations[[#This Row],[Grad_b]]))</f>
        <v>1.5780646737436916E-2</v>
      </c>
      <c r="P405" s="2">
        <f ca="1">IF(Iterations[[#This Row],[Step]] =current_step, current_Grad_c,IF(Iterations[[#This Row],[Step]] &gt; current_step, "",Iterations[[#This Row],[Grad_c]]))</f>
        <v>-0.25942806358760362</v>
      </c>
      <c r="Q405" s="2">
        <f ca="1">IF(Iterations[[#This Row],[Step]] =current_step, current_Grad_d,IF(Iterations[[#This Row],[Step]] &gt; current_step, "",Iterations[[#This Row],[Grad_d]]))</f>
        <v>-1.4082271493892986E-2</v>
      </c>
      <c r="R405" s="2">
        <f ca="1">IF(Iterations[[#This Row],[Step]] =current_step, current_Grad_e,IF(Iterations[[#This Row],[Step]] &gt; current_step, "",Iterations[[#This Row],[Grad_e]]))</f>
        <v>9.2529713450793916E-2</v>
      </c>
    </row>
    <row r="406" spans="6:18" x14ac:dyDescent="0.3">
      <c r="F406" s="2">
        <f t="shared" si="8"/>
        <v>389</v>
      </c>
      <c r="G406" s="2">
        <f ca="1">IF(Iterations[[#This Row],[Step]] =current_step, current_a,IF(Iterations[[#This Row],[Step]] &gt; current_step, "",Iterations[[#This Row],[a]]))</f>
        <v>-6.360576439604416</v>
      </c>
      <c r="H406" s="2">
        <f ca="1">IF(Iterations[[#This Row],[Step]] =current_step, current_b,IF(Iterations[[#This Row],[Step]] &gt; current_step, "",Iterations[[#This Row],[b]]))</f>
        <v>0.50629832617404691</v>
      </c>
      <c r="I406" s="2">
        <f ca="1">IF(Iterations[[#This Row],[Step]] =current_step, current_c,IF(Iterations[[#This Row],[Step]] &gt; current_step, "",Iterations[[#This Row],[c]]))</f>
        <v>18.6784674504996</v>
      </c>
      <c r="J406" s="2">
        <f ca="1">IF(Iterations[[#This Row],[Step]] =current_step, current_d,IF(Iterations[[#This Row],[Step]] &gt; current_step, "",Iterations[[#This Row],[d]]))</f>
        <v>1.0612866577294904</v>
      </c>
      <c r="K406" s="2">
        <f ca="1">IF(Iterations[[#This Row],[Step]] =current_step, current_e,IF(Iterations[[#This Row],[Step]] &gt; current_step, "",Iterations[[#This Row],[e]]))</f>
        <v>12.219954101777398</v>
      </c>
      <c r="L406" s="2">
        <f ca="1">IF(Iterations[[#This Row],[Step]] =current_step, current_Total_Loss,IF(Iterations[[#This Row],[Step]] &gt; current_step, "",Iterations[[#This Row],[Total Loss]]))</f>
        <v>98.22</v>
      </c>
      <c r="M406" s="6" t="s">
        <v>27</v>
      </c>
      <c r="N406" s="2">
        <f ca="1">IF(Iterations[[#This Row],[Step]] =current_step, current_Grad_a,IF(Iterations[[#This Row],[Step]] &gt; current_step, "",Iterations[[#This Row],[Grad_a]]))</f>
        <v>9.1833980306740212E-2</v>
      </c>
      <c r="O406" s="2">
        <f ca="1">IF(Iterations[[#This Row],[Step]] =current_step, current_Grad_b,IF(Iterations[[#This Row],[Step]] &gt; current_step, "",Iterations[[#This Row],[Grad_b]]))</f>
        <v>1.5677681884580297E-2</v>
      </c>
      <c r="P406" s="2">
        <f ca="1">IF(Iterations[[#This Row],[Step]] =current_step, current_Grad_c,IF(Iterations[[#This Row],[Step]] &gt; current_step, "",Iterations[[#This Row],[Grad_c]]))</f>
        <v>-0.25767188420072634</v>
      </c>
      <c r="Q406" s="2">
        <f ca="1">IF(Iterations[[#This Row],[Step]] =current_step, current_Grad_d,IF(Iterations[[#This Row],[Step]] &gt; current_step, "",Iterations[[#This Row],[Grad_d]]))</f>
        <v>-1.3995073552733181E-2</v>
      </c>
      <c r="R406" s="2">
        <f ca="1">IF(Iterations[[#This Row],[Step]] =current_step, current_Grad_e,IF(Iterations[[#This Row],[Step]] &gt; current_step, "",Iterations[[#This Row],[Grad_e]]))</f>
        <v>9.1903225765678345E-2</v>
      </c>
    </row>
    <row r="407" spans="6:18" x14ac:dyDescent="0.3">
      <c r="F407" s="2">
        <f t="shared" si="8"/>
        <v>390</v>
      </c>
      <c r="G407" s="2">
        <f ca="1">IF(Iterations[[#This Row],[Step]] =current_step, current_a,IF(Iterations[[#This Row],[Step]] &gt; current_step, "",Iterations[[#This Row],[a]]))</f>
        <v>-6.3670048182258876</v>
      </c>
      <c r="H407" s="2">
        <f ca="1">IF(Iterations[[#This Row],[Step]] =current_step, current_b,IF(Iterations[[#This Row],[Step]] &gt; current_step, "",Iterations[[#This Row],[b]]))</f>
        <v>0.50520088844212629</v>
      </c>
      <c r="I407" s="2">
        <f ca="1">IF(Iterations[[#This Row],[Step]] =current_step, current_c,IF(Iterations[[#This Row],[Step]] &gt; current_step, "",Iterations[[#This Row],[c]]))</f>
        <v>18.696504482393649</v>
      </c>
      <c r="J407" s="2">
        <f ca="1">IF(Iterations[[#This Row],[Step]] =current_step, current_d,IF(Iterations[[#This Row],[Step]] &gt; current_step, "",Iterations[[#This Row],[d]]))</f>
        <v>1.0622663128781817</v>
      </c>
      <c r="K407" s="2">
        <f ca="1">IF(Iterations[[#This Row],[Step]] =current_step, current_e,IF(Iterations[[#This Row],[Step]] &gt; current_step, "",Iterations[[#This Row],[e]]))</f>
        <v>12.213520875973801</v>
      </c>
      <c r="L407" s="2">
        <f ca="1">IF(Iterations[[#This Row],[Step]] =current_step, current_Total_Loss,IF(Iterations[[#This Row],[Step]] &gt; current_step, "",Iterations[[#This Row],[Total Loss]]))</f>
        <v>98.12</v>
      </c>
      <c r="M407" s="6" t="s">
        <v>27</v>
      </c>
      <c r="N407" s="2">
        <f ca="1">IF(Iterations[[#This Row],[Step]] =current_step, current_Grad_a,IF(Iterations[[#This Row],[Step]] &gt; current_step, "",Iterations[[#This Row],[Grad_a]]))</f>
        <v>9.1212584553532317E-2</v>
      </c>
      <c r="O407" s="2">
        <f ca="1">IF(Iterations[[#This Row],[Step]] =current_step, current_Grad_b,IF(Iterations[[#This Row],[Step]] &gt; current_step, "",Iterations[[#This Row],[Grad_b]]))</f>
        <v>1.5575345650230258E-2</v>
      </c>
      <c r="P407" s="2">
        <f ca="1">IF(Iterations[[#This Row],[Step]] =current_step, current_Grad_c,IF(Iterations[[#This Row],[Step]] &gt; current_step, "",Iterations[[#This Row],[Grad_c]]))</f>
        <v>-0.25592759980187563</v>
      </c>
      <c r="Q407" s="2">
        <f ca="1">IF(Iterations[[#This Row],[Step]] =current_step, current_Grad_d,IF(Iterations[[#This Row],[Step]] &gt; current_step, "",Iterations[[#This Row],[Grad_d]]))</f>
        <v>-1.3908321369664122E-2</v>
      </c>
      <c r="R407" s="2">
        <f ca="1">IF(Iterations[[#This Row],[Step]] =current_step, current_Grad_e,IF(Iterations[[#This Row],[Step]] &gt; current_step, "",Iterations[[#This Row],[Grad_e]]))</f>
        <v>9.1280983459333082E-2</v>
      </c>
    </row>
    <row r="408" spans="6:18" x14ac:dyDescent="0.3">
      <c r="F408" s="2">
        <f t="shared" si="8"/>
        <v>391</v>
      </c>
      <c r="G408" s="2">
        <f ca="1">IF(Iterations[[#This Row],[Step]] =current_step, current_a,IF(Iterations[[#This Row],[Step]] &gt; current_step, "",Iterations[[#This Row],[a]]))</f>
        <v>-6.373389699144635</v>
      </c>
      <c r="H408" s="2">
        <f ca="1">IF(Iterations[[#This Row],[Step]] =current_step, current_b,IF(Iterations[[#This Row],[Step]] &gt; current_step, "",Iterations[[#This Row],[b]]))</f>
        <v>0.50411061424661019</v>
      </c>
      <c r="I408" s="2">
        <f ca="1">IF(Iterations[[#This Row],[Step]] =current_step, current_c,IF(Iterations[[#This Row],[Step]] &gt; current_step, "",Iterations[[#This Row],[c]]))</f>
        <v>18.71441941437978</v>
      </c>
      <c r="J408" s="2">
        <f ca="1">IF(Iterations[[#This Row],[Step]] =current_step, current_d,IF(Iterations[[#This Row],[Step]] &gt; current_step, "",Iterations[[#This Row],[d]]))</f>
        <v>1.0632398953740583</v>
      </c>
      <c r="K408" s="2">
        <f ca="1">IF(Iterations[[#This Row],[Step]] =current_step, current_e,IF(Iterations[[#This Row],[Step]] &gt; current_step, "",Iterations[[#This Row],[e]]))</f>
        <v>12.207131207131647</v>
      </c>
      <c r="L408" s="2">
        <f ca="1">IF(Iterations[[#This Row],[Step]] =current_step, current_Total_Loss,IF(Iterations[[#This Row],[Step]] &gt; current_step, "",Iterations[[#This Row],[Total Loss]]))</f>
        <v>98.01</v>
      </c>
      <c r="M408" s="6" t="s">
        <v>27</v>
      </c>
      <c r="N408" s="2">
        <f ca="1">IF(Iterations[[#This Row],[Step]] =current_step, current_Grad_a,IF(Iterations[[#This Row],[Step]] &gt; current_step, "",Iterations[[#This Row],[Grad_a]]))</f>
        <v>9.0595392881078027E-2</v>
      </c>
      <c r="O408" s="2">
        <f ca="1">IF(Iterations[[#This Row],[Step]] =current_step, current_Grad_b,IF(Iterations[[#This Row],[Step]] &gt; current_step, "",Iterations[[#This Row],[Grad_b]]))</f>
        <v>1.54736349950928E-2</v>
      </c>
      <c r="P408" s="2">
        <f ca="1">IF(Iterations[[#This Row],[Step]] =current_step, current_Grad_c,IF(Iterations[[#This Row],[Step]] &gt; current_step, "",Iterations[[#This Row],[Grad_c]]))</f>
        <v>-0.25419512970511221</v>
      </c>
      <c r="Q408" s="2">
        <f ca="1">IF(Iterations[[#This Row],[Step]] =current_step, current_Grad_d,IF(Iterations[[#This Row],[Step]] &gt; current_step, "",Iterations[[#This Row],[Grad_d]]))</f>
        <v>-1.3822014500105327E-2</v>
      </c>
      <c r="R408" s="2">
        <f ca="1">IF(Iterations[[#This Row],[Step]] =current_step, current_Grad_e,IF(Iterations[[#This Row],[Step]] &gt; current_step, "",Iterations[[#This Row],[Grad_e]]))</f>
        <v>9.0662957698176685E-2</v>
      </c>
    </row>
    <row r="409" spans="6:18" x14ac:dyDescent="0.3">
      <c r="F409" s="2">
        <f t="shared" si="8"/>
        <v>392</v>
      </c>
      <c r="G409" s="2">
        <f ca="1">IF(Iterations[[#This Row],[Step]] =current_step, current_a,IF(Iterations[[#This Row],[Step]] &gt; current_step, "",Iterations[[#This Row],[a]]))</f>
        <v>-6.3797313766463102</v>
      </c>
      <c r="H409" s="2">
        <f ca="1">IF(Iterations[[#This Row],[Step]] =current_step, current_b,IF(Iterations[[#This Row],[Step]] &gt; current_step, "",Iterations[[#This Row],[b]]))</f>
        <v>0.50302745979695374</v>
      </c>
      <c r="I409" s="2">
        <f ca="1">IF(Iterations[[#This Row],[Step]] =current_step, current_c,IF(Iterations[[#This Row],[Step]] &gt; current_step, "",Iterations[[#This Row],[c]]))</f>
        <v>18.732213073459139</v>
      </c>
      <c r="J409" s="2">
        <f ca="1">IF(Iterations[[#This Row],[Step]] =current_step, current_d,IF(Iterations[[#This Row],[Step]] &gt; current_step, "",Iterations[[#This Row],[d]]))</f>
        <v>1.0642074363890657</v>
      </c>
      <c r="K409" s="2">
        <f ca="1">IF(Iterations[[#This Row],[Step]] =current_step, current_e,IF(Iterations[[#This Row],[Step]] &gt; current_step, "",Iterations[[#This Row],[e]]))</f>
        <v>12.200784800092775</v>
      </c>
      <c r="L409" s="2">
        <f ca="1">IF(Iterations[[#This Row],[Step]] =current_step, current_Total_Loss,IF(Iterations[[#This Row],[Step]] &gt; current_step, "",Iterations[[#This Row],[Total Loss]]))</f>
        <v>97.91</v>
      </c>
      <c r="M409" s="6" t="s">
        <v>27</v>
      </c>
      <c r="N409" s="2">
        <f ca="1">IF(Iterations[[#This Row],[Step]] =current_step, current_Grad_a,IF(Iterations[[#This Row],[Step]] &gt; current_step, "",Iterations[[#This Row],[Grad_a]]))</f>
        <v>8.9982376857334678E-2</v>
      </c>
      <c r="O409" s="2">
        <f ca="1">IF(Iterations[[#This Row],[Step]] =current_step, current_Grad_b,IF(Iterations[[#This Row],[Step]] &gt; current_step, "",Iterations[[#This Row],[Grad_b]]))</f>
        <v>1.5372546878754148E-2</v>
      </c>
      <c r="P409" s="2">
        <f ca="1">IF(Iterations[[#This Row],[Step]] =current_step, current_Grad_c,IF(Iterations[[#This Row],[Step]] &gt; current_step, "",Iterations[[#This Row],[Grad_c]]))</f>
        <v>-0.25247439377379549</v>
      </c>
      <c r="Q409" s="2">
        <f ca="1">IF(Iterations[[#This Row],[Step]] =current_step, current_Grad_d,IF(Iterations[[#This Row],[Step]] &gt; current_step, "",Iterations[[#This Row],[Grad_d]]))</f>
        <v>-1.3736152456668309E-2</v>
      </c>
      <c r="R409" s="2">
        <f ca="1">IF(Iterations[[#This Row],[Step]] =current_step, current_Grad_e,IF(Iterations[[#This Row],[Step]] &gt; current_step, "",Iterations[[#This Row],[Grad_e]]))</f>
        <v>9.0049119845670766E-2</v>
      </c>
    </row>
    <row r="410" spans="6:18" x14ac:dyDescent="0.3">
      <c r="F410" s="2">
        <f t="shared" si="8"/>
        <v>393</v>
      </c>
      <c r="G410" s="2">
        <f ca="1">IF(Iterations[[#This Row],[Step]] =current_step, current_a,IF(Iterations[[#This Row],[Step]] &gt; current_step, "",Iterations[[#This Row],[a]]))</f>
        <v>-6.386030143026324</v>
      </c>
      <c r="H410" s="2">
        <f ca="1">IF(Iterations[[#This Row],[Step]] =current_step, current_b,IF(Iterations[[#This Row],[Step]] &gt; current_step, "",Iterations[[#This Row],[b]]))</f>
        <v>0.50195138151544094</v>
      </c>
      <c r="I410" s="2">
        <f ca="1">IF(Iterations[[#This Row],[Step]] =current_step, current_c,IF(Iterations[[#This Row],[Step]] &gt; current_step, "",Iterations[[#This Row],[c]]))</f>
        <v>18.749886281023304</v>
      </c>
      <c r="J410" s="2">
        <f ca="1">IF(Iterations[[#This Row],[Step]] =current_step, current_d,IF(Iterations[[#This Row],[Step]] &gt; current_step, "",Iterations[[#This Row],[d]]))</f>
        <v>1.0651689670610325</v>
      </c>
      <c r="K410" s="2">
        <f ca="1">IF(Iterations[[#This Row],[Step]] =current_step, current_e,IF(Iterations[[#This Row],[Step]] &gt; current_step, "",Iterations[[#This Row],[e]]))</f>
        <v>12.194481361703577</v>
      </c>
      <c r="L410" s="2">
        <f ca="1">IF(Iterations[[#This Row],[Step]] =current_step, current_Total_Loss,IF(Iterations[[#This Row],[Step]] &gt; current_step, "",Iterations[[#This Row],[Total Loss]]))</f>
        <v>97.81</v>
      </c>
      <c r="M410" s="6" t="s">
        <v>27</v>
      </c>
      <c r="N410" s="2">
        <f ca="1">IF(Iterations[[#This Row],[Step]] =current_step, current_Grad_a,IF(Iterations[[#This Row],[Step]] &gt; current_step, "",Iterations[[#This Row],[Grad_a]]))</f>
        <v>8.9373508242003005E-2</v>
      </c>
      <c r="O410" s="2">
        <f ca="1">IF(Iterations[[#This Row],[Step]] =current_step, current_Grad_b,IF(Iterations[[#This Row],[Step]] &gt; current_step, "",Iterations[[#This Row],[Grad_b]]))</f>
        <v>1.5272078260143922E-2</v>
      </c>
      <c r="P410" s="2">
        <f ca="1">IF(Iterations[[#This Row],[Step]] =current_step, current_Grad_c,IF(Iterations[[#This Row],[Step]] &gt; current_step, "",Iterations[[#This Row],[Grad_c]]))</f>
        <v>-0.25076531241707473</v>
      </c>
      <c r="Q410" s="2">
        <f ca="1">IF(Iterations[[#This Row],[Step]] =current_step, current_Grad_d,IF(Iterations[[#This Row],[Step]] &gt; current_step, "",Iterations[[#This Row],[Grad_d]]))</f>
        <v>-1.3650734710235417E-2</v>
      </c>
      <c r="R410" s="2">
        <f ca="1">IF(Iterations[[#This Row],[Step]] =current_step, current_Grad_e,IF(Iterations[[#This Row],[Step]] &gt; current_step, "",Iterations[[#This Row],[Grad_e]]))</f>
        <v>8.9439441460824234E-2</v>
      </c>
    </row>
    <row r="411" spans="6:18" x14ac:dyDescent="0.3">
      <c r="F411" s="2">
        <f t="shared" si="8"/>
        <v>394</v>
      </c>
      <c r="G411" s="2">
        <f ca="1">IF(Iterations[[#This Row],[Step]] =current_step, current_a,IF(Iterations[[#This Row],[Step]] &gt; current_step, "",Iterations[[#This Row],[a]]))</f>
        <v>-6.3922862886032643</v>
      </c>
      <c r="H411" s="2">
        <f ca="1">IF(Iterations[[#This Row],[Step]] =current_step, current_b,IF(Iterations[[#This Row],[Step]] &gt; current_step, "",Iterations[[#This Row],[b]]))</f>
        <v>0.50088233603723087</v>
      </c>
      <c r="I411" s="2">
        <f ca="1">IF(Iterations[[#This Row],[Step]] =current_step, current_c,IF(Iterations[[#This Row],[Step]] &gt; current_step, "",Iterations[[#This Row],[c]]))</f>
        <v>18.767439852892501</v>
      </c>
      <c r="J411" s="2">
        <f ca="1">IF(Iterations[[#This Row],[Step]] =current_step, current_d,IF(Iterations[[#This Row],[Step]] &gt; current_step, "",Iterations[[#This Row],[d]]))</f>
        <v>1.0661245184907489</v>
      </c>
      <c r="K411" s="2">
        <f ca="1">IF(Iterations[[#This Row],[Step]] =current_step, current_e,IF(Iterations[[#This Row],[Step]] &gt; current_step, "",Iterations[[#This Row],[e]]))</f>
        <v>12.188220600801319</v>
      </c>
      <c r="L411" s="2">
        <f ca="1">IF(Iterations[[#This Row],[Step]] =current_step, current_Total_Loss,IF(Iterations[[#This Row],[Step]] &gt; current_step, "",Iterations[[#This Row],[Total Loss]]))</f>
        <v>97.71</v>
      </c>
      <c r="M411" s="6" t="s">
        <v>27</v>
      </c>
      <c r="N411" s="2">
        <f ca="1">IF(Iterations[[#This Row],[Step]] =current_step, current_Grad_a,IF(Iterations[[#This Row],[Step]] &gt; current_step, "",Iterations[[#This Row],[Grad_a]]))</f>
        <v>8.8768758986099414E-2</v>
      </c>
      <c r="O411" s="2">
        <f ca="1">IF(Iterations[[#This Row],[Step]] =current_step, current_Grad_b,IF(Iterations[[#This Row],[Step]] &gt; current_step, "",Iterations[[#This Row],[Grad_b]]))</f>
        <v>1.5172226097818924E-2</v>
      </c>
      <c r="P411" s="2">
        <f ca="1">IF(Iterations[[#This Row],[Step]] =current_step, current_Grad_c,IF(Iterations[[#This Row],[Step]] &gt; current_step, "",Iterations[[#This Row],[Grad_c]]))</f>
        <v>-0.24906780658577471</v>
      </c>
      <c r="Q411" s="2">
        <f ca="1">IF(Iterations[[#This Row],[Step]] =current_step, current_Grad_d,IF(Iterations[[#This Row],[Step]] &gt; current_step, "",Iterations[[#This Row],[Grad_d]]))</f>
        <v>-1.3565760691075525E-2</v>
      </c>
      <c r="R411" s="2">
        <f ca="1">IF(Iterations[[#This Row],[Step]] =current_step, current_Grad_e,IF(Iterations[[#This Row],[Step]] &gt; current_step, "",Iterations[[#This Row],[Grad_e]]))</f>
        <v>8.8833894297011815E-2</v>
      </c>
    </row>
    <row r="412" spans="6:18" x14ac:dyDescent="0.3">
      <c r="F412" s="2">
        <f t="shared" si="8"/>
        <v>395</v>
      </c>
      <c r="G412" s="2">
        <f ca="1">IF(Iterations[[#This Row],[Step]] =current_step, current_a,IF(Iterations[[#This Row],[Step]] &gt; current_step, "",Iterations[[#This Row],[a]]))</f>
        <v>-6.3985001017322913</v>
      </c>
      <c r="H412" s="2">
        <f ca="1">IF(Iterations[[#This Row],[Step]] =current_step, current_b,IF(Iterations[[#This Row],[Step]] &gt; current_step, "",Iterations[[#This Row],[b]]))</f>
        <v>0.49982028021038355</v>
      </c>
      <c r="I412" s="2">
        <f ca="1">IF(Iterations[[#This Row],[Step]] =current_step, current_c,IF(Iterations[[#This Row],[Step]] &gt; current_step, "",Iterations[[#This Row],[c]]))</f>
        <v>18.784874599353504</v>
      </c>
      <c r="J412" s="2">
        <f ca="1">IF(Iterations[[#This Row],[Step]] =current_step, current_d,IF(Iterations[[#This Row],[Step]] &gt; current_step, "",Iterations[[#This Row],[d]]))</f>
        <v>1.0670741217391242</v>
      </c>
      <c r="K412" s="2">
        <f ca="1">IF(Iterations[[#This Row],[Step]] =current_step, current_e,IF(Iterations[[#This Row],[Step]] &gt; current_step, "",Iterations[[#This Row],[e]]))</f>
        <v>12.182002228200528</v>
      </c>
      <c r="L412" s="2">
        <f ca="1">IF(Iterations[[#This Row],[Step]] =current_step, current_Total_Loss,IF(Iterations[[#This Row],[Step]] &gt; current_step, "",Iterations[[#This Row],[Total Loss]]))</f>
        <v>97.61</v>
      </c>
      <c r="M412" s="6" t="s">
        <v>27</v>
      </c>
      <c r="N412" s="2">
        <f ca="1">IF(Iterations[[#This Row],[Step]] =current_step, current_Grad_a,IF(Iterations[[#This Row],[Step]] &gt; current_step, "",Iterations[[#This Row],[Grad_a]]))</f>
        <v>8.8168101229517085E-2</v>
      </c>
      <c r="O412" s="2">
        <f ca="1">IF(Iterations[[#This Row],[Step]] =current_step, current_Grad_b,IF(Iterations[[#This Row],[Step]] &gt; current_step, "",Iterations[[#This Row],[Grad_b]]))</f>
        <v>1.5072987350532493E-2</v>
      </c>
      <c r="P412" s="2">
        <f ca="1">IF(Iterations[[#This Row],[Step]] =current_step, current_Grad_c,IF(Iterations[[#This Row],[Step]] &gt; current_step, "",Iterations[[#This Row],[Grad_c]]))</f>
        <v>-0.24738179776915409</v>
      </c>
      <c r="Q412" s="2">
        <f ca="1">IF(Iterations[[#This Row],[Step]] =current_step, current_Grad_d,IF(Iterations[[#This Row],[Step]] &gt; current_step, "",Iterations[[#This Row],[Grad_d]]))</f>
        <v>-1.3481229789845858E-2</v>
      </c>
      <c r="R412" s="2">
        <f ca="1">IF(Iterations[[#This Row],[Step]] =current_step, current_Grad_e,IF(Iterations[[#This Row],[Step]] &gt; current_step, "",Iterations[[#This Row],[Grad_e]]))</f>
        <v>8.8232450300388718E-2</v>
      </c>
    </row>
    <row r="413" spans="6:18" x14ac:dyDescent="0.3">
      <c r="F413" s="2">
        <f t="shared" si="8"/>
        <v>396</v>
      </c>
      <c r="G413" s="2">
        <f ca="1">IF(Iterations[[#This Row],[Step]] =current_step, current_a,IF(Iterations[[#This Row],[Step]] &gt; current_step, "",Iterations[[#This Row],[a]]))</f>
        <v>-6.4046718688183573</v>
      </c>
      <c r="H413" s="2">
        <f ca="1">IF(Iterations[[#This Row],[Step]] =current_step, current_b,IF(Iterations[[#This Row],[Step]] &gt; current_step, "",Iterations[[#This Row],[b]]))</f>
        <v>0.49876517109584628</v>
      </c>
      <c r="I413" s="2">
        <f ca="1">IF(Iterations[[#This Row],[Step]] =current_step, current_c,IF(Iterations[[#This Row],[Step]] &gt; current_step, "",Iterations[[#This Row],[c]]))</f>
        <v>18.802191325197345</v>
      </c>
      <c r="J413" s="2">
        <f ca="1">IF(Iterations[[#This Row],[Step]] =current_step, current_d,IF(Iterations[[#This Row],[Step]] &gt; current_step, "",Iterations[[#This Row],[d]]))</f>
        <v>1.0680178078244134</v>
      </c>
      <c r="K413" s="2">
        <f ca="1">IF(Iterations[[#This Row],[Step]] =current_step, current_e,IF(Iterations[[#This Row],[Step]] &gt; current_step, "",Iterations[[#This Row],[e]]))</f>
        <v>12.1758259566795</v>
      </c>
      <c r="L413" s="2">
        <f ca="1">IF(Iterations[[#This Row],[Step]] =current_step, current_Total_Loss,IF(Iterations[[#This Row],[Step]] &gt; current_step, "",Iterations[[#This Row],[Total Loss]]))</f>
        <v>97.51</v>
      </c>
      <c r="M413" s="6" t="s">
        <v>27</v>
      </c>
      <c r="N413" s="2">
        <f ca="1">IF(Iterations[[#This Row],[Step]] =current_step, current_Grad_a,IF(Iterations[[#This Row],[Step]] &gt; current_step, "",Iterations[[#This Row],[Grad_a]]))</f>
        <v>8.7571507301023768E-2</v>
      </c>
      <c r="O413" s="2">
        <f ca="1">IF(Iterations[[#This Row],[Step]] =current_step, current_Grad_b,IF(Iterations[[#This Row],[Step]] &gt; current_step, "",Iterations[[#This Row],[Grad_b]]))</f>
        <v>1.4974358977326574E-2</v>
      </c>
      <c r="P413" s="2">
        <f ca="1">IF(Iterations[[#This Row],[Step]] =current_step, current_Grad_c,IF(Iterations[[#This Row],[Step]] &gt; current_step, "",Iterations[[#This Row],[Grad_c]]))</f>
        <v>-0.24570720799066781</v>
      </c>
      <c r="Q413" s="2">
        <f ca="1">IF(Iterations[[#This Row],[Step]] =current_step, current_Grad_d,IF(Iterations[[#This Row],[Step]] &gt; current_step, "",Iterations[[#This Row],[Grad_d]]))</f>
        <v>-1.3397141358724706E-2</v>
      </c>
      <c r="R413" s="2">
        <f ca="1">IF(Iterations[[#This Row],[Step]] =current_step, current_Grad_e,IF(Iterations[[#This Row],[Step]] &gt; current_step, "",Iterations[[#This Row],[Grad_e]]))</f>
        <v>8.7635081608823884E-2</v>
      </c>
    </row>
    <row r="414" spans="6:18" x14ac:dyDescent="0.3">
      <c r="F414" s="2">
        <f t="shared" si="8"/>
        <v>397</v>
      </c>
      <c r="G414" s="2">
        <f ca="1">IF(Iterations[[#This Row],[Step]] =current_step, current_a,IF(Iterations[[#This Row],[Step]] &gt; current_step, "",Iterations[[#This Row],[a]]))</f>
        <v>-6.4108018743294286</v>
      </c>
      <c r="H414" s="2">
        <f ca="1">IF(Iterations[[#This Row],[Step]] =current_step, current_b,IF(Iterations[[#This Row],[Step]] &gt; current_step, "",Iterations[[#This Row],[b]]))</f>
        <v>0.49771696596743342</v>
      </c>
      <c r="I414" s="2">
        <f ca="1">IF(Iterations[[#This Row],[Step]] =current_step, current_c,IF(Iterations[[#This Row],[Step]] &gt; current_step, "",Iterations[[#This Row],[c]]))</f>
        <v>18.819390829756692</v>
      </c>
      <c r="J414" s="2">
        <f ca="1">IF(Iterations[[#This Row],[Step]] =current_step, current_d,IF(Iterations[[#This Row],[Step]] &gt; current_step, "",Iterations[[#This Row],[d]]))</f>
        <v>1.0689556077195241</v>
      </c>
      <c r="K414" s="2">
        <f ca="1">IF(Iterations[[#This Row],[Step]] =current_step, current_e,IF(Iterations[[#This Row],[Step]] &gt; current_step, "",Iterations[[#This Row],[e]]))</f>
        <v>12.169691500966882</v>
      </c>
      <c r="L414" s="2">
        <f ca="1">IF(Iterations[[#This Row],[Step]] =current_step, current_Total_Loss,IF(Iterations[[#This Row],[Step]] &gt; current_step, "",Iterations[[#This Row],[Total Loss]]))</f>
        <v>97.42</v>
      </c>
      <c r="M414" s="6" t="s">
        <v>27</v>
      </c>
      <c r="N414" s="2">
        <f ca="1">IF(Iterations[[#This Row],[Step]] =current_step, current_Grad_a,IF(Iterations[[#This Row],[Step]] &gt; current_step, "",Iterations[[#This Row],[Grad_a]]))</f>
        <v>8.697894971585389E-2</v>
      </c>
      <c r="O414" s="2">
        <f ca="1">IF(Iterations[[#This Row],[Step]] =current_step, current_Grad_b,IF(Iterations[[#This Row],[Step]] &gt; current_step, "",Iterations[[#This Row],[Grad_b]]))</f>
        <v>1.487633793818525E-2</v>
      </c>
      <c r="P414" s="2">
        <f ca="1">IF(Iterations[[#This Row],[Step]] =current_step, current_Grad_c,IF(Iterations[[#This Row],[Step]] &gt; current_step, "",Iterations[[#This Row],[Grad_c]]))</f>
        <v>-0.24404395980477311</v>
      </c>
      <c r="Q414" s="2">
        <f ca="1">IF(Iterations[[#This Row],[Step]] =current_step, current_Grad_d,IF(Iterations[[#This Row],[Step]] &gt; current_step, "",Iterations[[#This Row],[Grad_d]]))</f>
        <v>-1.3313494712327092E-2</v>
      </c>
      <c r="R414" s="2">
        <f ca="1">IF(Iterations[[#This Row],[Step]] =current_step, current_Grad_e,IF(Iterations[[#This Row],[Step]] &gt; current_step, "",Iterations[[#This Row],[Grad_e]]))</f>
        <v>8.7041760550332484E-2</v>
      </c>
    </row>
    <row r="415" spans="6:18" x14ac:dyDescent="0.3">
      <c r="F415" s="2">
        <f t="shared" si="8"/>
        <v>398</v>
      </c>
      <c r="G415" s="2">
        <f ca="1">IF(Iterations[[#This Row],[Step]] =current_step, current_a,IF(Iterations[[#This Row],[Step]] &gt; current_step, "",Iterations[[#This Row],[a]]))</f>
        <v>-6.416890400809538</v>
      </c>
      <c r="H415" s="2">
        <f ca="1">IF(Iterations[[#This Row],[Step]] =current_step, current_b,IF(Iterations[[#This Row],[Step]] &gt; current_step, "",Iterations[[#This Row],[b]]))</f>
        <v>0.49667562231176043</v>
      </c>
      <c r="I415" s="2">
        <f ca="1">IF(Iterations[[#This Row],[Step]] =current_step, current_c,IF(Iterations[[#This Row],[Step]] &gt; current_step, "",Iterations[[#This Row],[c]]))</f>
        <v>18.836473906943027</v>
      </c>
      <c r="J415" s="2">
        <f ca="1">IF(Iterations[[#This Row],[Step]] =current_step, current_d,IF(Iterations[[#This Row],[Step]] &gt; current_step, "",Iterations[[#This Row],[d]]))</f>
        <v>1.0698875523493869</v>
      </c>
      <c r="K415" s="2">
        <f ca="1">IF(Iterations[[#This Row],[Step]] =current_step, current_e,IF(Iterations[[#This Row],[Step]] &gt; current_step, "",Iterations[[#This Row],[e]]))</f>
        <v>12.16359857772836</v>
      </c>
      <c r="L415" s="2">
        <f ca="1">IF(Iterations[[#This Row],[Step]] =current_step, current_Total_Loss,IF(Iterations[[#This Row],[Step]] &gt; current_step, "",Iterations[[#This Row],[Total Loss]]))</f>
        <v>97.32</v>
      </c>
      <c r="M415" s="6" t="s">
        <v>27</v>
      </c>
      <c r="N415" s="2">
        <f ca="1">IF(Iterations[[#This Row],[Step]] =current_step, current_Grad_a,IF(Iterations[[#This Row],[Step]] &gt; current_step, "",Iterations[[#This Row],[Grad_a]]))</f>
        <v>8.6390401175248765E-2</v>
      </c>
      <c r="O415" s="2">
        <f ca="1">IF(Iterations[[#This Row],[Step]] =current_step, current_Grad_b,IF(Iterations[[#This Row],[Step]] &gt; current_step, "",Iterations[[#This Row],[Grad_b]]))</f>
        <v>1.4778921194117759E-2</v>
      </c>
      <c r="P415" s="2">
        <f ca="1">IF(Iterations[[#This Row],[Step]] =current_step, current_Grad_c,IF(Iterations[[#This Row],[Step]] &gt; current_step, "",Iterations[[#This Row],[Grad_c]]))</f>
        <v>-0.24239197629295081</v>
      </c>
      <c r="Q415" s="2">
        <f ca="1">IF(Iterations[[#This Row],[Step]] =current_step, current_Grad_d,IF(Iterations[[#This Row],[Step]] &gt; current_step, "",Iterations[[#This Row],[Grad_d]]))</f>
        <v>-1.3230289128804164E-2</v>
      </c>
      <c r="R415" s="2">
        <f ca="1">IF(Iterations[[#This Row],[Step]] =current_step, current_Grad_e,IF(Iterations[[#This Row],[Step]] &gt; current_step, "",Iterations[[#This Row],[Grad_e]]))</f>
        <v>8.6452459641919804E-2</v>
      </c>
    </row>
    <row r="416" spans="6:18" x14ac:dyDescent="0.3">
      <c r="F416" s="2">
        <f t="shared" si="8"/>
        <v>399</v>
      </c>
      <c r="G416" s="2">
        <f ca="1">IF(Iterations[[#This Row],[Step]] =current_step, current_a,IF(Iterations[[#This Row],[Step]] &gt; current_step, "",Iterations[[#This Row],[a]]))</f>
        <v>-6.4229377288918057</v>
      </c>
      <c r="H416" s="2">
        <f ca="1">IF(Iterations[[#This Row],[Step]] =current_step, current_b,IF(Iterations[[#This Row],[Step]] &gt; current_step, "",Iterations[[#This Row],[b]]))</f>
        <v>0.49564109782817217</v>
      </c>
      <c r="I416" s="2">
        <f ca="1">IF(Iterations[[#This Row],[Step]] =current_step, current_c,IF(Iterations[[#This Row],[Step]] &gt; current_step, "",Iterations[[#This Row],[c]]))</f>
        <v>18.853441345283535</v>
      </c>
      <c r="J416" s="2">
        <f ca="1">IF(Iterations[[#This Row],[Step]] =current_step, current_d,IF(Iterations[[#This Row],[Step]] &gt; current_step, "",Iterations[[#This Row],[d]]))</f>
        <v>1.0708136725884032</v>
      </c>
      <c r="K416" s="2">
        <f ca="1">IF(Iterations[[#This Row],[Step]] =current_step, current_e,IF(Iterations[[#This Row],[Step]] &gt; current_step, "",Iterations[[#This Row],[e]]))</f>
        <v>12.157546905553426</v>
      </c>
      <c r="L416" s="2">
        <f ca="1">IF(Iterations[[#This Row],[Step]] =current_step, current_Total_Loss,IF(Iterations[[#This Row],[Step]] &gt; current_step, "",Iterations[[#This Row],[Total Loss]]))</f>
        <v>97.23</v>
      </c>
      <c r="M416" s="6" t="s">
        <v>27</v>
      </c>
      <c r="N416" s="2">
        <f ca="1">IF(Iterations[[#This Row],[Step]] =current_step, current_Grad_a,IF(Iterations[[#This Row],[Step]] &gt; current_step, "",Iterations[[#This Row],[Grad_a]]))</f>
        <v>8.5805834564770506E-2</v>
      </c>
      <c r="O416" s="2">
        <f ca="1">IF(Iterations[[#This Row],[Step]] =current_step, current_Grad_b,IF(Iterations[[#This Row],[Step]] &gt; current_step, "",Iterations[[#This Row],[Grad_b]]))</f>
        <v>1.4682105707676696E-2</v>
      </c>
      <c r="P416" s="2">
        <f ca="1">IF(Iterations[[#This Row],[Step]] =current_step, current_Grad_c,IF(Iterations[[#This Row],[Step]] &gt; current_step, "",Iterations[[#This Row],[Grad_c]]))</f>
        <v>-0.24075118106025487</v>
      </c>
      <c r="Q416" s="2">
        <f ca="1">IF(Iterations[[#This Row],[Step]] =current_step, current_Grad_d,IF(Iterations[[#This Row],[Step]] &gt; current_step, "",Iterations[[#This Row],[Grad_d]]))</f>
        <v>-1.3147523850752154E-2</v>
      </c>
      <c r="R416" s="2">
        <f ca="1">IF(Iterations[[#This Row],[Step]] =current_step, current_Grad_e,IF(Iterations[[#This Row],[Step]] &gt; current_step, "",Iterations[[#This Row],[Grad_e]]))</f>
        <v>8.5867151588194413E-2</v>
      </c>
    </row>
    <row r="417" spans="6:18" x14ac:dyDescent="0.3">
      <c r="F417" s="2">
        <f t="shared" si="8"/>
        <v>400</v>
      </c>
      <c r="G417" s="2">
        <f ca="1">IF(Iterations[[#This Row],[Step]] =current_step, current_a,IF(Iterations[[#This Row],[Step]] &gt; current_step, "",Iterations[[#This Row],[a]]))</f>
        <v>-6.4289441373113396</v>
      </c>
      <c r="H417" s="2">
        <f ca="1">IF(Iterations[[#This Row],[Step]] =current_step, current_b,IF(Iterations[[#This Row],[Step]] &gt; current_step, "",Iterations[[#This Row],[b]]))</f>
        <v>0.4946133504286348</v>
      </c>
      <c r="I417" s="2">
        <f ca="1">IF(Iterations[[#This Row],[Step]] =current_step, current_c,IF(Iterations[[#This Row],[Step]] &gt; current_step, "",Iterations[[#This Row],[c]]))</f>
        <v>18.870293927957754</v>
      </c>
      <c r="J417" s="2">
        <f ca="1">IF(Iterations[[#This Row],[Step]] =current_step, current_d,IF(Iterations[[#This Row],[Step]] &gt; current_step, "",Iterations[[#This Row],[d]]))</f>
        <v>1.0717339992579558</v>
      </c>
      <c r="K417" s="2">
        <f ca="1">IF(Iterations[[#This Row],[Step]] =current_step, current_e,IF(Iterations[[#This Row],[Step]] &gt; current_step, "",Iterations[[#This Row],[e]]))</f>
        <v>12.151536204942252</v>
      </c>
      <c r="L417" s="2">
        <f ca="1">IF(Iterations[[#This Row],[Step]] =current_step, current_Total_Loss,IF(Iterations[[#This Row],[Step]] &gt; current_step, "",Iterations[[#This Row],[Total Loss]]))</f>
        <v>97.14</v>
      </c>
      <c r="M417" s="6" t="s">
        <v>27</v>
      </c>
      <c r="N417" s="2">
        <f ca="1">IF(Iterations[[#This Row],[Step]] =current_step, current_Grad_a,IF(Iterations[[#This Row],[Step]] &gt; current_step, "",Iterations[[#This Row],[Grad_a]]))</f>
        <v>8.522522295326504E-2</v>
      </c>
      <c r="O417" s="2">
        <f ca="1">IF(Iterations[[#This Row],[Step]] =current_step, current_Grad_b,IF(Iterations[[#This Row],[Step]] &gt; current_step, "",Iterations[[#This Row],[Grad_b]]))</f>
        <v>1.4585888443181563E-2</v>
      </c>
      <c r="P417" s="2">
        <f ca="1">IF(Iterations[[#This Row],[Step]] =current_step, current_Grad_c,IF(Iterations[[#This Row],[Step]] &gt; current_step, "",Iterations[[#This Row],[Grad_c]]))</f>
        <v>-0.23912149823164416</v>
      </c>
      <c r="Q417" s="2">
        <f ca="1">IF(Iterations[[#This Row],[Step]] =current_step, current_Grad_d,IF(Iterations[[#This Row],[Step]] &gt; current_step, "",Iterations[[#This Row],[Grad_d]]))</f>
        <v>-1.3065198086217249E-2</v>
      </c>
      <c r="R417" s="2">
        <f ca="1">IF(Iterations[[#This Row],[Step]] =current_step, current_Grad_e,IF(Iterations[[#This Row],[Step]] &gt; current_step, "",Iterations[[#This Row],[Grad_e]]))</f>
        <v>8.5285809280095118E-2</v>
      </c>
    </row>
    <row r="418" spans="6:18" x14ac:dyDescent="0.3">
      <c r="F418" s="2">
        <f t="shared" si="8"/>
        <v>401</v>
      </c>
      <c r="G418" s="2">
        <f ca="1">IF(Iterations[[#This Row],[Step]] =current_step, current_a,IF(Iterations[[#This Row],[Step]] &gt; current_step, "",Iterations[[#This Row],[a]]))</f>
        <v>-6.4349099029180685</v>
      </c>
      <c r="H418" s="2">
        <f ca="1">IF(Iterations[[#This Row],[Step]] =current_step, current_b,IF(Iterations[[#This Row],[Step]] &gt; current_step, "",Iterations[[#This Row],[b]]))</f>
        <v>0.49359233823761212</v>
      </c>
      <c r="I418" s="2">
        <f ca="1">IF(Iterations[[#This Row],[Step]] =current_step, current_c,IF(Iterations[[#This Row],[Step]] &gt; current_step, "",Iterations[[#This Row],[c]]))</f>
        <v>18.887032432833969</v>
      </c>
      <c r="J418" s="2">
        <f ca="1">IF(Iterations[[#This Row],[Step]] =current_step, current_d,IF(Iterations[[#This Row],[Step]] &gt; current_step, "",Iterations[[#This Row],[d]]))</f>
        <v>1.072648563123991</v>
      </c>
      <c r="K418" s="2">
        <f ca="1">IF(Iterations[[#This Row],[Step]] =current_step, current_e,IF(Iterations[[#This Row],[Step]] &gt; current_step, "",Iterations[[#This Row],[e]]))</f>
        <v>12.145566198292645</v>
      </c>
      <c r="L418" s="2">
        <f ca="1">IF(Iterations[[#This Row],[Step]] =current_step, current_Total_Loss,IF(Iterations[[#This Row],[Step]] &gt; current_step, "",Iterations[[#This Row],[Total Loss]]))</f>
        <v>97.05</v>
      </c>
      <c r="M418" s="6" t="s">
        <v>27</v>
      </c>
      <c r="N418" s="2">
        <f ca="1">IF(Iterations[[#This Row],[Step]] =current_step, current_Grad_a,IF(Iterations[[#This Row],[Step]] &gt; current_step, "",Iterations[[#This Row],[Grad_a]]))</f>
        <v>8.464853959155029E-2</v>
      </c>
      <c r="O418" s="2">
        <f ca="1">IF(Iterations[[#This Row],[Step]] =current_step, current_Grad_b,IF(Iterations[[#This Row],[Step]] &gt; current_step, "",Iterations[[#This Row],[Grad_b]]))</f>
        <v>1.4490266367129035E-2</v>
      </c>
      <c r="P418" s="2">
        <f ca="1">IF(Iterations[[#This Row],[Step]] =current_step, current_Grad_c,IF(Iterations[[#This Row],[Step]] &gt; current_step, "",Iterations[[#This Row],[Grad_c]]))</f>
        <v>-0.23750285244843086</v>
      </c>
      <c r="Q418" s="2">
        <f ca="1">IF(Iterations[[#This Row],[Step]] =current_step, current_Grad_d,IF(Iterations[[#This Row],[Step]] &gt; current_step, "",Iterations[[#This Row],[Grad_d]]))</f>
        <v>-1.2983311009600991E-2</v>
      </c>
      <c r="R418" s="2">
        <f ca="1">IF(Iterations[[#This Row],[Step]] =current_step, current_Grad_e,IF(Iterations[[#This Row],[Step]] &gt; current_step, "",Iterations[[#This Row],[Grad_e]]))</f>
        <v>8.4708405793604155E-2</v>
      </c>
    </row>
    <row r="419" spans="6:18" x14ac:dyDescent="0.3">
      <c r="F419" s="2">
        <f t="shared" si="8"/>
        <v>402</v>
      </c>
      <c r="G419" s="2">
        <f ca="1">IF(Iterations[[#This Row],[Step]] =current_step, current_a,IF(Iterations[[#This Row],[Step]] &gt; current_step, "",Iterations[[#This Row],[a]]))</f>
        <v>-6.4408353006894767</v>
      </c>
      <c r="H419" s="2">
        <f ca="1">IF(Iterations[[#This Row],[Step]] =current_step, current_b,IF(Iterations[[#This Row],[Step]] &gt; current_step, "",Iterations[[#This Row],[b]]))</f>
        <v>0.49257801959191311</v>
      </c>
      <c r="I419" s="2">
        <f ca="1">IF(Iterations[[#This Row],[Step]] =current_step, current_c,IF(Iterations[[#This Row],[Step]] &gt; current_step, "",Iterations[[#This Row],[c]]))</f>
        <v>18.903657632505361</v>
      </c>
      <c r="J419" s="2">
        <f ca="1">IF(Iterations[[#This Row],[Step]] =current_step, current_d,IF(Iterations[[#This Row],[Step]] &gt; current_step, "",Iterations[[#This Row],[d]]))</f>
        <v>1.0735573948946631</v>
      </c>
      <c r="K419" s="2">
        <f ca="1">IF(Iterations[[#This Row],[Step]] =current_step, current_e,IF(Iterations[[#This Row],[Step]] &gt; current_step, "",Iterations[[#This Row],[e]]))</f>
        <v>12.139636609887093</v>
      </c>
      <c r="L419" s="2">
        <f ca="1">IF(Iterations[[#This Row],[Step]] =current_step, current_Total_Loss,IF(Iterations[[#This Row],[Step]] &gt; current_step, "",Iterations[[#This Row],[Total Loss]]))</f>
        <v>96.96</v>
      </c>
      <c r="M419" s="6" t="s">
        <v>27</v>
      </c>
      <c r="N419" s="2">
        <f ca="1">IF(Iterations[[#This Row],[Step]] =current_step, current_Grad_a,IF(Iterations[[#This Row],[Step]] &gt; current_step, "",Iterations[[#This Row],[Grad_a]]))</f>
        <v>8.4075757911142482E-2</v>
      </c>
      <c r="O419" s="2">
        <f ca="1">IF(Iterations[[#This Row],[Step]] =current_step, current_Grad_b,IF(Iterations[[#This Row],[Step]] &gt; current_step, "",Iterations[[#This Row],[Grad_b]]))</f>
        <v>1.4395236448436297E-2</v>
      </c>
      <c r="P419" s="2">
        <f ca="1">IF(Iterations[[#This Row],[Step]] =current_step, current_Grad_c,IF(Iterations[[#This Row],[Step]] &gt; current_step, "",Iterations[[#This Row],[Grad_c]]))</f>
        <v>-0.23589516886476045</v>
      </c>
      <c r="Q419" s="2">
        <f ca="1">IF(Iterations[[#This Row],[Step]] =current_step, current_Grad_d,IF(Iterations[[#This Row],[Step]] &gt; current_step, "",Iterations[[#This Row],[Grad_d]]))</f>
        <v>-1.290186176260859E-2</v>
      </c>
      <c r="R419" s="2">
        <f ca="1">IF(Iterations[[#This Row],[Step]] =current_step, current_Grad_e,IF(Iterations[[#This Row],[Step]] &gt; current_step, "",Iterations[[#This Row],[Grad_e]]))</f>
        <v>8.4134914388444074E-2</v>
      </c>
    </row>
    <row r="420" spans="6:18" x14ac:dyDescent="0.3">
      <c r="F420" s="2">
        <f t="shared" si="8"/>
        <v>403</v>
      </c>
      <c r="G420" s="2">
        <f ca="1">IF(Iterations[[#This Row],[Step]] =current_step, current_a,IF(Iterations[[#This Row],[Step]] &gt; current_step, "",Iterations[[#This Row],[a]]))</f>
        <v>-6.4467206037432563</v>
      </c>
      <c r="H420" s="2">
        <f ca="1">IF(Iterations[[#This Row],[Step]] =current_step, current_b,IF(Iterations[[#This Row],[Step]] &gt; current_step, "",Iterations[[#This Row],[b]]))</f>
        <v>0.49157035304052255</v>
      </c>
      <c r="I420" s="2">
        <f ca="1">IF(Iterations[[#This Row],[Step]] =current_step, current_c,IF(Iterations[[#This Row],[Step]] &gt; current_step, "",Iterations[[#This Row],[c]]))</f>
        <v>18.920170294325896</v>
      </c>
      <c r="J420" s="2">
        <f ca="1">IF(Iterations[[#This Row],[Step]] =current_step, current_d,IF(Iterations[[#This Row],[Step]] &gt; current_step, "",Iterations[[#This Row],[d]]))</f>
        <v>1.0744605252180457</v>
      </c>
      <c r="K420" s="2">
        <f ca="1">IF(Iterations[[#This Row],[Step]] =current_step, current_e,IF(Iterations[[#This Row],[Step]] &gt; current_step, "",Iterations[[#This Row],[e]]))</f>
        <v>12.133747165879901</v>
      </c>
      <c r="L420" s="2">
        <f ca="1">IF(Iterations[[#This Row],[Step]] =current_step, current_Total_Loss,IF(Iterations[[#This Row],[Step]] &gt; current_step, "",Iterations[[#This Row],[Total Loss]]))</f>
        <v>96.87</v>
      </c>
      <c r="M420" s="6" t="s">
        <v>27</v>
      </c>
      <c r="N420" s="2">
        <f ca="1">IF(Iterations[[#This Row],[Step]] =current_step, current_Grad_a,IF(Iterations[[#This Row],[Step]] &gt; current_step, "",Iterations[[#This Row],[Grad_a]]))</f>
        <v>8.3506851523114739E-2</v>
      </c>
      <c r="O420" s="2">
        <f ca="1">IF(Iterations[[#This Row],[Step]] =current_step, current_Grad_b,IF(Iterations[[#This Row],[Step]] &gt; current_step, "",Iterations[[#This Row],[Grad_b]]))</f>
        <v>1.4300795658775241E-2</v>
      </c>
      <c r="P420" s="2">
        <f ca="1">IF(Iterations[[#This Row],[Step]] =current_step, current_Grad_c,IF(Iterations[[#This Row],[Step]] &gt; current_step, "",Iterations[[#This Row],[Grad_c]]))</f>
        <v>-0.23429837314405821</v>
      </c>
      <c r="Q420" s="2">
        <f ca="1">IF(Iterations[[#This Row],[Step]] =current_step, current_Grad_d,IF(Iterations[[#This Row],[Step]] &gt; current_step, "",Iterations[[#This Row],[Grad_d]]))</f>
        <v>-1.2820849455147812E-2</v>
      </c>
      <c r="R420" s="2">
        <f ca="1">IF(Iterations[[#This Row],[Step]] =current_step, current_Grad_e,IF(Iterations[[#This Row],[Step]] &gt; current_step, "",Iterations[[#This Row],[Grad_e]]))</f>
        <v>8.3565308506824448E-2</v>
      </c>
    </row>
    <row r="421" spans="6:18" x14ac:dyDescent="0.3">
      <c r="F421" s="2">
        <f t="shared" si="8"/>
        <v>404</v>
      </c>
      <c r="G421" s="2">
        <f ca="1">IF(Iterations[[#This Row],[Step]] =current_step, current_a,IF(Iterations[[#This Row],[Step]] &gt; current_step, "",Iterations[[#This Row],[a]]))</f>
        <v>-6.4525660833498746</v>
      </c>
      <c r="H421" s="2">
        <f ca="1">IF(Iterations[[#This Row],[Step]] =current_step, current_b,IF(Iterations[[#This Row],[Step]] &gt; current_step, "",Iterations[[#This Row],[b]]))</f>
        <v>0.49056929734440829</v>
      </c>
      <c r="I421" s="2">
        <f ca="1">IF(Iterations[[#This Row],[Step]] =current_step, current_c,IF(Iterations[[#This Row],[Step]] &gt; current_step, "",Iterations[[#This Row],[c]]))</f>
        <v>18.936571180445981</v>
      </c>
      <c r="J421" s="2">
        <f ca="1">IF(Iterations[[#This Row],[Step]] =current_step, current_d,IF(Iterations[[#This Row],[Step]] &gt; current_step, "",Iterations[[#This Row],[d]]))</f>
        <v>1.075357984679906</v>
      </c>
      <c r="K421" s="2">
        <f ca="1">IF(Iterations[[#This Row],[Step]] =current_step, current_e,IF(Iterations[[#This Row],[Step]] &gt; current_step, "",Iterations[[#This Row],[e]]))</f>
        <v>12.127897594284423</v>
      </c>
      <c r="L421" s="2">
        <f ca="1">IF(Iterations[[#This Row],[Step]] =current_step, current_Total_Loss,IF(Iterations[[#This Row],[Step]] &gt; current_step, "",Iterations[[#This Row],[Total Loss]]))</f>
        <v>96.78</v>
      </c>
      <c r="M421" s="6" t="s">
        <v>27</v>
      </c>
      <c r="N421" s="2">
        <f ca="1">IF(Iterations[[#This Row],[Step]] =current_step, current_Grad_a,IF(Iterations[[#This Row],[Step]] &gt; current_step, "",Iterations[[#This Row],[Grad_a]]))</f>
        <v>8.2941794216919565E-2</v>
      </c>
      <c r="O421" s="2">
        <f ca="1">IF(Iterations[[#This Row],[Step]] =current_step, current_Grad_b,IF(Iterations[[#This Row],[Step]] &gt; current_step, "",Iterations[[#This Row],[Grad_b]]))</f>
        <v>1.4206940972842204E-2</v>
      </c>
      <c r="P421" s="2">
        <f ca="1">IF(Iterations[[#This Row],[Step]] =current_step, current_Grad_c,IF(Iterations[[#This Row],[Step]] &gt; current_step, "",Iterations[[#This Row],[Grad_c]]))</f>
        <v>-0.23271239145551803</v>
      </c>
      <c r="Q421" s="2">
        <f ca="1">IF(Iterations[[#This Row],[Step]] =current_step, current_Grad_d,IF(Iterations[[#This Row],[Step]] &gt; current_step, "",Iterations[[#This Row],[Grad_d]]))</f>
        <v>-1.2740273166215017E-2</v>
      </c>
      <c r="R421" s="2">
        <f ca="1">IF(Iterations[[#This Row],[Step]] =current_step, current_Grad_e,IF(Iterations[[#This Row],[Step]] &gt; current_step, "",Iterations[[#This Row],[Grad_e]]))</f>
        <v>8.299956177219088E-2</v>
      </c>
    </row>
    <row r="422" spans="6:18" x14ac:dyDescent="0.3">
      <c r="F422" s="2">
        <f t="shared" si="8"/>
        <v>405</v>
      </c>
      <c r="G422" s="2">
        <f ca="1">IF(Iterations[[#This Row],[Step]] =current_step, current_a,IF(Iterations[[#This Row],[Step]] &gt; current_step, "",Iterations[[#This Row],[a]]))</f>
        <v>-6.4583720089450587</v>
      </c>
      <c r="H422" s="2">
        <f ca="1">IF(Iterations[[#This Row],[Step]] =current_step, current_b,IF(Iterations[[#This Row],[Step]] &gt; current_step, "",Iterations[[#This Row],[b]]))</f>
        <v>0.48957481147630932</v>
      </c>
      <c r="I422" s="2">
        <f ca="1">IF(Iterations[[#This Row],[Step]] =current_step, current_c,IF(Iterations[[#This Row],[Step]] &gt; current_step, "",Iterations[[#This Row],[c]]))</f>
        <v>18.952861047847868</v>
      </c>
      <c r="J422" s="2">
        <f ca="1">IF(Iterations[[#This Row],[Step]] =current_step, current_d,IF(Iterations[[#This Row],[Step]] &gt; current_step, "",Iterations[[#This Row],[d]]))</f>
        <v>1.0762498038015411</v>
      </c>
      <c r="K422" s="2">
        <f ca="1">IF(Iterations[[#This Row],[Step]] =current_step, current_e,IF(Iterations[[#This Row],[Step]] &gt; current_step, "",Iterations[[#This Row],[e]]))</f>
        <v>12.12208762496037</v>
      </c>
      <c r="L422" s="2">
        <f ca="1">IF(Iterations[[#This Row],[Step]] =current_step, current_Total_Loss,IF(Iterations[[#This Row],[Step]] &gt; current_step, "",Iterations[[#This Row],[Total Loss]]))</f>
        <v>96.7</v>
      </c>
      <c r="M422" s="6" t="s">
        <v>27</v>
      </c>
      <c r="N422" s="2">
        <f ca="1">IF(Iterations[[#This Row],[Step]] =current_step, current_Grad_a,IF(Iterations[[#This Row],[Step]] &gt; current_step, "",Iterations[[#This Row],[Grad_a]]))</f>
        <v>8.2380559959105551E-2</v>
      </c>
      <c r="O422" s="2">
        <f ca="1">IF(Iterations[[#This Row],[Step]] =current_step, current_Grad_b,IF(Iterations[[#This Row],[Step]] &gt; current_step, "",Iterations[[#This Row],[Grad_b]]))</f>
        <v>1.4113669368721061E-2</v>
      </c>
      <c r="P422" s="2">
        <f ca="1">IF(Iterations[[#This Row],[Step]] =current_step, current_Grad_c,IF(Iterations[[#This Row],[Step]] &gt; current_step, "",Iterations[[#This Row],[Grad_c]]))</f>
        <v>-0.23113715047066133</v>
      </c>
      <c r="Q422" s="2">
        <f ca="1">IF(Iterations[[#This Row],[Step]] =current_step, current_Grad_d,IF(Iterations[[#This Row],[Step]] &gt; current_step, "",Iterations[[#This Row],[Grad_d]]))</f>
        <v>-1.2660131944742938E-2</v>
      </c>
      <c r="R422" s="2">
        <f ca="1">IF(Iterations[[#This Row],[Step]] =current_step, current_Grad_e,IF(Iterations[[#This Row],[Step]] &gt; current_step, "",Iterations[[#This Row],[Grad_e]]))</f>
        <v>8.243764798795479E-2</v>
      </c>
    </row>
    <row r="423" spans="6:18" x14ac:dyDescent="0.3">
      <c r="F423" s="2">
        <f t="shared" si="8"/>
        <v>406</v>
      </c>
      <c r="G423" s="2">
        <f ca="1">IF(Iterations[[#This Row],[Step]] =current_step, current_a,IF(Iterations[[#This Row],[Step]] &gt; current_step, "",Iterations[[#This Row],[a]]))</f>
        <v>-6.4641386481421961</v>
      </c>
      <c r="H423" s="2">
        <f ca="1">IF(Iterations[[#This Row],[Step]] =current_step, current_b,IF(Iterations[[#This Row],[Step]] &gt; current_step, "",Iterations[[#This Row],[b]]))</f>
        <v>0.48858685462049883</v>
      </c>
      <c r="I423" s="2">
        <f ca="1">IF(Iterations[[#This Row],[Step]] =current_step, current_c,IF(Iterations[[#This Row],[Step]] &gt; current_step, "",Iterations[[#This Row],[c]]))</f>
        <v>18.969040648380815</v>
      </c>
      <c r="J423" s="2">
        <f ca="1">IF(Iterations[[#This Row],[Step]] =current_step, current_d,IF(Iterations[[#This Row],[Step]] &gt; current_step, "",Iterations[[#This Row],[d]]))</f>
        <v>1.077136013037673</v>
      </c>
      <c r="K423" s="2">
        <f ca="1">IF(Iterations[[#This Row],[Step]] =current_step, current_e,IF(Iterations[[#This Row],[Step]] &gt; current_step, "",Iterations[[#This Row],[e]]))</f>
        <v>12.116316989601213</v>
      </c>
      <c r="L423" s="2">
        <f ca="1">IF(Iterations[[#This Row],[Step]] =current_step, current_Total_Loss,IF(Iterations[[#This Row],[Step]] &gt; current_step, "",Iterations[[#This Row],[Total Loss]]))</f>
        <v>96.61</v>
      </c>
      <c r="M423" s="6" t="s">
        <v>27</v>
      </c>
      <c r="N423" s="2">
        <f ca="1">IF(Iterations[[#This Row],[Step]] =current_step, current_Grad_a,IF(Iterations[[#This Row],[Step]] &gt; current_step, "",Iterations[[#This Row],[Grad_a]]))</f>
        <v>8.1823122892014377E-2</v>
      </c>
      <c r="O423" s="2">
        <f ca="1">IF(Iterations[[#This Row],[Step]] =current_step, current_Grad_b,IF(Iterations[[#This Row],[Step]] &gt; current_step, "",Iterations[[#This Row],[Grad_b]]))</f>
        <v>1.4020977828075617E-2</v>
      </c>
      <c r="P423" s="2">
        <f ca="1">IF(Iterations[[#This Row],[Step]] =current_step, current_Grad_c,IF(Iterations[[#This Row],[Step]] &gt; current_step, "",Iterations[[#This Row],[Grad_c]]))</f>
        <v>-0.22957257735994657</v>
      </c>
      <c r="Q423" s="2">
        <f ca="1">IF(Iterations[[#This Row],[Step]] =current_step, current_Grad_d,IF(Iterations[[#This Row],[Step]] &gt; current_step, "",Iterations[[#This Row],[Grad_d]]))</f>
        <v>-1.2580424810484166E-2</v>
      </c>
      <c r="R423" s="2">
        <f ca="1">IF(Iterations[[#This Row],[Step]] =current_step, current_Grad_e,IF(Iterations[[#This Row],[Step]] &gt; current_step, "",Iterations[[#This Row],[Grad_e]]))</f>
        <v>8.1879541136217135E-2</v>
      </c>
    </row>
    <row r="424" spans="6:18" x14ac:dyDescent="0.3">
      <c r="F424" s="2">
        <f t="shared" si="8"/>
        <v>407</v>
      </c>
      <c r="G424" s="2">
        <f ca="1">IF(Iterations[[#This Row],[Step]] =current_step, current_a,IF(Iterations[[#This Row],[Step]] &gt; current_step, "",Iterations[[#This Row],[a]]))</f>
        <v>-6.4698662667446367</v>
      </c>
      <c r="H424" s="2">
        <f ca="1">IF(Iterations[[#This Row],[Step]] =current_step, current_b,IF(Iterations[[#This Row],[Step]] &gt; current_step, "",Iterations[[#This Row],[b]]))</f>
        <v>0.48760538617253352</v>
      </c>
      <c r="I424" s="2">
        <f ca="1">IF(Iterations[[#This Row],[Step]] =current_step, current_c,IF(Iterations[[#This Row],[Step]] &gt; current_step, "",Iterations[[#This Row],[c]]))</f>
        <v>18.985110728796013</v>
      </c>
      <c r="J424" s="2">
        <f ca="1">IF(Iterations[[#This Row],[Step]] =current_step, current_d,IF(Iterations[[#This Row],[Step]] &gt; current_step, "",Iterations[[#This Row],[d]]))</f>
        <v>1.0780166427744069</v>
      </c>
      <c r="K424" s="2">
        <f ca="1">IF(Iterations[[#This Row],[Step]] =current_step, current_e,IF(Iterations[[#This Row],[Step]] &gt; current_step, "",Iterations[[#This Row],[e]]))</f>
        <v>12.110585421721678</v>
      </c>
      <c r="L424" s="2">
        <f ca="1">IF(Iterations[[#This Row],[Step]] =current_step, current_Total_Loss,IF(Iterations[[#This Row],[Step]] &gt; current_step, "",Iterations[[#This Row],[Total Loss]]))</f>
        <v>96.53</v>
      </c>
      <c r="M424" s="6" t="s">
        <v>27</v>
      </c>
      <c r="N424" s="2">
        <f ca="1">IF(Iterations[[#This Row],[Step]] =current_step, current_Grad_a,IF(Iterations[[#This Row],[Step]] &gt; current_step, "",Iterations[[#This Row],[Grad_a]]))</f>
        <v>8.1269457333057737E-2</v>
      </c>
      <c r="O424" s="2">
        <f ca="1">IF(Iterations[[#This Row],[Step]] =current_step, current_Grad_b,IF(Iterations[[#This Row],[Step]] &gt; current_step, "",Iterations[[#This Row],[Grad_b]]))</f>
        <v>1.392886333647546E-2</v>
      </c>
      <c r="P424" s="2">
        <f ca="1">IF(Iterations[[#This Row],[Step]] =current_step, current_Grad_c,IF(Iterations[[#This Row],[Step]] &gt; current_step, "",Iterations[[#This Row],[Grad_c]]))</f>
        <v>-0.22801859978913486</v>
      </c>
      <c r="Q424" s="2">
        <f ca="1">IF(Iterations[[#This Row],[Step]] =current_step, current_Grad_d,IF(Iterations[[#This Row],[Step]] &gt; current_step, "",Iterations[[#This Row],[Grad_d]]))</f>
        <v>-1.2501150754817787E-2</v>
      </c>
      <c r="R424" s="2">
        <f ca="1">IF(Iterations[[#This Row],[Step]] =current_step, current_Grad_e,IF(Iterations[[#This Row],[Step]] &gt; current_step, "",Iterations[[#This Row],[Grad_e]]))</f>
        <v>8.1325215376644264E-2</v>
      </c>
    </row>
    <row r="425" spans="6:18" x14ac:dyDescent="0.3">
      <c r="F425" s="2">
        <f t="shared" si="8"/>
        <v>408</v>
      </c>
      <c r="G425" s="2">
        <f ca="1">IF(Iterations[[#This Row],[Step]] =current_step, current_a,IF(Iterations[[#This Row],[Step]] &gt; current_step, "",Iterations[[#This Row],[a]]))</f>
        <v>-6.4755551287579509</v>
      </c>
      <c r="H425" s="2">
        <f ca="1">IF(Iterations[[#This Row],[Step]] =current_step, current_b,IF(Iterations[[#This Row],[Step]] &gt; current_step, "",Iterations[[#This Row],[b]]))</f>
        <v>0.48663036573898022</v>
      </c>
      <c r="I425" s="2">
        <f ca="1">IF(Iterations[[#This Row],[Step]] =current_step, current_c,IF(Iterations[[#This Row],[Step]] &gt; current_step, "",Iterations[[#This Row],[c]]))</f>
        <v>19.001072030781252</v>
      </c>
      <c r="J425" s="2">
        <f ca="1">IF(Iterations[[#This Row],[Step]] =current_step, current_d,IF(Iterations[[#This Row],[Step]] &gt; current_step, "",Iterations[[#This Row],[d]]))</f>
        <v>1.0788917233272441</v>
      </c>
      <c r="K425" s="2">
        <f ca="1">IF(Iterations[[#This Row],[Step]] =current_step, current_e,IF(Iterations[[#This Row],[Step]] &gt; current_step, "",Iterations[[#This Row],[e]]))</f>
        <v>12.104892656645314</v>
      </c>
      <c r="L425" s="2">
        <f ca="1">IF(Iterations[[#This Row],[Step]] =current_step, current_Total_Loss,IF(Iterations[[#This Row],[Step]] &gt; current_step, "",Iterations[[#This Row],[Total Loss]]))</f>
        <v>96.45</v>
      </c>
      <c r="M425" s="6" t="s">
        <v>27</v>
      </c>
      <c r="N425" s="2">
        <f ca="1">IF(Iterations[[#This Row],[Step]] =current_step, current_Grad_a,IF(Iterations[[#This Row],[Step]] &gt; current_step, "",Iterations[[#This Row],[Grad_a]]))</f>
        <v>8.0719537772703562E-2</v>
      </c>
      <c r="O425" s="2">
        <f ca="1">IF(Iterations[[#This Row],[Step]] =current_step, current_Grad_b,IF(Iterations[[#This Row],[Step]] &gt; current_step, "",Iterations[[#This Row],[Grad_b]]))</f>
        <v>1.3837322883711818E-2</v>
      </c>
      <c r="P425" s="2">
        <f ca="1">IF(Iterations[[#This Row],[Step]] =current_step, current_Grad_c,IF(Iterations[[#This Row],[Step]] &gt; current_step, "",Iterations[[#This Row],[Grad_c]]))</f>
        <v>-0.22647514591625584</v>
      </c>
      <c r="Q425" s="2">
        <f ca="1">IF(Iterations[[#This Row],[Step]] =current_step, current_Grad_d,IF(Iterations[[#This Row],[Step]] &gt; current_step, "",Iterations[[#This Row],[Grad_d]]))</f>
        <v>-1.2422308741559702E-2</v>
      </c>
      <c r="R425" s="2">
        <f ca="1">IF(Iterations[[#This Row],[Step]] =current_step, current_Grad_e,IF(Iterations[[#This Row],[Step]] &gt; current_step, "",Iterations[[#This Row],[Grad_e]]))</f>
        <v>8.0774645045058255E-2</v>
      </c>
    </row>
    <row r="426" spans="6:18" x14ac:dyDescent="0.3">
      <c r="F426" s="2">
        <f t="shared" si="8"/>
        <v>409</v>
      </c>
      <c r="G426" s="2">
        <f ca="1">IF(Iterations[[#This Row],[Step]] =current_step, current_a,IF(Iterations[[#This Row],[Step]] &gt; current_step, "",Iterations[[#This Row],[a]]))</f>
        <v>-6.4812054964020405</v>
      </c>
      <c r="H426" s="2">
        <f ca="1">IF(Iterations[[#This Row],[Step]] =current_step, current_b,IF(Iterations[[#This Row],[Step]] &gt; current_step, "",Iterations[[#This Row],[b]]))</f>
        <v>0.4856617531371204</v>
      </c>
      <c r="I426" s="2">
        <f ca="1">IF(Iterations[[#This Row],[Step]] =current_step, current_c,IF(Iterations[[#This Row],[Step]] &gt; current_step, "",Iterations[[#This Row],[c]]))</f>
        <v>19.016925290995388</v>
      </c>
      <c r="J426" s="2">
        <f ca="1">IF(Iterations[[#This Row],[Step]] =current_step, current_d,IF(Iterations[[#This Row],[Step]] &gt; current_step, "",Iterations[[#This Row],[d]]))</f>
        <v>1.0797612849391534</v>
      </c>
      <c r="K426" s="2">
        <f ca="1">IF(Iterations[[#This Row],[Step]] =current_step, current_e,IF(Iterations[[#This Row],[Step]] &gt; current_step, "",Iterations[[#This Row],[e]]))</f>
        <v>12.099238431492159</v>
      </c>
      <c r="L426" s="2">
        <f ca="1">IF(Iterations[[#This Row],[Step]] =current_step, current_Total_Loss,IF(Iterations[[#This Row],[Step]] &gt; current_step, "",Iterations[[#This Row],[Total Loss]]))</f>
        <v>96.37</v>
      </c>
      <c r="M426" s="6" t="s">
        <v>27</v>
      </c>
      <c r="N426" s="2">
        <f ca="1">IF(Iterations[[#This Row],[Step]] =current_step, current_Grad_a,IF(Iterations[[#This Row],[Step]] &gt; current_step, "",Iterations[[#This Row],[Grad_a]]))</f>
        <v>8.0173338874443945E-2</v>
      </c>
      <c r="O426" s="2">
        <f ca="1">IF(Iterations[[#This Row],[Step]] =current_step, current_Grad_b,IF(Iterations[[#This Row],[Step]] &gt; current_step, "",Iterations[[#This Row],[Grad_b]]))</f>
        <v>1.3746353463862956E-2</v>
      </c>
      <c r="P426" s="2">
        <f ca="1">IF(Iterations[[#This Row],[Step]] =current_step, current_Grad_c,IF(Iterations[[#This Row],[Step]] &gt; current_step, "",Iterations[[#This Row],[Grad_c]]))</f>
        <v>-0.22494214438775037</v>
      </c>
      <c r="Q426" s="2">
        <f ca="1">IF(Iterations[[#This Row],[Step]] =current_step, current_Grad_d,IF(Iterations[[#This Row],[Step]] &gt; current_step, "",Iterations[[#This Row],[Grad_d]]))</f>
        <v>-1.2343897707820899E-2</v>
      </c>
      <c r="R426" s="2">
        <f ca="1">IF(Iterations[[#This Row],[Step]] =current_step, current_Grad_e,IF(Iterations[[#This Row],[Step]] &gt; current_step, "",Iterations[[#This Row],[Grad_e]]))</f>
        <v>8.0227804652451065E-2</v>
      </c>
    </row>
    <row r="427" spans="6:18" x14ac:dyDescent="0.3">
      <c r="F427" s="2">
        <f t="shared" si="8"/>
        <v>410</v>
      </c>
      <c r="G427" s="2">
        <f ca="1">IF(Iterations[[#This Row],[Step]] =current_step, current_a,IF(Iterations[[#This Row],[Step]] &gt; current_step, "",Iterations[[#This Row],[a]]))</f>
        <v>-6.4868176301232516</v>
      </c>
      <c r="H427" s="2">
        <f ca="1">IF(Iterations[[#This Row],[Step]] =current_step, current_b,IF(Iterations[[#This Row],[Step]] &gt; current_step, "",Iterations[[#This Row],[b]]))</f>
        <v>0.48469950839464998</v>
      </c>
      <c r="I427" s="2">
        <f ca="1">IF(Iterations[[#This Row],[Step]] =current_step, current_c,IF(Iterations[[#This Row],[Step]] &gt; current_step, "",Iterations[[#This Row],[c]]))</f>
        <v>19.032671241102531</v>
      </c>
      <c r="J427" s="2">
        <f ca="1">IF(Iterations[[#This Row],[Step]] =current_step, current_d,IF(Iterations[[#This Row],[Step]] &gt; current_step, "",Iterations[[#This Row],[d]]))</f>
        <v>1.0806253577787008</v>
      </c>
      <c r="K427" s="2">
        <f ca="1">IF(Iterations[[#This Row],[Step]] =current_step, current_e,IF(Iterations[[#This Row],[Step]] &gt; current_step, "",Iterations[[#This Row],[e]]))</f>
        <v>12.093622485166488</v>
      </c>
      <c r="L427" s="2">
        <f ca="1">IF(Iterations[[#This Row],[Step]] =current_step, current_Total_Loss,IF(Iterations[[#This Row],[Step]] &gt; current_step, "",Iterations[[#This Row],[Total Loss]]))</f>
        <v>96.29</v>
      </c>
      <c r="M427" s="6" t="s">
        <v>27</v>
      </c>
      <c r="N427" s="2">
        <f ca="1">IF(Iterations[[#This Row],[Step]] =current_step, current_Grad_a,IF(Iterations[[#This Row],[Step]] &gt; current_step, "",Iterations[[#This Row],[Grad_a]]))</f>
        <v>7.9630835472419392E-2</v>
      </c>
      <c r="O427" s="2">
        <f ca="1">IF(Iterations[[#This Row],[Step]] =current_step, current_Grad_b,IF(Iterations[[#This Row],[Step]] &gt; current_step, "",Iterations[[#This Row],[Grad_b]]))</f>
        <v>1.3655952075861308E-2</v>
      </c>
      <c r="P427" s="2">
        <f ca="1">IF(Iterations[[#This Row],[Step]] =current_step, current_Grad_c,IF(Iterations[[#This Row],[Step]] &gt; current_step, "",Iterations[[#This Row],[Grad_c]]))</f>
        <v>-0.22341952433562273</v>
      </c>
      <c r="Q427" s="2">
        <f ca="1">IF(Iterations[[#This Row],[Step]] =current_step, current_Grad_d,IF(Iterations[[#This Row],[Step]] &gt; current_step, "",Iterations[[#This Row],[Grad_d]]))</f>
        <v>-1.2265916564681826E-2</v>
      </c>
      <c r="R427" s="2">
        <f ca="1">IF(Iterations[[#This Row],[Step]] =current_step, current_Grad_e,IF(Iterations[[#This Row],[Step]] &gt; current_step, "",Iterations[[#This Row],[Grad_e]]))</f>
        <v>7.9684668883541157E-2</v>
      </c>
    </row>
    <row r="428" spans="6:18" x14ac:dyDescent="0.3">
      <c r="F428" s="2">
        <f t="shared" si="8"/>
        <v>411</v>
      </c>
      <c r="G428" s="2">
        <f ca="1">IF(Iterations[[#This Row],[Step]] =current_step, current_a,IF(Iterations[[#This Row],[Step]] &gt; current_step, "",Iterations[[#This Row],[a]]))</f>
        <v>-6.4923917886063212</v>
      </c>
      <c r="H428" s="2">
        <f ca="1">IF(Iterations[[#This Row],[Step]] =current_step, current_b,IF(Iterations[[#This Row],[Step]] &gt; current_step, "",Iterations[[#This Row],[b]]))</f>
        <v>0.48374359174933967</v>
      </c>
      <c r="I428" s="2">
        <f ca="1">IF(Iterations[[#This Row],[Step]] =current_step, current_c,IF(Iterations[[#This Row],[Step]] &gt; current_step, "",Iterations[[#This Row],[c]]))</f>
        <v>19.048310607806023</v>
      </c>
      <c r="J428" s="2">
        <f ca="1">IF(Iterations[[#This Row],[Step]] =current_step, current_d,IF(Iterations[[#This Row],[Step]] &gt; current_step, "",Iterations[[#This Row],[d]]))</f>
        <v>1.0814839719382285</v>
      </c>
      <c r="K428" s="2">
        <f ca="1">IF(Iterations[[#This Row],[Step]] =current_step, current_e,IF(Iterations[[#This Row],[Step]] &gt; current_step, "",Iterations[[#This Row],[e]]))</f>
        <v>12.08804455834464</v>
      </c>
      <c r="L428" s="2">
        <f ca="1">IF(Iterations[[#This Row],[Step]] =current_step, current_Total_Loss,IF(Iterations[[#This Row],[Step]] &gt; current_step, "",Iterations[[#This Row],[Total Loss]]))</f>
        <v>96.21</v>
      </c>
      <c r="M428" s="6" t="s">
        <v>27</v>
      </c>
      <c r="N428" s="2">
        <f ca="1">IF(Iterations[[#This Row],[Step]] =current_step, current_Grad_a,IF(Iterations[[#This Row],[Step]] &gt; current_step, "",Iterations[[#This Row],[Grad_a]]))</f>
        <v>7.9092002571186981E-2</v>
      </c>
      <c r="O428" s="2">
        <f ca="1">IF(Iterations[[#This Row],[Step]] =current_step, current_Grad_b,IF(Iterations[[#This Row],[Step]] &gt; current_step, "",Iterations[[#This Row],[Grad_b]]))</f>
        <v>1.3566115723455945E-2</v>
      </c>
      <c r="P428" s="2">
        <f ca="1">IF(Iterations[[#This Row],[Step]] =current_step, current_Grad_c,IF(Iterations[[#This Row],[Step]] &gt; current_step, "",Iterations[[#This Row],[Grad_c]]))</f>
        <v>-0.22190721537373381</v>
      </c>
      <c r="Q428" s="2">
        <f ca="1">IF(Iterations[[#This Row],[Step]] =current_step, current_Grad_d,IF(Iterations[[#This Row],[Step]] &gt; current_step, "",Iterations[[#This Row],[Grad_d]]))</f>
        <v>-1.2188364198065016E-2</v>
      </c>
      <c r="R428" s="2">
        <f ca="1">IF(Iterations[[#This Row],[Step]] =current_step, current_Grad_e,IF(Iterations[[#This Row],[Step]] &gt; current_step, "",Iterations[[#This Row],[Grad_e]]))</f>
        <v>7.9145212595743447E-2</v>
      </c>
    </row>
    <row r="429" spans="6:18" x14ac:dyDescent="0.3">
      <c r="F429" s="2">
        <f t="shared" si="8"/>
        <v>412</v>
      </c>
      <c r="G429" s="2">
        <f ca="1">IF(Iterations[[#This Row],[Step]] =current_step, current_a,IF(Iterations[[#This Row],[Step]] &gt; current_step, "",Iterations[[#This Row],[a]]))</f>
        <v>-6.4979282287863045</v>
      </c>
      <c r="H429" s="2">
        <f ca="1">IF(Iterations[[#This Row],[Step]] =current_step, current_b,IF(Iterations[[#This Row],[Step]] &gt; current_step, "",Iterations[[#This Row],[b]]))</f>
        <v>0.48279396364869775</v>
      </c>
      <c r="I429" s="2">
        <f ca="1">IF(Iterations[[#This Row],[Step]] =current_step, current_c,IF(Iterations[[#This Row],[Step]] &gt; current_step, "",Iterations[[#This Row],[c]]))</f>
        <v>19.063844112882183</v>
      </c>
      <c r="J429" s="2">
        <f ca="1">IF(Iterations[[#This Row],[Step]] =current_step, current_d,IF(Iterations[[#This Row],[Step]] &gt; current_step, "",Iterations[[#This Row],[d]]))</f>
        <v>1.082337157432093</v>
      </c>
      <c r="K429" s="2">
        <f ca="1">IF(Iterations[[#This Row],[Step]] =current_step, current_e,IF(Iterations[[#This Row],[Step]] &gt; current_step, "",Iterations[[#This Row],[e]]))</f>
        <v>12.082504393462937</v>
      </c>
      <c r="L429" s="2">
        <f ca="1">IF(Iterations[[#This Row],[Step]] =current_step, current_Total_Loss,IF(Iterations[[#This Row],[Step]] &gt; current_step, "",Iterations[[#This Row],[Total Loss]]))</f>
        <v>96.13</v>
      </c>
      <c r="M429" s="6" t="s">
        <v>27</v>
      </c>
      <c r="N429" s="2">
        <f ca="1">IF(Iterations[[#This Row],[Step]] =current_step, current_Grad_a,IF(Iterations[[#This Row],[Step]] &gt; current_step, "",Iterations[[#This Row],[Grad_a]]))</f>
        <v>7.8556815344146366E-2</v>
      </c>
      <c r="O429" s="2">
        <f ca="1">IF(Iterations[[#This Row],[Step]] =current_step, current_Grad_b,IF(Iterations[[#This Row],[Step]] &gt; current_step, "",Iterations[[#This Row],[Grad_b]]))</f>
        <v>1.3476841415567745E-2</v>
      </c>
      <c r="P429" s="2">
        <f ca="1">IF(Iterations[[#This Row],[Step]] =current_step, current_Grad_c,IF(Iterations[[#This Row],[Step]] &gt; current_step, "",Iterations[[#This Row],[Grad_c]]))</f>
        <v>-0.22040514759466948</v>
      </c>
      <c r="Q429" s="2">
        <f ca="1">IF(Iterations[[#This Row],[Step]] =current_step, current_Grad_d,IF(Iterations[[#This Row],[Step]] &gt; current_step, "",Iterations[[#This Row],[Grad_d]]))</f>
        <v>-1.2111239469440717E-2</v>
      </c>
      <c r="R429" s="2">
        <f ca="1">IF(Iterations[[#This Row],[Step]] =current_step, current_Grad_e,IF(Iterations[[#This Row],[Step]] &gt; current_step, "",Iterations[[#This Row],[Grad_e]]))</f>
        <v>7.8609410817903305E-2</v>
      </c>
    </row>
    <row r="430" spans="6:18" x14ac:dyDescent="0.3">
      <c r="F430" s="2">
        <f t="shared" si="8"/>
        <v>413</v>
      </c>
      <c r="G430" s="2">
        <f ca="1">IF(Iterations[[#This Row],[Step]] =current_step, current_a,IF(Iterations[[#This Row],[Step]] &gt; current_step, "",Iterations[[#This Row],[a]]))</f>
        <v>-6.5034272058603948</v>
      </c>
      <c r="H430" s="2">
        <f ca="1">IF(Iterations[[#This Row],[Step]] =current_step, current_b,IF(Iterations[[#This Row],[Step]] &gt; current_step, "",Iterations[[#This Row],[b]]))</f>
        <v>0.48185058474960801</v>
      </c>
      <c r="I430" s="2">
        <f ca="1">IF(Iterations[[#This Row],[Step]] =current_step, current_c,IF(Iterations[[#This Row],[Step]] &gt; current_step, "",Iterations[[#This Row],[c]]))</f>
        <v>19.079272473213809</v>
      </c>
      <c r="J430" s="2">
        <f ca="1">IF(Iterations[[#This Row],[Step]] =current_step, current_d,IF(Iterations[[#This Row],[Step]] &gt; current_step, "",Iterations[[#This Row],[d]]))</f>
        <v>1.0831849441949539</v>
      </c>
      <c r="K430" s="2">
        <f ca="1">IF(Iterations[[#This Row],[Step]] =current_step, current_e,IF(Iterations[[#This Row],[Step]] &gt; current_step, "",Iterations[[#This Row],[e]]))</f>
        <v>12.077001734705684</v>
      </c>
      <c r="L430" s="2">
        <f ca="1">IF(Iterations[[#This Row],[Step]] =current_step, current_Total_Loss,IF(Iterations[[#This Row],[Step]] &gt; current_step, "",Iterations[[#This Row],[Total Loss]]))</f>
        <v>96.05</v>
      </c>
      <c r="M430" s="6" t="s">
        <v>27</v>
      </c>
      <c r="N430" s="2">
        <f ca="1">IF(Iterations[[#This Row],[Step]] =current_step, current_Grad_a,IF(Iterations[[#This Row],[Step]] &gt; current_step, "",Iterations[[#This Row],[Grad_a]]))</f>
        <v>7.8025249132448335E-2</v>
      </c>
      <c r="O430" s="2">
        <f ca="1">IF(Iterations[[#This Row],[Step]] =current_step, current_Grad_b,IF(Iterations[[#This Row],[Step]] &gt; current_step, "",Iterations[[#This Row],[Grad_b]]))</f>
        <v>1.3388126166574218E-2</v>
      </c>
      <c r="P430" s="2">
        <f ca="1">IF(Iterations[[#This Row],[Step]] =current_step, current_Grad_c,IF(Iterations[[#This Row],[Step]] &gt; current_step, "",Iterations[[#This Row],[Grad_c]]))</f>
        <v>-0.21891325156643765</v>
      </c>
      <c r="Q430" s="2">
        <f ca="1">IF(Iterations[[#This Row],[Step]] =current_step, current_Grad_d,IF(Iterations[[#This Row],[Step]] &gt; current_step, "",Iterations[[#This Row],[Grad_d]]))</f>
        <v>-1.2034541216544145E-2</v>
      </c>
      <c r="R430" s="2">
        <f ca="1">IF(Iterations[[#This Row],[Step]] =current_step, current_Grad_e,IF(Iterations[[#This Row],[Step]] &gt; current_step, "",Iterations[[#This Row],[Grad_e]]))</f>
        <v>7.8077238749121702E-2</v>
      </c>
    </row>
    <row r="431" spans="6:18" x14ac:dyDescent="0.3">
      <c r="F431" s="2">
        <f t="shared" si="8"/>
        <v>414</v>
      </c>
      <c r="G431" s="2">
        <f ca="1">IF(Iterations[[#This Row],[Step]] =current_step, current_a,IF(Iterations[[#This Row],[Step]] &gt; current_step, "",Iterations[[#This Row],[a]]))</f>
        <v>-6.5088889732996664</v>
      </c>
      <c r="H431" s="2">
        <f ca="1">IF(Iterations[[#This Row],[Step]] =current_step, current_b,IF(Iterations[[#This Row],[Step]] &gt; current_step, "",Iterations[[#This Row],[b]]))</f>
        <v>0.48091341591794784</v>
      </c>
      <c r="I431" s="2">
        <f ca="1">IF(Iterations[[#This Row],[Step]] =current_step, current_c,IF(Iterations[[#This Row],[Step]] &gt; current_step, "",Iterations[[#This Row],[c]]))</f>
        <v>19.094596400823459</v>
      </c>
      <c r="J431" s="2">
        <f ca="1">IF(Iterations[[#This Row],[Step]] =current_step, current_d,IF(Iterations[[#This Row],[Step]] &gt; current_step, "",Iterations[[#This Row],[d]]))</f>
        <v>1.084027362080112</v>
      </c>
      <c r="K431" s="2">
        <f ca="1">IF(Iterations[[#This Row],[Step]] =current_step, current_e,IF(Iterations[[#This Row],[Step]] &gt; current_step, "",Iterations[[#This Row],[e]]))</f>
        <v>12.071536327993245</v>
      </c>
      <c r="L431" s="2">
        <f ca="1">IF(Iterations[[#This Row],[Step]] =current_step, current_Total_Loss,IF(Iterations[[#This Row],[Step]] &gt; current_step, "",Iterations[[#This Row],[Total Loss]]))</f>
        <v>95.98</v>
      </c>
      <c r="M431" s="6" t="s">
        <v>27</v>
      </c>
      <c r="N431" s="2">
        <f ca="1">IF(Iterations[[#This Row],[Step]] =current_step, current_Grad_a,IF(Iterations[[#This Row],[Step]] &gt; current_step, "",Iterations[[#This Row],[Grad_a]]))</f>
        <v>7.7497279443939401E-2</v>
      </c>
      <c r="O431" s="2">
        <f ca="1">IF(Iterations[[#This Row],[Step]] =current_step, current_Grad_b,IF(Iterations[[#This Row],[Step]] &gt; current_step, "",Iterations[[#This Row],[Grad_b]]))</f>
        <v>1.3299966996442179E-2</v>
      </c>
      <c r="P431" s="2">
        <f ca="1">IF(Iterations[[#This Row],[Step]] =current_step, current_Grad_c,IF(Iterations[[#This Row],[Step]] &gt; current_step, "",Iterations[[#This Row],[Grad_c]]))</f>
        <v>-0.21743145832918387</v>
      </c>
      <c r="Q431" s="2">
        <f ca="1">IF(Iterations[[#This Row],[Step]] =current_step, current_Grad_d,IF(Iterations[[#This Row],[Step]] &gt; current_step, "",Iterations[[#This Row],[Grad_d]]))</f>
        <v>-1.1958268254132412E-2</v>
      </c>
      <c r="R431" s="2">
        <f ca="1">IF(Iterations[[#This Row],[Step]] =current_step, current_Grad_e,IF(Iterations[[#This Row],[Step]] &gt; current_step, "",Iterations[[#This Row],[Grad_e]]))</f>
        <v>7.7548671757589088E-2</v>
      </c>
    </row>
    <row r="432" spans="6:18" x14ac:dyDescent="0.3">
      <c r="F432" s="2">
        <f t="shared" si="8"/>
        <v>415</v>
      </c>
      <c r="G432" s="2">
        <f ca="1">IF(Iterations[[#This Row],[Step]] =current_step, current_a,IF(Iterations[[#This Row],[Step]] &gt; current_step, "",Iterations[[#This Row],[a]]))</f>
        <v>-6.514313782860742</v>
      </c>
      <c r="H432" s="2">
        <f ca="1">IF(Iterations[[#This Row],[Step]] =current_step, current_b,IF(Iterations[[#This Row],[Step]] &gt; current_step, "",Iterations[[#This Row],[b]]))</f>
        <v>0.47998241822819687</v>
      </c>
      <c r="I432" s="2">
        <f ca="1">IF(Iterations[[#This Row],[Step]] =current_step, current_c,IF(Iterations[[#This Row],[Step]] &gt; current_step, "",Iterations[[#This Row],[c]]))</f>
        <v>19.109816602906502</v>
      </c>
      <c r="J432" s="2">
        <f ca="1">IF(Iterations[[#This Row],[Step]] =current_step, current_d,IF(Iterations[[#This Row],[Step]] &gt; current_step, "",Iterations[[#This Row],[d]]))</f>
        <v>1.0848644408579013</v>
      </c>
      <c r="K432" s="2">
        <f ca="1">IF(Iterations[[#This Row],[Step]] =current_step, current_e,IF(Iterations[[#This Row],[Step]] &gt; current_step, "",Iterations[[#This Row],[e]]))</f>
        <v>12.066107920970214</v>
      </c>
      <c r="L432" s="2">
        <f ca="1">IF(Iterations[[#This Row],[Step]] =current_step, current_Total_Loss,IF(Iterations[[#This Row],[Step]] &gt; current_step, "",Iterations[[#This Row],[Total Loss]]))</f>
        <v>95.9</v>
      </c>
      <c r="M432" s="6" t="s">
        <v>27</v>
      </c>
      <c r="N432" s="2">
        <f ca="1">IF(Iterations[[#This Row],[Step]] =current_step, current_Grad_a,IF(Iterations[[#This Row],[Step]] &gt; current_step, "",Iterations[[#This Row],[Grad_a]]))</f>
        <v>7.6972881952036165E-2</v>
      </c>
      <c r="O432" s="2">
        <f ca="1">IF(Iterations[[#This Row],[Step]] =current_step, current_Grad_b,IF(Iterations[[#This Row],[Step]] &gt; current_step, "",Iterations[[#This Row],[Grad_b]]))</f>
        <v>1.3212360931013004E-2</v>
      </c>
      <c r="P432" s="2">
        <f ca="1">IF(Iterations[[#This Row],[Step]] =current_step, current_Grad_c,IF(Iterations[[#This Row],[Step]] &gt; current_step, "",Iterations[[#This Row],[Grad_c]]))</f>
        <v>-0.21595969939194984</v>
      </c>
      <c r="Q432" s="2">
        <f ca="1">IF(Iterations[[#This Row],[Step]] =current_step, current_Grad_d,IF(Iterations[[#This Row],[Step]] &gt; current_step, "",Iterations[[#This Row],[Grad_d]]))</f>
        <v>-1.1882419374664919E-2</v>
      </c>
      <c r="R432" s="2">
        <f ca="1">IF(Iterations[[#This Row],[Step]] =current_step, current_Grad_e,IF(Iterations[[#This Row],[Step]] &gt; current_step, "",Iterations[[#This Row],[Grad_e]]))</f>
        <v>7.7023685379423348E-2</v>
      </c>
    </row>
    <row r="433" spans="6:18" x14ac:dyDescent="0.3">
      <c r="F433" s="2">
        <f t="shared" si="8"/>
        <v>416</v>
      </c>
      <c r="G433" s="2">
        <f ca="1">IF(Iterations[[#This Row],[Step]] =current_step, current_a,IF(Iterations[[#This Row],[Step]] &gt; current_step, "",Iterations[[#This Row],[a]]))</f>
        <v>-6.5197018845973842</v>
      </c>
      <c r="H433" s="2">
        <f ca="1">IF(Iterations[[#This Row],[Step]] =current_step, current_b,IF(Iterations[[#This Row],[Step]] &gt; current_step, "",Iterations[[#This Row],[b]]))</f>
        <v>0.47905755296302593</v>
      </c>
      <c r="I433" s="2">
        <f ca="1">IF(Iterations[[#This Row],[Step]] =current_step, current_c,IF(Iterations[[#This Row],[Step]] &gt; current_step, "",Iterations[[#This Row],[c]]))</f>
        <v>19.124933781863938</v>
      </c>
      <c r="J433" s="2">
        <f ca="1">IF(Iterations[[#This Row],[Step]] =current_step, current_d,IF(Iterations[[#This Row],[Step]] &gt; current_step, "",Iterations[[#This Row],[d]]))</f>
        <v>1.0856962102141279</v>
      </c>
      <c r="K433" s="2">
        <f ca="1">IF(Iterations[[#This Row],[Step]] =current_step, current_e,IF(Iterations[[#This Row],[Step]] &gt; current_step, "",Iterations[[#This Row],[e]]))</f>
        <v>12.060716262993655</v>
      </c>
      <c r="L433" s="2">
        <f ca="1">IF(Iterations[[#This Row],[Step]] =current_step, current_Total_Loss,IF(Iterations[[#This Row],[Step]] &gt; current_step, "",Iterations[[#This Row],[Total Loss]]))</f>
        <v>95.83</v>
      </c>
      <c r="M433" s="6" t="s">
        <v>27</v>
      </c>
      <c r="N433" s="2">
        <f ca="1">IF(Iterations[[#This Row],[Step]] =current_step, current_Grad_a,IF(Iterations[[#This Row],[Step]] &gt; current_step, "",Iterations[[#This Row],[Grad_a]]))</f>
        <v>7.645203249443025E-2</v>
      </c>
      <c r="O433" s="2">
        <f ca="1">IF(Iterations[[#This Row],[Step]] =current_step, current_Grad_b,IF(Iterations[[#This Row],[Step]] &gt; current_step, "",Iterations[[#This Row],[Grad_b]]))</f>
        <v>1.3125305002171413E-2</v>
      </c>
      <c r="P433" s="2">
        <f ca="1">IF(Iterations[[#This Row],[Step]] =current_step, current_Grad_c,IF(Iterations[[#This Row],[Step]] &gt; current_step, "",Iterations[[#This Row],[Grad_c]]))</f>
        <v>-0.21449790672953967</v>
      </c>
      <c r="Q433" s="2">
        <f ca="1">IF(Iterations[[#This Row],[Step]] =current_step, current_Grad_d,IF(Iterations[[#This Row],[Step]] &gt; current_step, "",Iterations[[#This Row],[Grad_d]]))</f>
        <v>-1.1806993349013774E-2</v>
      </c>
      <c r="R433" s="2">
        <f ca="1">IF(Iterations[[#This Row],[Step]] =current_step, current_Grad_e,IF(Iterations[[#This Row],[Step]] &gt; current_step, "",Iterations[[#This Row],[Grad_e]]))</f>
        <v>7.6502255317473747E-2</v>
      </c>
    </row>
    <row r="434" spans="6:18" x14ac:dyDescent="0.3">
      <c r="F434" s="2">
        <f t="shared" si="8"/>
        <v>417</v>
      </c>
      <c r="G434" s="2">
        <f ca="1">IF(Iterations[[#This Row],[Step]] =current_step, current_a,IF(Iterations[[#This Row],[Step]] &gt; current_step, "",Iterations[[#This Row],[a]]))</f>
        <v>-6.5250535268719947</v>
      </c>
      <c r="H434" s="2">
        <f ca="1">IF(Iterations[[#This Row],[Step]] =current_step, current_b,IF(Iterations[[#This Row],[Step]] &gt; current_step, "",Iterations[[#This Row],[b]]))</f>
        <v>0.47813878161287393</v>
      </c>
      <c r="I434" s="2">
        <f ca="1">IF(Iterations[[#This Row],[Step]] =current_step, current_c,IF(Iterations[[#This Row],[Step]] &gt; current_step, "",Iterations[[#This Row],[c]]))</f>
        <v>19.139948635335006</v>
      </c>
      <c r="J434" s="2">
        <f ca="1">IF(Iterations[[#This Row],[Step]] =current_step, current_d,IF(Iterations[[#This Row],[Step]] &gt; current_step, "",Iterations[[#This Row],[d]]))</f>
        <v>1.0865226997485589</v>
      </c>
      <c r="K434" s="2">
        <f ca="1">IF(Iterations[[#This Row],[Step]] =current_step, current_e,IF(Iterations[[#This Row],[Step]] &gt; current_step, "",Iterations[[#This Row],[e]]))</f>
        <v>12.055361105121431</v>
      </c>
      <c r="L434" s="2">
        <f ca="1">IF(Iterations[[#This Row],[Step]] =current_step, current_Total_Loss,IF(Iterations[[#This Row],[Step]] &gt; current_step, "",Iterations[[#This Row],[Total Loss]]))</f>
        <v>95.76</v>
      </c>
      <c r="M434" s="6" t="s">
        <v>27</v>
      </c>
      <c r="N434" s="2">
        <f ca="1">IF(Iterations[[#This Row],[Step]] =current_step, current_Grad_a,IF(Iterations[[#This Row],[Step]] &gt; current_step, "",Iterations[[#This Row],[Grad_a]]))</f>
        <v>7.5934707072319474E-2</v>
      </c>
      <c r="O434" s="2">
        <f ca="1">IF(Iterations[[#This Row],[Step]] =current_step, current_Grad_b,IF(Iterations[[#This Row],[Step]] &gt; current_step, "",Iterations[[#This Row],[Grad_b]]))</f>
        <v>1.3038796248111563E-2</v>
      </c>
      <c r="P434" s="2">
        <f ca="1">IF(Iterations[[#This Row],[Step]] =current_step, current_Grad_c,IF(Iterations[[#This Row],[Step]] &gt; current_step, "",Iterations[[#This Row],[Grad_c]]))</f>
        <v>-0.2130460127791822</v>
      </c>
      <c r="Q434" s="2">
        <f ca="1">IF(Iterations[[#This Row],[Step]] =current_step, current_Grad_d,IF(Iterations[[#This Row],[Step]] &gt; current_step, "",Iterations[[#This Row],[Grad_d]]))</f>
        <v>-1.1731988927117187E-2</v>
      </c>
      <c r="R434" s="2">
        <f ca="1">IF(Iterations[[#This Row],[Step]] =current_step, current_Grad_e,IF(Iterations[[#This Row],[Step]] &gt; current_step, "",Iterations[[#This Row],[Grad_e]]))</f>
        <v>7.5984357440241609E-2</v>
      </c>
    </row>
    <row r="435" spans="6:18" x14ac:dyDescent="0.3">
      <c r="F435" s="2">
        <f t="shared" si="8"/>
        <v>418</v>
      </c>
      <c r="G435" s="2">
        <f ca="1">IF(Iterations[[#This Row],[Step]] =current_step, current_a,IF(Iterations[[#This Row],[Step]] &gt; current_step, "",Iterations[[#This Row],[a]]))</f>
        <v>-6.5303689563670568</v>
      </c>
      <c r="H435" s="2">
        <f ca="1">IF(Iterations[[#This Row],[Step]] =current_step, current_b,IF(Iterations[[#This Row],[Step]] &gt; current_step, "",Iterations[[#This Row],[b]]))</f>
        <v>0.47722606587550614</v>
      </c>
      <c r="I435" s="2">
        <f ca="1">IF(Iterations[[#This Row],[Step]] =current_step, current_c,IF(Iterations[[#This Row],[Step]] &gt; current_step, "",Iterations[[#This Row],[c]]))</f>
        <v>19.154861856229548</v>
      </c>
      <c r="J435" s="2">
        <f ca="1">IF(Iterations[[#This Row],[Step]] =current_step, current_d,IF(Iterations[[#This Row],[Step]] &gt; current_step, "",Iterations[[#This Row],[d]]))</f>
        <v>1.0873439389734572</v>
      </c>
      <c r="K435" s="2">
        <f ca="1">IF(Iterations[[#This Row],[Step]] =current_step, current_e,IF(Iterations[[#This Row],[Step]] &gt; current_step, "",Iterations[[#This Row],[e]]))</f>
        <v>12.050042200100615</v>
      </c>
      <c r="L435" s="2">
        <f ca="1">IF(Iterations[[#This Row],[Step]] =current_step, current_Total_Loss,IF(Iterations[[#This Row],[Step]] &gt; current_step, "",Iterations[[#This Row],[Total Loss]]))</f>
        <v>95.68</v>
      </c>
      <c r="M435" s="6" t="s">
        <v>27</v>
      </c>
      <c r="N435" s="2">
        <f ca="1">IF(Iterations[[#This Row],[Step]] =current_step, current_Grad_a,IF(Iterations[[#This Row],[Step]] &gt; current_step, "",Iterations[[#This Row],[Grad_a]]))</f>
        <v>7.5420881848987875E-2</v>
      </c>
      <c r="O435" s="2">
        <f ca="1">IF(Iterations[[#This Row],[Step]] =current_step, current_Grad_b,IF(Iterations[[#This Row],[Step]] &gt; current_step, "",Iterations[[#This Row],[Grad_b]]))</f>
        <v>1.2952831713469441E-2</v>
      </c>
      <c r="P435" s="2">
        <f ca="1">IF(Iterations[[#This Row],[Step]] =current_step, current_Grad_c,IF(Iterations[[#This Row],[Step]] &gt; current_step, "",Iterations[[#This Row],[Grad_c]]))</f>
        <v>-0.21160395043749938</v>
      </c>
      <c r="Q435" s="2">
        <f ca="1">IF(Iterations[[#This Row],[Step]] =current_step, current_Grad_d,IF(Iterations[[#This Row],[Step]] &gt; current_step, "",Iterations[[#This Row],[Grad_d]]))</f>
        <v>-1.1657404838671103E-2</v>
      </c>
      <c r="R435" s="2">
        <f ca="1">IF(Iterations[[#This Row],[Step]] =current_step, current_Grad_e,IF(Iterations[[#This Row],[Step]] &gt; current_step, "",Iterations[[#This Row],[Grad_e]]))</f>
        <v>7.5469967780669833E-2</v>
      </c>
    </row>
    <row r="436" spans="6:18" x14ac:dyDescent="0.3">
      <c r="F436" s="2">
        <f t="shared" si="8"/>
        <v>419</v>
      </c>
      <c r="G436" s="2">
        <f ca="1">IF(Iterations[[#This Row],[Step]] =current_step, current_a,IF(Iterations[[#This Row],[Step]] &gt; current_step, "",Iterations[[#This Row],[a]]))</f>
        <v>-6.5356484180964856</v>
      </c>
      <c r="H436" s="2">
        <f ca="1">IF(Iterations[[#This Row],[Step]] =current_step, current_b,IF(Iterations[[#This Row],[Step]] &gt; current_step, "",Iterations[[#This Row],[b]]))</f>
        <v>0.47631936765556326</v>
      </c>
      <c r="I436" s="2">
        <f ca="1">IF(Iterations[[#This Row],[Step]] =current_step, current_c,IF(Iterations[[#This Row],[Step]] &gt; current_step, "",Iterations[[#This Row],[c]]))</f>
        <v>19.169674132760171</v>
      </c>
      <c r="J436" s="2">
        <f ca="1">IF(Iterations[[#This Row],[Step]] =current_step, current_d,IF(Iterations[[#This Row],[Step]] &gt; current_step, "",Iterations[[#This Row],[d]]))</f>
        <v>1.0881599573121641</v>
      </c>
      <c r="K436" s="2">
        <f ca="1">IF(Iterations[[#This Row],[Step]] =current_step, current_e,IF(Iterations[[#This Row],[Step]] &gt; current_step, "",Iterations[[#This Row],[e]]))</f>
        <v>12.044759302355967</v>
      </c>
      <c r="L436" s="2">
        <f ca="1">IF(Iterations[[#This Row],[Step]] =current_step, current_Total_Loss,IF(Iterations[[#This Row],[Step]] &gt; current_step, "",Iterations[[#This Row],[Total Loss]]))</f>
        <v>95.61</v>
      </c>
      <c r="M436" s="6" t="s">
        <v>27</v>
      </c>
      <c r="N436" s="2">
        <f ca="1">IF(Iterations[[#This Row],[Step]] =current_step, current_Grad_a,IF(Iterations[[#This Row],[Step]] &gt; current_step, "",Iterations[[#This Row],[Grad_a]]))</f>
        <v>7.4910533148753455E-2</v>
      </c>
      <c r="O436" s="2">
        <f ca="1">IF(Iterations[[#This Row],[Step]] =current_step, current_Grad_b,IF(Iterations[[#This Row],[Step]] &gt; current_step, "",Iterations[[#This Row],[Grad_b]]))</f>
        <v>1.2867408449599561E-2</v>
      </c>
      <c r="P436" s="2">
        <f ca="1">IF(Iterations[[#This Row],[Step]] =current_step, current_Grad_c,IF(Iterations[[#This Row],[Step]] &gt; current_step, "",Iterations[[#This Row],[Grad_c]]))</f>
        <v>-0.21017165305733754</v>
      </c>
      <c r="Q436" s="2">
        <f ca="1">IF(Iterations[[#This Row],[Step]] =current_step, current_Grad_d,IF(Iterations[[#This Row],[Step]] &gt; current_step, "",Iterations[[#This Row],[Grad_d]]))</f>
        <v>-1.1583239793747153E-2</v>
      </c>
      <c r="R436" s="2">
        <f ca="1">IF(Iterations[[#This Row],[Step]] =current_step, current_Grad_e,IF(Iterations[[#This Row],[Step]] &gt; current_step, "",Iterations[[#This Row],[Grad_e]]))</f>
        <v>7.495906253502424E-2</v>
      </c>
    </row>
    <row r="437" spans="6:18" x14ac:dyDescent="0.3">
      <c r="F437" s="2">
        <f t="shared" si="8"/>
        <v>420</v>
      </c>
      <c r="G437" s="2">
        <f ca="1">IF(Iterations[[#This Row],[Step]] =current_step, current_a,IF(Iterations[[#This Row],[Step]] &gt; current_step, "",Iterations[[#This Row],[a]]))</f>
        <v>-6.5408921554168984</v>
      </c>
      <c r="H437" s="2">
        <f ca="1">IF(Iterations[[#This Row],[Step]] =current_step, current_b,IF(Iterations[[#This Row],[Step]] &gt; current_step, "",Iterations[[#This Row],[b]]))</f>
        <v>0.47541864906409131</v>
      </c>
      <c r="I437" s="2">
        <f ca="1">IF(Iterations[[#This Row],[Step]] =current_step, current_c,IF(Iterations[[#This Row],[Step]] &gt; current_step, "",Iterations[[#This Row],[c]]))</f>
        <v>19.184386148474186</v>
      </c>
      <c r="J437" s="2">
        <f ca="1">IF(Iterations[[#This Row],[Step]] =current_step, current_d,IF(Iterations[[#This Row],[Step]] &gt; current_step, "",Iterations[[#This Row],[d]]))</f>
        <v>1.0889707840977263</v>
      </c>
      <c r="K437" s="2">
        <f ca="1">IF(Iterations[[#This Row],[Step]] =current_step, current_e,IF(Iterations[[#This Row],[Step]] &gt; current_step, "",Iterations[[#This Row],[e]]))</f>
        <v>12.039512167978515</v>
      </c>
      <c r="L437" s="2">
        <f ca="1">IF(Iterations[[#This Row],[Step]] =current_step, current_Total_Loss,IF(Iterations[[#This Row],[Step]] &gt; current_step, "",Iterations[[#This Row],[Total Loss]]))</f>
        <v>95.54</v>
      </c>
      <c r="M437" s="6" t="s">
        <v>27</v>
      </c>
      <c r="N437" s="2">
        <f ca="1">IF(Iterations[[#This Row],[Step]] =current_step, current_Grad_a,IF(Iterations[[#This Row],[Step]] &gt; current_step, "",Iterations[[#This Row],[Grad_a]]))</f>
        <v>7.4403637456243024E-2</v>
      </c>
      <c r="O437" s="2">
        <f ca="1">IF(Iterations[[#This Row],[Step]] =current_step, current_Grad_b,IF(Iterations[[#This Row],[Step]] &gt; current_step, "",Iterations[[#This Row],[Grad_b]]))</f>
        <v>1.2782523514698774E-2</v>
      </c>
      <c r="P437" s="2">
        <f ca="1">IF(Iterations[[#This Row],[Step]] =current_step, current_Grad_c,IF(Iterations[[#This Row],[Step]] &gt; current_step, "",Iterations[[#This Row],[Grad_c]]))</f>
        <v>-0.20874905444449618</v>
      </c>
      <c r="Q437" s="2">
        <f ca="1">IF(Iterations[[#This Row],[Step]] =current_step, current_Grad_d,IF(Iterations[[#This Row],[Step]] &gt; current_step, "",Iterations[[#This Row],[Grad_d]]))</f>
        <v>-1.1509492483449759E-2</v>
      </c>
      <c r="R437" s="2">
        <f ca="1">IF(Iterations[[#This Row],[Step]] =current_step, current_Grad_e,IF(Iterations[[#This Row],[Step]] &gt; current_step, "",Iterations[[#This Row],[Grad_e]]))</f>
        <v>7.4451618061836589E-2</v>
      </c>
    </row>
    <row r="438" spans="6:18" x14ac:dyDescent="0.3">
      <c r="F438" s="2">
        <f t="shared" si="8"/>
        <v>421</v>
      </c>
      <c r="G438" s="2">
        <f ca="1">IF(Iterations[[#This Row],[Step]] =current_step, current_a,IF(Iterations[[#This Row],[Step]] &gt; current_step, "",Iterations[[#This Row],[a]]))</f>
        <v>-6.5461004100388358</v>
      </c>
      <c r="H438" s="2">
        <f ca="1">IF(Iterations[[#This Row],[Step]] =current_step, current_b,IF(Iterations[[#This Row],[Step]] &gt; current_step, "",Iterations[[#This Row],[b]]))</f>
        <v>0.47452387241806238</v>
      </c>
      <c r="I438" s="2">
        <f ca="1">IF(Iterations[[#This Row],[Step]] =current_step, current_c,IF(Iterations[[#This Row],[Step]] &gt; current_step, "",Iterations[[#This Row],[c]]))</f>
        <v>19.198998582285302</v>
      </c>
      <c r="J438" s="2">
        <f ca="1">IF(Iterations[[#This Row],[Step]] =current_step, current_d,IF(Iterations[[#This Row],[Step]] &gt; current_step, "",Iterations[[#This Row],[d]]))</f>
        <v>1.0897764485715677</v>
      </c>
      <c r="K438" s="2">
        <f ca="1">IF(Iterations[[#This Row],[Step]] =current_step, current_e,IF(Iterations[[#This Row],[Step]] &gt; current_step, "",Iterations[[#This Row],[e]]))</f>
        <v>12.034300554714186</v>
      </c>
      <c r="L438" s="2">
        <f ca="1">IF(Iterations[[#This Row],[Step]] =current_step, current_Total_Loss,IF(Iterations[[#This Row],[Step]] &gt; current_step, "",Iterations[[#This Row],[Total Loss]]))</f>
        <v>95.47</v>
      </c>
      <c r="M438" s="6" t="s">
        <v>27</v>
      </c>
      <c r="N438" s="2">
        <f ca="1">IF(Iterations[[#This Row],[Step]] =current_step, current_Grad_a,IF(Iterations[[#This Row],[Step]] &gt; current_step, "",Iterations[[#This Row],[Grad_a]]))</f>
        <v>7.3900171414669716E-2</v>
      </c>
      <c r="O438" s="2">
        <f ca="1">IF(Iterations[[#This Row],[Step]] =current_step, current_Grad_b,IF(Iterations[[#This Row],[Step]] &gt; current_step, "",Iterations[[#This Row],[Grad_b]]))</f>
        <v>1.269817397405246E-2</v>
      </c>
      <c r="P438" s="2">
        <f ca="1">IF(Iterations[[#This Row],[Step]] =current_step, current_Grad_c,IF(Iterations[[#This Row],[Step]] &gt; current_step, "",Iterations[[#This Row],[Grad_c]]))</f>
        <v>-0.20733608885489418</v>
      </c>
      <c r="Q438" s="2">
        <f ca="1">IF(Iterations[[#This Row],[Step]] =current_step, current_Grad_d,IF(Iterations[[#This Row],[Step]] &gt; current_step, "",Iterations[[#This Row],[Grad_d]]))</f>
        <v>-1.143616158052527E-2</v>
      </c>
      <c r="R438" s="2">
        <f ca="1">IF(Iterations[[#This Row],[Step]] =current_step, current_Grad_e,IF(Iterations[[#This Row],[Step]] &gt; current_step, "",Iterations[[#This Row],[Grad_e]]))</f>
        <v>7.3947610880654741E-2</v>
      </c>
    </row>
    <row r="439" spans="6:18" x14ac:dyDescent="0.3">
      <c r="F439" s="2">
        <f t="shared" si="8"/>
        <v>422</v>
      </c>
      <c r="G439" s="2">
        <f ca="1">IF(Iterations[[#This Row],[Step]] =current_step, current_a,IF(Iterations[[#This Row],[Step]] &gt; current_step, "",Iterations[[#This Row],[a]]))</f>
        <v>-6.5512734220378626</v>
      </c>
      <c r="H439" s="2">
        <f ca="1">IF(Iterations[[#This Row],[Step]] =current_step, current_b,IF(Iterations[[#This Row],[Step]] &gt; current_step, "",Iterations[[#This Row],[b]]))</f>
        <v>0.4736350002398787</v>
      </c>
      <c r="I439" s="2">
        <f ca="1">IF(Iterations[[#This Row],[Step]] =current_step, current_c,IF(Iterations[[#This Row],[Step]] &gt; current_step, "",Iterations[[#This Row],[c]]))</f>
        <v>19.213512108505146</v>
      </c>
      <c r="J439" s="2">
        <f ca="1">IF(Iterations[[#This Row],[Step]] =current_step, current_d,IF(Iterations[[#This Row],[Step]] &gt; current_step, "",Iterations[[#This Row],[d]]))</f>
        <v>1.0905769798822045</v>
      </c>
      <c r="K439" s="2">
        <f ca="1">IF(Iterations[[#This Row],[Step]] =current_step, current_e,IF(Iterations[[#This Row],[Step]] &gt; current_step, "",Iterations[[#This Row],[e]]))</f>
        <v>12.029124221952539</v>
      </c>
      <c r="L439" s="2">
        <f ca="1">IF(Iterations[[#This Row],[Step]] =current_step, current_Total_Loss,IF(Iterations[[#This Row],[Step]] &gt; current_step, "",Iterations[[#This Row],[Total Loss]]))</f>
        <v>95.41</v>
      </c>
      <c r="M439" s="6" t="s">
        <v>27</v>
      </c>
      <c r="N439" s="2">
        <f ca="1">IF(Iterations[[#This Row],[Step]] =current_step, current_Grad_a,IF(Iterations[[#This Row],[Step]] &gt; current_step, "",Iterations[[#This Row],[Grad_a]]))</f>
        <v>7.3400111825436695E-2</v>
      </c>
      <c r="O439" s="2">
        <f ca="1">IF(Iterations[[#This Row],[Step]] =current_step, current_Grad_b,IF(Iterations[[#This Row],[Step]] &gt; current_step, "",Iterations[[#This Row],[Grad_b]]))</f>
        <v>1.2614356900119188E-2</v>
      </c>
      <c r="P439" s="2">
        <f ca="1">IF(Iterations[[#This Row],[Step]] =current_step, current_Grad_c,IF(Iterations[[#This Row],[Step]] &gt; current_step, "",Iterations[[#This Row],[Grad_c]]))</f>
        <v>-0.20593269099120223</v>
      </c>
      <c r="Q439" s="2">
        <f ca="1">IF(Iterations[[#This Row],[Step]] =current_step, current_Grad_d,IF(Iterations[[#This Row],[Step]] &gt; current_step, "",Iterations[[#This Row],[Grad_d]]))</f>
        <v>-1.1363245739997925E-2</v>
      </c>
      <c r="R439" s="2">
        <f ca="1">IF(Iterations[[#This Row],[Step]] =current_step, current_Grad_e,IF(Iterations[[#This Row],[Step]] &gt; current_step, "",Iterations[[#This Row],[Grad_e]]))</f>
        <v>7.344701767107302E-2</v>
      </c>
    </row>
    <row r="440" spans="6:18" x14ac:dyDescent="0.3">
      <c r="F440" s="2">
        <f t="shared" si="8"/>
        <v>423</v>
      </c>
      <c r="G440" s="2">
        <f ca="1">IF(Iterations[[#This Row],[Step]] =current_step, current_a,IF(Iterations[[#This Row],[Step]] &gt; current_step, "",Iterations[[#This Row],[a]]))</f>
        <v>-6.5564114298656433</v>
      </c>
      <c r="H440" s="2">
        <f ca="1">IF(Iterations[[#This Row],[Step]] =current_step, current_b,IF(Iterations[[#This Row],[Step]] &gt; current_step, "",Iterations[[#This Row],[b]]))</f>
        <v>0.47275199525687034</v>
      </c>
      <c r="I440" s="2">
        <f ca="1">IF(Iterations[[#This Row],[Step]] =current_step, current_c,IF(Iterations[[#This Row],[Step]] &gt; current_step, "",Iterations[[#This Row],[c]]))</f>
        <v>19.227927396874531</v>
      </c>
      <c r="J440" s="2">
        <f ca="1">IF(Iterations[[#This Row],[Step]] =current_step, current_d,IF(Iterations[[#This Row],[Step]] &gt; current_step, "",Iterations[[#This Row],[d]]))</f>
        <v>1.0913724070840043</v>
      </c>
      <c r="K440" s="2">
        <f ca="1">IF(Iterations[[#This Row],[Step]] =current_step, current_e,IF(Iterations[[#This Row],[Step]] &gt; current_step, "",Iterations[[#This Row],[e]]))</f>
        <v>12.023982930715563</v>
      </c>
      <c r="L440" s="2">
        <f ca="1">IF(Iterations[[#This Row],[Step]] =current_step, current_Total_Loss,IF(Iterations[[#This Row],[Step]] &gt; current_step, "",Iterations[[#This Row],[Total Loss]]))</f>
        <v>95.34</v>
      </c>
      <c r="M440" s="6" t="s">
        <v>27</v>
      </c>
      <c r="N440" s="2">
        <f ca="1">IF(Iterations[[#This Row],[Step]] =current_step, current_Grad_a,IF(Iterations[[#This Row],[Step]] &gt; current_step, "",Iterations[[#This Row],[Grad_a]]))</f>
        <v>7.2903435646473502E-2</v>
      </c>
      <c r="O440" s="2">
        <f ca="1">IF(Iterations[[#This Row],[Step]] =current_step, current_Grad_b,IF(Iterations[[#This Row],[Step]] &gt; current_step, "",Iterations[[#This Row],[Grad_b]]))</f>
        <v>1.2531069372885888E-2</v>
      </c>
      <c r="P440" s="2">
        <f ca="1">IF(Iterations[[#This Row],[Step]] =current_step, current_Grad_c,IF(Iterations[[#This Row],[Step]] &gt; current_step, "",Iterations[[#This Row],[Grad_c]]))</f>
        <v>-0.20453879600003536</v>
      </c>
      <c r="Q440" s="2">
        <f ca="1">IF(Iterations[[#This Row],[Step]] =current_step, current_Grad_d,IF(Iterations[[#This Row],[Step]] &gt; current_step, "",Iterations[[#This Row],[Grad_d]]))</f>
        <v>-1.1290743599704729E-2</v>
      </c>
      <c r="R440" s="2">
        <f ca="1">IF(Iterations[[#This Row],[Step]] =current_step, current_Grad_e,IF(Iterations[[#This Row],[Step]] &gt; current_step, "",Iterations[[#This Row],[Grad_e]]))</f>
        <v>7.2949815271509844E-2</v>
      </c>
    </row>
    <row r="441" spans="6:18" x14ac:dyDescent="0.3">
      <c r="F441" s="2">
        <f t="shared" si="8"/>
        <v>424</v>
      </c>
      <c r="G441" s="2">
        <f ca="1">IF(Iterations[[#This Row],[Step]] =current_step, current_a,IF(Iterations[[#This Row],[Step]] &gt; current_step, "",Iterations[[#This Row],[a]]))</f>
        <v>-6.5615146703608964</v>
      </c>
      <c r="H441" s="2">
        <f ca="1">IF(Iterations[[#This Row],[Step]] =current_step, current_b,IF(Iterations[[#This Row],[Step]] &gt; current_step, "",Iterations[[#This Row],[b]]))</f>
        <v>0.47187482040076834</v>
      </c>
      <c r="I441" s="2">
        <f ca="1">IF(Iterations[[#This Row],[Step]] =current_step, current_c,IF(Iterations[[#This Row],[Step]] &gt; current_step, "",Iterations[[#This Row],[c]]))</f>
        <v>19.242245112594532</v>
      </c>
      <c r="J441" s="2">
        <f ca="1">IF(Iterations[[#This Row],[Step]] =current_step, current_d,IF(Iterations[[#This Row],[Step]] &gt; current_step, "",Iterations[[#This Row],[d]]))</f>
        <v>1.0921627591359837</v>
      </c>
      <c r="K441" s="2">
        <f ca="1">IF(Iterations[[#This Row],[Step]] =current_step, current_e,IF(Iterations[[#This Row],[Step]] &gt; current_step, "",Iterations[[#This Row],[e]]))</f>
        <v>12.018876443646558</v>
      </c>
      <c r="L441" s="2">
        <f ca="1">IF(Iterations[[#This Row],[Step]] =current_step, current_Total_Loss,IF(Iterations[[#This Row],[Step]] &gt; current_step, "",Iterations[[#This Row],[Total Loss]]))</f>
        <v>95.27</v>
      </c>
      <c r="M441" s="6" t="s">
        <v>27</v>
      </c>
      <c r="N441" s="2">
        <f ca="1">IF(Iterations[[#This Row],[Step]] =current_step, current_Grad_a,IF(Iterations[[#This Row],[Step]] &gt; current_step, "",Iterations[[#This Row],[Grad_a]]))</f>
        <v>7.2410119991746125E-2</v>
      </c>
      <c r="O441" s="2">
        <f ca="1">IF(Iterations[[#This Row],[Step]] =current_step, current_Grad_b,IF(Iterations[[#This Row],[Step]] &gt; current_step, "",Iterations[[#This Row],[Grad_b]]))</f>
        <v>1.2448308479796277E-2</v>
      </c>
      <c r="P441" s="2">
        <f ca="1">IF(Iterations[[#This Row],[Step]] =current_step, current_Grad_c,IF(Iterations[[#This Row],[Step]] &gt; current_step, "",Iterations[[#This Row],[Grad_c]]))</f>
        <v>-0.20315433946867861</v>
      </c>
      <c r="Q441" s="2">
        <f ca="1">IF(Iterations[[#This Row],[Step]] =current_step, current_Grad_d,IF(Iterations[[#This Row],[Step]] &gt; current_step, "",Iterations[[#This Row],[Grad_d]]))</f>
        <v>-1.1218653780967567E-2</v>
      </c>
      <c r="R441" s="2">
        <f ca="1">IF(Iterations[[#This Row],[Step]] =current_step, current_Grad_e,IF(Iterations[[#This Row],[Step]] &gt; current_step, "",Iterations[[#This Row],[Grad_e]]))</f>
        <v>7.2455980678226339E-2</v>
      </c>
    </row>
    <row r="442" spans="6:18" x14ac:dyDescent="0.3">
      <c r="F442" s="2">
        <f t="shared" si="8"/>
        <v>425</v>
      </c>
      <c r="G442" s="2">
        <f ca="1">IF(Iterations[[#This Row],[Step]] =current_step, current_a,IF(Iterations[[#This Row],[Step]] &gt; current_step, "",Iterations[[#This Row],[a]]))</f>
        <v>-6.5665833787603187</v>
      </c>
      <c r="H442" s="2">
        <f ca="1">IF(Iterations[[#This Row],[Step]] =current_step, current_b,IF(Iterations[[#This Row],[Step]] &gt; current_step, "",Iterations[[#This Row],[b]]))</f>
        <v>0.4710034388071826</v>
      </c>
      <c r="I442" s="2">
        <f ca="1">IF(Iterations[[#This Row],[Step]] =current_step, current_c,IF(Iterations[[#This Row],[Step]] &gt; current_step, "",Iterations[[#This Row],[c]]))</f>
        <v>19.256465916357339</v>
      </c>
      <c r="J442" s="2">
        <f ca="1">IF(Iterations[[#This Row],[Step]] =current_step, current_d,IF(Iterations[[#This Row],[Step]] &gt; current_step, "",Iterations[[#This Row],[d]]))</f>
        <v>1.0929480649006513</v>
      </c>
      <c r="K442" s="2">
        <f ca="1">IF(Iterations[[#This Row],[Step]] =current_step, current_e,IF(Iterations[[#This Row],[Step]] &gt; current_step, "",Iterations[[#This Row],[e]]))</f>
        <v>12.013804524999083</v>
      </c>
      <c r="L442" s="2">
        <f ca="1">IF(Iterations[[#This Row],[Step]] =current_step, current_Total_Loss,IF(Iterations[[#This Row],[Step]] &gt; current_step, "",Iterations[[#This Row],[Total Loss]]))</f>
        <v>95.21</v>
      </c>
      <c r="M442" s="6" t="s">
        <v>27</v>
      </c>
      <c r="N442" s="2">
        <f ca="1">IF(Iterations[[#This Row],[Step]] =current_step, current_Grad_a,IF(Iterations[[#This Row],[Step]] &gt; current_step, "",Iterations[[#This Row],[Grad_a]]))</f>
        <v>7.1920142129682105E-2</v>
      </c>
      <c r="O442" s="2">
        <f ca="1">IF(Iterations[[#This Row],[Step]] =current_step, current_Grad_b,IF(Iterations[[#This Row],[Step]] &gt; current_step, "",Iterations[[#This Row],[Grad_b]]))</f>
        <v>1.2366071316135072E-2</v>
      </c>
      <c r="P442" s="2">
        <f ca="1">IF(Iterations[[#This Row],[Step]] =current_step, current_Grad_c,IF(Iterations[[#This Row],[Step]] &gt; current_step, "",Iterations[[#This Row],[Grad_c]]))</f>
        <v>-0.20177925742228842</v>
      </c>
      <c r="Q442" s="2">
        <f ca="1">IF(Iterations[[#This Row],[Step]] =current_step, current_Grad_d,IF(Iterations[[#This Row],[Step]] &gt; current_step, "",Iterations[[#This Row],[Grad_d]]))</f>
        <v>-1.1146974889083104E-2</v>
      </c>
      <c r="R442" s="2">
        <f ca="1">IF(Iterations[[#This Row],[Step]] =current_step, current_Grad_e,IF(Iterations[[#This Row],[Step]] &gt; current_step, "",Iterations[[#This Row],[Grad_e]]))</f>
        <v>7.1965491044133162E-2</v>
      </c>
    </row>
    <row r="443" spans="6:18" x14ac:dyDescent="0.3">
      <c r="F443" s="2">
        <f t="shared" si="8"/>
        <v>426</v>
      </c>
      <c r="G443" s="2">
        <f ca="1">IF(Iterations[[#This Row],[Step]] =current_step, current_a,IF(Iterations[[#This Row],[Step]] &gt; current_step, "",Iterations[[#This Row],[a]]))</f>
        <v>-6.5716177887093963</v>
      </c>
      <c r="H443" s="2">
        <f ca="1">IF(Iterations[[#This Row],[Step]] =current_step, current_b,IF(Iterations[[#This Row],[Step]] &gt; current_step, "",Iterations[[#This Row],[b]]))</f>
        <v>0.47013781381505315</v>
      </c>
      <c r="I443" s="2">
        <f ca="1">IF(Iterations[[#This Row],[Step]] =current_step, current_c,IF(Iterations[[#This Row],[Step]] &gt; current_step, "",Iterations[[#This Row],[c]]))</f>
        <v>19.270590464376898</v>
      </c>
      <c r="J443" s="2">
        <f ca="1">IF(Iterations[[#This Row],[Step]] =current_step, current_d,IF(Iterations[[#This Row],[Step]] &gt; current_step, "",Iterations[[#This Row],[d]]))</f>
        <v>1.0937283531428872</v>
      </c>
      <c r="K443" s="2">
        <f ca="1">IF(Iterations[[#This Row],[Step]] =current_step, current_e,IF(Iterations[[#This Row],[Step]] &gt; current_step, "",Iterations[[#This Row],[e]]))</f>
        <v>12.008766940625993</v>
      </c>
      <c r="L443" s="2">
        <f ca="1">IF(Iterations[[#This Row],[Step]] =current_step, current_Total_Loss,IF(Iterations[[#This Row],[Step]] &gt; current_step, "",Iterations[[#This Row],[Total Loss]]))</f>
        <v>95.14</v>
      </c>
      <c r="M443" s="6" t="s">
        <v>27</v>
      </c>
      <c r="N443" s="2">
        <f ca="1">IF(Iterations[[#This Row],[Step]] =current_step, current_Grad_a,IF(Iterations[[#This Row],[Step]] &gt; current_step, "",Iterations[[#This Row],[Grad_a]]))</f>
        <v>7.1433479482513496E-2</v>
      </c>
      <c r="O443" s="2">
        <f ca="1">IF(Iterations[[#This Row],[Step]] =current_step, current_Grad_b,IF(Iterations[[#This Row],[Step]] &gt; current_step, "",Iterations[[#This Row],[Grad_b]]))</f>
        <v>1.2284354985060333E-2</v>
      </c>
      <c r="P443" s="2">
        <f ca="1">IF(Iterations[[#This Row],[Step]] =current_step, current_Grad_c,IF(Iterations[[#This Row],[Step]] &gt; current_step, "",Iterations[[#This Row],[Grad_c]]))</f>
        <v>-0.20041348632073455</v>
      </c>
      <c r="Q443" s="2">
        <f ca="1">IF(Iterations[[#This Row],[Step]] =current_step, current_Grad_d,IF(Iterations[[#This Row],[Step]] &gt; current_step, "",Iterations[[#This Row],[Grad_d]]))</f>
        <v>-1.1075705513930981E-2</v>
      </c>
      <c r="R443" s="2">
        <f ca="1">IF(Iterations[[#This Row],[Step]] =current_step, current_Grad_e,IF(Iterations[[#This Row],[Step]] &gt; current_step, "",Iterations[[#This Row],[Grad_e]]))</f>
        <v>7.1478323677788891E-2</v>
      </c>
    </row>
    <row r="444" spans="6:18" x14ac:dyDescent="0.3">
      <c r="F444" s="2">
        <f t="shared" si="8"/>
        <v>427</v>
      </c>
      <c r="G444" s="2">
        <f ca="1">IF(Iterations[[#This Row],[Step]] =current_step, current_a,IF(Iterations[[#This Row],[Step]] &gt; current_step, "",Iterations[[#This Row],[a]]))</f>
        <v>-6.5766181322731718</v>
      </c>
      <c r="H444" s="2">
        <f ca="1">IF(Iterations[[#This Row],[Step]] =current_step, current_b,IF(Iterations[[#This Row],[Step]] &gt; current_step, "",Iterations[[#This Row],[b]]))</f>
        <v>0.46927790896609894</v>
      </c>
      <c r="I444" s="2">
        <f ca="1">IF(Iterations[[#This Row],[Step]] =current_step, current_c,IF(Iterations[[#This Row],[Step]] &gt; current_step, "",Iterations[[#This Row],[c]]))</f>
        <v>19.284619408419349</v>
      </c>
      <c r="J444" s="2">
        <f ca="1">IF(Iterations[[#This Row],[Step]] =current_step, current_d,IF(Iterations[[#This Row],[Step]] &gt; current_step, "",Iterations[[#This Row],[d]]))</f>
        <v>1.0945036525288623</v>
      </c>
      <c r="K444" s="2">
        <f ca="1">IF(Iterations[[#This Row],[Step]] =current_step, current_e,IF(Iterations[[#This Row],[Step]] &gt; current_step, "",Iterations[[#This Row],[e]]))</f>
        <v>12.003763457968548</v>
      </c>
      <c r="L444" s="2">
        <f ca="1">IF(Iterations[[#This Row],[Step]] =current_step, current_Total_Loss,IF(Iterations[[#This Row],[Step]] &gt; current_step, "",Iterations[[#This Row],[Total Loss]]))</f>
        <v>95.08</v>
      </c>
      <c r="M444" s="6" t="s">
        <v>27</v>
      </c>
      <c r="N444" s="2">
        <f ca="1">IF(Iterations[[#This Row],[Step]] =current_step, current_Grad_a,IF(Iterations[[#This Row],[Step]] &gt; current_step, "",Iterations[[#This Row],[Grad_a]]))</f>
        <v>7.0950109625000729E-2</v>
      </c>
      <c r="O444" s="2">
        <f ca="1">IF(Iterations[[#This Row],[Step]] =current_step, current_Grad_b,IF(Iterations[[#This Row],[Step]] &gt; current_step, "",Iterations[[#This Row],[Grad_b]]))</f>
        <v>1.2203156597823672E-2</v>
      </c>
      <c r="P444" s="2">
        <f ca="1">IF(Iterations[[#This Row],[Step]] =current_step, current_Grad_c,IF(Iterations[[#This Row],[Step]] &gt; current_step, "",Iterations[[#This Row],[Grad_c]]))</f>
        <v>-0.19905696305572229</v>
      </c>
      <c r="Q444" s="2">
        <f ca="1">IF(Iterations[[#This Row],[Step]] =current_step, current_Grad_d,IF(Iterations[[#This Row],[Step]] &gt; current_step, "",Iterations[[#This Row],[Grad_d]]))</f>
        <v>-1.1004844230497419E-2</v>
      </c>
      <c r="R444" s="2">
        <f ca="1">IF(Iterations[[#This Row],[Step]] =current_step, current_Grad_e,IF(Iterations[[#This Row],[Step]] &gt; current_step, "",Iterations[[#This Row],[Grad_e]]))</f>
        <v>7.0994456042291015E-2</v>
      </c>
    </row>
    <row r="445" spans="6:18" x14ac:dyDescent="0.3">
      <c r="F445" s="2">
        <f t="shared" ref="F445:F508" si="9">F444+1</f>
        <v>428</v>
      </c>
      <c r="G445" s="2">
        <f ca="1">IF(Iterations[[#This Row],[Step]] =current_step, current_a,IF(Iterations[[#This Row],[Step]] &gt; current_step, "",Iterations[[#This Row],[a]]))</f>
        <v>-6.5815846399469216</v>
      </c>
      <c r="H445" s="2">
        <f ca="1">IF(Iterations[[#This Row],[Step]] =current_step, current_b,IF(Iterations[[#This Row],[Step]] &gt; current_step, "",Iterations[[#This Row],[b]]))</f>
        <v>0.46842368800425127</v>
      </c>
      <c r="I445" s="2">
        <f ca="1">IF(Iterations[[#This Row],[Step]] =current_step, current_c,IF(Iterations[[#This Row],[Step]] &gt; current_step, "",Iterations[[#This Row],[c]]))</f>
        <v>19.298553395833249</v>
      </c>
      <c r="J445" s="2">
        <f ca="1">IF(Iterations[[#This Row],[Step]] =current_step, current_d,IF(Iterations[[#This Row],[Step]] &gt; current_step, "",Iterations[[#This Row],[d]]))</f>
        <v>1.0952739916249972</v>
      </c>
      <c r="K445" s="2">
        <f ca="1">IF(Iterations[[#This Row],[Step]] =current_step, current_e,IF(Iterations[[#This Row],[Step]] &gt; current_step, "",Iterations[[#This Row],[e]]))</f>
        <v>11.998793846045587</v>
      </c>
      <c r="L445" s="2">
        <f ca="1">IF(Iterations[[#This Row],[Step]] =current_step, current_Total_Loss,IF(Iterations[[#This Row],[Step]] &gt; current_step, "",Iterations[[#This Row],[Total Loss]]))</f>
        <v>95.02</v>
      </c>
      <c r="M445" s="6" t="s">
        <v>27</v>
      </c>
      <c r="N445" s="2">
        <f ca="1">IF(Iterations[[#This Row],[Step]] =current_step, current_Grad_a,IF(Iterations[[#This Row],[Step]] &gt; current_step, "",Iterations[[#This Row],[Grad_a]]))</f>
        <v>7.0470010283574275E-2</v>
      </c>
      <c r="O445" s="2">
        <f ca="1">IF(Iterations[[#This Row],[Step]] =current_step, current_Grad_b,IF(Iterations[[#This Row],[Step]] &gt; current_step, "",Iterations[[#This Row],[Grad_b]]))</f>
        <v>1.2122473273858243E-2</v>
      </c>
      <c r="P445" s="2">
        <f ca="1">IF(Iterations[[#This Row],[Step]] =current_step, current_Grad_c,IF(Iterations[[#This Row],[Step]] &gt; current_step, "",Iterations[[#This Row],[Grad_c]]))</f>
        <v>-0.19770962494777339</v>
      </c>
      <c r="Q445" s="2">
        <f ca="1">IF(Iterations[[#This Row],[Step]] =current_step, current_Grad_d,IF(Iterations[[#This Row],[Step]] &gt; current_step, "",Iterations[[#This Row],[Grad_d]]))</f>
        <v>-1.0934389599432881E-2</v>
      </c>
      <c r="R445" s="2">
        <f ca="1">IF(Iterations[[#This Row],[Step]] =current_step, current_Grad_e,IF(Iterations[[#This Row],[Step]] &gt; current_step, "",Iterations[[#This Row],[Grad_e]]))</f>
        <v>7.0513865754229049E-2</v>
      </c>
    </row>
    <row r="446" spans="6:18" x14ac:dyDescent="0.3">
      <c r="F446" s="2">
        <f t="shared" si="9"/>
        <v>429</v>
      </c>
      <c r="G446" s="2">
        <f ca="1">IF(Iterations[[#This Row],[Step]] =current_step, current_a,IF(Iterations[[#This Row],[Step]] &gt; current_step, "",Iterations[[#This Row],[a]]))</f>
        <v>-6.5865175406667715</v>
      </c>
      <c r="H446" s="2">
        <f ca="1">IF(Iterations[[#This Row],[Step]] =current_step, current_b,IF(Iterations[[#This Row],[Step]] &gt; current_step, "",Iterations[[#This Row],[b]]))</f>
        <v>0.46757511487508119</v>
      </c>
      <c r="I446" s="2">
        <f ca="1">IF(Iterations[[#This Row],[Step]] =current_step, current_c,IF(Iterations[[#This Row],[Step]] &gt; current_step, "",Iterations[[#This Row],[c]]))</f>
        <v>19.312393069579592</v>
      </c>
      <c r="J446" s="2">
        <f ca="1">IF(Iterations[[#This Row],[Step]] =current_step, current_d,IF(Iterations[[#This Row],[Step]] &gt; current_step, "",Iterations[[#This Row],[d]]))</f>
        <v>1.0960393988969575</v>
      </c>
      <c r="K446" s="2">
        <f ca="1">IF(Iterations[[#This Row],[Step]] =current_step, current_e,IF(Iterations[[#This Row],[Step]] &gt; current_step, "",Iterations[[#This Row],[e]]))</f>
        <v>11.99385787544279</v>
      </c>
      <c r="L446" s="2">
        <f ca="1">IF(Iterations[[#This Row],[Step]] =current_step, current_Total_Loss,IF(Iterations[[#This Row],[Step]] &gt; current_step, "",Iterations[[#This Row],[Total Loss]]))</f>
        <v>94.95</v>
      </c>
      <c r="M446" s="6" t="s">
        <v>27</v>
      </c>
      <c r="N446" s="2">
        <f ca="1">IF(Iterations[[#This Row],[Step]] =current_step, current_Grad_a,IF(Iterations[[#This Row],[Step]] &gt; current_step, "",Iterations[[#This Row],[Grad_a]]))</f>
        <v>6.9993159335132143E-2</v>
      </c>
      <c r="O446" s="2">
        <f ca="1">IF(Iterations[[#This Row],[Step]] =current_step, current_Grad_b,IF(Iterations[[#This Row],[Step]] &gt; current_step, "",Iterations[[#This Row],[Grad_b]]))</f>
        <v>1.2042302140991508E-2</v>
      </c>
      <c r="P446" s="2">
        <f ca="1">IF(Iterations[[#This Row],[Step]] =current_step, current_Grad_c,IF(Iterations[[#This Row],[Step]] &gt; current_step, "",Iterations[[#This Row],[Grad_c]]))</f>
        <v>-0.19637140974335854</v>
      </c>
      <c r="Q446" s="2">
        <f ca="1">IF(Iterations[[#This Row],[Step]] =current_step, current_Grad_d,IF(Iterations[[#This Row],[Step]] &gt; current_step, "",Iterations[[#This Row],[Grad_d]]))</f>
        <v>-1.0864340167555078E-2</v>
      </c>
      <c r="R446" s="2">
        <f ca="1">IF(Iterations[[#This Row],[Step]] =current_step, current_Grad_e,IF(Iterations[[#This Row],[Step]] &gt; current_step, "",Iterations[[#This Row],[Grad_e]]))</f>
        <v>7.0036530582610029E-2</v>
      </c>
    </row>
    <row r="447" spans="6:18" x14ac:dyDescent="0.3">
      <c r="F447" s="2">
        <f t="shared" si="9"/>
        <v>430</v>
      </c>
      <c r="G447" s="2">
        <f ca="1">IF(Iterations[[#This Row],[Step]] =current_step, current_a,IF(Iterations[[#This Row],[Step]] &gt; current_step, "",Iterations[[#This Row],[a]]))</f>
        <v>-6.5914170618202306</v>
      </c>
      <c r="H447" s="2">
        <f ca="1">IF(Iterations[[#This Row],[Step]] =current_step, current_b,IF(Iterations[[#This Row],[Step]] &gt; current_step, "",Iterations[[#This Row],[b]]))</f>
        <v>0.46673215372521176</v>
      </c>
      <c r="I447" s="2">
        <f ca="1">IF(Iterations[[#This Row],[Step]] =current_step, current_c,IF(Iterations[[#This Row],[Step]] &gt; current_step, "",Iterations[[#This Row],[c]]))</f>
        <v>19.326139068261629</v>
      </c>
      <c r="J447" s="2">
        <f ca="1">IF(Iterations[[#This Row],[Step]] =current_step, current_d,IF(Iterations[[#This Row],[Step]] &gt; current_step, "",Iterations[[#This Row],[d]]))</f>
        <v>1.0967999027086863</v>
      </c>
      <c r="K447" s="2">
        <f ca="1">IF(Iterations[[#This Row],[Step]] =current_step, current_e,IF(Iterations[[#This Row],[Step]] &gt; current_step, "",Iterations[[#This Row],[e]]))</f>
        <v>11.988955318302008</v>
      </c>
      <c r="L447" s="2">
        <f ca="1">IF(Iterations[[#This Row],[Step]] =current_step, current_Total_Loss,IF(Iterations[[#This Row],[Step]] &gt; current_step, "",Iterations[[#This Row],[Total Loss]]))</f>
        <v>94.89</v>
      </c>
      <c r="M447" s="6" t="s">
        <v>27</v>
      </c>
      <c r="N447" s="2">
        <f ca="1">IF(Iterations[[#This Row],[Step]] =current_step, current_Grad_a,IF(Iterations[[#This Row],[Step]] &gt; current_step, "",Iterations[[#This Row],[Grad_a]]))</f>
        <v>6.951953480626627E-2</v>
      </c>
      <c r="O447" s="2">
        <f ca="1">IF(Iterations[[#This Row],[Step]] =current_step, current_Grad_b,IF(Iterations[[#This Row],[Step]] &gt; current_step, "",Iterations[[#This Row],[Grad_b]]))</f>
        <v>1.1962640335558827E-2</v>
      </c>
      <c r="P447" s="2">
        <f ca="1">IF(Iterations[[#This Row],[Step]] =current_step, current_Grad_c,IF(Iterations[[#This Row],[Step]] &gt; current_step, "",Iterations[[#This Row],[Grad_c]]))</f>
        <v>-0.19504225561188876</v>
      </c>
      <c r="Q447" s="2">
        <f ca="1">IF(Iterations[[#This Row],[Step]] =current_step, current_Grad_d,IF(Iterations[[#This Row],[Step]] &gt; current_step, "",Iterations[[#This Row],[Grad_d]]))</f>
        <v>-1.0794694468369694E-2</v>
      </c>
      <c r="R447" s="2">
        <f ca="1">IF(Iterations[[#This Row],[Step]] =current_step, current_Grad_e,IF(Iterations[[#This Row],[Step]] &gt; current_step, "",Iterations[[#This Row],[Grad_e]]))</f>
        <v>6.9562428447846936E-2</v>
      </c>
    </row>
    <row r="448" spans="6:18" x14ac:dyDescent="0.3">
      <c r="F448" s="2">
        <f t="shared" si="9"/>
        <v>431</v>
      </c>
      <c r="G448" s="2">
        <f ca="1">IF(Iterations[[#This Row],[Step]] =current_step, current_a,IF(Iterations[[#This Row],[Step]] &gt; current_step, "",Iterations[[#This Row],[a]]))</f>
        <v>-6.596283429256669</v>
      </c>
      <c r="H448" s="2">
        <f ca="1">IF(Iterations[[#This Row],[Step]] =current_step, current_b,IF(Iterations[[#This Row],[Step]] &gt; current_step, "",Iterations[[#This Row],[b]]))</f>
        <v>0.46589476890172266</v>
      </c>
      <c r="I448" s="2">
        <f ca="1">IF(Iterations[[#This Row],[Step]] =current_step, current_c,IF(Iterations[[#This Row],[Step]] &gt; current_step, "",Iterations[[#This Row],[c]]))</f>
        <v>19.339792026154463</v>
      </c>
      <c r="J448" s="2">
        <f ca="1">IF(Iterations[[#This Row],[Step]] =current_step, current_d,IF(Iterations[[#This Row],[Step]] &gt; current_step, "",Iterations[[#This Row],[d]]))</f>
        <v>1.0975555313214722</v>
      </c>
      <c r="K448" s="2">
        <f ca="1">IF(Iterations[[#This Row],[Step]] =current_step, current_e,IF(Iterations[[#This Row],[Step]] &gt; current_step, "",Iterations[[#This Row],[e]]))</f>
        <v>11.984085948310659</v>
      </c>
      <c r="L448" s="2">
        <f ca="1">IF(Iterations[[#This Row],[Step]] =current_step, current_Total_Loss,IF(Iterations[[#This Row],[Step]] &gt; current_step, "",Iterations[[#This Row],[Total Loss]]))</f>
        <v>94.83</v>
      </c>
      <c r="M448" s="6" t="s">
        <v>27</v>
      </c>
      <c r="N448" s="2">
        <f ca="1">IF(Iterations[[#This Row],[Step]] =current_step, current_Grad_a,IF(Iterations[[#This Row],[Step]] &gt; current_step, "",Iterations[[#This Row],[Grad_a]]))</f>
        <v>6.904911487191738E-2</v>
      </c>
      <c r="O448" s="2">
        <f ca="1">IF(Iterations[[#This Row],[Step]] =current_step, current_Grad_b,IF(Iterations[[#This Row],[Step]] &gt; current_step, "",Iterations[[#This Row],[Grad_b]]))</f>
        <v>1.1883485002519357E-2</v>
      </c>
      <c r="P448" s="2">
        <f ca="1">IF(Iterations[[#This Row],[Step]] =current_step, current_Grad_c,IF(Iterations[[#This Row],[Step]] &gt; current_step, "",Iterations[[#This Row],[Grad_c]]))</f>
        <v>-0.19372210114296262</v>
      </c>
      <c r="Q448" s="2">
        <f ca="1">IF(Iterations[[#This Row],[Step]] =current_step, current_Grad_d,IF(Iterations[[#This Row],[Step]] &gt; current_step, "",Iterations[[#This Row],[Grad_d]]))</f>
        <v>-1.0725451022585228E-2</v>
      </c>
      <c r="R448" s="2">
        <f ca="1">IF(Iterations[[#This Row],[Step]] =current_step, current_Grad_e,IF(Iterations[[#This Row],[Step]] &gt; current_step, "",Iterations[[#This Row],[Grad_e]]))</f>
        <v>6.9091537420652605E-2</v>
      </c>
    </row>
    <row r="449" spans="6:18" x14ac:dyDescent="0.3">
      <c r="F449" s="2">
        <f t="shared" si="9"/>
        <v>432</v>
      </c>
      <c r="G449" s="2">
        <f ca="1">IF(Iterations[[#This Row],[Step]] =current_step, current_a,IF(Iterations[[#This Row],[Step]] &gt; current_step, "",Iterations[[#This Row],[a]]))</f>
        <v>-6.6011168672977032</v>
      </c>
      <c r="H449" s="2">
        <f ca="1">IF(Iterations[[#This Row],[Step]] =current_step, current_b,IF(Iterations[[#This Row],[Step]] &gt; current_step, "",Iterations[[#This Row],[b]]))</f>
        <v>0.46506292495154627</v>
      </c>
      <c r="I449" s="2">
        <f ca="1">IF(Iterations[[#This Row],[Step]] =current_step, current_c,IF(Iterations[[#This Row],[Step]] &gt; current_step, "",Iterations[[#This Row],[c]]))</f>
        <v>19.353352573234471</v>
      </c>
      <c r="J449" s="2">
        <f ca="1">IF(Iterations[[#This Row],[Step]] =current_step, current_d,IF(Iterations[[#This Row],[Step]] &gt; current_step, "",Iterations[[#This Row],[d]]))</f>
        <v>1.0983063128930532</v>
      </c>
      <c r="K449" s="2">
        <f ca="1">IF(Iterations[[#This Row],[Step]] =current_step, current_e,IF(Iterations[[#This Row],[Step]] &gt; current_step, "",Iterations[[#This Row],[e]]))</f>
        <v>11.979249540691214</v>
      </c>
      <c r="L449" s="2">
        <f ca="1">IF(Iterations[[#This Row],[Step]] =current_step, current_Total_Loss,IF(Iterations[[#This Row],[Step]] &gt; current_step, "",Iterations[[#This Row],[Total Loss]]))</f>
        <v>94.77</v>
      </c>
      <c r="M449" s="6" t="s">
        <v>27</v>
      </c>
      <c r="N449" s="2">
        <f ca="1">IF(Iterations[[#This Row],[Step]] =current_step, current_Grad_a,IF(Iterations[[#This Row],[Step]] &gt; current_step, "",Iterations[[#This Row],[Grad_a]]))</f>
        <v>6.8581877854750894E-2</v>
      </c>
      <c r="O449" s="2">
        <f ca="1">IF(Iterations[[#This Row],[Step]] =current_step, current_Grad_b,IF(Iterations[[#This Row],[Step]] &gt; current_step, "",Iterations[[#This Row],[Grad_b]]))</f>
        <v>1.1804833295599238E-2</v>
      </c>
      <c r="P449" s="2">
        <f ca="1">IF(Iterations[[#This Row],[Step]] =current_step, current_Grad_c,IF(Iterations[[#This Row],[Step]] &gt; current_step, "",Iterations[[#This Row],[Grad_c]]))</f>
        <v>-0.19241088534333245</v>
      </c>
      <c r="Q449" s="2">
        <f ca="1">IF(Iterations[[#This Row],[Step]] =current_step, current_Grad_d,IF(Iterations[[#This Row],[Step]] &gt; current_step, "",Iterations[[#This Row],[Grad_d]]))</f>
        <v>-1.0656608338595034E-2</v>
      </c>
      <c r="R449" s="2">
        <f ca="1">IF(Iterations[[#This Row],[Step]] =current_step, current_Grad_e,IF(Iterations[[#This Row],[Step]] &gt; current_step, "",Iterations[[#This Row],[Grad_e]]))</f>
        <v>6.862383572108538E-2</v>
      </c>
    </row>
    <row r="450" spans="6:18" x14ac:dyDescent="0.3">
      <c r="F450" s="2">
        <f t="shared" si="9"/>
        <v>433</v>
      </c>
      <c r="G450" s="2">
        <f ca="1">IF(Iterations[[#This Row],[Step]] =current_step, current_a,IF(Iterations[[#This Row],[Step]] &gt; current_step, "",Iterations[[#This Row],[a]]))</f>
        <v>-6.6059175987475358</v>
      </c>
      <c r="H450" s="2">
        <f ca="1">IF(Iterations[[#This Row],[Step]] =current_step, current_b,IF(Iterations[[#This Row],[Step]] &gt; current_step, "",Iterations[[#This Row],[b]]))</f>
        <v>0.46423658662085432</v>
      </c>
      <c r="I450" s="2">
        <f ca="1">IF(Iterations[[#This Row],[Step]] =current_step, current_c,IF(Iterations[[#This Row],[Step]] &gt; current_step, "",Iterations[[#This Row],[c]]))</f>
        <v>19.366821335208503</v>
      </c>
      <c r="J450" s="2">
        <f ca="1">IF(Iterations[[#This Row],[Step]] =current_step, current_d,IF(Iterations[[#This Row],[Step]] &gt; current_step, "",Iterations[[#This Row],[d]]))</f>
        <v>1.0990522754767549</v>
      </c>
      <c r="K450" s="2">
        <f ca="1">IF(Iterations[[#This Row],[Step]] =current_step, current_e,IF(Iterations[[#This Row],[Step]] &gt; current_step, "",Iterations[[#This Row],[e]]))</f>
        <v>11.974445872190739</v>
      </c>
      <c r="L450" s="2">
        <f ca="1">IF(Iterations[[#This Row],[Step]] =current_step, current_Total_Loss,IF(Iterations[[#This Row],[Step]] &gt; current_step, "",Iterations[[#This Row],[Total Loss]]))</f>
        <v>94.71</v>
      </c>
      <c r="M450" s="6" t="s">
        <v>27</v>
      </c>
      <c r="N450" s="2">
        <f ca="1">IF(Iterations[[#This Row],[Step]] =current_step, current_Grad_a,IF(Iterations[[#This Row],[Step]] &gt; current_step, "",Iterations[[#This Row],[Grad_a]]))</f>
        <v>6.8117802223855425E-2</v>
      </c>
      <c r="O450" s="2">
        <f ca="1">IF(Iterations[[#This Row],[Step]] =current_step, current_Grad_b,IF(Iterations[[#This Row],[Step]] &gt; current_step, "",Iterations[[#This Row],[Grad_b]]))</f>
        <v>1.1726682377486371E-2</v>
      </c>
      <c r="P450" s="2">
        <f ca="1">IF(Iterations[[#This Row],[Step]] =current_step, current_Grad_c,IF(Iterations[[#This Row],[Step]] &gt; current_step, "",Iterations[[#This Row],[Grad_c]]))</f>
        <v>-0.19110854763417789</v>
      </c>
      <c r="Q450" s="2">
        <f ca="1">IF(Iterations[[#This Row],[Step]] =current_step, current_Grad_d,IF(Iterations[[#This Row],[Step]] &gt; current_step, "",Iterations[[#This Row],[Grad_d]]))</f>
        <v>-1.0588164912936971E-2</v>
      </c>
      <c r="R450" s="2">
        <f ca="1">IF(Iterations[[#This Row],[Step]] =current_step, current_Grad_e,IF(Iterations[[#This Row],[Step]] &gt; current_step, "",Iterations[[#This Row],[Grad_e]]))</f>
        <v>6.8159301717456683E-2</v>
      </c>
    </row>
    <row r="451" spans="6:18" x14ac:dyDescent="0.3">
      <c r="F451" s="2">
        <f t="shared" si="9"/>
        <v>434</v>
      </c>
      <c r="G451" s="2">
        <f ca="1">IF(Iterations[[#This Row],[Step]] =current_step, current_a,IF(Iterations[[#This Row],[Step]] &gt; current_step, "",Iterations[[#This Row],[a]]))</f>
        <v>-6.6106858449032053</v>
      </c>
      <c r="H451" s="2">
        <f ca="1">IF(Iterations[[#This Row],[Step]] =current_step, current_b,IF(Iterations[[#This Row],[Step]] &gt; current_step, "",Iterations[[#This Row],[b]]))</f>
        <v>0.46341571885443028</v>
      </c>
      <c r="I451" s="2">
        <f ca="1">IF(Iterations[[#This Row],[Step]] =current_step, current_c,IF(Iterations[[#This Row],[Step]] &gt; current_step, "",Iterations[[#This Row],[c]]))</f>
        <v>19.380198933542896</v>
      </c>
      <c r="J451" s="2">
        <f ca="1">IF(Iterations[[#This Row],[Step]] =current_step, current_d,IF(Iterations[[#This Row],[Step]] &gt; current_step, "",Iterations[[#This Row],[d]]))</f>
        <v>1.0997934470206605</v>
      </c>
      <c r="K451" s="2">
        <f ca="1">IF(Iterations[[#This Row],[Step]] =current_step, current_e,IF(Iterations[[#This Row],[Step]] &gt; current_step, "",Iterations[[#This Row],[e]]))</f>
        <v>11.969674721070517</v>
      </c>
      <c r="L451" s="2">
        <f ca="1">IF(Iterations[[#This Row],[Step]] =current_step, current_Total_Loss,IF(Iterations[[#This Row],[Step]] &gt; current_step, "",Iterations[[#This Row],[Total Loss]]))</f>
        <v>94.66</v>
      </c>
      <c r="M451" s="6" t="s">
        <v>27</v>
      </c>
      <c r="N451" s="2">
        <f ca="1">IF(Iterations[[#This Row],[Step]] =current_step, current_Grad_a,IF(Iterations[[#This Row],[Step]] &gt; current_step, "",Iterations[[#This Row],[Grad_a]]))</f>
        <v>6.7656866593980236E-2</v>
      </c>
      <c r="O451" s="2">
        <f ca="1">IF(Iterations[[#This Row],[Step]] =current_step, current_Grad_b,IF(Iterations[[#This Row],[Step]] &gt; current_step, "",Iterations[[#This Row],[Grad_b]]))</f>
        <v>1.1649029419825966E-2</v>
      </c>
      <c r="P451" s="2">
        <f ca="1">IF(Iterations[[#This Row],[Step]] =current_step, current_Grad_c,IF(Iterations[[#This Row],[Step]] &gt; current_step, "",Iterations[[#This Row],[Grad_c]]))</f>
        <v>-0.18981502784818149</v>
      </c>
      <c r="Q451" s="2">
        <f ca="1">IF(Iterations[[#This Row],[Step]] =current_step, current_Grad_d,IF(Iterations[[#This Row],[Step]] &gt; current_step, "",Iterations[[#This Row],[Grad_d]]))</f>
        <v>-1.0520119230814307E-2</v>
      </c>
      <c r="R451" s="2">
        <f ca="1">IF(Iterations[[#This Row],[Step]] =current_step, current_Grad_e,IF(Iterations[[#This Row],[Step]] &gt; current_step, "",Iterations[[#This Row],[Grad_e]]))</f>
        <v>6.7697913925362244E-2</v>
      </c>
    </row>
    <row r="452" spans="6:18" x14ac:dyDescent="0.3">
      <c r="F452" s="2">
        <f t="shared" si="9"/>
        <v>435</v>
      </c>
      <c r="G452" s="2">
        <f ca="1">IF(Iterations[[#This Row],[Step]] =current_step, current_a,IF(Iterations[[#This Row],[Step]] &gt; current_step, "",Iterations[[#This Row],[a]]))</f>
        <v>-6.6154218255647841</v>
      </c>
      <c r="H452" s="2">
        <f ca="1">IF(Iterations[[#This Row],[Step]] =current_step, current_b,IF(Iterations[[#This Row],[Step]] &gt; current_step, "",Iterations[[#This Row],[b]]))</f>
        <v>0.46260028679504245</v>
      </c>
      <c r="I452" s="2">
        <f ca="1">IF(Iterations[[#This Row],[Step]] =current_step, current_c,IF(Iterations[[#This Row],[Step]] &gt; current_step, "",Iterations[[#This Row],[c]]))</f>
        <v>19.393485985492269</v>
      </c>
      <c r="J452" s="2">
        <f ca="1">IF(Iterations[[#This Row],[Step]] =current_step, current_d,IF(Iterations[[#This Row],[Step]] &gt; current_step, "",Iterations[[#This Row],[d]]))</f>
        <v>1.1005298553668175</v>
      </c>
      <c r="K452" s="2">
        <f ca="1">IF(Iterations[[#This Row],[Step]] =current_step, current_e,IF(Iterations[[#This Row],[Step]] &gt; current_step, "",Iterations[[#This Row],[e]]))</f>
        <v>11.964935867095742</v>
      </c>
      <c r="L452" s="2">
        <f ca="1">IF(Iterations[[#This Row],[Step]] =current_step, current_Total_Loss,IF(Iterations[[#This Row],[Step]] &gt; current_step, "",Iterations[[#This Row],[Total Loss]]))</f>
        <v>94.6</v>
      </c>
      <c r="M452" s="6" t="s">
        <v>27</v>
      </c>
      <c r="N452" s="2">
        <f ca="1">IF(Iterations[[#This Row],[Step]] =current_step, current_Grad_a,IF(Iterations[[#This Row],[Step]] &gt; current_step, "",Iterations[[#This Row],[Grad_a]]))</f>
        <v>6.719904972425951E-2</v>
      </c>
      <c r="O452" s="2">
        <f ca="1">IF(Iterations[[#This Row],[Step]] =current_step, current_Grad_b,IF(Iterations[[#This Row],[Step]] &gt; current_step, "",Iterations[[#This Row],[Grad_b]]))</f>
        <v>1.1571871603490417E-2</v>
      </c>
      <c r="P452" s="2">
        <f ca="1">IF(Iterations[[#This Row],[Step]] =current_step, current_Grad_c,IF(Iterations[[#This Row],[Step]] &gt; current_step, "",Iterations[[#This Row],[Grad_c]]))</f>
        <v>-0.18853026622683702</v>
      </c>
      <c r="Q452" s="2">
        <f ca="1">IF(Iterations[[#This Row],[Step]] =current_step, current_Grad_d,IF(Iterations[[#This Row],[Step]] &gt; current_step, "",Iterations[[#This Row],[Grad_d]]))</f>
        <v>-1.0452469766496254E-2</v>
      </c>
      <c r="R452" s="2">
        <f ca="1">IF(Iterations[[#This Row],[Step]] =current_step, current_Grad_e,IF(Iterations[[#This Row],[Step]] &gt; current_step, "",Iterations[[#This Row],[Grad_e]]))</f>
        <v>6.7239651006604506E-2</v>
      </c>
    </row>
    <row r="453" spans="6:18" x14ac:dyDescent="0.3">
      <c r="F453" s="2">
        <f t="shared" si="9"/>
        <v>436</v>
      </c>
      <c r="G453" s="2">
        <f ca="1">IF(Iterations[[#This Row],[Step]] =current_step, current_a,IF(Iterations[[#This Row],[Step]] &gt; current_step, "",Iterations[[#This Row],[a]]))</f>
        <v>-6.6201257590454823</v>
      </c>
      <c r="H453" s="2">
        <f ca="1">IF(Iterations[[#This Row],[Step]] =current_step, current_b,IF(Iterations[[#This Row],[Step]] &gt; current_step, "",Iterations[[#This Row],[b]]))</f>
        <v>0.46179025578279814</v>
      </c>
      <c r="I453" s="2">
        <f ca="1">IF(Iterations[[#This Row],[Step]] =current_step, current_c,IF(Iterations[[#This Row],[Step]] &gt; current_step, "",Iterations[[#This Row],[c]]))</f>
        <v>19.406683104128149</v>
      </c>
      <c r="J453" s="2">
        <f ca="1">IF(Iterations[[#This Row],[Step]] =current_step, current_d,IF(Iterations[[#This Row],[Step]] &gt; current_step, "",Iterations[[#This Row],[d]]))</f>
        <v>1.1012615282504723</v>
      </c>
      <c r="K453" s="2">
        <f ca="1">IF(Iterations[[#This Row],[Step]] =current_step, current_e,IF(Iterations[[#This Row],[Step]] &gt; current_step, "",Iterations[[#This Row],[e]]))</f>
        <v>11.96022909152528</v>
      </c>
      <c r="L453" s="2">
        <f ca="1">IF(Iterations[[#This Row],[Step]] =current_step, current_Total_Loss,IF(Iterations[[#This Row],[Step]] &gt; current_step, "",Iterations[[#This Row],[Total Loss]]))</f>
        <v>94.54</v>
      </c>
      <c r="M453" s="6" t="s">
        <v>27</v>
      </c>
      <c r="N453" s="2">
        <f ca="1">IF(Iterations[[#This Row],[Step]] =current_step, current_Grad_a,IF(Iterations[[#This Row],[Step]] &gt; current_step, "",Iterations[[#This Row],[Grad_a]]))</f>
        <v>6.6744330517721939E-2</v>
      </c>
      <c r="O453" s="2">
        <f ca="1">IF(Iterations[[#This Row],[Step]] =current_step, current_Grad_b,IF(Iterations[[#This Row],[Step]] &gt; current_step, "",Iterations[[#This Row],[Grad_b]]))</f>
        <v>1.1495206118541478E-2</v>
      </c>
      <c r="P453" s="2">
        <f ca="1">IF(Iterations[[#This Row],[Step]] =current_step, current_Grad_c,IF(Iterations[[#This Row],[Step]] &gt; current_step, "",Iterations[[#This Row],[Grad_c]]))</f>
        <v>-0.18725420341745014</v>
      </c>
      <c r="Q453" s="2">
        <f ca="1">IF(Iterations[[#This Row],[Step]] =current_step, current_Grad_d,IF(Iterations[[#This Row],[Step]] &gt; current_step, "",Iterations[[#This Row],[Grad_d]]))</f>
        <v>-1.0385214983828479E-2</v>
      </c>
      <c r="R453" s="2">
        <f ca="1">IF(Iterations[[#This Row],[Step]] =current_step, current_Grad_e,IF(Iterations[[#This Row],[Step]] &gt; current_step, "",Iterations[[#This Row],[Grad_e]]))</f>
        <v>6.6784491768293222E-2</v>
      </c>
    </row>
    <row r="454" spans="6:18" x14ac:dyDescent="0.3">
      <c r="F454" s="2">
        <f t="shared" si="9"/>
        <v>437</v>
      </c>
      <c r="G454" s="2">
        <f ca="1">IF(Iterations[[#This Row],[Step]] =current_step, current_a,IF(Iterations[[#This Row],[Step]] &gt; current_step, "",Iterations[[#This Row],[a]]))</f>
        <v>-6.6247978621817225</v>
      </c>
      <c r="H454" s="2">
        <f ca="1">IF(Iterations[[#This Row],[Step]] =current_step, current_b,IF(Iterations[[#This Row],[Step]] &gt; current_step, "",Iterations[[#This Row],[b]]))</f>
        <v>0.46098559135450023</v>
      </c>
      <c r="I454" s="2">
        <f ca="1">IF(Iterations[[#This Row],[Step]] =current_step, current_c,IF(Iterations[[#This Row],[Step]] &gt; current_step, "",Iterations[[#This Row],[c]]))</f>
        <v>19.419790898367371</v>
      </c>
      <c r="J454" s="2">
        <f ca="1">IF(Iterations[[#This Row],[Step]] =current_step, current_d,IF(Iterations[[#This Row],[Step]] &gt; current_step, "",Iterations[[#This Row],[d]]))</f>
        <v>1.1019884932993402</v>
      </c>
      <c r="K454" s="2">
        <f ca="1">IF(Iterations[[#This Row],[Step]] =current_step, current_e,IF(Iterations[[#This Row],[Step]] &gt; current_step, "",Iterations[[#This Row],[e]]))</f>
        <v>11.955554177101499</v>
      </c>
      <c r="L454" s="2">
        <f ca="1">IF(Iterations[[#This Row],[Step]] =current_step, current_Total_Loss,IF(Iterations[[#This Row],[Step]] &gt; current_step, "",Iterations[[#This Row],[Total Loss]]))</f>
        <v>94.49</v>
      </c>
      <c r="M454" s="6" t="s">
        <v>27</v>
      </c>
      <c r="N454" s="2">
        <f ca="1">IF(Iterations[[#This Row],[Step]] =current_step, current_Grad_a,IF(Iterations[[#This Row],[Step]] &gt; current_step, "",Iterations[[#This Row],[Grad_a]]))</f>
        <v>6.62926880196434E-2</v>
      </c>
      <c r="O454" s="2">
        <f ca="1">IF(Iterations[[#This Row],[Step]] =current_step, current_Grad_b,IF(Iterations[[#This Row],[Step]] &gt; current_step, "",Iterations[[#This Row],[Grad_b]]))</f>
        <v>1.1419030164460097E-2</v>
      </c>
      <c r="P454" s="2">
        <f ca="1">IF(Iterations[[#This Row],[Step]] =current_step, current_Grad_c,IF(Iterations[[#This Row],[Step]] &gt; current_step, "",Iterations[[#This Row],[Grad_c]]))</f>
        <v>-0.18598678047065265</v>
      </c>
      <c r="Q454" s="2">
        <f ca="1">IF(Iterations[[#This Row],[Step]] =current_step, current_Grad_d,IF(Iterations[[#This Row],[Step]] &gt; current_step, "",Iterations[[#This Row],[Grad_d]]))</f>
        <v>-1.0318353336634556E-2</v>
      </c>
      <c r="R454" s="2">
        <f ca="1">IF(Iterations[[#This Row],[Step]] =current_step, current_Grad_e,IF(Iterations[[#This Row],[Step]] &gt; current_step, "",Iterations[[#This Row],[Grad_e]]))</f>
        <v>6.6332415161700728E-2</v>
      </c>
    </row>
    <row r="455" spans="6:18" x14ac:dyDescent="0.3">
      <c r="F455" s="2">
        <f t="shared" si="9"/>
        <v>438</v>
      </c>
      <c r="G455" s="2">
        <f ca="1">IF(Iterations[[#This Row],[Step]] =current_step, current_a,IF(Iterations[[#This Row],[Step]] &gt; current_step, "",Iterations[[#This Row],[a]]))</f>
        <v>-6.6294383503430971</v>
      </c>
      <c r="H455" s="2">
        <f ca="1">IF(Iterations[[#This Row],[Step]] =current_step, current_b,IF(Iterations[[#This Row],[Step]] &gt; current_step, "",Iterations[[#This Row],[b]]))</f>
        <v>0.46018625924298801</v>
      </c>
      <c r="I455" s="2">
        <f ca="1">IF(Iterations[[#This Row],[Step]] =current_step, current_c,IF(Iterations[[#This Row],[Step]] &gt; current_step, "",Iterations[[#This Row],[c]]))</f>
        <v>19.432809973000317</v>
      </c>
      <c r="J455" s="2">
        <f ca="1">IF(Iterations[[#This Row],[Step]] =current_step, current_d,IF(Iterations[[#This Row],[Step]] &gt; current_step, "",Iterations[[#This Row],[d]]))</f>
        <v>1.1027107780329046</v>
      </c>
      <c r="K455" s="2">
        <f ca="1">IF(Iterations[[#This Row],[Step]] =current_step, current_e,IF(Iterations[[#This Row],[Step]] &gt; current_step, "",Iterations[[#This Row],[e]]))</f>
        <v>11.95091090804018</v>
      </c>
      <c r="L455" s="2">
        <f ca="1">IF(Iterations[[#This Row],[Step]] =current_step, current_Total_Loss,IF(Iterations[[#This Row],[Step]] &gt; current_step, "",Iterations[[#This Row],[Total Loss]]))</f>
        <v>94.43</v>
      </c>
      <c r="M455" s="6" t="s">
        <v>27</v>
      </c>
      <c r="N455" s="2">
        <f ca="1">IF(Iterations[[#This Row],[Step]] =current_step, current_Grad_a,IF(Iterations[[#This Row],[Step]] &gt; current_step, "",Iterations[[#This Row],[Grad_a]]))</f>
        <v>6.584410141736427E-2</v>
      </c>
      <c r="O455" s="2">
        <f ca="1">IF(Iterations[[#This Row],[Step]] =current_step, current_Grad_b,IF(Iterations[[#This Row],[Step]] &gt; current_step, "",Iterations[[#This Row],[Grad_b]]))</f>
        <v>1.1343340950208404E-2</v>
      </c>
      <c r="P455" s="2">
        <f ca="1">IF(Iterations[[#This Row],[Step]] =current_step, current_Grad_c,IF(Iterations[[#This Row],[Step]] &gt; current_step, "",Iterations[[#This Row],[Grad_c]]))</f>
        <v>-0.18472793883731312</v>
      </c>
      <c r="Q455" s="2">
        <f ca="1">IF(Iterations[[#This Row],[Step]] =current_step, current_Grad_d,IF(Iterations[[#This Row],[Step]] &gt; current_step, "",Iterations[[#This Row],[Grad_d]]))</f>
        <v>-1.0251883269150509E-2</v>
      </c>
      <c r="R455" s="2">
        <f ca="1">IF(Iterations[[#This Row],[Step]] =current_step, current_Grad_e,IF(Iterations[[#This Row],[Step]] &gt; current_step, "",Iterations[[#This Row],[Grad_e]]))</f>
        <v>6.588340028144006E-2</v>
      </c>
    </row>
    <row r="456" spans="6:18" x14ac:dyDescent="0.3">
      <c r="F456" s="2">
        <f t="shared" si="9"/>
        <v>439</v>
      </c>
      <c r="G456" s="2">
        <f ca="1">IF(Iterations[[#This Row],[Step]] =current_step, current_a,IF(Iterations[[#This Row],[Step]] &gt; current_step, "",Iterations[[#This Row],[a]]))</f>
        <v>-6.6340474374423124</v>
      </c>
      <c r="H456" s="2">
        <f ca="1">IF(Iterations[[#This Row],[Step]] =current_step, current_b,IF(Iterations[[#This Row],[Step]] &gt; current_step, "",Iterations[[#This Row],[b]]))</f>
        <v>0.4593922253764734</v>
      </c>
      <c r="I456" s="2">
        <f ca="1">IF(Iterations[[#This Row],[Step]] =current_step, current_c,IF(Iterations[[#This Row],[Step]] &gt; current_step, "",Iterations[[#This Row],[c]]))</f>
        <v>19.44574092871893</v>
      </c>
      <c r="J456" s="2">
        <f ca="1">IF(Iterations[[#This Row],[Step]] =current_step, current_d,IF(Iterations[[#This Row],[Step]] &gt; current_step, "",Iterations[[#This Row],[d]]))</f>
        <v>1.1034284098617451</v>
      </c>
      <c r="K456" s="2">
        <f ca="1">IF(Iterations[[#This Row],[Step]] =current_step, current_e,IF(Iterations[[#This Row],[Step]] &gt; current_step, "",Iterations[[#This Row],[e]]))</f>
        <v>11.94629907002048</v>
      </c>
      <c r="L456" s="2">
        <f ca="1">IF(Iterations[[#This Row],[Step]] =current_step, current_Total_Loss,IF(Iterations[[#This Row],[Step]] &gt; current_step, "",Iterations[[#This Row],[Total Loss]]))</f>
        <v>94.38</v>
      </c>
      <c r="M456" s="6" t="s">
        <v>27</v>
      </c>
      <c r="N456" s="2">
        <f ca="1">IF(Iterations[[#This Row],[Step]] =current_step, current_Grad_a,IF(Iterations[[#This Row],[Step]] &gt; current_step, "",Iterations[[#This Row],[Grad_a]]))</f>
        <v>6.5398550038574768E-2</v>
      </c>
      <c r="O456" s="2">
        <f ca="1">IF(Iterations[[#This Row],[Step]] =current_step, current_Grad_b,IF(Iterations[[#This Row],[Step]] &gt; current_step, "",Iterations[[#This Row],[Grad_b]]))</f>
        <v>1.1268135694336538E-2</v>
      </c>
      <c r="P456" s="2">
        <f ca="1">IF(Iterations[[#This Row],[Step]] =current_step, current_Grad_c,IF(Iterations[[#This Row],[Step]] &gt; current_step, "",Iterations[[#This Row],[Grad_c]]))</f>
        <v>-0.18347762036612653</v>
      </c>
      <c r="Q456" s="2">
        <f ca="1">IF(Iterations[[#This Row],[Step]] =current_step, current_Grad_d,IF(Iterations[[#This Row],[Step]] &gt; current_step, "",Iterations[[#This Row],[Grad_d]]))</f>
        <v>-1.0185803216469015E-2</v>
      </c>
      <c r="R456" s="2">
        <f ca="1">IF(Iterations[[#This Row],[Step]] =current_step, current_Grad_e,IF(Iterations[[#This Row],[Step]] &gt; current_step, "",Iterations[[#This Row],[Grad_e]]))</f>
        <v>6.5437426364317472E-2</v>
      </c>
    </row>
    <row r="457" spans="6:18" x14ac:dyDescent="0.3">
      <c r="F457" s="2">
        <f t="shared" si="9"/>
        <v>440</v>
      </c>
      <c r="G457" s="2">
        <f ca="1">IF(Iterations[[#This Row],[Step]] =current_step, current_a,IF(Iterations[[#This Row],[Step]] &gt; current_step, "",Iterations[[#This Row],[a]]))</f>
        <v>-6.6386253359450125</v>
      </c>
      <c r="H457" s="2">
        <f ca="1">IF(Iterations[[#This Row],[Step]] =current_step, current_b,IF(Iterations[[#This Row],[Step]] &gt; current_step, "",Iterations[[#This Row],[b]]))</f>
        <v>0.45860345587786983</v>
      </c>
      <c r="I457" s="2">
        <f ca="1">IF(Iterations[[#This Row],[Step]] =current_step, current_c,IF(Iterations[[#This Row],[Step]] &gt; current_step, "",Iterations[[#This Row],[c]]))</f>
        <v>19.45858436214456</v>
      </c>
      <c r="J457" s="2">
        <f ca="1">IF(Iterations[[#This Row],[Step]] =current_step, current_d,IF(Iterations[[#This Row],[Step]] &gt; current_step, "",Iterations[[#This Row],[d]]))</f>
        <v>1.1041414160868979</v>
      </c>
      <c r="K457" s="2">
        <f ca="1">IF(Iterations[[#This Row],[Step]] =current_step, current_e,IF(Iterations[[#This Row],[Step]] &gt; current_step, "",Iterations[[#This Row],[e]]))</f>
        <v>11.941718450174978</v>
      </c>
      <c r="L457" s="2">
        <f ca="1">IF(Iterations[[#This Row],[Step]] =current_step, current_Total_Loss,IF(Iterations[[#This Row],[Step]] &gt; current_step, "",Iterations[[#This Row],[Total Loss]]))</f>
        <v>94.33</v>
      </c>
      <c r="M457" s="6" t="s">
        <v>27</v>
      </c>
      <c r="N457" s="2">
        <f ca="1">IF(Iterations[[#This Row],[Step]] =current_step, current_Grad_a,IF(Iterations[[#This Row],[Step]] &gt; current_step, "",Iterations[[#This Row],[Grad_a]]))</f>
        <v>6.4956013350985983E-2</v>
      </c>
      <c r="O457" s="2">
        <f ca="1">IF(Iterations[[#This Row],[Step]] =current_step, current_Grad_b,IF(Iterations[[#This Row],[Step]] &gt; current_step, "",Iterations[[#This Row],[Grad_b]]))</f>
        <v>1.119341162508531E-2</v>
      </c>
      <c r="P457" s="2">
        <f ca="1">IF(Iterations[[#This Row],[Step]] =current_step, current_Grad_c,IF(Iterations[[#This Row],[Step]] &gt; current_step, "",Iterations[[#This Row],[Grad_c]]))</f>
        <v>-0.18223576730062885</v>
      </c>
      <c r="Q457" s="2">
        <f ca="1">IF(Iterations[[#This Row],[Step]] =current_step, current_Grad_d,IF(Iterations[[#This Row],[Step]] &gt; current_step, "",Iterations[[#This Row],[Grad_d]]))</f>
        <v>-1.012011160492394E-2</v>
      </c>
      <c r="R457" s="2">
        <f ca="1">IF(Iterations[[#This Row],[Step]] =current_step, current_Grad_e,IF(Iterations[[#This Row],[Step]] &gt; current_step, "",Iterations[[#This Row],[Grad_e]]))</f>
        <v>6.4994472788489882E-2</v>
      </c>
    </row>
    <row r="458" spans="6:18" x14ac:dyDescent="0.3">
      <c r="F458" s="2">
        <f t="shared" si="9"/>
        <v>441</v>
      </c>
      <c r="G458" s="2">
        <f ca="1">IF(Iterations[[#This Row],[Step]] =current_step, current_a,IF(Iterations[[#This Row],[Step]] &gt; current_step, "",Iterations[[#This Row],[a]]))</f>
        <v>-6.6431722568795815</v>
      </c>
      <c r="H458" s="2">
        <f ca="1">IF(Iterations[[#This Row],[Step]] =current_step, current_b,IF(Iterations[[#This Row],[Step]] &gt; current_step, "",Iterations[[#This Row],[b]]))</f>
        <v>0.45781991706411385</v>
      </c>
      <c r="I458" s="2">
        <f ca="1">IF(Iterations[[#This Row],[Step]] =current_step, current_c,IF(Iterations[[#This Row],[Step]] &gt; current_step, "",Iterations[[#This Row],[c]]))</f>
        <v>19.471340865855606</v>
      </c>
      <c r="J458" s="2">
        <f ca="1">IF(Iterations[[#This Row],[Step]] =current_step, current_d,IF(Iterations[[#This Row],[Step]] &gt; current_step, "",Iterations[[#This Row],[d]]))</f>
        <v>1.1048498238992426</v>
      </c>
      <c r="K458" s="2">
        <f ca="1">IF(Iterations[[#This Row],[Step]] =current_step, current_e,IF(Iterations[[#This Row],[Step]] &gt; current_step, "",Iterations[[#This Row],[e]]))</f>
        <v>11.937168837079783</v>
      </c>
      <c r="L458" s="2">
        <f ca="1">IF(Iterations[[#This Row],[Step]] =current_step, current_Total_Loss,IF(Iterations[[#This Row],[Step]] &gt; current_step, "",Iterations[[#This Row],[Total Loss]]))</f>
        <v>94.27</v>
      </c>
      <c r="M458" s="6" t="s">
        <v>27</v>
      </c>
      <c r="N458" s="2">
        <f ca="1">IF(Iterations[[#This Row],[Step]] =current_step, current_Grad_a,IF(Iterations[[#This Row],[Step]] &gt; current_step, "",Iterations[[#This Row],[Grad_a]]))</f>
        <v>6.4516470960980718E-2</v>
      </c>
      <c r="O458" s="2">
        <f ca="1">IF(Iterations[[#This Row],[Step]] =current_step, current_Grad_b,IF(Iterations[[#This Row],[Step]] &gt; current_step, "",Iterations[[#This Row],[Grad_b]]))</f>
        <v>1.1119165980482657E-2</v>
      </c>
      <c r="P458" s="2">
        <f ca="1">IF(Iterations[[#This Row],[Step]] =current_step, current_Grad_c,IF(Iterations[[#This Row],[Step]] &gt; current_step, "",Iterations[[#This Row],[Grad_c]]))</f>
        <v>-0.18100232227667645</v>
      </c>
      <c r="Q458" s="2">
        <f ca="1">IF(Iterations[[#This Row],[Step]] =current_step, current_Grad_d,IF(Iterations[[#This Row],[Step]] &gt; current_step, "",Iterations[[#This Row],[Grad_d]]))</f>
        <v>-1.0054806852519103E-2</v>
      </c>
      <c r="R458" s="2">
        <f ca="1">IF(Iterations[[#This Row],[Step]] =current_step, current_Grad_e,IF(Iterations[[#This Row],[Step]] &gt; current_step, "",Iterations[[#This Row],[Grad_e]]))</f>
        <v>6.4554519072401978E-2</v>
      </c>
    </row>
    <row r="459" spans="6:18" x14ac:dyDescent="0.3">
      <c r="F459" s="2">
        <f t="shared" si="9"/>
        <v>442</v>
      </c>
      <c r="G459" s="2">
        <f ca="1">IF(Iterations[[#This Row],[Step]] =current_step, current_a,IF(Iterations[[#This Row],[Step]] &gt; current_step, "",Iterations[[#This Row],[a]]))</f>
        <v>-6.6476884098468503</v>
      </c>
      <c r="H459" s="2">
        <f ca="1">IF(Iterations[[#This Row],[Step]] =current_step, current_b,IF(Iterations[[#This Row],[Step]] &gt; current_step, "",Iterations[[#This Row],[b]]))</f>
        <v>0.45704157544548007</v>
      </c>
      <c r="I459" s="2">
        <f ca="1">IF(Iterations[[#This Row],[Step]] =current_step, current_c,IF(Iterations[[#This Row],[Step]] &gt; current_step, "",Iterations[[#This Row],[c]]))</f>
        <v>19.484011028414972</v>
      </c>
      <c r="J459" s="2">
        <f ca="1">IF(Iterations[[#This Row],[Step]] =current_step, current_d,IF(Iterations[[#This Row],[Step]] &gt; current_step, "",Iterations[[#This Row],[d]]))</f>
        <v>1.1055536603789189</v>
      </c>
      <c r="K459" s="2">
        <f ca="1">IF(Iterations[[#This Row],[Step]] =current_step, current_e,IF(Iterations[[#This Row],[Step]] &gt; current_step, "",Iterations[[#This Row],[e]]))</f>
        <v>11.932650020744715</v>
      </c>
      <c r="L459" s="2">
        <f ca="1">IF(Iterations[[#This Row],[Step]] =current_step, current_Total_Loss,IF(Iterations[[#This Row],[Step]] &gt; current_step, "",Iterations[[#This Row],[Total Loss]]))</f>
        <v>94.22</v>
      </c>
      <c r="M459" s="6" t="s">
        <v>27</v>
      </c>
      <c r="N459" s="2">
        <f ca="1">IF(Iterations[[#This Row],[Step]] =current_step, current_Grad_a,IF(Iterations[[#This Row],[Step]] &gt; current_step, "",Iterations[[#This Row],[Grad_a]]))</f>
        <v>6.4079902612873191E-2</v>
      </c>
      <c r="O459" s="2">
        <f ca="1">IF(Iterations[[#This Row],[Step]] =current_step, current_Grad_b,IF(Iterations[[#This Row],[Step]] &gt; current_step, "",Iterations[[#This Row],[Grad_b]]))</f>
        <v>1.104539600845226E-2</v>
      </c>
      <c r="P459" s="2">
        <f ca="1">IF(Iterations[[#This Row],[Step]] =current_step, current_Grad_c,IF(Iterations[[#This Row],[Step]] &gt; current_step, "",Iterations[[#This Row],[Grad_c]]))</f>
        <v>-0.1797772283196786</v>
      </c>
      <c r="Q459" s="2">
        <f ca="1">IF(Iterations[[#This Row],[Step]] =current_step, current_Grad_d,IF(Iterations[[#This Row],[Step]] &gt; current_step, "",Iterations[[#This Row],[Grad_d]]))</f>
        <v>-9.9898873693019408E-3</v>
      </c>
      <c r="R459" s="2">
        <f ca="1">IF(Iterations[[#This Row],[Step]] =current_step, current_Grad_e,IF(Iterations[[#This Row],[Step]] &gt; current_step, "",Iterations[[#This Row],[Grad_e]]))</f>
        <v>6.4117544873874249E-2</v>
      </c>
    </row>
    <row r="460" spans="6:18" x14ac:dyDescent="0.3">
      <c r="F460" s="2">
        <f t="shared" si="9"/>
        <v>443</v>
      </c>
      <c r="G460" s="2">
        <f ca="1">IF(Iterations[[#This Row],[Step]] =current_step, current_a,IF(Iterations[[#This Row],[Step]] &gt; current_step, "",Iterations[[#This Row],[a]]))</f>
        <v>-6.6521740030297511</v>
      </c>
      <c r="H460" s="2">
        <f ca="1">IF(Iterations[[#This Row],[Step]] =current_step, current_b,IF(Iterations[[#This Row],[Step]] &gt; current_step, "",Iterations[[#This Row],[b]]))</f>
        <v>0.45626839772488842</v>
      </c>
      <c r="I460" s="2">
        <f ca="1">IF(Iterations[[#This Row],[Step]] =current_step, current_c,IF(Iterations[[#This Row],[Step]] &gt; current_step, "",Iterations[[#This Row],[c]]))</f>
        <v>19.496595434397349</v>
      </c>
      <c r="J460" s="2">
        <f ca="1">IF(Iterations[[#This Row],[Step]] =current_step, current_d,IF(Iterations[[#This Row],[Step]] &gt; current_step, "",Iterations[[#This Row],[d]]))</f>
        <v>1.10625295249477</v>
      </c>
      <c r="K460" s="2">
        <f ca="1">IF(Iterations[[#This Row],[Step]] =current_step, current_e,IF(Iterations[[#This Row],[Step]] &gt; current_step, "",Iterations[[#This Row],[e]]))</f>
        <v>11.928161792603543</v>
      </c>
      <c r="L460" s="2">
        <f ca="1">IF(Iterations[[#This Row],[Step]] =current_step, current_Total_Loss,IF(Iterations[[#This Row],[Step]] &gt; current_step, "",Iterations[[#This Row],[Total Loss]]))</f>
        <v>94.17</v>
      </c>
      <c r="M460" s="6" t="s">
        <v>27</v>
      </c>
      <c r="N460" s="2">
        <f ca="1">IF(Iterations[[#This Row],[Step]] =current_step, current_Grad_a,IF(Iterations[[#This Row],[Step]] &gt; current_step, "",Iterations[[#This Row],[Grad_a]]))</f>
        <v>6.3646288187956784E-2</v>
      </c>
      <c r="O460" s="2">
        <f ca="1">IF(Iterations[[#This Row],[Step]] =current_step, current_Grad_b,IF(Iterations[[#This Row],[Step]] &gt; current_step, "",Iterations[[#This Row],[Grad_b]]))</f>
        <v>1.0972098966862144E-2</v>
      </c>
      <c r="P460" s="2">
        <f ca="1">IF(Iterations[[#This Row],[Step]] =current_step, current_Grad_c,IF(Iterations[[#This Row],[Step]] &gt; current_step, "",Iterations[[#This Row],[Grad_c]]))</f>
        <v>-0.17856042884194959</v>
      </c>
      <c r="Q460" s="2">
        <f ca="1">IF(Iterations[[#This Row],[Step]] =current_step, current_Grad_d,IF(Iterations[[#This Row],[Step]] &gt; current_step, "",Iterations[[#This Row],[Grad_d]]))</f>
        <v>-9.9253515577705509E-3</v>
      </c>
      <c r="R460" s="2">
        <f ca="1">IF(Iterations[[#This Row],[Step]] =current_step, current_Grad_e,IF(Iterations[[#This Row],[Step]] &gt; current_step, "",Iterations[[#This Row],[Grad_e]]))</f>
        <v>6.3683529989131155E-2</v>
      </c>
    </row>
    <row r="461" spans="6:18" x14ac:dyDescent="0.3">
      <c r="F461" s="2">
        <f t="shared" si="9"/>
        <v>444</v>
      </c>
      <c r="G461" s="2">
        <f ca="1">IF(Iterations[[#This Row],[Step]] =current_step, current_a,IF(Iterations[[#This Row],[Step]] &gt; current_step, "",Iterations[[#This Row],[a]]))</f>
        <v>-6.6566292432029082</v>
      </c>
      <c r="H461" s="2">
        <f ca="1">IF(Iterations[[#This Row],[Step]] =current_step, current_b,IF(Iterations[[#This Row],[Step]] &gt; current_step, "",Iterations[[#This Row],[b]]))</f>
        <v>0.45550035079720808</v>
      </c>
      <c r="I461" s="2">
        <f ca="1">IF(Iterations[[#This Row],[Step]] =current_step, current_c,IF(Iterations[[#This Row],[Step]] &gt; current_step, "",Iterations[[#This Row],[c]]))</f>
        <v>19.509094664416285</v>
      </c>
      <c r="J461" s="2">
        <f ca="1">IF(Iterations[[#This Row],[Step]] =current_step, current_d,IF(Iterations[[#This Row],[Step]] &gt; current_step, "",Iterations[[#This Row],[d]]))</f>
        <v>1.1069477271038139</v>
      </c>
      <c r="K461" s="2">
        <f ca="1">IF(Iterations[[#This Row],[Step]] =current_step, current_e,IF(Iterations[[#This Row],[Step]] &gt; current_step, "",Iterations[[#This Row],[e]]))</f>
        <v>11.923703945504304</v>
      </c>
      <c r="L461" s="2">
        <f ca="1">IF(Iterations[[#This Row],[Step]] =current_step, current_Total_Loss,IF(Iterations[[#This Row],[Step]] &gt; current_step, "",Iterations[[#This Row],[Total Loss]]))</f>
        <v>94.12</v>
      </c>
      <c r="M461" s="6" t="s">
        <v>27</v>
      </c>
      <c r="N461" s="2">
        <f ca="1">IF(Iterations[[#This Row],[Step]] =current_step, current_Grad_a,IF(Iterations[[#This Row],[Step]] &gt; current_step, "",Iterations[[#This Row],[Grad_a]]))</f>
        <v>6.3215607703401844E-2</v>
      </c>
      <c r="O461" s="2">
        <f ca="1">IF(Iterations[[#This Row],[Step]] =current_step, current_Grad_b,IF(Iterations[[#This Row],[Step]] &gt; current_step, "",Iterations[[#This Row],[Grad_b]]))</f>
        <v>1.0899272123667543E-2</v>
      </c>
      <c r="P461" s="2">
        <f ca="1">IF(Iterations[[#This Row],[Step]] =current_step, current_Grad_c,IF(Iterations[[#This Row],[Step]] &gt; current_step, "",Iterations[[#This Row],[Grad_c]]))</f>
        <v>-0.17735186764013397</v>
      </c>
      <c r="Q461" s="2">
        <f ca="1">IF(Iterations[[#This Row],[Step]] =current_step, current_Grad_d,IF(Iterations[[#This Row],[Step]] &gt; current_step, "",Iterations[[#This Row],[Grad_d]]))</f>
        <v>-9.8611978132331982E-3</v>
      </c>
      <c r="R461" s="2">
        <f ca="1">IF(Iterations[[#This Row],[Step]] =current_step, current_Grad_e,IF(Iterations[[#This Row],[Step]] &gt; current_step, "",Iterations[[#This Row],[Grad_e]]))</f>
        <v>6.3252454351828663E-2</v>
      </c>
    </row>
    <row r="462" spans="6:18" x14ac:dyDescent="0.3">
      <c r="F462" s="2">
        <f t="shared" si="9"/>
        <v>445</v>
      </c>
      <c r="G462" s="2">
        <f ca="1">IF(Iterations[[#This Row],[Step]] =current_step, current_a,IF(Iterations[[#This Row],[Step]] &gt; current_step, "",Iterations[[#This Row],[a]]))</f>
        <v>-6.6610543357421461</v>
      </c>
      <c r="H462" s="2">
        <f ca="1">IF(Iterations[[#This Row],[Step]] =current_step, current_b,IF(Iterations[[#This Row],[Step]] &gt; current_step, "",Iterations[[#This Row],[b]]))</f>
        <v>0.45473740174855137</v>
      </c>
      <c r="I462" s="2">
        <f ca="1">IF(Iterations[[#This Row],[Step]] =current_step, current_c,IF(Iterations[[#This Row],[Step]] &gt; current_step, "",Iterations[[#This Row],[c]]))</f>
        <v>19.521509295151095</v>
      </c>
      <c r="J462" s="2">
        <f ca="1">IF(Iterations[[#This Row],[Step]] =current_step, current_d,IF(Iterations[[#This Row],[Step]] &gt; current_step, "",Iterations[[#This Row],[d]]))</f>
        <v>1.1076380109507402</v>
      </c>
      <c r="K462" s="2">
        <f ca="1">IF(Iterations[[#This Row],[Step]] =current_step, current_e,IF(Iterations[[#This Row],[Step]] &gt; current_step, "",Iterations[[#This Row],[e]]))</f>
        <v>11.919276273699676</v>
      </c>
      <c r="L462" s="2">
        <f ca="1">IF(Iterations[[#This Row],[Step]] =current_step, current_Total_Loss,IF(Iterations[[#This Row],[Step]] &gt; current_step, "",Iterations[[#This Row],[Total Loss]]))</f>
        <v>94.07</v>
      </c>
      <c r="M462" s="6" t="s">
        <v>27</v>
      </c>
      <c r="N462" s="2">
        <f ca="1">IF(Iterations[[#This Row],[Step]] =current_step, current_Grad_a,IF(Iterations[[#This Row],[Step]] &gt; current_step, "",Iterations[[#This Row],[Grad_a]]))</f>
        <v>6.2787841311716427E-2</v>
      </c>
      <c r="O462" s="2">
        <f ca="1">IF(Iterations[[#This Row],[Step]] =current_step, current_Grad_b,IF(Iterations[[#This Row],[Step]] &gt; current_step, "",Iterations[[#This Row],[Grad_b]]))</f>
        <v>1.0826912756942007E-2</v>
      </c>
      <c r="P462" s="2">
        <f ca="1">IF(Iterations[[#This Row],[Step]] =current_step, current_Grad_c,IF(Iterations[[#This Row],[Step]] &gt; current_step, "",Iterations[[#This Row],[Grad_c]]))</f>
        <v>-0.17615148889242893</v>
      </c>
      <c r="Q462" s="2">
        <f ca="1">IF(Iterations[[#This Row],[Step]] =current_step, current_Grad_d,IF(Iterations[[#This Row],[Step]] &gt; current_step, "",Iterations[[#This Row],[Grad_d]]))</f>
        <v>-9.797424524188263E-3</v>
      </c>
      <c r="R462" s="2">
        <f ca="1">IF(Iterations[[#This Row],[Step]] =current_step, current_Grad_e,IF(Iterations[[#This Row],[Step]] &gt; current_step, "",Iterations[[#This Row],[Grad_e]]))</f>
        <v>6.2824298032176012E-2</v>
      </c>
    </row>
    <row r="463" spans="6:18" x14ac:dyDescent="0.3">
      <c r="F463" s="2">
        <f t="shared" si="9"/>
        <v>446</v>
      </c>
      <c r="G463" s="2">
        <f ca="1">IF(Iterations[[#This Row],[Step]] =current_step, current_a,IF(Iterations[[#This Row],[Step]] &gt; current_step, "",Iterations[[#This Row],[a]]))</f>
        <v>-6.6654494846339665</v>
      </c>
      <c r="H463" s="2">
        <f ca="1">IF(Iterations[[#This Row],[Step]] =current_step, current_b,IF(Iterations[[#This Row],[Step]] &gt; current_step, "",Iterations[[#This Row],[b]]))</f>
        <v>0.45397951785556545</v>
      </c>
      <c r="I463" s="2">
        <f ca="1">IF(Iterations[[#This Row],[Step]] =current_step, current_c,IF(Iterations[[#This Row],[Step]] &gt; current_step, "",Iterations[[#This Row],[c]]))</f>
        <v>19.533839899373564</v>
      </c>
      <c r="J463" s="2">
        <f ca="1">IF(Iterations[[#This Row],[Step]] =current_step, current_d,IF(Iterations[[#This Row],[Step]] &gt; current_step, "",Iterations[[#This Row],[d]]))</f>
        <v>1.1083238306674335</v>
      </c>
      <c r="K463" s="2">
        <f ca="1">IF(Iterations[[#This Row],[Step]] =current_step, current_e,IF(Iterations[[#This Row],[Step]] &gt; current_step, "",Iterations[[#This Row],[e]]))</f>
        <v>11.914878572837424</v>
      </c>
      <c r="L463" s="2">
        <f ca="1">IF(Iterations[[#This Row],[Step]] =current_step, current_Total_Loss,IF(Iterations[[#This Row],[Step]] &gt; current_step, "",Iterations[[#This Row],[Total Loss]]))</f>
        <v>94.02</v>
      </c>
      <c r="M463" s="6" t="s">
        <v>27</v>
      </c>
      <c r="N463" s="2">
        <f ca="1">IF(Iterations[[#This Row],[Step]] =current_step, current_Grad_a,IF(Iterations[[#This Row],[Step]] &gt; current_step, "",Iterations[[#This Row],[Grad_a]]))</f>
        <v>6.2362969299344338E-2</v>
      </c>
      <c r="O463" s="2">
        <f ca="1">IF(Iterations[[#This Row],[Step]] =current_step, current_Grad_b,IF(Iterations[[#This Row],[Step]] &gt; current_step, "",Iterations[[#This Row],[Grad_b]]))</f>
        <v>1.0755018155018337E-2</v>
      </c>
      <c r="P463" s="2">
        <f ca="1">IF(Iterations[[#This Row],[Step]] =current_step, current_Grad_c,IF(Iterations[[#This Row],[Step]] &gt; current_step, "",Iterations[[#This Row],[Grad_c]]))</f>
        <v>-0.1749592371561875</v>
      </c>
      <c r="Q463" s="2">
        <f ca="1">IF(Iterations[[#This Row],[Step]] =current_step, current_Grad_d,IF(Iterations[[#This Row],[Step]] &gt; current_step, "",Iterations[[#This Row],[Grad_d]]))</f>
        <v>-9.7340300726730476E-3</v>
      </c>
      <c r="R463" s="2">
        <f ca="1">IF(Iterations[[#This Row],[Step]] =current_step, current_Grad_e,IF(Iterations[[#This Row],[Step]] &gt; current_step, "",Iterations[[#This Row],[Grad_e]]))</f>
        <v>6.239904123589874E-2</v>
      </c>
    </row>
    <row r="464" spans="6:18" x14ac:dyDescent="0.3">
      <c r="F464" s="2">
        <f t="shared" si="9"/>
        <v>447</v>
      </c>
      <c r="G464" s="2">
        <f ca="1">IF(Iterations[[#This Row],[Step]] =current_step, current_a,IF(Iterations[[#This Row],[Step]] &gt; current_step, "",Iterations[[#This Row],[a]]))</f>
        <v>-6.6698148924849203</v>
      </c>
      <c r="H464" s="2">
        <f ca="1">IF(Iterations[[#This Row],[Step]] =current_step, current_b,IF(Iterations[[#This Row],[Step]] &gt; current_step, "",Iterations[[#This Row],[b]]))</f>
        <v>0.45322666658471417</v>
      </c>
      <c r="I464" s="2">
        <f ca="1">IF(Iterations[[#This Row],[Step]] =current_step, current_c,IF(Iterations[[#This Row],[Step]] &gt; current_step, "",Iterations[[#This Row],[c]]))</f>
        <v>19.546087045974499</v>
      </c>
      <c r="J464" s="2">
        <f ca="1">IF(Iterations[[#This Row],[Step]] =current_step, current_d,IF(Iterations[[#This Row],[Step]] &gt; current_step, "",Iterations[[#This Row],[d]]))</f>
        <v>1.1090052127725205</v>
      </c>
      <c r="K464" s="2">
        <f ca="1">IF(Iterations[[#This Row],[Step]] =current_step, current_e,IF(Iterations[[#This Row],[Step]] &gt; current_step, "",Iterations[[#This Row],[e]]))</f>
        <v>11.91051063995091</v>
      </c>
      <c r="L464" s="2">
        <f ca="1">IF(Iterations[[#This Row],[Step]] =current_step, current_Total_Loss,IF(Iterations[[#This Row],[Step]] &gt; current_step, "",Iterations[[#This Row],[Total Loss]]))</f>
        <v>93.97</v>
      </c>
      <c r="M464" s="6" t="s">
        <v>27</v>
      </c>
      <c r="N464" s="2">
        <f ca="1">IF(Iterations[[#This Row],[Step]] =current_step, current_Grad_a,IF(Iterations[[#This Row],[Step]] &gt; current_step, "",Iterations[[#This Row],[Grad_a]]))</f>
        <v>6.1940972086258705E-2</v>
      </c>
      <c r="O464" s="2">
        <f ca="1">IF(Iterations[[#This Row],[Step]] =current_step, current_Grad_b,IF(Iterations[[#This Row],[Step]] &gt; current_step, "",Iterations[[#This Row],[Grad_b]]))</f>
        <v>1.0683585616471751E-2</v>
      </c>
      <c r="P464" s="2">
        <f ca="1">IF(Iterations[[#This Row],[Step]] =current_step, current_Grad_c,IF(Iterations[[#This Row],[Step]] &gt; current_step, "",Iterations[[#This Row],[Grad_c]]))</f>
        <v>-0.17377505736510912</v>
      </c>
      <c r="Q464" s="2">
        <f ca="1">IF(Iterations[[#This Row],[Step]] =current_step, current_Grad_d,IF(Iterations[[#This Row],[Step]] &gt; current_step, "",Iterations[[#This Row],[Grad_d]]))</f>
        <v>-9.6710128346435675E-3</v>
      </c>
      <c r="R464" s="2">
        <f ca="1">IF(Iterations[[#This Row],[Step]] =current_step, current_Grad_e,IF(Iterations[[#This Row],[Step]] &gt; current_step, "",Iterations[[#This Row],[Grad_e]]))</f>
        <v>6.1976664303421733E-2</v>
      </c>
    </row>
    <row r="465" spans="6:18" x14ac:dyDescent="0.3">
      <c r="F465" s="2">
        <f t="shared" si="9"/>
        <v>448</v>
      </c>
      <c r="G465" s="2">
        <f ca="1">IF(Iterations[[#This Row],[Step]] =current_step, current_a,IF(Iterations[[#This Row],[Step]] &gt; current_step, "",Iterations[[#This Row],[a]]))</f>
        <v>-6.6741507605309582</v>
      </c>
      <c r="H465" s="2">
        <f ca="1">IF(Iterations[[#This Row],[Step]] =current_step, current_b,IF(Iterations[[#This Row],[Step]] &gt; current_step, "",Iterations[[#This Row],[b]]))</f>
        <v>0.45247881559156117</v>
      </c>
      <c r="I465" s="2">
        <f ca="1">IF(Iterations[[#This Row],[Step]] =current_step, current_c,IF(Iterations[[#This Row],[Step]] &gt; current_step, "",Iterations[[#This Row],[c]]))</f>
        <v>19.558251299990058</v>
      </c>
      <c r="J465" s="2">
        <f ca="1">IF(Iterations[[#This Row],[Step]] =current_step, current_d,IF(Iterations[[#This Row],[Step]] &gt; current_step, "",Iterations[[#This Row],[d]]))</f>
        <v>1.1096821836709456</v>
      </c>
      <c r="K465" s="2">
        <f ca="1">IF(Iterations[[#This Row],[Step]] =current_step, current_e,IF(Iterations[[#This Row],[Step]] &gt; current_step, "",Iterations[[#This Row],[e]]))</f>
        <v>11.906172273449672</v>
      </c>
      <c r="L465" s="2">
        <f ca="1">IF(Iterations[[#This Row],[Step]] =current_step, current_Total_Loss,IF(Iterations[[#This Row],[Step]] &gt; current_step, "",Iterations[[#This Row],[Total Loss]]))</f>
        <v>93.92</v>
      </c>
      <c r="M465" s="6" t="s">
        <v>27</v>
      </c>
      <c r="N465" s="2">
        <f ca="1">IF(Iterations[[#This Row],[Step]] =current_step, current_Grad_a,IF(Iterations[[#This Row],[Step]] &gt; current_step, "",Iterations[[#This Row],[Grad_a]]))</f>
        <v>6.1521830224610635E-2</v>
      </c>
      <c r="O465" s="2">
        <f ca="1">IF(Iterations[[#This Row],[Step]] =current_step, current_Grad_b,IF(Iterations[[#This Row],[Step]] &gt; current_step, "",Iterations[[#This Row],[Grad_b]]))</f>
        <v>1.0612612450309249E-2</v>
      </c>
      <c r="P465" s="2">
        <f ca="1">IF(Iterations[[#This Row],[Step]] =current_step, current_Grad_c,IF(Iterations[[#This Row],[Step]] &gt; current_step, "",Iterations[[#This Row],[Grad_c]]))</f>
        <v>-0.17259889482686988</v>
      </c>
      <c r="Q465" s="2">
        <f ca="1">IF(Iterations[[#This Row],[Step]] =current_step, current_Grad_d,IF(Iterations[[#This Row],[Step]] &gt; current_step, "",Iterations[[#This Row],[Grad_d]]))</f>
        <v>-9.6083711802822467E-3</v>
      </c>
      <c r="R465" s="2">
        <f ca="1">IF(Iterations[[#This Row],[Step]] =current_step, current_Grad_e,IF(Iterations[[#This Row],[Step]] &gt; current_step, "",Iterations[[#This Row],[Grad_e]]))</f>
        <v>6.1557147708844601E-2</v>
      </c>
    </row>
    <row r="466" spans="6:18" x14ac:dyDescent="0.3">
      <c r="F466" s="2">
        <f t="shared" si="9"/>
        <v>449</v>
      </c>
      <c r="G466" s="2">
        <f ca="1">IF(Iterations[[#This Row],[Step]] =current_step, current_a,IF(Iterations[[#This Row],[Step]] &gt; current_step, "",Iterations[[#This Row],[a]]))</f>
        <v>-6.6784572886466806</v>
      </c>
      <c r="H466" s="2">
        <f ca="1">IF(Iterations[[#This Row],[Step]] =current_step, current_b,IF(Iterations[[#This Row],[Step]] &gt; current_step, "",Iterations[[#This Row],[b]]))</f>
        <v>0.45173593272003953</v>
      </c>
      <c r="I466" s="2">
        <f ca="1">IF(Iterations[[#This Row],[Step]] =current_step, current_c,IF(Iterations[[#This Row],[Step]] &gt; current_step, "",Iterations[[#This Row],[c]]))</f>
        <v>19.570333222627937</v>
      </c>
      <c r="J466" s="2">
        <f ca="1">IF(Iterations[[#This Row],[Step]] =current_step, current_d,IF(Iterations[[#This Row],[Step]] &gt; current_step, "",Iterations[[#This Row],[d]]))</f>
        <v>1.1103547696535654</v>
      </c>
      <c r="K466" s="2">
        <f ca="1">IF(Iterations[[#This Row],[Step]] =current_step, current_e,IF(Iterations[[#This Row],[Step]] &gt; current_step, "",Iterations[[#This Row],[e]]))</f>
        <v>11.901863273110052</v>
      </c>
      <c r="L466" s="2">
        <f ca="1">IF(Iterations[[#This Row],[Step]] =current_step, current_Total_Loss,IF(Iterations[[#This Row],[Step]] &gt; current_step, "",Iterations[[#This Row],[Total Loss]]))</f>
        <v>93.88</v>
      </c>
      <c r="M466" s="6" t="s">
        <v>27</v>
      </c>
      <c r="N466" s="2">
        <f ca="1">IF(Iterations[[#This Row],[Step]] =current_step, current_Grad_a,IF(Iterations[[#This Row],[Step]] &gt; current_step, "",Iterations[[#This Row],[Grad_a]]))</f>
        <v>6.110552439812917E-2</v>
      </c>
      <c r="O466" s="2">
        <f ca="1">IF(Iterations[[#This Row],[Step]] =current_step, current_Grad_b,IF(Iterations[[#This Row],[Step]] &gt; current_step, "",Iterations[[#This Row],[Grad_b]]))</f>
        <v>1.0542095975952816E-2</v>
      </c>
      <c r="P466" s="2">
        <f ca="1">IF(Iterations[[#This Row],[Step]] =current_step, current_Grad_c,IF(Iterations[[#This Row],[Step]] &gt; current_step, "",Iterations[[#This Row],[Grad_c]]))</f>
        <v>-0.17143069522044149</v>
      </c>
      <c r="Q466" s="2">
        <f ca="1">IF(Iterations[[#This Row],[Step]] =current_step, current_Grad_d,IF(Iterations[[#This Row],[Step]] &gt; current_step, "",Iterations[[#This Row],[Grad_d]]))</f>
        <v>-9.5461034743660068E-3</v>
      </c>
      <c r="R466" s="2">
        <f ca="1">IF(Iterations[[#This Row],[Step]] =current_step, current_Grad_e,IF(Iterations[[#This Row],[Step]] &gt; current_step, "",Iterations[[#This Row],[Grad_e]]))</f>
        <v>6.1140472059086709E-2</v>
      </c>
    </row>
    <row r="467" spans="6:18" x14ac:dyDescent="0.3">
      <c r="F467" s="2">
        <f t="shared" si="9"/>
        <v>450</v>
      </c>
      <c r="G467" s="2">
        <f ca="1">IF(Iterations[[#This Row],[Step]] =current_step, current_a,IF(Iterations[[#This Row],[Step]] &gt; current_step, "",Iterations[[#This Row],[a]]))</f>
        <v>-6.68273467535455</v>
      </c>
      <c r="H467" s="2">
        <f ca="1">IF(Iterations[[#This Row],[Step]] =current_step, current_b,IF(Iterations[[#This Row],[Step]] &gt; current_step, "",Iterations[[#This Row],[b]]))</f>
        <v>0.45099798600172286</v>
      </c>
      <c r="I467" s="2">
        <f ca="1">IF(Iterations[[#This Row],[Step]] =current_step, current_c,IF(Iterations[[#This Row],[Step]] &gt; current_step, "",Iterations[[#This Row],[c]]))</f>
        <v>19.58233337129337</v>
      </c>
      <c r="J467" s="2">
        <f ca="1">IF(Iterations[[#This Row],[Step]] =current_step, current_d,IF(Iterations[[#This Row],[Step]] &gt; current_step, "",Iterations[[#This Row],[d]]))</f>
        <v>1.1110229968967711</v>
      </c>
      <c r="K467" s="2">
        <f ca="1">IF(Iterations[[#This Row],[Step]] =current_step, current_e,IF(Iterations[[#This Row],[Step]] &gt; current_step, "",Iterations[[#This Row],[e]]))</f>
        <v>11.897583440065917</v>
      </c>
      <c r="L467" s="2">
        <f ca="1">IF(Iterations[[#This Row],[Step]] =current_step, current_Total_Loss,IF(Iterations[[#This Row],[Step]] &gt; current_step, "",Iterations[[#This Row],[Total Loss]]))</f>
        <v>93.83</v>
      </c>
      <c r="M467" s="6" t="s">
        <v>27</v>
      </c>
      <c r="N467" s="2">
        <f ca="1">IF(Iterations[[#This Row],[Step]] =current_step, current_Grad_a,IF(Iterations[[#This Row],[Step]] &gt; current_step, "",Iterations[[#This Row],[Grad_a]]))</f>
        <v>6.0692035421323398E-2</v>
      </c>
      <c r="O467" s="2">
        <f ca="1">IF(Iterations[[#This Row],[Step]] =current_step, current_Grad_b,IF(Iterations[[#This Row],[Step]] &gt; current_step, "",Iterations[[#This Row],[Grad_b]]))</f>
        <v>1.0472033523288756E-2</v>
      </c>
      <c r="P467" s="2">
        <f ca="1">IF(Iterations[[#This Row],[Step]] =current_step, current_Grad_c,IF(Iterations[[#This Row],[Step]] &gt; current_step, "",Iterations[[#This Row],[Grad_c]]))</f>
        <v>-0.17027040459351972</v>
      </c>
      <c r="Q467" s="2">
        <f ca="1">IF(Iterations[[#This Row],[Step]] =current_step, current_Grad_d,IF(Iterations[[#This Row],[Step]] &gt; current_step, "",Iterations[[#This Row],[Grad_d]]))</f>
        <v>-9.4842080765983761E-3</v>
      </c>
      <c r="R467" s="2">
        <f ca="1">IF(Iterations[[#This Row],[Step]] =current_step, current_Grad_e,IF(Iterations[[#This Row],[Step]] &gt; current_step, "",Iterations[[#This Row],[Grad_e]]))</f>
        <v>6.0726618092995586E-2</v>
      </c>
    </row>
    <row r="468" spans="6:18" x14ac:dyDescent="0.3">
      <c r="F468" s="2">
        <f t="shared" si="9"/>
        <v>451</v>
      </c>
      <c r="G468" s="2">
        <f ca="1">IF(Iterations[[#This Row],[Step]] =current_step, current_a,IF(Iterations[[#This Row],[Step]] &gt; current_step, "",Iterations[[#This Row],[a]]))</f>
        <v>-6.6869831178340426</v>
      </c>
      <c r="H468" s="2">
        <f ca="1">IF(Iterations[[#This Row],[Step]] =current_step, current_b,IF(Iterations[[#This Row],[Step]] &gt; current_step, "",Iterations[[#This Row],[b]]))</f>
        <v>0.45026494365509268</v>
      </c>
      <c r="I468" s="2">
        <f ca="1">IF(Iterations[[#This Row],[Step]] =current_step, current_c,IF(Iterations[[#This Row],[Step]] &gt; current_step, "",Iterations[[#This Row],[c]]))</f>
        <v>19.594252299614915</v>
      </c>
      <c r="J468" s="2">
        <f ca="1">IF(Iterations[[#This Row],[Step]] =current_step, current_d,IF(Iterations[[#This Row],[Step]] &gt; current_step, "",Iterations[[#This Row],[d]]))</f>
        <v>1.111686891462133</v>
      </c>
      <c r="K468" s="2">
        <f ca="1">IF(Iterations[[#This Row],[Step]] =current_step, current_e,IF(Iterations[[#This Row],[Step]] &gt; current_step, "",Iterations[[#This Row],[e]]))</f>
        <v>11.893332576799407</v>
      </c>
      <c r="L468" s="2">
        <f ca="1">IF(Iterations[[#This Row],[Step]] =current_step, current_Total_Loss,IF(Iterations[[#This Row],[Step]] &gt; current_step, "",Iterations[[#This Row],[Total Loss]]))</f>
        <v>93.78</v>
      </c>
      <c r="M468" s="6" t="s">
        <v>27</v>
      </c>
      <c r="N468" s="2">
        <f ca="1">IF(Iterations[[#This Row],[Step]] =current_step, current_Grad_a,IF(Iterations[[#This Row],[Step]] &gt; current_step, "",Iterations[[#This Row],[Grad_a]]))</f>
        <v>6.0281344237948876E-2</v>
      </c>
      <c r="O468" s="2">
        <f ca="1">IF(Iterations[[#This Row],[Step]] =current_step, current_Grad_b,IF(Iterations[[#This Row],[Step]] &gt; current_step, "",Iterations[[#This Row],[Grad_b]]))</f>
        <v>1.0402422432923997E-2</v>
      </c>
      <c r="P468" s="2">
        <f ca="1">IF(Iterations[[#This Row],[Step]] =current_step, current_Grad_c,IF(Iterations[[#This Row],[Step]] &gt; current_step, "",Iterations[[#This Row],[Grad_c]]))</f>
        <v>-0.1691179693602812</v>
      </c>
      <c r="Q468" s="2">
        <f ca="1">IF(Iterations[[#This Row],[Step]] =current_step, current_Grad_d,IF(Iterations[[#This Row],[Step]] &gt; current_step, "",Iterations[[#This Row],[Grad_d]]))</f>
        <v>-9.4226833418681946E-3</v>
      </c>
      <c r="R468" s="2">
        <f ca="1">IF(Iterations[[#This Row],[Step]] =current_step, current_Grad_e,IF(Iterations[[#This Row],[Step]] &gt; current_step, "",Iterations[[#This Row],[Grad_e]]))</f>
        <v>6.0315566680309712E-2</v>
      </c>
    </row>
    <row r="469" spans="6:18" x14ac:dyDescent="0.3">
      <c r="F469" s="2">
        <f t="shared" si="9"/>
        <v>452</v>
      </c>
      <c r="G469" s="2">
        <f ca="1">IF(Iterations[[#This Row],[Step]] =current_step, current_a,IF(Iterations[[#This Row],[Step]] &gt; current_step, "",Iterations[[#This Row],[a]]))</f>
        <v>-6.6912028119306992</v>
      </c>
      <c r="H469" s="2">
        <f ca="1">IF(Iterations[[#This Row],[Step]] =current_step, current_b,IF(Iterations[[#This Row],[Step]] &gt; current_step, "",Iterations[[#This Row],[b]]))</f>
        <v>0.44953677408478798</v>
      </c>
      <c r="I469" s="2">
        <f ca="1">IF(Iterations[[#This Row],[Step]] =current_step, current_c,IF(Iterations[[#This Row],[Step]] &gt; current_step, "",Iterations[[#This Row],[c]]))</f>
        <v>19.606090557470136</v>
      </c>
      <c r="J469" s="2">
        <f ca="1">IF(Iterations[[#This Row],[Step]] =current_step, current_d,IF(Iterations[[#This Row],[Step]] &gt; current_step, "",Iterations[[#This Row],[d]]))</f>
        <v>1.1123464792960638</v>
      </c>
      <c r="K469" s="2">
        <f ca="1">IF(Iterations[[#This Row],[Step]] =current_step, current_e,IF(Iterations[[#This Row],[Step]] &gt; current_step, "",Iterations[[#This Row],[e]]))</f>
        <v>11.889110487131786</v>
      </c>
      <c r="L469" s="2">
        <f ca="1">IF(Iterations[[#This Row],[Step]] =current_step, current_Total_Loss,IF(Iterations[[#This Row],[Step]] &gt; current_step, "",Iterations[[#This Row],[Total Loss]]))</f>
        <v>93.74</v>
      </c>
      <c r="M469" s="6" t="s">
        <v>27</v>
      </c>
      <c r="N469" s="2">
        <f ca="1">IF(Iterations[[#This Row],[Step]] =current_step, current_Grad_a,IF(Iterations[[#This Row],[Step]] &gt; current_step, "",Iterations[[#This Row],[Grad_a]]))</f>
        <v>5.9873431921288883E-2</v>
      </c>
      <c r="O469" s="2">
        <f ca="1">IF(Iterations[[#This Row],[Step]] =current_step, current_Grad_b,IF(Iterations[[#This Row],[Step]] &gt; current_step, "",Iterations[[#This Row],[Grad_b]]))</f>
        <v>1.0333260055914962E-2</v>
      </c>
      <c r="P469" s="2">
        <f ca="1">IF(Iterations[[#This Row],[Step]] =current_step, current_Grad_c,IF(Iterations[[#This Row],[Step]] &gt; current_step, "",Iterations[[#This Row],[Grad_c]]))</f>
        <v>-0.16797333629839767</v>
      </c>
      <c r="Q469" s="2">
        <f ca="1">IF(Iterations[[#This Row],[Step]] =current_step, current_Grad_d,IF(Iterations[[#This Row],[Step]] &gt; current_step, "",Iterations[[#This Row],[Grad_d]]))</f>
        <v>-9.3615276206797104E-3</v>
      </c>
      <c r="R469" s="2">
        <f ca="1">IF(Iterations[[#This Row],[Step]] =current_step, current_Grad_e,IF(Iterations[[#This Row],[Step]] &gt; current_step, "",Iterations[[#This Row],[Grad_e]]))</f>
        <v>5.990729882099869E-2</v>
      </c>
    </row>
    <row r="470" spans="6:18" x14ac:dyDescent="0.3">
      <c r="F470" s="2">
        <f t="shared" si="9"/>
        <v>453</v>
      </c>
      <c r="G470" s="2">
        <f ca="1">IF(Iterations[[#This Row],[Step]] =current_step, current_a,IF(Iterations[[#This Row],[Step]] &gt; current_step, "",Iterations[[#This Row],[a]]))</f>
        <v>-6.6953939521651895</v>
      </c>
      <c r="H470" s="2">
        <f ca="1">IF(Iterations[[#This Row],[Step]] =current_step, current_b,IF(Iterations[[#This Row],[Step]] &gt; current_step, "",Iterations[[#This Row],[b]]))</f>
        <v>0.44881344588087396</v>
      </c>
      <c r="I470" s="2">
        <f ca="1">IF(Iterations[[#This Row],[Step]] =current_step, current_c,IF(Iterations[[#This Row],[Step]] &gt; current_step, "",Iterations[[#This Row],[c]]))</f>
        <v>19.617848691011023</v>
      </c>
      <c r="J470" s="2">
        <f ca="1">IF(Iterations[[#This Row],[Step]] =current_step, current_d,IF(Iterations[[#This Row],[Step]] &gt; current_step, "",Iterations[[#This Row],[d]]))</f>
        <v>1.1130017862295114</v>
      </c>
      <c r="K470" s="2">
        <f ca="1">IF(Iterations[[#This Row],[Step]] =current_step, current_e,IF(Iterations[[#This Row],[Step]] &gt; current_step, "",Iterations[[#This Row],[e]]))</f>
        <v>11.884916976214317</v>
      </c>
      <c r="L470" s="2">
        <f ca="1">IF(Iterations[[#This Row],[Step]] =current_step, current_Total_Loss,IF(Iterations[[#This Row],[Step]] &gt; current_step, "",Iterations[[#This Row],[Total Loss]]))</f>
        <v>93.69</v>
      </c>
      <c r="M470" s="6" t="s">
        <v>27</v>
      </c>
      <c r="N470" s="2">
        <f ca="1">IF(Iterations[[#This Row],[Step]] =current_step, current_Grad_a,IF(Iterations[[#This Row],[Step]] &gt; current_step, "",Iterations[[#This Row],[Grad_a]]))</f>
        <v>5.9468279671863605E-2</v>
      </c>
      <c r="O470" s="2">
        <f ca="1">IF(Iterations[[#This Row],[Step]] =current_step, current_Grad_b,IF(Iterations[[#This Row],[Step]] &gt; current_step, "",Iterations[[#This Row],[Grad_b]]))</f>
        <v>1.0264543754185174E-2</v>
      </c>
      <c r="P470" s="2">
        <f ca="1">IF(Iterations[[#This Row],[Step]] =current_step, current_Grad_c,IF(Iterations[[#This Row],[Step]] &gt; current_step, "",Iterations[[#This Row],[Grad_c]]))</f>
        <v>-0.16683645254715268</v>
      </c>
      <c r="Q470" s="2">
        <f ca="1">IF(Iterations[[#This Row],[Step]] =current_step, current_Grad_d,IF(Iterations[[#This Row],[Step]] &gt; current_step, "",Iterations[[#This Row],[Grad_d]]))</f>
        <v>-9.3007392593419738E-3</v>
      </c>
      <c r="R470" s="2">
        <f ca="1">IF(Iterations[[#This Row],[Step]] =current_step, current_Grad_e,IF(Iterations[[#This Row],[Step]] &gt; current_step, "",Iterations[[#This Row],[Grad_e]]))</f>
        <v>5.9501795644074505E-2</v>
      </c>
    </row>
    <row r="471" spans="6:18" x14ac:dyDescent="0.3">
      <c r="F471" s="2">
        <f t="shared" si="9"/>
        <v>454</v>
      </c>
      <c r="G471" s="2">
        <f ca="1">IF(Iterations[[#This Row],[Step]] =current_step, current_a,IF(Iterations[[#This Row],[Step]] &gt; current_step, "",Iterations[[#This Row],[a]]))</f>
        <v>-6.69955673174222</v>
      </c>
      <c r="H471" s="2">
        <f ca="1">IF(Iterations[[#This Row],[Step]] =current_step, current_b,IF(Iterations[[#This Row],[Step]] &gt; current_step, "",Iterations[[#This Row],[b]]))</f>
        <v>0.44809492781808102</v>
      </c>
      <c r="I471" s="2">
        <f ca="1">IF(Iterations[[#This Row],[Step]] =current_step, current_c,IF(Iterations[[#This Row],[Step]] &gt; current_step, "",Iterations[[#This Row],[c]]))</f>
        <v>19.629527242689324</v>
      </c>
      <c r="J471" s="2">
        <f ca="1">IF(Iterations[[#This Row],[Step]] =current_step, current_d,IF(Iterations[[#This Row],[Step]] &gt; current_step, "",Iterations[[#This Row],[d]]))</f>
        <v>1.1136528379776653</v>
      </c>
      <c r="K471" s="2">
        <f ca="1">IF(Iterations[[#This Row],[Step]] =current_step, current_e,IF(Iterations[[#This Row],[Step]] &gt; current_step, "",Iterations[[#This Row],[e]]))</f>
        <v>11.880751850519232</v>
      </c>
      <c r="L471" s="2">
        <f ca="1">IF(Iterations[[#This Row],[Step]] =current_step, current_Total_Loss,IF(Iterations[[#This Row],[Step]] &gt; current_step, "",Iterations[[#This Row],[Total Loss]]))</f>
        <v>93.65</v>
      </c>
      <c r="M471" s="6" t="s">
        <v>27</v>
      </c>
      <c r="N471" s="2">
        <f ca="1">IF(Iterations[[#This Row],[Step]] =current_step, current_Grad_a,IF(Iterations[[#This Row],[Step]] &gt; current_step, "",Iterations[[#This Row],[Grad_a]]))</f>
        <v>5.9065868817979483E-2</v>
      </c>
      <c r="O471" s="2">
        <f ca="1">IF(Iterations[[#This Row],[Step]] =current_step, current_Grad_b,IF(Iterations[[#This Row],[Step]] &gt; current_step, "",Iterations[[#This Row],[Grad_b]]))</f>
        <v>1.0196270900263475E-2</v>
      </c>
      <c r="P471" s="2">
        <f ca="1">IF(Iterations[[#This Row],[Step]] =current_step, current_Grad_c,IF(Iterations[[#This Row],[Step]] &gt; current_step, "",Iterations[[#This Row],[Grad_c]]))</f>
        <v>-0.16570726560437782</v>
      </c>
      <c r="Q471" s="2">
        <f ca="1">IF(Iterations[[#This Row],[Step]] =current_step, current_Grad_d,IF(Iterations[[#This Row],[Step]] &gt; current_step, "",Iterations[[#This Row],[Grad_d]]))</f>
        <v>-9.2403166003669889E-3</v>
      </c>
      <c r="R471" s="2">
        <f ca="1">IF(Iterations[[#This Row],[Step]] =current_step, current_Grad_e,IF(Iterations[[#This Row],[Step]] &gt; current_step, "",Iterations[[#This Row],[Grad_e]]))</f>
        <v>5.9099038407003097E-2</v>
      </c>
    </row>
    <row r="472" spans="6:18" x14ac:dyDescent="0.3">
      <c r="F472" s="2">
        <f t="shared" si="9"/>
        <v>455</v>
      </c>
      <c r="G472" s="2">
        <f ca="1">IF(Iterations[[#This Row],[Step]] =current_step, current_a,IF(Iterations[[#This Row],[Step]] &gt; current_step, "",Iterations[[#This Row],[a]]))</f>
        <v>-6.7036913425594786</v>
      </c>
      <c r="H472" s="2">
        <f ca="1">IF(Iterations[[#This Row],[Step]] =current_step, current_b,IF(Iterations[[#This Row],[Step]] &gt; current_step, "",Iterations[[#This Row],[b]]))</f>
        <v>0.44738118885506256</v>
      </c>
      <c r="I472" s="2">
        <f ca="1">IF(Iterations[[#This Row],[Step]] =current_step, current_c,IF(Iterations[[#This Row],[Step]] &gt; current_step, "",Iterations[[#This Row],[c]]))</f>
        <v>19.641126751281632</v>
      </c>
      <c r="J472" s="2">
        <f ca="1">IF(Iterations[[#This Row],[Step]] =current_step, current_d,IF(Iterations[[#This Row],[Step]] &gt; current_step, "",Iterations[[#This Row],[d]]))</f>
        <v>1.1142996601396911</v>
      </c>
      <c r="K472" s="2">
        <f ca="1">IF(Iterations[[#This Row],[Step]] =current_step, current_e,IF(Iterations[[#This Row],[Step]] &gt; current_step, "",Iterations[[#This Row],[e]]))</f>
        <v>11.876614917830741</v>
      </c>
      <c r="L472" s="2">
        <f ca="1">IF(Iterations[[#This Row],[Step]] =current_step, current_Total_Loss,IF(Iterations[[#This Row],[Step]] &gt; current_step, "",Iterations[[#This Row],[Total Loss]]))</f>
        <v>93.61</v>
      </c>
      <c r="M472" s="6" t="s">
        <v>27</v>
      </c>
      <c r="N472" s="2">
        <f ca="1">IF(Iterations[[#This Row],[Step]] =current_step, current_Grad_a,IF(Iterations[[#This Row],[Step]] &gt; current_step, "",Iterations[[#This Row],[Grad_a]]))</f>
        <v>5.8666180813691238E-2</v>
      </c>
      <c r="O472" s="2">
        <f ca="1">IF(Iterations[[#This Row],[Step]] =current_step, current_Grad_b,IF(Iterations[[#This Row],[Step]] &gt; current_step, "",Iterations[[#This Row],[Grad_b]]))</f>
        <v>1.0128438877613277E-2</v>
      </c>
      <c r="P472" s="2">
        <f ca="1">IF(Iterations[[#This Row],[Step]] =current_step, current_Grad_c,IF(Iterations[[#This Row],[Step]] &gt; current_step, "",Iterations[[#This Row],[Grad_c]]))</f>
        <v>-0.16458572332450347</v>
      </c>
      <c r="Q472" s="2">
        <f ca="1">IF(Iterations[[#This Row],[Step]] =current_step, current_Grad_d,IF(Iterations[[#This Row],[Step]] &gt; current_step, "",Iterations[[#This Row],[Grad_d]]))</f>
        <v>-9.1802579826798982E-3</v>
      </c>
      <c r="R472" s="2">
        <f ca="1">IF(Iterations[[#This Row],[Step]] =current_step, current_Grad_e,IF(Iterations[[#This Row],[Step]] &gt; current_step, "",Iterations[[#This Row],[Grad_e]]))</f>
        <v>5.8699008494578507E-2</v>
      </c>
    </row>
    <row r="473" spans="6:18" x14ac:dyDescent="0.3">
      <c r="F473" s="2">
        <f t="shared" si="9"/>
        <v>456</v>
      </c>
      <c r="G473" s="2">
        <f ca="1">IF(Iterations[[#This Row],[Step]] =current_step, current_a,IF(Iterations[[#This Row],[Step]] &gt; current_step, "",Iterations[[#This Row],[a]]))</f>
        <v>-6.7077979752164367</v>
      </c>
      <c r="H473" s="2">
        <f ca="1">IF(Iterations[[#This Row],[Step]] =current_step, current_b,IF(Iterations[[#This Row],[Step]] &gt; current_step, "",Iterations[[#This Row],[b]]))</f>
        <v>0.44667219813362963</v>
      </c>
      <c r="I473" s="2">
        <f ca="1">IF(Iterations[[#This Row],[Step]] =current_step, current_c,IF(Iterations[[#This Row],[Step]] &gt; current_step, "",Iterations[[#This Row],[c]]))</f>
        <v>19.652647751914348</v>
      </c>
      <c r="J473" s="2">
        <f ca="1">IF(Iterations[[#This Row],[Step]] =current_step, current_d,IF(Iterations[[#This Row],[Step]] &gt; current_step, "",Iterations[[#This Row],[d]]))</f>
        <v>1.1149422781984786</v>
      </c>
      <c r="K473" s="2">
        <f ca="1">IF(Iterations[[#This Row],[Step]] =current_step, current_e,IF(Iterations[[#This Row],[Step]] &gt; current_step, "",Iterations[[#This Row],[e]]))</f>
        <v>11.872505987236121</v>
      </c>
      <c r="L473" s="2">
        <f ca="1">IF(Iterations[[#This Row],[Step]] =current_step, current_Total_Loss,IF(Iterations[[#This Row],[Step]] &gt; current_step, "",Iterations[[#This Row],[Total Loss]]))</f>
        <v>93.56</v>
      </c>
      <c r="M473" s="6" t="s">
        <v>27</v>
      </c>
      <c r="N473" s="2">
        <f ca="1">IF(Iterations[[#This Row],[Step]] =current_step, current_Grad_a,IF(Iterations[[#This Row],[Step]] &gt; current_step, "",Iterations[[#This Row],[Grad_a]]))</f>
        <v>5.8269197238720455E-2</v>
      </c>
      <c r="O473" s="2">
        <f ca="1">IF(Iterations[[#This Row],[Step]] =current_step, current_Grad_b,IF(Iterations[[#This Row],[Step]] &gt; current_step, "",Iterations[[#This Row],[Grad_b]]))</f>
        <v>1.0061045080491783E-2</v>
      </c>
      <c r="P473" s="2">
        <f ca="1">IF(Iterations[[#This Row],[Step]] =current_step, current_Grad_c,IF(Iterations[[#This Row],[Step]] &gt; current_step, "",Iterations[[#This Row],[Grad_c]]))</f>
        <v>-0.16347177391580339</v>
      </c>
      <c r="Q473" s="2">
        <f ca="1">IF(Iterations[[#This Row],[Step]] =current_step, current_Grad_d,IF(Iterations[[#This Row],[Step]] &gt; current_step, "",Iterations[[#This Row],[Grad_d]]))</f>
        <v>-9.1205617419636217E-3</v>
      </c>
      <c r="R473" s="2">
        <f ca="1">IF(Iterations[[#This Row],[Step]] =current_step, current_Grad_e,IF(Iterations[[#This Row],[Step]] &gt; current_step, "",Iterations[[#This Row],[Grad_e]]))</f>
        <v>5.8301687418213274E-2</v>
      </c>
    </row>
    <row r="474" spans="6:18" x14ac:dyDescent="0.3">
      <c r="F474" s="2">
        <f t="shared" si="9"/>
        <v>457</v>
      </c>
      <c r="G474" s="2">
        <f ca="1">IF(Iterations[[#This Row],[Step]] =current_step, current_a,IF(Iterations[[#This Row],[Step]] &gt; current_step, "",Iterations[[#This Row],[a]]))</f>
        <v>-6.7118768190231473</v>
      </c>
      <c r="H474" s="2">
        <f ca="1">IF(Iterations[[#This Row],[Step]] =current_step, current_b,IF(Iterations[[#This Row],[Step]] &gt; current_step, "",Iterations[[#This Row],[b]]))</f>
        <v>0.4459679249779952</v>
      </c>
      <c r="I474" s="2">
        <f ca="1">IF(Iterations[[#This Row],[Step]] =current_step, current_c,IF(Iterations[[#This Row],[Step]] &gt; current_step, "",Iterations[[#This Row],[c]]))</f>
        <v>19.664090776088454</v>
      </c>
      <c r="J474" s="2">
        <f ca="1">IF(Iterations[[#This Row],[Step]] =current_step, current_d,IF(Iterations[[#This Row],[Step]] &gt; current_step, "",Iterations[[#This Row],[d]]))</f>
        <v>1.115580717520416</v>
      </c>
      <c r="K474" s="2">
        <f ca="1">IF(Iterations[[#This Row],[Step]] =current_step, current_e,IF(Iterations[[#This Row],[Step]] &gt; current_step, "",Iterations[[#This Row],[e]]))</f>
        <v>11.868424869116845</v>
      </c>
      <c r="L474" s="2">
        <f ca="1">IF(Iterations[[#This Row],[Step]] =current_step, current_Total_Loss,IF(Iterations[[#This Row],[Step]] &gt; current_step, "",Iterations[[#This Row],[Total Loss]]))</f>
        <v>93.52</v>
      </c>
      <c r="M474" s="6" t="s">
        <v>27</v>
      </c>
      <c r="N474" s="2">
        <f ca="1">IF(Iterations[[#This Row],[Step]] =current_step, current_Grad_a,IF(Iterations[[#This Row],[Step]] &gt; current_step, "",Iterations[[#This Row],[Grad_a]]))</f>
        <v>5.7874899797290907E-2</v>
      </c>
      <c r="O474" s="2">
        <f ca="1">IF(Iterations[[#This Row],[Step]] =current_step, current_Grad_b,IF(Iterations[[#This Row],[Step]] &gt; current_step, "",Iterations[[#This Row],[Grad_b]]))</f>
        <v>9.9940869140688095E-3</v>
      </c>
      <c r="P474" s="2">
        <f ca="1">IF(Iterations[[#This Row],[Step]] =current_step, current_Grad_c,IF(Iterations[[#This Row],[Step]] &gt; current_step, "",Iterations[[#This Row],[Grad_c]]))</f>
        <v>-0.1623653659381116</v>
      </c>
      <c r="Q474" s="2">
        <f ca="1">IF(Iterations[[#This Row],[Step]] =current_step, current_Grad_d,IF(Iterations[[#This Row],[Step]] &gt; current_step, "",Iterations[[#This Row],[Grad_d]]))</f>
        <v>-9.0612262109245854E-3</v>
      </c>
      <c r="R474" s="2">
        <f ca="1">IF(Iterations[[#This Row],[Step]] =current_step, current_Grad_e,IF(Iterations[[#This Row],[Step]] &gt; current_step, "",Iterations[[#This Row],[Grad_e]]))</f>
        <v>5.7907056815000364E-2</v>
      </c>
    </row>
    <row r="475" spans="6:18" x14ac:dyDescent="0.3">
      <c r="F475" s="2">
        <f t="shared" si="9"/>
        <v>458</v>
      </c>
      <c r="G475" s="2">
        <f ca="1">IF(Iterations[[#This Row],[Step]] =current_step, current_a,IF(Iterations[[#This Row],[Step]] &gt; current_step, "",Iterations[[#This Row],[a]]))</f>
        <v>-6.7159280620089579</v>
      </c>
      <c r="H475" s="2">
        <f ca="1">IF(Iterations[[#This Row],[Step]] =current_step, current_b,IF(Iterations[[#This Row],[Step]] &gt; current_step, "",Iterations[[#This Row],[b]]))</f>
        <v>0.44526833889401041</v>
      </c>
      <c r="I475" s="2">
        <f ca="1">IF(Iterations[[#This Row],[Step]] =current_step, current_c,IF(Iterations[[#This Row],[Step]] &gt; current_step, "",Iterations[[#This Row],[c]]))</f>
        <v>19.675456351704121</v>
      </c>
      <c r="J475" s="2">
        <f ca="1">IF(Iterations[[#This Row],[Step]] =current_step, current_d,IF(Iterations[[#This Row],[Step]] &gt; current_step, "",Iterations[[#This Row],[d]]))</f>
        <v>1.1162150033551808</v>
      </c>
      <c r="K475" s="2">
        <f ca="1">IF(Iterations[[#This Row],[Step]] =current_step, current_e,IF(Iterations[[#This Row],[Step]] &gt; current_step, "",Iterations[[#This Row],[e]]))</f>
        <v>11.864371375139795</v>
      </c>
      <c r="L475" s="2">
        <f ca="1">IF(Iterations[[#This Row],[Step]] =current_step, current_Total_Loss,IF(Iterations[[#This Row],[Step]] &gt; current_step, "",Iterations[[#This Row],[Total Loss]]))</f>
        <v>93.48</v>
      </c>
      <c r="M475" s="6" t="s">
        <v>27</v>
      </c>
      <c r="N475" s="2">
        <f ca="1">IF(Iterations[[#This Row],[Step]] =current_step, current_Grad_a,IF(Iterations[[#This Row],[Step]] &gt; current_step, "",Iterations[[#This Row],[Grad_a]]))</f>
        <v>5.7483270317307156E-2</v>
      </c>
      <c r="O475" s="2">
        <f ca="1">IF(Iterations[[#This Row],[Step]] =current_step, current_Grad_b,IF(Iterations[[#This Row],[Step]] &gt; current_step, "",Iterations[[#This Row],[Grad_b]]))</f>
        <v>9.9275617944653317E-3</v>
      </c>
      <c r="P475" s="2">
        <f ca="1">IF(Iterations[[#This Row],[Step]] =current_step, current_Grad_c,IF(Iterations[[#This Row],[Step]] &gt; current_step, "",Iterations[[#This Row],[Grad_c]]))</f>
        <v>-0.161266448300421</v>
      </c>
      <c r="Q475" s="2">
        <f ca="1">IF(Iterations[[#This Row],[Step]] =current_step, current_Grad_d,IF(Iterations[[#This Row],[Step]] &gt; current_step, "",Iterations[[#This Row],[Grad_d]]))</f>
        <v>-9.0022497195636052E-3</v>
      </c>
      <c r="R475" s="2">
        <f ca="1">IF(Iterations[[#This Row],[Step]] =current_step, current_Grad_e,IF(Iterations[[#This Row],[Step]] &gt; current_step, "",Iterations[[#This Row],[Grad_e]]))</f>
        <v>5.7515098446856427E-2</v>
      </c>
    </row>
    <row r="476" spans="6:18" x14ac:dyDescent="0.3">
      <c r="F476" s="2">
        <f t="shared" si="9"/>
        <v>459</v>
      </c>
      <c r="G476" s="2">
        <f ca="1">IF(Iterations[[#This Row],[Step]] =current_step, current_a,IF(Iterations[[#This Row],[Step]] &gt; current_step, "",Iterations[[#This Row],[a]]))</f>
        <v>-6.7199518909311697</v>
      </c>
      <c r="H476" s="2">
        <f ca="1">IF(Iterations[[#This Row],[Step]] =current_step, current_b,IF(Iterations[[#This Row],[Step]] &gt; current_step, "",Iterations[[#This Row],[b]]))</f>
        <v>0.44457340956839786</v>
      </c>
      <c r="I476" s="2">
        <f ca="1">IF(Iterations[[#This Row],[Step]] =current_step, current_c,IF(Iterations[[#This Row],[Step]] &gt; current_step, "",Iterations[[#This Row],[c]]))</f>
        <v>19.68674500308515</v>
      </c>
      <c r="J476" s="2">
        <f ca="1">IF(Iterations[[#This Row],[Step]] =current_step, current_d,IF(Iterations[[#This Row],[Step]] &gt; current_step, "",Iterations[[#This Row],[d]]))</f>
        <v>1.1168451608355503</v>
      </c>
      <c r="K476" s="2">
        <f ca="1">IF(Iterations[[#This Row],[Step]] =current_step, current_e,IF(Iterations[[#This Row],[Step]] &gt; current_step, "",Iterations[[#This Row],[e]]))</f>
        <v>11.860345318248514</v>
      </c>
      <c r="L476" s="2">
        <f ca="1">IF(Iterations[[#This Row],[Step]] =current_step, current_Total_Loss,IF(Iterations[[#This Row],[Step]] &gt; current_step, "",Iterations[[#This Row],[Total Loss]]))</f>
        <v>93.44</v>
      </c>
      <c r="M476" s="6" t="s">
        <v>27</v>
      </c>
      <c r="N476" s="2">
        <f ca="1">IF(Iterations[[#This Row],[Step]] =current_step, current_Grad_a,IF(Iterations[[#This Row],[Step]] &gt; current_step, "",Iterations[[#This Row],[Grad_a]]))</f>
        <v>5.7094290749620948E-2</v>
      </c>
      <c r="O476" s="2">
        <f ca="1">IF(Iterations[[#This Row],[Step]] =current_step, current_Grad_b,IF(Iterations[[#This Row],[Step]] &gt; current_step, "",Iterations[[#This Row],[Grad_b]]))</f>
        <v>9.8614671488074668E-3</v>
      </c>
      <c r="P476" s="2">
        <f ca="1">IF(Iterations[[#This Row],[Step]] =current_step, current_Grad_c,IF(Iterations[[#This Row],[Step]] &gt; current_step, "",Iterations[[#This Row],[Grad_c]]))</f>
        <v>-0.16017497025845329</v>
      </c>
      <c r="Q476" s="2">
        <f ca="1">IF(Iterations[[#This Row],[Step]] =current_step, current_Grad_d,IF(Iterations[[#This Row],[Step]] &gt; current_step, "",Iterations[[#This Row],[Grad_d]]))</f>
        <v>-8.9436305954362673E-3</v>
      </c>
      <c r="R476" s="2">
        <f ca="1">IF(Iterations[[#This Row],[Step]] =current_step, current_Grad_e,IF(Iterations[[#This Row],[Step]] &gt; current_step, "",Iterations[[#This Row],[Grad_e]]))</f>
        <v>5.7125794199694248E-2</v>
      </c>
    </row>
    <row r="477" spans="6:18" x14ac:dyDescent="0.3">
      <c r="F477" s="2">
        <f t="shared" si="9"/>
        <v>460</v>
      </c>
      <c r="G477" s="2">
        <f ca="1">IF(Iterations[[#This Row],[Step]] =current_step, current_a,IF(Iterations[[#This Row],[Step]] &gt; current_step, "",Iterations[[#This Row],[a]]))</f>
        <v>-6.7239484912836431</v>
      </c>
      <c r="H477" s="2">
        <f ca="1">IF(Iterations[[#This Row],[Step]] =current_step, current_b,IF(Iterations[[#This Row],[Step]] &gt; current_step, "",Iterations[[#This Row],[b]]))</f>
        <v>0.44388310686798133</v>
      </c>
      <c r="I477" s="2">
        <f ca="1">IF(Iterations[[#This Row],[Step]] =current_step, current_c,IF(Iterations[[#This Row],[Step]] &gt; current_step, "",Iterations[[#This Row],[c]]))</f>
        <v>19.697957251003242</v>
      </c>
      <c r="J477" s="2">
        <f ca="1">IF(Iterations[[#This Row],[Step]] =current_step, current_d,IF(Iterations[[#This Row],[Step]] &gt; current_step, "",Iterations[[#This Row],[d]]))</f>
        <v>1.1174712149772308</v>
      </c>
      <c r="K477" s="2">
        <f ca="1">IF(Iterations[[#This Row],[Step]] =current_step, current_e,IF(Iterations[[#This Row],[Step]] &gt; current_step, "",Iterations[[#This Row],[e]]))</f>
        <v>11.856346512654536</v>
      </c>
      <c r="L477" s="2">
        <f ca="1">IF(Iterations[[#This Row],[Step]] =current_step, current_Total_Loss,IF(Iterations[[#This Row],[Step]] &gt; current_step, "",Iterations[[#This Row],[Total Loss]]))</f>
        <v>93.4</v>
      </c>
      <c r="M477" s="6" t="s">
        <v>27</v>
      </c>
      <c r="N477" s="2">
        <f ca="1">IF(Iterations[[#This Row],[Step]] =current_step, current_Grad_a,IF(Iterations[[#This Row],[Step]] &gt; current_step, "",Iterations[[#This Row],[Grad_a]]))</f>
        <v>5.6707943166984687E-2</v>
      </c>
      <c r="O477" s="2">
        <f ca="1">IF(Iterations[[#This Row],[Step]] =current_step, current_Grad_b,IF(Iterations[[#This Row],[Step]] &gt; current_step, "",Iterations[[#This Row],[Grad_b]]))</f>
        <v>9.7958004152784682E-3</v>
      </c>
      <c r="P477" s="2">
        <f ca="1">IF(Iterations[[#This Row],[Step]] =current_step, current_Grad_c,IF(Iterations[[#This Row],[Step]] &gt; current_step, "",Iterations[[#This Row],[Grad_c]]))</f>
        <v>-0.1590908814123865</v>
      </c>
      <c r="Q477" s="2">
        <f ca="1">IF(Iterations[[#This Row],[Step]] =current_step, current_Grad_d,IF(Iterations[[#This Row],[Step]] &gt; current_step, "",Iterations[[#This Row],[Grad_d]]))</f>
        <v>-8.8853671639179729E-3</v>
      </c>
      <c r="R477" s="2">
        <f ca="1">IF(Iterations[[#This Row],[Step]] =current_step, current_Grad_e,IF(Iterations[[#This Row],[Step]] &gt; current_step, "",Iterations[[#This Row],[Grad_e]]))</f>
        <v>5.6739126082526466E-2</v>
      </c>
    </row>
    <row r="478" spans="6:18" x14ac:dyDescent="0.3">
      <c r="F478" s="2">
        <f t="shared" si="9"/>
        <v>461</v>
      </c>
      <c r="G478" s="2">
        <f ca="1">IF(Iterations[[#This Row],[Step]] =current_step, current_a,IF(Iterations[[#This Row],[Step]] &gt; current_step, "",Iterations[[#This Row],[a]]))</f>
        <v>-6.7279180473053319</v>
      </c>
      <c r="H478" s="2">
        <f ca="1">IF(Iterations[[#This Row],[Step]] =current_step, current_b,IF(Iterations[[#This Row],[Step]] &gt; current_step, "",Iterations[[#This Row],[b]]))</f>
        <v>0.44319740083891185</v>
      </c>
      <c r="I478" s="2">
        <f ca="1">IF(Iterations[[#This Row],[Step]] =current_step, current_c,IF(Iterations[[#This Row],[Step]] &gt; current_step, "",Iterations[[#This Row],[c]]))</f>
        <v>19.709093612702109</v>
      </c>
      <c r="J478" s="2">
        <f ca="1">IF(Iterations[[#This Row],[Step]] =current_step, current_d,IF(Iterations[[#This Row],[Step]] &gt; current_step, "",Iterations[[#This Row],[d]]))</f>
        <v>1.1180931906787051</v>
      </c>
      <c r="K478" s="2">
        <f ca="1">IF(Iterations[[#This Row],[Step]] =current_step, current_e,IF(Iterations[[#This Row],[Step]] &gt; current_step, "",Iterations[[#This Row],[e]]))</f>
        <v>11.852374773828759</v>
      </c>
      <c r="L478" s="2">
        <f ca="1">IF(Iterations[[#This Row],[Step]] =current_step, current_Total_Loss,IF(Iterations[[#This Row],[Step]] &gt; current_step, "",Iterations[[#This Row],[Total Loss]]))</f>
        <v>93.36</v>
      </c>
      <c r="M478" s="6" t="s">
        <v>27</v>
      </c>
      <c r="N478" s="2">
        <f ca="1">IF(Iterations[[#This Row],[Step]] =current_step, current_Grad_a,IF(Iterations[[#This Row],[Step]] &gt; current_step, "",Iterations[[#This Row],[Grad_a]]))</f>
        <v>5.6324209763604256E-2</v>
      </c>
      <c r="O478" s="2">
        <f ca="1">IF(Iterations[[#This Row],[Step]] =current_step, current_Grad_b,IF(Iterations[[#This Row],[Step]] &gt; current_step, "",Iterations[[#This Row],[Grad_b]]))</f>
        <v>9.7305590430920141E-3</v>
      </c>
      <c r="P478" s="2">
        <f ca="1">IF(Iterations[[#This Row],[Step]] =current_step, current_Grad_c,IF(Iterations[[#This Row],[Step]] &gt; current_step, "",Iterations[[#This Row],[Grad_c]]))</f>
        <v>-0.15801413170435602</v>
      </c>
      <c r="Q478" s="2">
        <f ca="1">IF(Iterations[[#This Row],[Step]] =current_step, current_Grad_d,IF(Iterations[[#This Row],[Step]] &gt; current_step, "",Iterations[[#This Row],[Grad_d]]))</f>
        <v>-8.8274577484784775E-3</v>
      </c>
      <c r="R478" s="2">
        <f ca="1">IF(Iterations[[#This Row],[Step]] =current_step, current_Grad_e,IF(Iterations[[#This Row],[Step]] &gt; current_step, "",Iterations[[#This Row],[Grad_e]]))</f>
        <v>5.6355076226690476E-2</v>
      </c>
    </row>
    <row r="479" spans="6:18" x14ac:dyDescent="0.3">
      <c r="F479" s="2">
        <f t="shared" si="9"/>
        <v>462</v>
      </c>
      <c r="G479" s="2">
        <f ca="1">IF(Iterations[[#This Row],[Step]] =current_step, current_a,IF(Iterations[[#This Row],[Step]] &gt; current_step, "",Iterations[[#This Row],[a]]))</f>
        <v>-6.7318607419887844</v>
      </c>
      <c r="H479" s="2">
        <f ca="1">IF(Iterations[[#This Row],[Step]] =current_step, current_b,IF(Iterations[[#This Row],[Step]] &gt; current_step, "",Iterations[[#This Row],[b]]))</f>
        <v>0.44251626170589542</v>
      </c>
      <c r="I479" s="2">
        <f ca="1">IF(Iterations[[#This Row],[Step]] =current_step, current_c,IF(Iterations[[#This Row],[Step]] &gt; current_step, "",Iterations[[#This Row],[c]]))</f>
        <v>19.720154601921415</v>
      </c>
      <c r="J479" s="2">
        <f ca="1">IF(Iterations[[#This Row],[Step]] =current_step, current_d,IF(Iterations[[#This Row],[Step]] &gt; current_step, "",Iterations[[#This Row],[d]]))</f>
        <v>1.1187111127210985</v>
      </c>
      <c r="K479" s="2">
        <f ca="1">IF(Iterations[[#This Row],[Step]] =current_step, current_e,IF(Iterations[[#This Row],[Step]] &gt; current_step, "",Iterations[[#This Row],[e]]))</f>
        <v>11.84842991849289</v>
      </c>
      <c r="L479" s="2">
        <f ca="1">IF(Iterations[[#This Row],[Step]] =current_step, current_Total_Loss,IF(Iterations[[#This Row],[Step]] &gt; current_step, "",Iterations[[#This Row],[Total Loss]]))</f>
        <v>93.32</v>
      </c>
      <c r="M479" s="6" t="s">
        <v>27</v>
      </c>
      <c r="N479" s="2">
        <f ca="1">IF(Iterations[[#This Row],[Step]] =current_step, current_Grad_a,IF(Iterations[[#This Row],[Step]] &gt; current_step, "",Iterations[[#This Row],[Grad_a]]))</f>
        <v>5.5943072853813315E-2</v>
      </c>
      <c r="O479" s="2">
        <f ca="1">IF(Iterations[[#This Row],[Step]] =current_step, current_Grad_b,IF(Iterations[[#This Row],[Step]] &gt; current_step, "",Iterations[[#This Row],[Grad_b]]))</f>
        <v>9.6657404926395549E-3</v>
      </c>
      <c r="P479" s="2">
        <f ca="1">IF(Iterations[[#This Row],[Step]] =current_step, current_Grad_c,IF(Iterations[[#This Row],[Step]] &gt; current_step, "",Iterations[[#This Row],[Grad_c]]))</f>
        <v>-0.15694467141632057</v>
      </c>
      <c r="Q479" s="2">
        <f ca="1">IF(Iterations[[#This Row],[Step]] =current_step, current_Grad_d,IF(Iterations[[#This Row],[Step]] &gt; current_step, "",Iterations[[#This Row],[Grad_d]]))</f>
        <v>-8.7699006708913396E-3</v>
      </c>
      <c r="R479" s="2">
        <f ca="1">IF(Iterations[[#This Row],[Step]] =current_step, current_Grad_e,IF(Iterations[[#This Row],[Step]] &gt; current_step, "",Iterations[[#This Row],[Grad_e]]))</f>
        <v>5.5973626884926811E-2</v>
      </c>
    </row>
    <row r="480" spans="6:18" x14ac:dyDescent="0.3">
      <c r="F480" s="2">
        <f t="shared" si="9"/>
        <v>463</v>
      </c>
      <c r="G480" s="2">
        <f ca="1">IF(Iterations[[#This Row],[Step]] =current_step, current_a,IF(Iterations[[#This Row],[Step]] &gt; current_step, "",Iterations[[#This Row],[a]]))</f>
        <v>-6.7357767570885514</v>
      </c>
      <c r="H480" s="2">
        <f ca="1">IF(Iterations[[#This Row],[Step]] =current_step, current_b,IF(Iterations[[#This Row],[Step]] &gt; current_step, "",Iterations[[#This Row],[b]]))</f>
        <v>0.44183965987141066</v>
      </c>
      <c r="I480" s="2">
        <f ca="1">IF(Iterations[[#This Row],[Step]] =current_step, current_c,IF(Iterations[[#This Row],[Step]] &gt; current_step, "",Iterations[[#This Row],[c]]))</f>
        <v>19.731140728920558</v>
      </c>
      <c r="J480" s="2">
        <f ca="1">IF(Iterations[[#This Row],[Step]] =current_step, current_d,IF(Iterations[[#This Row],[Step]] &gt; current_step, "",Iterations[[#This Row],[d]]))</f>
        <v>1.1193250057680608</v>
      </c>
      <c r="K480" s="2">
        <f ca="1">IF(Iterations[[#This Row],[Step]] =current_step, current_e,IF(Iterations[[#This Row],[Step]] &gt; current_step, "",Iterations[[#This Row],[e]]))</f>
        <v>11.844511764610946</v>
      </c>
      <c r="L480" s="2">
        <f ca="1">IF(Iterations[[#This Row],[Step]] =current_step, current_Total_Loss,IF(Iterations[[#This Row],[Step]] &gt; current_step, "",Iterations[[#This Row],[Total Loss]]))</f>
        <v>93.28</v>
      </c>
      <c r="M480" s="6" t="s">
        <v>27</v>
      </c>
      <c r="N480" s="2">
        <f ca="1">IF(Iterations[[#This Row],[Step]] =current_step, current_Grad_a,IF(Iterations[[#This Row],[Step]] &gt; current_step, "",Iterations[[#This Row],[Grad_a]]))</f>
        <v>5.5564514871843822E-2</v>
      </c>
      <c r="O480" s="2">
        <f ca="1">IF(Iterations[[#This Row],[Step]] =current_step, current_Grad_b,IF(Iterations[[#This Row],[Step]] &gt; current_step, "",Iterations[[#This Row],[Grad_b]]))</f>
        <v>9.6013422353686626E-3</v>
      </c>
      <c r="P480" s="2">
        <f ca="1">IF(Iterations[[#This Row],[Step]] =current_step, current_Grad_c,IF(Iterations[[#This Row],[Step]] &gt; current_step, "",Iterations[[#This Row],[Grad_c]]))</f>
        <v>-0.15588245116751748</v>
      </c>
      <c r="Q480" s="2">
        <f ca="1">IF(Iterations[[#This Row],[Step]] =current_step, current_Grad_d,IF(Iterations[[#This Row],[Step]] &gt; current_step, "",Iterations[[#This Row],[Grad_d]]))</f>
        <v>-8.7126942515369388E-3</v>
      </c>
      <c r="R480" s="2">
        <f ca="1">IF(Iterations[[#This Row],[Step]] =current_step, current_Grad_e,IF(Iterations[[#This Row],[Step]] &gt; current_step, "",Iterations[[#This Row],[Grad_e]]))</f>
        <v>5.5594760430647483E-2</v>
      </c>
    </row>
    <row r="481" spans="6:18" x14ac:dyDescent="0.3">
      <c r="F481" s="2">
        <f t="shared" si="9"/>
        <v>464</v>
      </c>
      <c r="G481" s="2">
        <f ca="1">IF(Iterations[[#This Row],[Step]] =current_step, current_a,IF(Iterations[[#This Row],[Step]] &gt; current_step, "",Iterations[[#This Row],[a]]))</f>
        <v>-6.7396662731295809</v>
      </c>
      <c r="H481" s="2">
        <f ca="1">IF(Iterations[[#This Row],[Step]] =current_step, current_b,IF(Iterations[[#This Row],[Step]] &gt; current_step, "",Iterations[[#This Row],[b]]))</f>
        <v>0.44116756591493483</v>
      </c>
      <c r="I481" s="2">
        <f ca="1">IF(Iterations[[#This Row],[Step]] =current_step, current_c,IF(Iterations[[#This Row],[Step]] &gt; current_step, "",Iterations[[#This Row],[c]]))</f>
        <v>19.742052500502282</v>
      </c>
      <c r="J481" s="2">
        <f ca="1">IF(Iterations[[#This Row],[Step]] =current_step, current_d,IF(Iterations[[#This Row],[Step]] &gt; current_step, "",Iterations[[#This Row],[d]]))</f>
        <v>1.1199348943656684</v>
      </c>
      <c r="K481" s="2">
        <f ca="1">IF(Iterations[[#This Row],[Step]] =current_step, current_e,IF(Iterations[[#This Row],[Step]] &gt; current_step, "",Iterations[[#This Row],[e]]))</f>
        <v>11.840620131380801</v>
      </c>
      <c r="L481" s="2">
        <f ca="1">IF(Iterations[[#This Row],[Step]] =current_step, current_Total_Loss,IF(Iterations[[#This Row],[Step]] &gt; current_step, "",Iterations[[#This Row],[Total Loss]]))</f>
        <v>93.24</v>
      </c>
      <c r="M481" s="6" t="s">
        <v>27</v>
      </c>
      <c r="N481" s="2">
        <f ca="1">IF(Iterations[[#This Row],[Step]] =current_step, current_Grad_a,IF(Iterations[[#This Row],[Step]] &gt; current_step, "",Iterations[[#This Row],[Grad_a]]))</f>
        <v>5.518851837036666E-2</v>
      </c>
      <c r="O481" s="2">
        <f ca="1">IF(Iterations[[#This Row],[Step]] =current_step, current_Grad_b,IF(Iterations[[#This Row],[Step]] &gt; current_step, "",Iterations[[#This Row],[Grad_b]]))</f>
        <v>9.5373617540331791E-3</v>
      </c>
      <c r="P481" s="2">
        <f ca="1">IF(Iterations[[#This Row],[Step]] =current_step, current_Grad_c,IF(Iterations[[#This Row],[Step]] &gt; current_step, "",Iterations[[#This Row],[Grad_c]]))</f>
        <v>-0.15482742191242141</v>
      </c>
      <c r="Q481" s="2">
        <f ca="1">IF(Iterations[[#This Row],[Step]] =current_step, current_Grad_d,IF(Iterations[[#This Row],[Step]] &gt; current_step, "",Iterations[[#This Row],[Grad_d]]))</f>
        <v>-8.6558368095548295E-3</v>
      </c>
      <c r="R481" s="2">
        <f ca="1">IF(Iterations[[#This Row],[Step]] =current_step, current_Grad_e,IF(Iterations[[#This Row],[Step]] &gt; current_step, "",Iterations[[#This Row],[Grad_e]]))</f>
        <v>5.5218459356989276E-2</v>
      </c>
    </row>
    <row r="482" spans="6:18" x14ac:dyDescent="0.3">
      <c r="F482" s="2">
        <f t="shared" si="9"/>
        <v>465</v>
      </c>
      <c r="G482" s="2">
        <f ca="1">IF(Iterations[[#This Row],[Step]] =current_step, current_a,IF(Iterations[[#This Row],[Step]] &gt; current_step, "",Iterations[[#This Row],[a]]))</f>
        <v>-6.7435294694155061</v>
      </c>
      <c r="H482" s="2">
        <f ca="1">IF(Iterations[[#This Row],[Step]] =current_step, current_b,IF(Iterations[[#This Row],[Step]] &gt; current_step, "",Iterations[[#This Row],[b]]))</f>
        <v>0.44049995059215252</v>
      </c>
      <c r="I482" s="2">
        <f ca="1">IF(Iterations[[#This Row],[Step]] =current_step, current_c,IF(Iterations[[#This Row],[Step]] &gt; current_step, "",Iterations[[#This Row],[c]]))</f>
        <v>19.752890420036152</v>
      </c>
      <c r="J482" s="2">
        <f ca="1">IF(Iterations[[#This Row],[Step]] =current_step, current_d,IF(Iterations[[#This Row],[Step]] &gt; current_step, "",Iterations[[#This Row],[d]]))</f>
        <v>1.1205408029423372</v>
      </c>
      <c r="K482" s="2">
        <f ca="1">IF(Iterations[[#This Row],[Step]] =current_step, current_e,IF(Iterations[[#This Row],[Step]] &gt; current_step, "",Iterations[[#This Row],[e]]))</f>
        <v>11.836754839225812</v>
      </c>
      <c r="L482" s="2">
        <f ca="1">IF(Iterations[[#This Row],[Step]] =current_step, current_Total_Loss,IF(Iterations[[#This Row],[Step]] &gt; current_step, "",Iterations[[#This Row],[Total Loss]]))</f>
        <v>93.2</v>
      </c>
      <c r="M482" s="6" t="s">
        <v>27</v>
      </c>
      <c r="N482" s="2">
        <f ca="1">IF(Iterations[[#This Row],[Step]] =current_step, current_Grad_a,IF(Iterations[[#This Row],[Step]] &gt; current_step, "",Iterations[[#This Row],[Grad_a]]))</f>
        <v>5.481506602049354E-2</v>
      </c>
      <c r="O482" s="2">
        <f ca="1">IF(Iterations[[#This Row],[Step]] =current_step, current_Grad_b,IF(Iterations[[#This Row],[Step]] &gt; current_step, "",Iterations[[#This Row],[Grad_b]]))</f>
        <v>9.4737965424325932E-3</v>
      </c>
      <c r="P482" s="2">
        <f ca="1">IF(Iterations[[#This Row],[Step]] =current_step, current_Grad_c,IF(Iterations[[#This Row],[Step]] &gt; current_step, "",Iterations[[#This Row],[Grad_c]]))</f>
        <v>-0.15377953493813781</v>
      </c>
      <c r="Q482" s="2">
        <f ca="1">IF(Iterations[[#This Row],[Step]] =current_step, current_Grad_d,IF(Iterations[[#This Row],[Step]] &gt; current_step, "",Iterations[[#This Row],[Grad_d]]))</f>
        <v>-8.5993266631853964E-3</v>
      </c>
      <c r="R482" s="2">
        <f ca="1">IF(Iterations[[#This Row],[Step]] =current_step, current_Grad_e,IF(Iterations[[#This Row],[Step]] &gt; current_step, "",Iterations[[#This Row],[Grad_e]]))</f>
        <v>5.4844706276148888E-2</v>
      </c>
    </row>
    <row r="483" spans="6:18" x14ac:dyDescent="0.3">
      <c r="F483" s="2">
        <f t="shared" si="9"/>
        <v>466</v>
      </c>
      <c r="G483" s="2">
        <f ca="1">IF(Iterations[[#This Row],[Step]] =current_step, current_a,IF(Iterations[[#This Row],[Step]] &gt; current_step, "",Iterations[[#This Row],[a]]))</f>
        <v>-6.7473665240369405</v>
      </c>
      <c r="H483" s="2">
        <f ca="1">IF(Iterations[[#This Row],[Step]] =current_step, current_b,IF(Iterations[[#This Row],[Step]] &gt; current_step, "",Iterations[[#This Row],[b]]))</f>
        <v>0.43983678483418226</v>
      </c>
      <c r="I483" s="2">
        <f ca="1">IF(Iterations[[#This Row],[Step]] =current_step, current_c,IF(Iterations[[#This Row],[Step]] &gt; current_step, "",Iterations[[#This Row],[c]]))</f>
        <v>19.763654987481821</v>
      </c>
      <c r="J483" s="2">
        <f ca="1">IF(Iterations[[#This Row],[Step]] =current_step, current_d,IF(Iterations[[#This Row],[Step]] &gt; current_step, "",Iterations[[#This Row],[d]]))</f>
        <v>1.1211427558087601</v>
      </c>
      <c r="K483" s="2">
        <f ca="1">IF(Iterations[[#This Row],[Step]] =current_step, current_e,IF(Iterations[[#This Row],[Step]] &gt; current_step, "",Iterations[[#This Row],[e]]))</f>
        <v>11.832915709786482</v>
      </c>
      <c r="L483" s="2">
        <f ca="1">IF(Iterations[[#This Row],[Step]] =current_step, current_Total_Loss,IF(Iterations[[#This Row],[Step]] &gt; current_step, "",Iterations[[#This Row],[Total Loss]]))</f>
        <v>93.17</v>
      </c>
      <c r="M483" s="6" t="s">
        <v>27</v>
      </c>
      <c r="N483" s="2">
        <f ca="1">IF(Iterations[[#This Row],[Step]] =current_step, current_Grad_a,IF(Iterations[[#This Row],[Step]] &gt; current_step, "",Iterations[[#This Row],[Grad_a]]))</f>
        <v>5.444414060990057E-2</v>
      </c>
      <c r="O483" s="2">
        <f ca="1">IF(Iterations[[#This Row],[Step]] =current_step, current_Grad_b,IF(Iterations[[#This Row],[Step]] &gt; current_step, "",Iterations[[#This Row],[Grad_b]]))</f>
        <v>9.4106441057920775E-3</v>
      </c>
      <c r="P483" s="2">
        <f ca="1">IF(Iterations[[#This Row],[Step]] =current_step, current_Grad_c,IF(Iterations[[#This Row],[Step]] &gt; current_step, "",Iterations[[#This Row],[Grad_c]]))</f>
        <v>-0.15273874186256642</v>
      </c>
      <c r="Q483" s="2">
        <f ca="1">IF(Iterations[[#This Row],[Step]] =current_step, current_Grad_d,IF(Iterations[[#This Row],[Step]] &gt; current_step, "",Iterations[[#This Row],[Grad_d]]))</f>
        <v>-8.543162129869452E-3</v>
      </c>
      <c r="R483" s="2">
        <f ca="1">IF(Iterations[[#This Row],[Step]] =current_step, current_Grad_e,IF(Iterations[[#This Row],[Step]] &gt; current_step, "",Iterations[[#This Row],[Grad_e]]))</f>
        <v>5.4473483918369446E-2</v>
      </c>
    </row>
    <row r="484" spans="6:18" x14ac:dyDescent="0.3">
      <c r="F484" s="2">
        <f t="shared" si="9"/>
        <v>467</v>
      </c>
      <c r="G484" s="2">
        <f ca="1">IF(Iterations[[#This Row],[Step]] =current_step, current_a,IF(Iterations[[#This Row],[Step]] &gt; current_step, "",Iterations[[#This Row],[a]]))</f>
        <v>-6.7511776138796336</v>
      </c>
      <c r="H484" s="2">
        <f ca="1">IF(Iterations[[#This Row],[Step]] =current_step, current_b,IF(Iterations[[#This Row],[Step]] &gt; current_step, "",Iterations[[#This Row],[b]]))</f>
        <v>0.43917803974677683</v>
      </c>
      <c r="I484" s="2">
        <f ca="1">IF(Iterations[[#This Row],[Step]] =current_step, current_c,IF(Iterations[[#This Row],[Step]] &gt; current_step, "",Iterations[[#This Row],[c]]))</f>
        <v>19.774346699412202</v>
      </c>
      <c r="J484" s="2">
        <f ca="1">IF(Iterations[[#This Row],[Step]] =current_step, current_d,IF(Iterations[[#This Row],[Step]] &gt; current_step, "",Iterations[[#This Row],[d]]))</f>
        <v>1.1217407771578509</v>
      </c>
      <c r="K484" s="2">
        <f ca="1">IF(Iterations[[#This Row],[Step]] =current_step, current_e,IF(Iterations[[#This Row],[Step]] &gt; current_step, "",Iterations[[#This Row],[e]]))</f>
        <v>11.829102565912196</v>
      </c>
      <c r="L484" s="2">
        <f ca="1">IF(Iterations[[#This Row],[Step]] =current_step, current_Total_Loss,IF(Iterations[[#This Row],[Step]] &gt; current_step, "",Iterations[[#This Row],[Total Loss]]))</f>
        <v>93.13</v>
      </c>
      <c r="M484" s="6" t="s">
        <v>27</v>
      </c>
      <c r="N484" s="2">
        <f ca="1">IF(Iterations[[#This Row],[Step]] =current_step, current_Grad_a,IF(Iterations[[#This Row],[Step]] &gt; current_step, "",Iterations[[#This Row],[Grad_a]]))</f>
        <v>5.4075725043368189E-2</v>
      </c>
      <c r="O484" s="2">
        <f ca="1">IF(Iterations[[#This Row],[Step]] =current_step, current_Grad_b,IF(Iterations[[#This Row],[Step]] &gt; current_step, "",Iterations[[#This Row],[Grad_b]]))</f>
        <v>9.3479019604307267E-3</v>
      </c>
      <c r="P484" s="2">
        <f ca="1">IF(Iterations[[#This Row],[Step]] =current_step, current_Grad_c,IF(Iterations[[#This Row],[Step]] &gt; current_step, "",Iterations[[#This Row],[Grad_c]]))</f>
        <v>-0.1517049946316088</v>
      </c>
      <c r="Q484" s="2">
        <f ca="1">IF(Iterations[[#This Row],[Step]] =current_step, current_Grad_d,IF(Iterations[[#This Row],[Step]] &gt; current_step, "",Iterations[[#This Row],[Grad_d]]))</f>
        <v>-8.4873415265935472E-3</v>
      </c>
      <c r="R484" s="2">
        <f ca="1">IF(Iterations[[#This Row],[Step]] =current_step, current_Grad_e,IF(Iterations[[#This Row],[Step]] &gt; current_step, "",Iterations[[#This Row],[Grad_e]]))</f>
        <v>5.4104775131376376E-2</v>
      </c>
    </row>
    <row r="485" spans="6:18" x14ac:dyDescent="0.3">
      <c r="F485" s="2">
        <f t="shared" si="9"/>
        <v>468</v>
      </c>
      <c r="G485" s="2">
        <f ca="1">IF(Iterations[[#This Row],[Step]] =current_step, current_a,IF(Iterations[[#This Row],[Step]] &gt; current_step, "",Iterations[[#This Row],[a]]))</f>
        <v>-6.7549629146326691</v>
      </c>
      <c r="H485" s="2">
        <f ca="1">IF(Iterations[[#This Row],[Step]] =current_step, current_b,IF(Iterations[[#This Row],[Step]] &gt; current_step, "",Iterations[[#This Row],[b]]))</f>
        <v>0.43852368660954666</v>
      </c>
      <c r="I485" s="2">
        <f ca="1">IF(Iterations[[#This Row],[Step]] =current_step, current_c,IF(Iterations[[#This Row],[Step]] &gt; current_step, "",Iterations[[#This Row],[c]]))</f>
        <v>19.784966049036417</v>
      </c>
      <c r="J485" s="2">
        <f ca="1">IF(Iterations[[#This Row],[Step]] =current_step, current_d,IF(Iterations[[#This Row],[Step]] &gt; current_step, "",Iterations[[#This Row],[d]]))</f>
        <v>1.1223348910647124</v>
      </c>
      <c r="K485" s="2">
        <f ca="1">IF(Iterations[[#This Row],[Step]] =current_step, current_e,IF(Iterations[[#This Row],[Step]] &gt; current_step, "",Iterations[[#This Row],[e]]))</f>
        <v>11.825315231652999</v>
      </c>
      <c r="L485" s="2">
        <f ca="1">IF(Iterations[[#This Row],[Step]] =current_step, current_Total_Loss,IF(Iterations[[#This Row],[Step]] &gt; current_step, "",Iterations[[#This Row],[Total Loss]]))</f>
        <v>93.09</v>
      </c>
      <c r="M485" s="6" t="s">
        <v>27</v>
      </c>
      <c r="N485" s="2">
        <f ca="1">IF(Iterations[[#This Row],[Step]] =current_step, current_Grad_a,IF(Iterations[[#This Row],[Step]] &gt; current_step, "",Iterations[[#This Row],[Grad_a]]))</f>
        <v>5.3709802340615856E-2</v>
      </c>
      <c r="O485" s="2">
        <f ca="1">IF(Iterations[[#This Row],[Step]] =current_step, current_Grad_b,IF(Iterations[[#This Row],[Step]] &gt; current_step, "",Iterations[[#This Row],[Grad_b]]))</f>
        <v>9.2855676340920269E-3</v>
      </c>
      <c r="P485" s="2">
        <f ca="1">IF(Iterations[[#This Row],[Step]] =current_step, current_Grad_c,IF(Iterations[[#This Row],[Step]] &gt; current_step, "",Iterations[[#This Row],[Grad_c]]))</f>
        <v>-0.15067824551750608</v>
      </c>
      <c r="Q485" s="2">
        <f ca="1">IF(Iterations[[#This Row],[Step]] =current_step, current_Grad_d,IF(Iterations[[#This Row],[Step]] &gt; current_step, "",Iterations[[#This Row],[Grad_d]]))</f>
        <v>-8.4318631700024543E-3</v>
      </c>
      <c r="R485" s="2">
        <f ca="1">IF(Iterations[[#This Row],[Step]] =current_step, current_Grad_e,IF(Iterations[[#This Row],[Step]] &gt; current_step, "",Iterations[[#This Row],[Grad_e]]))</f>
        <v>5.3738562879304418E-2</v>
      </c>
    </row>
    <row r="486" spans="6:18" x14ac:dyDescent="0.3">
      <c r="F486" s="2">
        <f t="shared" si="9"/>
        <v>469</v>
      </c>
      <c r="G486" s="2">
        <f ca="1">IF(Iterations[[#This Row],[Step]] =current_step, current_a,IF(Iterations[[#This Row],[Step]] &gt; current_step, "",Iterations[[#This Row],[a]]))</f>
        <v>-6.7587226007965118</v>
      </c>
      <c r="H486" s="2">
        <f ca="1">IF(Iterations[[#This Row],[Step]] =current_step, current_b,IF(Iterations[[#This Row],[Step]] &gt; current_step, "",Iterations[[#This Row],[b]]))</f>
        <v>0.4378736968751602</v>
      </c>
      <c r="I486" s="2">
        <f ca="1">IF(Iterations[[#This Row],[Step]] =current_step, current_c,IF(Iterations[[#This Row],[Step]] &gt; current_step, "",Iterations[[#This Row],[c]]))</f>
        <v>19.795513526222642</v>
      </c>
      <c r="J486" s="2">
        <f ca="1">IF(Iterations[[#This Row],[Step]] =current_step, current_d,IF(Iterations[[#This Row],[Step]] &gt; current_step, "",Iterations[[#This Row],[d]]))</f>
        <v>1.1229251214866125</v>
      </c>
      <c r="K486" s="2">
        <f ca="1">IF(Iterations[[#This Row],[Step]] =current_step, current_e,IF(Iterations[[#This Row],[Step]] &gt; current_step, "",Iterations[[#This Row],[e]]))</f>
        <v>11.821553532251448</v>
      </c>
      <c r="L486" s="2">
        <f ca="1">IF(Iterations[[#This Row],[Step]] =current_step, current_Total_Loss,IF(Iterations[[#This Row],[Step]] &gt; current_step, "",Iterations[[#This Row],[Total Loss]]))</f>
        <v>93.06</v>
      </c>
      <c r="M486" s="6" t="s">
        <v>27</v>
      </c>
      <c r="N486" s="2">
        <f ca="1">IF(Iterations[[#This Row],[Step]] =current_step, current_Grad_a,IF(Iterations[[#This Row],[Step]] &gt; current_step, "",Iterations[[#This Row],[Grad_a]]))</f>
        <v>5.3346355636739402E-2</v>
      </c>
      <c r="O486" s="2">
        <f ca="1">IF(Iterations[[#This Row],[Step]] =current_step, current_Grad_b,IF(Iterations[[#This Row],[Step]] &gt; current_step, "",Iterations[[#This Row],[Grad_b]]))</f>
        <v>9.2236386657264038E-3</v>
      </c>
      <c r="P486" s="2">
        <f ca="1">IF(Iterations[[#This Row],[Step]] =current_step, current_Grad_c,IF(Iterations[[#This Row],[Step]] &gt; current_step, "",Iterations[[#This Row],[Grad_c]]))</f>
        <v>-0.14965844711609524</v>
      </c>
      <c r="Q486" s="2">
        <f ca="1">IF(Iterations[[#This Row],[Step]] =current_step, current_Grad_d,IF(Iterations[[#This Row],[Step]] &gt; current_step, "",Iterations[[#This Row],[Grad_d]]))</f>
        <v>-8.3767253766856356E-3</v>
      </c>
      <c r="R486" s="2">
        <f ca="1">IF(Iterations[[#This Row],[Step]] =current_step, current_Grad_e,IF(Iterations[[#This Row],[Step]] &gt; current_step, "",Iterations[[#This Row],[Grad_e]]))</f>
        <v>5.3374830242159971E-2</v>
      </c>
    </row>
    <row r="487" spans="6:18" x14ac:dyDescent="0.3">
      <c r="F487" s="2">
        <f t="shared" si="9"/>
        <v>470</v>
      </c>
      <c r="G487" s="2">
        <f ca="1">IF(Iterations[[#This Row],[Step]] =current_step, current_a,IF(Iterations[[#This Row],[Step]] &gt; current_step, "",Iterations[[#This Row],[a]]))</f>
        <v>-6.7624568456910836</v>
      </c>
      <c r="H487" s="2">
        <f ca="1">IF(Iterations[[#This Row],[Step]] =current_step, current_b,IF(Iterations[[#This Row],[Step]] &gt; current_step, "",Iterations[[#This Row],[b]]))</f>
        <v>0.43722804216855937</v>
      </c>
      <c r="I487" s="2">
        <f ca="1">IF(Iterations[[#This Row],[Step]] =current_step, current_c,IF(Iterations[[#This Row],[Step]] &gt; current_step, "",Iterations[[#This Row],[c]]))</f>
        <v>19.805989617520769</v>
      </c>
      <c r="J487" s="2">
        <f ca="1">IF(Iterations[[#This Row],[Step]] =current_step, current_d,IF(Iterations[[#This Row],[Step]] &gt; current_step, "",Iterations[[#This Row],[d]]))</f>
        <v>1.1235114922629805</v>
      </c>
      <c r="K487" s="2">
        <f ca="1">IF(Iterations[[#This Row],[Step]] =current_step, current_e,IF(Iterations[[#This Row],[Step]] &gt; current_step, "",Iterations[[#This Row],[e]]))</f>
        <v>11.817817294134496</v>
      </c>
      <c r="L487" s="2">
        <f ca="1">IF(Iterations[[#This Row],[Step]] =current_step, current_Total_Loss,IF(Iterations[[#This Row],[Step]] &gt; current_step, "",Iterations[[#This Row],[Total Loss]]))</f>
        <v>93.02</v>
      </c>
      <c r="M487" s="6" t="s">
        <v>27</v>
      </c>
      <c r="N487" s="2">
        <f ca="1">IF(Iterations[[#This Row],[Step]] =current_step, current_Grad_a,IF(Iterations[[#This Row],[Step]] &gt; current_step, "",Iterations[[#This Row],[Grad_a]]))</f>
        <v>5.2985368180426276E-2</v>
      </c>
      <c r="O487" s="2">
        <f ca="1">IF(Iterations[[#This Row],[Step]] =current_step, current_Grad_b,IF(Iterations[[#This Row],[Step]] &gt; current_step, "",Iterations[[#This Row],[Grad_b]]))</f>
        <v>9.1621126056782611E-3</v>
      </c>
      <c r="P487" s="2">
        <f ca="1">IF(Iterations[[#This Row],[Step]] =current_step, current_Grad_c,IF(Iterations[[#This Row],[Step]] &gt; current_step, "",Iterations[[#This Row],[Grad_c]]))</f>
        <v>-0.14864555234504032</v>
      </c>
      <c r="Q487" s="2">
        <f ca="1">IF(Iterations[[#This Row],[Step]] =current_step, current_Grad_d,IF(Iterations[[#This Row],[Step]] &gt; current_step, "",Iterations[[#This Row],[Grad_d]]))</f>
        <v>-8.321926463334366E-3</v>
      </c>
      <c r="R487" s="2">
        <f ca="1">IF(Iterations[[#This Row],[Step]] =current_step, current_Grad_e,IF(Iterations[[#This Row],[Step]] &gt; current_step, "",Iterations[[#This Row],[Grad_e]]))</f>
        <v>5.3013560414804317E-2</v>
      </c>
    </row>
    <row r="488" spans="6:18" x14ac:dyDescent="0.3">
      <c r="F488" s="2">
        <f t="shared" si="9"/>
        <v>471</v>
      </c>
      <c r="G488" s="2">
        <f ca="1">IF(Iterations[[#This Row],[Step]] =current_step, current_a,IF(Iterations[[#This Row],[Step]] &gt; current_step, "",Iterations[[#This Row],[a]]))</f>
        <v>-6.766165821463713</v>
      </c>
      <c r="H488" s="2">
        <f ca="1">IF(Iterations[[#This Row],[Step]] =current_step, current_b,IF(Iterations[[#This Row],[Step]] &gt; current_step, "",Iterations[[#This Row],[b]]))</f>
        <v>0.43658669428616187</v>
      </c>
      <c r="I488" s="2">
        <f ca="1">IF(Iterations[[#This Row],[Step]] =current_step, current_c,IF(Iterations[[#This Row],[Step]] &gt; current_step, "",Iterations[[#This Row],[c]]))</f>
        <v>19.81639480618492</v>
      </c>
      <c r="J488" s="2">
        <f ca="1">IF(Iterations[[#This Row],[Step]] =current_step, current_d,IF(Iterations[[#This Row],[Step]] &gt; current_step, "",Iterations[[#This Row],[d]]))</f>
        <v>1.1240940271154138</v>
      </c>
      <c r="K488" s="2">
        <f ca="1">IF(Iterations[[#This Row],[Step]] =current_step, current_e,IF(Iterations[[#This Row],[Step]] &gt; current_step, "",Iterations[[#This Row],[e]]))</f>
        <v>11.81410634490546</v>
      </c>
      <c r="L488" s="2">
        <f ca="1">IF(Iterations[[#This Row],[Step]] =current_step, current_Total_Loss,IF(Iterations[[#This Row],[Step]] &gt; current_step, "",Iterations[[#This Row],[Total Loss]]))</f>
        <v>92.99</v>
      </c>
      <c r="M488" s="6" t="s">
        <v>27</v>
      </c>
      <c r="N488" s="2">
        <f ca="1">IF(Iterations[[#This Row],[Step]] =current_step, current_Grad_a,IF(Iterations[[#This Row],[Step]] &gt; current_step, "",Iterations[[#This Row],[Grad_a]]))</f>
        <v>5.2626823334094901E-2</v>
      </c>
      <c r="O488" s="2">
        <f ca="1">IF(Iterations[[#This Row],[Step]] =current_step, current_Grad_b,IF(Iterations[[#This Row],[Step]] &gt; current_step, "",Iterations[[#This Row],[Grad_b]]))</f>
        <v>9.100987015589701E-3</v>
      </c>
      <c r="P488" s="2">
        <f ca="1">IF(Iterations[[#This Row],[Step]] =current_step, current_Grad_c,IF(Iterations[[#This Row],[Step]] &gt; current_step, "",Iterations[[#This Row],[Grad_c]]))</f>
        <v>-0.14763951444124507</v>
      </c>
      <c r="Q488" s="2">
        <f ca="1">IF(Iterations[[#This Row],[Step]] =current_step, current_Grad_d,IF(Iterations[[#This Row],[Step]] &gt; current_step, "",Iterations[[#This Row],[Grad_d]]))</f>
        <v>-8.267464746969674E-3</v>
      </c>
      <c r="R488" s="2">
        <f ca="1">IF(Iterations[[#This Row],[Step]] =current_step, current_Grad_e,IF(Iterations[[#This Row],[Step]] &gt; current_step, "",Iterations[[#This Row],[Grad_e]]))</f>
        <v>5.2654736706370997E-2</v>
      </c>
    </row>
    <row r="489" spans="6:18" x14ac:dyDescent="0.3">
      <c r="F489" s="2">
        <f t="shared" si="9"/>
        <v>472</v>
      </c>
      <c r="G489" s="2">
        <f ca="1">IF(Iterations[[#This Row],[Step]] =current_step, current_a,IF(Iterations[[#This Row],[Step]] &gt; current_step, "",Iterations[[#This Row],[a]]))</f>
        <v>-6.7698496990971</v>
      </c>
      <c r="H489" s="2">
        <f ca="1">IF(Iterations[[#This Row],[Step]] =current_step, current_b,IF(Iterations[[#This Row],[Step]] &gt; current_step, "",Iterations[[#This Row],[b]]))</f>
        <v>0.43594962519507058</v>
      </c>
      <c r="I489" s="2">
        <f ca="1">IF(Iterations[[#This Row],[Step]] =current_step, current_c,IF(Iterations[[#This Row],[Step]] &gt; current_step, "",Iterations[[#This Row],[c]]))</f>
        <v>19.826729572195809</v>
      </c>
      <c r="J489" s="2">
        <f ca="1">IF(Iterations[[#This Row],[Step]] =current_step, current_d,IF(Iterations[[#This Row],[Step]] &gt; current_step, "",Iterations[[#This Row],[d]]))</f>
        <v>1.1246727496477018</v>
      </c>
      <c r="K489" s="2">
        <f ca="1">IF(Iterations[[#This Row],[Step]] =current_step, current_e,IF(Iterations[[#This Row],[Step]] &gt; current_step, "",Iterations[[#This Row],[e]]))</f>
        <v>11.810420513336014</v>
      </c>
      <c r="L489" s="2">
        <f ca="1">IF(Iterations[[#This Row],[Step]] =current_step, current_Total_Loss,IF(Iterations[[#This Row],[Step]] &gt; current_step, "",Iterations[[#This Row],[Total Loss]]))</f>
        <v>92.95</v>
      </c>
      <c r="M489" s="6" t="s">
        <v>27</v>
      </c>
      <c r="N489" s="2">
        <f ca="1">IF(Iterations[[#This Row],[Step]] =current_step, current_Grad_a,IF(Iterations[[#This Row],[Step]] &gt; current_step, "",Iterations[[#This Row],[Grad_a]]))</f>
        <v>5.2270704572229931E-2</v>
      </c>
      <c r="O489" s="2">
        <f ca="1">IF(Iterations[[#This Row],[Step]] =current_step, current_Grad_b,IF(Iterations[[#This Row],[Step]] &gt; current_step, "",Iterations[[#This Row],[Grad_b]]))</f>
        <v>9.0402594685402571E-3</v>
      </c>
      <c r="P489" s="2">
        <f ca="1">IF(Iterations[[#This Row],[Step]] =current_step, current_Grad_c,IF(Iterations[[#This Row],[Step]] &gt; current_step, "",Iterations[[#This Row],[Grad_c]]))</f>
        <v>-0.14664028695906356</v>
      </c>
      <c r="Q489" s="2">
        <f ca="1">IF(Iterations[[#This Row],[Step]] =current_step, current_Grad_d,IF(Iterations[[#This Row],[Step]] &gt; current_step, "",Iterations[[#This Row],[Grad_d]]))</f>
        <v>-8.2133385451050121E-3</v>
      </c>
      <c r="R489" s="2">
        <f ca="1">IF(Iterations[[#This Row],[Step]] =current_step, current_Grad_e,IF(Iterations[[#This Row],[Step]] &gt; current_step, "",Iterations[[#This Row],[Grad_e]]))</f>
        <v>5.2298342539293136E-2</v>
      </c>
    </row>
    <row r="490" spans="6:18" x14ac:dyDescent="0.3">
      <c r="F490" s="2">
        <f t="shared" si="9"/>
        <v>473</v>
      </c>
      <c r="G490" s="2">
        <f ca="1">IF(Iterations[[#This Row],[Step]] =current_step, current_a,IF(Iterations[[#This Row],[Step]] &gt; current_step, "",Iterations[[#This Row],[a]]))</f>
        <v>-6.7735086484171561</v>
      </c>
      <c r="H490" s="2">
        <f ca="1">IF(Iterations[[#This Row],[Step]] =current_step, current_b,IF(Iterations[[#This Row],[Step]] &gt; current_step, "",Iterations[[#This Row],[b]]))</f>
        <v>0.43531680703227277</v>
      </c>
      <c r="I490" s="2">
        <f ca="1">IF(Iterations[[#This Row],[Step]] =current_step, current_c,IF(Iterations[[#This Row],[Step]] &gt; current_step, "",Iterations[[#This Row],[c]]))</f>
        <v>19.836994392282943</v>
      </c>
      <c r="J490" s="2">
        <f ca="1">IF(Iterations[[#This Row],[Step]] =current_step, current_d,IF(Iterations[[#This Row],[Step]] &gt; current_step, "",Iterations[[#This Row],[d]]))</f>
        <v>1.1252476833458591</v>
      </c>
      <c r="K490" s="2">
        <f ca="1">IF(Iterations[[#This Row],[Step]] =current_step, current_e,IF(Iterations[[#This Row],[Step]] &gt; current_step, "",Iterations[[#This Row],[e]]))</f>
        <v>11.806759629358265</v>
      </c>
      <c r="L490" s="2">
        <f ca="1">IF(Iterations[[#This Row],[Step]] =current_step, current_Total_Loss,IF(Iterations[[#This Row],[Step]] &gt; current_step, "",Iterations[[#This Row],[Total Loss]]))</f>
        <v>92.92</v>
      </c>
      <c r="M490" s="6" t="s">
        <v>27</v>
      </c>
      <c r="N490" s="2">
        <f ca="1">IF(Iterations[[#This Row],[Step]] =current_step, current_Grad_a,IF(Iterations[[#This Row],[Step]] &gt; current_step, "",Iterations[[#This Row],[Grad_a]]))</f>
        <v>5.1916995481471918E-2</v>
      </c>
      <c r="O490" s="2">
        <f ca="1">IF(Iterations[[#This Row],[Step]] =current_step, current_Grad_b,IF(Iterations[[#This Row],[Step]] &gt; current_step, "",Iterations[[#This Row],[Grad_b]]))</f>
        <v>8.9799275488822074E-3</v>
      </c>
      <c r="P490" s="2">
        <f ca="1">IF(Iterations[[#This Row],[Step]] =current_step, current_Grad_c,IF(Iterations[[#This Row],[Step]] &gt; current_step, "",Iterations[[#This Row],[Grad_c]]))</f>
        <v>-0.14564782376778387</v>
      </c>
      <c r="Q490" s="2">
        <f ca="1">IF(Iterations[[#This Row],[Step]] =current_step, current_Grad_d,IF(Iterations[[#This Row],[Step]] &gt; current_step, "",Iterations[[#This Row],[Grad_d]]))</f>
        <v>-8.1595461759955013E-3</v>
      </c>
      <c r="R490" s="2">
        <f ca="1">IF(Iterations[[#This Row],[Step]] =current_step, current_Grad_e,IF(Iterations[[#This Row],[Step]] &gt; current_step, "",Iterations[[#This Row],[Grad_e]]))</f>
        <v>5.1944361448691585E-2</v>
      </c>
    </row>
    <row r="491" spans="6:18" x14ac:dyDescent="0.3">
      <c r="F491" s="2">
        <f t="shared" si="9"/>
        <v>474</v>
      </c>
      <c r="G491" s="2">
        <f ca="1">IF(Iterations[[#This Row],[Step]] =current_step, current_a,IF(Iterations[[#This Row],[Step]] &gt; current_step, "",Iterations[[#This Row],[a]]))</f>
        <v>-6.7771428381008594</v>
      </c>
      <c r="H491" s="2">
        <f ca="1">IF(Iterations[[#This Row],[Step]] =current_step, current_b,IF(Iterations[[#This Row],[Step]] &gt; current_step, "",Iterations[[#This Row],[b]]))</f>
        <v>0.434688212103851</v>
      </c>
      <c r="I491" s="2">
        <f ca="1">IF(Iterations[[#This Row],[Step]] =current_step, current_c,IF(Iterations[[#This Row],[Step]] &gt; current_step, "",Iterations[[#This Row],[c]]))</f>
        <v>19.847189739946689</v>
      </c>
      <c r="J491" s="2">
        <f ca="1">IF(Iterations[[#This Row],[Step]] =current_step, current_d,IF(Iterations[[#This Row],[Step]] &gt; current_step, "",Iterations[[#This Row],[d]]))</f>
        <v>1.1258188515781788</v>
      </c>
      <c r="K491" s="2">
        <f ca="1">IF(Iterations[[#This Row],[Step]] =current_step, current_e,IF(Iterations[[#This Row],[Step]] &gt; current_step, "",Iterations[[#This Row],[e]]))</f>
        <v>11.803123524056856</v>
      </c>
      <c r="L491" s="2">
        <f ca="1">IF(Iterations[[#This Row],[Step]] =current_step, current_Total_Loss,IF(Iterations[[#This Row],[Step]] &gt; current_step, "",Iterations[[#This Row],[Total Loss]]))</f>
        <v>92.88</v>
      </c>
      <c r="M491" s="6" t="s">
        <v>27</v>
      </c>
      <c r="N491" s="2">
        <f ca="1">IF(Iterations[[#This Row],[Step]] =current_step, current_Grad_a,IF(Iterations[[#This Row],[Step]] &gt; current_step, "",Iterations[[#This Row],[Grad_a]]))</f>
        <v>5.1565679759113317E-2</v>
      </c>
      <c r="O491" s="2">
        <f ca="1">IF(Iterations[[#This Row],[Step]] =current_step, current_Grad_b,IF(Iterations[[#This Row],[Step]] &gt; current_step, "",Iterations[[#This Row],[Grad_b]]))</f>
        <v>8.9199888524992763E-3</v>
      </c>
      <c r="P491" s="2">
        <f ca="1">IF(Iterations[[#This Row],[Step]] =current_step, current_Grad_c,IF(Iterations[[#This Row],[Step]] &gt; current_step, "",Iterations[[#This Row],[Grad_c]]))</f>
        <v>-0.1446620790497852</v>
      </c>
      <c r="Q491" s="2">
        <f ca="1">IF(Iterations[[#This Row],[Step]] =current_step, current_Grad_d,IF(Iterations[[#This Row],[Step]] &gt; current_step, "",Iterations[[#This Row],[Grad_d]]))</f>
        <v>-8.1060859587321985E-3</v>
      </c>
      <c r="R491" s="2">
        <f ca="1">IF(Iterations[[#This Row],[Step]] =current_step, current_Grad_e,IF(Iterations[[#This Row],[Step]] &gt; current_step, "",Iterations[[#This Row],[Grad_e]]))</f>
        <v>5.1592777081475125E-2</v>
      </c>
    </row>
    <row r="492" spans="6:18" x14ac:dyDescent="0.3">
      <c r="F492" s="2">
        <f t="shared" si="9"/>
        <v>475</v>
      </c>
      <c r="G492" s="2">
        <f ca="1">IF(Iterations[[#This Row],[Step]] =current_step, current_a,IF(Iterations[[#This Row],[Step]] &gt; current_step, "",Iterations[[#This Row],[a]]))</f>
        <v>-6.780752435683997</v>
      </c>
      <c r="H492" s="2">
        <f ca="1">IF(Iterations[[#This Row],[Step]] =current_step, current_b,IF(Iterations[[#This Row],[Step]] &gt; current_step, "",Iterations[[#This Row],[b]]))</f>
        <v>0.43406381288417606</v>
      </c>
      <c r="I492" s="2">
        <f ca="1">IF(Iterations[[#This Row],[Step]] =current_step, current_c,IF(Iterations[[#This Row],[Step]] &gt; current_step, "",Iterations[[#This Row],[c]]))</f>
        <v>19.857316085480175</v>
      </c>
      <c r="J492" s="2">
        <f ca="1">IF(Iterations[[#This Row],[Step]] =current_step, current_d,IF(Iterations[[#This Row],[Step]] &gt; current_step, "",Iterations[[#This Row],[d]]))</f>
        <v>1.1263862775952902</v>
      </c>
      <c r="K492" s="2">
        <f ca="1">IF(Iterations[[#This Row],[Step]] =current_step, current_e,IF(Iterations[[#This Row],[Step]] &gt; current_step, "",Iterations[[#This Row],[e]]))</f>
        <v>11.799512029661154</v>
      </c>
      <c r="L492" s="2">
        <f ca="1">IF(Iterations[[#This Row],[Step]] =current_step, current_Total_Loss,IF(Iterations[[#This Row],[Step]] &gt; current_step, "",Iterations[[#This Row],[Total Loss]]))</f>
        <v>92.85</v>
      </c>
      <c r="M492" s="6" t="s">
        <v>27</v>
      </c>
      <c r="N492" s="2">
        <f ca="1">IF(Iterations[[#This Row],[Step]] =current_step, current_Grad_a,IF(Iterations[[#This Row],[Step]] &gt; current_step, "",Iterations[[#This Row],[Grad_a]]))</f>
        <v>5.1216741213037112E-2</v>
      </c>
      <c r="O492" s="2">
        <f ca="1">IF(Iterations[[#This Row],[Step]] =current_step, current_Grad_b,IF(Iterations[[#This Row],[Step]] &gt; current_step, "",Iterations[[#This Row],[Grad_b]]))</f>
        <v>8.8604409865266319E-3</v>
      </c>
      <c r="P492" s="2">
        <f ca="1">IF(Iterations[[#This Row],[Step]] =current_step, current_Grad_c,IF(Iterations[[#This Row],[Step]] &gt; current_step, "",Iterations[[#This Row],[Grad_c]]))</f>
        <v>-0.14368300729812775</v>
      </c>
      <c r="Q492" s="2">
        <f ca="1">IF(Iterations[[#This Row],[Step]] =current_step, current_Grad_d,IF(Iterations[[#This Row],[Step]] &gt; current_step, "",Iterations[[#This Row],[Grad_d]]))</f>
        <v>-8.052956213535193E-3</v>
      </c>
      <c r="R492" s="2">
        <f ca="1">IF(Iterations[[#This Row],[Step]] =current_step, current_Grad_e,IF(Iterations[[#This Row],[Step]] &gt; current_step, "",Iterations[[#This Row],[Grad_e]]))</f>
        <v>5.1243573195698389E-2</v>
      </c>
    </row>
    <row r="493" spans="6:18" x14ac:dyDescent="0.3">
      <c r="F493" s="2">
        <f t="shared" si="9"/>
        <v>476</v>
      </c>
      <c r="G493" s="2">
        <f ca="1">IF(Iterations[[#This Row],[Step]] =current_step, current_a,IF(Iterations[[#This Row],[Step]] &gt; current_step, "",Iterations[[#This Row],[a]]))</f>
        <v>-6.7843376075689097</v>
      </c>
      <c r="H493" s="2">
        <f ca="1">IF(Iterations[[#This Row],[Step]] =current_step, current_b,IF(Iterations[[#This Row],[Step]] &gt; current_step, "",Iterations[[#This Row],[b]]))</f>
        <v>0.43344358201511918</v>
      </c>
      <c r="I493" s="2">
        <f ca="1">IF(Iterations[[#This Row],[Step]] =current_step, current_c,IF(Iterations[[#This Row],[Step]] &gt; current_step, "",Iterations[[#This Row],[c]]))</f>
        <v>19.867373895991044</v>
      </c>
      <c r="J493" s="2">
        <f ca="1">IF(Iterations[[#This Row],[Step]] =current_step, current_d,IF(Iterations[[#This Row],[Step]] &gt; current_step, "",Iterations[[#This Row],[d]]))</f>
        <v>1.1269499845302378</v>
      </c>
      <c r="K493" s="2">
        <f ca="1">IF(Iterations[[#This Row],[Step]] =current_step, current_e,IF(Iterations[[#This Row],[Step]] &gt; current_step, "",Iterations[[#This Row],[e]]))</f>
        <v>11.795924979537455</v>
      </c>
      <c r="L493" s="2">
        <f ca="1">IF(Iterations[[#This Row],[Step]] =current_step, current_Total_Loss,IF(Iterations[[#This Row],[Step]] &gt; current_step, "",Iterations[[#This Row],[Total Loss]]))</f>
        <v>92.82</v>
      </c>
      <c r="M493" s="6" t="s">
        <v>27</v>
      </c>
      <c r="N493" s="2">
        <f ca="1">IF(Iterations[[#This Row],[Step]] =current_step, current_Grad_a,IF(Iterations[[#This Row],[Step]] &gt; current_step, "",Iterations[[#This Row],[Grad_a]]))</f>
        <v>5.0870163760234788E-2</v>
      </c>
      <c r="O493" s="2">
        <f ca="1">IF(Iterations[[#This Row],[Step]] =current_step, current_Grad_b,IF(Iterations[[#This Row],[Step]] &gt; current_step, "",Iterations[[#This Row],[Grad_b]]))</f>
        <v>8.8012815696454222E-3</v>
      </c>
      <c r="P493" s="2">
        <f ca="1">IF(Iterations[[#This Row],[Step]] =current_step, current_Grad_c,IF(Iterations[[#This Row],[Step]] &gt; current_step, "",Iterations[[#This Row],[Grad_c]]))</f>
        <v>-0.14271056331474274</v>
      </c>
      <c r="Q493" s="2">
        <f ca="1">IF(Iterations[[#This Row],[Step]] =current_step, current_Grad_d,IF(Iterations[[#This Row],[Step]] &gt; current_step, "",Iterations[[#This Row],[Grad_d]]))</f>
        <v>-8.0001552618228083E-3</v>
      </c>
      <c r="R493" s="2">
        <f ca="1">IF(Iterations[[#This Row],[Step]] =current_step, current_Grad_e,IF(Iterations[[#This Row],[Step]] &gt; current_step, "",Iterations[[#This Row],[Grad_e]]))</f>
        <v>5.0896733659654539E-2</v>
      </c>
    </row>
    <row r="494" spans="6:18" x14ac:dyDescent="0.3">
      <c r="F494" s="2">
        <f t="shared" si="9"/>
        <v>477</v>
      </c>
      <c r="G494" s="2">
        <f ca="1">IF(Iterations[[#This Row],[Step]] =current_step, current_a,IF(Iterations[[#This Row],[Step]] &gt; current_step, "",Iterations[[#This Row],[a]]))</f>
        <v>-6.7878985190321259</v>
      </c>
      <c r="H494" s="2">
        <f ca="1">IF(Iterations[[#This Row],[Step]] =current_step, current_b,IF(Iterations[[#This Row],[Step]] &gt; current_step, "",Iterations[[#This Row],[b]]))</f>
        <v>0.43282749230524398</v>
      </c>
      <c r="I494" s="2">
        <f ca="1">IF(Iterations[[#This Row],[Step]] =current_step, current_c,IF(Iterations[[#This Row],[Step]] &gt; current_step, "",Iterations[[#This Row],[c]]))</f>
        <v>19.877363635423077</v>
      </c>
      <c r="J494" s="2">
        <f ca="1">IF(Iterations[[#This Row],[Step]] =current_step, current_d,IF(Iterations[[#This Row],[Step]] &gt; current_step, "",Iterations[[#This Row],[d]]))</f>
        <v>1.1275099953985654</v>
      </c>
      <c r="K494" s="2">
        <f ca="1">IF(Iterations[[#This Row],[Step]] =current_step, current_e,IF(Iterations[[#This Row],[Step]] &gt; current_step, "",Iterations[[#This Row],[e]]))</f>
        <v>11.792362208181279</v>
      </c>
      <c r="L494" s="2">
        <f ca="1">IF(Iterations[[#This Row],[Step]] =current_step, current_Total_Loss,IF(Iterations[[#This Row],[Step]] &gt; current_step, "",Iterations[[#This Row],[Total Loss]]))</f>
        <v>92.79</v>
      </c>
      <c r="M494" s="6" t="s">
        <v>27</v>
      </c>
      <c r="N494" s="2">
        <f ca="1">IF(Iterations[[#This Row],[Step]] =current_step, current_Grad_a,IF(Iterations[[#This Row],[Step]] &gt; current_step, "",Iterations[[#This Row],[Grad_a]]))</f>
        <v>5.0525931426957923E-2</v>
      </c>
      <c r="O494" s="2">
        <f ca="1">IF(Iterations[[#This Row],[Step]] =current_step, current_Grad_b,IF(Iterations[[#This Row],[Step]] &gt; current_step, "",Iterations[[#This Row],[Grad_b]]))</f>
        <v>8.7425082318429298E-3</v>
      </c>
      <c r="P494" s="2">
        <f ca="1">IF(Iterations[[#This Row],[Step]] =current_step, current_Grad_c,IF(Iterations[[#This Row],[Step]] &gt; current_step, "",Iterations[[#This Row],[Grad_c]]))</f>
        <v>-0.1417447022079511</v>
      </c>
      <c r="Q494" s="2">
        <f ca="1">IF(Iterations[[#This Row],[Step]] =current_step, current_Grad_d,IF(Iterations[[#This Row],[Step]] &gt; current_step, "",Iterations[[#This Row],[Grad_d]]))</f>
        <v>-7.9476814264700085E-3</v>
      </c>
      <c r="R494" s="2">
        <f ca="1">IF(Iterations[[#This Row],[Step]] =current_step, current_Grad_e,IF(Iterations[[#This Row],[Step]] &gt; current_step, "",Iterations[[#This Row],[Grad_e]]))</f>
        <v>5.0552242451312464E-2</v>
      </c>
    </row>
    <row r="495" spans="6:18" x14ac:dyDescent="0.3">
      <c r="F495" s="2">
        <f t="shared" si="9"/>
        <v>478</v>
      </c>
      <c r="G495" s="2">
        <f ca="1">IF(Iterations[[#This Row],[Step]] =current_step, current_a,IF(Iterations[[#This Row],[Step]] &gt; current_step, "",Iterations[[#This Row],[a]]))</f>
        <v>-6.7914353342320126</v>
      </c>
      <c r="H495" s="2">
        <f ca="1">IF(Iterations[[#This Row],[Step]] =current_step, current_b,IF(Iterations[[#This Row],[Step]] &gt; current_step, "",Iterations[[#This Row],[b]]))</f>
        <v>0.43221551672901498</v>
      </c>
      <c r="I495" s="2">
        <f ca="1">IF(Iterations[[#This Row],[Step]] =current_step, current_c,IF(Iterations[[#This Row],[Step]] &gt; current_step, "",Iterations[[#This Row],[c]]))</f>
        <v>19.887285764577634</v>
      </c>
      <c r="J495" s="2">
        <f ca="1">IF(Iterations[[#This Row],[Step]] =current_step, current_d,IF(Iterations[[#This Row],[Step]] &gt; current_step, "",Iterations[[#This Row],[d]]))</f>
        <v>1.1280663330984184</v>
      </c>
      <c r="K495" s="2">
        <f ca="1">IF(Iterations[[#This Row],[Step]] =current_step, current_e,IF(Iterations[[#This Row],[Step]] &gt; current_step, "",Iterations[[#This Row],[e]]))</f>
        <v>11.788823551209687</v>
      </c>
      <c r="L495" s="2">
        <f ca="1">IF(Iterations[[#This Row],[Step]] =current_step, current_Total_Loss,IF(Iterations[[#This Row],[Step]] &gt; current_step, "",Iterations[[#This Row],[Total Loss]]))</f>
        <v>92.75</v>
      </c>
      <c r="M495" s="6" t="s">
        <v>27</v>
      </c>
      <c r="N495" s="2">
        <f ca="1">IF(Iterations[[#This Row],[Step]] =current_step, current_Grad_a,IF(Iterations[[#This Row],[Step]] &gt; current_step, "",Iterations[[#This Row],[Grad_a]]))</f>
        <v>5.0184028346967051E-2</v>
      </c>
      <c r="O495" s="2">
        <f ca="1">IF(Iterations[[#This Row],[Step]] =current_step, current_Grad_b,IF(Iterations[[#This Row],[Step]] &gt; current_step, "",Iterations[[#This Row],[Grad_b]]))</f>
        <v>8.6841186146477851E-3</v>
      </c>
      <c r="P495" s="2">
        <f ca="1">IF(Iterations[[#This Row],[Step]] =current_step, current_Grad_c,IF(Iterations[[#This Row],[Step]] &gt; current_step, "",Iterations[[#This Row],[Grad_c]]))</f>
        <v>-0.14078537939080579</v>
      </c>
      <c r="Q495" s="2">
        <f ca="1">IF(Iterations[[#This Row],[Step]] =current_step, current_Grad_d,IF(Iterations[[#This Row],[Step]] &gt; current_step, "",Iterations[[#This Row],[Grad_d]]))</f>
        <v>-7.8955330319025602E-3</v>
      </c>
      <c r="R495" s="2">
        <f ca="1">IF(Iterations[[#This Row],[Step]] =current_step, current_Grad_e,IF(Iterations[[#This Row],[Step]] &gt; current_step, "",Iterations[[#This Row],[Grad_e]]))</f>
        <v>5.0210083657351627E-2</v>
      </c>
    </row>
    <row r="496" spans="6:18" x14ac:dyDescent="0.3">
      <c r="F496" s="2">
        <f t="shared" si="9"/>
        <v>479</v>
      </c>
      <c r="G496" s="2">
        <f ca="1">IF(Iterations[[#This Row],[Step]] =current_step, current_a,IF(Iterations[[#This Row],[Step]] &gt; current_step, "",Iterations[[#This Row],[a]]))</f>
        <v>-6.7949482162163006</v>
      </c>
      <c r="H496" s="2">
        <f ca="1">IF(Iterations[[#This Row],[Step]] =current_step, current_b,IF(Iterations[[#This Row],[Step]] &gt; current_step, "",Iterations[[#This Row],[b]]))</f>
        <v>0.43160762842598965</v>
      </c>
      <c r="I496" s="2">
        <f ca="1">IF(Iterations[[#This Row],[Step]] =current_step, current_c,IF(Iterations[[#This Row],[Step]] &gt; current_step, "",Iterations[[#This Row],[c]]))</f>
        <v>19.89714074113499</v>
      </c>
      <c r="J496" s="2">
        <f ca="1">IF(Iterations[[#This Row],[Step]] =current_step, current_d,IF(Iterations[[#This Row],[Step]] &gt; current_step, "",Iterations[[#This Row],[d]]))</f>
        <v>1.1286190204106517</v>
      </c>
      <c r="K496" s="2">
        <f ca="1">IF(Iterations[[#This Row],[Step]] =current_step, current_e,IF(Iterations[[#This Row],[Step]] &gt; current_step, "",Iterations[[#This Row],[e]]))</f>
        <v>11.785308845353672</v>
      </c>
      <c r="L496" s="2">
        <f ca="1">IF(Iterations[[#This Row],[Step]] =current_step, current_Total_Loss,IF(Iterations[[#This Row],[Step]] &gt; current_step, "",Iterations[[#This Row],[Total Loss]]))</f>
        <v>92.72</v>
      </c>
      <c r="M496" s="6" t="s">
        <v>27</v>
      </c>
      <c r="N496" s="2">
        <f ca="1">IF(Iterations[[#This Row],[Step]] =current_step, current_Grad_a,IF(Iterations[[#This Row],[Step]] &gt; current_step, "",Iterations[[#This Row],[Grad_a]]))</f>
        <v>4.9844438761722093E-2</v>
      </c>
      <c r="O496" s="2">
        <f ca="1">IF(Iterations[[#This Row],[Step]] =current_step, current_Grad_b,IF(Iterations[[#This Row],[Step]] &gt; current_step, "",Iterations[[#This Row],[Grad_b]]))</f>
        <v>8.6261103709140818E-3</v>
      </c>
      <c r="P496" s="2">
        <f ca="1">IF(Iterations[[#This Row],[Step]] =current_step, current_Grad_c,IF(Iterations[[#This Row],[Step]] &gt; current_step, "",Iterations[[#This Row],[Grad_c]]))</f>
        <v>-0.13983255057863189</v>
      </c>
      <c r="Q496" s="2">
        <f ca="1">IF(Iterations[[#This Row],[Step]] =current_step, current_Grad_d,IF(Iterations[[#This Row],[Step]] &gt; current_step, "",Iterations[[#This Row],[Grad_d]]))</f>
        <v>-7.8437084043300968E-3</v>
      </c>
      <c r="R496" s="2">
        <f ca="1">IF(Iterations[[#This Row],[Step]] =current_step, current_Grad_e,IF(Iterations[[#This Row],[Step]] &gt; current_step, "",Iterations[[#This Row],[Grad_e]]))</f>
        <v>4.9870241472613666E-2</v>
      </c>
    </row>
    <row r="497" spans="6:18" x14ac:dyDescent="0.3">
      <c r="F497" s="2">
        <f t="shared" si="9"/>
        <v>480</v>
      </c>
      <c r="G497" s="2">
        <f ca="1">IF(Iterations[[#This Row],[Step]] =current_step, current_a,IF(Iterations[[#This Row],[Step]] &gt; current_step, "",Iterations[[#This Row],[a]]))</f>
        <v>-6.798437326929621</v>
      </c>
      <c r="H497" s="2">
        <f ca="1">IF(Iterations[[#This Row],[Step]] =current_step, current_b,IF(Iterations[[#This Row],[Step]] &gt; current_step, "",Iterations[[#This Row],[b]]))</f>
        <v>0.43100380070002564</v>
      </c>
      <c r="I497" s="2">
        <f ca="1">IF(Iterations[[#This Row],[Step]] =current_step, current_c,IF(Iterations[[#This Row],[Step]] &gt; current_step, "",Iterations[[#This Row],[c]]))</f>
        <v>19.906929019675495</v>
      </c>
      <c r="J497" s="2">
        <f ca="1">IF(Iterations[[#This Row],[Step]] =current_step, current_d,IF(Iterations[[#This Row],[Step]] &gt; current_step, "",Iterations[[#This Row],[d]]))</f>
        <v>1.1291680799989547</v>
      </c>
      <c r="K497" s="2">
        <f ca="1">IF(Iterations[[#This Row],[Step]] =current_step, current_e,IF(Iterations[[#This Row],[Step]] &gt; current_step, "",Iterations[[#This Row],[e]]))</f>
        <v>11.78181792845059</v>
      </c>
      <c r="L497" s="2">
        <f ca="1">IF(Iterations[[#This Row],[Step]] =current_step, current_Total_Loss,IF(Iterations[[#This Row],[Step]] &gt; current_step, "",Iterations[[#This Row],[Total Loss]]))</f>
        <v>92.69</v>
      </c>
      <c r="M497" s="6" t="s">
        <v>27</v>
      </c>
      <c r="N497" s="2">
        <f ca="1">IF(Iterations[[#This Row],[Step]] =current_step, current_Grad_a,IF(Iterations[[#This Row],[Step]] &gt; current_step, "",Iterations[[#This Row],[Grad_a]]))</f>
        <v>4.9507147019095463E-2</v>
      </c>
      <c r="O497" s="2">
        <f ca="1">IF(Iterations[[#This Row],[Step]] =current_step, current_Grad_b,IF(Iterations[[#This Row],[Step]] &gt; current_step, "",Iterations[[#This Row],[Grad_b]]))</f>
        <v>8.5684811649951054E-3</v>
      </c>
      <c r="P497" s="2">
        <f ca="1">IF(Iterations[[#This Row],[Step]] =current_step, current_Grad_c,IF(Iterations[[#This Row],[Step]] &gt; current_step, "",Iterations[[#This Row],[Grad_c]]))</f>
        <v>-0.13888617178720242</v>
      </c>
      <c r="Q497" s="2">
        <f ca="1">IF(Iterations[[#This Row],[Step]] =current_step, current_Grad_d,IF(Iterations[[#This Row],[Step]] &gt; current_step, "",Iterations[[#This Row],[Grad_d]]))</f>
        <v>-7.7922058718498544E-3</v>
      </c>
      <c r="R497" s="2">
        <f ca="1">IF(Iterations[[#This Row],[Step]] =current_step, current_Grad_e,IF(Iterations[[#This Row],[Step]] &gt; current_step, "",Iterations[[#This Row],[Grad_e]]))</f>
        <v>4.9532700199241039E-2</v>
      </c>
    </row>
    <row r="498" spans="6:18" x14ac:dyDescent="0.3">
      <c r="F498" s="2">
        <f t="shared" si="9"/>
        <v>481</v>
      </c>
      <c r="G498" s="2">
        <f ca="1">IF(Iterations[[#This Row],[Step]] =current_step, current_a,IF(Iterations[[#This Row],[Step]] &gt; current_step, "",Iterations[[#This Row],[a]]))</f>
        <v>-6.8019028272209576</v>
      </c>
      <c r="H498" s="2">
        <f ca="1">IF(Iterations[[#This Row],[Step]] =current_step, current_b,IF(Iterations[[#This Row],[Step]] &gt; current_step, "",Iterations[[#This Row],[b]]))</f>
        <v>0.43040400701847598</v>
      </c>
      <c r="I498" s="2">
        <f ca="1">IF(Iterations[[#This Row],[Step]] =current_step, current_c,IF(Iterations[[#This Row],[Step]] &gt; current_step, "",Iterations[[#This Row],[c]]))</f>
        <v>19.916651051700597</v>
      </c>
      <c r="J498" s="2">
        <f ca="1">IF(Iterations[[#This Row],[Step]] =current_step, current_d,IF(Iterations[[#This Row],[Step]] &gt; current_step, "",Iterations[[#This Row],[d]]))</f>
        <v>1.1297135344099842</v>
      </c>
      <c r="K498" s="2">
        <f ca="1">IF(Iterations[[#This Row],[Step]] =current_step, current_e,IF(Iterations[[#This Row],[Step]] &gt; current_step, "",Iterations[[#This Row],[e]]))</f>
        <v>11.778350639436642</v>
      </c>
      <c r="L498" s="2">
        <f ca="1">IF(Iterations[[#This Row],[Step]] =current_step, current_Total_Loss,IF(Iterations[[#This Row],[Step]] &gt; current_step, "",Iterations[[#This Row],[Total Loss]]))</f>
        <v>92.66</v>
      </c>
      <c r="M498" s="6" t="s">
        <v>27</v>
      </c>
      <c r="N498" s="2">
        <f ca="1">IF(Iterations[[#This Row],[Step]] =current_step, current_Grad_a,IF(Iterations[[#This Row],[Step]] &gt; current_step, "",Iterations[[#This Row],[Grad_a]]))</f>
        <v>4.9172137572724858E-2</v>
      </c>
      <c r="O498" s="2">
        <f ca="1">IF(Iterations[[#This Row],[Step]] =current_step, current_Grad_b,IF(Iterations[[#This Row],[Step]] &gt; current_step, "",Iterations[[#This Row],[Grad_b]]))</f>
        <v>8.5112286726774632E-3</v>
      </c>
      <c r="P498" s="2">
        <f ca="1">IF(Iterations[[#This Row],[Step]] =current_step, current_Grad_c,IF(Iterations[[#This Row],[Step]] &gt; current_step, "",Iterations[[#This Row],[Grad_c]]))</f>
        <v>-0.13794619933066443</v>
      </c>
      <c r="Q498" s="2">
        <f ca="1">IF(Iterations[[#This Row],[Step]] =current_step, current_Grad_d,IF(Iterations[[#This Row],[Step]] &gt; current_step, "",Iterations[[#This Row],[Grad_d]]))</f>
        <v>-7.7410237646224744E-3</v>
      </c>
      <c r="R498" s="2">
        <f ca="1">IF(Iterations[[#This Row],[Step]] =current_step, current_Grad_e,IF(Iterations[[#This Row],[Step]] &gt; current_step, "",Iterations[[#This Row],[Grad_e]]))</f>
        <v>4.919744424596089E-2</v>
      </c>
    </row>
    <row r="499" spans="6:18" x14ac:dyDescent="0.3">
      <c r="F499" s="2">
        <f t="shared" si="9"/>
        <v>482</v>
      </c>
      <c r="G499" s="2">
        <f ca="1">IF(Iterations[[#This Row],[Step]] =current_step, current_a,IF(Iterations[[#This Row],[Step]] &gt; current_step, "",Iterations[[#This Row],[a]]))</f>
        <v>-6.8053448768510485</v>
      </c>
      <c r="H499" s="2">
        <f ca="1">IF(Iterations[[#This Row],[Step]] =current_step, current_b,IF(Iterations[[#This Row],[Step]] &gt; current_step, "",Iterations[[#This Row],[b]]))</f>
        <v>0.42980822101138855</v>
      </c>
      <c r="I499" s="2">
        <f ca="1">IF(Iterations[[#This Row],[Step]] =current_step, current_c,IF(Iterations[[#This Row],[Step]] &gt; current_step, "",Iterations[[#This Row],[c]]))</f>
        <v>19.926307285653746</v>
      </c>
      <c r="J499" s="2">
        <f ca="1">IF(Iterations[[#This Row],[Step]] =current_step, current_d,IF(Iterations[[#This Row],[Step]] &gt; current_step, "",Iterations[[#This Row],[d]]))</f>
        <v>1.1302554060735077</v>
      </c>
      <c r="K499" s="2">
        <f ca="1">IF(Iterations[[#This Row],[Step]] =current_step, current_e,IF(Iterations[[#This Row],[Step]] &gt; current_step, "",Iterations[[#This Row],[e]]))</f>
        <v>11.774906818339424</v>
      </c>
      <c r="L499" s="2">
        <f ca="1">IF(Iterations[[#This Row],[Step]] =current_step, current_Total_Loss,IF(Iterations[[#This Row],[Step]] &gt; current_step, "",Iterations[[#This Row],[Total Loss]]))</f>
        <v>92.63</v>
      </c>
      <c r="M499" s="6" t="s">
        <v>27</v>
      </c>
      <c r="N499" s="2">
        <f ca="1">IF(Iterations[[#This Row],[Step]] =current_step, current_Grad_a,IF(Iterations[[#This Row],[Step]] &gt; current_step, "",Iterations[[#This Row],[Grad_a]]))</f>
        <v>4.8839394981699397E-2</v>
      </c>
      <c r="O499" s="2">
        <f ca="1">IF(Iterations[[#This Row],[Step]] =current_step, current_Grad_b,IF(Iterations[[#This Row],[Step]] &gt; current_step, "",Iterations[[#This Row],[Grad_b]]))</f>
        <v>8.4543505811525022E-3</v>
      </c>
      <c r="P499" s="2">
        <f ca="1">IF(Iterations[[#This Row],[Step]] =current_step, current_Grad_c,IF(Iterations[[#This Row],[Step]] &gt; current_step, "",Iterations[[#This Row],[Grad_c]]))</f>
        <v>-0.13701258981933345</v>
      </c>
      <c r="Q499" s="2">
        <f ca="1">IF(Iterations[[#This Row],[Step]] =current_step, current_Grad_d,IF(Iterations[[#This Row],[Step]] &gt; current_step, "",Iterations[[#This Row],[Grad_d]]))</f>
        <v>-7.6901604150345004E-3</v>
      </c>
      <c r="R499" s="2">
        <f ca="1">IF(Iterations[[#This Row],[Step]] =current_step, current_Grad_e,IF(Iterations[[#This Row],[Step]] &gt; current_step, "",Iterations[[#This Row],[Grad_e]]))</f>
        <v>4.886445812744928E-2</v>
      </c>
    </row>
    <row r="500" spans="6:18" x14ac:dyDescent="0.3">
      <c r="F500" s="2">
        <f t="shared" si="9"/>
        <v>483</v>
      </c>
      <c r="G500" s="2">
        <f ca="1">IF(Iterations[[#This Row],[Step]] =current_step, current_a,IF(Iterations[[#This Row],[Step]] &gt; current_step, "",Iterations[[#This Row],[a]]))</f>
        <v>-6.8087636344997673</v>
      </c>
      <c r="H500" s="2">
        <f ca="1">IF(Iterations[[#This Row],[Step]] =current_step, current_b,IF(Iterations[[#This Row],[Step]] &gt; current_step, "",Iterations[[#This Row],[b]]))</f>
        <v>0.42921641647070785</v>
      </c>
      <c r="I500" s="2">
        <f ca="1">IF(Iterations[[#This Row],[Step]] =current_step, current_c,IF(Iterations[[#This Row],[Step]] &gt; current_step, "",Iterations[[#This Row],[c]]))</f>
        <v>19.935898166941097</v>
      </c>
      <c r="J500" s="2">
        <f ca="1">IF(Iterations[[#This Row],[Step]] =current_step, current_d,IF(Iterations[[#This Row],[Step]] &gt; current_step, "",Iterations[[#This Row],[d]]))</f>
        <v>1.1307937173025602</v>
      </c>
      <c r="K500" s="2">
        <f ca="1">IF(Iterations[[#This Row],[Step]] =current_step, current_e,IF(Iterations[[#This Row],[Step]] &gt; current_step, "",Iterations[[#This Row],[e]]))</f>
        <v>11.771486306270504</v>
      </c>
      <c r="L500" s="2">
        <f ca="1">IF(Iterations[[#This Row],[Step]] =current_step, current_Total_Loss,IF(Iterations[[#This Row],[Step]] &gt; current_step, "",Iterations[[#This Row],[Total Loss]]))</f>
        <v>92.6</v>
      </c>
      <c r="M500" s="6" t="s">
        <v>27</v>
      </c>
      <c r="N500" s="2">
        <f ca="1">IF(Iterations[[#This Row],[Step]] =current_step, current_Grad_a,IF(Iterations[[#This Row],[Step]] &gt; current_step, "",Iterations[[#This Row],[Grad_a]]))</f>
        <v>4.8508903909094382E-2</v>
      </c>
      <c r="O500" s="2">
        <f ca="1">IF(Iterations[[#This Row],[Step]] =current_step, current_Grad_b,IF(Iterations[[#This Row],[Step]] &gt; current_step, "",Iterations[[#This Row],[Grad_b]]))</f>
        <v>8.3978445890851745E-3</v>
      </c>
      <c r="P500" s="2">
        <f ca="1">IF(Iterations[[#This Row],[Step]] =current_step, current_Grad_c,IF(Iterations[[#This Row],[Step]] &gt; current_step, "",Iterations[[#This Row],[Grad_c]]))</f>
        <v>-0.13608530015800449</v>
      </c>
      <c r="Q500" s="2">
        <f ca="1">IF(Iterations[[#This Row],[Step]] =current_step, current_Grad_d,IF(Iterations[[#This Row],[Step]] &gt; current_step, "",Iterations[[#This Row],[Grad_d]]))</f>
        <v>-7.6396141578251925E-3</v>
      </c>
      <c r="R500" s="2">
        <f ca="1">IF(Iterations[[#This Row],[Step]] =current_step, current_Grad_e,IF(Iterations[[#This Row],[Step]] &gt; current_step, "",Iterations[[#This Row],[Grad_e]]))</f>
        <v>4.8533726463437392E-2</v>
      </c>
    </row>
    <row r="501" spans="6:18" x14ac:dyDescent="0.3">
      <c r="F501" s="2">
        <f t="shared" si="9"/>
        <v>484</v>
      </c>
      <c r="G501" s="2">
        <f ca="1">IF(Iterations[[#This Row],[Step]] =current_step, current_a,IF(Iterations[[#This Row],[Step]] &gt; current_step, "",Iterations[[#This Row],[a]]))</f>
        <v>-6.8121592577734038</v>
      </c>
      <c r="H501" s="2">
        <f ca="1">IF(Iterations[[#This Row],[Step]] =current_step, current_b,IF(Iterations[[#This Row],[Step]] &gt; current_step, "",Iterations[[#This Row],[b]]))</f>
        <v>0.42862856734947191</v>
      </c>
      <c r="I501" s="2">
        <f ca="1">IF(Iterations[[#This Row],[Step]] =current_step, current_c,IF(Iterations[[#This Row],[Step]] &gt; current_step, "",Iterations[[#This Row],[c]]))</f>
        <v>19.945424137952159</v>
      </c>
      <c r="J501" s="2">
        <f ca="1">IF(Iterations[[#This Row],[Step]] =current_step, current_d,IF(Iterations[[#This Row],[Step]] &gt; current_step, "",Iterations[[#This Row],[d]]))</f>
        <v>1.131328490293608</v>
      </c>
      <c r="K501" s="2">
        <f ca="1">IF(Iterations[[#This Row],[Step]] =current_step, current_e,IF(Iterations[[#This Row],[Step]] &gt; current_step, "",Iterations[[#This Row],[e]]))</f>
        <v>11.768088945418063</v>
      </c>
      <c r="L501" s="2">
        <f ca="1">IF(Iterations[[#This Row],[Step]] =current_step, current_Total_Loss,IF(Iterations[[#This Row],[Step]] &gt; current_step, "",Iterations[[#This Row],[Total Loss]]))</f>
        <v>92.57</v>
      </c>
      <c r="M501" s="6" t="s">
        <v>27</v>
      </c>
      <c r="N501" s="2">
        <f ca="1">IF(Iterations[[#This Row],[Step]] =current_step, current_Grad_a,IF(Iterations[[#This Row],[Step]] &gt; current_step, "",Iterations[[#This Row],[Grad_a]]))</f>
        <v>4.8180649122199201E-2</v>
      </c>
      <c r="O501" s="2">
        <f ca="1">IF(Iterations[[#This Row],[Step]] =current_step, current_Grad_b,IF(Iterations[[#This Row],[Step]] &gt; current_step, "",Iterations[[#This Row],[Grad_b]]))</f>
        <v>8.3417084065453579E-3</v>
      </c>
      <c r="P501" s="2">
        <f ca="1">IF(Iterations[[#This Row],[Step]] =current_step, current_Grad_c,IF(Iterations[[#This Row],[Step]] &gt; current_step, "",Iterations[[#This Row],[Grad_c]]))</f>
        <v>-0.13516428754354329</v>
      </c>
      <c r="Q501" s="2">
        <f ca="1">IF(Iterations[[#This Row],[Step]] =current_step, current_Grad_d,IF(Iterations[[#This Row],[Step]] &gt; current_step, "",Iterations[[#This Row],[Grad_d]]))</f>
        <v>-7.5893833302408276E-3</v>
      </c>
      <c r="R501" s="2">
        <f ca="1">IF(Iterations[[#This Row],[Step]] =current_step, current_Grad_e,IF(Iterations[[#This Row],[Step]] &gt; current_step, "",Iterations[[#This Row],[Grad_e]]))</f>
        <v>4.8205233978196399E-2</v>
      </c>
    </row>
    <row r="502" spans="6:18" x14ac:dyDescent="0.3">
      <c r="F502" s="2">
        <f t="shared" si="9"/>
        <v>485</v>
      </c>
      <c r="G502" s="2">
        <f ca="1">IF(Iterations[[#This Row],[Step]] =current_step, current_a,IF(Iterations[[#This Row],[Step]] &gt; current_step, "",Iterations[[#This Row],[a]]))</f>
        <v>-6.8155319032119577</v>
      </c>
      <c r="H502" s="2">
        <f ca="1">IF(Iterations[[#This Row],[Step]] =current_step, current_b,IF(Iterations[[#This Row],[Step]] &gt; current_step, "",Iterations[[#This Row],[b]]))</f>
        <v>0.42804464776101375</v>
      </c>
      <c r="I502" s="2">
        <f ca="1">IF(Iterations[[#This Row],[Step]] =current_step, current_c,IF(Iterations[[#This Row],[Step]] &gt; current_step, "",Iterations[[#This Row],[c]]))</f>
        <v>19.954885638080206</v>
      </c>
      <c r="J502" s="2">
        <f ca="1">IF(Iterations[[#This Row],[Step]] =current_step, current_d,IF(Iterations[[#This Row],[Step]] &gt; current_step, "",Iterations[[#This Row],[d]]))</f>
        <v>1.1318597471267249</v>
      </c>
      <c r="K502" s="2">
        <f ca="1">IF(Iterations[[#This Row],[Step]] =current_step, current_e,IF(Iterations[[#This Row],[Step]] &gt; current_step, "",Iterations[[#This Row],[e]]))</f>
        <v>11.764714579039589</v>
      </c>
      <c r="L502" s="2">
        <f ca="1">IF(Iterations[[#This Row],[Step]] =current_step, current_Total_Loss,IF(Iterations[[#This Row],[Step]] &gt; current_step, "",Iterations[[#This Row],[Total Loss]]))</f>
        <v>92.54</v>
      </c>
      <c r="M502" s="6" t="s">
        <v>27</v>
      </c>
      <c r="N502" s="2">
        <f ca="1">IF(Iterations[[#This Row],[Step]] =current_step, current_Grad_a,IF(Iterations[[#This Row],[Step]] &gt; current_step, "",Iterations[[#This Row],[Grad_a]]))</f>
        <v>4.7854615490826147E-2</v>
      </c>
      <c r="O502" s="2">
        <f ca="1">IF(Iterations[[#This Row],[Step]] =current_step, current_Grad_b,IF(Iterations[[#This Row],[Step]] &gt; current_step, "",Iterations[[#This Row],[Grad_b]]))</f>
        <v>8.2859397550710083E-3</v>
      </c>
      <c r="P502" s="2">
        <f ca="1">IF(Iterations[[#This Row],[Step]] =current_step, current_Grad_c,IF(Iterations[[#This Row],[Step]] &gt; current_step, "",Iterations[[#This Row],[Grad_c]]))</f>
        <v>-0.13424950946332118</v>
      </c>
      <c r="Q502" s="2">
        <f ca="1">IF(Iterations[[#This Row],[Step]] =current_step, current_Grad_d,IF(Iterations[[#This Row],[Step]] &gt; current_step, "",Iterations[[#This Row],[Grad_d]]))</f>
        <v>-7.5394662721666077E-3</v>
      </c>
      <c r="R502" s="2">
        <f ca="1">IF(Iterations[[#This Row],[Step]] =current_step, current_Grad_e,IF(Iterations[[#This Row],[Step]] &gt; current_step, "",Iterations[[#This Row],[Grad_e]]))</f>
        <v>4.7878965499618592E-2</v>
      </c>
    </row>
    <row r="503" spans="6:18" x14ac:dyDescent="0.3">
      <c r="F503" s="2">
        <f t="shared" si="9"/>
        <v>486</v>
      </c>
      <c r="G503" s="2">
        <f ca="1">IF(Iterations[[#This Row],[Step]] =current_step, current_a,IF(Iterations[[#This Row],[Step]] &gt; current_step, "",Iterations[[#This Row],[a]]))</f>
        <v>-6.8188817262963157</v>
      </c>
      <c r="H503" s="2">
        <f ca="1">IF(Iterations[[#This Row],[Step]] =current_step, current_b,IF(Iterations[[#This Row],[Step]] &gt; current_step, "",Iterations[[#This Row],[b]]))</f>
        <v>0.42746463197815876</v>
      </c>
      <c r="I503" s="2">
        <f ca="1">IF(Iterations[[#This Row],[Step]] =current_step, current_c,IF(Iterations[[#This Row],[Step]] &gt; current_step, "",Iterations[[#This Row],[c]]))</f>
        <v>19.964283103742638</v>
      </c>
      <c r="J503" s="2">
        <f ca="1">IF(Iterations[[#This Row],[Step]] =current_step, current_d,IF(Iterations[[#This Row],[Step]] &gt; current_step, "",Iterations[[#This Row],[d]]))</f>
        <v>1.1323875097657765</v>
      </c>
      <c r="K503" s="2">
        <f ca="1">IF(Iterations[[#This Row],[Step]] =current_step, current_e,IF(Iterations[[#This Row],[Step]] &gt; current_step, "",Iterations[[#This Row],[e]]))</f>
        <v>11.761363051454616</v>
      </c>
      <c r="L503" s="2">
        <f ca="1">IF(Iterations[[#This Row],[Step]] =current_step, current_Total_Loss,IF(Iterations[[#This Row],[Step]] &gt; current_step, "",Iterations[[#This Row],[Total Loss]]))</f>
        <v>92.51</v>
      </c>
      <c r="M503" s="6" t="s">
        <v>27</v>
      </c>
      <c r="N503" s="2">
        <f ca="1">IF(Iterations[[#This Row],[Step]] =current_step, current_Grad_a,IF(Iterations[[#This Row],[Step]] &gt; current_step, "",Iterations[[#This Row],[Grad_a]]))</f>
        <v>4.7530787987573229E-2</v>
      </c>
      <c r="O503" s="2">
        <f ca="1">IF(Iterations[[#This Row],[Step]] =current_step, current_Grad_b,IF(Iterations[[#This Row],[Step]] &gt; current_step, "",Iterations[[#This Row],[Grad_b]]))</f>
        <v>8.2305363675724101E-3</v>
      </c>
      <c r="P503" s="2">
        <f ca="1">IF(Iterations[[#This Row],[Step]] =current_step, current_Grad_c,IF(Iterations[[#This Row],[Step]] &gt; current_step, "",Iterations[[#This Row],[Grad_c]]))</f>
        <v>-0.13334092369283798</v>
      </c>
      <c r="Q503" s="2">
        <f ca="1">IF(Iterations[[#This Row],[Step]] =current_step, current_Grad_d,IF(Iterations[[#This Row],[Step]] &gt; current_step, "",Iterations[[#This Row],[Grad_d]]))</f>
        <v>-7.4898613262808621E-3</v>
      </c>
      <c r="R503" s="2">
        <f ca="1">IF(Iterations[[#This Row],[Step]] =current_step, current_Grad_e,IF(Iterations[[#This Row],[Step]] &gt; current_step, "",Iterations[[#This Row],[Grad_e]]))</f>
        <v>4.7554905958700329E-2</v>
      </c>
    </row>
    <row r="504" spans="6:18" x14ac:dyDescent="0.3">
      <c r="F504" s="2">
        <f t="shared" si="9"/>
        <v>487</v>
      </c>
      <c r="G504" s="2">
        <f ca="1">IF(Iterations[[#This Row],[Step]] =current_step, current_a,IF(Iterations[[#This Row],[Step]] &gt; current_step, "",Iterations[[#This Row],[a]]))</f>
        <v>-6.8222088814554462</v>
      </c>
      <c r="H504" s="2">
        <f ca="1">IF(Iterations[[#This Row],[Step]] =current_step, current_b,IF(Iterations[[#This Row],[Step]] &gt; current_step, "",Iterations[[#This Row],[b]]))</f>
        <v>0.42688849443242871</v>
      </c>
      <c r="I504" s="2">
        <f ca="1">IF(Iterations[[#This Row],[Step]] =current_step, current_c,IF(Iterations[[#This Row],[Step]] &gt; current_step, "",Iterations[[#This Row],[c]]))</f>
        <v>19.973616968401135</v>
      </c>
      <c r="J504" s="2">
        <f ca="1">IF(Iterations[[#This Row],[Step]] =current_step, current_d,IF(Iterations[[#This Row],[Step]] &gt; current_step, "",Iterations[[#This Row],[d]]))</f>
        <v>1.1329118000586162</v>
      </c>
      <c r="K504" s="2">
        <f ca="1">IF(Iterations[[#This Row],[Step]] =current_step, current_e,IF(Iterations[[#This Row],[Step]] &gt; current_step, "",Iterations[[#This Row],[e]]))</f>
        <v>11.758034208037508</v>
      </c>
      <c r="L504" s="2">
        <f ca="1">IF(Iterations[[#This Row],[Step]] =current_step, current_Total_Loss,IF(Iterations[[#This Row],[Step]] &gt; current_step, "",Iterations[[#This Row],[Total Loss]]))</f>
        <v>92.49</v>
      </c>
      <c r="M504" s="6" t="s">
        <v>27</v>
      </c>
      <c r="N504" s="2">
        <f ca="1">IF(Iterations[[#This Row],[Step]] =current_step, current_Grad_a,IF(Iterations[[#This Row],[Step]] &gt; current_step, "",Iterations[[#This Row],[Grad_a]]))</f>
        <v>4.7209151686380769E-2</v>
      </c>
      <c r="O504" s="2">
        <f ca="1">IF(Iterations[[#This Row],[Step]] =current_step, current_Grad_b,IF(Iterations[[#This Row],[Step]] &gt; current_step, "",Iterations[[#This Row],[Grad_b]]))</f>
        <v>8.1754959884196288E-3</v>
      </c>
      <c r="P504" s="2">
        <f ca="1">IF(Iterations[[#This Row],[Step]] =current_step, current_Grad_c,IF(Iterations[[#This Row],[Step]] &gt; current_step, "",Iterations[[#This Row],[Grad_c]]))</f>
        <v>-0.1324384882940666</v>
      </c>
      <c r="Q504" s="2">
        <f ca="1">IF(Iterations[[#This Row],[Step]] =current_step, current_Grad_d,IF(Iterations[[#This Row],[Step]] &gt; current_step, "",Iterations[[#This Row],[Grad_d]]))</f>
        <v>-7.4405668381604577E-3</v>
      </c>
      <c r="R504" s="2">
        <f ca="1">IF(Iterations[[#This Row],[Step]] =current_step, current_Grad_e,IF(Iterations[[#This Row],[Step]] &gt; current_step, "",Iterations[[#This Row],[Grad_e]]))</f>
        <v>4.7233040388694469E-2</v>
      </c>
    </row>
    <row r="505" spans="6:18" x14ac:dyDescent="0.3">
      <c r="F505" s="2">
        <f t="shared" si="9"/>
        <v>488</v>
      </c>
      <c r="G505" s="2">
        <f ca="1">IF(Iterations[[#This Row],[Step]] =current_step, current_a,IF(Iterations[[#This Row],[Step]] &gt; current_step, "",Iterations[[#This Row],[a]]))</f>
        <v>-6.8255135220734928</v>
      </c>
      <c r="H505" s="2">
        <f ca="1">IF(Iterations[[#This Row],[Step]] =current_step, current_b,IF(Iterations[[#This Row],[Step]] &gt; current_step, "",Iterations[[#This Row],[b]]))</f>
        <v>0.42631620971323936</v>
      </c>
      <c r="I505" s="2">
        <f ca="1">IF(Iterations[[#This Row],[Step]] =current_step, current_c,IF(Iterations[[#This Row],[Step]] &gt; current_step, "",Iterations[[#This Row],[c]]))</f>
        <v>19.982887662581721</v>
      </c>
      <c r="J505" s="2">
        <f ca="1">IF(Iterations[[#This Row],[Step]] =current_step, current_d,IF(Iterations[[#This Row],[Step]] &gt; current_step, "",Iterations[[#This Row],[d]]))</f>
        <v>1.1334326397372876</v>
      </c>
      <c r="K505" s="2">
        <f ca="1">IF(Iterations[[#This Row],[Step]] =current_step, current_e,IF(Iterations[[#This Row],[Step]] &gt; current_step, "",Iterations[[#This Row],[e]]))</f>
        <v>11.7547278952103</v>
      </c>
      <c r="L505" s="2">
        <f ca="1">IF(Iterations[[#This Row],[Step]] =current_step, current_Total_Loss,IF(Iterations[[#This Row],[Step]] &gt; current_step, "",Iterations[[#This Row],[Total Loss]]))</f>
        <v>92.46</v>
      </c>
      <c r="M505" s="6" t="s">
        <v>27</v>
      </c>
      <c r="N505" s="2">
        <f ca="1">IF(Iterations[[#This Row],[Step]] =current_step, current_Grad_a,IF(Iterations[[#This Row],[Step]] &gt; current_step, "",Iterations[[#This Row],[Grad_a]]))</f>
        <v>4.6889691762240414E-2</v>
      </c>
      <c r="O505" s="2">
        <f ca="1">IF(Iterations[[#This Row],[Step]] =current_step, current_Grad_b,IF(Iterations[[#This Row],[Step]] &gt; current_step, "",Iterations[[#This Row],[Grad_b]]))</f>
        <v>8.1208163733917822E-3</v>
      </c>
      <c r="P505" s="2">
        <f ca="1">IF(Iterations[[#This Row],[Step]] =current_step, current_Grad_c,IF(Iterations[[#This Row],[Step]] &gt; current_step, "",Iterations[[#This Row],[Grad_c]]))</f>
        <v>-0.13154216161334503</v>
      </c>
      <c r="Q505" s="2">
        <f ca="1">IF(Iterations[[#This Row],[Step]] =current_step, current_Grad_d,IF(Iterations[[#This Row],[Step]] &gt; current_step, "",Iterations[[#This Row],[Grad_d]]))</f>
        <v>-7.3915811564205973E-3</v>
      </c>
      <c r="R505" s="2">
        <f ca="1">IF(Iterations[[#This Row],[Step]] =current_step, current_Grad_e,IF(Iterations[[#This Row],[Step]] &gt; current_step, "",Iterations[[#This Row],[Grad_e]]))</f>
        <v>4.6913353924488116E-2</v>
      </c>
    </row>
    <row r="506" spans="6:18" x14ac:dyDescent="0.3">
      <c r="F506" s="2">
        <f t="shared" si="9"/>
        <v>489</v>
      </c>
      <c r="G506" s="2">
        <f ca="1">IF(Iterations[[#This Row],[Step]] =current_step, current_a,IF(Iterations[[#This Row],[Step]] &gt; current_step, "",Iterations[[#This Row],[a]]))</f>
        <v>-6.8287958004968496</v>
      </c>
      <c r="H506" s="2">
        <f ca="1">IF(Iterations[[#This Row],[Step]] =current_step, current_b,IF(Iterations[[#This Row],[Step]] &gt; current_step, "",Iterations[[#This Row],[b]]))</f>
        <v>0.42574775256710196</v>
      </c>
      <c r="I506" s="2">
        <f ca="1">IF(Iterations[[#This Row],[Step]] =current_step, current_c,IF(Iterations[[#This Row],[Step]] &gt; current_step, "",Iterations[[#This Row],[c]]))</f>
        <v>19.992095613894655</v>
      </c>
      <c r="J506" s="2">
        <f ca="1">IF(Iterations[[#This Row],[Step]] =current_step, current_d,IF(Iterations[[#This Row],[Step]] &gt; current_step, "",Iterations[[#This Row],[d]]))</f>
        <v>1.1339500504182369</v>
      </c>
      <c r="K506" s="2">
        <f ca="1">IF(Iterations[[#This Row],[Step]] =current_step, current_e,IF(Iterations[[#This Row],[Step]] &gt; current_step, "",Iterations[[#This Row],[e]]))</f>
        <v>11.751443960435585</v>
      </c>
      <c r="L506" s="2">
        <f ca="1">IF(Iterations[[#This Row],[Step]] =current_step, current_Total_Loss,IF(Iterations[[#This Row],[Step]] &gt; current_step, "",Iterations[[#This Row],[Total Loss]]))</f>
        <v>92.43</v>
      </c>
      <c r="M506" s="6" t="s">
        <v>27</v>
      </c>
      <c r="N506" s="2">
        <f ca="1">IF(Iterations[[#This Row],[Step]] =current_step, current_Grad_a,IF(Iterations[[#This Row],[Step]] &gt; current_step, "",Iterations[[#This Row],[Grad_a]]))</f>
        <v>4.6572393490383016E-2</v>
      </c>
      <c r="O506" s="2">
        <f ca="1">IF(Iterations[[#This Row],[Step]] =current_step, current_Grad_b,IF(Iterations[[#This Row],[Step]] &gt; current_step, "",Iterations[[#This Row],[Grad_b]]))</f>
        <v>8.0664952896584517E-3</v>
      </c>
      <c r="P506" s="2">
        <f ca="1">IF(Iterations[[#This Row],[Step]] =current_step, current_Grad_c,IF(Iterations[[#This Row],[Step]] &gt; current_step, "",Iterations[[#This Row],[Grad_c]]))</f>
        <v>-0.13065190227949894</v>
      </c>
      <c r="Q506" s="2">
        <f ca="1">IF(Iterations[[#This Row],[Step]] =current_step, current_Grad_d,IF(Iterations[[#This Row],[Step]] &gt; current_step, "",Iterations[[#This Row],[Grad_d]]))</f>
        <v>-7.3429026328500225E-3</v>
      </c>
      <c r="R506" s="2">
        <f ca="1">IF(Iterations[[#This Row],[Step]] =current_step, current_Grad_e,IF(Iterations[[#This Row],[Step]] &gt; current_step, "",Iterations[[#This Row],[Grad_e]]))</f>
        <v>4.6595831801874134E-2</v>
      </c>
    </row>
    <row r="507" spans="6:18" x14ac:dyDescent="0.3">
      <c r="F507" s="2">
        <f t="shared" si="9"/>
        <v>490</v>
      </c>
      <c r="G507" s="2">
        <f ca="1">IF(Iterations[[#This Row],[Step]] =current_step, current_a,IF(Iterations[[#This Row],[Step]] &gt; current_step, "",Iterations[[#This Row],[a]]))</f>
        <v>-6.8320558680411763</v>
      </c>
      <c r="H507" s="2">
        <f ca="1">IF(Iterations[[#This Row],[Step]] =current_step, current_b,IF(Iterations[[#This Row],[Step]] &gt; current_step, "",Iterations[[#This Row],[b]]))</f>
        <v>0.42518309789682585</v>
      </c>
      <c r="I507" s="2">
        <f ca="1">IF(Iterations[[#This Row],[Step]] =current_step, current_c,IF(Iterations[[#This Row],[Step]] &gt; current_step, "",Iterations[[#This Row],[c]]))</f>
        <v>20.001241247054221</v>
      </c>
      <c r="J507" s="2">
        <f ca="1">IF(Iterations[[#This Row],[Step]] =current_step, current_d,IF(Iterations[[#This Row],[Step]] &gt; current_step, "",Iterations[[#This Row],[d]]))</f>
        <v>1.1344640536025363</v>
      </c>
      <c r="K507" s="2">
        <f ca="1">IF(Iterations[[#This Row],[Step]] =current_step, current_e,IF(Iterations[[#This Row],[Step]] &gt; current_step, "",Iterations[[#This Row],[e]]))</f>
        <v>11.748182252209455</v>
      </c>
      <c r="L507" s="2">
        <f ca="1">IF(Iterations[[#This Row],[Step]] =current_step, current_Total_Loss,IF(Iterations[[#This Row],[Step]] &gt; current_step, "",Iterations[[#This Row],[Total Loss]]))</f>
        <v>92.4</v>
      </c>
      <c r="M507" s="6" t="s">
        <v>27</v>
      </c>
      <c r="N507" s="2">
        <f ca="1">IF(Iterations[[#This Row],[Step]] =current_step, current_Grad_a,IF(Iterations[[#This Row],[Step]] &gt; current_step, "",Iterations[[#This Row],[Grad_a]]))</f>
        <v>4.6257242245699395E-2</v>
      </c>
      <c r="O507" s="2">
        <f ca="1">IF(Iterations[[#This Row],[Step]] =current_step, current_Grad_b,IF(Iterations[[#This Row],[Step]] &gt; current_step, "",Iterations[[#This Row],[Grad_b]]))</f>
        <v>8.0125305157843878E-3</v>
      </c>
      <c r="P507" s="2">
        <f ca="1">IF(Iterations[[#This Row],[Step]] =current_step, current_Grad_c,IF(Iterations[[#This Row],[Step]] &gt; current_step, "",Iterations[[#This Row],[Grad_c]]))</f>
        <v>-0.12976766920186539</v>
      </c>
      <c r="Q507" s="2">
        <f ca="1">IF(Iterations[[#This Row],[Step]] =current_step, current_Grad_d,IF(Iterations[[#This Row],[Step]] &gt; current_step, "",Iterations[[#This Row],[Grad_d]]))</f>
        <v>-7.2945296225160588E-3</v>
      </c>
      <c r="R507" s="2">
        <f ca="1">IF(Iterations[[#This Row],[Step]] =current_step, current_Grad_e,IF(Iterations[[#This Row],[Step]] &gt; current_step, "",Iterations[[#This Row],[Grad_e]]))</f>
        <v>4.6280459356901775E-2</v>
      </c>
    </row>
    <row r="508" spans="6:18" x14ac:dyDescent="0.3">
      <c r="F508" s="2">
        <f t="shared" si="9"/>
        <v>491</v>
      </c>
      <c r="G508" s="2">
        <f ca="1">IF(Iterations[[#This Row],[Step]] =current_step, current_a,IF(Iterations[[#This Row],[Step]] &gt; current_step, "",Iterations[[#This Row],[a]]))</f>
        <v>-6.8352938749983752</v>
      </c>
      <c r="H508" s="2">
        <f ca="1">IF(Iterations[[#This Row],[Step]] =current_step, current_b,IF(Iterations[[#This Row],[Step]] &gt; current_step, "",Iterations[[#This Row],[b]]))</f>
        <v>0.42462222076072093</v>
      </c>
      <c r="I508" s="2">
        <f ca="1">IF(Iterations[[#This Row],[Step]] =current_step, current_c,IF(Iterations[[#This Row],[Step]] &gt; current_step, "",Iterations[[#This Row],[c]]))</f>
        <v>20.01032498389835</v>
      </c>
      <c r="J508" s="2">
        <f ca="1">IF(Iterations[[#This Row],[Step]] =current_step, current_d,IF(Iterations[[#This Row],[Step]] &gt; current_step, "",Iterations[[#This Row],[d]]))</f>
        <v>1.1349746706761124</v>
      </c>
      <c r="K508" s="2">
        <f ca="1">IF(Iterations[[#This Row],[Step]] =current_step, current_e,IF(Iterations[[#This Row],[Step]] &gt; current_step, "",Iterations[[#This Row],[e]]))</f>
        <v>11.744942620054472</v>
      </c>
      <c r="L508" s="2">
        <f ca="1">IF(Iterations[[#This Row],[Step]] =current_step, current_Total_Loss,IF(Iterations[[#This Row],[Step]] &gt; current_step, "",Iterations[[#This Row],[Total Loss]]))</f>
        <v>92.38</v>
      </c>
      <c r="M508" s="6" t="s">
        <v>27</v>
      </c>
      <c r="N508" s="2">
        <f ca="1">IF(Iterations[[#This Row],[Step]] =current_step, current_Grad_a,IF(Iterations[[#This Row],[Step]] &gt; current_step, "",Iterations[[#This Row],[Grad_a]]))</f>
        <v>4.5944223501840534E-2</v>
      </c>
      <c r="O508" s="2">
        <f ca="1">IF(Iterations[[#This Row],[Step]] =current_step, current_Grad_b,IF(Iterations[[#This Row],[Step]] &gt; current_step, "",Iterations[[#This Row],[Grad_b]]))</f>
        <v>7.9589198417391108E-3</v>
      </c>
      <c r="P508" s="2">
        <f ca="1">IF(Iterations[[#This Row],[Step]] =current_step, current_Grad_c,IF(Iterations[[#This Row],[Step]] &gt; current_step, "",Iterations[[#This Row],[Grad_c]]))</f>
        <v>-0.12888942156849287</v>
      </c>
      <c r="Q508" s="2">
        <f ca="1">IF(Iterations[[#This Row],[Step]] =current_step, current_Grad_d,IF(Iterations[[#This Row],[Step]] &gt; current_step, "",Iterations[[#This Row],[Grad_d]]))</f>
        <v>-7.2464604838880248E-3</v>
      </c>
      <c r="R508" s="2">
        <f ca="1">IF(Iterations[[#This Row],[Step]] =current_step, current_Grad_e,IF(Iterations[[#This Row],[Step]] &gt; current_step, "",Iterations[[#This Row],[Grad_e]]))</f>
        <v>4.5967222025126868E-2</v>
      </c>
    </row>
    <row r="509" spans="6:18" x14ac:dyDescent="0.3">
      <c r="F509" s="2">
        <f t="shared" ref="F509:F572" si="10">F508+1</f>
        <v>492</v>
      </c>
      <c r="G509" s="2">
        <f ca="1">IF(Iterations[[#This Row],[Step]] =current_step, current_a,IF(Iterations[[#This Row],[Step]] &gt; current_step, "",Iterations[[#This Row],[a]]))</f>
        <v>-6.8385099706435044</v>
      </c>
      <c r="H509" s="2">
        <f ca="1">IF(Iterations[[#This Row],[Step]] =current_step, current_b,IF(Iterations[[#This Row],[Step]] &gt; current_step, "",Iterations[[#This Row],[b]]))</f>
        <v>0.42406509637179918</v>
      </c>
      <c r="I509" s="2">
        <f ca="1">IF(Iterations[[#This Row],[Step]] =current_step, current_c,IF(Iterations[[#This Row],[Step]] &gt; current_step, "",Iterations[[#This Row],[c]]))</f>
        <v>20.019347243408145</v>
      </c>
      <c r="J509" s="2">
        <f ca="1">IF(Iterations[[#This Row],[Step]] =current_step, current_d,IF(Iterations[[#This Row],[Step]] &gt; current_step, "",Iterations[[#This Row],[d]]))</f>
        <v>1.1354819229099846</v>
      </c>
      <c r="K509" s="2">
        <f ca="1">IF(Iterations[[#This Row],[Step]] =current_step, current_e,IF(Iterations[[#This Row],[Step]] &gt; current_step, "",Iterations[[#This Row],[e]]))</f>
        <v>11.741724914512712</v>
      </c>
      <c r="L509" s="2">
        <f ca="1">IF(Iterations[[#This Row],[Step]] =current_step, current_Total_Loss,IF(Iterations[[#This Row],[Step]] &gt; current_step, "",Iterations[[#This Row],[Total Loss]]))</f>
        <v>92.35</v>
      </c>
      <c r="M509" s="6" t="s">
        <v>27</v>
      </c>
      <c r="N509" s="2">
        <f ca="1">IF(Iterations[[#This Row],[Step]] =current_step, current_Grad_a,IF(Iterations[[#This Row],[Step]] &gt; current_step, "",Iterations[[#This Row],[Grad_a]]))</f>
        <v>4.5633322830989087E-2</v>
      </c>
      <c r="O509" s="2">
        <f ca="1">IF(Iterations[[#This Row],[Step]] =current_step, current_Grad_b,IF(Iterations[[#This Row],[Step]] &gt; current_step, "",Iterations[[#This Row],[Grad_b]]))</f>
        <v>7.9056610688182406E-3</v>
      </c>
      <c r="P509" s="2">
        <f ca="1">IF(Iterations[[#This Row],[Step]] =current_step, current_Grad_c,IF(Iterations[[#This Row],[Step]] &gt; current_step, "",Iterations[[#This Row],[Grad_c]]))</f>
        <v>-0.12801711884405298</v>
      </c>
      <c r="Q509" s="2">
        <f ca="1">IF(Iterations[[#This Row],[Step]] =current_step, current_Grad_d,IF(Iterations[[#This Row],[Step]] &gt; current_step, "",Iterations[[#This Row],[Grad_d]]))</f>
        <v>-7.1986935789648621E-3</v>
      </c>
      <c r="R509" s="2">
        <f ca="1">IF(Iterations[[#This Row],[Step]] =current_step, current_Grad_e,IF(Iterations[[#This Row],[Step]] &gt; current_step, "",Iterations[[#This Row],[Grad_e]]))</f>
        <v>4.5656105341033912E-2</v>
      </c>
    </row>
    <row r="510" spans="6:18" x14ac:dyDescent="0.3">
      <c r="F510" s="2">
        <f t="shared" si="10"/>
        <v>493</v>
      </c>
      <c r="G510" s="2">
        <f ca="1">IF(Iterations[[#This Row],[Step]] =current_step, current_a,IF(Iterations[[#This Row],[Step]] &gt; current_step, "",Iterations[[#This Row],[a]]))</f>
        <v>-6.8417043032416736</v>
      </c>
      <c r="H510" s="2">
        <f ca="1">IF(Iterations[[#This Row],[Step]] =current_step, current_b,IF(Iterations[[#This Row],[Step]] &gt; current_step, "",Iterations[[#This Row],[b]]))</f>
        <v>0.42351170009698191</v>
      </c>
      <c r="I510" s="2">
        <f ca="1">IF(Iterations[[#This Row],[Step]] =current_step, current_c,IF(Iterations[[#This Row],[Step]] &gt; current_step, "",Iterations[[#This Row],[c]]))</f>
        <v>20.02830844172723</v>
      </c>
      <c r="J510" s="2">
        <f ca="1">IF(Iterations[[#This Row],[Step]] =current_step, current_d,IF(Iterations[[#This Row],[Step]] &gt; current_step, "",Iterations[[#This Row],[d]]))</f>
        <v>1.1359858314605122</v>
      </c>
      <c r="K510" s="2">
        <f ca="1">IF(Iterations[[#This Row],[Step]] =current_step, current_e,IF(Iterations[[#This Row],[Step]] &gt; current_step, "",Iterations[[#This Row],[e]]))</f>
        <v>11.738528987138841</v>
      </c>
      <c r="L510" s="2">
        <f ca="1">IF(Iterations[[#This Row],[Step]] =current_step, current_Total_Loss,IF(Iterations[[#This Row],[Step]] &gt; current_step, "",Iterations[[#This Row],[Total Loss]]))</f>
        <v>92.32</v>
      </c>
      <c r="M510" s="6" t="s">
        <v>27</v>
      </c>
      <c r="N510" s="2">
        <f ca="1">IF(Iterations[[#This Row],[Step]] =current_step, current_Grad_a,IF(Iterations[[#This Row],[Step]] &gt; current_step, "",Iterations[[#This Row],[Grad_a]]))</f>
        <v>4.5324525902523817E-2</v>
      </c>
      <c r="O510" s="2">
        <f ca="1">IF(Iterations[[#This Row],[Step]] =current_step, current_Grad_b,IF(Iterations[[#This Row],[Step]] &gt; current_step, "",Iterations[[#This Row],[Grad_b]]))</f>
        <v>7.8527520097334113E-3</v>
      </c>
      <c r="P510" s="2">
        <f ca="1">IF(Iterations[[#This Row],[Step]] =current_step, current_Grad_c,IF(Iterations[[#This Row],[Step]] &gt; current_step, "",Iterations[[#This Row],[Grad_c]]))</f>
        <v>-0.12715072076824188</v>
      </c>
      <c r="Q510" s="2">
        <f ca="1">IF(Iterations[[#This Row],[Step]] =current_step, current_Grad_d,IF(Iterations[[#This Row],[Step]] &gt; current_step, "",Iterations[[#This Row],[Grad_d]]))</f>
        <v>-7.1512272733593512E-3</v>
      </c>
      <c r="R510" s="2">
        <f ca="1">IF(Iterations[[#This Row],[Step]] =current_step, current_Grad_e,IF(Iterations[[#This Row],[Step]] &gt; current_step, "",Iterations[[#This Row],[Grad_e]]))</f>
        <v>4.5347094937221617E-2</v>
      </c>
    </row>
    <row r="511" spans="6:18" x14ac:dyDescent="0.3">
      <c r="F511" s="2">
        <f t="shared" si="10"/>
        <v>494</v>
      </c>
      <c r="G511" s="2">
        <f ca="1">IF(Iterations[[#This Row],[Step]] =current_step, current_a,IF(Iterations[[#This Row],[Step]] &gt; current_step, "",Iterations[[#This Row],[a]]))</f>
        <v>-6.8448770200548505</v>
      </c>
      <c r="H511" s="2">
        <f ca="1">IF(Iterations[[#This Row],[Step]] =current_step, current_b,IF(Iterations[[#This Row],[Step]] &gt; current_step, "",Iterations[[#This Row],[b]]))</f>
        <v>0.42296200745630058</v>
      </c>
      <c r="I511" s="2">
        <f ca="1">IF(Iterations[[#This Row],[Step]] =current_step, current_c,IF(Iterations[[#This Row],[Step]] &gt; current_step, "",Iterations[[#This Row],[c]]))</f>
        <v>20.037208992181007</v>
      </c>
      <c r="J511" s="2">
        <f ca="1">IF(Iterations[[#This Row],[Step]] =current_step, current_d,IF(Iterations[[#This Row],[Step]] &gt; current_step, "",Iterations[[#This Row],[d]]))</f>
        <v>1.1364864173696474</v>
      </c>
      <c r="K511" s="2">
        <f ca="1">IF(Iterations[[#This Row],[Step]] =current_step, current_e,IF(Iterations[[#This Row],[Step]] &gt; current_step, "",Iterations[[#This Row],[e]]))</f>
        <v>11.735354690493235</v>
      </c>
      <c r="L511" s="2">
        <f ca="1">IF(Iterations[[#This Row],[Step]] =current_step, current_Total_Loss,IF(Iterations[[#This Row],[Step]] &gt; current_step, "",Iterations[[#This Row],[Total Loss]]))</f>
        <v>92.3</v>
      </c>
      <c r="M511" s="6" t="s">
        <v>27</v>
      </c>
      <c r="N511" s="2">
        <f ca="1">IF(Iterations[[#This Row],[Step]] =current_step, current_Grad_a,IF(Iterations[[#This Row],[Step]] &gt; current_step, "",Iterations[[#This Row],[Grad_a]]))</f>
        <v>4.5017818483110754E-2</v>
      </c>
      <c r="O511" s="2">
        <f ca="1">IF(Iterations[[#This Row],[Step]] =current_step, current_Grad_b,IF(Iterations[[#This Row],[Step]] &gt; current_step, "",Iterations[[#This Row],[Grad_b]]))</f>
        <v>7.8001904884904315E-3</v>
      </c>
      <c r="P511" s="2">
        <f ca="1">IF(Iterations[[#This Row],[Step]] =current_step, current_Grad_c,IF(Iterations[[#This Row],[Step]] &gt; current_step, "",Iterations[[#This Row],[Grad_c]]))</f>
        <v>-0.12629018735359138</v>
      </c>
      <c r="Q511" s="2">
        <f ca="1">IF(Iterations[[#This Row],[Step]] =current_step, current_Grad_d,IF(Iterations[[#This Row],[Step]] &gt; current_step, "",Iterations[[#This Row],[Grad_d]]))</f>
        <v>-7.1040599364332524E-3</v>
      </c>
      <c r="R511" s="2">
        <f ca="1">IF(Iterations[[#This Row],[Step]] =current_step, current_Grad_e,IF(Iterations[[#This Row],[Step]] &gt; current_step, "",Iterations[[#This Row],[Grad_e]]))</f>
        <v>4.5040176543887846E-2</v>
      </c>
    </row>
    <row r="512" spans="6:18" x14ac:dyDescent="0.3">
      <c r="F512" s="2">
        <f t="shared" si="10"/>
        <v>495</v>
      </c>
      <c r="G512" s="2">
        <f ca="1">IF(Iterations[[#This Row],[Step]] =current_step, current_a,IF(Iterations[[#This Row],[Step]] &gt; current_step, "",Iterations[[#This Row],[a]]))</f>
        <v>-6.8480282673486679</v>
      </c>
      <c r="H512" s="2">
        <f ca="1">IF(Iterations[[#This Row],[Step]] =current_step, current_b,IF(Iterations[[#This Row],[Step]] &gt; current_step, "",Iterations[[#This Row],[b]]))</f>
        <v>0.42241599412210623</v>
      </c>
      <c r="I512" s="2">
        <f ca="1">IF(Iterations[[#This Row],[Step]] =current_step, current_c,IF(Iterations[[#This Row],[Step]] &gt; current_step, "",Iterations[[#This Row],[c]]))</f>
        <v>20.04604930529576</v>
      </c>
      <c r="J512" s="2">
        <f ca="1">IF(Iterations[[#This Row],[Step]] =current_step, current_d,IF(Iterations[[#This Row],[Step]] &gt; current_step, "",Iterations[[#This Row],[d]]))</f>
        <v>1.1369837015651978</v>
      </c>
      <c r="K512" s="2">
        <f ca="1">IF(Iterations[[#This Row],[Step]] =current_step, current_e,IF(Iterations[[#This Row],[Step]] &gt; current_step, "",Iterations[[#This Row],[e]]))</f>
        <v>11.732201878135163</v>
      </c>
      <c r="L512" s="2">
        <f ca="1">IF(Iterations[[#This Row],[Step]] =current_step, current_Total_Loss,IF(Iterations[[#This Row],[Step]] &gt; current_step, "",Iterations[[#This Row],[Total Loss]]))</f>
        <v>92.27</v>
      </c>
      <c r="M512" s="6" t="s">
        <v>27</v>
      </c>
      <c r="N512" s="2">
        <f ca="1">IF(Iterations[[#This Row],[Step]] =current_step, current_Grad_a,IF(Iterations[[#This Row],[Step]] &gt; current_step, "",Iterations[[#This Row],[Grad_a]]))</f>
        <v>4.4713186435467664E-2</v>
      </c>
      <c r="O512" s="2">
        <f ca="1">IF(Iterations[[#This Row],[Step]] =current_step, current_Grad_b,IF(Iterations[[#This Row],[Step]] &gt; current_step, "",Iterations[[#This Row],[Grad_b]]))</f>
        <v>7.747974340456037E-3</v>
      </c>
      <c r="P512" s="2">
        <f ca="1">IF(Iterations[[#This Row],[Step]] =current_step, current_Grad_c,IF(Iterations[[#This Row],[Step]] &gt; current_step, "",Iterations[[#This Row],[Grad_c]]))</f>
        <v>-0.12543547888386572</v>
      </c>
      <c r="Q512" s="2">
        <f ca="1">IF(Iterations[[#This Row],[Step]] =current_step, current_Grad_d,IF(Iterations[[#This Row],[Step]] &gt; current_step, "",Iterations[[#This Row],[Grad_d]]))</f>
        <v>-7.057189941386488E-3</v>
      </c>
      <c r="R512" s="2">
        <f ca="1">IF(Iterations[[#This Row],[Step]] =current_step, current_Grad_e,IF(Iterations[[#This Row],[Step]] &gt; current_step, "",Iterations[[#This Row],[Grad_e]]))</f>
        <v>4.4735335988037091E-2</v>
      </c>
    </row>
    <row r="513" spans="6:18" x14ac:dyDescent="0.3">
      <c r="F513" s="2">
        <f t="shared" si="10"/>
        <v>496</v>
      </c>
      <c r="G513" s="2">
        <f ca="1">IF(Iterations[[#This Row],[Step]] =current_step, current_a,IF(Iterations[[#This Row],[Step]] &gt; current_step, "",Iterations[[#This Row],[a]]))</f>
        <v>-6.8511581903991505</v>
      </c>
      <c r="H513" s="2">
        <f ca="1">IF(Iterations[[#This Row],[Step]] =current_step, current_b,IF(Iterations[[#This Row],[Step]] &gt; current_step, "",Iterations[[#This Row],[b]]))</f>
        <v>0.42187363591827431</v>
      </c>
      <c r="I513" s="2">
        <f ca="1">IF(Iterations[[#This Row],[Step]] =current_step, current_c,IF(Iterations[[#This Row],[Step]] &gt; current_step, "",Iterations[[#This Row],[c]]))</f>
        <v>20.054829788817631</v>
      </c>
      <c r="J513" s="2">
        <f ca="1">IF(Iterations[[#This Row],[Step]] =current_step, current_d,IF(Iterations[[#This Row],[Step]] &gt; current_step, "",Iterations[[#This Row],[d]]))</f>
        <v>1.1374777048610949</v>
      </c>
      <c r="K513" s="2">
        <f ca="1">IF(Iterations[[#This Row],[Step]] =current_step, current_e,IF(Iterations[[#This Row],[Step]] &gt; current_step, "",Iterations[[#This Row],[e]]))</f>
        <v>11.729070404615999</v>
      </c>
      <c r="L513" s="2">
        <f ca="1">IF(Iterations[[#This Row],[Step]] =current_step, current_Total_Loss,IF(Iterations[[#This Row],[Step]] &gt; current_step, "",Iterations[[#This Row],[Total Loss]]))</f>
        <v>92.25</v>
      </c>
      <c r="M513" s="6" t="s">
        <v>27</v>
      </c>
      <c r="N513" s="2">
        <f ca="1">IF(Iterations[[#This Row],[Step]] =current_step, current_Grad_a,IF(Iterations[[#This Row],[Step]] &gt; current_step, "",Iterations[[#This Row],[Grad_a]]))</f>
        <v>4.4410615718015106E-2</v>
      </c>
      <c r="O513" s="2">
        <f ca="1">IF(Iterations[[#This Row],[Step]] =current_step, current_Grad_b,IF(Iterations[[#This Row],[Step]] &gt; current_step, "",Iterations[[#This Row],[Grad_b]]))</f>
        <v>7.6961014122888848E-3</v>
      </c>
      <c r="P513" s="2">
        <f ca="1">IF(Iterations[[#This Row],[Step]] =current_step, current_Grad_c,IF(Iterations[[#This Row],[Step]] &gt; current_step, "",Iterations[[#This Row],[Grad_c]]))</f>
        <v>-0.1245865559120795</v>
      </c>
      <c r="Q513" s="2">
        <f ca="1">IF(Iterations[[#This Row],[Step]] =current_step, current_Grad_d,IF(Iterations[[#This Row],[Step]] &gt; current_step, "",Iterations[[#This Row],[Grad_d]]))</f>
        <v>-7.0106156653675583E-3</v>
      </c>
      <c r="R513" s="2">
        <f ca="1">IF(Iterations[[#This Row],[Step]] =current_step, current_Grad_e,IF(Iterations[[#This Row],[Step]] &gt; current_step, "",Iterations[[#This Row],[Grad_e]]))</f>
        <v>4.4432559192894634E-2</v>
      </c>
    </row>
    <row r="514" spans="6:18" x14ac:dyDescent="0.3">
      <c r="F514" s="2">
        <f t="shared" si="10"/>
        <v>497</v>
      </c>
      <c r="G514" s="2">
        <f ca="1">IF(Iterations[[#This Row],[Step]] =current_step, current_a,IF(Iterations[[#This Row],[Step]] &gt; current_step, "",Iterations[[#This Row],[a]]))</f>
        <v>-6.854266933499412</v>
      </c>
      <c r="H514" s="2">
        <f ca="1">IF(Iterations[[#This Row],[Step]] =current_step, current_b,IF(Iterations[[#This Row],[Step]] &gt; current_step, "",Iterations[[#This Row],[b]]))</f>
        <v>0.4213349088194141</v>
      </c>
      <c r="I514" s="2">
        <f ca="1">IF(Iterations[[#This Row],[Step]] =current_step, current_c,IF(Iterations[[#This Row],[Step]] &gt; current_step, "",Iterations[[#This Row],[c]]))</f>
        <v>20.063550847731477</v>
      </c>
      <c r="J514" s="2">
        <f ca="1">IF(Iterations[[#This Row],[Step]] =current_step, current_d,IF(Iterations[[#This Row],[Step]] &gt; current_step, "",Iterations[[#This Row],[d]]))</f>
        <v>1.1379684479576706</v>
      </c>
      <c r="K514" s="2">
        <f ca="1">IF(Iterations[[#This Row],[Step]] =current_step, current_e,IF(Iterations[[#This Row],[Step]] &gt; current_step, "",Iterations[[#This Row],[e]]))</f>
        <v>11.725960125472497</v>
      </c>
      <c r="L514" s="2">
        <f ca="1">IF(Iterations[[#This Row],[Step]] =current_step, current_Total_Loss,IF(Iterations[[#This Row],[Step]] &gt; current_step, "",Iterations[[#This Row],[Total Loss]]))</f>
        <v>92.22</v>
      </c>
      <c r="M514" s="6" t="s">
        <v>27</v>
      </c>
      <c r="N514" s="2">
        <f ca="1">IF(Iterations[[#This Row],[Step]] =current_step, current_Grad_a,IF(Iterations[[#This Row],[Step]] &gt; current_step, "",Iterations[[#This Row],[Grad_a]]))</f>
        <v>4.4110092384109331E-2</v>
      </c>
      <c r="O514" s="2">
        <f ca="1">IF(Iterations[[#This Row],[Step]] =current_step, current_Grad_b,IF(Iterations[[#This Row],[Step]] &gt; current_step, "",Iterations[[#This Row],[Grad_b]]))</f>
        <v>7.6445695619538996E-3</v>
      </c>
      <c r="P514" s="2">
        <f ca="1">IF(Iterations[[#This Row],[Step]] =current_step, current_Grad_c,IF(Iterations[[#This Row],[Step]] &gt; current_step, "",Iterations[[#This Row],[Grad_c]]))</f>
        <v>-0.12374337925872086</v>
      </c>
      <c r="Q514" s="2">
        <f ca="1">IF(Iterations[[#This Row],[Step]] =current_step, current_Grad_d,IF(Iterations[[#This Row],[Step]] &gt; current_step, "",Iterations[[#This Row],[Grad_d]]))</f>
        <v>-6.9643354895675214E-3</v>
      </c>
      <c r="R514" s="2">
        <f ca="1">IF(Iterations[[#This Row],[Step]] =current_step, current_Grad_e,IF(Iterations[[#This Row],[Step]] &gt; current_step, "",Iterations[[#This Row],[Grad_e]]))</f>
        <v>4.413183217721834E-2</v>
      </c>
    </row>
    <row r="515" spans="6:18" x14ac:dyDescent="0.3">
      <c r="F515" s="2">
        <f t="shared" si="10"/>
        <v>498</v>
      </c>
      <c r="G515" s="2">
        <f ca="1">IF(Iterations[[#This Row],[Step]] =current_step, current_a,IF(Iterations[[#This Row],[Step]] &gt; current_step, "",Iterations[[#This Row],[a]]))</f>
        <v>-6.8573546399662995</v>
      </c>
      <c r="H515" s="2">
        <f ca="1">IF(Iterations[[#This Row],[Step]] =current_step, current_b,IF(Iterations[[#This Row],[Step]] &gt; current_step, "",Iterations[[#This Row],[b]]))</f>
        <v>0.4207997889500773</v>
      </c>
      <c r="I515" s="2">
        <f ca="1">IF(Iterations[[#This Row],[Step]] =current_step, current_c,IF(Iterations[[#This Row],[Step]] &gt; current_step, "",Iterations[[#This Row],[c]]))</f>
        <v>20.072212884279587</v>
      </c>
      <c r="J515" s="2">
        <f ca="1">IF(Iterations[[#This Row],[Step]] =current_step, current_d,IF(Iterations[[#This Row],[Step]] &gt; current_step, "",Iterations[[#This Row],[d]]))</f>
        <v>1.1384559514419403</v>
      </c>
      <c r="K515" s="2">
        <f ca="1">IF(Iterations[[#This Row],[Step]] =current_step, current_e,IF(Iterations[[#This Row],[Step]] &gt; current_step, "",Iterations[[#This Row],[e]]))</f>
        <v>11.722870897220092</v>
      </c>
      <c r="L515" s="2">
        <f ca="1">IF(Iterations[[#This Row],[Step]] =current_step, current_Total_Loss,IF(Iterations[[#This Row],[Step]] &gt; current_step, "",Iterations[[#This Row],[Total Loss]]))</f>
        <v>92.2</v>
      </c>
      <c r="M515" s="6" t="s">
        <v>27</v>
      </c>
      <c r="N515" s="2">
        <f ca="1">IF(Iterations[[#This Row],[Step]] =current_step, current_Grad_a,IF(Iterations[[#This Row],[Step]] &gt; current_step, "",Iterations[[#This Row],[Grad_a]]))</f>
        <v>4.3811602581523459E-2</v>
      </c>
      <c r="O515" s="2">
        <f ca="1">IF(Iterations[[#This Row],[Step]] =current_step, current_Grad_b,IF(Iterations[[#This Row],[Step]] &gt; current_step, "",Iterations[[#This Row],[Grad_b]]))</f>
        <v>7.593376658689489E-3</v>
      </c>
      <c r="P515" s="2">
        <f ca="1">IF(Iterations[[#This Row],[Step]] =current_step, current_Grad_c,IF(Iterations[[#This Row],[Step]] &gt; current_step, "",Iterations[[#This Row],[Grad_c]]))</f>
        <v>-0.12290591000988352</v>
      </c>
      <c r="Q515" s="2">
        <f ca="1">IF(Iterations[[#This Row],[Step]] =current_step, current_Grad_d,IF(Iterations[[#This Row],[Step]] &gt; current_step, "",Iterations[[#This Row],[Grad_d]]))</f>
        <v>-6.9183477993200069E-3</v>
      </c>
      <c r="R515" s="2">
        <f ca="1">IF(Iterations[[#This Row],[Step]] =current_step, current_Grad_e,IF(Iterations[[#This Row],[Step]] &gt; current_step, "",Iterations[[#This Row],[Grad_e]]))</f>
        <v>4.3833141054669705E-2</v>
      </c>
    </row>
    <row r="516" spans="6:18" x14ac:dyDescent="0.3">
      <c r="F516" s="2">
        <f t="shared" si="10"/>
        <v>499</v>
      </c>
      <c r="G516" s="2">
        <f ca="1">IF(Iterations[[#This Row],[Step]] =current_step, current_a,IF(Iterations[[#This Row],[Step]] &gt; current_step, "",Iterations[[#This Row],[a]]))</f>
        <v>-6.8604214521470057</v>
      </c>
      <c r="H516" s="2">
        <f ca="1">IF(Iterations[[#This Row],[Step]] =current_step, current_b,IF(Iterations[[#This Row],[Step]] &gt; current_step, "",Iterations[[#This Row],[b]]))</f>
        <v>0.42026825258396905</v>
      </c>
      <c r="I516" s="2">
        <f ca="1">IF(Iterations[[#This Row],[Step]] =current_step, current_c,IF(Iterations[[#This Row],[Step]] &gt; current_step, "",Iterations[[#This Row],[c]]))</f>
        <v>20.080816297980277</v>
      </c>
      <c r="J516" s="2">
        <f ca="1">IF(Iterations[[#This Row],[Step]] =current_step, current_d,IF(Iterations[[#This Row],[Step]] &gt; current_step, "",Iterations[[#This Row],[d]]))</f>
        <v>1.1389402357878928</v>
      </c>
      <c r="K516" s="2">
        <f ca="1">IF(Iterations[[#This Row],[Step]] =current_step, current_e,IF(Iterations[[#This Row],[Step]] &gt; current_step, "",Iterations[[#This Row],[e]]))</f>
        <v>11.719802577346265</v>
      </c>
      <c r="L516" s="2">
        <f ca="1">IF(Iterations[[#This Row],[Step]] =current_step, current_Total_Loss,IF(Iterations[[#This Row],[Step]] &gt; current_step, "",Iterations[[#This Row],[Total Loss]]))</f>
        <v>92.18</v>
      </c>
      <c r="M516" s="6" t="s">
        <v>27</v>
      </c>
      <c r="N516" s="2">
        <f ca="1">IF(Iterations[[#This Row],[Step]] =current_step, current_Grad_a,IF(Iterations[[#This Row],[Step]] &gt; current_step, "",Iterations[[#This Row],[Grad_a]]))</f>
        <v>4.3515132551560032E-2</v>
      </c>
      <c r="O516" s="2">
        <f ca="1">IF(Iterations[[#This Row],[Step]] =current_step, current_Grad_b,IF(Iterations[[#This Row],[Step]] &gt; current_step, "",Iterations[[#This Row],[Grad_b]]))</f>
        <v>7.5425205830118918E-3</v>
      </c>
      <c r="P516" s="2">
        <f ca="1">IF(Iterations[[#This Row],[Step]] =current_step, current_Grad_c,IF(Iterations[[#This Row],[Step]] &gt; current_step, "",Iterations[[#This Row],[Grad_c]]))</f>
        <v>-0.12207410951556358</v>
      </c>
      <c r="Q516" s="2">
        <f ca="1">IF(Iterations[[#This Row],[Step]] =current_step, current_Grad_d,IF(Iterations[[#This Row],[Step]] &gt; current_step, "",Iterations[[#This Row],[Grad_d]]))</f>
        <v>-6.8726509841813641E-3</v>
      </c>
      <c r="R516" s="2">
        <f ca="1">IF(Iterations[[#This Row],[Step]] =current_step, current_Grad_e,IF(Iterations[[#This Row],[Step]] &gt; current_step, "",Iterations[[#This Row],[Grad_e]]))</f>
        <v>4.3536472033120312E-2</v>
      </c>
    </row>
    <row r="517" spans="6:18" x14ac:dyDescent="0.3">
      <c r="F517" s="2">
        <f t="shared" si="10"/>
        <v>500</v>
      </c>
      <c r="G517" s="2">
        <f ca="1">IF(Iterations[[#This Row],[Step]] =current_step, current_a,IF(Iterations[[#This Row],[Step]] &gt; current_step, "",Iterations[[#This Row],[a]]))</f>
        <v>-6.8634675114256147</v>
      </c>
      <c r="H517" s="2">
        <f ca="1">IF(Iterations[[#This Row],[Step]] =current_step, current_b,IF(Iterations[[#This Row],[Step]] &gt; current_step, "",Iterations[[#This Row],[b]]))</f>
        <v>0.41974027614315823</v>
      </c>
      <c r="I517" s="2">
        <f ca="1">IF(Iterations[[#This Row],[Step]] =current_step, current_c,IF(Iterations[[#This Row],[Step]] &gt; current_step, "",Iterations[[#This Row],[c]]))</f>
        <v>20.089361485646368</v>
      </c>
      <c r="J517" s="2">
        <f ca="1">IF(Iterations[[#This Row],[Step]] =current_step, current_d,IF(Iterations[[#This Row],[Step]] &gt; current_step, "",Iterations[[#This Row],[d]]))</f>
        <v>1.1394213213567854</v>
      </c>
      <c r="K517" s="2">
        <f ca="1">IF(Iterations[[#This Row],[Step]] =current_step, current_e,IF(Iterations[[#This Row],[Step]] &gt; current_step, "",Iterations[[#This Row],[e]]))</f>
        <v>11.716755024303946</v>
      </c>
      <c r="L517" s="2">
        <f ca="1">IF(Iterations[[#This Row],[Step]] =current_step, current_Total_Loss,IF(Iterations[[#This Row],[Step]] &gt; current_step, "",Iterations[[#This Row],[Total Loss]]))</f>
        <v>92.15</v>
      </c>
      <c r="M517" s="6" t="s">
        <v>27</v>
      </c>
      <c r="N517" s="2">
        <f ca="1">IF(Iterations[[#This Row],[Step]] =current_step, current_Grad_a,IF(Iterations[[#This Row],[Step]] &gt; current_step, "",Iterations[[#This Row],[Grad_a]]))</f>
        <v>4.322066862882111E-2</v>
      </c>
      <c r="O517" s="2">
        <f ca="1">IF(Iterations[[#This Row],[Step]] =current_step, current_Grad_b,IF(Iterations[[#This Row],[Step]] &gt; current_step, "",Iterations[[#This Row],[Grad_b]]))</f>
        <v>7.4919992266209677E-3</v>
      </c>
      <c r="P517" s="2">
        <f ca="1">IF(Iterations[[#This Row],[Step]] =current_step, current_Grad_c,IF(Iterations[[#This Row],[Step]] &gt; current_step, "",Iterations[[#This Row],[Grad_c]]))</f>
        <v>-0.12124793938768819</v>
      </c>
      <c r="Q517" s="2">
        <f ca="1">IF(Iterations[[#This Row],[Step]] =current_step, current_Grad_d,IF(Iterations[[#This Row],[Step]] &gt; current_step, "",Iterations[[#This Row],[Grad_d]]))</f>
        <v>-6.8272434380604692E-3</v>
      </c>
      <c r="R517" s="2">
        <f ca="1">IF(Iterations[[#This Row],[Step]] =current_step, current_Grad_e,IF(Iterations[[#This Row],[Step]] &gt; current_step, "",Iterations[[#This Row],[Grad_e]]))</f>
        <v>4.3241811414096887E-2</v>
      </c>
    </row>
    <row r="518" spans="6:18" x14ac:dyDescent="0.3">
      <c r="F518" s="2">
        <f t="shared" si="10"/>
        <v>501</v>
      </c>
      <c r="G518" s="2">
        <f ca="1">IF(Iterations[[#This Row],[Step]] =current_step, current_a,IF(Iterations[[#This Row],[Step]] &gt; current_step, "",Iterations[[#This Row],[a]]))</f>
        <v>-6.8664929582296326</v>
      </c>
      <c r="H518" s="2">
        <f ca="1">IF(Iterations[[#This Row],[Step]] =current_step, current_b,IF(Iterations[[#This Row],[Step]] &gt; current_step, "",Iterations[[#This Row],[b]]))</f>
        <v>0.41921583619729474</v>
      </c>
      <c r="I518" s="2">
        <f ca="1">IF(Iterations[[#This Row],[Step]] =current_step, current_c,IF(Iterations[[#This Row],[Step]] &gt; current_step, "",Iterations[[#This Row],[c]]))</f>
        <v>20.097848841403508</v>
      </c>
      <c r="J518" s="2">
        <f ca="1">IF(Iterations[[#This Row],[Step]] =current_step, current_d,IF(Iterations[[#This Row],[Step]] &gt; current_step, "",Iterations[[#This Row],[d]]))</f>
        <v>1.1398992283974496</v>
      </c>
      <c r="K518" s="2">
        <f ca="1">IF(Iterations[[#This Row],[Step]] =current_step, current_e,IF(Iterations[[#This Row],[Step]] &gt; current_step, "",Iterations[[#This Row],[e]]))</f>
        <v>11.71372809750496</v>
      </c>
      <c r="L518" s="2">
        <f ca="1">IF(Iterations[[#This Row],[Step]] =current_step, current_Total_Loss,IF(Iterations[[#This Row],[Step]] &gt; current_step, "",Iterations[[#This Row],[Total Loss]]))</f>
        <v>92.13</v>
      </c>
      <c r="M518" s="6" t="s">
        <v>27</v>
      </c>
      <c r="N518" s="2">
        <f ca="1">IF(Iterations[[#This Row],[Step]] =current_step, current_Grad_a,IF(Iterations[[#This Row],[Step]] &gt; current_step, "",Iterations[[#This Row],[Grad_a]]))</f>
        <v>4.2928197240039614E-2</v>
      </c>
      <c r="O518" s="2">
        <f ca="1">IF(Iterations[[#This Row],[Step]] =current_step, current_Grad_b,IF(Iterations[[#This Row],[Step]] &gt; current_step, "",Iterations[[#This Row],[Grad_b]]))</f>
        <v>7.4418104925139299E-3</v>
      </c>
      <c r="P518" s="2">
        <f ca="1">IF(Iterations[[#This Row],[Step]] =current_step, current_Grad_c,IF(Iterations[[#This Row],[Step]] &gt; current_step, "",Iterations[[#This Row],[Grad_c]]))</f>
        <v>-0.12042736149857507</v>
      </c>
      <c r="Q518" s="2">
        <f ca="1">IF(Iterations[[#This Row],[Step]] =current_step, current_Grad_d,IF(Iterations[[#This Row],[Step]] &gt; current_step, "",Iterations[[#This Row],[Grad_d]]))</f>
        <v>-6.7821235592431424E-3</v>
      </c>
      <c r="R518" s="2">
        <f ca="1">IF(Iterations[[#This Row],[Step]] =current_step, current_Grad_e,IF(Iterations[[#This Row],[Step]] &gt; current_step, "",Iterations[[#This Row],[Grad_e]]))</f>
        <v>4.2949145592018075E-2</v>
      </c>
    </row>
    <row r="519" spans="6:18" x14ac:dyDescent="0.3">
      <c r="F519" s="2">
        <f t="shared" si="10"/>
        <v>502</v>
      </c>
      <c r="G519" s="2">
        <f ca="1">IF(Iterations[[#This Row],[Step]] =current_step, current_a,IF(Iterations[[#This Row],[Step]] &gt; current_step, "",Iterations[[#This Row],[a]]))</f>
        <v>-6.8694979320364356</v>
      </c>
      <c r="H519" s="2">
        <f ca="1">IF(Iterations[[#This Row],[Step]] =current_step, current_b,IF(Iterations[[#This Row],[Step]] &gt; current_step, "",Iterations[[#This Row],[b]]))</f>
        <v>0.41869490946281879</v>
      </c>
      <c r="I519" s="2">
        <f ca="1">IF(Iterations[[#This Row],[Step]] =current_step, current_c,IF(Iterations[[#This Row],[Step]] &gt; current_step, "",Iterations[[#This Row],[c]]))</f>
        <v>20.106278756708409</v>
      </c>
      <c r="J519" s="2">
        <f ca="1">IF(Iterations[[#This Row],[Step]] =current_step, current_d,IF(Iterations[[#This Row],[Step]] &gt; current_step, "",Iterations[[#This Row],[d]]))</f>
        <v>1.1403739770465966</v>
      </c>
      <c r="K519" s="2">
        <f ca="1">IF(Iterations[[#This Row],[Step]] =current_step, current_e,IF(Iterations[[#This Row],[Step]] &gt; current_step, "",Iterations[[#This Row],[e]]))</f>
        <v>11.710721657313519</v>
      </c>
      <c r="L519" s="2">
        <f ca="1">IF(Iterations[[#This Row],[Step]] =current_step, current_Total_Loss,IF(Iterations[[#This Row],[Step]] &gt; current_step, "",Iterations[[#This Row],[Total Loss]]))</f>
        <v>92.11</v>
      </c>
      <c r="M519" s="6" t="s">
        <v>27</v>
      </c>
      <c r="N519" s="2">
        <f ca="1">IF(Iterations[[#This Row],[Step]] =current_step, current_Grad_a,IF(Iterations[[#This Row],[Step]] &gt; current_step, "",Iterations[[#This Row],[Grad_a]]))</f>
        <v>4.2637704904026699E-2</v>
      </c>
      <c r="O519" s="2">
        <f ca="1">IF(Iterations[[#This Row],[Step]] =current_step, current_Grad_b,IF(Iterations[[#This Row],[Step]] &gt; current_step, "",Iterations[[#This Row],[Grad_b]]))</f>
        <v>7.3919522948254247E-3</v>
      </c>
      <c r="P519" s="2">
        <f ca="1">IF(Iterations[[#This Row],[Step]] =current_step, current_Grad_c,IF(Iterations[[#This Row],[Step]] &gt; current_step, "",Iterations[[#This Row],[Grad_c]]))</f>
        <v>-0.11961233797891084</v>
      </c>
      <c r="Q519" s="2">
        <f ca="1">IF(Iterations[[#This Row],[Step]] =current_step, current_Grad_d,IF(Iterations[[#This Row],[Step]] &gt; current_step, "",Iterations[[#This Row],[Grad_d]]))</f>
        <v>-6.7372897505361641E-3</v>
      </c>
      <c r="R519" s="2">
        <f ca="1">IF(Iterations[[#This Row],[Step]] =current_step, current_Grad_e,IF(Iterations[[#This Row],[Step]] &gt; current_step, "",Iterations[[#This Row],[Grad_e]]))</f>
        <v>4.2658461053688278E-2</v>
      </c>
    </row>
    <row r="520" spans="6:18" x14ac:dyDescent="0.3">
      <c r="F520" s="2">
        <f t="shared" si="10"/>
        <v>503</v>
      </c>
      <c r="G520" s="2">
        <f ca="1">IF(Iterations[[#This Row],[Step]] =current_step, current_a,IF(Iterations[[#This Row],[Step]] &gt; current_step, "",Iterations[[#This Row],[a]]))</f>
        <v>-6.8724825713797175</v>
      </c>
      <c r="H520" s="2">
        <f ca="1">IF(Iterations[[#This Row],[Step]] =current_step, current_b,IF(Iterations[[#This Row],[Step]] &gt; current_step, "",Iterations[[#This Row],[b]]))</f>
        <v>0.41817747280218098</v>
      </c>
      <c r="I520" s="2">
        <f ca="1">IF(Iterations[[#This Row],[Step]] =current_step, current_c,IF(Iterations[[#This Row],[Step]] &gt; current_step, "",Iterations[[#This Row],[c]]))</f>
        <v>20.114651620366931</v>
      </c>
      <c r="J520" s="2">
        <f ca="1">IF(Iterations[[#This Row],[Step]] =current_step, current_d,IF(Iterations[[#This Row],[Step]] &gt; current_step, "",Iterations[[#This Row],[d]]))</f>
        <v>1.1408455873291341</v>
      </c>
      <c r="K520" s="2">
        <f ca="1">IF(Iterations[[#This Row],[Step]] =current_step, current_e,IF(Iterations[[#This Row],[Step]] &gt; current_step, "",Iterations[[#This Row],[e]]))</f>
        <v>11.70773556503976</v>
      </c>
      <c r="L520" s="2">
        <f ca="1">IF(Iterations[[#This Row],[Step]] =current_step, current_Total_Loss,IF(Iterations[[#This Row],[Step]] &gt; current_step, "",Iterations[[#This Row],[Total Loss]]))</f>
        <v>92.08</v>
      </c>
      <c r="M520" s="6" t="s">
        <v>27</v>
      </c>
      <c r="N520" s="2">
        <f ca="1">IF(Iterations[[#This Row],[Step]] =current_step, current_Grad_a,IF(Iterations[[#This Row],[Step]] &gt; current_step, "",Iterations[[#This Row],[Grad_a]]))</f>
        <v>4.2349178230654323E-2</v>
      </c>
      <c r="O520" s="2">
        <f ca="1">IF(Iterations[[#This Row],[Step]] =current_step, current_Grad_b,IF(Iterations[[#This Row],[Step]] &gt; current_step, "",Iterations[[#This Row],[Grad_b]]))</f>
        <v>7.3424225588569298E-3</v>
      </c>
      <c r="P520" s="2">
        <f ca="1">IF(Iterations[[#This Row],[Step]] =current_step, current_Grad_c,IF(Iterations[[#This Row],[Step]] &gt; current_step, "",Iterations[[#This Row],[Grad_c]]))</f>
        <v>-0.11880283121616403</v>
      </c>
      <c r="Q520" s="2">
        <f ca="1">IF(Iterations[[#This Row],[Step]] =current_step, current_Grad_d,IF(Iterations[[#This Row],[Step]] &gt; current_step, "",Iterations[[#This Row],[Grad_d]]))</f>
        <v>-6.6927404193330613E-3</v>
      </c>
      <c r="R520" s="2">
        <f ca="1">IF(Iterations[[#This Row],[Step]] =current_step, current_Grad_e,IF(Iterations[[#This Row],[Step]] &gt; current_step, "",Iterations[[#This Row],[Grad_e]]))</f>
        <v>4.2369744377586414E-2</v>
      </c>
    </row>
    <row r="521" spans="6:18" x14ac:dyDescent="0.3">
      <c r="F521" s="2">
        <f t="shared" si="10"/>
        <v>504</v>
      </c>
      <c r="G521" s="2">
        <f ca="1">IF(Iterations[[#This Row],[Step]] =current_step, current_a,IF(Iterations[[#This Row],[Step]] &gt; current_step, "",Iterations[[#This Row],[a]]))</f>
        <v>-6.8754470138558634</v>
      </c>
      <c r="H521" s="2">
        <f ca="1">IF(Iterations[[#This Row],[Step]] =current_step, current_b,IF(Iterations[[#This Row],[Step]] &gt; current_step, "",Iterations[[#This Row],[b]]))</f>
        <v>0.41766350322306101</v>
      </c>
      <c r="I521" s="2">
        <f ca="1">IF(Iterations[[#This Row],[Step]] =current_step, current_c,IF(Iterations[[#This Row],[Step]] &gt; current_step, "",Iterations[[#This Row],[c]]))</f>
        <v>20.122967818552063</v>
      </c>
      <c r="J521" s="2">
        <f ca="1">IF(Iterations[[#This Row],[Step]] =current_step, current_d,IF(Iterations[[#This Row],[Step]] &gt; current_step, "",Iterations[[#This Row],[d]]))</f>
        <v>1.1413140791584875</v>
      </c>
      <c r="K521" s="2">
        <f ca="1">IF(Iterations[[#This Row],[Step]] =current_step, current_e,IF(Iterations[[#This Row],[Step]] &gt; current_step, "",Iterations[[#This Row],[e]]))</f>
        <v>11.70476968293333</v>
      </c>
      <c r="L521" s="2">
        <f ca="1">IF(Iterations[[#This Row],[Step]] =current_step, current_Total_Loss,IF(Iterations[[#This Row],[Step]] &gt; current_step, "",Iterations[[#This Row],[Total Loss]]))</f>
        <v>92.06</v>
      </c>
      <c r="M521" s="6" t="s">
        <v>27</v>
      </c>
      <c r="N521" s="2">
        <f ca="1">IF(Iterations[[#This Row],[Step]] =current_step, current_Grad_a,IF(Iterations[[#This Row],[Step]] &gt; current_step, "",Iterations[[#This Row],[Grad_a]]))</f>
        <v>4.2062603920390684E-2</v>
      </c>
      <c r="O521" s="2">
        <f ca="1">IF(Iterations[[#This Row],[Step]] =current_step, current_Grad_b,IF(Iterations[[#This Row],[Step]] &gt; current_step, "",Iterations[[#This Row],[Grad_b]]))</f>
        <v>7.2932192211139658E-3</v>
      </c>
      <c r="P521" s="2">
        <f ca="1">IF(Iterations[[#This Row],[Step]] =current_step, current_Grad_c,IF(Iterations[[#This Row],[Step]] &gt; current_step, "",Iterations[[#This Row],[Grad_c]]))</f>
        <v>-0.11799880385277499</v>
      </c>
      <c r="Q521" s="2">
        <f ca="1">IF(Iterations[[#This Row],[Step]] =current_step, current_Grad_d,IF(Iterations[[#This Row],[Step]] &gt; current_step, "",Iterations[[#This Row],[Grad_d]]))</f>
        <v>-6.6484739776622014E-3</v>
      </c>
      <c r="R521" s="2">
        <f ca="1">IF(Iterations[[#This Row],[Step]] =current_step, current_Grad_e,IF(Iterations[[#This Row],[Step]] &gt; current_step, "",Iterations[[#This Row],[Grad_e]]))</f>
        <v>4.2082982233271435E-2</v>
      </c>
    </row>
    <row r="522" spans="6:18" x14ac:dyDescent="0.3">
      <c r="F522" s="2">
        <f t="shared" si="10"/>
        <v>505</v>
      </c>
      <c r="G522" s="2">
        <f ca="1">IF(Iterations[[#This Row],[Step]] =current_step, current_a,IF(Iterations[[#This Row],[Step]] &gt; current_step, "",Iterations[[#This Row],[a]]))</f>
        <v>-6.8783913961302909</v>
      </c>
      <c r="H522" s="2">
        <f ca="1">IF(Iterations[[#This Row],[Step]] =current_step, current_b,IF(Iterations[[#This Row],[Step]] &gt; current_step, "",Iterations[[#This Row],[b]]))</f>
        <v>0.41715297787758304</v>
      </c>
      <c r="I522" s="2">
        <f ca="1">IF(Iterations[[#This Row],[Step]] =current_step, current_c,IF(Iterations[[#This Row],[Step]] &gt; current_step, "",Iterations[[#This Row],[c]]))</f>
        <v>20.131227734821756</v>
      </c>
      <c r="J522" s="2">
        <f ca="1">IF(Iterations[[#This Row],[Step]] =current_step, current_d,IF(Iterations[[#This Row],[Step]] &gt; current_step, "",Iterations[[#This Row],[d]]))</f>
        <v>1.1417794723369239</v>
      </c>
      <c r="K522" s="2">
        <f ca="1">IF(Iterations[[#This Row],[Step]] =current_step, current_e,IF(Iterations[[#This Row],[Step]] &gt; current_step, "",Iterations[[#This Row],[e]]))</f>
        <v>11.701823874177</v>
      </c>
      <c r="L522" s="2">
        <f ca="1">IF(Iterations[[#This Row],[Step]] =current_step, current_Total_Loss,IF(Iterations[[#This Row],[Step]] &gt; current_step, "",Iterations[[#This Row],[Total Loss]]))</f>
        <v>92.04</v>
      </c>
      <c r="M522" s="6" t="s">
        <v>27</v>
      </c>
      <c r="N522" s="2">
        <f ca="1">IF(Iterations[[#This Row],[Step]] =current_step, current_Grad_a,IF(Iterations[[#This Row],[Step]] &gt; current_step, "",Iterations[[#This Row],[Grad_a]]))</f>
        <v>4.1777968763596247E-2</v>
      </c>
      <c r="O522" s="2">
        <f ca="1">IF(Iterations[[#This Row],[Step]] =current_step, current_Grad_b,IF(Iterations[[#This Row],[Step]] &gt; current_step, "",Iterations[[#This Row],[Grad_b]]))</f>
        <v>7.2443402292081188E-3</v>
      </c>
      <c r="P522" s="2">
        <f ca="1">IF(Iterations[[#This Row],[Step]] =current_step, current_Grad_c,IF(Iterations[[#This Row],[Step]] &gt; current_step, "",Iterations[[#This Row],[Grad_c]]))</f>
        <v>-0.11720021878446235</v>
      </c>
      <c r="Q522" s="2">
        <f ca="1">IF(Iterations[[#This Row],[Step]] =current_step, current_Grad_d,IF(Iterations[[#This Row],[Step]] &gt; current_step, "",Iterations[[#This Row],[Grad_d]]))</f>
        <v>-6.60448884230053E-3</v>
      </c>
      <c r="R522" s="2">
        <f ca="1">IF(Iterations[[#This Row],[Step]] =current_step, current_Grad_e,IF(Iterations[[#This Row],[Step]] &gt; current_step, "",Iterations[[#This Row],[Grad_e]]))</f>
        <v>4.1798161380736526E-2</v>
      </c>
    </row>
    <row r="523" spans="6:18" x14ac:dyDescent="0.3">
      <c r="F523" s="2">
        <f t="shared" si="10"/>
        <v>506</v>
      </c>
      <c r="G523" s="2">
        <f ca="1">IF(Iterations[[#This Row],[Step]] =current_step, current_a,IF(Iterations[[#This Row],[Step]] &gt; current_step, "",Iterations[[#This Row],[a]]))</f>
        <v>-6.8813158539437422</v>
      </c>
      <c r="H523" s="2">
        <f ca="1">IF(Iterations[[#This Row],[Step]] =current_step, current_b,IF(Iterations[[#This Row],[Step]] &gt; current_step, "",Iterations[[#This Row],[b]]))</f>
        <v>0.41664587406153847</v>
      </c>
      <c r="I523" s="2">
        <f ca="1">IF(Iterations[[#This Row],[Step]] =current_step, current_c,IF(Iterations[[#This Row],[Step]] &gt; current_step, "",Iterations[[#This Row],[c]]))</f>
        <v>20.139431750136669</v>
      </c>
      <c r="J523" s="2">
        <f ca="1">IF(Iterations[[#This Row],[Step]] =current_step, current_d,IF(Iterations[[#This Row],[Step]] &gt; current_step, "",Iterations[[#This Row],[d]]))</f>
        <v>1.1422417865558849</v>
      </c>
      <c r="K523" s="2">
        <f ca="1">IF(Iterations[[#This Row],[Step]] =current_step, current_e,IF(Iterations[[#This Row],[Step]] &gt; current_step, "",Iterations[[#This Row],[e]]))</f>
        <v>11.698898002880348</v>
      </c>
      <c r="L523" s="2">
        <f ca="1">IF(Iterations[[#This Row],[Step]] =current_step, current_Total_Loss,IF(Iterations[[#This Row],[Step]] &gt; current_step, "",Iterations[[#This Row],[Total Loss]]))</f>
        <v>92.02</v>
      </c>
      <c r="M523" s="6" t="s">
        <v>27</v>
      </c>
      <c r="N523" s="2">
        <f ca="1">IF(Iterations[[#This Row],[Step]] =current_step, current_Grad_a,IF(Iterations[[#This Row],[Step]] &gt; current_step, "",Iterations[[#This Row],[Grad_a]]))</f>
        <v>4.1495259640161625E-2</v>
      </c>
      <c r="O523" s="2">
        <f ca="1">IF(Iterations[[#This Row],[Step]] =current_step, current_Grad_b,IF(Iterations[[#This Row],[Step]] &gt; current_step, "",Iterations[[#This Row],[Grad_b]]))</f>
        <v>7.1957835418039739E-3</v>
      </c>
      <c r="P523" s="2">
        <f ca="1">IF(Iterations[[#This Row],[Step]] =current_step, current_Grad_c,IF(Iterations[[#This Row],[Step]] &gt; current_step, "",Iterations[[#This Row],[Grad_c]]))</f>
        <v>-0.11640703915839731</v>
      </c>
      <c r="Q523" s="2">
        <f ca="1">IF(Iterations[[#This Row],[Step]] =current_step, current_Grad_d,IF(Iterations[[#This Row],[Step]] &gt; current_step, "",Iterations[[#This Row],[Grad_d]]))</f>
        <v>-6.5607834348568421E-3</v>
      </c>
      <c r="R523" s="2">
        <f ca="1">IF(Iterations[[#This Row],[Step]] =current_step, current_Grad_e,IF(Iterations[[#This Row],[Step]] &gt; current_step, "",Iterations[[#This Row],[Grad_e]]))</f>
        <v>4.151526866985359E-2</v>
      </c>
    </row>
    <row r="524" spans="6:18" x14ac:dyDescent="0.3">
      <c r="F524" s="2">
        <f t="shared" si="10"/>
        <v>507</v>
      </c>
      <c r="G524" s="2">
        <f ca="1">IF(Iterations[[#This Row],[Step]] =current_step, current_a,IF(Iterations[[#This Row],[Step]] &gt; current_step, "",Iterations[[#This Row],[a]]))</f>
        <v>-6.8842205221185537</v>
      </c>
      <c r="H524" s="2">
        <f ca="1">IF(Iterations[[#This Row],[Step]] =current_step, current_b,IF(Iterations[[#This Row],[Step]] &gt; current_step, "",Iterations[[#This Row],[b]]))</f>
        <v>0.41614216921361219</v>
      </c>
      <c r="I524" s="2">
        <f ca="1">IF(Iterations[[#This Row],[Step]] =current_step, current_c,IF(Iterations[[#This Row],[Step]] &gt; current_step, "",Iterations[[#This Row],[c]]))</f>
        <v>20.147580242877758</v>
      </c>
      <c r="J524" s="2">
        <f ca="1">IF(Iterations[[#This Row],[Step]] =current_step, current_d,IF(Iterations[[#This Row],[Step]] &gt; current_step, "",Iterations[[#This Row],[d]]))</f>
        <v>1.142701041396325</v>
      </c>
      <c r="K524" s="2">
        <f ca="1">IF(Iterations[[#This Row],[Step]] =current_step, current_e,IF(Iterations[[#This Row],[Step]] &gt; current_step, "",Iterations[[#This Row],[e]]))</f>
        <v>11.695991934073458</v>
      </c>
      <c r="L524" s="2">
        <f ca="1">IF(Iterations[[#This Row],[Step]] =current_step, current_Total_Loss,IF(Iterations[[#This Row],[Step]] &gt; current_step, "",Iterations[[#This Row],[Total Loss]]))</f>
        <v>92</v>
      </c>
      <c r="M524" s="6" t="s">
        <v>27</v>
      </c>
      <c r="N524" s="2">
        <f ca="1">IF(Iterations[[#This Row],[Step]] =current_step, current_Grad_a,IF(Iterations[[#This Row],[Step]] &gt; current_step, "",Iterations[[#This Row],[Grad_a]]))</f>
        <v>4.121446351842032E-2</v>
      </c>
      <c r="O524" s="2">
        <f ca="1">IF(Iterations[[#This Row],[Step]] =current_step, current_Grad_b,IF(Iterations[[#This Row],[Step]] &gt; current_step, "",Iterations[[#This Row],[Grad_b]]))</f>
        <v>7.1475471287410653E-3</v>
      </c>
      <c r="P524" s="2">
        <f ca="1">IF(Iterations[[#This Row],[Step]] =current_step, current_Grad_c,IF(Iterations[[#This Row],[Step]] &gt; current_step, "",Iterations[[#This Row],[Grad_c]]))</f>
        <v>-0.11561922837169208</v>
      </c>
      <c r="Q524" s="2">
        <f ca="1">IF(Iterations[[#This Row],[Step]] =current_step, current_Grad_d,IF(Iterations[[#This Row],[Step]] &gt; current_step, "",Iterations[[#This Row],[Grad_d]]))</f>
        <v>-6.5173561817880128E-3</v>
      </c>
      <c r="R524" s="2">
        <f ca="1">IF(Iterations[[#This Row],[Step]] =current_step, current_Grad_e,IF(Iterations[[#This Row],[Step]] &gt; current_step, "",Iterations[[#This Row],[Grad_e]]))</f>
        <v>4.1234291039657776E-2</v>
      </c>
    </row>
    <row r="525" spans="6:18" x14ac:dyDescent="0.3">
      <c r="F525" s="2">
        <f t="shared" si="10"/>
        <v>508</v>
      </c>
      <c r="G525" s="2">
        <f ca="1">IF(Iterations[[#This Row],[Step]] =current_step, current_a,IF(Iterations[[#This Row],[Step]] &gt; current_step, "",Iterations[[#This Row],[a]]))</f>
        <v>-6.8871055345648431</v>
      </c>
      <c r="H525" s="2">
        <f ca="1">IF(Iterations[[#This Row],[Step]] =current_step, current_b,IF(Iterations[[#This Row],[Step]] &gt; current_step, "",Iterations[[#This Row],[b]]))</f>
        <v>0.41564184091460032</v>
      </c>
      <c r="I525" s="2">
        <f ca="1">IF(Iterations[[#This Row],[Step]] =current_step, current_c,IF(Iterations[[#This Row],[Step]] &gt; current_step, "",Iterations[[#This Row],[c]]))</f>
        <v>20.155673588863777</v>
      </c>
      <c r="J525" s="2">
        <f ca="1">IF(Iterations[[#This Row],[Step]] =current_step, current_d,IF(Iterations[[#This Row],[Step]] &gt; current_step, "",Iterations[[#This Row],[d]]))</f>
        <v>1.1431572563290502</v>
      </c>
      <c r="K525" s="2">
        <f ca="1">IF(Iterations[[#This Row],[Step]] =current_step, current_e,IF(Iterations[[#This Row],[Step]] &gt; current_step, "",Iterations[[#This Row],[e]]))</f>
        <v>11.693105533700681</v>
      </c>
      <c r="L525" s="2">
        <f ca="1">IF(Iterations[[#This Row],[Step]] =current_step, current_Total_Loss,IF(Iterations[[#This Row],[Step]] &gt; current_step, "",Iterations[[#This Row],[Total Loss]]))</f>
        <v>91.98</v>
      </c>
      <c r="M525" s="6" t="s">
        <v>27</v>
      </c>
      <c r="N525" s="2">
        <f ca="1">IF(Iterations[[#This Row],[Step]] =current_step, current_Grad_a,IF(Iterations[[#This Row],[Step]] &gt; current_step, "",Iterations[[#This Row],[Grad_a]]))</f>
        <v>4.0935567455236584E-2</v>
      </c>
      <c r="O525" s="2">
        <f ca="1">IF(Iterations[[#This Row],[Step]] =current_step, current_Grad_b,IF(Iterations[[#This Row],[Step]] &gt; current_step, "",Iterations[[#This Row],[Grad_b]]))</f>
        <v>7.0996289707840297E-3</v>
      </c>
      <c r="P525" s="2">
        <f ca="1">IF(Iterations[[#This Row],[Step]] =current_step, current_Grad_c,IF(Iterations[[#This Row],[Step]] &gt; current_step, "",Iterations[[#This Row],[Grad_c]]))</f>
        <v>-0.11483675006942368</v>
      </c>
      <c r="Q525" s="2">
        <f ca="1">IF(Iterations[[#This Row],[Step]] =current_step, current_Grad_d,IF(Iterations[[#This Row],[Step]] &gt; current_step, "",Iterations[[#This Row],[Grad_d]]))</f>
        <v>-6.4742055145533229E-3</v>
      </c>
      <c r="R525" s="2">
        <f ca="1">IF(Iterations[[#This Row],[Step]] =current_step, current_Grad_e,IF(Iterations[[#This Row],[Step]] &gt; current_step, "",Iterations[[#This Row],[Grad_e]]))</f>
        <v>4.0955215517873275E-2</v>
      </c>
    </row>
    <row r="526" spans="6:18" x14ac:dyDescent="0.3">
      <c r="F526" s="2">
        <f t="shared" si="10"/>
        <v>509</v>
      </c>
      <c r="G526" s="2">
        <f ca="1">IF(Iterations[[#This Row],[Step]] =current_step, current_a,IF(Iterations[[#This Row],[Step]] &gt; current_step, "",Iterations[[#This Row],[a]]))</f>
        <v>-6.8899710242867096</v>
      </c>
      <c r="H526" s="2">
        <f ca="1">IF(Iterations[[#This Row],[Step]] =current_step, current_b,IF(Iterations[[#This Row],[Step]] &gt; current_step, "",Iterations[[#This Row],[b]]))</f>
        <v>0.41514486688664543</v>
      </c>
      <c r="I526" s="2">
        <f ca="1">IF(Iterations[[#This Row],[Step]] =current_step, current_c,IF(Iterations[[#This Row],[Step]] &gt; current_step, "",Iterations[[#This Row],[c]]))</f>
        <v>20.163712161368636</v>
      </c>
      <c r="J526" s="2">
        <f ca="1">IF(Iterations[[#This Row],[Step]] =current_step, current_d,IF(Iterations[[#This Row],[Step]] &gt; current_step, "",Iterations[[#This Row],[d]]))</f>
        <v>1.1436104507150688</v>
      </c>
      <c r="K526" s="2">
        <f ca="1">IF(Iterations[[#This Row],[Step]] =current_step, current_e,IF(Iterations[[#This Row],[Step]] &gt; current_step, "",Iterations[[#This Row],[e]]))</f>
        <v>11.69023866861443</v>
      </c>
      <c r="L526" s="2">
        <f ca="1">IF(Iterations[[#This Row],[Step]] =current_step, current_Total_Loss,IF(Iterations[[#This Row],[Step]] &gt; current_step, "",Iterations[[#This Row],[Total Loss]]))</f>
        <v>91.95</v>
      </c>
      <c r="M526" s="6" t="s">
        <v>27</v>
      </c>
      <c r="N526" s="2">
        <f ca="1">IF(Iterations[[#This Row],[Step]] =current_step, current_Grad_a,IF(Iterations[[#This Row],[Step]] &gt; current_step, "",Iterations[[#This Row],[Grad_a]]))</f>
        <v>4.0658558594639807E-2</v>
      </c>
      <c r="O526" s="2">
        <f ca="1">IF(Iterations[[#This Row],[Step]] =current_step, current_Grad_b,IF(Iterations[[#This Row],[Step]] &gt; current_step, "",Iterations[[#This Row],[Grad_b]]))</f>
        <v>7.0520270598524509E-3</v>
      </c>
      <c r="P526" s="2">
        <f ca="1">IF(Iterations[[#This Row],[Step]] =current_step, current_Grad_c,IF(Iterations[[#This Row],[Step]] &gt; current_step, "",Iterations[[#This Row],[Grad_c]]))</f>
        <v>-0.11405956814326047</v>
      </c>
      <c r="Q526" s="2">
        <f ca="1">IF(Iterations[[#This Row],[Step]] =current_step, current_Grad_d,IF(Iterations[[#This Row],[Step]] &gt; current_step, "",Iterations[[#This Row],[Grad_d]]))</f>
        <v>-6.4313298695847189E-3</v>
      </c>
      <c r="R526" s="2">
        <f ca="1">IF(Iterations[[#This Row],[Step]] =current_step, current_Grad_e,IF(Iterations[[#This Row],[Step]] &gt; current_step, "",Iterations[[#This Row],[Grad_e]]))</f>
        <v>4.0678029220161366E-2</v>
      </c>
    </row>
    <row r="527" spans="6:18" x14ac:dyDescent="0.3">
      <c r="F527" s="2">
        <f t="shared" si="10"/>
        <v>510</v>
      </c>
      <c r="G527" s="2">
        <f ca="1">IF(Iterations[[#This Row],[Step]] =current_step, current_a,IF(Iterations[[#This Row],[Step]] &gt; current_step, "",Iterations[[#This Row],[a]]))</f>
        <v>-6.8928171233883342</v>
      </c>
      <c r="H527" s="2">
        <f ca="1">IF(Iterations[[#This Row],[Step]] =current_step, current_b,IF(Iterations[[#This Row],[Step]] &gt; current_step, "",Iterations[[#This Row],[b]]))</f>
        <v>0.41465122499245577</v>
      </c>
      <c r="I527" s="2">
        <f ca="1">IF(Iterations[[#This Row],[Step]] =current_step, current_c,IF(Iterations[[#This Row],[Step]] &gt; current_step, "",Iterations[[#This Row],[c]]))</f>
        <v>20.171696331138666</v>
      </c>
      <c r="J527" s="2">
        <f ca="1">IF(Iterations[[#This Row],[Step]] =current_step, current_d,IF(Iterations[[#This Row],[Step]] &gt; current_step, "",Iterations[[#This Row],[d]]))</f>
        <v>1.1440606438059397</v>
      </c>
      <c r="K527" s="2">
        <f ca="1">IF(Iterations[[#This Row],[Step]] =current_step, current_e,IF(Iterations[[#This Row],[Step]] &gt; current_step, "",Iterations[[#This Row],[e]]))</f>
        <v>11.68739120656902</v>
      </c>
      <c r="L527" s="2">
        <f ca="1">IF(Iterations[[#This Row],[Step]] =current_step, current_Total_Loss,IF(Iterations[[#This Row],[Step]] &gt; current_step, "",Iterations[[#This Row],[Total Loss]]))</f>
        <v>91.93</v>
      </c>
      <c r="M527" s="6" t="s">
        <v>27</v>
      </c>
      <c r="N527" s="2">
        <f ca="1">IF(Iterations[[#This Row],[Step]] =current_step, current_Grad_a,IF(Iterations[[#This Row],[Step]] &gt; current_step, "",Iterations[[#This Row],[Grad_a]]))</f>
        <v>4.0383424167981206E-2</v>
      </c>
      <c r="O527" s="2">
        <f ca="1">IF(Iterations[[#This Row],[Step]] =current_step, current_Grad_b,IF(Iterations[[#This Row],[Step]] &gt; current_step, "",Iterations[[#This Row],[Grad_b]]))</f>
        <v>7.0047393987440138E-3</v>
      </c>
      <c r="P527" s="2">
        <f ca="1">IF(Iterations[[#This Row],[Step]] =current_step, current_Grad_c,IF(Iterations[[#This Row],[Step]] &gt; current_step, "",Iterations[[#This Row],[Grad_c]]))</f>
        <v>-0.11328764672947772</v>
      </c>
      <c r="Q527" s="2">
        <f ca="1">IF(Iterations[[#This Row],[Step]] =current_step, current_Grad_d,IF(Iterations[[#This Row],[Step]] &gt; current_step, "",Iterations[[#This Row],[Grad_d]]))</f>
        <v>-6.3887276884503335E-3</v>
      </c>
      <c r="R527" s="2">
        <f ca="1">IF(Iterations[[#This Row],[Step]] =current_step, current_Grad_e,IF(Iterations[[#This Row],[Step]] &gt; current_step, "",Iterations[[#This Row],[Grad_e]]))</f>
        <v>4.0402719349667215E-2</v>
      </c>
    </row>
    <row r="528" spans="6:18" x14ac:dyDescent="0.3">
      <c r="F528" s="2">
        <f t="shared" si="10"/>
        <v>511</v>
      </c>
      <c r="G528" s="2">
        <f ca="1">IF(Iterations[[#This Row],[Step]] =current_step, current_a,IF(Iterations[[#This Row],[Step]] &gt; current_step, "",Iterations[[#This Row],[a]]))</f>
        <v>-6.8956439630800928</v>
      </c>
      <c r="H528" s="2">
        <f ca="1">IF(Iterations[[#This Row],[Step]] =current_step, current_b,IF(Iterations[[#This Row],[Step]] &gt; current_step, "",Iterations[[#This Row],[b]]))</f>
        <v>0.41416089323454369</v>
      </c>
      <c r="I528" s="2">
        <f ca="1">IF(Iterations[[#This Row],[Step]] =current_step, current_c,IF(Iterations[[#This Row],[Step]] &gt; current_step, "",Iterations[[#This Row],[c]]))</f>
        <v>20.179626466409729</v>
      </c>
      <c r="J528" s="2">
        <f ca="1">IF(Iterations[[#This Row],[Step]] =current_step, current_d,IF(Iterations[[#This Row],[Step]] &gt; current_step, "",Iterations[[#This Row],[d]]))</f>
        <v>1.1445078547441312</v>
      </c>
      <c r="K528" s="2">
        <f ca="1">IF(Iterations[[#This Row],[Step]] =current_step, current_e,IF(Iterations[[#This Row],[Step]] &gt; current_step, "",Iterations[[#This Row],[e]]))</f>
        <v>11.684563016214543</v>
      </c>
      <c r="L528" s="2">
        <f ca="1">IF(Iterations[[#This Row],[Step]] =current_step, current_Total_Loss,IF(Iterations[[#This Row],[Step]] &gt; current_step, "",Iterations[[#This Row],[Total Loss]]))</f>
        <v>91.91</v>
      </c>
      <c r="M528" s="6" t="s">
        <v>27</v>
      </c>
      <c r="N528" s="2">
        <f ca="1">IF(Iterations[[#This Row],[Step]] =current_step, current_Grad_a,IF(Iterations[[#This Row],[Step]] &gt; current_step, "",Iterations[[#This Row],[Grad_a]]))</f>
        <v>4.011015149259433E-2</v>
      </c>
      <c r="O528" s="2">
        <f ca="1">IF(Iterations[[#This Row],[Step]] =current_step, current_Grad_b,IF(Iterations[[#This Row],[Step]] &gt; current_step, "",Iterations[[#This Row],[Grad_b]]))</f>
        <v>6.9577640013287418E-3</v>
      </c>
      <c r="P528" s="2">
        <f ca="1">IF(Iterations[[#This Row],[Step]] =current_step, current_Grad_c,IF(Iterations[[#This Row],[Step]] &gt; current_step, "",Iterations[[#This Row],[Grad_c]]))</f>
        <v>-0.11252095020760468</v>
      </c>
      <c r="Q528" s="2">
        <f ca="1">IF(Iterations[[#This Row],[Step]] =current_step, current_Grad_d,IF(Iterations[[#This Row],[Step]] &gt; current_step, "",Iterations[[#This Row],[Grad_d]]))</f>
        <v>-6.3463974178314059E-3</v>
      </c>
      <c r="R528" s="2">
        <f ca="1">IF(Iterations[[#This Row],[Step]] =current_step, current_Grad_e,IF(Iterations[[#This Row],[Step]] &gt; current_step, "",Iterations[[#This Row],[Grad_e]]))</f>
        <v>4.0129273196281505E-2</v>
      </c>
    </row>
    <row r="529" spans="6:18" x14ac:dyDescent="0.3">
      <c r="F529" s="2">
        <f t="shared" si="10"/>
        <v>512</v>
      </c>
      <c r="G529" s="2">
        <f ca="1">IF(Iterations[[#This Row],[Step]] =current_step, current_a,IF(Iterations[[#This Row],[Step]] &gt; current_step, "",Iterations[[#This Row],[a]]))</f>
        <v>-6.8984516736845745</v>
      </c>
      <c r="H529" s="2">
        <f ca="1">IF(Iterations[[#This Row],[Step]] =current_step, current_b,IF(Iterations[[#This Row],[Step]] &gt; current_step, "",Iterations[[#This Row],[b]]))</f>
        <v>0.41367384975445071</v>
      </c>
      <c r="I529" s="2">
        <f ca="1">IF(Iterations[[#This Row],[Step]] =current_step, current_c,IF(Iterations[[#This Row],[Step]] &gt; current_step, "",Iterations[[#This Row],[c]]))</f>
        <v>20.187502932924261</v>
      </c>
      <c r="J529" s="2">
        <f ca="1">IF(Iterations[[#This Row],[Step]] =current_step, current_d,IF(Iterations[[#This Row],[Step]] &gt; current_step, "",Iterations[[#This Row],[d]]))</f>
        <v>1.1449521025633793</v>
      </c>
      <c r="K529" s="2">
        <f ca="1">IF(Iterations[[#This Row],[Step]] =current_step, current_e,IF(Iterations[[#This Row],[Step]] &gt; current_step, "",Iterations[[#This Row],[e]]))</f>
        <v>11.681753967090804</v>
      </c>
      <c r="L529" s="2">
        <f ca="1">IF(Iterations[[#This Row],[Step]] =current_step, current_Total_Loss,IF(Iterations[[#This Row],[Step]] &gt; current_step, "",Iterations[[#This Row],[Total Loss]]))</f>
        <v>91.89</v>
      </c>
      <c r="M529" s="6" t="s">
        <v>27</v>
      </c>
      <c r="N529" s="2">
        <f ca="1">IF(Iterations[[#This Row],[Step]] =current_step, current_Grad_a,IF(Iterations[[#This Row],[Step]] &gt; current_step, "",Iterations[[#This Row],[Grad_a]]))</f>
        <v>3.9838727972027393E-2</v>
      </c>
      <c r="O529" s="2">
        <f ca="1">IF(Iterations[[#This Row],[Step]] =current_step, current_Grad_b,IF(Iterations[[#This Row],[Step]] &gt; current_step, "",Iterations[[#This Row],[Grad_b]]))</f>
        <v>6.9110988923071831E-3</v>
      </c>
      <c r="P529" s="2">
        <f ca="1">IF(Iterations[[#This Row],[Step]] =current_step, current_Grad_c,IF(Iterations[[#This Row],[Step]] &gt; current_step, "",Iterations[[#This Row],[Grad_c]]))</f>
        <v>-0.11175944319843957</v>
      </c>
      <c r="Q529" s="2">
        <f ca="1">IF(Iterations[[#This Row],[Step]] =current_step, current_Grad_d,IF(Iterations[[#This Row],[Step]] &gt; current_step, "",Iterations[[#This Row],[Grad_d]]))</f>
        <v>-6.3043375096608935E-3</v>
      </c>
      <c r="R529" s="2">
        <f ca="1">IF(Iterations[[#This Row],[Step]] =current_step, current_Grad_e,IF(Iterations[[#This Row],[Step]] &gt; current_step, "",Iterations[[#This Row],[Grad_e]]))</f>
        <v>3.9857678136198928E-2</v>
      </c>
    </row>
    <row r="530" spans="6:18" x14ac:dyDescent="0.3">
      <c r="F530" s="2">
        <f t="shared" si="10"/>
        <v>513</v>
      </c>
      <c r="G530" s="2">
        <f ca="1">IF(Iterations[[#This Row],[Step]] =current_step, current_a,IF(Iterations[[#This Row],[Step]] &gt; current_step, "",Iterations[[#This Row],[a]]))</f>
        <v>-6.901240384642616</v>
      </c>
      <c r="H530" s="2">
        <f ca="1">IF(Iterations[[#This Row],[Step]] =current_step, current_b,IF(Iterations[[#This Row],[Step]] &gt; current_step, "",Iterations[[#This Row],[b]]))</f>
        <v>0.41319007283198922</v>
      </c>
      <c r="I530" s="2">
        <f ca="1">IF(Iterations[[#This Row],[Step]] =current_step, current_c,IF(Iterations[[#This Row],[Step]] &gt; current_step, "",Iterations[[#This Row],[c]]))</f>
        <v>20.19532609394815</v>
      </c>
      <c r="J530" s="2">
        <f ca="1">IF(Iterations[[#This Row],[Step]] =current_step, current_d,IF(Iterations[[#This Row],[Step]] &gt; current_step, "",Iterations[[#This Row],[d]]))</f>
        <v>1.1453934061890556</v>
      </c>
      <c r="K530" s="2">
        <f ca="1">IF(Iterations[[#This Row],[Step]] =current_step, current_e,IF(Iterations[[#This Row],[Step]] &gt; current_step, "",Iterations[[#This Row],[e]]))</f>
        <v>11.67896392962127</v>
      </c>
      <c r="L530" s="2">
        <f ca="1">IF(Iterations[[#This Row],[Step]] =current_step, current_Total_Loss,IF(Iterations[[#This Row],[Step]] &gt; current_step, "",Iterations[[#This Row],[Total Loss]]))</f>
        <v>91.87</v>
      </c>
      <c r="M530" s="6" t="s">
        <v>27</v>
      </c>
      <c r="N530" s="2">
        <f ca="1">IF(Iterations[[#This Row],[Step]] =current_step, current_Grad_a,IF(Iterations[[#This Row],[Step]] &gt; current_step, "",Iterations[[#This Row],[Grad_a]]))</f>
        <v>3.9569141094651782E-2</v>
      </c>
      <c r="O530" s="2">
        <f ca="1">IF(Iterations[[#This Row],[Step]] =current_step, current_Grad_b,IF(Iterations[[#This Row],[Step]] &gt; current_step, "",Iterations[[#This Row],[Grad_b]]))</f>
        <v>6.8647421074088631E-3</v>
      </c>
      <c r="P530" s="2">
        <f ca="1">IF(Iterations[[#This Row],[Step]] =current_step, current_Grad_c,IF(Iterations[[#This Row],[Step]] &gt; current_step, "",Iterations[[#This Row],[Grad_c]]))</f>
        <v>-0.11100309056273888</v>
      </c>
      <c r="Q530" s="2">
        <f ca="1">IF(Iterations[[#This Row],[Step]] =current_step, current_Grad_d,IF(Iterations[[#This Row],[Step]] &gt; current_step, "",Iterations[[#This Row],[Grad_d]]))</f>
        <v>-6.2625464211025295E-3</v>
      </c>
      <c r="R530" s="2">
        <f ca="1">IF(Iterations[[#This Row],[Step]] =current_step, current_Grad_e,IF(Iterations[[#This Row],[Step]] &gt; current_step, "",Iterations[[#This Row],[Grad_e]]))</f>
        <v>3.9587921631176352E-2</v>
      </c>
    </row>
    <row r="531" spans="6:18" x14ac:dyDescent="0.3">
      <c r="F531" s="2">
        <f t="shared" si="10"/>
        <v>514</v>
      </c>
      <c r="G531" s="2">
        <f ca="1">IF(Iterations[[#This Row],[Step]] =current_step, current_a,IF(Iterations[[#This Row],[Step]] &gt; current_step, "",Iterations[[#This Row],[a]]))</f>
        <v>-6.9040102245192418</v>
      </c>
      <c r="H531" s="2">
        <f ca="1">IF(Iterations[[#This Row],[Step]] =current_step, current_b,IF(Iterations[[#This Row],[Step]] &gt; current_step, "",Iterations[[#This Row],[b]]))</f>
        <v>0.41270954088447059</v>
      </c>
      <c r="I531" s="2">
        <f ca="1">IF(Iterations[[#This Row],[Step]] =current_step, current_c,IF(Iterations[[#This Row],[Step]] &gt; current_step, "",Iterations[[#This Row],[c]]))</f>
        <v>20.203096310287542</v>
      </c>
      <c r="J531" s="2">
        <f ca="1">IF(Iterations[[#This Row],[Step]] =current_step, current_d,IF(Iterations[[#This Row],[Step]] &gt; current_step, "",Iterations[[#This Row],[d]]))</f>
        <v>1.1458317844385328</v>
      </c>
      <c r="K531" s="2">
        <f ca="1">IF(Iterations[[#This Row],[Step]] =current_step, current_e,IF(Iterations[[#This Row],[Step]] &gt; current_step, "",Iterations[[#This Row],[e]]))</f>
        <v>11.676192775107088</v>
      </c>
      <c r="L531" s="2">
        <f ca="1">IF(Iterations[[#This Row],[Step]] =current_step, current_Total_Loss,IF(Iterations[[#This Row],[Step]] &gt; current_step, "",Iterations[[#This Row],[Total Loss]]))</f>
        <v>91.85</v>
      </c>
      <c r="M531" s="6" t="s">
        <v>27</v>
      </c>
      <c r="N531" s="2">
        <f ca="1">IF(Iterations[[#This Row],[Step]] =current_step, current_Grad_a,IF(Iterations[[#This Row],[Step]] &gt; current_step, "",Iterations[[#This Row],[Grad_a]]))</f>
        <v>3.930137843374662E-2</v>
      </c>
      <c r="O531" s="2">
        <f ca="1">IF(Iterations[[#This Row],[Step]] =current_step, current_Grad_b,IF(Iterations[[#This Row],[Step]] &gt; current_step, "",Iterations[[#This Row],[Grad_b]]))</f>
        <v>6.8186916931272223E-3</v>
      </c>
      <c r="P531" s="2">
        <f ca="1">IF(Iterations[[#This Row],[Step]] =current_step, current_Grad_c,IF(Iterations[[#This Row],[Step]] &gt; current_step, "",Iterations[[#This Row],[Grad_c]]))</f>
        <v>-0.11025185739931616</v>
      </c>
      <c r="Q531" s="2">
        <f ca="1">IF(Iterations[[#This Row],[Step]] =current_step, current_Grad_d,IF(Iterations[[#This Row],[Step]] &gt; current_step, "",Iterations[[#This Row],[Grad_d]]))</f>
        <v>-6.2210226146940844E-3</v>
      </c>
      <c r="R531" s="2">
        <f ca="1">IF(Iterations[[#This Row],[Step]] =current_step, current_Grad_e,IF(Iterations[[#This Row],[Step]] &gt; current_step, "",Iterations[[#This Row],[Grad_e]]))</f>
        <v>3.9319991228086854E-2</v>
      </c>
    </row>
    <row r="532" spans="6:18" x14ac:dyDescent="0.3">
      <c r="F532" s="2">
        <f t="shared" si="10"/>
        <v>515</v>
      </c>
      <c r="G532" s="2">
        <f ca="1">IF(Iterations[[#This Row],[Step]] =current_step, current_a,IF(Iterations[[#This Row],[Step]] &gt; current_step, "",Iterations[[#This Row],[a]]))</f>
        <v>-6.9067613210096042</v>
      </c>
      <c r="H532" s="2">
        <f ca="1">IF(Iterations[[#This Row],[Step]] =current_step, current_b,IF(Iterations[[#This Row],[Step]] &gt; current_step, "",Iterations[[#This Row],[b]]))</f>
        <v>0.4122322324659517</v>
      </c>
      <c r="I532" s="2">
        <f ca="1">IF(Iterations[[#This Row],[Step]] =current_step, current_c,IF(Iterations[[#This Row],[Step]] &gt; current_step, "",Iterations[[#This Row],[c]]))</f>
        <v>20.210813940305496</v>
      </c>
      <c r="J532" s="2">
        <f ca="1">IF(Iterations[[#This Row],[Step]] =current_step, current_d,IF(Iterations[[#This Row],[Step]] &gt; current_step, "",Iterations[[#This Row],[d]]))</f>
        <v>1.1462672560215614</v>
      </c>
      <c r="K532" s="2">
        <f ca="1">IF(Iterations[[#This Row],[Step]] =current_step, current_e,IF(Iterations[[#This Row],[Step]] &gt; current_step, "",Iterations[[#This Row],[e]]))</f>
        <v>11.673440375721123</v>
      </c>
      <c r="L532" s="2">
        <f ca="1">IF(Iterations[[#This Row],[Step]] =current_step, current_Total_Loss,IF(Iterations[[#This Row],[Step]] &gt; current_step, "",Iterations[[#This Row],[Total Loss]]))</f>
        <v>91.83</v>
      </c>
      <c r="M532" s="6" t="s">
        <v>27</v>
      </c>
      <c r="N532" s="2">
        <f ca="1">IF(Iterations[[#This Row],[Step]] =current_step, current_Grad_a,IF(Iterations[[#This Row],[Step]] &gt; current_step, "",Iterations[[#This Row],[Grad_a]]))</f>
        <v>3.9035427646459703E-2</v>
      </c>
      <c r="O532" s="2">
        <f ca="1">IF(Iterations[[#This Row],[Step]] =current_step, current_Grad_b,IF(Iterations[[#This Row],[Step]] &gt; current_step, "",Iterations[[#This Row],[Grad_b]]))</f>
        <v>6.7729457068978049E-3</v>
      </c>
      <c r="P532" s="2">
        <f ca="1">IF(Iterations[[#This Row],[Step]] =current_step, current_Grad_c,IF(Iterations[[#This Row],[Step]] &gt; current_step, "",Iterations[[#This Row],[Grad_c]]))</f>
        <v>-0.10950570904361615</v>
      </c>
      <c r="Q532" s="2">
        <f ca="1">IF(Iterations[[#This Row],[Step]] =current_step, current_Grad_d,IF(Iterations[[#This Row],[Step]] &gt; current_step, "",Iterations[[#This Row],[Grad_d]]))</f>
        <v>-6.1797645583202597E-3</v>
      </c>
      <c r="R532" s="2">
        <f ca="1">IF(Iterations[[#This Row],[Step]] =current_step, current_Grad_e,IF(Iterations[[#This Row],[Step]] &gt; current_step, "",Iterations[[#This Row],[Grad_e]]))</f>
        <v>3.9053874558240151E-2</v>
      </c>
    </row>
    <row r="533" spans="6:18" x14ac:dyDescent="0.3">
      <c r="F533" s="2">
        <f t="shared" si="10"/>
        <v>516</v>
      </c>
      <c r="G533" s="2">
        <f ca="1">IF(Iterations[[#This Row],[Step]] =current_step, current_a,IF(Iterations[[#This Row],[Step]] &gt; current_step, "",Iterations[[#This Row],[a]]))</f>
        <v>-6.9094938009448565</v>
      </c>
      <c r="H533" s="2">
        <f ca="1">IF(Iterations[[#This Row],[Step]] =current_step, current_b,IF(Iterations[[#This Row],[Step]] &gt; current_step, "",Iterations[[#This Row],[b]]))</f>
        <v>0.41175812626646885</v>
      </c>
      <c r="I533" s="2">
        <f ca="1">IF(Iterations[[#This Row],[Step]] =current_step, current_c,IF(Iterations[[#This Row],[Step]] &gt; current_step, "",Iterations[[#This Row],[c]]))</f>
        <v>20.218479339938551</v>
      </c>
      <c r="J533" s="2">
        <f ca="1">IF(Iterations[[#This Row],[Step]] =current_step, current_d,IF(Iterations[[#This Row],[Step]] &gt; current_step, "",Iterations[[#This Row],[d]]))</f>
        <v>1.1466998395406438</v>
      </c>
      <c r="K533" s="2">
        <f ca="1">IF(Iterations[[#This Row],[Step]] =current_step, current_e,IF(Iterations[[#This Row],[Step]] &gt; current_step, "",Iterations[[#This Row],[e]]))</f>
        <v>11.670706604502046</v>
      </c>
      <c r="L533" s="2">
        <f ca="1">IF(Iterations[[#This Row],[Step]] =current_step, current_Total_Loss,IF(Iterations[[#This Row],[Step]] &gt; current_step, "",Iterations[[#This Row],[Total Loss]]))</f>
        <v>91.82</v>
      </c>
      <c r="M533" s="6" t="s">
        <v>27</v>
      </c>
      <c r="N533" s="2">
        <f ca="1">IF(Iterations[[#This Row],[Step]] =current_step, current_Grad_a,IF(Iterations[[#This Row],[Step]] &gt; current_step, "",Iterations[[#This Row],[Grad_a]]))</f>
        <v>3.8771276473545196E-2</v>
      </c>
      <c r="O533" s="2">
        <f ca="1">IF(Iterations[[#This Row],[Step]] =current_step, current_Grad_b,IF(Iterations[[#This Row],[Step]] &gt; current_step, "",Iterations[[#This Row],[Grad_b]]))</f>
        <v>6.7275022169229265E-3</v>
      </c>
      <c r="P533" s="2">
        <f ca="1">IF(Iterations[[#This Row],[Step]] =current_step, current_Grad_c,IF(Iterations[[#This Row],[Step]] &gt; current_step, "",Iterations[[#This Row],[Grad_c]]))</f>
        <v>-0.10876461106598258</v>
      </c>
      <c r="Q533" s="2">
        <f ca="1">IF(Iterations[[#This Row],[Step]] =current_step, current_Grad_d,IF(Iterations[[#This Row],[Step]] &gt; current_step, "",Iterations[[#This Row],[Grad_d]]))</f>
        <v>-6.138770725326332E-3</v>
      </c>
      <c r="R533" s="2">
        <f ca="1">IF(Iterations[[#This Row],[Step]] =current_step, current_Grad_e,IF(Iterations[[#This Row],[Step]] &gt; current_step, "",Iterations[[#This Row],[Grad_e]]))</f>
        <v>3.8789559336865627E-2</v>
      </c>
    </row>
    <row r="534" spans="6:18" x14ac:dyDescent="0.3">
      <c r="F534" s="2">
        <f t="shared" si="10"/>
        <v>517</v>
      </c>
      <c r="G534" s="2">
        <f ca="1">IF(Iterations[[#This Row],[Step]] =current_step, current_a,IF(Iterations[[#This Row],[Step]] &gt; current_step, "",Iterations[[#This Row],[a]]))</f>
        <v>-6.9122077902980044</v>
      </c>
      <c r="H534" s="2">
        <f ca="1">IF(Iterations[[#This Row],[Step]] =current_step, current_b,IF(Iterations[[#This Row],[Step]] &gt; current_step, "",Iterations[[#This Row],[b]]))</f>
        <v>0.41128720111128425</v>
      </c>
      <c r="I534" s="2">
        <f ca="1">IF(Iterations[[#This Row],[Step]] =current_step, current_c,IF(Iterations[[#This Row],[Step]] &gt; current_step, "",Iterations[[#This Row],[c]]))</f>
        <v>20.22609286271317</v>
      </c>
      <c r="J534" s="2">
        <f ca="1">IF(Iterations[[#This Row],[Step]] =current_step, current_d,IF(Iterations[[#This Row],[Step]] &gt; current_step, "",Iterations[[#This Row],[d]]))</f>
        <v>1.1471295534914165</v>
      </c>
      <c r="K534" s="2">
        <f ca="1">IF(Iterations[[#This Row],[Step]] =current_step, current_e,IF(Iterations[[#This Row],[Step]] &gt; current_step, "",Iterations[[#This Row],[e]]))</f>
        <v>11.667991335348464</v>
      </c>
      <c r="L534" s="2">
        <f ca="1">IF(Iterations[[#This Row],[Step]] =current_step, current_Total_Loss,IF(Iterations[[#This Row],[Step]] &gt; current_step, "",Iterations[[#This Row],[Total Loss]]))</f>
        <v>91.8</v>
      </c>
      <c r="M534" s="6" t="s">
        <v>27</v>
      </c>
      <c r="N534" s="2">
        <f ca="1">IF(Iterations[[#This Row],[Step]] =current_step, current_Grad_a,IF(Iterations[[#This Row],[Step]] &gt; current_step, "",Iterations[[#This Row],[Grad_a]]))</f>
        <v>3.8508912738664761E-2</v>
      </c>
      <c r="O534" s="2">
        <f ca="1">IF(Iterations[[#This Row],[Step]] =current_step, current_Grad_b,IF(Iterations[[#This Row],[Step]] &gt; current_step, "",Iterations[[#This Row],[Grad_b]]))</f>
        <v>6.6823593021783029E-3</v>
      </c>
      <c r="P534" s="2">
        <f ca="1">IF(Iterations[[#This Row],[Step]] =current_step, current_Grad_c,IF(Iterations[[#This Row],[Step]] &gt; current_step, "",Iterations[[#This Row],[Grad_c]]))</f>
        <v>-0.10802852927012015</v>
      </c>
      <c r="Q534" s="2">
        <f ca="1">IF(Iterations[[#This Row],[Step]] =current_step, current_Grad_d,IF(Iterations[[#This Row],[Step]] &gt; current_step, "",Iterations[[#This Row],[Grad_d]]))</f>
        <v>-6.0980395945515985E-3</v>
      </c>
      <c r="R534" s="2">
        <f ca="1">IF(Iterations[[#This Row],[Step]] =current_step, current_Grad_e,IF(Iterations[[#This Row],[Step]] &gt; current_step, "",Iterations[[#This Row],[Grad_e]]))</f>
        <v>3.8527033362516803E-2</v>
      </c>
    </row>
    <row r="535" spans="6:18" x14ac:dyDescent="0.3">
      <c r="F535" s="2">
        <f t="shared" si="10"/>
        <v>518</v>
      </c>
      <c r="G535" s="2">
        <f ca="1">IF(Iterations[[#This Row],[Step]] =current_step, current_a,IF(Iterations[[#This Row],[Step]] &gt; current_step, "",Iterations[[#This Row],[a]]))</f>
        <v>-6.9149034141897108</v>
      </c>
      <c r="H535" s="2">
        <f ca="1">IF(Iterations[[#This Row],[Step]] =current_step, current_b,IF(Iterations[[#This Row],[Step]] &gt; current_step, "",Iterations[[#This Row],[b]]))</f>
        <v>0.41081943596013176</v>
      </c>
      <c r="I535" s="2">
        <f ca="1">IF(Iterations[[#This Row],[Step]] =current_step, current_c,IF(Iterations[[#This Row],[Step]] &gt; current_step, "",Iterations[[#This Row],[c]]))</f>
        <v>20.23365485976208</v>
      </c>
      <c r="J535" s="2">
        <f ca="1">IF(Iterations[[#This Row],[Step]] =current_step, current_d,IF(Iterations[[#This Row],[Step]] &gt; current_step, "",Iterations[[#This Row],[d]]))</f>
        <v>1.1475564162630352</v>
      </c>
      <c r="K535" s="2">
        <f ca="1">IF(Iterations[[#This Row],[Step]] =current_step, current_e,IF(Iterations[[#This Row],[Step]] &gt; current_step, "",Iterations[[#This Row],[e]]))</f>
        <v>11.665294443013089</v>
      </c>
      <c r="L535" s="2">
        <f ca="1">IF(Iterations[[#This Row],[Step]] =current_step, current_Total_Loss,IF(Iterations[[#This Row],[Step]] &gt; current_step, "",Iterations[[#This Row],[Total Loss]]))</f>
        <v>91.78</v>
      </c>
      <c r="M535" s="6" t="s">
        <v>27</v>
      </c>
      <c r="N535" s="2">
        <f ca="1">IF(Iterations[[#This Row],[Step]] =current_step, current_Grad_a,IF(Iterations[[#This Row],[Step]] &gt; current_step, "",Iterations[[#This Row],[Grad_a]]))</f>
        <v>3.8248324347815249E-2</v>
      </c>
      <c r="O535" s="2">
        <f ca="1">IF(Iterations[[#This Row],[Step]] =current_step, current_Grad_b,IF(Iterations[[#This Row],[Step]] &gt; current_step, "",Iterations[[#This Row],[Grad_b]]))</f>
        <v>6.6375150524536353E-3</v>
      </c>
      <c r="P535" s="2">
        <f ca="1">IF(Iterations[[#This Row],[Step]] =current_step, current_Grad_c,IF(Iterations[[#This Row],[Step]] &gt; current_step, "",Iterations[[#This Row],[Grad_c]]))</f>
        <v>-0.10729742969150297</v>
      </c>
      <c r="Q535" s="2">
        <f ca="1">IF(Iterations[[#This Row],[Step]] =current_step, current_Grad_d,IF(Iterations[[#This Row],[Step]] &gt; current_step, "",Iterations[[#This Row],[Grad_d]]))</f>
        <v>-6.0575696503447785E-3</v>
      </c>
      <c r="R535" s="2">
        <f ca="1">IF(Iterations[[#This Row],[Step]] =current_step, current_Grad_e,IF(Iterations[[#This Row],[Step]] &gt; current_step, "",Iterations[[#This Row],[Grad_e]]))</f>
        <v>3.8266284516512115E-2</v>
      </c>
    </row>
    <row r="536" spans="6:18" x14ac:dyDescent="0.3">
      <c r="F536" s="2">
        <f t="shared" si="10"/>
        <v>519</v>
      </c>
      <c r="G536" s="2">
        <f ca="1">IF(Iterations[[#This Row],[Step]] =current_step, current_a,IF(Iterations[[#This Row],[Step]] &gt; current_step, "",Iterations[[#This Row],[a]]))</f>
        <v>-6.9175807968940575</v>
      </c>
      <c r="H536" s="2">
        <f ca="1">IF(Iterations[[#This Row],[Step]] =current_step, current_b,IF(Iterations[[#This Row],[Step]] &gt; current_step, "",Iterations[[#This Row],[b]]))</f>
        <v>0.41035480990646001</v>
      </c>
      <c r="I536" s="2">
        <f ca="1">IF(Iterations[[#This Row],[Step]] =current_step, current_c,IF(Iterations[[#This Row],[Step]] &gt; current_step, "",Iterations[[#This Row],[c]]))</f>
        <v>20.241165679840485</v>
      </c>
      <c r="J536" s="2">
        <f ca="1">IF(Iterations[[#This Row],[Step]] =current_step, current_d,IF(Iterations[[#This Row],[Step]] &gt; current_step, "",Iterations[[#This Row],[d]]))</f>
        <v>1.1479804461385592</v>
      </c>
      <c r="K536" s="2">
        <f ca="1">IF(Iterations[[#This Row],[Step]] =current_step, current_e,IF(Iterations[[#This Row],[Step]] &gt; current_step, "",Iterations[[#This Row],[e]]))</f>
        <v>11.662615803096934</v>
      </c>
      <c r="L536" s="2">
        <f ca="1">IF(Iterations[[#This Row],[Step]] =current_step, current_Total_Loss,IF(Iterations[[#This Row],[Step]] &gt; current_step, "",Iterations[[#This Row],[Total Loss]]))</f>
        <v>91.76</v>
      </c>
      <c r="M536" s="6" t="s">
        <v>27</v>
      </c>
      <c r="N536" s="2">
        <f ca="1">IF(Iterations[[#This Row],[Step]] =current_step, current_Grad_a,IF(Iterations[[#This Row],[Step]] &gt; current_step, "",Iterations[[#This Row],[Grad_a]]))</f>
        <v>3.7989499288779878E-2</v>
      </c>
      <c r="O536" s="2">
        <f ca="1">IF(Iterations[[#This Row],[Step]] =current_step, current_Grad_b,IF(Iterations[[#This Row],[Step]] &gt; current_step, "",Iterations[[#This Row],[Grad_b]]))</f>
        <v>6.5929675682082018E-3</v>
      </c>
      <c r="P536" s="2">
        <f ca="1">IF(Iterations[[#This Row],[Step]] =current_step, current_Grad_c,IF(Iterations[[#This Row],[Step]] &gt; current_step, "",Iterations[[#This Row],[Grad_c]]))</f>
        <v>-0.10657127859580623</v>
      </c>
      <c r="Q536" s="2">
        <f ca="1">IF(Iterations[[#This Row],[Step]] =current_step, current_Grad_d,IF(Iterations[[#This Row],[Step]] &gt; current_step, "",Iterations[[#This Row],[Grad_d]]))</f>
        <v>-6.0173593826686744E-3</v>
      </c>
      <c r="R536" s="2">
        <f ca="1">IF(Iterations[[#This Row],[Step]] =current_step, current_Grad_e,IF(Iterations[[#This Row],[Step]] &gt; current_step, "",Iterations[[#This Row],[Grad_e]]))</f>
        <v>3.8007300762358774E-2</v>
      </c>
    </row>
    <row r="537" spans="6:18" x14ac:dyDescent="0.3">
      <c r="F537" s="2">
        <f t="shared" si="10"/>
        <v>520</v>
      </c>
      <c r="G537" s="2">
        <f ca="1">IF(Iterations[[#This Row],[Step]] =current_step, current_a,IF(Iterations[[#This Row],[Step]] &gt; current_step, "",Iterations[[#This Row],[a]]))</f>
        <v>-6.9202400618442717</v>
      </c>
      <c r="H537" s="2">
        <f ca="1">IF(Iterations[[#This Row],[Step]] =current_step, current_b,IF(Iterations[[#This Row],[Step]] &gt; current_step, "",Iterations[[#This Row],[b]]))</f>
        <v>0.4098933021766854</v>
      </c>
      <c r="I537" s="2">
        <f ca="1">IF(Iterations[[#This Row],[Step]] =current_step, current_c,IF(Iterations[[#This Row],[Step]] &gt; current_step, "",Iterations[[#This Row],[c]]))</f>
        <v>20.248625669342193</v>
      </c>
      <c r="J537" s="2">
        <f ca="1">IF(Iterations[[#This Row],[Step]] =current_step, current_d,IF(Iterations[[#This Row],[Step]] &gt; current_step, "",Iterations[[#This Row],[d]]))</f>
        <v>1.148401661295346</v>
      </c>
      <c r="K537" s="2">
        <f ca="1">IF(Iterations[[#This Row],[Step]] =current_step, current_e,IF(Iterations[[#This Row],[Step]] &gt; current_step, "",Iterations[[#This Row],[e]]))</f>
        <v>11.659955292043568</v>
      </c>
      <c r="L537" s="2">
        <f ca="1">IF(Iterations[[#This Row],[Step]] =current_step, current_Total_Loss,IF(Iterations[[#This Row],[Step]] &gt; current_step, "",Iterations[[#This Row],[Total Loss]]))</f>
        <v>91.74</v>
      </c>
      <c r="M537" s="6" t="s">
        <v>27</v>
      </c>
      <c r="N537" s="2">
        <f ca="1">IF(Iterations[[#This Row],[Step]] =current_step, current_Grad_a,IF(Iterations[[#This Row],[Step]] &gt; current_step, "",Iterations[[#This Row],[Grad_a]]))</f>
        <v>3.7732425630749508E-2</v>
      </c>
      <c r="O537" s="2">
        <f ca="1">IF(Iterations[[#This Row],[Step]] =current_step, current_Grad_b,IF(Iterations[[#This Row],[Step]] &gt; current_step, "",Iterations[[#This Row],[Grad_b]]))</f>
        <v>6.548714960588441E-3</v>
      </c>
      <c r="P537" s="2">
        <f ca="1">IF(Iterations[[#This Row],[Step]] =current_step, current_Grad_c,IF(Iterations[[#This Row],[Step]] &gt; current_step, "",Iterations[[#This Row],[Grad_c]]))</f>
        <v>-0.10585004247727436</v>
      </c>
      <c r="Q537" s="2">
        <f ca="1">IF(Iterations[[#This Row],[Step]] =current_step, current_Grad_d,IF(Iterations[[#This Row],[Step]] &gt; current_step, "",Iterations[[#This Row],[Grad_d]]))</f>
        <v>-5.9774072871101556E-3</v>
      </c>
      <c r="R537" s="2">
        <f ca="1">IF(Iterations[[#This Row],[Step]] =current_step, current_Grad_e,IF(Iterations[[#This Row],[Step]] &gt; current_step, "",Iterations[[#This Row],[Grad_e]]))</f>
        <v>3.77500701452241E-2</v>
      </c>
    </row>
    <row r="538" spans="6:18" x14ac:dyDescent="0.3">
      <c r="F538" s="2">
        <f t="shared" si="10"/>
        <v>521</v>
      </c>
      <c r="G538" s="2">
        <f ca="1">IF(Iterations[[#This Row],[Step]] =current_step, current_a,IF(Iterations[[#This Row],[Step]] &gt; current_step, "",Iterations[[#This Row],[a]]))</f>
        <v>-6.9228813316384237</v>
      </c>
      <c r="H538" s="2">
        <f ca="1">IF(Iterations[[#This Row],[Step]] =current_step, current_b,IF(Iterations[[#This Row],[Step]] &gt; current_step, "",Iterations[[#This Row],[b]]))</f>
        <v>0.40943489212944423</v>
      </c>
      <c r="I538" s="2">
        <f ca="1">IF(Iterations[[#This Row],[Step]] =current_step, current_c,IF(Iterations[[#This Row],[Step]] &gt; current_step, "",Iterations[[#This Row],[c]]))</f>
        <v>20.256035172315602</v>
      </c>
      <c r="J538" s="2">
        <f ca="1">IF(Iterations[[#This Row],[Step]] =current_step, current_d,IF(Iterations[[#This Row],[Step]] &gt; current_step, "",Iterations[[#This Row],[d]]))</f>
        <v>1.1488200798054438</v>
      </c>
      <c r="K538" s="2">
        <f ca="1">IF(Iterations[[#This Row],[Step]] =current_step, current_e,IF(Iterations[[#This Row],[Step]] &gt; current_step, "",Iterations[[#This Row],[e]]))</f>
        <v>11.657312787133403</v>
      </c>
      <c r="L538" s="2">
        <f ca="1">IF(Iterations[[#This Row],[Step]] =current_step, current_Total_Loss,IF(Iterations[[#This Row],[Step]] &gt; current_step, "",Iterations[[#This Row],[Total Loss]]))</f>
        <v>91.72</v>
      </c>
      <c r="M538" s="6" t="s">
        <v>27</v>
      </c>
      <c r="N538" s="2">
        <f ca="1">IF(Iterations[[#This Row],[Step]] =current_step, current_Grad_a,IF(Iterations[[#This Row],[Step]] &gt; current_step, "",Iterations[[#This Row],[Grad_a]]))</f>
        <v>3.7477091523327358E-2</v>
      </c>
      <c r="O538" s="2">
        <f ca="1">IF(Iterations[[#This Row],[Step]] =current_step, current_Grad_b,IF(Iterations[[#This Row],[Step]] &gt; current_step, "",Iterations[[#This Row],[Grad_b]]))</f>
        <v>6.5047553514563554E-3</v>
      </c>
      <c r="P538" s="2">
        <f ca="1">IF(Iterations[[#This Row],[Step]] =current_step, current_Grad_c,IF(Iterations[[#This Row],[Step]] &gt; current_step, "",Iterations[[#This Row],[Grad_c]]))</f>
        <v>-0.10513368805733456</v>
      </c>
      <c r="Q538" s="2">
        <f ca="1">IF(Iterations[[#This Row],[Step]] =current_step, current_Grad_d,IF(Iterations[[#This Row],[Step]] &gt; current_step, "",Iterations[[#This Row],[Grad_d]]))</f>
        <v>-5.9377118649108713E-3</v>
      </c>
      <c r="R538" s="2">
        <f ca="1">IF(Iterations[[#This Row],[Step]] =current_step, current_Grad_e,IF(Iterations[[#This Row],[Step]] &gt; current_step, "",Iterations[[#This Row],[Grad_e]]))</f>
        <v>3.7494580791316658E-2</v>
      </c>
    </row>
    <row r="539" spans="6:18" x14ac:dyDescent="0.3">
      <c r="F539" s="2">
        <f t="shared" si="10"/>
        <v>522</v>
      </c>
      <c r="G539" s="2">
        <f ca="1">IF(Iterations[[#This Row],[Step]] =current_step, current_a,IF(Iterations[[#This Row],[Step]] &gt; current_step, "",Iterations[[#This Row],[a]]))</f>
        <v>-6.9255047280450563</v>
      </c>
      <c r="H539" s="2">
        <f ca="1">IF(Iterations[[#This Row],[Step]] =current_step, current_b,IF(Iterations[[#This Row],[Step]] &gt; current_step, "",Iterations[[#This Row],[b]]))</f>
        <v>0.40897955925484231</v>
      </c>
      <c r="I539" s="2">
        <f ca="1">IF(Iterations[[#This Row],[Step]] =current_step, current_c,IF(Iterations[[#This Row],[Step]] &gt; current_step, "",Iterations[[#This Row],[c]]))</f>
        <v>20.263394530479616</v>
      </c>
      <c r="J539" s="2">
        <f ca="1">IF(Iterations[[#This Row],[Step]] =current_step, current_d,IF(Iterations[[#This Row],[Step]] &gt; current_step, "",Iterations[[#This Row],[d]]))</f>
        <v>1.1492357196359875</v>
      </c>
      <c r="K539" s="2">
        <f ca="1">IF(Iterations[[#This Row],[Step]] =current_step, current_e,IF(Iterations[[#This Row],[Step]] &gt; current_step, "",Iterations[[#This Row],[e]]))</f>
        <v>11.65468816647801</v>
      </c>
      <c r="L539" s="2">
        <f ca="1">IF(Iterations[[#This Row],[Step]] =current_step, current_Total_Loss,IF(Iterations[[#This Row],[Step]] &gt; current_step, "",Iterations[[#This Row],[Total Loss]]))</f>
        <v>91.71</v>
      </c>
      <c r="M539" s="6" t="s">
        <v>27</v>
      </c>
      <c r="N539" s="2">
        <f ca="1">IF(Iterations[[#This Row],[Step]] =current_step, current_Grad_a,IF(Iterations[[#This Row],[Step]] &gt; current_step, "",Iterations[[#This Row],[Grad_a]]))</f>
        <v>3.722348519665334E-2</v>
      </c>
      <c r="O539" s="2">
        <f ca="1">IF(Iterations[[#This Row],[Step]] =current_step, current_Grad_b,IF(Iterations[[#This Row],[Step]] &gt; current_step, "",Iterations[[#This Row],[Grad_b]]))</f>
        <v>6.4610868731926653E-3</v>
      </c>
      <c r="P539" s="2">
        <f ca="1">IF(Iterations[[#This Row],[Step]] =current_step, current_Grad_c,IF(Iterations[[#This Row],[Step]] &gt; current_step, "",Iterations[[#This Row],[Grad_c]]))</f>
        <v>-0.1044221822827965</v>
      </c>
      <c r="Q539" s="2">
        <f ca="1">IF(Iterations[[#This Row],[Step]] =current_step, current_Grad_d,IF(Iterations[[#This Row],[Step]] &gt; current_step, "",Iterations[[#This Row],[Grad_d]]))</f>
        <v>-5.8982716230660381E-3</v>
      </c>
      <c r="R539" s="2">
        <f ca="1">IF(Iterations[[#This Row],[Step]] =current_step, current_Grad_e,IF(Iterations[[#This Row],[Step]] &gt; current_step, "",Iterations[[#This Row],[Grad_e]]))</f>
        <v>3.724082090743646E-2</v>
      </c>
    </row>
    <row r="540" spans="6:18" x14ac:dyDescent="0.3">
      <c r="F540" s="2">
        <f t="shared" si="10"/>
        <v>523</v>
      </c>
      <c r="G540" s="2">
        <f ca="1">IF(Iterations[[#This Row],[Step]] =current_step, current_a,IF(Iterations[[#This Row],[Step]] &gt; current_step, "",Iterations[[#This Row],[a]]))</f>
        <v>-6.9281103720088222</v>
      </c>
      <c r="H540" s="2">
        <f ca="1">IF(Iterations[[#This Row],[Step]] =current_step, current_b,IF(Iterations[[#This Row],[Step]] &gt; current_step, "",Iterations[[#This Row],[b]]))</f>
        <v>0.40852728317371884</v>
      </c>
      <c r="I540" s="2">
        <f ca="1">IF(Iterations[[#This Row],[Step]] =current_step, current_c,IF(Iterations[[#This Row],[Step]] &gt; current_step, "",Iterations[[#This Row],[c]]))</f>
        <v>20.270704083239412</v>
      </c>
      <c r="J540" s="2">
        <f ca="1">IF(Iterations[[#This Row],[Step]] =current_step, current_d,IF(Iterations[[#This Row],[Step]] &gt; current_step, "",Iterations[[#This Row],[d]]))</f>
        <v>1.1496485986496021</v>
      </c>
      <c r="K540" s="2">
        <f ca="1">IF(Iterations[[#This Row],[Step]] =current_step, current_e,IF(Iterations[[#This Row],[Step]] &gt; current_step, "",Iterations[[#This Row],[e]]))</f>
        <v>11.652081309014489</v>
      </c>
      <c r="L540" s="2">
        <f ca="1">IF(Iterations[[#This Row],[Step]] =current_step, current_Total_Loss,IF(Iterations[[#This Row],[Step]] &gt; current_step, "",Iterations[[#This Row],[Total Loss]]))</f>
        <v>91.69</v>
      </c>
      <c r="M540" s="6" t="s">
        <v>27</v>
      </c>
      <c r="N540" s="2">
        <f ca="1">IF(Iterations[[#This Row],[Step]] =current_step, current_Grad_a,IF(Iterations[[#This Row],[Step]] &gt; current_step, "",Iterations[[#This Row],[Grad_a]]))</f>
        <v>3.6971594960147486E-2</v>
      </c>
      <c r="O540" s="2">
        <f ca="1">IF(Iterations[[#This Row],[Step]] =current_step, current_Grad_b,IF(Iterations[[#This Row],[Step]] &gt; current_step, "",Iterations[[#This Row],[Grad_b]]))</f>
        <v>6.4177076688498712E-3</v>
      </c>
      <c r="P540" s="2">
        <f ca="1">IF(Iterations[[#This Row],[Step]] =current_step, current_Grad_c,IF(Iterations[[#This Row],[Step]] &gt; current_step, "",Iterations[[#This Row],[Grad_c]]))</f>
        <v>-0.10371549232460403</v>
      </c>
      <c r="Q540" s="2">
        <f ca="1">IF(Iterations[[#This Row],[Step]] =current_step, current_Grad_d,IF(Iterations[[#This Row],[Step]] &gt; current_step, "",Iterations[[#This Row],[Grad_d]]))</f>
        <v>-5.859085074296836E-3</v>
      </c>
      <c r="R540" s="2">
        <f ca="1">IF(Iterations[[#This Row],[Step]] =current_step, current_Grad_e,IF(Iterations[[#This Row],[Step]] &gt; current_step, "",Iterations[[#This Row],[Grad_e]]))</f>
        <v>3.6988778780308117E-2</v>
      </c>
    </row>
    <row r="541" spans="6:18" x14ac:dyDescent="0.3">
      <c r="F541" s="2">
        <f t="shared" si="10"/>
        <v>524</v>
      </c>
      <c r="G541" s="2">
        <f ca="1">IF(Iterations[[#This Row],[Step]] =current_step, current_a,IF(Iterations[[#This Row],[Step]] &gt; current_step, "",Iterations[[#This Row],[a]]))</f>
        <v>-6.9306983836560327</v>
      </c>
      <c r="H541" s="2">
        <f ca="1">IF(Iterations[[#This Row],[Step]] =current_step, current_b,IF(Iterations[[#This Row],[Step]] &gt; current_step, "",Iterations[[#This Row],[b]]))</f>
        <v>0.40807804363689937</v>
      </c>
      <c r="I541" s="2">
        <f ca="1">IF(Iterations[[#This Row],[Step]] =current_step, current_c,IF(Iterations[[#This Row],[Step]] &gt; current_step, "",Iterations[[#This Row],[c]]))</f>
        <v>20.277964167702134</v>
      </c>
      <c r="J541" s="2">
        <f ca="1">IF(Iterations[[#This Row],[Step]] =current_step, current_d,IF(Iterations[[#This Row],[Step]] &gt; current_step, "",Iterations[[#This Row],[d]]))</f>
        <v>1.1500587346048028</v>
      </c>
      <c r="K541" s="2">
        <f ca="1">IF(Iterations[[#This Row],[Step]] =current_step, current_e,IF(Iterations[[#This Row],[Step]] &gt; current_step, "",Iterations[[#This Row],[e]]))</f>
        <v>11.649492094499868</v>
      </c>
      <c r="L541" s="2">
        <f ca="1">IF(Iterations[[#This Row],[Step]] =current_step, current_Total_Loss,IF(Iterations[[#This Row],[Step]] &gt; current_step, "",Iterations[[#This Row],[Total Loss]]))</f>
        <v>91.67</v>
      </c>
      <c r="M541" s="6" t="s">
        <v>27</v>
      </c>
      <c r="N541" s="2">
        <f ca="1">IF(Iterations[[#This Row],[Step]] =current_step, current_Grad_a,IF(Iterations[[#This Row],[Step]] &gt; current_step, "",Iterations[[#This Row],[Grad_a]]))</f>
        <v>3.6721409202557349E-2</v>
      </c>
      <c r="O541" s="2">
        <f ca="1">IF(Iterations[[#This Row],[Step]] =current_step, current_Grad_b,IF(Iterations[[#This Row],[Step]] &gt; current_step, "",Iterations[[#This Row],[Grad_b]]))</f>
        <v>6.3746158919912067E-3</v>
      </c>
      <c r="P541" s="2">
        <f ca="1">IF(Iterations[[#This Row],[Step]] =current_step, current_Grad_c,IF(Iterations[[#This Row],[Step]] &gt; current_step, "",Iterations[[#This Row],[Grad_c]]))</f>
        <v>-0.10301358557607505</v>
      </c>
      <c r="Q541" s="2">
        <f ca="1">IF(Iterations[[#This Row],[Step]] =current_step, current_Grad_d,IF(Iterations[[#This Row],[Step]] &gt; current_step, "",Iterations[[#This Row],[Grad_d]]))</f>
        <v>-5.8201507371317285E-3</v>
      </c>
      <c r="R541" s="2">
        <f ca="1">IF(Iterations[[#This Row],[Step]] =current_step, current_Grad_e,IF(Iterations[[#This Row],[Step]] &gt; current_step, "",Iterations[[#This Row],[Grad_e]]))</f>
        <v>3.6738442776138532E-2</v>
      </c>
    </row>
    <row r="542" spans="6:18" x14ac:dyDescent="0.3">
      <c r="F542" s="2">
        <f t="shared" si="10"/>
        <v>525</v>
      </c>
      <c r="G542" s="2">
        <f ca="1">IF(Iterations[[#This Row],[Step]] =current_step, current_a,IF(Iterations[[#This Row],[Step]] &gt; current_step, "",Iterations[[#This Row],[a]]))</f>
        <v>-6.9332688823002115</v>
      </c>
      <c r="H542" s="2">
        <f ca="1">IF(Iterations[[#This Row],[Step]] =current_step, current_b,IF(Iterations[[#This Row],[Step]] &gt; current_step, "",Iterations[[#This Row],[b]]))</f>
        <v>0.40763182052446001</v>
      </c>
      <c r="I542" s="2">
        <f ca="1">IF(Iterations[[#This Row],[Step]] =current_step, current_c,IF(Iterations[[#This Row],[Step]] &gt; current_step, "",Iterations[[#This Row],[c]]))</f>
        <v>20.285175118692457</v>
      </c>
      <c r="J542" s="2">
        <f ca="1">IF(Iterations[[#This Row],[Step]] =current_step, current_d,IF(Iterations[[#This Row],[Step]] &gt; current_step, "",Iterations[[#This Row],[d]]))</f>
        <v>1.150466145156402</v>
      </c>
      <c r="K542" s="2">
        <f ca="1">IF(Iterations[[#This Row],[Step]] =current_step, current_e,IF(Iterations[[#This Row],[Step]] &gt; current_step, "",Iterations[[#This Row],[e]]))</f>
        <v>11.646920403505538</v>
      </c>
      <c r="L542" s="2">
        <f ca="1">IF(Iterations[[#This Row],[Step]] =current_step, current_Total_Loss,IF(Iterations[[#This Row],[Step]] &gt; current_step, "",Iterations[[#This Row],[Total Loss]]))</f>
        <v>91.66</v>
      </c>
      <c r="M542" s="6" t="s">
        <v>27</v>
      </c>
      <c r="N542" s="2">
        <f ca="1">IF(Iterations[[#This Row],[Step]] =current_step, current_Grad_a,IF(Iterations[[#This Row],[Step]] &gt; current_step, "",Iterations[[#This Row],[Grad_a]]))</f>
        <v>3.6472916391005708E-2</v>
      </c>
      <c r="O542" s="2">
        <f ca="1">IF(Iterations[[#This Row],[Step]] =current_step, current_Grad_b,IF(Iterations[[#This Row],[Step]] &gt; current_step, "",Iterations[[#This Row],[Grad_b]]))</f>
        <v>6.3318097067220358E-3</v>
      </c>
      <c r="P542" s="2">
        <f ca="1">IF(Iterations[[#This Row],[Step]] =current_step, current_Grad_c,IF(Iterations[[#This Row],[Step]] &gt; current_step, "",Iterations[[#This Row],[Grad_c]]))</f>
        <v>-0.10231642965156276</v>
      </c>
      <c r="Q542" s="2">
        <f ca="1">IF(Iterations[[#This Row],[Step]] =current_step, current_Grad_d,IF(Iterations[[#This Row],[Step]] &gt; current_step, "",Iterations[[#This Row],[Grad_d]]))</f>
        <v>-5.7814671359212528E-3</v>
      </c>
      <c r="R542" s="2">
        <f ca="1">IF(Iterations[[#This Row],[Step]] =current_step, current_Grad_e,IF(Iterations[[#This Row],[Step]] &gt; current_step, "",Iterations[[#This Row],[Grad_e]]))</f>
        <v>3.648980134000003E-2</v>
      </c>
    </row>
    <row r="543" spans="6:18" x14ac:dyDescent="0.3">
      <c r="F543" s="2">
        <f t="shared" si="10"/>
        <v>526</v>
      </c>
      <c r="G543" s="2">
        <f ca="1">IF(Iterations[[#This Row],[Step]] =current_step, current_a,IF(Iterations[[#This Row],[Step]] &gt; current_step, "",Iterations[[#This Row],[a]]))</f>
        <v>-6.9358219864475821</v>
      </c>
      <c r="H543" s="2">
        <f ca="1">IF(Iterations[[#This Row],[Step]] =current_step, current_b,IF(Iterations[[#This Row],[Step]] &gt; current_step, "",Iterations[[#This Row],[b]]))</f>
        <v>0.40718859384498945</v>
      </c>
      <c r="I543" s="2">
        <f ca="1">IF(Iterations[[#This Row],[Step]] =current_step, current_c,IF(Iterations[[#This Row],[Step]] &gt; current_step, "",Iterations[[#This Row],[c]]))</f>
        <v>20.292337268768065</v>
      </c>
      <c r="J543" s="2">
        <f ca="1">IF(Iterations[[#This Row],[Step]] =current_step, current_d,IF(Iterations[[#This Row],[Step]] &gt; current_step, "",Iterations[[#This Row],[d]]))</f>
        <v>1.1508708478559164</v>
      </c>
      <c r="K543" s="2">
        <f ca="1">IF(Iterations[[#This Row],[Step]] =current_step, current_e,IF(Iterations[[#This Row],[Step]] &gt; current_step, "",Iterations[[#This Row],[e]]))</f>
        <v>11.644366117411739</v>
      </c>
      <c r="L543" s="2">
        <f ca="1">IF(Iterations[[#This Row],[Step]] =current_step, current_Total_Loss,IF(Iterations[[#This Row],[Step]] &gt; current_step, "",Iterations[[#This Row],[Total Loss]]))</f>
        <v>91.64</v>
      </c>
      <c r="M543" s="6" t="s">
        <v>27</v>
      </c>
      <c r="N543" s="2">
        <f ca="1">IF(Iterations[[#This Row],[Step]] =current_step, current_Grad_a,IF(Iterations[[#This Row],[Step]] &gt; current_step, "",Iterations[[#This Row],[Grad_a]]))</f>
        <v>3.6226105070750476E-2</v>
      </c>
      <c r="O543" s="2">
        <f ca="1">IF(Iterations[[#This Row],[Step]] =current_step, current_Grad_b,IF(Iterations[[#This Row],[Step]] &gt; current_step, "",Iterations[[#This Row],[Grad_b]]))</f>
        <v>6.289287287567385E-3</v>
      </c>
      <c r="P543" s="2">
        <f ca="1">IF(Iterations[[#This Row],[Step]] =current_step, current_Grad_c,IF(Iterations[[#This Row],[Step]] &gt; current_step, "",Iterations[[#This Row],[Grad_c]]))</f>
        <v>-0.10162399238483649</v>
      </c>
      <c r="Q543" s="2">
        <f ca="1">IF(Iterations[[#This Row],[Step]] =current_step, current_Grad_d,IF(Iterations[[#This Row],[Step]] &gt; current_step, "",Iterations[[#This Row],[Grad_d]]))</f>
        <v>-5.7430328009091813E-3</v>
      </c>
      <c r="R543" s="2">
        <f ca="1">IF(Iterations[[#This Row],[Step]] =current_step, current_Grad_e,IF(Iterations[[#This Row],[Step]] &gt; current_step, "",Iterations[[#This Row],[Grad_e]]))</f>
        <v>3.6242842995349044E-2</v>
      </c>
    </row>
    <row r="544" spans="6:18" x14ac:dyDescent="0.3">
      <c r="F544" s="2">
        <f t="shared" si="10"/>
        <v>527</v>
      </c>
      <c r="G544" s="2">
        <f ca="1">IF(Iterations[[#This Row],[Step]] =current_step, current_a,IF(Iterations[[#This Row],[Step]] &gt; current_step, "",Iterations[[#This Row],[a]]))</f>
        <v>-6.9383578138025346</v>
      </c>
      <c r="H544" s="2">
        <f ca="1">IF(Iterations[[#This Row],[Step]] =current_step, current_b,IF(Iterations[[#This Row],[Step]] &gt; current_step, "",Iterations[[#This Row],[b]]))</f>
        <v>0.40674834373485974</v>
      </c>
      <c r="I544" s="2">
        <f ca="1">IF(Iterations[[#This Row],[Step]] =current_step, current_c,IF(Iterations[[#This Row],[Step]] &gt; current_step, "",Iterations[[#This Row],[c]]))</f>
        <v>20.299450948235005</v>
      </c>
      <c r="J544" s="2">
        <f ca="1">IF(Iterations[[#This Row],[Step]] =current_step, current_d,IF(Iterations[[#This Row],[Step]] &gt; current_step, "",Iterations[[#This Row],[d]]))</f>
        <v>1.1512728601519802</v>
      </c>
      <c r="K544" s="2">
        <f ca="1">IF(Iterations[[#This Row],[Step]] =current_step, current_e,IF(Iterations[[#This Row],[Step]] &gt; current_step, "",Iterations[[#This Row],[e]]))</f>
        <v>11.641829118402065</v>
      </c>
      <c r="L544" s="2">
        <f ca="1">IF(Iterations[[#This Row],[Step]] =current_step, current_Total_Loss,IF(Iterations[[#This Row],[Step]] &gt; current_step, "",Iterations[[#This Row],[Total Loss]]))</f>
        <v>91.62</v>
      </c>
      <c r="M544" s="6" t="s">
        <v>27</v>
      </c>
      <c r="N544" s="2">
        <f ca="1">IF(Iterations[[#This Row],[Step]] =current_step, current_Grad_a,IF(Iterations[[#This Row],[Step]] &gt; current_step, "",Iterations[[#This Row],[Grad_a]]))</f>
        <v>3.5980963864471111E-2</v>
      </c>
      <c r="O544" s="2">
        <f ca="1">IF(Iterations[[#This Row],[Step]] =current_step, current_Grad_b,IF(Iterations[[#This Row],[Step]] &gt; current_step, "",Iterations[[#This Row],[Grad_b]]))</f>
        <v>6.2470468195763539E-3</v>
      </c>
      <c r="P544" s="2">
        <f ca="1">IF(Iterations[[#This Row],[Step]] =current_step, current_Grad_c,IF(Iterations[[#This Row],[Step]] &gt; current_step, "",Iterations[[#This Row],[Grad_c]]))</f>
        <v>-0.10093624182766198</v>
      </c>
      <c r="Q544" s="2">
        <f ca="1">IF(Iterations[[#This Row],[Step]] =current_step, current_Grad_d,IF(Iterations[[#This Row],[Step]] &gt; current_step, "",Iterations[[#This Row],[Grad_d]]))</f>
        <v>-5.704846268203812E-3</v>
      </c>
      <c r="R544" s="2">
        <f ca="1">IF(Iterations[[#This Row],[Step]] =current_step, current_Grad_e,IF(Iterations[[#This Row],[Step]] &gt; current_step, "",Iterations[[#This Row],[Grad_e]]))</f>
        <v>3.5997556343459851E-2</v>
      </c>
    </row>
    <row r="545" spans="6:18" x14ac:dyDescent="0.3">
      <c r="F545" s="2">
        <f t="shared" si="10"/>
        <v>528</v>
      </c>
      <c r="G545" s="2">
        <f ca="1">IF(Iterations[[#This Row],[Step]] =current_step, current_a,IF(Iterations[[#This Row],[Step]] &gt; current_step, "",Iterations[[#This Row],[a]]))</f>
        <v>-6.9408764812730475</v>
      </c>
      <c r="H545" s="2">
        <f ca="1">IF(Iterations[[#This Row],[Step]] =current_step, current_b,IF(Iterations[[#This Row],[Step]] &gt; current_step, "",Iterations[[#This Row],[b]]))</f>
        <v>0.40631105045748939</v>
      </c>
      <c r="I545" s="2">
        <f ca="1">IF(Iterations[[#This Row],[Step]] =current_step, current_c,IF(Iterations[[#This Row],[Step]] &gt; current_step, "",Iterations[[#This Row],[c]]))</f>
        <v>20.306516485162941</v>
      </c>
      <c r="J545" s="2">
        <f ca="1">IF(Iterations[[#This Row],[Step]] =current_step, current_d,IF(Iterations[[#This Row],[Step]] &gt; current_step, "",Iterations[[#This Row],[d]]))</f>
        <v>1.1516721993907544</v>
      </c>
      <c r="K545" s="2">
        <f ca="1">IF(Iterations[[#This Row],[Step]] =current_step, current_e,IF(Iterations[[#This Row],[Step]] &gt; current_step, "",Iterations[[#This Row],[e]]))</f>
        <v>11.639309289458023</v>
      </c>
      <c r="L545" s="2">
        <f ca="1">IF(Iterations[[#This Row],[Step]] =current_step, current_Total_Loss,IF(Iterations[[#This Row],[Step]] &gt; current_step, "",Iterations[[#This Row],[Total Loss]]))</f>
        <v>91.61</v>
      </c>
      <c r="M545" s="6" t="s">
        <v>27</v>
      </c>
      <c r="N545" s="2">
        <f ca="1">IF(Iterations[[#This Row],[Step]] =current_step, current_Grad_a,IF(Iterations[[#This Row],[Step]] &gt; current_step, "",Iterations[[#This Row],[Grad_a]]))</f>
        <v>3.5737481471791926E-2</v>
      </c>
      <c r="O545" s="2">
        <f ca="1">IF(Iterations[[#This Row],[Step]] =current_step, current_Grad_b,IF(Iterations[[#This Row],[Step]] &gt; current_step, "",Iterations[[#This Row],[Grad_b]]))</f>
        <v>6.2050864981391674E-3</v>
      </c>
      <c r="P545" s="2">
        <f ca="1">IF(Iterations[[#This Row],[Step]] =current_step, current_Grad_c,IF(Iterations[[#This Row],[Step]] &gt; current_step, "",Iterations[[#This Row],[Grad_c]]))</f>
        <v>-0.10025314624831276</v>
      </c>
      <c r="Q545" s="2">
        <f ca="1">IF(Iterations[[#This Row],[Step]] =current_step, current_Grad_d,IF(Iterations[[#This Row],[Step]] &gt; current_step, "",Iterations[[#This Row],[Grad_d]]))</f>
        <v>-5.6669060798776195E-3</v>
      </c>
      <c r="R545" s="2">
        <f ca="1">IF(Iterations[[#This Row],[Step]] =current_step, current_Grad_e,IF(Iterations[[#This Row],[Step]] &gt; current_step, "",Iterations[[#This Row],[Grad_e]]))</f>
        <v>3.5753930062892278E-2</v>
      </c>
    </row>
    <row r="546" spans="6:18" x14ac:dyDescent="0.3">
      <c r="F546" s="2">
        <f t="shared" si="10"/>
        <v>529</v>
      </c>
      <c r="G546" s="2">
        <f ca="1">IF(Iterations[[#This Row],[Step]] =current_step, current_a,IF(Iterations[[#This Row],[Step]] &gt; current_step, "",Iterations[[#This Row],[a]]))</f>
        <v>-6.9433781049760732</v>
      </c>
      <c r="H546" s="2">
        <f ca="1">IF(Iterations[[#This Row],[Step]] =current_step, current_b,IF(Iterations[[#This Row],[Step]] &gt; current_step, "",Iterations[[#This Row],[b]]))</f>
        <v>0.40587669440261964</v>
      </c>
      <c r="I546" s="2">
        <f ca="1">IF(Iterations[[#This Row],[Step]] =current_step, current_c,IF(Iterations[[#This Row],[Step]] &gt; current_step, "",Iterations[[#This Row],[c]]))</f>
        <v>20.313534205400323</v>
      </c>
      <c r="J546" s="2">
        <f ca="1">IF(Iterations[[#This Row],[Step]] =current_step, current_d,IF(Iterations[[#This Row],[Step]] &gt; current_step, "",Iterations[[#This Row],[d]]))</f>
        <v>1.1520688828163459</v>
      </c>
      <c r="K546" s="2">
        <f ca="1">IF(Iterations[[#This Row],[Step]] =current_step, current_e,IF(Iterations[[#This Row],[Step]] &gt; current_step, "",Iterations[[#This Row],[e]]))</f>
        <v>11.636806514353621</v>
      </c>
      <c r="L546" s="2">
        <f ca="1">IF(Iterations[[#This Row],[Step]] =current_step, current_Total_Loss,IF(Iterations[[#This Row],[Step]] &gt; current_step, "",Iterations[[#This Row],[Total Loss]]))</f>
        <v>91.59</v>
      </c>
      <c r="M546" s="6" t="s">
        <v>27</v>
      </c>
      <c r="N546" s="2">
        <f ca="1">IF(Iterations[[#This Row],[Step]] =current_step, current_Grad_a,IF(Iterations[[#This Row],[Step]] &gt; current_step, "",Iterations[[#This Row],[Grad_a]]))</f>
        <v>3.5495646668890629E-2</v>
      </c>
      <c r="O546" s="2">
        <f ca="1">IF(Iterations[[#This Row],[Step]] =current_step, current_Grad_b,IF(Iterations[[#This Row],[Step]] &gt; current_step, "",Iterations[[#This Row],[Grad_b]]))</f>
        <v>6.16340452905202E-3</v>
      </c>
      <c r="P546" s="2">
        <f ca="1">IF(Iterations[[#This Row],[Step]] =current_step, current_Grad_c,IF(Iterations[[#This Row],[Step]] &gt; current_step, "",Iterations[[#This Row],[Grad_c]]))</f>
        <v>-9.9574674130030766E-2</v>
      </c>
      <c r="Q546" s="2">
        <f ca="1">IF(Iterations[[#This Row],[Step]] =current_step, current_Grad_d,IF(Iterations[[#This Row],[Step]] &gt; current_step, "",Iterations[[#This Row],[Grad_d]]))</f>
        <v>-5.6292107839469308E-3</v>
      </c>
      <c r="R546" s="2">
        <f ca="1">IF(Iterations[[#This Row],[Step]] =current_step, current_Grad_e,IF(Iterations[[#This Row],[Step]] &gt; current_step, "",Iterations[[#This Row],[Grad_e]]))</f>
        <v>3.5511952909011074E-2</v>
      </c>
    </row>
    <row r="547" spans="6:18" x14ac:dyDescent="0.3">
      <c r="F547" s="2">
        <f t="shared" si="10"/>
        <v>530</v>
      </c>
      <c r="G547" s="2">
        <f ca="1">IF(Iterations[[#This Row],[Step]] =current_step, current_a,IF(Iterations[[#This Row],[Step]] &gt; current_step, "",Iterations[[#This Row],[a]]))</f>
        <v>-6.9458628002428959</v>
      </c>
      <c r="H547" s="2">
        <f ca="1">IF(Iterations[[#This Row],[Step]] =current_step, current_b,IF(Iterations[[#This Row],[Step]] &gt; current_step, "",Iterations[[#This Row],[b]]))</f>
        <v>0.40544525608558601</v>
      </c>
      <c r="I547" s="2">
        <f ca="1">IF(Iterations[[#This Row],[Step]] =current_step, current_c,IF(Iterations[[#This Row],[Step]] &gt; current_step, "",Iterations[[#This Row],[c]]))</f>
        <v>20.320504432589427</v>
      </c>
      <c r="J547" s="2">
        <f ca="1">IF(Iterations[[#This Row],[Step]] =current_step, current_d,IF(Iterations[[#This Row],[Step]] &gt; current_step, "",Iterations[[#This Row],[d]]))</f>
        <v>1.1524629275712222</v>
      </c>
      <c r="K547" s="2">
        <f ca="1">IF(Iterations[[#This Row],[Step]] =current_step, current_e,IF(Iterations[[#This Row],[Step]] &gt; current_step, "",Iterations[[#This Row],[e]]))</f>
        <v>11.63432067764999</v>
      </c>
      <c r="L547" s="2">
        <f ca="1">IF(Iterations[[#This Row],[Step]] =current_step, current_Total_Loss,IF(Iterations[[#This Row],[Step]] &gt; current_step, "",Iterations[[#This Row],[Total Loss]]))</f>
        <v>91.58</v>
      </c>
      <c r="M547" s="6" t="s">
        <v>27</v>
      </c>
      <c r="N547" s="2">
        <f ca="1">IF(Iterations[[#This Row],[Step]] =current_step, current_Grad_a,IF(Iterations[[#This Row],[Step]] &gt; current_step, "",Iterations[[#This Row],[Grad_a]]))</f>
        <v>3.5255448307744013E-2</v>
      </c>
      <c r="O547" s="2">
        <f ca="1">IF(Iterations[[#This Row],[Step]] =current_step, current_Grad_b,IF(Iterations[[#This Row],[Step]] &gt; current_step, "",Iterations[[#This Row],[Grad_b]]))</f>
        <v>6.1219991284205905E-3</v>
      </c>
      <c r="P547" s="2">
        <f ca="1">IF(Iterations[[#This Row],[Step]] =current_step, current_Grad_c,IF(Iterations[[#This Row],[Step]] &gt; current_step, "",Iterations[[#This Row],[Grad_c]]))</f>
        <v>-9.8900794169681658E-2</v>
      </c>
      <c r="Q547" s="2">
        <f ca="1">IF(Iterations[[#This Row],[Step]] =current_step, current_Grad_d,IF(Iterations[[#This Row],[Step]] &gt; current_step, "",Iterations[[#This Row],[Grad_d]]))</f>
        <v>-5.5917589344338285E-3</v>
      </c>
      <c r="R547" s="2">
        <f ca="1">IF(Iterations[[#This Row],[Step]] =current_step, current_Grad_e,IF(Iterations[[#This Row],[Step]] &gt; current_step, "",Iterations[[#This Row],[Grad_e]]))</f>
        <v>3.527161371339381E-2</v>
      </c>
    </row>
    <row r="548" spans="6:18" x14ac:dyDescent="0.3">
      <c r="F548" s="2">
        <f t="shared" si="10"/>
        <v>531</v>
      </c>
      <c r="G548" s="2">
        <f ca="1">IF(Iterations[[#This Row],[Step]] =current_step, current_a,IF(Iterations[[#This Row],[Step]] &gt; current_step, "",Iterations[[#This Row],[a]]))</f>
        <v>-6.9483306816244381</v>
      </c>
      <c r="H548" s="2">
        <f ca="1">IF(Iterations[[#This Row],[Step]] =current_step, current_b,IF(Iterations[[#This Row],[Step]] &gt; current_step, "",Iterations[[#This Row],[b]]))</f>
        <v>0.40501671614659657</v>
      </c>
      <c r="I548" s="2">
        <f ca="1">IF(Iterations[[#This Row],[Step]] =current_step, current_c,IF(Iterations[[#This Row],[Step]] &gt; current_step, "",Iterations[[#This Row],[c]]))</f>
        <v>20.327427488181304</v>
      </c>
      <c r="J548" s="2">
        <f ca="1">IF(Iterations[[#This Row],[Step]] =current_step, current_d,IF(Iterations[[#This Row],[Step]] &gt; current_step, "",Iterations[[#This Row],[d]]))</f>
        <v>1.1528543506966324</v>
      </c>
      <c r="K548" s="2">
        <f ca="1">IF(Iterations[[#This Row],[Step]] =current_step, current_e,IF(Iterations[[#This Row],[Step]] &gt; current_step, "",Iterations[[#This Row],[e]]))</f>
        <v>11.631851664690053</v>
      </c>
      <c r="L548" s="2">
        <f ca="1">IF(Iterations[[#This Row],[Step]] =current_step, current_Total_Loss,IF(Iterations[[#This Row],[Step]] &gt; current_step, "",Iterations[[#This Row],[Total Loss]]))</f>
        <v>91.56</v>
      </c>
      <c r="M548" s="6" t="s">
        <v>27</v>
      </c>
      <c r="N548" s="2">
        <f ca="1">IF(Iterations[[#This Row],[Step]] =current_step, current_Grad_a,IF(Iterations[[#This Row],[Step]] &gt; current_step, "",Iterations[[#This Row],[Grad_a]]))</f>
        <v>3.5016875315806821E-2</v>
      </c>
      <c r="O548" s="2">
        <f ca="1">IF(Iterations[[#This Row],[Step]] =current_step, current_Grad_b,IF(Iterations[[#This Row],[Step]] &gt; current_step, "",Iterations[[#This Row],[Grad_b]]))</f>
        <v>6.0808685226419711E-3</v>
      </c>
      <c r="P548" s="2">
        <f ca="1">IF(Iterations[[#This Row],[Step]] =current_step, current_Grad_c,IF(Iterations[[#This Row],[Step]] &gt; current_step, "",Iterations[[#This Row],[Grad_c]]))</f>
        <v>-9.8231475276210997E-2</v>
      </c>
      <c r="Q548" s="2">
        <f ca="1">IF(Iterations[[#This Row],[Step]] =current_step, current_Grad_d,IF(Iterations[[#This Row],[Step]] &gt; current_step, "",Iterations[[#This Row],[Grad_d]]))</f>
        <v>-5.5545490913828559E-3</v>
      </c>
      <c r="R548" s="2">
        <f ca="1">IF(Iterations[[#This Row],[Step]] =current_step, current_Grad_e,IF(Iterations[[#This Row],[Step]] &gt; current_step, "",Iterations[[#This Row],[Grad_e]]))</f>
        <v>3.5032901383370486E-2</v>
      </c>
    </row>
    <row r="549" spans="6:18" x14ac:dyDescent="0.3">
      <c r="F549" s="2">
        <f t="shared" si="10"/>
        <v>532</v>
      </c>
      <c r="G549" s="2">
        <f ca="1">IF(Iterations[[#This Row],[Step]] =current_step, current_a,IF(Iterations[[#This Row],[Step]] &gt; current_step, "",Iterations[[#This Row],[a]]))</f>
        <v>-6.9507818628965445</v>
      </c>
      <c r="H549" s="2">
        <f ca="1">IF(Iterations[[#This Row],[Step]] =current_step, current_b,IF(Iterations[[#This Row],[Step]] &gt; current_step, "",Iterations[[#This Row],[b]]))</f>
        <v>0.40459105535001161</v>
      </c>
      <c r="I549" s="2">
        <f ca="1">IF(Iterations[[#This Row],[Step]] =current_step, current_c,IF(Iterations[[#This Row],[Step]] &gt; current_step, "",Iterations[[#This Row],[c]]))</f>
        <v>20.334303691450639</v>
      </c>
      <c r="J549" s="2">
        <f ca="1">IF(Iterations[[#This Row],[Step]] =current_step, current_d,IF(Iterations[[#This Row],[Step]] &gt; current_step, "",Iterations[[#This Row],[d]]))</f>
        <v>1.1532431691330292</v>
      </c>
      <c r="K549" s="2">
        <f ca="1">IF(Iterations[[#This Row],[Step]] =current_step, current_e,IF(Iterations[[#This Row],[Step]] &gt; current_step, "",Iterations[[#This Row],[e]]))</f>
        <v>11.629399361593217</v>
      </c>
      <c r="L549" s="2">
        <f ca="1">IF(Iterations[[#This Row],[Step]] =current_step, current_Total_Loss,IF(Iterations[[#This Row],[Step]] &gt; current_step, "",Iterations[[#This Row],[Total Loss]]))</f>
        <v>91.54</v>
      </c>
      <c r="M549" s="6" t="s">
        <v>27</v>
      </c>
      <c r="N549" s="2">
        <f ca="1">IF(Iterations[[#This Row],[Step]] =current_step, current_Grad_a,IF(Iterations[[#This Row],[Step]] &gt; current_step, "",Iterations[[#This Row],[Grad_a]]))</f>
        <v>3.4779916695469412E-2</v>
      </c>
      <c r="O549" s="2">
        <f ca="1">IF(Iterations[[#This Row],[Step]] =current_step, current_Grad_b,IF(Iterations[[#This Row],[Step]] &gt; current_step, "",Iterations[[#This Row],[Grad_b]]))</f>
        <v>6.0400109484095082E-3</v>
      </c>
      <c r="P549" s="2">
        <f ca="1">IF(Iterations[[#This Row],[Step]] =current_step, current_Grad_c,IF(Iterations[[#This Row],[Step]] &gt; current_step, "",Iterations[[#This Row],[Grad_c]]))</f>
        <v>-9.7566686569221767E-2</v>
      </c>
      <c r="Q549" s="2">
        <f ca="1">IF(Iterations[[#This Row],[Step]] =current_step, current_Grad_d,IF(Iterations[[#This Row],[Step]] &gt; current_step, "",Iterations[[#This Row],[Grad_d]]))</f>
        <v>-5.5175798208624595E-3</v>
      </c>
      <c r="R549" s="2">
        <f ca="1">IF(Iterations[[#This Row],[Step]] =current_step, current_Grad_e,IF(Iterations[[#This Row],[Step]] &gt; current_step, "",Iterations[[#This Row],[Grad_e]]))</f>
        <v>3.4795804901490354E-2</v>
      </c>
    </row>
    <row r="550" spans="6:18" x14ac:dyDescent="0.3">
      <c r="F550" s="2">
        <f t="shared" si="10"/>
        <v>533</v>
      </c>
      <c r="G550" s="2">
        <f ca="1">IF(Iterations[[#This Row],[Step]] =current_step, current_a,IF(Iterations[[#This Row],[Step]] &gt; current_step, "",Iterations[[#This Row],[a]]))</f>
        <v>-6.9532164570652277</v>
      </c>
      <c r="H550" s="2">
        <f ca="1">IF(Iterations[[#This Row],[Step]] =current_step, current_b,IF(Iterations[[#This Row],[Step]] &gt; current_step, "",Iterations[[#This Row],[b]]))</f>
        <v>0.40416825458362293</v>
      </c>
      <c r="I550" s="2">
        <f ca="1">IF(Iterations[[#This Row],[Step]] =current_step, current_c,IF(Iterations[[#This Row],[Step]] &gt; current_step, "",Iterations[[#This Row],[c]]))</f>
        <v>20.341133359510486</v>
      </c>
      <c r="J550" s="2">
        <f ca="1">IF(Iterations[[#This Row],[Step]] =current_step, current_d,IF(Iterations[[#This Row],[Step]] &gt; current_step, "",Iterations[[#This Row],[d]]))</f>
        <v>1.1536293997204896</v>
      </c>
      <c r="K550" s="2">
        <f ca="1">IF(Iterations[[#This Row],[Step]] =current_step, current_e,IF(Iterations[[#This Row],[Step]] &gt; current_step, "",Iterations[[#This Row],[e]]))</f>
        <v>11.626963655250112</v>
      </c>
      <c r="L550" s="2">
        <f ca="1">IF(Iterations[[#This Row],[Step]] =current_step, current_Total_Loss,IF(Iterations[[#This Row],[Step]] &gt; current_step, "",Iterations[[#This Row],[Total Loss]]))</f>
        <v>91.53</v>
      </c>
      <c r="M550" s="6" t="s">
        <v>27</v>
      </c>
      <c r="N550" s="2">
        <f ca="1">IF(Iterations[[#This Row],[Step]] =current_step, current_Grad_a,IF(Iterations[[#This Row],[Step]] &gt; current_step, "",Iterations[[#This Row],[Grad_a]]))</f>
        <v>3.4544561523388057E-2</v>
      </c>
      <c r="O550" s="2">
        <f ca="1">IF(Iterations[[#This Row],[Step]] =current_step, current_Grad_b,IF(Iterations[[#This Row],[Step]] &gt; current_step, "",Iterations[[#This Row],[Grad_b]]))</f>
        <v>5.9994246525936273E-3</v>
      </c>
      <c r="P550" s="2">
        <f ca="1">IF(Iterations[[#This Row],[Step]] =current_step, current_Grad_c,IF(Iterations[[#This Row],[Step]] &gt; current_step, "",Iterations[[#This Row],[Grad_c]]))</f>
        <v>-9.6906397377615805E-2</v>
      </c>
      <c r="Q550" s="2">
        <f ca="1">IF(Iterations[[#This Row],[Step]] =current_step, current_Grad_d,IF(Iterations[[#This Row],[Step]] &gt; current_step, "",Iterations[[#This Row],[Grad_d]]))</f>
        <v>-5.4808496950397058E-3</v>
      </c>
      <c r="R550" s="2">
        <f ca="1">IF(Iterations[[#This Row],[Step]] =current_step, current_Grad_e,IF(Iterations[[#This Row],[Step]] &gt; current_step, "",Iterations[[#This Row],[Grad_e]]))</f>
        <v>3.4560313324980801E-2</v>
      </c>
    </row>
    <row r="551" spans="6:18" x14ac:dyDescent="0.3">
      <c r="F551" s="2">
        <f t="shared" si="10"/>
        <v>534</v>
      </c>
      <c r="G551" s="2">
        <f ca="1">IF(Iterations[[#This Row],[Step]] =current_step, current_a,IF(Iterations[[#This Row],[Step]] &gt; current_step, "",Iterations[[#This Row],[a]]))</f>
        <v>-6.9556345763718648</v>
      </c>
      <c r="H551" s="2">
        <f ca="1">IF(Iterations[[#This Row],[Step]] =current_step, current_b,IF(Iterations[[#This Row],[Step]] &gt; current_step, "",Iterations[[#This Row],[b]]))</f>
        <v>0.40374829485794139</v>
      </c>
      <c r="I551" s="2">
        <f ca="1">IF(Iterations[[#This Row],[Step]] =current_step, current_c,IF(Iterations[[#This Row],[Step]] &gt; current_step, "",Iterations[[#This Row],[c]]))</f>
        <v>20.347916807326918</v>
      </c>
      <c r="J551" s="2">
        <f ca="1">IF(Iterations[[#This Row],[Step]] =current_step, current_d,IF(Iterations[[#This Row],[Step]] &gt; current_step, "",Iterations[[#This Row],[d]]))</f>
        <v>1.1540130591991424</v>
      </c>
      <c r="K551" s="2">
        <f ca="1">IF(Iterations[[#This Row],[Step]] =current_step, current_e,IF(Iterations[[#This Row],[Step]] &gt; current_step, "",Iterations[[#This Row],[e]]))</f>
        <v>11.624544433317363</v>
      </c>
      <c r="L551" s="2">
        <f ca="1">IF(Iterations[[#This Row],[Step]] =current_step, current_Total_Loss,IF(Iterations[[#This Row],[Step]] &gt; current_step, "",Iterations[[#This Row],[Total Loss]]))</f>
        <v>91.51</v>
      </c>
      <c r="M551" s="6" t="s">
        <v>27</v>
      </c>
      <c r="N551" s="2">
        <f ca="1">IF(Iterations[[#This Row],[Step]] =current_step, current_Grad_a,IF(Iterations[[#This Row],[Step]] &gt; current_step, "",Iterations[[#This Row],[Grad_a]]))</f>
        <v>3.4310798950336001E-2</v>
      </c>
      <c r="O551" s="2">
        <f ca="1">IF(Iterations[[#This Row],[Step]] =current_step, current_Grad_b,IF(Iterations[[#This Row],[Step]] &gt; current_step, "",Iterations[[#This Row],[Grad_b]]))</f>
        <v>5.9591078922390673E-3</v>
      </c>
      <c r="P551" s="2">
        <f ca="1">IF(Iterations[[#This Row],[Step]] =current_step, current_Grad_c,IF(Iterations[[#This Row],[Step]] &gt; current_step, "",Iterations[[#This Row],[Grad_c]]))</f>
        <v>-9.625057723802348E-2</v>
      </c>
      <c r="Q551" s="2">
        <f ca="1">IF(Iterations[[#This Row],[Step]] =current_step, current_Grad_d,IF(Iterations[[#This Row],[Step]] &gt; current_step, "",Iterations[[#This Row],[Grad_d]]))</f>
        <v>-5.444357292170925E-3</v>
      </c>
      <c r="R551" s="2">
        <f ca="1">IF(Iterations[[#This Row],[Step]] =current_step, current_Grad_e,IF(Iterations[[#This Row],[Step]] &gt; current_step, "",Iterations[[#This Row],[Grad_e]]))</f>
        <v>3.4326415785305625E-2</v>
      </c>
    </row>
    <row r="552" spans="6:18" x14ac:dyDescent="0.3">
      <c r="F552" s="2">
        <f t="shared" si="10"/>
        <v>535</v>
      </c>
      <c r="G552" s="2">
        <f ca="1">IF(Iterations[[#This Row],[Step]] =current_step, current_a,IF(Iterations[[#This Row],[Step]] &gt; current_step, "",Iterations[[#This Row],[a]]))</f>
        <v>-6.9580363322983887</v>
      </c>
      <c r="H552" s="2">
        <f ca="1">IF(Iterations[[#This Row],[Step]] =current_step, current_b,IF(Iterations[[#This Row],[Step]] &gt; current_step, "",Iterations[[#This Row],[b]]))</f>
        <v>0.40333115730548463</v>
      </c>
      <c r="I552" s="2">
        <f ca="1">IF(Iterations[[#This Row],[Step]] =current_step, current_c,IF(Iterations[[#This Row],[Step]] &gt; current_step, "",Iterations[[#This Row],[c]]))</f>
        <v>20.354654347733579</v>
      </c>
      <c r="J552" s="2">
        <f ca="1">IF(Iterations[[#This Row],[Step]] =current_step, current_d,IF(Iterations[[#This Row],[Step]] &gt; current_step, "",Iterations[[#This Row],[d]]))</f>
        <v>1.1543941642095943</v>
      </c>
      <c r="K552" s="2">
        <f ca="1">IF(Iterations[[#This Row],[Step]] =current_step, current_e,IF(Iterations[[#This Row],[Step]] &gt; current_step, "",Iterations[[#This Row],[e]]))</f>
        <v>11.622141584212391</v>
      </c>
      <c r="L552" s="2">
        <f ca="1">IF(Iterations[[#This Row],[Step]] =current_step, current_Total_Loss,IF(Iterations[[#This Row],[Step]] &gt; current_step, "",Iterations[[#This Row],[Total Loss]]))</f>
        <v>91.5</v>
      </c>
      <c r="M552" s="6" t="s">
        <v>27</v>
      </c>
      <c r="N552" s="2">
        <f ca="1">IF(Iterations[[#This Row],[Step]] =current_step, current_Grad_a,IF(Iterations[[#This Row],[Step]] &gt; current_step, "",Iterations[[#This Row],[Grad_a]]))</f>
        <v>3.4078618200203033E-2</v>
      </c>
      <c r="O552" s="2">
        <f ca="1">IF(Iterations[[#This Row],[Step]] =current_step, current_Grad_b,IF(Iterations[[#This Row],[Step]] &gt; current_step, "",Iterations[[#This Row],[Grad_b]]))</f>
        <v>5.9190589345659884E-3</v>
      </c>
      <c r="P552" s="2">
        <f ca="1">IF(Iterations[[#This Row],[Step]] =current_step, current_Grad_c,IF(Iterations[[#This Row],[Step]] &gt; current_step, "",Iterations[[#This Row],[Grad_c]]))</f>
        <v>-9.5599195893595529E-2</v>
      </c>
      <c r="Q552" s="2">
        <f ca="1">IF(Iterations[[#This Row],[Step]] =current_step, current_Grad_d,IF(Iterations[[#This Row],[Step]] &gt; current_step, "",Iterations[[#This Row],[Grad_d]]))</f>
        <v>-5.4081011966220166E-3</v>
      </c>
      <c r="R552" s="2">
        <f ca="1">IF(Iterations[[#This Row],[Step]] =current_step, current_Grad_e,IF(Iterations[[#This Row],[Step]] &gt; current_step, "",Iterations[[#This Row],[Grad_e]]))</f>
        <v>3.4094101487571353E-2</v>
      </c>
    </row>
    <row r="553" spans="6:18" x14ac:dyDescent="0.3">
      <c r="F553" s="2">
        <f t="shared" si="10"/>
        <v>536</v>
      </c>
      <c r="G553" s="2">
        <f ca="1">IF(Iterations[[#This Row],[Step]] =current_step, current_a,IF(Iterations[[#This Row],[Step]] &gt; current_step, "",Iterations[[#This Row],[a]]))</f>
        <v>-6.9604218355724026</v>
      </c>
      <c r="H553" s="2">
        <f ca="1">IF(Iterations[[#This Row],[Step]] =current_step, current_b,IF(Iterations[[#This Row],[Step]] &gt; current_step, "",Iterations[[#This Row],[b]]))</f>
        <v>0.402916823180065</v>
      </c>
      <c r="I553" s="2">
        <f ca="1">IF(Iterations[[#This Row],[Step]] =current_step, current_c,IF(Iterations[[#This Row],[Step]] &gt; current_step, "",Iterations[[#This Row],[c]]))</f>
        <v>20.361346291446132</v>
      </c>
      <c r="J553" s="2">
        <f ca="1">IF(Iterations[[#This Row],[Step]] =current_step, current_d,IF(Iterations[[#This Row],[Step]] &gt; current_step, "",Iterations[[#This Row],[d]]))</f>
        <v>1.1547727312933578</v>
      </c>
      <c r="K553" s="2">
        <f ca="1">IF(Iterations[[#This Row],[Step]] =current_step, current_e,IF(Iterations[[#This Row],[Step]] &gt; current_step, "",Iterations[[#This Row],[e]]))</f>
        <v>11.619754997108261</v>
      </c>
      <c r="L553" s="2">
        <f ca="1">IF(Iterations[[#This Row],[Step]] =current_step, current_Total_Loss,IF(Iterations[[#This Row],[Step]] &gt; current_step, "",Iterations[[#This Row],[Total Loss]]))</f>
        <v>91.49</v>
      </c>
      <c r="M553" s="6" t="s">
        <v>27</v>
      </c>
      <c r="N553" s="2">
        <f ca="1">IF(Iterations[[#This Row],[Step]] =current_step, current_Grad_a,IF(Iterations[[#This Row],[Step]] &gt; current_step, "",Iterations[[#This Row],[Grad_a]]))</f>
        <v>3.3848008570095872E-2</v>
      </c>
      <c r="O553" s="2">
        <f ca="1">IF(Iterations[[#This Row],[Step]] =current_step, current_Grad_b,IF(Iterations[[#This Row],[Step]] &gt; current_step, "",Iterations[[#This Row],[Grad_b]]))</f>
        <v>5.8792760568725016E-3</v>
      </c>
      <c r="P553" s="2">
        <f ca="1">IF(Iterations[[#This Row],[Step]] =current_step, current_Grad_c,IF(Iterations[[#This Row],[Step]] &gt; current_step, "",Iterations[[#This Row],[Grad_c]]))</f>
        <v>-9.4952223292359361E-2</v>
      </c>
      <c r="Q553" s="2">
        <f ca="1">IF(Iterations[[#This Row],[Step]] =current_step, current_Grad_d,IF(Iterations[[#This Row],[Step]] &gt; current_step, "",Iterations[[#This Row],[Grad_d]]))</f>
        <v>-5.3720799989021946E-3</v>
      </c>
      <c r="R553" s="2">
        <f ca="1">IF(Iterations[[#This Row],[Step]] =current_step, current_Grad_e,IF(Iterations[[#This Row],[Step]] &gt; current_step, "",Iterations[[#This Row],[Grad_e]]))</f>
        <v>3.3863359710134273E-2</v>
      </c>
    </row>
    <row r="554" spans="6:18" x14ac:dyDescent="0.3">
      <c r="F554" s="2">
        <f t="shared" si="10"/>
        <v>537</v>
      </c>
      <c r="G554" s="2">
        <f ca="1">IF(Iterations[[#This Row],[Step]] =current_step, current_a,IF(Iterations[[#This Row],[Step]] &gt; current_step, "",Iterations[[#This Row],[a]]))</f>
        <v>-6.9627911961723097</v>
      </c>
      <c r="H554" s="2">
        <f ca="1">IF(Iterations[[#This Row],[Step]] =current_step, current_b,IF(Iterations[[#This Row],[Step]] &gt; current_step, "",Iterations[[#This Row],[b]]))</f>
        <v>0.40250527385608392</v>
      </c>
      <c r="I554" s="2">
        <f ca="1">IF(Iterations[[#This Row],[Step]] =current_step, current_c,IF(Iterations[[#This Row],[Step]] &gt; current_step, "",Iterations[[#This Row],[c]]))</f>
        <v>20.367992947076598</v>
      </c>
      <c r="J554" s="2">
        <f ca="1">IF(Iterations[[#This Row],[Step]] =current_step, current_d,IF(Iterations[[#This Row],[Step]] &gt; current_step, "",Iterations[[#This Row],[d]]))</f>
        <v>1.1551487768932809</v>
      </c>
      <c r="K554" s="2">
        <f ca="1">IF(Iterations[[#This Row],[Step]] =current_step, current_e,IF(Iterations[[#This Row],[Step]] &gt; current_step, "",Iterations[[#This Row],[e]]))</f>
        <v>11.617384561928551</v>
      </c>
      <c r="L554" s="2">
        <f ca="1">IF(Iterations[[#This Row],[Step]] =current_step, current_Total_Loss,IF(Iterations[[#This Row],[Step]] &gt; current_step, "",Iterations[[#This Row],[Total Loss]]))</f>
        <v>91.47</v>
      </c>
      <c r="M554" s="6" t="s">
        <v>27</v>
      </c>
      <c r="N554" s="2">
        <f ca="1">IF(Iterations[[#This Row],[Step]] =current_step, current_Grad_a,IF(Iterations[[#This Row],[Step]] &gt; current_step, "",Iterations[[#This Row],[Grad_a]]))</f>
        <v>3.3618959429148138E-2</v>
      </c>
      <c r="O554" s="2">
        <f ca="1">IF(Iterations[[#This Row],[Step]] =current_step, current_Grad_b,IF(Iterations[[#This Row],[Step]] &gt; current_step, "",Iterations[[#This Row],[Grad_b]]))</f>
        <v>5.8397575465329067E-3</v>
      </c>
      <c r="P554" s="2">
        <f ca="1">IF(Iterations[[#This Row],[Step]] =current_step, current_Grad_c,IF(Iterations[[#This Row],[Step]] &gt; current_step, "",Iterations[[#This Row],[Grad_c]]))</f>
        <v>-9.4309629586119881E-2</v>
      </c>
      <c r="Q554" s="2">
        <f ca="1">IF(Iterations[[#This Row],[Step]] =current_step, current_Grad_d,IF(Iterations[[#This Row],[Step]] &gt; current_step, "",Iterations[[#This Row],[Grad_d]]))</f>
        <v>-5.3362922956797076E-3</v>
      </c>
      <c r="R554" s="2">
        <f ca="1">IF(Iterations[[#This Row],[Step]] =current_step, current_Grad_e,IF(Iterations[[#This Row],[Step]] &gt; current_step, "",Iterations[[#This Row],[Grad_e]]))</f>
        <v>3.363417980396418E-2</v>
      </c>
    </row>
    <row r="555" spans="6:18" x14ac:dyDescent="0.3">
      <c r="F555" s="2">
        <f t="shared" si="10"/>
        <v>538</v>
      </c>
      <c r="G555" s="2">
        <f ca="1">IF(Iterations[[#This Row],[Step]] =current_step, current_a,IF(Iterations[[#This Row],[Step]] &gt; current_step, "",Iterations[[#This Row],[a]]))</f>
        <v>-6.9651445233323503</v>
      </c>
      <c r="H555" s="2">
        <f ca="1">IF(Iterations[[#This Row],[Step]] =current_step, current_b,IF(Iterations[[#This Row],[Step]] &gt; current_step, "",Iterations[[#This Row],[b]]))</f>
        <v>0.40209649082782661</v>
      </c>
      <c r="I555" s="2">
        <f ca="1">IF(Iterations[[#This Row],[Step]] =current_step, current_c,IF(Iterations[[#This Row],[Step]] &gt; current_step, "",Iterations[[#This Row],[c]]))</f>
        <v>20.374594621147626</v>
      </c>
      <c r="J555" s="2">
        <f ca="1">IF(Iterations[[#This Row],[Step]] =current_step, current_d,IF(Iterations[[#This Row],[Step]] &gt; current_step, "",Iterations[[#This Row],[d]]))</f>
        <v>1.1555223173539784</v>
      </c>
      <c r="K555" s="2">
        <f ca="1">IF(Iterations[[#This Row],[Step]] =current_step, current_e,IF(Iterations[[#This Row],[Step]] &gt; current_step, "",Iterations[[#This Row],[e]]))</f>
        <v>11.615030169342274</v>
      </c>
      <c r="L555" s="2">
        <f ca="1">IF(Iterations[[#This Row],[Step]] =current_step, current_Total_Loss,IF(Iterations[[#This Row],[Step]] &gt; current_step, "",Iterations[[#This Row],[Total Loss]]))</f>
        <v>91.46</v>
      </c>
      <c r="M555" s="6" t="s">
        <v>27</v>
      </c>
      <c r="N555" s="2">
        <f ca="1">IF(Iterations[[#This Row],[Step]] =current_step, current_Grad_a,IF(Iterations[[#This Row],[Step]] &gt; current_step, "",Iterations[[#This Row],[Grad_a]]))</f>
        <v>3.3391460218796798E-2</v>
      </c>
      <c r="O555" s="2">
        <f ca="1">IF(Iterations[[#This Row],[Step]] =current_step, current_Grad_b,IF(Iterations[[#This Row],[Step]] &gt; current_step, "",Iterations[[#This Row],[Grad_b]]))</f>
        <v>5.8005017009026705E-3</v>
      </c>
      <c r="P555" s="2">
        <f ca="1">IF(Iterations[[#This Row],[Step]] =current_step, current_Grad_c,IF(Iterations[[#This Row],[Step]] &gt; current_step, "",Iterations[[#This Row],[Grad_c]]))</f>
        <v>-9.3671385128748355E-2</v>
      </c>
      <c r="Q555" s="2">
        <f ca="1">IF(Iterations[[#This Row],[Step]] =current_step, current_Grad_d,IF(Iterations[[#This Row],[Step]] &gt; current_step, "",Iterations[[#This Row],[Grad_d]]))</f>
        <v>-5.3007366898110359E-3</v>
      </c>
      <c r="R555" s="2">
        <f ca="1">IF(Iterations[[#This Row],[Step]] =current_step, current_Grad_e,IF(Iterations[[#This Row],[Step]] &gt; current_step, "",Iterations[[#This Row],[Grad_e]]))</f>
        <v>3.3406551192312804E-2</v>
      </c>
    </row>
    <row r="556" spans="6:18" x14ac:dyDescent="0.3">
      <c r="F556" s="2">
        <f t="shared" si="10"/>
        <v>539</v>
      </c>
      <c r="G556" s="2">
        <f ca="1">IF(Iterations[[#This Row],[Step]] =current_step, current_a,IF(Iterations[[#This Row],[Step]] &gt; current_step, "",Iterations[[#This Row],[a]]))</f>
        <v>-6.9674819255476663</v>
      </c>
      <c r="H556" s="2">
        <f ca="1">IF(Iterations[[#This Row],[Step]] =current_step, current_b,IF(Iterations[[#This Row],[Step]] &gt; current_step, "",Iterations[[#This Row],[b]]))</f>
        <v>0.40169045570876344</v>
      </c>
      <c r="I556" s="2">
        <f ca="1">IF(Iterations[[#This Row],[Step]] =current_step, current_c,IF(Iterations[[#This Row],[Step]] &gt; current_step, "",Iterations[[#This Row],[c]]))</f>
        <v>20.381151618106639</v>
      </c>
      <c r="J556" s="2">
        <f ca="1">IF(Iterations[[#This Row],[Step]] =current_step, current_d,IF(Iterations[[#This Row],[Step]] &gt; current_step, "",Iterations[[#This Row],[d]]))</f>
        <v>1.1558933689222652</v>
      </c>
      <c r="K556" s="2">
        <f ca="1">IF(Iterations[[#This Row],[Step]] =current_step, current_e,IF(Iterations[[#This Row],[Step]] &gt; current_step, "",Iterations[[#This Row],[e]]))</f>
        <v>11.612691710758812</v>
      </c>
      <c r="L556" s="2">
        <f ca="1">IF(Iterations[[#This Row],[Step]] =current_step, current_Total_Loss,IF(Iterations[[#This Row],[Step]] &gt; current_step, "",Iterations[[#This Row],[Total Loss]]))</f>
        <v>91.44</v>
      </c>
      <c r="M556" s="6" t="s">
        <v>27</v>
      </c>
      <c r="N556" s="2">
        <f ca="1">IF(Iterations[[#This Row],[Step]] =current_step, current_Grad_a,IF(Iterations[[#This Row],[Step]] &gt; current_step, "",Iterations[[#This Row],[Grad_a]]))</f>
        <v>3.3165500451647047E-2</v>
      </c>
      <c r="O556" s="2">
        <f ca="1">IF(Iterations[[#This Row],[Step]] =current_step, current_Grad_b,IF(Iterations[[#This Row],[Step]] &gt; current_step, "",Iterations[[#This Row],[Grad_b]]))</f>
        <v>5.7615068273977089E-3</v>
      </c>
      <c r="P556" s="2">
        <f ca="1">IF(Iterations[[#This Row],[Step]] =current_step, current_Grad_c,IF(Iterations[[#This Row],[Step]] &gt; current_step, "",Iterations[[#This Row],[Grad_c]]))</f>
        <v>-9.3037460475090095E-2</v>
      </c>
      <c r="Q556" s="2">
        <f ca="1">IF(Iterations[[#This Row],[Step]] =current_step, current_Grad_d,IF(Iterations[[#This Row],[Step]] &gt; current_step, "",Iterations[[#This Row],[Grad_d]]))</f>
        <v>-5.2654117903177351E-3</v>
      </c>
      <c r="R556" s="2">
        <f ca="1">IF(Iterations[[#This Row],[Step]] =current_step, current_Grad_e,IF(Iterations[[#This Row],[Step]] &gt; current_step, "",Iterations[[#This Row],[Grad_e]]))</f>
        <v>3.3180463370078767E-2</v>
      </c>
    </row>
    <row r="557" spans="6:18" x14ac:dyDescent="0.3">
      <c r="F557" s="2">
        <f t="shared" si="10"/>
        <v>540</v>
      </c>
      <c r="G557" s="2">
        <f ca="1">IF(Iterations[[#This Row],[Step]] =current_step, current_a,IF(Iterations[[#This Row],[Step]] &gt; current_step, "",Iterations[[#This Row],[a]]))</f>
        <v>-6.9698035105792817</v>
      </c>
      <c r="H557" s="2">
        <f ca="1">IF(Iterations[[#This Row],[Step]] =current_step, current_b,IF(Iterations[[#This Row],[Step]] &gt; current_step, "",Iterations[[#This Row],[b]]))</f>
        <v>0.4012871502308456</v>
      </c>
      <c r="I557" s="2">
        <f ca="1">IF(Iterations[[#This Row],[Step]] =current_step, current_c,IF(Iterations[[#This Row],[Step]] &gt; current_step, "",Iterations[[#This Row],[c]]))</f>
        <v>20.387664240339895</v>
      </c>
      <c r="J557" s="2">
        <f ca="1">IF(Iterations[[#This Row],[Step]] =current_step, current_d,IF(Iterations[[#This Row],[Step]] &gt; current_step, "",Iterations[[#This Row],[d]]))</f>
        <v>1.1562619477475875</v>
      </c>
      <c r="K557" s="2">
        <f ca="1">IF(Iterations[[#This Row],[Step]] =current_step, current_e,IF(Iterations[[#This Row],[Step]] &gt; current_step, "",Iterations[[#This Row],[e]]))</f>
        <v>11.610369078322906</v>
      </c>
      <c r="L557" s="2">
        <f ca="1">IF(Iterations[[#This Row],[Step]] =current_step, current_Total_Loss,IF(Iterations[[#This Row],[Step]] &gt; current_step, "",Iterations[[#This Row],[Total Loss]]))</f>
        <v>91.43</v>
      </c>
      <c r="M557" s="6" t="s">
        <v>27</v>
      </c>
      <c r="N557" s="2">
        <f ca="1">IF(Iterations[[#This Row],[Step]] =current_step, current_Grad_a,IF(Iterations[[#This Row],[Step]] &gt; current_step, "",Iterations[[#This Row],[Grad_a]]))</f>
        <v>3.2941069711316134E-2</v>
      </c>
      <c r="O557" s="2">
        <f ca="1">IF(Iterations[[#This Row],[Step]] =current_step, current_Grad_b,IF(Iterations[[#This Row],[Step]] &gt; current_step, "",Iterations[[#This Row],[Grad_b]]))</f>
        <v>5.7227712432951711E-3</v>
      </c>
      <c r="P557" s="2">
        <f ca="1">IF(Iterations[[#This Row],[Step]] =current_step, current_Grad_c,IF(Iterations[[#This Row],[Step]] &gt; current_step, "",Iterations[[#This Row],[Grad_c]]))</f>
        <v>-9.2407826379457561E-2</v>
      </c>
      <c r="Q557" s="2">
        <f ca="1">IF(Iterations[[#This Row],[Step]] =current_step, current_Grad_d,IF(Iterations[[#This Row],[Step]] &gt; current_step, "",Iterations[[#This Row],[Grad_d]]))</f>
        <v>-5.2303162124671026E-3</v>
      </c>
      <c r="R557" s="2">
        <f ca="1">IF(Iterations[[#This Row],[Step]] =current_step, current_Grad_e,IF(Iterations[[#This Row],[Step]] &gt; current_step, "",Iterations[[#This Row],[Grad_e]]))</f>
        <v>3.2955905903400286E-2</v>
      </c>
    </row>
    <row r="558" spans="6:18" x14ac:dyDescent="0.3">
      <c r="F558" s="2">
        <f t="shared" si="10"/>
        <v>541</v>
      </c>
      <c r="G558" s="2">
        <f ca="1">IF(Iterations[[#This Row],[Step]] =current_step, current_a,IF(Iterations[[#This Row],[Step]] &gt; current_step, "",Iterations[[#This Row],[a]]))</f>
        <v>-6.9721093854590741</v>
      </c>
      <c r="H558" s="2">
        <f ca="1">IF(Iterations[[#This Row],[Step]] =current_step, current_b,IF(Iterations[[#This Row],[Step]] &gt; current_step, "",Iterations[[#This Row],[b]]))</f>
        <v>0.40088655624381492</v>
      </c>
      <c r="I558" s="2">
        <f ca="1">IF(Iterations[[#This Row],[Step]] =current_step, current_c,IF(Iterations[[#This Row],[Step]] &gt; current_step, "",Iterations[[#This Row],[c]]))</f>
        <v>20.394132788186457</v>
      </c>
      <c r="J558" s="2">
        <f ca="1">IF(Iterations[[#This Row],[Step]] =current_step, current_d,IF(Iterations[[#This Row],[Step]] &gt; current_step, "",Iterations[[#This Row],[d]]))</f>
        <v>1.1566280698824603</v>
      </c>
      <c r="K558" s="2">
        <f ca="1">IF(Iterations[[#This Row],[Step]] =current_step, current_e,IF(Iterations[[#This Row],[Step]] &gt; current_step, "",Iterations[[#This Row],[e]]))</f>
        <v>11.608062164909668</v>
      </c>
      <c r="L558" s="2">
        <f ca="1">IF(Iterations[[#This Row],[Step]] =current_step, current_Total_Loss,IF(Iterations[[#This Row],[Step]] &gt; current_step, "",Iterations[[#This Row],[Total Loss]]))</f>
        <v>91.42</v>
      </c>
      <c r="M558" s="6" t="s">
        <v>27</v>
      </c>
      <c r="N558" s="2">
        <f ca="1">IF(Iterations[[#This Row],[Step]] =current_step, current_Grad_a,IF(Iterations[[#This Row],[Step]] &gt; current_step, "",Iterations[[#This Row],[Grad_a]]))</f>
        <v>3.2718157651983396E-2</v>
      </c>
      <c r="O558" s="2">
        <f ca="1">IF(Iterations[[#This Row],[Step]] =current_step, current_Grad_b,IF(Iterations[[#This Row],[Step]] &gt; current_step, "",Iterations[[#This Row],[Grad_b]]))</f>
        <v>5.6842932758114856E-3</v>
      </c>
      <c r="P558" s="2">
        <f ca="1">IF(Iterations[[#This Row],[Step]] =current_step, current_Grad_c,IF(Iterations[[#This Row],[Step]] &gt; current_step, "",Iterations[[#This Row],[Grad_c]]))</f>
        <v>-9.178245379426711E-2</v>
      </c>
      <c r="Q558" s="2">
        <f ca="1">IF(Iterations[[#This Row],[Step]] =current_step, current_Grad_d,IF(Iterations[[#This Row],[Step]] &gt; current_step, "",Iterations[[#This Row],[Grad_d]]))</f>
        <v>-5.195448577735952E-3</v>
      </c>
      <c r="R558" s="2">
        <f ca="1">IF(Iterations[[#This Row],[Step]] =current_step, current_Grad_e,IF(Iterations[[#This Row],[Step]] &gt; current_step, "",Iterations[[#This Row],[Grad_e]]))</f>
        <v>3.2732868429164438E-2</v>
      </c>
    </row>
    <row r="559" spans="6:18" x14ac:dyDescent="0.3">
      <c r="F559" s="2">
        <f t="shared" si="10"/>
        <v>542</v>
      </c>
      <c r="G559" s="2">
        <f ca="1">IF(Iterations[[#This Row],[Step]] =current_step, current_a,IF(Iterations[[#This Row],[Step]] &gt; current_step, "",Iterations[[#This Row],[a]]))</f>
        <v>-6.9743996564947128</v>
      </c>
      <c r="H559" s="2">
        <f ca="1">IF(Iterations[[#This Row],[Step]] =current_step, current_b,IF(Iterations[[#This Row],[Step]] &gt; current_step, "",Iterations[[#This Row],[b]]))</f>
        <v>0.40048865571450809</v>
      </c>
      <c r="I559" s="2">
        <f ca="1">IF(Iterations[[#This Row],[Step]] =current_step, current_c,IF(Iterations[[#This Row],[Step]] &gt; current_step, "",Iterations[[#This Row],[c]]))</f>
        <v>20.400557559952055</v>
      </c>
      <c r="J559" s="2">
        <f ca="1">IF(Iterations[[#This Row],[Step]] =current_step, current_d,IF(Iterations[[#This Row],[Step]] &gt; current_step, "",Iterations[[#This Row],[d]]))</f>
        <v>1.1569917512829018</v>
      </c>
      <c r="K559" s="2">
        <f ca="1">IF(Iterations[[#This Row],[Step]] =current_step, current_e,IF(Iterations[[#This Row],[Step]] &gt; current_step, "",Iterations[[#This Row],[e]]))</f>
        <v>11.605770864119627</v>
      </c>
      <c r="L559" s="2">
        <f ca="1">IF(Iterations[[#This Row],[Step]] =current_step, current_Total_Loss,IF(Iterations[[#This Row],[Step]] &gt; current_step, "",Iterations[[#This Row],[Total Loss]]))</f>
        <v>91.4</v>
      </c>
      <c r="M559" s="6" t="s">
        <v>27</v>
      </c>
      <c r="N559" s="2">
        <f ca="1">IF(Iterations[[#This Row],[Step]] =current_step, current_Grad_a,IF(Iterations[[#This Row],[Step]] &gt; current_step, "",Iterations[[#This Row],[Grad_a]]))</f>
        <v>3.2496753997647065E-2</v>
      </c>
      <c r="O559" s="2">
        <f ca="1">IF(Iterations[[#This Row],[Step]] =current_step, current_Grad_b,IF(Iterations[[#This Row],[Step]] &gt; current_step, "",Iterations[[#This Row],[Grad_b]]))</f>
        <v>5.6460712620258879E-3</v>
      </c>
      <c r="P559" s="2">
        <f ca="1">IF(Iterations[[#This Row],[Step]] =current_step, current_Grad_c,IF(Iterations[[#This Row],[Step]] &gt; current_step, "",Iterations[[#This Row],[Grad_c]]))</f>
        <v>-9.1161313868805327E-2</v>
      </c>
      <c r="Q559" s="2">
        <f ca="1">IF(Iterations[[#This Row],[Step]] =current_step, current_Grad_d,IF(Iterations[[#This Row],[Step]] &gt; current_step, "",Iterations[[#This Row],[Grad_d]]))</f>
        <v>-5.16080751383741E-3</v>
      </c>
      <c r="R559" s="2">
        <f ca="1">IF(Iterations[[#This Row],[Step]] =current_step, current_Grad_e,IF(Iterations[[#This Row],[Step]] &gt; current_step, "",Iterations[[#This Row],[Grad_e]]))</f>
        <v>3.2511340654479547E-2</v>
      </c>
    </row>
    <row r="560" spans="6:18" x14ac:dyDescent="0.3">
      <c r="F560" s="2">
        <f t="shared" si="10"/>
        <v>543</v>
      </c>
      <c r="G560" s="2">
        <f ca="1">IF(Iterations[[#This Row],[Step]] =current_step, current_a,IF(Iterations[[#This Row],[Step]] &gt; current_step, "",Iterations[[#This Row],[a]]))</f>
        <v>-6.9766744292745484</v>
      </c>
      <c r="H560" s="2">
        <f ca="1">IF(Iterations[[#This Row],[Step]] =current_step, current_b,IF(Iterations[[#This Row],[Step]] &gt; current_step, "",Iterations[[#This Row],[b]]))</f>
        <v>0.40009343072616627</v>
      </c>
      <c r="I560" s="2">
        <f ca="1">IF(Iterations[[#This Row],[Step]] =current_step, current_c,IF(Iterations[[#This Row],[Step]] &gt; current_step, "",Iterations[[#This Row],[c]]))</f>
        <v>20.40693885192287</v>
      </c>
      <c r="J560" s="2">
        <f ca="1">IF(Iterations[[#This Row],[Step]] =current_step, current_d,IF(Iterations[[#This Row],[Step]] &gt; current_step, "",Iterations[[#This Row],[d]]))</f>
        <v>1.1573530078088703</v>
      </c>
      <c r="K560" s="2">
        <f ca="1">IF(Iterations[[#This Row],[Step]] =current_step, current_e,IF(Iterations[[#This Row],[Step]] &gt; current_step, "",Iterations[[#This Row],[e]]))</f>
        <v>11.603495070273814</v>
      </c>
      <c r="L560" s="2">
        <f ca="1">IF(Iterations[[#This Row],[Step]] =current_step, current_Total_Loss,IF(Iterations[[#This Row],[Step]] &gt; current_step, "",Iterations[[#This Row],[Total Loss]]))</f>
        <v>91.39</v>
      </c>
      <c r="M560" s="6" t="s">
        <v>27</v>
      </c>
      <c r="N560" s="2">
        <f ca="1">IF(Iterations[[#This Row],[Step]] =current_step, current_Grad_a,IF(Iterations[[#This Row],[Step]] &gt; current_step, "",Iterations[[#This Row],[Grad_a]]))</f>
        <v>3.2276848541945381E-2</v>
      </c>
      <c r="O560" s="2">
        <f ca="1">IF(Iterations[[#This Row],[Step]] =current_step, current_Grad_b,IF(Iterations[[#This Row],[Step]] &gt; current_step, "",Iterations[[#This Row],[Grad_b]]))</f>
        <v>5.6081035488441859E-3</v>
      </c>
      <c r="P560" s="2">
        <f ca="1">IF(Iterations[[#This Row],[Step]] =current_step, current_Grad_c,IF(Iterations[[#This Row],[Step]] &gt; current_step, "",Iterations[[#This Row],[Grad_c]]))</f>
        <v>-9.0544377947765348E-2</v>
      </c>
      <c r="Q560" s="2">
        <f ca="1">IF(Iterations[[#This Row],[Step]] =current_step, current_Grad_d,IF(Iterations[[#This Row],[Step]] &gt; current_step, "",Iterations[[#This Row],[Grad_d]]))</f>
        <v>-5.1263916547397608E-3</v>
      </c>
      <c r="R560" s="2">
        <f ca="1">IF(Iterations[[#This Row],[Step]] =current_step, current_Grad_e,IF(Iterations[[#This Row],[Step]] &gt; current_step, "",Iterations[[#This Row],[Grad_e]]))</f>
        <v>3.2291312356257346E-2</v>
      </c>
    </row>
    <row r="561" spans="6:18" x14ac:dyDescent="0.3">
      <c r="F561" s="2">
        <f t="shared" si="10"/>
        <v>544</v>
      </c>
      <c r="G561" s="2">
        <f ca="1">IF(Iterations[[#This Row],[Step]] =current_step, current_a,IF(Iterations[[#This Row],[Step]] &gt; current_step, "",Iterations[[#This Row],[a]]))</f>
        <v>-6.9789338086724841</v>
      </c>
      <c r="H561" s="2">
        <f ca="1">IF(Iterations[[#This Row],[Step]] =current_step, current_b,IF(Iterations[[#This Row],[Step]] &gt; current_step, "",Iterations[[#This Row],[b]]))</f>
        <v>0.39970086347774719</v>
      </c>
      <c r="I561" s="2">
        <f ca="1">IF(Iterations[[#This Row],[Step]] =current_step, current_c,IF(Iterations[[#This Row],[Step]] &gt; current_step, "",Iterations[[#This Row],[c]]))</f>
        <v>20.413276958379214</v>
      </c>
      <c r="J561" s="2">
        <f ca="1">IF(Iterations[[#This Row],[Step]] =current_step, current_d,IF(Iterations[[#This Row],[Step]] &gt; current_step, "",Iterations[[#This Row],[d]]))</f>
        <v>1.1577118552247021</v>
      </c>
      <c r="K561" s="2">
        <f ca="1">IF(Iterations[[#This Row],[Step]] =current_step, current_e,IF(Iterations[[#This Row],[Step]] &gt; current_step, "",Iterations[[#This Row],[e]]))</f>
        <v>11.601234678408876</v>
      </c>
      <c r="L561" s="2">
        <f ca="1">IF(Iterations[[#This Row],[Step]] =current_step, current_Total_Loss,IF(Iterations[[#This Row],[Step]] &gt; current_step, "",Iterations[[#This Row],[Total Loss]]))</f>
        <v>91.38</v>
      </c>
      <c r="M561" s="6" t="s">
        <v>27</v>
      </c>
      <c r="N561" s="2">
        <f ca="1">IF(Iterations[[#This Row],[Step]] =current_step, current_Grad_a,IF(Iterations[[#This Row],[Step]] &gt; current_step, "",Iterations[[#This Row],[Grad_a]]))</f>
        <v>3.2058431147634958E-2</v>
      </c>
      <c r="O561" s="2">
        <f ca="1">IF(Iterations[[#This Row],[Step]] =current_step, current_Grad_b,IF(Iterations[[#This Row],[Step]] &gt; current_step, "",Iterations[[#This Row],[Grad_b]]))</f>
        <v>5.5703884929157142E-3</v>
      </c>
      <c r="P561" s="2">
        <f ca="1">IF(Iterations[[#This Row],[Step]] =current_step, current_Grad_c,IF(Iterations[[#This Row],[Step]] &gt; current_step, "",Iterations[[#This Row],[Grad_c]]))</f>
        <v>-8.9931617569952119E-2</v>
      </c>
      <c r="Q561" s="2">
        <f ca="1">IF(Iterations[[#This Row],[Step]] =current_step, current_Grad_d,IF(Iterations[[#This Row],[Step]] &gt; current_step, "",Iterations[[#This Row],[Grad_d]]))</f>
        <v>-5.0921996406844451E-3</v>
      </c>
      <c r="R561" s="2">
        <f ca="1">IF(Iterations[[#This Row],[Step]] =current_step, current_Grad_e,IF(Iterations[[#This Row],[Step]] &gt; current_step, "",Iterations[[#This Row],[Grad_e]]))</f>
        <v>3.2072773380720281E-2</v>
      </c>
    </row>
    <row r="562" spans="6:18" x14ac:dyDescent="0.3">
      <c r="F562" s="2">
        <f t="shared" si="10"/>
        <v>545</v>
      </c>
      <c r="G562" s="2">
        <f ca="1">IF(Iterations[[#This Row],[Step]] =current_step, current_a,IF(Iterations[[#This Row],[Step]] &gt; current_step, "",Iterations[[#This Row],[a]]))</f>
        <v>-6.9811778988528186</v>
      </c>
      <c r="H562" s="2">
        <f ca="1">IF(Iterations[[#This Row],[Step]] =current_step, current_b,IF(Iterations[[#This Row],[Step]] &gt; current_step, "",Iterations[[#This Row],[b]]))</f>
        <v>0.3993109362832431</v>
      </c>
      <c r="I562" s="2">
        <f ca="1">IF(Iterations[[#This Row],[Step]] =current_step, current_c,IF(Iterations[[#This Row],[Step]] &gt; current_step, "",Iterations[[#This Row],[c]]))</f>
        <v>20.419572171609111</v>
      </c>
      <c r="J562" s="2">
        <f ca="1">IF(Iterations[[#This Row],[Step]] =current_step, current_d,IF(Iterations[[#This Row],[Step]] &gt; current_step, "",Iterations[[#This Row],[d]]))</f>
        <v>1.1580683091995501</v>
      </c>
      <c r="K562" s="2">
        <f ca="1">IF(Iterations[[#This Row],[Step]] =current_step, current_e,IF(Iterations[[#This Row],[Step]] &gt; current_step, "",Iterations[[#This Row],[e]]))</f>
        <v>11.598989584272225</v>
      </c>
      <c r="L562" s="2">
        <f ca="1">IF(Iterations[[#This Row],[Step]] =current_step, current_Total_Loss,IF(Iterations[[#This Row],[Step]] &gt; current_step, "",Iterations[[#This Row],[Total Loss]]))</f>
        <v>91.36</v>
      </c>
      <c r="M562" s="6" t="s">
        <v>27</v>
      </c>
      <c r="N562" s="2">
        <f ca="1">IF(Iterations[[#This Row],[Step]] =current_step, current_Grad_a,IF(Iterations[[#This Row],[Step]] &gt; current_step, "",Iterations[[#This Row],[Grad_a]]))</f>
        <v>3.184149174573566E-2</v>
      </c>
      <c r="O562" s="2">
        <f ca="1">IF(Iterations[[#This Row],[Step]] =current_step, current_Grad_b,IF(Iterations[[#This Row],[Step]] &gt; current_step, "",Iterations[[#This Row],[Grad_b]]))</f>
        <v>5.5329244606913009E-3</v>
      </c>
      <c r="P562" s="2">
        <f ca="1">IF(Iterations[[#This Row],[Step]] =current_step, current_Grad_c,IF(Iterations[[#This Row],[Step]] &gt; current_step, "",Iterations[[#This Row],[Grad_c]]))</f>
        <v>-8.9323004467115011E-2</v>
      </c>
      <c r="Q562" s="2">
        <f ca="1">IF(Iterations[[#This Row],[Step]] =current_step, current_Grad_d,IF(Iterations[[#This Row],[Step]] &gt; current_step, "",Iterations[[#This Row],[Grad_d]]))</f>
        <v>-5.0582301181700852E-3</v>
      </c>
      <c r="R562" s="2">
        <f ca="1">IF(Iterations[[#This Row],[Step]] =current_step, current_Grad_e,IF(Iterations[[#This Row],[Step]] &gt; current_step, "",Iterations[[#This Row],[Grad_e]]))</f>
        <v>3.1855713642863805E-2</v>
      </c>
    </row>
    <row r="563" spans="6:18" x14ac:dyDescent="0.3">
      <c r="F563" s="2">
        <f t="shared" si="10"/>
        <v>546</v>
      </c>
      <c r="G563" s="2">
        <f ca="1">IF(Iterations[[#This Row],[Step]] =current_step, current_a,IF(Iterations[[#This Row],[Step]] &gt; current_step, "",Iterations[[#This Row],[a]]))</f>
        <v>-6.9834068032750203</v>
      </c>
      <c r="H563" s="2">
        <f ca="1">IF(Iterations[[#This Row],[Step]] =current_step, current_b,IF(Iterations[[#This Row],[Step]] &gt; current_step, "",Iterations[[#This Row],[b]]))</f>
        <v>0.3989236315709947</v>
      </c>
      <c r="I563" s="2">
        <f ca="1">IF(Iterations[[#This Row],[Step]] =current_step, current_c,IF(Iterations[[#This Row],[Step]] &gt; current_step, "",Iterations[[#This Row],[c]]))</f>
        <v>20.425824781921808</v>
      </c>
      <c r="J563" s="2">
        <f ca="1">IF(Iterations[[#This Row],[Step]] =current_step, current_d,IF(Iterations[[#This Row],[Step]] &gt; current_step, "",Iterations[[#This Row],[d]]))</f>
        <v>1.1584223853078219</v>
      </c>
      <c r="K563" s="2">
        <f ca="1">IF(Iterations[[#This Row],[Step]] =current_step, current_e,IF(Iterations[[#This Row],[Step]] &gt; current_step, "",Iterations[[#This Row],[e]]))</f>
        <v>11.596759684317224</v>
      </c>
      <c r="L563" s="2">
        <f ca="1">IF(Iterations[[#This Row],[Step]] =current_step, current_Total_Loss,IF(Iterations[[#This Row],[Step]] &gt; current_step, "",Iterations[[#This Row],[Total Loss]]))</f>
        <v>91.35</v>
      </c>
      <c r="M563" s="6" t="s">
        <v>27</v>
      </c>
      <c r="N563" s="2">
        <f ca="1">IF(Iterations[[#This Row],[Step]] =current_step, current_Grad_a,IF(Iterations[[#This Row],[Step]] &gt; current_step, "",Iterations[[#This Row],[Grad_a]]))</f>
        <v>3.1626020335825351E-2</v>
      </c>
      <c r="O563" s="2">
        <f ca="1">IF(Iterations[[#This Row],[Step]] =current_step, current_Grad_b,IF(Iterations[[#This Row],[Step]] &gt; current_step, "",Iterations[[#This Row],[Grad_b]]))</f>
        <v>5.495709828232196E-3</v>
      </c>
      <c r="P563" s="2">
        <f ca="1">IF(Iterations[[#This Row],[Step]] =current_step, current_Grad_c,IF(Iterations[[#This Row],[Step]] &gt; current_step, "",Iterations[[#This Row],[Grad_c]]))</f>
        <v>-8.8718510562332195E-2</v>
      </c>
      <c r="Q563" s="2">
        <f ca="1">IF(Iterations[[#This Row],[Step]] =current_step, current_Grad_d,IF(Iterations[[#This Row],[Step]] &gt; current_step, "",Iterations[[#This Row],[Grad_d]]))</f>
        <v>-5.0244817400080339E-3</v>
      </c>
      <c r="R563" s="2">
        <f ca="1">IF(Iterations[[#This Row],[Step]] =current_step, current_Grad_e,IF(Iterations[[#This Row],[Step]] &gt; current_step, "",Iterations[[#This Row],[Grad_e]]))</f>
        <v>3.1640123126128489E-2</v>
      </c>
    </row>
    <row r="564" spans="6:18" x14ac:dyDescent="0.3">
      <c r="F564" s="2">
        <f t="shared" si="10"/>
        <v>547</v>
      </c>
      <c r="G564" s="2">
        <f ca="1">IF(Iterations[[#This Row],[Step]] =current_step, current_a,IF(Iterations[[#This Row],[Step]] &gt; current_step, "",Iterations[[#This Row],[a]]))</f>
        <v>-6.9856206246985284</v>
      </c>
      <c r="H564" s="2">
        <f ca="1">IF(Iterations[[#This Row],[Step]] =current_step, current_b,IF(Iterations[[#This Row],[Step]] &gt; current_step, "",Iterations[[#This Row],[b]]))</f>
        <v>0.39853893188301842</v>
      </c>
      <c r="I564" s="2">
        <f ca="1">IF(Iterations[[#This Row],[Step]] =current_step, current_c,IF(Iterations[[#This Row],[Step]] &gt; current_step, "",Iterations[[#This Row],[c]]))</f>
        <v>20.432035077661173</v>
      </c>
      <c r="J564" s="2">
        <f ca="1">IF(Iterations[[#This Row],[Step]] =current_step, current_d,IF(Iterations[[#This Row],[Step]] &gt; current_step, "",Iterations[[#This Row],[d]]))</f>
        <v>1.1587740990296225</v>
      </c>
      <c r="K564" s="2">
        <f ca="1">IF(Iterations[[#This Row],[Step]] =current_step, current_e,IF(Iterations[[#This Row],[Step]] &gt; current_step, "",Iterations[[#This Row],[e]]))</f>
        <v>11.594544875698395</v>
      </c>
      <c r="L564" s="2">
        <f ca="1">IF(Iterations[[#This Row],[Step]] =current_step, current_Total_Loss,IF(Iterations[[#This Row],[Step]] &gt; current_step, "",Iterations[[#This Row],[Total Loss]]))</f>
        <v>91.34</v>
      </c>
      <c r="M564" s="6" t="s">
        <v>27</v>
      </c>
      <c r="N564" s="2">
        <f ca="1">IF(Iterations[[#This Row],[Step]] =current_step, current_Grad_a,IF(Iterations[[#This Row],[Step]] &gt; current_step, "",Iterations[[#This Row],[Grad_a]]))</f>
        <v>3.14120069847795E-2</v>
      </c>
      <c r="O564" s="2">
        <f ca="1">IF(Iterations[[#This Row],[Step]] =current_step, current_Grad_b,IF(Iterations[[#This Row],[Step]] &gt; current_step, "",Iterations[[#This Row],[Grad_b]]))</f>
        <v>5.4587429813484079E-3</v>
      </c>
      <c r="P564" s="2">
        <f ca="1">IF(Iterations[[#This Row],[Step]] =current_step, current_Grad_c,IF(Iterations[[#This Row],[Step]] &gt; current_step, "",Iterations[[#This Row],[Grad_c]]))</f>
        <v>-8.8118107969034271E-2</v>
      </c>
      <c r="Q564" s="2">
        <f ca="1">IF(Iterations[[#This Row],[Step]] =current_step, current_Grad_d,IF(Iterations[[#This Row],[Step]] &gt; current_step, "",Iterations[[#This Row],[Grad_d]]))</f>
        <v>-4.9909531652690652E-3</v>
      </c>
      <c r="R564" s="2">
        <f ca="1">IF(Iterations[[#This Row],[Step]] =current_step, current_Grad_e,IF(Iterations[[#This Row],[Step]] &gt; current_step, "",Iterations[[#This Row],[Grad_e]]))</f>
        <v>3.14259918817918E-2</v>
      </c>
    </row>
    <row r="565" spans="6:18" x14ac:dyDescent="0.3">
      <c r="F565" s="2">
        <f t="shared" si="10"/>
        <v>548</v>
      </c>
      <c r="G565" s="2">
        <f ca="1">IF(Iterations[[#This Row],[Step]] =current_step, current_a,IF(Iterations[[#This Row],[Step]] &gt; current_step, "",Iterations[[#This Row],[a]]))</f>
        <v>-6.9878194651874628</v>
      </c>
      <c r="H565" s="2">
        <f ca="1">IF(Iterations[[#This Row],[Step]] =current_step, current_b,IF(Iterations[[#This Row],[Step]] &gt; current_step, "",Iterations[[#This Row],[b]]))</f>
        <v>0.39815681987432405</v>
      </c>
      <c r="I565" s="2">
        <f ca="1">IF(Iterations[[#This Row],[Step]] =current_step, current_c,IF(Iterations[[#This Row],[Step]] &gt; current_step, "",Iterations[[#This Row],[c]]))</f>
        <v>20.438203345219005</v>
      </c>
      <c r="J565" s="2">
        <f ca="1">IF(Iterations[[#This Row],[Step]] =current_step, current_d,IF(Iterations[[#This Row],[Step]] &gt; current_step, "",Iterations[[#This Row],[d]]))</f>
        <v>1.1591234657511913</v>
      </c>
      <c r="K565" s="2">
        <f ca="1">IF(Iterations[[#This Row],[Step]] =current_step, current_e,IF(Iterations[[#This Row],[Step]] &gt; current_step, "",Iterations[[#This Row],[e]]))</f>
        <v>11.592345056266669</v>
      </c>
      <c r="L565" s="2">
        <f ca="1">IF(Iterations[[#This Row],[Step]] =current_step, current_Total_Loss,IF(Iterations[[#This Row],[Step]] &gt; current_step, "",Iterations[[#This Row],[Total Loss]]))</f>
        <v>91.33</v>
      </c>
      <c r="M565" s="6" t="s">
        <v>27</v>
      </c>
      <c r="N565" s="2">
        <f ca="1">IF(Iterations[[#This Row],[Step]] =current_step, current_Grad_a,IF(Iterations[[#This Row],[Step]] &gt; current_step, "",Iterations[[#This Row],[Grad_a]]))</f>
        <v>3.1199441826874966E-2</v>
      </c>
      <c r="O565" s="2">
        <f ca="1">IF(Iterations[[#This Row],[Step]] =current_step, current_Grad_b,IF(Iterations[[#This Row],[Step]] &gt; current_step, "",Iterations[[#This Row],[Grad_b]]))</f>
        <v>5.4220223153906349E-3</v>
      </c>
      <c r="P565" s="2">
        <f ca="1">IF(Iterations[[#This Row],[Step]] =current_step, current_Grad_c,IF(Iterations[[#This Row],[Step]] &gt; current_step, "",Iterations[[#This Row],[Grad_c]]))</f>
        <v>-8.7521768989494417E-2</v>
      </c>
      <c r="Q565" s="2">
        <f ca="1">IF(Iterations[[#This Row],[Step]] =current_step, current_Grad_d,IF(Iterations[[#This Row],[Step]] &gt; current_step, "",Iterations[[#This Row],[Grad_d]]))</f>
        <v>-4.9576430593541165E-3</v>
      </c>
      <c r="R565" s="2">
        <f ca="1">IF(Iterations[[#This Row],[Step]] =current_step, current_Grad_e,IF(Iterations[[#This Row],[Step]] &gt; current_step, "",Iterations[[#This Row],[Grad_e]]))</f>
        <v>3.1213310028593275E-2</v>
      </c>
    </row>
    <row r="566" spans="6:18" x14ac:dyDescent="0.3">
      <c r="F566" s="2">
        <f t="shared" si="10"/>
        <v>549</v>
      </c>
      <c r="G566" s="2">
        <f ca="1">IF(Iterations[[#This Row],[Step]] =current_step, current_a,IF(Iterations[[#This Row],[Step]] &gt; current_step, "",Iterations[[#This Row],[a]]))</f>
        <v>-6.9900034261153436</v>
      </c>
      <c r="H566" s="2">
        <f ca="1">IF(Iterations[[#This Row],[Step]] =current_step, current_b,IF(Iterations[[#This Row],[Step]] &gt; current_step, "",Iterations[[#This Row],[b]]))</f>
        <v>0.39777727831224668</v>
      </c>
      <c r="I566" s="2">
        <f ca="1">IF(Iterations[[#This Row],[Step]] =current_step, current_c,IF(Iterations[[#This Row],[Step]] &gt; current_step, "",Iterations[[#This Row],[c]]))</f>
        <v>20.444329869048271</v>
      </c>
      <c r="J566" s="2">
        <f ca="1">IF(Iterations[[#This Row],[Step]] =current_step, current_d,IF(Iterations[[#This Row],[Step]] &gt; current_step, "",Iterations[[#This Row],[d]]))</f>
        <v>1.1594705007653461</v>
      </c>
      <c r="K566" s="2">
        <f ca="1">IF(Iterations[[#This Row],[Step]] =current_step, current_e,IF(Iterations[[#This Row],[Step]] &gt; current_step, "",Iterations[[#This Row],[e]]))</f>
        <v>11.590160124564667</v>
      </c>
      <c r="L566" s="2">
        <f ca="1">IF(Iterations[[#This Row],[Step]] =current_step, current_Total_Loss,IF(Iterations[[#This Row],[Step]] &gt; current_step, "",Iterations[[#This Row],[Total Loss]]))</f>
        <v>91.31</v>
      </c>
      <c r="M566" s="6" t="s">
        <v>27</v>
      </c>
      <c r="N566" s="2">
        <f ca="1">IF(Iterations[[#This Row],[Step]] =current_step, current_Grad_a,IF(Iterations[[#This Row],[Step]] &gt; current_step, "",Iterations[[#This Row],[Grad_a]]))</f>
        <v>3.0988315062987309E-2</v>
      </c>
      <c r="O566" s="2">
        <f ca="1">IF(Iterations[[#This Row],[Step]] =current_step, current_Grad_b,IF(Iterations[[#This Row],[Step]] &gt; current_step, "",Iterations[[#This Row],[Grad_b]]))</f>
        <v>5.3855462353327782E-3</v>
      </c>
      <c r="P566" s="2">
        <f ca="1">IF(Iterations[[#This Row],[Step]] =current_step, current_Grad_c,IF(Iterations[[#This Row],[Step]] &gt; current_step, "",Iterations[[#This Row],[Grad_c]]))</f>
        <v>-8.6929466113671472E-2</v>
      </c>
      <c r="Q566" s="2">
        <f ca="1">IF(Iterations[[#This Row],[Step]] =current_step, current_Grad_d,IF(Iterations[[#This Row],[Step]] &gt; current_step, "",Iterations[[#This Row],[Grad_d]]))</f>
        <v>-4.924550093953043E-3</v>
      </c>
      <c r="R566" s="2">
        <f ca="1">IF(Iterations[[#This Row],[Step]] =current_step, current_Grad_e,IF(Iterations[[#This Row],[Step]] &gt; current_step, "",Iterations[[#This Row],[Grad_e]]))</f>
        <v>3.1002067752236882E-2</v>
      </c>
    </row>
    <row r="567" spans="6:18" x14ac:dyDescent="0.3">
      <c r="F567" s="2">
        <f t="shared" si="10"/>
        <v>550</v>
      </c>
      <c r="G567" s="2">
        <f ca="1">IF(Iterations[[#This Row],[Step]] =current_step, current_a,IF(Iterations[[#This Row],[Step]] &gt; current_step, "",Iterations[[#This Row],[a]]))</f>
        <v>-6.9921726081697528</v>
      </c>
      <c r="H567" s="2">
        <f ca="1">IF(Iterations[[#This Row],[Step]] =current_step, current_b,IF(Iterations[[#This Row],[Step]] &gt; current_step, "",Iterations[[#This Row],[b]]))</f>
        <v>0.39740029007577338</v>
      </c>
      <c r="I567" s="2">
        <f ca="1">IF(Iterations[[#This Row],[Step]] =current_step, current_c,IF(Iterations[[#This Row],[Step]] &gt; current_step, "",Iterations[[#This Row],[c]]))</f>
        <v>20.450414931676228</v>
      </c>
      <c r="J567" s="2">
        <f ca="1">IF(Iterations[[#This Row],[Step]] =current_step, current_d,IF(Iterations[[#This Row],[Step]] &gt; current_step, "",Iterations[[#This Row],[d]]))</f>
        <v>1.1598152192719229</v>
      </c>
      <c r="K567" s="2">
        <f ca="1">IF(Iterations[[#This Row],[Step]] =current_step, current_e,IF(Iterations[[#This Row],[Step]] &gt; current_step, "",Iterations[[#This Row],[e]]))</f>
        <v>11.587989979822011</v>
      </c>
      <c r="L567" s="2">
        <f ca="1">IF(Iterations[[#This Row],[Step]] =current_step, current_Total_Loss,IF(Iterations[[#This Row],[Step]] &gt; current_step, "",Iterations[[#This Row],[Total Loss]]))</f>
        <v>91.3</v>
      </c>
      <c r="M567" s="6" t="s">
        <v>27</v>
      </c>
      <c r="N567" s="2">
        <f ca="1">IF(Iterations[[#This Row],[Step]] =current_step, current_Grad_a,IF(Iterations[[#This Row],[Step]] &gt; current_step, "",Iterations[[#This Row],[Grad_a]]))</f>
        <v>3.0778616960451033E-2</v>
      </c>
      <c r="O567" s="2">
        <f ca="1">IF(Iterations[[#This Row],[Step]] =current_step, current_Grad_b,IF(Iterations[[#This Row],[Step]] &gt; current_step, "",Iterations[[#This Row],[Grad_b]]))</f>
        <v>5.3493131556258365E-3</v>
      </c>
      <c r="P567" s="2">
        <f ca="1">IF(Iterations[[#This Row],[Step]] =current_step, current_Grad_c,IF(Iterations[[#This Row],[Step]] &gt; current_step, "",Iterations[[#This Row],[Grad_c]]))</f>
        <v>-8.6341172017826873E-2</v>
      </c>
      <c r="Q567" s="2">
        <f ca="1">IF(Iterations[[#This Row],[Step]] =current_step, current_Grad_d,IF(Iterations[[#This Row],[Step]] &gt; current_step, "",Iterations[[#This Row],[Grad_d]]))</f>
        <v>-4.891672947088397E-3</v>
      </c>
      <c r="R567" s="2">
        <f ca="1">IF(Iterations[[#This Row],[Step]] =current_step, current_Grad_e,IF(Iterations[[#This Row],[Step]] &gt; current_step, "",Iterations[[#This Row],[Grad_e]]))</f>
        <v>3.0792255304973142E-2</v>
      </c>
    </row>
    <row r="568" spans="6:18" x14ac:dyDescent="0.3">
      <c r="F568" s="2">
        <f t="shared" si="10"/>
        <v>551</v>
      </c>
      <c r="G568" s="2">
        <f ca="1">IF(Iterations[[#This Row],[Step]] =current_step, current_a,IF(Iterations[[#This Row],[Step]] &gt; current_step, "",Iterations[[#This Row],[a]]))</f>
        <v>-6.9943271113569843</v>
      </c>
      <c r="H568" s="2">
        <f ca="1">IF(Iterations[[#This Row],[Step]] =current_step, current_b,IF(Iterations[[#This Row],[Step]] &gt; current_step, "",Iterations[[#This Row],[b]]))</f>
        <v>0.39702583815487957</v>
      </c>
      <c r="I568" s="2">
        <f ca="1">IF(Iterations[[#This Row],[Step]] =current_step, current_c,IF(Iterations[[#This Row],[Step]] &gt; current_step, "",Iterations[[#This Row],[c]]))</f>
        <v>20.456458813717475</v>
      </c>
      <c r="J568" s="2">
        <f ca="1">IF(Iterations[[#This Row],[Step]] =current_step, current_d,IF(Iterations[[#This Row],[Step]] &gt; current_step, "",Iterations[[#This Row],[d]]))</f>
        <v>1.1601576363782191</v>
      </c>
      <c r="K568" s="2">
        <f ca="1">IF(Iterations[[#This Row],[Step]] =current_step, current_e,IF(Iterations[[#This Row],[Step]] &gt; current_step, "",Iterations[[#This Row],[e]]))</f>
        <v>11.585834521950662</v>
      </c>
      <c r="L568" s="2">
        <f ca="1">IF(Iterations[[#This Row],[Step]] =current_step, current_Total_Loss,IF(Iterations[[#This Row],[Step]] &gt; current_step, "",Iterations[[#This Row],[Total Loss]]))</f>
        <v>91.29</v>
      </c>
      <c r="M568" s="6" t="s">
        <v>27</v>
      </c>
      <c r="N568" s="2">
        <f ca="1">IF(Iterations[[#This Row],[Step]] =current_step, current_Grad_a,IF(Iterations[[#This Row],[Step]] &gt; current_step, "",Iterations[[#This Row],[Grad_a]]))</f>
        <v>3.0570337852263263E-2</v>
      </c>
      <c r="O568" s="2">
        <f ca="1">IF(Iterations[[#This Row],[Step]] =current_step, current_Grad_b,IF(Iterations[[#This Row],[Step]] &gt; current_step, "",Iterations[[#This Row],[Grad_b]]))</f>
        <v>5.3133215002884532E-3</v>
      </c>
      <c r="P568" s="2">
        <f ca="1">IF(Iterations[[#This Row],[Step]] =current_step, current_Grad_c,IF(Iterations[[#This Row],[Step]] &gt; current_step, "",Iterations[[#This Row],[Grad_c]]))</f>
        <v>-8.5756859563391935E-2</v>
      </c>
      <c r="Q568" s="2">
        <f ca="1">IF(Iterations[[#This Row],[Step]] =current_step, current_Grad_d,IF(Iterations[[#This Row],[Step]] &gt; current_step, "",Iterations[[#This Row],[Grad_d]]))</f>
        <v>-4.8590103030727028E-3</v>
      </c>
      <c r="R568" s="2">
        <f ca="1">IF(Iterations[[#This Row],[Step]] =current_step, current_Grad_e,IF(Iterations[[#This Row],[Step]] &gt; current_step, "",Iterations[[#This Row],[Grad_e]]))</f>
        <v>3.0583863005090035E-2</v>
      </c>
    </row>
    <row r="569" spans="6:18" x14ac:dyDescent="0.3">
      <c r="F569" s="2">
        <f t="shared" si="10"/>
        <v>552</v>
      </c>
      <c r="G569" s="2">
        <f ca="1">IF(Iterations[[#This Row],[Step]] =current_step, current_a,IF(Iterations[[#This Row],[Step]] &gt; current_step, "",Iterations[[#This Row],[a]]))</f>
        <v>-6.9964670350066429</v>
      </c>
      <c r="H569" s="2">
        <f ca="1">IF(Iterations[[#This Row],[Step]] =current_step, current_b,IF(Iterations[[#This Row],[Step]] &gt; current_step, "",Iterations[[#This Row],[b]]))</f>
        <v>0.39665390564985936</v>
      </c>
      <c r="I569" s="2">
        <f ca="1">IF(Iterations[[#This Row],[Step]] =current_step, current_c,IF(Iterations[[#This Row],[Step]] &gt; current_step, "",Iterations[[#This Row],[c]]))</f>
        <v>20.462461793886913</v>
      </c>
      <c r="J569" s="2">
        <f ca="1">IF(Iterations[[#This Row],[Step]] =current_step, current_d,IF(Iterations[[#This Row],[Step]] &gt; current_step, "",Iterations[[#This Row],[d]]))</f>
        <v>1.1604977670994343</v>
      </c>
      <c r="K569" s="2">
        <f ca="1">IF(Iterations[[#This Row],[Step]] =current_step, current_e,IF(Iterations[[#This Row],[Step]] &gt; current_step, "",Iterations[[#This Row],[e]]))</f>
        <v>11.583693651540306</v>
      </c>
      <c r="L569" s="2">
        <f ca="1">IF(Iterations[[#This Row],[Step]] =current_step, current_Total_Loss,IF(Iterations[[#This Row],[Step]] &gt; current_step, "",Iterations[[#This Row],[Total Loss]]))</f>
        <v>91.28</v>
      </c>
      <c r="M569" s="6" t="s">
        <v>27</v>
      </c>
      <c r="N569" s="2">
        <f ca="1">IF(Iterations[[#This Row],[Step]] =current_step, current_Grad_a,IF(Iterations[[#This Row],[Step]] &gt; current_step, "",Iterations[[#This Row],[Grad_a]]))</f>
        <v>3.0363468137004967E-2</v>
      </c>
      <c r="O569" s="2">
        <f ca="1">IF(Iterations[[#This Row],[Step]] =current_step, current_Grad_b,IF(Iterations[[#This Row],[Step]] &gt; current_step, "",Iterations[[#This Row],[Grad_b]]))</f>
        <v>5.2775697027004726E-3</v>
      </c>
      <c r="P569" s="2">
        <f ca="1">IF(Iterations[[#This Row],[Step]] =current_step, current_Grad_c,IF(Iterations[[#This Row],[Step]] &gt; current_step, "",Iterations[[#This Row],[Grad_c]]))</f>
        <v>-8.5176501795561077E-2</v>
      </c>
      <c r="Q569" s="2">
        <f ca="1">IF(Iterations[[#This Row],[Step]] =current_step, current_Grad_d,IF(Iterations[[#This Row],[Step]] &gt; current_step, "",Iterations[[#This Row],[Grad_d]]))</f>
        <v>-4.8265608525732018E-3</v>
      </c>
      <c r="R569" s="2">
        <f ca="1">IF(Iterations[[#This Row],[Step]] =current_step, current_Grad_e,IF(Iterations[[#This Row],[Step]] &gt; current_step, "",Iterations[[#This Row],[Grad_e]]))</f>
        <v>3.0376881236536493E-2</v>
      </c>
    </row>
    <row r="570" spans="6:18" x14ac:dyDescent="0.3">
      <c r="F570" s="2">
        <f t="shared" si="10"/>
        <v>553</v>
      </c>
      <c r="G570" s="2">
        <f ca="1">IF(Iterations[[#This Row],[Step]] =current_step, current_a,IF(Iterations[[#This Row],[Step]] &gt; current_step, "",Iterations[[#This Row],[a]]))</f>
        <v>-6.9985924777762332</v>
      </c>
      <c r="H570" s="2">
        <f ca="1">IF(Iterations[[#This Row],[Step]] =current_step, current_b,IF(Iterations[[#This Row],[Step]] &gt; current_step, "",Iterations[[#This Row],[b]]))</f>
        <v>0.39628447577067033</v>
      </c>
      <c r="I570" s="2">
        <f ca="1">IF(Iterations[[#This Row],[Step]] =current_step, current_c,IF(Iterations[[#This Row],[Step]] &gt; current_step, "",Iterations[[#This Row],[c]]))</f>
        <v>20.468424149012602</v>
      </c>
      <c r="J570" s="2">
        <f ca="1">IF(Iterations[[#This Row],[Step]] =current_step, current_d,IF(Iterations[[#This Row],[Step]] &gt; current_step, "",Iterations[[#This Row],[d]]))</f>
        <v>1.1608356263591144</v>
      </c>
      <c r="K570" s="2">
        <f ca="1">IF(Iterations[[#This Row],[Step]] =current_step, current_e,IF(Iterations[[#This Row],[Step]] &gt; current_step, "",Iterations[[#This Row],[e]]))</f>
        <v>11.581567269853748</v>
      </c>
      <c r="L570" s="2">
        <f ca="1">IF(Iterations[[#This Row],[Step]] =current_step, current_Total_Loss,IF(Iterations[[#This Row],[Step]] &gt; current_step, "",Iterations[[#This Row],[Total Loss]]))</f>
        <v>91.27</v>
      </c>
      <c r="M570" s="6" t="s">
        <v>27</v>
      </c>
      <c r="N570" s="2">
        <f ca="1">IF(Iterations[[#This Row],[Step]] =current_step, current_Grad_a,IF(Iterations[[#This Row],[Step]] &gt; current_step, "",Iterations[[#This Row],[Grad_a]]))</f>
        <v>3.0157998278065128E-2</v>
      </c>
      <c r="O570" s="2">
        <f ca="1">IF(Iterations[[#This Row],[Step]] =current_step, current_Grad_b,IF(Iterations[[#This Row],[Step]] &gt; current_step, "",Iterations[[#This Row],[Grad_b]]))</f>
        <v>5.2420562056995947E-3</v>
      </c>
      <c r="P570" s="2">
        <f ca="1">IF(Iterations[[#This Row],[Step]] =current_step, current_Grad_c,IF(Iterations[[#This Row],[Step]] &gt; current_step, "",Iterations[[#This Row],[Grad_c]]))</f>
        <v>-8.4600071942188396E-2</v>
      </c>
      <c r="Q570" s="2">
        <f ca="1">IF(Iterations[[#This Row],[Step]] =current_step, current_Grad_d,IF(Iterations[[#This Row],[Step]] &gt; current_step, "",Iterations[[#This Row],[Grad_d]]))</f>
        <v>-4.7943232925617661E-3</v>
      </c>
      <c r="R570" s="2">
        <f ca="1">IF(Iterations[[#This Row],[Step]] =current_step, current_Grad_e,IF(Iterations[[#This Row],[Step]] &gt; current_step, "",Iterations[[#This Row],[Grad_e]]))</f>
        <v>3.0171300448404006E-2</v>
      </c>
    </row>
    <row r="571" spans="6:18" x14ac:dyDescent="0.3">
      <c r="F571" s="2">
        <f t="shared" si="10"/>
        <v>554</v>
      </c>
      <c r="G571" s="2">
        <f ca="1">IF(Iterations[[#This Row],[Step]] =current_step, current_a,IF(Iterations[[#This Row],[Step]] &gt; current_step, "",Iterations[[#This Row],[a]]))</f>
        <v>-7.0007035376556974</v>
      </c>
      <c r="H571" s="2">
        <f ca="1">IF(Iterations[[#This Row],[Step]] =current_step, current_b,IF(Iterations[[#This Row],[Step]] &gt; current_step, "",Iterations[[#This Row],[b]]))</f>
        <v>0.39591753183627137</v>
      </c>
      <c r="I571" s="2">
        <f ca="1">IF(Iterations[[#This Row],[Step]] =current_step, current_c,IF(Iterations[[#This Row],[Step]] &gt; current_step, "",Iterations[[#This Row],[c]]))</f>
        <v>20.474346154048554</v>
      </c>
      <c r="J571" s="2">
        <f ca="1">IF(Iterations[[#This Row],[Step]] =current_step, current_d,IF(Iterations[[#This Row],[Step]] &gt; current_step, "",Iterations[[#This Row],[d]]))</f>
        <v>1.1611712289895937</v>
      </c>
      <c r="K571" s="2">
        <f ca="1">IF(Iterations[[#This Row],[Step]] =current_step, current_e,IF(Iterations[[#This Row],[Step]] &gt; current_step, "",Iterations[[#This Row],[e]]))</f>
        <v>11.57945527882236</v>
      </c>
      <c r="L571" s="2">
        <f ca="1">IF(Iterations[[#This Row],[Step]] =current_step, current_Total_Loss,IF(Iterations[[#This Row],[Step]] &gt; current_step, "",Iterations[[#This Row],[Total Loss]]))</f>
        <v>91.26</v>
      </c>
      <c r="M571" s="6" t="s">
        <v>27</v>
      </c>
      <c r="N571" s="2">
        <f ca="1">IF(Iterations[[#This Row],[Step]] =current_step, current_Grad_a,IF(Iterations[[#This Row],[Step]] &gt; current_step, "",Iterations[[#This Row],[Grad_a]]))</f>
        <v>2.9953918803413471E-2</v>
      </c>
      <c r="O571" s="2">
        <f ca="1">IF(Iterations[[#This Row],[Step]] =current_step, current_Grad_b,IF(Iterations[[#This Row],[Step]] &gt; current_step, "",Iterations[[#This Row],[Grad_b]]))</f>
        <v>5.2067794614664648E-3</v>
      </c>
      <c r="P571" s="2">
        <f ca="1">IF(Iterations[[#This Row],[Step]] =current_step, current_Grad_c,IF(Iterations[[#This Row],[Step]] &gt; current_step, "",Iterations[[#This Row],[Grad_c]]))</f>
        <v>-8.402754341245669E-2</v>
      </c>
      <c r="Q571" s="2">
        <f ca="1">IF(Iterations[[#This Row],[Step]] =current_step, current_Grad_d,IF(Iterations[[#This Row],[Step]] &gt; current_step, "",Iterations[[#This Row],[Grad_d]]))</f>
        <v>-4.7622963263505447E-3</v>
      </c>
      <c r="R571" s="2">
        <f ca="1">IF(Iterations[[#This Row],[Step]] =current_step, current_Grad_e,IF(Iterations[[#This Row],[Step]] &gt; current_step, "",Iterations[[#This Row],[Grad_e]]))</f>
        <v>2.9967111154532274E-2</v>
      </c>
    </row>
    <row r="572" spans="6:18" x14ac:dyDescent="0.3">
      <c r="F572" s="2">
        <f t="shared" si="10"/>
        <v>555</v>
      </c>
      <c r="G572" s="2">
        <f ca="1">IF(Iterations[[#This Row],[Step]] =current_step, current_a,IF(Iterations[[#This Row],[Step]] &gt; current_step, "",Iterations[[#This Row],[a]]))</f>
        <v>-7.002800311971936</v>
      </c>
      <c r="H572" s="2">
        <f ca="1">IF(Iterations[[#This Row],[Step]] =current_step, current_b,IF(Iterations[[#This Row],[Step]] &gt; current_step, "",Iterations[[#This Row],[b]]))</f>
        <v>0.39555305727396872</v>
      </c>
      <c r="I572" s="2">
        <f ca="1">IF(Iterations[[#This Row],[Step]] =current_step, current_c,IF(Iterations[[#This Row],[Step]] &gt; current_step, "",Iterations[[#This Row],[c]]))</f>
        <v>20.480228082087425</v>
      </c>
      <c r="J572" s="2">
        <f ca="1">IF(Iterations[[#This Row],[Step]] =current_step, current_d,IF(Iterations[[#This Row],[Step]] &gt; current_step, "",Iterations[[#This Row],[d]]))</f>
        <v>1.1615045897324383</v>
      </c>
      <c r="K572" s="2">
        <f ca="1">IF(Iterations[[#This Row],[Step]] =current_step, current_e,IF(Iterations[[#This Row],[Step]] &gt; current_step, "",Iterations[[#This Row],[e]]))</f>
        <v>11.577357581041543</v>
      </c>
      <c r="L572" s="2">
        <f ca="1">IF(Iterations[[#This Row],[Step]] =current_step, current_Total_Loss,IF(Iterations[[#This Row],[Step]] &gt; current_step, "",Iterations[[#This Row],[Total Loss]]))</f>
        <v>91.24</v>
      </c>
      <c r="M572" s="6" t="s">
        <v>27</v>
      </c>
      <c r="N572" s="2">
        <f ca="1">IF(Iterations[[#This Row],[Step]] =current_step, current_Grad_a,IF(Iterations[[#This Row],[Step]] &gt; current_step, "",Iterations[[#This Row],[Grad_a]]))</f>
        <v>2.9751220305127175E-2</v>
      </c>
      <c r="O572" s="2">
        <f ca="1">IF(Iterations[[#This Row],[Step]] =current_step, current_Grad_b,IF(Iterations[[#This Row],[Step]] &gt; current_step, "",Iterations[[#This Row],[Grad_b]]))</f>
        <v>5.1717379315026936E-3</v>
      </c>
      <c r="P572" s="2">
        <f ca="1">IF(Iterations[[#This Row],[Step]] =current_step, current_Grad_c,IF(Iterations[[#This Row],[Step]] &gt; current_step, "",Iterations[[#This Row],[Grad_c]]))</f>
        <v>-8.345888979566024E-2</v>
      </c>
      <c r="Q572" s="2">
        <f ca="1">IF(Iterations[[#This Row],[Step]] =current_step, current_Grad_d,IF(Iterations[[#This Row],[Step]] &gt; current_step, "",Iterations[[#This Row],[Grad_d]]))</f>
        <v>-4.7304786635733358E-3</v>
      </c>
      <c r="R572" s="2">
        <f ca="1">IF(Iterations[[#This Row],[Step]] =current_step, current_Grad_e,IF(Iterations[[#This Row],[Step]] &gt; current_step, "",Iterations[[#This Row],[Grad_e]]))</f>
        <v>2.9764303933058203E-2</v>
      </c>
    </row>
    <row r="573" spans="6:18" x14ac:dyDescent="0.3">
      <c r="F573" s="2">
        <f t="shared" ref="F573:F630" si="11">F572+1</f>
        <v>556</v>
      </c>
      <c r="G573" s="2">
        <f ca="1">IF(Iterations[[#This Row],[Step]] =current_step, current_a,IF(Iterations[[#This Row],[Step]] &gt; current_step, "",Iterations[[#This Row],[a]]))</f>
        <v>-7.0048828973932951</v>
      </c>
      <c r="H573" s="2">
        <f ca="1">IF(Iterations[[#This Row],[Step]] =current_step, current_b,IF(Iterations[[#This Row],[Step]] &gt; current_step, "",Iterations[[#This Row],[b]]))</f>
        <v>0.39519103561876351</v>
      </c>
      <c r="I573" s="2">
        <f ca="1">IF(Iterations[[#This Row],[Step]] =current_step, current_c,IF(Iterations[[#This Row],[Step]] &gt; current_step, "",Iterations[[#This Row],[c]]))</f>
        <v>20.486070204373121</v>
      </c>
      <c r="J573" s="2">
        <f ca="1">IF(Iterations[[#This Row],[Step]] =current_step, current_d,IF(Iterations[[#This Row],[Step]] &gt; current_step, "",Iterations[[#This Row],[d]]))</f>
        <v>1.1618357232388885</v>
      </c>
      <c r="K573" s="2">
        <f ca="1">IF(Iterations[[#This Row],[Step]] =current_step, current_e,IF(Iterations[[#This Row],[Step]] &gt; current_step, "",Iterations[[#This Row],[e]]))</f>
        <v>11.575274079766229</v>
      </c>
      <c r="L573" s="2">
        <f ca="1">IF(Iterations[[#This Row],[Step]] =current_step, current_Total_Loss,IF(Iterations[[#This Row],[Step]] &gt; current_step, "",Iterations[[#This Row],[Total Loss]]))</f>
        <v>91.23</v>
      </c>
      <c r="M573" s="6" t="s">
        <v>27</v>
      </c>
      <c r="N573" s="2">
        <f ca="1">IF(Iterations[[#This Row],[Step]] =current_step, current_Grad_a,IF(Iterations[[#This Row],[Step]] &gt; current_step, "",Iterations[[#This Row],[Grad_a]]))</f>
        <v>2.9549893438844326E-2</v>
      </c>
      <c r="O573" s="2">
        <f ca="1">IF(Iterations[[#This Row],[Step]] =current_step, current_Grad_b,IF(Iterations[[#This Row],[Step]] &gt; current_step, "",Iterations[[#This Row],[Grad_b]]))</f>
        <v>5.1369300866079583E-3</v>
      </c>
      <c r="P573" s="2">
        <f ca="1">IF(Iterations[[#This Row],[Step]] =current_step, current_Grad_c,IF(Iterations[[#This Row],[Step]] &gt; current_step, "",Iterations[[#This Row],[Grad_c]]))</f>
        <v>-8.2894084860033884E-2</v>
      </c>
      <c r="Q573" s="2">
        <f ca="1">IF(Iterations[[#This Row],[Step]] =current_step, current_Grad_d,IF(Iterations[[#This Row],[Step]] &gt; current_step, "",Iterations[[#This Row],[Grad_d]]))</f>
        <v>-4.698869020193893E-3</v>
      </c>
      <c r="R573" s="2">
        <f ca="1">IF(Iterations[[#This Row],[Step]] =current_step, current_Grad_e,IF(Iterations[[#This Row],[Step]] &gt; current_step, "",Iterations[[#This Row],[Grad_e]]))</f>
        <v>2.9562869425961265E-2</v>
      </c>
    </row>
    <row r="574" spans="6:18" x14ac:dyDescent="0.3">
      <c r="F574" s="2">
        <f t="shared" si="11"/>
        <v>557</v>
      </c>
      <c r="G574" s="2">
        <f ca="1">IF(Iterations[[#This Row],[Step]] =current_step, current_a,IF(Iterations[[#This Row],[Step]] &gt; current_step, "",Iterations[[#This Row],[a]]))</f>
        <v>-7.0069513899340139</v>
      </c>
      <c r="H574" s="2">
        <f ca="1">IF(Iterations[[#This Row],[Step]] =current_step, current_b,IF(Iterations[[#This Row],[Step]] &gt; current_step, "",Iterations[[#This Row],[b]]))</f>
        <v>0.39483145051270097</v>
      </c>
      <c r="I574" s="2">
        <f ca="1">IF(Iterations[[#This Row],[Step]] =current_step, current_c,IF(Iterations[[#This Row],[Step]] &gt; current_step, "",Iterations[[#This Row],[c]]))</f>
        <v>20.491872790313323</v>
      </c>
      <c r="J574" s="2">
        <f ca="1">IF(Iterations[[#This Row],[Step]] =current_step, current_d,IF(Iterations[[#This Row],[Step]] &gt; current_step, "",Iterations[[#This Row],[d]]))</f>
        <v>1.1621646440703022</v>
      </c>
      <c r="K574" s="2">
        <f ca="1">IF(Iterations[[#This Row],[Step]] =current_step, current_e,IF(Iterations[[#This Row],[Step]] &gt; current_step, "",Iterations[[#This Row],[e]]))</f>
        <v>11.573204678906412</v>
      </c>
      <c r="L574" s="2">
        <f ca="1">IF(Iterations[[#This Row],[Step]] =current_step, current_Total_Loss,IF(Iterations[[#This Row],[Step]] &gt; current_step, "",Iterations[[#This Row],[Total Loss]]))</f>
        <v>91.22</v>
      </c>
      <c r="M574" s="6" t="s">
        <v>27</v>
      </c>
      <c r="N574" s="2">
        <f ca="1">IF(Iterations[[#This Row],[Step]] =current_step, current_Grad_a,IF(Iterations[[#This Row],[Step]] &gt; current_step, "",Iterations[[#This Row],[Grad_a]]))</f>
        <v>2.934992892355491E-2</v>
      </c>
      <c r="O574" s="2">
        <f ca="1">IF(Iterations[[#This Row],[Step]] =current_step, current_Grad_b,IF(Iterations[[#This Row],[Step]] &gt; current_step, "",Iterations[[#This Row],[Grad_b]]))</f>
        <v>5.1023544067667868E-3</v>
      </c>
      <c r="P574" s="2">
        <f ca="1">IF(Iterations[[#This Row],[Step]] =current_step, current_Grad_c,IF(Iterations[[#This Row],[Step]] &gt; current_step, "",Iterations[[#This Row],[Grad_c]]))</f>
        <v>-8.233310255144656E-2</v>
      </c>
      <c r="Q574" s="2">
        <f ca="1">IF(Iterations[[#This Row],[Step]] =current_step, current_Grad_d,IF(Iterations[[#This Row],[Step]] &gt; current_step, "",Iterations[[#This Row],[Grad_d]]))</f>
        <v>-4.6674661185211281E-3</v>
      </c>
      <c r="R574" s="2">
        <f ca="1">IF(Iterations[[#This Row],[Step]] =current_step, current_Grad_e,IF(Iterations[[#This Row],[Step]] &gt; current_step, "",Iterations[[#This Row],[Grad_e]]))</f>
        <v>2.9362798338663905E-2</v>
      </c>
    </row>
    <row r="575" spans="6:18" x14ac:dyDescent="0.3">
      <c r="F575" s="2">
        <f t="shared" si="11"/>
        <v>558</v>
      </c>
      <c r="G575" s="2">
        <f ca="1">IF(Iterations[[#This Row],[Step]] =current_step, current_a,IF(Iterations[[#This Row],[Step]] &gt; current_step, "",Iterations[[#This Row],[a]]))</f>
        <v>-7.0090058849586629</v>
      </c>
      <c r="H575" s="2">
        <f ca="1">IF(Iterations[[#This Row],[Step]] =current_step, current_b,IF(Iterations[[#This Row],[Step]] &gt; current_step, "",Iterations[[#This Row],[b]]))</f>
        <v>0.39447428570422727</v>
      </c>
      <c r="I575" s="2">
        <f ca="1">IF(Iterations[[#This Row],[Step]] =current_step, current_c,IF(Iterations[[#This Row],[Step]] &gt; current_step, "",Iterations[[#This Row],[c]]))</f>
        <v>20.497636107491925</v>
      </c>
      <c r="J575" s="2">
        <f ca="1">IF(Iterations[[#This Row],[Step]] =current_step, current_d,IF(Iterations[[#This Row],[Step]] &gt; current_step, "",Iterations[[#This Row],[d]]))</f>
        <v>1.1624913666985988</v>
      </c>
      <c r="K575" s="2">
        <f ca="1">IF(Iterations[[#This Row],[Step]] =current_step, current_e,IF(Iterations[[#This Row],[Step]] &gt; current_step, "",Iterations[[#This Row],[e]]))</f>
        <v>11.571149283022706</v>
      </c>
      <c r="L575" s="2">
        <f ca="1">IF(Iterations[[#This Row],[Step]] =current_step, current_Total_Loss,IF(Iterations[[#This Row],[Step]] &gt; current_step, "",Iterations[[#This Row],[Total Loss]]))</f>
        <v>91.21</v>
      </c>
      <c r="M575" s="6" t="s">
        <v>27</v>
      </c>
      <c r="N575" s="2">
        <f ca="1">IF(Iterations[[#This Row],[Step]] =current_step, current_Grad_a,IF(Iterations[[#This Row],[Step]] &gt; current_step, "",Iterations[[#This Row],[Grad_a]]))</f>
        <v>2.9151317540864616E-2</v>
      </c>
      <c r="O575" s="2">
        <f ca="1">IF(Iterations[[#This Row],[Step]] =current_step, current_Grad_b,IF(Iterations[[#This Row],[Step]] &gt; current_step, "",Iterations[[#This Row],[Grad_b]]))</f>
        <v>5.0680093812199107E-3</v>
      </c>
      <c r="P575" s="2">
        <f ca="1">IF(Iterations[[#This Row],[Step]] =current_step, current_Grad_c,IF(Iterations[[#This Row],[Step]] &gt; current_step, "",Iterations[[#This Row],[Grad_c]]))</f>
        <v>-8.1775916992320008E-2</v>
      </c>
      <c r="Q575" s="2">
        <f ca="1">IF(Iterations[[#This Row],[Step]] =current_step, current_Grad_d,IF(Iterations[[#This Row],[Step]] &gt; current_step, "",Iterations[[#This Row],[Grad_d]]))</f>
        <v>-4.6362686871725834E-3</v>
      </c>
      <c r="R575" s="2">
        <f ca="1">IF(Iterations[[#This Row],[Step]] =current_step, current_Grad_e,IF(Iterations[[#This Row],[Step]] &gt; current_step, "",Iterations[[#This Row],[Grad_e]]))</f>
        <v>2.9164081439550849E-2</v>
      </c>
    </row>
    <row r="576" spans="6:18" x14ac:dyDescent="0.3">
      <c r="F576" s="2">
        <f t="shared" si="11"/>
        <v>559</v>
      </c>
      <c r="G576" s="2">
        <f ca="1">IF(Iterations[[#This Row],[Step]] =current_step, current_a,IF(Iterations[[#This Row],[Step]] &gt; current_step, "",Iterations[[#This Row],[a]]))</f>
        <v>-7.0110464771865235</v>
      </c>
      <c r="H576" s="2">
        <f ca="1">IF(Iterations[[#This Row],[Step]] =current_step, current_b,IF(Iterations[[#This Row],[Step]] &gt; current_step, "",Iterations[[#This Row],[b]]))</f>
        <v>0.39411952504754189</v>
      </c>
      <c r="I576" s="2">
        <f ca="1">IF(Iterations[[#This Row],[Step]] =current_step, current_c,IF(Iterations[[#This Row],[Step]] &gt; current_step, "",Iterations[[#This Row],[c]]))</f>
        <v>20.503360421681386</v>
      </c>
      <c r="J576" s="2">
        <f ca="1">IF(Iterations[[#This Row],[Step]] =current_step, current_d,IF(Iterations[[#This Row],[Step]] &gt; current_step, "",Iterations[[#This Row],[d]]))</f>
        <v>1.1628159055067009</v>
      </c>
      <c r="K576" s="2">
        <f ca="1">IF(Iterations[[#This Row],[Step]] =current_step, current_e,IF(Iterations[[#This Row],[Step]] &gt; current_step, "",Iterations[[#This Row],[e]]))</f>
        <v>11.569107797321937</v>
      </c>
      <c r="L576" s="2">
        <f ca="1">IF(Iterations[[#This Row],[Step]] =current_step, current_Total_Loss,IF(Iterations[[#This Row],[Step]] &gt; current_step, "",Iterations[[#This Row],[Total Loss]]))</f>
        <v>91.2</v>
      </c>
      <c r="M576" s="6" t="s">
        <v>27</v>
      </c>
      <c r="N576" s="2">
        <f ca="1">IF(Iterations[[#This Row],[Step]] =current_step, current_Grad_a,IF(Iterations[[#This Row],[Step]] &gt; current_step, "",Iterations[[#This Row],[Grad_a]]))</f>
        <v>2.8954050134895493E-2</v>
      </c>
      <c r="O576" s="2">
        <f ca="1">IF(Iterations[[#This Row],[Step]] =current_step, current_Grad_b,IF(Iterations[[#This Row],[Step]] &gt; current_step, "",Iterations[[#This Row],[Grad_b]]))</f>
        <v>5.033893508305372E-3</v>
      </c>
      <c r="P576" s="2">
        <f ca="1">IF(Iterations[[#This Row],[Step]] =current_step, current_Grad_c,IF(Iterations[[#This Row],[Step]] &gt; current_step, "",Iterations[[#This Row],[Grad_c]]))</f>
        <v>-8.122250248030273E-2</v>
      </c>
      <c r="Q576" s="2">
        <f ca="1">IF(Iterations[[#This Row],[Step]] =current_step, current_Grad_d,IF(Iterations[[#This Row],[Step]] &gt; current_step, "",Iterations[[#This Row],[Grad_d]]))</f>
        <v>-4.6052754611111291E-3</v>
      </c>
      <c r="R576" s="2">
        <f ca="1">IF(Iterations[[#This Row],[Step]] =current_step, current_Grad_e,IF(Iterations[[#This Row],[Step]] &gt; current_step, "",Iterations[[#This Row],[Grad_e]]))</f>
        <v>2.8966709559598139E-2</v>
      </c>
    </row>
    <row r="577" spans="6:18" x14ac:dyDescent="0.3">
      <c r="F577" s="2">
        <f t="shared" si="11"/>
        <v>560</v>
      </c>
      <c r="G577" s="2">
        <f ca="1">IF(Iterations[[#This Row],[Step]] =current_step, current_a,IF(Iterations[[#This Row],[Step]] &gt; current_step, "",Iterations[[#This Row],[a]]))</f>
        <v>-7.0130732606959665</v>
      </c>
      <c r="H577" s="2">
        <f ca="1">IF(Iterations[[#This Row],[Step]] =current_step, current_b,IF(Iterations[[#This Row],[Step]] &gt; current_step, "",Iterations[[#This Row],[b]]))</f>
        <v>0.39376715250196048</v>
      </c>
      <c r="I577" s="2">
        <f ca="1">IF(Iterations[[#This Row],[Step]] =current_step, current_c,IF(Iterations[[#This Row],[Step]] &gt; current_step, "",Iterations[[#This Row],[c]]))</f>
        <v>20.509045996855008</v>
      </c>
      <c r="J577" s="2">
        <f ca="1">IF(Iterations[[#This Row],[Step]] =current_step, current_d,IF(Iterations[[#This Row],[Step]] &gt; current_step, "",Iterations[[#This Row],[d]]))</f>
        <v>1.1631382747889787</v>
      </c>
      <c r="K577" s="2">
        <f ca="1">IF(Iterations[[#This Row],[Step]] =current_step, current_e,IF(Iterations[[#This Row],[Step]] &gt; current_step, "",Iterations[[#This Row],[e]]))</f>
        <v>11.567080127652765</v>
      </c>
      <c r="L577" s="2">
        <f ca="1">IF(Iterations[[#This Row],[Step]] =current_step, current_Total_Loss,IF(Iterations[[#This Row],[Step]] &gt; current_step, "",Iterations[[#This Row],[Total Loss]]))</f>
        <v>91.19</v>
      </c>
      <c r="M577" s="6" t="s">
        <v>27</v>
      </c>
      <c r="N577" s="2">
        <f ca="1">IF(Iterations[[#This Row],[Step]] =current_step, current_Grad_a,IF(Iterations[[#This Row],[Step]] &gt; current_step, "",Iterations[[#This Row],[Grad_a]]))</f>
        <v>2.8758117611721534E-2</v>
      </c>
      <c r="O577" s="2">
        <f ca="1">IF(Iterations[[#This Row],[Step]] =current_step, current_Grad_b,IF(Iterations[[#This Row],[Step]] &gt; current_step, "",Iterations[[#This Row],[Grad_b]]))</f>
        <v>5.0000052954756553E-3</v>
      </c>
      <c r="P577" s="2">
        <f ca="1">IF(Iterations[[#This Row],[Step]] =current_step, current_Grad_c,IF(Iterations[[#This Row],[Step]] &gt; current_step, "",Iterations[[#This Row],[Grad_c]]))</f>
        <v>-8.0672833487133069E-2</v>
      </c>
      <c r="Q577" s="2">
        <f ca="1">IF(Iterations[[#This Row],[Step]] =current_step, current_Grad_d,IF(Iterations[[#This Row],[Step]] &gt; current_step, "",Iterations[[#This Row],[Grad_d]]))</f>
        <v>-4.574485181622478E-3</v>
      </c>
      <c r="R577" s="2">
        <f ca="1">IF(Iterations[[#This Row],[Step]] =current_step, current_Grad_e,IF(Iterations[[#This Row],[Step]] &gt; current_step, "",Iterations[[#This Row],[Grad_e]]))</f>
        <v>2.877067359192351E-2</v>
      </c>
    </row>
    <row r="578" spans="6:18" x14ac:dyDescent="0.3">
      <c r="F578" s="2">
        <f t="shared" si="11"/>
        <v>561</v>
      </c>
      <c r="G578" s="2">
        <f ca="1">IF(Iterations[[#This Row],[Step]] =current_step, current_a,IF(Iterations[[#This Row],[Step]] &gt; current_step, "",Iterations[[#This Row],[a]]))</f>
        <v>-7.0150863289287866</v>
      </c>
      <c r="H578" s="2">
        <f ca="1">IF(Iterations[[#This Row],[Step]] =current_step, current_b,IF(Iterations[[#This Row],[Step]] &gt; current_step, "",Iterations[[#This Row],[b]]))</f>
        <v>0.3934171521312772</v>
      </c>
      <c r="I578" s="2">
        <f ca="1">IF(Iterations[[#This Row],[Step]] =current_step, current_c,IF(Iterations[[#This Row],[Step]] &gt; current_step, "",Iterations[[#This Row],[c]]))</f>
        <v>20.514693095199107</v>
      </c>
      <c r="J578" s="2">
        <f ca="1">IF(Iterations[[#This Row],[Step]] =current_step, current_d,IF(Iterations[[#This Row],[Step]] &gt; current_step, "",Iterations[[#This Row],[d]]))</f>
        <v>1.1634584887516923</v>
      </c>
      <c r="K578" s="2">
        <f ca="1">IF(Iterations[[#This Row],[Step]] =current_step, current_e,IF(Iterations[[#This Row],[Step]] &gt; current_step, "",Iterations[[#This Row],[e]]))</f>
        <v>11.565066180501331</v>
      </c>
      <c r="L578" s="2">
        <f ca="1">IF(Iterations[[#This Row],[Step]] =current_step, current_Total_Loss,IF(Iterations[[#This Row],[Step]] &gt; current_step, "",Iterations[[#This Row],[Total Loss]]))</f>
        <v>91.18</v>
      </c>
      <c r="M578" s="6" t="s">
        <v>27</v>
      </c>
      <c r="N578" s="2">
        <f ca="1">IF(Iterations[[#This Row],[Step]] =current_step, current_Grad_a,IF(Iterations[[#This Row],[Step]] &gt; current_step, "",Iterations[[#This Row],[Grad_a]]))</f>
        <v>2.8563510938723669E-2</v>
      </c>
      <c r="O578" s="2">
        <f ca="1">IF(Iterations[[#This Row],[Step]] =current_step, current_Grad_b,IF(Iterations[[#This Row],[Step]] &gt; current_step, "",Iterations[[#This Row],[Grad_b]]))</f>
        <v>4.9663432592861323E-3</v>
      </c>
      <c r="P578" s="2">
        <f ca="1">IF(Iterations[[#This Row],[Step]] =current_step, current_Grad_c,IF(Iterations[[#This Row],[Step]] &gt; current_step, "",Iterations[[#This Row],[Grad_c]]))</f>
        <v>-8.0126884657558961E-2</v>
      </c>
      <c r="Q578" s="2">
        <f ca="1">IF(Iterations[[#This Row],[Step]] =current_step, current_Grad_d,IF(Iterations[[#This Row],[Step]] &gt; current_step, "",Iterations[[#This Row],[Grad_d]]))</f>
        <v>-4.5438965963035356E-3</v>
      </c>
      <c r="R578" s="2">
        <f ca="1">IF(Iterations[[#This Row],[Step]] =current_step, current_Grad_e,IF(Iterations[[#This Row],[Step]] &gt; current_step, "",Iterations[[#This Row],[Grad_e]]))</f>
        <v>2.8575964491315671E-2</v>
      </c>
    </row>
    <row r="579" spans="6:18" x14ac:dyDescent="0.3">
      <c r="F579" s="2">
        <f t="shared" si="11"/>
        <v>562</v>
      </c>
      <c r="G579" s="2">
        <f ca="1">IF(Iterations[[#This Row],[Step]] =current_step, current_a,IF(Iterations[[#This Row],[Step]] &gt; current_step, "",Iterations[[#This Row],[a]]))</f>
        <v>-7.0170857746944977</v>
      </c>
      <c r="H579" s="2">
        <f ca="1">IF(Iterations[[#This Row],[Step]] =current_step, current_b,IF(Iterations[[#This Row],[Step]] &gt; current_step, "",Iterations[[#This Row],[b]]))</f>
        <v>0.39306950810312719</v>
      </c>
      <c r="I579" s="2">
        <f ca="1">IF(Iterations[[#This Row],[Step]] =current_step, current_c,IF(Iterations[[#This Row],[Step]] &gt; current_step, "",Iterations[[#This Row],[c]]))</f>
        <v>20.520301977125136</v>
      </c>
      <c r="J579" s="2">
        <f ca="1">IF(Iterations[[#This Row],[Step]] =current_step, current_d,IF(Iterations[[#This Row],[Step]] &gt; current_step, "",Iterations[[#This Row],[d]]))</f>
        <v>1.1637765615134337</v>
      </c>
      <c r="K579" s="2">
        <f ca="1">IF(Iterations[[#This Row],[Step]] =current_step, current_e,IF(Iterations[[#This Row],[Step]] &gt; current_step, "",Iterations[[#This Row],[e]]))</f>
        <v>11.563065862986939</v>
      </c>
      <c r="L579" s="2">
        <f ca="1">IF(Iterations[[#This Row],[Step]] =current_step, current_Total_Loss,IF(Iterations[[#This Row],[Step]] &gt; current_step, "",Iterations[[#This Row],[Total Loss]]))</f>
        <v>91.17</v>
      </c>
      <c r="M579" s="6" t="s">
        <v>27</v>
      </c>
      <c r="N579" s="2">
        <f ca="1">IF(Iterations[[#This Row],[Step]] =current_step, current_Grad_a,IF(Iterations[[#This Row],[Step]] &gt; current_step, "",Iterations[[#This Row],[Grad_a]]))</f>
        <v>2.8370221144684918E-2</v>
      </c>
      <c r="O579" s="2">
        <f ca="1">IF(Iterations[[#This Row],[Step]] =current_step, current_Grad_b,IF(Iterations[[#This Row],[Step]] &gt; current_step, "",Iterations[[#This Row],[Grad_b]]))</f>
        <v>4.9329059252659502E-3</v>
      </c>
      <c r="P579" s="2">
        <f ca="1">IF(Iterations[[#This Row],[Step]] =current_step, current_Grad_c,IF(Iterations[[#This Row],[Step]] &gt; current_step, "",Iterations[[#This Row],[Grad_c]]))</f>
        <v>-7.9584630807945381E-2</v>
      </c>
      <c r="Q579" s="2">
        <f ca="1">IF(Iterations[[#This Row],[Step]] =current_step, current_Grad_d,IF(Iterations[[#This Row],[Step]] &gt; current_step, "",Iterations[[#This Row],[Grad_d]]))</f>
        <v>-4.5135084590842822E-3</v>
      </c>
      <c r="R579" s="2">
        <f ca="1">IF(Iterations[[#This Row],[Step]] =current_step, current_Grad_e,IF(Iterations[[#This Row],[Step]] &gt; current_step, "",Iterations[[#This Row],[Grad_e]]))</f>
        <v>2.8382573273920957E-2</v>
      </c>
    </row>
    <row r="580" spans="6:18" x14ac:dyDescent="0.3">
      <c r="F580" s="2">
        <f t="shared" si="11"/>
        <v>563</v>
      </c>
      <c r="G580" s="2">
        <f ca="1">IF(Iterations[[#This Row],[Step]] =current_step, current_a,IF(Iterations[[#This Row],[Step]] &gt; current_step, "",Iterations[[#This Row],[a]]))</f>
        <v>-7.0190716901746253</v>
      </c>
      <c r="H580" s="2">
        <f ca="1">IF(Iterations[[#This Row],[Step]] =current_step, current_b,IF(Iterations[[#This Row],[Step]] &gt; current_step, "",Iterations[[#This Row],[b]]))</f>
        <v>0.39272420468835856</v>
      </c>
      <c r="I580" s="2">
        <f ca="1">IF(Iterations[[#This Row],[Step]] =current_step, current_c,IF(Iterations[[#This Row],[Step]] &gt; current_step, "",Iterations[[#This Row],[c]]))</f>
        <v>20.525872901281691</v>
      </c>
      <c r="J580" s="2">
        <f ca="1">IF(Iterations[[#This Row],[Step]] =current_step, current_d,IF(Iterations[[#This Row],[Step]] &gt; current_step, "",Iterations[[#This Row],[d]]))</f>
        <v>1.1640925071055697</v>
      </c>
      <c r="K580" s="2">
        <f ca="1">IF(Iterations[[#This Row],[Step]] =current_step, current_e,IF(Iterations[[#This Row],[Step]] &gt; current_step, "",Iterations[[#This Row],[e]]))</f>
        <v>11.561079082857765</v>
      </c>
      <c r="L580" s="2">
        <f ca="1">IF(Iterations[[#This Row],[Step]] =current_step, current_Total_Loss,IF(Iterations[[#This Row],[Step]] &gt; current_step, "",Iterations[[#This Row],[Total Loss]]))</f>
        <v>91.16</v>
      </c>
      <c r="M580" s="6" t="s">
        <v>27</v>
      </c>
      <c r="N580" s="2">
        <f ca="1">IF(Iterations[[#This Row],[Step]] =current_step, current_Grad_a,IF(Iterations[[#This Row],[Step]] &gt; current_step, "",Iterations[[#This Row],[Grad_a]]))</f>
        <v>2.8178239318883587E-2</v>
      </c>
      <c r="O580" s="2">
        <f ca="1">IF(Iterations[[#This Row],[Step]] =current_step, current_Grad_b,IF(Iterations[[#This Row],[Step]] &gt; current_step, "",Iterations[[#This Row],[Grad_b]]))</f>
        <v>4.8996918279502972E-3</v>
      </c>
      <c r="P580" s="2">
        <f ca="1">IF(Iterations[[#This Row],[Step]] =current_step, current_Grad_c,IF(Iterations[[#This Row],[Step]] &gt; current_step, "",Iterations[[#This Row],[Grad_c]]))</f>
        <v>-7.9046046925320995E-2</v>
      </c>
      <c r="Q580" s="2">
        <f ca="1">IF(Iterations[[#This Row],[Step]] =current_step, current_Grad_d,IF(Iterations[[#This Row],[Step]] &gt; current_step, "",Iterations[[#This Row],[Grad_d]]))</f>
        <v>-4.4833195302025463E-3</v>
      </c>
      <c r="R580" s="2">
        <f ca="1">IF(Iterations[[#This Row],[Step]] =current_step, current_Grad_e,IF(Iterations[[#This Row],[Step]] &gt; current_step, "",Iterations[[#This Row],[Grad_e]]))</f>
        <v>2.8190491016727312E-2</v>
      </c>
    </row>
    <row r="581" spans="6:18" x14ac:dyDescent="0.3">
      <c r="F581" s="2">
        <f t="shared" si="11"/>
        <v>564</v>
      </c>
      <c r="G581" s="2">
        <f ca="1">IF(Iterations[[#This Row],[Step]] =current_step, current_a,IF(Iterations[[#This Row],[Step]] &gt; current_step, "",Iterations[[#This Row],[a]]))</f>
        <v>-7.0210441669269468</v>
      </c>
      <c r="H581" s="2">
        <f ca="1">IF(Iterations[[#This Row],[Step]] =current_step, current_b,IF(Iterations[[#This Row],[Step]] &gt; current_step, "",Iterations[[#This Row],[b]]))</f>
        <v>0.39238122626040206</v>
      </c>
      <c r="I581" s="2">
        <f ca="1">IF(Iterations[[#This Row],[Step]] =current_step, current_c,IF(Iterations[[#This Row],[Step]] &gt; current_step, "",Iterations[[#This Row],[c]]))</f>
        <v>20.531406124566463</v>
      </c>
      <c r="J581" s="2">
        <f ca="1">IF(Iterations[[#This Row],[Step]] =current_step, current_d,IF(Iterations[[#This Row],[Step]] &gt; current_step, "",Iterations[[#This Row],[d]]))</f>
        <v>1.1644063394726838</v>
      </c>
      <c r="K581" s="2">
        <f ca="1">IF(Iterations[[#This Row],[Step]] =current_step, current_e,IF(Iterations[[#This Row],[Step]] &gt; current_step, "",Iterations[[#This Row],[e]]))</f>
        <v>11.559105748486594</v>
      </c>
      <c r="L581" s="2">
        <f ca="1">IF(Iterations[[#This Row],[Step]] =current_step, current_Total_Loss,IF(Iterations[[#This Row],[Step]] &gt; current_step, "",Iterations[[#This Row],[Total Loss]]))</f>
        <v>91.15</v>
      </c>
      <c r="M581" s="6" t="s">
        <v>27</v>
      </c>
      <c r="N581" s="2">
        <f ca="1">IF(Iterations[[#This Row],[Step]] =current_step, current_Grad_a,IF(Iterations[[#This Row],[Step]] &gt; current_step, "",Iterations[[#This Row],[Grad_a]]))</f>
        <v>2.7987556610960321E-2</v>
      </c>
      <c r="O581" s="2">
        <f ca="1">IF(Iterations[[#This Row],[Step]] =current_step, current_Grad_b,IF(Iterations[[#This Row],[Step]] &gt; current_step, "",Iterations[[#This Row],[Grad_b]]))</f>
        <v>4.8666995107902056E-3</v>
      </c>
      <c r="P581" s="2">
        <f ca="1">IF(Iterations[[#This Row],[Step]] =current_step, current_Grad_c,IF(Iterations[[#This Row],[Step]] &gt; current_step, "",Iterations[[#This Row],[Grad_c]]))</f>
        <v>-7.8511108166100893E-2</v>
      </c>
      <c r="Q581" s="2">
        <f ca="1">IF(Iterations[[#This Row],[Step]] =current_step, current_Grad_d,IF(Iterations[[#This Row],[Step]] &gt; current_step, "",Iterations[[#This Row],[Grad_d]]))</f>
        <v>-4.4533285762113906E-3</v>
      </c>
      <c r="R581" s="2">
        <f ca="1">IF(Iterations[[#This Row],[Step]] =current_step, current_Grad_e,IF(Iterations[[#This Row],[Step]] &gt; current_step, "",Iterations[[#This Row],[Grad_e]]))</f>
        <v>2.7999708857204278E-2</v>
      </c>
    </row>
    <row r="582" spans="6:18" x14ac:dyDescent="0.3">
      <c r="F582" s="2">
        <f t="shared" si="11"/>
        <v>565</v>
      </c>
      <c r="G582" s="2">
        <f ca="1">IF(Iterations[[#This Row],[Step]] =current_step, current_a,IF(Iterations[[#This Row],[Step]] &gt; current_step, "",Iterations[[#This Row],[a]]))</f>
        <v>-7.0230032958897137</v>
      </c>
      <c r="H582" s="2">
        <f ca="1">IF(Iterations[[#This Row],[Step]] =current_step, current_b,IF(Iterations[[#This Row],[Step]] &gt; current_step, "",Iterations[[#This Row],[b]]))</f>
        <v>0.39204055729464676</v>
      </c>
      <c r="I582" s="2">
        <f ca="1">IF(Iterations[[#This Row],[Step]] =current_step, current_c,IF(Iterations[[#This Row],[Step]] &gt; current_step, "",Iterations[[#This Row],[c]]))</f>
        <v>20.536901902138091</v>
      </c>
      <c r="J582" s="2">
        <f ca="1">IF(Iterations[[#This Row],[Step]] =current_step, current_d,IF(Iterations[[#This Row],[Step]] &gt; current_step, "",Iterations[[#This Row],[d]]))</f>
        <v>1.1647180724730186</v>
      </c>
      <c r="K582" s="2">
        <f ca="1">IF(Iterations[[#This Row],[Step]] =current_step, current_e,IF(Iterations[[#This Row],[Step]] &gt; current_step, "",Iterations[[#This Row],[e]]))</f>
        <v>11.55714576886659</v>
      </c>
      <c r="L582" s="2">
        <f ca="1">IF(Iterations[[#This Row],[Step]] =current_step, current_Total_Loss,IF(Iterations[[#This Row],[Step]] &gt; current_step, "",Iterations[[#This Row],[Total Loss]]))</f>
        <v>91.14</v>
      </c>
      <c r="M582" s="6" t="s">
        <v>27</v>
      </c>
      <c r="N582" s="2">
        <f ca="1">IF(Iterations[[#This Row],[Step]] =current_step, current_Grad_a,IF(Iterations[[#This Row],[Step]] &gt; current_step, "",Iterations[[#This Row],[Grad_a]]))</f>
        <v>2.7798164230441975E-2</v>
      </c>
      <c r="O582" s="2">
        <f ca="1">IF(Iterations[[#This Row],[Step]] =current_step, current_Grad_b,IF(Iterations[[#This Row],[Step]] &gt; current_step, "",Iterations[[#This Row],[Grad_b]]))</f>
        <v>4.8339275261352933E-3</v>
      </c>
      <c r="P582" s="2">
        <f ca="1">IF(Iterations[[#This Row],[Step]] =current_step, current_Grad_c,IF(Iterations[[#This Row],[Step]] &gt; current_step, "",Iterations[[#This Row],[Grad_c]]))</f>
        <v>-7.7979789854967951E-2</v>
      </c>
      <c r="Q582" s="2">
        <f ca="1">IF(Iterations[[#This Row],[Step]] =current_step, current_Grad_d,IF(Iterations[[#This Row],[Step]] &gt; current_step, "",Iterations[[#This Row],[Grad_d]]))</f>
        <v>-4.4235343699664774E-3</v>
      </c>
      <c r="R582" s="2">
        <f ca="1">IF(Iterations[[#This Row],[Step]] =current_step, current_Grad_e,IF(Iterations[[#This Row],[Step]] &gt; current_step, "",Iterations[[#This Row],[Grad_e]]))</f>
        <v>2.7810217992880304E-2</v>
      </c>
    </row>
    <row r="583" spans="6:18" x14ac:dyDescent="0.3">
      <c r="F583" s="2">
        <f t="shared" si="11"/>
        <v>566</v>
      </c>
      <c r="G583" s="2">
        <f ca="1">IF(Iterations[[#This Row],[Step]] =current_step, current_a,IF(Iterations[[#This Row],[Step]] &gt; current_step, "",Iterations[[#This Row],[a]]))</f>
        <v>-7.0249491673858451</v>
      </c>
      <c r="H583" s="2">
        <f ca="1">IF(Iterations[[#This Row],[Step]] =current_step, current_b,IF(Iterations[[#This Row],[Step]] &gt; current_step, "",Iterations[[#This Row],[b]]))</f>
        <v>0.39170218236781729</v>
      </c>
      <c r="I583" s="2">
        <f ca="1">IF(Iterations[[#This Row],[Step]] =current_step, current_c,IF(Iterations[[#This Row],[Step]] &gt; current_step, "",Iterations[[#This Row],[c]]))</f>
        <v>20.542360487427938</v>
      </c>
      <c r="J583" s="2">
        <f ca="1">IF(Iterations[[#This Row],[Step]] =current_step, current_d,IF(Iterations[[#This Row],[Step]] &gt; current_step, "",Iterations[[#This Row],[d]]))</f>
        <v>1.1650277198789163</v>
      </c>
      <c r="K583" s="2">
        <f ca="1">IF(Iterations[[#This Row],[Step]] =current_step, current_e,IF(Iterations[[#This Row],[Step]] &gt; current_step, "",Iterations[[#This Row],[e]]))</f>
        <v>11.555199053607089</v>
      </c>
      <c r="L583" s="2">
        <f ca="1">IF(Iterations[[#This Row],[Step]] =current_step, current_Total_Loss,IF(Iterations[[#This Row],[Step]] &gt; current_step, "",Iterations[[#This Row],[Total Loss]]))</f>
        <v>91.13</v>
      </c>
      <c r="M583" s="6" t="s">
        <v>27</v>
      </c>
      <c r="N583" s="2">
        <f ca="1">IF(Iterations[[#This Row],[Step]] =current_step, current_Grad_a,IF(Iterations[[#This Row],[Step]] &gt; current_step, "",Iterations[[#This Row],[Grad_a]]))</f>
        <v>2.7610053446210456E-2</v>
      </c>
      <c r="O583" s="2">
        <f ca="1">IF(Iterations[[#This Row],[Step]] =current_step, current_Grad_b,IF(Iterations[[#This Row],[Step]] &gt; current_step, "",Iterations[[#This Row],[Grad_b]]))</f>
        <v>4.8013744352133842E-3</v>
      </c>
      <c r="P583" s="2">
        <f ca="1">IF(Iterations[[#This Row],[Step]] =current_step, current_Grad_c,IF(Iterations[[#This Row],[Step]] &gt; current_step, "",Iterations[[#This Row],[Grad_c]]))</f>
        <v>-7.7452067483785803E-2</v>
      </c>
      <c r="Q583" s="2">
        <f ca="1">IF(Iterations[[#This Row],[Step]] =current_step, current_Grad_d,IF(Iterations[[#This Row],[Step]] &gt; current_step, "",Iterations[[#This Row],[Grad_d]]))</f>
        <v>-4.3939356906094063E-3</v>
      </c>
      <c r="R583" s="2">
        <f ca="1">IF(Iterations[[#This Row],[Step]] =current_step, current_Grad_e,IF(Iterations[[#This Row],[Step]] &gt; current_step, "",Iterations[[#This Row],[Grad_e]]))</f>
        <v>2.7622009680907073E-2</v>
      </c>
    </row>
    <row r="584" spans="6:18" x14ac:dyDescent="0.3">
      <c r="F584" s="2">
        <f t="shared" si="11"/>
        <v>567</v>
      </c>
      <c r="G584" s="2">
        <f ca="1">IF(Iterations[[#This Row],[Step]] =current_step, current_a,IF(Iterations[[#This Row],[Step]] &gt; current_step, "",Iterations[[#This Row],[a]]))</f>
        <v>-7.0268818711270802</v>
      </c>
      <c r="H584" s="2">
        <f ca="1">IF(Iterations[[#This Row],[Step]] =current_step, current_b,IF(Iterations[[#This Row],[Step]] &gt; current_step, "",Iterations[[#This Row],[b]]))</f>
        <v>0.39136608615735236</v>
      </c>
      <c r="I584" s="2">
        <f ca="1">IF(Iterations[[#This Row],[Step]] =current_step, current_c,IF(Iterations[[#This Row],[Step]] &gt; current_step, "",Iterations[[#This Row],[c]]))</f>
        <v>20.547782132151802</v>
      </c>
      <c r="J584" s="2">
        <f ca="1">IF(Iterations[[#This Row],[Step]] =current_step, current_d,IF(Iterations[[#This Row],[Step]] &gt; current_step, "",Iterations[[#This Row],[d]]))</f>
        <v>1.1653352953772589</v>
      </c>
      <c r="K584" s="2">
        <f ca="1">IF(Iterations[[#This Row],[Step]] =current_step, current_e,IF(Iterations[[#This Row],[Step]] &gt; current_step, "",Iterations[[#This Row],[e]]))</f>
        <v>11.553265512929425</v>
      </c>
      <c r="L584" s="2">
        <f ca="1">IF(Iterations[[#This Row],[Step]] =current_step, current_Total_Loss,IF(Iterations[[#This Row],[Step]] &gt; current_step, "",Iterations[[#This Row],[Total Loss]]))</f>
        <v>91.12</v>
      </c>
      <c r="M584" s="6" t="s">
        <v>27</v>
      </c>
      <c r="N584" s="2">
        <f ca="1">IF(Iterations[[#This Row],[Step]] =current_step, current_Grad_a,IF(Iterations[[#This Row],[Step]] &gt; current_step, "",Iterations[[#This Row],[Grad_a]]))</f>
        <v>2.742321558643061E-2</v>
      </c>
      <c r="O584" s="2">
        <f ca="1">IF(Iterations[[#This Row],[Step]] =current_step, current_Grad_b,IF(Iterations[[#This Row],[Step]] &gt; current_step, "",Iterations[[#This Row],[Grad_b]]))</f>
        <v>4.7690388079997996E-3</v>
      </c>
      <c r="P584" s="2">
        <f ca="1">IF(Iterations[[#This Row],[Step]] =current_step, current_Grad_c,IF(Iterations[[#This Row],[Step]] &gt; current_step, "",Iterations[[#This Row],[Grad_c]]))</f>
        <v>-7.6927916710320482E-2</v>
      </c>
      <c r="Q584" s="2">
        <f ca="1">IF(Iterations[[#This Row],[Step]] =current_step, current_Grad_d,IF(Iterations[[#This Row],[Step]] &gt; current_step, "",Iterations[[#This Row],[Grad_d]]))</f>
        <v>-4.3645313235967965E-3</v>
      </c>
      <c r="R584" s="2">
        <f ca="1">IF(Iterations[[#This Row],[Step]] =current_step, current_Grad_e,IF(Iterations[[#This Row],[Step]] &gt; current_step, "",Iterations[[#This Row],[Grad_e]]))</f>
        <v>2.74350752377279E-2</v>
      </c>
    </row>
    <row r="585" spans="6:18" x14ac:dyDescent="0.3">
      <c r="F585" s="2">
        <f t="shared" si="11"/>
        <v>568</v>
      </c>
      <c r="G585" s="2">
        <f ca="1">IF(Iterations[[#This Row],[Step]] =current_step, current_a,IF(Iterations[[#This Row],[Step]] &gt; current_step, "",Iterations[[#This Row],[a]]))</f>
        <v>-7.0288014962181302</v>
      </c>
      <c r="H585" s="2">
        <f ca="1">IF(Iterations[[#This Row],[Step]] =current_step, current_b,IF(Iterations[[#This Row],[Step]] &gt; current_step, "",Iterations[[#This Row],[b]]))</f>
        <v>0.39103225344079234</v>
      </c>
      <c r="I585" s="2">
        <f ca="1">IF(Iterations[[#This Row],[Step]] =current_step, current_c,IF(Iterations[[#This Row],[Step]] &gt; current_step, "",Iterations[[#This Row],[c]]))</f>
        <v>20.553167086321526</v>
      </c>
      <c r="J585" s="2">
        <f ca="1">IF(Iterations[[#This Row],[Step]] =current_step, current_d,IF(Iterations[[#This Row],[Step]] &gt; current_step, "",Iterations[[#This Row],[d]]))</f>
        <v>1.1656408125699107</v>
      </c>
      <c r="K585" s="2">
        <f ca="1">IF(Iterations[[#This Row],[Step]] =current_step, current_e,IF(Iterations[[#This Row],[Step]] &gt; current_step, "",Iterations[[#This Row],[e]]))</f>
        <v>11.551345057662784</v>
      </c>
      <c r="L585" s="2">
        <f ca="1">IF(Iterations[[#This Row],[Step]] =current_step, current_Total_Loss,IF(Iterations[[#This Row],[Step]] &gt; current_step, "",Iterations[[#This Row],[Total Loss]]))</f>
        <v>91.11</v>
      </c>
      <c r="M585" s="6" t="s">
        <v>27</v>
      </c>
      <c r="N585" s="2">
        <f ca="1">IF(Iterations[[#This Row],[Step]] =current_step, current_Grad_a,IF(Iterations[[#This Row],[Step]] &gt; current_step, "",Iterations[[#This Row],[Grad_a]]))</f>
        <v>2.7237642037797452E-2</v>
      </c>
      <c r="O585" s="2">
        <f ca="1">IF(Iterations[[#This Row],[Step]] =current_step, current_Grad_b,IF(Iterations[[#This Row],[Step]] &gt; current_step, "",Iterations[[#This Row],[Grad_b]]))</f>
        <v>4.7369192232724865E-3</v>
      </c>
      <c r="P585" s="2">
        <f ca="1">IF(Iterations[[#This Row],[Step]] =current_step, current_Grad_c,IF(Iterations[[#This Row],[Step]] &gt; current_step, "",Iterations[[#This Row],[Grad_c]]))</f>
        <v>-7.6407313357270121E-2</v>
      </c>
      <c r="Q585" s="2">
        <f ca="1">IF(Iterations[[#This Row],[Step]] =current_step, current_Grad_d,IF(Iterations[[#This Row],[Step]] &gt; current_step, "",Iterations[[#This Row],[Grad_d]]))</f>
        <v>-4.3353200606519472E-3</v>
      </c>
      <c r="R585" s="2">
        <f ca="1">IF(Iterations[[#This Row],[Step]] =current_step, current_Grad_e,IF(Iterations[[#This Row],[Step]] &gt; current_step, "",Iterations[[#This Row],[Grad_e]]))</f>
        <v>2.7249406038597022E-2</v>
      </c>
    </row>
    <row r="586" spans="6:18" x14ac:dyDescent="0.3">
      <c r="F586" s="2">
        <f t="shared" si="11"/>
        <v>569</v>
      </c>
      <c r="G586" s="2">
        <f ca="1">IF(Iterations[[#This Row],[Step]] =current_step, current_a,IF(Iterations[[#This Row],[Step]] &gt; current_step, "",Iterations[[#This Row],[a]]))</f>
        <v>-7.0307081311607762</v>
      </c>
      <c r="H586" s="2">
        <f ca="1">IF(Iterations[[#This Row],[Step]] =current_step, current_b,IF(Iterations[[#This Row],[Step]] &gt; current_step, "",Iterations[[#This Row],[b]]))</f>
        <v>0.39070066909516327</v>
      </c>
      <c r="I586" s="2">
        <f ca="1">IF(Iterations[[#This Row],[Step]] =current_step, current_c,IF(Iterations[[#This Row],[Step]] &gt; current_step, "",Iterations[[#This Row],[c]]))</f>
        <v>20.558515598256534</v>
      </c>
      <c r="J586" s="2">
        <f ca="1">IF(Iterations[[#This Row],[Step]] =current_step, current_d,IF(Iterations[[#This Row],[Step]] &gt; current_step, "",Iterations[[#This Row],[d]]))</f>
        <v>1.1659442849741564</v>
      </c>
      <c r="K586" s="2">
        <f ca="1">IF(Iterations[[#This Row],[Step]] =current_step, current_e,IF(Iterations[[#This Row],[Step]] &gt; current_step, "",Iterations[[#This Row],[e]]))</f>
        <v>11.549437599240083</v>
      </c>
      <c r="L586" s="2">
        <f ca="1">IF(Iterations[[#This Row],[Step]] =current_step, current_Total_Loss,IF(Iterations[[#This Row],[Step]] &gt; current_step, "",Iterations[[#This Row],[Total Loss]]))</f>
        <v>91.1</v>
      </c>
      <c r="M586" s="6" t="s">
        <v>27</v>
      </c>
      <c r="N586" s="2">
        <f ca="1">IF(Iterations[[#This Row],[Step]] =current_step, current_Grad_a,IF(Iterations[[#This Row],[Step]] &gt; current_step, "",Iterations[[#This Row],[Grad_a]]))</f>
        <v>2.7053324245181563E-2</v>
      </c>
      <c r="O586" s="2">
        <f ca="1">IF(Iterations[[#This Row],[Step]] =current_step, current_Grad_b,IF(Iterations[[#This Row],[Step]] &gt; current_step, "",Iterations[[#This Row],[Grad_b]]))</f>
        <v>4.7050142685461684E-3</v>
      </c>
      <c r="P586" s="2">
        <f ca="1">IF(Iterations[[#This Row],[Step]] =current_step, current_Grad_c,IF(Iterations[[#This Row],[Step]] &gt; current_step, "",Iterations[[#This Row],[Grad_c]]))</f>
        <v>-7.5890233411128341E-2</v>
      </c>
      <c r="Q586" s="2">
        <f ca="1">IF(Iterations[[#This Row],[Step]] =current_step, current_Grad_d,IF(Iterations[[#This Row],[Step]] &gt; current_step, "",Iterations[[#This Row],[Grad_d]]))</f>
        <v>-4.3063006997704116E-3</v>
      </c>
      <c r="R586" s="2">
        <f ca="1">IF(Iterations[[#This Row],[Step]] =current_step, current_Grad_e,IF(Iterations[[#This Row],[Step]] &gt; current_step, "",Iterations[[#This Row],[Grad_e]]))</f>
        <v>2.706499351718546E-2</v>
      </c>
    </row>
    <row r="587" spans="6:18" x14ac:dyDescent="0.3">
      <c r="F587" s="2">
        <f t="shared" si="11"/>
        <v>570</v>
      </c>
      <c r="G587" s="2">
        <f ca="1">IF(Iterations[[#This Row],[Step]] =current_step, current_a,IF(Iterations[[#This Row],[Step]] &gt; current_step, "",Iterations[[#This Row],[a]]))</f>
        <v>-7.0326018638579386</v>
      </c>
      <c r="H587" s="2">
        <f ca="1">IF(Iterations[[#This Row],[Step]] =current_step, current_b,IF(Iterations[[#This Row],[Step]] &gt; current_step, "",Iterations[[#This Row],[b]]))</f>
        <v>0.39037131809636505</v>
      </c>
      <c r="I587" s="2">
        <f ca="1">IF(Iterations[[#This Row],[Step]] =current_step, current_c,IF(Iterations[[#This Row],[Step]] &gt; current_step, "",Iterations[[#This Row],[c]]))</f>
        <v>20.563827914595311</v>
      </c>
      <c r="J587" s="2">
        <f ca="1">IF(Iterations[[#This Row],[Step]] =current_step, current_d,IF(Iterations[[#This Row],[Step]] &gt; current_step, "",Iterations[[#This Row],[d]]))</f>
        <v>1.1662457260231403</v>
      </c>
      <c r="K587" s="2">
        <f ca="1">IF(Iterations[[#This Row],[Step]] =current_step, current_e,IF(Iterations[[#This Row],[Step]] &gt; current_step, "",Iterations[[#This Row],[e]]))</f>
        <v>11.54754304969388</v>
      </c>
      <c r="L587" s="2">
        <f ca="1">IF(Iterations[[#This Row],[Step]] =current_step, current_Total_Loss,IF(Iterations[[#This Row],[Step]] &gt; current_step, "",Iterations[[#This Row],[Total Loss]]))</f>
        <v>91.09</v>
      </c>
      <c r="M587" s="6" t="s">
        <v>27</v>
      </c>
      <c r="N587" s="2">
        <f ca="1">IF(Iterations[[#This Row],[Step]] =current_step, current_Grad_a,IF(Iterations[[#This Row],[Step]] &gt; current_step, "",Iterations[[#This Row],[Grad_a]]))</f>
        <v>2.6870253711653341E-2</v>
      </c>
      <c r="O587" s="2">
        <f ca="1">IF(Iterations[[#This Row],[Step]] =current_step, current_Grad_b,IF(Iterations[[#This Row],[Step]] &gt; current_step, "",Iterations[[#This Row],[Grad_b]]))</f>
        <v>4.6733225399513169E-3</v>
      </c>
      <c r="P587" s="2">
        <f ca="1">IF(Iterations[[#This Row],[Step]] =current_step, current_Grad_c,IF(Iterations[[#This Row],[Step]] &gt; current_step, "",Iterations[[#This Row],[Grad_c]]))</f>
        <v>-7.5376653020890902E-2</v>
      </c>
      <c r="Q587" s="2">
        <f ca="1">IF(Iterations[[#This Row],[Step]] =current_step, current_Grad_d,IF(Iterations[[#This Row],[Step]] &gt; current_step, "",Iterations[[#This Row],[Grad_d]]))</f>
        <v>-4.2774720452355176E-3</v>
      </c>
      <c r="R587" s="2">
        <f ca="1">IF(Iterations[[#This Row],[Step]] =current_step, current_Grad_e,IF(Iterations[[#This Row],[Step]] &gt; current_step, "",Iterations[[#This Row],[Grad_e]]))</f>
        <v>2.6881829165280417E-2</v>
      </c>
    </row>
    <row r="588" spans="6:18" x14ac:dyDescent="0.3">
      <c r="F588" s="2">
        <f t="shared" si="11"/>
        <v>571</v>
      </c>
      <c r="G588" s="2">
        <f ca="1">IF(Iterations[[#This Row],[Step]] =current_step, current_a,IF(Iterations[[#This Row],[Step]] &gt; current_step, "",Iterations[[#This Row],[a]]))</f>
        <v>-7.0344827816177542</v>
      </c>
      <c r="H588" s="2">
        <f ca="1">IF(Iterations[[#This Row],[Step]] =current_step, current_b,IF(Iterations[[#This Row],[Step]] &gt; current_step, "",Iterations[[#This Row],[b]]))</f>
        <v>0.39004418551856845</v>
      </c>
      <c r="I588" s="2">
        <f ca="1">IF(Iterations[[#This Row],[Step]] =current_step, current_c,IF(Iterations[[#This Row],[Step]] &gt; current_step, "",Iterations[[#This Row],[c]]))</f>
        <v>20.569104280306775</v>
      </c>
      <c r="J588" s="2">
        <f ca="1">IF(Iterations[[#This Row],[Step]] =current_step, current_d,IF(Iterations[[#This Row],[Step]] &gt; current_step, "",Iterations[[#This Row],[d]]))</f>
        <v>1.1665451490663068</v>
      </c>
      <c r="K588" s="2">
        <f ca="1">IF(Iterations[[#This Row],[Step]] =current_step, current_e,IF(Iterations[[#This Row],[Step]] &gt; current_step, "",Iterations[[#This Row],[e]]))</f>
        <v>11.545661321652311</v>
      </c>
      <c r="L588" s="2">
        <f ca="1">IF(Iterations[[#This Row],[Step]] =current_step, current_Total_Loss,IF(Iterations[[#This Row],[Step]] &gt; current_step, "",Iterations[[#This Row],[Total Loss]]))</f>
        <v>91.08</v>
      </c>
      <c r="M588" s="6" t="s">
        <v>27</v>
      </c>
      <c r="N588" s="2">
        <f ca="1">IF(Iterations[[#This Row],[Step]] =current_step, current_Grad_a,IF(Iterations[[#This Row],[Step]] &gt; current_step, "",Iterations[[#This Row],[Grad_a]]))</f>
        <v>2.6688421997371339E-2</v>
      </c>
      <c r="O588" s="2">
        <f ca="1">IF(Iterations[[#This Row],[Step]] =current_step, current_Grad_b,IF(Iterations[[#This Row],[Step]] &gt; current_step, "",Iterations[[#This Row],[Grad_b]]))</f>
        <v>4.641842642329857E-3</v>
      </c>
      <c r="P588" s="2">
        <f ca="1">IF(Iterations[[#This Row],[Step]] =current_step, current_Grad_c,IF(Iterations[[#This Row],[Step]] &gt; current_step, "",Iterations[[#This Row],[Grad_c]]))</f>
        <v>-7.486654849726132E-2</v>
      </c>
      <c r="Q588" s="2">
        <f ca="1">IF(Iterations[[#This Row],[Step]] =current_step, current_Grad_d,IF(Iterations[[#This Row],[Step]] &gt; current_step, "",Iterations[[#This Row],[Grad_d]]))</f>
        <v>-4.24883290755997E-3</v>
      </c>
      <c r="R588" s="2">
        <f ca="1">IF(Iterations[[#This Row],[Step]] =current_step, current_Grad_e,IF(Iterations[[#This Row],[Step]] &gt; current_step, "",Iterations[[#This Row],[Grad_e]]))</f>
        <v>2.6699904532238843E-2</v>
      </c>
    </row>
    <row r="589" spans="6:18" x14ac:dyDescent="0.3">
      <c r="F589" s="2">
        <f t="shared" si="11"/>
        <v>572</v>
      </c>
      <c r="G589" s="2">
        <f ca="1">IF(Iterations[[#This Row],[Step]] =current_step, current_a,IF(Iterations[[#This Row],[Step]] &gt; current_step, "",Iterations[[#This Row],[a]]))</f>
        <v>-7.03635097115757</v>
      </c>
      <c r="H589" s="2">
        <f ca="1">IF(Iterations[[#This Row],[Step]] =current_step, current_b,IF(Iterations[[#This Row],[Step]] &gt; current_step, "",Iterations[[#This Row],[b]]))</f>
        <v>0.38971925653360534</v>
      </c>
      <c r="I589" s="2">
        <f ca="1">IF(Iterations[[#This Row],[Step]] =current_step, current_c,IF(Iterations[[#This Row],[Step]] &gt; current_step, "",Iterations[[#This Row],[c]]))</f>
        <v>20.574344938701582</v>
      </c>
      <c r="J589" s="2">
        <f ca="1">IF(Iterations[[#This Row],[Step]] =current_step, current_d,IF(Iterations[[#This Row],[Step]] &gt; current_step, "",Iterations[[#This Row],[d]]))</f>
        <v>1.1668425673698359</v>
      </c>
      <c r="K589" s="2">
        <f ca="1">IF(Iterations[[#This Row],[Step]] =current_step, current_e,IF(Iterations[[#This Row],[Step]] &gt; current_step, "",Iterations[[#This Row],[e]]))</f>
        <v>11.543792328335055</v>
      </c>
      <c r="L589" s="2">
        <f ca="1">IF(Iterations[[#This Row],[Step]] =current_step, current_Total_Loss,IF(Iterations[[#This Row],[Step]] &gt; current_step, "",Iterations[[#This Row],[Total Loss]]))</f>
        <v>91.08</v>
      </c>
      <c r="M589" s="6" t="s">
        <v>27</v>
      </c>
      <c r="N589" s="2">
        <f ca="1">IF(Iterations[[#This Row],[Step]] =current_step, current_Grad_a,IF(Iterations[[#This Row],[Step]] &gt; current_step, "",Iterations[[#This Row],[Grad_a]]))</f>
        <v>2.6507820719955784E-2</v>
      </c>
      <c r="O589" s="2">
        <f ca="1">IF(Iterations[[#This Row],[Step]] =current_step, current_Grad_b,IF(Iterations[[#This Row],[Step]] &gt; current_step, "",Iterations[[#This Row],[Grad_b]]))</f>
        <v>4.6105731890333391E-3</v>
      </c>
      <c r="P589" s="2">
        <f ca="1">IF(Iterations[[#This Row],[Step]] =current_step, current_Grad_c,IF(Iterations[[#This Row],[Step]] &gt; current_step, "",Iterations[[#This Row],[Grad_c]]))</f>
        <v>-7.435989631123549E-2</v>
      </c>
      <c r="Q589" s="2">
        <f ca="1">IF(Iterations[[#This Row],[Step]] =current_step, current_Grad_d,IF(Iterations[[#This Row],[Step]] &gt; current_step, "",Iterations[[#This Row],[Grad_d]]))</f>
        <v>-4.2203821035357953E-3</v>
      </c>
      <c r="R589" s="2">
        <f ca="1">IF(Iterations[[#This Row],[Step]] =current_step, current_Grad_e,IF(Iterations[[#This Row],[Step]] &gt; current_step, "",Iterations[[#This Row],[Grad_e]]))</f>
        <v>2.6519211224746344E-2</v>
      </c>
    </row>
    <row r="590" spans="6:18" x14ac:dyDescent="0.3">
      <c r="F590" s="2">
        <f t="shared" si="11"/>
        <v>573</v>
      </c>
      <c r="G590" s="2">
        <f ca="1">IF(Iterations[[#This Row],[Step]] =current_step, current_a,IF(Iterations[[#This Row],[Step]] &gt; current_step, "",Iterations[[#This Row],[a]]))</f>
        <v>-7.038206518607967</v>
      </c>
      <c r="H590" s="2">
        <f ca="1">IF(Iterations[[#This Row],[Step]] =current_step, current_b,IF(Iterations[[#This Row],[Step]] &gt; current_step, "",Iterations[[#This Row],[b]]))</f>
        <v>0.38939651641037298</v>
      </c>
      <c r="I590" s="2">
        <f ca="1">IF(Iterations[[#This Row],[Step]] =current_step, current_c,IF(Iterations[[#This Row],[Step]] &gt; current_step, "",Iterations[[#This Row],[c]]))</f>
        <v>20.579550131443369</v>
      </c>
      <c r="J590" s="2">
        <f ca="1">IF(Iterations[[#This Row],[Step]] =current_step, current_d,IF(Iterations[[#This Row],[Step]] &gt; current_step, "",Iterations[[#This Row],[d]]))</f>
        <v>1.1671379941170834</v>
      </c>
      <c r="K590" s="2">
        <f ca="1">IF(Iterations[[#This Row],[Step]] =current_step, current_e,IF(Iterations[[#This Row],[Step]] &gt; current_step, "",Iterations[[#This Row],[e]]))</f>
        <v>11.541935983549322</v>
      </c>
      <c r="L590" s="2">
        <f ca="1">IF(Iterations[[#This Row],[Step]] =current_step, current_Total_Loss,IF(Iterations[[#This Row],[Step]] &gt; current_step, "",Iterations[[#This Row],[Total Loss]]))</f>
        <v>91.07</v>
      </c>
      <c r="M590" s="6" t="s">
        <v>27</v>
      </c>
      <c r="N590" s="2">
        <f ca="1">IF(Iterations[[#This Row],[Step]] =current_step, current_Grad_a,IF(Iterations[[#This Row],[Step]] &gt; current_step, "",Iterations[[#This Row],[Grad_a]]))</f>
        <v>2.6328441553459703E-2</v>
      </c>
      <c r="O590" s="2">
        <f ca="1">IF(Iterations[[#This Row],[Step]] =current_step, current_Grad_b,IF(Iterations[[#This Row],[Step]] &gt; current_step, "",Iterations[[#This Row],[Grad_b]]))</f>
        <v>4.579512802030024E-3</v>
      </c>
      <c r="P590" s="2">
        <f ca="1">IF(Iterations[[#This Row],[Step]] =current_step, current_Grad_c,IF(Iterations[[#This Row],[Step]] &gt; current_step, "",Iterations[[#This Row],[Grad_c]]))</f>
        <v>-7.3856673093279535E-2</v>
      </c>
      <c r="Q590" s="2">
        <f ca="1">IF(Iterations[[#This Row],[Step]] =current_step, current_Grad_d,IF(Iterations[[#This Row],[Step]] &gt; current_step, "",Iterations[[#This Row],[Grad_d]]))</f>
        <v>-4.1921184561680945E-3</v>
      </c>
      <c r="R590" s="2">
        <f ca="1">IF(Iterations[[#This Row],[Step]] =current_step, current_Grad_e,IF(Iterations[[#This Row],[Step]] &gt; current_step, "",Iterations[[#This Row],[Grad_e]]))</f>
        <v>2.6339740906302644E-2</v>
      </c>
    </row>
    <row r="591" spans="6:18" x14ac:dyDescent="0.3">
      <c r="F591" s="2">
        <f t="shared" si="11"/>
        <v>574</v>
      </c>
      <c r="G591" s="2">
        <f ca="1">IF(Iterations[[#This Row],[Step]] =current_step, current_a,IF(Iterations[[#This Row],[Step]] &gt; current_step, "",Iterations[[#This Row],[a]]))</f>
        <v>-7.0400495095167095</v>
      </c>
      <c r="H591" s="2">
        <f ca="1">IF(Iterations[[#This Row],[Step]] =current_step, current_b,IF(Iterations[[#This Row],[Step]] &gt; current_step, "",Iterations[[#This Row],[b]]))</f>
        <v>0.38907595051423088</v>
      </c>
      <c r="I591" s="2">
        <f ca="1">IF(Iterations[[#This Row],[Step]] =current_step, current_c,IF(Iterations[[#This Row],[Step]] &gt; current_step, "",Iterations[[#This Row],[c]]))</f>
        <v>20.584720098559899</v>
      </c>
      <c r="J591" s="2">
        <f ca="1">IF(Iterations[[#This Row],[Step]] =current_step, current_d,IF(Iterations[[#This Row],[Step]] &gt; current_step, "",Iterations[[#This Row],[d]]))</f>
        <v>1.1674314424090151</v>
      </c>
      <c r="K591" s="2">
        <f ca="1">IF(Iterations[[#This Row],[Step]] =current_step, current_e,IF(Iterations[[#This Row],[Step]] &gt; current_step, "",Iterations[[#This Row],[e]]))</f>
        <v>11.540092201685882</v>
      </c>
      <c r="L591" s="2">
        <f ca="1">IF(Iterations[[#This Row],[Step]] =current_step, current_Total_Loss,IF(Iterations[[#This Row],[Step]] &gt; current_step, "",Iterations[[#This Row],[Total Loss]]))</f>
        <v>91.06</v>
      </c>
      <c r="M591" s="6" t="s">
        <v>27</v>
      </c>
      <c r="N591" s="2">
        <f ca="1">IF(Iterations[[#This Row],[Step]] =current_step, current_Grad_a,IF(Iterations[[#This Row],[Step]] &gt; current_step, "",Iterations[[#This Row],[Grad_a]]))</f>
        <v>2.6150276228476481E-2</v>
      </c>
      <c r="O591" s="2">
        <f ca="1">IF(Iterations[[#This Row],[Step]] =current_step, current_Grad_b,IF(Iterations[[#This Row],[Step]] &gt; current_step, "",Iterations[[#This Row],[Grad_b]]))</f>
        <v>4.5486601117479637E-3</v>
      </c>
      <c r="P591" s="2">
        <f ca="1">IF(Iterations[[#This Row],[Step]] =current_step, current_Grad_c,IF(Iterations[[#This Row],[Step]] &gt; current_step, "",Iterations[[#This Row],[Grad_c]]))</f>
        <v>-7.3356855632045789E-2</v>
      </c>
      <c r="Q591" s="2">
        <f ca="1">IF(Iterations[[#This Row],[Step]] =current_step, current_Grad_d,IF(Iterations[[#This Row],[Step]] &gt; current_step, "",Iterations[[#This Row],[Grad_d]]))</f>
        <v>-4.1640407947036223E-3</v>
      </c>
      <c r="R591" s="2">
        <f ca="1">IF(Iterations[[#This Row],[Step]] =current_step, current_Grad_e,IF(Iterations[[#This Row],[Step]] &gt; current_step, "",Iterations[[#This Row],[Grad_e]]))</f>
        <v>2.6161485296939721E-2</v>
      </c>
    </row>
    <row r="592" spans="6:18" x14ac:dyDescent="0.3">
      <c r="F592" s="2">
        <f t="shared" si="11"/>
        <v>575</v>
      </c>
      <c r="G592" s="2">
        <f ca="1">IF(Iterations[[#This Row],[Step]] =current_step, current_a,IF(Iterations[[#This Row],[Step]] &gt; current_step, "",Iterations[[#This Row],[a]]))</f>
        <v>-7.0418800288527033</v>
      </c>
      <c r="H592" s="2">
        <f ca="1">IF(Iterations[[#This Row],[Step]] =current_step, current_b,IF(Iterations[[#This Row],[Step]] &gt; current_step, "",Iterations[[#This Row],[b]]))</f>
        <v>0.38875754430640852</v>
      </c>
      <c r="I592" s="2">
        <f ca="1">IF(Iterations[[#This Row],[Step]] =current_step, current_c,IF(Iterations[[#This Row],[Step]] &gt; current_step, "",Iterations[[#This Row],[c]]))</f>
        <v>20.589855078454143</v>
      </c>
      <c r="J592" s="2">
        <f ca="1">IF(Iterations[[#This Row],[Step]] =current_step, current_d,IF(Iterations[[#This Row],[Step]] &gt; current_step, "",Iterations[[#This Row],[d]]))</f>
        <v>1.1677229252646444</v>
      </c>
      <c r="K592" s="2">
        <f ca="1">IF(Iterations[[#This Row],[Step]] =current_step, current_e,IF(Iterations[[#This Row],[Step]] &gt; current_step, "",Iterations[[#This Row],[e]]))</f>
        <v>11.538260897715096</v>
      </c>
      <c r="L592" s="2">
        <f ca="1">IF(Iterations[[#This Row],[Step]] =current_step, current_Total_Loss,IF(Iterations[[#This Row],[Step]] &gt; current_step, "",Iterations[[#This Row],[Total Loss]]))</f>
        <v>91.05</v>
      </c>
      <c r="M592" s="6" t="s">
        <v>27</v>
      </c>
      <c r="N592" s="2">
        <f ca="1">IF(Iterations[[#This Row],[Step]] =current_step, current_Grad_a,IF(Iterations[[#This Row],[Step]] &gt; current_step, "",Iterations[[#This Row],[Grad_a]]))</f>
        <v>2.5973316531361416E-2</v>
      </c>
      <c r="O592" s="2">
        <f ca="1">IF(Iterations[[#This Row],[Step]] =current_step, current_Grad_b,IF(Iterations[[#This Row],[Step]] &gt; current_step, "",Iterations[[#This Row],[Grad_b]]))</f>
        <v>4.5180137571120887E-3</v>
      </c>
      <c r="P592" s="2">
        <f ca="1">IF(Iterations[[#This Row],[Step]] =current_step, current_Grad_c,IF(Iterations[[#This Row],[Step]] &gt; current_step, "",Iterations[[#This Row],[Grad_c]]))</f>
        <v>-7.286042087346388E-2</v>
      </c>
      <c r="Q592" s="2">
        <f ca="1">IF(Iterations[[#This Row],[Step]] =current_step, current_Grad_d,IF(Iterations[[#This Row],[Step]] &gt; current_step, "",Iterations[[#This Row],[Grad_d]]))</f>
        <v>-4.136147954595425E-3</v>
      </c>
      <c r="R592" s="2">
        <f ca="1">IF(Iterations[[#This Row],[Step]] =current_step, current_Grad_e,IF(Iterations[[#This Row],[Step]] &gt; current_step, "",Iterations[[#This Row],[Grad_e]]))</f>
        <v>2.598443617274783E-2</v>
      </c>
    </row>
    <row r="593" spans="6:18" x14ac:dyDescent="0.3">
      <c r="F593" s="2">
        <f t="shared" si="11"/>
        <v>576</v>
      </c>
      <c r="G593" s="2">
        <f ca="1">IF(Iterations[[#This Row],[Step]] =current_step, current_a,IF(Iterations[[#This Row],[Step]] &gt; current_step, "",Iterations[[#This Row],[a]]))</f>
        <v>-7.0436981610098988</v>
      </c>
      <c r="H593" s="2">
        <f ca="1">IF(Iterations[[#This Row],[Step]] =current_step, current_b,IF(Iterations[[#This Row],[Step]] &gt; current_step, "",Iterations[[#This Row],[b]]))</f>
        <v>0.38844128334341066</v>
      </c>
      <c r="I593" s="2">
        <f ca="1">IF(Iterations[[#This Row],[Step]] =current_step, current_c,IF(Iterations[[#This Row],[Step]] &gt; current_step, "",Iterations[[#This Row],[c]]))</f>
        <v>20.594955307915285</v>
      </c>
      <c r="J593" s="2">
        <f ca="1">IF(Iterations[[#This Row],[Step]] =current_step, current_d,IF(Iterations[[#This Row],[Step]] &gt; current_step, "",Iterations[[#This Row],[d]]))</f>
        <v>1.1680124556214662</v>
      </c>
      <c r="K593" s="2">
        <f ca="1">IF(Iterations[[#This Row],[Step]] =current_step, current_e,IF(Iterations[[#This Row],[Step]] &gt; current_step, "",Iterations[[#This Row],[e]]))</f>
        <v>11.536441987183004</v>
      </c>
      <c r="L593" s="2">
        <f ca="1">IF(Iterations[[#This Row],[Step]] =current_step, current_Total_Loss,IF(Iterations[[#This Row],[Step]] &gt; current_step, "",Iterations[[#This Row],[Total Loss]]))</f>
        <v>91.04</v>
      </c>
      <c r="M593" s="6" t="s">
        <v>27</v>
      </c>
      <c r="N593" s="2">
        <f ca="1">IF(Iterations[[#This Row],[Step]] =current_step, current_Grad_a,IF(Iterations[[#This Row],[Step]] &gt; current_step, "",Iterations[[#This Row],[Grad_a]]))</f>
        <v>2.5797554304266484E-2</v>
      </c>
      <c r="O593" s="2">
        <f ca="1">IF(Iterations[[#This Row],[Step]] =current_step, current_Grad_b,IF(Iterations[[#This Row],[Step]] &gt; current_step, "",Iterations[[#This Row],[Grad_b]]))</f>
        <v>4.4875723854318726E-3</v>
      </c>
      <c r="P593" s="2">
        <f ca="1">IF(Iterations[[#This Row],[Step]] =current_step, current_Grad_c,IF(Iterations[[#This Row],[Step]] &gt; current_step, "",Iterations[[#This Row],[Grad_c]]))</f>
        <v>-7.2367345919506276E-2</v>
      </c>
      <c r="Q593" s="2">
        <f ca="1">IF(Iterations[[#This Row],[Step]] =current_step, current_Grad_d,IF(Iterations[[#This Row],[Step]] &gt; current_step, "",Iterations[[#This Row],[Grad_d]]))</f>
        <v>-4.1084387775123556E-3</v>
      </c>
      <c r="R593" s="2">
        <f ca="1">IF(Iterations[[#This Row],[Step]] =current_step, current_Grad_e,IF(Iterations[[#This Row],[Step]] &gt; current_step, "",Iterations[[#This Row],[Grad_e]]))</f>
        <v>2.5808585365581789E-2</v>
      </c>
    </row>
    <row r="594" spans="6:18" x14ac:dyDescent="0.3">
      <c r="F594" s="2">
        <f t="shared" si="11"/>
        <v>577</v>
      </c>
      <c r="G594" s="2">
        <f ca="1">IF(Iterations[[#This Row],[Step]] =current_step, current_a,IF(Iterations[[#This Row],[Step]] &gt; current_step, "",Iterations[[#This Row],[a]]))</f>
        <v>-7.0455039898111975</v>
      </c>
      <c r="H594" s="2">
        <f ca="1">IF(Iterations[[#This Row],[Step]] =current_step, current_b,IF(Iterations[[#This Row],[Step]] &gt; current_step, "",Iterations[[#This Row],[b]]))</f>
        <v>0.38812715327643044</v>
      </c>
      <c r="I594" s="2">
        <f ca="1">IF(Iterations[[#This Row],[Step]] =current_step, current_c,IF(Iterations[[#This Row],[Step]] &gt; current_step, "",Iterations[[#This Row],[c]]))</f>
        <v>20.600021022129649</v>
      </c>
      <c r="J594" s="2">
        <f ca="1">IF(Iterations[[#This Row],[Step]] =current_step, current_d,IF(Iterations[[#This Row],[Step]] &gt; current_step, "",Iterations[[#This Row],[d]]))</f>
        <v>1.1683000463358921</v>
      </c>
      <c r="K594" s="2">
        <f ca="1">IF(Iterations[[#This Row],[Step]] =current_step, current_e,IF(Iterations[[#This Row],[Step]] &gt; current_step, "",Iterations[[#This Row],[e]]))</f>
        <v>11.534635386207412</v>
      </c>
      <c r="L594" s="2">
        <f ca="1">IF(Iterations[[#This Row],[Step]] =current_step, current_Total_Loss,IF(Iterations[[#This Row],[Step]] &gt; current_step, "",Iterations[[#This Row],[Total Loss]]))</f>
        <v>91.03</v>
      </c>
      <c r="M594" s="6" t="s">
        <v>27</v>
      </c>
      <c r="N594" s="2">
        <f ca="1">IF(Iterations[[#This Row],[Step]] =current_step, current_Grad_a,IF(Iterations[[#This Row],[Step]] &gt; current_step, "",Iterations[[#This Row],[Grad_a]]))</f>
        <v>2.5622981444248374E-2</v>
      </c>
      <c r="O594" s="2">
        <f ca="1">IF(Iterations[[#This Row],[Step]] =current_step, current_Grad_b,IF(Iterations[[#This Row],[Step]] &gt; current_step, "",Iterations[[#This Row],[Grad_b]]))</f>
        <v>4.4573346524134673E-3</v>
      </c>
      <c r="P594" s="2">
        <f ca="1">IF(Iterations[[#This Row],[Step]] =current_step, current_Grad_c,IF(Iterations[[#This Row],[Step]] &gt; current_step, "",Iterations[[#This Row],[Grad_c]]))</f>
        <v>-7.1877608027339168E-2</v>
      </c>
      <c r="Q594" s="2">
        <f ca="1">IF(Iterations[[#This Row],[Step]] =current_step, current_Grad_d,IF(Iterations[[#This Row],[Step]] &gt; current_step, "",Iterations[[#This Row],[Grad_d]]))</f>
        <v>-4.0809121113095891E-3</v>
      </c>
      <c r="R594" s="2">
        <f ca="1">IF(Iterations[[#This Row],[Step]] =current_step, current_Grad_e,IF(Iterations[[#This Row],[Step]] &gt; current_step, "",Iterations[[#This Row],[Grad_e]]))</f>
        <v>2.5633924762585438E-2</v>
      </c>
    </row>
    <row r="595" spans="6:18" x14ac:dyDescent="0.3">
      <c r="F595" s="2">
        <f t="shared" si="11"/>
        <v>578</v>
      </c>
      <c r="G595" s="2">
        <f ca="1">IF(Iterations[[#This Row],[Step]] =current_step, current_a,IF(Iterations[[#This Row],[Step]] &gt; current_step, "",Iterations[[#This Row],[a]]))</f>
        <v>-7.0472975985122952</v>
      </c>
      <c r="H595" s="2">
        <f ca="1">IF(Iterations[[#This Row],[Step]] =current_step, current_b,IF(Iterations[[#This Row],[Step]] &gt; current_step, "",Iterations[[#This Row],[b]]))</f>
        <v>0.38781513985076149</v>
      </c>
      <c r="I595" s="2">
        <f ca="1">IF(Iterations[[#This Row],[Step]] =current_step, current_c,IF(Iterations[[#This Row],[Step]] &gt; current_step, "",Iterations[[#This Row],[c]]))</f>
        <v>20.605052454691563</v>
      </c>
      <c r="J595" s="2">
        <f ca="1">IF(Iterations[[#This Row],[Step]] =current_step, current_d,IF(Iterations[[#This Row],[Step]] &gt; current_step, "",Iterations[[#This Row],[d]]))</f>
        <v>1.1685857101836838</v>
      </c>
      <c r="K595" s="2">
        <f ca="1">IF(Iterations[[#This Row],[Step]] =current_step, current_e,IF(Iterations[[#This Row],[Step]] &gt; current_step, "",Iterations[[#This Row],[e]]))</f>
        <v>11.532841011474032</v>
      </c>
      <c r="L595" s="2">
        <f ca="1">IF(Iterations[[#This Row],[Step]] =current_step, current_Total_Loss,IF(Iterations[[#This Row],[Step]] &gt; current_step, "",Iterations[[#This Row],[Total Loss]]))</f>
        <v>91.03</v>
      </c>
      <c r="M595" s="6" t="s">
        <v>27</v>
      </c>
      <c r="N595" s="2">
        <f ca="1">IF(Iterations[[#This Row],[Step]] =current_step, current_Grad_a,IF(Iterations[[#This Row],[Step]] &gt; current_step, "",Iterations[[#This Row],[Grad_a]]))</f>
        <v>2.5449589903509848E-2</v>
      </c>
      <c r="O595" s="2">
        <f ca="1">IF(Iterations[[#This Row],[Step]] =current_step, current_Grad_b,IF(Iterations[[#This Row],[Step]] &gt; current_step, "",Iterations[[#This Row],[Grad_b]]))</f>
        <v>4.4272992221115288E-3</v>
      </c>
      <c r="P595" s="2">
        <f ca="1">IF(Iterations[[#This Row],[Step]] =current_step, current_Grad_c,IF(Iterations[[#This Row],[Step]] &gt; current_step, "",Iterations[[#This Row],[Grad_c]]))</f>
        <v>-7.1391184608015759E-2</v>
      </c>
      <c r="Q595" s="2">
        <f ca="1">IF(Iterations[[#This Row],[Step]] =current_step, current_Grad_d,IF(Iterations[[#This Row],[Step]] &gt; current_step, "",Iterations[[#This Row],[Grad_d]]))</f>
        <v>-4.0535668100131761E-3</v>
      </c>
      <c r="R595" s="2">
        <f ca="1">IF(Iterations[[#This Row],[Step]] =current_step, current_Grad_e,IF(Iterations[[#This Row],[Step]] &gt; current_step, "",Iterations[[#This Row],[Grad_e]]))</f>
        <v>2.5460446305931979E-2</v>
      </c>
    </row>
    <row r="596" spans="6:18" x14ac:dyDescent="0.3">
      <c r="F596" s="2">
        <f t="shared" si="11"/>
        <v>579</v>
      </c>
      <c r="G596" s="2">
        <f ca="1">IF(Iterations[[#This Row],[Step]] =current_step, current_a,IF(Iterations[[#This Row],[Step]] &gt; current_step, "",Iterations[[#This Row],[a]]))</f>
        <v>-7.0490790698055408</v>
      </c>
      <c r="H596" s="2">
        <f ca="1">IF(Iterations[[#This Row],[Step]] =current_step, current_b,IF(Iterations[[#This Row],[Step]] &gt; current_step, "",Iterations[[#This Row],[b]]))</f>
        <v>0.38750522890521366</v>
      </c>
      <c r="I596" s="2">
        <f ca="1">IF(Iterations[[#This Row],[Step]] =current_step, current_c,IF(Iterations[[#This Row],[Step]] &gt; current_step, "",Iterations[[#This Row],[c]]))</f>
        <v>20.610049837614124</v>
      </c>
      <c r="J596" s="2">
        <f ca="1">IF(Iterations[[#This Row],[Step]] =current_step, current_d,IF(Iterations[[#This Row],[Step]] &gt; current_step, "",Iterations[[#This Row],[d]]))</f>
        <v>1.1688694598603848</v>
      </c>
      <c r="K596" s="2">
        <f ca="1">IF(Iterations[[#This Row],[Step]] =current_step, current_e,IF(Iterations[[#This Row],[Step]] &gt; current_step, "",Iterations[[#This Row],[e]]))</f>
        <v>11.531058780232616</v>
      </c>
      <c r="L596" s="2">
        <f ca="1">IF(Iterations[[#This Row],[Step]] =current_step, current_Total_Loss,IF(Iterations[[#This Row],[Step]] &gt; current_step, "",Iterations[[#This Row],[Total Loss]]))</f>
        <v>91.02</v>
      </c>
      <c r="M596" s="6" t="s">
        <v>27</v>
      </c>
      <c r="N596" s="2">
        <f ca="1">IF(Iterations[[#This Row],[Step]] =current_step, current_Grad_a,IF(Iterations[[#This Row],[Step]] &gt; current_step, "",Iterations[[#This Row],[Grad_a]]))</f>
        <v>2.5277371688390751E-2</v>
      </c>
      <c r="O596" s="2">
        <f ca="1">IF(Iterations[[#This Row],[Step]] =current_step, current_Grad_b,IF(Iterations[[#This Row],[Step]] &gt; current_step, "",Iterations[[#This Row],[Grad_b]]))</f>
        <v>4.3974647668360385E-3</v>
      </c>
      <c r="P596" s="2">
        <f ca="1">IF(Iterations[[#This Row],[Step]] =current_step, current_Grad_c,IF(Iterations[[#This Row],[Step]] &gt; current_step, "",Iterations[[#This Row],[Grad_c]]))</f>
        <v>-7.0908053225703802E-2</v>
      </c>
      <c r="Q596" s="2">
        <f ca="1">IF(Iterations[[#This Row],[Step]] =current_step, current_Grad_d,IF(Iterations[[#This Row],[Step]] &gt; current_step, "",Iterations[[#This Row],[Grad_d]]))</f>
        <v>-4.0264017338348702E-3</v>
      </c>
      <c r="R596" s="2">
        <f ca="1">IF(Iterations[[#This Row],[Step]] =current_step, current_Grad_e,IF(Iterations[[#This Row],[Step]] &gt; current_step, "",Iterations[[#This Row],[Grad_e]]))</f>
        <v>2.5288141992320472E-2</v>
      </c>
    </row>
    <row r="597" spans="6:18" x14ac:dyDescent="0.3">
      <c r="F597" s="2">
        <f t="shared" si="11"/>
        <v>580</v>
      </c>
      <c r="G597" s="2">
        <f ca="1">IF(Iterations[[#This Row],[Step]] =current_step, current_a,IF(Iterations[[#This Row],[Step]] &gt; current_step, "",Iterations[[#This Row],[a]]))</f>
        <v>-7.0508484858237281</v>
      </c>
      <c r="H597" s="2">
        <f ca="1">IF(Iterations[[#This Row],[Step]] =current_step, current_b,IF(Iterations[[#This Row],[Step]] &gt; current_step, "",Iterations[[#This Row],[b]]))</f>
        <v>0.38719740637153516</v>
      </c>
      <c r="I597" s="2">
        <f ca="1">IF(Iterations[[#This Row],[Step]] =current_step, current_c,IF(Iterations[[#This Row],[Step]] &gt; current_step, "",Iterations[[#This Row],[c]]))</f>
        <v>20.615013401339922</v>
      </c>
      <c r="J597" s="2">
        <f ca="1">IF(Iterations[[#This Row],[Step]] =current_step, current_d,IF(Iterations[[#This Row],[Step]] &gt; current_step, "",Iterations[[#This Row],[d]]))</f>
        <v>1.1691513079817533</v>
      </c>
      <c r="K597" s="2">
        <f ca="1">IF(Iterations[[#This Row],[Step]] =current_step, current_e,IF(Iterations[[#This Row],[Step]] &gt; current_step, "",Iterations[[#This Row],[e]]))</f>
        <v>11.529288610293154</v>
      </c>
      <c r="L597" s="2">
        <f ca="1">IF(Iterations[[#This Row],[Step]] =current_step, current_Total_Loss,IF(Iterations[[#This Row],[Step]] &gt; current_step, "",Iterations[[#This Row],[Total Loss]]))</f>
        <v>91.01</v>
      </c>
      <c r="M597" s="6" t="s">
        <v>27</v>
      </c>
      <c r="N597" s="2">
        <f ca="1">IF(Iterations[[#This Row],[Step]] =current_step, current_Grad_a,IF(Iterations[[#This Row],[Step]] &gt; current_step, "",Iterations[[#This Row],[Grad_a]]))</f>
        <v>2.5106318859577877E-2</v>
      </c>
      <c r="O597" s="2">
        <f ca="1">IF(Iterations[[#This Row],[Step]] =current_step, current_Grad_b,IF(Iterations[[#This Row],[Step]] &gt; current_step, "",Iterations[[#This Row],[Grad_b]]))</f>
        <v>4.3678299671514103E-3</v>
      </c>
      <c r="P597" s="2">
        <f ca="1">IF(Iterations[[#This Row],[Step]] =current_step, current_Grad_c,IF(Iterations[[#This Row],[Step]] &gt; current_step, "",Iterations[[#This Row],[Grad_c]]))</f>
        <v>-7.0428191596400236E-2</v>
      </c>
      <c r="Q597" s="2">
        <f ca="1">IF(Iterations[[#This Row],[Step]] =current_step, current_Grad_d,IF(Iterations[[#This Row],[Step]] &gt; current_step, "",Iterations[[#This Row],[Grad_d]]))</f>
        <v>-3.9994157491317871E-3</v>
      </c>
      <c r="R597" s="2">
        <f ca="1">IF(Iterations[[#This Row],[Step]] =current_step, current_Grad_e,IF(Iterations[[#This Row],[Step]] &gt; current_step, "",Iterations[[#This Row],[Grad_e]]))</f>
        <v>2.5117003872730317E-2</v>
      </c>
    </row>
    <row r="598" spans="6:18" x14ac:dyDescent="0.3">
      <c r="F598" s="2">
        <f t="shared" si="11"/>
        <v>581</v>
      </c>
      <c r="G598" s="2">
        <f ca="1">IF(Iterations[[#This Row],[Step]] =current_step, current_a,IF(Iterations[[#This Row],[Step]] &gt; current_step, "",Iterations[[#This Row],[a]]))</f>
        <v>-7.0526059281438984</v>
      </c>
      <c r="H598" s="2">
        <f ca="1">IF(Iterations[[#This Row],[Step]] =current_step, current_b,IF(Iterations[[#This Row],[Step]] &gt; current_step, "",Iterations[[#This Row],[b]]))</f>
        <v>0.38689165827383454</v>
      </c>
      <c r="I598" s="2">
        <f ca="1">IF(Iterations[[#This Row],[Step]] =current_step, current_c,IF(Iterations[[#This Row],[Step]] &gt; current_step, "",Iterations[[#This Row],[c]]))</f>
        <v>20.619943374751671</v>
      </c>
      <c r="J598" s="2">
        <f ca="1">IF(Iterations[[#This Row],[Step]] =current_step, current_d,IF(Iterations[[#This Row],[Step]] &gt; current_step, "",Iterations[[#This Row],[d]]))</f>
        <v>1.1694312670841924</v>
      </c>
      <c r="K598" s="2">
        <f ca="1">IF(Iterations[[#This Row],[Step]] =current_step, current_e,IF(Iterations[[#This Row],[Step]] &gt; current_step, "",Iterations[[#This Row],[e]]))</f>
        <v>11.527530420022062</v>
      </c>
      <c r="L598" s="2">
        <f ca="1">IF(Iterations[[#This Row],[Step]] =current_step, current_Total_Loss,IF(Iterations[[#This Row],[Step]] &gt; current_step, "",Iterations[[#This Row],[Total Loss]]))</f>
        <v>91</v>
      </c>
      <c r="M598" s="6" t="s">
        <v>27</v>
      </c>
      <c r="N598" s="2">
        <f ca="1">IF(Iterations[[#This Row],[Step]] =current_step, current_Grad_a,IF(Iterations[[#This Row],[Step]] &gt; current_step, "",Iterations[[#This Row],[Grad_a]]))</f>
        <v>2.4936423531293342E-2</v>
      </c>
      <c r="O598" s="2">
        <f ca="1">IF(Iterations[[#This Row],[Step]] =current_step, current_Grad_b,IF(Iterations[[#This Row],[Step]] &gt; current_step, "",Iterations[[#This Row],[Grad_b]]))</f>
        <v>4.3383935118558072E-3</v>
      </c>
      <c r="P598" s="2">
        <f ca="1">IF(Iterations[[#This Row],[Step]] =current_step, current_Grad_c,IF(Iterations[[#This Row],[Step]] &gt; current_step, "",Iterations[[#This Row],[Grad_c]]))</f>
        <v>-6.9951577587090349E-2</v>
      </c>
      <c r="Q598" s="2">
        <f ca="1">IF(Iterations[[#This Row],[Step]] =current_step, current_Grad_d,IF(Iterations[[#This Row],[Step]] &gt; current_step, "",Iterations[[#This Row],[Grad_d]]))</f>
        <v>-3.9726077283947009E-3</v>
      </c>
      <c r="R598" s="2">
        <f ca="1">IF(Iterations[[#This Row],[Step]] =current_step, current_Grad_e,IF(Iterations[[#This Row],[Step]] &gt; current_step, "",Iterations[[#This Row],[Grad_e]]))</f>
        <v>2.494702405195633E-2</v>
      </c>
    </row>
    <row r="599" spans="6:18" x14ac:dyDescent="0.3">
      <c r="F599" s="2">
        <f t="shared" si="11"/>
        <v>582</v>
      </c>
      <c r="G599" s="2">
        <f ca="1">IF(Iterations[[#This Row],[Step]] =current_step, current_a,IF(Iterations[[#This Row],[Step]] &gt; current_step, "",Iterations[[#This Row],[a]]))</f>
        <v>-7.054351477791089</v>
      </c>
      <c r="H599" s="2">
        <f ca="1">IF(Iterations[[#This Row],[Step]] =current_step, current_b,IF(Iterations[[#This Row],[Step]] &gt; current_step, "",Iterations[[#This Row],[b]]))</f>
        <v>0.3865879707280046</v>
      </c>
      <c r="I599" s="2">
        <f ca="1">IF(Iterations[[#This Row],[Step]] =current_step, current_c,IF(Iterations[[#This Row],[Step]] &gt; current_step, "",Iterations[[#This Row],[c]]))</f>
        <v>20.624839985182767</v>
      </c>
      <c r="J599" s="2">
        <f ca="1">IF(Iterations[[#This Row],[Step]] =current_step, current_d,IF(Iterations[[#This Row],[Step]] &gt; current_step, "",Iterations[[#This Row],[d]]))</f>
        <v>1.16970934962518</v>
      </c>
      <c r="K599" s="2">
        <f ca="1">IF(Iterations[[#This Row],[Step]] =current_step, current_e,IF(Iterations[[#This Row],[Step]] &gt; current_step, "",Iterations[[#This Row],[e]]))</f>
        <v>11.525784128338426</v>
      </c>
      <c r="L599" s="2">
        <f ca="1">IF(Iterations[[#This Row],[Step]] =current_step, current_Total_Loss,IF(Iterations[[#This Row],[Step]] &gt; current_step, "",Iterations[[#This Row],[Total Loss]]))</f>
        <v>90.99</v>
      </c>
      <c r="M599" s="6" t="s">
        <v>27</v>
      </c>
      <c r="N599" s="2">
        <f ca="1">IF(Iterations[[#This Row],[Step]] =current_step, current_Grad_a,IF(Iterations[[#This Row],[Step]] &gt; current_step, "",Iterations[[#This Row],[Grad_a]]))</f>
        <v>2.4767677871149443E-2</v>
      </c>
      <c r="O599" s="2">
        <f ca="1">IF(Iterations[[#This Row],[Step]] =current_step, current_Grad_b,IF(Iterations[[#This Row],[Step]] &gt; current_step, "",Iterations[[#This Row],[Grad_b]]))</f>
        <v>4.309154097903679E-3</v>
      </c>
      <c r="P599" s="2">
        <f ca="1">IF(Iterations[[#This Row],[Step]] =current_step, current_Grad_c,IF(Iterations[[#This Row],[Step]] &gt; current_step, "",Iterations[[#This Row],[Grad_c]]))</f>
        <v>-6.9478189214629393E-2</v>
      </c>
      <c r="Q599" s="2">
        <f ca="1">IF(Iterations[[#This Row],[Step]] =current_step, current_Grad_d,IF(Iterations[[#This Row],[Step]] &gt; current_step, "",Iterations[[#This Row],[Grad_d]]))</f>
        <v>-3.9459765502382798E-3</v>
      </c>
      <c r="R599" s="2">
        <f ca="1">IF(Iterations[[#This Row],[Step]] =current_step, current_Grad_e,IF(Iterations[[#This Row],[Step]] &gt; current_step, "",Iterations[[#This Row],[Grad_e]]))</f>
        <v>2.4778194688293946E-2</v>
      </c>
    </row>
    <row r="600" spans="6:18" x14ac:dyDescent="0.3">
      <c r="F600" s="2">
        <f t="shared" si="11"/>
        <v>583</v>
      </c>
      <c r="G600" s="2">
        <f ca="1">IF(Iterations[[#This Row],[Step]] =current_step, current_a,IF(Iterations[[#This Row],[Step]] &gt; current_step, "",Iterations[[#This Row],[a]]))</f>
        <v>-7.056085215242069</v>
      </c>
      <c r="H600" s="2">
        <f ca="1">IF(Iterations[[#This Row],[Step]] =current_step, current_b,IF(Iterations[[#This Row],[Step]] &gt; current_step, "",Iterations[[#This Row],[b]]))</f>
        <v>0.38628632994115136</v>
      </c>
      <c r="I600" s="2">
        <f ca="1">IF(Iterations[[#This Row],[Step]] =current_step, current_c,IF(Iterations[[#This Row],[Step]] &gt; current_step, "",Iterations[[#This Row],[c]]))</f>
        <v>20.629703458427791</v>
      </c>
      <c r="J600" s="2">
        <f ca="1">IF(Iterations[[#This Row],[Step]] =current_step, current_d,IF(Iterations[[#This Row],[Step]] &gt; current_step, "",Iterations[[#This Row],[d]]))</f>
        <v>1.1699855679836968</v>
      </c>
      <c r="K600" s="2">
        <f ca="1">IF(Iterations[[#This Row],[Step]] =current_step, current_e,IF(Iterations[[#This Row],[Step]] &gt; current_step, "",Iterations[[#This Row],[e]]))</f>
        <v>11.524049654710245</v>
      </c>
      <c r="L600" s="2">
        <f ca="1">IF(Iterations[[#This Row],[Step]] =current_step, current_Total_Loss,IF(Iterations[[#This Row],[Step]] &gt; current_step, "",Iterations[[#This Row],[Total Loss]]))</f>
        <v>90.99</v>
      </c>
      <c r="M600" s="6" t="s">
        <v>27</v>
      </c>
      <c r="N600" s="2">
        <f ca="1">IF(Iterations[[#This Row],[Step]] =current_step, current_Grad_a,IF(Iterations[[#This Row],[Step]] &gt; current_step, "",Iterations[[#This Row],[Grad_a]]))</f>
        <v>2.4600074099914309E-2</v>
      </c>
      <c r="O600" s="2">
        <f ca="1">IF(Iterations[[#This Row],[Step]] =current_step, current_Grad_b,IF(Iterations[[#This Row],[Step]] &gt; current_step, "",Iterations[[#This Row],[Grad_b]]))</f>
        <v>4.2801104303145342E-3</v>
      </c>
      <c r="P600" s="2">
        <f ca="1">IF(Iterations[[#This Row],[Step]] =current_step, current_Grad_c,IF(Iterations[[#This Row],[Step]] &gt; current_step, "",Iterations[[#This Row],[Grad_c]]))</f>
        <v>-6.9008004644681389E-2</v>
      </c>
      <c r="Q600" s="2">
        <f ca="1">IF(Iterations[[#This Row],[Step]] =current_step, current_Grad_d,IF(Iterations[[#This Row],[Step]] &gt; current_step, "",Iterations[[#This Row],[Grad_d]]))</f>
        <v>-3.9195210994104855E-3</v>
      </c>
      <c r="R600" s="2">
        <f ca="1">IF(Iterations[[#This Row],[Step]] =current_step, current_Grad_e,IF(Iterations[[#This Row],[Step]] &gt; current_step, "",Iterations[[#This Row],[Grad_e]]))</f>
        <v>2.4610507993189361E-2</v>
      </c>
    </row>
    <row r="601" spans="6:18" x14ac:dyDescent="0.3">
      <c r="F601" s="2">
        <f t="shared" si="11"/>
        <v>584</v>
      </c>
      <c r="G601" s="2">
        <f ca="1">IF(Iterations[[#This Row],[Step]] =current_step, current_a,IF(Iterations[[#This Row],[Step]] &gt; current_step, "",Iterations[[#This Row],[a]]))</f>
        <v>-7.0578072204290629</v>
      </c>
      <c r="H601" s="2">
        <f ca="1">IF(Iterations[[#This Row],[Step]] =current_step, current_b,IF(Iterations[[#This Row],[Step]] &gt; current_step, "",Iterations[[#This Row],[b]]))</f>
        <v>0.38598672221102936</v>
      </c>
      <c r="I601" s="2">
        <f ca="1">IF(Iterations[[#This Row],[Step]] =current_step, current_c,IF(Iterations[[#This Row],[Step]] &gt; current_step, "",Iterations[[#This Row],[c]]))</f>
        <v>20.63453401875292</v>
      </c>
      <c r="J601" s="2">
        <f ca="1">IF(Iterations[[#This Row],[Step]] =current_step, current_d,IF(Iterations[[#This Row],[Step]] &gt; current_step, "",Iterations[[#This Row],[d]]))</f>
        <v>1.1702599344606555</v>
      </c>
      <c r="K601" s="2">
        <f ca="1">IF(Iterations[[#This Row],[Step]] =current_step, current_e,IF(Iterations[[#This Row],[Step]] &gt; current_step, "",Iterations[[#This Row],[e]]))</f>
        <v>11.522326919150721</v>
      </c>
      <c r="L601" s="2">
        <f ca="1">IF(Iterations[[#This Row],[Step]] =current_step, current_Total_Loss,IF(Iterations[[#This Row],[Step]] &gt; current_step, "",Iterations[[#This Row],[Total Loss]]))</f>
        <v>90.98</v>
      </c>
      <c r="M601" s="6" t="s">
        <v>27</v>
      </c>
      <c r="N601" s="2">
        <f ca="1">IF(Iterations[[#This Row],[Step]] =current_step, current_Grad_a,IF(Iterations[[#This Row],[Step]] &gt; current_step, "",Iterations[[#This Row],[Grad_a]]))</f>
        <v>2.4433604490652992E-2</v>
      </c>
      <c r="O601" s="2">
        <f ca="1">IF(Iterations[[#This Row],[Step]] =current_step, current_Grad_b,IF(Iterations[[#This Row],[Step]] &gt; current_step, "",Iterations[[#This Row],[Grad_b]]))</f>
        <v>4.2512612222817981E-3</v>
      </c>
      <c r="P601" s="2">
        <f ca="1">IF(Iterations[[#This Row],[Step]] =current_step, current_Grad_c,IF(Iterations[[#This Row],[Step]] &gt; current_step, "",Iterations[[#This Row],[Grad_c]]))</f>
        <v>-6.854100219091136E-2</v>
      </c>
      <c r="Q601" s="2">
        <f ca="1">IF(Iterations[[#This Row],[Step]] =current_step, current_Grad_d,IF(Iterations[[#This Row],[Step]] &gt; current_step, "",Iterations[[#This Row],[Grad_d]]))</f>
        <v>-3.8932402667197653E-3</v>
      </c>
      <c r="R601" s="2">
        <f ca="1">IF(Iterations[[#This Row],[Step]] =current_step, current_Grad_e,IF(Iterations[[#This Row],[Step]] &gt; current_step, "",Iterations[[#This Row],[Grad_e]]))</f>
        <v>2.444395623079328E-2</v>
      </c>
    </row>
    <row r="602" spans="6:18" x14ac:dyDescent="0.3">
      <c r="F602" s="2">
        <f t="shared" si="11"/>
        <v>585</v>
      </c>
      <c r="G602" s="2">
        <f ca="1">IF(Iterations[[#This Row],[Step]] =current_step, current_a,IF(Iterations[[#This Row],[Step]] &gt; current_step, "",Iterations[[#This Row],[a]]))</f>
        <v>-7.0595175727434087</v>
      </c>
      <c r="H602" s="2">
        <f ca="1">IF(Iterations[[#This Row],[Step]] =current_step, current_b,IF(Iterations[[#This Row],[Step]] &gt; current_step, "",Iterations[[#This Row],[b]]))</f>
        <v>0.38568913392546966</v>
      </c>
      <c r="I602" s="2">
        <f ca="1">IF(Iterations[[#This Row],[Step]] =current_step, current_c,IF(Iterations[[#This Row],[Step]] &gt; current_step, "",Iterations[[#This Row],[c]]))</f>
        <v>20.639331888906284</v>
      </c>
      <c r="J602" s="2">
        <f ca="1">IF(Iterations[[#This Row],[Step]] =current_step, current_d,IF(Iterations[[#This Row],[Step]] &gt; current_step, "",Iterations[[#This Row],[d]]))</f>
        <v>1.1705324612793258</v>
      </c>
      <c r="K602" s="2">
        <f ca="1">IF(Iterations[[#This Row],[Step]] =current_step, current_e,IF(Iterations[[#This Row],[Step]] &gt; current_step, "",Iterations[[#This Row],[e]]))</f>
        <v>11.520615842214566</v>
      </c>
      <c r="L602" s="2">
        <f ca="1">IF(Iterations[[#This Row],[Step]] =current_step, current_Total_Loss,IF(Iterations[[#This Row],[Step]] &gt; current_step, "",Iterations[[#This Row],[Total Loss]]))</f>
        <v>90.97</v>
      </c>
      <c r="M602" s="6" t="s">
        <v>27</v>
      </c>
      <c r="N602" s="2">
        <f ca="1">IF(Iterations[[#This Row],[Step]] =current_step, current_Grad_a,IF(Iterations[[#This Row],[Step]] &gt; current_step, "",Iterations[[#This Row],[Grad_a]]))</f>
        <v>2.4268261369084505E-2</v>
      </c>
      <c r="O602" s="2">
        <f ca="1">IF(Iterations[[#This Row],[Step]] =current_step, current_Grad_b,IF(Iterations[[#This Row],[Step]] &gt; current_step, "",Iterations[[#This Row],[Grad_b]]))</f>
        <v>4.2226051949275523E-3</v>
      </c>
      <c r="P602" s="2">
        <f ca="1">IF(Iterations[[#This Row],[Step]] =current_step, current_Grad_c,IF(Iterations[[#This Row],[Step]] &gt; current_step, "",Iterations[[#This Row],[Grad_c]]))</f>
        <v>-6.8077160313686991E-2</v>
      </c>
      <c r="Q602" s="2">
        <f ca="1">IF(Iterations[[#This Row],[Step]] =current_step, current_Grad_d,IF(Iterations[[#This Row],[Step]] &gt; current_step, "",Iterations[[#This Row],[Grad_d]]))</f>
        <v>-3.8671329490940023E-3</v>
      </c>
      <c r="R602" s="2">
        <f ca="1">IF(Iterations[[#This Row],[Step]] =current_step, current_Grad_e,IF(Iterations[[#This Row],[Step]] &gt; current_step, "",Iterations[[#This Row],[Grad_e]]))</f>
        <v>2.4278531717735023E-2</v>
      </c>
    </row>
    <row r="603" spans="6:18" x14ac:dyDescent="0.3">
      <c r="F603" s="2">
        <f t="shared" si="11"/>
        <v>586</v>
      </c>
      <c r="G603" s="2">
        <f ca="1">IF(Iterations[[#This Row],[Step]] =current_step, current_a,IF(Iterations[[#This Row],[Step]] &gt; current_step, "",Iterations[[#This Row],[a]]))</f>
        <v>-7.0612163510392447</v>
      </c>
      <c r="H603" s="2">
        <f ca="1">IF(Iterations[[#This Row],[Step]] =current_step, current_b,IF(Iterations[[#This Row],[Step]] &gt; current_step, "",Iterations[[#This Row],[b]]))</f>
        <v>0.38539355156182475</v>
      </c>
      <c r="I603" s="2">
        <f ca="1">IF(Iterations[[#This Row],[Step]] =current_step, current_c,IF(Iterations[[#This Row],[Step]] &gt; current_step, "",Iterations[[#This Row],[c]]))</f>
        <v>20.644097290128244</v>
      </c>
      <c r="J603" s="2">
        <f ca="1">IF(Iterations[[#This Row],[Step]] =current_step, current_d,IF(Iterations[[#This Row],[Step]] &gt; current_step, "",Iterations[[#This Row],[d]]))</f>
        <v>1.1708031605857623</v>
      </c>
      <c r="K603" s="2">
        <f ca="1">IF(Iterations[[#This Row],[Step]] =current_step, current_e,IF(Iterations[[#This Row],[Step]] &gt; current_step, "",Iterations[[#This Row],[e]]))</f>
        <v>11.518916344994324</v>
      </c>
      <c r="L603" s="2">
        <f ca="1">IF(Iterations[[#This Row],[Step]] =current_step, current_Total_Loss,IF(Iterations[[#This Row],[Step]] &gt; current_step, "",Iterations[[#This Row],[Total Loss]]))</f>
        <v>90.96</v>
      </c>
      <c r="M603" s="6" t="s">
        <v>27</v>
      </c>
      <c r="N603" s="2">
        <f ca="1">IF(Iterations[[#This Row],[Step]] =current_step, current_Grad_a,IF(Iterations[[#This Row],[Step]] &gt; current_step, "",Iterations[[#This Row],[Grad_a]]))</f>
        <v>2.4104037112593051E-2</v>
      </c>
      <c r="O603" s="2">
        <f ca="1">IF(Iterations[[#This Row],[Step]] =current_step, current_Grad_b,IF(Iterations[[#This Row],[Step]] &gt; current_step, "",Iterations[[#This Row],[Grad_b]]))</f>
        <v>4.1941410774723152E-3</v>
      </c>
      <c r="P603" s="2">
        <f ca="1">IF(Iterations[[#This Row],[Step]] =current_step, current_Grad_c,IF(Iterations[[#This Row],[Step]] &gt; current_step, "",Iterations[[#This Row],[Grad_c]]))</f>
        <v>-6.7616457619350243E-2</v>
      </c>
      <c r="Q603" s="2">
        <f ca="1">IF(Iterations[[#This Row],[Step]] =current_step, current_Grad_d,IF(Iterations[[#This Row],[Step]] &gt; current_step, "",Iterations[[#This Row],[Grad_d]]))</f>
        <v>-3.8411980494827292E-3</v>
      </c>
      <c r="R603" s="2">
        <f ca="1">IF(Iterations[[#This Row],[Step]] =current_step, current_Grad_e,IF(Iterations[[#This Row],[Step]] &gt; current_step, "",Iterations[[#This Row],[Grad_e]]))</f>
        <v>2.4114226822645277E-2</v>
      </c>
    </row>
    <row r="604" spans="6:18" x14ac:dyDescent="0.3">
      <c r="F604" s="2">
        <f t="shared" si="11"/>
        <v>587</v>
      </c>
      <c r="G604" s="2">
        <f ca="1">IF(Iterations[[#This Row],[Step]] =current_step, current_a,IF(Iterations[[#This Row],[Step]] &gt; current_step, "",Iterations[[#This Row],[a]]))</f>
        <v>-7.0629036336371263</v>
      </c>
      <c r="H604" s="2">
        <f ca="1">IF(Iterations[[#This Row],[Step]] =current_step, current_b,IF(Iterations[[#This Row],[Step]] &gt; current_step, "",Iterations[[#This Row],[b]]))</f>
        <v>0.3850999616864017</v>
      </c>
      <c r="I604" s="2">
        <f ca="1">IF(Iterations[[#This Row],[Step]] =current_step, current_c,IF(Iterations[[#This Row],[Step]] &gt; current_step, "",Iterations[[#This Row],[c]]))</f>
        <v>20.648830442161596</v>
      </c>
      <c r="J604" s="2">
        <f ca="1">IF(Iterations[[#This Row],[Step]] =current_step, current_d,IF(Iterations[[#This Row],[Step]] &gt; current_step, "",Iterations[[#This Row],[d]]))</f>
        <v>1.171072044449226</v>
      </c>
      <c r="K604" s="2">
        <f ca="1">IF(Iterations[[#This Row],[Step]] =current_step, current_e,IF(Iterations[[#This Row],[Step]] &gt; current_step, "",Iterations[[#This Row],[e]]))</f>
        <v>11.517228349116738</v>
      </c>
      <c r="L604" s="2">
        <f ca="1">IF(Iterations[[#This Row],[Step]] =current_step, current_Total_Loss,IF(Iterations[[#This Row],[Step]] &gt; current_step, "",Iterations[[#This Row],[Total Loss]]))</f>
        <v>90.96</v>
      </c>
      <c r="M604" s="6" t="s">
        <v>27</v>
      </c>
      <c r="N604" s="2">
        <f ca="1">IF(Iterations[[#This Row],[Step]] =current_step, current_Grad_a,IF(Iterations[[#This Row],[Step]] &gt; current_step, "",Iterations[[#This Row],[Grad_a]]))</f>
        <v>2.3940924150203397E-2</v>
      </c>
      <c r="O604" s="2">
        <f ca="1">IF(Iterations[[#This Row],[Step]] =current_step, current_Grad_b,IF(Iterations[[#This Row],[Step]] &gt; current_step, "",Iterations[[#This Row],[Grad_b]]))</f>
        <v>4.165867607002537E-3</v>
      </c>
      <c r="P604" s="2">
        <f ca="1">IF(Iterations[[#This Row],[Step]] =current_step, current_Grad_c,IF(Iterations[[#This Row],[Step]] &gt; current_step, "",Iterations[[#This Row],[Grad_c]]))</f>
        <v>-6.7158872859090224E-2</v>
      </c>
      <c r="Q604" s="2">
        <f ca="1">IF(Iterations[[#This Row],[Step]] =current_step, current_Grad_d,IF(Iterations[[#This Row],[Step]] &gt; current_step, "",Iterations[[#This Row],[Grad_d]]))</f>
        <v>-3.8154344769231185E-3</v>
      </c>
      <c r="R604" s="2">
        <f ca="1">IF(Iterations[[#This Row],[Step]] =current_step, current_Grad_e,IF(Iterations[[#This Row],[Step]] &gt; current_step, "",Iterations[[#This Row],[Grad_e]]))</f>
        <v>2.3951033965865263E-2</v>
      </c>
    </row>
    <row r="605" spans="6:18" x14ac:dyDescent="0.3">
      <c r="F605" s="2">
        <f t="shared" si="11"/>
        <v>588</v>
      </c>
      <c r="G605" s="2">
        <f ca="1">IF(Iterations[[#This Row],[Step]] =current_step, current_a,IF(Iterations[[#This Row],[Step]] &gt; current_step, "",Iterations[[#This Row],[a]]))</f>
        <v>-7.0645794983276406</v>
      </c>
      <c r="H605" s="2">
        <f ca="1">IF(Iterations[[#This Row],[Step]] =current_step, current_b,IF(Iterations[[#This Row],[Step]] &gt; current_step, "",Iterations[[#This Row],[b]]))</f>
        <v>0.38480835095391153</v>
      </c>
      <c r="I605" s="2">
        <f ca="1">IF(Iterations[[#This Row],[Step]] =current_step, current_c,IF(Iterations[[#This Row],[Step]] &gt; current_step, "",Iterations[[#This Row],[c]]))</f>
        <v>20.653531563261733</v>
      </c>
      <c r="J605" s="2">
        <f ca="1">IF(Iterations[[#This Row],[Step]] =current_step, current_d,IF(Iterations[[#This Row],[Step]] &gt; current_step, "",Iterations[[#This Row],[d]]))</f>
        <v>1.1713391248626106</v>
      </c>
      <c r="K605" s="2">
        <f ca="1">IF(Iterations[[#This Row],[Step]] =current_step, current_e,IF(Iterations[[#This Row],[Step]] &gt; current_step, "",Iterations[[#This Row],[e]]))</f>
        <v>11.515551776739128</v>
      </c>
      <c r="L605" s="2">
        <f ca="1">IF(Iterations[[#This Row],[Step]] =current_step, current_Total_Loss,IF(Iterations[[#This Row],[Step]] &gt; current_step, "",Iterations[[#This Row],[Total Loss]]))</f>
        <v>90.95</v>
      </c>
      <c r="M605" s="6" t="s">
        <v>27</v>
      </c>
      <c r="N605" s="2">
        <f ca="1">IF(Iterations[[#This Row],[Step]] =current_step, current_Grad_a,IF(Iterations[[#This Row],[Step]] &gt; current_step, "",Iterations[[#This Row],[Grad_a]]))</f>
        <v>2.3778914962282682E-2</v>
      </c>
      <c r="O605" s="2">
        <f ca="1">IF(Iterations[[#This Row],[Step]] =current_step, current_Grad_b,IF(Iterations[[#This Row],[Step]] &gt; current_step, "",Iterations[[#This Row],[Grad_b]]))</f>
        <v>4.1377835285411058E-3</v>
      </c>
      <c r="P605" s="2">
        <f ca="1">IF(Iterations[[#This Row],[Step]] =current_step, current_Grad_c,IF(Iterations[[#This Row],[Step]] &gt; current_step, "",Iterations[[#This Row],[Grad_c]]))</f>
        <v>-6.6704384927938482E-2</v>
      </c>
      <c r="Q605" s="2">
        <f ca="1">IF(Iterations[[#This Row],[Step]] =current_step, current_Grad_d,IF(Iterations[[#This Row],[Step]] &gt; current_step, "",Iterations[[#This Row],[Grad_d]]))</f>
        <v>-3.7898411464661022E-3</v>
      </c>
      <c r="R605" s="2">
        <f ca="1">IF(Iterations[[#This Row],[Step]] =current_step, current_Grad_e,IF(Iterations[[#This Row],[Step]] &gt; current_step, "",Iterations[[#This Row],[Grad_e]]))</f>
        <v>2.3788945619109429E-2</v>
      </c>
    </row>
    <row r="606" spans="6:18" x14ac:dyDescent="0.3">
      <c r="F606" s="2">
        <f t="shared" si="11"/>
        <v>589</v>
      </c>
      <c r="G606" s="2">
        <f ca="1">IF(Iterations[[#This Row],[Step]] =current_step, current_a,IF(Iterations[[#This Row],[Step]] &gt; current_step, "",Iterations[[#This Row],[a]]))</f>
        <v>-7.0662440223750007</v>
      </c>
      <c r="H606" s="2">
        <f ca="1">IF(Iterations[[#This Row],[Step]] =current_step, current_b,IF(Iterations[[#This Row],[Step]] &gt; current_step, "",Iterations[[#This Row],[b]]))</f>
        <v>0.38451870610691363</v>
      </c>
      <c r="I606" s="2">
        <f ca="1">IF(Iterations[[#This Row],[Step]] =current_step, current_c,IF(Iterations[[#This Row],[Step]] &gt; current_step, "",Iterations[[#This Row],[c]]))</f>
        <v>20.658200870206688</v>
      </c>
      <c r="J606" s="2">
        <f ca="1">IF(Iterations[[#This Row],[Step]] =current_step, current_d,IF(Iterations[[#This Row],[Step]] &gt; current_step, "",Iterations[[#This Row],[d]]))</f>
        <v>1.1716044137428632</v>
      </c>
      <c r="K606" s="2">
        <f ca="1">IF(Iterations[[#This Row],[Step]] =current_step, current_e,IF(Iterations[[#This Row],[Step]] &gt; current_step, "",Iterations[[#This Row],[e]]))</f>
        <v>11.513886550545791</v>
      </c>
      <c r="L606" s="2">
        <f ca="1">IF(Iterations[[#This Row],[Step]] =current_step, current_Total_Loss,IF(Iterations[[#This Row],[Step]] &gt; current_step, "",Iterations[[#This Row],[Total Loss]]))</f>
        <v>90.94</v>
      </c>
      <c r="M606" s="6" t="s">
        <v>27</v>
      </c>
      <c r="N606" s="2">
        <f ca="1">IF(Iterations[[#This Row],[Step]] =current_step, current_Grad_a,IF(Iterations[[#This Row],[Step]] &gt; current_step, "",Iterations[[#This Row],[Grad_a]]))</f>
        <v>2.3618002079833653E-2</v>
      </c>
      <c r="O606" s="2">
        <f ca="1">IF(Iterations[[#This Row],[Step]] =current_step, current_Grad_b,IF(Iterations[[#This Row],[Step]] &gt; current_step, "",Iterations[[#This Row],[Grad_b]]))</f>
        <v>4.1098875950122092E-3</v>
      </c>
      <c r="P606" s="2">
        <f ca="1">IF(Iterations[[#This Row],[Step]] =current_step, current_Grad_c,IF(Iterations[[#This Row],[Step]] &gt; current_step, "",Iterations[[#This Row],[Grad_c]]))</f>
        <v>-6.625297286395028E-2</v>
      </c>
      <c r="Q606" s="2">
        <f ca="1">IF(Iterations[[#This Row],[Step]] =current_step, current_Grad_d,IF(Iterations[[#This Row],[Step]] &gt; current_step, "",Iterations[[#This Row],[Grad_d]]))</f>
        <v>-3.764416979168492E-3</v>
      </c>
      <c r="R606" s="2">
        <f ca="1">IF(Iterations[[#This Row],[Step]] =current_step, current_Grad_e,IF(Iterations[[#This Row],[Step]] &gt; current_step, "",Iterations[[#This Row],[Grad_e]]))</f>
        <v>2.3627954305036763E-2</v>
      </c>
    </row>
    <row r="607" spans="6:18" x14ac:dyDescent="0.3">
      <c r="F607" s="2">
        <f t="shared" si="11"/>
        <v>590</v>
      </c>
      <c r="G607" s="2">
        <f ca="1">IF(Iterations[[#This Row],[Step]] =current_step, current_a,IF(Iterations[[#This Row],[Step]] &gt; current_step, "",Iterations[[#This Row],[a]]))</f>
        <v>-7.0678972825205895</v>
      </c>
      <c r="H607" s="2">
        <f ca="1">IF(Iterations[[#This Row],[Step]] =current_step, current_b,IF(Iterations[[#This Row],[Step]] &gt; current_step, "",Iterations[[#This Row],[b]]))</f>
        <v>0.38423101397526277</v>
      </c>
      <c r="I607" s="2">
        <f ca="1">IF(Iterations[[#This Row],[Step]] =current_step, current_c,IF(Iterations[[#This Row],[Step]] &gt; current_step, "",Iterations[[#This Row],[c]]))</f>
        <v>20.662838578307163</v>
      </c>
      <c r="J607" s="2">
        <f ca="1">IF(Iterations[[#This Row],[Step]] =current_step, current_d,IF(Iterations[[#This Row],[Step]] &gt; current_step, "",Iterations[[#This Row],[d]]))</f>
        <v>1.1718679229314051</v>
      </c>
      <c r="K607" s="2">
        <f ca="1">IF(Iterations[[#This Row],[Step]] =current_step, current_e,IF(Iterations[[#This Row],[Step]] &gt; current_step, "",Iterations[[#This Row],[e]]))</f>
        <v>11.512232593744439</v>
      </c>
      <c r="L607" s="2">
        <f ca="1">IF(Iterations[[#This Row],[Step]] =current_step, current_Total_Loss,IF(Iterations[[#This Row],[Step]] &gt; current_step, "",Iterations[[#This Row],[Total Loss]]))</f>
        <v>90.94</v>
      </c>
      <c r="M607" s="6" t="s">
        <v>27</v>
      </c>
      <c r="N607" s="2">
        <f ca="1">IF(Iterations[[#This Row],[Step]] =current_step, current_Grad_a,IF(Iterations[[#This Row],[Step]] &gt; current_step, "",Iterations[[#This Row],[Grad_a]]))</f>
        <v>2.3458178084638643E-2</v>
      </c>
      <c r="O607" s="2">
        <f ca="1">IF(Iterations[[#This Row],[Step]] =current_step, current_Grad_b,IF(Iterations[[#This Row],[Step]] &gt; current_step, "",Iterations[[#This Row],[Grad_b]]))</f>
        <v>4.0821785670896015E-3</v>
      </c>
      <c r="P607" s="2">
        <f ca="1">IF(Iterations[[#This Row],[Step]] =current_step, current_Grad_c,IF(Iterations[[#This Row],[Step]] &gt; current_step, "",Iterations[[#This Row],[Grad_c]]))</f>
        <v>-6.5804615847020742E-2</v>
      </c>
      <c r="Q607" s="2">
        <f ca="1">IF(Iterations[[#This Row],[Step]] =current_step, current_Grad_d,IF(Iterations[[#This Row],[Step]] &gt; current_step, "",Iterations[[#This Row],[Grad_d]]))</f>
        <v>-3.7391609021152289E-3</v>
      </c>
      <c r="R607" s="2">
        <f ca="1">IF(Iterations[[#This Row],[Step]] =current_step, current_Grad_e,IF(Iterations[[#This Row],[Step]] &gt; current_step, "",Iterations[[#This Row],[Grad_e]]))</f>
        <v>2.34680525970157E-2</v>
      </c>
    </row>
    <row r="608" spans="6:18" x14ac:dyDescent="0.3">
      <c r="F608" s="2">
        <f t="shared" si="11"/>
        <v>591</v>
      </c>
      <c r="G608" s="2">
        <f ca="1">IF(Iterations[[#This Row],[Step]] =current_step, current_a,IF(Iterations[[#This Row],[Step]] &gt; current_step, "",Iterations[[#This Row],[a]]))</f>
        <v>-7.0695393549865138</v>
      </c>
      <c r="H608" s="2">
        <f ca="1">IF(Iterations[[#This Row],[Step]] =current_step, current_b,IF(Iterations[[#This Row],[Step]] &gt; current_step, "",Iterations[[#This Row],[b]]))</f>
        <v>0.38394526147556651</v>
      </c>
      <c r="I608" s="2">
        <f ca="1">IF(Iterations[[#This Row],[Step]] =current_step, current_c,IF(Iterations[[#This Row],[Step]] &gt; current_step, "",Iterations[[#This Row],[c]]))</f>
        <v>20.667444901416456</v>
      </c>
      <c r="J608" s="2">
        <f ca="1">IF(Iterations[[#This Row],[Step]] =current_step, current_d,IF(Iterations[[#This Row],[Step]] &gt; current_step, "",Iterations[[#This Row],[d]]))</f>
        <v>1.1721296641945531</v>
      </c>
      <c r="K608" s="2">
        <f ca="1">IF(Iterations[[#This Row],[Step]] =current_step, current_e,IF(Iterations[[#This Row],[Step]] &gt; current_step, "",Iterations[[#This Row],[e]]))</f>
        <v>11.510589830062647</v>
      </c>
      <c r="L608" s="2">
        <f ca="1">IF(Iterations[[#This Row],[Step]] =current_step, current_Total_Loss,IF(Iterations[[#This Row],[Step]] &gt; current_step, "",Iterations[[#This Row],[Total Loss]]))</f>
        <v>90.93</v>
      </c>
      <c r="M608" s="6" t="s">
        <v>27</v>
      </c>
      <c r="N608" s="2">
        <f ca="1">IF(Iterations[[#This Row],[Step]] =current_step, current_Grad_a,IF(Iterations[[#This Row],[Step]] &gt; current_step, "",Iterations[[#This Row],[Grad_a]]))</f>
        <v>2.3299435608569025E-2</v>
      </c>
      <c r="O608" s="2">
        <f ca="1">IF(Iterations[[#This Row],[Step]] =current_step, current_Grad_b,IF(Iterations[[#This Row],[Step]] &gt; current_step, "",Iterations[[#This Row],[Grad_b]]))</f>
        <v>4.0546552133006418E-3</v>
      </c>
      <c r="P608" s="2">
        <f ca="1">IF(Iterations[[#This Row],[Step]] =current_step, current_Grad_c,IF(Iterations[[#This Row],[Step]] &gt; current_step, "",Iterations[[#This Row],[Grad_c]]))</f>
        <v>-6.5359293198078885E-2</v>
      </c>
      <c r="Q608" s="2">
        <f ca="1">IF(Iterations[[#This Row],[Step]] =current_step, current_Grad_d,IF(Iterations[[#This Row],[Step]] &gt; current_step, "",Iterations[[#This Row],[Grad_d]]))</f>
        <v>-3.714071848338712E-3</v>
      </c>
      <c r="R608" s="2">
        <f ca="1">IF(Iterations[[#This Row],[Step]] =current_step, current_Grad_e,IF(Iterations[[#This Row],[Step]] &gt; current_step, "",Iterations[[#This Row],[Grad_e]]))</f>
        <v>2.3309233118697828E-2</v>
      </c>
    </row>
    <row r="609" spans="6:18" x14ac:dyDescent="0.3">
      <c r="F609" s="2">
        <f t="shared" si="11"/>
        <v>592</v>
      </c>
      <c r="G609" s="2">
        <f ca="1">IF(Iterations[[#This Row],[Step]] =current_step, current_a,IF(Iterations[[#This Row],[Step]] &gt; current_step, "",Iterations[[#This Row],[a]]))</f>
        <v>-7.0711703154791135</v>
      </c>
      <c r="H609" s="2">
        <f ca="1">IF(Iterations[[#This Row],[Step]] =current_step, current_b,IF(Iterations[[#This Row],[Step]] &gt; current_step, "",Iterations[[#This Row],[b]]))</f>
        <v>0.38366143561063548</v>
      </c>
      <c r="I609" s="2">
        <f ca="1">IF(Iterations[[#This Row],[Step]] =current_step, current_c,IF(Iterations[[#This Row],[Step]] &gt; current_step, "",Iterations[[#This Row],[c]]))</f>
        <v>20.672020051940322</v>
      </c>
      <c r="J609" s="2">
        <f ca="1">IF(Iterations[[#This Row],[Step]] =current_step, current_d,IF(Iterations[[#This Row],[Step]] &gt; current_step, "",Iterations[[#This Row],[d]]))</f>
        <v>1.1723896492239367</v>
      </c>
      <c r="K609" s="2">
        <f ca="1">IF(Iterations[[#This Row],[Step]] =current_step, current_e,IF(Iterations[[#This Row],[Step]] &gt; current_step, "",Iterations[[#This Row],[e]]))</f>
        <v>11.508958183744339</v>
      </c>
      <c r="L609" s="2">
        <f ca="1">IF(Iterations[[#This Row],[Step]] =current_step, current_Total_Loss,IF(Iterations[[#This Row],[Step]] &gt; current_step, "",Iterations[[#This Row],[Total Loss]]))</f>
        <v>90.92</v>
      </c>
      <c r="M609" s="6" t="s">
        <v>27</v>
      </c>
      <c r="N609" s="2">
        <f ca="1">IF(Iterations[[#This Row],[Step]] =current_step, current_Grad_a,IF(Iterations[[#This Row],[Step]] &gt; current_step, "",Iterations[[#This Row],[Grad_a]]))</f>
        <v>2.3141767333240287E-2</v>
      </c>
      <c r="O609" s="2">
        <f ca="1">IF(Iterations[[#This Row],[Step]] =current_step, current_Grad_b,IF(Iterations[[#This Row],[Step]] &gt; current_step, "",Iterations[[#This Row],[Grad_b]]))</f>
        <v>4.0273163098932929E-3</v>
      </c>
      <c r="P609" s="2">
        <f ca="1">IF(Iterations[[#This Row],[Step]] =current_step, current_Grad_c,IF(Iterations[[#This Row],[Step]] &gt; current_step, "",Iterations[[#This Row],[Grad_c]]))</f>
        <v>-6.4916984378130288E-2</v>
      </c>
      <c r="Q609" s="2">
        <f ca="1">IF(Iterations[[#This Row],[Step]] =current_step, current_Grad_d,IF(Iterations[[#This Row],[Step]] &gt; current_step, "",Iterations[[#This Row],[Grad_d]]))</f>
        <v>-3.6891487568497311E-3</v>
      </c>
      <c r="R609" s="2">
        <f ca="1">IF(Iterations[[#This Row],[Step]] =current_step, current_Grad_e,IF(Iterations[[#This Row],[Step]] &gt; current_step, "",Iterations[[#This Row],[Grad_e]]))</f>
        <v>2.3151488543681924E-2</v>
      </c>
    </row>
    <row r="610" spans="6:18" x14ac:dyDescent="0.3">
      <c r="F610" s="2">
        <f t="shared" si="11"/>
        <v>593</v>
      </c>
      <c r="G610" s="2">
        <f ca="1">IF(Iterations[[#This Row],[Step]] =current_step, current_a,IF(Iterations[[#This Row],[Step]] &gt; current_step, "",Iterations[[#This Row],[a]]))</f>
        <v>-7.0727902391924404</v>
      </c>
      <c r="H610" s="2">
        <f ca="1">IF(Iterations[[#This Row],[Step]] =current_step, current_b,IF(Iterations[[#This Row],[Step]] &gt; current_step, "",Iterations[[#This Row],[b]]))</f>
        <v>0.38337952346894294</v>
      </c>
      <c r="I610" s="2">
        <f ca="1">IF(Iterations[[#This Row],[Step]] =current_step, current_c,IF(Iterations[[#This Row],[Step]] &gt; current_step, "",Iterations[[#This Row],[c]]))</f>
        <v>20.67656424084679</v>
      </c>
      <c r="J610" s="2">
        <f ca="1">IF(Iterations[[#This Row],[Step]] =current_step, current_d,IF(Iterations[[#This Row],[Step]] &gt; current_step, "",Iterations[[#This Row],[d]]))</f>
        <v>1.1726478896369161</v>
      </c>
      <c r="K610" s="2">
        <f ca="1">IF(Iterations[[#This Row],[Step]] =current_step, current_e,IF(Iterations[[#This Row],[Step]] &gt; current_step, "",Iterations[[#This Row],[e]]))</f>
        <v>11.507337579546281</v>
      </c>
      <c r="L610" s="2">
        <f ca="1">IF(Iterations[[#This Row],[Step]] =current_step, current_Total_Loss,IF(Iterations[[#This Row],[Step]] &gt; current_step, "",Iterations[[#This Row],[Total Loss]]))</f>
        <v>90.91</v>
      </c>
      <c r="M610" s="6" t="s">
        <v>27</v>
      </c>
      <c r="N610" s="2">
        <f ca="1">IF(Iterations[[#This Row],[Step]] =current_step, current_Grad_a,IF(Iterations[[#This Row],[Step]] &gt; current_step, "",Iterations[[#This Row],[Grad_a]]))</f>
        <v>2.2985165989999237E-2</v>
      </c>
      <c r="O610" s="2">
        <f ca="1">IF(Iterations[[#This Row],[Step]] =current_step, current_Grad_b,IF(Iterations[[#This Row],[Step]] &gt; current_step, "",Iterations[[#This Row],[Grad_b]]))</f>
        <v>4.0001606407709485E-3</v>
      </c>
      <c r="P610" s="2">
        <f ca="1">IF(Iterations[[#This Row],[Step]] =current_step, current_Grad_c,IF(Iterations[[#This Row],[Step]] &gt; current_step, "",Iterations[[#This Row],[Grad_c]]))</f>
        <v>-6.4477668987170403E-2</v>
      </c>
      <c r="Q610" s="2">
        <f ca="1">IF(Iterations[[#This Row],[Step]] =current_step, current_Grad_d,IF(Iterations[[#This Row],[Step]] &gt; current_step, "",Iterations[[#This Row],[Grad_d]]))</f>
        <v>-3.6643905726157378E-3</v>
      </c>
      <c r="R610" s="2">
        <f ca="1">IF(Iterations[[#This Row],[Step]] =current_step, current_Grad_e,IF(Iterations[[#This Row],[Step]] &gt; current_step, "",Iterations[[#This Row],[Grad_e]]))</f>
        <v>2.2994811595239244E-2</v>
      </c>
    </row>
    <row r="611" spans="6:18" x14ac:dyDescent="0.3">
      <c r="F611" s="2">
        <f t="shared" si="11"/>
        <v>594</v>
      </c>
      <c r="G611" s="2">
        <f ca="1">IF(Iterations[[#This Row],[Step]] =current_step, current_a,IF(Iterations[[#This Row],[Step]] &gt; current_step, "",Iterations[[#This Row],[a]]))</f>
        <v>-7.0743992008117402</v>
      </c>
      <c r="H611" s="2">
        <f ca="1">IF(Iterations[[#This Row],[Step]] =current_step, current_b,IF(Iterations[[#This Row],[Step]] &gt; current_step, "",Iterations[[#This Row],[b]]))</f>
        <v>0.383099512224089</v>
      </c>
      <c r="I611" s="2">
        <f ca="1">IF(Iterations[[#This Row],[Step]] =current_step, current_c,IF(Iterations[[#This Row],[Step]] &gt; current_step, "",Iterations[[#This Row],[c]]))</f>
        <v>20.681077677675891</v>
      </c>
      <c r="J611" s="2">
        <f ca="1">IF(Iterations[[#This Row],[Step]] =current_step, current_d,IF(Iterations[[#This Row],[Step]] &gt; current_step, "",Iterations[[#This Row],[d]]))</f>
        <v>1.1729043969769992</v>
      </c>
      <c r="K611" s="2">
        <f ca="1">IF(Iterations[[#This Row],[Step]] =current_step, current_e,IF(Iterations[[#This Row],[Step]] &gt; current_step, "",Iterations[[#This Row],[e]]))</f>
        <v>11.505727942734614</v>
      </c>
      <c r="L611" s="2">
        <f ca="1">IF(Iterations[[#This Row],[Step]] =current_step, current_Total_Loss,IF(Iterations[[#This Row],[Step]] &gt; current_step, "",Iterations[[#This Row],[Total Loss]]))</f>
        <v>90.91</v>
      </c>
      <c r="M611" s="6" t="s">
        <v>27</v>
      </c>
      <c r="N611" s="2">
        <f ca="1">IF(Iterations[[#This Row],[Step]] =current_step, current_Grad_a,IF(Iterations[[#This Row],[Step]] &gt; current_step, "",Iterations[[#This Row],[Grad_a]]))</f>
        <v>2.2829624359175311E-2</v>
      </c>
      <c r="O611" s="2">
        <f ca="1">IF(Iterations[[#This Row],[Step]] =current_step, current_Grad_b,IF(Iterations[[#This Row],[Step]] &gt; current_step, "",Iterations[[#This Row],[Grad_b]]))</f>
        <v>3.9731869975631051E-3</v>
      </c>
      <c r="P611" s="2">
        <f ca="1">IF(Iterations[[#This Row],[Step]] =current_step, current_Grad_c,IF(Iterations[[#This Row],[Step]] &gt; current_step, "",Iterations[[#This Row],[Grad_c]]))</f>
        <v>-6.4041326763413786E-2</v>
      </c>
      <c r="Q611" s="2">
        <f ca="1">IF(Iterations[[#This Row],[Step]] =current_step, current_Grad_d,IF(Iterations[[#This Row],[Step]] &gt; current_step, "",Iterations[[#This Row],[Grad_d]]))</f>
        <v>-3.6397962465058811E-3</v>
      </c>
      <c r="R611" s="2">
        <f ca="1">IF(Iterations[[#This Row],[Step]] =current_step, current_Grad_e,IF(Iterations[[#This Row],[Step]] &gt; current_step, "",Iterations[[#This Row],[Grad_e]]))</f>
        <v>2.283919504589586E-2</v>
      </c>
    </row>
    <row r="612" spans="6:18" x14ac:dyDescent="0.3">
      <c r="F612" s="2">
        <f t="shared" si="11"/>
        <v>595</v>
      </c>
      <c r="G612" s="2">
        <f ca="1">IF(Iterations[[#This Row],[Step]] =current_step, current_a,IF(Iterations[[#This Row],[Step]] &gt; current_step, "",Iterations[[#This Row],[a]]))</f>
        <v>-7.0759972745168822</v>
      </c>
      <c r="H612" s="2">
        <f ca="1">IF(Iterations[[#This Row],[Step]] =current_step, current_b,IF(Iterations[[#This Row],[Step]] &gt; current_step, "",Iterations[[#This Row],[b]]))</f>
        <v>0.38282138913425956</v>
      </c>
      <c r="I612" s="2">
        <f ca="1">IF(Iterations[[#This Row],[Step]] =current_step, current_c,IF(Iterations[[#This Row],[Step]] &gt; current_step, "",Iterations[[#This Row],[c]]))</f>
        <v>20.685560570549331</v>
      </c>
      <c r="J612" s="2">
        <f ca="1">IF(Iterations[[#This Row],[Step]] =current_step, current_d,IF(Iterations[[#This Row],[Step]] &gt; current_step, "",Iterations[[#This Row],[d]]))</f>
        <v>1.1731591827142547</v>
      </c>
      <c r="K612" s="2">
        <f ca="1">IF(Iterations[[#This Row],[Step]] =current_step, current_e,IF(Iterations[[#This Row],[Step]] &gt; current_step, "",Iterations[[#This Row],[e]]))</f>
        <v>11.504129199081401</v>
      </c>
      <c r="L612" s="2">
        <f ca="1">IF(Iterations[[#This Row],[Step]] =current_step, current_Total_Loss,IF(Iterations[[#This Row],[Step]] &gt; current_step, "",Iterations[[#This Row],[Total Loss]]))</f>
        <v>90.9</v>
      </c>
      <c r="M612" s="6" t="s">
        <v>27</v>
      </c>
      <c r="N612" s="2">
        <f ca="1">IF(Iterations[[#This Row],[Step]] =current_step, current_Grad_a,IF(Iterations[[#This Row],[Step]] &gt; current_step, "",Iterations[[#This Row],[Grad_a]]))</f>
        <v>2.2675135270196822E-2</v>
      </c>
      <c r="O612" s="2">
        <f ca="1">IF(Iterations[[#This Row],[Step]] =current_step, current_Grad_b,IF(Iterations[[#This Row],[Step]] &gt; current_step, "",Iterations[[#This Row],[Grad_b]]))</f>
        <v>3.9463941794388351E-3</v>
      </c>
      <c r="P612" s="2">
        <f ca="1">IF(Iterations[[#This Row],[Step]] =current_step, current_Grad_c,IF(Iterations[[#This Row],[Step]] &gt; current_step, "",Iterations[[#This Row],[Grad_c]]))</f>
        <v>-6.360793758217817E-2</v>
      </c>
      <c r="Q612" s="2">
        <f ca="1">IF(Iterations[[#This Row],[Step]] =current_step, current_Grad_d,IF(Iterations[[#This Row],[Step]] &gt; current_step, "",Iterations[[#This Row],[Grad_d]]))</f>
        <v>-3.6153647353248971E-3</v>
      </c>
      <c r="R612" s="2">
        <f ca="1">IF(Iterations[[#This Row],[Step]] =current_step, current_Grad_e,IF(Iterations[[#This Row],[Step]] &gt; current_step, "",Iterations[[#This Row],[Grad_e]]))</f>
        <v>2.2684631717178643E-2</v>
      </c>
    </row>
    <row r="613" spans="6:18" x14ac:dyDescent="0.3">
      <c r="F613" s="2">
        <f t="shared" si="11"/>
        <v>596</v>
      </c>
      <c r="G613" s="2">
        <f ca="1">IF(Iterations[[#This Row],[Step]] =current_step, current_a,IF(Iterations[[#This Row],[Step]] &gt; current_step, "",Iterations[[#This Row],[a]]))</f>
        <v>-7.0775845339857959</v>
      </c>
      <c r="H613" s="2">
        <f ca="1">IF(Iterations[[#This Row],[Step]] =current_step, current_b,IF(Iterations[[#This Row],[Step]] &gt; current_step, "",Iterations[[#This Row],[b]]))</f>
        <v>0.38254514154169883</v>
      </c>
      <c r="I613" s="2">
        <f ca="1">IF(Iterations[[#This Row],[Step]] =current_step, current_c,IF(Iterations[[#This Row],[Step]] &gt; current_step, "",Iterations[[#This Row],[c]]))</f>
        <v>20.690013126180084</v>
      </c>
      <c r="J613" s="2">
        <f ca="1">IF(Iterations[[#This Row],[Step]] =current_step, current_d,IF(Iterations[[#This Row],[Step]] &gt; current_step, "",Iterations[[#This Row],[d]]))</f>
        <v>1.1734122582457274</v>
      </c>
      <c r="K613" s="2">
        <f ca="1">IF(Iterations[[#This Row],[Step]] =current_step, current_e,IF(Iterations[[#This Row],[Step]] &gt; current_step, "",Iterations[[#This Row],[e]]))</f>
        <v>11.502541274861198</v>
      </c>
      <c r="L613" s="2">
        <f ca="1">IF(Iterations[[#This Row],[Step]] =current_step, current_Total_Loss,IF(Iterations[[#This Row],[Step]] &gt; current_step, "",Iterations[[#This Row],[Total Loss]]))</f>
        <v>90.9</v>
      </c>
      <c r="M613" s="6" t="s">
        <v>27</v>
      </c>
      <c r="N613" s="2">
        <f ca="1">IF(Iterations[[#This Row],[Step]] =current_step, current_Grad_a,IF(Iterations[[#This Row],[Step]] &gt; current_step, "",Iterations[[#This Row],[Grad_a]]))</f>
        <v>2.2521691600535645E-2</v>
      </c>
      <c r="O613" s="2">
        <f ca="1">IF(Iterations[[#This Row],[Step]] =current_step, current_Grad_b,IF(Iterations[[#This Row],[Step]] &gt; current_step, "",Iterations[[#This Row],[Grad_b]]))</f>
        <v>3.9197809932461792E-3</v>
      </c>
      <c r="P613" s="2">
        <f ca="1">IF(Iterations[[#This Row],[Step]] =current_step, current_Grad_c,IF(Iterations[[#This Row],[Step]] &gt; current_step, "",Iterations[[#This Row],[Grad_c]]))</f>
        <v>-6.3177481455245432E-2</v>
      </c>
      <c r="Q613" s="2">
        <f ca="1">IF(Iterations[[#This Row],[Step]] =current_step, current_Grad_d,IF(Iterations[[#This Row],[Step]] &gt; current_step, "",Iterations[[#This Row],[Grad_d]]))</f>
        <v>-3.5910950017323928E-3</v>
      </c>
      <c r="R613" s="2">
        <f ca="1">IF(Iterations[[#This Row],[Step]] =current_step, current_Grad_e,IF(Iterations[[#This Row],[Step]] &gt; current_step, "",Iterations[[#This Row],[Grad_e]]))</f>
        <v>2.253111447915352E-2</v>
      </c>
    </row>
    <row r="614" spans="6:18" x14ac:dyDescent="0.3">
      <c r="F614" s="2">
        <f t="shared" si="11"/>
        <v>597</v>
      </c>
      <c r="G614" s="2">
        <f ca="1">IF(Iterations[[#This Row],[Step]] =current_step, current_a,IF(Iterations[[#This Row],[Step]] &gt; current_step, "",Iterations[[#This Row],[a]]))</f>
        <v>-7.0791610523978337</v>
      </c>
      <c r="H614" s="2">
        <f ca="1">IF(Iterations[[#This Row],[Step]] =current_step, current_b,IF(Iterations[[#This Row],[Step]] &gt; current_step, "",Iterations[[#This Row],[b]]))</f>
        <v>0.3822707568721716</v>
      </c>
      <c r="I614" s="2">
        <f ca="1">IF(Iterations[[#This Row],[Step]] =current_step, current_c,IF(Iterations[[#This Row],[Step]] &gt; current_step, "",Iterations[[#This Row],[c]]))</f>
        <v>20.694435549881952</v>
      </c>
      <c r="J614" s="2">
        <f ca="1">IF(Iterations[[#This Row],[Step]] =current_step, current_d,IF(Iterations[[#This Row],[Step]] &gt; current_step, "",Iterations[[#This Row],[d]]))</f>
        <v>1.1736636348958487</v>
      </c>
      <c r="K614" s="2">
        <f ca="1">IF(Iterations[[#This Row],[Step]] =current_step, current_e,IF(Iterations[[#This Row],[Step]] &gt; current_step, "",Iterations[[#This Row],[e]]))</f>
        <v>11.500964096847657</v>
      </c>
      <c r="L614" s="2">
        <f ca="1">IF(Iterations[[#This Row],[Step]] =current_step, current_Total_Loss,IF(Iterations[[#This Row],[Step]] &gt; current_step, "",Iterations[[#This Row],[Total Loss]]))</f>
        <v>90.89</v>
      </c>
      <c r="M614" s="6" t="s">
        <v>27</v>
      </c>
      <c r="N614" s="2">
        <f ca="1">IF(Iterations[[#This Row],[Step]] =current_step, current_Grad_a,IF(Iterations[[#This Row],[Step]] &gt; current_step, "",Iterations[[#This Row],[Grad_a]]))</f>
        <v>2.2369286276550993E-2</v>
      </c>
      <c r="O614" s="2">
        <f ca="1">IF(Iterations[[#This Row],[Step]] =current_step, current_Grad_b,IF(Iterations[[#This Row],[Step]] &gt; current_step, "",Iterations[[#This Row],[Grad_b]]))</f>
        <v>3.8933462532010723E-3</v>
      </c>
      <c r="P614" s="2">
        <f ca="1">IF(Iterations[[#This Row],[Step]] =current_step, current_Grad_c,IF(Iterations[[#This Row],[Step]] &gt; current_step, "",Iterations[[#This Row],[Grad_c]]))</f>
        <v>-6.2749938529458704E-2</v>
      </c>
      <c r="Q614" s="2">
        <f ca="1">IF(Iterations[[#This Row],[Step]] =current_step, current_Grad_d,IF(Iterations[[#This Row],[Step]] &gt; current_step, "",Iterations[[#This Row],[Grad_d]]))</f>
        <v>-3.5669860143165174E-3</v>
      </c>
      <c r="R614" s="2">
        <f ca="1">IF(Iterations[[#This Row],[Step]] =current_step, current_Grad_e,IF(Iterations[[#This Row],[Step]] &gt; current_step, "",Iterations[[#This Row],[Grad_e]]))</f>
        <v>2.2378636250315824E-2</v>
      </c>
    </row>
    <row r="615" spans="6:18" x14ac:dyDescent="0.3">
      <c r="F615" s="2">
        <f t="shared" si="11"/>
        <v>598</v>
      </c>
      <c r="G615" s="2">
        <f ca="1">IF(Iterations[[#This Row],[Step]] =current_step, current_a,IF(Iterations[[#This Row],[Step]] &gt; current_step, "",Iterations[[#This Row],[a]]))</f>
        <v>-7.0807269024371919</v>
      </c>
      <c r="H615" s="2">
        <f ca="1">IF(Iterations[[#This Row],[Step]] =current_step, current_b,IF(Iterations[[#This Row],[Step]] &gt; current_step, "",Iterations[[#This Row],[b]]))</f>
        <v>0.38199822263444755</v>
      </c>
      <c r="I615" s="2">
        <f ca="1">IF(Iterations[[#This Row],[Step]] =current_step, current_c,IF(Iterations[[#This Row],[Step]] &gt; current_step, "",Iterations[[#This Row],[c]]))</f>
        <v>20.698828045579013</v>
      </c>
      <c r="J615" s="2">
        <f ca="1">IF(Iterations[[#This Row],[Step]] =current_step, current_d,IF(Iterations[[#This Row],[Step]] &gt; current_step, "",Iterations[[#This Row],[d]]))</f>
        <v>1.1739133239168509</v>
      </c>
      <c r="K615" s="2">
        <f ca="1">IF(Iterations[[#This Row],[Step]] =current_step, current_e,IF(Iterations[[#This Row],[Step]] &gt; current_step, "",Iterations[[#This Row],[e]]))</f>
        <v>11.499397592310135</v>
      </c>
      <c r="L615" s="2">
        <f ca="1">IF(Iterations[[#This Row],[Step]] =current_step, current_Total_Loss,IF(Iterations[[#This Row],[Step]] &gt; current_step, "",Iterations[[#This Row],[Total Loss]]))</f>
        <v>90.88</v>
      </c>
      <c r="M615" s="6" t="s">
        <v>27</v>
      </c>
      <c r="N615" s="2">
        <f ca="1">IF(Iterations[[#This Row],[Step]] =current_step, current_Grad_a,IF(Iterations[[#This Row],[Step]] &gt; current_step, "",Iterations[[#This Row],[Grad_a]]))</f>
        <v>2.2217912271714348E-2</v>
      </c>
      <c r="O615" s="2">
        <f ca="1">IF(Iterations[[#This Row],[Step]] =current_step, current_Grad_b,IF(Iterations[[#This Row],[Step]] &gt; current_step, "",Iterations[[#This Row],[Grad_b]]))</f>
        <v>3.8670887812117557E-3</v>
      </c>
      <c r="P615" s="2">
        <f ca="1">IF(Iterations[[#This Row],[Step]] =current_step, current_Grad_c,IF(Iterations[[#This Row],[Step]] &gt; current_step, "",Iterations[[#This Row],[Grad_c]]))</f>
        <v>-6.2325289086404619E-2</v>
      </c>
      <c r="Q615" s="2">
        <f ca="1">IF(Iterations[[#This Row],[Step]] =current_step, current_Grad_d,IF(Iterations[[#This Row],[Step]] &gt; current_step, "",Iterations[[#This Row],[Grad_d]]))</f>
        <v>-3.5430367474403005E-3</v>
      </c>
      <c r="R615" s="2">
        <f ca="1">IF(Iterations[[#This Row],[Step]] =current_step, current_Grad_e,IF(Iterations[[#This Row],[Step]] &gt; current_step, "",Iterations[[#This Row],[Grad_e]]))</f>
        <v>2.2227189996980614E-2</v>
      </c>
    </row>
    <row r="616" spans="6:18" x14ac:dyDescent="0.3">
      <c r="F616" s="2">
        <f t="shared" si="11"/>
        <v>599</v>
      </c>
      <c r="G616" s="2">
        <f ca="1">IF(Iterations[[#This Row],[Step]] =current_step, current_a,IF(Iterations[[#This Row],[Step]] &gt; current_step, "",Iterations[[#This Row],[a]]))</f>
        <v>-7.0822821562962117</v>
      </c>
      <c r="H616" s="2">
        <f ca="1">IF(Iterations[[#This Row],[Step]] =current_step, current_b,IF(Iterations[[#This Row],[Step]] &gt; current_step, "",Iterations[[#This Row],[b]]))</f>
        <v>0.38172752641976271</v>
      </c>
      <c r="I616" s="2">
        <f ca="1">IF(Iterations[[#This Row],[Step]] =current_step, current_c,IF(Iterations[[#This Row],[Step]] &gt; current_step, "",Iterations[[#This Row],[c]]))</f>
        <v>20.703190815815063</v>
      </c>
      <c r="J616" s="2">
        <f ca="1">IF(Iterations[[#This Row],[Step]] =current_step, current_d,IF(Iterations[[#This Row],[Step]] &gt; current_step, "",Iterations[[#This Row],[d]]))</f>
        <v>1.1741613364891716</v>
      </c>
      <c r="K616" s="2">
        <f ca="1">IF(Iterations[[#This Row],[Step]] =current_step, current_e,IF(Iterations[[#This Row],[Step]] &gt; current_step, "",Iterations[[#This Row],[e]]))</f>
        <v>11.497841689010347</v>
      </c>
      <c r="L616" s="2">
        <f ca="1">IF(Iterations[[#This Row],[Step]] =current_step, current_Total_Loss,IF(Iterations[[#This Row],[Step]] &gt; current_step, "",Iterations[[#This Row],[Total Loss]]))</f>
        <v>90.88</v>
      </c>
      <c r="M616" s="6" t="s">
        <v>27</v>
      </c>
      <c r="N616" s="2">
        <f ca="1">IF(Iterations[[#This Row],[Step]] =current_step, current_Grad_a,IF(Iterations[[#This Row],[Step]] &gt; current_step, "",Iterations[[#This Row],[Grad_a]]))</f>
        <v>2.2067562607691035E-2</v>
      </c>
      <c r="O616" s="2">
        <f ca="1">IF(Iterations[[#This Row],[Step]] =current_step, current_Grad_b,IF(Iterations[[#This Row],[Step]] &gt; current_step, "",Iterations[[#This Row],[Grad_b]]))</f>
        <v>3.8410074064609465E-3</v>
      </c>
      <c r="P616" s="2">
        <f ca="1">IF(Iterations[[#This Row],[Step]] =current_step, current_Grad_c,IF(Iterations[[#This Row],[Step]] &gt; current_step, "",Iterations[[#This Row],[Grad_c]]))</f>
        <v>-6.190351354091507E-2</v>
      </c>
      <c r="Q616" s="2">
        <f ca="1">IF(Iterations[[#This Row],[Step]] =current_step, current_Grad_d,IF(Iterations[[#This Row],[Step]] &gt; current_step, "",Iterations[[#This Row],[Grad_d]]))</f>
        <v>-3.519246181365713E-3</v>
      </c>
      <c r="R616" s="2">
        <f ca="1">IF(Iterations[[#This Row],[Step]] =current_step, current_Grad_e,IF(Iterations[[#This Row],[Step]] &gt; current_step, "",Iterations[[#This Row],[Grad_e]]))</f>
        <v>2.207676873323372E-2</v>
      </c>
    </row>
    <row r="617" spans="6:18" x14ac:dyDescent="0.3">
      <c r="F617" s="2">
        <f t="shared" si="11"/>
        <v>600</v>
      </c>
      <c r="G617" s="2">
        <f ca="1">IF(Iterations[[#This Row],[Step]] =current_step, current_a,IF(Iterations[[#This Row],[Step]] &gt; current_step, "",Iterations[[#This Row],[a]]))</f>
        <v>-7.0838268856787501</v>
      </c>
      <c r="H617" s="2">
        <f ca="1">IF(Iterations[[#This Row],[Step]] =current_step, current_b,IF(Iterations[[#This Row],[Step]] &gt; current_step, "",Iterations[[#This Row],[b]]))</f>
        <v>0.38145865590131045</v>
      </c>
      <c r="I617" s="2">
        <f ca="1">IF(Iterations[[#This Row],[Step]] =current_step, current_c,IF(Iterations[[#This Row],[Step]] &gt; current_step, "",Iterations[[#This Row],[c]]))</f>
        <v>20.707524061762928</v>
      </c>
      <c r="J617" s="2">
        <f ca="1">IF(Iterations[[#This Row],[Step]] =current_step, current_d,IF(Iterations[[#This Row],[Step]] &gt; current_step, "",Iterations[[#This Row],[d]]))</f>
        <v>1.1744076837218673</v>
      </c>
      <c r="K617" s="2">
        <f ca="1">IF(Iterations[[#This Row],[Step]] =current_step, current_e,IF(Iterations[[#This Row],[Step]] &gt; current_step, "",Iterations[[#This Row],[e]]))</f>
        <v>11.49629631519902</v>
      </c>
      <c r="L617" s="2">
        <f ca="1">IF(Iterations[[#This Row],[Step]] =current_step, current_Total_Loss,IF(Iterations[[#This Row],[Step]] &gt; current_step, "",Iterations[[#This Row],[Total Loss]]))</f>
        <v>90.87</v>
      </c>
      <c r="M617" s="6" t="s">
        <v>27</v>
      </c>
      <c r="N617" s="2">
        <f ca="1">IF(Iterations[[#This Row],[Step]] =current_step, current_Grad_a,IF(Iterations[[#This Row],[Step]] &gt; current_step, "",Iterations[[#This Row],[Grad_a]]))</f>
        <v>2.191823035281066E-2</v>
      </c>
      <c r="O617" s="2">
        <f ca="1">IF(Iterations[[#This Row],[Step]] =current_step, current_Grad_b,IF(Iterations[[#This Row],[Step]] &gt; current_step, "",Iterations[[#This Row],[Grad_b]]))</f>
        <v>3.815100965651371E-3</v>
      </c>
      <c r="P617" s="2">
        <f ca="1">IF(Iterations[[#This Row],[Step]] =current_step, current_Grad_c,IF(Iterations[[#This Row],[Step]] &gt; current_step, "",Iterations[[#This Row],[Grad_c]]))</f>
        <v>-6.1484592440671282E-2</v>
      </c>
      <c r="Q617" s="2">
        <f ca="1">IF(Iterations[[#This Row],[Step]] =current_step, current_Grad_d,IF(Iterations[[#This Row],[Step]] &gt; current_step, "",Iterations[[#This Row],[Grad_d]]))</f>
        <v>-3.4956133021301133E-3</v>
      </c>
      <c r="R617" s="2">
        <f ca="1">IF(Iterations[[#This Row],[Step]] =current_step, current_Grad_e,IF(Iterations[[#This Row],[Step]] &gt; current_step, "",Iterations[[#This Row],[Grad_e]]))</f>
        <v>2.1927365520371507E-2</v>
      </c>
    </row>
    <row r="618" spans="6:18" x14ac:dyDescent="0.3">
      <c r="F618" s="2">
        <f t="shared" si="11"/>
        <v>601</v>
      </c>
      <c r="G618" s="2">
        <f ca="1">IF(Iterations[[#This Row],[Step]] =current_step, current_a,IF(Iterations[[#This Row],[Step]] &gt; current_step, "",Iterations[[#This Row],[a]]))</f>
        <v>-7.0853611618034469</v>
      </c>
      <c r="H618" s="2">
        <f ca="1">IF(Iterations[[#This Row],[Step]] =current_step, current_b,IF(Iterations[[#This Row],[Step]] &gt; current_step, "",Iterations[[#This Row],[b]]))</f>
        <v>0.38119159883371484</v>
      </c>
      <c r="I618" s="2">
        <f ca="1">IF(Iterations[[#This Row],[Step]] =current_step, current_c,IF(Iterations[[#This Row],[Step]] &gt; current_step, "",Iterations[[#This Row],[c]]))</f>
        <v>20.711827983233775</v>
      </c>
      <c r="J618" s="2">
        <f ca="1">IF(Iterations[[#This Row],[Step]] =current_step, current_d,IF(Iterations[[#This Row],[Step]] &gt; current_step, "",Iterations[[#This Row],[d]]))</f>
        <v>1.1746523766530164</v>
      </c>
      <c r="K618" s="2">
        <f ca="1">IF(Iterations[[#This Row],[Step]] =current_step, current_e,IF(Iterations[[#This Row],[Step]] &gt; current_step, "",Iterations[[#This Row],[e]]))</f>
        <v>11.494761399612594</v>
      </c>
      <c r="L618" s="2">
        <f ca="1">IF(Iterations[[#This Row],[Step]] =current_step, current_Total_Loss,IF(Iterations[[#This Row],[Step]] &gt; current_step, "",Iterations[[#This Row],[Total Loss]]))</f>
        <v>90.86</v>
      </c>
      <c r="M618" s="6" t="s">
        <v>27</v>
      </c>
      <c r="N618" s="2">
        <f ca="1">IF(Iterations[[#This Row],[Step]] =current_step, current_Grad_a,IF(Iterations[[#This Row],[Step]] &gt; current_step, "",Iterations[[#This Row],[Grad_a]]))</f>
        <v>2.1769908622794661E-2</v>
      </c>
      <c r="O618" s="2">
        <f ca="1">IF(Iterations[[#This Row],[Step]] =current_step, current_Grad_b,IF(Iterations[[#This Row],[Step]] &gt; current_step, "",Iterations[[#This Row],[Grad_b]]))</f>
        <v>3.7893683027745428E-3</v>
      </c>
      <c r="P618" s="2">
        <f ca="1">IF(Iterations[[#This Row],[Step]] =current_step, current_Grad_c,IF(Iterations[[#This Row],[Step]] &gt; current_step, "",Iterations[[#This Row],[Grad_c]]))</f>
        <v>-6.1068506464860811E-2</v>
      </c>
      <c r="Q618" s="2">
        <f ca="1">IF(Iterations[[#This Row],[Step]] =current_step, current_Grad_d,IF(Iterations[[#This Row],[Step]] &gt; current_step, "",Iterations[[#This Row],[Grad_d]]))</f>
        <v>-3.4721371015851649E-3</v>
      </c>
      <c r="R618" s="2">
        <f ca="1">IF(Iterations[[#This Row],[Step]] =current_step, current_Grad_e,IF(Iterations[[#This Row],[Step]] &gt; current_step, "",Iterations[[#This Row],[Grad_e]]))</f>
        <v>2.1778973466787675E-2</v>
      </c>
    </row>
    <row r="619" spans="6:18" x14ac:dyDescent="0.3">
      <c r="F619" s="2">
        <f t="shared" si="11"/>
        <v>602</v>
      </c>
      <c r="G619" s="2">
        <f ca="1">IF(Iterations[[#This Row],[Step]] =current_step, current_a,IF(Iterations[[#This Row],[Step]] &gt; current_step, "",Iterations[[#This Row],[a]]))</f>
        <v>-7.0868850554070422</v>
      </c>
      <c r="H619" s="2">
        <f ca="1">IF(Iterations[[#This Row],[Step]] =current_step, current_b,IF(Iterations[[#This Row],[Step]] &gt; current_step, "",Iterations[[#This Row],[b]]))</f>
        <v>0.3809263430525206</v>
      </c>
      <c r="I619" s="2">
        <f ca="1">IF(Iterations[[#This Row],[Step]] =current_step, current_c,IF(Iterations[[#This Row],[Step]] &gt; current_step, "",Iterations[[#This Row],[c]]))</f>
        <v>20.716102778686317</v>
      </c>
      <c r="J619" s="2">
        <f ca="1">IF(Iterations[[#This Row],[Step]] =current_step, current_d,IF(Iterations[[#This Row],[Step]] &gt; current_step, "",Iterations[[#This Row],[d]]))</f>
        <v>1.1748954262501272</v>
      </c>
      <c r="K619" s="2">
        <f ca="1">IF(Iterations[[#This Row],[Step]] =current_step, current_e,IF(Iterations[[#This Row],[Step]] &gt; current_step, "",Iterations[[#This Row],[e]]))</f>
        <v>11.49323687146992</v>
      </c>
      <c r="L619" s="2">
        <f ca="1">IF(Iterations[[#This Row],[Step]] =current_step, current_Total_Loss,IF(Iterations[[#This Row],[Step]] &gt; current_step, "",Iterations[[#This Row],[Total Loss]]))</f>
        <v>90.86</v>
      </c>
      <c r="M619" s="6" t="s">
        <v>27</v>
      </c>
      <c r="N619" s="2">
        <f ca="1">IF(Iterations[[#This Row],[Step]] =current_step, current_Grad_a,IF(Iterations[[#This Row],[Step]] &gt; current_step, "",Iterations[[#This Row],[Grad_a]]))</f>
        <v>2.1622590579563852E-2</v>
      </c>
      <c r="O619" s="2">
        <f ca="1">IF(Iterations[[#This Row],[Step]] =current_step, current_Grad_b,IF(Iterations[[#This Row],[Step]] &gt; current_step, "",Iterations[[#This Row],[Grad_b]]))</f>
        <v>3.7638082692366989E-3</v>
      </c>
      <c r="P619" s="2">
        <f ca="1">IF(Iterations[[#This Row],[Step]] =current_step, current_Grad_c,IF(Iterations[[#This Row],[Step]] &gt; current_step, "",Iterations[[#This Row],[Grad_c]]))</f>
        <v>-6.065523642365684E-2</v>
      </c>
      <c r="Q619" s="2">
        <f ca="1">IF(Iterations[[#This Row],[Step]] =current_step, current_Grad_d,IF(Iterations[[#This Row],[Step]] &gt; current_step, "",Iterations[[#This Row],[Grad_d]]))</f>
        <v>-3.4488165773237964E-3</v>
      </c>
      <c r="R619" s="2">
        <f ca="1">IF(Iterations[[#This Row],[Step]] =current_step, current_Grad_e,IF(Iterations[[#This Row],[Step]] &gt; current_step, "",Iterations[[#This Row],[Grad_e]]))</f>
        <v>2.1631585727477858E-2</v>
      </c>
    </row>
    <row r="620" spans="6:18" x14ac:dyDescent="0.3">
      <c r="F620" s="2">
        <f t="shared" si="11"/>
        <v>603</v>
      </c>
      <c r="G620" s="2">
        <f ca="1">IF(Iterations[[#This Row],[Step]] =current_step, current_a,IF(Iterations[[#This Row],[Step]] &gt; current_step, "",Iterations[[#This Row],[a]]))</f>
        <v>-7.0883986367476117</v>
      </c>
      <c r="H620" s="2">
        <f ca="1">IF(Iterations[[#This Row],[Step]] =current_step, current_b,IF(Iterations[[#This Row],[Step]] &gt; current_step, "",Iterations[[#This Row],[b]]))</f>
        <v>0.38066287647367403</v>
      </c>
      <c r="I620" s="2">
        <f ca="1">IF(Iterations[[#This Row],[Step]] =current_step, current_c,IF(Iterations[[#This Row],[Step]] &gt; current_step, "",Iterations[[#This Row],[c]]))</f>
        <v>20.720348645235973</v>
      </c>
      <c r="J620" s="2">
        <f ca="1">IF(Iterations[[#This Row],[Step]] =current_step, current_d,IF(Iterations[[#This Row],[Step]] &gt; current_step, "",Iterations[[#This Row],[d]]))</f>
        <v>1.1751368434105398</v>
      </c>
      <c r="K620" s="2">
        <f ca="1">IF(Iterations[[#This Row],[Step]] =current_step, current_e,IF(Iterations[[#This Row],[Step]] &gt; current_step, "",Iterations[[#This Row],[e]]))</f>
        <v>11.491722660468996</v>
      </c>
      <c r="L620" s="2">
        <f ca="1">IF(Iterations[[#This Row],[Step]] =current_step, current_Total_Loss,IF(Iterations[[#This Row],[Step]] &gt; current_step, "",Iterations[[#This Row],[Total Loss]]))</f>
        <v>90.85</v>
      </c>
      <c r="M620" s="6" t="s">
        <v>27</v>
      </c>
      <c r="N620" s="2">
        <f ca="1">IF(Iterations[[#This Row],[Step]] =current_step, current_Grad_a,IF(Iterations[[#This Row],[Step]] &gt; current_step, "",Iterations[[#This Row],[Grad_a]]))</f>
        <v>2.1476269431501532E-2</v>
      </c>
      <c r="O620" s="2">
        <f ca="1">IF(Iterations[[#This Row],[Step]] =current_step, current_Grad_b,IF(Iterations[[#This Row],[Step]] &gt; current_step, "",Iterations[[#This Row],[Grad_b]]))</f>
        <v>3.7384197236410475E-3</v>
      </c>
      <c r="P620" s="2">
        <f ca="1">IF(Iterations[[#This Row],[Step]] =current_step, current_Grad_c,IF(Iterations[[#This Row],[Step]] &gt; current_step, "",Iterations[[#This Row],[Grad_c]]))</f>
        <v>-6.0244763257086942E-2</v>
      </c>
      <c r="Q620" s="2">
        <f ca="1">IF(Iterations[[#This Row],[Step]] =current_step, current_Grad_d,IF(Iterations[[#This Row],[Step]] &gt; current_step, "",Iterations[[#This Row],[Grad_d]]))</f>
        <v>-3.4256507327298114E-3</v>
      </c>
      <c r="R620" s="2">
        <f ca="1">IF(Iterations[[#This Row],[Step]] =current_step, current_Grad_e,IF(Iterations[[#This Row],[Step]] &gt; current_step, "",Iterations[[#This Row],[Grad_e]]))</f>
        <v>2.148519550383712E-2</v>
      </c>
    </row>
    <row r="621" spans="6:18" x14ac:dyDescent="0.3">
      <c r="F621" s="2">
        <f t="shared" si="11"/>
        <v>604</v>
      </c>
      <c r="G621" s="2">
        <f ca="1">IF(Iterations[[#This Row],[Step]] =current_step, current_a,IF(Iterations[[#This Row],[Step]] &gt; current_step, "",Iterations[[#This Row],[a]]))</f>
        <v>-7.089901975607817</v>
      </c>
      <c r="H621" s="2">
        <f ca="1">IF(Iterations[[#This Row],[Step]] =current_step, current_b,IF(Iterations[[#This Row],[Step]] &gt; current_step, "",Iterations[[#This Row],[b]]))</f>
        <v>0.38040118709301918</v>
      </c>
      <c r="I621" s="2">
        <f ca="1">IF(Iterations[[#This Row],[Step]] =current_step, current_c,IF(Iterations[[#This Row],[Step]] &gt; current_step, "",Iterations[[#This Row],[c]]))</f>
        <v>20.724565778663969</v>
      </c>
      <c r="J621" s="2">
        <f ca="1">IF(Iterations[[#This Row],[Step]] =current_step, current_d,IF(Iterations[[#This Row],[Step]] &gt; current_step, "",Iterations[[#This Row],[d]]))</f>
        <v>1.175376638961831</v>
      </c>
      <c r="K621" s="2">
        <f ca="1">IF(Iterations[[#This Row],[Step]] =current_step, current_e,IF(Iterations[[#This Row],[Step]] &gt; current_step, "",Iterations[[#This Row],[e]]))</f>
        <v>11.490218696783728</v>
      </c>
      <c r="L621" s="2">
        <f ca="1">IF(Iterations[[#This Row],[Step]] =current_step, current_Total_Loss,IF(Iterations[[#This Row],[Step]] &gt; current_step, "",Iterations[[#This Row],[Total Loss]]))</f>
        <v>90.85</v>
      </c>
      <c r="M621" s="6" t="s">
        <v>27</v>
      </c>
      <c r="N621" s="2">
        <f ca="1">IF(Iterations[[#This Row],[Step]] =current_step, current_Grad_a,IF(Iterations[[#This Row],[Step]] &gt; current_step, "",Iterations[[#This Row],[Grad_a]]))</f>
        <v>2.1330938432871975E-2</v>
      </c>
      <c r="O621" s="2">
        <f ca="1">IF(Iterations[[#This Row],[Step]] =current_step, current_Grad_b,IF(Iterations[[#This Row],[Step]] &gt; current_step, "",Iterations[[#This Row],[Grad_b]]))</f>
        <v>3.7132015319027E-3</v>
      </c>
      <c r="P621" s="2">
        <f ca="1">IF(Iterations[[#This Row],[Step]] =current_step, current_Grad_c,IF(Iterations[[#This Row],[Step]] &gt; current_step, "",Iterations[[#This Row],[Grad_c]]))</f>
        <v>-5.9837068034262662E-2</v>
      </c>
      <c r="Q621" s="2">
        <f ca="1">IF(Iterations[[#This Row],[Step]] =current_step, current_Grad_d,IF(Iterations[[#This Row],[Step]] &gt; current_step, "",Iterations[[#This Row],[Grad_d]]))</f>
        <v>-3.4026385768849421E-3</v>
      </c>
      <c r="R621" s="2">
        <f ca="1">IF(Iterations[[#This Row],[Step]] =current_step, current_Grad_e,IF(Iterations[[#This Row],[Step]] &gt; current_step, "",Iterations[[#This Row],[Grad_e]]))</f>
        <v>2.1339796043299646E-2</v>
      </c>
    </row>
    <row r="622" spans="6:18" x14ac:dyDescent="0.3">
      <c r="F622" s="2">
        <f t="shared" si="11"/>
        <v>605</v>
      </c>
      <c r="G622" s="2">
        <f ca="1">IF(Iterations[[#This Row],[Step]] =current_step, current_a,IF(Iterations[[#This Row],[Step]] &gt; current_step, "",Iterations[[#This Row],[a]]))</f>
        <v>-7.0913951412981184</v>
      </c>
      <c r="H622" s="2">
        <f ca="1">IF(Iterations[[#This Row],[Step]] =current_step, current_b,IF(Iterations[[#This Row],[Step]] &gt; current_step, "",Iterations[[#This Row],[b]]))</f>
        <v>0.38014126298578599</v>
      </c>
      <c r="I622" s="2">
        <f ca="1">IF(Iterations[[#This Row],[Step]] =current_step, current_c,IF(Iterations[[#This Row],[Step]] &gt; current_step, "",Iterations[[#This Row],[c]]))</f>
        <v>20.728754373426366</v>
      </c>
      <c r="J622" s="2">
        <f ca="1">IF(Iterations[[#This Row],[Step]] =current_step, current_d,IF(Iterations[[#This Row],[Step]] &gt; current_step, "",Iterations[[#This Row],[d]]))</f>
        <v>1.1756148236622128</v>
      </c>
      <c r="K622" s="2">
        <f ca="1">IF(Iterations[[#This Row],[Step]] =current_step, current_e,IF(Iterations[[#This Row],[Step]] &gt; current_step, "",Iterations[[#This Row],[e]]))</f>
        <v>11.488724911060697</v>
      </c>
      <c r="L622" s="2">
        <f ca="1">IF(Iterations[[#This Row],[Step]] =current_step, current_Total_Loss,IF(Iterations[[#This Row],[Step]] &gt; current_step, "",Iterations[[#This Row],[Total Loss]]))</f>
        <v>90.84</v>
      </c>
      <c r="M622" s="6" t="s">
        <v>27</v>
      </c>
      <c r="N622" s="2">
        <f ca="1">IF(Iterations[[#This Row],[Step]] =current_step, current_Grad_a,IF(Iterations[[#This Row],[Step]] &gt; current_step, "",Iterations[[#This Row],[Grad_a]]))</f>
        <v>2.1186590883637797E-2</v>
      </c>
      <c r="O622" s="2">
        <f ca="1">IF(Iterations[[#This Row],[Step]] =current_step, current_Grad_b,IF(Iterations[[#This Row],[Step]] &gt; current_step, "",Iterations[[#This Row],[Grad_b]]))</f>
        <v>3.6881525670945259E-3</v>
      </c>
      <c r="P622" s="2">
        <f ca="1">IF(Iterations[[#This Row],[Step]] =current_step, current_Grad_c,IF(Iterations[[#This Row],[Step]] &gt; current_step, "",Iterations[[#This Row],[Grad_c]]))</f>
        <v>-5.9432131952456474E-2</v>
      </c>
      <c r="Q622" s="2">
        <f ca="1">IF(Iterations[[#This Row],[Step]] =current_step, current_Grad_d,IF(Iterations[[#This Row],[Step]] &gt; current_step, "",Iterations[[#This Row],[Grad_d]]))</f>
        <v>-3.3797791246057852E-3</v>
      </c>
      <c r="R622" s="2">
        <f ca="1">IF(Iterations[[#This Row],[Step]] =current_step, current_Grad_e,IF(Iterations[[#This Row],[Step]] &gt; current_step, "",Iterations[[#This Row],[Grad_e]]))</f>
        <v>2.1195380639040806E-2</v>
      </c>
    </row>
    <row r="623" spans="6:18" x14ac:dyDescent="0.3">
      <c r="F623" s="2">
        <f t="shared" si="11"/>
        <v>606</v>
      </c>
      <c r="G623" s="2">
        <f ca="1">IF(Iterations[[#This Row],[Step]] =current_step, current_a,IF(Iterations[[#This Row],[Step]] &gt; current_step, "",Iterations[[#This Row],[a]]))</f>
        <v>-7.092878202659973</v>
      </c>
      <c r="H623" s="2">
        <f ca="1">IF(Iterations[[#This Row],[Step]] =current_step, current_b,IF(Iterations[[#This Row],[Step]] &gt; current_step, "",Iterations[[#This Row],[b]]))</f>
        <v>0.37988309230608935</v>
      </c>
      <c r="I623" s="2">
        <f ca="1">IF(Iterations[[#This Row],[Step]] =current_step, current_c,IF(Iterations[[#This Row],[Step]] &gt; current_step, "",Iterations[[#This Row],[c]]))</f>
        <v>20.732914622663039</v>
      </c>
      <c r="J623" s="2">
        <f ca="1">IF(Iterations[[#This Row],[Step]] =current_step, current_d,IF(Iterations[[#This Row],[Step]] &gt; current_step, "",Iterations[[#This Row],[d]]))</f>
        <v>1.1758514082009353</v>
      </c>
      <c r="K623" s="2">
        <f ca="1">IF(Iterations[[#This Row],[Step]] =current_step, current_e,IF(Iterations[[#This Row],[Step]] &gt; current_step, "",Iterations[[#This Row],[e]]))</f>
        <v>11.487241234415963</v>
      </c>
      <c r="L623" s="2">
        <f ca="1">IF(Iterations[[#This Row],[Step]] =current_step, current_Total_Loss,IF(Iterations[[#This Row],[Step]] &gt; current_step, "",Iterations[[#This Row],[Total Loss]]))</f>
        <v>90.84</v>
      </c>
      <c r="M623" s="6" t="s">
        <v>27</v>
      </c>
      <c r="N623" s="2">
        <f ca="1">IF(Iterations[[#This Row],[Step]] =current_step, current_Grad_a,IF(Iterations[[#This Row],[Step]] &gt; current_step, "",Iterations[[#This Row],[Grad_a]]))</f>
        <v>2.1043220129106296E-2</v>
      </c>
      <c r="O623" s="2">
        <f ca="1">IF(Iterations[[#This Row],[Step]] =current_step, current_Grad_b,IF(Iterations[[#This Row],[Step]] &gt; current_step, "",Iterations[[#This Row],[Grad_b]]))</f>
        <v>3.6632717094845623E-3</v>
      </c>
      <c r="P623" s="2">
        <f ca="1">IF(Iterations[[#This Row],[Step]] =current_step, current_Grad_c,IF(Iterations[[#This Row],[Step]] &gt; current_step, "",Iterations[[#This Row],[Grad_c]]))</f>
        <v>-5.9029936336245509E-2</v>
      </c>
      <c r="Q623" s="2">
        <f ca="1">IF(Iterations[[#This Row],[Step]] =current_step, current_Grad_d,IF(Iterations[[#This Row],[Step]] &gt; current_step, "",Iterations[[#This Row],[Grad_d]]))</f>
        <v>-3.3570713963808432E-3</v>
      </c>
      <c r="R623" s="2">
        <f ca="1">IF(Iterations[[#This Row],[Step]] =current_step, current_Grad_e,IF(Iterations[[#This Row],[Step]] &gt; current_step, "",Iterations[[#This Row],[Grad_e]]))</f>
        <v>2.1051942629669067E-2</v>
      </c>
    </row>
    <row r="624" spans="6:18" x14ac:dyDescent="0.3">
      <c r="F624" s="2">
        <f t="shared" si="11"/>
        <v>607</v>
      </c>
      <c r="G624" s="2">
        <f ca="1">IF(Iterations[[#This Row],[Step]] =current_step, current_a,IF(Iterations[[#This Row],[Step]] &gt; current_step, "",Iterations[[#This Row],[a]]))</f>
        <v>-7.0943512280690104</v>
      </c>
      <c r="H624" s="2">
        <f ca="1">IF(Iterations[[#This Row],[Step]] =current_step, current_b,IF(Iterations[[#This Row],[Step]] &gt; current_step, "",Iterations[[#This Row],[b]]))</f>
        <v>0.37962666328642541</v>
      </c>
      <c r="I624" s="2">
        <f ca="1">IF(Iterations[[#This Row],[Step]] =current_step, current_c,IF(Iterations[[#This Row],[Step]] &gt; current_step, "",Iterations[[#This Row],[c]]))</f>
        <v>20.737046718206575</v>
      </c>
      <c r="J624" s="2">
        <f ca="1">IF(Iterations[[#This Row],[Step]] =current_step, current_d,IF(Iterations[[#This Row],[Step]] &gt; current_step, "",Iterations[[#This Row],[d]]))</f>
        <v>1.176086403198682</v>
      </c>
      <c r="K624" s="2">
        <f ca="1">IF(Iterations[[#This Row],[Step]] =current_step, current_e,IF(Iterations[[#This Row],[Step]] &gt; current_step, "",Iterations[[#This Row],[e]]))</f>
        <v>11.485767598431886</v>
      </c>
      <c r="L624" s="2">
        <f ca="1">IF(Iterations[[#This Row],[Step]] =current_step, current_Total_Loss,IF(Iterations[[#This Row],[Step]] &gt; current_step, "",Iterations[[#This Row],[Total Loss]]))</f>
        <v>90.83</v>
      </c>
      <c r="M624" s="6" t="s">
        <v>27</v>
      </c>
      <c r="N624" s="2">
        <f ca="1">IF(Iterations[[#This Row],[Step]] =current_step, current_Grad_a,IF(Iterations[[#This Row],[Step]] &gt; current_step, "",Iterations[[#This Row],[Grad_a]]))</f>
        <v>2.0900819559394514E-2</v>
      </c>
      <c r="O624" s="2">
        <f ca="1">IF(Iterations[[#This Row],[Step]] =current_step, current_Grad_b,IF(Iterations[[#This Row],[Step]] &gt; current_step, "",Iterations[[#This Row],[Grad_b]]))</f>
        <v>3.6385578464705778E-3</v>
      </c>
      <c r="P624" s="2">
        <f ca="1">IF(Iterations[[#This Row],[Step]] =current_step, current_Grad_c,IF(Iterations[[#This Row],[Step]] &gt; current_step, "",Iterations[[#This Row],[Grad_c]]))</f>
        <v>-5.8630462636749342E-2</v>
      </c>
      <c r="Q624" s="2">
        <f ca="1">IF(Iterations[[#This Row],[Step]] =current_step, current_Grad_d,IF(Iterations[[#This Row],[Step]] &gt; current_step, "",Iterations[[#This Row],[Grad_d]]))</f>
        <v>-3.3345144183745184E-3</v>
      </c>
      <c r="R624" s="2">
        <f ca="1">IF(Iterations[[#This Row],[Step]] =current_step, current_Grad_e,IF(Iterations[[#This Row],[Step]] &gt; current_step, "",Iterations[[#This Row],[Grad_e]]))</f>
        <v>2.0909475398865576E-2</v>
      </c>
    </row>
    <row r="625" spans="6:18" x14ac:dyDescent="0.3">
      <c r="F625" s="2">
        <f t="shared" si="11"/>
        <v>608</v>
      </c>
      <c r="G625" s="2">
        <f ca="1">IF(Iterations[[#This Row],[Step]] =current_step, current_a,IF(Iterations[[#This Row],[Step]] &gt; current_step, "",Iterations[[#This Row],[a]]))</f>
        <v>-7.0958142854381681</v>
      </c>
      <c r="H625" s="2">
        <f ca="1">IF(Iterations[[#This Row],[Step]] =current_step, current_b,IF(Iterations[[#This Row],[Step]] &gt; current_step, "",Iterations[[#This Row],[b]]))</f>
        <v>0.37937196423717245</v>
      </c>
      <c r="I625" s="2">
        <f ca="1">IF(Iterations[[#This Row],[Step]] =current_step, current_c,IF(Iterations[[#This Row],[Step]] &gt; current_step, "",Iterations[[#This Row],[c]]))</f>
        <v>20.741150850591147</v>
      </c>
      <c r="J625" s="2">
        <f ca="1">IF(Iterations[[#This Row],[Step]] =current_step, current_d,IF(Iterations[[#This Row],[Step]] &gt; current_step, "",Iterations[[#This Row],[d]]))</f>
        <v>1.1763198192079682</v>
      </c>
      <c r="K625" s="2">
        <f ca="1">IF(Iterations[[#This Row],[Step]] =current_step, current_e,IF(Iterations[[#This Row],[Step]] &gt; current_step, "",Iterations[[#This Row],[e]]))</f>
        <v>11.484303935153966</v>
      </c>
      <c r="L625" s="2">
        <f ca="1">IF(Iterations[[#This Row],[Step]] =current_step, current_Total_Loss,IF(Iterations[[#This Row],[Step]] &gt; current_step, "",Iterations[[#This Row],[Total Loss]]))</f>
        <v>90.82</v>
      </c>
      <c r="M625" s="6" t="s">
        <v>27</v>
      </c>
      <c r="N625" s="2">
        <f ca="1">IF(Iterations[[#This Row],[Step]] =current_step, current_Grad_a,IF(Iterations[[#This Row],[Step]] &gt; current_step, "",Iterations[[#This Row],[Grad_a]]))</f>
        <v>2.0759382609753036E-2</v>
      </c>
      <c r="O625" s="2">
        <f ca="1">IF(Iterations[[#This Row],[Step]] =current_step, current_Grad_b,IF(Iterations[[#This Row],[Step]] &gt; current_step, "",Iterations[[#This Row],[Grad_b]]))</f>
        <v>3.6140098724762623E-3</v>
      </c>
      <c r="P625" s="2">
        <f ca="1">IF(Iterations[[#This Row],[Step]] =current_step, current_Grad_c,IF(Iterations[[#This Row],[Step]] &gt; current_step, "",Iterations[[#This Row],[Grad_c]]))</f>
        <v>-5.8233692430507439E-2</v>
      </c>
      <c r="Q625" s="2">
        <f ca="1">IF(Iterations[[#This Row],[Step]] =current_step, current_Grad_d,IF(Iterations[[#This Row],[Step]] &gt; current_step, "",Iterations[[#This Row],[Grad_d]]))</f>
        <v>-3.3121072224101236E-3</v>
      </c>
      <c r="R625" s="2">
        <f ca="1">IF(Iterations[[#This Row],[Step]] =current_step, current_Grad_e,IF(Iterations[[#This Row],[Step]] &gt; current_step, "",Iterations[[#This Row],[Grad_e]]))</f>
        <v>2.0767972375204162E-2</v>
      </c>
    </row>
    <row r="626" spans="6:18" x14ac:dyDescent="0.3">
      <c r="F626" s="2">
        <f t="shared" si="11"/>
        <v>609</v>
      </c>
      <c r="G626" s="2">
        <f ca="1">IF(Iterations[[#This Row],[Step]] =current_step, current_a,IF(Iterations[[#This Row],[Step]] &gt; current_step, "",Iterations[[#This Row],[a]]))</f>
        <v>-7.0972674422208506</v>
      </c>
      <c r="H626" s="2">
        <f ca="1">IF(Iterations[[#This Row],[Step]] =current_step, current_b,IF(Iterations[[#This Row],[Step]] &gt; current_step, "",Iterations[[#This Row],[b]]))</f>
        <v>0.37911898354609913</v>
      </c>
      <c r="I626" s="2">
        <f ca="1">IF(Iterations[[#This Row],[Step]] =current_step, current_c,IF(Iterations[[#This Row],[Step]] &gt; current_step, "",Iterations[[#This Row],[c]]))</f>
        <v>20.745227209061284</v>
      </c>
      <c r="J626" s="2">
        <f ca="1">IF(Iterations[[#This Row],[Step]] =current_step, current_d,IF(Iterations[[#This Row],[Step]] &gt; current_step, "",Iterations[[#This Row],[d]]))</f>
        <v>1.1765516667135369</v>
      </c>
      <c r="K626" s="2">
        <f ca="1">IF(Iterations[[#This Row],[Step]] =current_step, current_e,IF(Iterations[[#This Row],[Step]] &gt; current_step, "",Iterations[[#This Row],[e]]))</f>
        <v>11.482850177087702</v>
      </c>
      <c r="L626" s="2">
        <f ca="1">IF(Iterations[[#This Row],[Step]] =current_step, current_Total_Loss,IF(Iterations[[#This Row],[Step]] &gt; current_step, "",Iterations[[#This Row],[Total Loss]]))</f>
        <v>90.82</v>
      </c>
      <c r="M626" s="6" t="s">
        <v>27</v>
      </c>
      <c r="N626" s="2">
        <f ca="1">IF(Iterations[[#This Row],[Step]] =current_step, current_Grad_a,IF(Iterations[[#This Row],[Step]] &gt; current_step, "",Iterations[[#This Row],[Grad_a]]))</f>
        <v>2.061890275943444E-2</v>
      </c>
      <c r="O626" s="2">
        <f ca="1">IF(Iterations[[#This Row],[Step]] =current_step, current_Grad_b,IF(Iterations[[#This Row],[Step]] &gt; current_step, "",Iterations[[#This Row],[Grad_b]]))</f>
        <v>3.5896266890550845E-3</v>
      </c>
      <c r="P626" s="2">
        <f ca="1">IF(Iterations[[#This Row],[Step]] =current_step, current_Grad_c,IF(Iterations[[#This Row],[Step]] &gt; current_step, "",Iterations[[#This Row],[Grad_c]]))</f>
        <v>-5.7839607418979012E-2</v>
      </c>
      <c r="Q626" s="2">
        <f ca="1">IF(Iterations[[#This Row],[Step]] =current_step, current_Grad_d,IF(Iterations[[#This Row],[Step]] &gt; current_step, "",Iterations[[#This Row],[Grad_d]]))</f>
        <v>-3.2898488459108008E-3</v>
      </c>
      <c r="R626" s="2">
        <f ca="1">IF(Iterations[[#This Row],[Step]] =current_step, current_Grad_e,IF(Iterations[[#This Row],[Step]] &gt; current_step, "",Iterations[[#This Row],[Grad_e]]))</f>
        <v>2.0627427031679819E-2</v>
      </c>
    </row>
    <row r="627" spans="6:18" x14ac:dyDescent="0.3">
      <c r="F627" s="2">
        <f t="shared" si="11"/>
        <v>610</v>
      </c>
      <c r="G627" s="2">
        <f ca="1">IF(Iterations[[#This Row],[Step]] =current_step, current_a,IF(Iterations[[#This Row],[Step]] &gt; current_step, "",Iterations[[#This Row],[a]]))</f>
        <v>-7.0987107654140109</v>
      </c>
      <c r="H627" s="2">
        <f ca="1">IF(Iterations[[#This Row],[Step]] =current_step, current_b,IF(Iterations[[#This Row],[Step]] &gt; current_step, "",Iterations[[#This Row],[b]]))</f>
        <v>0.37886770967786526</v>
      </c>
      <c r="I627" s="2">
        <f ca="1">IF(Iterations[[#This Row],[Step]] =current_step, current_c,IF(Iterations[[#This Row],[Step]] &gt; current_step, "",Iterations[[#This Row],[c]]))</f>
        <v>20.749275981580613</v>
      </c>
      <c r="J627" s="2">
        <f ca="1">IF(Iterations[[#This Row],[Step]] =current_step, current_d,IF(Iterations[[#This Row],[Step]] &gt; current_step, "",Iterations[[#This Row],[d]]))</f>
        <v>1.1767819561327506</v>
      </c>
      <c r="K627" s="2">
        <f ca="1">IF(Iterations[[#This Row],[Step]] =current_step, current_e,IF(Iterations[[#This Row],[Step]] &gt; current_step, "",Iterations[[#This Row],[e]]))</f>
        <v>11.481406257195484</v>
      </c>
      <c r="L627" s="2">
        <f ca="1">IF(Iterations[[#This Row],[Step]] =current_step, current_Total_Loss,IF(Iterations[[#This Row],[Step]] &gt; current_step, "",Iterations[[#This Row],[Total Loss]]))</f>
        <v>90.81</v>
      </c>
      <c r="M627" s="6" t="s">
        <v>27</v>
      </c>
      <c r="N627" s="2">
        <f ca="1">IF(Iterations[[#This Row],[Step]] =current_step, current_Grad_a,IF(Iterations[[#This Row],[Step]] &gt; current_step, "",Iterations[[#This Row],[Grad_a]]))</f>
        <v>2.0479373532036008E-2</v>
      </c>
      <c r="O627" s="2">
        <f ca="1">IF(Iterations[[#This Row],[Step]] =current_step, current_Grad_b,IF(Iterations[[#This Row],[Step]] &gt; current_step, "",Iterations[[#This Row],[Grad_b]]))</f>
        <v>3.565407204697483E-3</v>
      </c>
      <c r="P627" s="2">
        <f ca="1">IF(Iterations[[#This Row],[Step]] =current_step, current_Grad_c,IF(Iterations[[#This Row],[Step]] &gt; current_step, "",Iterations[[#This Row],[Grad_c]]))</f>
        <v>-5.7448189427419756E-2</v>
      </c>
      <c r="Q627" s="2">
        <f ca="1">IF(Iterations[[#This Row],[Step]] =current_step, current_Grad_d,IF(Iterations[[#This Row],[Step]] &gt; current_step, "",Iterations[[#This Row],[Grad_d]]))</f>
        <v>-3.2677383319288933E-3</v>
      </c>
      <c r="R627" s="2">
        <f ca="1">IF(Iterations[[#This Row],[Step]] =current_step, current_Grad_e,IF(Iterations[[#This Row],[Step]] &gt; current_step, "",Iterations[[#This Row],[Grad_e]]))</f>
        <v>2.0487832885543494E-2</v>
      </c>
    </row>
    <row r="628" spans="6:18" x14ac:dyDescent="0.3">
      <c r="F628" s="2">
        <f t="shared" si="11"/>
        <v>611</v>
      </c>
      <c r="G628" s="2">
        <f ca="1">IF(Iterations[[#This Row],[Step]] =current_step, current_a,IF(Iterations[[#This Row],[Step]] &gt; current_step, "",Iterations[[#This Row],[a]]))</f>
        <v>-7.1001443215612534</v>
      </c>
      <c r="H628" s="2">
        <f ca="1">IF(Iterations[[#This Row],[Step]] =current_step, current_b,IF(Iterations[[#This Row],[Step]] &gt; current_step, "",Iterations[[#This Row],[b]]))</f>
        <v>0.37861813117353643</v>
      </c>
      <c r="I628" s="2">
        <f ca="1">IF(Iterations[[#This Row],[Step]] =current_step, current_c,IF(Iterations[[#This Row],[Step]] &gt; current_step, "",Iterations[[#This Row],[c]]))</f>
        <v>20.753297354840534</v>
      </c>
      <c r="J628" s="2">
        <f ca="1">IF(Iterations[[#This Row],[Step]] =current_step, current_d,IF(Iterations[[#This Row],[Step]] &gt; current_step, "",Iterations[[#This Row],[d]]))</f>
        <v>1.1770106978159856</v>
      </c>
      <c r="K628" s="2">
        <f ca="1">IF(Iterations[[#This Row],[Step]] =current_step, current_e,IF(Iterations[[#This Row],[Step]] &gt; current_step, "",Iterations[[#This Row],[e]]))</f>
        <v>11.479972108893497</v>
      </c>
      <c r="L628" s="2">
        <f ca="1">IF(Iterations[[#This Row],[Step]] =current_step, current_Total_Loss,IF(Iterations[[#This Row],[Step]] &gt; current_step, "",Iterations[[#This Row],[Total Loss]]))</f>
        <v>90.81</v>
      </c>
      <c r="M628" s="6" t="s">
        <v>27</v>
      </c>
      <c r="N628" s="2">
        <f ca="1">IF(Iterations[[#This Row],[Step]] =current_step, current_Grad_a,IF(Iterations[[#This Row],[Step]] &gt; current_step, "",Iterations[[#This Row],[Grad_a]]))</f>
        <v>2.0340788494966136E-2</v>
      </c>
      <c r="O628" s="2">
        <f ca="1">IF(Iterations[[#This Row],[Step]] =current_step, current_Grad_b,IF(Iterations[[#This Row],[Step]] &gt; current_step, "",Iterations[[#This Row],[Grad_b]]))</f>
        <v>3.5413503348819602E-3</v>
      </c>
      <c r="P628" s="2">
        <f ca="1">IF(Iterations[[#This Row],[Step]] =current_step, current_Grad_c,IF(Iterations[[#This Row],[Step]] &gt; current_step, "",Iterations[[#This Row],[Grad_c]]))</f>
        <v>-5.7059420404149179E-2</v>
      </c>
      <c r="Q628" s="2">
        <f ca="1">IF(Iterations[[#This Row],[Step]] =current_step, current_Grad_d,IF(Iterations[[#This Row],[Step]] &gt; current_step, "",Iterations[[#This Row],[Grad_d]]))</f>
        <v>-3.2457747290880281E-3</v>
      </c>
      <c r="R628" s="2">
        <f ca="1">IF(Iterations[[#This Row],[Step]] =current_step, current_Grad_e,IF(Iterations[[#This Row],[Step]] &gt; current_step, "",Iterations[[#This Row],[Grad_e]]))</f>
        <v>2.0349183497949969E-2</v>
      </c>
    </row>
    <row r="629" spans="6:18" x14ac:dyDescent="0.3">
      <c r="F629" s="2">
        <f t="shared" si="11"/>
        <v>612</v>
      </c>
      <c r="G629" s="2">
        <f ca="1">IF(Iterations[[#This Row],[Step]] =current_step, current_a,IF(Iterations[[#This Row],[Step]] &gt; current_step, "",Iterations[[#This Row],[a]]))</f>
        <v>-7.1015681767559009</v>
      </c>
      <c r="H629" s="2">
        <f ca="1">IF(Iterations[[#This Row],[Step]] =current_step, current_b,IF(Iterations[[#This Row],[Step]] &gt; current_step, "",Iterations[[#This Row],[b]]))</f>
        <v>0.37837023665009467</v>
      </c>
      <c r="I629" s="2">
        <f ca="1">IF(Iterations[[#This Row],[Step]] =current_step, current_c,IF(Iterations[[#This Row],[Step]] &gt; current_step, "",Iterations[[#This Row],[c]]))</f>
        <v>20.757291514268825</v>
      </c>
      <c r="J629" s="2">
        <f ca="1">IF(Iterations[[#This Row],[Step]] =current_step, current_d,IF(Iterations[[#This Row],[Step]] &gt; current_step, "",Iterations[[#This Row],[d]]))</f>
        <v>1.1772379020470216</v>
      </c>
      <c r="K629" s="2">
        <f ca="1">IF(Iterations[[#This Row],[Step]] =current_step, current_e,IF(Iterations[[#This Row],[Step]] &gt; current_step, "",Iterations[[#This Row],[e]]))</f>
        <v>11.478547666048641</v>
      </c>
      <c r="L629" s="2">
        <f ca="1">IF(Iterations[[#This Row],[Step]] =current_step, current_Total_Loss,IF(Iterations[[#This Row],[Step]] &gt; current_step, "",Iterations[[#This Row],[Total Loss]]))</f>
        <v>90.8</v>
      </c>
      <c r="M629" s="6" t="s">
        <v>27</v>
      </c>
      <c r="N629" s="2">
        <f ca="1">IF(Iterations[[#This Row],[Step]] =current_step, current_Grad_a,IF(Iterations[[#This Row],[Step]] &gt; current_step, "",Iterations[[#This Row],[Grad_a]]))</f>
        <v>2.0203141259079391E-2</v>
      </c>
      <c r="O629" s="2">
        <f ca="1">IF(Iterations[[#This Row],[Step]] =current_step, current_Grad_b,IF(Iterations[[#This Row],[Step]] &gt; current_step, "",Iterations[[#This Row],[Grad_b]]))</f>
        <v>3.5174550020287874E-3</v>
      </c>
      <c r="P629" s="2">
        <f ca="1">IF(Iterations[[#This Row],[Step]] =current_step, current_Grad_c,IF(Iterations[[#This Row],[Step]] &gt; current_step, "",Iterations[[#This Row],[Grad_c]]))</f>
        <v>-5.6673282419744599E-2</v>
      </c>
      <c r="Q629" s="2">
        <f ca="1">IF(Iterations[[#This Row],[Step]] =current_step, current_Grad_d,IF(Iterations[[#This Row],[Step]] &gt; current_step, "",Iterations[[#This Row],[Grad_d]]))</f>
        <v>-3.223957091567167E-3</v>
      </c>
      <c r="R629" s="2">
        <f ca="1">IF(Iterations[[#This Row],[Step]] =current_step, current_Grad_e,IF(Iterations[[#This Row],[Step]] &gt; current_step, "",Iterations[[#This Row],[Grad_e]]))</f>
        <v>2.0211472473638734E-2</v>
      </c>
    </row>
    <row r="630" spans="6:18" x14ac:dyDescent="0.3">
      <c r="F630" s="2">
        <f t="shared" si="11"/>
        <v>613</v>
      </c>
      <c r="G630" s="2">
        <f ca="1">IF(Iterations[[#This Row],[Step]] =current_step, current_a,IF(Iterations[[#This Row],[Step]] &gt; current_step, "",Iterations[[#This Row],[a]]))</f>
        <v>-7.1029823966440366</v>
      </c>
      <c r="H630" s="2">
        <f ca="1">IF(Iterations[[#This Row],[Step]] =current_step, current_b,IF(Iterations[[#This Row],[Step]] &gt; current_step, "",Iterations[[#This Row],[b]]))</f>
        <v>0.37812401479995267</v>
      </c>
      <c r="I630" s="2">
        <f ca="1">IF(Iterations[[#This Row],[Step]] =current_step, current_c,IF(Iterations[[#This Row],[Step]] &gt; current_step, "",Iterations[[#This Row],[c]]))</f>
        <v>20.761258644038207</v>
      </c>
      <c r="J630" s="2">
        <f ca="1">IF(Iterations[[#This Row],[Step]] =current_step, current_d,IF(Iterations[[#This Row],[Step]] &gt; current_step, "",Iterations[[#This Row],[d]]))</f>
        <v>1.1774635790434314</v>
      </c>
      <c r="K630" s="2">
        <f ca="1">IF(Iterations[[#This Row],[Step]] =current_step, current_e,IF(Iterations[[#This Row],[Step]] &gt; current_step, "",Iterations[[#This Row],[e]]))</f>
        <v>11.477132862975486</v>
      </c>
      <c r="L630" s="2">
        <f ca="1">IF(Iterations[[#This Row],[Step]] =current_step, current_Total_Loss,IF(Iterations[[#This Row],[Step]] &gt; current_step, "",Iterations[[#This Row],[Total Loss]]))</f>
        <v>90.8</v>
      </c>
      <c r="M630" s="6" t="s">
        <v>27</v>
      </c>
      <c r="N630" s="2">
        <f ca="1">IF(Iterations[[#This Row],[Step]] =current_step, current_Grad_a,IF(Iterations[[#This Row],[Step]] &gt; current_step, "",Iterations[[#This Row],[Grad_a]]))</f>
        <v>2.0066425478502865E-2</v>
      </c>
      <c r="O630" s="2">
        <f ca="1">IF(Iterations[[#This Row],[Step]] =current_step, current_Grad_b,IF(Iterations[[#This Row],[Step]] &gt; current_step, "",Iterations[[#This Row],[Grad_b]]))</f>
        <v>3.4937201354128503E-3</v>
      </c>
      <c r="P630" s="2">
        <f ca="1">IF(Iterations[[#This Row],[Step]] =current_step, current_Grad_c,IF(Iterations[[#This Row],[Step]] &gt; current_step, "",Iterations[[#This Row],[Grad_c]]))</f>
        <v>-5.6289757666155418E-2</v>
      </c>
      <c r="Q630" s="2">
        <f ca="1">IF(Iterations[[#This Row],[Step]] =current_step, current_Grad_d,IF(Iterations[[#This Row],[Step]] &gt; current_step, "",Iterations[[#This Row],[Grad_d]]))</f>
        <v>-3.2022844790972494E-3</v>
      </c>
      <c r="R630" s="2">
        <f ca="1">IF(Iterations[[#This Row],[Step]] =current_step, current_Grad_e,IF(Iterations[[#This Row],[Step]] &gt; current_step, "",Iterations[[#This Row],[Grad_e]]))</f>
        <v>2.0074693460678361E-2</v>
      </c>
    </row>
    <row r="631" spans="6:18" x14ac:dyDescent="0.3">
      <c r="F631" s="2">
        <f t="shared" ref="F631:F694" si="12">F630+1</f>
        <v>614</v>
      </c>
      <c r="G631" s="2">
        <f ca="1">IF(Iterations[[#This Row],[Step]] =current_step, current_a,IF(Iterations[[#This Row],[Step]] &gt; current_step, "",Iterations[[#This Row],[a]]))</f>
        <v>-7.104387046427532</v>
      </c>
      <c r="H631" s="2">
        <f ca="1">IF(Iterations[[#This Row],[Step]] =current_step, current_b,IF(Iterations[[#This Row],[Step]] &gt; current_step, "",Iterations[[#This Row],[b]]))</f>
        <v>0.37787945439047377</v>
      </c>
      <c r="I631" s="2">
        <f ca="1">IF(Iterations[[#This Row],[Step]] =current_step, current_c,IF(Iterations[[#This Row],[Step]] &gt; current_step, "",Iterations[[#This Row],[c]]))</f>
        <v>20.765198927074838</v>
      </c>
      <c r="J631" s="2">
        <f ca="1">IF(Iterations[[#This Row],[Step]] =current_step, current_d,IF(Iterations[[#This Row],[Step]] &gt; current_step, "",Iterations[[#This Row],[d]]))</f>
        <v>1.1776877389569682</v>
      </c>
      <c r="K631" s="2">
        <f ca="1">IF(Iterations[[#This Row],[Step]] =current_step, current_e,IF(Iterations[[#This Row],[Step]] &gt; current_step, "",Iterations[[#This Row],[e]]))</f>
        <v>11.475727634433238</v>
      </c>
      <c r="L631" s="2">
        <f ca="1">IF(Iterations[[#This Row],[Step]] =current_step, current_Total_Loss,IF(Iterations[[#This Row],[Step]] &gt; current_step, "",Iterations[[#This Row],[Total Loss]]))</f>
        <v>90.79</v>
      </c>
      <c r="M631" s="6" t="s">
        <v>27</v>
      </c>
      <c r="N631" s="2">
        <f ca="1">IF(Iterations[[#This Row],[Step]] =current_step, current_Grad_a,IF(Iterations[[#This Row],[Step]] &gt; current_step, "",Iterations[[#This Row],[Grad_a]]))</f>
        <v>1.993063485037257E-2</v>
      </c>
      <c r="O631" s="2">
        <f ca="1">IF(Iterations[[#This Row],[Step]] =current_step, current_Grad_b,IF(Iterations[[#This Row],[Step]] &gt; current_step, "",Iterations[[#This Row],[Grad_b]]))</f>
        <v>3.4701446711578906E-3</v>
      </c>
      <c r="P631" s="2">
        <f ca="1">IF(Iterations[[#This Row],[Step]] =current_step, current_Grad_c,IF(Iterations[[#This Row],[Step]] &gt; current_step, "",Iterations[[#This Row],[Grad_c]]))</f>
        <v>-5.590882845587513E-2</v>
      </c>
      <c r="Q631" s="2">
        <f ca="1">IF(Iterations[[#This Row],[Step]] =current_step, current_Grad_d,IF(Iterations[[#This Row],[Step]] &gt; current_step, "",Iterations[[#This Row],[Grad_d]]))</f>
        <v>-3.1807559569238097E-3</v>
      </c>
      <c r="R631" s="2">
        <f ca="1">IF(Iterations[[#This Row],[Step]] =current_step, current_Grad_e,IF(Iterations[[#This Row],[Step]] &gt; current_step, "",Iterations[[#This Row],[Grad_e]]))</f>
        <v>1.9938840150167298E-2</v>
      </c>
    </row>
    <row r="632" spans="6:18" x14ac:dyDescent="0.3">
      <c r="F632" s="2">
        <f t="shared" si="12"/>
        <v>615</v>
      </c>
      <c r="G632" s="2">
        <f ca="1">IF(Iterations[[#This Row],[Step]] =current_step, current_a,IF(Iterations[[#This Row],[Step]] &gt; current_step, "",Iterations[[#This Row],[a]]))</f>
        <v>-7.1057821908670578</v>
      </c>
      <c r="H632" s="2">
        <f ca="1">IF(Iterations[[#This Row],[Step]] =current_step, current_b,IF(Iterations[[#This Row],[Step]] &gt; current_step, "",Iterations[[#This Row],[b]]))</f>
        <v>0.37763654426349269</v>
      </c>
      <c r="I632" s="2">
        <f ca="1">IF(Iterations[[#This Row],[Step]] =current_step, current_c,IF(Iterations[[#This Row],[Step]] &gt; current_step, "",Iterations[[#This Row],[c]]))</f>
        <v>20.769112545066751</v>
      </c>
      <c r="J632" s="2">
        <f ca="1">IF(Iterations[[#This Row],[Step]] =current_step, current_d,IF(Iterations[[#This Row],[Step]] &gt; current_step, "",Iterations[[#This Row],[d]]))</f>
        <v>1.1779103918739529</v>
      </c>
      <c r="K632" s="2">
        <f ca="1">IF(Iterations[[#This Row],[Step]] =current_step, current_e,IF(Iterations[[#This Row],[Step]] &gt; current_step, "",Iterations[[#This Row],[e]]))</f>
        <v>11.474331915622725</v>
      </c>
      <c r="L632" s="2">
        <f ca="1">IF(Iterations[[#This Row],[Step]] =current_step, current_Total_Loss,IF(Iterations[[#This Row],[Step]] &gt; current_step, "",Iterations[[#This Row],[Total Loss]]))</f>
        <v>90.79</v>
      </c>
      <c r="M632" s="6" t="s">
        <v>27</v>
      </c>
      <c r="N632" s="2">
        <f ca="1">IF(Iterations[[#This Row],[Step]] =current_step, current_Grad_a,IF(Iterations[[#This Row],[Step]] &gt; current_step, "",Iterations[[#This Row],[Grad_a]]))</f>
        <v>1.9795763114293E-2</v>
      </c>
      <c r="O632" s="2">
        <f ca="1">IF(Iterations[[#This Row],[Step]] =current_step, current_Grad_b,IF(Iterations[[#This Row],[Step]] &gt; current_step, "",Iterations[[#This Row],[Grad_b]]))</f>
        <v>3.4467275522360851E-3</v>
      </c>
      <c r="P632" s="2">
        <f ca="1">IF(Iterations[[#This Row],[Step]] =current_step, current_Grad_c,IF(Iterations[[#This Row],[Step]] &gt; current_step, "",Iterations[[#This Row],[Grad_c]]))</f>
        <v>-5.5530477221226199E-2</v>
      </c>
      <c r="Q632" s="2">
        <f ca="1">IF(Iterations[[#This Row],[Step]] =current_step, current_Grad_d,IF(Iterations[[#This Row],[Step]] &gt; current_step, "",Iterations[[#This Row],[Grad_d]]))</f>
        <v>-3.1593705957694037E-3</v>
      </c>
      <c r="R632" s="2">
        <f ca="1">IF(Iterations[[#This Row],[Step]] =current_step, current_Grad_e,IF(Iterations[[#This Row],[Step]] &gt; current_step, "",Iterations[[#This Row],[Grad_e]]))</f>
        <v>1.9803906275897946E-2</v>
      </c>
    </row>
    <row r="633" spans="6:18" x14ac:dyDescent="0.3">
      <c r="F633" s="2">
        <f t="shared" si="12"/>
        <v>616</v>
      </c>
      <c r="G633" s="2">
        <f ca="1">IF(Iterations[[#This Row],[Step]] =current_step, current_a,IF(Iterations[[#This Row],[Step]] &gt; current_step, "",Iterations[[#This Row],[a]]))</f>
        <v>-7.107167894285058</v>
      </c>
      <c r="H633" s="2">
        <f ca="1">IF(Iterations[[#This Row],[Step]] =current_step, current_b,IF(Iterations[[#This Row],[Step]] &gt; current_step, "",Iterations[[#This Row],[b]]))</f>
        <v>0.37739527333483619</v>
      </c>
      <c r="I633" s="2">
        <f ca="1">IF(Iterations[[#This Row],[Step]] =current_step, current_c,IF(Iterations[[#This Row],[Step]] &gt; current_step, "",Iterations[[#This Row],[c]]))</f>
        <v>20.772999678472235</v>
      </c>
      <c r="J633" s="2">
        <f ca="1">IF(Iterations[[#This Row],[Step]] =current_step, current_d,IF(Iterations[[#This Row],[Step]] &gt; current_step, "",Iterations[[#This Row],[d]]))</f>
        <v>1.1781315478156567</v>
      </c>
      <c r="K633" s="2">
        <f ca="1">IF(Iterations[[#This Row],[Step]] =current_step, current_e,IF(Iterations[[#This Row],[Step]] &gt; current_step, "",Iterations[[#This Row],[e]]))</f>
        <v>11.472945642183413</v>
      </c>
      <c r="L633" s="2">
        <f ca="1">IF(Iterations[[#This Row],[Step]] =current_step, current_Total_Loss,IF(Iterations[[#This Row],[Step]] &gt; current_step, "",Iterations[[#This Row],[Total Loss]]))</f>
        <v>90.78</v>
      </c>
      <c r="M633" s="6" t="s">
        <v>27</v>
      </c>
      <c r="N633" s="2">
        <f ca="1">IF(Iterations[[#This Row],[Step]] =current_step, current_Grad_a,IF(Iterations[[#This Row],[Step]] &gt; current_step, "",Iterations[[#This Row],[Grad_a]]))</f>
        <v>1.9661804052400242E-2</v>
      </c>
      <c r="O633" s="2">
        <f ca="1">IF(Iterations[[#This Row],[Step]] =current_step, current_Grad_b,IF(Iterations[[#This Row],[Step]] &gt; current_step, "",Iterations[[#This Row],[Grad_b]]))</f>
        <v>3.4234677283332036E-3</v>
      </c>
      <c r="P633" s="2">
        <f ca="1">IF(Iterations[[#This Row],[Step]] =current_step, current_Grad_c,IF(Iterations[[#This Row],[Step]] &gt; current_step, "",Iterations[[#This Row],[Grad_c]]))</f>
        <v>-5.5154686513402447E-2</v>
      </c>
      <c r="Q633" s="2">
        <f ca="1">IF(Iterations[[#This Row],[Step]] =current_step, current_Grad_d,IF(Iterations[[#This Row],[Step]] &gt; current_step, "",Iterations[[#This Row],[Grad_d]]))</f>
        <v>-3.1381274718510857E-3</v>
      </c>
      <c r="R633" s="2">
        <f ca="1">IF(Iterations[[#This Row],[Step]] =current_step, current_Grad_e,IF(Iterations[[#This Row],[Step]] &gt; current_step, "",Iterations[[#This Row],[Grad_e]]))</f>
        <v>1.9669885614130952E-2</v>
      </c>
    </row>
    <row r="634" spans="6:18" x14ac:dyDescent="0.3">
      <c r="F634" s="2">
        <f t="shared" si="12"/>
        <v>617</v>
      </c>
      <c r="G634" s="2">
        <f ca="1">IF(Iterations[[#This Row],[Step]] =current_step, current_a,IF(Iterations[[#This Row],[Step]] &gt; current_step, "",Iterations[[#This Row],[a]]))</f>
        <v>-7.1085442205687261</v>
      </c>
      <c r="H634" s="2">
        <f ca="1">IF(Iterations[[#This Row],[Step]] =current_step, current_b,IF(Iterations[[#This Row],[Step]] &gt; current_step, "",Iterations[[#This Row],[b]]))</f>
        <v>0.37715563059385288</v>
      </c>
      <c r="I634" s="2">
        <f ca="1">IF(Iterations[[#This Row],[Step]] =current_step, current_c,IF(Iterations[[#This Row],[Step]] &gt; current_step, "",Iterations[[#This Row],[c]]))</f>
        <v>20.776860506528173</v>
      </c>
      <c r="J634" s="2">
        <f ca="1">IF(Iterations[[#This Row],[Step]] =current_step, current_d,IF(Iterations[[#This Row],[Step]] &gt; current_step, "",Iterations[[#This Row],[d]]))</f>
        <v>1.1783512167386863</v>
      </c>
      <c r="K634" s="2">
        <f ca="1">IF(Iterations[[#This Row],[Step]] =current_step, current_e,IF(Iterations[[#This Row],[Step]] &gt; current_step, "",Iterations[[#This Row],[e]]))</f>
        <v>11.471568750190425</v>
      </c>
      <c r="L634" s="2">
        <f ca="1">IF(Iterations[[#This Row],[Step]] =current_step, current_Total_Loss,IF(Iterations[[#This Row],[Step]] &gt; current_step, "",Iterations[[#This Row],[Total Loss]]))</f>
        <v>90.78</v>
      </c>
      <c r="M634" s="6" t="s">
        <v>27</v>
      </c>
      <c r="N634" s="2">
        <f ca="1">IF(Iterations[[#This Row],[Step]] =current_step, current_Grad_a,IF(Iterations[[#This Row],[Step]] &gt; current_step, "",Iterations[[#This Row],[Grad_a]]))</f>
        <v>1.9528751488800608E-2</v>
      </c>
      <c r="O634" s="2">
        <f ca="1">IF(Iterations[[#This Row],[Step]] =current_step, current_Grad_b,IF(Iterations[[#This Row],[Step]] &gt; current_step, "",Iterations[[#This Row],[Grad_b]]))</f>
        <v>3.400364155886515E-3</v>
      </c>
      <c r="P634" s="2">
        <f ca="1">IF(Iterations[[#This Row],[Step]] =current_step, current_Grad_c,IF(Iterations[[#This Row],[Step]] &gt; current_step, "",Iterations[[#This Row],[Grad_c]]))</f>
        <v>-5.4781439001777371E-2</v>
      </c>
      <c r="Q634" s="2">
        <f ca="1">IF(Iterations[[#This Row],[Step]] =current_step, current_Grad_d,IF(Iterations[[#This Row],[Step]] &gt; current_step, "",Iterations[[#This Row],[Grad_d]]))</f>
        <v>-3.1170256668282916E-3</v>
      </c>
      <c r="R634" s="2">
        <f ca="1">IF(Iterations[[#This Row],[Step]] =current_step, current_Grad_e,IF(Iterations[[#This Row],[Step]] &gt; current_step, "",Iterations[[#This Row],[Grad_e]]))</f>
        <v>1.9536771983258403E-2</v>
      </c>
    </row>
    <row r="635" spans="6:18" x14ac:dyDescent="0.3">
      <c r="F635" s="2">
        <f t="shared" si="12"/>
        <v>618</v>
      </c>
      <c r="G635" s="2">
        <f ca="1">IF(Iterations[[#This Row],[Step]] =current_step, current_a,IF(Iterations[[#This Row],[Step]] &gt; current_step, "",Iterations[[#This Row],[a]]))</f>
        <v>-7.1099112331729426</v>
      </c>
      <c r="H635" s="2">
        <f ca="1">IF(Iterations[[#This Row],[Step]] =current_step, current_b,IF(Iterations[[#This Row],[Step]] &gt; current_step, "",Iterations[[#This Row],[b]]))</f>
        <v>0.37691760510294081</v>
      </c>
      <c r="I635" s="2">
        <f ca="1">IF(Iterations[[#This Row],[Step]] =current_step, current_c,IF(Iterations[[#This Row],[Step]] &gt; current_step, "",Iterations[[#This Row],[c]]))</f>
        <v>20.780695207258297</v>
      </c>
      <c r="J635" s="2">
        <f ca="1">IF(Iterations[[#This Row],[Step]] =current_step, current_d,IF(Iterations[[#This Row],[Step]] &gt; current_step, "",Iterations[[#This Row],[d]]))</f>
        <v>1.1785694085353642</v>
      </c>
      <c r="K635" s="2">
        <f ca="1">IF(Iterations[[#This Row],[Step]] =current_step, current_e,IF(Iterations[[#This Row],[Step]] &gt; current_step, "",Iterations[[#This Row],[e]]))</f>
        <v>11.470201176151598</v>
      </c>
      <c r="L635" s="2">
        <f ca="1">IF(Iterations[[#This Row],[Step]] =current_step, current_Total_Loss,IF(Iterations[[#This Row],[Step]] &gt; current_step, "",Iterations[[#This Row],[Total Loss]]))</f>
        <v>90.77</v>
      </c>
      <c r="M635" s="6" t="s">
        <v>27</v>
      </c>
      <c r="N635" s="2">
        <f ca="1">IF(Iterations[[#This Row],[Step]] =current_step, current_Grad_a,IF(Iterations[[#This Row],[Step]] &gt; current_step, "",Iterations[[#This Row],[Grad_a]]))</f>
        <v>1.9396599289462985E-2</v>
      </c>
      <c r="O635" s="2">
        <f ca="1">IF(Iterations[[#This Row],[Step]] =current_step, current_Grad_b,IF(Iterations[[#This Row],[Step]] &gt; current_step, "",Iterations[[#This Row],[Grad_b]]))</f>
        <v>3.3774157980309325E-3</v>
      </c>
      <c r="P635" s="2">
        <f ca="1">IF(Iterations[[#This Row],[Step]] =current_step, current_Grad_c,IF(Iterations[[#This Row],[Step]] &gt; current_step, "",Iterations[[#This Row],[Grad_c]]))</f>
        <v>-5.441071747303107E-2</v>
      </c>
      <c r="Q635" s="2">
        <f ca="1">IF(Iterations[[#This Row],[Step]] =current_step, current_Grad_d,IF(Iterations[[#This Row],[Step]] &gt; current_step, "",Iterations[[#This Row],[Grad_d]]))</f>
        <v>-3.0960642677797892E-3</v>
      </c>
      <c r="R635" s="2">
        <f ca="1">IF(Iterations[[#This Row],[Step]] =current_step, current_Grad_e,IF(Iterations[[#This Row],[Step]] &gt; current_step, "",Iterations[[#This Row],[Grad_e]]))</f>
        <v>1.9404559243547028E-2</v>
      </c>
    </row>
    <row r="636" spans="6:18" x14ac:dyDescent="0.3">
      <c r="F636" s="2">
        <f t="shared" si="12"/>
        <v>619</v>
      </c>
      <c r="G636" s="2">
        <f ca="1">IF(Iterations[[#This Row],[Step]] =current_step, current_a,IF(Iterations[[#This Row],[Step]] &gt; current_step, "",Iterations[[#This Row],[a]]))</f>
        <v>-7.1112689951232051</v>
      </c>
      <c r="H636" s="2">
        <f ca="1">IF(Iterations[[#This Row],[Step]] =current_step, current_b,IF(Iterations[[#This Row],[Step]] &gt; current_step, "",Iterations[[#This Row],[b]]))</f>
        <v>0.37668118599707867</v>
      </c>
      <c r="I636" s="2">
        <f ca="1">IF(Iterations[[#This Row],[Step]] =current_step, current_c,IF(Iterations[[#This Row],[Step]] &gt; current_step, "",Iterations[[#This Row],[c]]))</f>
        <v>20.784503957481409</v>
      </c>
      <c r="J636" s="2">
        <f ca="1">IF(Iterations[[#This Row],[Step]] =current_step, current_d,IF(Iterations[[#This Row],[Step]] &gt; current_step, "",Iterations[[#This Row],[d]]))</f>
        <v>1.1787861330341087</v>
      </c>
      <c r="K636" s="2">
        <f ca="1">IF(Iterations[[#This Row],[Step]] =current_step, current_e,IF(Iterations[[#This Row],[Step]] &gt; current_step, "",Iterations[[#This Row],[e]]))</f>
        <v>11.46884285700455</v>
      </c>
      <c r="L636" s="2">
        <f ca="1">IF(Iterations[[#This Row],[Step]] =current_step, current_Total_Loss,IF(Iterations[[#This Row],[Step]] &gt; current_step, "",Iterations[[#This Row],[Total Loss]]))</f>
        <v>90.77</v>
      </c>
      <c r="M636" s="6" t="s">
        <v>27</v>
      </c>
      <c r="N636" s="2">
        <f ca="1">IF(Iterations[[#This Row],[Step]] =current_step, current_Grad_a,IF(Iterations[[#This Row],[Step]] &gt; current_step, "",Iterations[[#This Row],[Grad_a]]))</f>
        <v>1.9265341361765831E-2</v>
      </c>
      <c r="O636" s="2">
        <f ca="1">IF(Iterations[[#This Row],[Step]] =current_step, current_Grad_b,IF(Iterations[[#This Row],[Step]] &gt; current_step, "",Iterations[[#This Row],[Grad_b]]))</f>
        <v>3.3546216245586105E-3</v>
      </c>
      <c r="P636" s="2">
        <f ca="1">IF(Iterations[[#This Row],[Step]] =current_step, current_Grad_c,IF(Iterations[[#This Row],[Step]] &gt; current_step, "",Iterations[[#This Row],[Grad_c]]))</f>
        <v>-5.4042504830423249E-2</v>
      </c>
      <c r="Q636" s="2">
        <f ca="1">IF(Iterations[[#This Row],[Step]] =current_step, current_Grad_d,IF(Iterations[[#This Row],[Step]] &gt; current_step, "",Iterations[[#This Row],[Grad_d]]))</f>
        <v>-3.0752423671902376E-3</v>
      </c>
      <c r="R636" s="2">
        <f ca="1">IF(Iterations[[#This Row],[Step]] =current_step, current_Grad_e,IF(Iterations[[#This Row],[Step]] &gt; current_step, "",Iterations[[#This Row],[Grad_e]]))</f>
        <v>1.9273241296828739E-2</v>
      </c>
    </row>
    <row r="637" spans="6:18" x14ac:dyDescent="0.3">
      <c r="F637" s="2">
        <f t="shared" si="12"/>
        <v>620</v>
      </c>
      <c r="G637" s="2">
        <f ca="1">IF(Iterations[[#This Row],[Step]] =current_step, current_a,IF(Iterations[[#This Row],[Step]] &gt; current_step, "",Iterations[[#This Row],[a]]))</f>
        <v>-7.1126175690185285</v>
      </c>
      <c r="H637" s="2">
        <f ca="1">IF(Iterations[[#This Row],[Step]] =current_step, current_b,IF(Iterations[[#This Row],[Step]] &gt; current_step, "",Iterations[[#This Row],[b]]))</f>
        <v>0.37644636248335955</v>
      </c>
      <c r="I637" s="2">
        <f ca="1">IF(Iterations[[#This Row],[Step]] =current_step, current_c,IF(Iterations[[#This Row],[Step]] &gt; current_step, "",Iterations[[#This Row],[c]]))</f>
        <v>20.788286932819538</v>
      </c>
      <c r="J637" s="2">
        <f ca="1">IF(Iterations[[#This Row],[Step]] =current_step, current_d,IF(Iterations[[#This Row],[Step]] &gt; current_step, "",Iterations[[#This Row],[d]]))</f>
        <v>1.1790013999998121</v>
      </c>
      <c r="K637" s="2">
        <f ca="1">IF(Iterations[[#This Row],[Step]] =current_step, current_e,IF(Iterations[[#This Row],[Step]] &gt; current_step, "",Iterations[[#This Row],[e]]))</f>
        <v>11.467493730113771</v>
      </c>
      <c r="L637" s="2">
        <f ca="1">IF(Iterations[[#This Row],[Step]] =current_step, current_Total_Loss,IF(Iterations[[#This Row],[Step]] &gt; current_step, "",Iterations[[#This Row],[Total Loss]]))</f>
        <v>90.76</v>
      </c>
      <c r="M637" s="6" t="s">
        <v>27</v>
      </c>
      <c r="N637" s="2">
        <f ca="1">IF(Iterations[[#This Row],[Step]] =current_step, current_Grad_a,IF(Iterations[[#This Row],[Step]] &gt; current_step, "",Iterations[[#This Row],[Grad_a]]))</f>
        <v>1.913497165444775E-2</v>
      </c>
      <c r="O637" s="2">
        <f ca="1">IF(Iterations[[#This Row],[Step]] =current_step, current_Grad_b,IF(Iterations[[#This Row],[Step]] &gt; current_step, "",Iterations[[#This Row],[Grad_b]]))</f>
        <v>3.3319806118200512E-3</v>
      </c>
      <c r="P637" s="2">
        <f ca="1">IF(Iterations[[#This Row],[Step]] =current_step, current_Grad_c,IF(Iterations[[#This Row],[Step]] &gt; current_step, "",Iterations[[#This Row],[Grad_c]]))</f>
        <v>-5.3676784092909595E-2</v>
      </c>
      <c r="Q637" s="2">
        <f ca="1">IF(Iterations[[#This Row],[Step]] =current_step, current_Grad_d,IF(Iterations[[#This Row],[Step]] &gt; current_step, "",Iterations[[#This Row],[Grad_d]]))</f>
        <v>-3.0545590629453218E-3</v>
      </c>
      <c r="R637" s="2">
        <f ca="1">IF(Iterations[[#This Row],[Step]] =current_step, current_Grad_e,IF(Iterations[[#This Row],[Step]] &gt; current_step, "",Iterations[[#This Row],[Grad_e]]))</f>
        <v>1.9142812086259318E-2</v>
      </c>
    </row>
    <row r="638" spans="6:18" x14ac:dyDescent="0.3">
      <c r="F638" s="2">
        <f t="shared" si="12"/>
        <v>621</v>
      </c>
      <c r="G638" s="2">
        <f ca="1">IF(Iterations[[#This Row],[Step]] =current_step, current_a,IF(Iterations[[#This Row],[Step]] &gt; current_step, "",Iterations[[#This Row],[a]]))</f>
        <v>-7.1139570170343402</v>
      </c>
      <c r="H638" s="2">
        <f ca="1">IF(Iterations[[#This Row],[Step]] =current_step, current_b,IF(Iterations[[#This Row],[Step]] &gt; current_step, "",Iterations[[#This Row],[b]]))</f>
        <v>0.37621312384053213</v>
      </c>
      <c r="I638" s="2">
        <f ca="1">IF(Iterations[[#This Row],[Step]] =current_step, current_c,IF(Iterations[[#This Row],[Step]] &gt; current_step, "",Iterations[[#This Row],[c]]))</f>
        <v>20.792044307706043</v>
      </c>
      <c r="J638" s="2">
        <f ca="1">IF(Iterations[[#This Row],[Step]] =current_step, current_d,IF(Iterations[[#This Row],[Step]] &gt; current_step, "",Iterations[[#This Row],[d]]))</f>
        <v>1.1792152191342182</v>
      </c>
      <c r="K638" s="2">
        <f ca="1">IF(Iterations[[#This Row],[Step]] =current_step, current_e,IF(Iterations[[#This Row],[Step]] &gt; current_step, "",Iterations[[#This Row],[e]]))</f>
        <v>11.466153733267733</v>
      </c>
      <c r="L638" s="2">
        <f ca="1">IF(Iterations[[#This Row],[Step]] =current_step, current_Total_Loss,IF(Iterations[[#This Row],[Step]] &gt; current_step, "",Iterations[[#This Row],[Total Loss]]))</f>
        <v>90.76</v>
      </c>
      <c r="M638" s="6" t="s">
        <v>27</v>
      </c>
      <c r="N638" s="2">
        <f ca="1">IF(Iterations[[#This Row],[Step]] =current_step, current_Grad_a,IF(Iterations[[#This Row],[Step]] &gt; current_step, "",Iterations[[#This Row],[Grad_a]]))</f>
        <v>1.9005484156970009E-2</v>
      </c>
      <c r="O638" s="2">
        <f ca="1">IF(Iterations[[#This Row],[Step]] =current_step, current_Grad_b,IF(Iterations[[#This Row],[Step]] &gt; current_step, "",Iterations[[#This Row],[Grad_b]]))</f>
        <v>3.3094917428418721E-3</v>
      </c>
      <c r="P638" s="2">
        <f ca="1">IF(Iterations[[#This Row],[Step]] =current_step, current_Grad_c,IF(Iterations[[#This Row],[Step]] &gt; current_step, "",Iterations[[#This Row],[Grad_c]]))</f>
        <v>-5.3313538394506289E-2</v>
      </c>
      <c r="Q638" s="2">
        <f ca="1">IF(Iterations[[#This Row],[Step]] =current_step, current_Grad_d,IF(Iterations[[#This Row],[Step]] &gt; current_step, "",Iterations[[#This Row],[Grad_d]]))</f>
        <v>-3.0340134582524073E-3</v>
      </c>
      <c r="R638" s="2">
        <f ca="1">IF(Iterations[[#This Row],[Step]] =current_step, current_Grad_e,IF(Iterations[[#This Row],[Step]] &gt; current_step, "",Iterations[[#This Row],[Grad_e]]))</f>
        <v>1.9013265595967315E-2</v>
      </c>
    </row>
    <row r="639" spans="6:18" x14ac:dyDescent="0.3">
      <c r="F639" s="2">
        <f t="shared" si="12"/>
        <v>622</v>
      </c>
      <c r="G639" s="2">
        <f ca="1">IF(Iterations[[#This Row],[Step]] =current_step, current_a,IF(Iterations[[#This Row],[Step]] &gt; current_step, "",Iterations[[#This Row],[a]]))</f>
        <v>-7.115287400925328</v>
      </c>
      <c r="H639" s="2">
        <f ca="1">IF(Iterations[[#This Row],[Step]] =current_step, current_b,IF(Iterations[[#This Row],[Step]] &gt; current_step, "",Iterations[[#This Row],[b]]))</f>
        <v>0.37598145941853317</v>
      </c>
      <c r="I639" s="2">
        <f ca="1">IF(Iterations[[#This Row],[Step]] =current_step, current_c,IF(Iterations[[#This Row],[Step]] &gt; current_step, "",Iterations[[#This Row],[c]]))</f>
        <v>20.795776255393658</v>
      </c>
      <c r="J639" s="2">
        <f ca="1">IF(Iterations[[#This Row],[Step]] =current_step, current_d,IF(Iterations[[#This Row],[Step]] &gt; current_step, "",Iterations[[#This Row],[d]]))</f>
        <v>1.179427600076296</v>
      </c>
      <c r="K639" s="2">
        <f ca="1">IF(Iterations[[#This Row],[Step]] =current_step, current_e,IF(Iterations[[#This Row],[Step]] &gt; current_step, "",Iterations[[#This Row],[e]]))</f>
        <v>11.464822804676015</v>
      </c>
      <c r="L639" s="2">
        <f ca="1">IF(Iterations[[#This Row],[Step]] =current_step, current_Total_Loss,IF(Iterations[[#This Row],[Step]] &gt; current_step, "",Iterations[[#This Row],[Total Loss]]))</f>
        <v>90.76</v>
      </c>
      <c r="M639" s="6" t="s">
        <v>27</v>
      </c>
      <c r="N639" s="2">
        <f ca="1">IF(Iterations[[#This Row],[Step]] =current_step, current_Grad_a,IF(Iterations[[#This Row],[Step]] &gt; current_step, "",Iterations[[#This Row],[Grad_a]]))</f>
        <v>1.8876872899810451E-2</v>
      </c>
      <c r="O639" s="2">
        <f ca="1">IF(Iterations[[#This Row],[Step]] =current_step, current_Grad_b,IF(Iterations[[#This Row],[Step]] &gt; current_step, "",Iterations[[#This Row],[Grad_b]]))</f>
        <v>3.2871540070591948E-3</v>
      </c>
      <c r="P639" s="2">
        <f ca="1">IF(Iterations[[#This Row],[Step]] =current_step, current_Grad_c,IF(Iterations[[#This Row],[Step]] &gt; current_step, "",Iterations[[#This Row],[Grad_c]]))</f>
        <v>-5.2952750983273775E-2</v>
      </c>
      <c r="Q639" s="2">
        <f ca="1">IF(Iterations[[#This Row],[Step]] =current_step, current_Grad_d,IF(Iterations[[#This Row],[Step]] &gt; current_step, "",Iterations[[#This Row],[Grad_d]]))</f>
        <v>-3.0136046616978294E-3</v>
      </c>
      <c r="R639" s="2">
        <f ca="1">IF(Iterations[[#This Row],[Step]] =current_step, current_Grad_e,IF(Iterations[[#This Row],[Step]] &gt; current_step, "",Iterations[[#This Row],[Grad_e]]))</f>
        <v>1.8884595850889221E-2</v>
      </c>
    </row>
    <row r="640" spans="6:18" x14ac:dyDescent="0.3">
      <c r="F640" s="2">
        <f t="shared" si="12"/>
        <v>623</v>
      </c>
      <c r="G640" s="2">
        <f ca="1">IF(Iterations[[#This Row],[Step]] =current_step, current_a,IF(Iterations[[#This Row],[Step]] &gt; current_step, "",Iterations[[#This Row],[a]]))</f>
        <v>-7.1166087820283144</v>
      </c>
      <c r="H640" s="2">
        <f ca="1">IF(Iterations[[#This Row],[Step]] =current_step, current_b,IF(Iterations[[#This Row],[Step]] &gt; current_step, "",Iterations[[#This Row],[b]]))</f>
        <v>0.37575135863803905</v>
      </c>
      <c r="I640" s="2">
        <f ca="1">IF(Iterations[[#This Row],[Step]] =current_step, current_c,IF(Iterations[[#This Row],[Step]] &gt; current_step, "",Iterations[[#This Row],[c]]))</f>
        <v>20.799482947962488</v>
      </c>
      <c r="J640" s="2">
        <f ca="1">IF(Iterations[[#This Row],[Step]] =current_step, current_d,IF(Iterations[[#This Row],[Step]] &gt; current_step, "",Iterations[[#This Row],[d]]))</f>
        <v>1.1796385524026149</v>
      </c>
      <c r="K640" s="2">
        <f ca="1">IF(Iterations[[#This Row],[Step]] =current_step, current_e,IF(Iterations[[#This Row],[Step]] &gt; current_step, "",Iterations[[#This Row],[e]]))</f>
        <v>11.463500882966452</v>
      </c>
      <c r="L640" s="2">
        <f ca="1">IF(Iterations[[#This Row],[Step]] =current_step, current_Total_Loss,IF(Iterations[[#This Row],[Step]] &gt; current_step, "",Iterations[[#This Row],[Total Loss]]))</f>
        <v>90.75</v>
      </c>
      <c r="M640" s="6" t="s">
        <v>27</v>
      </c>
      <c r="N640" s="2">
        <f ca="1">IF(Iterations[[#This Row],[Step]] =current_step, current_Grad_a,IF(Iterations[[#This Row],[Step]] &gt; current_step, "",Iterations[[#This Row],[Grad_a]]))</f>
        <v>1.8749131953408896E-2</v>
      </c>
      <c r="O640" s="2">
        <f ca="1">IF(Iterations[[#This Row],[Step]] =current_step, current_Grad_b,IF(Iterations[[#This Row],[Step]] &gt; current_step, "",Iterations[[#This Row],[Grad_b]]))</f>
        <v>3.2649664005339751E-3</v>
      </c>
      <c r="P640" s="2">
        <f ca="1">IF(Iterations[[#This Row],[Step]] =current_step, current_Grad_c,IF(Iterations[[#This Row],[Step]] &gt; current_step, "",Iterations[[#This Row],[Grad_c]]))</f>
        <v>-5.2594405220866967E-2</v>
      </c>
      <c r="Q640" s="2">
        <f ca="1">IF(Iterations[[#This Row],[Step]] =current_step, current_Grad_d,IF(Iterations[[#This Row],[Step]] &gt; current_step, "",Iterations[[#This Row],[Grad_d]]))</f>
        <v>-2.9933317871397979E-3</v>
      </c>
      <c r="R640" s="2">
        <f ca="1">IF(Iterations[[#This Row],[Step]] =current_step, current_Grad_e,IF(Iterations[[#This Row],[Step]] &gt; current_step, "",Iterations[[#This Row],[Grad_e]]))</f>
        <v>1.8756796916340197E-2</v>
      </c>
    </row>
    <row r="641" spans="6:18" x14ac:dyDescent="0.3">
      <c r="F641" s="2">
        <f t="shared" si="12"/>
        <v>624</v>
      </c>
      <c r="G641" s="2">
        <f ca="1">IF(Iterations[[#This Row],[Step]] =current_step, current_a,IF(Iterations[[#This Row],[Step]] &gt; current_step, "",Iterations[[#This Row],[a]]))</f>
        <v>-7.1179212212650533</v>
      </c>
      <c r="H641" s="2">
        <f ca="1">IF(Iterations[[#This Row],[Step]] =current_step, current_b,IF(Iterations[[#This Row],[Step]] &gt; current_step, "",Iterations[[#This Row],[b]]))</f>
        <v>0.37552281099000168</v>
      </c>
      <c r="I641" s="2">
        <f ca="1">IF(Iterations[[#This Row],[Step]] =current_step, current_c,IF(Iterations[[#This Row],[Step]] &gt; current_step, "",Iterations[[#This Row],[c]]))</f>
        <v>20.80316455632795</v>
      </c>
      <c r="J641" s="2">
        <f ca="1">IF(Iterations[[#This Row],[Step]] =current_step, current_d,IF(Iterations[[#This Row],[Step]] &gt; current_step, "",Iterations[[#This Row],[d]]))</f>
        <v>1.1798480856277147</v>
      </c>
      <c r="K641" s="2">
        <f ca="1">IF(Iterations[[#This Row],[Step]] =current_step, current_e,IF(Iterations[[#This Row],[Step]] &gt; current_step, "",Iterations[[#This Row],[e]]))</f>
        <v>11.462187907182308</v>
      </c>
      <c r="L641" s="2">
        <f ca="1">IF(Iterations[[#This Row],[Step]] =current_step, current_Total_Loss,IF(Iterations[[#This Row],[Step]] &gt; current_step, "",Iterations[[#This Row],[Total Loss]]))</f>
        <v>90.75</v>
      </c>
      <c r="M641" s="6" t="s">
        <v>27</v>
      </c>
      <c r="N641" s="2">
        <f ca="1">IF(Iterations[[#This Row],[Step]] =current_step, current_Grad_a,IF(Iterations[[#This Row],[Step]] &gt; current_step, "",Iterations[[#This Row],[Grad_a]]))</f>
        <v>1.8622255428673833E-2</v>
      </c>
      <c r="O641" s="2">
        <f ca="1">IF(Iterations[[#This Row],[Step]] =current_step, current_Grad_b,IF(Iterations[[#This Row],[Step]] &gt; current_step, "",Iterations[[#This Row],[Grad_b]]))</f>
        <v>3.2429279256940527E-3</v>
      </c>
      <c r="P641" s="2">
        <f ca="1">IF(Iterations[[#This Row],[Step]] =current_step, current_Grad_c,IF(Iterations[[#This Row],[Step]] &gt; current_step, "",Iterations[[#This Row],[Grad_c]]))</f>
        <v>-5.2238484581439169E-2</v>
      </c>
      <c r="Q641" s="2">
        <f ca="1">IF(Iterations[[#This Row],[Step]] =current_step, current_Grad_d,IF(Iterations[[#This Row],[Step]] &gt; current_step, "",Iterations[[#This Row],[Grad_d]]))</f>
        <v>-2.9731939537554547E-3</v>
      </c>
      <c r="R641" s="2">
        <f ca="1">IF(Iterations[[#This Row],[Step]] =current_step, current_Grad_e,IF(Iterations[[#This Row],[Step]] &gt; current_step, "",Iterations[[#This Row],[Grad_e]]))</f>
        <v>1.8629862897898794E-2</v>
      </c>
    </row>
    <row r="642" spans="6:18" x14ac:dyDescent="0.3">
      <c r="F642" s="2">
        <f t="shared" si="12"/>
        <v>625</v>
      </c>
      <c r="G642" s="2">
        <f ca="1">IF(Iterations[[#This Row],[Step]] =current_step, current_a,IF(Iterations[[#This Row],[Step]] &gt; current_step, "",Iterations[[#This Row],[a]]))</f>
        <v>-7.1192247791450605</v>
      </c>
      <c r="H642" s="2">
        <f ca="1">IF(Iterations[[#This Row],[Step]] =current_step, current_b,IF(Iterations[[#This Row],[Step]] &gt; current_step, "",Iterations[[#This Row],[b]]))</f>
        <v>0.37529580603520307</v>
      </c>
      <c r="I642" s="2">
        <f ca="1">IF(Iterations[[#This Row],[Step]] =current_step, current_c,IF(Iterations[[#This Row],[Step]] &gt; current_step, "",Iterations[[#This Row],[c]]))</f>
        <v>20.80682125024865</v>
      </c>
      <c r="J642" s="2">
        <f ca="1">IF(Iterations[[#This Row],[Step]] =current_step, current_d,IF(Iterations[[#This Row],[Step]] &gt; current_step, "",Iterations[[#This Row],[d]]))</f>
        <v>1.1800562092044775</v>
      </c>
      <c r="K642" s="2">
        <f ca="1">IF(Iterations[[#This Row],[Step]] =current_step, current_e,IF(Iterations[[#This Row],[Step]] &gt; current_step, "",Iterations[[#This Row],[e]]))</f>
        <v>11.460883816779456</v>
      </c>
      <c r="L642" s="2">
        <f ca="1">IF(Iterations[[#This Row],[Step]] =current_step, current_Total_Loss,IF(Iterations[[#This Row],[Step]] &gt; current_step, "",Iterations[[#This Row],[Total Loss]]))</f>
        <v>90.74</v>
      </c>
      <c r="M642" s="6" t="s">
        <v>27</v>
      </c>
      <c r="N642" s="2">
        <f ca="1">IF(Iterations[[#This Row],[Step]] =current_step, current_Grad_a,IF(Iterations[[#This Row],[Step]] &gt; current_step, "",Iterations[[#This Row],[Grad_a]]))</f>
        <v>1.8496237476226356E-2</v>
      </c>
      <c r="O642" s="2">
        <f ca="1">IF(Iterations[[#This Row],[Step]] =current_step, current_Grad_b,IF(Iterations[[#This Row],[Step]] &gt; current_step, "",Iterations[[#This Row],[Grad_b]]))</f>
        <v>3.2210375914192659E-3</v>
      </c>
      <c r="P642" s="2">
        <f ca="1">IF(Iterations[[#This Row],[Step]] =current_step, current_Grad_c,IF(Iterations[[#This Row],[Step]] &gt; current_step, "",Iterations[[#This Row],[Grad_c]]))</f>
        <v>-5.1884972651087567E-2</v>
      </c>
      <c r="Q642" s="2">
        <f ca="1">IF(Iterations[[#This Row],[Step]] =current_step, current_Grad_d,IF(Iterations[[#This Row],[Step]] &gt; current_step, "",Iterations[[#This Row],[Grad_d]]))</f>
        <v>-2.953190285979099E-3</v>
      </c>
      <c r="R642" s="2">
        <f ca="1">IF(Iterations[[#This Row],[Step]] =current_step, current_Grad_e,IF(Iterations[[#This Row],[Step]] &gt; current_step, "",Iterations[[#This Row],[Grad_e]]))</f>
        <v>1.8503787941025845E-2</v>
      </c>
    </row>
    <row r="643" spans="6:18" x14ac:dyDescent="0.3">
      <c r="F643" s="2">
        <f t="shared" si="12"/>
        <v>626</v>
      </c>
      <c r="G643" s="2">
        <f ca="1">IF(Iterations[[#This Row],[Step]] =current_step, current_a,IF(Iterations[[#This Row],[Step]] &gt; current_step, "",Iterations[[#This Row],[a]]))</f>
        <v>-7.1205195157683967</v>
      </c>
      <c r="H643" s="2">
        <f ca="1">IF(Iterations[[#This Row],[Step]] =current_step, current_b,IF(Iterations[[#This Row],[Step]] &gt; current_step, "",Iterations[[#This Row],[b]]))</f>
        <v>0.37507033340380375</v>
      </c>
      <c r="I643" s="2">
        <f ca="1">IF(Iterations[[#This Row],[Step]] =current_step, current_c,IF(Iterations[[#This Row],[Step]] &gt; current_step, "",Iterations[[#This Row],[c]]))</f>
        <v>20.810453198334226</v>
      </c>
      <c r="J643" s="2">
        <f ca="1">IF(Iterations[[#This Row],[Step]] =current_step, current_d,IF(Iterations[[#This Row],[Step]] &gt; current_step, "",Iterations[[#This Row],[d]]))</f>
        <v>1.180262932524496</v>
      </c>
      <c r="K643" s="2">
        <f ca="1">IF(Iterations[[#This Row],[Step]] =current_step, current_e,IF(Iterations[[#This Row],[Step]] &gt; current_step, "",Iterations[[#This Row],[e]]))</f>
        <v>11.459588551623584</v>
      </c>
      <c r="L643" s="2">
        <f ca="1">IF(Iterations[[#This Row],[Step]] =current_step, current_Total_Loss,IF(Iterations[[#This Row],[Step]] &gt; current_step, "",Iterations[[#This Row],[Total Loss]]))</f>
        <v>90.74</v>
      </c>
      <c r="M643" s="6" t="s">
        <v>27</v>
      </c>
      <c r="N643" s="2">
        <f ca="1">IF(Iterations[[#This Row],[Step]] =current_step, current_Grad_a,IF(Iterations[[#This Row],[Step]] &gt; current_step, "",Iterations[[#This Row],[Grad_a]]))</f>
        <v>1.8371072286257808E-2</v>
      </c>
      <c r="O643" s="2">
        <f ca="1">IF(Iterations[[#This Row],[Step]] =current_step, current_Grad_b,IF(Iterations[[#This Row],[Step]] &gt; current_step, "",Iterations[[#This Row],[Grad_b]]))</f>
        <v>3.199294412992246E-3</v>
      </c>
      <c r="P643" s="2">
        <f ca="1">IF(Iterations[[#This Row],[Step]] =current_step, current_Grad_c,IF(Iterations[[#This Row],[Step]] &gt; current_step, "",Iterations[[#This Row],[Grad_c]]))</f>
        <v>-5.1533853127036081E-2</v>
      </c>
      <c r="Q643" s="2">
        <f ca="1">IF(Iterations[[#This Row],[Step]] =current_step, current_Grad_d,IF(Iterations[[#This Row],[Step]] &gt; current_step, "",Iterations[[#This Row],[Grad_d]]))</f>
        <v>-2.9333199134794364E-3</v>
      </c>
      <c r="R643" s="2">
        <f ca="1">IF(Iterations[[#This Row],[Step]] =current_step, current_Grad_e,IF(Iterations[[#This Row],[Step]] &gt; current_step, "",Iterations[[#This Row],[Grad_e]]))</f>
        <v>1.8378566230829365E-2</v>
      </c>
    </row>
    <row r="644" spans="6:18" x14ac:dyDescent="0.3">
      <c r="F644" s="2">
        <f t="shared" si="12"/>
        <v>627</v>
      </c>
      <c r="G644" s="2">
        <f ca="1">IF(Iterations[[#This Row],[Step]] =current_step, current_a,IF(Iterations[[#This Row],[Step]] &gt; current_step, "",Iterations[[#This Row],[a]]))</f>
        <v>-7.1218054908284349</v>
      </c>
      <c r="H644" s="2">
        <f ca="1">IF(Iterations[[#This Row],[Step]] =current_step, current_b,IF(Iterations[[#This Row],[Step]] &gt; current_step, "",Iterations[[#This Row],[b]]))</f>
        <v>0.3748463827948943</v>
      </c>
      <c r="I644" s="2">
        <f ca="1">IF(Iterations[[#This Row],[Step]] =current_step, current_c,IF(Iterations[[#This Row],[Step]] &gt; current_step, "",Iterations[[#This Row],[c]]))</f>
        <v>20.814060568053119</v>
      </c>
      <c r="J644" s="2">
        <f ca="1">IF(Iterations[[#This Row],[Step]] =current_step, current_d,IF(Iterations[[#This Row],[Step]] &gt; current_step, "",Iterations[[#This Row],[d]]))</f>
        <v>1.1804682649184395</v>
      </c>
      <c r="K644" s="2">
        <f ca="1">IF(Iterations[[#This Row],[Step]] =current_step, current_e,IF(Iterations[[#This Row],[Step]] &gt; current_step, "",Iterations[[#This Row],[e]]))</f>
        <v>11.458302051987426</v>
      </c>
      <c r="L644" s="2">
        <f ca="1">IF(Iterations[[#This Row],[Step]] =current_step, current_Total_Loss,IF(Iterations[[#This Row],[Step]] &gt; current_step, "",Iterations[[#This Row],[Total Loss]]))</f>
        <v>90.73</v>
      </c>
      <c r="M644" s="6" t="s">
        <v>27</v>
      </c>
      <c r="N644" s="2">
        <f ca="1">IF(Iterations[[#This Row],[Step]] =current_step, current_Grad_a,IF(Iterations[[#This Row],[Step]] &gt; current_step, "",Iterations[[#This Row],[Grad_a]]))</f>
        <v>1.8246754088264483E-2</v>
      </c>
      <c r="O644" s="2">
        <f ca="1">IF(Iterations[[#This Row],[Step]] =current_step, current_Grad_b,IF(Iterations[[#This Row],[Step]] &gt; current_step, "",Iterations[[#This Row],[Grad_b]]))</f>
        <v>3.1776974120367482E-3</v>
      </c>
      <c r="P644" s="2">
        <f ca="1">IF(Iterations[[#This Row],[Step]] =current_step, current_Grad_c,IF(Iterations[[#This Row],[Step]] &gt; current_step, "",Iterations[[#This Row],[Grad_c]]))</f>
        <v>-5.1185109816883338E-2</v>
      </c>
      <c r="Q644" s="2">
        <f ca="1">IF(Iterations[[#This Row],[Step]] =current_step, current_Grad_d,IF(Iterations[[#This Row],[Step]] &gt; current_step, "",Iterations[[#This Row],[Grad_d]]))</f>
        <v>-2.9135819711521077E-3</v>
      </c>
      <c r="R644" s="2">
        <f ca="1">IF(Iterations[[#This Row],[Step]] =current_step, current_Grad_e,IF(Iterations[[#This Row],[Step]] &gt; current_step, "",Iterations[[#This Row],[Grad_e]]))</f>
        <v>1.8254191991793393E-2</v>
      </c>
    </row>
    <row r="645" spans="6:18" x14ac:dyDescent="0.3">
      <c r="F645" s="2">
        <f t="shared" si="12"/>
        <v>628</v>
      </c>
      <c r="G645" s="2">
        <f ca="1">IF(Iterations[[#This Row],[Step]] =current_step, current_a,IF(Iterations[[#This Row],[Step]] &gt; current_step, "",Iterations[[#This Row],[a]]))</f>
        <v>-7.1230827636146135</v>
      </c>
      <c r="H645" s="2">
        <f ca="1">IF(Iterations[[#This Row],[Step]] =current_step, current_b,IF(Iterations[[#This Row],[Step]] &gt; current_step, "",Iterations[[#This Row],[b]]))</f>
        <v>0.3746239439760517</v>
      </c>
      <c r="I645" s="2">
        <f ca="1">IF(Iterations[[#This Row],[Step]] =current_step, current_c,IF(Iterations[[#This Row],[Step]] &gt; current_step, "",Iterations[[#This Row],[c]]))</f>
        <v>20.817643525740301</v>
      </c>
      <c r="J645" s="2">
        <f ca="1">IF(Iterations[[#This Row],[Step]] =current_step, current_d,IF(Iterations[[#This Row],[Step]] &gt; current_step, "",Iterations[[#This Row],[d]]))</f>
        <v>1.1806722156564202</v>
      </c>
      <c r="K645" s="2">
        <f ca="1">IF(Iterations[[#This Row],[Step]] =current_step, current_e,IF(Iterations[[#This Row],[Step]] &gt; current_step, "",Iterations[[#This Row],[e]]))</f>
        <v>11.457024258548</v>
      </c>
      <c r="L645" s="2">
        <f ca="1">IF(Iterations[[#This Row],[Step]] =current_step, current_Total_Loss,IF(Iterations[[#This Row],[Step]] &gt; current_step, "",Iterations[[#This Row],[Total Loss]]))</f>
        <v>90.73</v>
      </c>
      <c r="M645" s="6" t="s">
        <v>27</v>
      </c>
      <c r="N645" s="2">
        <f ca="1">IF(Iterations[[#This Row],[Step]] =current_step, current_Grad_a,IF(Iterations[[#This Row],[Step]] &gt; current_step, "",Iterations[[#This Row],[Grad_a]]))</f>
        <v>1.8123277150904758E-2</v>
      </c>
      <c r="O645" s="2">
        <f ca="1">IF(Iterations[[#This Row],[Step]] =current_step, current_Grad_b,IF(Iterations[[#This Row],[Step]] &gt; current_step, "",Iterations[[#This Row],[Grad_b]]))</f>
        <v>3.1562456164614273E-3</v>
      </c>
      <c r="P645" s="2">
        <f ca="1">IF(Iterations[[#This Row],[Step]] =current_step, current_Grad_c,IF(Iterations[[#This Row],[Step]] &gt; current_step, "",Iterations[[#This Row],[Grad_c]]))</f>
        <v>-5.0838726637806517E-2</v>
      </c>
      <c r="Q645" s="2">
        <f ca="1">IF(Iterations[[#This Row],[Step]] =current_step, current_Grad_d,IF(Iterations[[#This Row],[Step]] &gt; current_step, "",Iterations[[#This Row],[Grad_d]]))</f>
        <v>-2.8939755990926696E-3</v>
      </c>
      <c r="R645" s="2">
        <f ca="1">IF(Iterations[[#This Row],[Step]] =current_step, current_Grad_e,IF(Iterations[[#This Row],[Step]] &gt; current_step, "",Iterations[[#This Row],[Grad_e]]))</f>
        <v>1.8130659487534711E-2</v>
      </c>
    </row>
    <row r="646" spans="6:18" x14ac:dyDescent="0.3">
      <c r="F646" s="2">
        <f t="shared" si="12"/>
        <v>629</v>
      </c>
      <c r="G646" s="2">
        <f ca="1">IF(Iterations[[#This Row],[Step]] =current_step, current_a,IF(Iterations[[#This Row],[Step]] &gt; current_step, "",Iterations[[#This Row],[a]]))</f>
        <v>-7.1243513930151767</v>
      </c>
      <c r="H646" s="2">
        <f ca="1">IF(Iterations[[#This Row],[Step]] =current_step, current_b,IF(Iterations[[#This Row],[Step]] &gt; current_step, "",Iterations[[#This Row],[b]]))</f>
        <v>0.37440300678289939</v>
      </c>
      <c r="I646" s="2">
        <f ca="1">IF(Iterations[[#This Row],[Step]] =current_step, current_c,IF(Iterations[[#This Row],[Step]] &gt; current_step, "",Iterations[[#This Row],[c]]))</f>
        <v>20.821202236604947</v>
      </c>
      <c r="J646" s="2">
        <f ca="1">IF(Iterations[[#This Row],[Step]] =current_step, current_d,IF(Iterations[[#This Row],[Step]] &gt; current_step, "",Iterations[[#This Row],[d]]))</f>
        <v>1.1808747939483568</v>
      </c>
      <c r="K646" s="2">
        <f ca="1">IF(Iterations[[#This Row],[Step]] =current_step, current_e,IF(Iterations[[#This Row],[Step]] &gt; current_step, "",Iterations[[#This Row],[e]]))</f>
        <v>11.455755112383873</v>
      </c>
      <c r="L646" s="2">
        <f ca="1">IF(Iterations[[#This Row],[Step]] =current_step, current_Total_Loss,IF(Iterations[[#This Row],[Step]] &gt; current_step, "",Iterations[[#This Row],[Total Loss]]))</f>
        <v>90.73</v>
      </c>
      <c r="M646" s="6" t="s">
        <v>27</v>
      </c>
      <c r="N646" s="2">
        <f ca="1">IF(Iterations[[#This Row],[Step]] =current_step, current_Grad_a,IF(Iterations[[#This Row],[Step]] &gt; current_step, "",Iterations[[#This Row],[Grad_a]]))</f>
        <v>1.8000635781339345E-2</v>
      </c>
      <c r="O646" s="2">
        <f ca="1">IF(Iterations[[#This Row],[Step]] =current_step, current_Grad_b,IF(Iterations[[#This Row],[Step]] &gt; current_step, "",Iterations[[#This Row],[Grad_b]]))</f>
        <v>3.1349380604741572E-3</v>
      </c>
      <c r="P646" s="2">
        <f ca="1">IF(Iterations[[#This Row],[Step]] =current_step, current_Grad_c,IF(Iterations[[#This Row],[Step]] &gt; current_step, "",Iterations[[#This Row],[Grad_c]]))</f>
        <v>-5.0494687615977481E-2</v>
      </c>
      <c r="Q646" s="2">
        <f ca="1">IF(Iterations[[#This Row],[Step]] =current_step, current_Grad_d,IF(Iterations[[#This Row],[Step]] &gt; current_step, "",Iterations[[#This Row],[Grad_d]]))</f>
        <v>-2.8744999425661666E-3</v>
      </c>
      <c r="R646" s="2">
        <f ca="1">IF(Iterations[[#This Row],[Step]] =current_step, current_Grad_e,IF(Iterations[[#This Row],[Step]] &gt; current_step, "",Iterations[[#This Row],[Grad_e]]))</f>
        <v>1.8007963020462467E-2</v>
      </c>
    </row>
    <row r="647" spans="6:18" x14ac:dyDescent="0.3">
      <c r="F647" s="2">
        <f t="shared" si="12"/>
        <v>630</v>
      </c>
      <c r="G647" s="2">
        <f ca="1">IF(Iterations[[#This Row],[Step]] =current_step, current_a,IF(Iterations[[#This Row],[Step]] &gt; current_step, "",Iterations[[#This Row],[a]]))</f>
        <v>-7.1256114375198703</v>
      </c>
      <c r="H647" s="2">
        <f ca="1">IF(Iterations[[#This Row],[Step]] =current_step, current_b,IF(Iterations[[#This Row],[Step]] &gt; current_step, "",Iterations[[#This Row],[b]]))</f>
        <v>0.37418356111866619</v>
      </c>
      <c r="I647" s="2">
        <f ca="1">IF(Iterations[[#This Row],[Step]] =current_step, current_c,IF(Iterations[[#This Row],[Step]] &gt; current_step, "",Iterations[[#This Row],[c]]))</f>
        <v>20.824736864738064</v>
      </c>
      <c r="J647" s="2">
        <f ca="1">IF(Iterations[[#This Row],[Step]] =current_step, current_d,IF(Iterations[[#This Row],[Step]] &gt; current_step, "",Iterations[[#This Row],[d]]))</f>
        <v>1.1810760089443364</v>
      </c>
      <c r="K647" s="2">
        <f ca="1">IF(Iterations[[#This Row],[Step]] =current_step, current_e,IF(Iterations[[#This Row],[Step]] &gt; current_step, "",Iterations[[#This Row],[e]]))</f>
        <v>11.45449455497244</v>
      </c>
      <c r="L647" s="2">
        <f ca="1">IF(Iterations[[#This Row],[Step]] =current_step, current_Total_Loss,IF(Iterations[[#This Row],[Step]] &gt; current_step, "",Iterations[[#This Row],[Total Loss]]))</f>
        <v>90.72</v>
      </c>
      <c r="M647" s="6" t="s">
        <v>27</v>
      </c>
      <c r="N647" s="2">
        <f ca="1">IF(Iterations[[#This Row],[Step]] =current_step, current_Grad_a,IF(Iterations[[#This Row],[Step]] &gt; current_step, "",Iterations[[#This Row],[Grad_a]]))</f>
        <v>1.7878824325678444E-2</v>
      </c>
      <c r="O647" s="2">
        <f ca="1">IF(Iterations[[#This Row],[Step]] =current_step, current_Grad_b,IF(Iterations[[#This Row],[Step]] &gt; current_step, "",Iterations[[#This Row],[Grad_b]]))</f>
        <v>3.1137737844864929E-3</v>
      </c>
      <c r="P647" s="2">
        <f ca="1">IF(Iterations[[#This Row],[Step]] =current_step, current_Grad_c,IF(Iterations[[#This Row],[Step]] &gt; current_step, "",Iterations[[#This Row],[Grad_c]]))</f>
        <v>-5.0152976885536799E-2</v>
      </c>
      <c r="Q647" s="2">
        <f ca="1">IF(Iterations[[#This Row],[Step]] =current_step, current_Grad_d,IF(Iterations[[#This Row],[Step]] &gt; current_step, "",Iterations[[#This Row],[Grad_d]]))</f>
        <v>-2.8551541519918899E-3</v>
      </c>
      <c r="R647" s="2">
        <f ca="1">IF(Iterations[[#This Row],[Step]] =current_step, current_Grad_e,IF(Iterations[[#This Row],[Step]] &gt; current_step, "",Iterations[[#This Row],[Grad_e]]))</f>
        <v>1.7886096931646951E-2</v>
      </c>
    </row>
    <row r="648" spans="6:18" x14ac:dyDescent="0.3">
      <c r="F648" s="2">
        <f t="shared" si="12"/>
        <v>631</v>
      </c>
      <c r="G648" s="2">
        <f ca="1">IF(Iterations[[#This Row],[Step]] =current_step, current_a,IF(Iterations[[#This Row],[Step]] &gt; current_step, "",Iterations[[#This Row],[a]]))</f>
        <v>-7.1268629552226681</v>
      </c>
      <c r="H648" s="2">
        <f ca="1">IF(Iterations[[#This Row],[Step]] =current_step, current_b,IF(Iterations[[#This Row],[Step]] &gt; current_step, "",Iterations[[#This Row],[b]]))</f>
        <v>0.37396559695375214</v>
      </c>
      <c r="I648" s="2">
        <f ca="1">IF(Iterations[[#This Row],[Step]] =current_step, current_c,IF(Iterations[[#This Row],[Step]] &gt; current_step, "",Iterations[[#This Row],[c]]))</f>
        <v>20.828247573120052</v>
      </c>
      <c r="J648" s="2">
        <f ca="1">IF(Iterations[[#This Row],[Step]] =current_step, current_d,IF(Iterations[[#This Row],[Step]] &gt; current_step, "",Iterations[[#This Row],[d]]))</f>
        <v>1.1812758697349759</v>
      </c>
      <c r="K648" s="2">
        <f ca="1">IF(Iterations[[#This Row],[Step]] =current_step, current_e,IF(Iterations[[#This Row],[Step]] &gt; current_step, "",Iterations[[#This Row],[e]]))</f>
        <v>11.453242528187225</v>
      </c>
      <c r="L648" s="2">
        <f ca="1">IF(Iterations[[#This Row],[Step]] =current_step, current_Total_Loss,IF(Iterations[[#This Row],[Step]] &gt; current_step, "",Iterations[[#This Row],[Total Loss]]))</f>
        <v>90.72</v>
      </c>
      <c r="M648" s="6" t="s">
        <v>27</v>
      </c>
      <c r="N648" s="2">
        <f ca="1">IF(Iterations[[#This Row],[Step]] =current_step, current_Grad_a,IF(Iterations[[#This Row],[Step]] &gt; current_step, "",Iterations[[#This Row],[Grad_a]]))</f>
        <v>1.7757837167804311E-2</v>
      </c>
      <c r="O648" s="2">
        <f ca="1">IF(Iterations[[#This Row],[Step]] =current_step, current_Grad_b,IF(Iterations[[#This Row],[Step]] &gt; current_step, "",Iterations[[#This Row],[Grad_b]]))</f>
        <v>3.09275183517869E-3</v>
      </c>
      <c r="P648" s="2">
        <f ca="1">IF(Iterations[[#This Row],[Step]] =current_step, current_Grad_c,IF(Iterations[[#This Row],[Step]] &gt; current_step, "",Iterations[[#This Row],[Grad_c]]))</f>
        <v>-4.9813578688230664E-2</v>
      </c>
      <c r="Q648" s="2">
        <f ca="1">IF(Iterations[[#This Row],[Step]] =current_step, current_Grad_d,IF(Iterations[[#This Row],[Step]] &gt; current_step, "",Iterations[[#This Row],[Grad_d]]))</f>
        <v>-2.8359373828938197E-3</v>
      </c>
      <c r="R648" s="2">
        <f ca="1">IF(Iterations[[#This Row],[Step]] =current_step, current_Grad_e,IF(Iterations[[#This Row],[Step]] &gt; current_step, "",Iterations[[#This Row],[Grad_e]]))</f>
        <v>1.7765055600396096E-2</v>
      </c>
    </row>
    <row r="649" spans="6:18" x14ac:dyDescent="0.3">
      <c r="F649" s="2">
        <f t="shared" si="12"/>
        <v>632</v>
      </c>
      <c r="G649" s="2">
        <f ca="1">IF(Iterations[[#This Row],[Step]] =current_step, current_a,IF(Iterations[[#This Row],[Step]] &gt; current_step, "",Iterations[[#This Row],[a]]))</f>
        <v>-7.1281060038244144</v>
      </c>
      <c r="H649" s="2">
        <f ca="1">IF(Iterations[[#This Row],[Step]] =current_step, current_b,IF(Iterations[[#This Row],[Step]] &gt; current_step, "",Iterations[[#This Row],[b]]))</f>
        <v>0.37374910432528963</v>
      </c>
      <c r="I649" s="2">
        <f ca="1">IF(Iterations[[#This Row],[Step]] =current_step, current_c,IF(Iterations[[#This Row],[Step]] &gt; current_step, "",Iterations[[#This Row],[c]]))</f>
        <v>20.831734523628228</v>
      </c>
      <c r="J649" s="2">
        <f ca="1">IF(Iterations[[#This Row],[Step]] =current_step, current_d,IF(Iterations[[#This Row],[Step]] &gt; current_step, "",Iterations[[#This Row],[d]]))</f>
        <v>1.1814743853517784</v>
      </c>
      <c r="K649" s="2">
        <f ca="1">IF(Iterations[[#This Row],[Step]] =current_step, current_e,IF(Iterations[[#This Row],[Step]] &gt; current_step, "",Iterations[[#This Row],[e]]))</f>
        <v>11.451998974295197</v>
      </c>
      <c r="L649" s="2">
        <f ca="1">IF(Iterations[[#This Row],[Step]] =current_step, current_Total_Loss,IF(Iterations[[#This Row],[Step]] &gt; current_step, "",Iterations[[#This Row],[Total Loss]]))</f>
        <v>90.71</v>
      </c>
      <c r="M649" s="6" t="s">
        <v>27</v>
      </c>
      <c r="N649" s="2">
        <f ca="1">IF(Iterations[[#This Row],[Step]] =current_step, current_Grad_a,IF(Iterations[[#This Row],[Step]] &gt; current_step, "",Iterations[[#This Row],[Grad_a]]))</f>
        <v>1.7637668730019929E-2</v>
      </c>
      <c r="O649" s="2">
        <f ca="1">IF(Iterations[[#This Row],[Step]] =current_step, current_Grad_b,IF(Iterations[[#This Row],[Step]] &gt; current_step, "",Iterations[[#This Row],[Grad_b]]))</f>
        <v>3.0718712653052568E-3</v>
      </c>
      <c r="P649" s="2">
        <f ca="1">IF(Iterations[[#This Row],[Step]] =current_step, current_Grad_c,IF(Iterations[[#This Row],[Step]] &gt; current_step, "",Iterations[[#This Row],[Grad_c]]))</f>
        <v>-4.9476477372324607E-2</v>
      </c>
      <c r="Q649" s="2">
        <f ca="1">IF(Iterations[[#This Row],[Step]] =current_step, current_Grad_d,IF(Iterations[[#This Row],[Step]] &gt; current_step, "",Iterations[[#This Row],[Grad_d]]))</f>
        <v>-2.8168487959302677E-3</v>
      </c>
      <c r="R649" s="2">
        <f ca="1">IF(Iterations[[#This Row],[Step]] =current_step, current_Grad_e,IF(Iterations[[#This Row],[Step]] &gt; current_step, "",Iterations[[#This Row],[Grad_e]]))</f>
        <v>1.7644833444144383E-2</v>
      </c>
    </row>
    <row r="650" spans="6:18" x14ac:dyDescent="0.3">
      <c r="F650" s="2">
        <f t="shared" si="12"/>
        <v>633</v>
      </c>
      <c r="G650" s="2">
        <f ca="1">IF(Iterations[[#This Row],[Step]] =current_step, current_a,IF(Iterations[[#This Row],[Step]] &gt; current_step, "",Iterations[[#This Row],[a]]))</f>
        <v>-7.1293406406355162</v>
      </c>
      <c r="H650" s="2">
        <f ca="1">IF(Iterations[[#This Row],[Step]] =current_step, current_b,IF(Iterations[[#This Row],[Step]] &gt; current_step, "",Iterations[[#This Row],[b]]))</f>
        <v>0.37353407333671829</v>
      </c>
      <c r="I650" s="2">
        <f ca="1">IF(Iterations[[#This Row],[Step]] =current_step, current_c,IF(Iterations[[#This Row],[Step]] &gt; current_step, "",Iterations[[#This Row],[c]]))</f>
        <v>20.83519787704429</v>
      </c>
      <c r="J650" s="2">
        <f ca="1">IF(Iterations[[#This Row],[Step]] =current_step, current_d,IF(Iterations[[#This Row],[Step]] &gt; current_step, "",Iterations[[#This Row],[d]]))</f>
        <v>1.1816715647674936</v>
      </c>
      <c r="K650" s="2">
        <f ca="1">IF(Iterations[[#This Row],[Step]] =current_step, current_e,IF(Iterations[[#This Row],[Step]] &gt; current_step, "",Iterations[[#This Row],[e]]))</f>
        <v>11.450763835954106</v>
      </c>
      <c r="L650" s="2">
        <f ca="1">IF(Iterations[[#This Row],[Step]] =current_step, current_Total_Loss,IF(Iterations[[#This Row],[Step]] &gt; current_step, "",Iterations[[#This Row],[Total Loss]]))</f>
        <v>90.71</v>
      </c>
      <c r="M650" s="6" t="s">
        <v>27</v>
      </c>
      <c r="N650" s="2">
        <f ca="1">IF(Iterations[[#This Row],[Step]] =current_step, current_Grad_a,IF(Iterations[[#This Row],[Step]] &gt; current_step, "",Iterations[[#This Row],[Grad_a]]))</f>
        <v>1.7518313472071161E-2</v>
      </c>
      <c r="O650" s="2">
        <f ca="1">IF(Iterations[[#This Row],[Step]] =current_step, current_Grad_b,IF(Iterations[[#This Row],[Step]] &gt; current_step, "",Iterations[[#This Row],[Grad_b]]))</f>
        <v>3.0511311338193969E-3</v>
      </c>
      <c r="P650" s="2">
        <f ca="1">IF(Iterations[[#This Row],[Step]] =current_step, current_Grad_c,IF(Iterations[[#This Row],[Step]] &gt; current_step, "",Iterations[[#This Row],[Grad_c]]))</f>
        <v>-4.9141657392162266E-2</v>
      </c>
      <c r="Q650" s="2">
        <f ca="1">IF(Iterations[[#This Row],[Step]] =current_step, current_Grad_d,IF(Iterations[[#This Row],[Step]] &gt; current_step, "",Iterations[[#This Row],[Grad_d]]))</f>
        <v>-2.7978875568114171E-3</v>
      </c>
      <c r="R650" s="2">
        <f ca="1">IF(Iterations[[#This Row],[Step]] =current_step, current_Grad_e,IF(Iterations[[#This Row],[Step]] &gt; current_step, "",Iterations[[#This Row],[Grad_e]]))</f>
        <v>1.7525424918079305E-2</v>
      </c>
    </row>
    <row r="651" spans="6:18" x14ac:dyDescent="0.3">
      <c r="F651" s="2">
        <f t="shared" si="12"/>
        <v>634</v>
      </c>
      <c r="G651" s="2">
        <f ca="1">IF(Iterations[[#This Row],[Step]] =current_step, current_a,IF(Iterations[[#This Row],[Step]] &gt; current_step, "",Iterations[[#This Row],[a]]))</f>
        <v>-7.1305669225785611</v>
      </c>
      <c r="H651" s="2">
        <f ca="1">IF(Iterations[[#This Row],[Step]] =current_step, current_b,IF(Iterations[[#This Row],[Step]] &gt; current_step, "",Iterations[[#This Row],[b]]))</f>
        <v>0.37332049415735091</v>
      </c>
      <c r="I651" s="2">
        <f ca="1">IF(Iterations[[#This Row],[Step]] =current_step, current_c,IF(Iterations[[#This Row],[Step]] &gt; current_step, "",Iterations[[#This Row],[c]]))</f>
        <v>20.838637793061743</v>
      </c>
      <c r="J651" s="2">
        <f ca="1">IF(Iterations[[#This Row],[Step]] =current_step, current_d,IF(Iterations[[#This Row],[Step]] &gt; current_step, "",Iterations[[#This Row],[d]]))</f>
        <v>1.1818674168964705</v>
      </c>
      <c r="K651" s="2">
        <f ca="1">IF(Iterations[[#This Row],[Step]] =current_step, current_e,IF(Iterations[[#This Row],[Step]] &gt; current_step, "",Iterations[[#This Row],[e]]))</f>
        <v>11.44953705620984</v>
      </c>
      <c r="L651" s="2">
        <f ca="1">IF(Iterations[[#This Row],[Step]] =current_step, current_Total_Loss,IF(Iterations[[#This Row],[Step]] &gt; current_step, "",Iterations[[#This Row],[Total Loss]]))</f>
        <v>90.71</v>
      </c>
      <c r="M651" s="6" t="s">
        <v>27</v>
      </c>
      <c r="N651" s="2">
        <f ca="1">IF(Iterations[[#This Row],[Step]] =current_step, current_Grad_a,IF(Iterations[[#This Row],[Step]] &gt; current_step, "",Iterations[[#This Row],[Grad_a]]))</f>
        <v>1.7399765891383961E-2</v>
      </c>
      <c r="O651" s="2">
        <f ca="1">IF(Iterations[[#This Row],[Step]] =current_step, current_Grad_b,IF(Iterations[[#This Row],[Step]] &gt; current_step, "",Iterations[[#This Row],[Grad_b]]))</f>
        <v>3.0305305056995569E-3</v>
      </c>
      <c r="P651" s="2">
        <f ca="1">IF(Iterations[[#This Row],[Step]] =current_step, current_Grad_c,IF(Iterations[[#This Row],[Step]] &gt; current_step, "",Iterations[[#This Row],[Grad_c]]))</f>
        <v>-4.8809103307254249E-2</v>
      </c>
      <c r="Q651" s="2">
        <f ca="1">IF(Iterations[[#This Row],[Step]] =current_step, current_Grad_d,IF(Iterations[[#This Row],[Step]] &gt; current_step, "",Iterations[[#This Row],[Grad_d]]))</f>
        <v>-2.7790528363232678E-3</v>
      </c>
      <c r="R651" s="2">
        <f ca="1">IF(Iterations[[#This Row],[Step]] =current_step, current_Grad_e,IF(Iterations[[#This Row],[Step]] &gt; current_step, "",Iterations[[#This Row],[Grad_e]]))</f>
        <v>1.7406824514971813E-2</v>
      </c>
    </row>
    <row r="652" spans="6:18" x14ac:dyDescent="0.3">
      <c r="F652" s="2">
        <f t="shared" si="12"/>
        <v>635</v>
      </c>
      <c r="G652" s="2">
        <f ca="1">IF(Iterations[[#This Row],[Step]] =current_step, current_a,IF(Iterations[[#This Row],[Step]] &gt; current_step, "",Iterations[[#This Row],[a]]))</f>
        <v>-7.1317849061909575</v>
      </c>
      <c r="H652" s="2">
        <f ca="1">IF(Iterations[[#This Row],[Step]] =current_step, current_b,IF(Iterations[[#This Row],[Step]] &gt; current_step, "",Iterations[[#This Row],[b]]))</f>
        <v>0.37310835702195194</v>
      </c>
      <c r="I652" s="2">
        <f ca="1">IF(Iterations[[#This Row],[Step]] =current_step, current_c,IF(Iterations[[#This Row],[Step]] &gt; current_step, "",Iterations[[#This Row],[c]]))</f>
        <v>20.842054430293249</v>
      </c>
      <c r="J652" s="2">
        <f ca="1">IF(Iterations[[#This Row],[Step]] =current_step, current_d,IF(Iterations[[#This Row],[Step]] &gt; current_step, "",Iterations[[#This Row],[d]]))</f>
        <v>1.1820619505950132</v>
      </c>
      <c r="K652" s="2">
        <f ca="1">IF(Iterations[[#This Row],[Step]] =current_step, current_e,IF(Iterations[[#This Row],[Step]] &gt; current_step, "",Iterations[[#This Row],[e]]))</f>
        <v>11.448318578493792</v>
      </c>
      <c r="L652" s="2">
        <f ca="1">IF(Iterations[[#This Row],[Step]] =current_step, current_Total_Loss,IF(Iterations[[#This Row],[Step]] &gt; current_step, "",Iterations[[#This Row],[Total Loss]]))</f>
        <v>90.7</v>
      </c>
      <c r="M652" s="6" t="s">
        <v>27</v>
      </c>
      <c r="N652" s="2">
        <f ca="1">IF(Iterations[[#This Row],[Step]] =current_step, current_Grad_a,IF(Iterations[[#This Row],[Step]] &gt; current_step, "",Iterations[[#This Row],[Grad_a]]))</f>
        <v>1.7282020522484249E-2</v>
      </c>
      <c r="O652" s="2">
        <f ca="1">IF(Iterations[[#This Row],[Step]] =current_step, current_Grad_b,IF(Iterations[[#This Row],[Step]] &gt; current_step, "",Iterations[[#This Row],[Grad_b]]))</f>
        <v>3.0100684520402649E-3</v>
      </c>
      <c r="P652" s="2">
        <f ca="1">IF(Iterations[[#This Row],[Step]] =current_step, current_Grad_c,IF(Iterations[[#This Row],[Step]] &gt; current_step, "",Iterations[[#This Row],[Grad_c]]))</f>
        <v>-4.8478799781693532E-2</v>
      </c>
      <c r="Q652" s="2">
        <f ca="1">IF(Iterations[[#This Row],[Step]] =current_step, current_Grad_d,IF(Iterations[[#This Row],[Step]] &gt; current_step, "",Iterations[[#This Row],[Grad_d]]))</f>
        <v>-2.7603438102639841E-3</v>
      </c>
      <c r="R652" s="2">
        <f ca="1">IF(Iterations[[#This Row],[Step]] =current_step, current_Grad_e,IF(Iterations[[#This Row],[Step]] &gt; current_step, "",Iterations[[#This Row],[Grad_e]]))</f>
        <v>1.7289026764858564E-2</v>
      </c>
    </row>
    <row r="653" spans="6:18" x14ac:dyDescent="0.3">
      <c r="F653" s="2">
        <f t="shared" si="12"/>
        <v>636</v>
      </c>
      <c r="G653" s="2">
        <f ca="1">IF(Iterations[[#This Row],[Step]] =current_step, current_a,IF(Iterations[[#This Row],[Step]] &gt; current_step, "",Iterations[[#This Row],[a]]))</f>
        <v>-7.1329946476275312</v>
      </c>
      <c r="H653" s="2">
        <f ca="1">IF(Iterations[[#This Row],[Step]] =current_step, current_b,IF(Iterations[[#This Row],[Step]] &gt; current_step, "",Iterations[[#This Row],[b]]))</f>
        <v>0.37289765223030913</v>
      </c>
      <c r="I653" s="2">
        <f ca="1">IF(Iterations[[#This Row],[Step]] =current_step, current_c,IF(Iterations[[#This Row],[Step]] &gt; current_step, "",Iterations[[#This Row],[c]]))</f>
        <v>20.845447946277968</v>
      </c>
      <c r="J653" s="2">
        <f ca="1">IF(Iterations[[#This Row],[Step]] =current_step, current_d,IF(Iterations[[#This Row],[Step]] &gt; current_step, "",Iterations[[#This Row],[d]]))</f>
        <v>1.1822551746617316</v>
      </c>
      <c r="K653" s="2">
        <f ca="1">IF(Iterations[[#This Row],[Step]] =current_step, current_e,IF(Iterations[[#This Row],[Step]] &gt; current_step, "",Iterations[[#This Row],[e]]))</f>
        <v>11.447108346620253</v>
      </c>
      <c r="L653" s="2">
        <f ca="1">IF(Iterations[[#This Row],[Step]] =current_step, current_Total_Loss,IF(Iterations[[#This Row],[Step]] &gt; current_step, "",Iterations[[#This Row],[Total Loss]]))</f>
        <v>90.7</v>
      </c>
      <c r="M653" s="6" t="s">
        <v>27</v>
      </c>
      <c r="N653" s="2">
        <f ca="1">IF(Iterations[[#This Row],[Step]] =current_step, current_Grad_a,IF(Iterations[[#This Row],[Step]] &gt; current_step, "",Iterations[[#This Row],[Grad_a]]))</f>
        <v>1.7165071936965322E-2</v>
      </c>
      <c r="O653" s="2">
        <f ca="1">IF(Iterations[[#This Row],[Step]] =current_step, current_Grad_b,IF(Iterations[[#This Row],[Step]] &gt; current_step, "",Iterations[[#This Row],[Grad_b]]))</f>
        <v>2.9897440499125042E-3</v>
      </c>
      <c r="P653" s="2">
        <f ca="1">IF(Iterations[[#This Row],[Step]] =current_step, current_Grad_c,IF(Iterations[[#This Row],[Step]] &gt; current_step, "",Iterations[[#This Row],[Grad_c]]))</f>
        <v>-4.8150731583361611E-2</v>
      </c>
      <c r="Q653" s="2">
        <f ca="1">IF(Iterations[[#This Row],[Step]] =current_step, current_Grad_d,IF(Iterations[[#This Row],[Step]] &gt; current_step, "",Iterations[[#This Row],[Grad_d]]))</f>
        <v>-2.7417596594521945E-3</v>
      </c>
      <c r="R653" s="2">
        <f ca="1">IF(Iterations[[#This Row],[Step]] =current_step, current_Grad_e,IF(Iterations[[#This Row],[Step]] &gt; current_step, "",Iterations[[#This Row],[Grad_e]]))</f>
        <v>1.717202623483121E-2</v>
      </c>
    </row>
    <row r="654" spans="6:18" x14ac:dyDescent="0.3">
      <c r="F654" s="2">
        <f t="shared" si="12"/>
        <v>637</v>
      </c>
      <c r="G654" s="2">
        <f ca="1">IF(Iterations[[#This Row],[Step]] =current_step, current_a,IF(Iterations[[#This Row],[Step]] &gt; current_step, "",Iterations[[#This Row],[a]]))</f>
        <v>-7.1341962026631185</v>
      </c>
      <c r="H654" s="2">
        <f ca="1">IF(Iterations[[#This Row],[Step]] =current_step, current_b,IF(Iterations[[#This Row],[Step]] &gt; current_step, "",Iterations[[#This Row],[b]]))</f>
        <v>0.37268837014681527</v>
      </c>
      <c r="I654" s="2">
        <f ca="1">IF(Iterations[[#This Row],[Step]] =current_step, current_c,IF(Iterations[[#This Row],[Step]] &gt; current_step, "",Iterations[[#This Row],[c]]))</f>
        <v>20.848818497488804</v>
      </c>
      <c r="J654" s="2">
        <f ca="1">IF(Iterations[[#This Row],[Step]] =current_step, current_d,IF(Iterations[[#This Row],[Step]] &gt; current_step, "",Iterations[[#This Row],[d]]))</f>
        <v>1.1824470978378931</v>
      </c>
      <c r="K654" s="2">
        <f ca="1">IF(Iterations[[#This Row],[Step]] =current_step, current_e,IF(Iterations[[#This Row],[Step]] &gt; current_step, "",Iterations[[#This Row],[e]]))</f>
        <v>11.445906304783815</v>
      </c>
      <c r="L654" s="2">
        <f ca="1">IF(Iterations[[#This Row],[Step]] =current_step, current_Total_Loss,IF(Iterations[[#This Row],[Step]] &gt; current_step, "",Iterations[[#This Row],[Total Loss]]))</f>
        <v>90.7</v>
      </c>
      <c r="M654" s="6" t="s">
        <v>27</v>
      </c>
      <c r="N654" s="2">
        <f ca="1">IF(Iterations[[#This Row],[Step]] =current_step, current_Grad_a,IF(Iterations[[#This Row],[Step]] &gt; current_step, "",Iterations[[#This Row],[Grad_a]]))</f>
        <v>1.7048914743140839E-2</v>
      </c>
      <c r="O654" s="2">
        <f ca="1">IF(Iterations[[#This Row],[Step]] =current_step, current_Grad_b,IF(Iterations[[#This Row],[Step]] &gt; current_step, "",Iterations[[#This Row],[Grad_b]]))</f>
        <v>2.9695563823776755E-3</v>
      </c>
      <c r="P654" s="2">
        <f ca="1">IF(Iterations[[#This Row],[Step]] =current_step, current_Grad_c,IF(Iterations[[#This Row],[Step]] &gt; current_step, "",Iterations[[#This Row],[Grad_c]]))</f>
        <v>-4.7824883583261743E-2</v>
      </c>
      <c r="Q654" s="2">
        <f ca="1">IF(Iterations[[#This Row],[Step]] =current_step, current_Grad_d,IF(Iterations[[#This Row],[Step]] &gt; current_step, "",Iterations[[#This Row],[Grad_d]]))</f>
        <v>-2.7232995696867606E-3</v>
      </c>
      <c r="R654" s="2">
        <f ca="1">IF(Iterations[[#This Row],[Step]] =current_step, current_Grad_e,IF(Iterations[[#This Row],[Step]] &gt; current_step, "",Iterations[[#This Row],[Grad_e]]))</f>
        <v>1.7055817528768478E-2</v>
      </c>
    </row>
    <row r="655" spans="6:18" x14ac:dyDescent="0.3">
      <c r="F655" s="2">
        <f t="shared" si="12"/>
        <v>638</v>
      </c>
      <c r="G655" s="2">
        <f ca="1">IF(Iterations[[#This Row],[Step]] =current_step, current_a,IF(Iterations[[#This Row],[Step]] &gt; current_step, "",Iterations[[#This Row],[a]]))</f>
        <v>-7.1353896266951384</v>
      </c>
      <c r="H655" s="2">
        <f ca="1">IF(Iterations[[#This Row],[Step]] =current_step, current_b,IF(Iterations[[#This Row],[Step]] &gt; current_step, "",Iterations[[#This Row],[b]]))</f>
        <v>0.37248050120004883</v>
      </c>
      <c r="I655" s="2">
        <f ca="1">IF(Iterations[[#This Row],[Step]] =current_step, current_c,IF(Iterations[[#This Row],[Step]] &gt; current_step, "",Iterations[[#This Row],[c]]))</f>
        <v>20.852166239339631</v>
      </c>
      <c r="J655" s="2">
        <f ca="1">IF(Iterations[[#This Row],[Step]] =current_step, current_d,IF(Iterations[[#This Row],[Step]] &gt; current_step, "",Iterations[[#This Row],[d]]))</f>
        <v>1.1826377288077712</v>
      </c>
      <c r="K655" s="2">
        <f ca="1">IF(Iterations[[#This Row],[Step]] =current_step, current_e,IF(Iterations[[#This Row],[Step]] &gt; current_step, "",Iterations[[#This Row],[e]]))</f>
        <v>11.444712397556801</v>
      </c>
      <c r="L655" s="2">
        <f ca="1">IF(Iterations[[#This Row],[Step]] =current_step, current_Total_Loss,IF(Iterations[[#This Row],[Step]] &gt; current_step, "",Iterations[[#This Row],[Total Loss]]))</f>
        <v>90.69</v>
      </c>
      <c r="M655" s="6" t="s">
        <v>27</v>
      </c>
      <c r="N655" s="2">
        <f ca="1">IF(Iterations[[#This Row],[Step]] =current_step, current_Grad_a,IF(Iterations[[#This Row],[Step]] &gt; current_step, "",Iterations[[#This Row],[Grad_a]]))</f>
        <v>1.6933543585682553E-2</v>
      </c>
      <c r="O655" s="2">
        <f ca="1">IF(Iterations[[#This Row],[Step]] =current_step, current_Grad_b,IF(Iterations[[#This Row],[Step]] &gt; current_step, "",Iterations[[#This Row],[Grad_b]]))</f>
        <v>2.9495045384570792E-3</v>
      </c>
      <c r="P655" s="2">
        <f ca="1">IF(Iterations[[#This Row],[Step]] =current_step, current_Grad_c,IF(Iterations[[#This Row],[Step]] &gt; current_step, "",Iterations[[#This Row],[Grad_c]]))</f>
        <v>-4.7501240754871991E-2</v>
      </c>
      <c r="Q655" s="2">
        <f ca="1">IF(Iterations[[#This Row],[Step]] =current_step, current_Grad_d,IF(Iterations[[#This Row],[Step]] &gt; current_step, "",Iterations[[#This Row],[Grad_d]]))</f>
        <v>-2.7049627317234063E-3</v>
      </c>
      <c r="R655" s="2">
        <f ca="1">IF(Iterations[[#This Row],[Step]] =current_step, current_Grad_e,IF(Iterations[[#This Row],[Step]] &gt; current_step, "",Iterations[[#This Row],[Grad_e]]))</f>
        <v>1.6940395287057559E-2</v>
      </c>
    </row>
    <row r="656" spans="6:18" x14ac:dyDescent="0.3">
      <c r="F656" s="2">
        <f t="shared" si="12"/>
        <v>639</v>
      </c>
      <c r="G656" s="2">
        <f ca="1">IF(Iterations[[#This Row],[Step]] =current_step, current_a,IF(Iterations[[#This Row],[Step]] &gt; current_step, "",Iterations[[#This Row],[a]]))</f>
        <v>-7.1365749747461358</v>
      </c>
      <c r="H656" s="2">
        <f ca="1">IF(Iterations[[#This Row],[Step]] =current_step, current_b,IF(Iterations[[#This Row],[Step]] &gt; current_step, "",Iterations[[#This Row],[b]]))</f>
        <v>0.37227403588235686</v>
      </c>
      <c r="I656" s="2">
        <f ca="1">IF(Iterations[[#This Row],[Step]] =current_step, current_c,IF(Iterations[[#This Row],[Step]] &gt; current_step, "",Iterations[[#This Row],[c]]))</f>
        <v>20.855491326192471</v>
      </c>
      <c r="J656" s="2">
        <f ca="1">IF(Iterations[[#This Row],[Step]] =current_step, current_d,IF(Iterations[[#This Row],[Step]] &gt; current_step, "",Iterations[[#This Row],[d]]))</f>
        <v>1.1828270761989919</v>
      </c>
      <c r="K656" s="2">
        <f ca="1">IF(Iterations[[#This Row],[Step]] =current_step, current_e,IF(Iterations[[#This Row],[Step]] &gt; current_step, "",Iterations[[#This Row],[e]]))</f>
        <v>11.443526569886707</v>
      </c>
      <c r="L656" s="2">
        <f ca="1">IF(Iterations[[#This Row],[Step]] =current_step, current_Total_Loss,IF(Iterations[[#This Row],[Step]] &gt; current_step, "",Iterations[[#This Row],[Total Loss]]))</f>
        <v>90.69</v>
      </c>
      <c r="M656" s="6" t="s">
        <v>27</v>
      </c>
      <c r="N656" s="2">
        <f ca="1">IF(Iterations[[#This Row],[Step]] =current_step, current_Grad_a,IF(Iterations[[#This Row],[Step]] &gt; current_step, "",Iterations[[#This Row],[Grad_a]]))</f>
        <v>1.6818953145792417E-2</v>
      </c>
      <c r="O656" s="2">
        <f ca="1">IF(Iterations[[#This Row],[Step]] =current_step, current_Grad_b,IF(Iterations[[#This Row],[Step]] &gt; current_step, "",Iterations[[#This Row],[Grad_b]]))</f>
        <v>2.9295876130406295E-3</v>
      </c>
      <c r="P656" s="2">
        <f ca="1">IF(Iterations[[#This Row],[Step]] =current_step, current_Grad_c,IF(Iterations[[#This Row],[Step]] &gt; current_step, "",Iterations[[#This Row],[Grad_c]]))</f>
        <v>-4.7179788173272015E-2</v>
      </c>
      <c r="Q656" s="2">
        <f ca="1">IF(Iterations[[#This Row],[Step]] =current_step, current_Grad_d,IF(Iterations[[#This Row],[Step]] &gt; current_step, "",Iterations[[#This Row],[Grad_d]]))</f>
        <v>-2.6867483412657731E-3</v>
      </c>
      <c r="R656" s="2">
        <f ca="1">IF(Iterations[[#This Row],[Step]] =current_step, current_Grad_e,IF(Iterations[[#This Row],[Step]] &gt; current_step, "",Iterations[[#This Row],[Grad_e]]))</f>
        <v>1.6825754186441461E-2</v>
      </c>
    </row>
    <row r="657" spans="6:18" x14ac:dyDescent="0.3">
      <c r="F657" s="2">
        <f t="shared" si="12"/>
        <v>640</v>
      </c>
      <c r="G657" s="2">
        <f ca="1">IF(Iterations[[#This Row],[Step]] =current_step, current_a,IF(Iterations[[#This Row],[Step]] &gt; current_step, "",Iterations[[#This Row],[a]]))</f>
        <v>-7.1377523014663415</v>
      </c>
      <c r="H657" s="2">
        <f ca="1">IF(Iterations[[#This Row],[Step]] =current_step, current_b,IF(Iterations[[#This Row],[Step]] &gt; current_step, "",Iterations[[#This Row],[b]]))</f>
        <v>0.37206896474944401</v>
      </c>
      <c r="I657" s="2">
        <f ca="1">IF(Iterations[[#This Row],[Step]] =current_step, current_c,IF(Iterations[[#This Row],[Step]] &gt; current_step, "",Iterations[[#This Row],[c]]))</f>
        <v>20.8587939113646</v>
      </c>
      <c r="J657" s="2">
        <f ca="1">IF(Iterations[[#This Row],[Step]] =current_step, current_d,IF(Iterations[[#This Row],[Step]] &gt; current_step, "",Iterations[[#This Row],[d]]))</f>
        <v>1.1830151485828804</v>
      </c>
      <c r="K657" s="2">
        <f ca="1">IF(Iterations[[#This Row],[Step]] =current_step, current_e,IF(Iterations[[#This Row],[Step]] &gt; current_step, "",Iterations[[#This Row],[e]]))</f>
        <v>11.442348767093657</v>
      </c>
      <c r="L657" s="2">
        <f ca="1">IF(Iterations[[#This Row],[Step]] =current_step, current_Total_Loss,IF(Iterations[[#This Row],[Step]] &gt; current_step, "",Iterations[[#This Row],[Total Loss]]))</f>
        <v>90.68</v>
      </c>
      <c r="M657" s="6" t="s">
        <v>27</v>
      </c>
      <c r="N657" s="2">
        <f ca="1">IF(Iterations[[#This Row],[Step]] =current_step, current_Grad_a,IF(Iterations[[#This Row],[Step]] &gt; current_step, "",Iterations[[#This Row],[Grad_a]]))</f>
        <v>1.6705138140298503E-2</v>
      </c>
      <c r="O657" s="2">
        <f ca="1">IF(Iterations[[#This Row],[Step]] =current_step, current_Grad_b,IF(Iterations[[#This Row],[Step]] &gt; current_step, "",Iterations[[#This Row],[Grad_b]]))</f>
        <v>2.9098047069517166E-3</v>
      </c>
      <c r="P657" s="2">
        <f ca="1">IF(Iterations[[#This Row],[Step]] =current_step, current_Grad_c,IF(Iterations[[#This Row],[Step]] &gt; current_step, "",Iterations[[#This Row],[Grad_c]]))</f>
        <v>-4.6860511014730641E-2</v>
      </c>
      <c r="Q657" s="2">
        <f ca="1">IF(Iterations[[#This Row],[Step]] =current_step, current_Grad_d,IF(Iterations[[#This Row],[Step]] &gt; current_step, "",Iterations[[#This Row],[Grad_d]]))</f>
        <v>-2.6686555989124147E-3</v>
      </c>
      <c r="R657" s="2">
        <f ca="1">IF(Iterations[[#This Row],[Step]] =current_step, current_Grad_e,IF(Iterations[[#This Row],[Step]] &gt; current_step, "",Iterations[[#This Row],[Grad_e]]))</f>
        <v>1.6711888939634219E-2</v>
      </c>
    </row>
    <row r="658" spans="6:18" x14ac:dyDescent="0.3">
      <c r="F658" s="2">
        <f t="shared" si="12"/>
        <v>641</v>
      </c>
      <c r="G658" s="2">
        <f ca="1">IF(Iterations[[#This Row],[Step]] =current_step, current_a,IF(Iterations[[#This Row],[Step]] &gt; current_step, "",Iterations[[#This Row],[a]]))</f>
        <v>-7.1389216611361626</v>
      </c>
      <c r="H658" s="2">
        <f ca="1">IF(Iterations[[#This Row],[Step]] =current_step, current_b,IF(Iterations[[#This Row],[Step]] &gt; current_step, "",Iterations[[#This Row],[b]]))</f>
        <v>0.37186527841995737</v>
      </c>
      <c r="I658" s="2">
        <f ca="1">IF(Iterations[[#This Row],[Step]] =current_step, current_c,IF(Iterations[[#This Row],[Step]] &gt; current_step, "",Iterations[[#This Row],[c]]))</f>
        <v>20.86207414713563</v>
      </c>
      <c r="J658" s="2">
        <f ca="1">IF(Iterations[[#This Row],[Step]] =current_step, current_d,IF(Iterations[[#This Row],[Step]] &gt; current_step, "",Iterations[[#This Row],[d]]))</f>
        <v>1.1832019544748043</v>
      </c>
      <c r="K658" s="2">
        <f ca="1">IF(Iterations[[#This Row],[Step]] =current_step, current_e,IF(Iterations[[#This Row],[Step]] &gt; current_step, "",Iterations[[#This Row],[e]]))</f>
        <v>11.441178934867883</v>
      </c>
      <c r="L658" s="2">
        <f ca="1">IF(Iterations[[#This Row],[Step]] =current_step, current_Total_Loss,IF(Iterations[[#This Row],[Step]] &gt; current_step, "",Iterations[[#This Row],[Total Loss]]))</f>
        <v>90.68</v>
      </c>
      <c r="M658" s="6" t="s">
        <v>27</v>
      </c>
      <c r="N658" s="2">
        <f ca="1">IF(Iterations[[#This Row],[Step]] =current_step, current_Grad_a,IF(Iterations[[#This Row],[Step]] &gt; current_step, "",Iterations[[#This Row],[Grad_a]]))</f>
        <v>1.6592093322000907E-2</v>
      </c>
      <c r="O658" s="2">
        <f ca="1">IF(Iterations[[#This Row],[Step]] =current_step, current_Grad_b,IF(Iterations[[#This Row],[Step]] &gt; current_step, "",Iterations[[#This Row],[Grad_b]]))</f>
        <v>2.8901549268068503E-3</v>
      </c>
      <c r="P658" s="2">
        <f ca="1">IF(Iterations[[#This Row],[Step]] =current_step, current_Grad_c,IF(Iterations[[#This Row],[Step]] &gt; current_step, "",Iterations[[#This Row],[Grad_c]]))</f>
        <v>-4.6543394555777495E-2</v>
      </c>
      <c r="Q658" s="2">
        <f ca="1">IF(Iterations[[#This Row],[Step]] =current_step, current_Grad_d,IF(Iterations[[#This Row],[Step]] &gt; current_step, "",Iterations[[#This Row],[Grad_d]]))</f>
        <v>-2.6506837101651173E-3</v>
      </c>
      <c r="R658" s="2">
        <f ca="1">IF(Iterations[[#This Row],[Step]] =current_step, current_Grad_e,IF(Iterations[[#This Row],[Step]] &gt; current_step, "",Iterations[[#This Row],[Grad_e]]))</f>
        <v>1.6598794295193089E-2</v>
      </c>
    </row>
    <row r="659" spans="6:18" x14ac:dyDescent="0.3">
      <c r="F659" s="2">
        <f t="shared" si="12"/>
        <v>642</v>
      </c>
      <c r="G659" s="2">
        <f ca="1">IF(Iterations[[#This Row],[Step]] =current_step, current_a,IF(Iterations[[#This Row],[Step]] &gt; current_step, "",Iterations[[#This Row],[a]]))</f>
        <v>-7.140083107668703</v>
      </c>
      <c r="H659" s="2">
        <f ca="1">IF(Iterations[[#This Row],[Step]] =current_step, current_b,IF(Iterations[[#This Row],[Step]] &gt; current_step, "",Iterations[[#This Row],[b]]))</f>
        <v>0.37166296757508088</v>
      </c>
      <c r="I659" s="2">
        <f ca="1">IF(Iterations[[#This Row],[Step]] =current_step, current_c,IF(Iterations[[#This Row],[Step]] &gt; current_step, "",Iterations[[#This Row],[c]]))</f>
        <v>20.865332184754536</v>
      </c>
      <c r="J659" s="2">
        <f ca="1">IF(Iterations[[#This Row],[Step]] =current_step, current_d,IF(Iterations[[#This Row],[Step]] &gt; current_step, "",Iterations[[#This Row],[d]]))</f>
        <v>1.1833875023345157</v>
      </c>
      <c r="K659" s="2">
        <f ca="1">IF(Iterations[[#This Row],[Step]] =current_step, current_e,IF(Iterations[[#This Row],[Step]] &gt; current_step, "",Iterations[[#This Row],[e]]))</f>
        <v>11.44001701926722</v>
      </c>
      <c r="L659" s="2">
        <f ca="1">IF(Iterations[[#This Row],[Step]] =current_step, current_Total_Loss,IF(Iterations[[#This Row],[Step]] &gt; current_step, "",Iterations[[#This Row],[Total Loss]]))</f>
        <v>90.68</v>
      </c>
      <c r="M659" s="6" t="s">
        <v>27</v>
      </c>
      <c r="N659" s="2">
        <f ca="1">IF(Iterations[[#This Row],[Step]] =current_step, current_Grad_a,IF(Iterations[[#This Row],[Step]] &gt; current_step, "",Iterations[[#This Row],[Grad_a]]))</f>
        <v>1.6479813479248834E-2</v>
      </c>
      <c r="O659" s="2">
        <f ca="1">IF(Iterations[[#This Row],[Step]] =current_step, current_Grad_b,IF(Iterations[[#This Row],[Step]] &gt; current_step, "",Iterations[[#This Row],[Grad_b]]))</f>
        <v>2.8706373850358891E-3</v>
      </c>
      <c r="P659" s="2">
        <f ca="1">IF(Iterations[[#This Row],[Step]] =current_step, current_Grad_c,IF(Iterations[[#This Row],[Step]] &gt; current_step, "",Iterations[[#This Row],[Grad_c]]))</f>
        <v>-4.6228424172594797E-2</v>
      </c>
      <c r="Q659" s="2">
        <f ca="1">IF(Iterations[[#This Row],[Step]] =current_step, current_Grad_d,IF(Iterations[[#This Row],[Step]] &gt; current_step, "",Iterations[[#This Row],[Grad_d]]))</f>
        <v>-2.6328318853872288E-3</v>
      </c>
      <c r="R659" s="2">
        <f ca="1">IF(Iterations[[#This Row],[Step]] =current_step, current_Grad_e,IF(Iterations[[#This Row],[Step]] &gt; current_step, "",Iterations[[#This Row],[Grad_e]]))</f>
        <v>1.648646503724353E-2</v>
      </c>
    </row>
    <row r="660" spans="6:18" x14ac:dyDescent="0.3">
      <c r="F660" s="2">
        <f t="shared" si="12"/>
        <v>643</v>
      </c>
      <c r="G660" s="2">
        <f ca="1">IF(Iterations[[#This Row],[Step]] =current_step, current_a,IF(Iterations[[#This Row],[Step]] &gt; current_step, "",Iterations[[#This Row],[a]]))</f>
        <v>-7.1412366946122505</v>
      </c>
      <c r="H660" s="2">
        <f ca="1">IF(Iterations[[#This Row],[Step]] =current_step, current_b,IF(Iterations[[#This Row],[Step]] &gt; current_step, "",Iterations[[#This Row],[b]]))</f>
        <v>0.37146202295812836</v>
      </c>
      <c r="I660" s="2">
        <f ca="1">IF(Iterations[[#This Row],[Step]] =current_step, current_c,IF(Iterations[[#This Row],[Step]] &gt; current_step, "",Iterations[[#This Row],[c]]))</f>
        <v>20.868568174446619</v>
      </c>
      <c r="J660" s="2">
        <f ca="1">IF(Iterations[[#This Row],[Step]] =current_step, current_d,IF(Iterations[[#This Row],[Step]] &gt; current_step, "",Iterations[[#This Row],[d]]))</f>
        <v>1.1835718005664928</v>
      </c>
      <c r="K660" s="2">
        <f ca="1">IF(Iterations[[#This Row],[Step]] =current_step, current_e,IF(Iterations[[#This Row],[Step]] &gt; current_step, "",Iterations[[#This Row],[e]]))</f>
        <v>11.438862966714613</v>
      </c>
      <c r="L660" s="2">
        <f ca="1">IF(Iterations[[#This Row],[Step]] =current_step, current_Total_Loss,IF(Iterations[[#This Row],[Step]] &gt; current_step, "",Iterations[[#This Row],[Total Loss]]))</f>
        <v>90.67</v>
      </c>
      <c r="M660" s="6" t="s">
        <v>27</v>
      </c>
      <c r="N660" s="2">
        <f ca="1">IF(Iterations[[#This Row],[Step]] =current_step, current_Grad_a,IF(Iterations[[#This Row],[Step]] &gt; current_step, "",Iterations[[#This Row],[Grad_a]]))</f>
        <v>1.6368293435405395E-2</v>
      </c>
      <c r="O660" s="2">
        <f ca="1">IF(Iterations[[#This Row],[Step]] =current_step, current_Grad_b,IF(Iterations[[#This Row],[Step]] &gt; current_step, "",Iterations[[#This Row],[Grad_b]]))</f>
        <v>2.8512511998660794E-3</v>
      </c>
      <c r="P660" s="2">
        <f ca="1">IF(Iterations[[#This Row],[Step]] =current_step, current_Grad_c,IF(Iterations[[#This Row],[Step]] &gt; current_step, "",Iterations[[#This Row],[Grad_c]]))</f>
        <v>-4.5915585340469973E-2</v>
      </c>
      <c r="Q660" s="2">
        <f ca="1">IF(Iterations[[#This Row],[Step]] =current_step, current_Grad_d,IF(Iterations[[#This Row],[Step]] &gt; current_step, "",Iterations[[#This Row],[Grad_d]]))</f>
        <v>-2.6150993397743849E-3</v>
      </c>
      <c r="R660" s="2">
        <f ca="1">IF(Iterations[[#This Row],[Step]] =current_step, current_Grad_e,IF(Iterations[[#This Row],[Step]] &gt; current_step, "",Iterations[[#This Row],[Grad_e]]))</f>
        <v>1.6374895985177593E-2</v>
      </c>
    </row>
    <row r="661" spans="6:18" x14ac:dyDescent="0.3">
      <c r="F661" s="2">
        <f t="shared" si="12"/>
        <v>644</v>
      </c>
      <c r="G661" s="2">
        <f ca="1">IF(Iterations[[#This Row],[Step]] =current_step, current_a,IF(Iterations[[#This Row],[Step]] &gt; current_step, "",Iterations[[#This Row],[a]]))</f>
        <v>-7.1423824751527292</v>
      </c>
      <c r="H661" s="2">
        <f ca="1">IF(Iterations[[#This Row],[Step]] =current_step, current_b,IF(Iterations[[#This Row],[Step]] &gt; current_step, "",Iterations[[#This Row],[b]]))</f>
        <v>0.37126243537413772</v>
      </c>
      <c r="I661" s="2">
        <f ca="1">IF(Iterations[[#This Row],[Step]] =current_step, current_c,IF(Iterations[[#This Row],[Step]] &gt; current_step, "",Iterations[[#This Row],[c]]))</f>
        <v>20.871782265420453</v>
      </c>
      <c r="J661" s="2">
        <f ca="1">IF(Iterations[[#This Row],[Step]] =current_step, current_d,IF(Iterations[[#This Row],[Step]] &gt; current_step, "",Iterations[[#This Row],[d]]))</f>
        <v>1.183754857520277</v>
      </c>
      <c r="K661" s="2">
        <f ca="1">IF(Iterations[[#This Row],[Step]] =current_step, current_e,IF(Iterations[[#This Row],[Step]] &gt; current_step, "",Iterations[[#This Row],[e]]))</f>
        <v>11.437716723995651</v>
      </c>
      <c r="L661" s="2">
        <f ca="1">IF(Iterations[[#This Row],[Step]] =current_step, current_Total_Loss,IF(Iterations[[#This Row],[Step]] &gt; current_step, "",Iterations[[#This Row],[Total Loss]]))</f>
        <v>90.67</v>
      </c>
      <c r="M661" s="6" t="s">
        <v>27</v>
      </c>
      <c r="N661" s="2">
        <f ca="1">IF(Iterations[[#This Row],[Step]] =current_step, current_Grad_a,IF(Iterations[[#This Row],[Step]] &gt; current_step, "",Iterations[[#This Row],[Grad_a]]))</f>
        <v>1.6257528049163274E-2</v>
      </c>
      <c r="O661" s="2">
        <f ca="1">IF(Iterations[[#This Row],[Step]] =current_step, current_Grad_b,IF(Iterations[[#This Row],[Step]] &gt; current_step, "",Iterations[[#This Row],[Grad_b]]))</f>
        <v>2.8319954952145863E-3</v>
      </c>
      <c r="P661" s="2">
        <f ca="1">IF(Iterations[[#This Row],[Step]] =current_step, current_Grad_c,IF(Iterations[[#This Row],[Step]] &gt; current_step, "",Iterations[[#This Row],[Grad_c]]))</f>
        <v>-4.5604863632889209E-2</v>
      </c>
      <c r="Q661" s="2">
        <f ca="1">IF(Iterations[[#This Row],[Step]] =current_step, current_Grad_d,IF(Iterations[[#This Row],[Step]] &gt; current_step, "",Iterations[[#This Row],[Grad_d]]))</f>
        <v>-2.5974852933529882E-3</v>
      </c>
      <c r="R661" s="2">
        <f ca="1">IF(Iterations[[#This Row],[Step]] =current_step, current_Grad_e,IF(Iterations[[#This Row],[Step]] &gt; current_step, "",Iterations[[#This Row],[Grad_e]]))</f>
        <v>1.6264081993526247E-2</v>
      </c>
    </row>
    <row r="662" spans="6:18" x14ac:dyDescent="0.3">
      <c r="F662" s="2">
        <f t="shared" si="12"/>
        <v>645</v>
      </c>
      <c r="G662" s="2">
        <f ca="1">IF(Iterations[[#This Row],[Step]] =current_step, current_a,IF(Iterations[[#This Row],[Step]] &gt; current_step, "",Iterations[[#This Row],[a]]))</f>
        <v>-7.1435205021161705</v>
      </c>
      <c r="H662" s="2">
        <f ca="1">IF(Iterations[[#This Row],[Step]] =current_step, current_b,IF(Iterations[[#This Row],[Step]] &gt; current_step, "",Iterations[[#This Row],[b]]))</f>
        <v>0.37106419568947269</v>
      </c>
      <c r="I662" s="2">
        <f ca="1">IF(Iterations[[#This Row],[Step]] =current_step, current_c,IF(Iterations[[#This Row],[Step]] &gt; current_step, "",Iterations[[#This Row],[c]]))</f>
        <v>20.874974605874755</v>
      </c>
      <c r="J662" s="2">
        <f ca="1">IF(Iterations[[#This Row],[Step]] =current_step, current_d,IF(Iterations[[#This Row],[Step]] &gt; current_step, "",Iterations[[#This Row],[d]]))</f>
        <v>1.1839366814908117</v>
      </c>
      <c r="K662" s="2">
        <f ca="1">IF(Iterations[[#This Row],[Step]] =current_step, current_e,IF(Iterations[[#This Row],[Step]] &gt; current_step, "",Iterations[[#This Row],[e]]))</f>
        <v>11.436578238256104</v>
      </c>
      <c r="L662" s="2">
        <f ca="1">IF(Iterations[[#This Row],[Step]] =current_step, current_Total_Loss,IF(Iterations[[#This Row],[Step]] &gt; current_step, "",Iterations[[#This Row],[Total Loss]]))</f>
        <v>90.67</v>
      </c>
      <c r="M662" s="6" t="s">
        <v>27</v>
      </c>
      <c r="N662" s="2">
        <f ca="1">IF(Iterations[[#This Row],[Step]] =current_step, current_Grad_a,IF(Iterations[[#This Row],[Step]] &gt; current_step, "",Iterations[[#This Row],[Grad_a]]))</f>
        <v>1.6147512213706597E-2</v>
      </c>
      <c r="O662" s="2">
        <f ca="1">IF(Iterations[[#This Row],[Step]] =current_step, current_Grad_b,IF(Iterations[[#This Row],[Step]] &gt; current_step, "",Iterations[[#This Row],[Grad_b]]))</f>
        <v>2.8128694007355883E-3</v>
      </c>
      <c r="P662" s="2">
        <f ca="1">IF(Iterations[[#This Row],[Step]] =current_step, current_Grad_c,IF(Iterations[[#This Row],[Step]] &gt; current_step, "",Iterations[[#This Row],[Grad_c]]))</f>
        <v>-4.529624472112808E-2</v>
      </c>
      <c r="Q662" s="2">
        <f ca="1">IF(Iterations[[#This Row],[Step]] =current_step, current_Grad_d,IF(Iterations[[#This Row],[Step]] &gt; current_step, "",Iterations[[#This Row],[Grad_d]]))</f>
        <v>-2.5799889709348903E-3</v>
      </c>
      <c r="R662" s="2">
        <f ca="1">IF(Iterations[[#This Row],[Step]] =current_step, current_Grad_e,IF(Iterations[[#This Row],[Step]] &gt; current_step, "",Iterations[[#This Row],[Grad_e]]))</f>
        <v>1.6154017951595004E-2</v>
      </c>
    </row>
    <row r="663" spans="6:18" x14ac:dyDescent="0.3">
      <c r="F663" s="2">
        <f t="shared" si="12"/>
        <v>646</v>
      </c>
      <c r="G663" s="2">
        <f ca="1">IF(Iterations[[#This Row],[Step]] =current_step, current_a,IF(Iterations[[#This Row],[Step]] &gt; current_step, "",Iterations[[#This Row],[a]]))</f>
        <v>-7.1446508279711303</v>
      </c>
      <c r="H663" s="2">
        <f ca="1">IF(Iterations[[#This Row],[Step]] =current_step, current_b,IF(Iterations[[#This Row],[Step]] &gt; current_step, "",Iterations[[#This Row],[b]]))</f>
        <v>0.37086729483142117</v>
      </c>
      <c r="I663" s="2">
        <f ca="1">IF(Iterations[[#This Row],[Step]] =current_step, current_c,IF(Iterations[[#This Row],[Step]] &gt; current_step, "",Iterations[[#This Row],[c]]))</f>
        <v>20.878145343005233</v>
      </c>
      <c r="J663" s="2">
        <f ca="1">IF(Iterations[[#This Row],[Step]] =current_step, current_d,IF(Iterations[[#This Row],[Step]] &gt; current_step, "",Iterations[[#This Row],[d]]))</f>
        <v>1.1841172807187772</v>
      </c>
      <c r="K663" s="2">
        <f ca="1">IF(Iterations[[#This Row],[Step]] =current_step, current_e,IF(Iterations[[#This Row],[Step]] &gt; current_step, "",Iterations[[#This Row],[e]]))</f>
        <v>11.435447456999492</v>
      </c>
      <c r="L663" s="2">
        <f ca="1">IF(Iterations[[#This Row],[Step]] =current_step, current_Total_Loss,IF(Iterations[[#This Row],[Step]] &gt; current_step, "",Iterations[[#This Row],[Total Loss]]))</f>
        <v>90.66</v>
      </c>
      <c r="M663" s="6" t="s">
        <v>27</v>
      </c>
      <c r="N663" s="2">
        <f ca="1">IF(Iterations[[#This Row],[Step]] =current_step, current_Grad_a,IF(Iterations[[#This Row],[Step]] &gt; current_step, "",Iterations[[#This Row],[Grad_a]]))</f>
        <v>1.6038240857114028E-2</v>
      </c>
      <c r="O663" s="2">
        <f ca="1">IF(Iterations[[#This Row],[Step]] =current_step, current_Grad_b,IF(Iterations[[#This Row],[Step]] &gt; current_step, "",Iterations[[#This Row],[Grad_b]]))</f>
        <v>2.7938720517141696E-3</v>
      </c>
      <c r="P663" s="2">
        <f ca="1">IF(Iterations[[#This Row],[Step]] =current_step, current_Grad_c,IF(Iterations[[#This Row],[Step]] &gt; current_step, "",Iterations[[#This Row],[Grad_c]]))</f>
        <v>-4.4989714373315087E-2</v>
      </c>
      <c r="Q663" s="2">
        <f ca="1">IF(Iterations[[#This Row],[Step]] =current_step, current_Grad_d,IF(Iterations[[#This Row],[Step]] &gt; current_step, "",Iterations[[#This Row],[Grad_d]]))</f>
        <v>-2.562609602105729E-3</v>
      </c>
      <c r="R663" s="2">
        <f ca="1">IF(Iterations[[#This Row],[Step]] =current_step, current_Grad_e,IF(Iterations[[#This Row],[Step]] &gt; current_step, "",Iterations[[#This Row],[Grad_e]]))</f>
        <v>1.6044698783370868E-2</v>
      </c>
    </row>
    <row r="664" spans="6:18" x14ac:dyDescent="0.3">
      <c r="F664" s="2">
        <f t="shared" si="12"/>
        <v>647</v>
      </c>
      <c r="G664" s="2">
        <f ca="1">IF(Iterations[[#This Row],[Step]] =current_step, current_a,IF(Iterations[[#This Row],[Step]] &gt; current_step, "",Iterations[[#This Row],[a]]))</f>
        <v>-7.1457735048311282</v>
      </c>
      <c r="H664" s="2">
        <f ca="1">IF(Iterations[[#This Row],[Step]] =current_step, current_b,IF(Iterations[[#This Row],[Step]] &gt; current_step, "",Iterations[[#This Row],[b]]))</f>
        <v>0.37067172378780117</v>
      </c>
      <c r="I664" s="2">
        <f ca="1">IF(Iterations[[#This Row],[Step]] =current_step, current_c,IF(Iterations[[#This Row],[Step]] &gt; current_step, "",Iterations[[#This Row],[c]]))</f>
        <v>20.881294623011364</v>
      </c>
      <c r="J664" s="2">
        <f ca="1">IF(Iterations[[#This Row],[Step]] =current_step, current_d,IF(Iterations[[#This Row],[Step]] &gt; current_step, "",Iterations[[#This Row],[d]]))</f>
        <v>1.1842966633909247</v>
      </c>
      <c r="K664" s="2">
        <f ca="1">IF(Iterations[[#This Row],[Step]] =current_step, current_e,IF(Iterations[[#This Row],[Step]] &gt; current_step, "",Iterations[[#This Row],[e]]))</f>
        <v>11.434324328084656</v>
      </c>
      <c r="L664" s="2">
        <f ca="1">IF(Iterations[[#This Row],[Step]] =current_step, current_Total_Loss,IF(Iterations[[#This Row],[Step]] &gt; current_step, "",Iterations[[#This Row],[Total Loss]]))</f>
        <v>90.66</v>
      </c>
      <c r="M664" s="6" t="s">
        <v>27</v>
      </c>
      <c r="N664" s="2">
        <f ca="1">IF(Iterations[[#This Row],[Step]] =current_step, current_Grad_a,IF(Iterations[[#This Row],[Step]] &gt; current_step, "",Iterations[[#This Row],[Grad_a]]))</f>
        <v>1.5929708941385925E-2</v>
      </c>
      <c r="O664" s="2">
        <f ca="1">IF(Iterations[[#This Row],[Step]] =current_step, current_Grad_b,IF(Iterations[[#This Row],[Step]] &gt; current_step, "",Iterations[[#This Row],[Grad_b]]))</f>
        <v>2.7750025891213584E-3</v>
      </c>
      <c r="P664" s="2">
        <f ca="1">IF(Iterations[[#This Row],[Step]] =current_step, current_Grad_c,IF(Iterations[[#This Row],[Step]] &gt; current_step, "",Iterations[[#This Row],[Grad_c]]))</f>
        <v>-4.4685258454089521E-2</v>
      </c>
      <c r="Q664" s="2">
        <f ca="1">IF(Iterations[[#This Row],[Step]] =current_step, current_Grad_d,IF(Iterations[[#This Row],[Step]] &gt; current_step, "",Iterations[[#This Row],[Grad_d]]))</f>
        <v>-2.5453464211834561E-3</v>
      </c>
      <c r="R664" s="2">
        <f ca="1">IF(Iterations[[#This Row],[Step]] =current_step, current_Grad_e,IF(Iterations[[#This Row],[Step]] &gt; current_step, "",Iterations[[#This Row],[Grad_e]]))</f>
        <v>1.5936119447126116E-2</v>
      </c>
    </row>
    <row r="665" spans="6:18" x14ac:dyDescent="0.3">
      <c r="F665" s="2">
        <f t="shared" si="12"/>
        <v>648</v>
      </c>
      <c r="G665" s="2">
        <f ca="1">IF(Iterations[[#This Row],[Step]] =current_step, current_a,IF(Iterations[[#This Row],[Step]] &gt; current_step, "",Iterations[[#This Row],[a]]))</f>
        <v>-7.1468885844570256</v>
      </c>
      <c r="H665" s="2">
        <f ca="1">IF(Iterations[[#This Row],[Step]] =current_step, current_b,IF(Iterations[[#This Row],[Step]] &gt; current_step, "",Iterations[[#This Row],[b]]))</f>
        <v>0.37047747360656269</v>
      </c>
      <c r="I665" s="2">
        <f ca="1">IF(Iterations[[#This Row],[Step]] =current_step, current_c,IF(Iterations[[#This Row],[Step]] &gt; current_step, "",Iterations[[#This Row],[c]]))</f>
        <v>20.884422591103149</v>
      </c>
      <c r="J665" s="2">
        <f ca="1">IF(Iterations[[#This Row],[Step]] =current_step, current_d,IF(Iterations[[#This Row],[Step]] &gt; current_step, "",Iterations[[#This Row],[d]]))</f>
        <v>1.1844748376404075</v>
      </c>
      <c r="K665" s="2">
        <f ca="1">IF(Iterations[[#This Row],[Step]] =current_step, current_e,IF(Iterations[[#This Row],[Step]] &gt; current_step, "",Iterations[[#This Row],[e]]))</f>
        <v>11.433208799723358</v>
      </c>
      <c r="L665" s="2">
        <f ca="1">IF(Iterations[[#This Row],[Step]] =current_step, current_Total_Loss,IF(Iterations[[#This Row],[Step]] &gt; current_step, "",Iterations[[#This Row],[Total Loss]]))</f>
        <v>90.66</v>
      </c>
      <c r="M665" s="6" t="s">
        <v>27</v>
      </c>
      <c r="N665" s="2">
        <f ca="1">IF(Iterations[[#This Row],[Step]] =current_step, current_Grad_a,IF(Iterations[[#This Row],[Step]] &gt; current_step, "",Iterations[[#This Row],[Grad_a]]))</f>
        <v>1.5821911463041967E-2</v>
      </c>
      <c r="O665" s="2">
        <f ca="1">IF(Iterations[[#This Row],[Step]] =current_step, current_Grad_b,IF(Iterations[[#This Row],[Step]] &gt; current_step, "",Iterations[[#This Row],[Grad_b]]))</f>
        <v>2.7562601594309419E-3</v>
      </c>
      <c r="P665" s="2">
        <f ca="1">IF(Iterations[[#This Row],[Step]] =current_step, current_Grad_c,IF(Iterations[[#This Row],[Step]] &gt; current_step, "",Iterations[[#This Row],[Grad_c]]))</f>
        <v>-4.4382862923601843E-2</v>
      </c>
      <c r="Q665" s="2">
        <f ca="1">IF(Iterations[[#This Row],[Step]] =current_step, current_Grad_d,IF(Iterations[[#This Row],[Step]] &gt; current_step, "",Iterations[[#This Row],[Grad_d]]))</f>
        <v>-2.5281986672423418E-3</v>
      </c>
      <c r="R665" s="2">
        <f ca="1">IF(Iterations[[#This Row],[Step]] =current_step, current_Grad_e,IF(Iterations[[#This Row],[Step]] &gt; current_step, "",Iterations[[#This Row],[Grad_e]]))</f>
        <v>1.5828274935353645E-2</v>
      </c>
    </row>
    <row r="666" spans="6:18" x14ac:dyDescent="0.3">
      <c r="F666" s="2">
        <f t="shared" si="12"/>
        <v>649</v>
      </c>
      <c r="G666" s="2">
        <f ca="1">IF(Iterations[[#This Row],[Step]] =current_step, current_a,IF(Iterations[[#This Row],[Step]] &gt; current_step, "",Iterations[[#This Row],[a]]))</f>
        <v>-7.1479961182594387</v>
      </c>
      <c r="H666" s="2">
        <f ca="1">IF(Iterations[[#This Row],[Step]] =current_step, current_b,IF(Iterations[[#This Row],[Step]] &gt; current_step, "",Iterations[[#This Row],[b]]))</f>
        <v>0.37028453539540251</v>
      </c>
      <c r="I666" s="2">
        <f ca="1">IF(Iterations[[#This Row],[Step]] =current_step, current_c,IF(Iterations[[#This Row],[Step]] &gt; current_step, "",Iterations[[#This Row],[c]]))</f>
        <v>20.887529391507801</v>
      </c>
      <c r="J666" s="2">
        <f ca="1">IF(Iterations[[#This Row],[Step]] =current_step, current_d,IF(Iterations[[#This Row],[Step]] &gt; current_step, "",Iterations[[#This Row],[d]]))</f>
        <v>1.1846518115471145</v>
      </c>
      <c r="K666" s="2">
        <f ca="1">IF(Iterations[[#This Row],[Step]] =current_step, current_e,IF(Iterations[[#This Row],[Step]] &gt; current_step, "",Iterations[[#This Row],[e]]))</f>
        <v>11.432100820477883</v>
      </c>
      <c r="L666" s="2">
        <f ca="1">IF(Iterations[[#This Row],[Step]] =current_step, current_Total_Loss,IF(Iterations[[#This Row],[Step]] &gt; current_step, "",Iterations[[#This Row],[Total Loss]]))</f>
        <v>90.65</v>
      </c>
      <c r="M666" s="6" t="s">
        <v>27</v>
      </c>
      <c r="N666" s="2">
        <f ca="1">IF(Iterations[[#This Row],[Step]] =current_step, current_Grad_a,IF(Iterations[[#This Row],[Step]] &gt; current_step, "",Iterations[[#This Row],[Grad_a]]))</f>
        <v>1.5714843452027585E-2</v>
      </c>
      <c r="O666" s="2">
        <f ca="1">IF(Iterations[[#This Row],[Step]] =current_step, current_Grad_b,IF(Iterations[[#This Row],[Step]] &gt; current_step, "",Iterations[[#This Row],[Grad_b]]))</f>
        <v>2.7376439147851852E-3</v>
      </c>
      <c r="P666" s="2">
        <f ca="1">IF(Iterations[[#This Row],[Step]] =current_step, current_Grad_c,IF(Iterations[[#This Row],[Step]] &gt; current_step, "",Iterations[[#This Row],[Grad_c]]))</f>
        <v>-4.4082513837226597E-2</v>
      </c>
      <c r="Q666" s="2">
        <f ca="1">IF(Iterations[[#This Row],[Step]] =current_step, current_Grad_d,IF(Iterations[[#This Row],[Step]] &gt; current_step, "",Iterations[[#This Row],[Grad_d]]))</f>
        <v>-2.5111655840135295E-3</v>
      </c>
      <c r="R666" s="2">
        <f ca="1">IF(Iterations[[#This Row],[Step]] =current_step, current_Grad_e,IF(Iterations[[#This Row],[Step]] &gt; current_step, "",Iterations[[#This Row],[Grad_e]]))</f>
        <v>1.5721160274363655E-2</v>
      </c>
    </row>
    <row r="667" spans="6:18" x14ac:dyDescent="0.3">
      <c r="F667" s="2">
        <f t="shared" si="12"/>
        <v>650</v>
      </c>
      <c r="G667" s="2">
        <f ca="1">IF(Iterations[[#This Row],[Step]] =current_step, current_a,IF(Iterations[[#This Row],[Step]] &gt; current_step, "",Iterations[[#This Row],[a]]))</f>
        <v>-7.1490961573010807</v>
      </c>
      <c r="H667" s="2">
        <f ca="1">IF(Iterations[[#This Row],[Step]] =current_step, current_b,IF(Iterations[[#This Row],[Step]] &gt; current_step, "",Iterations[[#This Row],[b]]))</f>
        <v>0.37009290032136755</v>
      </c>
      <c r="I667" s="2">
        <f ca="1">IF(Iterations[[#This Row],[Step]] =current_step, current_c,IF(Iterations[[#This Row],[Step]] &gt; current_step, "",Iterations[[#This Row],[c]]))</f>
        <v>20.890615167476408</v>
      </c>
      <c r="J667" s="2">
        <f ca="1">IF(Iterations[[#This Row],[Step]] =current_step, current_d,IF(Iterations[[#This Row],[Step]] &gt; current_step, "",Iterations[[#This Row],[d]]))</f>
        <v>1.1848275931379955</v>
      </c>
      <c r="K667" s="2">
        <f ca="1">IF(Iterations[[#This Row],[Step]] =current_step, current_e,IF(Iterations[[#This Row],[Step]] &gt; current_step, "",Iterations[[#This Row],[e]]))</f>
        <v>11.431000339258677</v>
      </c>
      <c r="L667" s="2">
        <f ca="1">IF(Iterations[[#This Row],[Step]] =current_step, current_Total_Loss,IF(Iterations[[#This Row],[Step]] &gt; current_step, "",Iterations[[#This Row],[Total Loss]]))</f>
        <v>90.65</v>
      </c>
      <c r="M667" s="6" t="s">
        <v>27</v>
      </c>
      <c r="N667" s="2">
        <f ca="1">IF(Iterations[[#This Row],[Step]] =current_step, current_Grad_a,IF(Iterations[[#This Row],[Step]] &gt; current_step, "",Iterations[[#This Row],[Grad_a]]))</f>
        <v>1.5608499972320574E-2</v>
      </c>
      <c r="O667" s="2">
        <f ca="1">IF(Iterations[[#This Row],[Step]] =current_step, current_Grad_b,IF(Iterations[[#This Row],[Step]] &gt; current_step, "",Iterations[[#This Row],[Grad_b]]))</f>
        <v>2.7191530127786598E-3</v>
      </c>
      <c r="P667" s="2">
        <f ca="1">IF(Iterations[[#This Row],[Step]] =current_step, current_Grad_c,IF(Iterations[[#This Row],[Step]] &gt; current_step, "",Iterations[[#This Row],[Grad_c]]))</f>
        <v>-4.3784197344561834E-2</v>
      </c>
      <c r="Q667" s="2">
        <f ca="1">IF(Iterations[[#This Row],[Step]] =current_step, current_Grad_d,IF(Iterations[[#This Row],[Step]] &gt; current_step, "",Iterations[[#This Row],[Grad_d]]))</f>
        <v>-2.4942464199291742E-3</v>
      </c>
      <c r="R667" s="2">
        <f ca="1">IF(Iterations[[#This Row],[Step]] =current_step, current_Grad_e,IF(Iterations[[#This Row],[Step]] &gt; current_step, "",Iterations[[#This Row],[Grad_e]]))</f>
        <v>1.5614770524229746E-2</v>
      </c>
    </row>
    <row r="668" spans="6:18" x14ac:dyDescent="0.3">
      <c r="F668" s="2">
        <f t="shared" si="12"/>
        <v>651</v>
      </c>
      <c r="G668" s="2">
        <f ca="1">IF(Iterations[[#This Row],[Step]] =current_step, current_a,IF(Iterations[[#This Row],[Step]] &gt; current_step, "",Iterations[[#This Row],[a]]))</f>
        <v>-7.150188752299143</v>
      </c>
      <c r="H668" s="2">
        <f ca="1">IF(Iterations[[#This Row],[Step]] =current_step, current_b,IF(Iterations[[#This Row],[Step]] &gt; current_step, "",Iterations[[#This Row],[b]]))</f>
        <v>0.36990255961047303</v>
      </c>
      <c r="I668" s="2">
        <f ca="1">IF(Iterations[[#This Row],[Step]] =current_step, current_c,IF(Iterations[[#This Row],[Step]] &gt; current_step, "",Iterations[[#This Row],[c]]))</f>
        <v>20.893680061290528</v>
      </c>
      <c r="J668" s="2">
        <f ca="1">IF(Iterations[[#This Row],[Step]] =current_step, current_d,IF(Iterations[[#This Row],[Step]] &gt; current_step, "",Iterations[[#This Row],[d]]))</f>
        <v>1.1850021903873904</v>
      </c>
      <c r="K668" s="2">
        <f ca="1">IF(Iterations[[#This Row],[Step]] =current_step, current_e,IF(Iterations[[#This Row],[Step]] &gt; current_step, "",Iterations[[#This Row],[e]]))</f>
        <v>11.429907305321981</v>
      </c>
      <c r="L668" s="2">
        <f ca="1">IF(Iterations[[#This Row],[Step]] =current_step, current_Total_Loss,IF(Iterations[[#This Row],[Step]] &gt; current_step, "",Iterations[[#This Row],[Total Loss]]))</f>
        <v>90.65</v>
      </c>
      <c r="M668" s="6" t="s">
        <v>27</v>
      </c>
      <c r="N668" s="2">
        <f ca="1">IF(Iterations[[#This Row],[Step]] =current_step, current_Grad_a,IF(Iterations[[#This Row],[Step]] &gt; current_step, "",Iterations[[#This Row],[Grad_a]]))</f>
        <v>1.5502876120918632E-2</v>
      </c>
      <c r="O668" s="2">
        <f ca="1">IF(Iterations[[#This Row],[Step]] =current_step, current_Grad_b,IF(Iterations[[#This Row],[Step]] &gt; current_step, "",Iterations[[#This Row],[Grad_b]]))</f>
        <v>2.7007866165552987E-3</v>
      </c>
      <c r="P668" s="2">
        <f ca="1">IF(Iterations[[#This Row],[Step]] =current_step, current_Grad_c,IF(Iterations[[#This Row],[Step]] &gt; current_step, "",Iterations[[#This Row],[Grad_c]]))</f>
        <v>-4.3487899689130818E-2</v>
      </c>
      <c r="Q668" s="2">
        <f ca="1">IF(Iterations[[#This Row],[Step]] =current_step, current_Grad_d,IF(Iterations[[#This Row],[Step]] &gt; current_step, "",Iterations[[#This Row],[Grad_d]]))</f>
        <v>-2.4774404280600969E-3</v>
      </c>
      <c r="R668" s="2">
        <f ca="1">IF(Iterations[[#This Row],[Step]] =current_step, current_Grad_e,IF(Iterations[[#This Row],[Step]] &gt; current_step, "",Iterations[[#This Row],[Grad_e]]))</f>
        <v>1.5509100778388272E-2</v>
      </c>
    </row>
    <row r="669" spans="6:18" x14ac:dyDescent="0.3">
      <c r="F669" s="2">
        <f t="shared" si="12"/>
        <v>652</v>
      </c>
      <c r="G669" s="2">
        <f ca="1">IF(Iterations[[#This Row],[Step]] =current_step, current_a,IF(Iterations[[#This Row],[Step]] &gt; current_step, "",Iterations[[#This Row],[a]]))</f>
        <v>-7.1512739536276069</v>
      </c>
      <c r="H669" s="2">
        <f ca="1">IF(Iterations[[#This Row],[Step]] =current_step, current_b,IF(Iterations[[#This Row],[Step]] &gt; current_step, "",Iterations[[#This Row],[b]]))</f>
        <v>0.36971350454731416</v>
      </c>
      <c r="I669" s="2">
        <f ca="1">IF(Iterations[[#This Row],[Step]] =current_step, current_c,IF(Iterations[[#This Row],[Step]] &gt; current_step, "",Iterations[[#This Row],[c]]))</f>
        <v>20.896724214268769</v>
      </c>
      <c r="J669" s="2">
        <f ca="1">IF(Iterations[[#This Row],[Step]] =current_step, current_d,IF(Iterations[[#This Row],[Step]] &gt; current_step, "",Iterations[[#This Row],[d]]))</f>
        <v>1.1851756112173546</v>
      </c>
      <c r="K669" s="2">
        <f ca="1">IF(Iterations[[#This Row],[Step]] =current_step, current_e,IF(Iterations[[#This Row],[Step]] &gt; current_step, "",Iterations[[#This Row],[e]]))</f>
        <v>11.428821668267494</v>
      </c>
      <c r="L669" s="2">
        <f ca="1">IF(Iterations[[#This Row],[Step]] =current_step, current_Total_Loss,IF(Iterations[[#This Row],[Step]] &gt; current_step, "",Iterations[[#This Row],[Total Loss]]))</f>
        <v>90.65</v>
      </c>
      <c r="M669" s="6" t="s">
        <v>27</v>
      </c>
      <c r="N669" s="2">
        <f ca="1">IF(Iterations[[#This Row],[Step]] =current_step, current_Grad_a,IF(Iterations[[#This Row],[Step]] &gt; current_step, "",Iterations[[#This Row],[Grad_a]]))</f>
        <v>1.5397967028350513E-2</v>
      </c>
      <c r="O669" s="2">
        <f ca="1">IF(Iterations[[#This Row],[Step]] =current_step, current_Grad_b,IF(Iterations[[#This Row],[Step]] &gt; current_step, "",Iterations[[#This Row],[Grad_b]]))</f>
        <v>2.6825438946614069E-3</v>
      </c>
      <c r="P669" s="2">
        <f ca="1">IF(Iterations[[#This Row],[Step]] =current_step, current_Grad_c,IF(Iterations[[#This Row],[Step]] &gt; current_step, "",Iterations[[#This Row],[Grad_c]]))</f>
        <v>-4.3193607207426564E-2</v>
      </c>
      <c r="Q669" s="2">
        <f ca="1">IF(Iterations[[#This Row],[Step]] =current_step, current_Grad_d,IF(Iterations[[#This Row],[Step]] &gt; current_step, "",Iterations[[#This Row],[Grad_d]]))</f>
        <v>-2.4607468661164331E-3</v>
      </c>
      <c r="R669" s="2">
        <f ca="1">IF(Iterations[[#This Row],[Step]] =current_step, current_Grad_e,IF(Iterations[[#This Row],[Step]] &gt; current_step, "",Iterations[[#This Row],[Grad_e]]))</f>
        <v>1.54041461635726E-2</v>
      </c>
    </row>
    <row r="670" spans="6:18" x14ac:dyDescent="0.3">
      <c r="F670" s="2">
        <f t="shared" si="12"/>
        <v>653</v>
      </c>
      <c r="G670" s="2">
        <f ca="1">IF(Iterations[[#This Row],[Step]] =current_step, current_a,IF(Iterations[[#This Row],[Step]] &gt; current_step, "",Iterations[[#This Row],[a]]))</f>
        <v>-7.1523518113195914</v>
      </c>
      <c r="H670" s="2">
        <f ca="1">IF(Iterations[[#This Row],[Step]] =current_step, current_b,IF(Iterations[[#This Row],[Step]] &gt; current_step, "",Iterations[[#This Row],[b]]))</f>
        <v>0.36952572647468784</v>
      </c>
      <c r="I670" s="2">
        <f ca="1">IF(Iterations[[#This Row],[Step]] =current_step, current_c,IF(Iterations[[#This Row],[Step]] &gt; current_step, "",Iterations[[#This Row],[c]]))</f>
        <v>20.899747766773288</v>
      </c>
      <c r="J670" s="2">
        <f ca="1">IF(Iterations[[#This Row],[Step]] =current_step, current_d,IF(Iterations[[#This Row],[Step]] &gt; current_step, "",Iterations[[#This Row],[d]]))</f>
        <v>1.1853478634979828</v>
      </c>
      <c r="K670" s="2">
        <f ca="1">IF(Iterations[[#This Row],[Step]] =current_step, current_e,IF(Iterations[[#This Row],[Step]] &gt; current_step, "",Iterations[[#This Row],[e]]))</f>
        <v>11.427743378036045</v>
      </c>
      <c r="L670" s="2">
        <f ca="1">IF(Iterations[[#This Row],[Step]] =current_step, current_Total_Loss,IF(Iterations[[#This Row],[Step]] &gt; current_step, "",Iterations[[#This Row],[Total Loss]]))</f>
        <v>90.64</v>
      </c>
      <c r="M670" s="6" t="s">
        <v>27</v>
      </c>
      <c r="N670" s="2">
        <f ca="1">IF(Iterations[[#This Row],[Step]] =current_step, current_Grad_a,IF(Iterations[[#This Row],[Step]] &gt; current_step, "",Iterations[[#This Row],[Grad_a]]))</f>
        <v>1.529376785777006E-2</v>
      </c>
      <c r="O670" s="2">
        <f ca="1">IF(Iterations[[#This Row],[Step]] =current_step, current_Grad_b,IF(Iterations[[#This Row],[Step]] &gt; current_step, "",Iterations[[#This Row],[Grad_b]]))</f>
        <v>2.6644240211509563E-3</v>
      </c>
      <c r="P670" s="2">
        <f ca="1">IF(Iterations[[#This Row],[Step]] =current_step, current_Grad_c,IF(Iterations[[#This Row],[Step]] &gt; current_step, "",Iterations[[#This Row],[Grad_c]]))</f>
        <v>-4.2901306328575278E-2</v>
      </c>
      <c r="Q670" s="2">
        <f ca="1">IF(Iterations[[#This Row],[Step]] =current_step, current_Grad_d,IF(Iterations[[#This Row],[Step]] &gt; current_step, "",Iterations[[#This Row],[Grad_d]]))</f>
        <v>-2.4441649963894913E-3</v>
      </c>
      <c r="R670" s="2">
        <f ca="1">IF(Iterations[[#This Row],[Step]] =current_step, current_Grad_e,IF(Iterations[[#This Row],[Step]] &gt; current_step, "",Iterations[[#This Row],[Grad_e]]))</f>
        <v>1.5299901839442064E-2</v>
      </c>
    </row>
    <row r="671" spans="6:18" x14ac:dyDescent="0.3">
      <c r="F671" s="2">
        <f t="shared" si="12"/>
        <v>654</v>
      </c>
      <c r="G671" s="2">
        <f ca="1">IF(Iterations[[#This Row],[Step]] =current_step, current_a,IF(Iterations[[#This Row],[Step]] &gt; current_step, "",Iterations[[#This Row],[a]]))</f>
        <v>-7.1534223750696357</v>
      </c>
      <c r="H671" s="2">
        <f ca="1">IF(Iterations[[#This Row],[Step]] =current_step, current_b,IF(Iterations[[#This Row],[Step]] &gt; current_step, "",Iterations[[#This Row],[b]]))</f>
        <v>0.3693392167932073</v>
      </c>
      <c r="I671" s="2">
        <f ca="1">IF(Iterations[[#This Row],[Step]] =current_step, current_c,IF(Iterations[[#This Row],[Step]] &gt; current_step, "",Iterations[[#This Row],[c]]))</f>
        <v>20.902750858216287</v>
      </c>
      <c r="J671" s="2">
        <f ca="1">IF(Iterations[[#This Row],[Step]] =current_step, current_d,IF(Iterations[[#This Row],[Step]] &gt; current_step, "",Iterations[[#This Row],[d]]))</f>
        <v>1.1855189550477301</v>
      </c>
      <c r="K671" s="2">
        <f ca="1">IF(Iterations[[#This Row],[Step]] =current_step, current_e,IF(Iterations[[#This Row],[Step]] &gt; current_step, "",Iterations[[#This Row],[e]]))</f>
        <v>11.426672384907283</v>
      </c>
      <c r="L671" s="2">
        <f ca="1">IF(Iterations[[#This Row],[Step]] =current_step, current_Total_Loss,IF(Iterations[[#This Row],[Step]] &gt; current_step, "",Iterations[[#This Row],[Total Loss]]))</f>
        <v>90.64</v>
      </c>
      <c r="M671" s="6" t="s">
        <v>27</v>
      </c>
      <c r="N671" s="2">
        <f ca="1">IF(Iterations[[#This Row],[Step]] =current_step, current_Grad_a,IF(Iterations[[#This Row],[Step]] &gt; current_step, "",Iterations[[#This Row],[Grad_a]]))</f>
        <v>1.5190273805353661E-2</v>
      </c>
      <c r="O671" s="2">
        <f ca="1">IF(Iterations[[#This Row],[Step]] =current_step, current_Grad_b,IF(Iterations[[#This Row],[Step]] &gt; current_step, "",Iterations[[#This Row],[Grad_b]]))</f>
        <v>2.6464261753540936E-3</v>
      </c>
      <c r="P671" s="2">
        <f ca="1">IF(Iterations[[#This Row],[Step]] =current_step, current_Grad_c,IF(Iterations[[#This Row],[Step]] &gt; current_step, "",Iterations[[#This Row],[Grad_c]]))</f>
        <v>-4.2610983573445144E-2</v>
      </c>
      <c r="Q671" s="2">
        <f ca="1">IF(Iterations[[#This Row],[Step]] =current_step, current_Grad_d,IF(Iterations[[#This Row],[Step]] &gt; current_step, "",Iterations[[#This Row],[Grad_d]]))</f>
        <v>-2.4276940857919094E-3</v>
      </c>
      <c r="R671" s="2">
        <f ca="1">IF(Iterations[[#This Row],[Step]] =current_step, current_Grad_e,IF(Iterations[[#This Row],[Step]] &gt; current_step, "",Iterations[[#This Row],[Grad_e]]))</f>
        <v>1.5196362998487502E-2</v>
      </c>
    </row>
    <row r="672" spans="6:18" x14ac:dyDescent="0.3">
      <c r="F672" s="2">
        <f t="shared" si="12"/>
        <v>655</v>
      </c>
      <c r="G672" s="2">
        <f ca="1">IF(Iterations[[#This Row],[Step]] =current_step, current_a,IF(Iterations[[#This Row],[Step]] &gt; current_step, "",Iterations[[#This Row],[a]]))</f>
        <v>-7.1544856942360102</v>
      </c>
      <c r="H672" s="2">
        <f ca="1">IF(Iterations[[#This Row],[Step]] =current_step, current_b,IF(Iterations[[#This Row],[Step]] &gt; current_step, "",Iterations[[#This Row],[b]]))</f>
        <v>0.3691539669609325</v>
      </c>
      <c r="I672" s="2">
        <f ca="1">IF(Iterations[[#This Row],[Step]] =current_step, current_c,IF(Iterations[[#This Row],[Step]] &gt; current_step, "",Iterations[[#This Row],[c]]))</f>
        <v>20.905733627066429</v>
      </c>
      <c r="J672" s="2">
        <f ca="1">IF(Iterations[[#This Row],[Step]] =current_step, current_d,IF(Iterations[[#This Row],[Step]] &gt; current_step, "",Iterations[[#This Row],[d]]))</f>
        <v>1.1856888936337355</v>
      </c>
      <c r="K672" s="2">
        <f ca="1">IF(Iterations[[#This Row],[Step]] =current_step, current_e,IF(Iterations[[#This Row],[Step]] &gt; current_step, "",Iterations[[#This Row],[e]]))</f>
        <v>11.425608639497389</v>
      </c>
      <c r="L672" s="2">
        <f ca="1">IF(Iterations[[#This Row],[Step]] =current_step, current_Total_Loss,IF(Iterations[[#This Row],[Step]] &gt; current_step, "",Iterations[[#This Row],[Total Loss]]))</f>
        <v>90.64</v>
      </c>
      <c r="M672" s="6" t="s">
        <v>27</v>
      </c>
      <c r="N672" s="2">
        <f ca="1">IF(Iterations[[#This Row],[Step]] =current_step, current_Grad_a,IF(Iterations[[#This Row],[Step]] &gt; current_step, "",Iterations[[#This Row],[Grad_a]]))</f>
        <v>1.5087480099633751E-2</v>
      </c>
      <c r="O672" s="2">
        <f ca="1">IF(Iterations[[#This Row],[Step]] =current_step, current_Grad_b,IF(Iterations[[#This Row],[Step]] &gt; current_step, "",Iterations[[#This Row],[Grad_b]]))</f>
        <v>2.6285495420858376E-3</v>
      </c>
      <c r="P672" s="2">
        <f ca="1">IF(Iterations[[#This Row],[Step]] =current_step, current_Grad_c,IF(Iterations[[#This Row],[Step]] &gt; current_step, "",Iterations[[#This Row],[Grad_c]]))</f>
        <v>-4.2322625554208577E-2</v>
      </c>
      <c r="Q672" s="2">
        <f ca="1">IF(Iterations[[#This Row],[Step]] =current_step, current_Grad_d,IF(Iterations[[#This Row],[Step]] &gt; current_step, "",Iterations[[#This Row],[Grad_d]]))</f>
        <v>-2.4113334057457182E-3</v>
      </c>
      <c r="R672" s="2">
        <f ca="1">IF(Iterations[[#This Row],[Step]] =current_step, current_Grad_e,IF(Iterations[[#This Row],[Step]] &gt; current_step, "",Iterations[[#This Row],[Grad_e]]))</f>
        <v>1.5093524865722685E-2</v>
      </c>
    </row>
    <row r="673" spans="6:18" x14ac:dyDescent="0.3">
      <c r="F673" s="2">
        <f t="shared" si="12"/>
        <v>656</v>
      </c>
      <c r="G673" s="2">
        <f ca="1">IF(Iterations[[#This Row],[Step]] =current_step, current_a,IF(Iterations[[#This Row],[Step]] &gt; current_step, "",Iterations[[#This Row],[a]]))</f>
        <v>-7.1555418178429848</v>
      </c>
      <c r="H673" s="2">
        <f ca="1">IF(Iterations[[#This Row],[Step]] =current_step, current_b,IF(Iterations[[#This Row],[Step]] &gt; current_step, "",Iterations[[#This Row],[b]]))</f>
        <v>0.36896996849298647</v>
      </c>
      <c r="I673" s="2">
        <f ca="1">IF(Iterations[[#This Row],[Step]] =current_step, current_c,IF(Iterations[[#This Row],[Step]] &gt; current_step, "",Iterations[[#This Row],[c]]))</f>
        <v>20.908696210855222</v>
      </c>
      <c r="J673" s="2">
        <f ca="1">IF(Iterations[[#This Row],[Step]] =current_step, current_d,IF(Iterations[[#This Row],[Step]] &gt; current_step, "",Iterations[[#This Row],[d]]))</f>
        <v>1.1858576869721378</v>
      </c>
      <c r="K673" s="2">
        <f ca="1">IF(Iterations[[#This Row],[Step]] =current_step, current_e,IF(Iterations[[#This Row],[Step]] &gt; current_step, "",Iterations[[#This Row],[e]]))</f>
        <v>11.424552092756787</v>
      </c>
      <c r="L673" s="2">
        <f ca="1">IF(Iterations[[#This Row],[Step]] =current_step, current_Total_Loss,IF(Iterations[[#This Row],[Step]] &gt; current_step, "",Iterations[[#This Row],[Total Loss]]))</f>
        <v>90.63</v>
      </c>
      <c r="M673" s="6" t="s">
        <v>27</v>
      </c>
      <c r="N673" s="2">
        <f ca="1">IF(Iterations[[#This Row],[Step]] =current_step, current_Grad_a,IF(Iterations[[#This Row],[Step]] &gt; current_step, "",Iterations[[#This Row],[Grad_a]]))</f>
        <v>1.4985382001247598E-2</v>
      </c>
      <c r="O673" s="2">
        <f ca="1">IF(Iterations[[#This Row],[Step]] =current_step, current_Grad_b,IF(Iterations[[#This Row],[Step]] &gt; current_step, "",Iterations[[#This Row],[Grad_b]]))</f>
        <v>2.610793311446708E-3</v>
      </c>
      <c r="P673" s="2">
        <f ca="1">IF(Iterations[[#This Row],[Step]] =current_step, current_Grad_c,IF(Iterations[[#This Row],[Step]] &gt; current_step, "",Iterations[[#This Row],[Grad_c]]))</f>
        <v>-4.2036218973744113E-2</v>
      </c>
      <c r="Q673" s="2">
        <f ca="1">IF(Iterations[[#This Row],[Step]] =current_step, current_Grad_d,IF(Iterations[[#This Row],[Step]] &gt; current_step, "",Iterations[[#This Row],[Grad_d]]))</f>
        <v>-2.3950822322249049E-3</v>
      </c>
      <c r="R673" s="2">
        <f ca="1">IF(Iterations[[#This Row],[Step]] =current_step, current_Grad_e,IF(Iterations[[#This Row],[Step]] &gt; current_step, "",Iterations[[#This Row],[Grad_e]]))</f>
        <v>1.4991382698450708E-2</v>
      </c>
    </row>
    <row r="674" spans="6:18" x14ac:dyDescent="0.3">
      <c r="F674" s="2">
        <f t="shared" si="12"/>
        <v>657</v>
      </c>
      <c r="G674" s="2">
        <f ca="1">IF(Iterations[[#This Row],[Step]] =current_step, current_a,IF(Iterations[[#This Row],[Step]] &gt; current_step, "",Iterations[[#This Row],[a]]))</f>
        <v>-7.1565907945830718</v>
      </c>
      <c r="H674" s="2">
        <f ca="1">IF(Iterations[[#This Row],[Step]] =current_step, current_b,IF(Iterations[[#This Row],[Step]] &gt; current_step, "",Iterations[[#This Row],[b]]))</f>
        <v>0.36878721296118522</v>
      </c>
      <c r="I674" s="2">
        <f ca="1">IF(Iterations[[#This Row],[Step]] =current_step, current_c,IF(Iterations[[#This Row],[Step]] &gt; current_step, "",Iterations[[#This Row],[c]]))</f>
        <v>20.911638746183385</v>
      </c>
      <c r="J674" s="2">
        <f ca="1">IF(Iterations[[#This Row],[Step]] =current_step, current_d,IF(Iterations[[#This Row],[Step]] &gt; current_step, "",Iterations[[#This Row],[d]]))</f>
        <v>1.1860253427283936</v>
      </c>
      <c r="K674" s="2">
        <f ca="1">IF(Iterations[[#This Row],[Step]] =current_step, current_e,IF(Iterations[[#This Row],[Step]] &gt; current_step, "",Iterations[[#This Row],[e]]))</f>
        <v>11.423502695967896</v>
      </c>
      <c r="L674" s="2">
        <f ca="1">IF(Iterations[[#This Row],[Step]] =current_step, current_Total_Loss,IF(Iterations[[#This Row],[Step]] &gt; current_step, "",Iterations[[#This Row],[Total Loss]]))</f>
        <v>90.63</v>
      </c>
      <c r="M674" s="6" t="s">
        <v>27</v>
      </c>
      <c r="N674" s="2">
        <f ca="1">IF(Iterations[[#This Row],[Step]] =current_step, current_Grad_a,IF(Iterations[[#This Row],[Step]] &gt; current_step, "",Iterations[[#This Row],[Grad_a]]))</f>
        <v>1.4883974803468814E-2</v>
      </c>
      <c r="O674" s="2">
        <f ca="1">IF(Iterations[[#This Row],[Step]] =current_step, current_Grad_b,IF(Iterations[[#This Row],[Step]] &gt; current_step, "",Iterations[[#This Row],[Grad_b]]))</f>
        <v>2.5931566787616126E-3</v>
      </c>
      <c r="P674" s="2">
        <f ca="1">IF(Iterations[[#This Row],[Step]] =current_step, current_Grad_c,IF(Iterations[[#This Row],[Step]] &gt; current_step, "",Iterations[[#This Row],[Grad_c]]))</f>
        <v>-4.1751750624702585E-2</v>
      </c>
      <c r="Q674" s="2">
        <f ca="1">IF(Iterations[[#This Row],[Step]] =current_step, current_Grad_d,IF(Iterations[[#This Row],[Step]] &gt; current_step, "",Iterations[[#This Row],[Grad_d]]))</f>
        <v>-2.3789398457341798E-3</v>
      </c>
      <c r="R674" s="2">
        <f ca="1">IF(Iterations[[#This Row],[Step]] =current_step, current_Grad_e,IF(Iterations[[#This Row],[Step]] &gt; current_step, "",Iterations[[#This Row],[Grad_e]]))</f>
        <v>1.4889931786201929E-2</v>
      </c>
    </row>
    <row r="675" spans="6:18" x14ac:dyDescent="0.3">
      <c r="F675" s="2">
        <f t="shared" si="12"/>
        <v>658</v>
      </c>
      <c r="G675" s="2">
        <f ca="1">IF(Iterations[[#This Row],[Step]] =current_step, current_a,IF(Iterations[[#This Row],[Step]] &gt; current_step, "",Iterations[[#This Row],[a]]))</f>
        <v>-7.1576326728193145</v>
      </c>
      <c r="H675" s="2">
        <f ca="1">IF(Iterations[[#This Row],[Step]] =current_step, current_b,IF(Iterations[[#This Row],[Step]] &gt; current_step, "",Iterations[[#This Row],[b]]))</f>
        <v>0.36860569199367188</v>
      </c>
      <c r="I675" s="2">
        <f ca="1">IF(Iterations[[#This Row],[Step]] =current_step, current_c,IF(Iterations[[#This Row],[Step]] &gt; current_step, "",Iterations[[#This Row],[c]]))</f>
        <v>20.914561368727114</v>
      </c>
      <c r="J675" s="2">
        <f ca="1">IF(Iterations[[#This Row],[Step]] =current_step, current_d,IF(Iterations[[#This Row],[Step]] &gt; current_step, "",Iterations[[#This Row],[d]]))</f>
        <v>1.1861918685175949</v>
      </c>
      <c r="K675" s="2">
        <f ca="1">IF(Iterations[[#This Row],[Step]] =current_step, current_e,IF(Iterations[[#This Row],[Step]] &gt; current_step, "",Iterations[[#This Row],[e]]))</f>
        <v>11.422460400742862</v>
      </c>
      <c r="L675" s="2">
        <f ca="1">IF(Iterations[[#This Row],[Step]] =current_step, current_Total_Loss,IF(Iterations[[#This Row],[Step]] &gt; current_step, "",Iterations[[#This Row],[Total Loss]]))</f>
        <v>90.63</v>
      </c>
      <c r="M675" s="6" t="s">
        <v>27</v>
      </c>
      <c r="N675" s="2">
        <f ca="1">IF(Iterations[[#This Row],[Step]] =current_step, current_Grad_a,IF(Iterations[[#This Row],[Step]] &gt; current_step, "",Iterations[[#This Row],[Grad_a]]))</f>
        <v>1.4783253830539664E-2</v>
      </c>
      <c r="O675" s="2">
        <f ca="1">IF(Iterations[[#This Row],[Step]] =current_step, current_Grad_b,IF(Iterations[[#This Row],[Step]] &gt; current_step, "",Iterations[[#This Row],[Grad_b]]))</f>
        <v>2.5756388447973283E-3</v>
      </c>
      <c r="P675" s="2">
        <f ca="1">IF(Iterations[[#This Row],[Step]] =current_step, current_Grad_c,IF(Iterations[[#This Row],[Step]] &gt; current_step, "",Iterations[[#This Row],[Grad_c]]))</f>
        <v>-4.1469207389506289E-2</v>
      </c>
      <c r="Q675" s="2">
        <f ca="1">IF(Iterations[[#This Row],[Step]] =current_step, current_Grad_d,IF(Iterations[[#This Row],[Step]] &gt; current_step, "",Iterations[[#This Row],[Grad_d]]))</f>
        <v>-2.3629055312033545E-3</v>
      </c>
      <c r="R675" s="2">
        <f ca="1">IF(Iterations[[#This Row],[Step]] =current_step, current_Grad_e,IF(Iterations[[#This Row],[Step]] &gt; current_step, "",Iterations[[#This Row],[Grad_e]]))</f>
        <v>1.4789167450221284E-2</v>
      </c>
    </row>
    <row r="676" spans="6:18" x14ac:dyDescent="0.3">
      <c r="F676" s="2">
        <f t="shared" si="12"/>
        <v>659</v>
      </c>
      <c r="G676" s="2">
        <f ca="1">IF(Iterations[[#This Row],[Step]] =current_step, current_a,IF(Iterations[[#This Row],[Step]] &gt; current_step, "",Iterations[[#This Row],[a]]))</f>
        <v>-7.1586675005874518</v>
      </c>
      <c r="H676" s="2">
        <f ca="1">IF(Iterations[[#This Row],[Step]] =current_step, current_b,IF(Iterations[[#This Row],[Step]] &gt; current_step, "",Iterations[[#This Row],[b]]))</f>
        <v>0.36842539727453605</v>
      </c>
      <c r="I676" s="2">
        <f ca="1">IF(Iterations[[#This Row],[Step]] =current_step, current_c,IF(Iterations[[#This Row],[Step]] &gt; current_step, "",Iterations[[#This Row],[c]]))</f>
        <v>20.917464213244379</v>
      </c>
      <c r="J676" s="2">
        <f ca="1">IF(Iterations[[#This Row],[Step]] =current_step, current_d,IF(Iterations[[#This Row],[Step]] &gt; current_step, "",Iterations[[#This Row],[d]]))</f>
        <v>1.1863572719047792</v>
      </c>
      <c r="K676" s="2">
        <f ca="1">IF(Iterations[[#This Row],[Step]] =current_step, current_e,IF(Iterations[[#This Row],[Step]] &gt; current_step, "",Iterations[[#This Row],[e]]))</f>
        <v>11.421425159021346</v>
      </c>
      <c r="L676" s="2">
        <f ca="1">IF(Iterations[[#This Row],[Step]] =current_step, current_Total_Loss,IF(Iterations[[#This Row],[Step]] &gt; current_step, "",Iterations[[#This Row],[Total Loss]]))</f>
        <v>90.63</v>
      </c>
      <c r="M676" s="6" t="s">
        <v>27</v>
      </c>
      <c r="N676" s="2">
        <f ca="1">IF(Iterations[[#This Row],[Step]] =current_step, current_Grad_a,IF(Iterations[[#This Row],[Step]] &gt; current_step, "",Iterations[[#This Row],[Grad_a]]))</f>
        <v>1.4683214439425798E-2</v>
      </c>
      <c r="O676" s="2">
        <f ca="1">IF(Iterations[[#This Row],[Step]] =current_step, current_Grad_b,IF(Iterations[[#This Row],[Step]] &gt; current_step, "",Iterations[[#This Row],[Grad_b]]))</f>
        <v>2.558239015295961E-3</v>
      </c>
      <c r="P676" s="2">
        <f ca="1">IF(Iterations[[#This Row],[Step]] =current_step, current_Grad_c,IF(Iterations[[#This Row],[Step]] &gt; current_step, "",Iterations[[#This Row],[Grad_c]]))</f>
        <v>-4.1188576238926279E-2</v>
      </c>
      <c r="Q676" s="2">
        <f ca="1">IF(Iterations[[#This Row],[Step]] =current_step, current_Grad_d,IF(Iterations[[#This Row],[Step]] &gt; current_step, "",Iterations[[#This Row],[Grad_d]]))</f>
        <v>-2.3469785781119346E-3</v>
      </c>
      <c r="R676" s="2">
        <f ca="1">IF(Iterations[[#This Row],[Step]] =current_step, current_Grad_e,IF(Iterations[[#This Row],[Step]] &gt; current_step, "",Iterations[[#This Row],[Grad_e]]))</f>
        <v>1.4689085043640106E-2</v>
      </c>
    </row>
    <row r="677" spans="6:18" x14ac:dyDescent="0.3">
      <c r="F677" s="2">
        <f t="shared" si="12"/>
        <v>660</v>
      </c>
      <c r="G677" s="2">
        <f ca="1">IF(Iterations[[#This Row],[Step]] =current_step, current_a,IF(Iterations[[#This Row],[Step]] &gt; current_step, "",Iterations[[#This Row],[a]]))</f>
        <v>-7.1596953255982116</v>
      </c>
      <c r="H677" s="2">
        <f ca="1">IF(Iterations[[#This Row],[Step]] =current_step, current_b,IF(Iterations[[#This Row],[Step]] &gt; current_step, "",Iterations[[#This Row],[b]]))</f>
        <v>0.36824632054346534</v>
      </c>
      <c r="I677" s="2">
        <f ca="1">IF(Iterations[[#This Row],[Step]] =current_step, current_c,IF(Iterations[[#This Row],[Step]] &gt; current_step, "",Iterations[[#This Row],[c]]))</f>
        <v>20.920347413581105</v>
      </c>
      <c r="J677" s="2">
        <f ca="1">IF(Iterations[[#This Row],[Step]] =current_step, current_d,IF(Iterations[[#This Row],[Step]] &gt; current_step, "",Iterations[[#This Row],[d]]))</f>
        <v>1.186521560405247</v>
      </c>
      <c r="K677" s="2">
        <f ca="1">IF(Iterations[[#This Row],[Step]] =current_step, current_e,IF(Iterations[[#This Row],[Step]] &gt; current_step, "",Iterations[[#This Row],[e]]))</f>
        <v>11.420396923068292</v>
      </c>
      <c r="L677" s="2">
        <f ca="1">IF(Iterations[[#This Row],[Step]] =current_step, current_Total_Loss,IF(Iterations[[#This Row],[Step]] &gt; current_step, "",Iterations[[#This Row],[Total Loss]]))</f>
        <v>90.62</v>
      </c>
      <c r="M677" s="6" t="s">
        <v>27</v>
      </c>
      <c r="N677" s="2">
        <f ca="1">IF(Iterations[[#This Row],[Step]] =current_step, current_Grad_a,IF(Iterations[[#This Row],[Step]] &gt; current_step, "",Iterations[[#This Row],[Grad_a]]))</f>
        <v>1.4583852017378366E-2</v>
      </c>
      <c r="O677" s="2">
        <f ca="1">IF(Iterations[[#This Row],[Step]] =current_step, current_Grad_b,IF(Iterations[[#This Row],[Step]] &gt; current_step, "",Iterations[[#This Row],[Grad_b]]))</f>
        <v>2.5409564014688721E-3</v>
      </c>
      <c r="P677" s="2">
        <f ca="1">IF(Iterations[[#This Row],[Step]] =current_step, current_Grad_c,IF(Iterations[[#This Row],[Step]] &gt; current_step, "",Iterations[[#This Row],[Grad_c]]))</f>
        <v>-4.0909844232396027E-2</v>
      </c>
      <c r="Q677" s="2">
        <f ca="1">IF(Iterations[[#This Row],[Step]] =current_step, current_Grad_d,IF(Iterations[[#This Row],[Step]] &gt; current_step, "",Iterations[[#This Row],[Grad_d]]))</f>
        <v>-2.3311582802875339E-3</v>
      </c>
      <c r="R677" s="2">
        <f ca="1">IF(Iterations[[#This Row],[Step]] =current_step, current_Grad_e,IF(Iterations[[#This Row],[Step]] &gt; current_step, "",Iterations[[#This Row],[Grad_e]]))</f>
        <v>1.4589679950835452E-2</v>
      </c>
    </row>
    <row r="678" spans="6:18" x14ac:dyDescent="0.3">
      <c r="F678" s="2">
        <f t="shared" si="12"/>
        <v>661</v>
      </c>
      <c r="G678" s="2">
        <f ca="1">IF(Iterations[[#This Row],[Step]] =current_step, current_a,IF(Iterations[[#This Row],[Step]] &gt; current_step, "",Iterations[[#This Row],[a]]))</f>
        <v>-7.160716195239428</v>
      </c>
      <c r="H678" s="2">
        <f ca="1">IF(Iterations[[#This Row],[Step]] =current_step, current_b,IF(Iterations[[#This Row],[Step]] &gt; current_step, "",Iterations[[#This Row],[b]]))</f>
        <v>0.3680684535953625</v>
      </c>
      <c r="I678" s="2">
        <f ca="1">IF(Iterations[[#This Row],[Step]] =current_step, current_c,IF(Iterations[[#This Row],[Step]] &gt; current_step, "",Iterations[[#This Row],[c]]))</f>
        <v>20.923211102677374</v>
      </c>
      <c r="J678" s="2">
        <f ca="1">IF(Iterations[[#This Row],[Step]] =current_step, current_d,IF(Iterations[[#This Row],[Step]] &gt; current_step, "",Iterations[[#This Row],[d]]))</f>
        <v>1.1866847414848671</v>
      </c>
      <c r="K678" s="2">
        <f ca="1">IF(Iterations[[#This Row],[Step]] =current_step, current_e,IF(Iterations[[#This Row],[Step]] &gt; current_step, "",Iterations[[#This Row],[e]]))</f>
        <v>11.419375645471733</v>
      </c>
      <c r="L678" s="2">
        <f ca="1">IF(Iterations[[#This Row],[Step]] =current_step, current_Total_Loss,IF(Iterations[[#This Row],[Step]] &gt; current_step, "",Iterations[[#This Row],[Total Loss]]))</f>
        <v>90.62</v>
      </c>
      <c r="M678" s="6" t="s">
        <v>27</v>
      </c>
      <c r="N678" s="2">
        <f ca="1">IF(Iterations[[#This Row],[Step]] =current_step, current_Grad_a,IF(Iterations[[#This Row],[Step]] &gt; current_step, "",Iterations[[#This Row],[Grad_a]]))</f>
        <v>1.4485161983878935E-2</v>
      </c>
      <c r="O678" s="2">
        <f ca="1">IF(Iterations[[#This Row],[Step]] =current_step, current_Grad_b,IF(Iterations[[#This Row],[Step]] &gt; current_step, "",Iterations[[#This Row],[Grad_b]]))</f>
        <v>2.5237902194555537E-3</v>
      </c>
      <c r="P678" s="2">
        <f ca="1">IF(Iterations[[#This Row],[Step]] =current_step, current_Grad_c,IF(Iterations[[#This Row],[Step]] &gt; current_step, "",Iterations[[#This Row],[Grad_c]]))</f>
        <v>-4.0632998516526825E-2</v>
      </c>
      <c r="Q678" s="2">
        <f ca="1">IF(Iterations[[#This Row],[Step]] =current_step, current_Grad_d,IF(Iterations[[#This Row],[Step]] &gt; current_step, "",Iterations[[#This Row],[Grad_d]]))</f>
        <v>-2.3154439360517456E-3</v>
      </c>
      <c r="R678" s="2">
        <f ca="1">IF(Iterations[[#This Row],[Step]] =current_step, current_Grad_e,IF(Iterations[[#This Row],[Step]] &gt; current_step, "",Iterations[[#This Row],[Grad_e]]))</f>
        <v>1.4490947587629045E-2</v>
      </c>
    </row>
    <row r="679" spans="6:18" x14ac:dyDescent="0.3">
      <c r="F679" s="2">
        <f t="shared" si="12"/>
        <v>662</v>
      </c>
      <c r="G679" s="2">
        <f ca="1">IF(Iterations[[#This Row],[Step]] =current_step, current_a,IF(Iterations[[#This Row],[Step]] &gt; current_step, "",Iterations[[#This Row],[a]]))</f>
        <v>-7.1617301565782991</v>
      </c>
      <c r="H679" s="2">
        <f ca="1">IF(Iterations[[#This Row],[Step]] =current_step, current_b,IF(Iterations[[#This Row],[Step]] &gt; current_step, "",Iterations[[#This Row],[b]]))</f>
        <v>0.36789178828000063</v>
      </c>
      <c r="I679" s="2">
        <f ca="1">IF(Iterations[[#This Row],[Step]] =current_step, current_c,IF(Iterations[[#This Row],[Step]] &gt; current_step, "",Iterations[[#This Row],[c]]))</f>
        <v>20.926055412573533</v>
      </c>
      <c r="J679" s="2">
        <f ca="1">IF(Iterations[[#This Row],[Step]] =current_step, current_d,IF(Iterations[[#This Row],[Step]] &gt; current_step, "",Iterations[[#This Row],[d]]))</f>
        <v>1.1868468225603908</v>
      </c>
      <c r="K679" s="2">
        <f ca="1">IF(Iterations[[#This Row],[Step]] =current_step, current_e,IF(Iterations[[#This Row],[Step]] &gt; current_step, "",Iterations[[#This Row],[e]]))</f>
        <v>11.4183612791406</v>
      </c>
      <c r="L679" s="2">
        <f ca="1">IF(Iterations[[#This Row],[Step]] =current_step, current_Total_Loss,IF(Iterations[[#This Row],[Step]] &gt; current_step, "",Iterations[[#This Row],[Total Loss]]))</f>
        <v>90.62</v>
      </c>
      <c r="M679" s="6" t="s">
        <v>27</v>
      </c>
      <c r="N679" s="2">
        <f ca="1">IF(Iterations[[#This Row],[Step]] =current_step, current_Grad_a,IF(Iterations[[#This Row],[Step]] &gt; current_step, "",Iterations[[#This Row],[Grad_a]]))</f>
        <v>1.438713978853364E-2</v>
      </c>
      <c r="O679" s="2">
        <f ca="1">IF(Iterations[[#This Row],[Step]] =current_step, current_Grad_b,IF(Iterations[[#This Row],[Step]] &gt; current_step, "",Iterations[[#This Row],[Grad_b]]))</f>
        <v>2.5067396907516334E-3</v>
      </c>
      <c r="P679" s="2">
        <f ca="1">IF(Iterations[[#This Row],[Step]] =current_step, current_Grad_c,IF(Iterations[[#This Row],[Step]] &gt; current_step, "",Iterations[[#This Row],[Grad_c]]))</f>
        <v>-4.0358026325296122E-2</v>
      </c>
      <c r="Q679" s="2">
        <f ca="1">IF(Iterations[[#This Row],[Step]] =current_step, current_Grad_d,IF(Iterations[[#This Row],[Step]] &gt; current_step, "",Iterations[[#This Row],[Grad_d]]))</f>
        <v>-2.2998348480403668E-3</v>
      </c>
      <c r="R679" s="2">
        <f ca="1">IF(Iterations[[#This Row],[Step]] =current_step, current_Grad_e,IF(Iterations[[#This Row],[Step]] &gt; current_step, "",Iterations[[#This Row],[Grad_e]]))</f>
        <v>1.4392883400711851E-2</v>
      </c>
    </row>
    <row r="680" spans="6:18" x14ac:dyDescent="0.3">
      <c r="F680" s="2">
        <f t="shared" si="12"/>
        <v>663</v>
      </c>
      <c r="G680" s="2">
        <f ca="1">IF(Iterations[[#This Row],[Step]] =current_step, current_a,IF(Iterations[[#This Row],[Step]] &gt; current_step, "",Iterations[[#This Row],[a]]))</f>
        <v>-7.1627372563634966</v>
      </c>
      <c r="H680" s="2">
        <f ca="1">IF(Iterations[[#This Row],[Step]] =current_step, current_b,IF(Iterations[[#This Row],[Step]] &gt; current_step, "",Iterations[[#This Row],[b]]))</f>
        <v>0.36771631650164804</v>
      </c>
      <c r="I680" s="2">
        <f ca="1">IF(Iterations[[#This Row],[Step]] =current_step, current_c,IF(Iterations[[#This Row],[Step]] &gt; current_step, "",Iterations[[#This Row],[c]]))</f>
        <v>20.928880474416303</v>
      </c>
      <c r="J680" s="2">
        <f ca="1">IF(Iterations[[#This Row],[Step]] =current_step, current_d,IF(Iterations[[#This Row],[Step]] &gt; current_step, "",Iterations[[#This Row],[d]]))</f>
        <v>1.1870078109997535</v>
      </c>
      <c r="K680" s="2">
        <f ca="1">IF(Iterations[[#This Row],[Step]] =current_step, current_e,IF(Iterations[[#This Row],[Step]] &gt; current_step, "",Iterations[[#This Row],[e]]))</f>
        <v>11.41735377730255</v>
      </c>
      <c r="L680" s="2">
        <f ca="1">IF(Iterations[[#This Row],[Step]] =current_step, current_Total_Loss,IF(Iterations[[#This Row],[Step]] &gt; current_step, "",Iterations[[#This Row],[Total Loss]]))</f>
        <v>90.62</v>
      </c>
      <c r="M680" s="6" t="s">
        <v>27</v>
      </c>
      <c r="N680" s="2">
        <f ca="1">IF(Iterations[[#This Row],[Step]] =current_step, current_Grad_a,IF(Iterations[[#This Row],[Step]] &gt; current_step, "",Iterations[[#This Row],[Grad_a]]))</f>
        <v>1.4289780912495232E-2</v>
      </c>
      <c r="O680" s="2">
        <f ca="1">IF(Iterations[[#This Row],[Step]] =current_step, current_Grad_b,IF(Iterations[[#This Row],[Step]] &gt; current_step, "",Iterations[[#This Row],[Grad_b]]))</f>
        <v>2.4898040417490209E-3</v>
      </c>
      <c r="P680" s="2">
        <f ca="1">IF(Iterations[[#This Row],[Step]] =current_step, current_Grad_c,IF(Iterations[[#This Row],[Step]] &gt; current_step, "",Iterations[[#This Row],[Grad_c]]))</f>
        <v>-4.0084914978782381E-2</v>
      </c>
      <c r="Q680" s="2">
        <f ca="1">IF(Iterations[[#This Row],[Step]] =current_step, current_Grad_d,IF(Iterations[[#This Row],[Step]] &gt; current_step, "",Iterations[[#This Row],[Grad_d]]))</f>
        <v>-2.284330323335193E-3</v>
      </c>
      <c r="R680" s="2">
        <f ca="1">IF(Iterations[[#This Row],[Step]] =current_step, current_Grad_e,IF(Iterations[[#This Row],[Step]] &gt; current_step, "",Iterations[[#This Row],[Grad_e]]))</f>
        <v>1.429548286774719E-2</v>
      </c>
    </row>
    <row r="681" spans="6:18" x14ac:dyDescent="0.3">
      <c r="F681" s="2">
        <f t="shared" si="12"/>
        <v>664</v>
      </c>
      <c r="G681" s="2">
        <f ca="1">IF(Iterations[[#This Row],[Step]] =current_step, current_a,IF(Iterations[[#This Row],[Step]] &gt; current_step, "",Iterations[[#This Row],[a]]))</f>
        <v>-7.1637375410273716</v>
      </c>
      <c r="H681" s="2">
        <f ca="1">IF(Iterations[[#This Row],[Step]] =current_step, current_b,IF(Iterations[[#This Row],[Step]] &gt; current_step, "",Iterations[[#This Row],[b]]))</f>
        <v>0.36754203021872561</v>
      </c>
      <c r="I681" s="2">
        <f ca="1">IF(Iterations[[#This Row],[Step]] =current_step, current_c,IF(Iterations[[#This Row],[Step]] &gt; current_step, "",Iterations[[#This Row],[c]]))</f>
        <v>20.931686418464817</v>
      </c>
      <c r="J681" s="2">
        <f ca="1">IF(Iterations[[#This Row],[Step]] =current_step, current_d,IF(Iterations[[#This Row],[Step]] &gt; current_step, "",Iterations[[#This Row],[d]]))</f>
        <v>1.1871677141223869</v>
      </c>
      <c r="K681" s="2">
        <f ca="1">IF(Iterations[[#This Row],[Step]] =current_step, current_e,IF(Iterations[[#This Row],[Step]] &gt; current_step, "",Iterations[[#This Row],[e]]))</f>
        <v>11.416353093501808</v>
      </c>
      <c r="L681" s="2">
        <f ca="1">IF(Iterations[[#This Row],[Step]] =current_step, current_Total_Loss,IF(Iterations[[#This Row],[Step]] &gt; current_step, "",Iterations[[#This Row],[Total Loss]]))</f>
        <v>90.61</v>
      </c>
      <c r="M681" s="6" t="s">
        <v>27</v>
      </c>
      <c r="N681" s="2">
        <f ca="1">IF(Iterations[[#This Row],[Step]] =current_step, current_Grad_a,IF(Iterations[[#This Row],[Step]] &gt; current_step, "",Iterations[[#This Row],[Grad_a]]))</f>
        <v>1.419308086688161E-2</v>
      </c>
      <c r="O681" s="2">
        <f ca="1">IF(Iterations[[#This Row],[Step]] =current_step, current_Grad_b,IF(Iterations[[#This Row],[Step]] &gt; current_step, "",Iterations[[#This Row],[Grad_b]]))</f>
        <v>2.4729825040529351E-3</v>
      </c>
      <c r="P681" s="2">
        <f ca="1">IF(Iterations[[#This Row],[Step]] =current_step, current_Grad_c,IF(Iterations[[#This Row],[Step]] &gt; current_step, "",Iterations[[#This Row],[Grad_c]]))</f>
        <v>-3.9813651883154506E-2</v>
      </c>
      <c r="Q681" s="2">
        <f ca="1">IF(Iterations[[#This Row],[Step]] =current_step, current_Grad_d,IF(Iterations[[#This Row],[Step]] &gt; current_step, "",Iterations[[#This Row],[Grad_d]]))</f>
        <v>-2.2689296733088404E-3</v>
      </c>
      <c r="R681" s="2">
        <f ca="1">IF(Iterations[[#This Row],[Step]] =current_step, current_Grad_e,IF(Iterations[[#This Row],[Step]] &gt; current_step, "",Iterations[[#This Row],[Grad_e]]))</f>
        <v>1.4198741496893893E-2</v>
      </c>
    </row>
    <row r="682" spans="6:18" x14ac:dyDescent="0.3">
      <c r="F682" s="2">
        <f t="shared" si="12"/>
        <v>665</v>
      </c>
      <c r="G682" s="2">
        <f ca="1">IF(Iterations[[#This Row],[Step]] =current_step, current_a,IF(Iterations[[#This Row],[Step]] &gt; current_step, "",Iterations[[#This Row],[a]]))</f>
        <v>-7.1647310566880531</v>
      </c>
      <c r="H682" s="2">
        <f ca="1">IF(Iterations[[#This Row],[Step]] =current_step, current_b,IF(Iterations[[#This Row],[Step]] &gt; current_step, "",Iterations[[#This Row],[b]]))</f>
        <v>0.36736892144344191</v>
      </c>
      <c r="I682" s="2">
        <f ca="1">IF(Iterations[[#This Row],[Step]] =current_step, current_c,IF(Iterations[[#This Row],[Step]] &gt; current_step, "",Iterations[[#This Row],[c]]))</f>
        <v>20.934473374096637</v>
      </c>
      <c r="J682" s="2">
        <f ca="1">IF(Iterations[[#This Row],[Step]] =current_step, current_d,IF(Iterations[[#This Row],[Step]] &gt; current_step, "",Iterations[[#This Row],[d]]))</f>
        <v>1.1873265391995185</v>
      </c>
      <c r="K682" s="2">
        <f ca="1">IF(Iterations[[#This Row],[Step]] =current_step, current_e,IF(Iterations[[#This Row],[Step]] &gt; current_step, "",Iterations[[#This Row],[e]]))</f>
        <v>11.415359181597026</v>
      </c>
      <c r="L682" s="2">
        <f ca="1">IF(Iterations[[#This Row],[Step]] =current_step, current_Total_Loss,IF(Iterations[[#This Row],[Step]] &gt; current_step, "",Iterations[[#This Row],[Total Loss]]))</f>
        <v>90.61</v>
      </c>
      <c r="M682" s="6" t="s">
        <v>27</v>
      </c>
      <c r="N682" s="2">
        <f ca="1">IF(Iterations[[#This Row],[Step]] =current_step, current_Grad_a,IF(Iterations[[#This Row],[Step]] &gt; current_step, "",Iterations[[#This Row],[Grad_a]]))</f>
        <v>1.4097035193604378E-2</v>
      </c>
      <c r="O682" s="2">
        <f ca="1">IF(Iterations[[#This Row],[Step]] =current_step, current_Grad_b,IF(Iterations[[#This Row],[Step]] &gt; current_step, "",Iterations[[#This Row],[Grad_b]]))</f>
        <v>2.4562743142717064E-3</v>
      </c>
      <c r="P682" s="2">
        <f ca="1">IF(Iterations[[#This Row],[Step]] =current_step, current_Grad_c,IF(Iterations[[#This Row],[Step]] &gt; current_step, "",Iterations[[#This Row],[Grad_c]]))</f>
        <v>-3.9544224529647641E-2</v>
      </c>
      <c r="Q682" s="2">
        <f ca="1">IF(Iterations[[#This Row],[Step]] =current_step, current_Grad_d,IF(Iterations[[#This Row],[Step]] &gt; current_step, "",Iterations[[#This Row],[Grad_d]]))</f>
        <v>-2.253632213667367E-3</v>
      </c>
      <c r="R682" s="2">
        <f ca="1">IF(Iterations[[#This Row],[Step]] =current_step, current_Grad_e,IF(Iterations[[#This Row],[Step]] &gt; current_step, "",Iterations[[#This Row],[Grad_e]]))</f>
        <v>1.4102654826810342E-2</v>
      </c>
    </row>
    <row r="683" spans="6:18" x14ac:dyDescent="0.3">
      <c r="F683" s="2">
        <f t="shared" si="12"/>
        <v>666</v>
      </c>
      <c r="G683" s="2">
        <f ca="1">IF(Iterations[[#This Row],[Step]] =current_step, current_a,IF(Iterations[[#This Row],[Step]] &gt; current_step, "",Iterations[[#This Row],[a]]))</f>
        <v>-7.1657178491516058</v>
      </c>
      <c r="H683" s="2">
        <f ca="1">IF(Iterations[[#This Row],[Step]] =current_step, current_b,IF(Iterations[[#This Row],[Step]] &gt; current_step, "",Iterations[[#This Row],[b]]))</f>
        <v>0.36719698224144287</v>
      </c>
      <c r="I683" s="2">
        <f ca="1">IF(Iterations[[#This Row],[Step]] =current_step, current_c,IF(Iterations[[#This Row],[Step]] &gt; current_step, "",Iterations[[#This Row],[c]]))</f>
        <v>20.937241469813713</v>
      </c>
      <c r="J683" s="2">
        <f ca="1">IF(Iterations[[#This Row],[Step]] =current_step, current_d,IF(Iterations[[#This Row],[Step]] &gt; current_step, "",Iterations[[#This Row],[d]]))</f>
        <v>1.1874842934544751</v>
      </c>
      <c r="K683" s="2">
        <f ca="1">IF(Iterations[[#This Row],[Step]] =current_step, current_e,IF(Iterations[[#This Row],[Step]] &gt; current_step, "",Iterations[[#This Row],[e]]))</f>
        <v>11.414371995759149</v>
      </c>
      <c r="L683" s="2">
        <f ca="1">IF(Iterations[[#This Row],[Step]] =current_step, current_Total_Loss,IF(Iterations[[#This Row],[Step]] &gt; current_step, "",Iterations[[#This Row],[Total Loss]]))</f>
        <v>90.61</v>
      </c>
      <c r="M683" s="6" t="s">
        <v>27</v>
      </c>
      <c r="N683" s="2">
        <f ca="1">IF(Iterations[[#This Row],[Step]] =current_step, current_Grad_a,IF(Iterations[[#This Row],[Step]] &gt; current_step, "",Iterations[[#This Row],[Grad_a]]))</f>
        <v>1.4001639464534069E-2</v>
      </c>
      <c r="O683" s="2">
        <f ca="1">IF(Iterations[[#This Row],[Step]] =current_step, current_Grad_b,IF(Iterations[[#This Row],[Step]] &gt; current_step, "",Iterations[[#This Row],[Grad_b]]))</f>
        <v>2.4396787139817633E-3</v>
      </c>
      <c r="P683" s="2">
        <f ca="1">IF(Iterations[[#This Row],[Step]] =current_step, current_Grad_c,IF(Iterations[[#This Row],[Step]] &gt; current_step, "",Iterations[[#This Row],[Grad_c]]))</f>
        <v>-3.927662049426528E-2</v>
      </c>
      <c r="Q683" s="2">
        <f ca="1">IF(Iterations[[#This Row],[Step]] =current_step, current_Grad_d,IF(Iterations[[#This Row],[Step]] &gt; current_step, "",Iterations[[#This Row],[Grad_d]]))</f>
        <v>-2.2384372644352582E-3</v>
      </c>
      <c r="R683" s="2">
        <f ca="1">IF(Iterations[[#This Row],[Step]] =current_step, current_Grad_e,IF(Iterations[[#This Row],[Step]] &gt; current_step, "",Iterations[[#This Row],[Grad_e]]))</f>
        <v>1.4007218426309464E-2</v>
      </c>
    </row>
    <row r="684" spans="6:18" x14ac:dyDescent="0.3">
      <c r="F684" s="2">
        <f t="shared" si="12"/>
        <v>667</v>
      </c>
      <c r="G684" s="2">
        <f ca="1">IF(Iterations[[#This Row],[Step]] =current_step, current_a,IF(Iterations[[#This Row],[Step]] &gt; current_step, "",Iterations[[#This Row],[a]]))</f>
        <v>-7.1666979639141228</v>
      </c>
      <c r="H684" s="2">
        <f ca="1">IF(Iterations[[#This Row],[Step]] =current_step, current_b,IF(Iterations[[#This Row],[Step]] &gt; current_step, "",Iterations[[#This Row],[b]]))</f>
        <v>0.36702620473146413</v>
      </c>
      <c r="I684" s="2">
        <f ca="1">IF(Iterations[[#This Row],[Step]] =current_step, current_c,IF(Iterations[[#This Row],[Step]] &gt; current_step, "",Iterations[[#This Row],[c]]))</f>
        <v>20.939990833248313</v>
      </c>
      <c r="J684" s="2">
        <f ca="1">IF(Iterations[[#This Row],[Step]] =current_step, current_d,IF(Iterations[[#This Row],[Step]] &gt; current_step, "",Iterations[[#This Row],[d]]))</f>
        <v>1.1876409840629856</v>
      </c>
      <c r="K684" s="2">
        <f ca="1">IF(Iterations[[#This Row],[Step]] =current_step, current_e,IF(Iterations[[#This Row],[Step]] &gt; current_step, "",Iterations[[#This Row],[e]]))</f>
        <v>11.413391490469307</v>
      </c>
      <c r="L684" s="2">
        <f ca="1">IF(Iterations[[#This Row],[Step]] =current_step, current_Total_Loss,IF(Iterations[[#This Row],[Step]] &gt; current_step, "",Iterations[[#This Row],[Total Loss]]))</f>
        <v>90.61</v>
      </c>
      <c r="M684" s="6" t="s">
        <v>27</v>
      </c>
      <c r="N684" s="2">
        <f ca="1">IF(Iterations[[#This Row],[Step]] =current_step, current_Grad_a,IF(Iterations[[#This Row],[Step]] &gt; current_step, "",Iterations[[#This Row],[Grad_a]]))</f>
        <v>1.390688928154302E-2</v>
      </c>
      <c r="O684" s="2">
        <f ca="1">IF(Iterations[[#This Row],[Step]] =current_step, current_Grad_b,IF(Iterations[[#This Row],[Step]] &gt; current_step, "",Iterations[[#This Row],[Grad_b]]))</f>
        <v>2.4231949497968883E-3</v>
      </c>
      <c r="P684" s="2">
        <f ca="1">IF(Iterations[[#This Row],[Step]] =current_step, current_Grad_c,IF(Iterations[[#This Row],[Step]] &gt; current_step, "",Iterations[[#This Row],[Grad_c]]))</f>
        <v>-3.9010827437089821E-2</v>
      </c>
      <c r="Q684" s="2">
        <f ca="1">IF(Iterations[[#This Row],[Step]] =current_step, current_Grad_d,IF(Iterations[[#This Row],[Step]] &gt; current_step, "",Iterations[[#This Row],[Grad_d]]))</f>
        <v>-2.2233441498849477E-3</v>
      </c>
      <c r="R684" s="2">
        <f ca="1">IF(Iterations[[#This Row],[Step]] =current_step, current_Grad_e,IF(Iterations[[#This Row],[Step]] &gt; current_step, "",Iterations[[#This Row],[Grad_e]]))</f>
        <v>1.3912427894213566E-2</v>
      </c>
    </row>
    <row r="685" spans="6:18" x14ac:dyDescent="0.3">
      <c r="F685" s="2">
        <f t="shared" si="12"/>
        <v>668</v>
      </c>
      <c r="G685" s="2">
        <f ca="1">IF(Iterations[[#This Row],[Step]] =current_step, current_a,IF(Iterations[[#This Row],[Step]] &gt; current_step, "",Iterations[[#This Row],[a]]))</f>
        <v>-7.1676714461638307</v>
      </c>
      <c r="H685" s="2">
        <f ca="1">IF(Iterations[[#This Row],[Step]] =current_step, current_b,IF(Iterations[[#This Row],[Step]] &gt; current_step, "",Iterations[[#This Row],[b]]))</f>
        <v>0.36685658108497837</v>
      </c>
      <c r="I685" s="2">
        <f ca="1">IF(Iterations[[#This Row],[Step]] =current_step, current_c,IF(Iterations[[#This Row],[Step]] &gt; current_step, "",Iterations[[#This Row],[c]]))</f>
        <v>20.942721591168908</v>
      </c>
      <c r="J685" s="2">
        <f ca="1">IF(Iterations[[#This Row],[Step]] =current_step, current_d,IF(Iterations[[#This Row],[Step]] &gt; current_step, "",Iterations[[#This Row],[d]]))</f>
        <v>1.1877966181534776</v>
      </c>
      <c r="K685" s="2">
        <f ca="1">IF(Iterations[[#This Row],[Step]] =current_step, current_e,IF(Iterations[[#This Row],[Step]] &gt; current_step, "",Iterations[[#This Row],[e]]))</f>
        <v>11.412417620516711</v>
      </c>
      <c r="L685" s="2">
        <f ca="1">IF(Iterations[[#This Row],[Step]] =current_step, current_Total_Loss,IF(Iterations[[#This Row],[Step]] &gt; current_step, "",Iterations[[#This Row],[Total Loss]]))</f>
        <v>90.6</v>
      </c>
      <c r="M685" s="6" t="s">
        <v>27</v>
      </c>
      <c r="N685" s="2">
        <f ca="1">IF(Iterations[[#This Row],[Step]] =current_step, current_Grad_a,IF(Iterations[[#This Row],[Step]] &gt; current_step, "",Iterations[[#This Row],[Grad_a]]))</f>
        <v>1.38127802762174E-2</v>
      </c>
      <c r="O685" s="2">
        <f ca="1">IF(Iterations[[#This Row],[Step]] =current_step, current_Grad_b,IF(Iterations[[#This Row],[Step]] &gt; current_step, "",Iterations[[#This Row],[Grad_b]]))</f>
        <v>2.406822273277499E-3</v>
      </c>
      <c r="P685" s="2">
        <f ca="1">IF(Iterations[[#This Row],[Step]] =current_step, current_Grad_c,IF(Iterations[[#This Row],[Step]] &gt; current_step, "",Iterations[[#This Row],[Grad_c]]))</f>
        <v>-3.8746833101747931E-2</v>
      </c>
      <c r="Q685" s="2">
        <f ca="1">IF(Iterations[[#This Row],[Step]] =current_step, current_Grad_d,IF(Iterations[[#This Row],[Step]] &gt; current_step, "",Iterations[[#This Row],[Grad_d]]))</f>
        <v>-2.2083521985453037E-3</v>
      </c>
      <c r="R685" s="2">
        <f ca="1">IF(Iterations[[#This Row],[Step]] =current_step, current_Grad_e,IF(Iterations[[#This Row],[Step]] &gt; current_step, "",Iterations[[#This Row],[Grad_e]]))</f>
        <v>1.3818278859139986E-2</v>
      </c>
    </row>
    <row r="686" spans="6:18" x14ac:dyDescent="0.3">
      <c r="F686" s="2">
        <f t="shared" si="12"/>
        <v>669</v>
      </c>
      <c r="G686" s="2">
        <f ca="1">IF(Iterations[[#This Row],[Step]] =current_step, current_a,IF(Iterations[[#This Row],[Step]] &gt; current_step, "",Iterations[[#This Row],[a]]))</f>
        <v>-7.1686383407831658</v>
      </c>
      <c r="H686" s="2">
        <f ca="1">IF(Iterations[[#This Row],[Step]] =current_step, current_b,IF(Iterations[[#This Row],[Step]] &gt; current_step, "",Iterations[[#This Row],[b]]))</f>
        <v>0.36668810352584896</v>
      </c>
      <c r="I686" s="2">
        <f ca="1">IF(Iterations[[#This Row],[Step]] =current_step, current_c,IF(Iterations[[#This Row],[Step]] &gt; current_step, "",Iterations[[#This Row],[c]]))</f>
        <v>20.945433869486031</v>
      </c>
      <c r="J686" s="2">
        <f ca="1">IF(Iterations[[#This Row],[Step]] =current_step, current_d,IF(Iterations[[#This Row],[Step]] &gt; current_step, "",Iterations[[#This Row],[d]]))</f>
        <v>1.1879512028073758</v>
      </c>
      <c r="K686" s="2">
        <f ca="1">IF(Iterations[[#This Row],[Step]] =current_step, current_e,IF(Iterations[[#This Row],[Step]] &gt; current_step, "",Iterations[[#This Row],[e]]))</f>
        <v>11.411450340996572</v>
      </c>
      <c r="L686" s="2">
        <f ca="1">IF(Iterations[[#This Row],[Step]] =current_step, current_Total_Loss,IF(Iterations[[#This Row],[Step]] &gt; current_step, "",Iterations[[#This Row],[Total Loss]]))</f>
        <v>90.6</v>
      </c>
      <c r="M686" s="6" t="s">
        <v>27</v>
      </c>
      <c r="N686" s="2">
        <f ca="1">IF(Iterations[[#This Row],[Step]] =current_step, current_Grad_a,IF(Iterations[[#This Row],[Step]] &gt; current_step, "",Iterations[[#This Row],[Grad_a]]))</f>
        <v>1.3719308109947913E-2</v>
      </c>
      <c r="O686" s="2">
        <f ca="1">IF(Iterations[[#This Row],[Step]] =current_step, current_Grad_b,IF(Iterations[[#This Row],[Step]] &gt; current_step, "",Iterations[[#This Row],[Grad_b]]))</f>
        <v>2.3905599407851121E-3</v>
      </c>
      <c r="P686" s="2">
        <f ca="1">IF(Iterations[[#This Row],[Step]] =current_step, current_Grad_c,IF(Iterations[[#This Row],[Step]] &gt; current_step, "",Iterations[[#This Row],[Grad_c]]))</f>
        <v>-3.8484625314735399E-2</v>
      </c>
      <c r="Q686" s="2">
        <f ca="1">IF(Iterations[[#This Row],[Step]] =current_step, current_Grad_d,IF(Iterations[[#This Row],[Step]] &gt; current_step, "",Iterations[[#This Row],[Grad_d]]))</f>
        <v>-2.1934607432147232E-3</v>
      </c>
      <c r="R686" s="2">
        <f ca="1">IF(Iterations[[#This Row],[Step]] =current_step, current_Grad_e,IF(Iterations[[#This Row],[Step]] &gt; current_step, "",Iterations[[#This Row],[Grad_e]]))</f>
        <v>1.3724766979339739E-2</v>
      </c>
    </row>
    <row r="687" spans="6:18" x14ac:dyDescent="0.3">
      <c r="F687" s="2">
        <f t="shared" si="12"/>
        <v>670</v>
      </c>
      <c r="G687" s="2">
        <f ca="1">IF(Iterations[[#This Row],[Step]] =current_step, current_a,IF(Iterations[[#This Row],[Step]] &gt; current_step, "",Iterations[[#This Row],[a]]))</f>
        <v>-7.1695986923508617</v>
      </c>
      <c r="H687" s="2">
        <f ca="1">IF(Iterations[[#This Row],[Step]] =current_step, current_b,IF(Iterations[[#This Row],[Step]] &gt; current_step, "",Iterations[[#This Row],[b]]))</f>
        <v>0.36652076432999403</v>
      </c>
      <c r="I687" s="2">
        <f ca="1">IF(Iterations[[#This Row],[Step]] =current_step, current_c,IF(Iterations[[#This Row],[Step]] &gt; current_step, "",Iterations[[#This Row],[c]]))</f>
        <v>20.948127793258063</v>
      </c>
      <c r="J687" s="2">
        <f ca="1">IF(Iterations[[#This Row],[Step]] =current_step, current_d,IF(Iterations[[#This Row],[Step]] &gt; current_step, "",Iterations[[#This Row],[d]]))</f>
        <v>1.1881047450594009</v>
      </c>
      <c r="K687" s="2">
        <f ca="1">IF(Iterations[[#This Row],[Step]] =current_step, current_e,IF(Iterations[[#This Row],[Step]] &gt; current_step, "",Iterations[[#This Row],[e]]))</f>
        <v>11.410489607308017</v>
      </c>
      <c r="L687" s="2">
        <f ca="1">IF(Iterations[[#This Row],[Step]] =current_step, current_Total_Loss,IF(Iterations[[#This Row],[Step]] &gt; current_step, "",Iterations[[#This Row],[Total Loss]]))</f>
        <v>90.6</v>
      </c>
      <c r="M687" s="6" t="s">
        <v>27</v>
      </c>
      <c r="N687" s="2">
        <f ca="1">IF(Iterations[[#This Row],[Step]] =current_step, current_Grad_a,IF(Iterations[[#This Row],[Step]] &gt; current_step, "",Iterations[[#This Row],[Grad_a]]))</f>
        <v>1.3626468473029174E-2</v>
      </c>
      <c r="O687" s="2">
        <f ca="1">IF(Iterations[[#This Row],[Step]] =current_step, current_Grad_b,IF(Iterations[[#This Row],[Step]] &gt; current_step, "",Iterations[[#This Row],[Grad_b]]))</f>
        <v>2.3744072137692968E-3</v>
      </c>
      <c r="P687" s="2">
        <f ca="1">IF(Iterations[[#This Row],[Step]] =current_step, current_Grad_c,IF(Iterations[[#This Row],[Step]] &gt; current_step, "",Iterations[[#This Row],[Grad_c]]))</f>
        <v>-3.8224191985132085E-2</v>
      </c>
      <c r="Q687" s="2">
        <f ca="1">IF(Iterations[[#This Row],[Step]] =current_step, current_Grad_d,IF(Iterations[[#This Row],[Step]] &gt; current_step, "",Iterations[[#This Row],[Grad_d]]))</f>
        <v>-2.1786691208252667E-3</v>
      </c>
      <c r="R687" s="2">
        <f ca="1">IF(Iterations[[#This Row],[Step]] =current_step, current_Grad_e,IF(Iterations[[#This Row],[Step]] &gt; current_step, "",Iterations[[#This Row],[Grad_e]]))</f>
        <v>1.3631887942373034E-2</v>
      </c>
    </row>
    <row r="688" spans="6:18" x14ac:dyDescent="0.3">
      <c r="F688" s="2">
        <f t="shared" si="12"/>
        <v>671</v>
      </c>
      <c r="G688" s="2">
        <f ca="1">IF(Iterations[[#This Row],[Step]] =current_step, current_a,IF(Iterations[[#This Row],[Step]] &gt; current_step, "",Iterations[[#This Row],[a]]))</f>
        <v>-7.1705525451439733</v>
      </c>
      <c r="H688" s="2">
        <f ca="1">IF(Iterations[[#This Row],[Step]] =current_step, current_b,IF(Iterations[[#This Row],[Step]] &gt; current_step, "",Iterations[[#This Row],[b]]))</f>
        <v>0.36635455582503018</v>
      </c>
      <c r="I688" s="2">
        <f ca="1">IF(Iterations[[#This Row],[Step]] =current_step, current_c,IF(Iterations[[#This Row],[Step]] &gt; current_step, "",Iterations[[#This Row],[c]]))</f>
        <v>20.950803486697023</v>
      </c>
      <c r="J688" s="2">
        <f ca="1">IF(Iterations[[#This Row],[Step]] =current_step, current_d,IF(Iterations[[#This Row],[Step]] &gt; current_step, "",Iterations[[#This Row],[d]]))</f>
        <v>1.1882572518978587</v>
      </c>
      <c r="K688" s="2">
        <f ca="1">IF(Iterations[[#This Row],[Step]] =current_step, current_e,IF(Iterations[[#This Row],[Step]] &gt; current_step, "",Iterations[[#This Row],[e]]))</f>
        <v>11.409535375152052</v>
      </c>
      <c r="L688" s="2">
        <f ca="1">IF(Iterations[[#This Row],[Step]] =current_step, current_Total_Loss,IF(Iterations[[#This Row],[Step]] &gt; current_step, "",Iterations[[#This Row],[Total Loss]]))</f>
        <v>90.6</v>
      </c>
      <c r="M688" s="6" t="s">
        <v>27</v>
      </c>
      <c r="N688" s="2">
        <f ca="1">IF(Iterations[[#This Row],[Step]] =current_step, current_Grad_a,IF(Iterations[[#This Row],[Step]] &gt; current_step, "",Iterations[[#This Row],[Grad_a]]))</f>
        <v>1.3534257085434974E-2</v>
      </c>
      <c r="O688" s="2">
        <f ca="1">IF(Iterations[[#This Row],[Step]] =current_step, current_Grad_b,IF(Iterations[[#This Row],[Step]] &gt; current_step, "",Iterations[[#This Row],[Grad_b]]))</f>
        <v>2.3583633583374513E-3</v>
      </c>
      <c r="P688" s="2">
        <f ca="1">IF(Iterations[[#This Row],[Step]] =current_step, current_Grad_c,IF(Iterations[[#This Row],[Step]] &gt; current_step, "",Iterations[[#This Row],[Grad_c]]))</f>
        <v>-3.7965521103652887E-2</v>
      </c>
      <c r="Q688" s="2">
        <f ca="1">IF(Iterations[[#This Row],[Step]] =current_step, current_Grad_d,IF(Iterations[[#This Row],[Step]] &gt; current_step, "",Iterations[[#This Row],[Grad_d]]))</f>
        <v>-2.1639766725610248E-3</v>
      </c>
      <c r="R688" s="2">
        <f ca="1">IF(Iterations[[#This Row],[Step]] =current_step, current_Grad_e,IF(Iterations[[#This Row],[Step]] &gt; current_step, "",Iterations[[#This Row],[Grad_e]]))</f>
        <v>1.35396374650931E-2</v>
      </c>
    </row>
    <row r="689" spans="6:18" x14ac:dyDescent="0.3">
      <c r="F689" s="2">
        <f t="shared" si="12"/>
        <v>672</v>
      </c>
      <c r="G689" s="2">
        <f ca="1">IF(Iterations[[#This Row],[Step]] =current_step, current_a,IF(Iterations[[#This Row],[Step]] &gt; current_step, "",Iterations[[#This Row],[a]]))</f>
        <v>-7.1714999431399535</v>
      </c>
      <c r="H689" s="2">
        <f ca="1">IF(Iterations[[#This Row],[Step]] =current_step, current_b,IF(Iterations[[#This Row],[Step]] &gt; current_step, "",Iterations[[#This Row],[b]]))</f>
        <v>0.36618947038994654</v>
      </c>
      <c r="I689" s="2">
        <f ca="1">IF(Iterations[[#This Row],[Step]] =current_step, current_c,IF(Iterations[[#This Row],[Step]] &gt; current_step, "",Iterations[[#This Row],[c]]))</f>
        <v>20.953461073174278</v>
      </c>
      <c r="J689" s="2">
        <f ca="1">IF(Iterations[[#This Row],[Step]] =current_step, current_d,IF(Iterations[[#This Row],[Step]] &gt; current_step, "",Iterations[[#This Row],[d]]))</f>
        <v>1.188408730264938</v>
      </c>
      <c r="K689" s="2">
        <f ca="1">IF(Iterations[[#This Row],[Step]] =current_step, current_e,IF(Iterations[[#This Row],[Step]] &gt; current_step, "",Iterations[[#This Row],[e]]))</f>
        <v>11.408587600529495</v>
      </c>
      <c r="L689" s="2">
        <f ca="1">IF(Iterations[[#This Row],[Step]] =current_step, current_Total_Loss,IF(Iterations[[#This Row],[Step]] &gt; current_step, "",Iterations[[#This Row],[Total Loss]]))</f>
        <v>90.59</v>
      </c>
      <c r="M689" s="6" t="s">
        <v>27</v>
      </c>
      <c r="N689" s="2">
        <f ca="1">IF(Iterations[[#This Row],[Step]] =current_step, current_Grad_a,IF(Iterations[[#This Row],[Step]] &gt; current_step, "",Iterations[[#This Row],[Grad_a]]))</f>
        <v>1.3442669695650396E-2</v>
      </c>
      <c r="O689" s="2">
        <f ca="1">IF(Iterations[[#This Row],[Step]] =current_step, current_Grad_b,IF(Iterations[[#This Row],[Step]] &gt; current_step, "",Iterations[[#This Row],[Grad_b]]))</f>
        <v>2.3424276455412179E-3</v>
      </c>
      <c r="P689" s="2">
        <f ca="1">IF(Iterations[[#This Row],[Step]] =current_step, current_Grad_c,IF(Iterations[[#This Row],[Step]] &gt; current_step, "",Iterations[[#This Row],[Grad_c]]))</f>
        <v>-3.7708600742486546E-2</v>
      </c>
      <c r="Q689" s="2">
        <f ca="1">IF(Iterations[[#This Row],[Step]] =current_step, current_Grad_d,IF(Iterations[[#This Row],[Step]] &gt; current_step, "",Iterations[[#This Row],[Grad_d]]))</f>
        <v>-2.1493827437275631E-3</v>
      </c>
      <c r="R689" s="2">
        <f ca="1">IF(Iterations[[#This Row],[Step]] =current_step, current_Grad_e,IF(Iterations[[#This Row],[Step]] &gt; current_step, "",Iterations[[#This Row],[Grad_e]]))</f>
        <v>1.3448011293261885E-2</v>
      </c>
    </row>
    <row r="690" spans="6:18" x14ac:dyDescent="0.3">
      <c r="F690" s="2">
        <f t="shared" si="12"/>
        <v>673</v>
      </c>
      <c r="G690" s="2">
        <f ca="1">IF(Iterations[[#This Row],[Step]] =current_step, current_a,IF(Iterations[[#This Row],[Step]] &gt; current_step, "",Iterations[[#This Row],[a]]))</f>
        <v>-7.1724409300186487</v>
      </c>
      <c r="H690" s="2">
        <f ca="1">IF(Iterations[[#This Row],[Step]] =current_step, current_b,IF(Iterations[[#This Row],[Step]] &gt; current_step, "",Iterations[[#This Row],[b]]))</f>
        <v>0.36602550045475868</v>
      </c>
      <c r="I690" s="2">
        <f ca="1">IF(Iterations[[#This Row],[Step]] =current_step, current_c,IF(Iterations[[#This Row],[Step]] &gt; current_step, "",Iterations[[#This Row],[c]]))</f>
        <v>20.956100675226253</v>
      </c>
      <c r="J690" s="2">
        <f ca="1">IF(Iterations[[#This Row],[Step]] =current_step, current_d,IF(Iterations[[#This Row],[Step]] &gt; current_step, "",Iterations[[#This Row],[d]]))</f>
        <v>1.1885591870569989</v>
      </c>
      <c r="K690" s="2">
        <f ca="1">IF(Iterations[[#This Row],[Step]] =current_step, current_e,IF(Iterations[[#This Row],[Step]] &gt; current_step, "",Iterations[[#This Row],[e]]))</f>
        <v>11.407646239738966</v>
      </c>
      <c r="L690" s="2">
        <f ca="1">IF(Iterations[[#This Row],[Step]] =current_step, current_Total_Loss,IF(Iterations[[#This Row],[Step]] &gt; current_step, "",Iterations[[#This Row],[Total Loss]]))</f>
        <v>90.59</v>
      </c>
      <c r="M690" s="6" t="s">
        <v>27</v>
      </c>
      <c r="N690" s="2">
        <f ca="1">IF(Iterations[[#This Row],[Step]] =current_step, current_Grad_a,IF(Iterations[[#This Row],[Step]] &gt; current_step, "",Iterations[[#This Row],[Grad_a]]))</f>
        <v>1.3351702081275748E-2</v>
      </c>
      <c r="O690" s="2">
        <f ca="1">IF(Iterations[[#This Row],[Step]] =current_step, current_Grad_b,IF(Iterations[[#This Row],[Step]] &gt; current_step, "",Iterations[[#This Row],[Grad_b]]))</f>
        <v>2.3265993511832773E-3</v>
      </c>
      <c r="P690" s="2">
        <f ca="1">IF(Iterations[[#This Row],[Step]] =current_step, current_Grad_c,IF(Iterations[[#This Row],[Step]] &gt; current_step, "",Iterations[[#This Row],[Grad_c]]))</f>
        <v>-3.7453419054414433E-2</v>
      </c>
      <c r="Q690" s="2">
        <f ca="1">IF(Iterations[[#This Row],[Step]] =current_step, current_Grad_d,IF(Iterations[[#This Row],[Step]] &gt; current_step, "",Iterations[[#This Row],[Grad_d]]))</f>
        <v>-2.134886683777204E-3</v>
      </c>
      <c r="R690" s="2">
        <f ca="1">IF(Iterations[[#This Row],[Step]] =current_step, current_Grad_e,IF(Iterations[[#This Row],[Step]] &gt; current_step, "",Iterations[[#This Row],[Grad_e]]))</f>
        <v>1.3357005201514048E-2</v>
      </c>
    </row>
    <row r="691" spans="6:18" x14ac:dyDescent="0.3">
      <c r="F691" s="2">
        <f t="shared" si="12"/>
        <v>674</v>
      </c>
      <c r="G691" s="2">
        <f ca="1">IF(Iterations[[#This Row],[Step]] =current_step, current_a,IF(Iterations[[#This Row],[Step]] &gt; current_step, "",Iterations[[#This Row],[a]]))</f>
        <v>-7.1733755491643381</v>
      </c>
      <c r="H691" s="2">
        <f ca="1">IF(Iterations[[#This Row],[Step]] =current_step, current_b,IF(Iterations[[#This Row],[Step]] &gt; current_step, "",Iterations[[#This Row],[b]]))</f>
        <v>0.36586263850017586</v>
      </c>
      <c r="I691" s="2">
        <f ca="1">IF(Iterations[[#This Row],[Step]] =current_step, current_c,IF(Iterations[[#This Row],[Step]] &gt; current_step, "",Iterations[[#This Row],[c]]))</f>
        <v>20.958722414560061</v>
      </c>
      <c r="J691" s="2">
        <f ca="1">IF(Iterations[[#This Row],[Step]] =current_step, current_d,IF(Iterations[[#This Row],[Step]] &gt; current_step, "",Iterations[[#This Row],[d]]))</f>
        <v>1.1887086291248634</v>
      </c>
      <c r="K691" s="2">
        <f ca="1">IF(Iterations[[#This Row],[Step]] =current_step, current_e,IF(Iterations[[#This Row],[Step]] &gt; current_step, "",Iterations[[#This Row],[e]]))</f>
        <v>11.40671124937486</v>
      </c>
      <c r="L691" s="2">
        <f ca="1">IF(Iterations[[#This Row],[Step]] =current_step, current_Total_Loss,IF(Iterations[[#This Row],[Step]] &gt; current_step, "",Iterations[[#This Row],[Total Loss]]))</f>
        <v>90.59</v>
      </c>
      <c r="M691" s="6" t="s">
        <v>27</v>
      </c>
      <c r="N691" s="2">
        <f ca="1">IF(Iterations[[#This Row],[Step]] =current_step, current_Grad_a,IF(Iterations[[#This Row],[Step]] &gt; current_step, "",Iterations[[#This Row],[Grad_a]]))</f>
        <v>1.3261350048233304E-2</v>
      </c>
      <c r="O691" s="2">
        <f ca="1">IF(Iterations[[#This Row],[Step]] =current_step, current_Grad_b,IF(Iterations[[#This Row],[Step]] &gt; current_step, "",Iterations[[#This Row],[Grad_b]]))</f>
        <v>2.3108777558458688E-3</v>
      </c>
      <c r="P691" s="2">
        <f ca="1">IF(Iterations[[#This Row],[Step]] =current_step, current_Grad_c,IF(Iterations[[#This Row],[Step]] &gt; current_step, "",Iterations[[#This Row],[Grad_c]]))</f>
        <v>-3.7199964272519211E-2</v>
      </c>
      <c r="Q691" s="2">
        <f ca="1">IF(Iterations[[#This Row],[Step]] =current_step, current_Grad_d,IF(Iterations[[#This Row],[Step]] &gt; current_step, "",Iterations[[#This Row],[Grad_d]]))</f>
        <v>-2.1204878462783728E-3</v>
      </c>
      <c r="R691" s="2">
        <f ca="1">IF(Iterations[[#This Row],[Step]] =current_step, current_Grad_e,IF(Iterations[[#This Row],[Step]] &gt; current_step, "",Iterations[[#This Row],[Grad_e]]))</f>
        <v>1.3266614993035239E-2</v>
      </c>
    </row>
    <row r="692" spans="6:18" x14ac:dyDescent="0.3">
      <c r="F692" s="2">
        <f t="shared" si="12"/>
        <v>675</v>
      </c>
      <c r="G692" s="2">
        <f ca="1">IF(Iterations[[#This Row],[Step]] =current_step, current_a,IF(Iterations[[#This Row],[Step]] &gt; current_step, "",Iterations[[#This Row],[a]]))</f>
        <v>-7.1743038436677145</v>
      </c>
      <c r="H692" s="2">
        <f ca="1">IF(Iterations[[#This Row],[Step]] =current_step, current_b,IF(Iterations[[#This Row],[Step]] &gt; current_step, "",Iterations[[#This Row],[b]]))</f>
        <v>0.36570087705726667</v>
      </c>
      <c r="I692" s="2">
        <f ca="1">IF(Iterations[[#This Row],[Step]] =current_step, current_c,IF(Iterations[[#This Row],[Step]] &gt; current_step, "",Iterations[[#This Row],[c]]))</f>
        <v>20.961326412059137</v>
      </c>
      <c r="J692" s="2">
        <f ca="1">IF(Iterations[[#This Row],[Step]] =current_step, current_d,IF(Iterations[[#This Row],[Step]] &gt; current_step, "",Iterations[[#This Row],[d]]))</f>
        <v>1.1888570632741029</v>
      </c>
      <c r="K692" s="2">
        <f ca="1">IF(Iterations[[#This Row],[Step]] =current_step, current_e,IF(Iterations[[#This Row],[Step]] &gt; current_step, "",Iterations[[#This Row],[e]]))</f>
        <v>11.405782586325348</v>
      </c>
      <c r="L692" s="2">
        <f ca="1">IF(Iterations[[#This Row],[Step]] =current_step, current_Total_Loss,IF(Iterations[[#This Row],[Step]] &gt; current_step, "",Iterations[[#This Row],[Total Loss]]))</f>
        <v>90.59</v>
      </c>
      <c r="M692" s="6" t="s">
        <v>27</v>
      </c>
      <c r="N692" s="2">
        <f ca="1">IF(Iterations[[#This Row],[Step]] =current_step, current_Grad_a,IF(Iterations[[#This Row],[Step]] &gt; current_step, "",Iterations[[#This Row],[Grad_a]]))</f>
        <v>1.3171609430992777E-2</v>
      </c>
      <c r="O692" s="2">
        <f ca="1">IF(Iterations[[#This Row],[Step]] =current_step, current_Grad_b,IF(Iterations[[#This Row],[Step]] &gt; current_step, "",Iterations[[#This Row],[Grad_b]]))</f>
        <v>2.2952621448490479E-3</v>
      </c>
      <c r="P692" s="2">
        <f ca="1">IF(Iterations[[#This Row],[Step]] =current_step, current_Grad_c,IF(Iterations[[#This Row],[Step]] &gt; current_step, "",Iterations[[#This Row],[Grad_c]]))</f>
        <v>-3.6948224709455607E-2</v>
      </c>
      <c r="Q692" s="2">
        <f ca="1">IF(Iterations[[#This Row],[Step]] =current_step, current_Grad_d,IF(Iterations[[#This Row],[Step]] &gt; current_step, "",Iterations[[#This Row],[Grad_d]]))</f>
        <v>-2.1061855888852379E-3</v>
      </c>
      <c r="R692" s="2">
        <f ca="1">IF(Iterations[[#This Row],[Step]] =current_step, current_Grad_e,IF(Iterations[[#This Row],[Step]] &gt; current_step, "",Iterations[[#This Row],[Grad_e]]))</f>
        <v>1.3176836499464094E-2</v>
      </c>
    </row>
    <row r="693" spans="6:18" x14ac:dyDescent="0.3">
      <c r="F693" s="2">
        <f t="shared" si="12"/>
        <v>676</v>
      </c>
      <c r="G693" s="2">
        <f ca="1">IF(Iterations[[#This Row],[Step]] =current_step, current_a,IF(Iterations[[#This Row],[Step]] &gt; current_step, "",Iterations[[#This Row],[a]]))</f>
        <v>-7.1752258563278843</v>
      </c>
      <c r="H693" s="2">
        <f ca="1">IF(Iterations[[#This Row],[Step]] =current_step, current_b,IF(Iterations[[#This Row],[Step]] &gt; current_step, "",Iterations[[#This Row],[b]]))</f>
        <v>0.36554020870712722</v>
      </c>
      <c r="I693" s="2">
        <f ca="1">IF(Iterations[[#This Row],[Step]] =current_step, current_c,IF(Iterations[[#This Row],[Step]] &gt; current_step, "",Iterations[[#This Row],[c]]))</f>
        <v>20.9639127877888</v>
      </c>
      <c r="J693" s="2">
        <f ca="1">IF(Iterations[[#This Row],[Step]] =current_step, current_d,IF(Iterations[[#This Row],[Step]] &gt; current_step, "",Iterations[[#This Row],[d]]))</f>
        <v>1.1890044962653248</v>
      </c>
      <c r="K693" s="2">
        <f ca="1">IF(Iterations[[#This Row],[Step]] =current_step, current_e,IF(Iterations[[#This Row],[Step]] &gt; current_step, "",Iterations[[#This Row],[e]]))</f>
        <v>11.404860207770385</v>
      </c>
      <c r="L693" s="2">
        <f ca="1">IF(Iterations[[#This Row],[Step]] =current_step, current_Total_Loss,IF(Iterations[[#This Row],[Step]] &gt; current_step, "",Iterations[[#This Row],[Total Loss]]))</f>
        <v>90.58</v>
      </c>
      <c r="M693" s="6" t="s">
        <v>27</v>
      </c>
      <c r="N693" s="2">
        <f ca="1">IF(Iterations[[#This Row],[Step]] =current_step, current_Grad_a,IF(Iterations[[#This Row],[Step]] &gt; current_step, "",Iterations[[#This Row],[Grad_a]]))</f>
        <v>1.3082476092108934E-2</v>
      </c>
      <c r="O693" s="2">
        <f ca="1">IF(Iterations[[#This Row],[Step]] =current_step, current_Grad_b,IF(Iterations[[#This Row],[Step]] &gt; current_step, "",Iterations[[#This Row],[Grad_b]]))</f>
        <v>2.2797518081893761E-3</v>
      </c>
      <c r="P693" s="2">
        <f ca="1">IF(Iterations[[#This Row],[Step]] =current_step, current_Grad_c,IF(Iterations[[#This Row],[Step]] &gt; current_step, "",Iterations[[#This Row],[Grad_c]]))</f>
        <v>-3.6698188757039306E-2</v>
      </c>
      <c r="Q693" s="2">
        <f ca="1">IF(Iterations[[#This Row],[Step]] =current_step, current_Grad_d,IF(Iterations[[#This Row],[Step]] &gt; current_step, "",Iterations[[#This Row],[Grad_d]]))</f>
        <v>-2.0919792733354006E-3</v>
      </c>
      <c r="R693" s="2">
        <f ca="1">IF(Iterations[[#This Row],[Step]] =current_step, current_Grad_e,IF(Iterations[[#This Row],[Step]] &gt; current_step, "",Iterations[[#This Row],[Grad_e]]))</f>
        <v>1.3087665580626585E-2</v>
      </c>
    </row>
    <row r="694" spans="6:18" x14ac:dyDescent="0.3">
      <c r="F694" s="2">
        <f t="shared" si="12"/>
        <v>677</v>
      </c>
      <c r="G694" s="2">
        <f ca="1">IF(Iterations[[#This Row],[Step]] =current_step, current_a,IF(Iterations[[#This Row],[Step]] &gt; current_step, "",Iterations[[#This Row],[a]]))</f>
        <v>-7.1761416296543317</v>
      </c>
      <c r="H694" s="2">
        <f ca="1">IF(Iterations[[#This Row],[Step]] =current_step, current_b,IF(Iterations[[#This Row],[Step]] &gt; current_step, "",Iterations[[#This Row],[b]]))</f>
        <v>0.36538062608055399</v>
      </c>
      <c r="I694" s="2">
        <f ca="1">IF(Iterations[[#This Row],[Step]] =current_step, current_c,IF(Iterations[[#This Row],[Step]] &gt; current_step, "",Iterations[[#This Row],[c]]))</f>
        <v>20.966481661001794</v>
      </c>
      <c r="J694" s="2">
        <f ca="1">IF(Iterations[[#This Row],[Step]] =current_step, current_d,IF(Iterations[[#This Row],[Step]] &gt; current_step, "",Iterations[[#This Row],[d]]))</f>
        <v>1.1891509348144582</v>
      </c>
      <c r="K694" s="2">
        <f ca="1">IF(Iterations[[#This Row],[Step]] =current_step, current_e,IF(Iterations[[#This Row],[Step]] &gt; current_step, "",Iterations[[#This Row],[e]]))</f>
        <v>11.40394407117974</v>
      </c>
      <c r="L694" s="2">
        <f ca="1">IF(Iterations[[#This Row],[Step]] =current_step, current_Total_Loss,IF(Iterations[[#This Row],[Step]] &gt; current_step, "",Iterations[[#This Row],[Total Loss]]))</f>
        <v>90.58</v>
      </c>
      <c r="M694" s="6" t="s">
        <v>27</v>
      </c>
      <c r="N694" s="2">
        <f ca="1">IF(Iterations[[#This Row],[Step]] =current_step, current_Grad_a,IF(Iterations[[#This Row],[Step]] &gt; current_step, "",Iterations[[#This Row],[Grad_a]]))</f>
        <v>1.2993945922165542E-2</v>
      </c>
      <c r="O694" s="2">
        <f ca="1">IF(Iterations[[#This Row],[Step]] =current_step, current_Grad_b,IF(Iterations[[#This Row],[Step]] &gt; current_step, "",Iterations[[#This Row],[Grad_b]]))</f>
        <v>2.2643460405690329E-3</v>
      </c>
      <c r="P694" s="2">
        <f ca="1">IF(Iterations[[#This Row],[Step]] =current_step, current_Grad_c,IF(Iterations[[#This Row],[Step]] &gt; current_step, "",Iterations[[#This Row],[Grad_c]]))</f>
        <v>-3.6449844885640133E-2</v>
      </c>
      <c r="Q694" s="2">
        <f ca="1">IF(Iterations[[#This Row],[Step]] =current_step, current_Grad_d,IF(Iterations[[#This Row],[Step]] &gt; current_step, "",Iterations[[#This Row],[Grad_d]]))</f>
        <v>-2.0778682654002834E-3</v>
      </c>
      <c r="R694" s="2">
        <f ca="1">IF(Iterations[[#This Row],[Step]] =current_step, current_Grad_e,IF(Iterations[[#This Row],[Step]] &gt; current_step, "",Iterations[[#This Row],[Grad_e]]))</f>
        <v>1.2999098124392618E-2</v>
      </c>
    </row>
    <row r="695" spans="6:18" x14ac:dyDescent="0.3">
      <c r="F695" s="2">
        <f t="shared" ref="F695:F758" si="13">F694+1</f>
        <v>678</v>
      </c>
      <c r="G695" s="2">
        <f ca="1">IF(Iterations[[#This Row],[Step]] =current_step, current_a,IF(Iterations[[#This Row],[Step]] &gt; current_step, "",Iterations[[#This Row],[a]]))</f>
        <v>-7.1770512058688833</v>
      </c>
      <c r="H695" s="2">
        <f ca="1">IF(Iterations[[#This Row],[Step]] =current_step, current_b,IF(Iterations[[#This Row],[Step]] &gt; current_step, "",Iterations[[#This Row],[b]]))</f>
        <v>0.36522212185771419</v>
      </c>
      <c r="I695" s="2">
        <f ca="1">IF(Iterations[[#This Row],[Step]] =current_step, current_c,IF(Iterations[[#This Row],[Step]] &gt; current_step, "",Iterations[[#This Row],[c]]))</f>
        <v>20.969033150143787</v>
      </c>
      <c r="J695" s="2">
        <f ca="1">IF(Iterations[[#This Row],[Step]] =current_step, current_d,IF(Iterations[[#This Row],[Step]] &gt; current_step, "",Iterations[[#This Row],[d]]))</f>
        <v>1.1892963855930363</v>
      </c>
      <c r="K695" s="2">
        <f ca="1">IF(Iterations[[#This Row],[Step]] =current_step, current_e,IF(Iterations[[#This Row],[Step]] &gt; current_step, "",Iterations[[#This Row],[e]]))</f>
        <v>11.403034134311033</v>
      </c>
      <c r="L695" s="2">
        <f ca="1">IF(Iterations[[#This Row],[Step]] =current_step, current_Total_Loss,IF(Iterations[[#This Row],[Step]] &gt; current_step, "",Iterations[[#This Row],[Total Loss]]))</f>
        <v>90.58</v>
      </c>
      <c r="M695" s="6" t="s">
        <v>27</v>
      </c>
      <c r="N695" s="2">
        <f ca="1">IF(Iterations[[#This Row],[Step]] =current_step, current_Grad_a,IF(Iterations[[#This Row],[Step]] &gt; current_step, "",Iterations[[#This Row],[Grad_a]]))</f>
        <v>1.2906014839577849E-2</v>
      </c>
      <c r="O695" s="2">
        <f ca="1">IF(Iterations[[#This Row],[Step]] =current_step, current_Grad_b,IF(Iterations[[#This Row],[Step]] &gt; current_step, "",Iterations[[#This Row],[Grad_b]]))</f>
        <v>2.2490441413212103E-3</v>
      </c>
      <c r="P695" s="2">
        <f ca="1">IF(Iterations[[#This Row],[Step]] =current_step, current_Grad_c,IF(Iterations[[#This Row],[Step]] &gt; current_step, "",Iterations[[#This Row],[Grad_c]]))</f>
        <v>-3.6203181643664602E-2</v>
      </c>
      <c r="Q695" s="2">
        <f ca="1">IF(Iterations[[#This Row],[Step]] =current_step, current_Grad_d,IF(Iterations[[#This Row],[Step]] &gt; current_step, "",Iterations[[#This Row],[Grad_d]]))</f>
        <v>-2.0638519348802342E-3</v>
      </c>
      <c r="R695" s="2">
        <f ca="1">IF(Iterations[[#This Row],[Step]] =current_step, current_Grad_e,IF(Iterations[[#This Row],[Step]] &gt; current_step, "",Iterations[[#This Row],[Grad_e]]))</f>
        <v>1.2911130046468402E-2</v>
      </c>
    </row>
    <row r="696" spans="6:18" x14ac:dyDescent="0.3">
      <c r="F696" s="2">
        <f t="shared" si="13"/>
        <v>679</v>
      </c>
      <c r="G696" s="2">
        <f ca="1">IF(Iterations[[#This Row],[Step]] =current_step, current_a,IF(Iterations[[#This Row],[Step]] &gt; current_step, "",Iterations[[#This Row],[a]]))</f>
        <v>-7.1779546269076535</v>
      </c>
      <c r="H696" s="2">
        <f ca="1">IF(Iterations[[#This Row],[Step]] =current_step, current_b,IF(Iterations[[#This Row],[Step]] &gt; current_step, "",Iterations[[#This Row],[b]]))</f>
        <v>0.36506468876782172</v>
      </c>
      <c r="I696" s="2">
        <f ca="1">IF(Iterations[[#This Row],[Step]] =current_step, current_c,IF(Iterations[[#This Row],[Step]] &gt; current_step, "",Iterations[[#This Row],[c]]))</f>
        <v>20.971567372858843</v>
      </c>
      <c r="J696" s="2">
        <f ca="1">IF(Iterations[[#This Row],[Step]] =current_step, current_d,IF(Iterations[[#This Row],[Step]] &gt; current_step, "",Iterations[[#This Row],[d]]))</f>
        <v>1.1894408552284779</v>
      </c>
      <c r="K696" s="2">
        <f ca="1">IF(Iterations[[#This Row],[Step]] =current_step, current_e,IF(Iterations[[#This Row],[Step]] &gt; current_step, "",Iterations[[#This Row],[e]]))</f>
        <v>11.402130355207781</v>
      </c>
      <c r="L696" s="2">
        <f ca="1">IF(Iterations[[#This Row],[Step]] =current_step, current_Total_Loss,IF(Iterations[[#This Row],[Step]] &gt; current_step, "",Iterations[[#This Row],[Total Loss]]))</f>
        <v>90.58</v>
      </c>
      <c r="M696" s="6" t="s">
        <v>27</v>
      </c>
      <c r="N696" s="2">
        <f ca="1">IF(Iterations[[#This Row],[Step]] =current_step, current_Grad_a,IF(Iterations[[#This Row],[Step]] &gt; current_step, "",Iterations[[#This Row],[Grad_a]]))</f>
        <v>1.2818678790347605E-2</v>
      </c>
      <c r="O696" s="2">
        <f ca="1">IF(Iterations[[#This Row],[Step]] =current_step, current_Grad_b,IF(Iterations[[#This Row],[Step]] &gt; current_step, "",Iterations[[#This Row],[Grad_b]]))</f>
        <v>2.2338454144169941E-3</v>
      </c>
      <c r="P696" s="2">
        <f ca="1">IF(Iterations[[#This Row],[Step]] =current_step, current_Grad_c,IF(Iterations[[#This Row],[Step]] &gt; current_step, "",Iterations[[#This Row],[Grad_c]]))</f>
        <v>-3.5958187657040383E-2</v>
      </c>
      <c r="Q696" s="2">
        <f ca="1">IF(Iterations[[#This Row],[Step]] =current_step, current_Grad_d,IF(Iterations[[#This Row],[Step]] &gt; current_step, "",Iterations[[#This Row],[Grad_d]]))</f>
        <v>-2.0499296555707581E-3</v>
      </c>
      <c r="R696" s="2">
        <f ca="1">IF(Iterations[[#This Row],[Step]] =current_step, current_Grad_e,IF(Iterations[[#This Row],[Step]] &gt; current_step, "",Iterations[[#This Row],[Grad_e]]))</f>
        <v>1.2823757290211901E-2</v>
      </c>
    </row>
    <row r="697" spans="6:18" x14ac:dyDescent="0.3">
      <c r="F697" s="2">
        <f t="shared" si="13"/>
        <v>680</v>
      </c>
      <c r="G697" s="2">
        <f ca="1">IF(Iterations[[#This Row],[Step]] =current_step, current_a,IF(Iterations[[#This Row],[Step]] &gt; current_step, "",Iterations[[#This Row],[a]]))</f>
        <v>-7.178851934422978</v>
      </c>
      <c r="H697" s="2">
        <f ca="1">IF(Iterations[[#This Row],[Step]] =current_step, current_b,IF(Iterations[[#This Row],[Step]] &gt; current_step, "",Iterations[[#This Row],[b]]))</f>
        <v>0.36490831958881254</v>
      </c>
      <c r="I697" s="2">
        <f ca="1">IF(Iterations[[#This Row],[Step]] =current_step, current_c,IF(Iterations[[#This Row],[Step]] &gt; current_step, "",Iterations[[#This Row],[c]]))</f>
        <v>20.974084445994837</v>
      </c>
      <c r="J697" s="2">
        <f ca="1">IF(Iterations[[#This Row],[Step]] =current_step, current_d,IF(Iterations[[#This Row],[Step]] &gt; current_step, "",Iterations[[#This Row],[d]]))</f>
        <v>1.1895843503043677</v>
      </c>
      <c r="K697" s="2">
        <f ca="1">IF(Iterations[[#This Row],[Step]] =current_step, current_e,IF(Iterations[[#This Row],[Step]] &gt; current_step, "",Iterations[[#This Row],[e]]))</f>
        <v>11.401232692197466</v>
      </c>
      <c r="L697" s="2">
        <f ca="1">IF(Iterations[[#This Row],[Step]] =current_step, current_Total_Loss,IF(Iterations[[#This Row],[Step]] &gt; current_step, "",Iterations[[#This Row],[Total Loss]]))</f>
        <v>90.58</v>
      </c>
      <c r="M697" s="6" t="s">
        <v>27</v>
      </c>
      <c r="N697" s="2">
        <f ca="1">IF(Iterations[[#This Row],[Step]] =current_step, current_Grad_a,IF(Iterations[[#This Row],[Step]] &gt; current_step, "",Iterations[[#This Row],[Grad_a]]))</f>
        <v>1.273193374789932E-2</v>
      </c>
      <c r="O697" s="2">
        <f ca="1">IF(Iterations[[#This Row],[Step]] =current_step, current_Grad_b,IF(Iterations[[#This Row],[Step]] &gt; current_step, "",Iterations[[#This Row],[Grad_b]]))</f>
        <v>2.2187491683882676E-3</v>
      </c>
      <c r="P697" s="2">
        <f ca="1">IF(Iterations[[#This Row],[Step]] =current_step, current_Grad_c,IF(Iterations[[#This Row],[Step]] &gt; current_step, "",Iterations[[#This Row],[Grad_c]]))</f>
        <v>-3.5714851628693561E-2</v>
      </c>
      <c r="Q697" s="2">
        <f ca="1">IF(Iterations[[#This Row],[Step]] =current_step, current_Grad_d,IF(Iterations[[#This Row],[Step]] &gt; current_step, "",Iterations[[#This Row],[Grad_d]]))</f>
        <v>-2.036100805258493E-3</v>
      </c>
      <c r="R697" s="2">
        <f ca="1">IF(Iterations[[#This Row],[Step]] =current_step, current_Grad_e,IF(Iterations[[#This Row],[Step]] &gt; current_step, "",Iterations[[#This Row],[Grad_e]]))</f>
        <v>1.2736975826433196E-2</v>
      </c>
    </row>
    <row r="698" spans="6:18" x14ac:dyDescent="0.3">
      <c r="F698" s="2">
        <f t="shared" si="13"/>
        <v>681</v>
      </c>
      <c r="G698" s="2">
        <f ca="1">IF(Iterations[[#This Row],[Step]] =current_step, current_a,IF(Iterations[[#This Row],[Step]] &gt; current_step, "",Iterations[[#This Row],[a]]))</f>
        <v>-7.1797431697853309</v>
      </c>
      <c r="H698" s="2">
        <f ca="1">IF(Iterations[[#This Row],[Step]] =current_step, current_b,IF(Iterations[[#This Row],[Step]] &gt; current_step, "",Iterations[[#This Row],[b]]))</f>
        <v>0.36475300714702535</v>
      </c>
      <c r="I698" s="2">
        <f ca="1">IF(Iterations[[#This Row],[Step]] =current_step, current_c,IF(Iterations[[#This Row],[Step]] &gt; current_step, "",Iterations[[#This Row],[c]]))</f>
        <v>20.976584485608846</v>
      </c>
      <c r="J698" s="2">
        <f ca="1">IF(Iterations[[#This Row],[Step]] =current_step, current_d,IF(Iterations[[#This Row],[Step]] &gt; current_step, "",Iterations[[#This Row],[d]]))</f>
        <v>1.1897268773607359</v>
      </c>
      <c r="K698" s="2">
        <f ca="1">IF(Iterations[[#This Row],[Step]] =current_step, current_e,IF(Iterations[[#This Row],[Step]] &gt; current_step, "",Iterations[[#This Row],[e]]))</f>
        <v>11.400341103889616</v>
      </c>
      <c r="L698" s="2">
        <f ca="1">IF(Iterations[[#This Row],[Step]] =current_step, current_Total_Loss,IF(Iterations[[#This Row],[Step]] &gt; current_step, "",Iterations[[#This Row],[Total Loss]]))</f>
        <v>90.57</v>
      </c>
      <c r="M698" s="6" t="s">
        <v>27</v>
      </c>
      <c r="N698" s="2">
        <f ca="1">IF(Iterations[[#This Row],[Step]] =current_step, current_Grad_a,IF(Iterations[[#This Row],[Step]] &gt; current_step, "",Iterations[[#This Row],[Grad_a]]))</f>
        <v>1.264577571301273E-2</v>
      </c>
      <c r="O698" s="2">
        <f ca="1">IF(Iterations[[#This Row],[Step]] =current_step, current_Grad_b,IF(Iterations[[#This Row],[Step]] &gt; current_step, "",Iterations[[#This Row],[Grad_b]]))</f>
        <v>2.2037547163370843E-3</v>
      </c>
      <c r="P698" s="2">
        <f ca="1">IF(Iterations[[#This Row],[Step]] =current_step, current_Grad_c,IF(Iterations[[#This Row],[Step]] &gt; current_step, "",Iterations[[#This Row],[Grad_c]]))</f>
        <v>-3.547316233796876E-2</v>
      </c>
      <c r="Q698" s="2">
        <f ca="1">IF(Iterations[[#This Row],[Step]] =current_step, current_Grad_d,IF(Iterations[[#This Row],[Step]] &gt; current_step, "",Iterations[[#This Row],[Grad_d]]))</f>
        <v>-2.0223647656785687E-3</v>
      </c>
      <c r="R698" s="2">
        <f ca="1">IF(Iterations[[#This Row],[Step]] =current_step, current_Grad_e,IF(Iterations[[#This Row],[Step]] &gt; current_step, "",Iterations[[#This Row],[Grad_e]]))</f>
        <v>1.2650781653243884E-2</v>
      </c>
    </row>
    <row r="699" spans="6:18" x14ac:dyDescent="0.3">
      <c r="F699" s="2">
        <f t="shared" si="13"/>
        <v>682</v>
      </c>
      <c r="G699" s="2">
        <f ca="1">IF(Iterations[[#This Row],[Step]] =current_step, current_a,IF(Iterations[[#This Row],[Step]] &gt; current_step, "",Iterations[[#This Row],[a]]))</f>
        <v>-7.1806283740852415</v>
      </c>
      <c r="H699" s="2">
        <f ca="1">IF(Iterations[[#This Row],[Step]] =current_step, current_b,IF(Iterations[[#This Row],[Step]] &gt; current_step, "",Iterations[[#This Row],[b]]))</f>
        <v>0.36459874431688177</v>
      </c>
      <c r="I699" s="2">
        <f ca="1">IF(Iterations[[#This Row],[Step]] =current_step, current_c,IF(Iterations[[#This Row],[Step]] &gt; current_step, "",Iterations[[#This Row],[c]]))</f>
        <v>20.979067606972503</v>
      </c>
      <c r="J699" s="2">
        <f ca="1">IF(Iterations[[#This Row],[Step]] =current_step, current_d,IF(Iterations[[#This Row],[Step]] &gt; current_step, "",Iterations[[#This Row],[d]]))</f>
        <v>1.1898684428943334</v>
      </c>
      <c r="K699" s="2">
        <f ca="1">IF(Iterations[[#This Row],[Step]] =current_step, current_e,IF(Iterations[[#This Row],[Step]] &gt; current_step, "",Iterations[[#This Row],[e]]))</f>
        <v>11.399455549173888</v>
      </c>
      <c r="L699" s="2">
        <f ca="1">IF(Iterations[[#This Row],[Step]] =current_step, current_Total_Loss,IF(Iterations[[#This Row],[Step]] &gt; current_step, "",Iterations[[#This Row],[Total Loss]]))</f>
        <v>90.57</v>
      </c>
      <c r="M699" s="6" t="s">
        <v>27</v>
      </c>
      <c r="N699" s="2">
        <f ca="1">IF(Iterations[[#This Row],[Step]] =current_step, current_Grad_a,IF(Iterations[[#This Row],[Step]] &gt; current_step, "",Iterations[[#This Row],[Grad_a]]))</f>
        <v>1.2560200713254983E-2</v>
      </c>
      <c r="O699" s="2">
        <f ca="1">IF(Iterations[[#This Row],[Step]] =current_step, current_Grad_b,IF(Iterations[[#This Row],[Step]] &gt; current_step, "",Iterations[[#This Row],[Grad_b]]))</f>
        <v>2.1888613759091483E-3</v>
      </c>
      <c r="P699" s="2">
        <f ca="1">IF(Iterations[[#This Row],[Step]] =current_step, current_Grad_c,IF(Iterations[[#This Row],[Step]] &gt; current_step, "",Iterations[[#This Row],[Grad_c]]))</f>
        <v>-3.5233108640280383E-2</v>
      </c>
      <c r="Q699" s="2">
        <f ca="1">IF(Iterations[[#This Row],[Step]] =current_step, current_Grad_d,IF(Iterations[[#This Row],[Step]] &gt; current_step, "",Iterations[[#This Row],[Grad_d]]))</f>
        <v>-2.0087209225033769E-3</v>
      </c>
      <c r="R699" s="2">
        <f ca="1">IF(Iterations[[#This Row],[Step]] =current_step, current_Grad_e,IF(Iterations[[#This Row],[Step]] &gt; current_step, "",Iterations[[#This Row],[Grad_e]]))</f>
        <v>1.2565170795785403E-2</v>
      </c>
    </row>
    <row r="700" spans="6:18" x14ac:dyDescent="0.3">
      <c r="F700" s="2">
        <f t="shared" si="13"/>
        <v>683</v>
      </c>
      <c r="G700" s="2">
        <f ca="1">IF(Iterations[[#This Row],[Step]] =current_step, current_a,IF(Iterations[[#This Row],[Step]] &gt; current_step, "",Iterations[[#This Row],[a]]))</f>
        <v>-7.1815075881351689</v>
      </c>
      <c r="H700" s="2">
        <f ca="1">IF(Iterations[[#This Row],[Step]] =current_step, current_b,IF(Iterations[[#This Row],[Step]] &gt; current_step, "",Iterations[[#This Row],[b]]))</f>
        <v>0.36444552402056812</v>
      </c>
      <c r="I700" s="2">
        <f ca="1">IF(Iterations[[#This Row],[Step]] =current_step, current_c,IF(Iterations[[#This Row],[Step]] &gt; current_step, "",Iterations[[#This Row],[c]]))</f>
        <v>20.981533924577324</v>
      </c>
      <c r="J700" s="2">
        <f ca="1">IF(Iterations[[#This Row],[Step]] =current_step, current_d,IF(Iterations[[#This Row],[Step]] &gt; current_step, "",Iterations[[#This Row],[d]]))</f>
        <v>1.1900090533589085</v>
      </c>
      <c r="K700" s="2">
        <f ca="1">IF(Iterations[[#This Row],[Step]] =current_step, current_e,IF(Iterations[[#This Row],[Step]] &gt; current_step, "",Iterations[[#This Row],[e]]))</f>
        <v>11.398575987218184</v>
      </c>
      <c r="L700" s="2">
        <f ca="1">IF(Iterations[[#This Row],[Step]] =current_step, current_Total_Loss,IF(Iterations[[#This Row],[Step]] &gt; current_step, "",Iterations[[#This Row],[Total Loss]]))</f>
        <v>90.57</v>
      </c>
      <c r="M700" s="6" t="s">
        <v>27</v>
      </c>
      <c r="N700" s="2">
        <f ca="1">IF(Iterations[[#This Row],[Step]] =current_step, current_Grad_a,IF(Iterations[[#This Row],[Step]] &gt; current_step, "",Iterations[[#This Row],[Grad_a]]))</f>
        <v>1.2475204803503306E-2</v>
      </c>
      <c r="O700" s="2">
        <f ca="1">IF(Iterations[[#This Row],[Step]] =current_step, current_Grad_b,IF(Iterations[[#This Row],[Step]] &gt; current_step, "",Iterations[[#This Row],[Grad_b]]))</f>
        <v>2.1740684692252987E-3</v>
      </c>
      <c r="P700" s="2">
        <f ca="1">IF(Iterations[[#This Row],[Step]] =current_step, current_Grad_c,IF(Iterations[[#This Row],[Step]] &gt; current_step, "",Iterations[[#This Row],[Grad_c]]))</f>
        <v>-3.4994679466286281E-2</v>
      </c>
      <c r="Q700" s="2">
        <f ca="1">IF(Iterations[[#This Row],[Step]] =current_step, current_Grad_d,IF(Iterations[[#This Row],[Step]] &gt; current_step, "",Iterations[[#This Row],[Grad_d]]))</f>
        <v>-1.9951686653177183E-3</v>
      </c>
      <c r="R700" s="2">
        <f ca="1">IF(Iterations[[#This Row],[Step]] =current_step, current_Grad_e,IF(Iterations[[#This Row],[Step]] &gt; current_step, "",Iterations[[#This Row],[Grad_e]]))</f>
        <v>1.2480139306211255E-2</v>
      </c>
    </row>
    <row r="701" spans="6:18" x14ac:dyDescent="0.3">
      <c r="F701" s="2">
        <f t="shared" si="13"/>
        <v>684</v>
      </c>
      <c r="G701" s="2">
        <f ca="1">IF(Iterations[[#This Row],[Step]] =current_step, current_a,IF(Iterations[[#This Row],[Step]] &gt; current_step, "",Iterations[[#This Row],[a]]))</f>
        <v>-7.1823808524714137</v>
      </c>
      <c r="H701" s="2">
        <f ca="1">IF(Iterations[[#This Row],[Step]] =current_step, current_b,IF(Iterations[[#This Row],[Step]] &gt; current_step, "",Iterations[[#This Row],[b]]))</f>
        <v>0.36429333922772233</v>
      </c>
      <c r="I701" s="2">
        <f ca="1">IF(Iterations[[#This Row],[Step]] =current_step, current_c,IF(Iterations[[#This Row],[Step]] &gt; current_step, "",Iterations[[#This Row],[c]]))</f>
        <v>20.983983552139964</v>
      </c>
      <c r="J701" s="2">
        <f ca="1">IF(Iterations[[#This Row],[Step]] =current_step, current_d,IF(Iterations[[#This Row],[Step]] &gt; current_step, "",Iterations[[#This Row],[d]]))</f>
        <v>1.1901487151654808</v>
      </c>
      <c r="K701" s="2">
        <f ca="1">IF(Iterations[[#This Row],[Step]] =current_step, current_e,IF(Iterations[[#This Row],[Step]] &gt; current_step, "",Iterations[[#This Row],[e]]))</f>
        <v>11.397702377466748</v>
      </c>
      <c r="L701" s="2">
        <f ca="1">IF(Iterations[[#This Row],[Step]] =current_step, current_Total_Loss,IF(Iterations[[#This Row],[Step]] &gt; current_step, "",Iterations[[#This Row],[Total Loss]]))</f>
        <v>90.57</v>
      </c>
      <c r="M701" s="6" t="s">
        <v>27</v>
      </c>
      <c r="N701" s="2">
        <f ca="1">IF(Iterations[[#This Row],[Step]] =current_step, current_Grad_a,IF(Iterations[[#This Row],[Step]] &gt; current_step, "",Iterations[[#This Row],[Grad_a]]))</f>
        <v>1.2390784064853659E-2</v>
      </c>
      <c r="O701" s="2">
        <f ca="1">IF(Iterations[[#This Row],[Step]] =current_step, current_Grad_b,IF(Iterations[[#This Row],[Step]] &gt; current_step, "",Iterations[[#This Row],[Grad_b]]))</f>
        <v>2.1593753229254028E-3</v>
      </c>
      <c r="P701" s="2">
        <f ca="1">IF(Iterations[[#This Row],[Step]] =current_step, current_Grad_c,IF(Iterations[[#This Row],[Step]] &gt; current_step, "",Iterations[[#This Row],[Grad_c]]))</f>
        <v>-3.4757863821781587E-2</v>
      </c>
      <c r="Q701" s="2">
        <f ca="1">IF(Iterations[[#This Row],[Step]] =current_step, current_Grad_d,IF(Iterations[[#This Row],[Step]] &gt; current_step, "",Iterations[[#This Row],[Grad_d]]))</f>
        <v>-1.9817073875889662E-3</v>
      </c>
      <c r="R701" s="2">
        <f ca="1">IF(Iterations[[#This Row],[Step]] =current_step, current_Grad_e,IF(Iterations[[#This Row],[Step]] &gt; current_step, "",Iterations[[#This Row],[Grad_e]]))</f>
        <v>1.239568326328507E-2</v>
      </c>
    </row>
    <row r="702" spans="6:18" x14ac:dyDescent="0.3">
      <c r="F702" s="2">
        <f t="shared" si="13"/>
        <v>685</v>
      </c>
      <c r="G702" s="2">
        <f ca="1">IF(Iterations[[#This Row],[Step]] =current_step, current_a,IF(Iterations[[#This Row],[Step]] &gt; current_step, "",Iterations[[#This Row],[a]]))</f>
        <v>-7.1832482073559536</v>
      </c>
      <c r="H702" s="2">
        <f ca="1">IF(Iterations[[#This Row],[Step]] =current_step, current_b,IF(Iterations[[#This Row],[Step]] &gt; current_step, "",Iterations[[#This Row],[b]]))</f>
        <v>0.36414218295511758</v>
      </c>
      <c r="I702" s="2">
        <f ca="1">IF(Iterations[[#This Row],[Step]] =current_step, current_c,IF(Iterations[[#This Row],[Step]] &gt; current_step, "",Iterations[[#This Row],[c]]))</f>
        <v>20.986416602607488</v>
      </c>
      <c r="J702" s="2">
        <f ca="1">IF(Iterations[[#This Row],[Step]] =current_step, current_d,IF(Iterations[[#This Row],[Step]] &gt; current_step, "",Iterations[[#This Row],[d]]))</f>
        <v>1.190287434682612</v>
      </c>
      <c r="K702" s="2">
        <f ca="1">IF(Iterations[[#This Row],[Step]] =current_step, current_e,IF(Iterations[[#This Row],[Step]] &gt; current_step, "",Iterations[[#This Row],[e]]))</f>
        <v>11.396834679638319</v>
      </c>
      <c r="L702" s="2">
        <f ca="1">IF(Iterations[[#This Row],[Step]] =current_step, current_Total_Loss,IF(Iterations[[#This Row],[Step]] &gt; current_step, "",Iterations[[#This Row],[Total Loss]]))</f>
        <v>90.57</v>
      </c>
      <c r="M702" s="6" t="s">
        <v>27</v>
      </c>
      <c r="N702" s="2">
        <f ca="1">IF(Iterations[[#This Row],[Step]] =current_step, current_Grad_a,IF(Iterations[[#This Row],[Step]] &gt; current_step, "",Iterations[[#This Row],[Grad_a]]))</f>
        <v>1.2306934605304139E-2</v>
      </c>
      <c r="O702" s="2">
        <f ca="1">IF(Iterations[[#This Row],[Step]] =current_step, current_Grad_b,IF(Iterations[[#This Row],[Step]] &gt; current_step, "",Iterations[[#This Row],[Grad_b]]))</f>
        <v>2.1447812680196587E-3</v>
      </c>
      <c r="P702" s="2">
        <f ca="1">IF(Iterations[[#This Row],[Step]] =current_step, current_Grad_c,IF(Iterations[[#This Row],[Step]] &gt; current_step, "",Iterations[[#This Row],[Grad_c]]))</f>
        <v>-3.4522650786812173E-2</v>
      </c>
      <c r="Q702" s="2">
        <f ca="1">IF(Iterations[[#This Row],[Step]] =current_step, current_Grad_d,IF(Iterations[[#This Row],[Step]] &gt; current_step, "",Iterations[[#This Row],[Grad_d]]))</f>
        <v>-1.9683364866767326E-3</v>
      </c>
      <c r="R702" s="2">
        <f ca="1">IF(Iterations[[#This Row],[Step]] =current_step, current_Grad_e,IF(Iterations[[#This Row],[Step]] &gt; current_step, "",Iterations[[#This Row],[Grad_e]]))</f>
        <v>1.2311798772401121E-2</v>
      </c>
    </row>
    <row r="703" spans="6:18" x14ac:dyDescent="0.3">
      <c r="F703" s="2">
        <f t="shared" si="13"/>
        <v>686</v>
      </c>
      <c r="G703" s="2">
        <f ca="1">IF(Iterations[[#This Row],[Step]] =current_step, current_a,IF(Iterations[[#This Row],[Step]] &gt; current_step, "",Iterations[[#This Row],[a]]))</f>
        <v>-7.1841096927783248</v>
      </c>
      <c r="H703" s="2">
        <f ca="1">IF(Iterations[[#This Row],[Step]] =current_step, current_b,IF(Iterations[[#This Row],[Step]] &gt; current_step, "",Iterations[[#This Row],[b]]))</f>
        <v>0.36399204826635623</v>
      </c>
      <c r="I703" s="2">
        <f ca="1">IF(Iterations[[#This Row],[Step]] =current_step, current_c,IF(Iterations[[#This Row],[Step]] &gt; current_step, "",Iterations[[#This Row],[c]]))</f>
        <v>20.988833188162566</v>
      </c>
      <c r="J703" s="2">
        <f ca="1">IF(Iterations[[#This Row],[Step]] =current_step, current_d,IF(Iterations[[#This Row],[Step]] &gt; current_step, "",Iterations[[#This Row],[d]]))</f>
        <v>1.1904252182366795</v>
      </c>
      <c r="K703" s="2">
        <f ca="1">IF(Iterations[[#This Row],[Step]] =current_step, current_e,IF(Iterations[[#This Row],[Step]] &gt; current_step, "",Iterations[[#This Row],[e]]))</f>
        <v>11.395972853724251</v>
      </c>
      <c r="L703" s="2">
        <f ca="1">IF(Iterations[[#This Row],[Step]] =current_step, current_Total_Loss,IF(Iterations[[#This Row],[Step]] &gt; current_step, "",Iterations[[#This Row],[Total Loss]]))</f>
        <v>90.56</v>
      </c>
      <c r="M703" s="6" t="s">
        <v>27</v>
      </c>
      <c r="N703" s="2">
        <f ca="1">IF(Iterations[[#This Row],[Step]] =current_step, current_Grad_a,IF(Iterations[[#This Row],[Step]] &gt; current_step, "",Iterations[[#This Row],[Grad_a]]))</f>
        <v>1.2223652558996859E-2</v>
      </c>
      <c r="O703" s="2">
        <f ca="1">IF(Iterations[[#This Row],[Step]] =current_step, current_Grad_b,IF(Iterations[[#This Row],[Step]] &gt; current_step, "",Iterations[[#This Row],[Grad_b]]))</f>
        <v>2.1302856400134346E-3</v>
      </c>
      <c r="P703" s="2">
        <f ca="1">IF(Iterations[[#This Row],[Step]] =current_step, current_Grad_c,IF(Iterations[[#This Row],[Step]] &gt; current_step, "",Iterations[[#This Row],[Grad_c]]))</f>
        <v>-3.4289029515414432E-2</v>
      </c>
      <c r="Q703" s="2">
        <f ca="1">IF(Iterations[[#This Row],[Step]] =current_step, current_Grad_d,IF(Iterations[[#This Row],[Step]] &gt; current_step, "",Iterations[[#This Row],[Grad_d]]))</f>
        <v>-1.9550553637563048E-3</v>
      </c>
      <c r="R703" s="2">
        <f ca="1">IF(Iterations[[#This Row],[Step]] =current_step, current_Grad_e,IF(Iterations[[#This Row],[Step]] &gt; current_step, "",Iterations[[#This Row],[Grad_e]]))</f>
        <v>1.2228481965282454E-2</v>
      </c>
    </row>
    <row r="704" spans="6:18" x14ac:dyDescent="0.3">
      <c r="F704" s="2">
        <f t="shared" si="13"/>
        <v>687</v>
      </c>
      <c r="G704" s="2">
        <f ca="1">IF(Iterations[[#This Row],[Step]] =current_step, current_a,IF(Iterations[[#This Row],[Step]] &gt; current_step, "",Iterations[[#This Row],[a]]))</f>
        <v>-7.1849653484574549</v>
      </c>
      <c r="H704" s="2">
        <f ca="1">IF(Iterations[[#This Row],[Step]] =current_step, current_b,IF(Iterations[[#This Row],[Step]] &gt; current_step, "",Iterations[[#This Row],[b]]))</f>
        <v>0.36384292827155529</v>
      </c>
      <c r="I704" s="2">
        <f ca="1">IF(Iterations[[#This Row],[Step]] =current_step, current_c,IF(Iterations[[#This Row],[Step]] &gt; current_step, "",Iterations[[#This Row],[c]]))</f>
        <v>20.991233420228646</v>
      </c>
      <c r="J704" s="2">
        <f ca="1">IF(Iterations[[#This Row],[Step]] =current_step, current_d,IF(Iterations[[#This Row],[Step]] &gt; current_step, "",Iterations[[#This Row],[d]]))</f>
        <v>1.1905620721121424</v>
      </c>
      <c r="K704" s="2">
        <f ca="1">IF(Iterations[[#This Row],[Step]] =current_step, current_e,IF(Iterations[[#This Row],[Step]] &gt; current_step, "",Iterations[[#This Row],[e]]))</f>
        <v>11.395116859986681</v>
      </c>
      <c r="L704" s="2">
        <f ca="1">IF(Iterations[[#This Row],[Step]] =current_step, current_Total_Loss,IF(Iterations[[#This Row],[Step]] &gt; current_step, "",Iterations[[#This Row],[Total Loss]]))</f>
        <v>90.56</v>
      </c>
      <c r="M704" s="6" t="s">
        <v>27</v>
      </c>
      <c r="N704" s="2">
        <f ca="1">IF(Iterations[[#This Row],[Step]] =current_step, current_Grad_a,IF(Iterations[[#This Row],[Step]] &gt; current_step, "",Iterations[[#This Row],[Grad_a]]))</f>
        <v>1.2140934086212344E-2</v>
      </c>
      <c r="O704" s="2">
        <f ca="1">IF(Iterations[[#This Row],[Step]] =current_step, current_Grad_b,IF(Iterations[[#This Row],[Step]] &gt; current_step, "",Iterations[[#This Row],[Grad_b]]))</f>
        <v>2.1158877787808995E-3</v>
      </c>
      <c r="P704" s="2">
        <f ca="1">IF(Iterations[[#This Row],[Step]] =current_step, current_Grad_c,IF(Iterations[[#This Row],[Step]] &gt; current_step, "",Iterations[[#This Row],[Grad_c]]))</f>
        <v>-3.4056989235050787E-2</v>
      </c>
      <c r="Q704" s="2">
        <f ca="1">IF(Iterations[[#This Row],[Step]] =current_step, current_Grad_d,IF(Iterations[[#This Row],[Step]] &gt; current_step, "",Iterations[[#This Row],[Grad_d]]))</f>
        <v>-1.9418634238407778E-3</v>
      </c>
      <c r="R704" s="2">
        <f ca="1">IF(Iterations[[#This Row],[Step]] =current_step, current_Grad_e,IF(Iterations[[#This Row],[Step]] &gt; current_step, "",Iterations[[#This Row],[Grad_e]]))</f>
        <v>1.2145728999829094E-2</v>
      </c>
    </row>
    <row r="705" spans="6:18" x14ac:dyDescent="0.3">
      <c r="F705" s="2">
        <f t="shared" si="13"/>
        <v>688</v>
      </c>
      <c r="G705" s="2">
        <f ca="1">IF(Iterations[[#This Row],[Step]] =current_step, current_a,IF(Iterations[[#This Row],[Step]] &gt; current_step, "",Iterations[[#This Row],[a]]))</f>
        <v>-7.1858152138434894</v>
      </c>
      <c r="H705" s="2">
        <f ca="1">IF(Iterations[[#This Row],[Step]] =current_step, current_b,IF(Iterations[[#This Row],[Step]] &gt; current_step, "",Iterations[[#This Row],[b]]))</f>
        <v>0.36369481612704063</v>
      </c>
      <c r="I705" s="2">
        <f ca="1">IF(Iterations[[#This Row],[Step]] =current_step, current_c,IF(Iterations[[#This Row],[Step]] &gt; current_step, "",Iterations[[#This Row],[c]]))</f>
        <v>20.9936174094751</v>
      </c>
      <c r="J705" s="2">
        <f ca="1">IF(Iterations[[#This Row],[Step]] =current_step, current_d,IF(Iterations[[#This Row],[Step]] &gt; current_step, "",Iterations[[#This Row],[d]]))</f>
        <v>1.1906980025518112</v>
      </c>
      <c r="K705" s="2">
        <f ca="1">IF(Iterations[[#This Row],[Step]] =current_step, current_e,IF(Iterations[[#This Row],[Step]] &gt; current_step, "",Iterations[[#This Row],[e]]))</f>
        <v>11.394266658956692</v>
      </c>
      <c r="L705" s="2">
        <f ca="1">IF(Iterations[[#This Row],[Step]] =current_step, current_Total_Loss,IF(Iterations[[#This Row],[Step]] &gt; current_step, "",Iterations[[#This Row],[Total Loss]]))</f>
        <v>90.56</v>
      </c>
      <c r="M705" s="6" t="s">
        <v>27</v>
      </c>
      <c r="N705" s="2">
        <f ca="1">IF(Iterations[[#This Row],[Step]] =current_step, current_Grad_a,IF(Iterations[[#This Row],[Step]] &gt; current_step, "",Iterations[[#This Row],[Grad_a]]))</f>
        <v>1.2058775373417572E-2</v>
      </c>
      <c r="O705" s="2">
        <f ca="1">IF(Iterations[[#This Row],[Step]] =current_step, current_Grad_b,IF(Iterations[[#This Row],[Step]] &gt; current_step, "",Iterations[[#This Row],[Grad_b]]))</f>
        <v>2.101587028496955E-3</v>
      </c>
      <c r="P705" s="2">
        <f ca="1">IF(Iterations[[#This Row],[Step]] =current_step, current_Grad_c,IF(Iterations[[#This Row],[Step]] &gt; current_step, "",Iterations[[#This Row],[Grad_c]]))</f>
        <v>-3.3826519246015589E-2</v>
      </c>
      <c r="Q705" s="2">
        <f ca="1">IF(Iterations[[#This Row],[Step]] =current_step, current_Grad_d,IF(Iterations[[#This Row],[Step]] &gt; current_step, "",Iterations[[#This Row],[Grad_d]]))</f>
        <v>-1.9287600757621421E-3</v>
      </c>
      <c r="R705" s="2">
        <f ca="1">IF(Iterations[[#This Row],[Step]] =current_step, current_Grad_e,IF(Iterations[[#This Row],[Step]] &gt; current_step, "",Iterations[[#This Row],[Grad_e]]))</f>
        <v>1.2063536059988778E-2</v>
      </c>
    </row>
    <row r="706" spans="6:18" x14ac:dyDescent="0.3">
      <c r="F706" s="2">
        <f t="shared" si="13"/>
        <v>689</v>
      </c>
      <c r="G706" s="2">
        <f ca="1">IF(Iterations[[#This Row],[Step]] =current_step, current_a,IF(Iterations[[#This Row],[Step]] &gt; current_step, "",Iterations[[#This Row],[a]]))</f>
        <v>-7.1866593281196289</v>
      </c>
      <c r="H706" s="2">
        <f ca="1">IF(Iterations[[#This Row],[Step]] =current_step, current_b,IF(Iterations[[#This Row],[Step]] &gt; current_step, "",Iterations[[#This Row],[b]]))</f>
        <v>0.36354770503504585</v>
      </c>
      <c r="I706" s="2">
        <f ca="1">IF(Iterations[[#This Row],[Step]] =current_step, current_c,IF(Iterations[[#This Row],[Step]] &gt; current_step, "",Iterations[[#This Row],[c]]))</f>
        <v>20.99598526582232</v>
      </c>
      <c r="J706" s="2">
        <f ca="1">IF(Iterations[[#This Row],[Step]] =current_step, current_d,IF(Iterations[[#This Row],[Step]] &gt; current_step, "",Iterations[[#This Row],[d]]))</f>
        <v>1.1908330157571145</v>
      </c>
      <c r="K706" s="2">
        <f ca="1">IF(Iterations[[#This Row],[Step]] =current_step, current_e,IF(Iterations[[#This Row],[Step]] &gt; current_step, "",Iterations[[#This Row],[e]]))</f>
        <v>11.393422211432492</v>
      </c>
      <c r="L706" s="2">
        <f ca="1">IF(Iterations[[#This Row],[Step]] =current_step, current_Total_Loss,IF(Iterations[[#This Row],[Step]] &gt; current_step, "",Iterations[[#This Row],[Total Loss]]))</f>
        <v>90.56</v>
      </c>
      <c r="M706" s="6" t="s">
        <v>27</v>
      </c>
      <c r="N706" s="2">
        <f ca="1">IF(Iterations[[#This Row],[Step]] =current_step, current_Grad_a,IF(Iterations[[#This Row],[Step]] &gt; current_step, "",Iterations[[#This Row],[Grad_a]]))</f>
        <v>1.1977172632526227E-2</v>
      </c>
      <c r="O706" s="2">
        <f ca="1">IF(Iterations[[#This Row],[Step]] =current_step, current_Grad_b,IF(Iterations[[#This Row],[Step]] &gt; current_step, "",Iterations[[#This Row],[Grad_b]]))</f>
        <v>2.0873827377755954E-3</v>
      </c>
      <c r="P706" s="2">
        <f ca="1">IF(Iterations[[#This Row],[Step]] =current_step, current_Grad_c,IF(Iterations[[#This Row],[Step]] &gt; current_step, "",Iterations[[#This Row],[Grad_c]]))</f>
        <v>-3.3597608921168948E-2</v>
      </c>
      <c r="Q706" s="2">
        <f ca="1">IF(Iterations[[#This Row],[Step]] =current_step, current_Grad_d,IF(Iterations[[#This Row],[Step]] &gt; current_step, "",Iterations[[#This Row],[Grad_d]]))</f>
        <v>-1.9157447320987614E-3</v>
      </c>
      <c r="R706" s="2">
        <f ca="1">IF(Iterations[[#This Row],[Step]] =current_step, current_Grad_e,IF(Iterations[[#This Row],[Step]] &gt; current_step, "",Iterations[[#This Row],[Grad_e]]))</f>
        <v>1.1981899355480429E-2</v>
      </c>
    </row>
    <row r="707" spans="6:18" x14ac:dyDescent="0.3">
      <c r="F707" s="2">
        <f t="shared" si="13"/>
        <v>690</v>
      </c>
      <c r="G707" s="2">
        <f ca="1">IF(Iterations[[#This Row],[Step]] =current_step, current_a,IF(Iterations[[#This Row],[Step]] &gt; current_step, "",Iterations[[#This Row],[a]]))</f>
        <v>-7.1874977302039058</v>
      </c>
      <c r="H707" s="2">
        <f ca="1">IF(Iterations[[#This Row],[Step]] =current_step, current_b,IF(Iterations[[#This Row],[Step]] &gt; current_step, "",Iterations[[#This Row],[b]]))</f>
        <v>0.36340158824340157</v>
      </c>
      <c r="I707" s="2">
        <f ca="1">IF(Iterations[[#This Row],[Step]] =current_step, current_c,IF(Iterations[[#This Row],[Step]] &gt; current_step, "",Iterations[[#This Row],[c]]))</f>
        <v>20.9983370984468</v>
      </c>
      <c r="J707" s="2">
        <f ca="1">IF(Iterations[[#This Row],[Step]] =current_step, current_d,IF(Iterations[[#This Row],[Step]] &gt; current_step, "",Iterations[[#This Row],[d]]))</f>
        <v>1.1909671178883614</v>
      </c>
      <c r="K707" s="2">
        <f ca="1">IF(Iterations[[#This Row],[Step]] =current_step, current_e,IF(Iterations[[#This Row],[Step]] &gt; current_step, "",Iterations[[#This Row],[e]]))</f>
        <v>11.392583478477608</v>
      </c>
      <c r="L707" s="2">
        <f ca="1">IF(Iterations[[#This Row],[Step]] =current_step, current_Total_Loss,IF(Iterations[[#This Row],[Step]] &gt; current_step, "",Iterations[[#This Row],[Total Loss]]))</f>
        <v>90.56</v>
      </c>
      <c r="M707" s="6" t="s">
        <v>27</v>
      </c>
      <c r="N707" s="2">
        <f ca="1">IF(Iterations[[#This Row],[Step]] =current_step, current_Grad_a,IF(Iterations[[#This Row],[Step]] &gt; current_step, "",Iterations[[#This Row],[Grad_a]]))</f>
        <v>1.1896122101537208E-2</v>
      </c>
      <c r="O707" s="2">
        <f ca="1">IF(Iterations[[#This Row],[Step]] =current_step, current_Grad_b,IF(Iterations[[#This Row],[Step]] &gt; current_step, "",Iterations[[#This Row],[Grad_b]]))</f>
        <v>2.0732742594253345E-3</v>
      </c>
      <c r="P707" s="2">
        <f ca="1">IF(Iterations[[#This Row],[Step]] =current_step, current_Grad_c,IF(Iterations[[#This Row],[Step]] &gt; current_step, "",Iterations[[#This Row],[Grad_c]]))</f>
        <v>-3.3370247705116714E-2</v>
      </c>
      <c r="Q707" s="2">
        <f ca="1">IF(Iterations[[#This Row],[Step]] =current_step, current_Grad_d,IF(Iterations[[#This Row],[Step]] &gt; current_step, "",Iterations[[#This Row],[Grad_d]]))</f>
        <v>-1.9028168092278376E-3</v>
      </c>
      <c r="R707" s="2">
        <f ca="1">IF(Iterations[[#This Row],[Step]] =current_step, current_Grad_e,IF(Iterations[[#This Row],[Step]] &gt; current_step, "",Iterations[[#This Row],[Grad_e]]))</f>
        <v>1.1900815121763565E-2</v>
      </c>
    </row>
    <row r="708" spans="6:18" x14ac:dyDescent="0.3">
      <c r="F708" s="2">
        <f t="shared" si="13"/>
        <v>691</v>
      </c>
      <c r="G708" s="2">
        <f ca="1">IF(Iterations[[#This Row],[Step]] =current_step, current_a,IF(Iterations[[#This Row],[Step]] &gt; current_step, "",Iterations[[#This Row],[a]]))</f>
        <v>-7.1883304587510137</v>
      </c>
      <c r="H708" s="2">
        <f ca="1">IF(Iterations[[#This Row],[Step]] =current_step, current_b,IF(Iterations[[#This Row],[Step]] &gt; current_step, "",Iterations[[#This Row],[b]]))</f>
        <v>0.36325645904524179</v>
      </c>
      <c r="I708" s="2">
        <f ca="1">IF(Iterations[[#This Row],[Step]] =current_step, current_c,IF(Iterations[[#This Row],[Step]] &gt; current_step, "",Iterations[[#This Row],[c]]))</f>
        <v>21.000673015786159</v>
      </c>
      <c r="J708" s="2">
        <f ca="1">IF(Iterations[[#This Row],[Step]] =current_step, current_d,IF(Iterations[[#This Row],[Step]] &gt; current_step, "",Iterations[[#This Row],[d]]))</f>
        <v>1.1911003150650072</v>
      </c>
      <c r="K708" s="2">
        <f ca="1">IF(Iterations[[#This Row],[Step]] =current_step, current_e,IF(Iterations[[#This Row],[Step]] &gt; current_step, "",Iterations[[#This Row],[e]]))</f>
        <v>11.391750421419085</v>
      </c>
      <c r="L708" s="2">
        <f ca="1">IF(Iterations[[#This Row],[Step]] =current_step, current_Total_Loss,IF(Iterations[[#This Row],[Step]] &gt; current_step, "",Iterations[[#This Row],[Total Loss]]))</f>
        <v>90.56</v>
      </c>
      <c r="M708" s="6" t="s">
        <v>27</v>
      </c>
      <c r="N708" s="2">
        <f ca="1">IF(Iterations[[#This Row],[Step]] =current_step, current_Grad_a,IF(Iterations[[#This Row],[Step]] &gt; current_step, "",Iterations[[#This Row],[Grad_a]]))</f>
        <v>1.1815620043496801E-2</v>
      </c>
      <c r="O708" s="2">
        <f ca="1">IF(Iterations[[#This Row],[Step]] =current_step, current_Grad_b,IF(Iterations[[#This Row],[Step]] &gt; current_step, "",Iterations[[#This Row],[Grad_b]]))</f>
        <v>2.0592609506334802E-3</v>
      </c>
      <c r="P708" s="2">
        <f ca="1">IF(Iterations[[#This Row],[Step]] =current_step, current_Grad_c,IF(Iterations[[#This Row],[Step]] &gt; current_step, "",Iterations[[#This Row],[Grad_c]]))</f>
        <v>-3.3144425114080368E-2</v>
      </c>
      <c r="Q708" s="2">
        <f ca="1">IF(Iterations[[#This Row],[Step]] =current_step, current_Grad_d,IF(Iterations[[#This Row],[Step]] &gt; current_step, "",Iterations[[#This Row],[Grad_d]]))</f>
        <v>-1.8899757272273715E-3</v>
      </c>
      <c r="R708" s="2">
        <f ca="1">IF(Iterations[[#This Row],[Step]] =current_step, current_Grad_e,IF(Iterations[[#This Row],[Step]] &gt; current_step, "",Iterations[[#This Row],[Grad_e]]))</f>
        <v>1.1820279619701089E-2</v>
      </c>
    </row>
    <row r="709" spans="6:18" x14ac:dyDescent="0.3">
      <c r="F709" s="2">
        <f t="shared" si="13"/>
        <v>692</v>
      </c>
      <c r="G709" s="2">
        <f ca="1">IF(Iterations[[#This Row],[Step]] =current_step, current_a,IF(Iterations[[#This Row],[Step]] &gt; current_step, "",Iterations[[#This Row],[a]]))</f>
        <v>-7.1891575521540583</v>
      </c>
      <c r="H709" s="2">
        <f ca="1">IF(Iterations[[#This Row],[Step]] =current_step, current_b,IF(Iterations[[#This Row],[Step]] &gt; current_step, "",Iterations[[#This Row],[b]]))</f>
        <v>0.36311231077869743</v>
      </c>
      <c r="I709" s="2">
        <f ca="1">IF(Iterations[[#This Row],[Step]] =current_step, current_c,IF(Iterations[[#This Row],[Step]] &gt; current_step, "",Iterations[[#This Row],[c]]))</f>
        <v>21.002993125544144</v>
      </c>
      <c r="J709" s="2">
        <f ca="1">IF(Iterations[[#This Row],[Step]] =current_step, current_d,IF(Iterations[[#This Row],[Step]] &gt; current_step, "",Iterations[[#This Row],[d]]))</f>
        <v>1.1912326133659132</v>
      </c>
      <c r="K709" s="2">
        <f ca="1">IF(Iterations[[#This Row],[Step]] =current_step, current_e,IF(Iterations[[#This Row],[Step]] &gt; current_step, "",Iterations[[#This Row],[e]]))</f>
        <v>11.390923001845705</v>
      </c>
      <c r="L709" s="2">
        <f ca="1">IF(Iterations[[#This Row],[Step]] =current_step, current_Total_Loss,IF(Iterations[[#This Row],[Step]] &gt; current_step, "",Iterations[[#This Row],[Total Loss]]))</f>
        <v>90.55</v>
      </c>
      <c r="M709" s="6" t="s">
        <v>27</v>
      </c>
      <c r="N709" s="2">
        <f ca="1">IF(Iterations[[#This Row],[Step]] =current_step, current_Grad_a,IF(Iterations[[#This Row],[Step]] &gt; current_step, "",Iterations[[#This Row],[Grad_a]]))</f>
        <v>1.1735662746990672E-2</v>
      </c>
      <c r="O709" s="2">
        <f ca="1">IF(Iterations[[#This Row],[Step]] =current_step, current_Grad_b,IF(Iterations[[#This Row],[Step]] &gt; current_step, "",Iterations[[#This Row],[Grad_b]]))</f>
        <v>2.0453421727846996E-3</v>
      </c>
      <c r="P709" s="2">
        <f ca="1">IF(Iterations[[#This Row],[Step]] =current_step, current_Grad_c,IF(Iterations[[#This Row],[Step]] &gt; current_step, "",Iterations[[#This Row],[Grad_c]]))</f>
        <v>-3.2920130735137255E-2</v>
      </c>
      <c r="Q709" s="2">
        <f ca="1">IF(Iterations[[#This Row],[Step]] =current_step, current_Grad_d,IF(Iterations[[#This Row],[Step]] &gt; current_step, "",Iterations[[#This Row],[Grad_d]]))</f>
        <v>-1.877220909909938E-3</v>
      </c>
      <c r="R709" s="2">
        <f ca="1">IF(Iterations[[#This Row],[Step]] =current_step, current_Grad_e,IF(Iterations[[#This Row],[Step]] &gt; current_step, "",Iterations[[#This Row],[Grad_e]]))</f>
        <v>1.1740289135516354E-2</v>
      </c>
    </row>
    <row r="710" spans="6:18" x14ac:dyDescent="0.3">
      <c r="F710" s="2">
        <f t="shared" si="13"/>
        <v>693</v>
      </c>
      <c r="G710" s="2">
        <f ca="1">IF(Iterations[[#This Row],[Step]] =current_step, current_a,IF(Iterations[[#This Row],[Step]] &gt; current_step, "",Iterations[[#This Row],[a]]))</f>
        <v>-7.1899790485463475</v>
      </c>
      <c r="H710" s="2">
        <f ca="1">IF(Iterations[[#This Row],[Step]] =current_step, current_b,IF(Iterations[[#This Row],[Step]] &gt; current_step, "",Iterations[[#This Row],[b]]))</f>
        <v>0.36296913682660248</v>
      </c>
      <c r="I710" s="2">
        <f ca="1">IF(Iterations[[#This Row],[Step]] =current_step, current_c,IF(Iterations[[#This Row],[Step]] &gt; current_step, "",Iterations[[#This Row],[c]]))</f>
        <v>21.005297534695604</v>
      </c>
      <c r="J710" s="2">
        <f ca="1">IF(Iterations[[#This Row],[Step]] =current_step, current_d,IF(Iterations[[#This Row],[Step]] &gt; current_step, "",Iterations[[#This Row],[d]]))</f>
        <v>1.1913640188296069</v>
      </c>
      <c r="K710" s="2">
        <f ca="1">IF(Iterations[[#This Row],[Step]] =current_step, current_e,IF(Iterations[[#This Row],[Step]] &gt; current_step, "",Iterations[[#This Row],[e]]))</f>
        <v>11.390101181606219</v>
      </c>
      <c r="L710" s="2">
        <f ca="1">IF(Iterations[[#This Row],[Step]] =current_step, current_Total_Loss,IF(Iterations[[#This Row],[Step]] &gt; current_step, "",Iterations[[#This Row],[Total Loss]]))</f>
        <v>90.55</v>
      </c>
      <c r="M710" s="6" t="s">
        <v>27</v>
      </c>
      <c r="N710" s="2">
        <f ca="1">IF(Iterations[[#This Row],[Step]] =current_step, current_Grad_a,IF(Iterations[[#This Row],[Step]] &gt; current_step, "",Iterations[[#This Row],[Grad_a]]))</f>
        <v>1.1656246525603499E-2</v>
      </c>
      <c r="O710" s="2">
        <f ca="1">IF(Iterations[[#This Row],[Step]] =current_step, current_Grad_b,IF(Iterations[[#This Row],[Step]] &gt; current_step, "",Iterations[[#This Row],[Grad_b]]))</f>
        <v>2.0315172914957299E-3</v>
      </c>
      <c r="P710" s="2">
        <f ca="1">IF(Iterations[[#This Row],[Step]] =current_step, current_Grad_c,IF(Iterations[[#This Row],[Step]] &gt; current_step, "",Iterations[[#This Row],[Grad_c]]))</f>
        <v>-3.2697354225891678E-2</v>
      </c>
      <c r="Q710" s="2">
        <f ca="1">IF(Iterations[[#This Row],[Step]] =current_step, current_Grad_d,IF(Iterations[[#This Row],[Step]] &gt; current_step, "",Iterations[[#This Row],[Grad_d]]))</f>
        <v>-1.8645517847865551E-3</v>
      </c>
      <c r="R710" s="2">
        <f ca="1">IF(Iterations[[#This Row],[Step]] =current_step, current_Grad_e,IF(Iterations[[#This Row],[Step]] &gt; current_step, "",Iterations[[#This Row],[Grad_e]]))</f>
        <v>1.1660839980553363E-2</v>
      </c>
    </row>
    <row r="711" spans="6:18" x14ac:dyDescent="0.3">
      <c r="F711" s="2">
        <f t="shared" si="13"/>
        <v>694</v>
      </c>
      <c r="G711" s="2">
        <f ca="1">IF(Iterations[[#This Row],[Step]] =current_step, current_a,IF(Iterations[[#This Row],[Step]] &gt; current_step, "",Iterations[[#This Row],[a]]))</f>
        <v>-7.1907949858031399</v>
      </c>
      <c r="H711" s="2">
        <f ca="1">IF(Iterations[[#This Row],[Step]] =current_step, current_b,IF(Iterations[[#This Row],[Step]] &gt; current_step, "",Iterations[[#This Row],[b]]))</f>
        <v>0.36282693061619775</v>
      </c>
      <c r="I711" s="2">
        <f ca="1">IF(Iterations[[#This Row],[Step]] =current_step, current_c,IF(Iterations[[#This Row],[Step]] &gt; current_step, "",Iterations[[#This Row],[c]]))</f>
        <v>21.007586349491415</v>
      </c>
      <c r="J711" s="2">
        <f ca="1">IF(Iterations[[#This Row],[Step]] =current_step, current_d,IF(Iterations[[#This Row],[Step]] &gt; current_step, "",Iterations[[#This Row],[d]]))</f>
        <v>1.1914945374545418</v>
      </c>
      <c r="K711" s="2">
        <f ca="1">IF(Iterations[[#This Row],[Step]] =current_step, current_e,IF(Iterations[[#This Row],[Step]] &gt; current_step, "",Iterations[[#This Row],[e]]))</f>
        <v>11.389284922807581</v>
      </c>
      <c r="L711" s="2">
        <f ca="1">IF(Iterations[[#This Row],[Step]] =current_step, current_Total_Loss,IF(Iterations[[#This Row],[Step]] &gt; current_step, "",Iterations[[#This Row],[Total Loss]]))</f>
        <v>90.55</v>
      </c>
      <c r="M711" s="6" t="s">
        <v>27</v>
      </c>
      <c r="N711" s="2">
        <f ca="1">IF(Iterations[[#This Row],[Step]] =current_step, current_Grad_a,IF(Iterations[[#This Row],[Step]] &gt; current_step, "",Iterations[[#This Row],[Grad_a]]))</f>
        <v>1.1577367717907504E-2</v>
      </c>
      <c r="O711" s="2">
        <f ca="1">IF(Iterations[[#This Row],[Step]] =current_step, current_Grad_b,IF(Iterations[[#This Row],[Step]] &gt; current_step, "",Iterations[[#This Row],[Grad_b]]))</f>
        <v>2.0177856765707749E-3</v>
      </c>
      <c r="P711" s="2">
        <f ca="1">IF(Iterations[[#This Row],[Step]] =current_step, current_Grad_c,IF(Iterations[[#This Row],[Step]] &gt; current_step, "",Iterations[[#This Row],[Grad_c]]))</f>
        <v>-3.2476085313935338E-2</v>
      </c>
      <c r="Q711" s="2">
        <f ca="1">IF(Iterations[[#This Row],[Step]] =current_step, current_Grad_d,IF(Iterations[[#This Row],[Step]] &gt; current_step, "",Iterations[[#This Row],[Grad_d]]))</f>
        <v>-1.8519677830387796E-3</v>
      </c>
      <c r="R711" s="2">
        <f ca="1">IF(Iterations[[#This Row],[Step]] =current_step, current_Grad_e,IF(Iterations[[#This Row],[Step]] &gt; current_step, "",Iterations[[#This Row],[Grad_e]]))</f>
        <v>1.1581928491130315E-2</v>
      </c>
    </row>
    <row r="712" spans="6:18" x14ac:dyDescent="0.3">
      <c r="F712" s="2">
        <f t="shared" si="13"/>
        <v>695</v>
      </c>
      <c r="G712" s="2">
        <f ca="1">IF(Iterations[[#This Row],[Step]] =current_step, current_a,IF(Iterations[[#This Row],[Step]] &gt; current_step, "",Iterations[[#This Row],[a]]))</f>
        <v>-7.1916054015433932</v>
      </c>
      <c r="H712" s="2">
        <f ca="1">IF(Iterations[[#This Row],[Step]] =current_step, current_b,IF(Iterations[[#This Row],[Step]] &gt; current_step, "",Iterations[[#This Row],[b]]))</f>
        <v>0.36268568561883779</v>
      </c>
      <c r="I712" s="2">
        <f ca="1">IF(Iterations[[#This Row],[Step]] =current_step, current_c,IF(Iterations[[#This Row],[Step]] &gt; current_step, "",Iterations[[#This Row],[c]]))</f>
        <v>21.009859675463392</v>
      </c>
      <c r="J712" s="2">
        <f ca="1">IF(Iterations[[#This Row],[Step]] =current_step, current_d,IF(Iterations[[#This Row],[Step]] &gt; current_step, "",Iterations[[#This Row],[d]]))</f>
        <v>1.1916241751993546</v>
      </c>
      <c r="K712" s="2">
        <f ca="1">IF(Iterations[[#This Row],[Step]] =current_step, current_e,IF(Iterations[[#This Row],[Step]] &gt; current_step, "",Iterations[[#This Row],[e]]))</f>
        <v>11.388474187813202</v>
      </c>
      <c r="L712" s="2">
        <f ca="1">IF(Iterations[[#This Row],[Step]] =current_step, current_Total_Loss,IF(Iterations[[#This Row],[Step]] &gt; current_step, "",Iterations[[#This Row],[Total Loss]]))</f>
        <v>90.55</v>
      </c>
      <c r="M712" s="6" t="s">
        <v>27</v>
      </c>
      <c r="N712" s="2">
        <f ca="1">IF(Iterations[[#This Row],[Step]] =current_step, current_Grad_a,IF(Iterations[[#This Row],[Step]] &gt; current_step, "",Iterations[[#This Row],[Grad_a]]))</f>
        <v>1.1499022687255136E-2</v>
      </c>
      <c r="O712" s="2">
        <f ca="1">IF(Iterations[[#This Row],[Step]] =current_step, current_Grad_b,IF(Iterations[[#This Row],[Step]] &gt; current_step, "",Iterations[[#This Row],[Grad_b]]))</f>
        <v>2.0041467020247192E-3</v>
      </c>
      <c r="P712" s="2">
        <f ca="1">IF(Iterations[[#This Row],[Step]] =current_step, current_Grad_c,IF(Iterations[[#This Row],[Step]] &gt; current_step, "",Iterations[[#This Row],[Grad_c]]))</f>
        <v>-3.2256313796382927E-2</v>
      </c>
      <c r="Q712" s="2">
        <f ca="1">IF(Iterations[[#This Row],[Step]] =current_step, current_Grad_d,IF(Iterations[[#This Row],[Step]] &gt; current_step, "",Iterations[[#This Row],[Grad_d]]))</f>
        <v>-1.839468339486641E-3</v>
      </c>
      <c r="R712" s="2">
        <f ca="1">IF(Iterations[[#This Row],[Step]] =current_step, current_Grad_e,IF(Iterations[[#This Row],[Step]] &gt; current_step, "",Iterations[[#This Row],[Grad_e]]))</f>
        <v>1.1503551028370751E-2</v>
      </c>
    </row>
    <row r="713" spans="6:18" x14ac:dyDescent="0.3">
      <c r="F713" s="2">
        <f t="shared" si="13"/>
        <v>696</v>
      </c>
      <c r="G713" s="2">
        <f ca="1">IF(Iterations[[#This Row],[Step]] =current_step, current_a,IF(Iterations[[#This Row],[Step]] &gt; current_step, "",Iterations[[#This Row],[a]]))</f>
        <v>-7.1924103331315008</v>
      </c>
      <c r="H713" s="2">
        <f ca="1">IF(Iterations[[#This Row],[Step]] =current_step, current_b,IF(Iterations[[#This Row],[Step]] &gt; current_step, "",Iterations[[#This Row],[b]]))</f>
        <v>0.36254539534969604</v>
      </c>
      <c r="I713" s="2">
        <f ca="1">IF(Iterations[[#This Row],[Step]] =current_step, current_c,IF(Iterations[[#This Row],[Step]] &gt; current_step, "",Iterations[[#This Row],[c]]))</f>
        <v>21.012117617429141</v>
      </c>
      <c r="J713" s="2">
        <f ca="1">IF(Iterations[[#This Row],[Step]] =current_step, current_d,IF(Iterations[[#This Row],[Step]] &gt; current_step, "",Iterations[[#This Row],[d]]))</f>
        <v>1.1917529379831187</v>
      </c>
      <c r="K713" s="2">
        <f ca="1">IF(Iterations[[#This Row],[Step]] =current_step, current_e,IF(Iterations[[#This Row],[Step]] &gt; current_step, "",Iterations[[#This Row],[e]]))</f>
        <v>11.387668939241216</v>
      </c>
      <c r="L713" s="2">
        <f ca="1">IF(Iterations[[#This Row],[Step]] =current_step, current_Total_Loss,IF(Iterations[[#This Row],[Step]] &gt; current_step, "",Iterations[[#This Row],[Total Loss]]))</f>
        <v>90.55</v>
      </c>
      <c r="M713" s="6" t="s">
        <v>27</v>
      </c>
      <c r="N713" s="2">
        <f ca="1">IF(Iterations[[#This Row],[Step]] =current_step, current_Grad_a,IF(Iterations[[#This Row],[Step]] &gt; current_step, "",Iterations[[#This Row],[Grad_a]]))</f>
        <v>1.1421207821594207E-2</v>
      </c>
      <c r="O713" s="2">
        <f ca="1">IF(Iterations[[#This Row],[Step]] =current_step, current_Grad_b,IF(Iterations[[#This Row],[Step]] &gt; current_step, "",Iterations[[#This Row],[Grad_b]]))</f>
        <v>1.9905997459802472E-3</v>
      </c>
      <c r="P713" s="2">
        <f ca="1">IF(Iterations[[#This Row],[Step]] =current_step, current_Grad_c,IF(Iterations[[#This Row],[Step]] &gt; current_step, "",Iterations[[#This Row],[Grad_c]]))</f>
        <v>-3.2038029539418228E-2</v>
      </c>
      <c r="Q713" s="2">
        <f ca="1">IF(Iterations[[#This Row],[Step]] =current_step, current_Grad_d,IF(Iterations[[#This Row],[Step]] &gt; current_step, "",Iterations[[#This Row],[Grad_d]]))</f>
        <v>-1.8270528925983798E-3</v>
      </c>
      <c r="R713" s="2">
        <f ca="1">IF(Iterations[[#This Row],[Step]] =current_step, current_Grad_e,IF(Iterations[[#This Row],[Step]] &gt; current_step, "",Iterations[[#This Row],[Grad_e]]))</f>
        <v>1.1425703978023647E-2</v>
      </c>
    </row>
    <row r="714" spans="6:18" x14ac:dyDescent="0.3">
      <c r="F714" s="2">
        <f t="shared" si="13"/>
        <v>697</v>
      </c>
      <c r="G714" s="2">
        <f ca="1">IF(Iterations[[#This Row],[Step]] =current_step, current_a,IF(Iterations[[#This Row],[Step]] &gt; current_step, "",Iterations[[#This Row],[a]]))</f>
        <v>-7.193209817679012</v>
      </c>
      <c r="H714" s="2">
        <f ca="1">IF(Iterations[[#This Row],[Step]] =current_step, current_b,IF(Iterations[[#This Row],[Step]] &gt; current_step, "",Iterations[[#This Row],[b]]))</f>
        <v>0.36240605336747744</v>
      </c>
      <c r="I714" s="2">
        <f ca="1">IF(Iterations[[#This Row],[Step]] =current_step, current_c,IF(Iterations[[#This Row],[Step]] &gt; current_step, "",Iterations[[#This Row],[c]]))</f>
        <v>21.014360279496898</v>
      </c>
      <c r="J714" s="2">
        <f ca="1">IF(Iterations[[#This Row],[Step]] =current_step, current_d,IF(Iterations[[#This Row],[Step]] &gt; current_step, "",Iterations[[#This Row],[d]]))</f>
        <v>1.1918808316856004</v>
      </c>
      <c r="K714" s="2">
        <f ca="1">IF(Iterations[[#This Row],[Step]] =current_step, current_e,IF(Iterations[[#This Row],[Step]] &gt; current_step, "",Iterations[[#This Row],[e]]))</f>
        <v>11.386869139962755</v>
      </c>
      <c r="L714" s="2">
        <f ca="1">IF(Iterations[[#This Row],[Step]] =current_step, current_Total_Loss,IF(Iterations[[#This Row],[Step]] &gt; current_step, "",Iterations[[#This Row],[Total Loss]]))</f>
        <v>90.55</v>
      </c>
      <c r="M714" s="6" t="s">
        <v>27</v>
      </c>
      <c r="N714" s="2">
        <f ca="1">IF(Iterations[[#This Row],[Step]] =current_step, current_Grad_a,IF(Iterations[[#This Row],[Step]] &gt; current_step, "",Iterations[[#This Row],[Grad_a]]))</f>
        <v>1.1343919533247057E-2</v>
      </c>
      <c r="O714" s="2">
        <f ca="1">IF(Iterations[[#This Row],[Step]] =current_step, current_Grad_b,IF(Iterations[[#This Row],[Step]] &gt; current_step, "",Iterations[[#This Row],[Grad_b]]))</f>
        <v>1.9771441906860274E-3</v>
      </c>
      <c r="P714" s="2">
        <f ca="1">IF(Iterations[[#This Row],[Step]] =current_step, current_Grad_c,IF(Iterations[[#This Row],[Step]] &gt; current_step, "",Iterations[[#This Row],[Grad_c]]))</f>
        <v>-3.1821222477841311E-2</v>
      </c>
      <c r="Q714" s="2">
        <f ca="1">IF(Iterations[[#This Row],[Step]] =current_step, current_Grad_d,IF(Iterations[[#This Row],[Step]] &gt; current_step, "",Iterations[[#This Row],[Grad_d]]))</f>
        <v>-1.8147208844474948E-3</v>
      </c>
      <c r="R714" s="2">
        <f ca="1">IF(Iterations[[#This Row],[Step]] =current_step, current_Grad_e,IF(Iterations[[#This Row],[Step]] &gt; current_step, "",Iterations[[#This Row],[Grad_e]]))</f>
        <v>1.1348383750294665E-2</v>
      </c>
    </row>
    <row r="715" spans="6:18" x14ac:dyDescent="0.3">
      <c r="F715" s="2">
        <f t="shared" si="13"/>
        <v>698</v>
      </c>
      <c r="G715" s="2">
        <f ca="1">IF(Iterations[[#This Row],[Step]] =current_step, current_a,IF(Iterations[[#This Row],[Step]] &gt; current_step, "",Iterations[[#This Row],[a]]))</f>
        <v>-7.1940038920463394</v>
      </c>
      <c r="H715" s="2">
        <f ca="1">IF(Iterations[[#This Row],[Step]] =current_step, current_b,IF(Iterations[[#This Row],[Step]] &gt; current_step, "",Iterations[[#This Row],[b]]))</f>
        <v>0.36226765327412941</v>
      </c>
      <c r="I715" s="2">
        <f ca="1">IF(Iterations[[#This Row],[Step]] =current_step, current_c,IF(Iterations[[#This Row],[Step]] &gt; current_step, "",Iterations[[#This Row],[c]]))</f>
        <v>21.016587765070348</v>
      </c>
      <c r="J715" s="2">
        <f ca="1">IF(Iterations[[#This Row],[Step]] =current_step, current_d,IF(Iterations[[#This Row],[Step]] &gt; current_step, "",Iterations[[#This Row],[d]]))</f>
        <v>1.1920078621475119</v>
      </c>
      <c r="K715" s="2">
        <f ca="1">IF(Iterations[[#This Row],[Step]] =current_step, current_e,IF(Iterations[[#This Row],[Step]] &gt; current_step, "",Iterations[[#This Row],[e]]))</f>
        <v>11.386074753100235</v>
      </c>
      <c r="L715" s="2">
        <f ca="1">IF(Iterations[[#This Row],[Step]] =current_step, current_Total_Loss,IF(Iterations[[#This Row],[Step]] &gt; current_step, "",Iterations[[#This Row],[Total Loss]]))</f>
        <v>90.54</v>
      </c>
      <c r="M715" s="6" t="s">
        <v>27</v>
      </c>
      <c r="N715" s="2">
        <f ca="1">IF(Iterations[[#This Row],[Step]] =current_step, current_Grad_a,IF(Iterations[[#This Row],[Step]] &gt; current_step, "",Iterations[[#This Row],[Grad_a]]))</f>
        <v>1.1267154259010469E-2</v>
      </c>
      <c r="O715" s="2">
        <f ca="1">IF(Iterations[[#This Row],[Step]] =current_step, current_Grad_b,IF(Iterations[[#This Row],[Step]] &gt; current_step, "",Iterations[[#This Row],[Grad_b]]))</f>
        <v>1.9637794224979122E-3</v>
      </c>
      <c r="P715" s="2">
        <f ca="1">IF(Iterations[[#This Row],[Step]] =current_step, current_Grad_c,IF(Iterations[[#This Row],[Step]] &gt; current_step, "",Iterations[[#This Row],[Grad_c]]))</f>
        <v>-3.1605882614494013E-2</v>
      </c>
      <c r="Q715" s="2">
        <f ca="1">IF(Iterations[[#This Row],[Step]] =current_step, current_Grad_d,IF(Iterations[[#This Row],[Step]] &gt; current_step, "",Iterations[[#This Row],[Grad_d]]))</f>
        <v>-1.8024717606862763E-3</v>
      </c>
      <c r="R715" s="2">
        <f ca="1">IF(Iterations[[#This Row],[Step]] =current_step, current_Grad_e,IF(Iterations[[#This Row],[Step]] &gt; current_step, "",Iterations[[#This Row],[Grad_e]]))</f>
        <v>1.1271586779728714E-2</v>
      </c>
    </row>
    <row r="716" spans="6:18" x14ac:dyDescent="0.3">
      <c r="F716" s="2">
        <f t="shared" si="13"/>
        <v>699</v>
      </c>
      <c r="G716" s="2">
        <f ca="1">IF(Iterations[[#This Row],[Step]] =current_step, current_a,IF(Iterations[[#This Row],[Step]] &gt; current_step, "",Iterations[[#This Row],[a]]))</f>
        <v>-7.19479259284447</v>
      </c>
      <c r="H716" s="2">
        <f ca="1">IF(Iterations[[#This Row],[Step]] =current_step, current_b,IF(Iterations[[#This Row],[Step]] &gt; current_step, "",Iterations[[#This Row],[b]]))</f>
        <v>0.36213018871455455</v>
      </c>
      <c r="I716" s="2">
        <f ca="1">IF(Iterations[[#This Row],[Step]] =current_step, current_c,IF(Iterations[[#This Row],[Step]] &gt; current_step, "",Iterations[[#This Row],[c]]))</f>
        <v>21.018800176853361</v>
      </c>
      <c r="J716" s="2">
        <f ca="1">IF(Iterations[[#This Row],[Step]] =current_step, current_d,IF(Iterations[[#This Row],[Step]] &gt; current_step, "",Iterations[[#This Row],[d]]))</f>
        <v>1.1921340351707599</v>
      </c>
      <c r="K716" s="2">
        <f ca="1">IF(Iterations[[#This Row],[Step]] =current_step, current_e,IF(Iterations[[#This Row],[Step]] &gt; current_step, "",Iterations[[#This Row],[e]]))</f>
        <v>11.385285742025655</v>
      </c>
      <c r="L716" s="2">
        <f ca="1">IF(Iterations[[#This Row],[Step]] =current_step, current_Total_Loss,IF(Iterations[[#This Row],[Step]] &gt; current_step, "",Iterations[[#This Row],[Total Loss]]))</f>
        <v>90.54</v>
      </c>
      <c r="M716" s="6" t="s">
        <v>27</v>
      </c>
      <c r="N716" s="2">
        <f ca="1">IF(Iterations[[#This Row],[Step]] =current_step, current_Grad_a,IF(Iterations[[#This Row],[Step]] &gt; current_step, "",Iterations[[#This Row],[Grad_a]]))</f>
        <v>1.1190908459517375E-2</v>
      </c>
      <c r="O716" s="2">
        <f ca="1">IF(Iterations[[#This Row],[Step]] =current_step, current_Grad_b,IF(Iterations[[#This Row],[Step]] &gt; current_step, "",Iterations[[#This Row],[Grad_b]]))</f>
        <v>1.9505048318125952E-3</v>
      </c>
      <c r="P716" s="2">
        <f ca="1">IF(Iterations[[#This Row],[Step]] =current_step, current_Grad_c,IF(Iterations[[#This Row],[Step]] &gt; current_step, "",Iterations[[#This Row],[Grad_c]]))</f>
        <v>-3.1392000020005098E-2</v>
      </c>
      <c r="Q716" s="2">
        <f ca="1">IF(Iterations[[#This Row],[Step]] =current_step, current_Grad_d,IF(Iterations[[#This Row],[Step]] &gt; current_step, "",Iterations[[#This Row],[Grad_d]]))</f>
        <v>-1.7903049705527325E-3</v>
      </c>
      <c r="R716" s="2">
        <f ca="1">IF(Iterations[[#This Row],[Step]] =current_step, current_Grad_e,IF(Iterations[[#This Row],[Step]] &gt; current_step, "",Iterations[[#This Row],[Grad_e]]))</f>
        <v>1.1195309524943298E-2</v>
      </c>
    </row>
    <row r="717" spans="6:18" x14ac:dyDescent="0.3">
      <c r="F717" s="2">
        <f t="shared" si="13"/>
        <v>700</v>
      </c>
      <c r="G717" s="2">
        <f ca="1">IF(Iterations[[#This Row],[Step]] =current_step, current_a,IF(Iterations[[#This Row],[Step]] &gt; current_step, "",Iterations[[#This Row],[a]]))</f>
        <v>-7.1955759564366364</v>
      </c>
      <c r="H717" s="2">
        <f ca="1">IF(Iterations[[#This Row],[Step]] =current_step, current_b,IF(Iterations[[#This Row],[Step]] &gt; current_step, "",Iterations[[#This Row],[b]]))</f>
        <v>0.36199365337632766</v>
      </c>
      <c r="I717" s="2">
        <f ca="1">IF(Iterations[[#This Row],[Step]] =current_step, current_c,IF(Iterations[[#This Row],[Step]] &gt; current_step, "",Iterations[[#This Row],[c]]))</f>
        <v>21.020997616854761</v>
      </c>
      <c r="J717" s="2">
        <f ca="1">IF(Iterations[[#This Row],[Step]] =current_step, current_d,IF(Iterations[[#This Row],[Step]] &gt; current_step, "",Iterations[[#This Row],[d]]))</f>
        <v>1.1922593565186985</v>
      </c>
      <c r="K717" s="2">
        <f ca="1">IF(Iterations[[#This Row],[Step]] =current_step, current_e,IF(Iterations[[#This Row],[Step]] &gt; current_step, "",Iterations[[#This Row],[e]]))</f>
        <v>11.384502070358909</v>
      </c>
      <c r="L717" s="2">
        <f ca="1">IF(Iterations[[#This Row],[Step]] =current_step, current_Total_Loss,IF(Iterations[[#This Row],[Step]] &gt; current_step, "",Iterations[[#This Row],[Total Loss]]))</f>
        <v>90.54</v>
      </c>
      <c r="M717" s="6" t="s">
        <v>27</v>
      </c>
      <c r="N717" s="2">
        <f ca="1">IF(Iterations[[#This Row],[Step]] =current_step, current_Grad_a,IF(Iterations[[#This Row],[Step]] &gt; current_step, "",Iterations[[#This Row],[Grad_a]]))</f>
        <v>1.1115178619657891E-2</v>
      </c>
      <c r="O717" s="2">
        <f ca="1">IF(Iterations[[#This Row],[Step]] =current_step, current_Grad_b,IF(Iterations[[#This Row],[Step]] &gt; current_step, "",Iterations[[#This Row],[Grad_b]]))</f>
        <v>1.9373198130866835E-3</v>
      </c>
      <c r="P717" s="2">
        <f ca="1">IF(Iterations[[#This Row],[Step]] =current_step, current_Grad_c,IF(Iterations[[#This Row],[Step]] &gt; current_step, "",Iterations[[#This Row],[Grad_c]]))</f>
        <v>-3.1179564832072095E-2</v>
      </c>
      <c r="Q717" s="2">
        <f ca="1">IF(Iterations[[#This Row],[Step]] =current_step, current_Grad_d,IF(Iterations[[#This Row],[Step]] &gt; current_step, "",Iterations[[#This Row],[Grad_d]]))</f>
        <v>-1.7782199668148881E-3</v>
      </c>
      <c r="R717" s="2">
        <f ca="1">IF(Iterations[[#This Row],[Step]] =current_step, current_Grad_e,IF(Iterations[[#This Row],[Step]] &gt; current_step, "",Iterations[[#This Row],[Grad_e]]))</f>
        <v>1.1119548468602561E-2</v>
      </c>
    </row>
    <row r="718" spans="6:18" x14ac:dyDescent="0.3">
      <c r="F718" s="2">
        <f t="shared" si="13"/>
        <v>701</v>
      </c>
      <c r="G718" s="2">
        <f ca="1">IF(Iterations[[#This Row],[Step]] =current_step, current_a,IF(Iterations[[#This Row],[Step]] &gt; current_step, "",Iterations[[#This Row],[a]]))</f>
        <v>-7.1963540189400126</v>
      </c>
      <c r="H718" s="2">
        <f ca="1">IF(Iterations[[#This Row],[Step]] =current_step, current_b,IF(Iterations[[#This Row],[Step]] &gt; current_step, "",Iterations[[#This Row],[b]]))</f>
        <v>0.3618580409894116</v>
      </c>
      <c r="I718" s="2">
        <f ca="1">IF(Iterations[[#This Row],[Step]] =current_step, current_c,IF(Iterations[[#This Row],[Step]] &gt; current_step, "",Iterations[[#This Row],[c]]))</f>
        <v>21.023180186393006</v>
      </c>
      <c r="J718" s="2">
        <f ca="1">IF(Iterations[[#This Row],[Step]] =current_step, current_d,IF(Iterations[[#This Row],[Step]] &gt; current_step, "",Iterations[[#This Row],[d]]))</f>
        <v>1.1923838319163755</v>
      </c>
      <c r="K718" s="2">
        <f ca="1">IF(Iterations[[#This Row],[Step]] =current_step, current_e,IF(Iterations[[#This Row],[Step]] &gt; current_step, "",Iterations[[#This Row],[e]]))</f>
        <v>11.383723701966106</v>
      </c>
      <c r="L718" s="2">
        <f ca="1">IF(Iterations[[#This Row],[Step]] =current_step, current_Total_Loss,IF(Iterations[[#This Row],[Step]] &gt; current_step, "",Iterations[[#This Row],[Total Loss]]))</f>
        <v>90.54</v>
      </c>
      <c r="M718" s="6" t="s">
        <v>27</v>
      </c>
      <c r="N718" s="2">
        <f ca="1">IF(Iterations[[#This Row],[Step]] =current_step, current_Grad_a,IF(Iterations[[#This Row],[Step]] &gt; current_step, "",Iterations[[#This Row],[Grad_a]]))</f>
        <v>1.1039961247755168E-2</v>
      </c>
      <c r="O718" s="2">
        <f ca="1">IF(Iterations[[#This Row],[Step]] =current_step, current_Grad_b,IF(Iterations[[#This Row],[Step]] &gt; current_step, "",Iterations[[#This Row],[Grad_b]]))</f>
        <v>1.9242237648165893E-3</v>
      </c>
      <c r="P718" s="2">
        <f ca="1">IF(Iterations[[#This Row],[Step]] =current_step, current_Grad_c,IF(Iterations[[#This Row],[Step]] &gt; current_step, "",Iterations[[#This Row],[Grad_c]]))</f>
        <v>-3.0968567255300075E-2</v>
      </c>
      <c r="Q718" s="2">
        <f ca="1">IF(Iterations[[#This Row],[Step]] =current_step, current_Grad_d,IF(Iterations[[#This Row],[Step]] &gt; current_step, "",Iterations[[#This Row],[Grad_d]]))</f>
        <v>-1.7662162057633319E-3</v>
      </c>
      <c r="R718" s="2">
        <f ca="1">IF(Iterations[[#This Row],[Step]] =current_step, current_Grad_e,IF(Iterations[[#This Row],[Step]] &gt; current_step, "",Iterations[[#This Row],[Grad_e]]))</f>
        <v>1.104430011709814E-2</v>
      </c>
    </row>
    <row r="719" spans="6:18" x14ac:dyDescent="0.3">
      <c r="F719" s="2">
        <f t="shared" si="13"/>
        <v>702</v>
      </c>
      <c r="G719" s="2">
        <f ca="1">IF(Iterations[[#This Row],[Step]] =current_step, current_a,IF(Iterations[[#This Row],[Step]] &gt; current_step, "",Iterations[[#This Row],[a]]))</f>
        <v>-7.1971268162273558</v>
      </c>
      <c r="H719" s="2">
        <f ca="1">IF(Iterations[[#This Row],[Step]] =current_step, current_b,IF(Iterations[[#This Row],[Step]] &gt; current_step, "",Iterations[[#This Row],[b]]))</f>
        <v>0.36172334532587441</v>
      </c>
      <c r="I719" s="2">
        <f ca="1">IF(Iterations[[#This Row],[Step]] =current_step, current_c,IF(Iterations[[#This Row],[Step]] &gt; current_step, "",Iterations[[#This Row],[c]]))</f>
        <v>21.025347986100876</v>
      </c>
      <c r="J719" s="2">
        <f ca="1">IF(Iterations[[#This Row],[Step]] =current_step, current_d,IF(Iterations[[#This Row],[Step]] &gt; current_step, "",Iterations[[#This Row],[d]]))</f>
        <v>1.1925074670507789</v>
      </c>
      <c r="K719" s="2">
        <f ca="1">IF(Iterations[[#This Row],[Step]] =current_step, current_e,IF(Iterations[[#This Row],[Step]] &gt; current_step, "",Iterations[[#This Row],[e]]))</f>
        <v>11.38295060095791</v>
      </c>
      <c r="L719" s="2">
        <f ca="1">IF(Iterations[[#This Row],[Step]] =current_step, current_Total_Loss,IF(Iterations[[#This Row],[Step]] &gt; current_step, "",Iterations[[#This Row],[Total Loss]]))</f>
        <v>90.54</v>
      </c>
      <c r="M719" s="6" t="s">
        <v>27</v>
      </c>
      <c r="N719" s="2">
        <f ca="1">IF(Iterations[[#This Row],[Step]] =current_step, current_Grad_a,IF(Iterations[[#This Row],[Step]] &gt; current_step, "",Iterations[[#This Row],[Grad_a]]))</f>
        <v>1.0965252876134146E-2</v>
      </c>
      <c r="O719" s="2">
        <f ca="1">IF(Iterations[[#This Row],[Step]] =current_step, current_Grad_b,IF(Iterations[[#This Row],[Step]] &gt; current_step, "",Iterations[[#This Row],[Grad_b]]))</f>
        <v>1.9112160893974333E-3</v>
      </c>
      <c r="P719" s="2">
        <f ca="1">IF(Iterations[[#This Row],[Step]] =current_step, current_Grad_c,IF(Iterations[[#This Row],[Step]] &gt; current_step, "",Iterations[[#This Row],[Grad_c]]))</f>
        <v>-3.0758997560433741E-2</v>
      </c>
      <c r="Q719" s="2">
        <f ca="1">IF(Iterations[[#This Row],[Step]] =current_step, current_Grad_d,IF(Iterations[[#This Row],[Step]] &gt; current_step, "",Iterations[[#This Row],[Grad_d]]))</f>
        <v>-1.7542931472290678E-3</v>
      </c>
      <c r="R719" s="2">
        <f ca="1">IF(Iterations[[#This Row],[Step]] =current_step, current_Grad_e,IF(Iterations[[#This Row],[Step]] &gt; current_step, "",Iterations[[#This Row],[Grad_e]]))</f>
        <v>1.0969561000552316E-2</v>
      </c>
    </row>
    <row r="720" spans="6:18" x14ac:dyDescent="0.3">
      <c r="F720" s="2">
        <f t="shared" si="13"/>
        <v>703</v>
      </c>
      <c r="G720" s="2">
        <f ca="1">IF(Iterations[[#This Row],[Step]] =current_step, current_a,IF(Iterations[[#This Row],[Step]] &gt; current_step, "",Iterations[[#This Row],[a]]))</f>
        <v>-7.1978943839286851</v>
      </c>
      <c r="H720" s="2">
        <f ca="1">IF(Iterations[[#This Row],[Step]] =current_step, current_b,IF(Iterations[[#This Row],[Step]] &gt; current_step, "",Iterations[[#This Row],[b]]))</f>
        <v>0.36158956019961658</v>
      </c>
      <c r="I720" s="2">
        <f ca="1">IF(Iterations[[#This Row],[Step]] =current_step, current_c,IF(Iterations[[#This Row],[Step]] &gt; current_step, "",Iterations[[#This Row],[c]]))</f>
        <v>21.027501115930107</v>
      </c>
      <c r="J720" s="2">
        <f ca="1">IF(Iterations[[#This Row],[Step]] =current_step, current_d,IF(Iterations[[#This Row],[Step]] &gt; current_step, "",Iterations[[#This Row],[d]]))</f>
        <v>1.1926302675710849</v>
      </c>
      <c r="K720" s="2">
        <f ca="1">IF(Iterations[[#This Row],[Step]] =current_step, current_e,IF(Iterations[[#This Row],[Step]] &gt; current_step, "",Iterations[[#This Row],[e]]))</f>
        <v>11.382182731687871</v>
      </c>
      <c r="L720" s="2">
        <f ca="1">IF(Iterations[[#This Row],[Step]] =current_step, current_Total_Loss,IF(Iterations[[#This Row],[Step]] &gt; current_step, "",Iterations[[#This Row],[Total Loss]]))</f>
        <v>90.54</v>
      </c>
      <c r="M720" s="6" t="s">
        <v>27</v>
      </c>
      <c r="N720" s="2">
        <f ca="1">IF(Iterations[[#This Row],[Step]] =current_step, current_Grad_a,IF(Iterations[[#This Row],[Step]] &gt; current_step, "",Iterations[[#This Row],[Grad_a]]))</f>
        <v>1.0891050060304034E-2</v>
      </c>
      <c r="O720" s="2">
        <f ca="1">IF(Iterations[[#This Row],[Step]] =current_step, current_Grad_b,IF(Iterations[[#This Row],[Step]] &gt; current_step, "",Iterations[[#This Row],[Grad_b]]))</f>
        <v>1.8982961932845458E-3</v>
      </c>
      <c r="P720" s="2">
        <f ca="1">IF(Iterations[[#This Row],[Step]] =current_step, current_Grad_c,IF(Iterations[[#This Row],[Step]] &gt; current_step, "",Iterations[[#This Row],[Grad_c]]))</f>
        <v>-3.0550846084188218E-2</v>
      </c>
      <c r="Q720" s="2">
        <f ca="1">IF(Iterations[[#This Row],[Step]] =current_step, current_Grad_d,IF(Iterations[[#This Row],[Step]] &gt; current_step, "",Iterations[[#This Row],[Grad_d]]))</f>
        <v>-1.7424502544850506E-3</v>
      </c>
      <c r="R720" s="2">
        <f ca="1">IF(Iterations[[#This Row],[Step]] =current_step, current_Grad_e,IF(Iterations[[#This Row],[Step]] &gt; current_step, "",Iterations[[#This Row],[Grad_e]]))</f>
        <v>1.0895327672513369E-2</v>
      </c>
    </row>
    <row r="721" spans="6:18" x14ac:dyDescent="0.3">
      <c r="F721" s="2">
        <f t="shared" si="13"/>
        <v>704</v>
      </c>
      <c r="G721" s="2">
        <f ca="1">IF(Iterations[[#This Row],[Step]] =current_step, current_a,IF(Iterations[[#This Row],[Step]] &gt; current_step, "",Iterations[[#This Row],[a]]))</f>
        <v>-7.1986567574329063</v>
      </c>
      <c r="H721" s="2">
        <f ca="1">IF(Iterations[[#This Row],[Step]] =current_step, current_b,IF(Iterations[[#This Row],[Step]] &gt; current_step, "",Iterations[[#This Row],[b]]))</f>
        <v>0.36145667946608667</v>
      </c>
      <c r="I721" s="2">
        <f ca="1">IF(Iterations[[#This Row],[Step]] =current_step, current_c,IF(Iterations[[#This Row],[Step]] &gt; current_step, "",Iterations[[#This Row],[c]]))</f>
        <v>21.029639675156002</v>
      </c>
      <c r="J721" s="2">
        <f ca="1">IF(Iterations[[#This Row],[Step]] =current_step, current_d,IF(Iterations[[#This Row],[Step]] &gt; current_step, "",Iterations[[#This Row],[d]]))</f>
        <v>1.1927522390888989</v>
      </c>
      <c r="K721" s="2">
        <f ca="1">IF(Iterations[[#This Row],[Step]] =current_step, current_e,IF(Iterations[[#This Row],[Step]] &gt; current_step, "",Iterations[[#This Row],[e]]))</f>
        <v>11.381420058750795</v>
      </c>
      <c r="L721" s="2">
        <f ca="1">IF(Iterations[[#This Row],[Step]] =current_step, current_Total_Loss,IF(Iterations[[#This Row],[Step]] &gt; current_step, "",Iterations[[#This Row],[Total Loss]]))</f>
        <v>90.53</v>
      </c>
      <c r="M721" s="6" t="s">
        <v>27</v>
      </c>
      <c r="N721" s="2">
        <f ca="1">IF(Iterations[[#This Row],[Step]] =current_step, current_Grad_a,IF(Iterations[[#This Row],[Step]] &gt; current_step, "",Iterations[[#This Row],[Grad_a]]))</f>
        <v>1.0817349379145493E-2</v>
      </c>
      <c r="O721" s="2">
        <f ca="1">IF(Iterations[[#This Row],[Step]] =current_step, current_Grad_b,IF(Iterations[[#This Row],[Step]] &gt; current_step, "",Iterations[[#This Row],[Grad_b]]))</f>
        <v>1.8854634868367753E-3</v>
      </c>
      <c r="P721" s="2">
        <f ca="1">IF(Iterations[[#This Row],[Step]] =current_step, current_Grad_c,IF(Iterations[[#This Row],[Step]] &gt; current_step, "",Iterations[[#This Row],[Grad_c]]))</f>
        <v>-3.0344103228652837E-2</v>
      </c>
      <c r="Q721" s="2">
        <f ca="1">IF(Iterations[[#This Row],[Step]] =current_step, current_Grad_d,IF(Iterations[[#This Row],[Step]] &gt; current_step, "",Iterations[[#This Row],[Grad_d]]))</f>
        <v>-1.73068699428508E-3</v>
      </c>
      <c r="R721" s="2">
        <f ca="1">IF(Iterations[[#This Row],[Step]] =current_step, current_Grad_e,IF(Iterations[[#This Row],[Step]] &gt; current_step, "",Iterations[[#This Row],[Grad_e]]))</f>
        <v>1.0821596709879304E-2</v>
      </c>
    </row>
    <row r="722" spans="6:18" x14ac:dyDescent="0.3">
      <c r="F722" s="2">
        <f t="shared" si="13"/>
        <v>705</v>
      </c>
      <c r="G722" s="2">
        <f ca="1">IF(Iterations[[#This Row],[Step]] =current_step, current_a,IF(Iterations[[#This Row],[Step]] &gt; current_step, "",Iterations[[#This Row],[a]]))</f>
        <v>-7.1994139718894461</v>
      </c>
      <c r="H722" s="2">
        <f ca="1">IF(Iterations[[#This Row],[Step]] =current_step, current_b,IF(Iterations[[#This Row],[Step]] &gt; current_step, "",Iterations[[#This Row],[b]]))</f>
        <v>0.36132469702200809</v>
      </c>
      <c r="I722" s="2">
        <f ca="1">IF(Iterations[[#This Row],[Step]] =current_step, current_c,IF(Iterations[[#This Row],[Step]] &gt; current_step, "",Iterations[[#This Row],[c]]))</f>
        <v>21.031763762382006</v>
      </c>
      <c r="J722" s="2">
        <f ca="1">IF(Iterations[[#This Row],[Step]] =current_step, current_d,IF(Iterations[[#This Row],[Step]] &gt; current_step, "",Iterations[[#This Row],[d]]))</f>
        <v>1.1928733871784989</v>
      </c>
      <c r="K722" s="2">
        <f ca="1">IF(Iterations[[#This Row],[Step]] =current_step, current_e,IF(Iterations[[#This Row],[Step]] &gt; current_step, "",Iterations[[#This Row],[e]]))</f>
        <v>11.380662546981103</v>
      </c>
      <c r="L722" s="2">
        <f ca="1">IF(Iterations[[#This Row],[Step]] =current_step, current_Total_Loss,IF(Iterations[[#This Row],[Step]] &gt; current_step, "",Iterations[[#This Row],[Total Loss]]))</f>
        <v>90.53</v>
      </c>
      <c r="M722" s="6" t="s">
        <v>27</v>
      </c>
      <c r="N722" s="2">
        <f ca="1">IF(Iterations[[#This Row],[Step]] =current_step, current_Grad_a,IF(Iterations[[#This Row],[Step]] &gt; current_step, "",Iterations[[#This Row],[Grad_a]]))</f>
        <v>1.074414743482969E-2</v>
      </c>
      <c r="O722" s="2">
        <f ca="1">IF(Iterations[[#This Row],[Step]] =current_step, current_Grad_b,IF(Iterations[[#This Row],[Step]] &gt; current_step, "",Iterations[[#This Row],[Grad_b]]))</f>
        <v>1.8727173842913755E-3</v>
      </c>
      <c r="P722" s="2">
        <f ca="1">IF(Iterations[[#This Row],[Step]] =current_step, current_Grad_c,IF(Iterations[[#This Row],[Step]] &gt; current_step, "",Iterations[[#This Row],[Grad_c]]))</f>
        <v>-3.013875946082804E-2</v>
      </c>
      <c r="Q722" s="2">
        <f ca="1">IF(Iterations[[#This Row],[Step]] =current_step, current_Grad_d,IF(Iterations[[#This Row],[Step]] &gt; current_step, "",Iterations[[#This Row],[Grad_d]]))</f>
        <v>-1.7190028368402393E-3</v>
      </c>
      <c r="R722" s="2">
        <f ca="1">IF(Iterations[[#This Row],[Step]] =current_step, current_Grad_e,IF(Iterations[[#This Row],[Step]] &gt; current_step, "",Iterations[[#This Row],[Grad_e]]))</f>
        <v>1.0748364712739149E-2</v>
      </c>
    </row>
    <row r="723" spans="6:18" x14ac:dyDescent="0.3">
      <c r="F723" s="2">
        <f t="shared" si="13"/>
        <v>706</v>
      </c>
      <c r="G723" s="2">
        <f ca="1">IF(Iterations[[#This Row],[Step]] =current_step, current_a,IF(Iterations[[#This Row],[Step]] &gt; current_step, "",Iterations[[#This Row],[a]]))</f>
        <v>-7.2001660622098838</v>
      </c>
      <c r="H723" s="2">
        <f ca="1">IF(Iterations[[#This Row],[Step]] =current_step, current_b,IF(Iterations[[#This Row],[Step]] &gt; current_step, "",Iterations[[#This Row],[b]]))</f>
        <v>0.3611936068051077</v>
      </c>
      <c r="I723" s="2">
        <f ca="1">IF(Iterations[[#This Row],[Step]] =current_step, current_c,IF(Iterations[[#This Row],[Step]] &gt; current_step, "",Iterations[[#This Row],[c]]))</f>
        <v>21.033873475544265</v>
      </c>
      <c r="J723" s="2">
        <f ca="1">IF(Iterations[[#This Row],[Step]] =current_step, current_d,IF(Iterations[[#This Row],[Step]] &gt; current_step, "",Iterations[[#This Row],[d]]))</f>
        <v>1.1929937173770777</v>
      </c>
      <c r="K723" s="2">
        <f ca="1">IF(Iterations[[#This Row],[Step]] =current_step, current_e,IF(Iterations[[#This Row],[Step]] &gt; current_step, "",Iterations[[#This Row],[e]]))</f>
        <v>11.379910161451212</v>
      </c>
      <c r="L723" s="2">
        <f ca="1">IF(Iterations[[#This Row],[Step]] =current_step, current_Total_Loss,IF(Iterations[[#This Row],[Step]] &gt; current_step, "",Iterations[[#This Row],[Total Loss]]))</f>
        <v>90.53</v>
      </c>
      <c r="M723" s="6" t="s">
        <v>27</v>
      </c>
      <c r="N723" s="2">
        <f ca="1">IF(Iterations[[#This Row],[Step]] =current_step, current_Grad_a,IF(Iterations[[#This Row],[Step]] &gt; current_step, "",Iterations[[#This Row],[Grad_a]]))</f>
        <v>1.0671440852301725E-2</v>
      </c>
      <c r="O723" s="2">
        <f ca="1">IF(Iterations[[#This Row],[Step]] =current_step, current_Grad_b,IF(Iterations[[#This Row],[Step]] &gt; current_step, "",Iterations[[#This Row],[Grad_b]]))</f>
        <v>1.8600573038359454E-3</v>
      </c>
      <c r="P723" s="2">
        <f ca="1">IF(Iterations[[#This Row],[Step]] =current_step, current_Grad_c,IF(Iterations[[#This Row],[Step]] &gt; current_step, "",Iterations[[#This Row],[Grad_c]]))</f>
        <v>-2.9934805312320473E-2</v>
      </c>
      <c r="Q723" s="2">
        <f ca="1">IF(Iterations[[#This Row],[Step]] =current_step, current_Grad_d,IF(Iterations[[#This Row],[Step]] &gt; current_step, "",Iterations[[#This Row],[Grad_d]]))</f>
        <v>-1.7073972557607022E-3</v>
      </c>
      <c r="R723" s="2">
        <f ca="1">IF(Iterations[[#This Row],[Step]] =current_step, current_Grad_e,IF(Iterations[[#This Row],[Step]] &gt; current_step, "",Iterations[[#This Row],[Grad_e]]))</f>
        <v>1.0675628304160393E-2</v>
      </c>
    </row>
    <row r="724" spans="6:18" x14ac:dyDescent="0.3">
      <c r="F724" s="2">
        <f t="shared" si="13"/>
        <v>707</v>
      </c>
      <c r="G724" s="2">
        <f ca="1">IF(Iterations[[#This Row],[Step]] =current_step, current_a,IF(Iterations[[#This Row],[Step]] &gt; current_step, "",Iterations[[#This Row],[a]]))</f>
        <v>-7.200913063069545</v>
      </c>
      <c r="H724" s="2">
        <f ca="1">IF(Iterations[[#This Row],[Step]] =current_step, current_b,IF(Iterations[[#This Row],[Step]] &gt; current_step, "",Iterations[[#This Row],[b]]))</f>
        <v>0.36106340279383919</v>
      </c>
      <c r="I724" s="2">
        <f ca="1">IF(Iterations[[#This Row],[Step]] =current_step, current_c,IF(Iterations[[#This Row],[Step]] &gt; current_step, "",Iterations[[#This Row],[c]]))</f>
        <v>21.035968911916129</v>
      </c>
      <c r="J724" s="2">
        <f ca="1">IF(Iterations[[#This Row],[Step]] =current_step, current_d,IF(Iterations[[#This Row],[Step]] &gt; current_step, "",Iterations[[#This Row],[d]]))</f>
        <v>1.1931132351849809</v>
      </c>
      <c r="K724" s="2">
        <f ca="1">IF(Iterations[[#This Row],[Step]] =current_step, current_e,IF(Iterations[[#This Row],[Step]] &gt; current_step, "",Iterations[[#This Row],[e]]))</f>
        <v>11.379162867469921</v>
      </c>
      <c r="L724" s="2">
        <f ca="1">IF(Iterations[[#This Row],[Step]] =current_step, current_Total_Loss,IF(Iterations[[#This Row],[Step]] &gt; current_step, "",Iterations[[#This Row],[Total Loss]]))</f>
        <v>90.53</v>
      </c>
      <c r="M724" s="6" t="s">
        <v>27</v>
      </c>
      <c r="N724" s="2">
        <f ca="1">IF(Iterations[[#This Row],[Step]] =current_step, current_Grad_a,IF(Iterations[[#This Row],[Step]] &gt; current_step, "",Iterations[[#This Row],[Grad_a]]))</f>
        <v>1.0599226279581812E-2</v>
      </c>
      <c r="O724" s="2">
        <f ca="1">IF(Iterations[[#This Row],[Step]] =current_step, current_Grad_b,IF(Iterations[[#This Row],[Step]] &gt; current_step, "",Iterations[[#This Row],[Grad_b]]))</f>
        <v>1.847482667456478E-3</v>
      </c>
      <c r="P724" s="2">
        <f ca="1">IF(Iterations[[#This Row],[Step]] =current_step, current_Grad_c,IF(Iterations[[#This Row],[Step]] &gt; current_step, "",Iterations[[#This Row],[Grad_c]]))</f>
        <v>-2.9732231378729365E-2</v>
      </c>
      <c r="Q724" s="2">
        <f ca="1">IF(Iterations[[#This Row],[Step]] =current_step, current_Grad_d,IF(Iterations[[#This Row],[Step]] &gt; current_step, "",Iterations[[#This Row],[Grad_d]]))</f>
        <v>-1.6958697280800819E-3</v>
      </c>
      <c r="R724" s="2">
        <f ca="1">IF(Iterations[[#This Row],[Step]] =current_step, current_Grad_e,IF(Iterations[[#This Row],[Step]] &gt; current_step, "",Iterations[[#This Row],[Grad_e]]))</f>
        <v>1.0603384130107665E-2</v>
      </c>
    </row>
    <row r="725" spans="6:18" x14ac:dyDescent="0.3">
      <c r="F725" s="2">
        <f t="shared" si="13"/>
        <v>708</v>
      </c>
      <c r="G725" s="2">
        <f ca="1">IF(Iterations[[#This Row],[Step]] =current_step, current_a,IF(Iterations[[#This Row],[Step]] &gt; current_step, "",Iterations[[#This Row],[a]]))</f>
        <v>-7.2016550089091158</v>
      </c>
      <c r="H725" s="2">
        <f ca="1">IF(Iterations[[#This Row],[Step]] =current_step, current_b,IF(Iterations[[#This Row],[Step]] &gt; current_step, "",Iterations[[#This Row],[b]]))</f>
        <v>0.36093407900711721</v>
      </c>
      <c r="I725" s="2">
        <f ca="1">IF(Iterations[[#This Row],[Step]] =current_step, current_c,IF(Iterations[[#This Row],[Step]] &gt; current_step, "",Iterations[[#This Row],[c]]))</f>
        <v>21.03805016811264</v>
      </c>
      <c r="J725" s="2">
        <f ca="1">IF(Iterations[[#This Row],[Step]] =current_step, current_d,IF(Iterations[[#This Row],[Step]] &gt; current_step, "",Iterations[[#This Row],[d]]))</f>
        <v>1.1932319460659466</v>
      </c>
      <c r="K725" s="2">
        <f ca="1">IF(Iterations[[#This Row],[Step]] =current_step, current_e,IF(Iterations[[#This Row],[Step]] &gt; current_step, "",Iterations[[#This Row],[e]]))</f>
        <v>11.378420630580813</v>
      </c>
      <c r="L725" s="2">
        <f ca="1">IF(Iterations[[#This Row],[Step]] =current_step, current_Total_Loss,IF(Iterations[[#This Row],[Step]] &gt; current_step, "",Iterations[[#This Row],[Total Loss]]))</f>
        <v>90.53</v>
      </c>
      <c r="M725" s="6" t="s">
        <v>27</v>
      </c>
      <c r="N725" s="2">
        <f ca="1">IF(Iterations[[#This Row],[Step]] =current_step, current_Grad_a,IF(Iterations[[#This Row],[Step]] &gt; current_step, "",Iterations[[#This Row],[Grad_a]]))</f>
        <v>1.0527500387075974E-2</v>
      </c>
      <c r="O725" s="2">
        <f ca="1">IF(Iterations[[#This Row],[Step]] =current_step, current_Grad_b,IF(Iterations[[#This Row],[Step]] &gt; current_step, "",Iterations[[#This Row],[Grad_b]]))</f>
        <v>1.8349929010458412E-3</v>
      </c>
      <c r="P725" s="2">
        <f ca="1">IF(Iterations[[#This Row],[Step]] =current_step, current_Grad_c,IF(Iterations[[#This Row],[Step]] &gt; current_step, "",Iterations[[#This Row],[Grad_c]]))</f>
        <v>-2.9531028319427371E-2</v>
      </c>
      <c r="Q725" s="2">
        <f ca="1">IF(Iterations[[#This Row],[Step]] =current_step, current_Grad_d,IF(Iterations[[#This Row],[Step]] &gt; current_step, "",Iterations[[#This Row],[Grad_d]]))</f>
        <v>-1.6844197341951788E-3</v>
      </c>
      <c r="R725" s="2">
        <f ca="1">IF(Iterations[[#This Row],[Step]] =current_step, current_Grad_e,IF(Iterations[[#This Row],[Step]] &gt; current_step, "",Iterations[[#This Row],[Grad_e]]))</f>
        <v>1.0531628859195131E-2</v>
      </c>
    </row>
    <row r="726" spans="6:18" x14ac:dyDescent="0.3">
      <c r="F726" s="2">
        <f t="shared" si="13"/>
        <v>709</v>
      </c>
      <c r="G726" s="2">
        <f ca="1">IF(Iterations[[#This Row],[Step]] =current_step, current_a,IF(Iterations[[#This Row],[Step]] &gt; current_step, "",Iterations[[#This Row],[a]]))</f>
        <v>-7.2023919339362115</v>
      </c>
      <c r="H726" s="2">
        <f ca="1">IF(Iterations[[#This Row],[Step]] =current_step, current_b,IF(Iterations[[#This Row],[Step]] &gt; current_step, "",Iterations[[#This Row],[b]]))</f>
        <v>0.36080562950404399</v>
      </c>
      <c r="I726" s="2">
        <f ca="1">IF(Iterations[[#This Row],[Step]] =current_step, current_c,IF(Iterations[[#This Row],[Step]] &gt; current_step, "",Iterations[[#This Row],[c]]))</f>
        <v>21.040117340095001</v>
      </c>
      <c r="J726" s="2">
        <f ca="1">IF(Iterations[[#This Row],[Step]] =current_step, current_d,IF(Iterations[[#This Row],[Step]] &gt; current_step, "",Iterations[[#This Row],[d]]))</f>
        <v>1.1933498554473403</v>
      </c>
      <c r="K726" s="2">
        <f ca="1">IF(Iterations[[#This Row],[Step]] =current_step, current_e,IF(Iterations[[#This Row],[Step]] &gt; current_step, "",Iterations[[#This Row],[e]]))</f>
        <v>11.37768341656067</v>
      </c>
      <c r="L726" s="2">
        <f ca="1">IF(Iterations[[#This Row],[Step]] =current_step, current_Total_Loss,IF(Iterations[[#This Row],[Step]] &gt; current_step, "",Iterations[[#This Row],[Total Loss]]))</f>
        <v>90.53</v>
      </c>
      <c r="M726" s="6" t="s">
        <v>27</v>
      </c>
      <c r="N726" s="2">
        <f ca="1">IF(Iterations[[#This Row],[Step]] =current_step, current_Grad_a,IF(Iterations[[#This Row],[Step]] &gt; current_step, "",Iterations[[#This Row],[Grad_a]]))</f>
        <v>1.04562598681073E-2</v>
      </c>
      <c r="O726" s="2">
        <f ca="1">IF(Iterations[[#This Row],[Step]] =current_step, current_Grad_b,IF(Iterations[[#This Row],[Step]] &gt; current_step, "",Iterations[[#This Row],[Grad_b]]))</f>
        <v>1.8225874342033945E-3</v>
      </c>
      <c r="P726" s="2">
        <f ca="1">IF(Iterations[[#This Row],[Step]] =current_step, current_Grad_c,IF(Iterations[[#This Row],[Step]] &gt; current_step, "",Iterations[[#This Row],[Grad_c]]))</f>
        <v>-2.9331186856845364E-2</v>
      </c>
      <c r="Q726" s="2">
        <f ca="1">IF(Iterations[[#This Row],[Step]] =current_step, current_Grad_d,IF(Iterations[[#This Row],[Step]] &gt; current_step, "",Iterations[[#This Row],[Grad_d]]))</f>
        <v>-1.673046757902055E-3</v>
      </c>
      <c r="R726" s="2">
        <f ca="1">IF(Iterations[[#This Row],[Step]] =current_step, current_Grad_e,IF(Iterations[[#This Row],[Step]] &gt; current_step, "",Iterations[[#This Row],[Grad_e]]))</f>
        <v>1.0460359182665968E-2</v>
      </c>
    </row>
    <row r="727" spans="6:18" x14ac:dyDescent="0.3">
      <c r="F727" s="2">
        <f t="shared" si="13"/>
        <v>710</v>
      </c>
      <c r="G727" s="2">
        <f ca="1">IF(Iterations[[#This Row],[Step]] =current_step, current_a,IF(Iterations[[#This Row],[Step]] &gt; current_step, "",Iterations[[#This Row],[a]]))</f>
        <v>-7.2031238721269792</v>
      </c>
      <c r="H727" s="2">
        <f ca="1">IF(Iterations[[#This Row],[Step]] =current_step, current_b,IF(Iterations[[#This Row],[Step]] &gt; current_step, "",Iterations[[#This Row],[b]]))</f>
        <v>0.36067804838364975</v>
      </c>
      <c r="I727" s="2">
        <f ca="1">IF(Iterations[[#This Row],[Step]] =current_step, current_c,IF(Iterations[[#This Row],[Step]] &gt; current_step, "",Iterations[[#This Row],[c]]))</f>
        <v>21.042170523174981</v>
      </c>
      <c r="J727" s="2">
        <f ca="1">IF(Iterations[[#This Row],[Step]] =current_step, current_d,IF(Iterations[[#This Row],[Step]] &gt; current_step, "",Iterations[[#This Row],[d]]))</f>
        <v>1.1934669687203934</v>
      </c>
      <c r="K727" s="2">
        <f ca="1">IF(Iterations[[#This Row],[Step]] =current_step, current_e,IF(Iterations[[#This Row],[Step]] &gt; current_step, "",Iterations[[#This Row],[e]]))</f>
        <v>11.376951191417882</v>
      </c>
      <c r="L727" s="2">
        <f ca="1">IF(Iterations[[#This Row],[Step]] =current_step, current_Total_Loss,IF(Iterations[[#This Row],[Step]] &gt; current_step, "",Iterations[[#This Row],[Total Loss]]))</f>
        <v>90.53</v>
      </c>
      <c r="M727" s="6" t="s">
        <v>27</v>
      </c>
      <c r="N727" s="2">
        <f ca="1">IF(Iterations[[#This Row],[Step]] =current_step, current_Grad_a,IF(Iterations[[#This Row],[Step]] &gt; current_step, "",Iterations[[#This Row],[Grad_a]]))</f>
        <v>1.0385501437913898E-2</v>
      </c>
      <c r="O727" s="2">
        <f ca="1">IF(Iterations[[#This Row],[Step]] =current_step, current_Grad_b,IF(Iterations[[#This Row],[Step]] &gt; current_step, "",Iterations[[#This Row],[Grad_b]]))</f>
        <v>1.8102657004671248E-3</v>
      </c>
      <c r="P727" s="2">
        <f ca="1">IF(Iterations[[#This Row],[Step]] =current_step, current_Grad_c,IF(Iterations[[#This Row],[Step]] &gt; current_step, "",Iterations[[#This Row],[Grad_c]]))</f>
        <v>-2.9132697776404395E-2</v>
      </c>
      <c r="Q727" s="2">
        <f ca="1">IF(Iterations[[#This Row],[Step]] =current_step, current_Grad_d,IF(Iterations[[#This Row],[Step]] &gt; current_step, "",Iterations[[#This Row],[Grad_d]]))</f>
        <v>-1.6617502862824164E-3</v>
      </c>
      <c r="R727" s="2">
        <f ca="1">IF(Iterations[[#This Row],[Step]] =current_step, current_Grad_e,IF(Iterations[[#This Row],[Step]] &gt; current_step, "",Iterations[[#This Row],[Grad_e]]))</f>
        <v>1.0389571814059393E-2</v>
      </c>
    </row>
    <row r="728" spans="6:18" x14ac:dyDescent="0.3">
      <c r="F728" s="2">
        <f t="shared" si="13"/>
        <v>711</v>
      </c>
      <c r="G728" s="2">
        <f ca="1">IF(Iterations[[#This Row],[Step]] =current_step, current_a,IF(Iterations[[#This Row],[Step]] &gt; current_step, "",Iterations[[#This Row],[a]]))</f>
        <v>-7.203850857227633</v>
      </c>
      <c r="H728" s="2">
        <f ca="1">IF(Iterations[[#This Row],[Step]] =current_step, current_b,IF(Iterations[[#This Row],[Step]] &gt; current_step, "",Iterations[[#This Row],[b]]))</f>
        <v>0.36055132978461707</v>
      </c>
      <c r="I728" s="2">
        <f ca="1">IF(Iterations[[#This Row],[Step]] =current_step, current_c,IF(Iterations[[#This Row],[Step]] &gt; current_step, "",Iterations[[#This Row],[c]]))</f>
        <v>21.044209812019329</v>
      </c>
      <c r="J728" s="2">
        <f ca="1">IF(Iterations[[#This Row],[Step]] =current_step, current_d,IF(Iterations[[#This Row],[Step]] &gt; current_step, "",Iterations[[#This Row],[d]]))</f>
        <v>1.1935832912404332</v>
      </c>
      <c r="K728" s="2">
        <f ca="1">IF(Iterations[[#This Row],[Step]] =current_step, current_e,IF(Iterations[[#This Row],[Step]] &gt; current_step, "",Iterations[[#This Row],[e]]))</f>
        <v>11.376223921390899</v>
      </c>
      <c r="L728" s="2">
        <f ca="1">IF(Iterations[[#This Row],[Step]] =current_step, current_Total_Loss,IF(Iterations[[#This Row],[Step]] &gt; current_step, "",Iterations[[#This Row],[Total Loss]]))</f>
        <v>90.52</v>
      </c>
      <c r="M728" s="6" t="s">
        <v>27</v>
      </c>
      <c r="N728" s="2">
        <f ca="1">IF(Iterations[[#This Row],[Step]] =current_step, current_Grad_a,IF(Iterations[[#This Row],[Step]] &gt; current_step, "",Iterations[[#This Row],[Grad_a]]))</f>
        <v>1.0315221834465513E-2</v>
      </c>
      <c r="O728" s="2">
        <f ca="1">IF(Iterations[[#This Row],[Step]] =current_step, current_Grad_b,IF(Iterations[[#This Row],[Step]] &gt; current_step, "",Iterations[[#This Row],[Grad_b]]))</f>
        <v>1.7980271369922491E-3</v>
      </c>
      <c r="P728" s="2">
        <f ca="1">IF(Iterations[[#This Row],[Step]] =current_step, current_Grad_c,IF(Iterations[[#This Row],[Step]] &gt; current_step, "",Iterations[[#This Row],[Grad_c]]))</f>
        <v>-2.8935551925673209E-2</v>
      </c>
      <c r="Q728" s="2">
        <f ca="1">IF(Iterations[[#This Row],[Step]] =current_step, current_Grad_d,IF(Iterations[[#This Row],[Step]] &gt; current_step, "",Iterations[[#This Row],[Grad_d]]))</f>
        <v>-1.6505298097960629E-3</v>
      </c>
      <c r="R728" s="2">
        <f ca="1">IF(Iterations[[#This Row],[Step]] =current_step, current_Grad_e,IF(Iterations[[#This Row],[Step]] &gt; current_step, "",Iterations[[#This Row],[Grad_e]]))</f>
        <v>1.0319263489275698E-2</v>
      </c>
    </row>
    <row r="729" spans="6:18" x14ac:dyDescent="0.3">
      <c r="F729" s="2">
        <f t="shared" si="13"/>
        <v>712</v>
      </c>
      <c r="G729" s="2">
        <f ca="1">IF(Iterations[[#This Row],[Step]] =current_step, current_a,IF(Iterations[[#This Row],[Step]] &gt; current_step, "",Iterations[[#This Row],[a]]))</f>
        <v>-7.2045729227560455</v>
      </c>
      <c r="H729" s="2">
        <f ca="1">IF(Iterations[[#This Row],[Step]] =current_step, current_b,IF(Iterations[[#This Row],[Step]] &gt; current_step, "",Iterations[[#This Row],[b]]))</f>
        <v>0.36042546788502761</v>
      </c>
      <c r="I729" s="2">
        <f ca="1">IF(Iterations[[#This Row],[Step]] =current_step, current_c,IF(Iterations[[#This Row],[Step]] &gt; current_step, "",Iterations[[#This Row],[c]]))</f>
        <v>21.046235300654125</v>
      </c>
      <c r="J729" s="2">
        <f ca="1">IF(Iterations[[#This Row],[Step]] =current_step, current_d,IF(Iterations[[#This Row],[Step]] &gt; current_step, "",Iterations[[#This Row],[d]]))</f>
        <v>1.1936988283271188</v>
      </c>
      <c r="K729" s="2">
        <f ca="1">IF(Iterations[[#This Row],[Step]] =current_step, current_e,IF(Iterations[[#This Row],[Step]] &gt; current_step, "",Iterations[[#This Row],[e]]))</f>
        <v>11.37550157294665</v>
      </c>
      <c r="L729" s="2">
        <f ca="1">IF(Iterations[[#This Row],[Step]] =current_step, current_Total_Loss,IF(Iterations[[#This Row],[Step]] &gt; current_step, "",Iterations[[#This Row],[Total Loss]]))</f>
        <v>90.52</v>
      </c>
      <c r="M729" s="6" t="s">
        <v>27</v>
      </c>
      <c r="N729" s="2">
        <f ca="1">IF(Iterations[[#This Row],[Step]] =current_step, current_Grad_a,IF(Iterations[[#This Row],[Step]] &gt; current_step, "",Iterations[[#This Row],[Grad_a]]))</f>
        <v>1.0245417817287224E-2</v>
      </c>
      <c r="O729" s="2">
        <f ca="1">IF(Iterations[[#This Row],[Step]] =current_step, current_Grad_b,IF(Iterations[[#This Row],[Step]] &gt; current_step, "",Iterations[[#This Row],[Grad_b]]))</f>
        <v>1.7858711847880127E-3</v>
      </c>
      <c r="P729" s="2">
        <f ca="1">IF(Iterations[[#This Row],[Step]] =current_step, current_Grad_c,IF(Iterations[[#This Row],[Step]] &gt; current_step, "",Iterations[[#This Row],[Grad_c]]))</f>
        <v>-2.8739740214390432E-2</v>
      </c>
      <c r="Q729" s="2">
        <f ca="1">IF(Iterations[[#This Row],[Step]] =current_step, current_Grad_d,IF(Iterations[[#This Row],[Step]] &gt; current_step, "",Iterations[[#This Row],[Grad_d]]))</f>
        <v>-1.6393848221665725E-3</v>
      </c>
      <c r="R729" s="2">
        <f ca="1">IF(Iterations[[#This Row],[Step]] =current_step, current_Grad_e,IF(Iterations[[#This Row],[Step]] &gt; current_step, "",Iterations[[#This Row],[Grad_e]]))</f>
        <v>1.0249430966194042E-2</v>
      </c>
    </row>
    <row r="730" spans="6:18" x14ac:dyDescent="0.3">
      <c r="F730" s="2">
        <f t="shared" si="13"/>
        <v>713</v>
      </c>
      <c r="G730" s="2">
        <f ca="1">IF(Iterations[[#This Row],[Step]] =current_step, current_a,IF(Iterations[[#This Row],[Step]] &gt; current_step, "",Iterations[[#This Row],[a]]))</f>
        <v>-7.2052901020032554</v>
      </c>
      <c r="H730" s="2">
        <f ca="1">IF(Iterations[[#This Row],[Step]] =current_step, current_b,IF(Iterations[[#This Row],[Step]] &gt; current_step, "",Iterations[[#This Row],[b]]))</f>
        <v>0.36030045690209245</v>
      </c>
      <c r="I730" s="2">
        <f ca="1">IF(Iterations[[#This Row],[Step]] =current_step, current_c,IF(Iterations[[#This Row],[Step]] &gt; current_step, "",Iterations[[#This Row],[c]]))</f>
        <v>21.048247082469132</v>
      </c>
      <c r="J730" s="2">
        <f ca="1">IF(Iterations[[#This Row],[Step]] =current_step, current_d,IF(Iterations[[#This Row],[Step]] &gt; current_step, "",Iterations[[#This Row],[d]]))</f>
        <v>1.1938135852646705</v>
      </c>
      <c r="K730" s="2">
        <f ca="1">IF(Iterations[[#This Row],[Step]] =current_step, current_e,IF(Iterations[[#This Row],[Step]] &gt; current_step, "",Iterations[[#This Row],[e]]))</f>
        <v>11.374784112779016</v>
      </c>
      <c r="L730" s="2">
        <f ca="1">IF(Iterations[[#This Row],[Step]] =current_step, current_Total_Loss,IF(Iterations[[#This Row],[Step]] &gt; current_step, "",Iterations[[#This Row],[Total Loss]]))</f>
        <v>90.52</v>
      </c>
      <c r="M730" s="6" t="s">
        <v>27</v>
      </c>
      <c r="N730" s="2">
        <f ca="1">IF(Iterations[[#This Row],[Step]] =current_step, current_Grad_a,IF(Iterations[[#This Row],[Step]] &gt; current_step, "",Iterations[[#This Row],[Grad_a]]))</f>
        <v>1.0176086168330977E-2</v>
      </c>
      <c r="O730" s="2">
        <f ca="1">IF(Iterations[[#This Row],[Step]] =current_step, current_Grad_b,IF(Iterations[[#This Row],[Step]] &gt; current_step, "",Iterations[[#This Row],[Grad_b]]))</f>
        <v>1.7737972884772882E-3</v>
      </c>
      <c r="P730" s="2">
        <f ca="1">IF(Iterations[[#This Row],[Step]] =current_step, current_Grad_c,IF(Iterations[[#This Row],[Step]] &gt; current_step, "",Iterations[[#This Row],[Grad_c]]))</f>
        <v>-2.8545253613609798E-2</v>
      </c>
      <c r="Q730" s="2">
        <f ca="1">IF(Iterations[[#This Row],[Step]] =current_step, current_Grad_d,IF(Iterations[[#This Row],[Step]] &gt; current_step, "",Iterations[[#This Row],[Grad_d]]))</f>
        <v>-1.628314820434197E-3</v>
      </c>
      <c r="R730" s="2">
        <f ca="1">IF(Iterations[[#This Row],[Step]] =current_step, current_Grad_e,IF(Iterations[[#This Row],[Step]] &gt; current_step, "",Iterations[[#This Row],[Grad_e]]))</f>
        <v>1.0180071024743102E-2</v>
      </c>
    </row>
    <row r="731" spans="6:18" x14ac:dyDescent="0.3">
      <c r="F731" s="2">
        <f t="shared" si="13"/>
        <v>714</v>
      </c>
      <c r="G731" s="2">
        <f ca="1">IF(Iterations[[#This Row],[Step]] =current_step, current_a,IF(Iterations[[#This Row],[Step]] &gt; current_step, "",Iterations[[#This Row],[a]]))</f>
        <v>-7.2060024280350383</v>
      </c>
      <c r="H731" s="2">
        <f ca="1">IF(Iterations[[#This Row],[Step]] =current_step, current_b,IF(Iterations[[#This Row],[Step]] &gt; current_step, "",Iterations[[#This Row],[b]]))</f>
        <v>0.36017629109189903</v>
      </c>
      <c r="I731" s="2">
        <f ca="1">IF(Iterations[[#This Row],[Step]] =current_step, current_c,IF(Iterations[[#This Row],[Step]] &gt; current_step, "",Iterations[[#This Row],[c]]))</f>
        <v>21.050245250222083</v>
      </c>
      <c r="J731" s="2">
        <f ca="1">IF(Iterations[[#This Row],[Step]] =current_step, current_d,IF(Iterations[[#This Row],[Step]] &gt; current_step, "",Iterations[[#This Row],[d]]))</f>
        <v>1.1939275673021008</v>
      </c>
      <c r="K731" s="2">
        <f ca="1">IF(Iterations[[#This Row],[Step]] =current_step, current_e,IF(Iterations[[#This Row],[Step]] &gt; current_step, "",Iterations[[#This Row],[e]]))</f>
        <v>11.374071507807285</v>
      </c>
      <c r="L731" s="2">
        <f ca="1">IF(Iterations[[#This Row],[Step]] =current_step, current_Total_Loss,IF(Iterations[[#This Row],[Step]] &gt; current_step, "",Iterations[[#This Row],[Total Loss]]))</f>
        <v>90.52</v>
      </c>
      <c r="M731" s="6" t="s">
        <v>27</v>
      </c>
      <c r="N731" s="2">
        <f ca="1">IF(Iterations[[#This Row],[Step]] =current_step, current_Grad_a,IF(Iterations[[#This Row],[Step]] &gt; current_step, "",Iterations[[#This Row],[Grad_a]]))</f>
        <v>1.0107223690922392E-2</v>
      </c>
      <c r="O731" s="2">
        <f ca="1">IF(Iterations[[#This Row],[Step]] =current_step, current_Grad_b,IF(Iterations[[#This Row],[Step]] &gt; current_step, "",Iterations[[#This Row],[Grad_b]]))</f>
        <v>1.7618048964565967E-3</v>
      </c>
      <c r="P731" s="2">
        <f ca="1">IF(Iterations[[#This Row],[Step]] =current_step, current_Grad_c,IF(Iterations[[#This Row],[Step]] &gt; current_step, "",Iterations[[#This Row],[Grad_c]]))</f>
        <v>-2.8352083155665384E-2</v>
      </c>
      <c r="Q731" s="2">
        <f ca="1">IF(Iterations[[#This Row],[Step]] =current_step, current_Grad_d,IF(Iterations[[#This Row],[Step]] &gt; current_step, "",Iterations[[#This Row],[Grad_d]]))</f>
        <v>-1.6173193048746439E-3</v>
      </c>
      <c r="R731" s="2">
        <f ca="1">IF(Iterations[[#This Row],[Step]] =current_step, current_Grad_e,IF(Iterations[[#This Row],[Step]] &gt; current_step, "",Iterations[[#This Row],[Grad_e]]))</f>
        <v>1.011118046656476E-2</v>
      </c>
    </row>
    <row r="732" spans="6:18" x14ac:dyDescent="0.3">
      <c r="F732" s="2">
        <f t="shared" si="13"/>
        <v>715</v>
      </c>
      <c r="G732" s="2">
        <f ca="1">IF(Iterations[[#This Row],[Step]] =current_step, current_a,IF(Iterations[[#This Row],[Step]] &gt; current_step, "",Iterations[[#This Row],[a]]))</f>
        <v>-7.2067099336934026</v>
      </c>
      <c r="H732" s="2">
        <f ca="1">IF(Iterations[[#This Row],[Step]] =current_step, current_b,IF(Iterations[[#This Row],[Step]] &gt; current_step, "",Iterations[[#This Row],[b]]))</f>
        <v>0.36005296474914705</v>
      </c>
      <c r="I732" s="2">
        <f ca="1">IF(Iterations[[#This Row],[Step]] =current_step, current_c,IF(Iterations[[#This Row],[Step]] &gt; current_step, "",Iterations[[#This Row],[c]]))</f>
        <v>21.052229896042981</v>
      </c>
      <c r="J732" s="2">
        <f ca="1">IF(Iterations[[#This Row],[Step]] =current_step, current_d,IF(Iterations[[#This Row],[Step]] &gt; current_step, "",Iterations[[#This Row],[d]]))</f>
        <v>1.194040779653442</v>
      </c>
      <c r="K732" s="2">
        <f ca="1">IF(Iterations[[#This Row],[Step]] =current_step, current_e,IF(Iterations[[#This Row],[Step]] &gt; current_step, "",Iterations[[#This Row],[e]]))</f>
        <v>11.373363725174626</v>
      </c>
      <c r="L732" s="2">
        <f ca="1">IF(Iterations[[#This Row],[Step]] =current_step, current_Total_Loss,IF(Iterations[[#This Row],[Step]] &gt; current_step, "",Iterations[[#This Row],[Total Loss]]))</f>
        <v>90.52</v>
      </c>
      <c r="M732" s="6" t="s">
        <v>27</v>
      </c>
      <c r="N732" s="2">
        <f ca="1">IF(Iterations[[#This Row],[Step]] =current_step, current_Grad_a,IF(Iterations[[#This Row],[Step]] &gt; current_step, "",Iterations[[#This Row],[Grad_a]]))</f>
        <v>1.0038827210234894E-2</v>
      </c>
      <c r="O732" s="2">
        <f ca="1">IF(Iterations[[#This Row],[Step]] =current_step, current_Grad_b,IF(Iterations[[#This Row],[Step]] &gt; current_step, "",Iterations[[#This Row],[Grad_b]]))</f>
        <v>1.7498934607729222E-3</v>
      </c>
      <c r="P732" s="2">
        <f ca="1">IF(Iterations[[#This Row],[Step]] =current_step, current_Grad_c,IF(Iterations[[#This Row],[Step]] &gt; current_step, "",Iterations[[#This Row],[Grad_c]]))</f>
        <v>-2.8160219933489977E-2</v>
      </c>
      <c r="Q732" s="2">
        <f ca="1">IF(Iterations[[#This Row],[Step]] =current_step, current_Grad_d,IF(Iterations[[#This Row],[Step]] &gt; current_step, "",Iterations[[#This Row],[Grad_d]]))</f>
        <v>-1.6063977790141558E-3</v>
      </c>
      <c r="R732" s="2">
        <f ca="1">IF(Iterations[[#This Row],[Step]] =current_step, current_Grad_e,IF(Iterations[[#This Row],[Step]] &gt; current_step, "",Iterations[[#This Row],[Grad_e]]))</f>
        <v>1.0042756114999682E-2</v>
      </c>
    </row>
    <row r="733" spans="6:18" x14ac:dyDescent="0.3">
      <c r="F733" s="2">
        <f t="shared" si="13"/>
        <v>716</v>
      </c>
      <c r="G733" s="2">
        <f ca="1">IF(Iterations[[#This Row],[Step]] =current_step, current_a,IF(Iterations[[#This Row],[Step]] &gt; current_step, "",Iterations[[#This Row],[a]]))</f>
        <v>-7.2074126515981192</v>
      </c>
      <c r="H733" s="2">
        <f ca="1">IF(Iterations[[#This Row],[Step]] =current_step, current_b,IF(Iterations[[#This Row],[Step]] &gt; current_step, "",Iterations[[#This Row],[b]]))</f>
        <v>0.35993047220689295</v>
      </c>
      <c r="I733" s="2">
        <f ca="1">IF(Iterations[[#This Row],[Step]] =current_step, current_c,IF(Iterations[[#This Row],[Step]] &gt; current_step, "",Iterations[[#This Row],[c]]))</f>
        <v>21.054201111438324</v>
      </c>
      <c r="J733" s="2">
        <f ca="1">IF(Iterations[[#This Row],[Step]] =current_step, current_d,IF(Iterations[[#This Row],[Step]] &gt; current_step, "",Iterations[[#This Row],[d]]))</f>
        <v>1.1941532274979729</v>
      </c>
      <c r="K733" s="2">
        <f ca="1">IF(Iterations[[#This Row],[Step]] =current_step, current_e,IF(Iterations[[#This Row],[Step]] &gt; current_step, "",Iterations[[#This Row],[e]]))</f>
        <v>11.372660732246576</v>
      </c>
      <c r="L733" s="2">
        <f ca="1">IF(Iterations[[#This Row],[Step]] =current_step, current_Total_Loss,IF(Iterations[[#This Row],[Step]] &gt; current_step, "",Iterations[[#This Row],[Total Loss]]))</f>
        <v>90.52</v>
      </c>
      <c r="M733" s="6" t="s">
        <v>27</v>
      </c>
      <c r="N733" s="2">
        <f ca="1">IF(Iterations[[#This Row],[Step]] =current_step, current_Grad_a,IF(Iterations[[#This Row],[Step]] &gt; current_step, "",Iterations[[#This Row],[Grad_a]]))</f>
        <v>9.9708935728399298E-3</v>
      </c>
      <c r="O733" s="2">
        <f ca="1">IF(Iterations[[#This Row],[Step]] =current_step, current_Grad_b,IF(Iterations[[#This Row],[Step]] &gt; current_step, "",Iterations[[#This Row],[Grad_b]]))</f>
        <v>1.7380624370914404E-3</v>
      </c>
      <c r="P733" s="2">
        <f ca="1">IF(Iterations[[#This Row],[Step]] =current_step, current_Grad_c,IF(Iterations[[#This Row],[Step]] &gt; current_step, "",Iterations[[#This Row],[Grad_c]]))</f>
        <v>-2.7969655100344055E-2</v>
      </c>
      <c r="Q733" s="2">
        <f ca="1">IF(Iterations[[#This Row],[Step]] =current_step, current_Grad_d,IF(Iterations[[#This Row],[Step]] &gt; current_step, "",Iterations[[#This Row],[Grad_d]]))</f>
        <v>-1.5955497496127099E-3</v>
      </c>
      <c r="R733" s="2">
        <f ca="1">IF(Iterations[[#This Row],[Step]] =current_step, current_Grad_e,IF(Iterations[[#This Row],[Step]] &gt; current_step, "",Iterations[[#This Row],[Grad_e]]))</f>
        <v>9.9747948148674534E-3</v>
      </c>
    </row>
    <row r="734" spans="6:18" x14ac:dyDescent="0.3">
      <c r="F734" s="2">
        <f t="shared" si="13"/>
        <v>717</v>
      </c>
      <c r="G734" s="2">
        <f ca="1">IF(Iterations[[#This Row],[Step]] =current_step, current_a,IF(Iterations[[#This Row],[Step]] &gt; current_step, "",Iterations[[#This Row],[a]]))</f>
        <v>-7.2081106141482181</v>
      </c>
      <c r="H734" s="2">
        <f ca="1">IF(Iterations[[#This Row],[Step]] =current_step, current_b,IF(Iterations[[#This Row],[Step]] &gt; current_step, "",Iterations[[#This Row],[b]]))</f>
        <v>0.35980880783629654</v>
      </c>
      <c r="I734" s="2">
        <f ca="1">IF(Iterations[[#This Row],[Step]] =current_step, current_c,IF(Iterations[[#This Row],[Step]] &gt; current_step, "",Iterations[[#This Row],[c]]))</f>
        <v>21.056158987295348</v>
      </c>
      <c r="J734" s="2">
        <f ca="1">IF(Iterations[[#This Row],[Step]] =current_step, current_d,IF(Iterations[[#This Row],[Step]] &gt; current_step, "",Iterations[[#This Row],[d]]))</f>
        <v>1.1942649159804457</v>
      </c>
      <c r="K734" s="2">
        <f ca="1">IF(Iterations[[#This Row],[Step]] =current_step, current_e,IF(Iterations[[#This Row],[Step]] &gt; current_step, "",Iterations[[#This Row],[e]]))</f>
        <v>11.371962496609536</v>
      </c>
      <c r="L734" s="2">
        <f ca="1">IF(Iterations[[#This Row],[Step]] =current_step, current_Total_Loss,IF(Iterations[[#This Row],[Step]] &gt; current_step, "",Iterations[[#This Row],[Total Loss]]))</f>
        <v>90.52</v>
      </c>
      <c r="M734" s="6" t="s">
        <v>27</v>
      </c>
      <c r="N734" s="2">
        <f ca="1">IF(Iterations[[#This Row],[Step]] =current_step, current_Grad_a,IF(Iterations[[#This Row],[Step]] &gt; current_step, "",Iterations[[#This Row],[Grad_a]]))</f>
        <v>9.9034196467673551E-3</v>
      </c>
      <c r="O734" s="2">
        <f ca="1">IF(Iterations[[#This Row],[Step]] =current_step, current_Grad_b,IF(Iterations[[#This Row],[Step]] &gt; current_step, "",Iterations[[#This Row],[Grad_b]]))</f>
        <v>1.726311284684935E-3</v>
      </c>
      <c r="P734" s="2">
        <f ca="1">IF(Iterations[[#This Row],[Step]] =current_step, current_Grad_c,IF(Iterations[[#This Row],[Step]] &gt; current_step, "",Iterations[[#This Row],[Grad_c]]))</f>
        <v>-2.778037986931043E-2</v>
      </c>
      <c r="Q734" s="2">
        <f ca="1">IF(Iterations[[#This Row],[Step]] =current_step, current_Grad_d,IF(Iterations[[#This Row],[Step]] &gt; current_step, "",Iterations[[#This Row],[Grad_d]]))</f>
        <v>-1.5847747266396978E-3</v>
      </c>
      <c r="R734" s="2">
        <f ca="1">IF(Iterations[[#This Row],[Step]] =current_step, current_Grad_e,IF(Iterations[[#This Row],[Step]] &gt; current_step, "",Iterations[[#This Row],[Grad_e]]))</f>
        <v>9.9072934323701668E-3</v>
      </c>
    </row>
    <row r="735" spans="6:18" x14ac:dyDescent="0.3">
      <c r="F735" s="2">
        <f t="shared" si="13"/>
        <v>718</v>
      </c>
      <c r="G735" s="2">
        <f ca="1">IF(Iterations[[#This Row],[Step]] =current_step, current_a,IF(Iterations[[#This Row],[Step]] &gt; current_step, "",Iterations[[#This Row],[a]]))</f>
        <v>-7.2088038535234915</v>
      </c>
      <c r="H735" s="2">
        <f ca="1">IF(Iterations[[#This Row],[Step]] =current_step, current_b,IF(Iterations[[#This Row],[Step]] &gt; current_step, "",Iterations[[#This Row],[b]]))</f>
        <v>0.3596879660463686</v>
      </c>
      <c r="I735" s="2">
        <f ca="1">IF(Iterations[[#This Row],[Step]] =current_step, current_c,IF(Iterations[[#This Row],[Step]] &gt; current_step, "",Iterations[[#This Row],[c]]))</f>
        <v>21.0581036138862</v>
      </c>
      <c r="J735" s="2">
        <f ca="1">IF(Iterations[[#This Row],[Step]] =current_step, current_d,IF(Iterations[[#This Row],[Step]] &gt; current_step, "",Iterations[[#This Row],[d]]))</f>
        <v>1.1943758502113104</v>
      </c>
      <c r="K735" s="2">
        <f ca="1">IF(Iterations[[#This Row],[Step]] =current_step, current_e,IF(Iterations[[#This Row],[Step]] &gt; current_step, "",Iterations[[#This Row],[e]]))</f>
        <v>11.37126898606927</v>
      </c>
      <c r="L735" s="2">
        <f ca="1">IF(Iterations[[#This Row],[Step]] =current_step, current_Total_Loss,IF(Iterations[[#This Row],[Step]] &gt; current_step, "",Iterations[[#This Row],[Total Loss]]))</f>
        <v>90.52</v>
      </c>
      <c r="M735" s="6" t="s">
        <v>27</v>
      </c>
      <c r="N735" s="2">
        <f ca="1">IF(Iterations[[#This Row],[Step]] =current_step, current_Grad_a,IF(Iterations[[#This Row],[Step]] &gt; current_step, "",Iterations[[#This Row],[Grad_a]]))</f>
        <v>9.8364023210491969E-3</v>
      </c>
      <c r="O735" s="2">
        <f ca="1">IF(Iterations[[#This Row],[Step]] =current_step, current_Grad_b,IF(Iterations[[#This Row],[Step]] &gt; current_step, "",Iterations[[#This Row],[Grad_b]]))</f>
        <v>1.7146394665020894E-3</v>
      </c>
      <c r="P735" s="2">
        <f ca="1">IF(Iterations[[#This Row],[Step]] =current_step, current_Grad_c,IF(Iterations[[#This Row],[Step]] &gt; current_step, "",Iterations[[#This Row],[Grad_c]]))</f>
        <v>-2.7592385513024429E-2</v>
      </c>
      <c r="Q735" s="2">
        <f ca="1">IF(Iterations[[#This Row],[Step]] =current_step, current_Grad_d,IF(Iterations[[#This Row],[Step]] &gt; current_step, "",Iterations[[#This Row],[Grad_d]]))</f>
        <v>-1.5740722232212752E-3</v>
      </c>
      <c r="R735" s="2">
        <f ca="1">IF(Iterations[[#This Row],[Step]] =current_step, current_Grad_e,IF(Iterations[[#This Row],[Step]] &gt; current_step, "",Iterations[[#This Row],[Grad_e]]))</f>
        <v>9.840248854887039E-3</v>
      </c>
    </row>
    <row r="736" spans="6:18" x14ac:dyDescent="0.3">
      <c r="F736" s="2">
        <f t="shared" si="13"/>
        <v>719</v>
      </c>
      <c r="G736" s="2">
        <f ca="1">IF(Iterations[[#This Row],[Step]] =current_step, current_a,IF(Iterations[[#This Row],[Step]] &gt; current_step, "",Iterations[[#This Row],[a]]))</f>
        <v>-7.2094924016859654</v>
      </c>
      <c r="H736" s="2">
        <f ca="1">IF(Iterations[[#This Row],[Step]] =current_step, current_b,IF(Iterations[[#This Row],[Step]] &gt; current_step, "",Iterations[[#This Row],[b]]))</f>
        <v>0.35956794128371344</v>
      </c>
      <c r="I736" s="2">
        <f ca="1">IF(Iterations[[#This Row],[Step]] =current_step, current_c,IF(Iterations[[#This Row],[Step]] &gt; current_step, "",Iterations[[#This Row],[c]]))</f>
        <v>21.060035080872112</v>
      </c>
      <c r="J736" s="2">
        <f ca="1">IF(Iterations[[#This Row],[Step]] =current_step, current_d,IF(Iterations[[#This Row],[Step]] &gt; current_step, "",Iterations[[#This Row],[d]]))</f>
        <v>1.194486035266936</v>
      </c>
      <c r="K736" s="2">
        <f ca="1">IF(Iterations[[#This Row],[Step]] =current_step, current_e,IF(Iterations[[#This Row],[Step]] &gt; current_step, "",Iterations[[#This Row],[e]]))</f>
        <v>11.370580168649427</v>
      </c>
      <c r="L736" s="2">
        <f ca="1">IF(Iterations[[#This Row],[Step]] =current_step, current_Total_Loss,IF(Iterations[[#This Row],[Step]] &gt; current_step, "",Iterations[[#This Row],[Total Loss]]))</f>
        <v>90.51</v>
      </c>
      <c r="M736" s="6" t="s">
        <v>27</v>
      </c>
      <c r="N736" s="2">
        <f ca="1">IF(Iterations[[#This Row],[Step]] =current_step, current_Grad_a,IF(Iterations[[#This Row],[Step]] &gt; current_step, "",Iterations[[#This Row],[Grad_a]]))</f>
        <v>9.7698385059276707E-3</v>
      </c>
      <c r="O736" s="2">
        <f ca="1">IF(Iterations[[#This Row],[Step]] =current_step, current_Grad_b,IF(Iterations[[#This Row],[Step]] &gt; current_step, "",Iterations[[#This Row],[Grad_b]]))</f>
        <v>1.703046448965104E-3</v>
      </c>
      <c r="P736" s="2">
        <f ca="1">IF(Iterations[[#This Row],[Step]] =current_step, current_Grad_c,IF(Iterations[[#This Row],[Step]] &gt; current_step, "",Iterations[[#This Row],[Grad_c]]))</f>
        <v>-2.7405663363127577E-2</v>
      </c>
      <c r="Q736" s="2">
        <f ca="1">IF(Iterations[[#This Row],[Step]] =current_step, current_Grad_d,IF(Iterations[[#This Row],[Step]] &gt; current_step, "",Iterations[[#This Row],[Grad_d]]))</f>
        <v>-1.5634417556893803E-3</v>
      </c>
      <c r="R736" s="2">
        <f ca="1">IF(Iterations[[#This Row],[Step]] =current_step, current_Grad_e,IF(Iterations[[#This Row],[Step]] &gt; current_step, "",Iterations[[#This Row],[Grad_e]]))</f>
        <v>9.7736579908884735E-3</v>
      </c>
    </row>
    <row r="737" spans="6:18" x14ac:dyDescent="0.3">
      <c r="F737" s="2">
        <f t="shared" si="13"/>
        <v>720</v>
      </c>
      <c r="G737" s="2">
        <f ca="1">IF(Iterations[[#This Row],[Step]] =current_step, current_a,IF(Iterations[[#This Row],[Step]] &gt; current_step, "",Iterations[[#This Row],[a]]))</f>
        <v>-7.21017629038138</v>
      </c>
      <c r="H737" s="2">
        <f ca="1">IF(Iterations[[#This Row],[Step]] =current_step, current_b,IF(Iterations[[#This Row],[Step]] &gt; current_step, "",Iterations[[#This Row],[b]]))</f>
        <v>0.35944872803228589</v>
      </c>
      <c r="I737" s="2">
        <f ca="1">IF(Iterations[[#This Row],[Step]] =current_step, current_c,IF(Iterations[[#This Row],[Step]] &gt; current_step, "",Iterations[[#This Row],[c]]))</f>
        <v>21.061953477307529</v>
      </c>
      <c r="J737" s="2">
        <f ca="1">IF(Iterations[[#This Row],[Step]] =current_step, current_d,IF(Iterations[[#This Row],[Step]] &gt; current_step, "",Iterations[[#This Row],[d]]))</f>
        <v>1.1945954761898343</v>
      </c>
      <c r="K737" s="2">
        <f ca="1">IF(Iterations[[#This Row],[Step]] =current_step, current_e,IF(Iterations[[#This Row],[Step]] &gt; current_step, "",Iterations[[#This Row],[e]]))</f>
        <v>11.369896012590065</v>
      </c>
      <c r="L737" s="2">
        <f ca="1">IF(Iterations[[#This Row],[Step]] =current_step, current_Total_Loss,IF(Iterations[[#This Row],[Step]] &gt; current_step, "",Iterations[[#This Row],[Total Loss]]))</f>
        <v>90.51</v>
      </c>
      <c r="M737" s="6" t="s">
        <v>27</v>
      </c>
      <c r="N737" s="2">
        <f ca="1">IF(Iterations[[#This Row],[Step]] =current_step, current_Grad_a,IF(Iterations[[#This Row],[Step]] &gt; current_step, "",Iterations[[#This Row],[Grad_a]]))</f>
        <v>9.7037251324615503E-3</v>
      </c>
      <c r="O737" s="2">
        <f ca="1">IF(Iterations[[#This Row],[Step]] =current_step, current_Grad_b,IF(Iterations[[#This Row],[Step]] &gt; current_step, "",Iterations[[#This Row],[Grad_b]]))</f>
        <v>1.6915317021394876E-3</v>
      </c>
      <c r="P737" s="2">
        <f ca="1">IF(Iterations[[#This Row],[Step]] =current_step, current_Grad_c,IF(Iterations[[#This Row],[Step]] &gt; current_step, "",Iterations[[#This Row],[Grad_c]]))</f>
        <v>-2.7220204809961505E-2</v>
      </c>
      <c r="Q737" s="2">
        <f ca="1">IF(Iterations[[#This Row],[Step]] =current_step, current_Grad_d,IF(Iterations[[#This Row],[Step]] &gt; current_step, "",Iterations[[#This Row],[Grad_d]]))</f>
        <v>-1.552882843485876E-3</v>
      </c>
      <c r="R737" s="2">
        <f ca="1">IF(Iterations[[#This Row],[Step]] =current_step, current_Grad_e,IF(Iterations[[#This Row],[Step]] &gt; current_step, "",Iterations[[#This Row],[Grad_e]]))</f>
        <v>9.7075177697651203E-3</v>
      </c>
    </row>
    <row r="738" spans="6:18" x14ac:dyDescent="0.3">
      <c r="F738" s="2">
        <f t="shared" si="13"/>
        <v>721</v>
      </c>
      <c r="G738" s="2">
        <f ca="1">IF(Iterations[[#This Row],[Step]] =current_step, current_a,IF(Iterations[[#This Row],[Step]] &gt; current_step, "",Iterations[[#This Row],[a]]))</f>
        <v>-7.2108555511406527</v>
      </c>
      <c r="H738" s="2">
        <f ca="1">IF(Iterations[[#This Row],[Step]] =current_step, current_b,IF(Iterations[[#This Row],[Step]] &gt; current_step, "",Iterations[[#This Row],[b]]))</f>
        <v>0.35933032081313615</v>
      </c>
      <c r="I738" s="2">
        <f ca="1">IF(Iterations[[#This Row],[Step]] =current_step, current_c,IF(Iterations[[#This Row],[Step]] &gt; current_step, "",Iterations[[#This Row],[c]]))</f>
        <v>21.063858891644227</v>
      </c>
      <c r="J738" s="2">
        <f ca="1">IF(Iterations[[#This Row],[Step]] =current_step, current_d,IF(Iterations[[#This Row],[Step]] &gt; current_step, "",Iterations[[#This Row],[d]]))</f>
        <v>1.1947041779888783</v>
      </c>
      <c r="K738" s="2">
        <f ca="1">IF(Iterations[[#This Row],[Step]] =current_step, current_e,IF(Iterations[[#This Row],[Step]] &gt; current_step, "",Iterations[[#This Row],[e]]))</f>
        <v>11.369216486346181</v>
      </c>
      <c r="L738" s="2">
        <f ca="1">IF(Iterations[[#This Row],[Step]] =current_step, current_Total_Loss,IF(Iterations[[#This Row],[Step]] &gt; current_step, "",Iterations[[#This Row],[Total Loss]]))</f>
        <v>90.51</v>
      </c>
      <c r="M738" s="6" t="s">
        <v>27</v>
      </c>
      <c r="N738" s="2">
        <f ca="1">IF(Iterations[[#This Row],[Step]] =current_step, current_Grad_a,IF(Iterations[[#This Row],[Step]] &gt; current_step, "",Iterations[[#This Row],[Grad_a]]))</f>
        <v>9.6380591525377923E-3</v>
      </c>
      <c r="O738" s="2">
        <f ca="1">IF(Iterations[[#This Row],[Step]] =current_step, current_Grad_b,IF(Iterations[[#This Row],[Step]] &gt; current_step, "",Iterations[[#This Row],[Grad_b]]))</f>
        <v>1.6800946995398174E-3</v>
      </c>
      <c r="P738" s="2">
        <f ca="1">IF(Iterations[[#This Row],[Step]] =current_step, current_Grad_c,IF(Iterations[[#This Row],[Step]] &gt; current_step, "",Iterations[[#This Row],[Grad_c]]))</f>
        <v>-2.7036001302117932E-2</v>
      </c>
      <c r="Q738" s="2">
        <f ca="1">IF(Iterations[[#This Row],[Step]] =current_step, current_Grad_d,IF(Iterations[[#This Row],[Step]] &gt; current_step, "",Iterations[[#This Row],[Grad_d]]))</f>
        <v>-1.5423950092126912E-3</v>
      </c>
      <c r="R738" s="2">
        <f ca="1">IF(Iterations[[#This Row],[Step]] =current_step, current_Grad_e,IF(Iterations[[#This Row],[Step]] &gt; current_step, "",Iterations[[#This Row],[Grad_e]]))</f>
        <v>9.641825141696635E-3</v>
      </c>
    </row>
    <row r="739" spans="6:18" x14ac:dyDescent="0.3">
      <c r="F739" s="2">
        <f t="shared" si="13"/>
        <v>722</v>
      </c>
      <c r="G739" s="2">
        <f ca="1">IF(Iterations[[#This Row],[Step]] =current_step, current_a,IF(Iterations[[#This Row],[Step]] &gt; current_step, "",Iterations[[#This Row],[a]]))</f>
        <v>-7.2115302152813303</v>
      </c>
      <c r="H739" s="2">
        <f ca="1">IF(Iterations[[#This Row],[Step]] =current_step, current_b,IF(Iterations[[#This Row],[Step]] &gt; current_step, "",Iterations[[#This Row],[b]]))</f>
        <v>0.35921271418416834</v>
      </c>
      <c r="I739" s="2">
        <f ca="1">IF(Iterations[[#This Row],[Step]] =current_step, current_c,IF(Iterations[[#This Row],[Step]] &gt; current_step, "",Iterations[[#This Row],[c]]))</f>
        <v>21.065751411735373</v>
      </c>
      <c r="J739" s="2">
        <f ca="1">IF(Iterations[[#This Row],[Step]] =current_step, current_d,IF(Iterations[[#This Row],[Step]] &gt; current_step, "",Iterations[[#This Row],[d]]))</f>
        <v>1.1948121456395231</v>
      </c>
      <c r="K739" s="2">
        <f ca="1">IF(Iterations[[#This Row],[Step]] =current_step, current_e,IF(Iterations[[#This Row],[Step]] &gt; current_step, "",Iterations[[#This Row],[e]]))</f>
        <v>11.368541558586262</v>
      </c>
      <c r="L739" s="2">
        <f ca="1">IF(Iterations[[#This Row],[Step]] =current_step, current_Total_Loss,IF(Iterations[[#This Row],[Step]] &gt; current_step, "",Iterations[[#This Row],[Total Loss]]))</f>
        <v>90.51</v>
      </c>
      <c r="M739" s="6" t="s">
        <v>27</v>
      </c>
      <c r="N739" s="2">
        <f ca="1">IF(Iterations[[#This Row],[Step]] =current_step, current_Grad_a,IF(Iterations[[#This Row],[Step]] &gt; current_step, "",Iterations[[#This Row],[Grad_a]]))</f>
        <v>9.5728375386578968E-3</v>
      </c>
      <c r="O739" s="2">
        <f ca="1">IF(Iterations[[#This Row],[Step]] =current_step, current_Grad_b,IF(Iterations[[#This Row],[Step]] &gt; current_step, "",Iterations[[#This Row],[Grad_b]]))</f>
        <v>1.6687349182398226E-3</v>
      </c>
      <c r="P739" s="2">
        <f ca="1">IF(Iterations[[#This Row],[Step]] =current_step, current_Grad_c,IF(Iterations[[#This Row],[Step]] &gt; current_step, "",Iterations[[#This Row],[Grad_c]]))</f>
        <v>-2.6853044346071116E-2</v>
      </c>
      <c r="Q739" s="2">
        <f ca="1">IF(Iterations[[#This Row],[Step]] =current_step, current_Grad_d,IF(Iterations[[#This Row],[Step]] &gt; current_step, "",Iterations[[#This Row],[Grad_d]]))</f>
        <v>-1.5319777785595184E-3</v>
      </c>
      <c r="R739" s="2">
        <f ca="1">IF(Iterations[[#This Row],[Step]] =current_step, current_Grad_e,IF(Iterations[[#This Row],[Step]] &gt; current_step, "",Iterations[[#This Row],[Grad_e]]))</f>
        <v>9.5765770775039349E-3</v>
      </c>
    </row>
    <row r="740" spans="6:18" x14ac:dyDescent="0.3">
      <c r="F740" s="2">
        <f t="shared" si="13"/>
        <v>723</v>
      </c>
      <c r="G740" s="2">
        <f ca="1">IF(Iterations[[#This Row],[Step]] =current_step, current_a,IF(Iterations[[#This Row],[Step]] &gt; current_step, "",Iterations[[#This Row],[a]]))</f>
        <v>-7.2122003139090367</v>
      </c>
      <c r="H740" s="2">
        <f ca="1">IF(Iterations[[#This Row],[Step]] =current_step, current_b,IF(Iterations[[#This Row],[Step]] &gt; current_step, "",Iterations[[#This Row],[b]]))</f>
        <v>0.35909590273989156</v>
      </c>
      <c r="I740" s="2">
        <f ca="1">IF(Iterations[[#This Row],[Step]] =current_step, current_c,IF(Iterations[[#This Row],[Step]] &gt; current_step, "",Iterations[[#This Row],[c]]))</f>
        <v>21.067631124839597</v>
      </c>
      <c r="J740" s="2">
        <f ca="1">IF(Iterations[[#This Row],[Step]] =current_step, current_d,IF(Iterations[[#This Row],[Step]] &gt; current_step, "",Iterations[[#This Row],[d]]))</f>
        <v>1.1949193840840222</v>
      </c>
      <c r="K740" s="2">
        <f ca="1">IF(Iterations[[#This Row],[Step]] =current_step, current_e,IF(Iterations[[#This Row],[Step]] &gt; current_step, "",Iterations[[#This Row],[e]]))</f>
        <v>11.367871198190837</v>
      </c>
      <c r="L740" s="2">
        <f ca="1">IF(Iterations[[#This Row],[Step]] =current_step, current_Total_Loss,IF(Iterations[[#This Row],[Step]] &gt; current_step, "",Iterations[[#This Row],[Total Loss]]))</f>
        <v>90.51</v>
      </c>
      <c r="M740" s="6" t="s">
        <v>27</v>
      </c>
      <c r="N740" s="2">
        <f ca="1">IF(Iterations[[#This Row],[Step]] =current_step, current_Grad_a,IF(Iterations[[#This Row],[Step]] &gt; current_step, "",Iterations[[#This Row],[Grad_a]]))</f>
        <v>9.5080572837632615E-3</v>
      </c>
      <c r="O740" s="2">
        <f ca="1">IF(Iterations[[#This Row],[Step]] =current_step, current_Grad_b,IF(Iterations[[#This Row],[Step]] &gt; current_step, "",Iterations[[#This Row],[Grad_b]]))</f>
        <v>1.6574518387635104E-3</v>
      </c>
      <c r="P740" s="2">
        <f ca="1">IF(Iterations[[#This Row],[Step]] =current_step, current_Grad_c,IF(Iterations[[#This Row],[Step]] &gt; current_step, "",Iterations[[#This Row],[Grad_c]]))</f>
        <v>-2.6671325505801907E-2</v>
      </c>
      <c r="Q740" s="2">
        <f ca="1">IF(Iterations[[#This Row],[Step]] =current_step, current_Grad_d,IF(Iterations[[#This Row],[Step]] &gt; current_step, "",Iterations[[#This Row],[Grad_d]]))</f>
        <v>-1.5216306803206353E-3</v>
      </c>
      <c r="R740" s="2">
        <f ca="1">IF(Iterations[[#This Row],[Step]] =current_step, current_Grad_e,IF(Iterations[[#This Row],[Step]] &gt; current_step, "",Iterations[[#This Row],[Grad_e]]))</f>
        <v>9.511770568500685E-3</v>
      </c>
    </row>
    <row r="741" spans="6:18" x14ac:dyDescent="0.3">
      <c r="F741" s="2">
        <f t="shared" si="13"/>
        <v>724</v>
      </c>
      <c r="G741" s="2">
        <f ca="1">IF(Iterations[[#This Row],[Step]] =current_step, current_a,IF(Iterations[[#This Row],[Step]] &gt; current_step, "",Iterations[[#This Row],[a]]))</f>
        <v>-7.2128658779189001</v>
      </c>
      <c r="H741" s="2">
        <f ca="1">IF(Iterations[[#This Row],[Step]] =current_step, current_b,IF(Iterations[[#This Row],[Step]] &gt; current_step, "",Iterations[[#This Row],[b]]))</f>
        <v>0.35897988111117812</v>
      </c>
      <c r="I741" s="2">
        <f ca="1">IF(Iterations[[#This Row],[Step]] =current_step, current_c,IF(Iterations[[#This Row],[Step]] &gt; current_step, "",Iterations[[#This Row],[c]]))</f>
        <v>21.069498117625002</v>
      </c>
      <c r="J741" s="2">
        <f ca="1">IF(Iterations[[#This Row],[Step]] =current_step, current_d,IF(Iterations[[#This Row],[Step]] &gt; current_step, "",Iterations[[#This Row],[d]]))</f>
        <v>1.1950258982316446</v>
      </c>
      <c r="K741" s="2">
        <f ca="1">IF(Iterations[[#This Row],[Step]] =current_step, current_e,IF(Iterations[[#This Row],[Step]] &gt; current_step, "",Iterations[[#This Row],[e]]))</f>
        <v>11.367205374251043</v>
      </c>
      <c r="L741" s="2">
        <f ca="1">IF(Iterations[[#This Row],[Step]] =current_step, current_Total_Loss,IF(Iterations[[#This Row],[Step]] &gt; current_step, "",Iterations[[#This Row],[Total Loss]]))</f>
        <v>90.51</v>
      </c>
      <c r="M741" s="6" t="s">
        <v>27</v>
      </c>
      <c r="N741" s="2">
        <f ca="1">IF(Iterations[[#This Row],[Step]] =current_step, current_Grad_a,IF(Iterations[[#This Row],[Step]] &gt; current_step, "",Iterations[[#This Row],[Grad_a]]))</f>
        <v>9.4437154011883049E-3</v>
      </c>
      <c r="O741" s="2">
        <f ca="1">IF(Iterations[[#This Row],[Step]] =current_step, current_Grad_b,IF(Iterations[[#This Row],[Step]] &gt; current_step, "",Iterations[[#This Row],[Grad_b]]))</f>
        <v>1.6462449451314736E-3</v>
      </c>
      <c r="P741" s="2">
        <f ca="1">IF(Iterations[[#This Row],[Step]] =current_step, current_Grad_c,IF(Iterations[[#This Row],[Step]] &gt; current_step, "",Iterations[[#This Row],[Grad_c]]))</f>
        <v>-2.6490836402359719E-2</v>
      </c>
      <c r="Q741" s="2">
        <f ca="1">IF(Iterations[[#This Row],[Step]] =current_step, current_Grad_d,IF(Iterations[[#This Row],[Step]] &gt; current_step, "",Iterations[[#This Row],[Grad_d]]))</f>
        <v>-1.5113532463441911E-3</v>
      </c>
      <c r="R741" s="2">
        <f ca="1">IF(Iterations[[#This Row],[Step]] =current_step, current_Grad_e,IF(Iterations[[#This Row],[Step]] &gt; current_step, "",Iterations[[#This Row],[Grad_e]]))</f>
        <v>9.4474026263840424E-3</v>
      </c>
    </row>
    <row r="742" spans="6:18" x14ac:dyDescent="0.3">
      <c r="F742" s="2">
        <f t="shared" si="13"/>
        <v>725</v>
      </c>
      <c r="G742" s="2">
        <f ca="1">IF(Iterations[[#This Row],[Step]] =current_step, current_a,IF(Iterations[[#This Row],[Step]] &gt; current_step, "",Iterations[[#This Row],[a]]))</f>
        <v>-7.2135269379969831</v>
      </c>
      <c r="H742" s="2">
        <f ca="1">IF(Iterations[[#This Row],[Step]] =current_step, current_b,IF(Iterations[[#This Row],[Step]] &gt; current_step, "",Iterations[[#This Row],[b]]))</f>
        <v>0.35886464396501894</v>
      </c>
      <c r="I742" s="2">
        <f ca="1">IF(Iterations[[#This Row],[Step]] =current_step, current_c,IF(Iterations[[#This Row],[Step]] &gt; current_step, "",Iterations[[#This Row],[c]]))</f>
        <v>21.071352476173168</v>
      </c>
      <c r="J742" s="2">
        <f ca="1">IF(Iterations[[#This Row],[Step]] =current_step, current_d,IF(Iterations[[#This Row],[Step]] &gt; current_step, "",Iterations[[#This Row],[d]]))</f>
        <v>1.1951316929588887</v>
      </c>
      <c r="K742" s="2">
        <f ca="1">IF(Iterations[[#This Row],[Step]] =current_step, current_e,IF(Iterations[[#This Row],[Step]] &gt; current_step, "",Iterations[[#This Row],[e]]))</f>
        <v>11.366544056067196</v>
      </c>
      <c r="L742" s="2">
        <f ca="1">IF(Iterations[[#This Row],[Step]] =current_step, current_Total_Loss,IF(Iterations[[#This Row],[Step]] &gt; current_step, "",Iterations[[#This Row],[Total Loss]]))</f>
        <v>90.51</v>
      </c>
      <c r="M742" s="6" t="s">
        <v>27</v>
      </c>
      <c r="N742" s="2">
        <f ca="1">IF(Iterations[[#This Row],[Step]] =current_step, current_Grad_a,IF(Iterations[[#This Row],[Step]] &gt; current_step, "",Iterations[[#This Row],[Grad_a]]))</f>
        <v>9.3798089244766635E-3</v>
      </c>
      <c r="O742" s="2">
        <f ca="1">IF(Iterations[[#This Row],[Step]] =current_step, current_Grad_b,IF(Iterations[[#This Row],[Step]] &gt; current_step, "",Iterations[[#This Row],[Grad_b]]))</f>
        <v>1.6351137247657564E-3</v>
      </c>
      <c r="P742" s="2">
        <f ca="1">IF(Iterations[[#This Row],[Step]] =current_step, current_Grad_c,IF(Iterations[[#This Row],[Step]] &gt; current_step, "",Iterations[[#This Row],[Grad_c]]))</f>
        <v>-2.631156871351524E-2</v>
      </c>
      <c r="Q742" s="2">
        <f ca="1">IF(Iterations[[#This Row],[Step]] =current_step, current_Grad_d,IF(Iterations[[#This Row],[Step]] &gt; current_step, "",Iterations[[#This Row],[Grad_d]]))</f>
        <v>-1.5011450115493972E-3</v>
      </c>
      <c r="R742" s="2">
        <f ca="1">IF(Iterations[[#This Row],[Step]] =current_step, current_Grad_e,IF(Iterations[[#This Row],[Step]] &gt; current_step, "",Iterations[[#This Row],[Grad_e]]))</f>
        <v>9.3834702830643355E-3</v>
      </c>
    </row>
    <row r="743" spans="6:18" x14ac:dyDescent="0.3">
      <c r="F743" s="2">
        <f t="shared" si="13"/>
        <v>726</v>
      </c>
      <c r="G743" s="2">
        <f ca="1">IF(Iterations[[#This Row],[Step]] =current_step, current_a,IF(Iterations[[#This Row],[Step]] &gt; current_step, "",Iterations[[#This Row],[a]]))</f>
        <v>-7.2141835246216965</v>
      </c>
      <c r="H743" s="2">
        <f ca="1">IF(Iterations[[#This Row],[Step]] =current_step, current_b,IF(Iterations[[#This Row],[Step]] &gt; current_step, "",Iterations[[#This Row],[b]]))</f>
        <v>0.35875018600428532</v>
      </c>
      <c r="I743" s="2">
        <f ca="1">IF(Iterations[[#This Row],[Step]] =current_step, current_c,IF(Iterations[[#This Row],[Step]] &gt; current_step, "",Iterations[[#This Row],[c]]))</f>
        <v>21.073194285983114</v>
      </c>
      <c r="J743" s="2">
        <f ca="1">IF(Iterations[[#This Row],[Step]] =current_step, current_d,IF(Iterations[[#This Row],[Step]] &gt; current_step, "",Iterations[[#This Row],[d]]))</f>
        <v>1.1952367731096971</v>
      </c>
      <c r="K743" s="2">
        <f ca="1">IF(Iterations[[#This Row],[Step]] =current_step, current_e,IF(Iterations[[#This Row],[Step]] &gt; current_step, "",Iterations[[#This Row],[e]]))</f>
        <v>11.365887213147381</v>
      </c>
      <c r="L743" s="2">
        <f ca="1">IF(Iterations[[#This Row],[Step]] =current_step, current_Total_Loss,IF(Iterations[[#This Row],[Step]] &gt; current_step, "",Iterations[[#This Row],[Total Loss]]))</f>
        <v>90.51</v>
      </c>
      <c r="M743" s="6" t="s">
        <v>27</v>
      </c>
      <c r="N743" s="2">
        <f ca="1">IF(Iterations[[#This Row],[Step]] =current_step, current_Grad_a,IF(Iterations[[#This Row],[Step]] &gt; current_step, "",Iterations[[#This Row],[Grad_a]]))</f>
        <v>9.3163349071725167E-3</v>
      </c>
      <c r="O743" s="2">
        <f ca="1">IF(Iterations[[#This Row],[Step]] =current_step, current_Grad_b,IF(Iterations[[#This Row],[Step]] &gt; current_step, "",Iterations[[#This Row],[Grad_b]]))</f>
        <v>1.6240576685095684E-3</v>
      </c>
      <c r="P743" s="2">
        <f ca="1">IF(Iterations[[#This Row],[Step]] =current_step, current_Grad_c,IF(Iterations[[#This Row],[Step]] &gt; current_step, "",Iterations[[#This Row],[Grad_c]]))</f>
        <v>-2.6133514173391541E-2</v>
      </c>
      <c r="Q743" s="2">
        <f ca="1">IF(Iterations[[#This Row],[Step]] =current_step, current_Grad_d,IF(Iterations[[#This Row],[Step]] &gt; current_step, "",Iterations[[#This Row],[Grad_d]]))</f>
        <v>-1.4910055138868301E-3</v>
      </c>
      <c r="R743" s="2">
        <f ca="1">IF(Iterations[[#This Row],[Step]] =current_step, current_Grad_e,IF(Iterations[[#This Row],[Step]] &gt; current_step, "",Iterations[[#This Row],[Grad_e]]))</f>
        <v>9.3199705905336015E-3</v>
      </c>
    </row>
    <row r="744" spans="6:18" x14ac:dyDescent="0.3">
      <c r="F744" s="2">
        <f t="shared" si="13"/>
        <v>727</v>
      </c>
      <c r="G744" s="2">
        <f ca="1">IF(Iterations[[#This Row],[Step]] =current_step, current_a,IF(Iterations[[#This Row],[Step]] &gt; current_step, "",Iterations[[#This Row],[a]]))</f>
        <v>-7.2148356680651986</v>
      </c>
      <c r="H744" s="2">
        <f ca="1">IF(Iterations[[#This Row],[Step]] =current_step, current_b,IF(Iterations[[#This Row],[Step]] &gt; current_step, "",Iterations[[#This Row],[b]]))</f>
        <v>0.35863650196748964</v>
      </c>
      <c r="I744" s="2">
        <f ca="1">IF(Iterations[[#This Row],[Step]] =current_step, current_c,IF(Iterations[[#This Row],[Step]] &gt; current_step, "",Iterations[[#This Row],[c]]))</f>
        <v>21.075023631975252</v>
      </c>
      <c r="J744" s="2">
        <f ca="1">IF(Iterations[[#This Row],[Step]] =current_step, current_d,IF(Iterations[[#This Row],[Step]] &gt; current_step, "",Iterations[[#This Row],[d]]))</f>
        <v>1.1953411434956691</v>
      </c>
      <c r="K744" s="2">
        <f ca="1">IF(Iterations[[#This Row],[Step]] =current_step, current_e,IF(Iterations[[#This Row],[Step]] &gt; current_step, "",Iterations[[#This Row],[e]]))</f>
        <v>11.365234815206044</v>
      </c>
      <c r="L744" s="2">
        <f ca="1">IF(Iterations[[#This Row],[Step]] =current_step, current_Total_Loss,IF(Iterations[[#This Row],[Step]] &gt; current_step, "",Iterations[[#This Row],[Total Loss]]))</f>
        <v>90.51</v>
      </c>
      <c r="M744" s="6" t="s">
        <v>27</v>
      </c>
      <c r="N744" s="2">
        <f ca="1">IF(Iterations[[#This Row],[Step]] =current_step, current_Grad_a,IF(Iterations[[#This Row],[Step]] &gt; current_step, "",Iterations[[#This Row],[Grad_a]]))</f>
        <v>9.2532904229440938E-3</v>
      </c>
      <c r="O744" s="2">
        <f ca="1">IF(Iterations[[#This Row],[Step]] =current_step, current_Grad_b,IF(Iterations[[#This Row],[Step]] &gt; current_step, "",Iterations[[#This Row],[Grad_b]]))</f>
        <v>1.6130762706229656E-3</v>
      </c>
      <c r="P744" s="2">
        <f ca="1">IF(Iterations[[#This Row],[Step]] =current_step, current_Grad_c,IF(Iterations[[#This Row],[Step]] &gt; current_step, "",Iterations[[#This Row],[Grad_c]]))</f>
        <v>-2.5956664571973653E-2</v>
      </c>
      <c r="Q744" s="2">
        <f ca="1">IF(Iterations[[#This Row],[Step]] =current_step, current_Grad_d,IF(Iterations[[#This Row],[Step]] &gt; current_step, "",Iterations[[#This Row],[Grad_d]]))</f>
        <v>-1.4809342943082522E-3</v>
      </c>
      <c r="R744" s="2">
        <f ca="1">IF(Iterations[[#This Row],[Step]] =current_step, current_Grad_e,IF(Iterations[[#This Row],[Step]] &gt; current_step, "",Iterations[[#This Row],[Grad_e]]))</f>
        <v>9.256900620778552E-3</v>
      </c>
    </row>
    <row r="745" spans="6:18" x14ac:dyDescent="0.3">
      <c r="F745" s="2">
        <f t="shared" si="13"/>
        <v>728</v>
      </c>
      <c r="G745" s="2">
        <f ca="1">IF(Iterations[[#This Row],[Step]] =current_step, current_a,IF(Iterations[[#This Row],[Step]] &gt; current_step, "",Iterations[[#This Row],[a]]))</f>
        <v>-7.215483398394805</v>
      </c>
      <c r="H745" s="2">
        <f ca="1">IF(Iterations[[#This Row],[Step]] =current_step, current_b,IF(Iterations[[#This Row],[Step]] &gt; current_step, "",Iterations[[#This Row],[b]]))</f>
        <v>0.35852358662854605</v>
      </c>
      <c r="I745" s="2">
        <f ca="1">IF(Iterations[[#This Row],[Step]] =current_step, current_c,IF(Iterations[[#This Row],[Step]] &gt; current_step, "",Iterations[[#This Row],[c]]))</f>
        <v>21.076840598495291</v>
      </c>
      <c r="J745" s="2">
        <f ca="1">IF(Iterations[[#This Row],[Step]] =current_step, current_d,IF(Iterations[[#This Row],[Step]] &gt; current_step, "",Iterations[[#This Row],[d]]))</f>
        <v>1.1954448088962706</v>
      </c>
      <c r="K745" s="2">
        <f ca="1">IF(Iterations[[#This Row],[Step]] =current_step, current_e,IF(Iterations[[#This Row],[Step]] &gt; current_step, "",Iterations[[#This Row],[e]]))</f>
        <v>11.364586832162589</v>
      </c>
      <c r="L745" s="2">
        <f ca="1">IF(Iterations[[#This Row],[Step]] =current_step, current_Total_Loss,IF(Iterations[[#This Row],[Step]] &gt; current_step, "",Iterations[[#This Row],[Total Loss]]))</f>
        <v>90.5</v>
      </c>
      <c r="M745" s="6" t="s">
        <v>27</v>
      </c>
      <c r="N745" s="2">
        <f ca="1">IF(Iterations[[#This Row],[Step]] =current_step, current_Grad_a,IF(Iterations[[#This Row],[Step]] &gt; current_step, "",Iterations[[#This Row],[Grad_a]]))</f>
        <v>9.1906725649787777E-3</v>
      </c>
      <c r="O745" s="2">
        <f ca="1">IF(Iterations[[#This Row],[Step]] =current_step, current_Grad_b,IF(Iterations[[#This Row],[Step]] &gt; current_step, "",Iterations[[#This Row],[Grad_b]]))</f>
        <v>1.6021690287252681E-3</v>
      </c>
      <c r="P745" s="2">
        <f ca="1">IF(Iterations[[#This Row],[Step]] =current_step, current_Grad_c,IF(Iterations[[#This Row],[Step]] &gt; current_step, "",Iterations[[#This Row],[Grad_c]]))</f>
        <v>-2.5781011754939114E-2</v>
      </c>
      <c r="Q745" s="2">
        <f ca="1">IF(Iterations[[#This Row],[Step]] =current_step, current_Grad_d,IF(Iterations[[#This Row],[Step]] &gt; current_step, "",Iterations[[#This Row],[Grad_d]]))</f>
        <v>-1.4709308967775473E-3</v>
      </c>
      <c r="R745" s="2">
        <f ca="1">IF(Iterations[[#This Row],[Step]] =current_step, current_Grad_e,IF(Iterations[[#This Row],[Step]] &gt; current_step, "",Iterations[[#This Row],[Grad_e]]))</f>
        <v>9.1942574655402686E-3</v>
      </c>
    </row>
    <row r="746" spans="6:18" x14ac:dyDescent="0.3">
      <c r="F746" s="2">
        <f t="shared" si="13"/>
        <v>729</v>
      </c>
      <c r="G746" s="2">
        <f ca="1">IF(Iterations[[#This Row],[Step]] =current_step, current_a,IF(Iterations[[#This Row],[Step]] &gt; current_step, "",Iterations[[#This Row],[a]]))</f>
        <v>-7.2161267454743534</v>
      </c>
      <c r="H746" s="2">
        <f ca="1">IF(Iterations[[#This Row],[Step]] =current_step, current_b,IF(Iterations[[#This Row],[Step]] &gt; current_step, "",Iterations[[#This Row],[b]]))</f>
        <v>0.35841143479653531</v>
      </c>
      <c r="I746" s="2">
        <f ca="1">IF(Iterations[[#This Row],[Step]] =current_step, current_c,IF(Iterations[[#This Row],[Step]] &gt; current_step, "",Iterations[[#This Row],[c]]))</f>
        <v>21.078645269318137</v>
      </c>
      <c r="J746" s="2">
        <f ca="1">IF(Iterations[[#This Row],[Step]] =current_step, current_d,IF(Iterations[[#This Row],[Step]] &gt; current_step, "",Iterations[[#This Row],[d]]))</f>
        <v>1.195547774059045</v>
      </c>
      <c r="K746" s="2">
        <f ca="1">IF(Iterations[[#This Row],[Step]] =current_step, current_e,IF(Iterations[[#This Row],[Step]] &gt; current_step, "",Iterations[[#This Row],[e]]))</f>
        <v>11.363943234140001</v>
      </c>
      <c r="L746" s="2">
        <f ca="1">IF(Iterations[[#This Row],[Step]] =current_step, current_Total_Loss,IF(Iterations[[#This Row],[Step]] &gt; current_step, "",Iterations[[#This Row],[Total Loss]]))</f>
        <v>90.5</v>
      </c>
      <c r="M746" s="6" t="s">
        <v>27</v>
      </c>
      <c r="N746" s="2">
        <f ca="1">IF(Iterations[[#This Row],[Step]] =current_step, current_Grad_a,IF(Iterations[[#This Row],[Step]] &gt; current_step, "",Iterations[[#This Row],[Grad_a]]))</f>
        <v>9.1284784464643488E-3</v>
      </c>
      <c r="O746" s="2">
        <f ca="1">IF(Iterations[[#This Row],[Step]] =current_step, current_Grad_b,IF(Iterations[[#This Row],[Step]] &gt; current_step, "",Iterations[[#This Row],[Grad_b]]))</f>
        <v>1.5913354437314059E-3</v>
      </c>
      <c r="P746" s="2">
        <f ca="1">IF(Iterations[[#This Row],[Step]] =current_step, current_Grad_c,IF(Iterations[[#This Row],[Step]] &gt; current_step, "",Iterations[[#This Row],[Grad_c]]))</f>
        <v>-2.5606547623010859E-2</v>
      </c>
      <c r="Q746" s="2">
        <f ca="1">IF(Iterations[[#This Row],[Step]] =current_step, current_Grad_d,IF(Iterations[[#This Row],[Step]] &gt; current_step, "",Iterations[[#This Row],[Grad_d]]))</f>
        <v>-1.4609948682484911E-3</v>
      </c>
      <c r="R746" s="2">
        <f ca="1">IF(Iterations[[#This Row],[Step]] =current_step, current_Grad_e,IF(Iterations[[#This Row],[Step]] &gt; current_step, "",Iterations[[#This Row],[Grad_e]]))</f>
        <v>9.1320382363159827E-3</v>
      </c>
    </row>
    <row r="747" spans="6:18" x14ac:dyDescent="0.3">
      <c r="F747" s="2">
        <f t="shared" si="13"/>
        <v>730</v>
      </c>
      <c r="G747" s="2">
        <f ca="1">IF(Iterations[[#This Row],[Step]] =current_step, current_a,IF(Iterations[[#This Row],[Step]] &gt; current_step, "",Iterations[[#This Row],[a]]))</f>
        <v>-7.2167657389656057</v>
      </c>
      <c r="H747" s="2">
        <f ca="1">IF(Iterations[[#This Row],[Step]] =current_step, current_b,IF(Iterations[[#This Row],[Step]] &gt; current_step, "",Iterations[[#This Row],[b]]))</f>
        <v>0.3583000413154741</v>
      </c>
      <c r="I747" s="2">
        <f ca="1">IF(Iterations[[#This Row],[Step]] =current_step, current_c,IF(Iterations[[#This Row],[Step]] &gt; current_step, "",Iterations[[#This Row],[c]]))</f>
        <v>21.080437727651749</v>
      </c>
      <c r="J747" s="2">
        <f ca="1">IF(Iterations[[#This Row],[Step]] =current_step, current_d,IF(Iterations[[#This Row],[Step]] &gt; current_step, "",Iterations[[#This Row],[d]]))</f>
        <v>1.1956500436998223</v>
      </c>
      <c r="K747" s="2">
        <f ca="1">IF(Iterations[[#This Row],[Step]] =current_step, current_e,IF(Iterations[[#This Row],[Step]] &gt; current_step, "",Iterations[[#This Row],[e]]))</f>
        <v>11.363303991463459</v>
      </c>
      <c r="L747" s="2">
        <f ca="1">IF(Iterations[[#This Row],[Step]] =current_step, current_Total_Loss,IF(Iterations[[#This Row],[Step]] &gt; current_step, "",Iterations[[#This Row],[Total Loss]]))</f>
        <v>90.5</v>
      </c>
      <c r="M747" s="6" t="s">
        <v>27</v>
      </c>
      <c r="N747" s="2">
        <f ca="1">IF(Iterations[[#This Row],[Step]] =current_step, current_Grad_a,IF(Iterations[[#This Row],[Step]] &gt; current_step, "",Iterations[[#This Row],[Grad_a]]))</f>
        <v>9.0667051997852764E-3</v>
      </c>
      <c r="O747" s="2">
        <f ca="1">IF(Iterations[[#This Row],[Step]] =current_step, current_Grad_b,IF(Iterations[[#This Row],[Step]] &gt; current_step, "",Iterations[[#This Row],[Grad_b]]))</f>
        <v>1.5805750199958544E-3</v>
      </c>
      <c r="P747" s="2">
        <f ca="1">IF(Iterations[[#This Row],[Step]] =current_step, current_Grad_c,IF(Iterations[[#This Row],[Step]] &gt; current_step, "",Iterations[[#This Row],[Grad_c]]))</f>
        <v>-2.5433264131869464E-2</v>
      </c>
      <c r="Q747" s="2">
        <f ca="1">IF(Iterations[[#This Row],[Step]] =current_step, current_Grad_d,IF(Iterations[[#This Row],[Step]] &gt; current_step, "",Iterations[[#This Row],[Grad_d]]))</f>
        <v>-1.4511257585981571E-3</v>
      </c>
      <c r="R747" s="2">
        <f ca="1">IF(Iterations[[#This Row],[Step]] =current_step, current_Grad_e,IF(Iterations[[#This Row],[Step]] &gt; current_step, "",Iterations[[#This Row],[Grad_e]]))</f>
        <v>9.0702400640877787E-3</v>
      </c>
    </row>
    <row r="748" spans="6:18" x14ac:dyDescent="0.3">
      <c r="F748" s="2">
        <f t="shared" si="13"/>
        <v>731</v>
      </c>
      <c r="G748" s="2">
        <f ca="1">IF(Iterations[[#This Row],[Step]] =current_step, current_a,IF(Iterations[[#This Row],[Step]] &gt; current_step, "",Iterations[[#This Row],[a]]))</f>
        <v>-7.2174004083295911</v>
      </c>
      <c r="H748" s="2">
        <f ca="1">IF(Iterations[[#This Row],[Step]] =current_step, current_b,IF(Iterations[[#This Row],[Step]] &gt; current_step, "",Iterations[[#This Row],[b]]))</f>
        <v>0.35818940106407438</v>
      </c>
      <c r="I748" s="2">
        <f ca="1">IF(Iterations[[#This Row],[Step]] =current_step, current_c,IF(Iterations[[#This Row],[Step]] &gt; current_step, "",Iterations[[#This Row],[c]]))</f>
        <v>21.082218056140981</v>
      </c>
      <c r="J748" s="2">
        <f ca="1">IF(Iterations[[#This Row],[Step]] =current_step, current_d,IF(Iterations[[#This Row],[Step]] &gt; current_step, "",Iterations[[#This Row],[d]]))</f>
        <v>1.1957516225029241</v>
      </c>
      <c r="K748" s="2">
        <f ca="1">IF(Iterations[[#This Row],[Step]] =current_step, current_e,IF(Iterations[[#This Row],[Step]] &gt; current_step, "",Iterations[[#This Row],[e]]))</f>
        <v>11.362669074658973</v>
      </c>
      <c r="L748" s="2">
        <f ca="1">IF(Iterations[[#This Row],[Step]] =current_step, current_Total_Loss,IF(Iterations[[#This Row],[Step]] &gt; current_step, "",Iterations[[#This Row],[Total Loss]]))</f>
        <v>90.5</v>
      </c>
      <c r="M748" s="6" t="s">
        <v>27</v>
      </c>
      <c r="N748" s="2">
        <f ca="1">IF(Iterations[[#This Row],[Step]] =current_step, current_Grad_a,IF(Iterations[[#This Row],[Step]] &gt; current_step, "",Iterations[[#This Row],[Grad_a]]))</f>
        <v>9.0053499769995327E-3</v>
      </c>
      <c r="O748" s="2">
        <f ca="1">IF(Iterations[[#This Row],[Step]] =current_step, current_Grad_b,IF(Iterations[[#This Row],[Step]] &gt; current_step, "",Iterations[[#This Row],[Grad_b]]))</f>
        <v>1.5698872650954747E-3</v>
      </c>
      <c r="P748" s="2">
        <f ca="1">IF(Iterations[[#This Row],[Step]] =current_step, current_Grad_c,IF(Iterations[[#This Row],[Step]] &gt; current_step, "",Iterations[[#This Row],[Grad_c]]))</f>
        <v>-2.5261153291530853E-2</v>
      </c>
      <c r="Q748" s="2">
        <f ca="1">IF(Iterations[[#This Row],[Step]] =current_step, current_Grad_d,IF(Iterations[[#This Row],[Step]] &gt; current_step, "",Iterations[[#This Row],[Grad_d]]))</f>
        <v>-1.441323120675797E-3</v>
      </c>
      <c r="R748" s="2">
        <f ca="1">IF(Iterations[[#This Row],[Step]] =current_step, current_Grad_e,IF(Iterations[[#This Row],[Step]] &gt; current_step, "",Iterations[[#This Row],[Grad_e]]))</f>
        <v>9.0088600993064229E-3</v>
      </c>
    </row>
    <row r="749" spans="6:18" x14ac:dyDescent="0.3">
      <c r="F749" s="2">
        <f t="shared" si="13"/>
        <v>732</v>
      </c>
      <c r="G749" s="2">
        <f ca="1">IF(Iterations[[#This Row],[Step]] =current_step, current_a,IF(Iterations[[#This Row],[Step]] &gt; current_step, "",Iterations[[#This Row],[a]]))</f>
        <v>-7.2180307828279808</v>
      </c>
      <c r="H749" s="2">
        <f ca="1">IF(Iterations[[#This Row],[Step]] =current_step, current_b,IF(Iterations[[#This Row],[Step]] &gt; current_step, "",Iterations[[#This Row],[b]]))</f>
        <v>0.35807950895551771</v>
      </c>
      <c r="I749" s="2">
        <f ca="1">IF(Iterations[[#This Row],[Step]] =current_step, current_c,IF(Iterations[[#This Row],[Step]] &gt; current_step, "",Iterations[[#This Row],[c]]))</f>
        <v>21.083986336871387</v>
      </c>
      <c r="J749" s="2">
        <f ca="1">IF(Iterations[[#This Row],[Step]] =current_step, current_d,IF(Iterations[[#This Row],[Step]] &gt; current_step, "",Iterations[[#This Row],[d]]))</f>
        <v>1.1958525151213715</v>
      </c>
      <c r="K749" s="2">
        <f ca="1">IF(Iterations[[#This Row],[Step]] =current_step, current_e,IF(Iterations[[#This Row],[Step]] &gt; current_step, "",Iterations[[#This Row],[e]]))</f>
        <v>11.362038454452021</v>
      </c>
      <c r="L749" s="2">
        <f ca="1">IF(Iterations[[#This Row],[Step]] =current_step, current_Total_Loss,IF(Iterations[[#This Row],[Step]] &gt; current_step, "",Iterations[[#This Row],[Total Loss]]))</f>
        <v>90.5</v>
      </c>
      <c r="M749" s="6" t="s">
        <v>27</v>
      </c>
      <c r="N749" s="2">
        <f ca="1">IF(Iterations[[#This Row],[Step]] =current_step, current_Grad_a,IF(Iterations[[#This Row],[Step]] &gt; current_step, "",Iterations[[#This Row],[Grad_a]]))</f>
        <v>8.9444099493095255E-3</v>
      </c>
      <c r="O749" s="2">
        <f ca="1">IF(Iterations[[#This Row],[Step]] =current_step, current_Grad_b,IF(Iterations[[#This Row],[Step]] &gt; current_step, "",Iterations[[#This Row],[Grad_b]]))</f>
        <v>1.5592716898868246E-3</v>
      </c>
      <c r="P749" s="2">
        <f ca="1">IF(Iterations[[#This Row],[Step]] =current_step, current_Grad_c,IF(Iterations[[#This Row],[Step]] &gt; current_step, "",Iterations[[#This Row],[Grad_c]]))</f>
        <v>-2.5090207166138339E-2</v>
      </c>
      <c r="Q749" s="2">
        <f ca="1">IF(Iterations[[#This Row],[Step]] =current_step, current_Grad_d,IF(Iterations[[#This Row],[Step]] &gt; current_step, "",Iterations[[#This Row],[Grad_d]]))</f>
        <v>-1.4315865102590235E-3</v>
      </c>
      <c r="R749" s="2">
        <f ca="1">IF(Iterations[[#This Row],[Step]] =current_step, current_Grad_e,IF(Iterations[[#This Row],[Step]] &gt; current_step, "",Iterations[[#This Row],[Grad_e]]))</f>
        <v>8.947895511685091E-3</v>
      </c>
    </row>
    <row r="750" spans="6:18" x14ac:dyDescent="0.3">
      <c r="F750" s="2">
        <f t="shared" si="13"/>
        <v>733</v>
      </c>
      <c r="G750" s="2">
        <f ca="1">IF(Iterations[[#This Row],[Step]] =current_step, current_a,IF(Iterations[[#This Row],[Step]] &gt; current_step, "",Iterations[[#This Row],[a]]))</f>
        <v>-7.2186568915244322</v>
      </c>
      <c r="H750" s="2">
        <f ca="1">IF(Iterations[[#This Row],[Step]] =current_step, current_b,IF(Iterations[[#This Row],[Step]] &gt; current_step, "",Iterations[[#This Row],[b]]))</f>
        <v>0.35797035993722565</v>
      </c>
      <c r="I750" s="2">
        <f ca="1">IF(Iterations[[#This Row],[Step]] =current_step, current_c,IF(Iterations[[#This Row],[Step]] &gt; current_step, "",Iterations[[#This Row],[c]]))</f>
        <v>21.085742651373018</v>
      </c>
      <c r="J750" s="2">
        <f ca="1">IF(Iterations[[#This Row],[Step]] =current_step, current_d,IF(Iterations[[#This Row],[Step]] &gt; current_step, "",Iterations[[#This Row],[d]]))</f>
        <v>1.1959527261770897</v>
      </c>
      <c r="K750" s="2">
        <f ca="1">IF(Iterations[[#This Row],[Step]] =current_step, current_e,IF(Iterations[[#This Row],[Step]] &gt; current_step, "",Iterations[[#This Row],[e]]))</f>
        <v>11.361412101766202</v>
      </c>
      <c r="L750" s="2">
        <f ca="1">IF(Iterations[[#This Row],[Step]] =current_step, current_Total_Loss,IF(Iterations[[#This Row],[Step]] &gt; current_step, "",Iterations[[#This Row],[Total Loss]]))</f>
        <v>90.5</v>
      </c>
      <c r="M750" s="6" t="s">
        <v>27</v>
      </c>
      <c r="N750" s="2">
        <f ca="1">IF(Iterations[[#This Row],[Step]] =current_step, current_Grad_a,IF(Iterations[[#This Row],[Step]] &gt; current_step, "",Iterations[[#This Row],[Grad_a]]))</f>
        <v>8.8838823071018223E-3</v>
      </c>
      <c r="O750" s="2">
        <f ca="1">IF(Iterations[[#This Row],[Step]] =current_step, current_Grad_b,IF(Iterations[[#This Row],[Step]] &gt; current_step, "",Iterations[[#This Row],[Grad_b]]))</f>
        <v>1.5487278085365801E-3</v>
      </c>
      <c r="P750" s="2">
        <f ca="1">IF(Iterations[[#This Row],[Step]] =current_step, current_Grad_c,IF(Iterations[[#This Row],[Step]] &gt; current_step, "",Iterations[[#This Row],[Grad_c]]))</f>
        <v>-2.492041787353004E-2</v>
      </c>
      <c r="Q750" s="2">
        <f ca="1">IF(Iterations[[#This Row],[Step]] =current_step, current_Grad_d,IF(Iterations[[#This Row],[Step]] &gt; current_step, "",Iterations[[#This Row],[Grad_d]]))</f>
        <v>-1.4219154860103389E-3</v>
      </c>
      <c r="R750" s="2">
        <f ca="1">IF(Iterations[[#This Row],[Step]] =current_step, current_Grad_e,IF(Iterations[[#This Row],[Step]] &gt; current_step, "",Iterations[[#This Row],[Grad_e]]))</f>
        <v>8.8873434901026727E-3</v>
      </c>
    </row>
    <row r="751" spans="6:18" x14ac:dyDescent="0.3">
      <c r="F751" s="2">
        <f t="shared" si="13"/>
        <v>734</v>
      </c>
      <c r="G751" s="2">
        <f ca="1">IF(Iterations[[#This Row],[Step]] =current_step, current_a,IF(Iterations[[#This Row],[Step]] &gt; current_step, "",Iterations[[#This Row],[a]]))</f>
        <v>-7.2192787632859297</v>
      </c>
      <c r="H751" s="2">
        <f ca="1">IF(Iterations[[#This Row],[Step]] =current_step, current_b,IF(Iterations[[#This Row],[Step]] &gt; current_step, "",Iterations[[#This Row],[b]]))</f>
        <v>0.35786194899062806</v>
      </c>
      <c r="I751" s="2">
        <f ca="1">IF(Iterations[[#This Row],[Step]] =current_step, current_c,IF(Iterations[[#This Row],[Step]] &gt; current_step, "",Iterations[[#This Row],[c]]))</f>
        <v>21.087487080624165</v>
      </c>
      <c r="J751" s="2">
        <f ca="1">IF(Iterations[[#This Row],[Step]] =current_step, current_d,IF(Iterations[[#This Row],[Step]] &gt; current_step, "",Iterations[[#This Row],[d]]))</f>
        <v>1.1960522602611103</v>
      </c>
      <c r="K751" s="2">
        <f ca="1">IF(Iterations[[#This Row],[Step]] =current_step, current_e,IF(Iterations[[#This Row],[Step]] &gt; current_step, "",Iterations[[#This Row],[e]]))</f>
        <v>11.360789987721896</v>
      </c>
      <c r="L751" s="2">
        <f ca="1">IF(Iterations[[#This Row],[Step]] =current_step, current_Total_Loss,IF(Iterations[[#This Row],[Step]] &gt; current_step, "",Iterations[[#This Row],[Total Loss]]))</f>
        <v>90.5</v>
      </c>
      <c r="M751" s="6" t="s">
        <v>27</v>
      </c>
      <c r="N751" s="2">
        <f ca="1">IF(Iterations[[#This Row],[Step]] =current_step, current_Grad_a,IF(Iterations[[#This Row],[Step]] &gt; current_step, "",Iterations[[#This Row],[Grad_a]]))</f>
        <v>8.8237642597076438E-3</v>
      </c>
      <c r="O751" s="2">
        <f ca="1">IF(Iterations[[#This Row],[Step]] =current_step, current_Grad_b,IF(Iterations[[#This Row],[Step]] &gt; current_step, "",Iterations[[#This Row],[Grad_b]]))</f>
        <v>1.5382551384417959E-3</v>
      </c>
      <c r="P751" s="2">
        <f ca="1">IF(Iterations[[#This Row],[Step]] =current_step, current_Grad_c,IF(Iterations[[#This Row],[Step]] &gt; current_step, "",Iterations[[#This Row],[Grad_c]]))</f>
        <v>-2.4751777584914758E-2</v>
      </c>
      <c r="Q751" s="2">
        <f ca="1">IF(Iterations[[#This Row],[Step]] =current_step, current_Grad_d,IF(Iterations[[#This Row],[Step]] &gt; current_step, "",Iterations[[#This Row],[Grad_d]]))</f>
        <v>-1.4123096094901008E-3</v>
      </c>
      <c r="R751" s="2">
        <f ca="1">IF(Iterations[[#This Row],[Step]] =current_step, current_Grad_e,IF(Iterations[[#This Row],[Step]] &gt; current_step, "",Iterations[[#This Row],[Grad_e]]))</f>
        <v>8.8272012424565182E-3</v>
      </c>
    </row>
    <row r="752" spans="6:18" x14ac:dyDescent="0.3">
      <c r="F752" s="2">
        <f t="shared" si="13"/>
        <v>735</v>
      </c>
      <c r="G752" s="2">
        <f ca="1">IF(Iterations[[#This Row],[Step]] =current_step, current_a,IF(Iterations[[#This Row],[Step]] &gt; current_step, "",Iterations[[#This Row],[a]]))</f>
        <v>-7.2198964267841088</v>
      </c>
      <c r="H752" s="2">
        <f ca="1">IF(Iterations[[#This Row],[Step]] =current_step, current_b,IF(Iterations[[#This Row],[Step]] &gt; current_step, "",Iterations[[#This Row],[b]]))</f>
        <v>0.35775427113093716</v>
      </c>
      <c r="I752" s="2">
        <f ca="1">IF(Iterations[[#This Row],[Step]] =current_step, current_c,IF(Iterations[[#This Row],[Step]] &gt; current_step, "",Iterations[[#This Row],[c]]))</f>
        <v>21.089219705055108</v>
      </c>
      <c r="J752" s="2">
        <f ca="1">IF(Iterations[[#This Row],[Step]] =current_step, current_d,IF(Iterations[[#This Row],[Step]] &gt; current_step, "",Iterations[[#This Row],[d]]))</f>
        <v>1.1961511219337746</v>
      </c>
      <c r="K752" s="2">
        <f ca="1">IF(Iterations[[#This Row],[Step]] =current_step, current_e,IF(Iterations[[#This Row],[Step]] &gt; current_step, "",Iterations[[#This Row],[e]]))</f>
        <v>11.360172083634923</v>
      </c>
      <c r="L752" s="2">
        <f ca="1">IF(Iterations[[#This Row],[Step]] =current_step, current_Total_Loss,IF(Iterations[[#This Row],[Step]] &gt; current_step, "",Iterations[[#This Row],[Total Loss]]))</f>
        <v>90.5</v>
      </c>
      <c r="M752" s="6" t="s">
        <v>27</v>
      </c>
      <c r="N752" s="2">
        <f ca="1">IF(Iterations[[#This Row],[Step]] =current_step, current_Grad_a,IF(Iterations[[#This Row],[Step]] &gt; current_step, "",Iterations[[#This Row],[Grad_a]]))</f>
        <v>8.7640530354185942E-3</v>
      </c>
      <c r="O752" s="2">
        <f ca="1">IF(Iterations[[#This Row],[Step]] =current_step, current_Grad_b,IF(Iterations[[#This Row],[Step]] &gt; current_step, "",Iterations[[#This Row],[Grad_b]]))</f>
        <v>1.5278532001832021E-3</v>
      </c>
      <c r="P752" s="2">
        <f ca="1">IF(Iterations[[#This Row],[Step]] =current_step, current_Grad_c,IF(Iterations[[#This Row],[Step]] &gt; current_step, "",Iterations[[#This Row],[Grad_c]]))</f>
        <v>-2.4584278524458783E-2</v>
      </c>
      <c r="Q752" s="2">
        <f ca="1">IF(Iterations[[#This Row],[Step]] =current_step, current_Grad_d,IF(Iterations[[#This Row],[Step]] &gt; current_step, "",Iterations[[#This Row],[Grad_d]]))</f>
        <v>-1.4027684451423722E-3</v>
      </c>
      <c r="R752" s="2">
        <f ca="1">IF(Iterations[[#This Row],[Step]] =current_step, current_Grad_e,IF(Iterations[[#This Row],[Step]] &gt; current_step, "",Iterations[[#This Row],[Grad_e]]))</f>
        <v>8.7674659955514246E-3</v>
      </c>
    </row>
    <row r="753" spans="6:18" x14ac:dyDescent="0.3">
      <c r="F753" s="2">
        <f t="shared" si="13"/>
        <v>736</v>
      </c>
      <c r="G753" s="2">
        <f ca="1">IF(Iterations[[#This Row],[Step]] =current_step, current_a,IF(Iterations[[#This Row],[Step]] &gt; current_step, "",Iterations[[#This Row],[a]]))</f>
        <v>-7.2205099104965882</v>
      </c>
      <c r="H753" s="2">
        <f ca="1">IF(Iterations[[#This Row],[Step]] =current_step, current_b,IF(Iterations[[#This Row],[Step]] &gt; current_step, "",Iterations[[#This Row],[b]]))</f>
        <v>0.35764732140692435</v>
      </c>
      <c r="I753" s="2">
        <f ca="1">IF(Iterations[[#This Row],[Step]] =current_step, current_c,IF(Iterations[[#This Row],[Step]] &gt; current_step, "",Iterations[[#This Row],[c]]))</f>
        <v>21.090940604551818</v>
      </c>
      <c r="J753" s="2">
        <f ca="1">IF(Iterations[[#This Row],[Step]] =current_step, current_d,IF(Iterations[[#This Row],[Step]] &gt; current_step, "",Iterations[[#This Row],[d]]))</f>
        <v>1.1962493157249345</v>
      </c>
      <c r="K753" s="2">
        <f ca="1">IF(Iterations[[#This Row],[Step]] =current_step, current_e,IF(Iterations[[#This Row],[Step]] &gt; current_step, "",Iterations[[#This Row],[e]]))</f>
        <v>11.359558361015235</v>
      </c>
      <c r="L753" s="2">
        <f ca="1">IF(Iterations[[#This Row],[Step]] =current_step, current_Total_Loss,IF(Iterations[[#This Row],[Step]] &gt; current_step, "",Iterations[[#This Row],[Total Loss]]))</f>
        <v>90.5</v>
      </c>
      <c r="M753" s="6" t="s">
        <v>27</v>
      </c>
      <c r="N753" s="2">
        <f ca="1">IF(Iterations[[#This Row],[Step]] =current_step, current_Grad_a,IF(Iterations[[#This Row],[Step]] &gt; current_step, "",Iterations[[#This Row],[Grad_a]]))</f>
        <v>8.704745881305629E-3</v>
      </c>
      <c r="O753" s="2">
        <f ca="1">IF(Iterations[[#This Row],[Step]] =current_step, current_Grad_b,IF(Iterations[[#This Row],[Step]] &gt; current_step, "",Iterations[[#This Row],[Grad_b]]))</f>
        <v>1.5175215175670233E-3</v>
      </c>
      <c r="P753" s="2">
        <f ca="1">IF(Iterations[[#This Row],[Step]] =current_step, current_Grad_c,IF(Iterations[[#This Row],[Step]] &gt; current_step, "",Iterations[[#This Row],[Grad_c]]))</f>
        <v>-2.4417912968944491E-2</v>
      </c>
      <c r="Q753" s="2">
        <f ca="1">IF(Iterations[[#This Row],[Step]] =current_step, current_Grad_d,IF(Iterations[[#This Row],[Step]] &gt; current_step, "",Iterations[[#This Row],[Grad_d]]))</f>
        <v>-1.3932915602498221E-3</v>
      </c>
      <c r="R753" s="2">
        <f ca="1">IF(Iterations[[#This Row],[Step]] =current_step, current_Grad_e,IF(Iterations[[#This Row],[Step]] &gt; current_step, "",Iterations[[#This Row],[Grad_e]]))</f>
        <v>8.7081349949683761E-3</v>
      </c>
    </row>
    <row r="754" spans="6:18" x14ac:dyDescent="0.3">
      <c r="F754" s="2">
        <f t="shared" si="13"/>
        <v>737</v>
      </c>
      <c r="G754" s="2">
        <f ca="1">IF(Iterations[[#This Row],[Step]] =current_step, current_a,IF(Iterations[[#This Row],[Step]] &gt; current_step, "",Iterations[[#This Row],[a]]))</f>
        <v>-7.22111924270828</v>
      </c>
      <c r="H754" s="2">
        <f ca="1">IF(Iterations[[#This Row],[Step]] =current_step, current_b,IF(Iterations[[#This Row],[Step]] &gt; current_step, "",Iterations[[#This Row],[b]]))</f>
        <v>0.35754109490069463</v>
      </c>
      <c r="I754" s="2">
        <f ca="1">IF(Iterations[[#This Row],[Step]] =current_step, current_c,IF(Iterations[[#This Row],[Step]] &gt; current_step, "",Iterations[[#This Row],[c]]))</f>
        <v>21.092649858459644</v>
      </c>
      <c r="J754" s="2">
        <f ca="1">IF(Iterations[[#This Row],[Step]] =current_step, current_d,IF(Iterations[[#This Row],[Step]] &gt; current_step, "",Iterations[[#This Row],[d]]))</f>
        <v>1.196346846134152</v>
      </c>
      <c r="K754" s="2">
        <f ca="1">IF(Iterations[[#This Row],[Step]] =current_step, current_e,IF(Iterations[[#This Row],[Step]] &gt; current_step, "",Iterations[[#This Row],[e]]))</f>
        <v>11.358948791565588</v>
      </c>
      <c r="L754" s="2">
        <f ca="1">IF(Iterations[[#This Row],[Step]] =current_step, current_Total_Loss,IF(Iterations[[#This Row],[Step]] &gt; current_step, "",Iterations[[#This Row],[Total Loss]]))</f>
        <v>90.5</v>
      </c>
      <c r="M754" s="6" t="s">
        <v>27</v>
      </c>
      <c r="N754" s="2">
        <f ca="1">IF(Iterations[[#This Row],[Step]] =current_step, current_Grad_a,IF(Iterations[[#This Row],[Step]] &gt; current_step, "",Iterations[[#This Row],[Grad_a]]))</f>
        <v>8.6458400629280743E-3</v>
      </c>
      <c r="O754" s="2">
        <f ca="1">IF(Iterations[[#This Row],[Step]] =current_step, current_Grad_b,IF(Iterations[[#This Row],[Step]] &gt; current_step, "",Iterations[[#This Row],[Grad_b]]))</f>
        <v>1.5072596176076332E-3</v>
      </c>
      <c r="P754" s="2">
        <f ca="1">IF(Iterations[[#This Row],[Step]] =current_step, current_Grad_c,IF(Iterations[[#This Row],[Step]] &gt; current_step, "",Iterations[[#This Row],[Grad_c]]))</f>
        <v>-2.4252673247482801E-2</v>
      </c>
      <c r="Q754" s="2">
        <f ca="1">IF(Iterations[[#This Row],[Step]] =current_step, current_Grad_d,IF(Iterations[[#This Row],[Step]] &gt; current_step, "",Iterations[[#This Row],[Grad_d]]))</f>
        <v>-1.3838785249244115E-3</v>
      </c>
      <c r="R754" s="2">
        <f ca="1">IF(Iterations[[#This Row],[Step]] =current_step, current_Grad_e,IF(Iterations[[#This Row],[Step]] &gt; current_step, "",Iterations[[#This Row],[Grad_e]]))</f>
        <v>8.6492055049053693E-3</v>
      </c>
    </row>
    <row r="755" spans="6:18" x14ac:dyDescent="0.3">
      <c r="F755" s="2">
        <f t="shared" si="13"/>
        <v>738</v>
      </c>
      <c r="G755" s="2">
        <f ca="1">IF(Iterations[[#This Row],[Step]] =current_step, current_a,IF(Iterations[[#This Row],[Step]] &gt; current_step, "",Iterations[[#This Row],[a]]))</f>
        <v>-7.2217244515126851</v>
      </c>
      <c r="H755" s="2">
        <f ca="1">IF(Iterations[[#This Row],[Step]] =current_step, current_b,IF(Iterations[[#This Row],[Step]] &gt; current_step, "",Iterations[[#This Row],[b]]))</f>
        <v>0.35743558672746212</v>
      </c>
      <c r="I755" s="2">
        <f ca="1">IF(Iterations[[#This Row],[Step]] =current_step, current_c,IF(Iterations[[#This Row],[Step]] &gt; current_step, "",Iterations[[#This Row],[c]]))</f>
        <v>21.094347545586967</v>
      </c>
      <c r="J755" s="2">
        <f ca="1">IF(Iterations[[#This Row],[Step]] =current_step, current_d,IF(Iterations[[#This Row],[Step]] &gt; current_step, "",Iterations[[#This Row],[d]]))</f>
        <v>1.1964437176308966</v>
      </c>
      <c r="K755" s="2">
        <f ca="1">IF(Iterations[[#This Row],[Step]] =current_step, current_e,IF(Iterations[[#This Row],[Step]] &gt; current_step, "",Iterations[[#This Row],[e]]))</f>
        <v>11.358343347180245</v>
      </c>
      <c r="L755" s="2">
        <f ca="1">IF(Iterations[[#This Row],[Step]] =current_step, current_Total_Loss,IF(Iterations[[#This Row],[Step]] &gt; current_step, "",Iterations[[#This Row],[Total Loss]]))</f>
        <v>90.49</v>
      </c>
      <c r="M755" s="6" t="s">
        <v>27</v>
      </c>
      <c r="N755" s="2">
        <f ca="1">IF(Iterations[[#This Row],[Step]] =current_step, current_Grad_a,IF(Iterations[[#This Row],[Step]] &gt; current_step, "",Iterations[[#This Row],[Grad_a]]))</f>
        <v>8.5873328645170357E-3</v>
      </c>
      <c r="O755" s="2">
        <f ca="1">IF(Iterations[[#This Row],[Step]] =current_step, current_Grad_b,IF(Iterations[[#This Row],[Step]] &gt; current_step, "",Iterations[[#This Row],[Grad_b]]))</f>
        <v>1.4970670304196422E-3</v>
      </c>
      <c r="P755" s="2">
        <f ca="1">IF(Iterations[[#This Row],[Step]] =current_step, current_Grad_c,IF(Iterations[[#This Row],[Step]] &gt; current_step, "",Iterations[[#This Row],[Grad_c]]))</f>
        <v>-2.4088551741032811E-2</v>
      </c>
      <c r="Q755" s="2">
        <f ca="1">IF(Iterations[[#This Row],[Step]] =current_step, current_Grad_d,IF(Iterations[[#This Row],[Step]] &gt; current_step, "",Iterations[[#This Row],[Grad_d]]))</f>
        <v>-1.3745289121172258E-3</v>
      </c>
      <c r="R755" s="2">
        <f ca="1">IF(Iterations[[#This Row],[Step]] =current_step, current_Grad_e,IF(Iterations[[#This Row],[Step]] &gt; current_step, "",Iterations[[#This Row],[Grad_e]]))</f>
        <v>8.5906748081083298E-3</v>
      </c>
    </row>
    <row r="756" spans="6:18" x14ac:dyDescent="0.3">
      <c r="F756" s="2">
        <f t="shared" si="13"/>
        <v>739</v>
      </c>
      <c r="G756" s="2">
        <f ca="1">IF(Iterations[[#This Row],[Step]] =current_step, current_a,IF(Iterations[[#This Row],[Step]] &gt; current_step, "",Iterations[[#This Row],[a]]))</f>
        <v>-7.2223255648132012</v>
      </c>
      <c r="H756" s="2">
        <f ca="1">IF(Iterations[[#This Row],[Step]] =current_step, current_b,IF(Iterations[[#This Row],[Step]] &gt; current_step, "",Iterations[[#This Row],[b]]))</f>
        <v>0.35733079203533274</v>
      </c>
      <c r="I756" s="2">
        <f ca="1">IF(Iterations[[#This Row],[Step]] =current_step, current_c,IF(Iterations[[#This Row],[Step]] &gt; current_step, "",Iterations[[#This Row],[c]]))</f>
        <v>21.096033744208839</v>
      </c>
      <c r="J756" s="2">
        <f ca="1">IF(Iterations[[#This Row],[Step]] =current_step, current_d,IF(Iterations[[#This Row],[Step]] &gt; current_step, "",Iterations[[#This Row],[d]]))</f>
        <v>1.1965399346547447</v>
      </c>
      <c r="K756" s="2">
        <f ca="1">IF(Iterations[[#This Row],[Step]] =current_step, current_e,IF(Iterations[[#This Row],[Step]] &gt; current_step, "",Iterations[[#This Row],[e]]))</f>
        <v>11.357741999943677</v>
      </c>
      <c r="L756" s="2">
        <f ca="1">IF(Iterations[[#This Row],[Step]] =current_step, current_Total_Loss,IF(Iterations[[#This Row],[Step]] &gt; current_step, "",Iterations[[#This Row],[Total Loss]]))</f>
        <v>90.49</v>
      </c>
      <c r="M756" s="6" t="s">
        <v>27</v>
      </c>
      <c r="N756" s="2">
        <f ca="1">IF(Iterations[[#This Row],[Step]] =current_step, current_Grad_a,IF(Iterations[[#This Row],[Step]] &gt; current_step, "",Iterations[[#This Row],[Grad_a]]))</f>
        <v>8.5292215885608667E-3</v>
      </c>
      <c r="O756" s="2">
        <f ca="1">IF(Iterations[[#This Row],[Step]] =current_step, current_Grad_b,IF(Iterations[[#This Row],[Step]] &gt; current_step, "",Iterations[[#This Row],[Grad_b]]))</f>
        <v>1.486943289297413E-3</v>
      </c>
      <c r="P756" s="2">
        <f ca="1">IF(Iterations[[#This Row],[Step]] =current_step, current_Grad_c,IF(Iterations[[#This Row],[Step]] &gt; current_step, "",Iterations[[#This Row],[Grad_c]]))</f>
        <v>-2.392554088216587E-2</v>
      </c>
      <c r="Q756" s="2">
        <f ca="1">IF(Iterations[[#This Row],[Step]] =current_step, current_Grad_d,IF(Iterations[[#This Row],[Step]] &gt; current_step, "",Iterations[[#This Row],[Grad_d]]))</f>
        <v>-1.365242297562667E-3</v>
      </c>
      <c r="R756" s="2">
        <f ca="1">IF(Iterations[[#This Row],[Step]] =current_step, current_Grad_e,IF(Iterations[[#This Row],[Step]] &gt; current_step, "",Iterations[[#This Row],[Grad_e]]))</f>
        <v>8.5325402056948517E-3</v>
      </c>
    </row>
    <row r="757" spans="6:18" x14ac:dyDescent="0.3">
      <c r="F757" s="2">
        <f t="shared" si="13"/>
        <v>740</v>
      </c>
      <c r="G757" s="2">
        <f ca="1">IF(Iterations[[#This Row],[Step]] =current_step, current_a,IF(Iterations[[#This Row],[Step]] &gt; current_step, "",Iterations[[#This Row],[a]]))</f>
        <v>-7.2229226103244004</v>
      </c>
      <c r="H757" s="2">
        <f ca="1">IF(Iterations[[#This Row],[Step]] =current_step, current_b,IF(Iterations[[#This Row],[Step]] &gt; current_step, "",Iterations[[#This Row],[b]]))</f>
        <v>0.35722670600508194</v>
      </c>
      <c r="I757" s="2">
        <f ca="1">IF(Iterations[[#This Row],[Step]] =current_step, current_c,IF(Iterations[[#This Row],[Step]] &gt; current_step, "",Iterations[[#This Row],[c]]))</f>
        <v>21.097708532070591</v>
      </c>
      <c r="J757" s="2">
        <f ca="1">IF(Iterations[[#This Row],[Step]] =current_step, current_d,IF(Iterations[[#This Row],[Step]] &gt; current_step, "",Iterations[[#This Row],[d]]))</f>
        <v>1.1966355016155741</v>
      </c>
      <c r="K757" s="2">
        <f ca="1">IF(Iterations[[#This Row],[Step]] =current_step, current_e,IF(Iterations[[#This Row],[Step]] &gt; current_step, "",Iterations[[#This Row],[e]]))</f>
        <v>11.357144722129279</v>
      </c>
      <c r="L757" s="2">
        <f ca="1">IF(Iterations[[#This Row],[Step]] =current_step, current_Total_Loss,IF(Iterations[[#This Row],[Step]] &gt; current_step, "",Iterations[[#This Row],[Total Loss]]))</f>
        <v>90.49</v>
      </c>
      <c r="M757" s="6" t="s">
        <v>27</v>
      </c>
      <c r="N757" s="2">
        <f ca="1">IF(Iterations[[#This Row],[Step]] =current_step, current_Grad_a,IF(Iterations[[#This Row],[Step]] &gt; current_step, "",Iterations[[#This Row],[Grad_a]]))</f>
        <v>8.4715035558442023E-3</v>
      </c>
      <c r="O757" s="2">
        <f ca="1">IF(Iterations[[#This Row],[Step]] =current_step, current_Grad_b,IF(Iterations[[#This Row],[Step]] &gt; current_step, "",Iterations[[#This Row],[Grad_b]]))</f>
        <v>1.4768879306239244E-3</v>
      </c>
      <c r="P757" s="2">
        <f ca="1">IF(Iterations[[#This Row],[Step]] =current_step, current_Grad_c,IF(Iterations[[#This Row],[Step]] &gt; current_step, "",Iterations[[#This Row],[Grad_c]]))</f>
        <v>-2.376363315465424E-2</v>
      </c>
      <c r="Q757" s="2">
        <f ca="1">IF(Iterations[[#This Row],[Step]] =current_step, current_Grad_d,IF(Iterations[[#This Row],[Step]] &gt; current_step, "",Iterations[[#This Row],[Grad_d]]))</f>
        <v>-1.3560182597907404E-3</v>
      </c>
      <c r="R757" s="2">
        <f ca="1">IF(Iterations[[#This Row],[Step]] =current_step, current_Grad_e,IF(Iterations[[#This Row],[Step]] &gt; current_step, "",Iterations[[#This Row],[Grad_e]]))</f>
        <v>8.4747990170562157E-3</v>
      </c>
    </row>
    <row r="758" spans="6:18" x14ac:dyDescent="0.3">
      <c r="F758" s="2">
        <f t="shared" si="13"/>
        <v>741</v>
      </c>
      <c r="G758" s="2">
        <f ca="1">IF(Iterations[[#This Row],[Step]] =current_step, current_a,IF(Iterations[[#This Row],[Step]] &gt; current_step, "",Iterations[[#This Row],[a]]))</f>
        <v>-7.2235156155733096</v>
      </c>
      <c r="H758" s="2">
        <f ca="1">IF(Iterations[[#This Row],[Step]] =current_step, current_b,IF(Iterations[[#This Row],[Step]] &gt; current_step, "",Iterations[[#This Row],[b]]))</f>
        <v>0.35712332384993828</v>
      </c>
      <c r="I758" s="2">
        <f ca="1">IF(Iterations[[#This Row],[Step]] =current_step, current_c,IF(Iterations[[#This Row],[Step]] &gt; current_step, "",Iterations[[#This Row],[c]]))</f>
        <v>21.099371986391418</v>
      </c>
      <c r="J758" s="2">
        <f ca="1">IF(Iterations[[#This Row],[Step]] =current_step, current_d,IF(Iterations[[#This Row],[Step]] &gt; current_step, "",Iterations[[#This Row],[d]]))</f>
        <v>1.1967304228937594</v>
      </c>
      <c r="K758" s="2">
        <f ca="1">IF(Iterations[[#This Row],[Step]] =current_step, current_e,IF(Iterations[[#This Row],[Step]] &gt; current_step, "",Iterations[[#This Row],[e]]))</f>
        <v>11.356551486198086</v>
      </c>
      <c r="L758" s="2">
        <f ca="1">IF(Iterations[[#This Row],[Step]] =current_step, current_Total_Loss,IF(Iterations[[#This Row],[Step]] &gt; current_step, "",Iterations[[#This Row],[Total Loss]]))</f>
        <v>90.49</v>
      </c>
      <c r="M758" s="6" t="s">
        <v>27</v>
      </c>
      <c r="N758" s="2">
        <f ca="1">IF(Iterations[[#This Row],[Step]] =current_step, current_Grad_a,IF(Iterations[[#This Row],[Step]] &gt; current_step, "",Iterations[[#This Row],[Grad_a]]))</f>
        <v>8.4141761053104294E-3</v>
      </c>
      <c r="O758" s="2">
        <f ca="1">IF(Iterations[[#This Row],[Step]] =current_step, current_Grad_b,IF(Iterations[[#This Row],[Step]] &gt; current_step, "",Iterations[[#This Row],[Grad_b]]))</f>
        <v>1.4669004939222112E-3</v>
      </c>
      <c r="P758" s="2">
        <f ca="1">IF(Iterations[[#This Row],[Step]] =current_step, current_Grad_c,IF(Iterations[[#This Row],[Step]] &gt; current_step, "",Iterations[[#This Row],[Grad_c]]))</f>
        <v>-2.3602821093125947E-2</v>
      </c>
      <c r="Q758" s="2">
        <f ca="1">IF(Iterations[[#This Row],[Step]] =current_step, current_Grad_d,IF(Iterations[[#This Row],[Step]] &gt; current_step, "",Iterations[[#This Row],[Grad_d]]))</f>
        <v>-1.346856380076194E-3</v>
      </c>
      <c r="R758" s="2">
        <f ca="1">IF(Iterations[[#This Row],[Step]] =current_step, current_Grad_e,IF(Iterations[[#This Row],[Step]] &gt; current_step, "",Iterations[[#This Row],[Grad_e]]))</f>
        <v>8.4174485797336249E-3</v>
      </c>
    </row>
    <row r="759" spans="6:18" x14ac:dyDescent="0.3">
      <c r="F759" s="2">
        <f t="shared" ref="F759:F817" si="14">F758+1</f>
        <v>742</v>
      </c>
      <c r="G759" s="2">
        <f ca="1">IF(Iterations[[#This Row],[Step]] =current_step, current_a,IF(Iterations[[#This Row],[Step]] &gt; current_step, "",Iterations[[#This Row],[a]]))</f>
        <v>-7.2241046079006814</v>
      </c>
      <c r="H759" s="2">
        <f ca="1">IF(Iterations[[#This Row],[Step]] =current_step, current_b,IF(Iterations[[#This Row],[Step]] &gt; current_step, "",Iterations[[#This Row],[b]]))</f>
        <v>0.35702064081536372</v>
      </c>
      <c r="I759" s="2">
        <f ca="1">IF(Iterations[[#This Row],[Step]] =current_step, current_c,IF(Iterations[[#This Row],[Step]] &gt; current_step, "",Iterations[[#This Row],[c]]))</f>
        <v>21.101024183867938</v>
      </c>
      <c r="J759" s="2">
        <f ca="1">IF(Iterations[[#This Row],[Step]] =current_step, current_d,IF(Iterations[[#This Row],[Step]] &gt; current_step, "",Iterations[[#This Row],[d]]))</f>
        <v>1.1968247028403647</v>
      </c>
      <c r="K759" s="2">
        <f ca="1">IF(Iterations[[#This Row],[Step]] =current_step, current_e,IF(Iterations[[#This Row],[Step]] &gt; current_step, "",Iterations[[#This Row],[e]]))</f>
        <v>11.355962264797505</v>
      </c>
      <c r="L759" s="2">
        <f ca="1">IF(Iterations[[#This Row],[Step]] =current_step, current_Total_Loss,IF(Iterations[[#This Row],[Step]] &gt; current_step, "",Iterations[[#This Row],[Total Loss]]))</f>
        <v>90.49</v>
      </c>
      <c r="M759" s="6" t="s">
        <v>27</v>
      </c>
      <c r="N759" s="2">
        <f ca="1">IF(Iterations[[#This Row],[Step]] =current_step, current_Grad_a,IF(Iterations[[#This Row],[Step]] &gt; current_step, "",Iterations[[#This Row],[Grad_a]]))</f>
        <v>8.3572365938498674E-3</v>
      </c>
      <c r="O759" s="2">
        <f ca="1">IF(Iterations[[#This Row],[Step]] =current_step, current_Grad_b,IF(Iterations[[#This Row],[Step]] &gt; current_step, "",Iterations[[#This Row],[Grad_b]]))</f>
        <v>1.4569805217100483E-3</v>
      </c>
      <c r="P759" s="2">
        <f ca="1">IF(Iterations[[#This Row],[Step]] =current_step, current_Grad_c,IF(Iterations[[#This Row],[Step]] &gt; current_step, "",Iterations[[#This Row],[Grad_c]]))</f>
        <v>-2.3443097282764266E-2</v>
      </c>
      <c r="Q759" s="2">
        <f ca="1">IF(Iterations[[#This Row],[Step]] =current_step, current_Grad_d,IF(Iterations[[#This Row],[Step]] &gt; current_step, "",Iterations[[#This Row],[Grad_d]]))</f>
        <v>-1.3377562424819775E-3</v>
      </c>
      <c r="R759" s="2">
        <f ca="1">IF(Iterations[[#This Row],[Step]] =current_step, current_Grad_e,IF(Iterations[[#This Row],[Step]] &gt; current_step, "",Iterations[[#This Row],[Grad_e]]))</f>
        <v>8.3604862492714614E-3</v>
      </c>
    </row>
    <row r="760" spans="6:18" x14ac:dyDescent="0.3">
      <c r="F760" s="2">
        <f t="shared" si="14"/>
        <v>743</v>
      </c>
      <c r="G760" s="2">
        <f ca="1">IF(Iterations[[#This Row],[Step]] =current_step, current_a,IF(Iterations[[#This Row],[Step]] &gt; current_step, "",Iterations[[#This Row],[a]]))</f>
        <v>-7.2246896144622506</v>
      </c>
      <c r="H760" s="2">
        <f ca="1">IF(Iterations[[#This Row],[Step]] =current_step, current_b,IF(Iterations[[#This Row],[Step]] &gt; current_step, "",Iterations[[#This Row],[b]]))</f>
        <v>0.356918652178844</v>
      </c>
      <c r="I760" s="2">
        <f ca="1">IF(Iterations[[#This Row],[Step]] =current_step, current_c,IF(Iterations[[#This Row],[Step]] &gt; current_step, "",Iterations[[#This Row],[c]]))</f>
        <v>21.10266520067773</v>
      </c>
      <c r="J760" s="2">
        <f ca="1">IF(Iterations[[#This Row],[Step]] =current_step, current_d,IF(Iterations[[#This Row],[Step]] &gt; current_step, "",Iterations[[#This Row],[d]]))</f>
        <v>1.1969183457773385</v>
      </c>
      <c r="K760" s="2">
        <f ca="1">IF(Iterations[[#This Row],[Step]] =current_step, current_e,IF(Iterations[[#This Row],[Step]] &gt; current_step, "",Iterations[[#This Row],[e]]))</f>
        <v>11.355377030760057</v>
      </c>
      <c r="L760" s="2">
        <f ca="1">IF(Iterations[[#This Row],[Step]] =current_step, current_Total_Loss,IF(Iterations[[#This Row],[Step]] &gt; current_step, "",Iterations[[#This Row],[Total Loss]]))</f>
        <v>90.49</v>
      </c>
      <c r="M760" s="6" t="s">
        <v>27</v>
      </c>
      <c r="N760" s="2">
        <f ca="1">IF(Iterations[[#This Row],[Step]] =current_step, current_Grad_a,IF(Iterations[[#This Row],[Step]] &gt; current_step, "",Iterations[[#This Row],[Grad_a]]))</f>
        <v>8.3006823962569823E-3</v>
      </c>
      <c r="O760" s="2">
        <f ca="1">IF(Iterations[[#This Row],[Step]] =current_step, current_Grad_b,IF(Iterations[[#This Row],[Step]] &gt; current_step, "",Iterations[[#This Row],[Grad_b]]))</f>
        <v>1.4471275596705554E-3</v>
      </c>
      <c r="P760" s="2">
        <f ca="1">IF(Iterations[[#This Row],[Step]] =current_step, current_Grad_c,IF(Iterations[[#This Row],[Step]] &gt; current_step, "",Iterations[[#This Row],[Grad_c]]))</f>
        <v>-2.3284454358921125E-2</v>
      </c>
      <c r="Q760" s="2">
        <f ca="1">IF(Iterations[[#This Row],[Step]] =current_step, current_Grad_d,IF(Iterations[[#This Row],[Step]] &gt; current_step, "",Iterations[[#This Row],[Grad_d]]))</f>
        <v>-1.3287174337532287E-3</v>
      </c>
      <c r="R760" s="2">
        <f ca="1">IF(Iterations[[#This Row],[Step]] =current_step, current_Grad_e,IF(Iterations[[#This Row],[Step]] &gt; current_step, "",Iterations[[#This Row],[Grad_e]]))</f>
        <v>8.3039093991242249E-3</v>
      </c>
    </row>
    <row r="761" spans="6:18" x14ac:dyDescent="0.3">
      <c r="F761" s="2">
        <f t="shared" si="14"/>
        <v>744</v>
      </c>
      <c r="G761" s="2">
        <f ca="1">IF(Iterations[[#This Row],[Step]] =current_step, current_a,IF(Iterations[[#This Row],[Step]] &gt; current_step, "",Iterations[[#This Row],[a]]))</f>
        <v>-7.2252706622299883</v>
      </c>
      <c r="H761" s="2">
        <f ca="1">IF(Iterations[[#This Row],[Step]] =current_step, current_b,IF(Iterations[[#This Row],[Step]] &gt; current_step, "",Iterations[[#This Row],[b]]))</f>
        <v>0.35681735324966707</v>
      </c>
      <c r="I761" s="2">
        <f ca="1">IF(Iterations[[#This Row],[Step]] =current_step, current_c,IF(Iterations[[#This Row],[Step]] &gt; current_step, "",Iterations[[#This Row],[c]]))</f>
        <v>21.104295112482856</v>
      </c>
      <c r="J761" s="2">
        <f ca="1">IF(Iterations[[#This Row],[Step]] =current_step, current_d,IF(Iterations[[#This Row],[Step]] &gt; current_step, "",Iterations[[#This Row],[d]]))</f>
        <v>1.1970113559977011</v>
      </c>
      <c r="K761" s="2">
        <f ca="1">IF(Iterations[[#This Row],[Step]] =current_step, current_e,IF(Iterations[[#This Row],[Step]] &gt; current_step, "",Iterations[[#This Row],[e]]))</f>
        <v>11.354795757102117</v>
      </c>
      <c r="L761" s="2">
        <f ca="1">IF(Iterations[[#This Row],[Step]] =current_step, current_Total_Loss,IF(Iterations[[#This Row],[Step]] &gt; current_step, "",Iterations[[#This Row],[Total Loss]]))</f>
        <v>90.49</v>
      </c>
      <c r="M761" s="6" t="s">
        <v>27</v>
      </c>
      <c r="N761" s="2">
        <f ca="1">IF(Iterations[[#This Row],[Step]] =current_step, current_Grad_a,IF(Iterations[[#This Row],[Step]] &gt; current_step, "",Iterations[[#This Row],[Grad_a]]))</f>
        <v>8.2445109051855325E-3</v>
      </c>
      <c r="O761" s="2">
        <f ca="1">IF(Iterations[[#This Row],[Step]] =current_step, current_Grad_b,IF(Iterations[[#This Row],[Step]] &gt; current_step, "",Iterations[[#This Row],[Grad_b]]))</f>
        <v>1.437341156435284E-3</v>
      </c>
      <c r="P761" s="2">
        <f ca="1">IF(Iterations[[#This Row],[Step]] =current_step, current_Grad_c,IF(Iterations[[#This Row],[Step]] &gt; current_step, "",Iterations[[#This Row],[Grad_c]]))</f>
        <v>-2.3126885006755377E-2</v>
      </c>
      <c r="Q761" s="2">
        <f ca="1">IF(Iterations[[#This Row],[Step]] =current_step, current_Grad_d,IF(Iterations[[#This Row],[Step]] &gt; current_step, "",Iterations[[#This Row],[Grad_d]]))</f>
        <v>-1.3197395433849346E-3</v>
      </c>
      <c r="R761" s="2">
        <f ca="1">IF(Iterations[[#This Row],[Step]] =current_step, current_Grad_e,IF(Iterations[[#This Row],[Step]] &gt; current_step, "",Iterations[[#This Row],[Grad_e]]))</f>
        <v>8.2477154205382111E-3</v>
      </c>
    </row>
    <row r="762" spans="6:18" x14ac:dyDescent="0.3">
      <c r="F762" s="2">
        <f t="shared" si="14"/>
        <v>745</v>
      </c>
      <c r="G762" s="2">
        <f ca="1">IF(Iterations[[#This Row],[Step]] =current_step, current_a,IF(Iterations[[#This Row],[Step]] &gt; current_step, "",Iterations[[#This Row],[a]]))</f>
        <v>-7.2258477779933514</v>
      </c>
      <c r="H762" s="2">
        <f ca="1">IF(Iterations[[#This Row],[Step]] =current_step, current_b,IF(Iterations[[#This Row],[Step]] &gt; current_step, "",Iterations[[#This Row],[b]]))</f>
        <v>0.35671673936871662</v>
      </c>
      <c r="I762" s="2">
        <f ca="1">IF(Iterations[[#This Row],[Step]] =current_step, current_c,IF(Iterations[[#This Row],[Step]] &gt; current_step, "",Iterations[[#This Row],[c]]))</f>
        <v>21.10591399443333</v>
      </c>
      <c r="J762" s="2">
        <f ca="1">IF(Iterations[[#This Row],[Step]] =current_step, current_d,IF(Iterations[[#This Row],[Step]] &gt; current_step, "",Iterations[[#This Row],[d]]))</f>
        <v>1.1971037377657381</v>
      </c>
      <c r="K762" s="2">
        <f ca="1">IF(Iterations[[#This Row],[Step]] =current_step, current_e,IF(Iterations[[#This Row],[Step]] &gt; current_step, "",Iterations[[#This Row],[e]]))</f>
        <v>11.354218417022679</v>
      </c>
      <c r="L762" s="2">
        <f ca="1">IF(Iterations[[#This Row],[Step]] =current_step, current_Total_Loss,IF(Iterations[[#This Row],[Step]] &gt; current_step, "",Iterations[[#This Row],[Total Loss]]))</f>
        <v>90.49</v>
      </c>
      <c r="M762" s="6" t="s">
        <v>27</v>
      </c>
      <c r="N762" s="2">
        <f ca="1">IF(Iterations[[#This Row],[Step]] =current_step, current_Grad_a,IF(Iterations[[#This Row],[Step]] &gt; current_step, "",Iterations[[#This Row],[Grad_a]]))</f>
        <v>8.188719530745292E-3</v>
      </c>
      <c r="O762" s="2">
        <f ca="1">IF(Iterations[[#This Row],[Step]] =current_step, current_Grad_b,IF(Iterations[[#This Row],[Step]] &gt; current_step, "",Iterations[[#This Row],[Grad_b]]))</f>
        <v>1.4276208636694815E-3</v>
      </c>
      <c r="P762" s="2">
        <f ca="1">IF(Iterations[[#This Row],[Step]] =current_step, current_Grad_c,IF(Iterations[[#This Row],[Step]] &gt; current_step, "",Iterations[[#This Row],[Grad_c]]))</f>
        <v>-2.2970381961011841E-2</v>
      </c>
      <c r="Q762" s="2">
        <f ca="1">IF(Iterations[[#This Row],[Step]] =current_step, current_Grad_d,IF(Iterations[[#This Row],[Step]] &gt; current_step, "",Iterations[[#This Row],[Grad_d]]))</f>
        <v>-1.3108221635689378E-3</v>
      </c>
      <c r="R762" s="2">
        <f ca="1">IF(Iterations[[#This Row],[Step]] =current_step, current_Grad_e,IF(Iterations[[#This Row],[Step]] &gt; current_step, "",Iterations[[#This Row],[Grad_e]]))</f>
        <v>8.1919017223799837E-3</v>
      </c>
    </row>
    <row r="763" spans="6:18" x14ac:dyDescent="0.3">
      <c r="F763" s="2">
        <f t="shared" si="14"/>
        <v>746</v>
      </c>
      <c r="G763" s="2">
        <f ca="1">IF(Iterations[[#This Row],[Step]] =current_step, current_a,IF(Iterations[[#This Row],[Step]] &gt; current_step, "",Iterations[[#This Row],[a]]))</f>
        <v>-7.2264209883605037</v>
      </c>
      <c r="H763" s="2">
        <f ca="1">IF(Iterations[[#This Row],[Step]] =current_step, current_b,IF(Iterations[[#This Row],[Step]] &gt; current_step, "",Iterations[[#This Row],[b]]))</f>
        <v>0.35661680590825973</v>
      </c>
      <c r="I763" s="2">
        <f ca="1">IF(Iterations[[#This Row],[Step]] =current_step, current_c,IF(Iterations[[#This Row],[Step]] &gt; current_step, "",Iterations[[#This Row],[c]]))</f>
        <v>21.107521921170601</v>
      </c>
      <c r="J763" s="2">
        <f ca="1">IF(Iterations[[#This Row],[Step]] =current_step, current_d,IF(Iterations[[#This Row],[Step]] &gt; current_step, "",Iterations[[#This Row],[d]]))</f>
        <v>1.1971954953171879</v>
      </c>
      <c r="K763" s="2">
        <f ca="1">IF(Iterations[[#This Row],[Step]] =current_step, current_e,IF(Iterations[[#This Row],[Step]] &gt; current_step, "",Iterations[[#This Row],[e]]))</f>
        <v>11.353644983902113</v>
      </c>
      <c r="L763" s="2">
        <f ca="1">IF(Iterations[[#This Row],[Step]] =current_step, current_Total_Loss,IF(Iterations[[#This Row],[Step]] &gt; current_step, "",Iterations[[#This Row],[Total Loss]]))</f>
        <v>90.49</v>
      </c>
      <c r="M763" s="6" t="s">
        <v>27</v>
      </c>
      <c r="N763" s="2">
        <f ca="1">IF(Iterations[[#This Row],[Step]] =current_step, current_Grad_a,IF(Iterations[[#This Row],[Step]] &gt; current_step, "",Iterations[[#This Row],[Grad_a]]))</f>
        <v>8.1333057007368682E-3</v>
      </c>
      <c r="O763" s="2">
        <f ca="1">IF(Iterations[[#This Row],[Step]] =current_step, current_Grad_b,IF(Iterations[[#This Row],[Step]] &gt; current_step, "",Iterations[[#This Row],[Grad_b]]))</f>
        <v>1.4179662360848727E-3</v>
      </c>
      <c r="P763" s="2">
        <f ca="1">IF(Iterations[[#This Row],[Step]] =current_step, current_Grad_c,IF(Iterations[[#This Row],[Step]] &gt; current_step, "",Iterations[[#This Row],[Grad_c]]))</f>
        <v>-2.2814938005532741E-2</v>
      </c>
      <c r="Q763" s="2">
        <f ca="1">IF(Iterations[[#This Row],[Step]] =current_step, current_Grad_d,IF(Iterations[[#This Row],[Step]] &gt; current_step, "",Iterations[[#This Row],[Grad_d]]))</f>
        <v>-1.3019648891493664E-3</v>
      </c>
      <c r="R763" s="2">
        <f ca="1">IF(Iterations[[#This Row],[Step]] =current_step, current_Grad_e,IF(Iterations[[#This Row],[Step]] &gt; current_step, "",Iterations[[#This Row],[Grad_e]]))</f>
        <v>8.1364657310919828E-3</v>
      </c>
    </row>
    <row r="764" spans="6:18" x14ac:dyDescent="0.3">
      <c r="F764" s="2">
        <f t="shared" si="14"/>
        <v>747</v>
      </c>
      <c r="G764" s="2">
        <f ca="1">IF(Iterations[[#This Row],[Step]] =current_step, current_a,IF(Iterations[[#This Row],[Step]] &gt; current_step, "",Iterations[[#This Row],[a]]))</f>
        <v>-7.2269903197595555</v>
      </c>
      <c r="H764" s="2">
        <f ca="1">IF(Iterations[[#This Row],[Step]] =current_step, current_b,IF(Iterations[[#This Row],[Step]] &gt; current_step, "",Iterations[[#This Row],[b]]))</f>
        <v>0.35651754827173376</v>
      </c>
      <c r="I764" s="2">
        <f ca="1">IF(Iterations[[#This Row],[Step]] =current_step, current_c,IF(Iterations[[#This Row],[Step]] &gt; current_step, "",Iterations[[#This Row],[c]]))</f>
        <v>21.109118966830987</v>
      </c>
      <c r="J764" s="2">
        <f ca="1">IF(Iterations[[#This Row],[Step]] =current_step, current_d,IF(Iterations[[#This Row],[Step]] &gt; current_step, "",Iterations[[#This Row],[d]]))</f>
        <v>1.1972866328594285</v>
      </c>
      <c r="K764" s="2">
        <f ca="1">IF(Iterations[[#This Row],[Step]] =current_step, current_e,IF(Iterations[[#This Row],[Step]] &gt; current_step, "",Iterations[[#This Row],[e]]))</f>
        <v>11.353075431300937</v>
      </c>
      <c r="L764" s="2">
        <f ca="1">IF(Iterations[[#This Row],[Step]] =current_step, current_Total_Loss,IF(Iterations[[#This Row],[Step]] &gt; current_step, "",Iterations[[#This Row],[Total Loss]]))</f>
        <v>90.49</v>
      </c>
      <c r="M764" s="6" t="s">
        <v>27</v>
      </c>
      <c r="N764" s="2">
        <f ca="1">IF(Iterations[[#This Row],[Step]] =current_step, current_Grad_a,IF(Iterations[[#This Row],[Step]] &gt; current_step, "",Iterations[[#This Row],[Grad_a]]))</f>
        <v>8.0782668602853314E-3</v>
      </c>
      <c r="O764" s="2">
        <f ca="1">IF(Iterations[[#This Row],[Step]] =current_step, current_Grad_b,IF(Iterations[[#This Row],[Step]] &gt; current_step, "",Iterations[[#This Row],[Grad_b]]))</f>
        <v>1.4083768313082334E-3</v>
      </c>
      <c r="P764" s="2">
        <f ca="1">IF(Iterations[[#This Row],[Step]] =current_step, current_Grad_c,IF(Iterations[[#This Row],[Step]] &gt; current_step, "",Iterations[[#This Row],[Grad_c]]))</f>
        <v>-2.2660545973037349E-2</v>
      </c>
      <c r="Q764" s="2">
        <f ca="1">IF(Iterations[[#This Row],[Step]] =current_step, current_Grad_d,IF(Iterations[[#This Row],[Step]] &gt; current_step, "",Iterations[[#This Row],[Grad_d]]))</f>
        <v>-1.2931673176666239E-3</v>
      </c>
      <c r="R764" s="2">
        <f ca="1">IF(Iterations[[#This Row],[Step]] =current_step, current_Grad_e,IF(Iterations[[#This Row],[Step]] &gt; current_step, "",Iterations[[#This Row],[Grad_e]]))</f>
        <v>8.0814048905101365E-3</v>
      </c>
    </row>
    <row r="765" spans="6:18" x14ac:dyDescent="0.3">
      <c r="F765" s="2">
        <f t="shared" si="14"/>
        <v>748</v>
      </c>
      <c r="G765" s="2">
        <f ca="1">IF(Iterations[[#This Row],[Step]] =current_step, current_a,IF(Iterations[[#This Row],[Step]] &gt; current_step, "",Iterations[[#This Row],[a]]))</f>
        <v>-7.2275557984397754</v>
      </c>
      <c r="H765" s="2">
        <f ca="1">IF(Iterations[[#This Row],[Step]] =current_step, current_b,IF(Iterations[[#This Row],[Step]] &gt; current_step, "",Iterations[[#This Row],[b]]))</f>
        <v>0.35641896189354216</v>
      </c>
      <c r="I765" s="2">
        <f ca="1">IF(Iterations[[#This Row],[Step]] =current_step, current_c,IF(Iterations[[#This Row],[Step]] &gt; current_step, "",Iterations[[#This Row],[c]]))</f>
        <v>21.110705205049101</v>
      </c>
      <c r="J765" s="2">
        <f ca="1">IF(Iterations[[#This Row],[Step]] =current_step, current_d,IF(Iterations[[#This Row],[Step]] &gt; current_step, "",Iterations[[#This Row],[d]]))</f>
        <v>1.1973771545716652</v>
      </c>
      <c r="K765" s="2">
        <f ca="1">IF(Iterations[[#This Row],[Step]] =current_step, current_e,IF(Iterations[[#This Row],[Step]] &gt; current_step, "",Iterations[[#This Row],[e]]))</f>
        <v>11.352509732958602</v>
      </c>
      <c r="L765" s="2">
        <f ca="1">IF(Iterations[[#This Row],[Step]] =current_step, current_Total_Loss,IF(Iterations[[#This Row],[Step]] &gt; current_step, "",Iterations[[#This Row],[Total Loss]]))</f>
        <v>90.49</v>
      </c>
      <c r="M765" s="6" t="s">
        <v>27</v>
      </c>
      <c r="N765" s="2">
        <f ca="1">IF(Iterations[[#This Row],[Step]] =current_step, current_Grad_a,IF(Iterations[[#This Row],[Step]] &gt; current_step, "",Iterations[[#This Row],[Grad_a]]))</f>
        <v>8.0236004718947408E-3</v>
      </c>
      <c r="O765" s="2">
        <f ca="1">IF(Iterations[[#This Row],[Step]] =current_step, current_Grad_b,IF(Iterations[[#This Row],[Step]] &gt; current_step, "",Iterations[[#This Row],[Grad_b]]))</f>
        <v>1.3988522099488174E-3</v>
      </c>
      <c r="P765" s="2">
        <f ca="1">IF(Iterations[[#This Row],[Step]] =current_step, current_Grad_c,IF(Iterations[[#This Row],[Step]] &gt; current_step, "",Iterations[[#This Row],[Grad_c]]))</f>
        <v>-2.2507198744710435E-2</v>
      </c>
      <c r="Q765" s="2">
        <f ca="1">IF(Iterations[[#This Row],[Step]] =current_step, current_Grad_d,IF(Iterations[[#This Row],[Step]] &gt; current_step, "",Iterations[[#This Row],[Grad_d]]))</f>
        <v>-1.2844290492948465E-3</v>
      </c>
      <c r="R765" s="2">
        <f ca="1">IF(Iterations[[#This Row],[Step]] =current_step, current_Grad_e,IF(Iterations[[#This Row],[Step]] &gt; current_step, "",Iterations[[#This Row],[Grad_e]]))</f>
        <v>8.0267166617963657E-3</v>
      </c>
    </row>
    <row r="766" spans="6:18" x14ac:dyDescent="0.3">
      <c r="F766" s="2">
        <f t="shared" si="14"/>
        <v>749</v>
      </c>
      <c r="G766" s="2">
        <f ca="1">IF(Iterations[[#This Row],[Step]] =current_step, current_a,IF(Iterations[[#This Row],[Step]] &gt; current_step, "",Iterations[[#This Row],[a]]))</f>
        <v>-7.2281174504728076</v>
      </c>
      <c r="H766" s="2">
        <f ca="1">IF(Iterations[[#This Row],[Step]] =current_step, current_b,IF(Iterations[[#This Row],[Step]] &gt; current_step, "",Iterations[[#This Row],[b]]))</f>
        <v>0.35632104223884575</v>
      </c>
      <c r="I766" s="2">
        <f ca="1">IF(Iterations[[#This Row],[Step]] =current_step, current_c,IF(Iterations[[#This Row],[Step]] &gt; current_step, "",Iterations[[#This Row],[c]]))</f>
        <v>21.112280708961229</v>
      </c>
      <c r="J766" s="2">
        <f ca="1">IF(Iterations[[#This Row],[Step]] =current_step, current_d,IF(Iterations[[#This Row],[Step]] &gt; current_step, "",Iterations[[#This Row],[d]]))</f>
        <v>1.1974670646051158</v>
      </c>
      <c r="K766" s="2">
        <f ca="1">IF(Iterations[[#This Row],[Step]] =current_step, current_e,IF(Iterations[[#This Row],[Step]] &gt; current_step, "",Iterations[[#This Row],[e]]))</f>
        <v>11.351947862792276</v>
      </c>
      <c r="L766" s="2">
        <f ca="1">IF(Iterations[[#This Row],[Step]] =current_step, current_Total_Loss,IF(Iterations[[#This Row],[Step]] &gt; current_step, "",Iterations[[#This Row],[Total Loss]]))</f>
        <v>90.49</v>
      </c>
      <c r="M766" s="6" t="s">
        <v>27</v>
      </c>
      <c r="N766" s="2">
        <f ca="1">IF(Iterations[[#This Row],[Step]] =current_step, current_Grad_a,IF(Iterations[[#This Row],[Step]] &gt; current_step, "",Iterations[[#This Row],[Grad_a]]))</f>
        <v>7.9693040150130325E-3</v>
      </c>
      <c r="O766" s="2">
        <f ca="1">IF(Iterations[[#This Row],[Step]] =current_step, current_Grad_b,IF(Iterations[[#This Row],[Step]] &gt; current_step, "",Iterations[[#This Row],[Grad_b]]))</f>
        <v>1.3893919355873535E-3</v>
      </c>
      <c r="P766" s="2">
        <f ca="1">IF(Iterations[[#This Row],[Step]] =current_step, current_Grad_c,IF(Iterations[[#This Row],[Step]] &gt; current_step, "",Iterations[[#This Row],[Grad_c]]))</f>
        <v>-2.235488925001514E-2</v>
      </c>
      <c r="Q766" s="2">
        <f ca="1">IF(Iterations[[#This Row],[Step]] =current_step, current_Grad_d,IF(Iterations[[#This Row],[Step]] &gt; current_step, "",Iterations[[#This Row],[Grad_d]]))</f>
        <v>-1.2757496868263107E-3</v>
      </c>
      <c r="R766" s="2">
        <f ca="1">IF(Iterations[[#This Row],[Step]] =current_step, current_Grad_e,IF(Iterations[[#This Row],[Step]] &gt; current_step, "",Iterations[[#This Row],[Grad_e]]))</f>
        <v>7.9723985232445695E-3</v>
      </c>
    </row>
    <row r="767" spans="6:18" x14ac:dyDescent="0.3">
      <c r="F767" s="2">
        <f t="shared" si="14"/>
        <v>750</v>
      </c>
      <c r="G767" s="2">
        <f ca="1">IF(Iterations[[#This Row],[Step]] =current_step, current_a,IF(Iterations[[#This Row],[Step]] &gt; current_step, "",Iterations[[#This Row],[a]]))</f>
        <v>-7.2286753017538583</v>
      </c>
      <c r="H767" s="2">
        <f ca="1">IF(Iterations[[#This Row],[Step]] =current_step, current_b,IF(Iterations[[#This Row],[Step]] &gt; current_step, "",Iterations[[#This Row],[b]]))</f>
        <v>0.35622378480335465</v>
      </c>
      <c r="I767" s="2">
        <f ca="1">IF(Iterations[[#This Row],[Step]] =current_step, current_c,IF(Iterations[[#This Row],[Step]] &gt; current_step, "",Iterations[[#This Row],[c]]))</f>
        <v>21.11384555120873</v>
      </c>
      <c r="J767" s="2">
        <f ca="1">IF(Iterations[[#This Row],[Step]] =current_step, current_d,IF(Iterations[[#This Row],[Step]] &gt; current_step, "",Iterations[[#This Row],[d]]))</f>
        <v>1.1975563670831937</v>
      </c>
      <c r="K767" s="2">
        <f ca="1">IF(Iterations[[#This Row],[Step]] =current_step, current_e,IF(Iterations[[#This Row],[Step]] &gt; current_step, "",Iterations[[#This Row],[e]]))</f>
        <v>11.351389794895649</v>
      </c>
      <c r="L767" s="2">
        <f ca="1">IF(Iterations[[#This Row],[Step]] =current_step, current_Total_Loss,IF(Iterations[[#This Row],[Step]] &gt; current_step, "",Iterations[[#This Row],[Total Loss]]))</f>
        <v>90.48</v>
      </c>
      <c r="M767" s="6" t="s">
        <v>27</v>
      </c>
      <c r="N767" s="2">
        <f ca="1">IF(Iterations[[#This Row],[Step]] =current_step, current_Grad_a,IF(Iterations[[#This Row],[Step]] &gt; current_step, "",Iterations[[#This Row],[Grad_a]]))</f>
        <v>7.9153749865032985E-3</v>
      </c>
      <c r="O767" s="2">
        <f ca="1">IF(Iterations[[#This Row],[Step]] =current_step, current_Grad_b,IF(Iterations[[#This Row],[Step]] &gt; current_step, "",Iterations[[#This Row],[Grad_b]]))</f>
        <v>1.3799955746335178E-3</v>
      </c>
      <c r="P767" s="2">
        <f ca="1">IF(Iterations[[#This Row],[Step]] =current_step, current_Grad_c,IF(Iterations[[#This Row],[Step]] &gt; current_step, "",Iterations[[#This Row],[Grad_c]]))</f>
        <v>-2.2203610466113965E-2</v>
      </c>
      <c r="Q767" s="2">
        <f ca="1">IF(Iterations[[#This Row],[Step]] =current_step, current_Grad_d,IF(Iterations[[#This Row],[Step]] &gt; current_step, "",Iterations[[#This Row],[Grad_d]]))</f>
        <v>-1.2671288357061833E-3</v>
      </c>
      <c r="R767" s="2">
        <f ca="1">IF(Iterations[[#This Row],[Step]] =current_step, current_Grad_e,IF(Iterations[[#This Row],[Step]] &gt; current_step, "",Iterations[[#This Row],[Grad_e]]))</f>
        <v>7.9184479702930511E-3</v>
      </c>
    </row>
    <row r="768" spans="6:18" x14ac:dyDescent="0.3">
      <c r="F768" s="2">
        <f t="shared" si="14"/>
        <v>751</v>
      </c>
      <c r="G768" s="2">
        <f ca="1">IF(Iterations[[#This Row],[Step]] =current_step, current_a,IF(Iterations[[#This Row],[Step]] &gt; current_step, "",Iterations[[#This Row],[a]]))</f>
        <v>-7.2292293780029135</v>
      </c>
      <c r="H768" s="2">
        <f ca="1">IF(Iterations[[#This Row],[Step]] =current_step, current_b,IF(Iterations[[#This Row],[Step]] &gt; current_step, "",Iterations[[#This Row],[b]]))</f>
        <v>0.3561271851131303</v>
      </c>
      <c r="I768" s="2">
        <f ca="1">IF(Iterations[[#This Row],[Step]] =current_step, current_c,IF(Iterations[[#This Row],[Step]] &gt; current_step, "",Iterations[[#This Row],[c]]))</f>
        <v>21.115399803941358</v>
      </c>
      <c r="J768" s="2">
        <f ca="1">IF(Iterations[[#This Row],[Step]] =current_step, current_d,IF(Iterations[[#This Row],[Step]] &gt; current_step, "",Iterations[[#This Row],[d]]))</f>
        <v>1.1976450661016931</v>
      </c>
      <c r="K768" s="2">
        <f ca="1">IF(Iterations[[#This Row],[Step]] =current_step, current_e,IF(Iterations[[#This Row],[Step]] &gt; current_step, "",Iterations[[#This Row],[e]]))</f>
        <v>11.350835503537729</v>
      </c>
      <c r="L768" s="2">
        <f ca="1">IF(Iterations[[#This Row],[Step]] =current_step, current_Total_Loss,IF(Iterations[[#This Row],[Step]] &gt; current_step, "",Iterations[[#This Row],[Total Loss]]))</f>
        <v>90.48</v>
      </c>
      <c r="M768" s="6" t="s">
        <v>27</v>
      </c>
      <c r="N768" s="2">
        <f ca="1">IF(Iterations[[#This Row],[Step]] =current_step, current_Grad_a,IF(Iterations[[#This Row],[Step]] &gt; current_step, "",Iterations[[#This Row],[Grad_a]]))</f>
        <v>7.8618108997818605E-3</v>
      </c>
      <c r="O768" s="2">
        <f ca="1">IF(Iterations[[#This Row],[Step]] =current_step, current_Grad_b,IF(Iterations[[#This Row],[Step]] &gt; current_step, "",Iterations[[#This Row],[Grad_b]]))</f>
        <v>1.3706626964971541E-3</v>
      </c>
      <c r="P768" s="2">
        <f ca="1">IF(Iterations[[#This Row],[Step]] =current_step, current_Grad_c,IF(Iterations[[#This Row],[Step]] &gt; current_step, "",Iterations[[#This Row],[Grad_c]]))</f>
        <v>-2.2053355417858984E-2</v>
      </c>
      <c r="Q768" s="2">
        <f ca="1">IF(Iterations[[#This Row],[Step]] =current_step, current_Grad_d,IF(Iterations[[#This Row],[Step]] &gt; current_step, "",Iterations[[#This Row],[Grad_d]]))</f>
        <v>-1.2585661039338596E-3</v>
      </c>
      <c r="R768" s="2">
        <f ca="1">IF(Iterations[[#This Row],[Step]] =current_step, current_Grad_e,IF(Iterations[[#This Row],[Step]] &gt; current_step, "",Iterations[[#This Row],[Grad_e]]))</f>
        <v>7.8648625152576788E-3</v>
      </c>
    </row>
    <row r="769" spans="6:18" x14ac:dyDescent="0.3">
      <c r="F769" s="2">
        <f t="shared" si="14"/>
        <v>752</v>
      </c>
      <c r="G769" s="2">
        <f ca="1">IF(Iterations[[#This Row],[Step]] =current_step, current_a,IF(Iterations[[#This Row],[Step]] &gt; current_step, "",Iterations[[#This Row],[a]]))</f>
        <v>-7.2297797047658987</v>
      </c>
      <c r="H769" s="2">
        <f ca="1">IF(Iterations[[#This Row],[Step]] =current_step, current_b,IF(Iterations[[#This Row],[Step]] &gt; current_step, "",Iterations[[#This Row],[b]]))</f>
        <v>0.35603123872437548</v>
      </c>
      <c r="I769" s="2">
        <f ca="1">IF(Iterations[[#This Row],[Step]] =current_step, current_c,IF(Iterations[[#This Row],[Step]] &gt; current_step, "",Iterations[[#This Row],[c]]))</f>
        <v>21.116943538820607</v>
      </c>
      <c r="J769" s="2">
        <f ca="1">IF(Iterations[[#This Row],[Step]] =current_step, current_d,IF(Iterations[[#This Row],[Step]] &gt; current_step, "",Iterations[[#This Row],[d]]))</f>
        <v>1.1977331657289685</v>
      </c>
      <c r="K769" s="2">
        <f ca="1">IF(Iterations[[#This Row],[Step]] =current_step, current_e,IF(Iterations[[#This Row],[Step]] &gt; current_step, "",Iterations[[#This Row],[e]]))</f>
        <v>11.350284963161661</v>
      </c>
      <c r="L769" s="2">
        <f ca="1">IF(Iterations[[#This Row],[Step]] =current_step, current_Total_Loss,IF(Iterations[[#This Row],[Step]] &gt; current_step, "",Iterations[[#This Row],[Total Loss]]))</f>
        <v>90.48</v>
      </c>
      <c r="M769" s="6" t="s">
        <v>27</v>
      </c>
      <c r="N769" s="2">
        <f ca="1">IF(Iterations[[#This Row],[Step]] =current_step, current_Grad_a,IF(Iterations[[#This Row],[Step]] &gt; current_step, "",Iterations[[#This Row],[Grad_a]]))</f>
        <v>7.8086092853876859E-3</v>
      </c>
      <c r="O769" s="2">
        <f ca="1">IF(Iterations[[#This Row],[Step]] =current_step, current_Grad_b,IF(Iterations[[#This Row],[Step]] &gt; current_step, "",Iterations[[#This Row],[Grad_b]]))</f>
        <v>1.3613928734175465E-3</v>
      </c>
      <c r="P769" s="2">
        <f ca="1">IF(Iterations[[#This Row],[Step]] =current_step, current_Grad_c,IF(Iterations[[#This Row],[Step]] &gt; current_step, "",Iterations[[#This Row],[Grad_c]]))</f>
        <v>-2.1904117177190579E-2</v>
      </c>
      <c r="Q769" s="2">
        <f ca="1">IF(Iterations[[#This Row],[Step]] =current_step, current_Grad_d,IF(Iterations[[#This Row],[Step]] &gt; current_step, "",Iterations[[#This Row],[Grad_d]]))</f>
        <v>-1.2500611021129598E-3</v>
      </c>
      <c r="R769" s="2">
        <f ca="1">IF(Iterations[[#This Row],[Step]] =current_step, current_Grad_e,IF(Iterations[[#This Row],[Step]] &gt; current_step, "",Iterations[[#This Row],[Grad_e]]))</f>
        <v>7.8116396873395798E-3</v>
      </c>
    </row>
    <row r="770" spans="6:18" x14ac:dyDescent="0.3">
      <c r="F770" s="2">
        <f t="shared" si="14"/>
        <v>753</v>
      </c>
      <c r="G770" s="2">
        <f ca="1">IF(Iterations[[#This Row],[Step]] =current_step, current_a,IF(Iterations[[#This Row],[Step]] &gt; current_step, "",Iterations[[#This Row],[a]]))</f>
        <v>-7.2303263074158757</v>
      </c>
      <c r="H770" s="2">
        <f ca="1">IF(Iterations[[#This Row],[Step]] =current_step, current_b,IF(Iterations[[#This Row],[Step]] &gt; current_step, "",Iterations[[#This Row],[b]]))</f>
        <v>0.35593594122323624</v>
      </c>
      <c r="I770" s="2">
        <f ca="1">IF(Iterations[[#This Row],[Step]] =current_step, current_c,IF(Iterations[[#This Row],[Step]] &gt; current_step, "",Iterations[[#This Row],[c]]))</f>
        <v>21.118476827023009</v>
      </c>
      <c r="J770" s="2">
        <f ca="1">IF(Iterations[[#This Row],[Step]] =current_step, current_d,IF(Iterations[[#This Row],[Step]] &gt; current_step, "",Iterations[[#This Row],[d]]))</f>
        <v>1.1978206700061165</v>
      </c>
      <c r="K770" s="2">
        <f ca="1">IF(Iterations[[#This Row],[Step]] =current_step, current_e,IF(Iterations[[#This Row],[Step]] &gt; current_step, "",Iterations[[#This Row],[e]]))</f>
        <v>11.349738148383548</v>
      </c>
      <c r="L770" s="2">
        <f ca="1">IF(Iterations[[#This Row],[Step]] =current_step, current_Total_Loss,IF(Iterations[[#This Row],[Step]] &gt; current_step, "",Iterations[[#This Row],[Total Loss]]))</f>
        <v>90.48</v>
      </c>
      <c r="M770" s="6" t="s">
        <v>27</v>
      </c>
      <c r="N770" s="2">
        <f ca="1">IF(Iterations[[#This Row],[Step]] =current_step, current_Grad_a,IF(Iterations[[#This Row],[Step]] &gt; current_step, "",Iterations[[#This Row],[Grad_a]]))</f>
        <v>7.7557676904998667E-3</v>
      </c>
      <c r="O770" s="2">
        <f ca="1">IF(Iterations[[#This Row],[Step]] =current_step, current_Grad_b,IF(Iterations[[#This Row],[Step]] &gt; current_step, "",Iterations[[#This Row],[Grad_b]]))</f>
        <v>1.3521856804709692E-3</v>
      </c>
      <c r="P770" s="2">
        <f ca="1">IF(Iterations[[#This Row],[Step]] =current_step, current_Grad_c,IF(Iterations[[#This Row],[Step]] &gt; current_step, "",Iterations[[#This Row],[Grad_c]]))</f>
        <v>-2.1755888862963521E-2</v>
      </c>
      <c r="Q770" s="2">
        <f ca="1">IF(Iterations[[#This Row],[Step]] =current_step, current_Grad_d,IF(Iterations[[#This Row],[Step]] &gt; current_step, "",Iterations[[#This Row],[Grad_d]]))</f>
        <v>-1.2416134434209845E-3</v>
      </c>
      <c r="R770" s="2">
        <f ca="1">IF(Iterations[[#This Row],[Step]] =current_step, current_Grad_e,IF(Iterations[[#This Row],[Step]] &gt; current_step, "",Iterations[[#This Row],[Grad_e]]))</f>
        <v>7.7587770324577653E-3</v>
      </c>
    </row>
    <row r="771" spans="6:18" x14ac:dyDescent="0.3">
      <c r="F771" s="2">
        <f t="shared" si="14"/>
        <v>754</v>
      </c>
      <c r="G771" s="2">
        <f ca="1">IF(Iterations[[#This Row],[Step]] =current_step, current_a,IF(Iterations[[#This Row],[Step]] &gt; current_step, "",Iterations[[#This Row],[a]]))</f>
        <v>-7.2308692111542108</v>
      </c>
      <c r="H771" s="2">
        <f ca="1">IF(Iterations[[#This Row],[Step]] =current_step, current_b,IF(Iterations[[#This Row],[Step]] &gt; current_step, "",Iterations[[#This Row],[b]]))</f>
        <v>0.35584128822560329</v>
      </c>
      <c r="I771" s="2">
        <f ca="1">IF(Iterations[[#This Row],[Step]] =current_step, current_c,IF(Iterations[[#This Row],[Step]] &gt; current_step, "",Iterations[[#This Row],[c]]))</f>
        <v>21.119999739243418</v>
      </c>
      <c r="J771" s="2">
        <f ca="1">IF(Iterations[[#This Row],[Step]] =current_step, current_d,IF(Iterations[[#This Row],[Step]] &gt; current_step, "",Iterations[[#This Row],[d]]))</f>
        <v>1.1979075829471559</v>
      </c>
      <c r="K771" s="2">
        <f ca="1">IF(Iterations[[#This Row],[Step]] =current_step, current_e,IF(Iterations[[#This Row],[Step]] &gt; current_step, "",Iterations[[#This Row],[e]]))</f>
        <v>11.349195033991275</v>
      </c>
      <c r="L771" s="2">
        <f ca="1">IF(Iterations[[#This Row],[Step]] =current_step, current_Total_Loss,IF(Iterations[[#This Row],[Step]] &gt; current_step, "",Iterations[[#This Row],[Total Loss]]))</f>
        <v>90.48</v>
      </c>
      <c r="M771" s="6" t="s">
        <v>27</v>
      </c>
      <c r="N771" s="2">
        <f ca="1">IF(Iterations[[#This Row],[Step]] =current_step, current_Grad_a,IF(Iterations[[#This Row],[Step]] &gt; current_step, "",Iterations[[#This Row],[Grad_a]]))</f>
        <v>7.7032836786608489E-3</v>
      </c>
      <c r="O771" s="2">
        <f ca="1">IF(Iterations[[#This Row],[Step]] =current_step, current_Grad_b,IF(Iterations[[#This Row],[Step]] &gt; current_step, "",Iterations[[#This Row],[Grad_b]]))</f>
        <v>1.3430406956878521E-3</v>
      </c>
      <c r="P771" s="2">
        <f ca="1">IF(Iterations[[#This Row],[Step]] =current_step, current_Grad_c,IF(Iterations[[#This Row],[Step]] &gt; current_step, "",Iterations[[#This Row],[Grad_c]]))</f>
        <v>-2.1608663640696864E-2</v>
      </c>
      <c r="Q771" s="2">
        <f ca="1">IF(Iterations[[#This Row],[Step]] =current_step, current_Grad_d,IF(Iterations[[#This Row],[Step]] &gt; current_step, "",Iterations[[#This Row],[Grad_d]]))</f>
        <v>-1.2332227435449322E-3</v>
      </c>
      <c r="R771" s="2">
        <f ca="1">IF(Iterations[[#This Row],[Step]] =current_step, current_Grad_e,IF(Iterations[[#This Row],[Step]] &gt; current_step, "",Iterations[[#This Row],[Grad_e]]))</f>
        <v>7.7062721130951826E-3</v>
      </c>
    </row>
    <row r="772" spans="6:18" x14ac:dyDescent="0.3">
      <c r="F772" s="2">
        <f t="shared" si="14"/>
        <v>755</v>
      </c>
      <c r="G772" s="2">
        <f ca="1">IF(Iterations[[#This Row],[Step]] =current_step, current_a,IF(Iterations[[#This Row],[Step]] &gt; current_step, "",Iterations[[#This Row],[a]]))</f>
        <v>-7.231408441011717</v>
      </c>
      <c r="H772" s="2">
        <f ca="1">IF(Iterations[[#This Row],[Step]] =current_step, current_b,IF(Iterations[[#This Row],[Step]] &gt; current_step, "",Iterations[[#This Row],[b]]))</f>
        <v>0.35574727537690515</v>
      </c>
      <c r="I772" s="2">
        <f ca="1">IF(Iterations[[#This Row],[Step]] =current_step, current_c,IF(Iterations[[#This Row],[Step]] &gt; current_step, "",Iterations[[#This Row],[c]]))</f>
        <v>21.121512345698267</v>
      </c>
      <c r="J772" s="2">
        <f ca="1">IF(Iterations[[#This Row],[Step]] =current_step, current_d,IF(Iterations[[#This Row],[Step]] &gt; current_step, "",Iterations[[#This Row],[d]]))</f>
        <v>1.1979939085392042</v>
      </c>
      <c r="K772" s="2">
        <f ca="1">IF(Iterations[[#This Row],[Step]] =current_step, current_e,IF(Iterations[[#This Row],[Step]] &gt; current_step, "",Iterations[[#This Row],[e]]))</f>
        <v>11.348655594943359</v>
      </c>
      <c r="L772" s="2">
        <f ca="1">IF(Iterations[[#This Row],[Step]] =current_step, current_Total_Loss,IF(Iterations[[#This Row],[Step]] &gt; current_step, "",Iterations[[#This Row],[Total Loss]]))</f>
        <v>90.48</v>
      </c>
      <c r="M772" s="6" t="s">
        <v>27</v>
      </c>
      <c r="N772" s="2">
        <f ca="1">IF(Iterations[[#This Row],[Step]] =current_step, current_Grad_a,IF(Iterations[[#This Row],[Step]] &gt; current_step, "",Iterations[[#This Row],[Grad_a]]))</f>
        <v>7.6511548303221195E-3</v>
      </c>
      <c r="O772" s="2">
        <f ca="1">IF(Iterations[[#This Row],[Step]] =current_step, current_Grad_b,IF(Iterations[[#This Row],[Step]] &gt; current_step, "",Iterations[[#This Row],[Grad_b]]))</f>
        <v>1.3339574997483813E-3</v>
      </c>
      <c r="P772" s="2">
        <f ca="1">IF(Iterations[[#This Row],[Step]] =current_step, current_Grad_c,IF(Iterations[[#This Row],[Step]] &gt; current_step, "",Iterations[[#This Row],[Grad_c]]))</f>
        <v>-2.1462434721995455E-2</v>
      </c>
      <c r="Q772" s="2">
        <f ca="1">IF(Iterations[[#This Row],[Step]] =current_step, current_Grad_d,IF(Iterations[[#This Row],[Step]] &gt; current_step, "",Iterations[[#This Row],[Grad_d]]))</f>
        <v>-1.2248886207704517E-3</v>
      </c>
      <c r="R772" s="2">
        <f ca="1">IF(Iterations[[#This Row],[Step]] =current_step, current_Grad_e,IF(Iterations[[#This Row],[Step]] &gt; current_step, "",Iterations[[#This Row],[Grad_e]]))</f>
        <v>7.6541225083115449E-3</v>
      </c>
    </row>
    <row r="773" spans="6:18" x14ac:dyDescent="0.3">
      <c r="F773" s="2">
        <f t="shared" si="14"/>
        <v>756</v>
      </c>
      <c r="G773" s="2">
        <f ca="1">IF(Iterations[[#This Row],[Step]] =current_step, current_a,IF(Iterations[[#This Row],[Step]] &gt; current_step, "",Iterations[[#This Row],[a]]))</f>
        <v>-7.2319440218498396</v>
      </c>
      <c r="H773" s="2">
        <f ca="1">IF(Iterations[[#This Row],[Step]] =current_step, current_b,IF(Iterations[[#This Row],[Step]] &gt; current_step, "",Iterations[[#This Row],[b]]))</f>
        <v>0.35565389835192274</v>
      </c>
      <c r="I773" s="2">
        <f ca="1">IF(Iterations[[#This Row],[Step]] =current_step, current_c,IF(Iterations[[#This Row],[Step]] &gt; current_step, "",Iterations[[#This Row],[c]]))</f>
        <v>21.123014716128807</v>
      </c>
      <c r="J773" s="2">
        <f ca="1">IF(Iterations[[#This Row],[Step]] =current_step, current_d,IF(Iterations[[#This Row],[Step]] &gt; current_step, "",Iterations[[#This Row],[d]]))</f>
        <v>1.1980796507426581</v>
      </c>
      <c r="K773" s="2">
        <f ca="1">IF(Iterations[[#This Row],[Step]] =current_step, current_e,IF(Iterations[[#This Row],[Step]] &gt; current_step, "",Iterations[[#This Row],[e]]))</f>
        <v>11.348119806367778</v>
      </c>
      <c r="L773" s="2">
        <f ca="1">IF(Iterations[[#This Row],[Step]] =current_step, current_Total_Loss,IF(Iterations[[#This Row],[Step]] &gt; current_step, "",Iterations[[#This Row],[Total Loss]]))</f>
        <v>90.48</v>
      </c>
      <c r="M773" s="6" t="s">
        <v>27</v>
      </c>
      <c r="N773" s="2">
        <f ca="1">IF(Iterations[[#This Row],[Step]] =current_step, current_Grad_a,IF(Iterations[[#This Row],[Step]] &gt; current_step, "",Iterations[[#This Row],[Grad_a]]))</f>
        <v>7.5993787419073276E-3</v>
      </c>
      <c r="O773" s="2">
        <f ca="1">IF(Iterations[[#This Row],[Step]] =current_step, current_Grad_b,IF(Iterations[[#This Row],[Step]] &gt; current_step, "",Iterations[[#This Row],[Grad_b]]))</f>
        <v>1.3249356763059951E-3</v>
      </c>
      <c r="P773" s="2">
        <f ca="1">IF(Iterations[[#This Row],[Step]] =current_step, current_Grad_c,IF(Iterations[[#This Row],[Step]] &gt; current_step, "",Iterations[[#This Row],[Grad_c]]))</f>
        <v>-2.1317195364571401E-2</v>
      </c>
      <c r="Q773" s="2">
        <f ca="1">IF(Iterations[[#This Row],[Step]] =current_step, current_Grad_d,IF(Iterations[[#This Row],[Step]] &gt; current_step, "",Iterations[[#This Row],[Grad_d]]))</f>
        <v>-1.2166106958368826E-3</v>
      </c>
      <c r="R773" s="2">
        <f ca="1">IF(Iterations[[#This Row],[Step]] =current_step, current_Grad_e,IF(Iterations[[#This Row],[Step]] &gt; current_step, "",Iterations[[#This Row],[Grad_e]]))</f>
        <v>7.6023258134725324E-3</v>
      </c>
    </row>
    <row r="774" spans="6:18" x14ac:dyDescent="0.3">
      <c r="F774" s="2">
        <f t="shared" si="14"/>
        <v>757</v>
      </c>
      <c r="G774" s="2">
        <f ca="1">IF(Iterations[[#This Row],[Step]] =current_step, current_a,IF(Iterations[[#This Row],[Step]] &gt; current_step, "",Iterations[[#This Row],[a]]))</f>
        <v>-7.2324759783617729</v>
      </c>
      <c r="H774" s="2">
        <f ca="1">IF(Iterations[[#This Row],[Step]] =current_step, current_b,IF(Iterations[[#This Row],[Step]] &gt; current_step, "",Iterations[[#This Row],[b]]))</f>
        <v>0.35556115285458134</v>
      </c>
      <c r="I774" s="2">
        <f ca="1">IF(Iterations[[#This Row],[Step]] =current_step, current_c,IF(Iterations[[#This Row],[Step]] &gt; current_step, "",Iterations[[#This Row],[c]]))</f>
        <v>21.124506919804329</v>
      </c>
      <c r="J774" s="2">
        <f ca="1">IF(Iterations[[#This Row],[Step]] =current_step, current_d,IF(Iterations[[#This Row],[Step]] &gt; current_step, "",Iterations[[#This Row],[d]]))</f>
        <v>1.1981648134913667</v>
      </c>
      <c r="K774" s="2">
        <f ca="1">IF(Iterations[[#This Row],[Step]] =current_step, current_e,IF(Iterations[[#This Row],[Step]] &gt; current_step, "",Iterations[[#This Row],[e]]))</f>
        <v>11.347587643560836</v>
      </c>
      <c r="L774" s="2">
        <f ca="1">IF(Iterations[[#This Row],[Step]] =current_step, current_Total_Loss,IF(Iterations[[#This Row],[Step]] &gt; current_step, "",Iterations[[#This Row],[Total Loss]]))</f>
        <v>90.48</v>
      </c>
      <c r="M774" s="6" t="s">
        <v>27</v>
      </c>
      <c r="N774" s="2">
        <f ca="1">IF(Iterations[[#This Row],[Step]] =current_step, current_Grad_a,IF(Iterations[[#This Row],[Step]] &gt; current_step, "",Iterations[[#This Row],[Grad_a]]))</f>
        <v>7.5479530264311E-3</v>
      </c>
      <c r="O774" s="2">
        <f ca="1">IF(Iterations[[#This Row],[Step]] =current_step, current_Grad_b,IF(Iterations[[#This Row],[Step]] &gt; current_step, "",Iterations[[#This Row],[Grad_b]]))</f>
        <v>1.3159748116692909E-3</v>
      </c>
      <c r="P774" s="2">
        <f ca="1">IF(Iterations[[#This Row],[Step]] =current_step, current_Grad_c,IF(Iterations[[#This Row],[Step]] &gt; current_step, "",Iterations[[#This Row],[Grad_c]]))</f>
        <v>-2.1172938871631224E-2</v>
      </c>
      <c r="Q774" s="2">
        <f ca="1">IF(Iterations[[#This Row],[Step]] =current_step, current_Grad_d,IF(Iterations[[#This Row],[Step]] &gt; current_step, "",Iterations[[#This Row],[Grad_d]]))</f>
        <v>-1.2083885920342041E-3</v>
      </c>
      <c r="R774" s="2">
        <f ca="1">IF(Iterations[[#This Row],[Step]] =current_step, current_Grad_e,IF(Iterations[[#This Row],[Step]] &gt; current_step, "",Iterations[[#This Row],[Grad_e]]))</f>
        <v>7.5508796402846317E-3</v>
      </c>
    </row>
    <row r="775" spans="6:18" x14ac:dyDescent="0.3">
      <c r="F775" s="2">
        <f t="shared" si="14"/>
        <v>758</v>
      </c>
      <c r="G775" s="2">
        <f ca="1">IF(Iterations[[#This Row],[Step]] =current_step, current_a,IF(Iterations[[#This Row],[Step]] &gt; current_step, "",Iterations[[#This Row],[a]]))</f>
        <v>-7.2330043350736233</v>
      </c>
      <c r="H775" s="2">
        <f ca="1">IF(Iterations[[#This Row],[Step]] =current_step, current_b,IF(Iterations[[#This Row],[Step]] &gt; current_step, "",Iterations[[#This Row],[b]]))</f>
        <v>0.35546903461776447</v>
      </c>
      <c r="I775" s="2">
        <f ca="1">IF(Iterations[[#This Row],[Step]] =current_step, current_c,IF(Iterations[[#This Row],[Step]] &gt; current_step, "",Iterations[[#This Row],[c]]))</f>
        <v>21.125989025525342</v>
      </c>
      <c r="J775" s="2">
        <f ca="1">IF(Iterations[[#This Row],[Step]] =current_step, current_d,IF(Iterations[[#This Row],[Step]] &gt; current_step, "",Iterations[[#This Row],[d]]))</f>
        <v>1.1982494006928091</v>
      </c>
      <c r="K775" s="2">
        <f ca="1">IF(Iterations[[#This Row],[Step]] =current_step, current_e,IF(Iterations[[#This Row],[Step]] &gt; current_step, "",Iterations[[#This Row],[e]]))</f>
        <v>11.347059081986016</v>
      </c>
      <c r="L775" s="2">
        <f ca="1">IF(Iterations[[#This Row],[Step]] =current_step, current_Total_Loss,IF(Iterations[[#This Row],[Step]] &gt; current_step, "",Iterations[[#This Row],[Total Loss]]))</f>
        <v>90.48</v>
      </c>
      <c r="M775" s="6" t="s">
        <v>27</v>
      </c>
      <c r="N775" s="2">
        <f ca="1">IF(Iterations[[#This Row],[Step]] =current_step, current_Grad_a,IF(Iterations[[#This Row],[Step]] &gt; current_step, "",Iterations[[#This Row],[Grad_a]]))</f>
        <v>7.4968753126781629E-3</v>
      </c>
      <c r="O775" s="2">
        <f ca="1">IF(Iterations[[#This Row],[Step]] =current_step, current_Grad_b,IF(Iterations[[#This Row],[Step]] &gt; current_step, "",Iterations[[#This Row],[Grad_b]]))</f>
        <v>1.3070744950757834E-3</v>
      </c>
      <c r="P775" s="2">
        <f ca="1">IF(Iterations[[#This Row],[Step]] =current_step, current_Grad_c,IF(Iterations[[#This Row],[Step]] &gt; current_step, "",Iterations[[#This Row],[Grad_c]]))</f>
        <v>-2.1029658591860862E-2</v>
      </c>
      <c r="Q775" s="2">
        <f ca="1">IF(Iterations[[#This Row],[Step]] =current_step, current_Grad_d,IF(Iterations[[#This Row],[Step]] &gt; current_step, "",Iterations[[#This Row],[Grad_d]]))</f>
        <v>-1.200221935079367E-3</v>
      </c>
      <c r="R775" s="2">
        <f ca="1">IF(Iterations[[#This Row],[Step]] =current_step, current_Grad_e,IF(Iterations[[#This Row],[Step]] &gt; current_step, "",Iterations[[#This Row],[Grad_e]]))</f>
        <v>7.4997816165461488E-3</v>
      </c>
    </row>
    <row r="776" spans="6:18" x14ac:dyDescent="0.3">
      <c r="F776" s="2">
        <f t="shared" si="14"/>
        <v>759</v>
      </c>
      <c r="G776" s="2">
        <f ca="1">IF(Iterations[[#This Row],[Step]] =current_step, current_a,IF(Iterations[[#This Row],[Step]] &gt; current_step, "",Iterations[[#This Row],[a]]))</f>
        <v>-7.2335291163455109</v>
      </c>
      <c r="H776" s="2">
        <f ca="1">IF(Iterations[[#This Row],[Step]] =current_step, current_b,IF(Iterations[[#This Row],[Step]] &gt; current_step, "",Iterations[[#This Row],[b]]))</f>
        <v>0.35537753940310918</v>
      </c>
      <c r="I776" s="2">
        <f ca="1">IF(Iterations[[#This Row],[Step]] =current_step, current_c,IF(Iterations[[#This Row],[Step]] &gt; current_step, "",Iterations[[#This Row],[c]]))</f>
        <v>21.127461101626771</v>
      </c>
      <c r="J776" s="2">
        <f ca="1">IF(Iterations[[#This Row],[Step]] =current_step, current_d,IF(Iterations[[#This Row],[Step]] &gt; current_step, "",Iterations[[#This Row],[d]]))</f>
        <v>1.1983334162282646</v>
      </c>
      <c r="K776" s="2">
        <f ca="1">IF(Iterations[[#This Row],[Step]] =current_step, current_e,IF(Iterations[[#This Row],[Step]] &gt; current_step, "",Iterations[[#This Row],[e]]))</f>
        <v>11.346534097272858</v>
      </c>
      <c r="L776" s="2">
        <f ca="1">IF(Iterations[[#This Row],[Step]] =current_step, current_Total_Loss,IF(Iterations[[#This Row],[Step]] &gt; current_step, "",Iterations[[#This Row],[Total Loss]]))</f>
        <v>90.48</v>
      </c>
      <c r="M776" s="6" t="s">
        <v>27</v>
      </c>
      <c r="N776" s="2">
        <f ca="1">IF(Iterations[[#This Row],[Step]] =current_step, current_Grad_a,IF(Iterations[[#This Row],[Step]] &gt; current_step, "",Iterations[[#This Row],[Grad_a]]))</f>
        <v>7.4461432459997923E-3</v>
      </c>
      <c r="O776" s="2">
        <f ca="1">IF(Iterations[[#This Row],[Step]] =current_step, current_Grad_b,IF(Iterations[[#This Row],[Step]] &gt; current_step, "",Iterations[[#This Row],[Grad_b]]))</f>
        <v>1.2982343182929383E-3</v>
      </c>
      <c r="P776" s="2">
        <f ca="1">IF(Iterations[[#This Row],[Step]] =current_step, current_Grad_c,IF(Iterations[[#This Row],[Step]] &gt; current_step, "",Iterations[[#This Row],[Grad_c]]))</f>
        <v>-2.0887347918748085E-2</v>
      </c>
      <c r="Q776" s="2">
        <f ca="1">IF(Iterations[[#This Row],[Step]] =current_step, current_Grad_d,IF(Iterations[[#This Row],[Step]] &gt; current_step, "",Iterations[[#This Row],[Grad_d]]))</f>
        <v>-1.1921103532421447E-3</v>
      </c>
      <c r="R776" s="2">
        <f ca="1">IF(Iterations[[#This Row],[Step]] =current_step, current_Grad_e,IF(Iterations[[#This Row],[Step]] &gt; current_step, "",Iterations[[#This Row],[Grad_e]]))</f>
        <v>7.4490293862097762E-3</v>
      </c>
    </row>
    <row r="777" spans="6:18" x14ac:dyDescent="0.3">
      <c r="F777" s="2">
        <f t="shared" si="14"/>
        <v>760</v>
      </c>
      <c r="G777" s="2">
        <f ca="1">IF(Iterations[[#This Row],[Step]] =current_step, current_a,IF(Iterations[[#This Row],[Step]] &gt; current_step, "",Iterations[[#This Row],[a]]))</f>
        <v>-7.2340503463727313</v>
      </c>
      <c r="H777" s="2">
        <f ca="1">IF(Iterations[[#This Row],[Step]] =current_step, current_b,IF(Iterations[[#This Row],[Step]] &gt; current_step, "",Iterations[[#This Row],[b]]))</f>
        <v>0.35528666300082867</v>
      </c>
      <c r="I777" s="2">
        <f ca="1">IF(Iterations[[#This Row],[Step]] =current_step, current_c,IF(Iterations[[#This Row],[Step]] &gt; current_step, "",Iterations[[#This Row],[c]]))</f>
        <v>21.128923215981082</v>
      </c>
      <c r="J777" s="2">
        <f ca="1">IF(Iterations[[#This Row],[Step]] =current_step, current_d,IF(Iterations[[#This Row],[Step]] &gt; current_step, "",Iterations[[#This Row],[d]]))</f>
        <v>1.1984168639529915</v>
      </c>
      <c r="K777" s="2">
        <f ca="1">IF(Iterations[[#This Row],[Step]] =current_step, current_e,IF(Iterations[[#This Row],[Step]] &gt; current_step, "",Iterations[[#This Row],[e]]))</f>
        <v>11.346012665215824</v>
      </c>
      <c r="L777" s="2">
        <f ca="1">IF(Iterations[[#This Row],[Step]] =current_step, current_Total_Loss,IF(Iterations[[#This Row],[Step]] &gt; current_step, "",Iterations[[#This Row],[Total Loss]]))</f>
        <v>90.48</v>
      </c>
      <c r="M777" s="6" t="s">
        <v>27</v>
      </c>
      <c r="N777" s="2">
        <f ca="1">IF(Iterations[[#This Row],[Step]] =current_step, current_Grad_a,IF(Iterations[[#This Row],[Step]] &gt; current_step, "",Iterations[[#This Row],[Grad_a]]))</f>
        <v>7.3957544871466017E-3</v>
      </c>
      <c r="O777" s="2">
        <f ca="1">IF(Iterations[[#This Row],[Step]] =current_step, current_Grad_b,IF(Iterations[[#This Row],[Step]] &gt; current_step, "",Iterations[[#This Row],[Grad_b]]))</f>
        <v>1.2894538760191605E-3</v>
      </c>
      <c r="P777" s="2">
        <f ca="1">IF(Iterations[[#This Row],[Step]] =current_step, current_Grad_c,IF(Iterations[[#This Row],[Step]] &gt; current_step, "",Iterations[[#This Row],[Grad_c]]))</f>
        <v>-2.0746000290713704E-2</v>
      </c>
      <c r="Q777" s="2">
        <f ca="1">IF(Iterations[[#This Row],[Step]] =current_step, current_Grad_d,IF(Iterations[[#This Row],[Step]] &gt; current_step, "",Iterations[[#This Row],[Grad_d]]))</f>
        <v>-1.1840534771743307E-3</v>
      </c>
      <c r="R777" s="2">
        <f ca="1">IF(Iterations[[#This Row],[Step]] =current_step, current_Grad_e,IF(Iterations[[#This Row],[Step]] &gt; current_step, "",Iterations[[#This Row],[Grad_e]]))</f>
        <v>7.3986206090682748E-3</v>
      </c>
    </row>
    <row r="778" spans="6:18" x14ac:dyDescent="0.3">
      <c r="F778" s="2">
        <f t="shared" si="14"/>
        <v>761</v>
      </c>
      <c r="G778" s="2">
        <f ca="1">IF(Iterations[[#This Row],[Step]] =current_step, current_a,IF(Iterations[[#This Row],[Step]] &gt; current_step, "",Iterations[[#This Row],[a]]))</f>
        <v>-7.2345680491868318</v>
      </c>
      <c r="H778" s="2">
        <f ca="1">IF(Iterations[[#This Row],[Step]] =current_step, current_b,IF(Iterations[[#This Row],[Step]] &gt; current_step, "",Iterations[[#This Row],[b]]))</f>
        <v>0.35519640122950735</v>
      </c>
      <c r="I778" s="2">
        <f ca="1">IF(Iterations[[#This Row],[Step]] =current_step, current_c,IF(Iterations[[#This Row],[Step]] &gt; current_step, "",Iterations[[#This Row],[c]]))</f>
        <v>21.130375436001433</v>
      </c>
      <c r="J778" s="2">
        <f ca="1">IF(Iterations[[#This Row],[Step]] =current_step, current_d,IF(Iterations[[#This Row],[Step]] &gt; current_step, "",Iterations[[#This Row],[d]]))</f>
        <v>1.1984997476963937</v>
      </c>
      <c r="K778" s="2">
        <f ca="1">IF(Iterations[[#This Row],[Step]] =current_step, current_e,IF(Iterations[[#This Row],[Step]] &gt; current_step, "",Iterations[[#This Row],[e]]))</f>
        <v>11.345494761773189</v>
      </c>
      <c r="L778" s="2">
        <f ca="1">IF(Iterations[[#This Row],[Step]] =current_step, current_Total_Loss,IF(Iterations[[#This Row],[Step]] &gt; current_step, "",Iterations[[#This Row],[Total Loss]]))</f>
        <v>90.48</v>
      </c>
      <c r="M778" s="6" t="s">
        <v>27</v>
      </c>
      <c r="N778" s="2">
        <f ca="1">IF(Iterations[[#This Row],[Step]] =current_step, current_Grad_a,IF(Iterations[[#This Row],[Step]] &gt; current_step, "",Iterations[[#This Row],[Grad_a]]))</f>
        <v>7.3457067131136927E-3</v>
      </c>
      <c r="O778" s="2">
        <f ca="1">IF(Iterations[[#This Row],[Step]] =current_step, current_Grad_b,IF(Iterations[[#This Row],[Step]] &gt; current_step, "",Iterations[[#This Row],[Grad_b]]))</f>
        <v>1.280732765559832E-3</v>
      </c>
      <c r="P778" s="2">
        <f ca="1">IF(Iterations[[#This Row],[Step]] =current_step, current_Grad_c,IF(Iterations[[#This Row],[Step]] &gt; current_step, "",Iterations[[#This Row],[Grad_c]]))</f>
        <v>-2.0605609190411742E-2</v>
      </c>
      <c r="Q778" s="2">
        <f ca="1">IF(Iterations[[#This Row],[Step]] =current_step, current_Grad_d,IF(Iterations[[#This Row],[Step]] &gt; current_step, "",Iterations[[#This Row],[Grad_d]]))</f>
        <v>-1.1760509400018505E-3</v>
      </c>
      <c r="R778" s="2">
        <f ca="1">IF(Iterations[[#This Row],[Step]] =current_step, current_Grad_e,IF(Iterations[[#This Row],[Step]] &gt; current_step, "",Iterations[[#This Row],[Grad_e]]))</f>
        <v>7.3485529608397432E-3</v>
      </c>
    </row>
    <row r="779" spans="6:18" x14ac:dyDescent="0.3">
      <c r="F779" s="2">
        <f t="shared" si="14"/>
        <v>762</v>
      </c>
      <c r="G779" s="2">
        <f ca="1">IF(Iterations[[#This Row],[Step]] =current_step, current_a,IF(Iterations[[#This Row],[Step]] &gt; current_step, "",Iterations[[#This Row],[a]]))</f>
        <v>-7.2350822486567496</v>
      </c>
      <c r="H779" s="2">
        <f ca="1">IF(Iterations[[#This Row],[Step]] =current_step, current_b,IF(Iterations[[#This Row],[Step]] &gt; current_step, "",Iterations[[#This Row],[b]]))</f>
        <v>0.35510674993591818</v>
      </c>
      <c r="I779" s="2">
        <f ca="1">IF(Iterations[[#This Row],[Step]] =current_step, current_c,IF(Iterations[[#This Row],[Step]] &gt; current_step, "",Iterations[[#This Row],[c]]))</f>
        <v>21.131817828644763</v>
      </c>
      <c r="J779" s="2">
        <f ca="1">IF(Iterations[[#This Row],[Step]] =current_step, current_d,IF(Iterations[[#This Row],[Step]] &gt; current_step, "",Iterations[[#This Row],[d]]))</f>
        <v>1.1985820712621937</v>
      </c>
      <c r="K779" s="2">
        <f ca="1">IF(Iterations[[#This Row],[Step]] =current_step, current_e,IF(Iterations[[#This Row],[Step]] &gt; current_step, "",Iterations[[#This Row],[e]]))</f>
        <v>11.344980363065931</v>
      </c>
      <c r="L779" s="2">
        <f ca="1">IF(Iterations[[#This Row],[Step]] =current_step, current_Total_Loss,IF(Iterations[[#This Row],[Step]] &gt; current_step, "",Iterations[[#This Row],[Total Loss]]))</f>
        <v>90.48</v>
      </c>
      <c r="M779" s="6" t="s">
        <v>27</v>
      </c>
      <c r="N779" s="2">
        <f ca="1">IF(Iterations[[#This Row],[Step]] =current_step, current_Grad_a,IF(Iterations[[#This Row],[Step]] &gt; current_step, "",Iterations[[#This Row],[Grad_a]]))</f>
        <v>7.2959976163137581E-3</v>
      </c>
      <c r="O779" s="2">
        <f ca="1">IF(Iterations[[#This Row],[Step]] =current_step, current_Grad_b,IF(Iterations[[#This Row],[Step]] &gt; current_step, "",Iterations[[#This Row],[Grad_b]]))</f>
        <v>1.2720705869896252E-3</v>
      </c>
      <c r="P779" s="2">
        <f ca="1">IF(Iterations[[#This Row],[Step]] =current_step, current_Grad_c,IF(Iterations[[#This Row],[Step]] &gt; current_step, "",Iterations[[#This Row],[Grad_c]]))</f>
        <v>-2.0466168144729197E-2</v>
      </c>
      <c r="Q779" s="2">
        <f ca="1">IF(Iterations[[#This Row],[Step]] =current_step, current_Grad_d,IF(Iterations[[#This Row],[Step]] &gt; current_step, "",Iterations[[#This Row],[Grad_d]]))</f>
        <v>-1.1681023772523015E-3</v>
      </c>
      <c r="R779" s="2">
        <f ca="1">IF(Iterations[[#This Row],[Step]] =current_step, current_Grad_e,IF(Iterations[[#This Row],[Step]] &gt; current_step, "",Iterations[[#This Row],[Grad_e]]))</f>
        <v>7.2988241329117187E-3</v>
      </c>
    </row>
    <row r="780" spans="6:18" x14ac:dyDescent="0.3">
      <c r="F780" s="2">
        <f t="shared" si="14"/>
        <v>763</v>
      </c>
      <c r="G780" s="2">
        <f ca="1">IF(Iterations[[#This Row],[Step]] =current_step, current_a,IF(Iterations[[#This Row],[Step]] &gt; current_step, "",Iterations[[#This Row],[a]]))</f>
        <v>-7.2355929684898914</v>
      </c>
      <c r="H780" s="2">
        <f ca="1">IF(Iterations[[#This Row],[Step]] =current_step, current_b,IF(Iterations[[#This Row],[Step]] &gt; current_step, "",Iterations[[#This Row],[b]]))</f>
        <v>0.35501770499482888</v>
      </c>
      <c r="I780" s="2">
        <f ca="1">IF(Iterations[[#This Row],[Step]] =current_step, current_c,IF(Iterations[[#This Row],[Step]] &gt; current_step, "",Iterations[[#This Row],[c]]))</f>
        <v>21.133250460414896</v>
      </c>
      <c r="J780" s="2">
        <f ca="1">IF(Iterations[[#This Row],[Step]] =current_step, current_d,IF(Iterations[[#This Row],[Step]] &gt; current_step, "",Iterations[[#This Row],[d]]))</f>
        <v>1.1986638384286015</v>
      </c>
      <c r="K780" s="2">
        <f ca="1">IF(Iterations[[#This Row],[Step]] =current_step, current_e,IF(Iterations[[#This Row],[Step]] &gt; current_step, "",Iterations[[#This Row],[e]]))</f>
        <v>11.344469445376626</v>
      </c>
      <c r="L780" s="2">
        <f ca="1">IF(Iterations[[#This Row],[Step]] =current_step, current_Total_Loss,IF(Iterations[[#This Row],[Step]] &gt; current_step, "",Iterations[[#This Row],[Total Loss]]))</f>
        <v>90.48</v>
      </c>
      <c r="M780" s="6" t="s">
        <v>27</v>
      </c>
      <c r="N780" s="2">
        <f ca="1">IF(Iterations[[#This Row],[Step]] =current_step, current_Grad_a,IF(Iterations[[#This Row],[Step]] &gt; current_step, "",Iterations[[#This Row],[Grad_a]]))</f>
        <v>7.2466249049630959E-3</v>
      </c>
      <c r="O780" s="2">
        <f ca="1">IF(Iterations[[#This Row],[Step]] =current_step, current_Grad_b,IF(Iterations[[#This Row],[Step]] &gt; current_step, "",Iterations[[#This Row],[Grad_b]]))</f>
        <v>1.2634669429824916E-3</v>
      </c>
      <c r="P780" s="2">
        <f ca="1">IF(Iterations[[#This Row],[Step]] =current_step, current_Grad_c,IF(Iterations[[#This Row],[Step]] &gt; current_step, "",Iterations[[#This Row],[Grad_c]]))</f>
        <v>-2.0327670724287032E-2</v>
      </c>
      <c r="Q780" s="2">
        <f ca="1">IF(Iterations[[#This Row],[Step]] =current_step, current_Grad_d,IF(Iterations[[#This Row],[Step]] &gt; current_step, "",Iterations[[#This Row],[Grad_d]]))</f>
        <v>-1.1602074268917129E-3</v>
      </c>
      <c r="R780" s="2">
        <f ca="1">IF(Iterations[[#This Row],[Step]] =current_step, current_Grad_e,IF(Iterations[[#This Row],[Step]] &gt; current_step, "",Iterations[[#This Row],[Grad_e]]))</f>
        <v>7.2494318323303259E-3</v>
      </c>
    </row>
    <row r="781" spans="6:18" x14ac:dyDescent="0.3">
      <c r="F781" s="2">
        <f t="shared" si="14"/>
        <v>764</v>
      </c>
      <c r="G781" s="2">
        <f ca="1">IF(Iterations[[#This Row],[Step]] =current_step, current_a,IF(Iterations[[#This Row],[Step]] &gt; current_step, "",Iterations[[#This Row],[a]]))</f>
        <v>-7.2361002322332384</v>
      </c>
      <c r="H781" s="2">
        <f ca="1">IF(Iterations[[#This Row],[Step]] =current_step, current_b,IF(Iterations[[#This Row],[Step]] &gt; current_step, "",Iterations[[#This Row],[b]]))</f>
        <v>0.3549292623088201</v>
      </c>
      <c r="I781" s="2">
        <f ca="1">IF(Iterations[[#This Row],[Step]] =current_step, current_c,IF(Iterations[[#This Row],[Step]] &gt; current_step, "",Iterations[[#This Row],[c]]))</f>
        <v>21.134673397365596</v>
      </c>
      <c r="J781" s="2">
        <f ca="1">IF(Iterations[[#This Row],[Step]] =current_step, current_d,IF(Iterations[[#This Row],[Step]] &gt; current_step, "",Iterations[[#This Row],[d]]))</f>
        <v>1.198745052948484</v>
      </c>
      <c r="K781" s="2">
        <f ca="1">IF(Iterations[[#This Row],[Step]] =current_step, current_e,IF(Iterations[[#This Row],[Step]] &gt; current_step, "",Iterations[[#This Row],[e]]))</f>
        <v>11.343961985148363</v>
      </c>
      <c r="L781" s="2">
        <f ca="1">IF(Iterations[[#This Row],[Step]] =current_step, current_Total_Loss,IF(Iterations[[#This Row],[Step]] &gt; current_step, "",Iterations[[#This Row],[Total Loss]]))</f>
        <v>90.47</v>
      </c>
      <c r="M781" s="6" t="s">
        <v>27</v>
      </c>
      <c r="N781" s="2">
        <f ca="1">IF(Iterations[[#This Row],[Step]] =current_step, current_Grad_a,IF(Iterations[[#This Row],[Step]] &gt; current_step, "",Iterations[[#This Row],[Grad_a]]))</f>
        <v>7.1975863027344327E-3</v>
      </c>
      <c r="O781" s="2">
        <f ca="1">IF(Iterations[[#This Row],[Step]] =current_step, current_Grad_b,IF(Iterations[[#This Row],[Step]] &gt; current_step, "",Iterations[[#This Row],[Grad_b]]))</f>
        <v>1.2549214389274204E-3</v>
      </c>
      <c r="P781" s="2">
        <f ca="1">IF(Iterations[[#This Row],[Step]] =current_step, current_Grad_c,IF(Iterations[[#This Row],[Step]] &gt; current_step, "",Iterations[[#This Row],[Grad_c]]))</f>
        <v>-2.0190110543236099E-2</v>
      </c>
      <c r="Q781" s="2">
        <f ca="1">IF(Iterations[[#This Row],[Step]] =current_step, current_Grad_d,IF(Iterations[[#This Row],[Step]] &gt; current_step, "",Iterations[[#This Row],[Grad_d]]))</f>
        <v>-1.1523657292559714E-3</v>
      </c>
      <c r="R781" s="2">
        <f ca="1">IF(Iterations[[#This Row],[Step]] =current_step, current_Grad_e,IF(Iterations[[#This Row],[Step]] &gt; current_step, "",Iterations[[#This Row],[Grad_e]]))</f>
        <v>7.2003737816553025E-3</v>
      </c>
    </row>
    <row r="782" spans="6:18" x14ac:dyDescent="0.3">
      <c r="F782" s="2">
        <f t="shared" si="14"/>
        <v>765</v>
      </c>
      <c r="G782" s="2">
        <f ca="1">IF(Iterations[[#This Row],[Step]] =current_step, current_a,IF(Iterations[[#This Row],[Step]] &gt; current_step, "",Iterations[[#This Row],[a]]))</f>
        <v>-7.23660406327443</v>
      </c>
      <c r="H782" s="2">
        <f ca="1">IF(Iterations[[#This Row],[Step]] =current_step, current_b,IF(Iterations[[#This Row],[Step]] &gt; current_step, "",Iterations[[#This Row],[b]]))</f>
        <v>0.35484141780809519</v>
      </c>
      <c r="I782" s="2">
        <f ca="1">IF(Iterations[[#This Row],[Step]] =current_step, current_c,IF(Iterations[[#This Row],[Step]] &gt; current_step, "",Iterations[[#This Row],[c]]))</f>
        <v>21.136086705103622</v>
      </c>
      <c r="J782" s="2">
        <f ca="1">IF(Iterations[[#This Row],[Step]] =current_step, current_d,IF(Iterations[[#This Row],[Step]] &gt; current_step, "",Iterations[[#This Row],[d]]))</f>
        <v>1.1988257185495319</v>
      </c>
      <c r="K782" s="2">
        <f ca="1">IF(Iterations[[#This Row],[Step]] =current_step, current_e,IF(Iterations[[#This Row],[Step]] &gt; current_step, "",Iterations[[#This Row],[e]]))</f>
        <v>11.343457958983647</v>
      </c>
      <c r="L782" s="2">
        <f ca="1">IF(Iterations[[#This Row],[Step]] =current_step, current_Total_Loss,IF(Iterations[[#This Row],[Step]] &gt; current_step, "",Iterations[[#This Row],[Total Loss]]))</f>
        <v>90.47</v>
      </c>
      <c r="M782" s="6" t="s">
        <v>27</v>
      </c>
      <c r="N782" s="2">
        <f ca="1">IF(Iterations[[#This Row],[Step]] =current_step, current_Grad_a,IF(Iterations[[#This Row],[Step]] &gt; current_step, "",Iterations[[#This Row],[Grad_a]]))</f>
        <v>7.148879548680191E-3</v>
      </c>
      <c r="O782" s="2">
        <f ca="1">IF(Iterations[[#This Row],[Step]] =current_step, current_Grad_b,IF(Iterations[[#This Row],[Step]] &gt; current_step, "",Iterations[[#This Row],[Grad_b]]))</f>
        <v>1.2464336828362417E-3</v>
      </c>
      <c r="P782" s="2">
        <f ca="1">IF(Iterations[[#This Row],[Step]] =current_step, current_Grad_c,IF(Iterations[[#This Row],[Step]] &gt; current_step, "",Iterations[[#This Row],[Grad_c]]))</f>
        <v>-2.0053481258959411E-2</v>
      </c>
      <c r="Q782" s="2">
        <f ca="1">IF(Iterations[[#This Row],[Step]] =current_step, current_Grad_d,IF(Iterations[[#This Row],[Step]] &gt; current_step, "",Iterations[[#This Row],[Grad_d]]))</f>
        <v>-1.1445769270684242E-3</v>
      </c>
      <c r="R782" s="2">
        <f ca="1">IF(Iterations[[#This Row],[Step]] =current_step, current_Grad_e,IF(Iterations[[#This Row],[Step]] &gt; current_step, "",Iterations[[#This Row],[Grad_e]]))</f>
        <v>7.1516477188524365E-3</v>
      </c>
    </row>
    <row r="783" spans="6:18" x14ac:dyDescent="0.3">
      <c r="F783" s="2">
        <f t="shared" si="14"/>
        <v>766</v>
      </c>
      <c r="G783" s="2">
        <f ca="1">IF(Iterations[[#This Row],[Step]] =current_step, current_a,IF(Iterations[[#This Row],[Step]] &gt; current_step, "",Iterations[[#This Row],[a]]))</f>
        <v>-7.2371044848428374</v>
      </c>
      <c r="H783" s="2">
        <f ca="1">IF(Iterations[[#This Row],[Step]] =current_step, current_b,IF(Iterations[[#This Row],[Step]] &gt; current_step, "",Iterations[[#This Row],[b]]))</f>
        <v>0.35475416745029664</v>
      </c>
      <c r="I783" s="2">
        <f ca="1">IF(Iterations[[#This Row],[Step]] =current_step, current_c,IF(Iterations[[#This Row],[Step]] &gt; current_step, "",Iterations[[#This Row],[c]]))</f>
        <v>21.137490448791748</v>
      </c>
      <c r="J783" s="2">
        <f ca="1">IF(Iterations[[#This Row],[Step]] =current_step, current_d,IF(Iterations[[#This Row],[Step]] &gt; current_step, "",Iterations[[#This Row],[d]]))</f>
        <v>1.1989058389344267</v>
      </c>
      <c r="K783" s="2">
        <f ca="1">IF(Iterations[[#This Row],[Step]] =current_step, current_e,IF(Iterations[[#This Row],[Step]] &gt; current_step, "",Iterations[[#This Row],[e]]))</f>
        <v>11.342957343643327</v>
      </c>
      <c r="L783" s="2">
        <f ca="1">IF(Iterations[[#This Row],[Step]] =current_step, current_Total_Loss,IF(Iterations[[#This Row],[Step]] &gt; current_step, "",Iterations[[#This Row],[Total Loss]]))</f>
        <v>90.47</v>
      </c>
      <c r="M783" s="6" t="s">
        <v>27</v>
      </c>
      <c r="N783" s="2">
        <f ca="1">IF(Iterations[[#This Row],[Step]] =current_step, current_Grad_a,IF(Iterations[[#This Row],[Step]] &gt; current_step, "",Iterations[[#This Row],[Grad_a]]))</f>
        <v>7.1005023971537871E-3</v>
      </c>
      <c r="O783" s="2">
        <f ca="1">IF(Iterations[[#This Row],[Step]] =current_step, current_Grad_b,IF(Iterations[[#This Row],[Step]] &gt; current_step, "",Iterations[[#This Row],[Grad_b]]))</f>
        <v>1.2380032853579099E-3</v>
      </c>
      <c r="P783" s="2">
        <f ca="1">IF(Iterations[[#This Row],[Step]] =current_step, current_Grad_c,IF(Iterations[[#This Row],[Step]] &gt; current_step, "",Iterations[[#This Row],[Grad_c]]))</f>
        <v>-1.9917776571761685E-2</v>
      </c>
      <c r="Q783" s="2">
        <f ca="1">IF(Iterations[[#This Row],[Step]] =current_step, current_Grad_d,IF(Iterations[[#This Row],[Step]] &gt; current_step, "",Iterations[[#This Row],[Grad_d]]))</f>
        <v>-1.1368406654097551E-3</v>
      </c>
      <c r="R783" s="2">
        <f ca="1">IF(Iterations[[#This Row],[Step]] =current_step, current_Grad_e,IF(Iterations[[#This Row],[Step]] &gt; current_step, "",Iterations[[#This Row],[Grad_e]]))</f>
        <v>7.1032513971983251E-3</v>
      </c>
    </row>
    <row r="784" spans="6:18" x14ac:dyDescent="0.3">
      <c r="F784" s="2">
        <f t="shared" si="14"/>
        <v>767</v>
      </c>
      <c r="G784" s="2">
        <f ca="1">IF(Iterations[[#This Row],[Step]] =current_step, current_a,IF(Iterations[[#This Row],[Step]] &gt; current_step, "",Iterations[[#This Row],[a]]))</f>
        <v>-7.2376015200106378</v>
      </c>
      <c r="H784" s="2">
        <f ca="1">IF(Iterations[[#This Row],[Step]] =current_step, current_b,IF(Iterations[[#This Row],[Step]] &gt; current_step, "",Iterations[[#This Row],[b]]))</f>
        <v>0.35466750722032159</v>
      </c>
      <c r="I784" s="2">
        <f ca="1">IF(Iterations[[#This Row],[Step]] =current_step, current_c,IF(Iterations[[#This Row],[Step]] &gt; current_step, "",Iterations[[#This Row],[c]]))</f>
        <v>21.138884693151773</v>
      </c>
      <c r="J784" s="2">
        <f ca="1">IF(Iterations[[#This Row],[Step]] =current_step, current_d,IF(Iterations[[#This Row],[Step]] &gt; current_step, "",Iterations[[#This Row],[d]]))</f>
        <v>1.1989854177810053</v>
      </c>
      <c r="K784" s="2">
        <f ca="1">IF(Iterations[[#This Row],[Step]] =current_step, current_e,IF(Iterations[[#This Row],[Step]] &gt; current_step, "",Iterations[[#This Row],[e]]))</f>
        <v>11.342460116045524</v>
      </c>
      <c r="L784" s="2">
        <f ca="1">IF(Iterations[[#This Row],[Step]] =current_step, current_Total_Loss,IF(Iterations[[#This Row],[Step]] &gt; current_step, "",Iterations[[#This Row],[Total Loss]]))</f>
        <v>90.47</v>
      </c>
      <c r="M784" s="6" t="s">
        <v>27</v>
      </c>
      <c r="N784" s="2">
        <f ca="1">IF(Iterations[[#This Row],[Step]] =current_step, current_Grad_a,IF(Iterations[[#This Row],[Step]] &gt; current_step, "",Iterations[[#This Row],[Grad_a]]))</f>
        <v>7.0524526177993723E-3</v>
      </c>
      <c r="O784" s="2">
        <f ca="1">IF(Iterations[[#This Row],[Step]] =current_step, current_Grad_b,IF(Iterations[[#This Row],[Step]] &gt; current_step, "",Iterations[[#This Row],[Grad_b]]))</f>
        <v>1.2296298597542037E-3</v>
      </c>
      <c r="P784" s="2">
        <f ca="1">IF(Iterations[[#This Row],[Step]] =current_step, current_Grad_c,IF(Iterations[[#This Row],[Step]] &gt; current_step, "",Iterations[[#This Row],[Grad_c]]))</f>
        <v>-1.9782990224539776E-2</v>
      </c>
      <c r="Q784" s="2">
        <f ca="1">IF(Iterations[[#This Row],[Step]] =current_step, current_Grad_d,IF(Iterations[[#This Row],[Step]] &gt; current_step, "",Iterations[[#This Row],[Grad_d]]))</f>
        <v>-1.1291565917085356E-3</v>
      </c>
      <c r="R784" s="2">
        <f ca="1">IF(Iterations[[#This Row],[Step]] =current_step, current_Grad_e,IF(Iterations[[#This Row],[Step]] &gt; current_step, "",Iterations[[#This Row],[Grad_e]]))</f>
        <v>7.0551825851994619E-3</v>
      </c>
    </row>
    <row r="785" spans="6:18" x14ac:dyDescent="0.3">
      <c r="F785" s="2">
        <f t="shared" si="14"/>
        <v>768</v>
      </c>
      <c r="G785" s="2">
        <f ca="1">IF(Iterations[[#This Row],[Step]] =current_step, current_a,IF(Iterations[[#This Row],[Step]] &gt; current_step, "",Iterations[[#This Row],[a]]))</f>
        <v>-7.2380951916938834</v>
      </c>
      <c r="H785" s="2">
        <f ca="1">IF(Iterations[[#This Row],[Step]] =current_step, current_b,IF(Iterations[[#This Row],[Step]] &gt; current_step, "",Iterations[[#This Row],[b]]))</f>
        <v>0.35458143313013879</v>
      </c>
      <c r="I785" s="2">
        <f ca="1">IF(Iterations[[#This Row],[Step]] =current_step, current_c,IF(Iterations[[#This Row],[Step]] &gt; current_step, "",Iterations[[#This Row],[c]]))</f>
        <v>21.14026950246749</v>
      </c>
      <c r="J785" s="2">
        <f ca="1">IF(Iterations[[#This Row],[Step]] =current_step, current_d,IF(Iterations[[#This Row],[Step]] &gt; current_step, "",Iterations[[#This Row],[d]]))</f>
        <v>1.1990644587424248</v>
      </c>
      <c r="K785" s="2">
        <f ca="1">IF(Iterations[[#This Row],[Step]] =current_step, current_e,IF(Iterations[[#This Row],[Step]] &gt; current_step, "",Iterations[[#This Row],[e]]))</f>
        <v>11.341966253264561</v>
      </c>
      <c r="L785" s="2">
        <f ca="1">IF(Iterations[[#This Row],[Step]] =current_step, current_Total_Loss,IF(Iterations[[#This Row],[Step]] &gt; current_step, "",Iterations[[#This Row],[Total Loss]]))</f>
        <v>90.47</v>
      </c>
      <c r="M785" s="6" t="s">
        <v>27</v>
      </c>
      <c r="N785" s="2">
        <f ca="1">IF(Iterations[[#This Row],[Step]] =current_step, current_Grad_a,IF(Iterations[[#This Row],[Step]] &gt; current_step, "",Iterations[[#This Row],[Grad_a]]))</f>
        <v>7.0047279951400082E-3</v>
      </c>
      <c r="O785" s="2">
        <f ca="1">IF(Iterations[[#This Row],[Step]] =current_step, current_Grad_b,IF(Iterations[[#This Row],[Step]] &gt; current_step, "",Iterations[[#This Row],[Grad_b]]))</f>
        <v>1.2213130218684161E-3</v>
      </c>
      <c r="P785" s="2">
        <f ca="1">IF(Iterations[[#This Row],[Step]] =current_step, current_Grad_c,IF(Iterations[[#This Row],[Step]] &gt; current_step, "",Iterations[[#This Row],[Grad_c]]))</f>
        <v>-1.9649116002635438E-2</v>
      </c>
      <c r="Q785" s="2">
        <f ca="1">IF(Iterations[[#This Row],[Step]] =current_step, current_Grad_d,IF(Iterations[[#This Row],[Step]] &gt; current_step, "",Iterations[[#This Row],[Grad_d]]))</f>
        <v>-1.1215243557306397E-3</v>
      </c>
      <c r="R785" s="2">
        <f ca="1">IF(Iterations[[#This Row],[Step]] =current_step, current_Grad_e,IF(Iterations[[#This Row],[Step]] &gt; current_step, "",Iterations[[#This Row],[Grad_e]]))</f>
        <v>7.0074390664117319E-3</v>
      </c>
    </row>
    <row r="786" spans="6:18" x14ac:dyDescent="0.3">
      <c r="F786" s="2">
        <f t="shared" si="14"/>
        <v>769</v>
      </c>
      <c r="G786" s="2">
        <f ca="1">IF(Iterations[[#This Row],[Step]] =current_step, current_a,IF(Iterations[[#This Row],[Step]] &gt; current_step, "",Iterations[[#This Row],[a]]))</f>
        <v>-7.2385855226535432</v>
      </c>
      <c r="H786" s="2">
        <f ca="1">IF(Iterations[[#This Row],[Step]] =current_step, current_b,IF(Iterations[[#This Row],[Step]] &gt; current_step, "",Iterations[[#This Row],[b]]))</f>
        <v>0.354495941218608</v>
      </c>
      <c r="I786" s="2">
        <f ca="1">IF(Iterations[[#This Row],[Step]] =current_step, current_c,IF(Iterations[[#This Row],[Step]] &gt; current_step, "",Iterations[[#This Row],[c]]))</f>
        <v>21.141644940587675</v>
      </c>
      <c r="J786" s="2">
        <f ca="1">IF(Iterations[[#This Row],[Step]] =current_step, current_d,IF(Iterations[[#This Row],[Step]] &gt; current_step, "",Iterations[[#This Row],[d]]))</f>
        <v>1.199142965447326</v>
      </c>
      <c r="K786" s="2">
        <f ca="1">IF(Iterations[[#This Row],[Step]] =current_step, current_e,IF(Iterations[[#This Row],[Step]] &gt; current_step, "",Iterations[[#This Row],[e]]))</f>
        <v>11.341475732529911</v>
      </c>
      <c r="L786" s="2">
        <f ca="1">IF(Iterations[[#This Row],[Step]] =current_step, current_Total_Loss,IF(Iterations[[#This Row],[Step]] &gt; current_step, "",Iterations[[#This Row],[Total Loss]]))</f>
        <v>90.47</v>
      </c>
      <c r="M786" s="6" t="s">
        <v>27</v>
      </c>
      <c r="N786" s="2">
        <f ca="1">IF(Iterations[[#This Row],[Step]] =current_step, current_Grad_a,IF(Iterations[[#This Row],[Step]] &gt; current_step, "",Iterations[[#This Row],[Grad_a]]))</f>
        <v>6.9573263289846032E-3</v>
      </c>
      <c r="O786" s="2">
        <f ca="1">IF(Iterations[[#This Row],[Step]] =current_step, current_Grad_b,IF(Iterations[[#This Row],[Step]] &gt; current_step, "",Iterations[[#This Row],[Grad_b]]))</f>
        <v>1.2130523901070253E-3</v>
      </c>
      <c r="P786" s="2">
        <f ca="1">IF(Iterations[[#This Row],[Step]] =current_step, current_Grad_c,IF(Iterations[[#This Row],[Step]] &gt; current_step, "",Iterations[[#This Row],[Grad_c]]))</f>
        <v>-1.951614773331932E-2</v>
      </c>
      <c r="Q786" s="2">
        <f ca="1">IF(Iterations[[#This Row],[Step]] =current_step, current_Grad_d,IF(Iterations[[#This Row],[Step]] &gt; current_step, "",Iterations[[#This Row],[Grad_d]]))</f>
        <v>-1.1139436095622833E-3</v>
      </c>
      <c r="R786" s="2">
        <f ca="1">IF(Iterations[[#This Row],[Step]] =current_step, current_Grad_e,IF(Iterations[[#This Row],[Step]] &gt; current_step, "",Iterations[[#This Row],[Grad_e]]))</f>
        <v>6.9600186394569935E-3</v>
      </c>
    </row>
    <row r="787" spans="6:18" x14ac:dyDescent="0.3">
      <c r="F787" s="2">
        <f t="shared" si="14"/>
        <v>770</v>
      </c>
      <c r="G787" s="2">
        <f ca="1">IF(Iterations[[#This Row],[Step]] =current_step, current_a,IF(Iterations[[#This Row],[Step]] &gt; current_step, "",Iterations[[#This Row],[a]]))</f>
        <v>-7.2390725354965717</v>
      </c>
      <c r="H787" s="2">
        <f ca="1">IF(Iterations[[#This Row],[Step]] =current_step, current_b,IF(Iterations[[#This Row],[Step]] &gt; current_step, "",Iterations[[#This Row],[b]]))</f>
        <v>0.35441102755130049</v>
      </c>
      <c r="I787" s="2">
        <f ca="1">IF(Iterations[[#This Row],[Step]] =current_step, current_c,IF(Iterations[[#This Row],[Step]] &gt; current_step, "",Iterations[[#This Row],[c]]))</f>
        <v>21.143011070929006</v>
      </c>
      <c r="J787" s="2">
        <f ca="1">IF(Iterations[[#This Row],[Step]] =current_step, current_d,IF(Iterations[[#This Row],[Step]] &gt; current_step, "",Iterations[[#This Row],[d]]))</f>
        <v>1.1992209414999955</v>
      </c>
      <c r="K787" s="2">
        <f ca="1">IF(Iterations[[#This Row],[Step]] =current_step, current_e,IF(Iterations[[#This Row],[Step]] &gt; current_step, "",Iterations[[#This Row],[e]]))</f>
        <v>11.340988531225149</v>
      </c>
      <c r="L787" s="2">
        <f ca="1">IF(Iterations[[#This Row],[Step]] =current_step, current_Total_Loss,IF(Iterations[[#This Row],[Step]] &gt; current_step, "",Iterations[[#This Row],[Total Loss]]))</f>
        <v>90.47</v>
      </c>
      <c r="M787" s="6" t="s">
        <v>27</v>
      </c>
      <c r="N787" s="2">
        <f ca="1">IF(Iterations[[#This Row],[Step]] =current_step, current_Grad_a,IF(Iterations[[#This Row],[Step]] &gt; current_step, "",Iterations[[#This Row],[Grad_a]]))</f>
        <v>6.9102454336893932E-3</v>
      </c>
      <c r="O787" s="2">
        <f ca="1">IF(Iterations[[#This Row],[Step]] =current_step, current_Grad_b,IF(Iterations[[#This Row],[Step]] &gt; current_step, "",Iterations[[#This Row],[Grad_b]]))</f>
        <v>1.2048475854810922E-3</v>
      </c>
      <c r="P787" s="2">
        <f ca="1">IF(Iterations[[#This Row],[Step]] =current_step, current_Grad_c,IF(Iterations[[#This Row],[Step]] &gt; current_step, "",Iterations[[#This Row],[Grad_c]]))</f>
        <v>-1.9384079285781269E-2</v>
      </c>
      <c r="Q787" s="2">
        <f ca="1">IF(Iterations[[#This Row],[Step]] =current_step, current_Grad_d,IF(Iterations[[#This Row],[Step]] &gt; current_step, "",Iterations[[#This Row],[Grad_d]]))</f>
        <v>-1.1064140075776915E-3</v>
      </c>
      <c r="R787" s="2">
        <f ca="1">IF(Iterations[[#This Row],[Step]] =current_step, current_Grad_e,IF(Iterations[[#This Row],[Step]] &gt; current_step, "",Iterations[[#This Row],[Grad_e]]))</f>
        <v>6.9129191177911649E-3</v>
      </c>
    </row>
    <row r="788" spans="6:18" x14ac:dyDescent="0.3">
      <c r="F788" s="2">
        <f t="shared" si="14"/>
        <v>771</v>
      </c>
      <c r="G788" s="2">
        <f ca="1">IF(Iterations[[#This Row],[Step]] =current_step, current_a,IF(Iterations[[#This Row],[Step]] &gt; current_step, "",Iterations[[#This Row],[a]]))</f>
        <v>-7.2395562526769304</v>
      </c>
      <c r="H788" s="2">
        <f ca="1">IF(Iterations[[#This Row],[Step]] =current_step, current_b,IF(Iterations[[#This Row],[Step]] &gt; current_step, "",Iterations[[#This Row],[b]]))</f>
        <v>0.35432668822031682</v>
      </c>
      <c r="I788" s="2">
        <f ca="1">IF(Iterations[[#This Row],[Step]] =current_step, current_c,IF(Iterations[[#This Row],[Step]] &gt; current_step, "",Iterations[[#This Row],[c]]))</f>
        <v>21.144367956479012</v>
      </c>
      <c r="J788" s="2">
        <f ca="1">IF(Iterations[[#This Row],[Step]] =current_step, current_d,IF(Iterations[[#This Row],[Step]] &gt; current_step, "",Iterations[[#This Row],[d]]))</f>
        <v>1.1992983904805259</v>
      </c>
      <c r="K788" s="2">
        <f ca="1">IF(Iterations[[#This Row],[Step]] =current_step, current_e,IF(Iterations[[#This Row],[Step]] &gt; current_step, "",Iterations[[#This Row],[e]]))</f>
        <v>11.340504626886903</v>
      </c>
      <c r="L788" s="2">
        <f ca="1">IF(Iterations[[#This Row],[Step]] =current_step, current_Total_Loss,IF(Iterations[[#This Row],[Step]] &gt; current_step, "",Iterations[[#This Row],[Total Loss]]))</f>
        <v>90.47</v>
      </c>
      <c r="M788" s="6" t="s">
        <v>27</v>
      </c>
      <c r="N788" s="2">
        <f ca="1">IF(Iterations[[#This Row],[Step]] =current_step, current_Grad_a,IF(Iterations[[#This Row],[Step]] &gt; current_step, "",Iterations[[#This Row],[Grad_a]]))</f>
        <v>6.863483138818547E-3</v>
      </c>
      <c r="O788" s="2">
        <f ca="1">IF(Iterations[[#This Row],[Step]] =current_step, current_Grad_b,IF(Iterations[[#This Row],[Step]] &gt; current_step, "",Iterations[[#This Row],[Grad_b]]))</f>
        <v>1.1966982314636344E-3</v>
      </c>
      <c r="P788" s="2">
        <f ca="1">IF(Iterations[[#This Row],[Step]] =current_step, current_Grad_c,IF(Iterations[[#This Row],[Step]] &gt; current_step, "",Iterations[[#This Row],[Grad_c]]))</f>
        <v>-1.9252904570531155E-2</v>
      </c>
      <c r="Q788" s="2">
        <f ca="1">IF(Iterations[[#This Row],[Step]] =current_step, current_Grad_d,IF(Iterations[[#This Row],[Step]] &gt; current_step, "",Iterations[[#This Row],[Grad_d]]))</f>
        <v>-1.098935206465263E-3</v>
      </c>
      <c r="R788" s="2">
        <f ca="1">IF(Iterations[[#This Row],[Step]] =current_step, current_Grad_e,IF(Iterations[[#This Row],[Step]] &gt; current_step, "",Iterations[[#This Row],[Grad_e]]))</f>
        <v>6.866138329746363E-3</v>
      </c>
    </row>
    <row r="789" spans="6:18" x14ac:dyDescent="0.3">
      <c r="F789" s="2">
        <f t="shared" si="14"/>
        <v>772</v>
      </c>
      <c r="G789" s="2">
        <f ca="1">IF(Iterations[[#This Row],[Step]] =current_step, current_a,IF(Iterations[[#This Row],[Step]] &gt; current_step, "",Iterations[[#This Row],[a]]))</f>
        <v>-7.2400366964966478</v>
      </c>
      <c r="H789" s="2">
        <f ca="1">IF(Iterations[[#This Row],[Step]] =current_step, current_b,IF(Iterations[[#This Row],[Step]] &gt; current_step, "",Iterations[[#This Row],[b]]))</f>
        <v>0.35424291934411439</v>
      </c>
      <c r="I789" s="2">
        <f ca="1">IF(Iterations[[#This Row],[Step]] =current_step, current_c,IF(Iterations[[#This Row],[Step]] &gt; current_step, "",Iterations[[#This Row],[c]]))</f>
        <v>21.145715659798949</v>
      </c>
      <c r="J789" s="2">
        <f ca="1">IF(Iterations[[#This Row],[Step]] =current_step, current_d,IF(Iterations[[#This Row],[Step]] &gt; current_step, "",Iterations[[#This Row],[d]]))</f>
        <v>1.1993753159449785</v>
      </c>
      <c r="K789" s="2">
        <f ca="1">IF(Iterations[[#This Row],[Step]] =current_step, current_e,IF(Iterations[[#This Row],[Step]] &gt; current_step, "",Iterations[[#This Row],[e]]))</f>
        <v>11.34002399720382</v>
      </c>
      <c r="L789" s="2">
        <f ca="1">IF(Iterations[[#This Row],[Step]] =current_step, current_Total_Loss,IF(Iterations[[#This Row],[Step]] &gt; current_step, "",Iterations[[#This Row],[Total Loss]]))</f>
        <v>90.47</v>
      </c>
      <c r="M789" s="6" t="s">
        <v>27</v>
      </c>
      <c r="N789" s="2">
        <f ca="1">IF(Iterations[[#This Row],[Step]] =current_step, current_Grad_a,IF(Iterations[[#This Row],[Step]] &gt; current_step, "",Iterations[[#This Row],[Grad_a]]))</f>
        <v>6.8170372881071689E-3</v>
      </c>
      <c r="O789" s="2">
        <f ca="1">IF(Iterations[[#This Row],[Step]] =current_step, current_Grad_b,IF(Iterations[[#This Row],[Step]] &gt; current_step, "",Iterations[[#This Row],[Grad_b]]))</f>
        <v>1.1886039541696796E-3</v>
      </c>
      <c r="P789" s="2">
        <f ca="1">IF(Iterations[[#This Row],[Step]] =current_step, current_Grad_c,IF(Iterations[[#This Row],[Step]] &gt; current_step, "",Iterations[[#This Row],[Grad_c]]))</f>
        <v>-1.9122617539499138E-2</v>
      </c>
      <c r="Q789" s="2">
        <f ca="1">IF(Iterations[[#This Row],[Step]] =current_step, current_Grad_d,IF(Iterations[[#This Row],[Step]] &gt; current_step, "",Iterations[[#This Row],[Grad_d]]))</f>
        <v>-1.0915068651493362E-3</v>
      </c>
      <c r="R789" s="2">
        <f ca="1">IF(Iterations[[#This Row],[Step]] =current_step, current_Grad_e,IF(Iterations[[#This Row],[Step]] &gt; current_step, "",Iterations[[#This Row],[Grad_e]]))</f>
        <v>6.8196741182561622E-3</v>
      </c>
    </row>
    <row r="790" spans="6:18" x14ac:dyDescent="0.3">
      <c r="F790" s="2">
        <f t="shared" si="14"/>
        <v>773</v>
      </c>
      <c r="G790" s="2">
        <f ca="1">IF(Iterations[[#This Row],[Step]] =current_step, current_a,IF(Iterations[[#This Row],[Step]] &gt; current_step, "",Iterations[[#This Row],[a]]))</f>
        <v>-7.2405138891068157</v>
      </c>
      <c r="H790" s="2">
        <f ca="1">IF(Iterations[[#This Row],[Step]] =current_step, current_b,IF(Iterations[[#This Row],[Step]] &gt; current_step, "",Iterations[[#This Row],[b]]))</f>
        <v>0.35415971706732252</v>
      </c>
      <c r="I790" s="2">
        <f ca="1">IF(Iterations[[#This Row],[Step]] =current_step, current_c,IF(Iterations[[#This Row],[Step]] &gt; current_step, "",Iterations[[#This Row],[c]]))</f>
        <v>21.147054243026712</v>
      </c>
      <c r="J790" s="2">
        <f ca="1">IF(Iterations[[#This Row],[Step]] =current_step, current_d,IF(Iterations[[#This Row],[Step]] &gt; current_step, "",Iterations[[#This Row],[d]]))</f>
        <v>1.1994517214255389</v>
      </c>
      <c r="K790" s="2">
        <f ca="1">IF(Iterations[[#This Row],[Step]] =current_step, current_e,IF(Iterations[[#This Row],[Step]] &gt; current_step, "",Iterations[[#This Row],[e]]))</f>
        <v>11.339546620015543</v>
      </c>
      <c r="L790" s="2">
        <f ca="1">IF(Iterations[[#This Row],[Step]] =current_step, current_Total_Loss,IF(Iterations[[#This Row],[Step]] &gt; current_step, "",Iterations[[#This Row],[Total Loss]]))</f>
        <v>90.47</v>
      </c>
      <c r="M790" s="6" t="s">
        <v>27</v>
      </c>
      <c r="N790" s="2">
        <f ca="1">IF(Iterations[[#This Row],[Step]] =current_step, current_Grad_a,IF(Iterations[[#This Row],[Step]] &gt; current_step, "",Iterations[[#This Row],[Grad_a]]))</f>
        <v>6.770905740434794E-3</v>
      </c>
      <c r="O790" s="2">
        <f ca="1">IF(Iterations[[#This Row],[Step]] =current_step, current_Grad_b,IF(Iterations[[#This Row],[Step]] &gt; current_step, "",Iterations[[#This Row],[Grad_b]]))</f>
        <v>1.1805643820676564E-3</v>
      </c>
      <c r="P790" s="2">
        <f ca="1">IF(Iterations[[#This Row],[Step]] =current_step, current_Grad_c,IF(Iterations[[#This Row],[Step]] &gt; current_step, "",Iterations[[#This Row],[Grad_c]]))</f>
        <v>-1.8993212185326618E-2</v>
      </c>
      <c r="Q790" s="2">
        <f ca="1">IF(Iterations[[#This Row],[Step]] =current_step, current_Grad_d,IF(Iterations[[#This Row],[Step]] &gt; current_step, "",Iterations[[#This Row],[Grad_d]]))</f>
        <v>-1.0841286448661904E-3</v>
      </c>
      <c r="R790" s="2">
        <f ca="1">IF(Iterations[[#This Row],[Step]] =current_step, current_Grad_e,IF(Iterations[[#This Row],[Step]] &gt; current_step, "",Iterations[[#This Row],[Grad_e]]))</f>
        <v>6.7735243409548689E-3</v>
      </c>
    </row>
    <row r="791" spans="6:18" x14ac:dyDescent="0.3">
      <c r="F791" s="2">
        <f t="shared" si="14"/>
        <v>774</v>
      </c>
      <c r="G791" s="2">
        <f ca="1">IF(Iterations[[#This Row],[Step]] =current_step, current_a,IF(Iterations[[#This Row],[Step]] &gt; current_step, "",Iterations[[#This Row],[a]]))</f>
        <v>-7.2409878525086464</v>
      </c>
      <c r="H791" s="2">
        <f ca="1">IF(Iterations[[#This Row],[Step]] =current_step, current_b,IF(Iterations[[#This Row],[Step]] &gt; current_step, "",Iterations[[#This Row],[b]]))</f>
        <v>0.35407707756057777</v>
      </c>
      <c r="I791" s="2">
        <f ca="1">IF(Iterations[[#This Row],[Step]] =current_step, current_c,IF(Iterations[[#This Row],[Step]] &gt; current_step, "",Iterations[[#This Row],[c]]))</f>
        <v>21.148383767879686</v>
      </c>
      <c r="J791" s="2">
        <f ca="1">IF(Iterations[[#This Row],[Step]] =current_step, current_d,IF(Iterations[[#This Row],[Step]] &gt; current_step, "",Iterations[[#This Row],[d]]))</f>
        <v>1.1995276104306796</v>
      </c>
      <c r="K791" s="2">
        <f ca="1">IF(Iterations[[#This Row],[Step]] =current_step, current_e,IF(Iterations[[#This Row],[Step]] &gt; current_step, "",Iterations[[#This Row],[e]]))</f>
        <v>11.339072473311676</v>
      </c>
      <c r="L791" s="2">
        <f ca="1">IF(Iterations[[#This Row],[Step]] =current_step, current_Total_Loss,IF(Iterations[[#This Row],[Step]] &gt; current_step, "",Iterations[[#This Row],[Total Loss]]))</f>
        <v>90.47</v>
      </c>
      <c r="M791" s="6" t="s">
        <v>27</v>
      </c>
      <c r="N791" s="2">
        <f ca="1">IF(Iterations[[#This Row],[Step]] =current_step, current_Grad_a,IF(Iterations[[#This Row],[Step]] &gt; current_step, "",Iterations[[#This Row],[Grad_a]]))</f>
        <v>6.725086368685111E-3</v>
      </c>
      <c r="O791" s="2">
        <f ca="1">IF(Iterations[[#This Row],[Step]] =current_step, current_Grad_b,IF(Iterations[[#This Row],[Step]] &gt; current_step, "",Iterations[[#This Row],[Grad_b]]))</f>
        <v>1.1725791462842139E-3</v>
      </c>
      <c r="P791" s="2">
        <f ca="1">IF(Iterations[[#This Row],[Step]] =current_step, current_Grad_c,IF(Iterations[[#This Row],[Step]] &gt; current_step, "",Iterations[[#This Row],[Grad_c]]))</f>
        <v>-1.886468254150268E-2</v>
      </c>
      <c r="Q791" s="2">
        <f ca="1">IF(Iterations[[#This Row],[Step]] =current_step, current_Grad_d,IF(Iterations[[#This Row],[Step]] &gt; current_step, "",Iterations[[#This Row],[Grad_d]]))</f>
        <v>-1.0768002090379241E-3</v>
      </c>
      <c r="R791" s="2">
        <f ca="1">IF(Iterations[[#This Row],[Step]] =current_step, current_Grad_e,IF(Iterations[[#This Row],[Step]] &gt; current_step, "",Iterations[[#This Row],[Grad_e]]))</f>
        <v>6.727686869887093E-3</v>
      </c>
    </row>
    <row r="792" spans="6:18" x14ac:dyDescent="0.3">
      <c r="F792" s="2">
        <f t="shared" si="14"/>
        <v>775</v>
      </c>
      <c r="G792" s="2">
        <f ca="1">IF(Iterations[[#This Row],[Step]] =current_step, current_a,IF(Iterations[[#This Row],[Step]] &gt; current_step, "",Iterations[[#This Row],[a]]))</f>
        <v>-7.2414586085544546</v>
      </c>
      <c r="H792" s="2">
        <f ca="1">IF(Iterations[[#This Row],[Step]] =current_step, current_b,IF(Iterations[[#This Row],[Step]] &gt; current_step, "",Iterations[[#This Row],[b]]))</f>
        <v>0.35399499702033788</v>
      </c>
      <c r="I792" s="2">
        <f ca="1">IF(Iterations[[#This Row],[Step]] =current_step, current_c,IF(Iterations[[#This Row],[Step]] &gt; current_step, "",Iterations[[#This Row],[c]]))</f>
        <v>21.149704295657592</v>
      </c>
      <c r="J792" s="2">
        <f ca="1">IF(Iterations[[#This Row],[Step]] =current_step, current_d,IF(Iterations[[#This Row],[Step]] &gt; current_step, "",Iterations[[#This Row],[d]]))</f>
        <v>1.1996029864453122</v>
      </c>
      <c r="K792" s="2">
        <f ca="1">IF(Iterations[[#This Row],[Step]] =current_step, current_e,IF(Iterations[[#This Row],[Step]] &gt; current_step, "",Iterations[[#This Row],[e]]))</f>
        <v>11.338601535230783</v>
      </c>
      <c r="L792" s="2">
        <f ca="1">IF(Iterations[[#This Row],[Step]] =current_step, current_Total_Loss,IF(Iterations[[#This Row],[Step]] &gt; current_step, "",Iterations[[#This Row],[Total Loss]]))</f>
        <v>90.47</v>
      </c>
      <c r="M792" s="6" t="s">
        <v>27</v>
      </c>
      <c r="N792" s="2">
        <f ca="1">IF(Iterations[[#This Row],[Step]] =current_step, current_Grad_a,IF(Iterations[[#This Row],[Step]] &gt; current_step, "",Iterations[[#This Row],[Grad_a]]))</f>
        <v>6.6795770605314114E-3</v>
      </c>
      <c r="O792" s="2">
        <f ca="1">IF(Iterations[[#This Row],[Step]] =current_step, current_Grad_b,IF(Iterations[[#This Row],[Step]] &gt; current_step, "",Iterations[[#This Row],[Grad_b]]))</f>
        <v>1.1646478802769008E-3</v>
      </c>
      <c r="P792" s="2">
        <f ca="1">IF(Iterations[[#This Row],[Step]] =current_step, current_Grad_c,IF(Iterations[[#This Row],[Step]] &gt; current_step, "",Iterations[[#This Row],[Grad_c]]))</f>
        <v>-1.8737022681741527E-2</v>
      </c>
      <c r="Q792" s="2">
        <f ca="1">IF(Iterations[[#This Row],[Step]] =current_step, current_Grad_d,IF(Iterations[[#This Row],[Step]] &gt; current_step, "",Iterations[[#This Row],[Grad_d]]))</f>
        <v>-1.0695212233678359E-3</v>
      </c>
      <c r="R792" s="2">
        <f ca="1">IF(Iterations[[#This Row],[Step]] =current_step, current_Grad_e,IF(Iterations[[#This Row],[Step]] &gt; current_step, "",Iterations[[#This Row],[Grad_e]]))</f>
        <v>6.6821595915709979E-3</v>
      </c>
    </row>
    <row r="793" spans="6:18" x14ac:dyDescent="0.3">
      <c r="F793" s="2">
        <f t="shared" si="14"/>
        <v>776</v>
      </c>
      <c r="G793" s="2">
        <f ca="1">IF(Iterations[[#This Row],[Step]] =current_step, current_a,IF(Iterations[[#This Row],[Step]] &gt; current_step, "",Iterations[[#This Row],[a]]))</f>
        <v>-7.2419261789486917</v>
      </c>
      <c r="H793" s="2">
        <f ca="1">IF(Iterations[[#This Row],[Step]] =current_step, current_b,IF(Iterations[[#This Row],[Step]] &gt; current_step, "",Iterations[[#This Row],[b]]))</f>
        <v>0.3539134716687185</v>
      </c>
      <c r="I793" s="2">
        <f ca="1">IF(Iterations[[#This Row],[Step]] =current_step, current_c,IF(Iterations[[#This Row],[Step]] &gt; current_step, "",Iterations[[#This Row],[c]]))</f>
        <v>21.151015887245315</v>
      </c>
      <c r="J793" s="2">
        <f ca="1">IF(Iterations[[#This Row],[Step]] =current_step, current_d,IF(Iterations[[#This Row],[Step]] &gt; current_step, "",Iterations[[#This Row],[d]]))</f>
        <v>1.199677852930948</v>
      </c>
      <c r="K793" s="2">
        <f ca="1">IF(Iterations[[#This Row],[Step]] =current_step, current_e,IF(Iterations[[#This Row],[Step]] &gt; current_step, "",Iterations[[#This Row],[e]]))</f>
        <v>11.338133784059373</v>
      </c>
      <c r="L793" s="2">
        <f ca="1">IF(Iterations[[#This Row],[Step]] =current_step, current_Total_Loss,IF(Iterations[[#This Row],[Step]] &gt; current_step, "",Iterations[[#This Row],[Total Loss]]))</f>
        <v>90.47</v>
      </c>
      <c r="M793" s="6" t="s">
        <v>27</v>
      </c>
      <c r="N793" s="2">
        <f ca="1">IF(Iterations[[#This Row],[Step]] =current_step, current_Grad_a,IF(Iterations[[#This Row],[Step]] &gt; current_step, "",Iterations[[#This Row],[Grad_a]]))</f>
        <v>6.6343757175603519E-3</v>
      </c>
      <c r="O793" s="2">
        <f ca="1">IF(Iterations[[#This Row],[Step]] =current_step, current_Grad_b,IF(Iterations[[#This Row],[Step]] &gt; current_step, "",Iterations[[#This Row],[Grad_b]]))</f>
        <v>1.156770220070053E-3</v>
      </c>
      <c r="P793" s="2">
        <f ca="1">IF(Iterations[[#This Row],[Step]] =current_step, current_Grad_c,IF(Iterations[[#This Row],[Step]] &gt; current_step, "",Iterations[[#This Row],[Grad_c]]))</f>
        <v>-1.8610226720011544E-2</v>
      </c>
      <c r="Q793" s="2">
        <f ca="1">IF(Iterations[[#This Row],[Step]] =current_step, current_Grad_d,IF(Iterations[[#This Row],[Step]] &gt; current_step, "",Iterations[[#This Row],[Grad_d]]))</f>
        <v>-1.0622913557395172E-3</v>
      </c>
      <c r="R793" s="2">
        <f ca="1">IF(Iterations[[#This Row],[Step]] =current_step, current_Grad_e,IF(Iterations[[#This Row],[Step]] &gt; current_step, "",Iterations[[#This Row],[Grad_e]]))</f>
        <v>6.636940406763831E-3</v>
      </c>
    </row>
    <row r="794" spans="6:18" x14ac:dyDescent="0.3">
      <c r="F794" s="2">
        <f t="shared" si="14"/>
        <v>777</v>
      </c>
      <c r="G794" s="2">
        <f ca="1">IF(Iterations[[#This Row],[Step]] =current_step, current_a,IF(Iterations[[#This Row],[Step]] &gt; current_step, "",Iterations[[#This Row],[a]]))</f>
        <v>-7.2423905852489208</v>
      </c>
      <c r="H794" s="2">
        <f ca="1">IF(Iterations[[#This Row],[Step]] =current_step, current_b,IF(Iterations[[#This Row],[Step]] &gt; current_step, "",Iterations[[#This Row],[b]]))</f>
        <v>0.3538324977533136</v>
      </c>
      <c r="I794" s="2">
        <f ca="1">IF(Iterations[[#This Row],[Step]] =current_step, current_c,IF(Iterations[[#This Row],[Step]] &gt; current_step, "",Iterations[[#This Row],[c]]))</f>
        <v>21.152318603115717</v>
      </c>
      <c r="J794" s="2">
        <f ca="1">IF(Iterations[[#This Row],[Step]] =current_step, current_d,IF(Iterations[[#This Row],[Step]] &gt; current_step, "",Iterations[[#This Row],[d]]))</f>
        <v>1.1997522133258498</v>
      </c>
      <c r="K794" s="2">
        <f ca="1">IF(Iterations[[#This Row],[Step]] =current_step, current_e,IF(Iterations[[#This Row],[Step]] &gt; current_step, "",Iterations[[#This Row],[e]]))</f>
        <v>11.3376691982309</v>
      </c>
      <c r="L794" s="2">
        <f ca="1">IF(Iterations[[#This Row],[Step]] =current_step, current_Total_Loss,IF(Iterations[[#This Row],[Step]] &gt; current_step, "",Iterations[[#This Row],[Total Loss]]))</f>
        <v>90.47</v>
      </c>
      <c r="M794" s="6" t="s">
        <v>27</v>
      </c>
      <c r="N794" s="2">
        <f ca="1">IF(Iterations[[#This Row],[Step]] =current_step, current_Grad_a,IF(Iterations[[#This Row],[Step]] &gt; current_step, "",Iterations[[#This Row],[Grad_a]]))</f>
        <v>6.5894802559581678E-3</v>
      </c>
      <c r="O794" s="2">
        <f ca="1">IF(Iterations[[#This Row],[Step]] =current_step, current_Grad_b,IF(Iterations[[#This Row],[Step]] &gt; current_step, "",Iterations[[#This Row],[Grad_b]]))</f>
        <v>1.1489458040174266E-3</v>
      </c>
      <c r="P794" s="2">
        <f ca="1">IF(Iterations[[#This Row],[Step]] =current_step, current_Grad_c,IF(Iterations[[#This Row],[Step]] &gt; current_step, "",Iterations[[#This Row],[Grad_c]]))</f>
        <v>-1.8484288809959559E-2</v>
      </c>
      <c r="Q794" s="2">
        <f ca="1">IF(Iterations[[#This Row],[Step]] =current_step, current_Grad_d,IF(Iterations[[#This Row],[Step]] &gt; current_step, "",Iterations[[#This Row],[Grad_d]]))</f>
        <v>-1.0551102762776684E-3</v>
      </c>
      <c r="R794" s="2">
        <f ca="1">IF(Iterations[[#This Row],[Step]] =current_step, current_Grad_e,IF(Iterations[[#This Row],[Step]] &gt; current_step, "",Iterations[[#This Row],[Grad_e]]))</f>
        <v>6.592027230500206E-3</v>
      </c>
    </row>
    <row r="795" spans="6:18" x14ac:dyDescent="0.3">
      <c r="F795" s="2">
        <f t="shared" si="14"/>
        <v>778</v>
      </c>
      <c r="G795" s="2">
        <f ca="1">IF(Iterations[[#This Row],[Step]] =current_step, current_a,IF(Iterations[[#This Row],[Step]] &gt; current_step, "",Iterations[[#This Row],[a]]))</f>
        <v>-7.2428518488668381</v>
      </c>
      <c r="H795" s="2">
        <f ca="1">IF(Iterations[[#This Row],[Step]] =current_step, current_b,IF(Iterations[[#This Row],[Step]] &gt; current_step, "",Iterations[[#This Row],[b]]))</f>
        <v>0.35375207154703237</v>
      </c>
      <c r="I795" s="2">
        <f ca="1">IF(Iterations[[#This Row],[Step]] =current_step, current_c,IF(Iterations[[#This Row],[Step]] &gt; current_step, "",Iterations[[#This Row],[c]]))</f>
        <v>21.153612503332415</v>
      </c>
      <c r="J795" s="2">
        <f ca="1">IF(Iterations[[#This Row],[Step]] =current_step, current_d,IF(Iterations[[#This Row],[Step]] &gt; current_step, "",Iterations[[#This Row],[d]]))</f>
        <v>1.1998260710451893</v>
      </c>
      <c r="K795" s="2">
        <f ca="1">IF(Iterations[[#This Row],[Step]] =current_step, current_e,IF(Iterations[[#This Row],[Step]] &gt; current_step, "",Iterations[[#This Row],[e]]))</f>
        <v>11.337207756324766</v>
      </c>
      <c r="L795" s="2">
        <f ca="1">IF(Iterations[[#This Row],[Step]] =current_step, current_Total_Loss,IF(Iterations[[#This Row],[Step]] &gt; current_step, "",Iterations[[#This Row],[Total Loss]]))</f>
        <v>90.47</v>
      </c>
      <c r="M795" s="6" t="s">
        <v>27</v>
      </c>
      <c r="N795" s="2">
        <f ca="1">IF(Iterations[[#This Row],[Step]] =current_step, current_Grad_a,IF(Iterations[[#This Row],[Step]] &gt; current_step, "",Iterations[[#This Row],[Grad_a]]))</f>
        <v>6.5448886056074483E-3</v>
      </c>
      <c r="O795" s="2">
        <f ca="1">IF(Iterations[[#This Row],[Step]] =current_step, current_Grad_b,IF(Iterations[[#This Row],[Step]] &gt; current_step, "",Iterations[[#This Row],[Grad_b]]))</f>
        <v>1.1411742730441778E-3</v>
      </c>
      <c r="P795" s="2">
        <f ca="1">IF(Iterations[[#This Row],[Step]] =current_step, current_Grad_c,IF(Iterations[[#This Row],[Step]] &gt; current_step, "",Iterations[[#This Row],[Grad_c]]))</f>
        <v>-1.8359203144960548E-2</v>
      </c>
      <c r="Q795" s="2">
        <f ca="1">IF(Iterations[[#This Row],[Step]] =current_step, current_Grad_d,IF(Iterations[[#This Row],[Step]] &gt; current_step, "",Iterations[[#This Row],[Grad_d]]))</f>
        <v>-1.0479776572402215E-3</v>
      </c>
      <c r="R795" s="2">
        <f ca="1">IF(Iterations[[#This Row],[Step]] =current_step, current_Grad_e,IF(Iterations[[#This Row],[Step]] &gt; current_step, "",Iterations[[#This Row],[Grad_e]]))</f>
        <v>6.5474179918485476E-3</v>
      </c>
    </row>
    <row r="796" spans="6:18" x14ac:dyDescent="0.3">
      <c r="F796" s="2">
        <f t="shared" si="14"/>
        <v>779</v>
      </c>
      <c r="G796" s="2">
        <f ca="1">IF(Iterations[[#This Row],[Step]] =current_step, current_a,IF(Iterations[[#This Row],[Step]] &gt; current_step, "",Iterations[[#This Row],[a]]))</f>
        <v>-7.2433099910692302</v>
      </c>
      <c r="H796" s="2">
        <f ca="1">IF(Iterations[[#This Row],[Step]] =current_step, current_b,IF(Iterations[[#This Row],[Step]] &gt; current_step, "",Iterations[[#This Row],[b]]))</f>
        <v>0.35367218934791927</v>
      </c>
      <c r="I796" s="2">
        <f ca="1">IF(Iterations[[#This Row],[Step]] =current_step, current_c,IF(Iterations[[#This Row],[Step]] &gt; current_step, "",Iterations[[#This Row],[c]]))</f>
        <v>21.154897647552563</v>
      </c>
      <c r="J796" s="2">
        <f ca="1">IF(Iterations[[#This Row],[Step]] =current_step, current_d,IF(Iterations[[#This Row],[Step]] &gt; current_step, "",Iterations[[#This Row],[d]]))</f>
        <v>1.1998994294811962</v>
      </c>
      <c r="K796" s="2">
        <f ca="1">IF(Iterations[[#This Row],[Step]] =current_step, current_e,IF(Iterations[[#This Row],[Step]] &gt; current_step, "",Iterations[[#This Row],[e]]))</f>
        <v>11.336749437065336</v>
      </c>
      <c r="L796" s="2">
        <f ca="1">IF(Iterations[[#This Row],[Step]] =current_step, current_Total_Loss,IF(Iterations[[#This Row],[Step]] &gt; current_step, "",Iterations[[#This Row],[Total Loss]]))</f>
        <v>90.47</v>
      </c>
      <c r="M796" s="6" t="s">
        <v>27</v>
      </c>
      <c r="N796" s="2">
        <f ca="1">IF(Iterations[[#This Row],[Step]] =current_step, current_Grad_a,IF(Iterations[[#This Row],[Step]] &gt; current_step, "",Iterations[[#This Row],[Grad_a]]))</f>
        <v>6.500598710820032E-3</v>
      </c>
      <c r="O796" s="2">
        <f ca="1">IF(Iterations[[#This Row],[Step]] =current_step, current_Grad_b,IF(Iterations[[#This Row],[Step]] &gt; current_step, "",Iterations[[#This Row],[Grad_b]]))</f>
        <v>1.1334552703347661E-3</v>
      </c>
      <c r="P796" s="2">
        <f ca="1">IF(Iterations[[#This Row],[Step]] =current_step, current_Grad_c,IF(Iterations[[#This Row],[Step]] &gt; current_step, "",Iterations[[#This Row],[Grad_c]]))</f>
        <v>-1.8234963957517114E-2</v>
      </c>
      <c r="Q796" s="2">
        <f ca="1">IF(Iterations[[#This Row],[Step]] =current_step, current_Grad_d,IF(Iterations[[#This Row],[Step]] &gt; current_step, "",Iterations[[#This Row],[Grad_d]]))</f>
        <v>-1.0408931731169277E-3</v>
      </c>
      <c r="R796" s="2">
        <f ca="1">IF(Iterations[[#This Row],[Step]] =current_step, current_Grad_e,IF(Iterations[[#This Row],[Step]] &gt; current_step, "",Iterations[[#This Row],[Grad_e]]))</f>
        <v>6.5031106339742527E-3</v>
      </c>
    </row>
    <row r="797" spans="6:18" x14ac:dyDescent="0.3">
      <c r="F797" s="2">
        <f t="shared" si="14"/>
        <v>780</v>
      </c>
      <c r="G797" s="2">
        <f ca="1">IF(Iterations[[#This Row],[Step]] =current_step, current_a,IF(Iterations[[#This Row],[Step]] &gt; current_step, "",Iterations[[#This Row],[a]]))</f>
        <v>-7.2437650329789873</v>
      </c>
      <c r="H797" s="2">
        <f ca="1">IF(Iterations[[#This Row],[Step]] =current_step, current_b,IF(Iterations[[#This Row],[Step]] &gt; current_step, "",Iterations[[#This Row],[b]]))</f>
        <v>0.35359284747899583</v>
      </c>
      <c r="I797" s="2">
        <f ca="1">IF(Iterations[[#This Row],[Step]] =current_step, current_c,IF(Iterations[[#This Row],[Step]] &gt; current_step, "",Iterations[[#This Row],[c]]))</f>
        <v>21.156174095029588</v>
      </c>
      <c r="J797" s="2">
        <f ca="1">IF(Iterations[[#This Row],[Step]] =current_step, current_d,IF(Iterations[[#This Row],[Step]] &gt; current_step, "",Iterations[[#This Row],[d]]))</f>
        <v>1.1999722920033145</v>
      </c>
      <c r="K797" s="2">
        <f ca="1">IF(Iterations[[#This Row],[Step]] =current_step, current_e,IF(Iterations[[#This Row],[Step]] &gt; current_step, "",Iterations[[#This Row],[e]]))</f>
        <v>11.336294219320958</v>
      </c>
      <c r="L797" s="2">
        <f ca="1">IF(Iterations[[#This Row],[Step]] =current_step, current_Total_Loss,IF(Iterations[[#This Row],[Step]] &gt; current_step, "",Iterations[[#This Row],[Total Loss]]))</f>
        <v>90.47</v>
      </c>
      <c r="M797" s="6" t="s">
        <v>27</v>
      </c>
      <c r="N797" s="2">
        <f ca="1">IF(Iterations[[#This Row],[Step]] =current_step, current_Grad_a,IF(Iterations[[#This Row],[Step]] &gt; current_step, "",Iterations[[#This Row],[Grad_a]]))</f>
        <v>6.4566085293634107E-3</v>
      </c>
      <c r="O797" s="2">
        <f ca="1">IF(Iterations[[#This Row],[Step]] =current_step, current_Grad_b,IF(Iterations[[#This Row],[Step]] &gt; current_step, "",Iterations[[#This Row],[Grad_b]]))</f>
        <v>1.125788441589812E-3</v>
      </c>
      <c r="P797" s="2">
        <f ca="1">IF(Iterations[[#This Row],[Step]] =current_step, current_Grad_c,IF(Iterations[[#This Row],[Step]] &gt; current_step, "",Iterations[[#This Row],[Grad_c]]))</f>
        <v>-1.8111565519346992E-2</v>
      </c>
      <c r="Q797" s="2">
        <f ca="1">IF(Iterations[[#This Row],[Step]] =current_step, current_Grad_d,IF(Iterations[[#This Row],[Step]] &gt; current_step, "",Iterations[[#This Row],[Grad_d]]))</f>
        <v>-1.0338565005125508E-3</v>
      </c>
      <c r="R797" s="2">
        <f ca="1">IF(Iterations[[#This Row],[Step]] =current_step, current_Grad_e,IF(Iterations[[#This Row],[Step]] &gt; current_step, "",Iterations[[#This Row],[Grad_e]]))</f>
        <v>6.4591031138811301E-3</v>
      </c>
    </row>
    <row r="798" spans="6:18" x14ac:dyDescent="0.3">
      <c r="F798" s="2">
        <f t="shared" si="14"/>
        <v>781</v>
      </c>
      <c r="G798" s="2">
        <f ca="1">IF(Iterations[[#This Row],[Step]] =current_step, current_a,IF(Iterations[[#This Row],[Step]] &gt; current_step, "",Iterations[[#This Row],[a]]))</f>
        <v>-7.2442169955760427</v>
      </c>
      <c r="H798" s="2">
        <f ca="1">IF(Iterations[[#This Row],[Step]] =current_step, current_b,IF(Iterations[[#This Row],[Step]] &gt; current_step, "",Iterations[[#This Row],[b]]))</f>
        <v>0.35351404228808453</v>
      </c>
      <c r="I798" s="2">
        <f ca="1">IF(Iterations[[#This Row],[Step]] =current_step, current_c,IF(Iterations[[#This Row],[Step]] &gt; current_step, "",Iterations[[#This Row],[c]]))</f>
        <v>21.157441904615943</v>
      </c>
      <c r="J798" s="2">
        <f ca="1">IF(Iterations[[#This Row],[Step]] =current_step, current_d,IF(Iterations[[#This Row],[Step]] &gt; current_step, "",Iterations[[#This Row],[d]]))</f>
        <v>1.2000446619583502</v>
      </c>
      <c r="K798" s="2">
        <f ca="1">IF(Iterations[[#This Row],[Step]] =current_step, current_e,IF(Iterations[[#This Row],[Step]] &gt; current_step, "",Iterations[[#This Row],[e]]))</f>
        <v>11.335842082102987</v>
      </c>
      <c r="L798" s="2">
        <f ca="1">IF(Iterations[[#This Row],[Step]] =current_step, current_Total_Loss,IF(Iterations[[#This Row],[Step]] &gt; current_step, "",Iterations[[#This Row],[Total Loss]]))</f>
        <v>90.46</v>
      </c>
      <c r="M798" s="6" t="s">
        <v>27</v>
      </c>
      <c r="N798" s="2">
        <f ca="1">IF(Iterations[[#This Row],[Step]] =current_step, current_Grad_a,IF(Iterations[[#This Row],[Step]] &gt; current_step, "",Iterations[[#This Row],[Grad_a]]))</f>
        <v>6.4129160333214787E-3</v>
      </c>
      <c r="O798" s="2">
        <f ca="1">IF(Iterations[[#This Row],[Step]] =current_step, current_Grad_b,IF(Iterations[[#This Row],[Step]] &gt; current_step, "",Iterations[[#This Row],[Grad_b]]))</f>
        <v>1.1181734348027187E-3</v>
      </c>
      <c r="P798" s="2">
        <f ca="1">IF(Iterations[[#This Row],[Step]] =current_step, current_Grad_c,IF(Iterations[[#This Row],[Step]] &gt; current_step, "",Iterations[[#This Row],[Grad_c]]))</f>
        <v>-1.7989002140732759E-2</v>
      </c>
      <c r="Q798" s="2">
        <f ca="1">IF(Iterations[[#This Row],[Step]] =current_step, current_Grad_d,IF(Iterations[[#This Row],[Step]] &gt; current_step, "",Iterations[[#This Row],[Grad_d]]))</f>
        <v>-1.0268673182071758E-3</v>
      </c>
      <c r="R798" s="2">
        <f ca="1">IF(Iterations[[#This Row],[Step]] =current_step, current_Grad_e,IF(Iterations[[#This Row],[Step]] &gt; current_step, "",Iterations[[#This Row],[Grad_e]]))</f>
        <v>6.4153934024905445E-3</v>
      </c>
    </row>
    <row r="799" spans="6:18" x14ac:dyDescent="0.3">
      <c r="F799" s="2">
        <f t="shared" si="14"/>
        <v>782</v>
      </c>
      <c r="G799" s="2">
        <f ca="1">IF(Iterations[[#This Row],[Step]] =current_step, current_a,IF(Iterations[[#This Row],[Step]] &gt; current_step, "",Iterations[[#This Row],[a]]))</f>
        <v>-7.2446658996983748</v>
      </c>
      <c r="H799" s="2">
        <f ca="1">IF(Iterations[[#This Row],[Step]] =current_step, current_b,IF(Iterations[[#This Row],[Step]] &gt; current_step, "",Iterations[[#This Row],[b]]))</f>
        <v>0.35343577014764832</v>
      </c>
      <c r="I799" s="2">
        <f ca="1">IF(Iterations[[#This Row],[Step]] =current_step, current_c,IF(Iterations[[#This Row],[Step]] &gt; current_step, "",Iterations[[#This Row],[c]]))</f>
        <v>21.158701134765796</v>
      </c>
      <c r="J799" s="2">
        <f ca="1">IF(Iterations[[#This Row],[Step]] =current_step, current_d,IF(Iterations[[#This Row],[Step]] &gt; current_step, "",Iterations[[#This Row],[d]]))</f>
        <v>1.2001165426706248</v>
      </c>
      <c r="K799" s="2">
        <f ca="1">IF(Iterations[[#This Row],[Step]] =current_step, current_e,IF(Iterations[[#This Row],[Step]] &gt; current_step, "",Iterations[[#This Row],[e]]))</f>
        <v>11.335393004564812</v>
      </c>
      <c r="L799" s="2">
        <f ca="1">IF(Iterations[[#This Row],[Step]] =current_step, current_Total_Loss,IF(Iterations[[#This Row],[Step]] &gt; current_step, "",Iterations[[#This Row],[Total Loss]]))</f>
        <v>90.46</v>
      </c>
      <c r="M799" s="6" t="s">
        <v>27</v>
      </c>
      <c r="N799" s="2">
        <f ca="1">IF(Iterations[[#This Row],[Step]] =current_step, current_Grad_a,IF(Iterations[[#This Row],[Step]] &gt; current_step, "",Iterations[[#This Row],[Grad_a]]))</f>
        <v>6.3695192079804069E-3</v>
      </c>
      <c r="O799" s="2">
        <f ca="1">IF(Iterations[[#This Row],[Step]] =current_step, current_Grad_b,IF(Iterations[[#This Row],[Step]] &gt; current_step, "",Iterations[[#This Row],[Grad_b]]))</f>
        <v>1.1106099003841902E-3</v>
      </c>
      <c r="P799" s="2">
        <f ca="1">IF(Iterations[[#This Row],[Step]] =current_step, current_Grad_c,IF(Iterations[[#This Row],[Step]] &gt; current_step, "",Iterations[[#This Row],[Grad_c]]))</f>
        <v>-1.7867268170680257E-2</v>
      </c>
      <c r="Q799" s="2">
        <f ca="1">IF(Iterations[[#This Row],[Step]] =current_step, current_Grad_d,IF(Iterations[[#This Row],[Step]] &gt; current_step, "",Iterations[[#This Row],[Grad_d]]))</f>
        <v>-1.0199253070991194E-3</v>
      </c>
      <c r="R799" s="2">
        <f ca="1">IF(Iterations[[#This Row],[Step]] =current_step, current_Grad_e,IF(Iterations[[#This Row],[Step]] &gt; current_step, "",Iterations[[#This Row],[Grad_e]]))</f>
        <v>6.371979484353159E-3</v>
      </c>
    </row>
    <row r="800" spans="6:18" x14ac:dyDescent="0.3">
      <c r="F800" s="2">
        <f t="shared" si="14"/>
        <v>783</v>
      </c>
      <c r="G800" s="2">
        <f ca="1">IF(Iterations[[#This Row],[Step]] =current_step, current_a,IF(Iterations[[#This Row],[Step]] &gt; current_step, "",Iterations[[#This Row],[a]]))</f>
        <v>-7.2451117660429336</v>
      </c>
      <c r="H800" s="2">
        <f ca="1">IF(Iterations[[#This Row],[Step]] =current_step, current_b,IF(Iterations[[#This Row],[Step]] &gt; current_step, "",Iterations[[#This Row],[b]]))</f>
        <v>0.35335802745462142</v>
      </c>
      <c r="I800" s="2">
        <f ca="1">IF(Iterations[[#This Row],[Step]] =current_step, current_c,IF(Iterations[[#This Row],[Step]] &gt; current_step, "",Iterations[[#This Row],[c]]))</f>
        <v>21.159951843537744</v>
      </c>
      <c r="J800" s="2">
        <f ca="1">IF(Iterations[[#This Row],[Step]] =current_step, current_d,IF(Iterations[[#This Row],[Step]] &gt; current_step, "",Iterations[[#This Row],[d]]))</f>
        <v>1.2001879374421218</v>
      </c>
      <c r="K800" s="2">
        <f ca="1">IF(Iterations[[#This Row],[Step]] =current_step, current_e,IF(Iterations[[#This Row],[Step]] &gt; current_step, "",Iterations[[#This Row],[e]]))</f>
        <v>11.334946966000908</v>
      </c>
      <c r="L800" s="2">
        <f ca="1">IF(Iterations[[#This Row],[Step]] =current_step, current_Total_Loss,IF(Iterations[[#This Row],[Step]] &gt; current_step, "",Iterations[[#This Row],[Total Loss]]))</f>
        <v>90.46</v>
      </c>
      <c r="M800" s="6" t="s">
        <v>27</v>
      </c>
      <c r="N800" s="2">
        <f ca="1">IF(Iterations[[#This Row],[Step]] =current_step, current_Grad_a,IF(Iterations[[#This Row],[Step]] &gt; current_step, "",Iterations[[#This Row],[Grad_a]]))</f>
        <v>6.3264160527652814E-3</v>
      </c>
      <c r="O800" s="2">
        <f ca="1">IF(Iterations[[#This Row],[Step]] =current_step, current_Grad_b,IF(Iterations[[#This Row],[Step]] &gt; current_step, "",Iterations[[#This Row],[Grad_b]]))</f>
        <v>1.1030974910493097E-3</v>
      </c>
      <c r="P800" s="2">
        <f ca="1">IF(Iterations[[#This Row],[Step]] =current_step, current_Grad_c,IF(Iterations[[#This Row],[Step]] &gt; current_step, "",Iterations[[#This Row],[Grad_c]]))</f>
        <v>-1.77463579962251E-2</v>
      </c>
      <c r="Q800" s="2">
        <f ca="1">IF(Iterations[[#This Row],[Step]] =current_step, current_Grad_d,IF(Iterations[[#This Row],[Step]] &gt; current_step, "",Iterations[[#This Row],[Grad_d]]))</f>
        <v>-1.0130301502120724E-3</v>
      </c>
      <c r="R800" s="2">
        <f ca="1">IF(Iterations[[#This Row],[Step]] =current_step, current_Grad_e,IF(Iterations[[#This Row],[Step]] &gt; current_step, "",Iterations[[#This Row],[Grad_e]]))</f>
        <v>6.3288593577668605E-3</v>
      </c>
    </row>
    <row r="801" spans="6:18" x14ac:dyDescent="0.3">
      <c r="F801" s="2">
        <f t="shared" si="14"/>
        <v>784</v>
      </c>
      <c r="G801" s="2">
        <f ca="1">IF(Iterations[[#This Row],[Step]] =current_step, current_a,IF(Iterations[[#This Row],[Step]] &gt; current_step, "",Iterations[[#This Row],[a]]))</f>
        <v>-7.2455546151666272</v>
      </c>
      <c r="H801" s="2">
        <f ca="1">IF(Iterations[[#This Row],[Step]] =current_step, current_b,IF(Iterations[[#This Row],[Step]] &gt; current_step, "",Iterations[[#This Row],[b]]))</f>
        <v>0.35328081063024797</v>
      </c>
      <c r="I801" s="2">
        <f ca="1">IF(Iterations[[#This Row],[Step]] =current_step, current_c,IF(Iterations[[#This Row],[Step]] &gt; current_step, "",Iterations[[#This Row],[c]]))</f>
        <v>21.16119408859748</v>
      </c>
      <c r="J801" s="2">
        <f ca="1">IF(Iterations[[#This Row],[Step]] =current_step, current_d,IF(Iterations[[#This Row],[Step]] &gt; current_step, "",Iterations[[#This Row],[d]]))</f>
        <v>1.2002588495526367</v>
      </c>
      <c r="K801" s="2">
        <f ca="1">IF(Iterations[[#This Row],[Step]] =current_step, current_e,IF(Iterations[[#This Row],[Step]] &gt; current_step, "",Iterations[[#This Row],[e]]))</f>
        <v>11.334503945845864</v>
      </c>
      <c r="L801" s="2">
        <f ca="1">IF(Iterations[[#This Row],[Step]] =current_step, current_Total_Loss,IF(Iterations[[#This Row],[Step]] &gt; current_step, "",Iterations[[#This Row],[Total Loss]]))</f>
        <v>90.46</v>
      </c>
      <c r="M801" s="6" t="s">
        <v>27</v>
      </c>
      <c r="N801" s="2">
        <f ca="1">IF(Iterations[[#This Row],[Step]] =current_step, current_Grad_a,IF(Iterations[[#This Row],[Step]] &gt; current_step, "",Iterations[[#This Row],[Grad_a]]))</f>
        <v>6.2836045801321445E-3</v>
      </c>
      <c r="O801" s="2">
        <f ca="1">IF(Iterations[[#This Row],[Step]] =current_step, current_Grad_b,IF(Iterations[[#This Row],[Step]] &gt; current_step, "",Iterations[[#This Row],[Grad_b]]))</f>
        <v>1.0956358619038653E-3</v>
      </c>
      <c r="P801" s="2">
        <f ca="1">IF(Iterations[[#This Row],[Step]] =current_step, current_Grad_c,IF(Iterations[[#This Row],[Step]] &gt; current_step, "",Iterations[[#This Row],[Grad_c]]))</f>
        <v>-1.7626266042604383E-2</v>
      </c>
      <c r="Q801" s="2">
        <f ca="1">IF(Iterations[[#This Row],[Step]] =current_step, current_Grad_d,IF(Iterations[[#This Row],[Step]] &gt; current_step, "",Iterations[[#This Row],[Grad_d]]))</f>
        <v>-1.0061815326631862E-3</v>
      </c>
      <c r="R801" s="2">
        <f ca="1">IF(Iterations[[#This Row],[Step]] =current_step, current_Grad_e,IF(Iterations[[#This Row],[Step]] &gt; current_step, "",Iterations[[#This Row],[Grad_e]]))</f>
        <v>6.2860310344673804E-3</v>
      </c>
    </row>
    <row r="802" spans="6:18" x14ac:dyDescent="0.3">
      <c r="F802" s="2">
        <f t="shared" si="14"/>
        <v>785</v>
      </c>
      <c r="G802" s="2">
        <f ca="1">IF(Iterations[[#This Row],[Step]] =current_step, current_a,IF(Iterations[[#This Row],[Step]] &gt; current_step, "",Iterations[[#This Row],[a]]))</f>
        <v>-7.2459944674872361</v>
      </c>
      <c r="H802" s="2">
        <f ca="1">IF(Iterations[[#This Row],[Step]] =current_step, current_b,IF(Iterations[[#This Row],[Step]] &gt; current_step, "",Iterations[[#This Row],[b]]))</f>
        <v>0.3532041161199147</v>
      </c>
      <c r="I802" s="2">
        <f ca="1">IF(Iterations[[#This Row],[Step]] =current_step, current_c,IF(Iterations[[#This Row],[Step]] &gt; current_step, "",Iterations[[#This Row],[c]]))</f>
        <v>21.162427927220463</v>
      </c>
      <c r="J802" s="2">
        <f ca="1">IF(Iterations[[#This Row],[Step]] =current_step, current_d,IF(Iterations[[#This Row],[Step]] &gt; current_step, "",Iterations[[#This Row],[d]]))</f>
        <v>1.2003292822599232</v>
      </c>
      <c r="K802" s="2">
        <f ca="1">IF(Iterations[[#This Row],[Step]] =current_step, current_e,IF(Iterations[[#This Row],[Step]] &gt; current_step, "",Iterations[[#This Row],[e]]))</f>
        <v>11.334063923673451</v>
      </c>
      <c r="L802" s="2">
        <f ca="1">IF(Iterations[[#This Row],[Step]] =current_step, current_Total_Loss,IF(Iterations[[#This Row],[Step]] &gt; current_step, "",Iterations[[#This Row],[Total Loss]]))</f>
        <v>90.46</v>
      </c>
      <c r="M802" s="6" t="s">
        <v>27</v>
      </c>
      <c r="N802" s="2">
        <f ca="1">IF(Iterations[[#This Row],[Step]] =current_step, current_Grad_a,IF(Iterations[[#This Row],[Step]] &gt; current_step, "",Iterations[[#This Row],[Grad_a]]))</f>
        <v>6.2410828165675447E-3</v>
      </c>
      <c r="O802" s="2">
        <f ca="1">IF(Iterations[[#This Row],[Step]] =current_step, current_Grad_b,IF(Iterations[[#This Row],[Step]] &gt; current_step, "",Iterations[[#This Row],[Grad_b]]))</f>
        <v>1.0882246702560068E-3</v>
      </c>
      <c r="P802" s="2">
        <f ca="1">IF(Iterations[[#This Row],[Step]] =current_step, current_Grad_c,IF(Iterations[[#This Row],[Step]] &gt; current_step, "",Iterations[[#This Row],[Grad_c]]))</f>
        <v>-1.7506986772538331E-2</v>
      </c>
      <c r="Q802" s="2">
        <f ca="1">IF(Iterations[[#This Row],[Step]] =current_step, current_Grad_d,IF(Iterations[[#This Row],[Step]] &gt; current_step, "",Iterations[[#This Row],[Grad_d]]))</f>
        <v>-9.9937914169453035E-4</v>
      </c>
      <c r="R802" s="2">
        <f ca="1">IF(Iterations[[#This Row],[Step]] =current_step, current_Grad_e,IF(Iterations[[#This Row],[Step]] &gt; current_step, "",Iterations[[#This Row],[Grad_e]]))</f>
        <v>6.2434925397718798E-3</v>
      </c>
    </row>
    <row r="803" spans="6:18" x14ac:dyDescent="0.3">
      <c r="F803" s="2">
        <f t="shared" si="14"/>
        <v>786</v>
      </c>
      <c r="G803" s="2">
        <f ca="1">IF(Iterations[[#This Row],[Step]] =current_step, current_a,IF(Iterations[[#This Row],[Step]] &gt; current_step, "",Iterations[[#This Row],[a]]))</f>
        <v>-7.2464313432843959</v>
      </c>
      <c r="H803" s="2">
        <f ca="1">IF(Iterations[[#This Row],[Step]] =current_step, current_b,IF(Iterations[[#This Row],[Step]] &gt; current_step, "",Iterations[[#This Row],[b]]))</f>
        <v>0.35312794039299678</v>
      </c>
      <c r="I803" s="2">
        <f ca="1">IF(Iterations[[#This Row],[Step]] =current_step, current_c,IF(Iterations[[#This Row],[Step]] &gt; current_step, "",Iterations[[#This Row],[c]]))</f>
        <v>21.16365341629454</v>
      </c>
      <c r="J803" s="2">
        <f ca="1">IF(Iterations[[#This Row],[Step]] =current_step, current_d,IF(Iterations[[#This Row],[Step]] &gt; current_step, "",Iterations[[#This Row],[d]]))</f>
        <v>1.2003992387998419</v>
      </c>
      <c r="K803" s="2">
        <f ca="1">IF(Iterations[[#This Row],[Step]] =current_step, current_e,IF(Iterations[[#This Row],[Step]] &gt; current_step, "",Iterations[[#This Row],[e]]))</f>
        <v>11.333626879195666</v>
      </c>
      <c r="L803" s="2">
        <f ca="1">IF(Iterations[[#This Row],[Step]] =current_step, current_Total_Loss,IF(Iterations[[#This Row],[Step]] &gt; current_step, "",Iterations[[#This Row],[Total Loss]]))</f>
        <v>90.46</v>
      </c>
      <c r="M803" s="6" t="s">
        <v>27</v>
      </c>
      <c r="N803" s="2">
        <f ca="1">IF(Iterations[[#This Row],[Step]] =current_step, current_Grad_a,IF(Iterations[[#This Row],[Step]] &gt; current_step, "",Iterations[[#This Row],[Grad_a]]))</f>
        <v>6.1988488012339653E-3</v>
      </c>
      <c r="O803" s="2">
        <f ca="1">IF(Iterations[[#This Row],[Step]] =current_step, current_Grad_b,IF(Iterations[[#This Row],[Step]] &gt; current_step, "",Iterations[[#This Row],[Grad_b]]))</f>
        <v>1.0808635758834889E-3</v>
      </c>
      <c r="P803" s="2">
        <f ca="1">IF(Iterations[[#This Row],[Step]] =current_step, current_Grad_c,IF(Iterations[[#This Row],[Step]] &gt; current_step, "",Iterations[[#This Row],[Grad_c]]))</f>
        <v>-1.7388514686506484E-2</v>
      </c>
      <c r="Q803" s="2">
        <f ca="1">IF(Iterations[[#This Row],[Step]] =current_step, current_Grad_d,IF(Iterations[[#This Row],[Step]] &gt; current_step, "",Iterations[[#This Row],[Grad_d]]))</f>
        <v>-9.9262266656849644E-4</v>
      </c>
      <c r="R803" s="2">
        <f ca="1">IF(Iterations[[#This Row],[Step]] =current_step, current_Grad_e,IF(Iterations[[#This Row],[Step]] &gt; current_step, "",Iterations[[#This Row],[Grad_e]]))</f>
        <v>6.2012419122175659E-3</v>
      </c>
    </row>
    <row r="804" spans="6:18" x14ac:dyDescent="0.3">
      <c r="F804" s="2">
        <f t="shared" si="14"/>
        <v>787</v>
      </c>
      <c r="G804" s="2">
        <f ca="1">IF(Iterations[[#This Row],[Step]] =current_step, current_a,IF(Iterations[[#This Row],[Step]] &gt; current_step, "",Iterations[[#This Row],[a]]))</f>
        <v>-7.2468652627004824</v>
      </c>
      <c r="H804" s="2">
        <f ca="1">IF(Iterations[[#This Row],[Step]] =current_step, current_b,IF(Iterations[[#This Row],[Step]] &gt; current_step, "",Iterations[[#This Row],[b]]))</f>
        <v>0.35305227994268495</v>
      </c>
      <c r="I804" s="2">
        <f ca="1">IF(Iterations[[#This Row],[Step]] =current_step, current_c,IF(Iterations[[#This Row],[Step]] &gt; current_step, "",Iterations[[#This Row],[c]]))</f>
        <v>21.164870612322595</v>
      </c>
      <c r="J804" s="2">
        <f ca="1">IF(Iterations[[#This Row],[Step]] =current_step, current_d,IF(Iterations[[#This Row],[Step]] &gt; current_step, "",Iterations[[#This Row],[d]]))</f>
        <v>1.2004687223865016</v>
      </c>
      <c r="K804" s="2">
        <f ca="1">IF(Iterations[[#This Row],[Step]] =current_step, current_e,IF(Iterations[[#This Row],[Step]] &gt; current_step, "",Iterations[[#This Row],[e]]))</f>
        <v>11.33319279226181</v>
      </c>
      <c r="L804" s="2">
        <f ca="1">IF(Iterations[[#This Row],[Step]] =current_step, current_Total_Loss,IF(Iterations[[#This Row],[Step]] &gt; current_step, "",Iterations[[#This Row],[Total Loss]]))</f>
        <v>90.46</v>
      </c>
      <c r="M804" s="6" t="s">
        <v>27</v>
      </c>
      <c r="N804" s="2">
        <f ca="1">IF(Iterations[[#This Row],[Step]] =current_step, current_Grad_a,IF(Iterations[[#This Row],[Step]] &gt; current_step, "",Iterations[[#This Row],[Grad_a]]))</f>
        <v>6.1569005872639006E-3</v>
      </c>
      <c r="O804" s="2">
        <f ca="1">IF(Iterations[[#This Row],[Step]] =current_step, current_Grad_b,IF(Iterations[[#This Row],[Step]] &gt; current_step, "",Iterations[[#This Row],[Grad_b]]))</f>
        <v>1.0735522406827415E-3</v>
      </c>
      <c r="P804" s="2">
        <f ca="1">IF(Iterations[[#This Row],[Step]] =current_step, current_Grad_c,IF(Iterations[[#This Row],[Step]] &gt; current_step, "",Iterations[[#This Row],[Grad_c]]))</f>
        <v>-1.7270844321910714E-2</v>
      </c>
      <c r="Q804" s="2">
        <f ca="1">IF(Iterations[[#This Row],[Step]] =current_step, current_Grad_d,IF(Iterations[[#This Row],[Step]] &gt; current_step, "",Iterations[[#This Row],[Grad_d]]))</f>
        <v>-9.8591179867114757E-4</v>
      </c>
      <c r="R804" s="2">
        <f ca="1">IF(Iterations[[#This Row],[Step]] =current_step, current_Grad_e,IF(Iterations[[#This Row],[Step]] &gt; current_step, "",Iterations[[#This Row],[Grad_e]]))</f>
        <v>6.1592772037650789E-3</v>
      </c>
    </row>
    <row r="805" spans="6:18" x14ac:dyDescent="0.3">
      <c r="F805" s="2">
        <f t="shared" si="14"/>
        <v>788</v>
      </c>
      <c r="G805" s="2">
        <f ca="1">IF(Iterations[[#This Row],[Step]] =current_step, current_a,IF(Iterations[[#This Row],[Step]] &gt; current_step, "",Iterations[[#This Row],[a]]))</f>
        <v>-7.247296245741591</v>
      </c>
      <c r="H805" s="2">
        <f ca="1">IF(Iterations[[#This Row],[Step]] =current_step, current_b,IF(Iterations[[#This Row],[Step]] &gt; current_step, "",Iterations[[#This Row],[b]]))</f>
        <v>0.35297713128583719</v>
      </c>
      <c r="I805" s="2">
        <f ca="1">IF(Iterations[[#This Row],[Step]] =current_step, current_c,IF(Iterations[[#This Row],[Step]] &gt; current_step, "",Iterations[[#This Row],[c]]))</f>
        <v>21.166079571425129</v>
      </c>
      <c r="J805" s="2">
        <f ca="1">IF(Iterations[[#This Row],[Step]] =current_step, current_d,IF(Iterations[[#This Row],[Step]] &gt; current_step, "",Iterations[[#This Row],[d]]))</f>
        <v>1.2005377362124086</v>
      </c>
      <c r="K805" s="2">
        <f ca="1">IF(Iterations[[#This Row],[Step]] =current_step, current_e,IF(Iterations[[#This Row],[Step]] &gt; current_step, "",Iterations[[#This Row],[e]]))</f>
        <v>11.332761642857546</v>
      </c>
      <c r="L805" s="2">
        <f ca="1">IF(Iterations[[#This Row],[Step]] =current_step, current_Total_Loss,IF(Iterations[[#This Row],[Step]] &gt; current_step, "",Iterations[[#This Row],[Total Loss]]))</f>
        <v>90.46</v>
      </c>
      <c r="M805" s="6" t="s">
        <v>27</v>
      </c>
      <c r="N805" s="2">
        <f ca="1">IF(Iterations[[#This Row],[Step]] =current_step, current_Grad_a,IF(Iterations[[#This Row],[Step]] &gt; current_step, "",Iterations[[#This Row],[Grad_a]]))</f>
        <v>6.1152362403899853E-3</v>
      </c>
      <c r="O805" s="2">
        <f ca="1">IF(Iterations[[#This Row],[Step]] =current_step, current_Grad_b,IF(Iterations[[#This Row],[Step]] &gt; current_step, "",Iterations[[#This Row],[Grad_b]]))</f>
        <v>1.0662903289261215E-3</v>
      </c>
      <c r="P805" s="2">
        <f ca="1">IF(Iterations[[#This Row],[Step]] =current_step, current_Grad_c,IF(Iterations[[#This Row],[Step]] &gt; current_step, "",Iterations[[#This Row],[Grad_c]]))</f>
        <v>-1.7153970253366662E-2</v>
      </c>
      <c r="Q805" s="2">
        <f ca="1">IF(Iterations[[#This Row],[Step]] =current_step, current_Grad_d,IF(Iterations[[#This Row],[Step]] &gt; current_step, "",Iterations[[#This Row],[Grad_d]]))</f>
        <v>-9.7924623140542718E-4</v>
      </c>
      <c r="R805" s="2">
        <f ca="1">IF(Iterations[[#This Row],[Step]] =current_step, current_Grad_e,IF(Iterations[[#This Row],[Step]] &gt; current_step, "",Iterations[[#This Row],[Grad_e]]))</f>
        <v>6.1175964794376965E-3</v>
      </c>
    </row>
    <row r="806" spans="6:18" x14ac:dyDescent="0.3">
      <c r="F806" s="2">
        <f t="shared" si="14"/>
        <v>789</v>
      </c>
      <c r="G806" s="2">
        <f ca="1">IF(Iterations[[#This Row],[Step]] =current_step, current_a,IF(Iterations[[#This Row],[Step]] &gt; current_step, "",Iterations[[#This Row],[a]]))</f>
        <v>-7.2477243122784181</v>
      </c>
      <c r="H806" s="2">
        <f ca="1">IF(Iterations[[#This Row],[Step]] =current_step, current_b,IF(Iterations[[#This Row],[Step]] &gt; current_step, "",Iterations[[#This Row],[b]]))</f>
        <v>0.35290249096281234</v>
      </c>
      <c r="I806" s="2">
        <f ca="1">IF(Iterations[[#This Row],[Step]] =current_step, current_c,IF(Iterations[[#This Row],[Step]] &gt; current_step, "",Iterations[[#This Row],[c]]))</f>
        <v>21.167280349342864</v>
      </c>
      <c r="J806" s="2">
        <f ca="1">IF(Iterations[[#This Row],[Step]] =current_step, current_d,IF(Iterations[[#This Row],[Step]] &gt; current_step, "",Iterations[[#This Row],[d]]))</f>
        <v>1.2006062834486069</v>
      </c>
      <c r="K806" s="2">
        <f ca="1">IF(Iterations[[#This Row],[Step]] =current_step, current_e,IF(Iterations[[#This Row],[Step]] &gt; current_step, "",Iterations[[#This Row],[e]]))</f>
        <v>11.332333411103987</v>
      </c>
      <c r="L806" s="2">
        <f ca="1">IF(Iterations[[#This Row],[Step]] =current_step, current_Total_Loss,IF(Iterations[[#This Row],[Step]] &gt; current_step, "",Iterations[[#This Row],[Total Loss]]))</f>
        <v>90.46</v>
      </c>
      <c r="M806" s="6" t="s">
        <v>27</v>
      </c>
      <c r="N806" s="2">
        <f ca="1">IF(Iterations[[#This Row],[Step]] =current_step, current_Grad_a,IF(Iterations[[#This Row],[Step]] &gt; current_step, "",Iterations[[#This Row],[Grad_a]]))</f>
        <v>6.0738538397813674E-3</v>
      </c>
      <c r="O806" s="2">
        <f ca="1">IF(Iterations[[#This Row],[Step]] =current_step, current_Grad_b,IF(Iterations[[#This Row],[Step]] &gt; current_step, "",Iterations[[#This Row],[Grad_b]]))</f>
        <v>1.0590775070887177E-3</v>
      </c>
      <c r="P806" s="2">
        <f ca="1">IF(Iterations[[#This Row],[Step]] =current_step, current_Grad_c,IF(Iterations[[#This Row],[Step]] &gt; current_step, "",Iterations[[#This Row],[Grad_c]]))</f>
        <v>-1.7037887092059372E-2</v>
      </c>
      <c r="Q806" s="2">
        <f ca="1">IF(Iterations[[#This Row],[Step]] =current_step, current_Grad_d,IF(Iterations[[#This Row],[Step]] &gt; current_step, "",Iterations[[#This Row],[Grad_d]]))</f>
        <v>-9.7262566022704444E-4</v>
      </c>
      <c r="R806" s="2">
        <f ca="1">IF(Iterations[[#This Row],[Step]] =current_step, current_Grad_e,IF(Iterations[[#This Row],[Step]] &gt; current_step, "",Iterations[[#This Row],[Grad_e]]))</f>
        <v>6.0761978174262371E-3</v>
      </c>
    </row>
    <row r="807" spans="6:18" x14ac:dyDescent="0.3">
      <c r="F807" s="2">
        <f t="shared" si="14"/>
        <v>790</v>
      </c>
      <c r="G807" s="2">
        <f ca="1">IF(Iterations[[#This Row],[Step]] =current_step, current_a,IF(Iterations[[#This Row],[Step]] &gt; current_step, "",Iterations[[#This Row],[a]]))</f>
        <v>-7.2481494820472028</v>
      </c>
      <c r="H807" s="2">
        <f ca="1">IF(Iterations[[#This Row],[Step]] =current_step, current_b,IF(Iterations[[#This Row],[Step]] &gt; current_step, "",Iterations[[#This Row],[b]]))</f>
        <v>0.35282835553731612</v>
      </c>
      <c r="I807" s="2">
        <f ca="1">IF(Iterations[[#This Row],[Step]] =current_step, current_c,IF(Iterations[[#This Row],[Step]] &gt; current_step, "",Iterations[[#This Row],[c]]))</f>
        <v>21.16847300143931</v>
      </c>
      <c r="J807" s="2">
        <f ca="1">IF(Iterations[[#This Row],[Step]] =current_step, current_d,IF(Iterations[[#This Row],[Step]] &gt; current_step, "",Iterations[[#This Row],[d]]))</f>
        <v>1.2006743672448228</v>
      </c>
      <c r="K807" s="2">
        <f ca="1">IF(Iterations[[#This Row],[Step]] =current_step, current_e,IF(Iterations[[#This Row],[Step]] &gt; current_step, "",Iterations[[#This Row],[e]]))</f>
        <v>11.331908077256767</v>
      </c>
      <c r="L807" s="2">
        <f ca="1">IF(Iterations[[#This Row],[Step]] =current_step, current_Total_Loss,IF(Iterations[[#This Row],[Step]] &gt; current_step, "",Iterations[[#This Row],[Total Loss]]))</f>
        <v>90.46</v>
      </c>
      <c r="M807" s="6" t="s">
        <v>27</v>
      </c>
      <c r="N807" s="2">
        <f ca="1">IF(Iterations[[#This Row],[Step]] =current_step, current_Grad_a,IF(Iterations[[#This Row],[Step]] &gt; current_step, "",Iterations[[#This Row],[Grad_a]]))</f>
        <v>6.0327514774333795E-3</v>
      </c>
      <c r="O807" s="2">
        <f ca="1">IF(Iterations[[#This Row],[Step]] =current_step, current_Grad_b,IF(Iterations[[#This Row],[Step]] &gt; current_step, "",Iterations[[#This Row],[Grad_b]]))</f>
        <v>1.0519134439316662E-3</v>
      </c>
      <c r="P807" s="2">
        <f ca="1">IF(Iterations[[#This Row],[Step]] =current_step, current_Grad_c,IF(Iterations[[#This Row],[Step]] &gt; current_step, "",Iterations[[#This Row],[Grad_c]]))</f>
        <v>-1.6922589485709422E-2</v>
      </c>
      <c r="Q807" s="2">
        <f ca="1">IF(Iterations[[#This Row],[Step]] =current_step, current_Grad_d,IF(Iterations[[#This Row],[Step]] &gt; current_step, "",Iterations[[#This Row],[Grad_d]]))</f>
        <v>-9.6604978260233447E-4</v>
      </c>
      <c r="R807" s="2">
        <f ca="1">IF(Iterations[[#This Row],[Step]] =current_step, current_Grad_e,IF(Iterations[[#This Row],[Step]] &gt; current_step, "",Iterations[[#This Row],[Grad_e]]))</f>
        <v>6.0350793088989919E-3</v>
      </c>
    </row>
    <row r="808" spans="6:18" x14ac:dyDescent="0.3">
      <c r="F808" s="2">
        <f t="shared" si="14"/>
        <v>791</v>
      </c>
      <c r="G808" s="2">
        <f ca="1">IF(Iterations[[#This Row],[Step]] =current_step, current_a,IF(Iterations[[#This Row],[Step]] &gt; current_step, "",Iterations[[#This Row],[a]]))</f>
        <v>-7.2485717746506229</v>
      </c>
      <c r="H808" s="2">
        <f ca="1">IF(Iterations[[#This Row],[Step]] =current_step, current_b,IF(Iterations[[#This Row],[Step]] &gt; current_step, "",Iterations[[#This Row],[b]]))</f>
        <v>0.35275472159624088</v>
      </c>
      <c r="I808" s="2">
        <f ca="1">IF(Iterations[[#This Row],[Step]] =current_step, current_c,IF(Iterations[[#This Row],[Step]] &gt; current_step, "",Iterations[[#This Row],[c]]))</f>
        <v>21.169657582703309</v>
      </c>
      <c r="J808" s="2">
        <f ca="1">IF(Iterations[[#This Row],[Step]] =current_step, current_d,IF(Iterations[[#This Row],[Step]] &gt; current_step, "",Iterations[[#This Row],[d]]))</f>
        <v>1.2007419907296049</v>
      </c>
      <c r="K808" s="2">
        <f ca="1">IF(Iterations[[#This Row],[Step]] =current_step, current_e,IF(Iterations[[#This Row],[Step]] &gt; current_step, "",Iterations[[#This Row],[e]]))</f>
        <v>11.331485621705143</v>
      </c>
      <c r="L808" s="2">
        <f ca="1">IF(Iterations[[#This Row],[Step]] =current_step, current_Total_Loss,IF(Iterations[[#This Row],[Step]] &gt; current_step, "",Iterations[[#This Row],[Total Loss]]))</f>
        <v>90.46</v>
      </c>
      <c r="M808" s="6" t="s">
        <v>27</v>
      </c>
      <c r="N808" s="2">
        <f ca="1">IF(Iterations[[#This Row],[Step]] =current_step, current_Grad_a,IF(Iterations[[#This Row],[Step]] &gt; current_step, "",Iterations[[#This Row],[Grad_a]]))</f>
        <v>5.9919272583479864E-3</v>
      </c>
      <c r="O808" s="2">
        <f ca="1">IF(Iterations[[#This Row],[Step]] =current_step, current_Grad_b,IF(Iterations[[#This Row],[Step]] &gt; current_step, "",Iterations[[#This Row],[Grad_b]]))</f>
        <v>1.0447978103808413E-3</v>
      </c>
      <c r="P808" s="2">
        <f ca="1">IF(Iterations[[#This Row],[Step]] =current_step, current_Grad_c,IF(Iterations[[#This Row],[Step]] &gt; current_step, "",Iterations[[#This Row],[Grad_c]]))</f>
        <v>-1.6808072118232369E-2</v>
      </c>
      <c r="Q808" s="2">
        <f ca="1">IF(Iterations[[#This Row],[Step]] =current_step, current_Grad_d,IF(Iterations[[#This Row],[Step]] &gt; current_step, "",Iterations[[#This Row],[Grad_d]]))</f>
        <v>-9.5951829803269599E-4</v>
      </c>
      <c r="R808" s="2">
        <f ca="1">IF(Iterations[[#This Row],[Step]] =current_step, current_Grad_e,IF(Iterations[[#This Row],[Step]] &gt; current_step, "",Iterations[[#This Row],[Grad_e]]))</f>
        <v>5.9942390579480354E-3</v>
      </c>
    </row>
    <row r="809" spans="6:18" x14ac:dyDescent="0.3">
      <c r="F809" s="2">
        <f t="shared" si="14"/>
        <v>792</v>
      </c>
      <c r="G809" s="2">
        <f ca="1">IF(Iterations[[#This Row],[Step]] =current_step, current_a,IF(Iterations[[#This Row],[Step]] &gt; current_step, "",Iterations[[#This Row],[a]]))</f>
        <v>-7.2489912095587075</v>
      </c>
      <c r="H809" s="2">
        <f ca="1">IF(Iterations[[#This Row],[Step]] =current_step, current_b,IF(Iterations[[#This Row],[Step]] &gt; current_step, "",Iterations[[#This Row],[b]]))</f>
        <v>0.35268158574951425</v>
      </c>
      <c r="I809" s="2">
        <f ca="1">IF(Iterations[[#This Row],[Step]] =current_step, current_c,IF(Iterations[[#This Row],[Step]] &gt; current_step, "",Iterations[[#This Row],[c]]))</f>
        <v>21.170834147751584</v>
      </c>
      <c r="J809" s="2">
        <f ca="1">IF(Iterations[[#This Row],[Step]] =current_step, current_d,IF(Iterations[[#This Row],[Step]] &gt; current_step, "",Iterations[[#This Row],[d]]))</f>
        <v>1.2008091570104671</v>
      </c>
      <c r="K809" s="2">
        <f ca="1">IF(Iterations[[#This Row],[Step]] =current_step, current_e,IF(Iterations[[#This Row],[Step]] &gt; current_step, "",Iterations[[#This Row],[e]]))</f>
        <v>11.331066024971086</v>
      </c>
      <c r="L809" s="2">
        <f ca="1">IF(Iterations[[#This Row],[Step]] =current_step, current_Total_Loss,IF(Iterations[[#This Row],[Step]] &gt; current_step, "",Iterations[[#This Row],[Total Loss]]))</f>
        <v>90.46</v>
      </c>
      <c r="M809" s="6" t="s">
        <v>27</v>
      </c>
      <c r="N809" s="2">
        <f ca="1">IF(Iterations[[#This Row],[Step]] =current_step, current_Grad_a,IF(Iterations[[#This Row],[Step]] &gt; current_step, "",Iterations[[#This Row],[Grad_a]]))</f>
        <v>5.9513793002854915E-3</v>
      </c>
      <c r="O809" s="2">
        <f ca="1">IF(Iterations[[#This Row],[Step]] =current_step, current_Grad_b,IF(Iterations[[#This Row],[Step]] &gt; current_step, "",Iterations[[#This Row],[Grad_b]]))</f>
        <v>1.0377302796247515E-3</v>
      </c>
      <c r="P809" s="2">
        <f ca="1">IF(Iterations[[#This Row],[Step]] =current_step, current_Grad_c,IF(Iterations[[#This Row],[Step]] &gt; current_step, "",Iterations[[#This Row],[Grad_c]]))</f>
        <v>-1.6694329709536635E-2</v>
      </c>
      <c r="Q809" s="2">
        <f ca="1">IF(Iterations[[#This Row],[Step]] =current_step, current_Grad_d,IF(Iterations[[#This Row],[Step]] &gt; current_step, "",Iterations[[#This Row],[Grad_d]]))</f>
        <v>-9.5303090799647716E-4</v>
      </c>
      <c r="R809" s="2">
        <f ca="1">IF(Iterations[[#This Row],[Step]] =current_step, current_Grad_e,IF(Iterations[[#This Row],[Step]] &gt; current_step, "",Iterations[[#This Row],[Grad_e]]))</f>
        <v>5.9536751814979437E-3</v>
      </c>
    </row>
    <row r="810" spans="6:18" x14ac:dyDescent="0.3">
      <c r="F810" s="2">
        <f t="shared" si="14"/>
        <v>793</v>
      </c>
      <c r="G810" s="2">
        <f ca="1">IF(Iterations[[#This Row],[Step]] =current_step, current_a,IF(Iterations[[#This Row],[Step]] &gt; current_step, "",Iterations[[#This Row],[a]]))</f>
        <v>-7.2494078061097271</v>
      </c>
      <c r="H810" s="2">
        <f ca="1">IF(Iterations[[#This Row],[Step]] =current_step, current_b,IF(Iterations[[#This Row],[Step]] &gt; current_step, "",Iterations[[#This Row],[b]]))</f>
        <v>0.35260894462994052</v>
      </c>
      <c r="I810" s="2">
        <f ca="1">IF(Iterations[[#This Row],[Step]] =current_step, current_c,IF(Iterations[[#This Row],[Step]] &gt; current_step, "",Iterations[[#This Row],[c]]))</f>
        <v>21.17200275083125</v>
      </c>
      <c r="J810" s="2">
        <f ca="1">IF(Iterations[[#This Row],[Step]] =current_step, current_d,IF(Iterations[[#This Row],[Step]] &gt; current_step, "",Iterations[[#This Row],[d]]))</f>
        <v>1.2008758691740269</v>
      </c>
      <c r="K810" s="2">
        <f ca="1">IF(Iterations[[#This Row],[Step]] =current_step, current_e,IF(Iterations[[#This Row],[Step]] &gt; current_step, "",Iterations[[#This Row],[e]]))</f>
        <v>11.330649267708381</v>
      </c>
      <c r="L810" s="2">
        <f ca="1">IF(Iterations[[#This Row],[Step]] =current_step, current_Total_Loss,IF(Iterations[[#This Row],[Step]] &gt; current_step, "",Iterations[[#This Row],[Total Loss]]))</f>
        <v>90.46</v>
      </c>
      <c r="M810" s="6" t="s">
        <v>27</v>
      </c>
      <c r="N810" s="2">
        <f ca="1">IF(Iterations[[#This Row],[Step]] =current_step, current_Grad_a,IF(Iterations[[#This Row],[Step]] &gt; current_step, "",Iterations[[#This Row],[Grad_a]]))</f>
        <v>5.9111057338126433E-3</v>
      </c>
      <c r="O810" s="2">
        <f ca="1">IF(Iterations[[#This Row],[Step]] =current_step, current_Grad_b,IF(Iterations[[#This Row],[Step]] &gt; current_step, "",Iterations[[#This Row],[Grad_b]]))</f>
        <v>1.030710527004751E-3</v>
      </c>
      <c r="P810" s="2">
        <f ca="1">IF(Iterations[[#This Row],[Step]] =current_step, current_Grad_c,IF(Iterations[[#This Row],[Step]] &gt; current_step, "",Iterations[[#This Row],[Grad_c]]))</f>
        <v>-1.6581357015241598E-2</v>
      </c>
      <c r="Q810" s="2">
        <f ca="1">IF(Iterations[[#This Row],[Step]] =current_step, current_Grad_d,IF(Iterations[[#This Row],[Step]] &gt; current_step, "",Iterations[[#This Row],[Grad_d]]))</f>
        <v>-9.4658731597673114E-4</v>
      </c>
      <c r="R810" s="2">
        <f ca="1">IF(Iterations[[#This Row],[Step]] =current_step, current_Grad_e,IF(Iterations[[#This Row],[Step]] &gt; current_step, "",Iterations[[#This Row],[Grad_e]]))</f>
        <v>5.9133858092232927E-3</v>
      </c>
    </row>
    <row r="811" spans="6:18" x14ac:dyDescent="0.3">
      <c r="F811" s="2">
        <f t="shared" si="14"/>
        <v>794</v>
      </c>
      <c r="G811" s="2">
        <f ca="1">IF(Iterations[[#This Row],[Step]] =current_step, current_a,IF(Iterations[[#This Row],[Step]] &gt; current_step, "",Iterations[[#This Row],[a]]))</f>
        <v>-7.2498215835110944</v>
      </c>
      <c r="H811" s="2">
        <f ca="1">IF(Iterations[[#This Row],[Step]] =current_step, current_b,IF(Iterations[[#This Row],[Step]] &gt; current_step, "",Iterations[[#This Row],[b]]))</f>
        <v>0.35253679489305018</v>
      </c>
      <c r="I811" s="2">
        <f ca="1">IF(Iterations[[#This Row],[Step]] =current_step, current_c,IF(Iterations[[#This Row],[Step]] &gt; current_step, "",Iterations[[#This Row],[c]]))</f>
        <v>21.173163445822318</v>
      </c>
      <c r="J811" s="2">
        <f ca="1">IF(Iterations[[#This Row],[Step]] =current_step, current_d,IF(Iterations[[#This Row],[Step]] &gt; current_step, "",Iterations[[#This Row],[d]]))</f>
        <v>1.2009421302861452</v>
      </c>
      <c r="K811" s="2">
        <f ca="1">IF(Iterations[[#This Row],[Step]] =current_step, current_e,IF(Iterations[[#This Row],[Step]] &gt; current_step, "",Iterations[[#This Row],[e]]))</f>
        <v>11.330235330701734</v>
      </c>
      <c r="L811" s="2">
        <f ca="1">IF(Iterations[[#This Row],[Step]] =current_step, current_Total_Loss,IF(Iterations[[#This Row],[Step]] &gt; current_step, "",Iterations[[#This Row],[Total Loss]]))</f>
        <v>90.46</v>
      </c>
      <c r="M811" s="6" t="s">
        <v>27</v>
      </c>
      <c r="N811" s="2">
        <f ca="1">IF(Iterations[[#This Row],[Step]] =current_step, current_Grad_a,IF(Iterations[[#This Row],[Step]] &gt; current_step, "",Iterations[[#This Row],[Grad_a]]))</f>
        <v>5.8711047020434887E-3</v>
      </c>
      <c r="O811" s="2">
        <f ca="1">IF(Iterations[[#This Row],[Step]] =current_step, current_Grad_b,IF(Iterations[[#This Row],[Step]] &gt; current_step, "",Iterations[[#This Row],[Grad_b]]))</f>
        <v>1.0237382301138995E-3</v>
      </c>
      <c r="P811" s="2">
        <f ca="1">IF(Iterations[[#This Row],[Step]] =current_step, current_Grad_c,IF(Iterations[[#This Row],[Step]] &gt; current_step, "",Iterations[[#This Row],[Grad_c]]))</f>
        <v>-1.6469148826495701E-2</v>
      </c>
      <c r="Q811" s="2">
        <f ca="1">IF(Iterations[[#This Row],[Step]] =current_step, current_Grad_d,IF(Iterations[[#This Row],[Step]] &gt; current_step, "",Iterations[[#This Row],[Grad_d]]))</f>
        <v>-9.4018722740238673E-4</v>
      </c>
      <c r="R811" s="2">
        <f ca="1">IF(Iterations[[#This Row],[Step]] =current_step, current_Grad_e,IF(Iterations[[#This Row],[Step]] &gt; current_step, "",Iterations[[#This Row],[Grad_e]]))</f>
        <v>5.8733690834407897E-3</v>
      </c>
    </row>
    <row r="812" spans="6:18" x14ac:dyDescent="0.3">
      <c r="F812" s="2">
        <f t="shared" si="14"/>
        <v>795</v>
      </c>
      <c r="G812" s="2">
        <f ca="1">IF(Iterations[[#This Row],[Step]] =current_step, current_a,IF(Iterations[[#This Row],[Step]] &gt; current_step, "",Iterations[[#This Row],[a]]))</f>
        <v>-7.2502325608402378</v>
      </c>
      <c r="H812" s="2">
        <f ca="1">IF(Iterations[[#This Row],[Step]] =current_step, current_b,IF(Iterations[[#This Row],[Step]] &gt; current_step, "",Iterations[[#This Row],[b]]))</f>
        <v>0.35246513321694223</v>
      </c>
      <c r="I812" s="2">
        <f ca="1">IF(Iterations[[#This Row],[Step]] =current_step, current_c,IF(Iterations[[#This Row],[Step]] &gt; current_step, "",Iterations[[#This Row],[c]]))</f>
        <v>21.174316286240174</v>
      </c>
      <c r="J812" s="2">
        <f ca="1">IF(Iterations[[#This Row],[Step]] =current_step, current_d,IF(Iterations[[#This Row],[Step]] &gt; current_step, "",Iterations[[#This Row],[d]]))</f>
        <v>1.2010079433920633</v>
      </c>
      <c r="K812" s="2">
        <f ca="1">IF(Iterations[[#This Row],[Step]] =current_step, current_e,IF(Iterations[[#This Row],[Step]] &gt; current_step, "",Iterations[[#This Row],[e]]))</f>
        <v>11.329824194865894</v>
      </c>
      <c r="L812" s="2">
        <f ca="1">IF(Iterations[[#This Row],[Step]] =current_step, current_Total_Loss,IF(Iterations[[#This Row],[Step]] &gt; current_step, "",Iterations[[#This Row],[Total Loss]]))</f>
        <v>90.46</v>
      </c>
      <c r="M812" s="6" t="s">
        <v>27</v>
      </c>
      <c r="N812" s="2">
        <f ca="1">IF(Iterations[[#This Row],[Step]] =current_step, current_Grad_a,IF(Iterations[[#This Row],[Step]] &gt; current_step, "",Iterations[[#This Row],[Grad_a]]))</f>
        <v>5.8313743608096047E-3</v>
      </c>
      <c r="O812" s="2">
        <f ca="1">IF(Iterations[[#This Row],[Step]] =current_step, current_Grad_b,IF(Iterations[[#This Row],[Step]] &gt; current_step, "",Iterations[[#This Row],[Grad_b]]))</f>
        <v>1.0168130686106409E-3</v>
      </c>
      <c r="P812" s="2">
        <f ca="1">IF(Iterations[[#This Row],[Step]] =current_step, current_Grad_c,IF(Iterations[[#This Row],[Step]] &gt; current_step, "",Iterations[[#This Row],[Grad_c]]))</f>
        <v>-1.6357699969639945E-2</v>
      </c>
      <c r="Q812" s="2">
        <f ca="1">IF(Iterations[[#This Row],[Step]] =current_step, current_Grad_d,IF(Iterations[[#This Row],[Step]] &gt; current_step, "",Iterations[[#This Row],[Grad_d]]))</f>
        <v>-9.3383034970078653E-4</v>
      </c>
      <c r="R812" s="2">
        <f ca="1">IF(Iterations[[#This Row],[Step]] =current_step, current_Grad_e,IF(Iterations[[#This Row],[Step]] &gt; current_step, "",Iterations[[#This Row],[Grad_e]]))</f>
        <v>5.8336231590699027E-3</v>
      </c>
    </row>
    <row r="813" spans="6:18" x14ac:dyDescent="0.3">
      <c r="F813" s="2">
        <f t="shared" si="14"/>
        <v>796</v>
      </c>
      <c r="G813" s="2">
        <f ca="1">IF(Iterations[[#This Row],[Step]] =current_step, current_a,IF(Iterations[[#This Row],[Step]] &gt; current_step, "",Iterations[[#This Row],[a]]))</f>
        <v>-7.2506407570454945</v>
      </c>
      <c r="H813" s="2">
        <f ca="1">IF(Iterations[[#This Row],[Step]] =current_step, current_b,IF(Iterations[[#This Row],[Step]] &gt; current_step, "",Iterations[[#This Row],[b]]))</f>
        <v>0.35239395630213949</v>
      </c>
      <c r="I813" s="2">
        <f ca="1">IF(Iterations[[#This Row],[Step]] =current_step, current_c,IF(Iterations[[#This Row],[Step]] &gt; current_step, "",Iterations[[#This Row],[c]]))</f>
        <v>21.17546132523805</v>
      </c>
      <c r="J813" s="2">
        <f ca="1">IF(Iterations[[#This Row],[Step]] =current_step, current_d,IF(Iterations[[#This Row],[Step]] &gt; current_step, "",Iterations[[#This Row],[d]]))</f>
        <v>1.2010733115165424</v>
      </c>
      <c r="K813" s="2">
        <f ca="1">IF(Iterations[[#This Row],[Step]] =current_step, current_e,IF(Iterations[[#This Row],[Step]] &gt; current_step, "",Iterations[[#This Row],[e]]))</f>
        <v>11.32941584124476</v>
      </c>
      <c r="L813" s="2">
        <f ca="1">IF(Iterations[[#This Row],[Step]] =current_step, current_Total_Loss,IF(Iterations[[#This Row],[Step]] &gt; current_step, "",Iterations[[#This Row],[Total Loss]]))</f>
        <v>90.46</v>
      </c>
      <c r="M813" s="6" t="s">
        <v>27</v>
      </c>
      <c r="N813" s="2">
        <f ca="1">IF(Iterations[[#This Row],[Step]] =current_step, current_Grad_a,IF(Iterations[[#This Row],[Step]] &gt; current_step, "",Iterations[[#This Row],[Grad_a]]))</f>
        <v>5.7919128782207467E-3</v>
      </c>
      <c r="O813" s="2">
        <f ca="1">IF(Iterations[[#This Row],[Step]] =current_step, current_Grad_b,IF(Iterations[[#This Row],[Step]] &gt; current_step, "",Iterations[[#This Row],[Grad_b]]))</f>
        <v>1.0099347244115393E-3</v>
      </c>
      <c r="P813" s="2">
        <f ca="1">IF(Iterations[[#This Row],[Step]] =current_step, current_Grad_c,IF(Iterations[[#This Row],[Step]] &gt; current_step, "",Iterations[[#This Row],[Grad_c]]))</f>
        <v>-1.6247005306109355E-2</v>
      </c>
      <c r="Q813" s="2">
        <f ca="1">IF(Iterations[[#This Row],[Step]] =current_step, current_Grad_d,IF(Iterations[[#This Row],[Step]] &gt; current_step, "",Iterations[[#This Row],[Grad_d]]))</f>
        <v>-9.2751639220848647E-4</v>
      </c>
      <c r="R813" s="2">
        <f ca="1">IF(Iterations[[#This Row],[Step]] =current_step, current_Grad_e,IF(Iterations[[#This Row],[Step]] &gt; current_step, "",Iterations[[#This Row],[Grad_e]]))</f>
        <v>5.7941462034734785E-3</v>
      </c>
    </row>
    <row r="814" spans="6:18" x14ac:dyDescent="0.3">
      <c r="F814" s="2">
        <f t="shared" si="14"/>
        <v>797</v>
      </c>
      <c r="G814" s="2">
        <f ca="1">IF(Iterations[[#This Row],[Step]] =current_step, current_a,IF(Iterations[[#This Row],[Step]] &gt; current_step, "",Iterations[[#This Row],[a]]))</f>
        <v>-7.2510461909469699</v>
      </c>
      <c r="H814" s="2">
        <f ca="1">IF(Iterations[[#This Row],[Step]] =current_step, current_b,IF(Iterations[[#This Row],[Step]] &gt; current_step, "",Iterations[[#This Row],[b]]))</f>
        <v>0.35232326087143068</v>
      </c>
      <c r="I814" s="2">
        <f ca="1">IF(Iterations[[#This Row],[Step]] =current_step, current_c,IF(Iterations[[#This Row],[Step]] &gt; current_step, "",Iterations[[#This Row],[c]]))</f>
        <v>21.176598615609478</v>
      </c>
      <c r="J814" s="2">
        <f ca="1">IF(Iterations[[#This Row],[Step]] =current_step, current_d,IF(Iterations[[#This Row],[Step]] &gt; current_step, "",Iterations[[#This Row],[d]]))</f>
        <v>1.201138237663997</v>
      </c>
      <c r="K814" s="2">
        <f ca="1">IF(Iterations[[#This Row],[Step]] =current_step, current_e,IF(Iterations[[#This Row],[Step]] &gt; current_step, "",Iterations[[#This Row],[e]]))</f>
        <v>11.329010251010518</v>
      </c>
      <c r="L814" s="2">
        <f ca="1">IF(Iterations[[#This Row],[Step]] =current_step, current_Total_Loss,IF(Iterations[[#This Row],[Step]] &gt; current_step, "",Iterations[[#This Row],[Total Loss]]))</f>
        <v>90.46</v>
      </c>
      <c r="M814" s="6" t="s">
        <v>27</v>
      </c>
      <c r="N814" s="2">
        <f ca="1">IF(Iterations[[#This Row],[Step]] =current_step, current_Grad_a,IF(Iterations[[#This Row],[Step]] &gt; current_step, "",Iterations[[#This Row],[Grad_a]]))</f>
        <v>5.7527184349809917E-3</v>
      </c>
      <c r="O814" s="2">
        <f ca="1">IF(Iterations[[#This Row],[Step]] =current_step, current_Grad_b,IF(Iterations[[#This Row],[Step]] &gt; current_step, "",Iterations[[#This Row],[Grad_b]]))</f>
        <v>1.0031028814699245E-3</v>
      </c>
      <c r="P814" s="2">
        <f ca="1">IF(Iterations[[#This Row],[Step]] =current_step, current_Grad_c,IF(Iterations[[#This Row],[Step]] &gt; current_step, "",Iterations[[#This Row],[Grad_c]]))</f>
        <v>-1.6137059732037953E-2</v>
      </c>
      <c r="Q814" s="2">
        <f ca="1">IF(Iterations[[#This Row],[Step]] =current_step, current_Grad_d,IF(Iterations[[#This Row],[Step]] &gt; current_step, "",Iterations[[#This Row],[Grad_d]]))</f>
        <v>-9.2124506623509413E-4</v>
      </c>
      <c r="R814" s="2">
        <f ca="1">IF(Iterations[[#This Row],[Step]] =current_step, current_Grad_e,IF(Iterations[[#This Row],[Step]] &gt; current_step, "",Iterations[[#This Row],[Grad_e]]))</f>
        <v>5.7549363964558686E-3</v>
      </c>
    </row>
    <row r="815" spans="6:18" x14ac:dyDescent="0.3">
      <c r="F815" s="2">
        <f t="shared" si="14"/>
        <v>798</v>
      </c>
      <c r="G815" s="2">
        <f ca="1">IF(Iterations[[#This Row],[Step]] =current_step, current_a,IF(Iterations[[#This Row],[Step]] &gt; current_step, "",Iterations[[#This Row],[a]]))</f>
        <v>-7.2514488812374189</v>
      </c>
      <c r="H815" s="2">
        <f ca="1">IF(Iterations[[#This Row],[Step]] =current_step, current_b,IF(Iterations[[#This Row],[Step]] &gt; current_step, "",Iterations[[#This Row],[b]]))</f>
        <v>0.35225304366972776</v>
      </c>
      <c r="I815" s="2">
        <f ca="1">IF(Iterations[[#This Row],[Step]] =current_step, current_c,IF(Iterations[[#This Row],[Step]] &gt; current_step, "",Iterations[[#This Row],[c]]))</f>
        <v>21.177728209790722</v>
      </c>
      <c r="J815" s="2">
        <f ca="1">IF(Iterations[[#This Row],[Step]] =current_step, current_d,IF(Iterations[[#This Row],[Step]] &gt; current_step, "",Iterations[[#This Row],[d]]))</f>
        <v>1.2012027248186334</v>
      </c>
      <c r="K815" s="2">
        <f ca="1">IF(Iterations[[#This Row],[Step]] =current_step, current_e,IF(Iterations[[#This Row],[Step]] &gt; current_step, "",Iterations[[#This Row],[e]]))</f>
        <v>11.328607405462765</v>
      </c>
      <c r="L815" s="2">
        <f ca="1">IF(Iterations[[#This Row],[Step]] =current_step, current_Total_Loss,IF(Iterations[[#This Row],[Step]] &gt; current_step, "",Iterations[[#This Row],[Total Loss]]))</f>
        <v>90.46</v>
      </c>
      <c r="M815" s="6" t="s">
        <v>27</v>
      </c>
      <c r="N815" s="2">
        <f ca="1">IF(Iterations[[#This Row],[Step]] =current_step, current_Grad_a,IF(Iterations[[#This Row],[Step]] &gt; current_step, "",Iterations[[#This Row],[Grad_a]]))</f>
        <v>5.7137892239967035E-3</v>
      </c>
      <c r="O815" s="2">
        <f ca="1">IF(Iterations[[#This Row],[Step]] =current_step, current_Grad_b,IF(Iterations[[#This Row],[Step]] &gt; current_step, "",Iterations[[#This Row],[Grad_b]]))</f>
        <v>9.9631722592414314E-4</v>
      </c>
      <c r="P815" s="2">
        <f ca="1">IF(Iterations[[#This Row],[Step]] =current_step, current_Grad_c,IF(Iterations[[#This Row],[Step]] &gt; current_step, "",Iterations[[#This Row],[Grad_c]]))</f>
        <v>-1.6027858178139454E-2</v>
      </c>
      <c r="Q815" s="2">
        <f ca="1">IF(Iterations[[#This Row],[Step]] =current_step, current_Grad_d,IF(Iterations[[#This Row],[Step]] &gt; current_step, "",Iterations[[#This Row],[Grad_d]]))</f>
        <v>-9.1501608498991945E-4</v>
      </c>
      <c r="R815" s="2">
        <f ca="1">IF(Iterations[[#This Row],[Step]] =current_step, current_Grad_e,IF(Iterations[[#This Row],[Step]] &gt; current_step, "",Iterations[[#This Row],[Grad_e]]))</f>
        <v>5.7159919301198337E-3</v>
      </c>
    </row>
    <row r="816" spans="6:18" x14ac:dyDescent="0.3">
      <c r="F816" s="2">
        <f t="shared" si="14"/>
        <v>799</v>
      </c>
      <c r="G816" s="2">
        <f ca="1">IF(Iterations[[#This Row],[Step]] =current_step, current_a,IF(Iterations[[#This Row],[Step]] &gt; current_step, "",Iterations[[#This Row],[a]]))</f>
        <v>-7.2518488464830986</v>
      </c>
      <c r="H816" s="2">
        <f ca="1">IF(Iterations[[#This Row],[Step]] =current_step, current_b,IF(Iterations[[#This Row],[Step]] &gt; current_step, "",Iterations[[#This Row],[b]]))</f>
        <v>0.35218330146391308</v>
      </c>
      <c r="I816" s="2">
        <f ca="1">IF(Iterations[[#This Row],[Step]] =current_step, current_c,IF(Iterations[[#This Row],[Step]] &gt; current_step, "",Iterations[[#This Row],[c]]))</f>
        <v>21.178850159863192</v>
      </c>
      <c r="J816" s="2">
        <f ca="1">IF(Iterations[[#This Row],[Step]] =current_step, current_d,IF(Iterations[[#This Row],[Step]] &gt; current_step, "",Iterations[[#This Row],[d]]))</f>
        <v>1.2012667759445828</v>
      </c>
      <c r="K816" s="2">
        <f ca="1">IF(Iterations[[#This Row],[Step]] =current_step, current_e,IF(Iterations[[#This Row],[Step]] &gt; current_step, "",Iterations[[#This Row],[e]]))</f>
        <v>11.328207286027657</v>
      </c>
      <c r="L816" s="2">
        <f ca="1">IF(Iterations[[#This Row],[Step]] =current_step, current_Total_Loss,IF(Iterations[[#This Row],[Step]] &gt; current_step, "",Iterations[[#This Row],[Total Loss]]))</f>
        <v>90.46</v>
      </c>
      <c r="M816" s="6" t="s">
        <v>27</v>
      </c>
      <c r="N816" s="2">
        <f ca="1">IF(Iterations[[#This Row],[Step]] =current_step, current_Grad_a,IF(Iterations[[#This Row],[Step]] &gt; current_step, "",Iterations[[#This Row],[Grad_a]]))</f>
        <v>5.6751234503684446E-3</v>
      </c>
      <c r="O816" s="2">
        <f ca="1">IF(Iterations[[#This Row],[Step]] =current_step, current_Grad_b,IF(Iterations[[#This Row],[Step]] &gt; current_step, "",Iterations[[#This Row],[Grad_b]]))</f>
        <v>9.8957744605147435E-4</v>
      </c>
      <c r="P816" s="2">
        <f ca="1">IF(Iterations[[#This Row],[Step]] =current_step, current_Grad_c,IF(Iterations[[#This Row],[Step]] &gt; current_step, "",Iterations[[#This Row],[Grad_c]]))</f>
        <v>-1.5919395609447488E-2</v>
      </c>
      <c r="Q816" s="2">
        <f ca="1">IF(Iterations[[#This Row],[Step]] =current_step, current_Grad_d,IF(Iterations[[#This Row],[Step]] &gt; current_step, "",Iterations[[#This Row],[Grad_d]]))</f>
        <v>-9.0882916358064273E-4</v>
      </c>
      <c r="R816" s="2">
        <f ca="1">IF(Iterations[[#This Row],[Step]] =current_step, current_Grad_e,IF(Iterations[[#This Row],[Step]] &gt; current_step, "",Iterations[[#This Row],[Grad_e]]))</f>
        <v>5.6773110088044693E-3</v>
      </c>
    </row>
    <row r="817" spans="6:18" x14ac:dyDescent="0.3">
      <c r="F817" s="2">
        <f t="shared" si="14"/>
        <v>800</v>
      </c>
      <c r="G817" s="2">
        <f ca="1">IF(Iterations[[#This Row],[Step]] =current_step, current_a,IF(Iterations[[#This Row],[Step]] &gt; current_step, "",Iterations[[#This Row],[a]]))</f>
        <v>-7.2522461051246241</v>
      </c>
      <c r="H817" s="2">
        <f ca="1">IF(Iterations[[#This Row],[Step]] =current_step, current_b,IF(Iterations[[#This Row],[Step]] &gt; current_step, "",Iterations[[#This Row],[b]]))</f>
        <v>0.35211403104268946</v>
      </c>
      <c r="I817" s="2">
        <f ca="1">IF(Iterations[[#This Row],[Step]] =current_step, current_c,IF(Iterations[[#This Row],[Step]] &gt; current_step, "",Iterations[[#This Row],[c]]))</f>
        <v>21.179964517555852</v>
      </c>
      <c r="J817" s="2">
        <f ca="1">IF(Iterations[[#This Row],[Step]] =current_step, current_d,IF(Iterations[[#This Row],[Step]] &gt; current_step, "",Iterations[[#This Row],[d]]))</f>
        <v>1.2013303939860334</v>
      </c>
      <c r="K817" s="2">
        <f ca="1">IF(Iterations[[#This Row],[Step]] =current_step, current_e,IF(Iterations[[#This Row],[Step]] &gt; current_step, "",Iterations[[#This Row],[e]]))</f>
        <v>11.32780987425704</v>
      </c>
      <c r="L817" s="2">
        <f ca="1">IF(Iterations[[#This Row],[Step]] =current_step, current_Total_Loss,IF(Iterations[[#This Row],[Step]] &gt; current_step, "",Iterations[[#This Row],[Total Loss]]))</f>
        <v>90.46</v>
      </c>
      <c r="M817" s="6" t="s">
        <v>27</v>
      </c>
      <c r="N817" s="2">
        <f ca="1">IF(Iterations[[#This Row],[Step]] =current_step, current_Grad_a,IF(Iterations[[#This Row],[Step]] &gt; current_step, "",Iterations[[#This Row],[Grad_a]]))</f>
        <v>5.6367193315203972E-3</v>
      </c>
      <c r="O817" s="2">
        <f ca="1">IF(Iterations[[#This Row],[Step]] =current_step, current_Grad_b,IF(Iterations[[#This Row],[Step]] &gt; current_step, "",Iterations[[#This Row],[Grad_b]]))</f>
        <v>9.8288323211817271E-4</v>
      </c>
      <c r="P817" s="2">
        <f ca="1">IF(Iterations[[#This Row],[Step]] =current_step, current_Grad_c,IF(Iterations[[#This Row],[Step]] &gt; current_step, "",Iterations[[#This Row],[Grad_c]]))</f>
        <v>-1.5811667025005187E-2</v>
      </c>
      <c r="Q817" s="2">
        <f ca="1">IF(Iterations[[#This Row],[Step]] =current_step, current_Grad_d,IF(Iterations[[#This Row],[Step]] &gt; current_step, "",Iterations[[#This Row],[Grad_d]]))</f>
        <v>-9.0268401905470156E-4</v>
      </c>
      <c r="R817" s="2">
        <f ca="1">IF(Iterations[[#This Row],[Step]] =current_step, current_Grad_e,IF(Iterations[[#This Row],[Step]] &gt; current_step, "",Iterations[[#This Row],[Grad_e]]))</f>
        <v>5.6388918490214556E-3</v>
      </c>
    </row>
    <row r="818" spans="6:18" x14ac:dyDescent="0.3">
      <c r="F818" s="2">
        <f t="shared" ref="F818:F881" si="15">F817+1</f>
        <v>801</v>
      </c>
      <c r="G818" s="2">
        <f ca="1">IF(Iterations[[#This Row],[Step]] =current_step, current_a,IF(Iterations[[#This Row],[Step]] &gt; current_step, "",Iterations[[#This Row],[a]]))</f>
        <v>-7.2526406754778305</v>
      </c>
      <c r="H818" s="2">
        <f ca="1">IF(Iterations[[#This Row],[Step]] =current_step, current_b,IF(Iterations[[#This Row],[Step]] &gt; current_step, "",Iterations[[#This Row],[b]]))</f>
        <v>0.35204522921644116</v>
      </c>
      <c r="I818" s="2">
        <f ca="1">IF(Iterations[[#This Row],[Step]] =current_step, current_c,IF(Iterations[[#This Row],[Step]] &gt; current_step, "",Iterations[[#This Row],[c]]))</f>
        <v>21.181071334247601</v>
      </c>
      <c r="J818" s="2">
        <f ca="1">IF(Iterations[[#This Row],[Step]] =current_step, current_d,IF(Iterations[[#This Row],[Step]] &gt; current_step, "",Iterations[[#This Row],[d]]))</f>
        <v>1.2013935818673671</v>
      </c>
      <c r="K818" s="2">
        <f ca="1">IF(Iterations[[#This Row],[Step]] =current_step, current_e,IF(Iterations[[#This Row],[Step]] &gt; current_step, "",Iterations[[#This Row],[e]]))</f>
        <v>11.327415151827608</v>
      </c>
      <c r="L818" s="2">
        <f ca="1">IF(Iterations[[#This Row],[Step]] =current_step, current_Total_Loss,IF(Iterations[[#This Row],[Step]] &gt; current_step, "",Iterations[[#This Row],[Total Loss]]))</f>
        <v>90.46</v>
      </c>
      <c r="M818" s="6" t="s">
        <v>27</v>
      </c>
      <c r="N818" s="2">
        <f ca="1">IF(Iterations[[#This Row],[Step]] =current_step, current_Grad_a,IF(Iterations[[#This Row],[Step]] &gt; current_step, "",Iterations[[#This Row],[Grad_a]]))</f>
        <v>5.5985750966659848E-3</v>
      </c>
      <c r="O818" s="2">
        <f ca="1">IF(Iterations[[#This Row],[Step]] =current_step, current_Grad_b,IF(Iterations[[#This Row],[Step]] &gt; current_step, "",Iterations[[#This Row],[Grad_b]]))</f>
        <v>9.7623427661616994E-4</v>
      </c>
      <c r="P818" s="2">
        <f ca="1">IF(Iterations[[#This Row],[Step]] =current_step, current_Grad_c,IF(Iterations[[#This Row],[Step]] &gt; current_step, "",Iterations[[#This Row],[Grad_c]]))</f>
        <v>-1.5704667457803287E-2</v>
      </c>
      <c r="Q818" s="2">
        <f ca="1">IF(Iterations[[#This Row],[Step]] =current_step, current_Grad_d,IF(Iterations[[#This Row],[Step]] &gt; current_step, "",Iterations[[#This Row],[Grad_d]]))</f>
        <v>-8.9658037028779913E-4</v>
      </c>
      <c r="R818" s="2">
        <f ca="1">IF(Iterations[[#This Row],[Step]] =current_step, current_Grad_e,IF(Iterations[[#This Row],[Step]] &gt; current_step, "",Iterations[[#This Row],[Grad_e]]))</f>
        <v>5.6007326793125539E-3</v>
      </c>
    </row>
    <row r="819" spans="6:18" x14ac:dyDescent="0.3">
      <c r="F819" s="2">
        <f t="shared" si="15"/>
        <v>802</v>
      </c>
      <c r="G819" s="2">
        <f ca="1">IF(Iterations[[#This Row],[Step]] =current_step, current_a,IF(Iterations[[#This Row],[Step]] &gt; current_step, "",Iterations[[#This Row],[a]]))</f>
        <v>-7.253032575734597</v>
      </c>
      <c r="H819" s="2">
        <f ca="1">IF(Iterations[[#This Row],[Step]] =current_step, current_b,IF(Iterations[[#This Row],[Step]] &gt; current_step, "",Iterations[[#This Row],[b]]))</f>
        <v>0.351976892817078</v>
      </c>
      <c r="I819" s="2">
        <f ca="1">IF(Iterations[[#This Row],[Step]] =current_step, current_c,IF(Iterations[[#This Row],[Step]] &gt; current_step, "",Iterations[[#This Row],[c]]))</f>
        <v>21.182170660969646</v>
      </c>
      <c r="J819" s="2">
        <f ca="1">IF(Iterations[[#This Row],[Step]] =current_step, current_d,IF(Iterations[[#This Row],[Step]] &gt; current_step, "",Iterations[[#This Row],[d]]))</f>
        <v>1.2014563424932874</v>
      </c>
      <c r="K819" s="2">
        <f ca="1">IF(Iterations[[#This Row],[Step]] =current_step, current_e,IF(Iterations[[#This Row],[Step]] &gt; current_step, "",Iterations[[#This Row],[e]]))</f>
        <v>11.327023100540057</v>
      </c>
      <c r="L819" s="2">
        <f ca="1">IF(Iterations[[#This Row],[Step]] =current_step, current_Total_Loss,IF(Iterations[[#This Row],[Step]] &gt; current_step, "",Iterations[[#This Row],[Total Loss]]))</f>
        <v>90.46</v>
      </c>
      <c r="M819" s="6" t="s">
        <v>27</v>
      </c>
      <c r="N819" s="2">
        <f ca="1">IF(Iterations[[#This Row],[Step]] =current_step, current_Grad_a,IF(Iterations[[#This Row],[Step]] &gt; current_step, "",Iterations[[#This Row],[Grad_a]]))</f>
        <v>5.5606889873322336E-3</v>
      </c>
      <c r="O819" s="2">
        <f ca="1">IF(Iterations[[#This Row],[Step]] =current_step, current_Grad_b,IF(Iterations[[#This Row],[Step]] &gt; current_step, "",Iterations[[#This Row],[Grad_b]]))</f>
        <v>9.696302739330173E-4</v>
      </c>
      <c r="P819" s="2">
        <f ca="1">IF(Iterations[[#This Row],[Step]] =current_step, current_Grad_c,IF(Iterations[[#This Row],[Step]] &gt; current_step, "",Iterations[[#This Row],[Grad_c]]))</f>
        <v>-1.5598391974315118E-2</v>
      </c>
      <c r="Q819" s="2">
        <f ca="1">IF(Iterations[[#This Row],[Step]] =current_step, current_Grad_d,IF(Iterations[[#This Row],[Step]] &gt; current_step, "",Iterations[[#This Row],[Grad_d]]))</f>
        <v>-8.9051793809780122E-4</v>
      </c>
      <c r="R819" s="2">
        <f ca="1">IF(Iterations[[#This Row],[Step]] =current_step, current_Grad_e,IF(Iterations[[#This Row],[Step]] &gt; current_step, "",Iterations[[#This Row],[Grad_e]]))</f>
        <v>5.5628317402685529E-3</v>
      </c>
    </row>
    <row r="820" spans="6:18" x14ac:dyDescent="0.3">
      <c r="F820" s="2">
        <f t="shared" si="15"/>
        <v>803</v>
      </c>
      <c r="G820" s="2">
        <f ca="1">IF(Iterations[[#This Row],[Step]] =current_step, current_a,IF(Iterations[[#This Row],[Step]] &gt; current_step, "",Iterations[[#This Row],[a]]))</f>
        <v>-7.25342182396371</v>
      </c>
      <c r="H820" s="2">
        <f ca="1">IF(Iterations[[#This Row],[Step]] =current_step, current_b,IF(Iterations[[#This Row],[Step]] &gt; current_step, "",Iterations[[#This Row],[b]]))</f>
        <v>0.3519090186979027</v>
      </c>
      <c r="I820" s="2">
        <f ca="1">IF(Iterations[[#This Row],[Step]] =current_step, current_c,IF(Iterations[[#This Row],[Step]] &gt; current_step, "",Iterations[[#This Row],[c]]))</f>
        <v>21.18326254840785</v>
      </c>
      <c r="J820" s="2">
        <f ca="1">IF(Iterations[[#This Row],[Step]] =current_step, current_d,IF(Iterations[[#This Row],[Step]] &gt; current_step, "",Iterations[[#This Row],[d]]))</f>
        <v>1.2015186787489542</v>
      </c>
      <c r="K820" s="2">
        <f ca="1">IF(Iterations[[#This Row],[Step]] =current_step, current_e,IF(Iterations[[#This Row],[Step]] &gt; current_step, "",Iterations[[#This Row],[e]]))</f>
        <v>11.326633702318238</v>
      </c>
      <c r="L820" s="2">
        <f ca="1">IF(Iterations[[#This Row],[Step]] =current_step, current_Total_Loss,IF(Iterations[[#This Row],[Step]] &gt; current_step, "",Iterations[[#This Row],[Total Loss]]))</f>
        <v>90.45</v>
      </c>
      <c r="M820" s="6" t="s">
        <v>27</v>
      </c>
      <c r="N820" s="2">
        <f ca="1">IF(Iterations[[#This Row],[Step]] =current_step, current_Grad_a,IF(Iterations[[#This Row],[Step]] &gt; current_step, "",Iterations[[#This Row],[Grad_a]]))</f>
        <v>5.5230592565894809E-3</v>
      </c>
      <c r="O820" s="2">
        <f ca="1">IF(Iterations[[#This Row],[Step]] =current_step, current_Grad_b,IF(Iterations[[#This Row],[Step]] &gt; current_step, "",Iterations[[#This Row],[Grad_b]]))</f>
        <v>9.6307092068381728E-4</v>
      </c>
      <c r="P820" s="2">
        <f ca="1">IF(Iterations[[#This Row],[Step]] =current_step, current_Grad_c,IF(Iterations[[#This Row],[Step]] &gt; current_step, "",Iterations[[#This Row],[Grad_c]]))</f>
        <v>-1.5492835674546512E-2</v>
      </c>
      <c r="Q820" s="2">
        <f ca="1">IF(Iterations[[#This Row],[Step]] =current_step, current_Grad_d,IF(Iterations[[#This Row],[Step]] &gt; current_step, "",Iterations[[#This Row],[Grad_d]]))</f>
        <v>-8.8449644509676817E-4</v>
      </c>
      <c r="R820" s="2">
        <f ca="1">IF(Iterations[[#This Row],[Step]] =current_step, current_Grad_e,IF(Iterations[[#This Row],[Step]] &gt; current_step, "",Iterations[[#This Row],[Grad_e]]))</f>
        <v>5.5251872843188705E-3</v>
      </c>
    </row>
    <row r="821" spans="6:18" x14ac:dyDescent="0.3">
      <c r="F821" s="2">
        <f t="shared" si="15"/>
        <v>804</v>
      </c>
      <c r="G821" s="2">
        <f ca="1">IF(Iterations[[#This Row],[Step]] =current_step, current_a,IF(Iterations[[#This Row],[Step]] &gt; current_step, "",Iterations[[#This Row],[a]]))</f>
        <v>-7.2538084381116716</v>
      </c>
      <c r="H821" s="2">
        <f ca="1">IF(Iterations[[#This Row],[Step]] =current_step, current_b,IF(Iterations[[#This Row],[Step]] &gt; current_step, "",Iterations[[#This Row],[b]]))</f>
        <v>0.35184160373345486</v>
      </c>
      <c r="I821" s="2">
        <f ca="1">IF(Iterations[[#This Row],[Step]] =current_step, current_c,IF(Iterations[[#This Row],[Step]] &gt; current_step, "",Iterations[[#This Row],[c]]))</f>
        <v>21.184347046905067</v>
      </c>
      <c r="J821" s="2">
        <f ca="1">IF(Iterations[[#This Row],[Step]] =current_step, current_d,IF(Iterations[[#This Row],[Step]] &gt; current_step, "",Iterations[[#This Row],[d]]))</f>
        <v>1.2015805935001109</v>
      </c>
      <c r="K821" s="2">
        <f ca="1">IF(Iterations[[#This Row],[Step]] =current_step, current_e,IF(Iterations[[#This Row],[Step]] &gt; current_step, "",Iterations[[#This Row],[e]]))</f>
        <v>11.326246939208335</v>
      </c>
      <c r="L821" s="2">
        <f ca="1">IF(Iterations[[#This Row],[Step]] =current_step, current_Total_Loss,IF(Iterations[[#This Row],[Step]] &gt; current_step, "",Iterations[[#This Row],[Total Loss]]))</f>
        <v>90.45</v>
      </c>
      <c r="M821" s="6" t="s">
        <v>27</v>
      </c>
      <c r="N821" s="2">
        <f ca="1">IF(Iterations[[#This Row],[Step]] =current_step, current_Grad_a,IF(Iterations[[#This Row],[Step]] &gt; current_step, "",Iterations[[#This Row],[Grad_a]]))</f>
        <v>5.4856841695896602E-3</v>
      </c>
      <c r="O821" s="2">
        <f ca="1">IF(Iterations[[#This Row],[Step]] =current_step, current_Grad_b,IF(Iterations[[#This Row],[Step]] &gt; current_step, "",Iterations[[#This Row],[Grad_b]]))</f>
        <v>9.5655591541171029E-4</v>
      </c>
      <c r="P821" s="2">
        <f ca="1">IF(Iterations[[#This Row],[Step]] =current_step, current_Grad_c,IF(Iterations[[#This Row],[Step]] &gt; current_step, "",Iterations[[#This Row],[Grad_c]]))</f>
        <v>-1.5387993691560076E-2</v>
      </c>
      <c r="Q821" s="2">
        <f ca="1">IF(Iterations[[#This Row],[Step]] =current_step, current_Grad_d,IF(Iterations[[#This Row],[Step]] &gt; current_step, "",Iterations[[#This Row],[Grad_d]]))</f>
        <v>-8.7851561578802502E-4</v>
      </c>
      <c r="R821" s="2">
        <f ca="1">IF(Iterations[[#This Row],[Step]] =current_step, current_Grad_e,IF(Iterations[[#This Row],[Step]] &gt; current_step, "",Iterations[[#This Row],[Grad_e]]))</f>
        <v>5.4877975757653035E-3</v>
      </c>
    </row>
    <row r="822" spans="6:18" x14ac:dyDescent="0.3">
      <c r="F822" s="2">
        <f t="shared" si="15"/>
        <v>805</v>
      </c>
      <c r="G822" s="2">
        <f ca="1">IF(Iterations[[#This Row],[Step]] =current_step, current_a,IF(Iterations[[#This Row],[Step]] &gt; current_step, "",Iterations[[#This Row],[a]]))</f>
        <v>-7.2541924360035432</v>
      </c>
      <c r="H822" s="2">
        <f ca="1">IF(Iterations[[#This Row],[Step]] =current_step, current_b,IF(Iterations[[#This Row],[Step]] &gt; current_step, "",Iterations[[#This Row],[b]]))</f>
        <v>0.35177464481937604</v>
      </c>
      <c r="I822" s="2">
        <f ca="1">IF(Iterations[[#This Row],[Step]] =current_step, current_c,IF(Iterations[[#This Row],[Step]] &gt; current_step, "",Iterations[[#This Row],[c]]))</f>
        <v>21.185424206463477</v>
      </c>
      <c r="J822" s="2">
        <f ca="1">IF(Iterations[[#This Row],[Step]] =current_step, current_d,IF(Iterations[[#This Row],[Step]] &gt; current_step, "",Iterations[[#This Row],[d]]))</f>
        <v>1.2016420895932161</v>
      </c>
      <c r="K822" s="2">
        <f ca="1">IF(Iterations[[#This Row],[Step]] =current_step, current_e,IF(Iterations[[#This Row],[Step]] &gt; current_step, "",Iterations[[#This Row],[e]]))</f>
        <v>11.325862793378032</v>
      </c>
      <c r="L822" s="2">
        <f ca="1">IF(Iterations[[#This Row],[Step]] =current_step, current_Total_Loss,IF(Iterations[[#This Row],[Step]] &gt; current_step, "",Iterations[[#This Row],[Total Loss]]))</f>
        <v>90.45</v>
      </c>
      <c r="M822" s="6" t="s">
        <v>27</v>
      </c>
      <c r="N822" s="2">
        <f ca="1">IF(Iterations[[#This Row],[Step]] =current_step, current_Grad_a,IF(Iterations[[#This Row],[Step]] &gt; current_step, "",Iterations[[#This Row],[Grad_a]]))</f>
        <v>5.4485620032027858E-3</v>
      </c>
      <c r="O822" s="2">
        <f ca="1">IF(Iterations[[#This Row],[Step]] =current_step, current_Grad_b,IF(Iterations[[#This Row],[Step]] &gt; current_step, "",Iterations[[#This Row],[Grad_b]]))</f>
        <v>9.5008495870230192E-4</v>
      </c>
      <c r="P822" s="2">
        <f ca="1">IF(Iterations[[#This Row],[Step]] =current_step, current_Grad_c,IF(Iterations[[#This Row],[Step]] &gt; current_step, "",Iterations[[#This Row],[Grad_c]]))</f>
        <v>-1.5283861191362429E-2</v>
      </c>
      <c r="Q822" s="2">
        <f ca="1">IF(Iterations[[#This Row],[Step]] =current_step, current_Grad_d,IF(Iterations[[#This Row],[Step]] &gt; current_step, "",Iterations[[#This Row],[Grad_d]]))</f>
        <v>-8.7257517650664155E-4</v>
      </c>
      <c r="R822" s="2">
        <f ca="1">IF(Iterations[[#This Row],[Step]] =current_step, current_Grad_e,IF(Iterations[[#This Row],[Step]] &gt; current_step, "",Iterations[[#This Row],[Grad_e]]))</f>
        <v>5.4506608906593635E-3</v>
      </c>
    </row>
    <row r="823" spans="6:18" x14ac:dyDescent="0.3">
      <c r="F823" s="2">
        <f t="shared" si="15"/>
        <v>806</v>
      </c>
      <c r="G823" s="2">
        <f ca="1">IF(Iterations[[#This Row],[Step]] =current_step, current_a,IF(Iterations[[#This Row],[Step]] &gt; current_step, "",Iterations[[#This Row],[a]]))</f>
        <v>-7.2545738353437672</v>
      </c>
      <c r="H823" s="2">
        <f ca="1">IF(Iterations[[#This Row],[Step]] =current_step, current_b,IF(Iterations[[#This Row],[Step]] &gt; current_step, "",Iterations[[#This Row],[b]]))</f>
        <v>0.35170813887226687</v>
      </c>
      <c r="I823" s="2">
        <f ca="1">IF(Iterations[[#This Row],[Step]] =current_step, current_c,IF(Iterations[[#This Row],[Step]] &gt; current_step, "",Iterations[[#This Row],[c]]))</f>
        <v>21.186494076746872</v>
      </c>
      <c r="J823" s="2">
        <f ca="1">IF(Iterations[[#This Row],[Step]] =current_step, current_d,IF(Iterations[[#This Row],[Step]] &gt; current_step, "",Iterations[[#This Row],[d]]))</f>
        <v>1.2017031698555716</v>
      </c>
      <c r="K823" s="2">
        <f ca="1">IF(Iterations[[#This Row],[Step]] =current_step, current_e,IF(Iterations[[#This Row],[Step]] &gt; current_step, "",Iterations[[#This Row],[e]]))</f>
        <v>11.325481247115686</v>
      </c>
      <c r="L823" s="2">
        <f ca="1">IF(Iterations[[#This Row],[Step]] =current_step, current_Total_Loss,IF(Iterations[[#This Row],[Step]] &gt; current_step, "",Iterations[[#This Row],[Total Loss]]))</f>
        <v>90.45</v>
      </c>
      <c r="M823" s="6" t="s">
        <v>27</v>
      </c>
      <c r="N823" s="2">
        <f ca="1">IF(Iterations[[#This Row],[Step]] =current_step, current_Grad_a,IF(Iterations[[#This Row],[Step]] &gt; current_step, "",Iterations[[#This Row],[Grad_a]]))</f>
        <v>5.4116910457672812E-3</v>
      </c>
      <c r="O823" s="2">
        <f ca="1">IF(Iterations[[#This Row],[Step]] =current_step, current_Grad_b,IF(Iterations[[#This Row],[Step]] &gt; current_step, "",Iterations[[#This Row],[Grad_b]]))</f>
        <v>9.4365775321709263E-4</v>
      </c>
      <c r="P823" s="2">
        <f ca="1">IF(Iterations[[#This Row],[Step]] =current_step, current_Grad_c,IF(Iterations[[#This Row],[Step]] &gt; current_step, "",Iterations[[#This Row],[Grad_c]]))</f>
        <v>-1.5180433372753814E-2</v>
      </c>
      <c r="Q823" s="2">
        <f ca="1">IF(Iterations[[#This Row],[Step]] =current_step, current_Grad_d,IF(Iterations[[#This Row],[Step]] &gt; current_step, "",Iterations[[#This Row],[Grad_d]]))</f>
        <v>-8.6667485538792651E-4</v>
      </c>
      <c r="R823" s="2">
        <f ca="1">IF(Iterations[[#This Row],[Step]] =current_step, current_Grad_e,IF(Iterations[[#This Row],[Step]] &gt; current_step, "",Iterations[[#This Row],[Grad_e]]))</f>
        <v>5.4137755166764456E-3</v>
      </c>
    </row>
    <row r="824" spans="6:18" x14ac:dyDescent="0.3">
      <c r="F824" s="2">
        <f t="shared" si="15"/>
        <v>807</v>
      </c>
      <c r="G824" s="2">
        <f ca="1">IF(Iterations[[#This Row],[Step]] =current_step, current_a,IF(Iterations[[#This Row],[Step]] &gt; current_step, "",Iterations[[#This Row],[a]]))</f>
        <v>-7.2549526537169706</v>
      </c>
      <c r="H824" s="2">
        <f ca="1">IF(Iterations[[#This Row],[Step]] =current_step, current_b,IF(Iterations[[#This Row],[Step]] &gt; current_step, "",Iterations[[#This Row],[b]]))</f>
        <v>0.35164208282954168</v>
      </c>
      <c r="I824" s="2">
        <f ca="1">IF(Iterations[[#This Row],[Step]] =current_step, current_c,IF(Iterations[[#This Row],[Step]] &gt; current_step, "",Iterations[[#This Row],[c]]))</f>
        <v>21.187556707082965</v>
      </c>
      <c r="J824" s="2">
        <f ca="1">IF(Iterations[[#This Row],[Step]] =current_step, current_d,IF(Iterations[[#This Row],[Step]] &gt; current_step, "",Iterations[[#This Row],[d]]))</f>
        <v>1.2017638370954487</v>
      </c>
      <c r="K824" s="2">
        <f ca="1">IF(Iterations[[#This Row],[Step]] =current_step, current_e,IF(Iterations[[#This Row],[Step]] &gt; current_step, "",Iterations[[#This Row],[e]]))</f>
        <v>11.325102282829519</v>
      </c>
      <c r="L824" s="2">
        <f ca="1">IF(Iterations[[#This Row],[Step]] =current_step, current_Total_Loss,IF(Iterations[[#This Row],[Step]] &gt; current_step, "",Iterations[[#This Row],[Total Loss]]))</f>
        <v>90.45</v>
      </c>
      <c r="M824" s="6" t="s">
        <v>27</v>
      </c>
      <c r="N824" s="2">
        <f ca="1">IF(Iterations[[#This Row],[Step]] =current_step, current_Grad_a,IF(Iterations[[#This Row],[Step]] &gt; current_step, "",Iterations[[#This Row],[Grad_a]]))</f>
        <v>5.375069597473618E-3</v>
      </c>
      <c r="O824" s="2">
        <f ca="1">IF(Iterations[[#This Row],[Step]] =current_step, current_Grad_b,IF(Iterations[[#This Row],[Step]] &gt; current_step, "",Iterations[[#This Row],[Grad_b]]))</f>
        <v>9.372740035264017E-4</v>
      </c>
      <c r="P824" s="2">
        <f ca="1">IF(Iterations[[#This Row],[Step]] =current_step, current_Grad_c,IF(Iterations[[#This Row],[Step]] &gt; current_step, "",Iterations[[#This Row],[Grad_c]]))</f>
        <v>-1.5077705466915361E-2</v>
      </c>
      <c r="Q824" s="2">
        <f ca="1">IF(Iterations[[#This Row],[Step]] =current_step, current_Grad_d,IF(Iterations[[#This Row],[Step]] &gt; current_step, "",Iterations[[#This Row],[Grad_d]]))</f>
        <v>-8.6081438241578405E-4</v>
      </c>
      <c r="R824" s="2">
        <f ca="1">IF(Iterations[[#This Row],[Step]] =current_step, current_Grad_e,IF(Iterations[[#This Row],[Step]] &gt; current_step, "",Iterations[[#This Row],[Grad_e]]))</f>
        <v>5.3771397531380393E-3</v>
      </c>
    </row>
    <row r="825" spans="6:18" x14ac:dyDescent="0.3">
      <c r="F825" s="2">
        <f t="shared" si="15"/>
        <v>808</v>
      </c>
      <c r="G825" s="2">
        <f ca="1">IF(Iterations[[#This Row],[Step]] =current_step, current_a,IF(Iterations[[#This Row],[Step]] &gt; current_step, "",Iterations[[#This Row],[a]]))</f>
        <v>-7.255328908588794</v>
      </c>
      <c r="H825" s="2">
        <f ca="1">IF(Iterations[[#This Row],[Step]] =current_step, current_b,IF(Iterations[[#This Row],[Step]] &gt; current_step, "",Iterations[[#This Row],[b]]))</f>
        <v>0.35157647364929484</v>
      </c>
      <c r="I825" s="2">
        <f ca="1">IF(Iterations[[#This Row],[Step]] =current_step, current_c,IF(Iterations[[#This Row],[Step]] &gt; current_step, "",Iterations[[#This Row],[c]]))</f>
        <v>21.188612146465651</v>
      </c>
      <c r="J825" s="2">
        <f ca="1">IF(Iterations[[#This Row],[Step]] =current_step, current_d,IF(Iterations[[#This Row],[Step]] &gt; current_step, "",Iterations[[#This Row],[d]]))</f>
        <v>1.2018240941022178</v>
      </c>
      <c r="K825" s="2">
        <f ca="1">IF(Iterations[[#This Row],[Step]] =current_step, current_e,IF(Iterations[[#This Row],[Step]] &gt; current_step, "",Iterations[[#This Row],[e]]))</f>
        <v>11.324725883046799</v>
      </c>
      <c r="L825" s="2">
        <f ca="1">IF(Iterations[[#This Row],[Step]] =current_step, current_Total_Loss,IF(Iterations[[#This Row],[Step]] &gt; current_step, "",Iterations[[#This Row],[Total Loss]]))</f>
        <v>90.45</v>
      </c>
      <c r="M825" s="6" t="s">
        <v>27</v>
      </c>
      <c r="N825" s="2">
        <f ca="1">IF(Iterations[[#This Row],[Step]] =current_step, current_Grad_a,IF(Iterations[[#This Row],[Step]] &gt; current_step, "",Iterations[[#This Row],[Grad_a]]))</f>
        <v>5.3386959697314905E-3</v>
      </c>
      <c r="O825" s="2">
        <f ca="1">IF(Iterations[[#This Row],[Step]] =current_step, current_Grad_b,IF(Iterations[[#This Row],[Step]] &gt; current_step, "",Iterations[[#This Row],[Grad_b]]))</f>
        <v>9.3093341627326076E-4</v>
      </c>
      <c r="P825" s="2">
        <f ca="1">IF(Iterations[[#This Row],[Step]] =current_step, current_Grad_c,IF(Iterations[[#This Row],[Step]] &gt; current_step, "",Iterations[[#This Row],[Grad_c]]))</f>
        <v>-1.4975672737417203E-2</v>
      </c>
      <c r="Q825" s="2">
        <f ca="1">IF(Iterations[[#This Row],[Step]] =current_step, current_Grad_d,IF(Iterations[[#This Row],[Step]] &gt; current_step, "",Iterations[[#This Row],[Grad_d]]))</f>
        <v>-8.5499348934526946E-4</v>
      </c>
      <c r="R825" s="2">
        <f ca="1">IF(Iterations[[#This Row],[Step]] =current_step, current_Grad_e,IF(Iterations[[#This Row],[Step]] &gt; current_step, "",Iterations[[#This Row],[Grad_e]]))</f>
        <v>5.3407519108173117E-3</v>
      </c>
    </row>
    <row r="826" spans="6:18" x14ac:dyDescent="0.3">
      <c r="F826" s="2">
        <f t="shared" si="15"/>
        <v>809</v>
      </c>
      <c r="G826" s="2">
        <f ca="1">IF(Iterations[[#This Row],[Step]] =current_step, current_a,IF(Iterations[[#This Row],[Step]] &gt; current_step, "",Iterations[[#This Row],[a]]))</f>
        <v>-7.2557026173066754</v>
      </c>
      <c r="H826" s="2">
        <f ca="1">IF(Iterations[[#This Row],[Step]] =current_step, current_b,IF(Iterations[[#This Row],[Step]] &gt; current_step, "",Iterations[[#This Row],[b]]))</f>
        <v>0.3515113083101557</v>
      </c>
      <c r="I826" s="2">
        <f ca="1">IF(Iterations[[#This Row],[Step]] =current_step, current_c,IF(Iterations[[#This Row],[Step]] &gt; current_step, "",Iterations[[#This Row],[c]]))</f>
        <v>21.189660443557269</v>
      </c>
      <c r="J826" s="2">
        <f ca="1">IF(Iterations[[#This Row],[Step]] =current_step, current_d,IF(Iterations[[#This Row],[Step]] &gt; current_step, "",Iterations[[#This Row],[d]]))</f>
        <v>1.2018839436464719</v>
      </c>
      <c r="K826" s="2">
        <f ca="1">IF(Iterations[[#This Row],[Step]] =current_step, current_e,IF(Iterations[[#This Row],[Step]] &gt; current_step, "",Iterations[[#This Row],[e]]))</f>
        <v>11.324352030413042</v>
      </c>
      <c r="L826" s="2">
        <f ca="1">IF(Iterations[[#This Row],[Step]] =current_step, current_Total_Loss,IF(Iterations[[#This Row],[Step]] &gt; current_step, "",Iterations[[#This Row],[Total Loss]]))</f>
        <v>90.45</v>
      </c>
      <c r="M826" s="6" t="s">
        <v>27</v>
      </c>
      <c r="N826" s="2">
        <f ca="1">IF(Iterations[[#This Row],[Step]] =current_step, current_Grad_a,IF(Iterations[[#This Row],[Step]] &gt; current_step, "",Iterations[[#This Row],[Grad_a]]))</f>
        <v>5.3025684856450933E-3</v>
      </c>
      <c r="O826" s="2">
        <f ca="1">IF(Iterations[[#This Row],[Step]] =current_step, current_Grad_b,IF(Iterations[[#This Row],[Step]] &gt; current_step, "",Iterations[[#This Row],[Grad_b]]))</f>
        <v>9.2463570000169944E-4</v>
      </c>
      <c r="P826" s="2">
        <f ca="1">IF(Iterations[[#This Row],[Step]] =current_step, current_Grad_c,IF(Iterations[[#This Row],[Step]] &gt; current_step, "",Iterations[[#This Row],[Grad_c]]))</f>
        <v>-1.4874330479776401E-2</v>
      </c>
      <c r="Q826" s="2">
        <f ca="1">IF(Iterations[[#This Row],[Step]] =current_step, current_Grad_d,IF(Iterations[[#This Row],[Step]] &gt; current_step, "",Iterations[[#This Row],[Grad_d]]))</f>
        <v>-8.4921190974609735E-4</v>
      </c>
      <c r="R826" s="2">
        <f ca="1">IF(Iterations[[#This Row],[Step]] =current_step, current_Grad_e,IF(Iterations[[#This Row],[Step]] &gt; current_step, "",Iterations[[#This Row],[Grad_e]]))</f>
        <v>5.3046103119714794E-3</v>
      </c>
    </row>
    <row r="827" spans="6:18" x14ac:dyDescent="0.3">
      <c r="F827" s="2">
        <f t="shared" si="15"/>
        <v>810</v>
      </c>
      <c r="G827" s="2">
        <f ca="1">IF(Iterations[[#This Row],[Step]] =current_step, current_a,IF(Iterations[[#This Row],[Step]] &gt; current_step, "",Iterations[[#This Row],[a]]))</f>
        <v>-7.2560737971006706</v>
      </c>
      <c r="H827" s="2">
        <f ca="1">IF(Iterations[[#This Row],[Step]] =current_step, current_b,IF(Iterations[[#This Row],[Step]] &gt; current_step, "",Iterations[[#This Row],[b]]))</f>
        <v>0.35144658381115557</v>
      </c>
      <c r="I827" s="2">
        <f ca="1">IF(Iterations[[#This Row],[Step]] =current_step, current_c,IF(Iterations[[#This Row],[Step]] &gt; current_step, "",Iterations[[#This Row],[c]]))</f>
        <v>21.190701646690854</v>
      </c>
      <c r="J827" s="2">
        <f ca="1">IF(Iterations[[#This Row],[Step]] =current_step, current_d,IF(Iterations[[#This Row],[Step]] &gt; current_step, "",Iterations[[#This Row],[d]]))</f>
        <v>1.201943388480154</v>
      </c>
      <c r="K827" s="2">
        <f ca="1">IF(Iterations[[#This Row],[Step]] =current_step, current_e,IF(Iterations[[#This Row],[Step]] &gt; current_step, "",Iterations[[#This Row],[e]]))</f>
        <v>11.323980707691204</v>
      </c>
      <c r="L827" s="2">
        <f ca="1">IF(Iterations[[#This Row],[Step]] =current_step, current_Total_Loss,IF(Iterations[[#This Row],[Step]] &gt; current_step, "",Iterations[[#This Row],[Total Loss]]))</f>
        <v>90.45</v>
      </c>
      <c r="M827" s="6" t="s">
        <v>27</v>
      </c>
      <c r="N827" s="2">
        <f ca="1">IF(Iterations[[#This Row],[Step]] =current_step, current_Grad_a,IF(Iterations[[#This Row],[Step]] &gt; current_step, "",Iterations[[#This Row],[Grad_a]]))</f>
        <v>5.266685479508087E-3</v>
      </c>
      <c r="O827" s="2">
        <f ca="1">IF(Iterations[[#This Row],[Step]] =current_step, current_Grad_b,IF(Iterations[[#This Row],[Step]] &gt; current_step, "",Iterations[[#This Row],[Grad_b]]))</f>
        <v>9.1838056524479802E-4</v>
      </c>
      <c r="P827" s="2">
        <f ca="1">IF(Iterations[[#This Row],[Step]] =current_step, current_Grad_c,IF(Iterations[[#This Row],[Step]] &gt; current_step, "",Iterations[[#This Row],[Grad_c]]))</f>
        <v>-1.4773674021409229E-2</v>
      </c>
      <c r="Q827" s="2">
        <f ca="1">IF(Iterations[[#This Row],[Step]] =current_step, current_Grad_d,IF(Iterations[[#This Row],[Step]] &gt; current_step, "",Iterations[[#This Row],[Grad_d]]))</f>
        <v>-8.4346937895413761E-4</v>
      </c>
      <c r="R827" s="2">
        <f ca="1">IF(Iterations[[#This Row],[Step]] =current_step, current_Grad_e,IF(Iterations[[#This Row],[Step]] &gt; current_step, "",Iterations[[#This Row],[Grad_e]]))</f>
        <v>5.2687132901820316E-3</v>
      </c>
    </row>
    <row r="828" spans="6:18" x14ac:dyDescent="0.3">
      <c r="F828" s="2">
        <f t="shared" si="15"/>
        <v>811</v>
      </c>
      <c r="G828" s="2">
        <f ca="1">IF(Iterations[[#This Row],[Step]] =current_step, current_a,IF(Iterations[[#This Row],[Step]] &gt; current_step, "",Iterations[[#This Row],[a]]))</f>
        <v>-7.2564424650842358</v>
      </c>
      <c r="H828" s="2">
        <f ca="1">IF(Iterations[[#This Row],[Step]] =current_step, current_b,IF(Iterations[[#This Row],[Step]] &gt; current_step, "",Iterations[[#This Row],[b]]))</f>
        <v>0.35138229717158842</v>
      </c>
      <c r="I828" s="2">
        <f ca="1">IF(Iterations[[#This Row],[Step]] =current_step, current_c,IF(Iterations[[#This Row],[Step]] &gt; current_step, "",Iterations[[#This Row],[c]]))</f>
        <v>21.191735803872351</v>
      </c>
      <c r="J828" s="2">
        <f ca="1">IF(Iterations[[#This Row],[Step]] =current_step, current_d,IF(Iterations[[#This Row],[Step]] &gt; current_step, "",Iterations[[#This Row],[d]]))</f>
        <v>1.2020024313366808</v>
      </c>
      <c r="K828" s="2">
        <f ca="1">IF(Iterations[[#This Row],[Step]] =current_step, current_e,IF(Iterations[[#This Row],[Step]] &gt; current_step, "",Iterations[[#This Row],[e]]))</f>
        <v>11.323611897760891</v>
      </c>
      <c r="L828" s="2">
        <f ca="1">IF(Iterations[[#This Row],[Step]] =current_step, current_Total_Loss,IF(Iterations[[#This Row],[Step]] &gt; current_step, "",Iterations[[#This Row],[Total Loss]]))</f>
        <v>90.45</v>
      </c>
      <c r="M828" s="6" t="s">
        <v>27</v>
      </c>
      <c r="N828" s="2">
        <f ca="1">IF(Iterations[[#This Row],[Step]] =current_step, current_Grad_a,IF(Iterations[[#This Row],[Step]] &gt; current_step, "",Iterations[[#This Row],[Grad_a]]))</f>
        <v>5.2310452968575838E-3</v>
      </c>
      <c r="O828" s="2">
        <f ca="1">IF(Iterations[[#This Row],[Step]] =current_step, current_Grad_b,IF(Iterations[[#This Row],[Step]] &gt; current_step, "",Iterations[[#This Row],[Grad_b]]))</f>
        <v>9.121677245280186E-4</v>
      </c>
      <c r="P828" s="2">
        <f ca="1">IF(Iterations[[#This Row],[Step]] =current_step, current_Grad_c,IF(Iterations[[#This Row],[Step]] &gt; current_step, "",Iterations[[#This Row],[Grad_c]]))</f>
        <v>-1.4673698721366776E-2</v>
      </c>
      <c r="Q828" s="2">
        <f ca="1">IF(Iterations[[#This Row],[Step]] =current_step, current_Grad_d,IF(Iterations[[#This Row],[Step]] &gt; current_step, "",Iterations[[#This Row],[Grad_d]]))</f>
        <v>-8.3776563405766084E-4</v>
      </c>
      <c r="R828" s="2">
        <f ca="1">IF(Iterations[[#This Row],[Step]] =current_step, current_Grad_e,IF(Iterations[[#This Row],[Step]] &gt; current_step, "",Iterations[[#This Row],[Grad_e]]))</f>
        <v>5.2330591903031222E-3</v>
      </c>
    </row>
    <row r="829" spans="6:18" x14ac:dyDescent="0.3">
      <c r="F829" s="2">
        <f t="shared" si="15"/>
        <v>812</v>
      </c>
      <c r="G829" s="2">
        <f ca="1">IF(Iterations[[#This Row],[Step]] =current_step, current_a,IF(Iterations[[#This Row],[Step]] &gt; current_step, "",Iterations[[#This Row],[a]]))</f>
        <v>-7.2568086382550163</v>
      </c>
      <c r="H829" s="2">
        <f ca="1">IF(Iterations[[#This Row],[Step]] =current_step, current_b,IF(Iterations[[#This Row],[Step]] &gt; current_step, "",Iterations[[#This Row],[b]]))</f>
        <v>0.35131844543087148</v>
      </c>
      <c r="I829" s="2">
        <f ca="1">IF(Iterations[[#This Row],[Step]] =current_step, current_c,IF(Iterations[[#This Row],[Step]] &gt; current_step, "",Iterations[[#This Row],[c]]))</f>
        <v>21.192762962782847</v>
      </c>
      <c r="J829" s="2">
        <f ca="1">IF(Iterations[[#This Row],[Step]] =current_step, current_d,IF(Iterations[[#This Row],[Step]] &gt; current_step, "",Iterations[[#This Row],[d]]))</f>
        <v>1.202061074931065</v>
      </c>
      <c r="K829" s="2">
        <f ca="1">IF(Iterations[[#This Row],[Step]] =current_step, current_e,IF(Iterations[[#This Row],[Step]] &gt; current_step, "",Iterations[[#This Row],[e]]))</f>
        <v>11.32324558361757</v>
      </c>
      <c r="L829" s="2">
        <f ca="1">IF(Iterations[[#This Row],[Step]] =current_step, current_Total_Loss,IF(Iterations[[#This Row],[Step]] &gt; current_step, "",Iterations[[#This Row],[Total Loss]]))</f>
        <v>90.45</v>
      </c>
      <c r="M829" s="6" t="s">
        <v>27</v>
      </c>
      <c r="N829" s="2">
        <f ca="1">IF(Iterations[[#This Row],[Step]] =current_step, current_Grad_a,IF(Iterations[[#This Row],[Step]] &gt; current_step, "",Iterations[[#This Row],[Grad_a]]))</f>
        <v>5.195646294614973E-3</v>
      </c>
      <c r="O829" s="2">
        <f ca="1">IF(Iterations[[#This Row],[Step]] =current_step, current_Grad_b,IF(Iterations[[#This Row],[Step]] &gt; current_step, "",Iterations[[#This Row],[Grad_b]]))</f>
        <v>9.0599689222361753E-4</v>
      </c>
      <c r="P829" s="2">
        <f ca="1">IF(Iterations[[#This Row],[Step]] =current_step, current_Grad_c,IF(Iterations[[#This Row],[Step]] &gt; current_step, "",Iterations[[#This Row],[Grad_c]]))</f>
        <v>-1.4574399970026975E-2</v>
      </c>
      <c r="Q829" s="2">
        <f ca="1">IF(Iterations[[#This Row],[Step]] =current_step, current_Grad_d,IF(Iterations[[#This Row],[Step]] &gt; current_step, "",Iterations[[#This Row],[Grad_d]]))</f>
        <v>-8.3210041392922651E-4</v>
      </c>
      <c r="R829" s="2">
        <f ca="1">IF(Iterations[[#This Row],[Step]] =current_step, current_Grad_e,IF(Iterations[[#This Row],[Step]] &gt; current_step, "",Iterations[[#This Row],[Grad_e]]))</f>
        <v>5.1976463684311686E-3</v>
      </c>
    </row>
    <row r="830" spans="6:18" x14ac:dyDescent="0.3">
      <c r="F830" s="2">
        <f t="shared" si="15"/>
        <v>813</v>
      </c>
      <c r="G830" s="2">
        <f ca="1">IF(Iterations[[#This Row],[Step]] =current_step, current_a,IF(Iterations[[#This Row],[Step]] &gt; current_step, "",Iterations[[#This Row],[a]]))</f>
        <v>-7.2571723334956397</v>
      </c>
      <c r="H830" s="2">
        <f ca="1">IF(Iterations[[#This Row],[Step]] =current_step, current_b,IF(Iterations[[#This Row],[Step]] &gt; current_step, "",Iterations[[#This Row],[b]]))</f>
        <v>0.35125502564841582</v>
      </c>
      <c r="I830" s="2">
        <f ca="1">IF(Iterations[[#This Row],[Step]] =current_step, current_c,IF(Iterations[[#This Row],[Step]] &gt; current_step, "",Iterations[[#This Row],[c]]))</f>
        <v>21.193783170780748</v>
      </c>
      <c r="J830" s="2">
        <f ca="1">IF(Iterations[[#This Row],[Step]] =current_step, current_d,IF(Iterations[[#This Row],[Step]] &gt; current_step, "",Iterations[[#This Row],[d]]))</f>
        <v>1.2021193219600399</v>
      </c>
      <c r="K830" s="2">
        <f ca="1">IF(Iterations[[#This Row],[Step]] =current_step, current_e,IF(Iterations[[#This Row],[Step]] &gt; current_step, "",Iterations[[#This Row],[e]]))</f>
        <v>11.322881748371779</v>
      </c>
      <c r="L830" s="2">
        <f ca="1">IF(Iterations[[#This Row],[Step]] =current_step, current_Total_Loss,IF(Iterations[[#This Row],[Step]] &gt; current_step, "",Iterations[[#This Row],[Total Loss]]))</f>
        <v>90.45</v>
      </c>
      <c r="M830" s="6" t="s">
        <v>27</v>
      </c>
      <c r="N830" s="2">
        <f ca="1">IF(Iterations[[#This Row],[Step]] =current_step, current_Grad_a,IF(Iterations[[#This Row],[Step]] &gt; current_step, "",Iterations[[#This Row],[Grad_a]]))</f>
        <v>5.1604868405526654E-3</v>
      </c>
      <c r="O830" s="2">
        <f ca="1">IF(Iterations[[#This Row],[Step]] =current_step, current_Grad_b,IF(Iterations[[#This Row],[Step]] &gt; current_step, "",Iterations[[#This Row],[Grad_b]]))</f>
        <v>8.9986778471402081E-4</v>
      </c>
      <c r="P830" s="2">
        <f ca="1">IF(Iterations[[#This Row],[Step]] =current_step, current_Grad_c,IF(Iterations[[#This Row],[Step]] &gt; current_step, "",Iterations[[#This Row],[Grad_c]]))</f>
        <v>-1.447577318908122E-2</v>
      </c>
      <c r="Q830" s="2">
        <f ca="1">IF(Iterations[[#This Row],[Step]] =current_step, current_Grad_d,IF(Iterations[[#This Row],[Step]] &gt; current_step, "",Iterations[[#This Row],[Grad_d]]))</f>
        <v>-8.2647345915750259E-4</v>
      </c>
      <c r="R830" s="2">
        <f ca="1">IF(Iterations[[#This Row],[Step]] =current_step, current_Grad_e,IF(Iterations[[#This Row],[Step]] &gt; current_step, "",Iterations[[#This Row],[Grad_e]]))</f>
        <v>5.162473191724754E-3</v>
      </c>
    </row>
    <row r="831" spans="6:18" x14ac:dyDescent="0.3">
      <c r="F831" s="2">
        <f t="shared" si="15"/>
        <v>814</v>
      </c>
      <c r="G831" s="2">
        <f ca="1">IF(Iterations[[#This Row],[Step]] =current_step, current_a,IF(Iterations[[#This Row],[Step]] &gt; current_step, "",Iterations[[#This Row],[a]]))</f>
        <v>-7.2575335675744785</v>
      </c>
      <c r="H831" s="2">
        <f ca="1">IF(Iterations[[#This Row],[Step]] =current_step, current_b,IF(Iterations[[#This Row],[Step]] &gt; current_step, "",Iterations[[#This Row],[b]]))</f>
        <v>0.35119203490348583</v>
      </c>
      <c r="I831" s="2">
        <f ca="1">IF(Iterations[[#This Row],[Step]] =current_step, current_c,IF(Iterations[[#This Row],[Step]] &gt; current_step, "",Iterations[[#This Row],[c]]))</f>
        <v>21.194796474903985</v>
      </c>
      <c r="J831" s="2">
        <f ca="1">IF(Iterations[[#This Row],[Step]] =current_step, current_d,IF(Iterations[[#This Row],[Step]] &gt; current_step, "",Iterations[[#This Row],[d]]))</f>
        <v>1.202177175102181</v>
      </c>
      <c r="K831" s="2">
        <f ca="1">IF(Iterations[[#This Row],[Step]] =current_step, current_e,IF(Iterations[[#This Row],[Step]] &gt; current_step, "",Iterations[[#This Row],[e]]))</f>
        <v>11.322520375248359</v>
      </c>
      <c r="L831" s="2">
        <f ca="1">IF(Iterations[[#This Row],[Step]] =current_step, current_Total_Loss,IF(Iterations[[#This Row],[Step]] &gt; current_step, "",Iterations[[#This Row],[Total Loss]]))</f>
        <v>90.45</v>
      </c>
      <c r="M831" s="6" t="s">
        <v>27</v>
      </c>
      <c r="N831" s="2">
        <f ca="1">IF(Iterations[[#This Row],[Step]] =current_step, current_Grad_a,IF(Iterations[[#This Row],[Step]] &gt; current_step, "",Iterations[[#This Row],[Grad_a]]))</f>
        <v>5.1255653138243913E-3</v>
      </c>
      <c r="O831" s="2">
        <f ca="1">IF(Iterations[[#This Row],[Step]] =current_step, current_Grad_b,IF(Iterations[[#This Row],[Step]] &gt; current_step, "",Iterations[[#This Row],[Grad_b]]))</f>
        <v>8.9378012018870301E-4</v>
      </c>
      <c r="P831" s="2">
        <f ca="1">IF(Iterations[[#This Row],[Step]] =current_step, current_Grad_c,IF(Iterations[[#This Row],[Step]] &gt; current_step, "",Iterations[[#This Row],[Grad_c]]))</f>
        <v>-1.4377813831055223E-2</v>
      </c>
      <c r="Q831" s="2">
        <f ca="1">IF(Iterations[[#This Row],[Step]] =current_step, current_Grad_d,IF(Iterations[[#This Row],[Step]] &gt; current_step, "",Iterations[[#This Row],[Grad_d]]))</f>
        <v>-8.2088451209600462E-4</v>
      </c>
      <c r="R831" s="2">
        <f ca="1">IF(Iterations[[#This Row],[Step]] =current_step, current_Grad_e,IF(Iterations[[#This Row],[Step]] &gt; current_step, "",Iterations[[#This Row],[Grad_e]]))</f>
        <v>5.1275380384729159E-3</v>
      </c>
    </row>
    <row r="832" spans="6:18" x14ac:dyDescent="0.3">
      <c r="F832" s="2">
        <f t="shared" si="15"/>
        <v>815</v>
      </c>
      <c r="G832" s="2">
        <f ca="1">IF(Iterations[[#This Row],[Step]] =current_step, current_a,IF(Iterations[[#This Row],[Step]] &gt; current_step, "",Iterations[[#This Row],[a]]))</f>
        <v>-7.2578923571464466</v>
      </c>
      <c r="H832" s="2">
        <f ca="1">IF(Iterations[[#This Row],[Step]] =current_step, current_b,IF(Iterations[[#This Row],[Step]] &gt; current_step, "",Iterations[[#This Row],[b]]))</f>
        <v>0.35112947029507263</v>
      </c>
      <c r="I832" s="2">
        <f ca="1">IF(Iterations[[#This Row],[Step]] =current_step, current_c,IF(Iterations[[#This Row],[Step]] &gt; current_step, "",Iterations[[#This Row],[c]]))</f>
        <v>21.195802921872158</v>
      </c>
      <c r="J832" s="2">
        <f ca="1">IF(Iterations[[#This Row],[Step]] =current_step, current_d,IF(Iterations[[#This Row],[Step]] &gt; current_step, "",Iterations[[#This Row],[d]]))</f>
        <v>1.2022346370180277</v>
      </c>
      <c r="K832" s="2">
        <f ca="1">IF(Iterations[[#This Row],[Step]] =current_step, current_e,IF(Iterations[[#This Row],[Step]] &gt; current_step, "",Iterations[[#This Row],[e]]))</f>
        <v>11.322161447585666</v>
      </c>
      <c r="L832" s="2">
        <f ca="1">IF(Iterations[[#This Row],[Step]] =current_step, current_Total_Loss,IF(Iterations[[#This Row],[Step]] &gt; current_step, "",Iterations[[#This Row],[Total Loss]]))</f>
        <v>90.45</v>
      </c>
      <c r="M832" s="6" t="s">
        <v>27</v>
      </c>
      <c r="N832" s="2">
        <f ca="1">IF(Iterations[[#This Row],[Step]] =current_step, current_Grad_a,IF(Iterations[[#This Row],[Step]] &gt; current_step, "",Iterations[[#This Row],[Grad_a]]))</f>
        <v>5.0908801040466184E-3</v>
      </c>
      <c r="O832" s="2">
        <f ca="1">IF(Iterations[[#This Row],[Step]] =current_step, current_Grad_b,IF(Iterations[[#This Row],[Step]] &gt; current_step, "",Iterations[[#This Row],[Grad_b]]))</f>
        <v>8.8773361887407713E-4</v>
      </c>
      <c r="P832" s="2">
        <f ca="1">IF(Iterations[[#This Row],[Step]] =current_step, current_Grad_c,IF(Iterations[[#This Row],[Step]] &gt; current_step, "",Iterations[[#This Row],[Grad_c]]))</f>
        <v>-1.4280517379469214E-2</v>
      </c>
      <c r="Q832" s="2">
        <f ca="1">IF(Iterations[[#This Row],[Step]] =current_step, current_Grad_d,IF(Iterations[[#This Row],[Step]] &gt; current_step, "",Iterations[[#This Row],[Grad_d]]))</f>
        <v>-8.1533331676905988E-4</v>
      </c>
      <c r="R832" s="2">
        <f ca="1">IF(Iterations[[#This Row],[Step]] =current_step, current_Grad_e,IF(Iterations[[#This Row],[Step]] &gt; current_step, "",Iterations[[#This Row],[Grad_e]]))</f>
        <v>5.0928392978283948E-3</v>
      </c>
    </row>
    <row r="833" spans="6:18" x14ac:dyDescent="0.3">
      <c r="F833" s="2">
        <f t="shared" si="15"/>
        <v>816</v>
      </c>
      <c r="G833" s="2">
        <f ca="1">IF(Iterations[[#This Row],[Step]] =current_step, current_a,IF(Iterations[[#This Row],[Step]] &gt; current_step, "",Iterations[[#This Row],[a]]))</f>
        <v>-7.2582487187537303</v>
      </c>
      <c r="H833" s="2">
        <f ca="1">IF(Iterations[[#This Row],[Step]] =current_step, current_b,IF(Iterations[[#This Row],[Step]] &gt; current_step, "",Iterations[[#This Row],[b]]))</f>
        <v>0.35106732894175147</v>
      </c>
      <c r="I833" s="2">
        <f ca="1">IF(Iterations[[#This Row],[Step]] =current_step, current_c,IF(Iterations[[#This Row],[Step]] &gt; current_step, "",Iterations[[#This Row],[c]]))</f>
        <v>21.19680255808872</v>
      </c>
      <c r="J833" s="2">
        <f ca="1">IF(Iterations[[#This Row],[Step]] =current_step, current_d,IF(Iterations[[#This Row],[Step]] &gt; current_step, "",Iterations[[#This Row],[d]]))</f>
        <v>1.2022917103502015</v>
      </c>
      <c r="K833" s="2">
        <f ca="1">IF(Iterations[[#This Row],[Step]] =current_step, current_e,IF(Iterations[[#This Row],[Step]] &gt; current_step, "",Iterations[[#This Row],[e]]))</f>
        <v>11.321804948834817</v>
      </c>
      <c r="L833" s="2">
        <f ca="1">IF(Iterations[[#This Row],[Step]] =current_step, current_Total_Loss,IF(Iterations[[#This Row],[Step]] &gt; current_step, "",Iterations[[#This Row],[Total Loss]]))</f>
        <v>90.45</v>
      </c>
      <c r="M833" s="6" t="s">
        <v>27</v>
      </c>
      <c r="N833" s="2">
        <f ca="1">IF(Iterations[[#This Row],[Step]] =current_step, current_Grad_a,IF(Iterations[[#This Row],[Step]] &gt; current_step, "",Iterations[[#This Row],[Grad_a]]))</f>
        <v>5.0564296124779619E-3</v>
      </c>
      <c r="O833" s="2">
        <f ca="1">IF(Iterations[[#This Row],[Step]] =current_step, current_Grad_b,IF(Iterations[[#This Row],[Step]] &gt; current_step, "",Iterations[[#This Row],[Grad_b]]))</f>
        <v>8.8172800269796048E-4</v>
      </c>
      <c r="P833" s="2">
        <f ca="1">IF(Iterations[[#This Row],[Step]] =current_step, current_Grad_c,IF(Iterations[[#This Row],[Step]] &gt; current_step, "",Iterations[[#This Row],[Grad_c]]))</f>
        <v>-1.4183879348094151E-2</v>
      </c>
      <c r="Q833" s="2">
        <f ca="1">IF(Iterations[[#This Row],[Step]] =current_step, current_Grad_d,IF(Iterations[[#This Row],[Step]] &gt; current_step, "",Iterations[[#This Row],[Grad_d]]))</f>
        <v>-8.0981961897547757E-4</v>
      </c>
      <c r="R833" s="2">
        <f ca="1">IF(Iterations[[#This Row],[Step]] =current_step, current_Grad_e,IF(Iterations[[#This Row],[Step]] &gt; current_step, "",Iterations[[#This Row],[Grad_e]]))</f>
        <v>5.0583753699965251E-3</v>
      </c>
    </row>
    <row r="834" spans="6:18" x14ac:dyDescent="0.3">
      <c r="F834" s="2">
        <f t="shared" si="15"/>
        <v>817</v>
      </c>
      <c r="G834" s="2">
        <f ca="1">IF(Iterations[[#This Row],[Step]] =current_step, current_a,IF(Iterations[[#This Row],[Step]] &gt; current_step, "",Iterations[[#This Row],[a]]))</f>
        <v>-7.2586026688266037</v>
      </c>
      <c r="H834" s="2">
        <f ca="1">IF(Iterations[[#This Row],[Step]] =current_step, current_b,IF(Iterations[[#This Row],[Step]] &gt; current_step, "",Iterations[[#This Row],[b]]))</f>
        <v>0.35100560798156261</v>
      </c>
      <c r="I834" s="2">
        <f ca="1">IF(Iterations[[#This Row],[Step]] =current_step, current_c,IF(Iterations[[#This Row],[Step]] &gt; current_step, "",Iterations[[#This Row],[c]]))</f>
        <v>21.197795429643087</v>
      </c>
      <c r="J834" s="2">
        <f ca="1">IF(Iterations[[#This Row],[Step]] =current_step, current_d,IF(Iterations[[#This Row],[Step]] &gt; current_step, "",Iterations[[#This Row],[d]]))</f>
        <v>1.2023483977235299</v>
      </c>
      <c r="K834" s="2">
        <f ca="1">IF(Iterations[[#This Row],[Step]] =current_step, current_e,IF(Iterations[[#This Row],[Step]] &gt; current_step, "",Iterations[[#This Row],[e]]))</f>
        <v>11.321450862558917</v>
      </c>
      <c r="L834" s="2">
        <f ca="1">IF(Iterations[[#This Row],[Step]] =current_step, current_Total_Loss,IF(Iterations[[#This Row],[Step]] &gt; current_step, "",Iterations[[#This Row],[Total Loss]]))</f>
        <v>90.45</v>
      </c>
      <c r="M834" s="6" t="s">
        <v>27</v>
      </c>
      <c r="N834" s="2">
        <f ca="1">IF(Iterations[[#This Row],[Step]] =current_step, current_Grad_a,IF(Iterations[[#This Row],[Step]] &gt; current_step, "",Iterations[[#This Row],[Grad_a]]))</f>
        <v>5.0222122503119021E-3</v>
      </c>
      <c r="O834" s="2">
        <f ca="1">IF(Iterations[[#This Row],[Step]] =current_step, current_Grad_b,IF(Iterations[[#This Row],[Step]] &gt; current_step, "",Iterations[[#This Row],[Grad_b]]))</f>
        <v>8.7576299567112181E-4</v>
      </c>
      <c r="P834" s="2">
        <f ca="1">IF(Iterations[[#This Row],[Step]] =current_step, current_Grad_c,IF(Iterations[[#This Row],[Step]] &gt; current_step, "",Iterations[[#This Row],[Grad_c]]))</f>
        <v>-1.4087895281427596E-2</v>
      </c>
      <c r="Q834" s="2">
        <f ca="1">IF(Iterations[[#This Row],[Step]] =current_step, current_Grad_d,IF(Iterations[[#This Row],[Step]] &gt; current_step, "",Iterations[[#This Row],[Grad_d]]))</f>
        <v>-8.0434316613711395E-4</v>
      </c>
      <c r="R834" s="2">
        <f ca="1">IF(Iterations[[#This Row],[Step]] =current_step, current_Grad_e,IF(Iterations[[#This Row],[Step]] &gt; current_step, "",Iterations[[#This Row],[Grad_e]]))</f>
        <v>5.0241446658407796E-3</v>
      </c>
    </row>
    <row r="835" spans="6:18" x14ac:dyDescent="0.3">
      <c r="F835" s="2">
        <f t="shared" si="15"/>
        <v>818</v>
      </c>
      <c r="G835" s="2">
        <f ca="1">IF(Iterations[[#This Row],[Step]] =current_step, current_a,IF(Iterations[[#This Row],[Step]] &gt; current_step, "",Iterations[[#This Row],[a]]))</f>
        <v>-7.2589542236841256</v>
      </c>
      <c r="H835" s="2">
        <f ca="1">IF(Iterations[[#This Row],[Step]] =current_step, current_b,IF(Iterations[[#This Row],[Step]] &gt; current_step, "",Iterations[[#This Row],[b]]))</f>
        <v>0.35094430457186565</v>
      </c>
      <c r="I835" s="2">
        <f ca="1">IF(Iterations[[#This Row],[Step]] =current_step, current_c,IF(Iterations[[#This Row],[Step]] &gt; current_step, "",Iterations[[#This Row],[c]]))</f>
        <v>21.198781582312787</v>
      </c>
      <c r="J835" s="2">
        <f ca="1">IF(Iterations[[#This Row],[Step]] =current_step, current_d,IF(Iterations[[#This Row],[Step]] &gt; current_step, "",Iterations[[#This Row],[d]]))</f>
        <v>1.2024047017451596</v>
      </c>
      <c r="K835" s="2">
        <f ca="1">IF(Iterations[[#This Row],[Step]] =current_step, current_e,IF(Iterations[[#This Row],[Step]] &gt; current_step, "",Iterations[[#This Row],[e]]))</f>
        <v>11.321099172432309</v>
      </c>
      <c r="L835" s="2">
        <f ca="1">IF(Iterations[[#This Row],[Step]] =current_step, current_Total_Loss,IF(Iterations[[#This Row],[Step]] &gt; current_step, "",Iterations[[#This Row],[Total Loss]]))</f>
        <v>90.45</v>
      </c>
      <c r="M835" s="6" t="s">
        <v>27</v>
      </c>
      <c r="N835" s="2">
        <f ca="1">IF(Iterations[[#This Row],[Step]] =current_step, current_Grad_a,IF(Iterations[[#This Row],[Step]] &gt; current_step, "",Iterations[[#This Row],[Grad_a]]))</f>
        <v>4.9882264403388671E-3</v>
      </c>
      <c r="O835" s="2">
        <f ca="1">IF(Iterations[[#This Row],[Step]] =current_step, current_Grad_b,IF(Iterations[[#This Row],[Step]] &gt; current_step, "",Iterations[[#This Row],[Grad_b]]))</f>
        <v>8.6983832343157097E-4</v>
      </c>
      <c r="P835" s="2">
        <f ca="1">IF(Iterations[[#This Row],[Step]] =current_step, current_Grad_c,IF(Iterations[[#This Row],[Step]] &gt; current_step, "",Iterations[[#This Row],[Grad_c]]))</f>
        <v>-1.3992560753770422E-2</v>
      </c>
      <c r="Q835" s="2">
        <f ca="1">IF(Iterations[[#This Row],[Step]] =current_step, current_Grad_d,IF(Iterations[[#This Row],[Step]] &gt; current_step, "",Iterations[[#This Row],[Grad_d]]))</f>
        <v>-7.9890370744658179E-4</v>
      </c>
      <c r="R835" s="2">
        <f ca="1">IF(Iterations[[#This Row],[Step]] =current_step, current_Grad_e,IF(Iterations[[#This Row],[Step]] &gt; current_step, "",Iterations[[#This Row],[Grad_e]]))</f>
        <v>4.9901456071401486E-3</v>
      </c>
    </row>
    <row r="836" spans="6:18" x14ac:dyDescent="0.3">
      <c r="F836" s="2">
        <f t="shared" si="15"/>
        <v>819</v>
      </c>
      <c r="G836" s="2">
        <f ca="1">IF(Iterations[[#This Row],[Step]] =current_step, current_a,IF(Iterations[[#This Row],[Step]] &gt; current_step, "",Iterations[[#This Row],[a]]))</f>
        <v>-7.2593033995349492</v>
      </c>
      <c r="H836" s="2">
        <f ca="1">IF(Iterations[[#This Row],[Step]] =current_step, current_b,IF(Iterations[[#This Row],[Step]] &gt; current_step, "",Iterations[[#This Row],[b]]))</f>
        <v>0.35088341588922545</v>
      </c>
      <c r="I836" s="2">
        <f ca="1">IF(Iterations[[#This Row],[Step]] =current_step, current_c,IF(Iterations[[#This Row],[Step]] &gt; current_step, "",Iterations[[#This Row],[c]]))</f>
        <v>21.19976106156555</v>
      </c>
      <c r="J836" s="2">
        <f ca="1">IF(Iterations[[#This Row],[Step]] =current_step, current_d,IF(Iterations[[#This Row],[Step]] &gt; current_step, "",Iterations[[#This Row],[d]]))</f>
        <v>1.2024606250046808</v>
      </c>
      <c r="K836" s="2">
        <f ca="1">IF(Iterations[[#This Row],[Step]] =current_step, current_e,IF(Iterations[[#This Row],[Step]] &gt; current_step, "",Iterations[[#This Row],[e]]))</f>
        <v>11.32074986223981</v>
      </c>
      <c r="L836" s="2">
        <f ca="1">IF(Iterations[[#This Row],[Step]] =current_step, current_Total_Loss,IF(Iterations[[#This Row],[Step]] &gt; current_step, "",Iterations[[#This Row],[Total Loss]]))</f>
        <v>90.45</v>
      </c>
      <c r="M836" s="6" t="s">
        <v>27</v>
      </c>
      <c r="N836" s="2">
        <f ca="1">IF(Iterations[[#This Row],[Step]] =current_step, current_Grad_a,IF(Iterations[[#This Row],[Step]] &gt; current_step, "",Iterations[[#This Row],[Grad_a]]))</f>
        <v>4.9544706152996453E-3</v>
      </c>
      <c r="O836" s="2">
        <f ca="1">IF(Iterations[[#This Row],[Step]] =current_step, current_Grad_b,IF(Iterations[[#This Row],[Step]] &gt; current_step, "",Iterations[[#This Row],[Grad_b]]))</f>
        <v>8.6395371367680655E-4</v>
      </c>
      <c r="P836" s="2">
        <f ca="1">IF(Iterations[[#This Row],[Step]] =current_step, current_Grad_c,IF(Iterations[[#This Row],[Step]] &gt; current_step, "",Iterations[[#This Row],[Grad_c]]))</f>
        <v>-1.3897871369676894E-2</v>
      </c>
      <c r="Q836" s="2">
        <f ca="1">IF(Iterations[[#This Row],[Step]] =current_step, current_Grad_d,IF(Iterations[[#This Row],[Step]] &gt; current_step, "",Iterations[[#This Row],[Grad_d]]))</f>
        <v>-7.9350099369690508E-4</v>
      </c>
      <c r="R836" s="2">
        <f ca="1">IF(Iterations[[#This Row],[Step]] =current_step, current_Grad_e,IF(Iterations[[#This Row],[Step]] &gt; current_step, "",Iterations[[#This Row],[Grad_e]]))</f>
        <v>4.9563766262090934E-3</v>
      </c>
    </row>
    <row r="837" spans="6:18" x14ac:dyDescent="0.3">
      <c r="F837" s="2">
        <f t="shared" si="15"/>
        <v>820</v>
      </c>
      <c r="G837" s="2">
        <f ca="1">IF(Iterations[[#This Row],[Step]] =current_step, current_a,IF(Iterations[[#This Row],[Step]] &gt; current_step, "",Iterations[[#This Row],[a]]))</f>
        <v>-7.2596502124780198</v>
      </c>
      <c r="H837" s="2">
        <f ca="1">IF(Iterations[[#This Row],[Step]] =current_step, current_b,IF(Iterations[[#This Row],[Step]] &gt; current_step, "",Iterations[[#This Row],[b]]))</f>
        <v>0.3508229391292681</v>
      </c>
      <c r="I837" s="2">
        <f ca="1">IF(Iterations[[#This Row],[Step]] =current_step, current_c,IF(Iterations[[#This Row],[Step]] &gt; current_step, "",Iterations[[#This Row],[c]]))</f>
        <v>21.200733912561429</v>
      </c>
      <c r="J837" s="2">
        <f ca="1">IF(Iterations[[#This Row],[Step]] =current_step, current_d,IF(Iterations[[#This Row],[Step]] &gt; current_step, "",Iterations[[#This Row],[d]]))</f>
        <v>1.2025161700742395</v>
      </c>
      <c r="K837" s="2">
        <f ca="1">IF(Iterations[[#This Row],[Step]] =current_step, current_e,IF(Iterations[[#This Row],[Step]] &gt; current_step, "",Iterations[[#This Row],[e]]))</f>
        <v>11.320402915875976</v>
      </c>
      <c r="L837" s="2">
        <f ca="1">IF(Iterations[[#This Row],[Step]] =current_step, current_Total_Loss,IF(Iterations[[#This Row],[Step]] &gt; current_step, "",Iterations[[#This Row],[Total Loss]]))</f>
        <v>90.45</v>
      </c>
      <c r="M837" s="6" t="s">
        <v>27</v>
      </c>
      <c r="N837" s="2">
        <f ca="1">IF(Iterations[[#This Row],[Step]] =current_step, current_Grad_a,IF(Iterations[[#This Row],[Step]] &gt; current_step, "",Iterations[[#This Row],[Grad_a]]))</f>
        <v>4.9209432191640685E-3</v>
      </c>
      <c r="O837" s="2">
        <f ca="1">IF(Iterations[[#This Row],[Step]] =current_step, current_Grad_b,IF(Iterations[[#This Row],[Step]] &gt; current_step, "",Iterations[[#This Row],[Grad_b]]))</f>
        <v>8.5810889577975225E-4</v>
      </c>
      <c r="P837" s="2">
        <f ca="1">IF(Iterations[[#This Row],[Step]] =current_step, current_Grad_c,IF(Iterations[[#This Row],[Step]] &gt; current_step, "",Iterations[[#This Row],[Grad_c]]))</f>
        <v>-1.3803822763182767E-2</v>
      </c>
      <c r="Q837" s="2">
        <f ca="1">IF(Iterations[[#This Row],[Step]] =current_step, current_Grad_d,IF(Iterations[[#This Row],[Step]] &gt; current_step, "",Iterations[[#This Row],[Grad_d]]))</f>
        <v>-7.8813477740025117E-4</v>
      </c>
      <c r="R837" s="2">
        <f ca="1">IF(Iterations[[#This Row],[Step]] =current_step, current_Grad_e,IF(Iterations[[#This Row],[Step]] &gt; current_step, "",Iterations[[#This Row],[Grad_e]]))</f>
        <v>4.9228361661027226E-3</v>
      </c>
    </row>
    <row r="838" spans="6:18" x14ac:dyDescent="0.3">
      <c r="F838" s="2">
        <f t="shared" si="15"/>
        <v>821</v>
      </c>
      <c r="G838" s="2">
        <f ca="1">IF(Iterations[[#This Row],[Step]] =current_step, current_a,IF(Iterations[[#This Row],[Step]] &gt; current_step, "",Iterations[[#This Row],[a]]))</f>
        <v>-7.2599946785033609</v>
      </c>
      <c r="H838" s="2">
        <f ca="1">IF(Iterations[[#This Row],[Step]] =current_step, current_b,IF(Iterations[[#This Row],[Step]] &gt; current_step, "",Iterations[[#This Row],[b]]))</f>
        <v>0.35076287150656349</v>
      </c>
      <c r="I838" s="2">
        <f ca="1">IF(Iterations[[#This Row],[Step]] =current_step, current_c,IF(Iterations[[#This Row],[Step]] &gt; current_step, "",Iterations[[#This Row],[c]]))</f>
        <v>21.201700180154852</v>
      </c>
      <c r="J838" s="2">
        <f ca="1">IF(Iterations[[#This Row],[Step]] =current_step, current_d,IF(Iterations[[#This Row],[Step]] &gt; current_step, "",Iterations[[#This Row],[d]]))</f>
        <v>1.2025713395086575</v>
      </c>
      <c r="K838" s="2">
        <f ca="1">IF(Iterations[[#This Row],[Step]] =current_step, current_e,IF(Iterations[[#This Row],[Step]] &gt; current_step, "",Iterations[[#This Row],[e]]))</f>
        <v>11.320058317344348</v>
      </c>
      <c r="L838" s="2">
        <f ca="1">IF(Iterations[[#This Row],[Step]] =current_step, current_Total_Loss,IF(Iterations[[#This Row],[Step]] &gt; current_step, "",Iterations[[#This Row],[Total Loss]]))</f>
        <v>90.45</v>
      </c>
      <c r="M838" s="6" t="s">
        <v>27</v>
      </c>
      <c r="N838" s="2">
        <f ca="1">IF(Iterations[[#This Row],[Step]] =current_step, current_Grad_a,IF(Iterations[[#This Row],[Step]] &gt; current_step, "",Iterations[[#This Row],[Grad_a]]))</f>
        <v>4.887642705842311E-3</v>
      </c>
      <c r="O838" s="2">
        <f ca="1">IF(Iterations[[#This Row],[Step]] =current_step, current_Grad_b,IF(Iterations[[#This Row],[Step]] &gt; current_step, "",Iterations[[#This Row],[Grad_b]]))</f>
        <v>8.5230360105025145E-4</v>
      </c>
      <c r="P838" s="2">
        <f ca="1">IF(Iterations[[#This Row],[Step]] =current_step, current_Grad_c,IF(Iterations[[#This Row],[Step]] &gt; current_step, "",Iterations[[#This Row],[Grad_c]]))</f>
        <v>-1.3710410598118124E-2</v>
      </c>
      <c r="Q838" s="2">
        <f ca="1">IF(Iterations[[#This Row],[Step]] =current_step, current_Grad_d,IF(Iterations[[#This Row],[Step]] &gt; current_step, "",Iterations[[#This Row],[Grad_d]]))</f>
        <v>-7.8280481268294059E-4</v>
      </c>
      <c r="R838" s="2">
        <f ca="1">IF(Iterations[[#This Row],[Step]] =current_step, current_Grad_e,IF(Iterations[[#This Row],[Step]] &gt; current_step, "",Iterations[[#This Row],[Grad_e]]))</f>
        <v>4.8895226802899332E-3</v>
      </c>
    </row>
    <row r="839" spans="6:18" x14ac:dyDescent="0.3">
      <c r="F839" s="2">
        <f t="shared" si="15"/>
        <v>822</v>
      </c>
      <c r="G839" s="2">
        <f ca="1">IF(Iterations[[#This Row],[Step]] =current_step, current_a,IF(Iterations[[#This Row],[Step]] &gt; current_step, "",Iterations[[#This Row],[a]]))</f>
        <v>-7.2603368134927697</v>
      </c>
      <c r="H839" s="2">
        <f ca="1">IF(Iterations[[#This Row],[Step]] =current_step, current_b,IF(Iterations[[#This Row],[Step]] &gt; current_step, "",Iterations[[#This Row],[b]]))</f>
        <v>0.35070321025448997</v>
      </c>
      <c r="I839" s="2">
        <f ca="1">IF(Iterations[[#This Row],[Step]] =current_step, current_c,IF(Iterations[[#This Row],[Step]] &gt; current_step, "",Iterations[[#This Row],[c]]))</f>
        <v>21.20265990889672</v>
      </c>
      <c r="J839" s="2">
        <f ca="1">IF(Iterations[[#This Row],[Step]] =current_step, current_d,IF(Iterations[[#This Row],[Step]] &gt; current_step, "",Iterations[[#This Row],[d]]))</f>
        <v>1.2026261358455452</v>
      </c>
      <c r="K839" s="2">
        <f ca="1">IF(Iterations[[#This Row],[Step]] =current_step, current_e,IF(Iterations[[#This Row],[Step]] &gt; current_step, "",Iterations[[#This Row],[e]]))</f>
        <v>11.319716050756726</v>
      </c>
      <c r="L839" s="2">
        <f ca="1">IF(Iterations[[#This Row],[Step]] =current_step, current_Total_Loss,IF(Iterations[[#This Row],[Step]] &gt; current_step, "",Iterations[[#This Row],[Total Loss]]))</f>
        <v>90.45</v>
      </c>
      <c r="M839" s="6" t="s">
        <v>27</v>
      </c>
      <c r="N839" s="2">
        <f ca="1">IF(Iterations[[#This Row],[Step]] =current_step, current_Grad_a,IF(Iterations[[#This Row],[Step]] &gt; current_step, "",Iterations[[#This Row],[Grad_a]]))</f>
        <v>4.8545675402712363E-3</v>
      </c>
      <c r="O839" s="2">
        <f ca="1">IF(Iterations[[#This Row],[Step]] =current_step, current_Grad_b,IF(Iterations[[#This Row],[Step]] &gt; current_step, "",Iterations[[#This Row],[Grad_b]]))</f>
        <v>8.4653756250396839E-4</v>
      </c>
      <c r="P839" s="2">
        <f ca="1">IF(Iterations[[#This Row],[Step]] =current_step, current_Grad_c,IF(Iterations[[#This Row],[Step]] &gt; current_step, "",Iterations[[#This Row],[Grad_c]]))</f>
        <v>-1.3617630567424575E-2</v>
      </c>
      <c r="Q839" s="2">
        <f ca="1">IF(Iterations[[#This Row],[Step]] =current_step, current_Grad_d,IF(Iterations[[#This Row],[Step]] &gt; current_step, "",Iterations[[#This Row],[Grad_d]]))</f>
        <v>-7.7751085535272672E-4</v>
      </c>
      <c r="R839" s="2">
        <f ca="1">IF(Iterations[[#This Row],[Step]] =current_step, current_Grad_e,IF(Iterations[[#This Row],[Step]] &gt; current_step, "",Iterations[[#This Row],[Grad_e]]))</f>
        <v>4.8564346328211867E-3</v>
      </c>
    </row>
    <row r="840" spans="6:18" x14ac:dyDescent="0.3">
      <c r="F840" s="2">
        <f t="shared" si="15"/>
        <v>823</v>
      </c>
      <c r="G840" s="2">
        <f ca="1">IF(Iterations[[#This Row],[Step]] =current_step, current_a,IF(Iterations[[#This Row],[Step]] &gt; current_step, "",Iterations[[#This Row],[a]]))</f>
        <v>-7.260676633220589</v>
      </c>
      <c r="H840" s="2">
        <f ca="1">IF(Iterations[[#This Row],[Step]] =current_step, current_b,IF(Iterations[[#This Row],[Step]] &gt; current_step, "",Iterations[[#This Row],[b]]))</f>
        <v>0.35064395262511472</v>
      </c>
      <c r="I840" s="2">
        <f ca="1">IF(Iterations[[#This Row],[Step]] =current_step, current_c,IF(Iterations[[#This Row],[Step]] &gt; current_step, "",Iterations[[#This Row],[c]]))</f>
        <v>21.203613143036439</v>
      </c>
      <c r="J840" s="2">
        <f ca="1">IF(Iterations[[#This Row],[Step]] =current_step, current_d,IF(Iterations[[#This Row],[Step]] &gt; current_step, "",Iterations[[#This Row],[d]]))</f>
        <v>1.2026805616054199</v>
      </c>
      <c r="K840" s="2">
        <f ca="1">IF(Iterations[[#This Row],[Step]] =current_step, current_e,IF(Iterations[[#This Row],[Step]] &gt; current_step, "",Iterations[[#This Row],[e]]))</f>
        <v>11.319376100332429</v>
      </c>
      <c r="L840" s="2">
        <f ca="1">IF(Iterations[[#This Row],[Step]] =current_step, current_Total_Loss,IF(Iterations[[#This Row],[Step]] &gt; current_step, "",Iterations[[#This Row],[Total Loss]]))</f>
        <v>90.45</v>
      </c>
      <c r="M840" s="6" t="s">
        <v>27</v>
      </c>
      <c r="N840" s="2">
        <f ca="1">IF(Iterations[[#This Row],[Step]] =current_step, current_Grad_a,IF(Iterations[[#This Row],[Step]] &gt; current_step, "",Iterations[[#This Row],[Grad_a]]))</f>
        <v>4.8217161973220296E-3</v>
      </c>
      <c r="O840" s="2">
        <f ca="1">IF(Iterations[[#This Row],[Step]] =current_step, current_Grad_b,IF(Iterations[[#This Row],[Step]] &gt; current_step, "",Iterations[[#This Row],[Grad_b]]))</f>
        <v>8.4081051504310744E-4</v>
      </c>
      <c r="P840" s="2">
        <f ca="1">IF(Iterations[[#This Row],[Step]] =current_step, current_Grad_c,IF(Iterations[[#This Row],[Step]] &gt; current_step, "",Iterations[[#This Row],[Grad_c]]))</f>
        <v>-1.3525478393377428E-2</v>
      </c>
      <c r="Q840" s="2">
        <f ca="1">IF(Iterations[[#This Row],[Step]] =current_step, current_Grad_d,IF(Iterations[[#This Row],[Step]] &gt; current_step, "",Iterations[[#This Row],[Grad_d]]))</f>
        <v>-7.7225266281919251E-4</v>
      </c>
      <c r="R840" s="2">
        <f ca="1">IF(Iterations[[#This Row],[Step]] =current_step, current_Grad_e,IF(Iterations[[#This Row],[Step]] &gt; current_step, "",Iterations[[#This Row],[Grad_e]]))</f>
        <v>4.8235704980507978E-3</v>
      </c>
    </row>
    <row r="841" spans="6:18" x14ac:dyDescent="0.3">
      <c r="F841" s="2">
        <f t="shared" si="15"/>
        <v>824</v>
      </c>
      <c r="G841" s="2">
        <f ca="1">IF(Iterations[[#This Row],[Step]] =current_step, current_a,IF(Iterations[[#This Row],[Step]] &gt; current_step, "",Iterations[[#This Row],[a]]))</f>
        <v>-7.2610141533544015</v>
      </c>
      <c r="H841" s="2">
        <f ca="1">IF(Iterations[[#This Row],[Step]] =current_step, current_b,IF(Iterations[[#This Row],[Step]] &gt; current_step, "",Iterations[[#This Row],[b]]))</f>
        <v>0.35058509588906173</v>
      </c>
      <c r="I841" s="2">
        <f ca="1">IF(Iterations[[#This Row],[Step]] =current_step, current_c,IF(Iterations[[#This Row],[Step]] &gt; current_step, "",Iterations[[#This Row],[c]]))</f>
        <v>21.204559926523974</v>
      </c>
      <c r="J841" s="2">
        <f ca="1">IF(Iterations[[#This Row],[Step]] =current_step, current_d,IF(Iterations[[#This Row],[Step]] &gt; current_step, "",Iterations[[#This Row],[d]]))</f>
        <v>1.2027346192918174</v>
      </c>
      <c r="K841" s="2">
        <f ca="1">IF(Iterations[[#This Row],[Step]] =current_step, current_e,IF(Iterations[[#This Row],[Step]] &gt; current_step, "",Iterations[[#This Row],[e]]))</f>
        <v>11.319038450397565</v>
      </c>
      <c r="L841" s="2">
        <f ca="1">IF(Iterations[[#This Row],[Step]] =current_step, current_Total_Loss,IF(Iterations[[#This Row],[Step]] &gt; current_step, "",Iterations[[#This Row],[Total Loss]]))</f>
        <v>90.45</v>
      </c>
      <c r="M841" s="6" t="s">
        <v>27</v>
      </c>
      <c r="N841" s="2">
        <f ca="1">IF(Iterations[[#This Row],[Step]] =current_step, current_Grad_a,IF(Iterations[[#This Row],[Step]] &gt; current_step, "",Iterations[[#This Row],[Grad_a]]))</f>
        <v>4.7890871624914526E-3</v>
      </c>
      <c r="O841" s="2">
        <f ca="1">IF(Iterations[[#This Row],[Step]] =current_step, current_Grad_b,IF(Iterations[[#This Row],[Step]] &gt; current_step, "",Iterations[[#This Row],[Grad_b]]))</f>
        <v>8.3512219526996978E-4</v>
      </c>
      <c r="P841" s="2">
        <f ca="1">IF(Iterations[[#This Row],[Step]] =current_step, current_Grad_c,IF(Iterations[[#This Row],[Step]] &gt; current_step, "",Iterations[[#This Row],[Grad_c]]))</f>
        <v>-1.343394982707692E-2</v>
      </c>
      <c r="Q841" s="2">
        <f ca="1">IF(Iterations[[#This Row],[Step]] =current_step, current_Grad_d,IF(Iterations[[#This Row],[Step]] &gt; current_step, "",Iterations[[#This Row],[Grad_d]]))</f>
        <v>-7.6702999414241587E-4</v>
      </c>
      <c r="R841" s="2">
        <f ca="1">IF(Iterations[[#This Row],[Step]] =current_step, current_Grad_e,IF(Iterations[[#This Row],[Step]] &gt; current_step, "",Iterations[[#This Row],[Grad_e]]))</f>
        <v>4.79092876071875E-3</v>
      </c>
    </row>
    <row r="842" spans="6:18" x14ac:dyDescent="0.3">
      <c r="F842" s="2">
        <f t="shared" si="15"/>
        <v>825</v>
      </c>
      <c r="G842" s="2">
        <f ca="1">IF(Iterations[[#This Row],[Step]] =current_step, current_a,IF(Iterations[[#This Row],[Step]] &gt; current_step, "",Iterations[[#This Row],[a]]))</f>
        <v>-7.2613493894557761</v>
      </c>
      <c r="H842" s="2">
        <f ca="1">IF(Iterations[[#This Row],[Step]] =current_step, current_b,IF(Iterations[[#This Row],[Step]] &gt; current_step, "",Iterations[[#This Row],[b]]))</f>
        <v>0.35052663733539285</v>
      </c>
      <c r="I842" s="2">
        <f ca="1">IF(Iterations[[#This Row],[Step]] =current_step, current_c,IF(Iterations[[#This Row],[Step]] &gt; current_step, "",Iterations[[#This Row],[c]]))</f>
        <v>21.20550030301187</v>
      </c>
      <c r="J842" s="2">
        <f ca="1">IF(Iterations[[#This Row],[Step]] =current_step, current_d,IF(Iterations[[#This Row],[Step]] &gt; current_step, "",Iterations[[#This Row],[d]]))</f>
        <v>1.2027883113914073</v>
      </c>
      <c r="K842" s="2">
        <f ca="1">IF(Iterations[[#This Row],[Step]] =current_step, current_e,IF(Iterations[[#This Row],[Step]] &gt; current_step, "",Iterations[[#This Row],[e]]))</f>
        <v>11.318703085384316</v>
      </c>
      <c r="L842" s="2">
        <f ca="1">IF(Iterations[[#This Row],[Step]] =current_step, current_Total_Loss,IF(Iterations[[#This Row],[Step]] &gt; current_step, "",Iterations[[#This Row],[Total Loss]]))</f>
        <v>90.45</v>
      </c>
      <c r="M842" s="6" t="s">
        <v>27</v>
      </c>
      <c r="N842" s="2">
        <f ca="1">IF(Iterations[[#This Row],[Step]] =current_step, current_Grad_a,IF(Iterations[[#This Row],[Step]] &gt; current_step, "",Iterations[[#This Row],[Grad_a]]))</f>
        <v>4.7566789313111535E-3</v>
      </c>
      <c r="O842" s="2">
        <f ca="1">IF(Iterations[[#This Row],[Step]] =current_step, current_Grad_b,IF(Iterations[[#This Row],[Step]] &gt; current_step, "",Iterations[[#This Row],[Grad_b]]))</f>
        <v>8.2947234166446608E-4</v>
      </c>
      <c r="P842" s="2">
        <f ca="1">IF(Iterations[[#This Row],[Step]] =current_step, current_Grad_c,IF(Iterations[[#This Row],[Step]] &gt; current_step, "",Iterations[[#This Row],[Grad_c]]))</f>
        <v>-1.3343040648460949E-2</v>
      </c>
      <c r="Q842" s="2">
        <f ca="1">IF(Iterations[[#This Row],[Step]] =current_step, current_Grad_d,IF(Iterations[[#This Row],[Step]] &gt; current_step, "",Iterations[[#This Row],[Grad_d]]))</f>
        <v>-7.6184260995503113E-4</v>
      </c>
      <c r="R842" s="2">
        <f ca="1">IF(Iterations[[#This Row],[Step]] =current_step, current_Grad_e,IF(Iterations[[#This Row],[Step]] &gt; current_step, "",Iterations[[#This Row],[Grad_e]]))</f>
        <v>4.7585079157808569E-3</v>
      </c>
    </row>
    <row r="843" spans="6:18" x14ac:dyDescent="0.3">
      <c r="F843" s="2">
        <f t="shared" si="15"/>
        <v>826</v>
      </c>
      <c r="G843" s="2">
        <f ca="1">IF(Iterations[[#This Row],[Step]] =current_step, current_a,IF(Iterations[[#This Row],[Step]] &gt; current_step, "",Iterations[[#This Row],[a]]))</f>
        <v>-7.2616823569809679</v>
      </c>
      <c r="H843" s="2">
        <f ca="1">IF(Iterations[[#This Row],[Step]] =current_step, current_b,IF(Iterations[[#This Row],[Step]] &gt; current_step, "",Iterations[[#This Row],[b]]))</f>
        <v>0.35046857427147632</v>
      </c>
      <c r="I843" s="2">
        <f ca="1">IF(Iterations[[#This Row],[Step]] =current_step, current_c,IF(Iterations[[#This Row],[Step]] &gt; current_step, "",Iterations[[#This Row],[c]]))</f>
        <v>21.206434315857262</v>
      </c>
      <c r="J843" s="2">
        <f ca="1">IF(Iterations[[#This Row],[Step]] =current_step, current_d,IF(Iterations[[#This Row],[Step]] &gt; current_step, "",Iterations[[#This Row],[d]]))</f>
        <v>1.2028416403741042</v>
      </c>
      <c r="K843" s="2">
        <f ca="1">IF(Iterations[[#This Row],[Step]] =current_step, current_e,IF(Iterations[[#This Row],[Step]] &gt; current_step, "",Iterations[[#This Row],[e]]))</f>
        <v>11.318369989830211</v>
      </c>
      <c r="L843" s="2">
        <f ca="1">IF(Iterations[[#This Row],[Step]] =current_step, current_Total_Loss,IF(Iterations[[#This Row],[Step]] &gt; current_step, "",Iterations[[#This Row],[Total Loss]]))</f>
        <v>90.45</v>
      </c>
      <c r="M843" s="6" t="s">
        <v>27</v>
      </c>
      <c r="N843" s="2">
        <f ca="1">IF(Iterations[[#This Row],[Step]] =current_step, current_Grad_a,IF(Iterations[[#This Row],[Step]] &gt; current_step, "",Iterations[[#This Row],[Grad_a]]))</f>
        <v>4.7244900096498933E-3</v>
      </c>
      <c r="O843" s="2">
        <f ca="1">IF(Iterations[[#This Row],[Step]] =current_step, current_Grad_b,IF(Iterations[[#This Row],[Step]] &gt; current_step, "",Iterations[[#This Row],[Grad_b]]))</f>
        <v>8.2386069437176716E-4</v>
      </c>
      <c r="P843" s="2">
        <f ca="1">IF(Iterations[[#This Row],[Step]] =current_step, current_Grad_c,IF(Iterations[[#This Row],[Step]] &gt; current_step, "",Iterations[[#This Row],[Grad_c]]))</f>
        <v>-1.325274666597092E-2</v>
      </c>
      <c r="Q843" s="2">
        <f ca="1">IF(Iterations[[#This Row],[Step]] =current_step, current_Grad_d,IF(Iterations[[#This Row],[Step]] &gt; current_step, "",Iterations[[#This Row],[Grad_d]]))</f>
        <v>-7.5669027253078003E-4</v>
      </c>
      <c r="R843" s="2">
        <f ca="1">IF(Iterations[[#This Row],[Step]] =current_step, current_Grad_e,IF(Iterations[[#This Row],[Step]] &gt; current_step, "",Iterations[[#This Row],[Grad_e]]))</f>
        <v>4.7263064683980994E-3</v>
      </c>
    </row>
    <row r="844" spans="6:18" x14ac:dyDescent="0.3">
      <c r="F844" s="2">
        <f t="shared" si="15"/>
        <v>827</v>
      </c>
      <c r="G844" s="2">
        <f ca="1">IF(Iterations[[#This Row],[Step]] =current_step, current_a,IF(Iterations[[#This Row],[Step]] &gt; current_step, "",Iterations[[#This Row],[a]]))</f>
        <v>-7.2620130712816433</v>
      </c>
      <c r="H844" s="2">
        <f ca="1">IF(Iterations[[#This Row],[Step]] =current_step, current_b,IF(Iterations[[#This Row],[Step]] &gt; current_step, "",Iterations[[#This Row],[b]]))</f>
        <v>0.35041090402287028</v>
      </c>
      <c r="I844" s="2">
        <f ca="1">IF(Iterations[[#This Row],[Step]] =current_step, current_c,IF(Iterations[[#This Row],[Step]] &gt; current_step, "",Iterations[[#This Row],[c]]))</f>
        <v>21.20736200812388</v>
      </c>
      <c r="J844" s="2">
        <f ca="1">IF(Iterations[[#This Row],[Step]] =current_step, current_d,IF(Iterations[[#This Row],[Step]] &gt; current_step, "",Iterations[[#This Row],[d]]))</f>
        <v>1.2028946086931813</v>
      </c>
      <c r="K844" s="2">
        <f ca="1">IF(Iterations[[#This Row],[Step]] =current_step, current_e,IF(Iterations[[#This Row],[Step]] &gt; current_step, "",Iterations[[#This Row],[e]]))</f>
        <v>11.318039148377423</v>
      </c>
      <c r="L844" s="2">
        <f ca="1">IF(Iterations[[#This Row],[Step]] =current_step, current_Total_Loss,IF(Iterations[[#This Row],[Step]] &gt; current_step, "",Iterations[[#This Row],[Total Loss]]))</f>
        <v>90.45</v>
      </c>
      <c r="M844" s="6" t="s">
        <v>27</v>
      </c>
      <c r="N844" s="2">
        <f ca="1">IF(Iterations[[#This Row],[Step]] =current_step, current_Grad_a,IF(Iterations[[#This Row],[Step]] &gt; current_step, "",Iterations[[#This Row],[Grad_a]]))</f>
        <v>4.6925189133960226E-3</v>
      </c>
      <c r="O844" s="2">
        <f ca="1">IF(Iterations[[#This Row],[Step]] =current_step, current_Grad_b,IF(Iterations[[#This Row],[Step]] &gt; current_step, "",Iterations[[#This Row],[Grad_b]]))</f>
        <v>8.1828699531759515E-4</v>
      </c>
      <c r="P844" s="2">
        <f ca="1">IF(Iterations[[#This Row],[Step]] =current_step, current_Grad_c,IF(Iterations[[#This Row],[Step]] &gt; current_step, "",Iterations[[#This Row],[Grad_c]]))</f>
        <v>-1.3163063716444847E-2</v>
      </c>
      <c r="Q844" s="2">
        <f ca="1">IF(Iterations[[#This Row],[Step]] =current_step, current_Grad_d,IF(Iterations[[#This Row],[Step]] &gt; current_step, "",Iterations[[#This Row],[Grad_d]]))</f>
        <v>-7.5157274571649143E-4</v>
      </c>
      <c r="R844" s="2">
        <f ca="1">IF(Iterations[[#This Row],[Step]] =current_step, current_Grad_e,IF(Iterations[[#This Row],[Step]] &gt; current_step, "",Iterations[[#This Row],[Grad_e]]))</f>
        <v>4.6943229338411007E-3</v>
      </c>
    </row>
    <row r="845" spans="6:18" x14ac:dyDescent="0.3">
      <c r="F845" s="2">
        <f t="shared" si="15"/>
        <v>828</v>
      </c>
      <c r="G845" s="2">
        <f ca="1">IF(Iterations[[#This Row],[Step]] =current_step, current_a,IF(Iterations[[#This Row],[Step]] &gt; current_step, "",Iterations[[#This Row],[a]]))</f>
        <v>-7.2623415476055806</v>
      </c>
      <c r="H845" s="2">
        <f ca="1">IF(Iterations[[#This Row],[Step]] =current_step, current_b,IF(Iterations[[#This Row],[Step]] &gt; current_step, "",Iterations[[#This Row],[b]]))</f>
        <v>0.35035362393319808</v>
      </c>
      <c r="I845" s="2">
        <f ca="1">IF(Iterations[[#This Row],[Step]] =current_step, current_c,IF(Iterations[[#This Row],[Step]] &gt; current_step, "",Iterations[[#This Row],[c]]))</f>
        <v>21.208283422584032</v>
      </c>
      <c r="J845" s="2">
        <f ca="1">IF(Iterations[[#This Row],[Step]] =current_step, current_d,IF(Iterations[[#This Row],[Step]] &gt; current_step, "",Iterations[[#This Row],[d]]))</f>
        <v>1.2029472187853816</v>
      </c>
      <c r="K845" s="2">
        <f ca="1">IF(Iterations[[#This Row],[Step]] =current_step, current_e,IF(Iterations[[#This Row],[Step]] &gt; current_step, "",Iterations[[#This Row],[e]]))</f>
        <v>11.317710545772053</v>
      </c>
      <c r="L845" s="2">
        <f ca="1">IF(Iterations[[#This Row],[Step]] =current_step, current_Total_Loss,IF(Iterations[[#This Row],[Step]] &gt; current_step, "",Iterations[[#This Row],[Total Loss]]))</f>
        <v>90.45</v>
      </c>
      <c r="M845" s="6" t="s">
        <v>27</v>
      </c>
      <c r="N845" s="2">
        <f ca="1">IF(Iterations[[#This Row],[Step]] =current_step, current_Grad_a,IF(Iterations[[#This Row],[Step]] &gt; current_step, "",Iterations[[#This Row],[Grad_a]]))</f>
        <v>4.6607641685105288E-3</v>
      </c>
      <c r="O845" s="2">
        <f ca="1">IF(Iterations[[#This Row],[Step]] =current_step, current_Grad_b,IF(Iterations[[#This Row],[Step]] &gt; current_step, "",Iterations[[#This Row],[Grad_b]]))</f>
        <v>8.1275098820072285E-4</v>
      </c>
      <c r="P845" s="2">
        <f ca="1">IF(Iterations[[#This Row],[Step]] =current_step, current_Grad_c,IF(Iterations[[#This Row],[Step]] &gt; current_step, "",Iterations[[#This Row],[Grad_c]]))</f>
        <v>-1.307398766488119E-2</v>
      </c>
      <c r="Q845" s="2">
        <f ca="1">IF(Iterations[[#This Row],[Step]] =current_step, current_Grad_d,IF(Iterations[[#This Row],[Step]] &gt; current_step, "",Iterations[[#This Row],[Grad_d]]))</f>
        <v>-7.4648979493068749E-4</v>
      </c>
      <c r="R845" s="2">
        <f ca="1">IF(Iterations[[#This Row],[Step]] =current_step, current_Grad_e,IF(Iterations[[#This Row],[Step]] &gt; current_step, "",Iterations[[#This Row],[Grad_e]]))</f>
        <v>4.6625558374336785E-3</v>
      </c>
    </row>
    <row r="846" spans="6:18" x14ac:dyDescent="0.3">
      <c r="F846" s="2">
        <f t="shared" si="15"/>
        <v>829</v>
      </c>
      <c r="G846" s="2">
        <f ca="1">IF(Iterations[[#This Row],[Step]] =current_step, current_a,IF(Iterations[[#This Row],[Step]] &gt; current_step, "",Iterations[[#This Row],[a]]))</f>
        <v>-7.2626678010973764</v>
      </c>
      <c r="H846" s="2">
        <f ca="1">IF(Iterations[[#This Row],[Step]] =current_step, current_b,IF(Iterations[[#This Row],[Step]] &gt; current_step, "",Iterations[[#This Row],[b]]))</f>
        <v>0.35029673136402401</v>
      </c>
      <c r="I846" s="2">
        <f ca="1">IF(Iterations[[#This Row],[Step]] =current_step, current_c,IF(Iterations[[#This Row],[Step]] &gt; current_step, "",Iterations[[#This Row],[c]]))</f>
        <v>21.209198601720573</v>
      </c>
      <c r="J846" s="2">
        <f ca="1">IF(Iterations[[#This Row],[Step]] =current_step, current_d,IF(Iterations[[#This Row],[Step]] &gt; current_step, "",Iterations[[#This Row],[d]]))</f>
        <v>1.2029994730710267</v>
      </c>
      <c r="K846" s="2">
        <f ca="1">IF(Iterations[[#This Row],[Step]] =current_step, current_e,IF(Iterations[[#This Row],[Step]] &gt; current_step, "",Iterations[[#This Row],[e]]))</f>
        <v>11.317384166863432</v>
      </c>
      <c r="L846" s="2">
        <f ca="1">IF(Iterations[[#This Row],[Step]] =current_step, current_Total_Loss,IF(Iterations[[#This Row],[Step]] &gt; current_step, "",Iterations[[#This Row],[Total Loss]]))</f>
        <v>90.45</v>
      </c>
      <c r="M846" s="6" t="s">
        <v>27</v>
      </c>
      <c r="N846" s="2">
        <f ca="1">IF(Iterations[[#This Row],[Step]] =current_step, current_Grad_a,IF(Iterations[[#This Row],[Step]] &gt; current_step, "",Iterations[[#This Row],[Grad_a]]))</f>
        <v>4.6292243109217817E-3</v>
      </c>
      <c r="O846" s="2">
        <f ca="1">IF(Iterations[[#This Row],[Step]] =current_step, current_Grad_b,IF(Iterations[[#This Row],[Step]] &gt; current_step, "",Iterations[[#This Row],[Grad_b]]))</f>
        <v>8.0725241839835823E-4</v>
      </c>
      <c r="P846" s="2">
        <f ca="1">IF(Iterations[[#This Row],[Step]] =current_step, current_Grad_c,IF(Iterations[[#This Row],[Step]] &gt; current_step, "",Iterations[[#This Row],[Grad_c]]))</f>
        <v>-1.2985514404272524E-2</v>
      </c>
      <c r="Q846" s="2">
        <f ca="1">IF(Iterations[[#This Row],[Step]] =current_step, current_Grad_d,IF(Iterations[[#This Row],[Step]] &gt; current_step, "",Iterations[[#This Row],[Grad_d]]))</f>
        <v>-7.4144118717741259E-4</v>
      </c>
      <c r="R846" s="2">
        <f ca="1">IF(Iterations[[#This Row],[Step]] =current_step, current_Grad_e,IF(Iterations[[#This Row],[Step]] &gt; current_step, "",Iterations[[#This Row],[Grad_e]]))</f>
        <v>4.6310037144706344E-3</v>
      </c>
    </row>
    <row r="847" spans="6:18" x14ac:dyDescent="0.3">
      <c r="F847" s="2">
        <f t="shared" si="15"/>
        <v>830</v>
      </c>
      <c r="G847" s="2">
        <f ca="1">IF(Iterations[[#This Row],[Step]] =current_step, current_a,IF(Iterations[[#This Row],[Step]] &gt; current_step, "",Iterations[[#This Row],[a]]))</f>
        <v>-7.2629918467991406</v>
      </c>
      <c r="H847" s="2">
        <f ca="1">IF(Iterations[[#This Row],[Step]] =current_step, current_b,IF(Iterations[[#This Row],[Step]] &gt; current_step, "",Iterations[[#This Row],[b]]))</f>
        <v>0.35024022369473612</v>
      </c>
      <c r="I847" s="2">
        <f ca="1">IF(Iterations[[#This Row],[Step]] =current_step, current_c,IF(Iterations[[#This Row],[Step]] &gt; current_step, "",Iterations[[#This Row],[c]]))</f>
        <v>21.210107587728871</v>
      </c>
      <c r="J847" s="2">
        <f ca="1">IF(Iterations[[#This Row],[Step]] =current_step, current_d,IF(Iterations[[#This Row],[Step]] &gt; current_step, "",Iterations[[#This Row],[d]]))</f>
        <v>1.2030513739541291</v>
      </c>
      <c r="K847" s="2">
        <f ca="1">IF(Iterations[[#This Row],[Step]] =current_step, current_e,IF(Iterations[[#This Row],[Step]] &gt; current_step, "",Iterations[[#This Row],[e]]))</f>
        <v>11.317059996603419</v>
      </c>
      <c r="L847" s="2">
        <f ca="1">IF(Iterations[[#This Row],[Step]] =current_step, current_Total_Loss,IF(Iterations[[#This Row],[Step]] &gt; current_step, "",Iterations[[#This Row],[Total Loss]]))</f>
        <v>90.45</v>
      </c>
      <c r="M847" s="6" t="s">
        <v>27</v>
      </c>
      <c r="N847" s="2">
        <f ca="1">IF(Iterations[[#This Row],[Step]] =current_step, current_Grad_a,IF(Iterations[[#This Row],[Step]] &gt; current_step, "",Iterations[[#This Row],[Grad_a]]))</f>
        <v>4.5978978864954874E-3</v>
      </c>
      <c r="O847" s="2">
        <f ca="1">IF(Iterations[[#This Row],[Step]] =current_step, current_Grad_b,IF(Iterations[[#This Row],[Step]] &gt; current_step, "",Iterations[[#This Row],[Grad_b]]))</f>
        <v>8.0179103301765886E-4</v>
      </c>
      <c r="P847" s="2">
        <f ca="1">IF(Iterations[[#This Row],[Step]] =current_step, current_Grad_c,IF(Iterations[[#This Row],[Step]] &gt; current_step, "",Iterations[[#This Row],[Grad_c]]))</f>
        <v>-1.2897639855384132E-2</v>
      </c>
      <c r="Q847" s="2">
        <f ca="1">IF(Iterations[[#This Row],[Step]] =current_step, current_Grad_d,IF(Iterations[[#This Row],[Step]] &gt; current_step, "",Iterations[[#This Row],[Grad_d]]))</f>
        <v>-7.3642669101394971E-4</v>
      </c>
      <c r="R847" s="2">
        <f ca="1">IF(Iterations[[#This Row],[Step]] =current_step, current_Grad_e,IF(Iterations[[#This Row],[Step]] &gt; current_step, "",Iterations[[#This Row],[Grad_e]]))</f>
        <v>4.5996651101740428E-3</v>
      </c>
    </row>
    <row r="848" spans="6:18" x14ac:dyDescent="0.3">
      <c r="F848" s="2">
        <f t="shared" si="15"/>
        <v>831</v>
      </c>
      <c r="G848" s="2">
        <f ca="1">IF(Iterations[[#This Row],[Step]] =current_step, current_a,IF(Iterations[[#This Row],[Step]] &gt; current_step, "",Iterations[[#This Row],[a]]))</f>
        <v>-7.2633136996511949</v>
      </c>
      <c r="H848" s="2">
        <f ca="1">IF(Iterations[[#This Row],[Step]] =current_step, current_b,IF(Iterations[[#This Row],[Step]] &gt; current_step, "",Iterations[[#This Row],[b]]))</f>
        <v>0.35018409832242486</v>
      </c>
      <c r="I848" s="2">
        <f ca="1">IF(Iterations[[#This Row],[Step]] =current_step, current_c,IF(Iterations[[#This Row],[Step]] &gt; current_step, "",Iterations[[#This Row],[c]]))</f>
        <v>21.211010422518747</v>
      </c>
      <c r="J848" s="2">
        <f ca="1">IF(Iterations[[#This Row],[Step]] =current_step, current_d,IF(Iterations[[#This Row],[Step]] &gt; current_step, "",Iterations[[#This Row],[d]]))</f>
        <v>1.2031029238225002</v>
      </c>
      <c r="K848" s="2">
        <f ca="1">IF(Iterations[[#This Row],[Step]] =current_step, current_e,IF(Iterations[[#This Row],[Step]] &gt; current_step, "",Iterations[[#This Row],[e]]))</f>
        <v>11.316738020045706</v>
      </c>
      <c r="L848" s="2">
        <f ca="1">IF(Iterations[[#This Row],[Step]] =current_step, current_Total_Loss,IF(Iterations[[#This Row],[Step]] &gt; current_step, "",Iterations[[#This Row],[Total Loss]]))</f>
        <v>90.45</v>
      </c>
      <c r="M848" s="6" t="s">
        <v>27</v>
      </c>
      <c r="N848" s="2">
        <f ca="1">IF(Iterations[[#This Row],[Step]] =current_step, current_Grad_a,IF(Iterations[[#This Row],[Step]] &gt; current_step, "",Iterations[[#This Row],[Grad_a]]))</f>
        <v>4.5667834509229722E-3</v>
      </c>
      <c r="O848" s="2">
        <f ca="1">IF(Iterations[[#This Row],[Step]] =current_step, current_Grad_b,IF(Iterations[[#This Row],[Step]] &gt; current_step, "",Iterations[[#This Row],[Grad_b]]))</f>
        <v>7.9636658087698124E-4</v>
      </c>
      <c r="P848" s="2">
        <f ca="1">IF(Iterations[[#This Row],[Step]] =current_step, current_Grad_c,IF(Iterations[[#This Row],[Step]] &gt; current_step, "",Iterations[[#This Row],[Grad_c]]))</f>
        <v>-1.2810359966601256E-2</v>
      </c>
      <c r="Q848" s="2">
        <f ca="1">IF(Iterations[[#This Row],[Step]] =current_step, current_Grad_d,IF(Iterations[[#This Row],[Step]] &gt; current_step, "",Iterations[[#This Row],[Grad_d]]))</f>
        <v>-7.3144607654265477E-4</v>
      </c>
      <c r="R848" s="2">
        <f ca="1">IF(Iterations[[#This Row],[Step]] =current_step, current_Grad_e,IF(Iterations[[#This Row],[Step]] &gt; current_step, "",Iterations[[#This Row],[Grad_e]]))</f>
        <v>4.5685385796011679E-3</v>
      </c>
    </row>
    <row r="849" spans="6:18" x14ac:dyDescent="0.3">
      <c r="F849" s="2">
        <f t="shared" si="15"/>
        <v>832</v>
      </c>
      <c r="G849" s="2">
        <f ca="1">IF(Iterations[[#This Row],[Step]] =current_step, current_a,IF(Iterations[[#This Row],[Step]] &gt; current_step, "",Iterations[[#This Row],[a]]))</f>
        <v>-7.2636333744927599</v>
      </c>
      <c r="H849" s="2">
        <f ca="1">IF(Iterations[[#This Row],[Step]] =current_step, current_b,IF(Iterations[[#This Row],[Step]] &gt; current_step, "",Iterations[[#This Row],[b]]))</f>
        <v>0.35012835266176345</v>
      </c>
      <c r="I849" s="2">
        <f ca="1">IF(Iterations[[#This Row],[Step]] =current_step, current_c,IF(Iterations[[#This Row],[Step]] &gt; current_step, "",Iterations[[#This Row],[c]]))</f>
        <v>21.21190714771641</v>
      </c>
      <c r="J849" s="2">
        <f ca="1">IF(Iterations[[#This Row],[Step]] =current_step, current_d,IF(Iterations[[#This Row],[Step]] &gt; current_step, "",Iterations[[#This Row],[d]]))</f>
        <v>1.2031541250478581</v>
      </c>
      <c r="K849" s="2">
        <f ca="1">IF(Iterations[[#This Row],[Step]] =current_step, current_e,IF(Iterations[[#This Row],[Step]] &gt; current_step, "",Iterations[[#This Row],[e]]))</f>
        <v>11.316418222345135</v>
      </c>
      <c r="L849" s="2">
        <f ca="1">IF(Iterations[[#This Row],[Step]] =current_step, current_Total_Loss,IF(Iterations[[#This Row],[Step]] &gt; current_step, "",Iterations[[#This Row],[Total Loss]]))</f>
        <v>90.45</v>
      </c>
      <c r="M849" s="6" t="s">
        <v>27</v>
      </c>
      <c r="N849" s="2">
        <f ca="1">IF(Iterations[[#This Row],[Step]] =current_step, current_Grad_a,IF(Iterations[[#This Row],[Step]] &gt; current_step, "",Iterations[[#This Row],[Grad_a]]))</f>
        <v>4.5358795695736986E-3</v>
      </c>
      <c r="O849" s="2">
        <f ca="1">IF(Iterations[[#This Row],[Step]] =current_step, current_Grad_b,IF(Iterations[[#This Row],[Step]] &gt; current_step, "",Iterations[[#This Row],[Grad_b]]))</f>
        <v>7.9097881250706555E-4</v>
      </c>
      <c r="P849" s="2">
        <f ca="1">IF(Iterations[[#This Row],[Step]] =current_step, current_Grad_c,IF(Iterations[[#This Row],[Step]] &gt; current_step, "",Iterations[[#This Row],[Grad_c]]))</f>
        <v>-1.2723670713758326E-2</v>
      </c>
      <c r="Q849" s="2">
        <f ca="1">IF(Iterations[[#This Row],[Step]] =current_step, current_Grad_d,IF(Iterations[[#This Row],[Step]] &gt; current_step, "",Iterations[[#This Row],[Grad_d]]))</f>
        <v>-7.2649911540239524E-4</v>
      </c>
      <c r="R849" s="2">
        <f ca="1">IF(Iterations[[#This Row],[Step]] =current_step, current_Grad_e,IF(Iterations[[#This Row],[Step]] &gt; current_step, "",Iterations[[#This Row],[Grad_e]]))</f>
        <v>4.5376226875772675E-3</v>
      </c>
    </row>
    <row r="850" spans="6:18" x14ac:dyDescent="0.3">
      <c r="F850" s="2">
        <f t="shared" si="15"/>
        <v>833</v>
      </c>
      <c r="G850" s="2">
        <f ca="1">IF(Iterations[[#This Row],[Step]] =current_step, current_a,IF(Iterations[[#This Row],[Step]] &gt; current_step, "",Iterations[[#This Row],[a]]))</f>
        <v>-7.2639508860626298</v>
      </c>
      <c r="H850" s="2">
        <f ca="1">IF(Iterations[[#This Row],[Step]] =current_step, current_b,IF(Iterations[[#This Row],[Step]] &gt; current_step, "",Iterations[[#This Row],[b]]))</f>
        <v>0.35007298414488797</v>
      </c>
      <c r="I850" s="2">
        <f ca="1">IF(Iterations[[#This Row],[Step]] =current_step, current_c,IF(Iterations[[#This Row],[Step]] &gt; current_step, "",Iterations[[#This Row],[c]]))</f>
        <v>21.212797804666373</v>
      </c>
      <c r="J850" s="2">
        <f ca="1">IF(Iterations[[#This Row],[Step]] =current_step, current_d,IF(Iterations[[#This Row],[Step]] &gt; current_step, "",Iterations[[#This Row],[d]]))</f>
        <v>1.2032049799859363</v>
      </c>
      <c r="K850" s="2">
        <f ca="1">IF(Iterations[[#This Row],[Step]] =current_step, current_e,IF(Iterations[[#This Row],[Step]] &gt; current_step, "",Iterations[[#This Row],[e]]))</f>
        <v>11.316100588757005</v>
      </c>
      <c r="L850" s="2">
        <f ca="1">IF(Iterations[[#This Row],[Step]] =current_step, current_Total_Loss,IF(Iterations[[#This Row],[Step]] &gt; current_step, "",Iterations[[#This Row],[Total Loss]]))</f>
        <v>90.45</v>
      </c>
      <c r="M850" s="6" t="s">
        <v>27</v>
      </c>
      <c r="N850" s="2">
        <f ca="1">IF(Iterations[[#This Row],[Step]] =current_step, current_Grad_a,IF(Iterations[[#This Row],[Step]] &gt; current_step, "",Iterations[[#This Row],[Grad_a]]))</f>
        <v>4.5051848177505172E-3</v>
      </c>
      <c r="O850" s="2">
        <f ca="1">IF(Iterations[[#This Row],[Step]] =current_step, current_Grad_b,IF(Iterations[[#This Row],[Step]] &gt; current_step, "",Iterations[[#This Row],[Grad_b]]))</f>
        <v>7.856274800442807E-4</v>
      </c>
      <c r="P850" s="2">
        <f ca="1">IF(Iterations[[#This Row],[Step]] =current_step, current_Grad_c,IF(Iterations[[#This Row],[Step]] &gt; current_step, "",Iterations[[#This Row],[Grad_c]]))</f>
        <v>-1.2637568099840167E-2</v>
      </c>
      <c r="Q850" s="2">
        <f ca="1">IF(Iterations[[#This Row],[Step]] =current_step, current_Grad_d,IF(Iterations[[#This Row],[Step]] &gt; current_step, "",Iterations[[#This Row],[Grad_d]]))</f>
        <v>-7.2158558078065183E-4</v>
      </c>
      <c r="R850" s="2">
        <f ca="1">IF(Iterations[[#This Row],[Step]] =current_step, current_Grad_e,IF(Iterations[[#This Row],[Step]] &gt; current_step, "",Iterations[[#This Row],[Grad_e]]))</f>
        <v>4.5069160086733794E-3</v>
      </c>
    </row>
    <row r="851" spans="6:18" x14ac:dyDescent="0.3">
      <c r="F851" s="2">
        <f t="shared" si="15"/>
        <v>834</v>
      </c>
      <c r="G851" s="2">
        <f ca="1">IF(Iterations[[#This Row],[Step]] =current_step, current_a,IF(Iterations[[#This Row],[Step]] &gt; current_step, "",Iterations[[#This Row],[a]]))</f>
        <v>-7.2642662489998724</v>
      </c>
      <c r="H851" s="2">
        <f ca="1">IF(Iterations[[#This Row],[Step]] =current_step, current_b,IF(Iterations[[#This Row],[Step]] &gt; current_step, "",Iterations[[#This Row],[b]]))</f>
        <v>0.35001799022128488</v>
      </c>
      <c r="I851" s="2">
        <f ca="1">IF(Iterations[[#This Row],[Step]] =current_step, current_c,IF(Iterations[[#This Row],[Step]] &gt; current_step, "",Iterations[[#This Row],[c]]))</f>
        <v>21.213682434433363</v>
      </c>
      <c r="J851" s="2">
        <f ca="1">IF(Iterations[[#This Row],[Step]] =current_step, current_d,IF(Iterations[[#This Row],[Step]] &gt; current_step, "",Iterations[[#This Row],[d]]))</f>
        <v>1.2032554909765909</v>
      </c>
      <c r="K851" s="2">
        <f ca="1">IF(Iterations[[#This Row],[Step]] =current_step, current_e,IF(Iterations[[#This Row],[Step]] &gt; current_step, "",Iterations[[#This Row],[e]]))</f>
        <v>11.315785104636397</v>
      </c>
      <c r="L851" s="2">
        <f ca="1">IF(Iterations[[#This Row],[Step]] =current_step, current_Total_Loss,IF(Iterations[[#This Row],[Step]] &gt; current_step, "",Iterations[[#This Row],[Total Loss]]))</f>
        <v>90.45</v>
      </c>
      <c r="M851" s="6" t="s">
        <v>27</v>
      </c>
      <c r="N851" s="2">
        <f ca="1">IF(Iterations[[#This Row],[Step]] =current_step, current_Grad_a,IF(Iterations[[#This Row],[Step]] &gt; current_step, "",Iterations[[#This Row],[Grad_a]]))</f>
        <v>4.4746977801225617E-3</v>
      </c>
      <c r="O851" s="2">
        <f ca="1">IF(Iterations[[#This Row],[Step]] =current_step, current_Grad_b,IF(Iterations[[#This Row],[Step]] &gt; current_step, "",Iterations[[#This Row],[Grad_b]]))</f>
        <v>7.8031233738632777E-4</v>
      </c>
      <c r="P851" s="2">
        <f ca="1">IF(Iterations[[#This Row],[Step]] =current_step, current_Grad_c,IF(Iterations[[#This Row],[Step]] &gt; current_step, "",Iterations[[#This Row],[Grad_c]]))</f>
        <v>-1.2552048154988806E-2</v>
      </c>
      <c r="Q851" s="2">
        <f ca="1">IF(Iterations[[#This Row],[Step]] =current_step, current_Grad_d,IF(Iterations[[#This Row],[Step]] &gt; current_step, "",Iterations[[#This Row],[Grad_d]]))</f>
        <v>-7.1670524735727929E-4</v>
      </c>
      <c r="R851" s="2">
        <f ca="1">IF(Iterations[[#This Row],[Step]] =current_step, current_Grad_e,IF(Iterations[[#This Row],[Step]] &gt; current_step, "",Iterations[[#This Row],[Grad_e]]))</f>
        <v>4.4764171270622478E-3</v>
      </c>
    </row>
    <row r="852" spans="6:18" x14ac:dyDescent="0.3">
      <c r="F852" s="2">
        <f t="shared" si="15"/>
        <v>835</v>
      </c>
      <c r="G852" s="2">
        <f ca="1">IF(Iterations[[#This Row],[Step]] =current_step, current_a,IF(Iterations[[#This Row],[Step]] &gt; current_step, "",Iterations[[#This Row],[a]]))</f>
        <v>-7.2645794778444808</v>
      </c>
      <c r="H852" s="2">
        <f ca="1">IF(Iterations[[#This Row],[Step]] =current_step, current_b,IF(Iterations[[#This Row],[Step]] &gt; current_step, "",Iterations[[#This Row],[b]]))</f>
        <v>0.34996336835766784</v>
      </c>
      <c r="I852" s="2">
        <f ca="1">IF(Iterations[[#This Row],[Step]] =current_step, current_c,IF(Iterations[[#This Row],[Step]] &gt; current_step, "",Iterations[[#This Row],[c]]))</f>
        <v>21.214561077804213</v>
      </c>
      <c r="J852" s="2">
        <f ca="1">IF(Iterations[[#This Row],[Step]] =current_step, current_d,IF(Iterations[[#This Row],[Step]] &gt; current_step, "",Iterations[[#This Row],[d]]))</f>
        <v>1.2033056603439058</v>
      </c>
      <c r="K852" s="2">
        <f ca="1">IF(Iterations[[#This Row],[Step]] =current_step, current_e,IF(Iterations[[#This Row],[Step]] &gt; current_step, "",Iterations[[#This Row],[e]]))</f>
        <v>11.315471755437503</v>
      </c>
      <c r="L852" s="2">
        <f ca="1">IF(Iterations[[#This Row],[Step]] =current_step, current_Total_Loss,IF(Iterations[[#This Row],[Step]] &gt; current_step, "",Iterations[[#This Row],[Total Loss]]))</f>
        <v>90.44</v>
      </c>
      <c r="M852" s="6" t="s">
        <v>27</v>
      </c>
      <c r="N852" s="2">
        <f ca="1">IF(Iterations[[#This Row],[Step]] =current_step, current_Grad_a,IF(Iterations[[#This Row],[Step]] &gt; current_step, "",Iterations[[#This Row],[Grad_a]]))</f>
        <v>4.4444170511715141E-3</v>
      </c>
      <c r="O852" s="2">
        <f ca="1">IF(Iterations[[#This Row],[Step]] =current_step, current_Grad_b,IF(Iterations[[#This Row],[Step]] &gt; current_step, "",Iterations[[#This Row],[Grad_b]]))</f>
        <v>7.7503314004100251E-4</v>
      </c>
      <c r="P852" s="2">
        <f ca="1">IF(Iterations[[#This Row],[Step]] =current_step, current_Grad_c,IF(Iterations[[#This Row],[Step]] &gt; current_step, "",Iterations[[#This Row],[Grad_c]]))</f>
        <v>-1.2467106936112046E-2</v>
      </c>
      <c r="Q852" s="2">
        <f ca="1">IF(Iterations[[#This Row],[Step]] =current_step, current_Grad_d,IF(Iterations[[#This Row],[Step]] &gt; current_step, "",Iterations[[#This Row],[Grad_d]]))</f>
        <v>-7.1185789133278014E-4</v>
      </c>
      <c r="R852" s="2">
        <f ca="1">IF(Iterations[[#This Row],[Step]] =current_step, current_Grad_e,IF(Iterations[[#This Row],[Step]] &gt; current_step, "",Iterations[[#This Row],[Grad_e]]))</f>
        <v>4.4461246365435792E-3</v>
      </c>
    </row>
    <row r="853" spans="6:18" x14ac:dyDescent="0.3">
      <c r="F853" s="2">
        <f t="shared" si="15"/>
        <v>836</v>
      </c>
      <c r="G853" s="2">
        <f ca="1">IF(Iterations[[#This Row],[Step]] =current_step, current_a,IF(Iterations[[#This Row],[Step]] &gt; current_step, "",Iterations[[#This Row],[a]]))</f>
        <v>-7.2648905870380629</v>
      </c>
      <c r="H853" s="2">
        <f ca="1">IF(Iterations[[#This Row],[Step]] =current_step, current_b,IF(Iterations[[#This Row],[Step]] &gt; current_step, "",Iterations[[#This Row],[b]]))</f>
        <v>0.34990911603786495</v>
      </c>
      <c r="I853" s="2">
        <f ca="1">IF(Iterations[[#This Row],[Step]] =current_step, current_c,IF(Iterations[[#This Row],[Step]] &gt; current_step, "",Iterations[[#This Row],[c]]))</f>
        <v>21.215433775289739</v>
      </c>
      <c r="J853" s="2">
        <f ca="1">IF(Iterations[[#This Row],[Step]] =current_step, current_d,IF(Iterations[[#This Row],[Step]] &gt; current_step, "",Iterations[[#This Row],[d]]))</f>
        <v>1.2033554903962991</v>
      </c>
      <c r="K853" s="2">
        <f ca="1">IF(Iterations[[#This Row],[Step]] =current_step, current_e,IF(Iterations[[#This Row],[Step]] &gt; current_step, "",Iterations[[#This Row],[e]]))</f>
        <v>11.315160526712946</v>
      </c>
      <c r="L853" s="2">
        <f ca="1">IF(Iterations[[#This Row],[Step]] =current_step, current_Total_Loss,IF(Iterations[[#This Row],[Step]] &gt; current_step, "",Iterations[[#This Row],[Total Loss]]))</f>
        <v>90.44</v>
      </c>
      <c r="M853" s="6" t="s">
        <v>27</v>
      </c>
      <c r="N853" s="2">
        <f ca="1">IF(Iterations[[#This Row],[Step]] =current_step, current_Grad_a,IF(Iterations[[#This Row],[Step]] &gt; current_step, "",Iterations[[#This Row],[Grad_a]]))</f>
        <v>4.4143412346846489E-3</v>
      </c>
      <c r="O853" s="2">
        <f ca="1">IF(Iterations[[#This Row],[Step]] =current_step, current_Grad_b,IF(Iterations[[#This Row],[Step]] &gt; current_step, "",Iterations[[#This Row],[Grad_b]]))</f>
        <v>7.697896451538276E-4</v>
      </c>
      <c r="P853" s="2">
        <f ca="1">IF(Iterations[[#This Row],[Step]] =current_step, current_Grad_c,IF(Iterations[[#This Row],[Step]] &gt; current_step, "",Iterations[[#This Row],[Grad_c]]))</f>
        <v>-1.2382740526895622E-2</v>
      </c>
      <c r="Q853" s="2">
        <f ca="1">IF(Iterations[[#This Row],[Step]] =current_step, current_Grad_d,IF(Iterations[[#This Row],[Step]] &gt; current_step, "",Iterations[[#This Row],[Grad_d]]))</f>
        <v>-7.0704329041630187E-4</v>
      </c>
      <c r="R853" s="2">
        <f ca="1">IF(Iterations[[#This Row],[Step]] =current_step, current_Grad_e,IF(Iterations[[#This Row],[Step]] &gt; current_step, "",Iterations[[#This Row],[Grad_e]]))</f>
        <v>4.4160371403876297E-3</v>
      </c>
    </row>
    <row r="854" spans="6:18" x14ac:dyDescent="0.3">
      <c r="F854" s="2">
        <f t="shared" si="15"/>
        <v>837</v>
      </c>
      <c r="G854" s="2">
        <f ca="1">IF(Iterations[[#This Row],[Step]] =current_step, current_a,IF(Iterations[[#This Row],[Step]] &gt; current_step, "",Iterations[[#This Row],[a]]))</f>
        <v>-7.2651995909244906</v>
      </c>
      <c r="H854" s="2">
        <f ca="1">IF(Iterations[[#This Row],[Step]] =current_step, current_b,IF(Iterations[[#This Row],[Step]] &gt; current_step, "",Iterations[[#This Row],[b]]))</f>
        <v>0.34985523076270419</v>
      </c>
      <c r="I854" s="2">
        <f ca="1">IF(Iterations[[#This Row],[Step]] =current_step, current_c,IF(Iterations[[#This Row],[Step]] &gt; current_step, "",Iterations[[#This Row],[c]]))</f>
        <v>21.216300567126623</v>
      </c>
      <c r="J854" s="2">
        <f ca="1">IF(Iterations[[#This Row],[Step]] =current_step, current_d,IF(Iterations[[#This Row],[Step]] &gt; current_step, "",Iterations[[#This Row],[d]]))</f>
        <v>1.2034049834266283</v>
      </c>
      <c r="K854" s="2">
        <f ca="1">IF(Iterations[[#This Row],[Step]] =current_step, current_e,IF(Iterations[[#This Row],[Step]] &gt; current_step, "",Iterations[[#This Row],[e]]))</f>
        <v>11.314851404113119</v>
      </c>
      <c r="L854" s="2">
        <f ca="1">IF(Iterations[[#This Row],[Step]] =current_step, current_Total_Loss,IF(Iterations[[#This Row],[Step]] &gt; current_step, "",Iterations[[#This Row],[Total Loss]]))</f>
        <v>90.44</v>
      </c>
      <c r="M854" s="6" t="s">
        <v>27</v>
      </c>
      <c r="N854" s="2">
        <f ca="1">IF(Iterations[[#This Row],[Step]] =current_step, current_Grad_a,IF(Iterations[[#This Row],[Step]] &gt; current_step, "",Iterations[[#This Row],[Grad_a]]))</f>
        <v>4.3844689441895467E-3</v>
      </c>
      <c r="O854" s="2">
        <f ca="1">IF(Iterations[[#This Row],[Step]] =current_step, current_Grad_b,IF(Iterations[[#This Row],[Step]] &gt; current_step, "",Iterations[[#This Row],[Grad_b]]))</f>
        <v>7.6458161152243638E-4</v>
      </c>
      <c r="P854" s="2">
        <f ca="1">IF(Iterations[[#This Row],[Step]] =current_step, current_Grad_c,IF(Iterations[[#This Row],[Step]] &gt; current_step, "",Iterations[[#This Row],[Grad_c]]))</f>
        <v>-1.229894503739732E-2</v>
      </c>
      <c r="Q854" s="2">
        <f ca="1">IF(Iterations[[#This Row],[Step]] =current_step, current_Grad_d,IF(Iterations[[#This Row],[Step]] &gt; current_step, "",Iterations[[#This Row],[Grad_d]]))</f>
        <v>-7.0226122379167684E-4</v>
      </c>
      <c r="R854" s="2">
        <f ca="1">IF(Iterations[[#This Row],[Step]] =current_step, current_Grad_e,IF(Iterations[[#This Row],[Step]] &gt; current_step, "",Iterations[[#This Row],[Grad_e]]))</f>
        <v>4.3861532513823753E-3</v>
      </c>
    </row>
    <row r="855" spans="6:18" x14ac:dyDescent="0.3">
      <c r="F855" s="2">
        <f t="shared" si="15"/>
        <v>838</v>
      </c>
      <c r="G855" s="2">
        <f ca="1">IF(Iterations[[#This Row],[Step]] =current_step, current_a,IF(Iterations[[#This Row],[Step]] &gt; current_step, "",Iterations[[#This Row],[a]]))</f>
        <v>-7.2655065037505837</v>
      </c>
      <c r="H855" s="2">
        <f ca="1">IF(Iterations[[#This Row],[Step]] =current_step, current_b,IF(Iterations[[#This Row],[Step]] &gt; current_step, "",Iterations[[#This Row],[b]]))</f>
        <v>0.34980171004989763</v>
      </c>
      <c r="I855" s="2">
        <f ca="1">IF(Iterations[[#This Row],[Step]] =current_step, current_c,IF(Iterations[[#This Row],[Step]] &gt; current_step, "",Iterations[[#This Row],[c]]))</f>
        <v>21.217161493279242</v>
      </c>
      <c r="J855" s="2">
        <f ca="1">IF(Iterations[[#This Row],[Step]] =current_step, current_d,IF(Iterations[[#This Row],[Step]] &gt; current_step, "",Iterations[[#This Row],[d]]))</f>
        <v>1.2034541417122937</v>
      </c>
      <c r="K855" s="2">
        <f ca="1">IF(Iterations[[#This Row],[Step]] =current_step, current_e,IF(Iterations[[#This Row],[Step]] &gt; current_step, "",Iterations[[#This Row],[e]]))</f>
        <v>11.314544373385521</v>
      </c>
      <c r="L855" s="2">
        <f ca="1">IF(Iterations[[#This Row],[Step]] =current_step, current_Total_Loss,IF(Iterations[[#This Row],[Step]] &gt; current_step, "",Iterations[[#This Row],[Total Loss]]))</f>
        <v>90.44</v>
      </c>
      <c r="M855" s="6" t="s">
        <v>27</v>
      </c>
      <c r="N855" s="2">
        <f ca="1">IF(Iterations[[#This Row],[Step]] =current_step, current_Grad_a,IF(Iterations[[#This Row],[Step]] &gt; current_step, "",Iterations[[#This Row],[Grad_a]]))</f>
        <v>4.3547988021592765E-3</v>
      </c>
      <c r="O855" s="2">
        <f ca="1">IF(Iterations[[#This Row],[Step]] =current_step, current_Grad_b,IF(Iterations[[#This Row],[Step]] &gt; current_step, "",Iterations[[#This Row],[Grad_b]]))</f>
        <v>7.5940879958586512E-4</v>
      </c>
      <c r="P855" s="2">
        <f ca="1">IF(Iterations[[#This Row],[Step]] =current_step, current_Grad_c,IF(Iterations[[#This Row],[Step]] &gt; current_step, "",Iterations[[#This Row],[Grad_c]]))</f>
        <v>-1.2215716604191469E-2</v>
      </c>
      <c r="Q855" s="2">
        <f ca="1">IF(Iterations[[#This Row],[Step]] =current_step, current_Grad_d,IF(Iterations[[#This Row],[Step]] &gt; current_step, "",Iterations[[#This Row],[Grad_d]]))</f>
        <v>-6.9751147212430509E-4</v>
      </c>
      <c r="R855" s="2">
        <f ca="1">IF(Iterations[[#This Row],[Step]] =current_step, current_Grad_e,IF(Iterations[[#This Row],[Step]] &gt; current_step, "",Iterations[[#This Row],[Grad_e]]))</f>
        <v>4.3564715916079143E-3</v>
      </c>
    </row>
    <row r="856" spans="6:18" x14ac:dyDescent="0.3">
      <c r="F856" s="2">
        <f t="shared" si="15"/>
        <v>839</v>
      </c>
      <c r="G856" s="2">
        <f ca="1">IF(Iterations[[#This Row],[Step]] =current_step, current_a,IF(Iterations[[#This Row],[Step]] &gt; current_step, "",Iterations[[#This Row],[a]]))</f>
        <v>-7.265811339666735</v>
      </c>
      <c r="H856" s="2">
        <f ca="1">IF(Iterations[[#This Row],[Step]] =current_step, current_b,IF(Iterations[[#This Row],[Step]] &gt; current_step, "",Iterations[[#This Row],[b]]))</f>
        <v>0.34974855143392664</v>
      </c>
      <c r="I856" s="2">
        <f ca="1">IF(Iterations[[#This Row],[Step]] =current_step, current_c,IF(Iterations[[#This Row],[Step]] &gt; current_step, "",Iterations[[#This Row],[c]]))</f>
        <v>21.218016593441536</v>
      </c>
      <c r="J856" s="2">
        <f ca="1">IF(Iterations[[#This Row],[Step]] =current_step, current_d,IF(Iterations[[#This Row],[Step]] &gt; current_step, "",Iterations[[#This Row],[d]]))</f>
        <v>1.2035029675153424</v>
      </c>
      <c r="K856" s="2">
        <f ca="1">IF(Iterations[[#This Row],[Step]] =current_step, current_e,IF(Iterations[[#This Row],[Step]] &gt; current_step, "",Iterations[[#This Row],[e]]))</f>
        <v>11.314239420374109</v>
      </c>
      <c r="L856" s="2">
        <f ca="1">IF(Iterations[[#This Row],[Step]] =current_step, current_Total_Loss,IF(Iterations[[#This Row],[Step]] &gt; current_step, "",Iterations[[#This Row],[Total Loss]]))</f>
        <v>90.44</v>
      </c>
      <c r="M856" s="6" t="s">
        <v>27</v>
      </c>
      <c r="N856" s="2">
        <f ca="1">IF(Iterations[[#This Row],[Step]] =current_step, current_Grad_a,IF(Iterations[[#This Row],[Step]] &gt; current_step, "",Iterations[[#This Row],[Grad_a]]))</f>
        <v>4.3253294408685467E-3</v>
      </c>
      <c r="O856" s="2">
        <f ca="1">IF(Iterations[[#This Row],[Step]] =current_step, current_Grad_b,IF(Iterations[[#This Row],[Step]] &gt; current_step, "",Iterations[[#This Row],[Grad_b]]))</f>
        <v>7.5427097135988893E-4</v>
      </c>
      <c r="P856" s="2">
        <f ca="1">IF(Iterations[[#This Row],[Step]] =current_step, current_Grad_c,IF(Iterations[[#This Row],[Step]] &gt; current_step, "",Iterations[[#This Row],[Grad_c]]))</f>
        <v>-1.2133051389788176E-2</v>
      </c>
      <c r="Q856" s="2">
        <f ca="1">IF(Iterations[[#This Row],[Step]] =current_step, current_Grad_d,IF(Iterations[[#This Row],[Step]] &gt; current_step, "",Iterations[[#This Row],[Grad_d]]))</f>
        <v>-6.9279381755739237E-4</v>
      </c>
      <c r="R856" s="2">
        <f ca="1">IF(Iterations[[#This Row],[Step]] =current_step, current_Grad_e,IF(Iterations[[#This Row],[Step]] &gt; current_step, "",Iterations[[#This Row],[Grad_e]]))</f>
        <v>4.3269907925773919E-3</v>
      </c>
    </row>
    <row r="857" spans="6:18" x14ac:dyDescent="0.3">
      <c r="F857" s="2">
        <f t="shared" si="15"/>
        <v>840</v>
      </c>
      <c r="G857" s="2">
        <f ca="1">IF(Iterations[[#This Row],[Step]] =current_step, current_a,IF(Iterations[[#This Row],[Step]] &gt; current_step, "",Iterations[[#This Row],[a]]))</f>
        <v>-7.2661141127275961</v>
      </c>
      <c r="H857" s="2">
        <f ca="1">IF(Iterations[[#This Row],[Step]] =current_step, current_b,IF(Iterations[[#This Row],[Step]] &gt; current_step, "",Iterations[[#This Row],[b]]))</f>
        <v>0.34969575246593143</v>
      </c>
      <c r="I857" s="2">
        <f ca="1">IF(Iterations[[#This Row],[Step]] =current_step, current_c,IF(Iterations[[#This Row],[Step]] &gt; current_step, "",Iterations[[#This Row],[c]]))</f>
        <v>21.218865907038822</v>
      </c>
      <c r="J857" s="2">
        <f ca="1">IF(Iterations[[#This Row],[Step]] =current_step, current_d,IF(Iterations[[#This Row],[Step]] &gt; current_step, "",Iterations[[#This Row],[d]]))</f>
        <v>1.2035514630825714</v>
      </c>
      <c r="K857" s="2">
        <f ca="1">IF(Iterations[[#This Row],[Step]] =current_step, current_e,IF(Iterations[[#This Row],[Step]] &gt; current_step, "",Iterations[[#This Row],[e]]))</f>
        <v>11.313936531018628</v>
      </c>
      <c r="L857" s="2">
        <f ca="1">IF(Iterations[[#This Row],[Step]] =current_step, current_Total_Loss,IF(Iterations[[#This Row],[Step]] &gt; current_step, "",Iterations[[#This Row],[Total Loss]]))</f>
        <v>90.44</v>
      </c>
      <c r="M857" s="6" t="s">
        <v>27</v>
      </c>
      <c r="N857" s="2">
        <f ca="1">IF(Iterations[[#This Row],[Step]] =current_step, current_Grad_a,IF(Iterations[[#This Row],[Step]] &gt; current_step, "",Iterations[[#This Row],[Grad_a]]))</f>
        <v>4.2960595014563336E-3</v>
      </c>
      <c r="O857" s="2">
        <f ca="1">IF(Iterations[[#This Row],[Step]] =current_step, current_Grad_b,IF(Iterations[[#This Row],[Step]] &gt; current_step, "",Iterations[[#This Row],[Grad_b]]))</f>
        <v>7.4916789050592943E-4</v>
      </c>
      <c r="P857" s="2">
        <f ca="1">IF(Iterations[[#This Row],[Step]] =current_step, current_Grad_c,IF(Iterations[[#This Row],[Step]] &gt; current_step, "",Iterations[[#This Row],[Grad_c]]))</f>
        <v>-1.205094558283986E-2</v>
      </c>
      <c r="Q857" s="2">
        <f ca="1">IF(Iterations[[#This Row],[Step]] =current_step, current_Grad_d,IF(Iterations[[#This Row],[Step]] &gt; current_step, "",Iterations[[#This Row],[Grad_d]]))</f>
        <v>-6.8810804367939549E-4</v>
      </c>
      <c r="R857" s="2">
        <f ca="1">IF(Iterations[[#This Row],[Step]] =current_step, current_Grad_e,IF(Iterations[[#This Row],[Step]] &gt; current_step, "",Iterations[[#This Row],[Grad_e]]))</f>
        <v>4.2977094949723238E-3</v>
      </c>
    </row>
    <row r="858" spans="6:18" x14ac:dyDescent="0.3">
      <c r="F858" s="2">
        <f t="shared" si="15"/>
        <v>841</v>
      </c>
      <c r="G858" s="2">
        <f ca="1">IF(Iterations[[#This Row],[Step]] =current_step, current_a,IF(Iterations[[#This Row],[Step]] &gt; current_step, "",Iterations[[#This Row],[a]]))</f>
        <v>-7.2664148368926984</v>
      </c>
      <c r="H858" s="2">
        <f ca="1">IF(Iterations[[#This Row],[Step]] =current_step, current_b,IF(Iterations[[#This Row],[Step]] &gt; current_step, "",Iterations[[#This Row],[b]]))</f>
        <v>0.349643310713596</v>
      </c>
      <c r="I858" s="2">
        <f ca="1">IF(Iterations[[#This Row],[Step]] =current_step, current_c,IF(Iterations[[#This Row],[Step]] &gt; current_step, "",Iterations[[#This Row],[c]]))</f>
        <v>21.219709473229621</v>
      </c>
      <c r="J858" s="2">
        <f ca="1">IF(Iterations[[#This Row],[Step]] =current_step, current_d,IF(Iterations[[#This Row],[Step]] &gt; current_step, "",Iterations[[#This Row],[d]]))</f>
        <v>1.2035996306456289</v>
      </c>
      <c r="K858" s="2">
        <f ca="1">IF(Iterations[[#This Row],[Step]] =current_step, current_e,IF(Iterations[[#This Row],[Step]] &gt; current_step, "",Iterations[[#This Row],[e]]))</f>
        <v>11.31363569135398</v>
      </c>
      <c r="L858" s="2">
        <f ca="1">IF(Iterations[[#This Row],[Step]] =current_step, current_Total_Loss,IF(Iterations[[#This Row],[Step]] &gt; current_step, "",Iterations[[#This Row],[Total Loss]]))</f>
        <v>90.44</v>
      </c>
      <c r="M858" s="6" t="s">
        <v>27</v>
      </c>
      <c r="N858" s="2">
        <f ca="1">IF(Iterations[[#This Row],[Step]] =current_step, current_Grad_a,IF(Iterations[[#This Row],[Step]] &gt; current_step, "",Iterations[[#This Row],[Grad_a]]))</f>
        <v>4.2669876344938705E-3</v>
      </c>
      <c r="O858" s="2">
        <f ca="1">IF(Iterations[[#This Row],[Step]] =current_step, current_Grad_b,IF(Iterations[[#This Row],[Step]] &gt; current_step, "",Iterations[[#This Row],[Grad_b]]))</f>
        <v>7.4409932225523911E-4</v>
      </c>
      <c r="P858" s="2">
        <f ca="1">IF(Iterations[[#This Row],[Step]] =current_step, current_Grad_c,IF(Iterations[[#This Row],[Step]] &gt; current_step, "",Iterations[[#This Row],[Grad_c]]))</f>
        <v>-1.1969395397682504E-2</v>
      </c>
      <c r="Q858" s="2">
        <f ca="1">IF(Iterations[[#This Row],[Step]] =current_step, current_Grad_d,IF(Iterations[[#This Row],[Step]] &gt; current_step, "",Iterations[[#This Row],[Grad_d]]))</f>
        <v>-6.8345393553834481E-4</v>
      </c>
      <c r="R858" s="2">
        <f ca="1">IF(Iterations[[#This Row],[Step]] =current_step, current_Grad_e,IF(Iterations[[#This Row],[Step]] &gt; current_step, "",Iterations[[#This Row],[Grad_e]]))</f>
        <v>4.2686263487363464E-3</v>
      </c>
    </row>
    <row r="859" spans="6:18" x14ac:dyDescent="0.3">
      <c r="F859" s="2">
        <f t="shared" si="15"/>
        <v>842</v>
      </c>
      <c r="G859" s="2">
        <f ca="1">IF(Iterations[[#This Row],[Step]] =current_step, current_a,IF(Iterations[[#This Row],[Step]] &gt; current_step, "",Iterations[[#This Row],[a]]))</f>
        <v>-7.2667135260271127</v>
      </c>
      <c r="H859" s="2">
        <f ca="1">IF(Iterations[[#This Row],[Step]] =current_step, current_b,IF(Iterations[[#This Row],[Step]] &gt; current_step, "",Iterations[[#This Row],[b]]))</f>
        <v>0.34959122376103813</v>
      </c>
      <c r="I859" s="2">
        <f ca="1">IF(Iterations[[#This Row],[Step]] =current_step, current_c,IF(Iterations[[#This Row],[Step]] &gt; current_step, "",Iterations[[#This Row],[c]]))</f>
        <v>21.220547330907458</v>
      </c>
      <c r="J859" s="2">
        <f ca="1">IF(Iterations[[#This Row],[Step]] =current_step, current_d,IF(Iterations[[#This Row],[Step]] &gt; current_step, "",Iterations[[#This Row],[d]]))</f>
        <v>1.2036474724211166</v>
      </c>
      <c r="K859" s="2">
        <f ca="1">IF(Iterations[[#This Row],[Step]] =current_step, current_e,IF(Iterations[[#This Row],[Step]] &gt; current_step, "",Iterations[[#This Row],[e]]))</f>
        <v>11.313336887509568</v>
      </c>
      <c r="L859" s="2">
        <f ca="1">IF(Iterations[[#This Row],[Step]] =current_step, current_Total_Loss,IF(Iterations[[#This Row],[Step]] &gt; current_step, "",Iterations[[#This Row],[Total Loss]]))</f>
        <v>90.44</v>
      </c>
      <c r="M859" s="6" t="s">
        <v>27</v>
      </c>
      <c r="N859" s="2">
        <f ca="1">IF(Iterations[[#This Row],[Step]] =current_step, current_Grad_a,IF(Iterations[[#This Row],[Step]] &gt; current_step, "",Iterations[[#This Row],[Grad_a]]))</f>
        <v>4.2381124996739355E-3</v>
      </c>
      <c r="O859" s="2">
        <f ca="1">IF(Iterations[[#This Row],[Step]] =current_step, current_Grad_b,IF(Iterations[[#This Row],[Step]] &gt; current_step, "",Iterations[[#This Row],[Grad_b]]))</f>
        <v>7.3906503338677036E-4</v>
      </c>
      <c r="P859" s="2">
        <f ca="1">IF(Iterations[[#This Row],[Step]] =current_step, current_Grad_c,IF(Iterations[[#This Row],[Step]] &gt; current_step, "",Iterations[[#This Row],[Grad_c]]))</f>
        <v>-1.1888397074286856E-2</v>
      </c>
      <c r="Q859" s="2">
        <f ca="1">IF(Iterations[[#This Row],[Step]] =current_step, current_Grad_d,IF(Iterations[[#This Row],[Step]] &gt; current_step, "",Iterations[[#This Row],[Grad_d]]))</f>
        <v>-6.788312796356758E-4</v>
      </c>
      <c r="R859" s="2">
        <f ca="1">IF(Iterations[[#This Row],[Step]] =current_step, current_Grad_e,IF(Iterations[[#This Row],[Step]] &gt; current_step, "",Iterations[[#This Row],[Grad_e]]))</f>
        <v>4.2397400129328133E-3</v>
      </c>
    </row>
    <row r="860" spans="6:18" x14ac:dyDescent="0.3">
      <c r="F860" s="2">
        <f t="shared" si="15"/>
        <v>843</v>
      </c>
      <c r="G860" s="2">
        <f ca="1">IF(Iterations[[#This Row],[Step]] =current_step, current_a,IF(Iterations[[#This Row],[Step]] &gt; current_step, "",Iterations[[#This Row],[a]]))</f>
        <v>-7.2670101939020899</v>
      </c>
      <c r="H860" s="2">
        <f ca="1">IF(Iterations[[#This Row],[Step]] =current_step, current_b,IF(Iterations[[#This Row],[Step]] &gt; current_step, "",Iterations[[#This Row],[b]]))</f>
        <v>0.34953948920870104</v>
      </c>
      <c r="I860" s="2">
        <f ca="1">IF(Iterations[[#This Row],[Step]] =current_step, current_c,IF(Iterations[[#This Row],[Step]] &gt; current_step, "",Iterations[[#This Row],[c]]))</f>
        <v>21.221379518702658</v>
      </c>
      <c r="J860" s="2">
        <f ca="1">IF(Iterations[[#This Row],[Step]] =current_step, current_d,IF(Iterations[[#This Row],[Step]] &gt; current_step, "",Iterations[[#This Row],[d]]))</f>
        <v>1.2036949906106911</v>
      </c>
      <c r="K860" s="2">
        <f ca="1">IF(Iterations[[#This Row],[Step]] =current_step, current_e,IF(Iterations[[#This Row],[Step]] &gt; current_step, "",Iterations[[#This Row],[e]]))</f>
        <v>11.313040105708662</v>
      </c>
      <c r="L860" s="2">
        <f ca="1">IF(Iterations[[#This Row],[Step]] =current_step, current_Total_Loss,IF(Iterations[[#This Row],[Step]] &gt; current_step, "",Iterations[[#This Row],[Total Loss]]))</f>
        <v>90.44</v>
      </c>
      <c r="M860" s="6" t="s">
        <v>27</v>
      </c>
      <c r="N860" s="2">
        <f ca="1">IF(Iterations[[#This Row],[Step]] =current_step, current_Grad_a,IF(Iterations[[#This Row],[Step]] &gt; current_step, "",Iterations[[#This Row],[Grad_a]]))</f>
        <v>4.2094327655026005E-3</v>
      </c>
      <c r="O860" s="2">
        <f ca="1">IF(Iterations[[#This Row],[Step]] =current_step, current_Grad_b,IF(Iterations[[#This Row],[Step]] &gt; current_step, "",Iterations[[#This Row],[Grad_b]]))</f>
        <v>7.3406479234481041E-4</v>
      </c>
      <c r="P860" s="2">
        <f ca="1">IF(Iterations[[#This Row],[Step]] =current_step, current_Grad_c,IF(Iterations[[#This Row],[Step]] &gt; current_step, "",Iterations[[#This Row],[Grad_c]]))</f>
        <v>-1.1807946878166775E-2</v>
      </c>
      <c r="Q860" s="2">
        <f ca="1">IF(Iterations[[#This Row],[Step]] =current_step, current_Grad_d,IF(Iterations[[#This Row],[Step]] &gt; current_step, "",Iterations[[#This Row],[Grad_d]]))</f>
        <v>-6.7423986386976823E-4</v>
      </c>
      <c r="R860" s="2">
        <f ca="1">IF(Iterations[[#This Row],[Step]] =current_step, current_Grad_e,IF(Iterations[[#This Row],[Step]] &gt; current_step, "",Iterations[[#This Row],[Grad_e]]))</f>
        <v>4.2110491556600254E-3</v>
      </c>
    </row>
    <row r="861" spans="6:18" x14ac:dyDescent="0.3">
      <c r="F861" s="2">
        <f t="shared" si="15"/>
        <v>844</v>
      </c>
      <c r="G861" s="2">
        <f ca="1">IF(Iterations[[#This Row],[Step]] =current_step, current_a,IF(Iterations[[#This Row],[Step]] &gt; current_step, "",Iterations[[#This Row],[a]]))</f>
        <v>-7.2673048541956753</v>
      </c>
      <c r="H861" s="2">
        <f ca="1">IF(Iterations[[#This Row],[Step]] =current_step, current_b,IF(Iterations[[#This Row],[Step]] &gt; current_step, "",Iterations[[#This Row],[b]]))</f>
        <v>0.34948810467323688</v>
      </c>
      <c r="I861" s="2">
        <f ca="1">IF(Iterations[[#This Row],[Step]] =current_step, current_c,IF(Iterations[[#This Row],[Step]] &gt; current_step, "",Iterations[[#This Row],[c]]))</f>
        <v>21.222206074984129</v>
      </c>
      <c r="J861" s="2">
        <f ca="1">IF(Iterations[[#This Row],[Step]] =current_step, current_d,IF(Iterations[[#This Row],[Step]] &gt; current_step, "",Iterations[[#This Row],[d]]))</f>
        <v>1.203742187401162</v>
      </c>
      <c r="K861" s="2">
        <f ca="1">IF(Iterations[[#This Row],[Step]] =current_step, current_e,IF(Iterations[[#This Row],[Step]] &gt; current_step, "",Iterations[[#This Row],[e]]))</f>
        <v>11.312745332267767</v>
      </c>
      <c r="L861" s="2">
        <f ca="1">IF(Iterations[[#This Row],[Step]] =current_step, current_Total_Loss,IF(Iterations[[#This Row],[Step]] &gt; current_step, "",Iterations[[#This Row],[Total Loss]]))</f>
        <v>90.44</v>
      </c>
      <c r="M861" s="6" t="s">
        <v>27</v>
      </c>
      <c r="N861" s="2">
        <f ca="1">IF(Iterations[[#This Row],[Step]] =current_step, current_Grad_a,IF(Iterations[[#This Row],[Step]] &gt; current_step, "",Iterations[[#This Row],[Grad_a]]))</f>
        <v>4.1809471099164674E-3</v>
      </c>
      <c r="O861" s="2">
        <f ca="1">IF(Iterations[[#This Row],[Step]] =current_step, current_Grad_b,IF(Iterations[[#This Row],[Step]] &gt; current_step, "",Iterations[[#This Row],[Grad_b]]))</f>
        <v>7.2909836901486399E-4</v>
      </c>
      <c r="P861" s="2">
        <f ca="1">IF(Iterations[[#This Row],[Step]] =current_step, current_Grad_c,IF(Iterations[[#This Row],[Step]] &gt; current_step, "",Iterations[[#This Row],[Grad_c]]))</f>
        <v>-1.1728041099936934E-2</v>
      </c>
      <c r="Q861" s="2">
        <f ca="1">IF(Iterations[[#This Row],[Step]] =current_step, current_Grad_d,IF(Iterations[[#This Row],[Step]] &gt; current_step, "",Iterations[[#This Row],[Grad_d]]))</f>
        <v>-6.6967947760159733E-4</v>
      </c>
      <c r="R861" s="2">
        <f ca="1">IF(Iterations[[#This Row],[Step]] =current_step, current_Grad_e,IF(Iterations[[#This Row],[Step]] &gt; current_step, "",Iterations[[#This Row],[Grad_e]]))</f>
        <v>4.1825524541112304E-3</v>
      </c>
    </row>
    <row r="862" spans="6:18" x14ac:dyDescent="0.3">
      <c r="F862" s="2">
        <f t="shared" si="15"/>
        <v>845</v>
      </c>
      <c r="G862" s="2">
        <f ca="1">IF(Iterations[[#This Row],[Step]] =current_step, current_a,IF(Iterations[[#This Row],[Step]] &gt; current_step, "",Iterations[[#This Row],[a]]))</f>
        <v>-7.2675975204933696</v>
      </c>
      <c r="H862" s="2">
        <f ca="1">IF(Iterations[[#This Row],[Step]] =current_step, current_b,IF(Iterations[[#This Row],[Step]] &gt; current_step, "",Iterations[[#This Row],[b]]))</f>
        <v>0.34943706778740585</v>
      </c>
      <c r="I862" s="2">
        <f ca="1">IF(Iterations[[#This Row],[Step]] =current_step, current_c,IF(Iterations[[#This Row],[Step]] &gt; current_step, "",Iterations[[#This Row],[c]]))</f>
        <v>21.223027037861126</v>
      </c>
      <c r="J862" s="2">
        <f ca="1">IF(Iterations[[#This Row],[Step]] =current_step, current_d,IF(Iterations[[#This Row],[Step]] &gt; current_step, "",Iterations[[#This Row],[d]]))</f>
        <v>1.2037890649645941</v>
      </c>
      <c r="K862" s="2">
        <f ca="1">IF(Iterations[[#This Row],[Step]] =current_step, current_e,IF(Iterations[[#This Row],[Step]] &gt; current_step, "",Iterations[[#This Row],[e]]))</f>
        <v>11.312452553595978</v>
      </c>
      <c r="L862" s="2">
        <f ca="1">IF(Iterations[[#This Row],[Step]] =current_step, current_Total_Loss,IF(Iterations[[#This Row],[Step]] &gt; current_step, "",Iterations[[#This Row],[Total Loss]]))</f>
        <v>90.44</v>
      </c>
      <c r="M862" s="6" t="s">
        <v>27</v>
      </c>
      <c r="N862" s="2">
        <f ca="1">IF(Iterations[[#This Row],[Step]] =current_step, current_Grad_a,IF(Iterations[[#This Row],[Step]] &gt; current_step, "",Iterations[[#This Row],[Grad_a]]))</f>
        <v>4.1526542193864495E-3</v>
      </c>
      <c r="O862" s="2">
        <f ca="1">IF(Iterations[[#This Row],[Step]] =current_step, current_Grad_b,IF(Iterations[[#This Row],[Step]] &gt; current_step, "",Iterations[[#This Row],[Grad_b]]))</f>
        <v>7.2416553494759743E-4</v>
      </c>
      <c r="P862" s="2">
        <f ca="1">IF(Iterations[[#This Row],[Step]] =current_step, current_Grad_c,IF(Iterations[[#This Row],[Step]] &gt; current_step, "",Iterations[[#This Row],[Grad_c]]))</f>
        <v>-1.1648676055488126E-2</v>
      </c>
      <c r="Q862" s="2">
        <f ca="1">IF(Iterations[[#This Row],[Step]] =current_step, current_Grad_d,IF(Iterations[[#This Row],[Step]] &gt; current_step, "",Iterations[[#This Row],[Grad_d]]))</f>
        <v>-6.6514991156510191E-4</v>
      </c>
      <c r="R862" s="2">
        <f ca="1">IF(Iterations[[#This Row],[Step]] =current_step, current_Grad_e,IF(Iterations[[#This Row],[Step]] &gt; current_step, "",Iterations[[#This Row],[Grad_e]]))</f>
        <v>4.1542485943444835E-3</v>
      </c>
    </row>
    <row r="863" spans="6:18" x14ac:dyDescent="0.3">
      <c r="F863" s="2">
        <f t="shared" si="15"/>
        <v>846</v>
      </c>
      <c r="G863" s="2">
        <f ca="1">IF(Iterations[[#This Row],[Step]] =current_step, current_a,IF(Iterations[[#This Row],[Step]] &gt; current_step, "",Iterations[[#This Row],[a]]))</f>
        <v>-7.2678882062887267</v>
      </c>
      <c r="H863" s="2">
        <f ca="1">IF(Iterations[[#This Row],[Step]] =current_step, current_b,IF(Iterations[[#This Row],[Step]] &gt; current_step, "",Iterations[[#This Row],[b]]))</f>
        <v>0.34938637619995955</v>
      </c>
      <c r="I863" s="2">
        <f ca="1">IF(Iterations[[#This Row],[Step]] =current_step, current_c,IF(Iterations[[#This Row],[Step]] &gt; current_step, "",Iterations[[#This Row],[c]]))</f>
        <v>21.22384244518501</v>
      </c>
      <c r="J863" s="2">
        <f ca="1">IF(Iterations[[#This Row],[Step]] =current_step, current_d,IF(Iterations[[#This Row],[Step]] &gt; current_step, "",Iterations[[#This Row],[d]]))</f>
        <v>1.2038356254584037</v>
      </c>
      <c r="K863" s="2">
        <f ca="1">IF(Iterations[[#This Row],[Step]] =current_step, current_e,IF(Iterations[[#This Row],[Step]] &gt; current_step, "",Iterations[[#This Row],[e]]))</f>
        <v>11.312161756194374</v>
      </c>
      <c r="L863" s="2">
        <f ca="1">IF(Iterations[[#This Row],[Step]] =current_step, current_Total_Loss,IF(Iterations[[#This Row],[Step]] &gt; current_step, "",Iterations[[#This Row],[Total Loss]]))</f>
        <v>90.44</v>
      </c>
      <c r="M863" s="6" t="s">
        <v>27</v>
      </c>
      <c r="N863" s="2">
        <f ca="1">IF(Iterations[[#This Row],[Step]] =current_step, current_Grad_a,IF(Iterations[[#This Row],[Step]] &gt; current_step, "",Iterations[[#This Row],[Grad_a]]))</f>
        <v>4.1245527895728985E-3</v>
      </c>
      <c r="O863" s="2">
        <f ca="1">IF(Iterations[[#This Row],[Step]] =current_step, current_Grad_b,IF(Iterations[[#This Row],[Step]] &gt; current_step, "",Iterations[[#This Row],[Grad_b]]))</f>
        <v>7.1926606314431929E-4</v>
      </c>
      <c r="P863" s="2">
        <f ca="1">IF(Iterations[[#This Row],[Step]] =current_step, current_Grad_c,IF(Iterations[[#This Row],[Step]] &gt; current_step, "",Iterations[[#This Row],[Grad_c]]))</f>
        <v>-1.1569848085516076E-2</v>
      </c>
      <c r="Q863" s="2">
        <f ca="1">IF(Iterations[[#This Row],[Step]] =current_step, current_Grad_d,IF(Iterations[[#This Row],[Step]] &gt; current_step, "",Iterations[[#This Row],[Grad_d]]))</f>
        <v>-6.6065095792962791E-4</v>
      </c>
      <c r="R863" s="2">
        <f ca="1">IF(Iterations[[#This Row],[Step]] =current_step, current_Grad_e,IF(Iterations[[#This Row],[Step]] &gt; current_step, "",Iterations[[#This Row],[Grad_e]]))</f>
        <v>4.1261362713742346E-3</v>
      </c>
    </row>
    <row r="864" spans="6:18" x14ac:dyDescent="0.3">
      <c r="F864" s="2">
        <f t="shared" si="15"/>
        <v>847</v>
      </c>
      <c r="G864" s="2">
        <f ca="1">IF(Iterations[[#This Row],[Step]] =current_step, current_a,IF(Iterations[[#This Row],[Step]] &gt; current_step, "",Iterations[[#This Row],[a]]))</f>
        <v>-7.2681769249839965</v>
      </c>
      <c r="H864" s="2">
        <f ca="1">IF(Iterations[[#This Row],[Step]] =current_step, current_b,IF(Iterations[[#This Row],[Step]] &gt; current_step, "",Iterations[[#This Row],[b]]))</f>
        <v>0.34933602757553944</v>
      </c>
      <c r="I864" s="2">
        <f ca="1">IF(Iterations[[#This Row],[Step]] =current_step, current_c,IF(Iterations[[#This Row],[Step]] &gt; current_step, "",Iterations[[#This Row],[c]]))</f>
        <v>21.224652334550996</v>
      </c>
      <c r="J864" s="2">
        <f ca="1">IF(Iterations[[#This Row],[Step]] =current_step, current_d,IF(Iterations[[#This Row],[Step]] &gt; current_step, "",Iterations[[#This Row],[d]]))</f>
        <v>1.2038818710254588</v>
      </c>
      <c r="K864" s="2">
        <f ca="1">IF(Iterations[[#This Row],[Step]] =current_step, current_e,IF(Iterations[[#This Row],[Step]] &gt; current_step, "",Iterations[[#This Row],[e]]))</f>
        <v>11.311872926655377</v>
      </c>
      <c r="L864" s="2">
        <f ca="1">IF(Iterations[[#This Row],[Step]] =current_step, current_Total_Loss,IF(Iterations[[#This Row],[Step]] &gt; current_step, "",Iterations[[#This Row],[Total Loss]]))</f>
        <v>90.44</v>
      </c>
      <c r="M864" s="6" t="s">
        <v>27</v>
      </c>
      <c r="N864" s="2">
        <f ca="1">IF(Iterations[[#This Row],[Step]] =current_step, current_Grad_a,IF(Iterations[[#This Row],[Step]] &gt; current_step, "",Iterations[[#This Row],[Grad_a]]))</f>
        <v>4.0966415247642753E-3</v>
      </c>
      <c r="O864" s="2">
        <f ca="1">IF(Iterations[[#This Row],[Step]] =current_step, current_Grad_b,IF(Iterations[[#This Row],[Step]] &gt; current_step, "",Iterations[[#This Row],[Grad_b]]))</f>
        <v>7.1439972820101316E-4</v>
      </c>
      <c r="P864" s="2">
        <f ca="1">IF(Iterations[[#This Row],[Step]] =current_step, current_Grad_c,IF(Iterations[[#This Row],[Step]] &gt; current_step, "",Iterations[[#This Row],[Grad_c]]))</f>
        <v>-1.1491553555564317E-2</v>
      </c>
      <c r="Q864" s="2">
        <f ca="1">IF(Iterations[[#This Row],[Step]] =current_step, current_Grad_d,IF(Iterations[[#This Row],[Step]] &gt; current_step, "",Iterations[[#This Row],[Grad_d]]))</f>
        <v>-6.5618241023514116E-4</v>
      </c>
      <c r="R864" s="2">
        <f ca="1">IF(Iterations[[#This Row],[Step]] =current_step, current_Grad_e,IF(Iterations[[#This Row],[Step]] &gt; current_step, "",Iterations[[#This Row],[Grad_e]]))</f>
        <v>4.0982141890029628E-3</v>
      </c>
    </row>
    <row r="865" spans="6:18" x14ac:dyDescent="0.3">
      <c r="F865" s="2">
        <f t="shared" si="15"/>
        <v>848</v>
      </c>
      <c r="G865" s="2">
        <f ca="1">IF(Iterations[[#This Row],[Step]] =current_step, current_a,IF(Iterations[[#This Row],[Step]] &gt; current_step, "",Iterations[[#This Row],[a]]))</f>
        <v>-7.26846368989073</v>
      </c>
      <c r="H865" s="2">
        <f ca="1">IF(Iterations[[#This Row],[Step]] =current_step, current_b,IF(Iterations[[#This Row],[Step]] &gt; current_step, "",Iterations[[#This Row],[b]]))</f>
        <v>0.34928601959456534</v>
      </c>
      <c r="I865" s="2">
        <f ca="1">IF(Iterations[[#This Row],[Step]] =current_step, current_c,IF(Iterations[[#This Row],[Step]] &gt; current_step, "",Iterations[[#This Row],[c]]))</f>
        <v>21.225456743299887</v>
      </c>
      <c r="J865" s="2">
        <f ca="1">IF(Iterations[[#This Row],[Step]] =current_step, current_d,IF(Iterations[[#This Row],[Step]] &gt; current_step, "",Iterations[[#This Row],[d]]))</f>
        <v>1.2039278037941754</v>
      </c>
      <c r="K865" s="2">
        <f ca="1">IF(Iterations[[#This Row],[Step]] =current_step, current_e,IF(Iterations[[#This Row],[Step]] &gt; current_step, "",Iterations[[#This Row],[e]]))</f>
        <v>11.311586051662147</v>
      </c>
      <c r="L865" s="2">
        <f ca="1">IF(Iterations[[#This Row],[Step]] =current_step, current_Total_Loss,IF(Iterations[[#This Row],[Step]] &gt; current_step, "",Iterations[[#This Row],[Total Loss]]))</f>
        <v>90.44</v>
      </c>
      <c r="M865" s="6" t="s">
        <v>27</v>
      </c>
      <c r="N865" s="2">
        <f ca="1">IF(Iterations[[#This Row],[Step]] =current_step, current_Grad_a,IF(Iterations[[#This Row],[Step]] &gt; current_step, "",Iterations[[#This Row],[Grad_a]]))</f>
        <v>4.0689191381962546E-3</v>
      </c>
      <c r="O865" s="2">
        <f ca="1">IF(Iterations[[#This Row],[Step]] =current_step, current_Grad_b,IF(Iterations[[#This Row],[Step]] &gt; current_step, "",Iterations[[#This Row],[Grad_b]]))</f>
        <v>7.0956630617644316E-4</v>
      </c>
      <c r="P865" s="2">
        <f ca="1">IF(Iterations[[#This Row],[Step]] =current_step, current_Grad_c,IF(Iterations[[#This Row],[Step]] &gt; current_step, "",Iterations[[#This Row],[Grad_c]]))</f>
        <v>-1.1413788855693366E-2</v>
      </c>
      <c r="Q865" s="2">
        <f ca="1">IF(Iterations[[#This Row],[Step]] =current_step, current_Grad_d,IF(Iterations[[#This Row],[Step]] &gt; current_step, "",Iterations[[#This Row],[Grad_d]]))</f>
        <v>-6.517440634240658E-4</v>
      </c>
      <c r="R865" s="2">
        <f ca="1">IF(Iterations[[#This Row],[Step]] =current_step, current_Grad_e,IF(Iterations[[#This Row],[Step]] &gt; current_step, "",Iterations[[#This Row],[Grad_e]]))</f>
        <v>4.0704810598494057E-3</v>
      </c>
    </row>
    <row r="866" spans="6:18" x14ac:dyDescent="0.3">
      <c r="F866" s="2">
        <f t="shared" si="15"/>
        <v>849</v>
      </c>
      <c r="G866" s="2">
        <f ca="1">IF(Iterations[[#This Row],[Step]] =current_step, current_a,IF(Iterations[[#This Row],[Step]] &gt; current_step, "",Iterations[[#This Row],[a]]))</f>
        <v>-7.2687485142304036</v>
      </c>
      <c r="H866" s="2">
        <f ca="1">IF(Iterations[[#This Row],[Step]] =current_step, current_b,IF(Iterations[[#This Row],[Step]] &gt; current_step, "",Iterations[[#This Row],[b]]))</f>
        <v>0.34923634995313302</v>
      </c>
      <c r="I866" s="2">
        <f ca="1">IF(Iterations[[#This Row],[Step]] =current_step, current_c,IF(Iterations[[#This Row],[Step]] &gt; current_step, "",Iterations[[#This Row],[c]]))</f>
        <v>21.226255708519787</v>
      </c>
      <c r="J866" s="2">
        <f ca="1">IF(Iterations[[#This Row],[Step]] =current_step, current_d,IF(Iterations[[#This Row],[Step]] &gt; current_step, "",Iterations[[#This Row],[d]]))</f>
        <v>1.203973425878615</v>
      </c>
      <c r="K866" s="2">
        <f ca="1">IF(Iterations[[#This Row],[Step]] =current_step, current_e,IF(Iterations[[#This Row],[Step]] &gt; current_step, "",Iterations[[#This Row],[e]]))</f>
        <v>11.311301117987957</v>
      </c>
      <c r="L866" s="2">
        <f ca="1">IF(Iterations[[#This Row],[Step]] =current_step, current_Total_Loss,IF(Iterations[[#This Row],[Step]] &gt; current_step, "",Iterations[[#This Row],[Total Loss]]))</f>
        <v>90.44</v>
      </c>
      <c r="M866" s="6" t="s">
        <v>27</v>
      </c>
      <c r="N866" s="2">
        <f ca="1">IF(Iterations[[#This Row],[Step]] =current_step, current_Grad_a,IF(Iterations[[#This Row],[Step]] &gt; current_step, "",Iterations[[#This Row],[Grad_a]]))</f>
        <v>4.0413843516083287E-3</v>
      </c>
      <c r="O866" s="2">
        <f ca="1">IF(Iterations[[#This Row],[Step]] =current_step, current_Grad_b,IF(Iterations[[#This Row],[Step]] &gt; current_step, "",Iterations[[#This Row],[Grad_b]]))</f>
        <v>7.0476557469254268E-4</v>
      </c>
      <c r="P866" s="2">
        <f ca="1">IF(Iterations[[#This Row],[Step]] =current_step, current_Grad_c,IF(Iterations[[#This Row],[Step]] &gt; current_step, "",Iterations[[#This Row],[Grad_c]]))</f>
        <v>-1.1336550400483252E-2</v>
      </c>
      <c r="Q866" s="2">
        <f ca="1">IF(Iterations[[#This Row],[Step]] =current_step, current_Grad_d,IF(Iterations[[#This Row],[Step]] &gt; current_step, "",Iterations[[#This Row],[Grad_d]]))</f>
        <v>-6.4733571379677675E-4</v>
      </c>
      <c r="R866" s="2">
        <f ca="1">IF(Iterations[[#This Row],[Step]] =current_step, current_Grad_e,IF(Iterations[[#This Row],[Step]] &gt; current_step, "",Iterations[[#This Row],[Grad_e]]))</f>
        <v>4.042935605196381E-3</v>
      </c>
    </row>
    <row r="867" spans="6:18" x14ac:dyDescent="0.3">
      <c r="F867" s="2">
        <f t="shared" si="15"/>
        <v>850</v>
      </c>
      <c r="G867" s="2">
        <f ca="1">IF(Iterations[[#This Row],[Step]] =current_step, current_a,IF(Iterations[[#This Row],[Step]] &gt; current_step, "",Iterations[[#This Row],[a]]))</f>
        <v>-7.2690314111350158</v>
      </c>
      <c r="H867" s="2">
        <f ca="1">IF(Iterations[[#This Row],[Step]] =current_step, current_b,IF(Iterations[[#This Row],[Step]] &gt; current_step, "",Iterations[[#This Row],[b]]))</f>
        <v>0.34918701636290456</v>
      </c>
      <c r="I867" s="2">
        <f ca="1">IF(Iterations[[#This Row],[Step]] =current_step, current_c,IF(Iterations[[#This Row],[Step]] &gt; current_step, "",Iterations[[#This Row],[c]]))</f>
        <v>21.227049267047821</v>
      </c>
      <c r="J867" s="2">
        <f ca="1">IF(Iterations[[#This Row],[Step]] =current_step, current_d,IF(Iterations[[#This Row],[Step]] &gt; current_step, "",Iterations[[#This Row],[d]]))</f>
        <v>1.2040187393785808</v>
      </c>
      <c r="K867" s="2">
        <f ca="1">IF(Iterations[[#This Row],[Step]] =current_step, current_e,IF(Iterations[[#This Row],[Step]] &gt; current_step, "",Iterations[[#This Row],[e]]))</f>
        <v>11.311018112495594</v>
      </c>
      <c r="L867" s="2">
        <f ca="1">IF(Iterations[[#This Row],[Step]] =current_step, current_Total_Loss,IF(Iterations[[#This Row],[Step]] &gt; current_step, "",Iterations[[#This Row],[Total Loss]]))</f>
        <v>90.44</v>
      </c>
      <c r="M867" s="6" t="s">
        <v>27</v>
      </c>
      <c r="N867" s="2">
        <f ca="1">IF(Iterations[[#This Row],[Step]] =current_step, current_Grad_a,IF(Iterations[[#This Row],[Step]] &gt; current_step, "",Iterations[[#This Row],[Grad_a]]))</f>
        <v>4.0140358955392686E-3</v>
      </c>
      <c r="O867" s="2">
        <f ca="1">IF(Iterations[[#This Row],[Step]] =current_step, current_Grad_b,IF(Iterations[[#This Row],[Step]] &gt; current_step, "",Iterations[[#This Row],[Grad_b]]))</f>
        <v>6.9999731283508656E-4</v>
      </c>
      <c r="P867" s="2">
        <f ca="1">IF(Iterations[[#This Row],[Step]] =current_step, current_Grad_c,IF(Iterations[[#This Row],[Step]] &gt; current_step, "",Iterations[[#This Row],[Grad_c]]))</f>
        <v>-1.1259834628713198E-2</v>
      </c>
      <c r="Q867" s="2">
        <f ca="1">IF(Iterations[[#This Row],[Step]] =current_step, current_Grad_d,IF(Iterations[[#This Row],[Step]] &gt; current_step, "",Iterations[[#This Row],[Grad_d]]))</f>
        <v>-6.4295715903381649E-4</v>
      </c>
      <c r="R867" s="2">
        <f ca="1">IF(Iterations[[#This Row],[Step]] =current_step, current_Grad_e,IF(Iterations[[#This Row],[Step]] &gt; current_step, "",Iterations[[#This Row],[Grad_e]]))</f>
        <v>4.0155765550113172E-3</v>
      </c>
    </row>
    <row r="868" spans="6:18" x14ac:dyDescent="0.3">
      <c r="F868" s="2">
        <f t="shared" si="15"/>
        <v>851</v>
      </c>
      <c r="G868" s="2">
        <f ca="1">IF(Iterations[[#This Row],[Step]] =current_step, current_a,IF(Iterations[[#This Row],[Step]] &gt; current_step, "",Iterations[[#This Row],[a]]))</f>
        <v>-7.269312393647704</v>
      </c>
      <c r="H868" s="2">
        <f ca="1">IF(Iterations[[#This Row],[Step]] =current_step, current_b,IF(Iterations[[#This Row],[Step]] &gt; current_step, "",Iterations[[#This Row],[b]]))</f>
        <v>0.34913801655100613</v>
      </c>
      <c r="I868" s="2">
        <f ca="1">IF(Iterations[[#This Row],[Step]] =current_step, current_c,IF(Iterations[[#This Row],[Step]] &gt; current_step, "",Iterations[[#This Row],[c]]))</f>
        <v>21.227837455471832</v>
      </c>
      <c r="J868" s="2">
        <f ca="1">IF(Iterations[[#This Row],[Step]] =current_step, current_d,IF(Iterations[[#This Row],[Step]] &gt; current_step, "",Iterations[[#This Row],[d]]))</f>
        <v>1.2040637463797133</v>
      </c>
      <c r="K868" s="2">
        <f ca="1">IF(Iterations[[#This Row],[Step]] =current_step, current_e,IF(Iterations[[#This Row],[Step]] &gt; current_step, "",Iterations[[#This Row],[e]]))</f>
        <v>11.310737022136744</v>
      </c>
      <c r="L868" s="2">
        <f ca="1">IF(Iterations[[#This Row],[Step]] =current_step, current_Total_Loss,IF(Iterations[[#This Row],[Step]] &gt; current_step, "",Iterations[[#This Row],[Total Loss]]))</f>
        <v>90.44</v>
      </c>
      <c r="M868" s="6" t="s">
        <v>27</v>
      </c>
      <c r="N868" s="2">
        <f ca="1">IF(Iterations[[#This Row],[Step]] =current_step, current_Grad_a,IF(Iterations[[#This Row],[Step]] &gt; current_step, "",Iterations[[#This Row],[Grad_a]]))</f>
        <v>3.986872509098423E-3</v>
      </c>
      <c r="O868" s="2">
        <f ca="1">IF(Iterations[[#This Row],[Step]] =current_step, current_Grad_b,IF(Iterations[[#This Row],[Step]] &gt; current_step, "",Iterations[[#This Row],[Grad_b]]))</f>
        <v>6.9526130118448119E-4</v>
      </c>
      <c r="P868" s="2">
        <f ca="1">IF(Iterations[[#This Row],[Step]] =current_step, current_Grad_c,IF(Iterations[[#This Row],[Step]] &gt; current_step, "",Iterations[[#This Row],[Grad_c]]))</f>
        <v>-1.1183638003271823E-2</v>
      </c>
      <c r="Q868" s="2">
        <f ca="1">IF(Iterations[[#This Row],[Step]] =current_step, current_Grad_d,IF(Iterations[[#This Row],[Step]] &gt; current_step, "",Iterations[[#This Row],[Grad_d]]))</f>
        <v>-6.3860819816769561E-4</v>
      </c>
      <c r="R868" s="2">
        <f ca="1">IF(Iterations[[#This Row],[Step]] =current_step, current_Grad_e,IF(Iterations[[#This Row],[Step]] &gt; current_step, "",Iterations[[#This Row],[Grad_e]]))</f>
        <v>3.988402647854568E-3</v>
      </c>
    </row>
    <row r="869" spans="6:18" x14ac:dyDescent="0.3">
      <c r="F869" s="2">
        <f t="shared" si="15"/>
        <v>852</v>
      </c>
      <c r="G869" s="2">
        <f ca="1">IF(Iterations[[#This Row],[Step]] =current_step, current_a,IF(Iterations[[#This Row],[Step]] &gt; current_step, "",Iterations[[#This Row],[a]]))</f>
        <v>-7.2695914747233408</v>
      </c>
      <c r="H869" s="2">
        <f ca="1">IF(Iterations[[#This Row],[Step]] =current_step, current_b,IF(Iterations[[#This Row],[Step]] &gt; current_step, "",Iterations[[#This Row],[b]]))</f>
        <v>0.34908934825992322</v>
      </c>
      <c r="I869" s="2">
        <f ca="1">IF(Iterations[[#This Row],[Step]] =current_step, current_c,IF(Iterations[[#This Row],[Step]] &gt; current_step, "",Iterations[[#This Row],[c]]))</f>
        <v>21.228620310132062</v>
      </c>
      <c r="J869" s="2">
        <f ca="1">IF(Iterations[[#This Row],[Step]] =current_step, current_d,IF(Iterations[[#This Row],[Step]] &gt; current_step, "",Iterations[[#This Row],[d]]))</f>
        <v>1.2041084489535849</v>
      </c>
      <c r="K869" s="2">
        <f ca="1">IF(Iterations[[#This Row],[Step]] =current_step, current_e,IF(Iterations[[#This Row],[Step]] &gt; current_step, "",Iterations[[#This Row],[e]]))</f>
        <v>11.310457833951395</v>
      </c>
      <c r="L869" s="2">
        <f ca="1">IF(Iterations[[#This Row],[Step]] =current_step, current_Total_Loss,IF(Iterations[[#This Row],[Step]] &gt; current_step, "",Iterations[[#This Row],[Total Loss]]))</f>
        <v>90.44</v>
      </c>
      <c r="M869" s="6" t="s">
        <v>27</v>
      </c>
      <c r="N869" s="2">
        <f ca="1">IF(Iterations[[#This Row],[Step]] =current_step, current_Grad_a,IF(Iterations[[#This Row],[Step]] &gt; current_step, "",Iterations[[#This Row],[Grad_a]]))</f>
        <v>3.9598929399099602E-3</v>
      </c>
      <c r="O869" s="2">
        <f ca="1">IF(Iterations[[#This Row],[Step]] =current_step, current_Grad_b,IF(Iterations[[#This Row],[Step]] &gt; current_step, "",Iterations[[#This Row],[Grad_b]]))</f>
        <v>6.9055732180256513E-4</v>
      </c>
      <c r="P869" s="2">
        <f ca="1">IF(Iterations[[#This Row],[Step]] =current_step, current_Grad_c,IF(Iterations[[#This Row],[Step]] &gt; current_step, "",Iterations[[#This Row],[Grad_c]]))</f>
        <v>-1.1107957010992271E-2</v>
      </c>
      <c r="Q869" s="2">
        <f ca="1">IF(Iterations[[#This Row],[Step]] =current_step, current_Grad_d,IF(Iterations[[#This Row],[Step]] &gt; current_step, "",Iterations[[#This Row],[Grad_d]]))</f>
        <v>-6.3428863158167107E-4</v>
      </c>
      <c r="R869" s="2">
        <f ca="1">IF(Iterations[[#This Row],[Step]] =current_step, current_Grad_e,IF(Iterations[[#This Row],[Step]] &gt; current_step, "",Iterations[[#This Row],[Grad_e]]))</f>
        <v>3.9614126308165571E-3</v>
      </c>
    </row>
    <row r="870" spans="6:18" x14ac:dyDescent="0.3">
      <c r="F870" s="2">
        <f t="shared" si="15"/>
        <v>853</v>
      </c>
      <c r="G870" s="2">
        <f ca="1">IF(Iterations[[#This Row],[Step]] =current_step, current_a,IF(Iterations[[#This Row],[Step]] &gt; current_step, "",Iterations[[#This Row],[a]]))</f>
        <v>-7.2698686672291348</v>
      </c>
      <c r="H870" s="2">
        <f ca="1">IF(Iterations[[#This Row],[Step]] =current_step, current_b,IF(Iterations[[#This Row],[Step]] &gt; current_step, "",Iterations[[#This Row],[b]]))</f>
        <v>0.34904100924739706</v>
      </c>
      <c r="I870" s="2">
        <f ca="1">IF(Iterations[[#This Row],[Step]] =current_step, current_c,IF(Iterations[[#This Row],[Step]] &gt; current_step, "",Iterations[[#This Row],[c]]))</f>
        <v>21.229397867122831</v>
      </c>
      <c r="J870" s="2">
        <f ca="1">IF(Iterations[[#This Row],[Step]] =current_step, current_d,IF(Iterations[[#This Row],[Step]] &gt; current_step, "",Iterations[[#This Row],[d]]))</f>
        <v>1.2041528491577957</v>
      </c>
      <c r="K870" s="2">
        <f ca="1">IF(Iterations[[#This Row],[Step]] =current_step, current_e,IF(Iterations[[#This Row],[Step]] &gt; current_step, "",Iterations[[#This Row],[e]]))</f>
        <v>11.310180535067238</v>
      </c>
      <c r="L870" s="2">
        <f ca="1">IF(Iterations[[#This Row],[Step]] =current_step, current_Total_Loss,IF(Iterations[[#This Row],[Step]] &gt; current_step, "",Iterations[[#This Row],[Total Loss]]))</f>
        <v>90.44</v>
      </c>
      <c r="M870" s="6" t="s">
        <v>27</v>
      </c>
      <c r="N870" s="2">
        <f ca="1">IF(Iterations[[#This Row],[Step]] =current_step, current_Grad_a,IF(Iterations[[#This Row],[Step]] &gt; current_step, "",Iterations[[#This Row],[Grad_a]]))</f>
        <v>3.9330959439830932E-3</v>
      </c>
      <c r="O870" s="2">
        <f ca="1">IF(Iterations[[#This Row],[Step]] =current_step, current_Grad_b,IF(Iterations[[#This Row],[Step]] &gt; current_step, "",Iterations[[#This Row],[Grad_b]]))</f>
        <v>6.8588515824445173E-4</v>
      </c>
      <c r="P870" s="2">
        <f ca="1">IF(Iterations[[#This Row],[Step]] =current_step, current_Grad_c,IF(Iterations[[#This Row],[Step]] &gt; current_step, "",Iterations[[#This Row],[Grad_c]]))</f>
        <v>-1.1032788162517491E-2</v>
      </c>
      <c r="Q870" s="2">
        <f ca="1">IF(Iterations[[#This Row],[Step]] =current_step, current_Grad_d,IF(Iterations[[#This Row],[Step]] &gt; current_step, "",Iterations[[#This Row],[Grad_d]]))</f>
        <v>-6.2999826098813431E-4</v>
      </c>
      <c r="R870" s="2">
        <f ca="1">IF(Iterations[[#This Row],[Step]] =current_step, current_Grad_e,IF(Iterations[[#This Row],[Step]] &gt; current_step, "",Iterations[[#This Row],[Grad_e]]))</f>
        <v>3.9346052594522417E-3</v>
      </c>
    </row>
    <row r="871" spans="6:18" x14ac:dyDescent="0.3">
      <c r="F871" s="2">
        <f t="shared" si="15"/>
        <v>854</v>
      </c>
      <c r="G871" s="2">
        <f ca="1">IF(Iterations[[#This Row],[Step]] =current_step, current_a,IF(Iterations[[#This Row],[Step]] &gt; current_step, "",Iterations[[#This Row],[a]]))</f>
        <v>-7.2701439839452133</v>
      </c>
      <c r="H871" s="2">
        <f ca="1">IF(Iterations[[#This Row],[Step]] =current_step, current_b,IF(Iterations[[#This Row],[Step]] &gt; current_step, "",Iterations[[#This Row],[b]]))</f>
        <v>0.34899299728631994</v>
      </c>
      <c r="I871" s="2">
        <f ca="1">IF(Iterations[[#This Row],[Step]] =current_step, current_c,IF(Iterations[[#This Row],[Step]] &gt; current_step, "",Iterations[[#This Row],[c]]))</f>
        <v>21.230170162294208</v>
      </c>
      <c r="J871" s="2">
        <f ca="1">IF(Iterations[[#This Row],[Step]] =current_step, current_d,IF(Iterations[[#This Row],[Step]] &gt; current_step, "",Iterations[[#This Row],[d]]))</f>
        <v>1.2041969490360649</v>
      </c>
      <c r="K871" s="2">
        <f ca="1">IF(Iterations[[#This Row],[Step]] =current_step, current_e,IF(Iterations[[#This Row],[Step]] &gt; current_step, "",Iterations[[#This Row],[e]]))</f>
        <v>11.309905112699076</v>
      </c>
      <c r="L871" s="2">
        <f ca="1">IF(Iterations[[#This Row],[Step]] =current_step, current_Total_Loss,IF(Iterations[[#This Row],[Step]] &gt; current_step, "",Iterations[[#This Row],[Total Loss]]))</f>
        <v>90.44</v>
      </c>
      <c r="M871" s="6" t="s">
        <v>27</v>
      </c>
      <c r="N871" s="2">
        <f ca="1">IF(Iterations[[#This Row],[Step]] =current_step, current_Grad_a,IF(Iterations[[#This Row],[Step]] &gt; current_step, "",Iterations[[#This Row],[Grad_a]]))</f>
        <v>3.9064802859598326E-3</v>
      </c>
      <c r="O871" s="2">
        <f ca="1">IF(Iterations[[#This Row],[Step]] =current_step, current_Grad_b,IF(Iterations[[#This Row],[Step]] &gt; current_step, "",Iterations[[#This Row],[Grad_b]]))</f>
        <v>6.8124459548170161E-4</v>
      </c>
      <c r="P871" s="2">
        <f ca="1">IF(Iterations[[#This Row],[Step]] =current_step, current_Grad_c,IF(Iterations[[#This Row],[Step]] &gt; current_step, "",Iterations[[#This Row],[Grad_c]]))</f>
        <v>-1.0958127992015775E-2</v>
      </c>
      <c r="Q871" s="2">
        <f ca="1">IF(Iterations[[#This Row],[Step]] =current_step, current_Grad_d,IF(Iterations[[#This Row],[Step]] &gt; current_step, "",Iterations[[#This Row],[Grad_d]]))</f>
        <v>-6.257368894433278E-4</v>
      </c>
      <c r="R871" s="2">
        <f ca="1">IF(Iterations[[#This Row],[Step]] =current_step, current_Grad_e,IF(Iterations[[#This Row],[Step]] &gt; current_step, "",Iterations[[#This Row],[Grad_e]]))</f>
        <v>3.9079792977817123E-3</v>
      </c>
    </row>
    <row r="872" spans="6:18" x14ac:dyDescent="0.3">
      <c r="F872" s="2">
        <f t="shared" si="15"/>
        <v>855</v>
      </c>
      <c r="G872" s="2">
        <f ca="1">IF(Iterations[[#This Row],[Step]] =current_step, current_a,IF(Iterations[[#This Row],[Step]] &gt; current_step, "",Iterations[[#This Row],[a]]))</f>
        <v>-7.2704174375652304</v>
      </c>
      <c r="H872" s="2">
        <f ca="1">IF(Iterations[[#This Row],[Step]] =current_step, current_b,IF(Iterations[[#This Row],[Step]] &gt; current_step, "",Iterations[[#This Row],[b]]))</f>
        <v>0.3489453101646362</v>
      </c>
      <c r="I872" s="2">
        <f ca="1">IF(Iterations[[#This Row],[Step]] =current_step, current_c,IF(Iterations[[#This Row],[Step]] &gt; current_step, "",Iterations[[#This Row],[c]]))</f>
        <v>21.230937231253648</v>
      </c>
      <c r="J872" s="2">
        <f ca="1">IF(Iterations[[#This Row],[Step]] =current_step, current_d,IF(Iterations[[#This Row],[Step]] &gt; current_step, "",Iterations[[#This Row],[d]]))</f>
        <v>1.2042407506183259</v>
      </c>
      <c r="K872" s="2">
        <f ca="1">IF(Iterations[[#This Row],[Step]] =current_step, current_e,IF(Iterations[[#This Row],[Step]] &gt; current_step, "",Iterations[[#This Row],[e]]))</f>
        <v>11.309631554148231</v>
      </c>
      <c r="L872" s="2">
        <f ca="1">IF(Iterations[[#This Row],[Step]] =current_step, current_Total_Loss,IF(Iterations[[#This Row],[Step]] &gt; current_step, "",Iterations[[#This Row],[Total Loss]]))</f>
        <v>90.44</v>
      </c>
      <c r="M872" s="6" t="s">
        <v>27</v>
      </c>
      <c r="N872" s="2">
        <f ca="1">IF(Iterations[[#This Row],[Step]] =current_step, current_Grad_a,IF(Iterations[[#This Row],[Step]] &gt; current_step, "",Iterations[[#This Row],[Grad_a]]))</f>
        <v>3.8800447385865214E-3</v>
      </c>
      <c r="O872" s="2">
        <f ca="1">IF(Iterations[[#This Row],[Step]] =current_step, current_Grad_b,IF(Iterations[[#This Row],[Step]] &gt; current_step, "",Iterations[[#This Row],[Grad_b]]))</f>
        <v>6.7663541995859825E-4</v>
      </c>
      <c r="P872" s="2">
        <f ca="1">IF(Iterations[[#This Row],[Step]] =current_step, current_Grad_c,IF(Iterations[[#This Row],[Step]] &gt; current_step, "",Iterations[[#This Row],[Grad_c]]))</f>
        <v>-1.0883973057219616E-2</v>
      </c>
      <c r="Q872" s="2">
        <f ca="1">IF(Iterations[[#This Row],[Step]] =current_step, current_Grad_d,IF(Iterations[[#This Row],[Step]] &gt; current_step, "",Iterations[[#This Row],[Grad_d]]))</f>
        <v>-6.215043213243386E-4</v>
      </c>
      <c r="R872" s="2">
        <f ca="1">IF(Iterations[[#This Row],[Step]] =current_step, current_Grad_e,IF(Iterations[[#This Row],[Step]] &gt; current_step, "",Iterations[[#This Row],[Grad_e]]))</f>
        <v>3.8815335181331769E-3</v>
      </c>
    </row>
    <row r="873" spans="6:18" x14ac:dyDescent="0.3">
      <c r="F873" s="2">
        <f t="shared" si="15"/>
        <v>856</v>
      </c>
      <c r="G873" s="2">
        <f ca="1">IF(Iterations[[#This Row],[Step]] =current_step, current_a,IF(Iterations[[#This Row],[Step]] &gt; current_step, "",Iterations[[#This Row],[a]]))</f>
        <v>-7.2706890406969311</v>
      </c>
      <c r="H873" s="2">
        <f ca="1">IF(Iterations[[#This Row],[Step]] =current_step, current_b,IF(Iterations[[#This Row],[Step]] &gt; current_step, "",Iterations[[#This Row],[b]]))</f>
        <v>0.34889794568523907</v>
      </c>
      <c r="I873" s="2">
        <f ca="1">IF(Iterations[[#This Row],[Step]] =current_step, current_c,IF(Iterations[[#This Row],[Step]] &gt; current_step, "",Iterations[[#This Row],[c]]))</f>
        <v>21.231699109367653</v>
      </c>
      <c r="J873" s="2">
        <f ca="1">IF(Iterations[[#This Row],[Step]] =current_step, current_d,IF(Iterations[[#This Row],[Step]] &gt; current_step, "",Iterations[[#This Row],[d]]))</f>
        <v>1.2042842559208187</v>
      </c>
      <c r="K873" s="2">
        <f ca="1">IF(Iterations[[#This Row],[Step]] =current_step, current_e,IF(Iterations[[#This Row],[Step]] &gt; current_step, "",Iterations[[#This Row],[e]]))</f>
        <v>11.309359846801961</v>
      </c>
      <c r="L873" s="2">
        <f ca="1">IF(Iterations[[#This Row],[Step]] =current_step, current_Total_Loss,IF(Iterations[[#This Row],[Step]] &gt; current_step, "",Iterations[[#This Row],[Total Loss]]))</f>
        <v>90.44</v>
      </c>
      <c r="M873" s="6" t="s">
        <v>27</v>
      </c>
      <c r="N873" s="2">
        <f ca="1">IF(Iterations[[#This Row],[Step]] =current_step, current_Grad_a,IF(Iterations[[#This Row],[Step]] &gt; current_step, "",Iterations[[#This Row],[Grad_a]]))</f>
        <v>3.8537880831634513E-3</v>
      </c>
      <c r="O873" s="2">
        <f ca="1">IF(Iterations[[#This Row],[Step]] =current_step, current_Grad_b,IF(Iterations[[#This Row],[Step]] &gt; current_step, "",Iterations[[#This Row],[Grad_b]]))</f>
        <v>6.7205741956093904E-4</v>
      </c>
      <c r="P873" s="2">
        <f ca="1">IF(Iterations[[#This Row],[Step]] =current_step, current_Grad_c,IF(Iterations[[#This Row],[Step]] &gt; current_step, "",Iterations[[#This Row],[Grad_c]]))</f>
        <v>-1.0810319939048772E-2</v>
      </c>
      <c r="Q873" s="2">
        <f ca="1">IF(Iterations[[#This Row],[Step]] =current_step, current_Grad_d,IF(Iterations[[#This Row],[Step]] &gt; current_step, "",Iterations[[#This Row],[Grad_d]]))</f>
        <v>-6.1730036230809053E-4</v>
      </c>
      <c r="R873" s="2">
        <f ca="1">IF(Iterations[[#This Row],[Step]] =current_step, current_Grad_e,IF(Iterations[[#This Row],[Step]] &gt; current_step, "",Iterations[[#This Row],[Grad_e]]))</f>
        <v>3.8552667011965505E-3</v>
      </c>
    </row>
    <row r="874" spans="6:18" x14ac:dyDescent="0.3">
      <c r="F874" s="2">
        <f t="shared" si="15"/>
        <v>857</v>
      </c>
      <c r="G874" s="2">
        <f ca="1">IF(Iterations[[#This Row],[Step]] =current_step, current_a,IF(Iterations[[#This Row],[Step]] &gt; current_step, "",Iterations[[#This Row],[a]]))</f>
        <v>-7.2709588058627528</v>
      </c>
      <c r="H874" s="2">
        <f ca="1">IF(Iterations[[#This Row],[Step]] =current_step, current_b,IF(Iterations[[#This Row],[Step]] &gt; current_step, "",Iterations[[#This Row],[b]]))</f>
        <v>0.34885090166586979</v>
      </c>
      <c r="I874" s="2">
        <f ca="1">IF(Iterations[[#This Row],[Step]] =current_step, current_c,IF(Iterations[[#This Row],[Step]] &gt; current_step, "",Iterations[[#This Row],[c]]))</f>
        <v>21.232455831763385</v>
      </c>
      <c r="J874" s="2">
        <f ca="1">IF(Iterations[[#This Row],[Step]] =current_step, current_d,IF(Iterations[[#This Row],[Step]] &gt; current_step, "",Iterations[[#This Row],[d]]))</f>
        <v>1.2043274669461803</v>
      </c>
      <c r="K874" s="2">
        <f ca="1">IF(Iterations[[#This Row],[Step]] =current_step, current_e,IF(Iterations[[#This Row],[Step]] &gt; current_step, "",Iterations[[#This Row],[e]]))</f>
        <v>11.309089978132876</v>
      </c>
      <c r="L874" s="2">
        <f ca="1">IF(Iterations[[#This Row],[Step]] =current_step, current_Total_Loss,IF(Iterations[[#This Row],[Step]] &gt; current_step, "",Iterations[[#This Row],[Total Loss]]))</f>
        <v>90.44</v>
      </c>
      <c r="M874" s="6" t="s">
        <v>27</v>
      </c>
      <c r="N874" s="2">
        <f ca="1">IF(Iterations[[#This Row],[Step]] =current_step, current_Grad_a,IF(Iterations[[#This Row],[Step]] &gt; current_step, "",Iterations[[#This Row],[Grad_a]]))</f>
        <v>3.8277091089227414E-3</v>
      </c>
      <c r="O874" s="2">
        <f ca="1">IF(Iterations[[#This Row],[Step]] =current_step, current_Grad_b,IF(Iterations[[#This Row],[Step]] &gt; current_step, "",Iterations[[#This Row],[Grad_b]]))</f>
        <v>6.6751038362331287E-4</v>
      </c>
      <c r="P874" s="2">
        <f ca="1">IF(Iterations[[#This Row],[Step]] =current_step, current_Grad_c,IF(Iterations[[#This Row],[Step]] &gt; current_step, "",Iterations[[#This Row],[Grad_c]]))</f>
        <v>-1.0737165241692362E-2</v>
      </c>
      <c r="Q874" s="2">
        <f ca="1">IF(Iterations[[#This Row],[Step]] =current_step, current_Grad_d,IF(Iterations[[#This Row],[Step]] &gt; current_step, "",Iterations[[#This Row],[Grad_d]]))</f>
        <v>-6.1312481938384045E-4</v>
      </c>
      <c r="R874" s="2">
        <f ca="1">IF(Iterations[[#This Row],[Step]] =current_step, current_Grad_e,IF(Iterations[[#This Row],[Step]] &gt; current_step, "",Iterations[[#This Row],[Grad_e]]))</f>
        <v>3.8291776358539112E-3</v>
      </c>
    </row>
    <row r="875" spans="6:18" x14ac:dyDescent="0.3">
      <c r="F875" s="2">
        <f t="shared" si="15"/>
        <v>858</v>
      </c>
      <c r="G875" s="2">
        <f ca="1">IF(Iterations[[#This Row],[Step]] =current_step, current_a,IF(Iterations[[#This Row],[Step]] &gt; current_step, "",Iterations[[#This Row],[a]]))</f>
        <v>-7.2712267455003774</v>
      </c>
      <c r="H875" s="2">
        <f ca="1">IF(Iterations[[#This Row],[Step]] =current_step, current_b,IF(Iterations[[#This Row],[Step]] &gt; current_step, "",Iterations[[#This Row],[b]]))</f>
        <v>0.34880417593901614</v>
      </c>
      <c r="I875" s="2">
        <f ca="1">IF(Iterations[[#This Row],[Step]] =current_step, current_c,IF(Iterations[[#This Row],[Step]] &gt; current_step, "",Iterations[[#This Row],[c]]))</f>
        <v>21.233207433330303</v>
      </c>
      <c r="J875" s="2">
        <f ca="1">IF(Iterations[[#This Row],[Step]] =current_step, current_d,IF(Iterations[[#This Row],[Step]] &gt; current_step, "",Iterations[[#This Row],[d]]))</f>
        <v>1.2043703856835373</v>
      </c>
      <c r="K875" s="2">
        <f ca="1">IF(Iterations[[#This Row],[Step]] =current_step, current_e,IF(Iterations[[#This Row],[Step]] &gt; current_step, "",Iterations[[#This Row],[e]]))</f>
        <v>11.308821935698367</v>
      </c>
      <c r="L875" s="2">
        <f ca="1">IF(Iterations[[#This Row],[Step]] =current_step, current_Total_Loss,IF(Iterations[[#This Row],[Step]] &gt; current_step, "",Iterations[[#This Row],[Total Loss]]))</f>
        <v>90.44</v>
      </c>
      <c r="M875" s="6" t="s">
        <v>27</v>
      </c>
      <c r="N875" s="2">
        <f ca="1">IF(Iterations[[#This Row],[Step]] =current_step, current_Grad_a,IF(Iterations[[#This Row],[Step]] &gt; current_step, "",Iterations[[#This Row],[Grad_a]]))</f>
        <v>3.8018066137779608E-3</v>
      </c>
      <c r="O875" s="2">
        <f ca="1">IF(Iterations[[#This Row],[Step]] =current_step, current_Grad_b,IF(Iterations[[#This Row],[Step]] &gt; current_step, "",Iterations[[#This Row],[Grad_b]]))</f>
        <v>6.6299410284186163E-4</v>
      </c>
      <c r="P875" s="2">
        <f ca="1">IF(Iterations[[#This Row],[Step]] =current_step, current_Grad_c,IF(Iterations[[#This Row],[Step]] &gt; current_step, "",Iterations[[#This Row],[Grad_c]]))</f>
        <v>-1.0664505592117006E-2</v>
      </c>
      <c r="Q875" s="2">
        <f ca="1">IF(Iterations[[#This Row],[Step]] =current_step, current_Grad_d,IF(Iterations[[#This Row],[Step]] &gt; current_step, "",Iterations[[#This Row],[Grad_d]]))</f>
        <v>-6.0897750084425932E-4</v>
      </c>
      <c r="R875" s="2">
        <f ca="1">IF(Iterations[[#This Row],[Step]] =current_step, current_Grad_e,IF(Iterations[[#This Row],[Step]] &gt; current_step, "",Iterations[[#This Row],[Grad_e]]))</f>
        <v>3.8032651192768047E-3</v>
      </c>
    </row>
    <row r="876" spans="6:18" x14ac:dyDescent="0.3">
      <c r="F876" s="2">
        <f t="shared" si="15"/>
        <v>859</v>
      </c>
      <c r="G876" s="2">
        <f ca="1">IF(Iterations[[#This Row],[Step]] =current_step, current_a,IF(Iterations[[#This Row],[Step]] &gt; current_step, "",Iterations[[#This Row],[a]]))</f>
        <v>-7.2714928719633418</v>
      </c>
      <c r="H876" s="2">
        <f ca="1">IF(Iterations[[#This Row],[Step]] =current_step, current_b,IF(Iterations[[#This Row],[Step]] &gt; current_step, "",Iterations[[#This Row],[b]]))</f>
        <v>0.34875776635181721</v>
      </c>
      <c r="I876" s="2">
        <f ca="1">IF(Iterations[[#This Row],[Step]] =current_step, current_c,IF(Iterations[[#This Row],[Step]] &gt; current_step, "",Iterations[[#This Row],[c]]))</f>
        <v>21.233953948721751</v>
      </c>
      <c r="J876" s="2">
        <f ca="1">IF(Iterations[[#This Row],[Step]] =current_step, current_d,IF(Iterations[[#This Row],[Step]] &gt; current_step, "",Iterations[[#This Row],[d]]))</f>
        <v>1.2044130141085965</v>
      </c>
      <c r="K876" s="2">
        <f ca="1">IF(Iterations[[#This Row],[Step]] =current_step, current_e,IF(Iterations[[#This Row],[Step]] &gt; current_step, "",Iterations[[#This Row],[e]]))</f>
        <v>11.308555707140018</v>
      </c>
      <c r="L876" s="2">
        <f ca="1">IF(Iterations[[#This Row],[Step]] =current_step, current_Total_Loss,IF(Iterations[[#This Row],[Step]] &gt; current_step, "",Iterations[[#This Row],[Total Loss]]))</f>
        <v>90.44</v>
      </c>
      <c r="M876" s="6" t="s">
        <v>27</v>
      </c>
      <c r="N876" s="2">
        <f ca="1">IF(Iterations[[#This Row],[Step]] =current_step, current_Grad_a,IF(Iterations[[#This Row],[Step]] &gt; current_step, "",Iterations[[#This Row],[Grad_a]]))</f>
        <v>3.7760794031845967E-3</v>
      </c>
      <c r="O876" s="2">
        <f ca="1">IF(Iterations[[#This Row],[Step]] =current_step, current_Grad_b,IF(Iterations[[#This Row],[Step]] &gt; current_step, "",Iterations[[#This Row],[Grad_b]]))</f>
        <v>6.5850836940975184E-4</v>
      </c>
      <c r="P876" s="2">
        <f ca="1">IF(Iterations[[#This Row],[Step]] =current_step, current_Grad_c,IF(Iterations[[#This Row],[Step]] &gt; current_step, "",Iterations[[#This Row],[Grad_c]]))</f>
        <v>-1.0592337640366009E-2</v>
      </c>
      <c r="Q876" s="2">
        <f ca="1">IF(Iterations[[#This Row],[Step]] =current_step, current_Grad_d,IF(Iterations[[#This Row],[Step]] &gt; current_step, "",Iterations[[#This Row],[Grad_d]]))</f>
        <v>-6.0485821624759828E-4</v>
      </c>
      <c r="R876" s="2">
        <f ca="1">IF(Iterations[[#This Row],[Step]] =current_step, current_Grad_e,IF(Iterations[[#This Row],[Step]] &gt; current_step, "",Iterations[[#This Row],[Grad_e]]))</f>
        <v>3.77752795665762E-3</v>
      </c>
    </row>
    <row r="877" spans="6:18" x14ac:dyDescent="0.3">
      <c r="F877" s="2">
        <f t="shared" si="15"/>
        <v>860</v>
      </c>
      <c r="G877" s="2">
        <f ca="1">IF(Iterations[[#This Row],[Step]] =current_step, current_a,IF(Iterations[[#This Row],[Step]] &gt; current_step, "",Iterations[[#This Row],[a]]))</f>
        <v>-7.2717571975215645</v>
      </c>
      <c r="H877" s="2">
        <f ca="1">IF(Iterations[[#This Row],[Step]] =current_step, current_b,IF(Iterations[[#This Row],[Step]] &gt; current_step, "",Iterations[[#This Row],[b]]))</f>
        <v>0.34871167076595855</v>
      </c>
      <c r="I877" s="2">
        <f ca="1">IF(Iterations[[#This Row],[Step]] =current_step, current_c,IF(Iterations[[#This Row],[Step]] &gt; current_step, "",Iterations[[#This Row],[c]]))</f>
        <v>21.234695412356576</v>
      </c>
      <c r="J877" s="2">
        <f ca="1">IF(Iterations[[#This Row],[Step]] =current_step, current_d,IF(Iterations[[#This Row],[Step]] &gt; current_step, "",Iterations[[#This Row],[d]]))</f>
        <v>1.2044553541837337</v>
      </c>
      <c r="K877" s="2">
        <f ca="1">IF(Iterations[[#This Row],[Step]] =current_step, current_e,IF(Iterations[[#This Row],[Step]] &gt; current_step, "",Iterations[[#This Row],[e]]))</f>
        <v>11.308291280183052</v>
      </c>
      <c r="L877" s="2">
        <f ca="1">IF(Iterations[[#This Row],[Step]] =current_step, current_Total_Loss,IF(Iterations[[#This Row],[Step]] &gt; current_step, "",Iterations[[#This Row],[Total Loss]]))</f>
        <v>90.44</v>
      </c>
      <c r="M877" s="6" t="s">
        <v>27</v>
      </c>
      <c r="N877" s="2">
        <f ca="1">IF(Iterations[[#This Row],[Step]] =current_step, current_Grad_a,IF(Iterations[[#This Row],[Step]] &gt; current_step, "",Iterations[[#This Row],[Grad_a]]))</f>
        <v>3.7505262911321008E-3</v>
      </c>
      <c r="O877" s="2">
        <f ca="1">IF(Iterations[[#This Row],[Step]] =current_step, current_Grad_b,IF(Iterations[[#This Row],[Step]] &gt; current_step, "",Iterations[[#This Row],[Grad_b]]))</f>
        <v>6.5405297682291023E-4</v>
      </c>
      <c r="P877" s="2">
        <f ca="1">IF(Iterations[[#This Row],[Step]] =current_step, current_Grad_c,IF(Iterations[[#This Row],[Step]] &gt; current_step, "",Iterations[[#This Row],[Grad_c]]))</f>
        <v>-1.0520658058962592E-2</v>
      </c>
      <c r="Q877" s="2">
        <f ca="1">IF(Iterations[[#This Row],[Step]] =current_step, current_Grad_d,IF(Iterations[[#This Row],[Step]] &gt; current_step, "",Iterations[[#This Row],[Grad_d]]))</f>
        <v>-6.0076677646333143E-4</v>
      </c>
      <c r="R877" s="2">
        <f ca="1">IF(Iterations[[#This Row],[Step]] =current_step, current_Grad_e,IF(Iterations[[#This Row],[Step]] &gt; current_step, "",Iterations[[#This Row],[Grad_e]]))</f>
        <v>3.7519649613647252E-3</v>
      </c>
    </row>
    <row r="878" spans="6:18" x14ac:dyDescent="0.3">
      <c r="F878" s="2">
        <f t="shared" si="15"/>
        <v>861</v>
      </c>
      <c r="G878" s="2">
        <f ca="1">IF(Iterations[[#This Row],[Step]] =current_step, current_a,IF(Iterations[[#This Row],[Step]] &gt; current_step, "",Iterations[[#This Row],[a]]))</f>
        <v>-7.2720197343619439</v>
      </c>
      <c r="H878" s="2">
        <f ca="1">IF(Iterations[[#This Row],[Step]] =current_step, current_b,IF(Iterations[[#This Row],[Step]] &gt; current_step, "",Iterations[[#This Row],[b]]))</f>
        <v>0.34866588705758095</v>
      </c>
      <c r="I878" s="2">
        <f ca="1">IF(Iterations[[#This Row],[Step]] =current_step, current_c,IF(Iterations[[#This Row],[Step]] &gt; current_step, "",Iterations[[#This Row],[c]]))</f>
        <v>21.235431858420704</v>
      </c>
      <c r="J878" s="2">
        <f ca="1">IF(Iterations[[#This Row],[Step]] =current_step, current_d,IF(Iterations[[#This Row],[Step]] &gt; current_step, "",Iterations[[#This Row],[d]]))</f>
        <v>1.2044974078580861</v>
      </c>
      <c r="K878" s="2">
        <f ca="1">IF(Iterations[[#This Row],[Step]] =current_step, current_e,IF(Iterations[[#This Row],[Step]] &gt; current_step, "",Iterations[[#This Row],[e]]))</f>
        <v>11.308028642635756</v>
      </c>
      <c r="L878" s="2">
        <f ca="1">IF(Iterations[[#This Row],[Step]] =current_step, current_Total_Loss,IF(Iterations[[#This Row],[Step]] &gt; current_step, "",Iterations[[#This Row],[Total Loss]]))</f>
        <v>90.44</v>
      </c>
      <c r="M878" s="6" t="s">
        <v>27</v>
      </c>
      <c r="N878" s="2">
        <f ca="1">IF(Iterations[[#This Row],[Step]] =current_step, current_Grad_a,IF(Iterations[[#This Row],[Step]] &gt; current_step, "",Iterations[[#This Row],[Grad_a]]))</f>
        <v>3.7251460994604337E-3</v>
      </c>
      <c r="O878" s="2">
        <f ca="1">IF(Iterations[[#This Row],[Step]] =current_step, current_Grad_b,IF(Iterations[[#This Row],[Step]] &gt; current_step, "",Iterations[[#This Row],[Grad_b]]))</f>
        <v>6.4962772005346581E-4</v>
      </c>
      <c r="P878" s="2">
        <f ca="1">IF(Iterations[[#This Row],[Step]] =current_step, current_Grad_c,IF(Iterations[[#This Row],[Step]] &gt; current_step, "",Iterations[[#This Row],[Grad_c]]))</f>
        <v>-1.0449463543021294E-2</v>
      </c>
      <c r="Q878" s="2">
        <f ca="1">IF(Iterations[[#This Row],[Step]] =current_step, current_Grad_d,IF(Iterations[[#This Row],[Step]] &gt; current_step, "",Iterations[[#This Row],[Grad_d]]))</f>
        <v>-5.9670299359895458E-4</v>
      </c>
      <c r="R878" s="2">
        <f ca="1">IF(Iterations[[#This Row],[Step]] =current_step, current_Grad_e,IF(Iterations[[#This Row],[Step]] &gt; current_step, "",Iterations[[#This Row],[Grad_e]]))</f>
        <v>3.7265749547638429E-3</v>
      </c>
    </row>
    <row r="879" spans="6:18" x14ac:dyDescent="0.3">
      <c r="F879" s="2">
        <f t="shared" si="15"/>
        <v>862</v>
      </c>
      <c r="G879" s="2">
        <f ca="1">IF(Iterations[[#This Row],[Step]] =current_step, current_a,IF(Iterations[[#This Row],[Step]] &gt; current_step, "",Iterations[[#This Row],[a]]))</f>
        <v>-7.2722804945889061</v>
      </c>
      <c r="H879" s="2">
        <f ca="1">IF(Iterations[[#This Row],[Step]] =current_step, current_b,IF(Iterations[[#This Row],[Step]] &gt; current_step, "",Iterations[[#This Row],[b]]))</f>
        <v>0.34862041311717723</v>
      </c>
      <c r="I879" s="2">
        <f ca="1">IF(Iterations[[#This Row],[Step]] =current_step, current_c,IF(Iterations[[#This Row],[Step]] &gt; current_step, "",Iterations[[#This Row],[c]]))</f>
        <v>21.236163320868716</v>
      </c>
      <c r="J879" s="2">
        <f ca="1">IF(Iterations[[#This Row],[Step]] =current_step, current_d,IF(Iterations[[#This Row],[Step]] &gt; current_step, "",Iterations[[#This Row],[d]]))</f>
        <v>1.2045391770676381</v>
      </c>
      <c r="K879" s="2">
        <f ca="1">IF(Iterations[[#This Row],[Step]] =current_step, current_e,IF(Iterations[[#This Row],[Step]] &gt; current_step, "",Iterations[[#This Row],[e]]))</f>
        <v>11.307767782388924</v>
      </c>
      <c r="L879" s="2">
        <f ca="1">IF(Iterations[[#This Row],[Step]] =current_step, current_Total_Loss,IF(Iterations[[#This Row],[Step]] &gt; current_step, "",Iterations[[#This Row],[Total Loss]]))</f>
        <v>90.44</v>
      </c>
      <c r="M879" s="6" t="s">
        <v>27</v>
      </c>
      <c r="N879" s="2">
        <f ca="1">IF(Iterations[[#This Row],[Step]] =current_step, current_Grad_a,IF(Iterations[[#This Row],[Step]] &gt; current_step, "",Iterations[[#This Row],[Grad_a]]))</f>
        <v>3.6999376579973406E-3</v>
      </c>
      <c r="O879" s="2">
        <f ca="1">IF(Iterations[[#This Row],[Step]] =current_step, current_Grad_b,IF(Iterations[[#This Row],[Step]] &gt; current_step, "",Iterations[[#This Row],[Grad_b]]))</f>
        <v>6.4523239540650564E-4</v>
      </c>
      <c r="P879" s="2">
        <f ca="1">IF(Iterations[[#This Row],[Step]] =current_step, current_Grad_c,IF(Iterations[[#This Row],[Step]] &gt; current_step, "",Iterations[[#This Row],[Grad_c]]))</f>
        <v>-1.0378750810013541E-2</v>
      </c>
      <c r="Q879" s="2">
        <f ca="1">IF(Iterations[[#This Row],[Step]] =current_step, current_Grad_d,IF(Iterations[[#This Row],[Step]] &gt; current_step, "",Iterations[[#This Row],[Grad_d]]))</f>
        <v>-5.9266668104372851E-4</v>
      </c>
      <c r="R879" s="2">
        <f ca="1">IF(Iterations[[#This Row],[Step]] =current_step, current_Grad_e,IF(Iterations[[#This Row],[Step]] &gt; current_step, "",Iterations[[#This Row],[Grad_e]]))</f>
        <v>3.7013567662016714E-3</v>
      </c>
    </row>
    <row r="880" spans="6:18" x14ac:dyDescent="0.3">
      <c r="F880" s="2">
        <f t="shared" si="15"/>
        <v>863</v>
      </c>
      <c r="G880" s="2">
        <f ca="1">IF(Iterations[[#This Row],[Step]] =current_step, current_a,IF(Iterations[[#This Row],[Step]] &gt; current_step, "",Iterations[[#This Row],[a]]))</f>
        <v>-7.2725394902249656</v>
      </c>
      <c r="H880" s="2">
        <f ca="1">IF(Iterations[[#This Row],[Step]] =current_step, current_b,IF(Iterations[[#This Row],[Step]] &gt; current_step, "",Iterations[[#This Row],[b]]))</f>
        <v>0.34857524684949875</v>
      </c>
      <c r="I880" s="2">
        <f ca="1">IF(Iterations[[#This Row],[Step]] =current_step, current_c,IF(Iterations[[#This Row],[Step]] &gt; current_step, "",Iterations[[#This Row],[c]]))</f>
        <v>21.236889833425415</v>
      </c>
      <c r="J880" s="2">
        <f ca="1">IF(Iterations[[#This Row],[Step]] =current_step, current_d,IF(Iterations[[#This Row],[Step]] &gt; current_step, "",Iterations[[#This Row],[d]]))</f>
        <v>1.2045806637353111</v>
      </c>
      <c r="K880" s="2">
        <f ca="1">IF(Iterations[[#This Row],[Step]] =current_step, current_e,IF(Iterations[[#This Row],[Step]] &gt; current_step, "",Iterations[[#This Row],[e]]))</f>
        <v>11.307508687415289</v>
      </c>
      <c r="L880" s="2">
        <f ca="1">IF(Iterations[[#This Row],[Step]] =current_step, current_Total_Loss,IF(Iterations[[#This Row],[Step]] &gt; current_step, "",Iterations[[#This Row],[Total Loss]]))</f>
        <v>90.44</v>
      </c>
      <c r="M880" s="6" t="s">
        <v>27</v>
      </c>
      <c r="N880" s="2">
        <f ca="1">IF(Iterations[[#This Row],[Step]] =current_step, current_Grad_a,IF(Iterations[[#This Row],[Step]] &gt; current_step, "",Iterations[[#This Row],[Grad_a]]))</f>
        <v>3.6748998044641525E-3</v>
      </c>
      <c r="O880" s="2">
        <f ca="1">IF(Iterations[[#This Row],[Step]] =current_step, current_Grad_b,IF(Iterations[[#This Row],[Step]] &gt; current_step, "",Iterations[[#This Row],[Grad_b]]))</f>
        <v>6.4086680059707553E-4</v>
      </c>
      <c r="P880" s="2">
        <f ca="1">IF(Iterations[[#This Row],[Step]] =current_step, current_Grad_c,IF(Iterations[[#This Row],[Step]] &gt; current_step, "",Iterations[[#This Row],[Grad_c]]))</f>
        <v>-1.0308516599641136E-2</v>
      </c>
      <c r="Q880" s="2">
        <f ca="1">IF(Iterations[[#This Row],[Step]] =current_step, current_Grad_d,IF(Iterations[[#This Row],[Step]] &gt; current_step, "",Iterations[[#This Row],[Grad_d]]))</f>
        <v>-5.886576534276254E-4</v>
      </c>
      <c r="R880" s="2">
        <f ca="1">IF(Iterations[[#This Row],[Step]] =current_step, current_Grad_e,IF(Iterations[[#This Row],[Step]] &gt; current_step, "",Iterations[[#This Row],[Grad_e]]))</f>
        <v>3.6763092329354188E-3</v>
      </c>
    </row>
    <row r="881" spans="6:18" x14ac:dyDescent="0.3">
      <c r="F881" s="2">
        <f t="shared" si="15"/>
        <v>864</v>
      </c>
      <c r="G881" s="2">
        <f ca="1">IF(Iterations[[#This Row],[Step]] =current_step, current_a,IF(Iterations[[#This Row],[Step]] &gt; current_step, "",Iterations[[#This Row],[a]]))</f>
        <v>-7.272796733211278</v>
      </c>
      <c r="H881" s="2">
        <f ca="1">IF(Iterations[[#This Row],[Step]] =current_step, current_b,IF(Iterations[[#This Row],[Step]] &gt; current_step, "",Iterations[[#This Row],[b]]))</f>
        <v>0.34853038617345694</v>
      </c>
      <c r="I881" s="2">
        <f ca="1">IF(Iterations[[#This Row],[Step]] =current_step, current_c,IF(Iterations[[#This Row],[Step]] &gt; current_step, "",Iterations[[#This Row],[c]]))</f>
        <v>21.237611429587389</v>
      </c>
      <c r="J881" s="2">
        <f ca="1">IF(Iterations[[#This Row],[Step]] =current_step, current_d,IF(Iterations[[#This Row],[Step]] &gt; current_step, "",Iterations[[#This Row],[d]]))</f>
        <v>1.2046218697710511</v>
      </c>
      <c r="K881" s="2">
        <f ca="1">IF(Iterations[[#This Row],[Step]] =current_step, current_e,IF(Iterations[[#This Row],[Step]] &gt; current_step, "",Iterations[[#This Row],[e]]))</f>
        <v>11.307251345768984</v>
      </c>
      <c r="L881" s="2">
        <f ca="1">IF(Iterations[[#This Row],[Step]] =current_step, current_Total_Loss,IF(Iterations[[#This Row],[Step]] &gt; current_step, "",Iterations[[#This Row],[Total Loss]]))</f>
        <v>90.44</v>
      </c>
      <c r="M881" s="6" t="s">
        <v>27</v>
      </c>
      <c r="N881" s="2">
        <f ca="1">IF(Iterations[[#This Row],[Step]] =current_step, current_Grad_a,IF(Iterations[[#This Row],[Step]] &gt; current_step, "",Iterations[[#This Row],[Grad_a]]))</f>
        <v>3.6500313845249841E-3</v>
      </c>
      <c r="O881" s="2">
        <f ca="1">IF(Iterations[[#This Row],[Step]] =current_step, current_Grad_b,IF(Iterations[[#This Row],[Step]] &gt; current_step, "",Iterations[[#This Row],[Grad_b]]))</f>
        <v>6.365307346807539E-4</v>
      </c>
      <c r="P881" s="2">
        <f ca="1">IF(Iterations[[#This Row],[Step]] =current_step, current_Grad_c,IF(Iterations[[#This Row],[Step]] &gt; current_step, "",Iterations[[#This Row],[Grad_c]]))</f>
        <v>-1.0238757673630004E-2</v>
      </c>
      <c r="Q881" s="2">
        <f ca="1">IF(Iterations[[#This Row],[Step]] =current_step, current_Grad_d,IF(Iterations[[#This Row],[Step]] &gt; current_step, "",Iterations[[#This Row],[Grad_d]]))</f>
        <v>-5.8467572662982781E-4</v>
      </c>
      <c r="R881" s="2">
        <f ca="1">IF(Iterations[[#This Row],[Step]] =current_step, current_Grad_e,IF(Iterations[[#This Row],[Step]] &gt; current_step, "",Iterations[[#This Row],[Grad_e]]))</f>
        <v>3.6514312001144512E-3</v>
      </c>
    </row>
    <row r="882" spans="6:18" x14ac:dyDescent="0.3">
      <c r="F882" s="2">
        <f t="shared" ref="F882:F945" si="16">F881+1</f>
        <v>865</v>
      </c>
      <c r="G882" s="2">
        <f ca="1">IF(Iterations[[#This Row],[Step]] =current_step, current_a,IF(Iterations[[#This Row],[Step]] &gt; current_step, "",Iterations[[#This Row],[a]]))</f>
        <v>-7.273052235408195</v>
      </c>
      <c r="H882" s="2">
        <f ca="1">IF(Iterations[[#This Row],[Step]] =current_step, current_b,IF(Iterations[[#This Row],[Step]] &gt; current_step, "",Iterations[[#This Row],[b]]))</f>
        <v>0.34848582902202929</v>
      </c>
      <c r="I882" s="2">
        <f ca="1">IF(Iterations[[#This Row],[Step]] =current_step, current_c,IF(Iterations[[#This Row],[Step]] &gt; current_step, "",Iterations[[#This Row],[c]]))</f>
        <v>21.238328142624542</v>
      </c>
      <c r="J882" s="2">
        <f ca="1">IF(Iterations[[#This Row],[Step]] =current_step, current_d,IF(Iterations[[#This Row],[Step]] &gt; current_step, "",Iterations[[#This Row],[d]]))</f>
        <v>1.2046627970719153</v>
      </c>
      <c r="K882" s="2">
        <f ca="1">IF(Iterations[[#This Row],[Step]] =current_step, current_e,IF(Iterations[[#This Row],[Step]] &gt; current_step, "",Iterations[[#This Row],[e]]))</f>
        <v>11.306995745584976</v>
      </c>
      <c r="L882" s="2">
        <f ca="1">IF(Iterations[[#This Row],[Step]] =current_step, current_Total_Loss,IF(Iterations[[#This Row],[Step]] &gt; current_step, "",Iterations[[#This Row],[Total Loss]]))</f>
        <v>90.44</v>
      </c>
      <c r="M882" s="6" t="s">
        <v>27</v>
      </c>
      <c r="N882" s="2">
        <f ca="1">IF(Iterations[[#This Row],[Step]] =current_step, current_Grad_a,IF(Iterations[[#This Row],[Step]] &gt; current_step, "",Iterations[[#This Row],[Grad_a]]))</f>
        <v>3.6253312515690775E-3</v>
      </c>
      <c r="O882" s="2">
        <f ca="1">IF(Iterations[[#This Row],[Step]] =current_step, current_Grad_b,IF(Iterations[[#This Row],[Step]] &gt; current_step, "",Iterations[[#This Row],[Grad_b]]))</f>
        <v>6.3222399805629159E-4</v>
      </c>
      <c r="P882" s="2">
        <f ca="1">IF(Iterations[[#This Row],[Step]] =current_step, current_Grad_c,IF(Iterations[[#This Row],[Step]] &gt; current_step, "",Iterations[[#This Row],[Grad_c]]))</f>
        <v>-1.0169470815660379E-2</v>
      </c>
      <c r="Q882" s="2">
        <f ca="1">IF(Iterations[[#This Row],[Step]] =current_step, current_Grad_d,IF(Iterations[[#This Row],[Step]] &gt; current_step, "",Iterations[[#This Row],[Grad_d]]))</f>
        <v>-5.8072071777670597E-4</v>
      </c>
      <c r="R882" s="2">
        <f ca="1">IF(Iterations[[#This Row],[Step]] =current_step, current_Grad_e,IF(Iterations[[#This Row],[Step]] &gt; current_step, "",Iterations[[#This Row],[Grad_e]]))</f>
        <v>3.626721520682984E-3</v>
      </c>
    </row>
    <row r="883" spans="6:18" x14ac:dyDescent="0.3">
      <c r="F883" s="2">
        <f t="shared" si="16"/>
        <v>866</v>
      </c>
      <c r="G883" s="2">
        <f ca="1">IF(Iterations[[#This Row],[Step]] =current_step, current_a,IF(Iterations[[#This Row],[Step]] &gt; current_step, "",Iterations[[#This Row],[a]]))</f>
        <v>-7.2733060085958048</v>
      </c>
      <c r="H883" s="2">
        <f ca="1">IF(Iterations[[#This Row],[Step]] =current_step, current_b,IF(Iterations[[#This Row],[Step]] &gt; current_step, "",Iterations[[#This Row],[b]]))</f>
        <v>0.34844157334216536</v>
      </c>
      <c r="I883" s="2">
        <f ca="1">IF(Iterations[[#This Row],[Step]] =current_step, current_c,IF(Iterations[[#This Row],[Step]] &gt; current_step, "",Iterations[[#This Row],[c]]))</f>
        <v>21.239040005581639</v>
      </c>
      <c r="J883" s="2">
        <f ca="1">IF(Iterations[[#This Row],[Step]] =current_step, current_d,IF(Iterations[[#This Row],[Step]] &gt; current_step, "",Iterations[[#This Row],[d]]))</f>
        <v>1.2047034475221596</v>
      </c>
      <c r="K883" s="2">
        <f ca="1">IF(Iterations[[#This Row],[Step]] =current_step, current_e,IF(Iterations[[#This Row],[Step]] &gt; current_step, "",Iterations[[#This Row],[e]]))</f>
        <v>11.306741875078528</v>
      </c>
      <c r="L883" s="2">
        <f ca="1">IF(Iterations[[#This Row],[Step]] =current_step, current_Total_Loss,IF(Iterations[[#This Row],[Step]] &gt; current_step, "",Iterations[[#This Row],[Total Loss]]))</f>
        <v>90.44</v>
      </c>
      <c r="M883" s="6" t="s">
        <v>27</v>
      </c>
      <c r="N883" s="2">
        <f ca="1">IF(Iterations[[#This Row],[Step]] =current_step, current_Grad_a,IF(Iterations[[#This Row],[Step]] &gt; current_step, "",Iterations[[#This Row],[Grad_a]]))</f>
        <v>3.6007982668600194E-3</v>
      </c>
      <c r="O883" s="2">
        <f ca="1">IF(Iterations[[#This Row],[Step]] =current_step, current_Grad_b,IF(Iterations[[#This Row],[Step]] &gt; current_step, "",Iterations[[#This Row],[Grad_b]]))</f>
        <v>6.2794639250313763E-4</v>
      </c>
      <c r="P883" s="2">
        <f ca="1">IF(Iterations[[#This Row],[Step]] =current_step, current_Grad_c,IF(Iterations[[#This Row],[Step]] &gt; current_step, "",Iterations[[#This Row],[Grad_c]]))</f>
        <v>-1.01006528311303E-2</v>
      </c>
      <c r="Q883" s="2">
        <f ca="1">IF(Iterations[[#This Row],[Step]] =current_step, current_Grad_d,IF(Iterations[[#This Row],[Step]] &gt; current_step, "",Iterations[[#This Row],[Grad_d]]))</f>
        <v>-5.7679244520640138E-4</v>
      </c>
      <c r="R883" s="2">
        <f ca="1">IF(Iterations[[#This Row],[Step]] =current_step, current_Grad_e,IF(Iterations[[#This Row],[Step]] &gt; current_step, "",Iterations[[#This Row],[Grad_e]]))</f>
        <v>3.6021790553685384E-3</v>
      </c>
    </row>
    <row r="884" spans="6:18" x14ac:dyDescent="0.3">
      <c r="F884" s="2">
        <f t="shared" si="16"/>
        <v>867</v>
      </c>
      <c r="G884" s="2">
        <f ca="1">IF(Iterations[[#This Row],[Step]] =current_step, current_a,IF(Iterations[[#This Row],[Step]] &gt; current_step, "",Iterations[[#This Row],[a]]))</f>
        <v>-7.2735580644744848</v>
      </c>
      <c r="H884" s="2">
        <f ca="1">IF(Iterations[[#This Row],[Step]] =current_step, current_b,IF(Iterations[[#This Row],[Step]] &gt; current_step, "",Iterations[[#This Row],[b]]))</f>
        <v>0.34839761709469014</v>
      </c>
      <c r="I884" s="2">
        <f ca="1">IF(Iterations[[#This Row],[Step]] =current_step, current_c,IF(Iterations[[#This Row],[Step]] &gt; current_step, "",Iterations[[#This Row],[c]]))</f>
        <v>21.239747051279817</v>
      </c>
      <c r="J884" s="2">
        <f ca="1">IF(Iterations[[#This Row],[Step]] =current_step, current_d,IF(Iterations[[#This Row],[Step]] &gt; current_step, "",Iterations[[#This Row],[d]]))</f>
        <v>1.2047438229933241</v>
      </c>
      <c r="K884" s="2">
        <f ca="1">IF(Iterations[[#This Row],[Step]] =current_step, current_e,IF(Iterations[[#This Row],[Step]] &gt; current_step, "",Iterations[[#This Row],[e]]))</f>
        <v>11.306489722544653</v>
      </c>
      <c r="L884" s="2">
        <f ca="1">IF(Iterations[[#This Row],[Step]] =current_step, current_Total_Loss,IF(Iterations[[#This Row],[Step]] &gt; current_step, "",Iterations[[#This Row],[Total Loss]]))</f>
        <v>90.44</v>
      </c>
      <c r="M884" s="6" t="s">
        <v>27</v>
      </c>
      <c r="N884" s="2">
        <f ca="1">IF(Iterations[[#This Row],[Step]] =current_step, current_Grad_a,IF(Iterations[[#This Row],[Step]] &gt; current_step, "",Iterations[[#This Row],[Grad_a]]))</f>
        <v>3.5764312991399074E-3</v>
      </c>
      <c r="O884" s="2">
        <f ca="1">IF(Iterations[[#This Row],[Step]] =current_step, current_Grad_b,IF(Iterations[[#This Row],[Step]] &gt; current_step, "",Iterations[[#This Row],[Grad_b]]))</f>
        <v>6.2369772112425004E-4</v>
      </c>
      <c r="P884" s="2">
        <f ca="1">IF(Iterations[[#This Row],[Step]] =current_step, current_Grad_c,IF(Iterations[[#This Row],[Step]] &gt; current_step, "",Iterations[[#This Row],[Grad_c]]))</f>
        <v>-1.0032300547149368E-2</v>
      </c>
      <c r="Q884" s="2">
        <f ca="1">IF(Iterations[[#This Row],[Step]] =current_step, current_Grad_d,IF(Iterations[[#This Row],[Step]] &gt; current_step, "",Iterations[[#This Row],[Grad_d]]))</f>
        <v>-5.7289072848509814E-4</v>
      </c>
      <c r="R884" s="2">
        <f ca="1">IF(Iterations[[#This Row],[Step]] =current_step, current_Grad_e,IF(Iterations[[#This Row],[Step]] &gt; current_step, "",Iterations[[#This Row],[Grad_e]]))</f>
        <v>3.5778026725695375E-3</v>
      </c>
    </row>
    <row r="885" spans="6:18" x14ac:dyDescent="0.3">
      <c r="F885" s="2">
        <f t="shared" si="16"/>
        <v>868</v>
      </c>
      <c r="G885" s="2">
        <f ca="1">IF(Iterations[[#This Row],[Step]] =current_step, current_a,IF(Iterations[[#This Row],[Step]] &gt; current_step, "",Iterations[[#This Row],[a]]))</f>
        <v>-7.2738084146654245</v>
      </c>
      <c r="H885" s="2">
        <f ca="1">IF(Iterations[[#This Row],[Step]] =current_step, current_b,IF(Iterations[[#This Row],[Step]] &gt; current_step, "",Iterations[[#This Row],[b]]))</f>
        <v>0.34835395825421145</v>
      </c>
      <c r="I885" s="2">
        <f ca="1">IF(Iterations[[#This Row],[Step]] =current_step, current_c,IF(Iterations[[#This Row],[Step]] &gt; current_step, "",Iterations[[#This Row],[c]]))</f>
        <v>21.240449312318116</v>
      </c>
      <c r="J885" s="2">
        <f ca="1">IF(Iterations[[#This Row],[Step]] =current_step, current_d,IF(Iterations[[#This Row],[Step]] &gt; current_step, "",Iterations[[#This Row],[d]]))</f>
        <v>1.204783925344318</v>
      </c>
      <c r="K885" s="2">
        <f ca="1">IF(Iterations[[#This Row],[Step]] =current_step, current_e,IF(Iterations[[#This Row],[Step]] &gt; current_step, "",Iterations[[#This Row],[e]]))</f>
        <v>11.306239276357573</v>
      </c>
      <c r="L885" s="2">
        <f ca="1">IF(Iterations[[#This Row],[Step]] =current_step, current_Total_Loss,IF(Iterations[[#This Row],[Step]] &gt; current_step, "",Iterations[[#This Row],[Total Loss]]))</f>
        <v>90.44</v>
      </c>
      <c r="M885" s="6" t="s">
        <v>27</v>
      </c>
      <c r="N885" s="2">
        <f ca="1">IF(Iterations[[#This Row],[Step]] =current_step, current_Grad_a,IF(Iterations[[#This Row],[Step]] &gt; current_step, "",Iterations[[#This Row],[Grad_a]]))</f>
        <v>3.5522292251546597E-3</v>
      </c>
      <c r="O885" s="2">
        <f ca="1">IF(Iterations[[#This Row],[Step]] =current_step, current_Grad_b,IF(Iterations[[#This Row],[Step]] &gt; current_step, "",Iterations[[#This Row],[Grad_b]]))</f>
        <v>6.1947778832391635E-4</v>
      </c>
      <c r="P885" s="2">
        <f ca="1">IF(Iterations[[#This Row],[Step]] =current_step, current_Grad_c,IF(Iterations[[#This Row],[Step]] &gt; current_step, "",Iterations[[#This Row],[Grad_c]]))</f>
        <v>-9.9644108121577837E-3</v>
      </c>
      <c r="Q885" s="2">
        <f ca="1">IF(Iterations[[#This Row],[Step]] =current_step, current_Grad_d,IF(Iterations[[#This Row],[Step]] &gt; current_step, "",Iterations[[#This Row],[Grad_d]]))</f>
        <v>-5.6901538839860947E-4</v>
      </c>
      <c r="R885" s="2">
        <f ca="1">IF(Iterations[[#This Row],[Step]] =current_step, current_Grad_e,IF(Iterations[[#This Row],[Step]] &gt; current_step, "",Iterations[[#This Row],[Grad_e]]))</f>
        <v>3.5535912484018833E-3</v>
      </c>
    </row>
    <row r="886" spans="6:18" x14ac:dyDescent="0.3">
      <c r="F886" s="2">
        <f t="shared" si="16"/>
        <v>869</v>
      </c>
      <c r="G886" s="2">
        <f ca="1">IF(Iterations[[#This Row],[Step]] =current_step, current_a,IF(Iterations[[#This Row],[Step]] &gt; current_step, "",Iterations[[#This Row],[a]]))</f>
        <v>-7.2740570707111853</v>
      </c>
      <c r="H886" s="2">
        <f ca="1">IF(Iterations[[#This Row],[Step]] =current_step, current_b,IF(Iterations[[#This Row],[Step]] &gt; current_step, "",Iterations[[#This Row],[b]]))</f>
        <v>0.34831059480902876</v>
      </c>
      <c r="I886" s="2">
        <f ca="1">IF(Iterations[[#This Row],[Step]] =current_step, current_c,IF(Iterations[[#This Row],[Step]] &gt; current_step, "",Iterations[[#This Row],[c]]))</f>
        <v>21.241146821074967</v>
      </c>
      <c r="J886" s="2">
        <f ca="1">IF(Iterations[[#This Row],[Step]] =current_step, current_d,IF(Iterations[[#This Row],[Step]] &gt; current_step, "",Iterations[[#This Row],[d]]))</f>
        <v>1.2048237564215059</v>
      </c>
      <c r="K886" s="2">
        <f ca="1">IF(Iterations[[#This Row],[Step]] =current_step, current_e,IF(Iterations[[#This Row],[Step]] &gt; current_step, "",Iterations[[#This Row],[e]]))</f>
        <v>11.305990524970184</v>
      </c>
      <c r="L886" s="2">
        <f ca="1">IF(Iterations[[#This Row],[Step]] =current_step, current_Total_Loss,IF(Iterations[[#This Row],[Step]] &gt; current_step, "",Iterations[[#This Row],[Total Loss]]))</f>
        <v>90.44</v>
      </c>
      <c r="M886" s="6" t="s">
        <v>27</v>
      </c>
      <c r="N886" s="2">
        <f ca="1">IF(Iterations[[#This Row],[Step]] =current_step, current_Grad_a,IF(Iterations[[#This Row],[Step]] &gt; current_step, "",Iterations[[#This Row],[Grad_a]]))</f>
        <v>3.5281909288491756E-3</v>
      </c>
      <c r="O886" s="2">
        <f ca="1">IF(Iterations[[#This Row],[Step]] =current_step, current_Grad_b,IF(Iterations[[#This Row],[Step]] &gt; current_step, "",Iterations[[#This Row],[Grad_b]]))</f>
        <v>6.1528639989052699E-4</v>
      </c>
      <c r="P886" s="2">
        <f ca="1">IF(Iterations[[#This Row],[Step]] =current_step, current_Grad_c,IF(Iterations[[#This Row],[Step]] &gt; current_step, "",Iterations[[#This Row],[Grad_c]]))</f>
        <v>-9.896980496086203E-3</v>
      </c>
      <c r="Q886" s="2">
        <f ca="1">IF(Iterations[[#This Row],[Step]] =current_step, current_Grad_d,IF(Iterations[[#This Row],[Step]] &gt; current_step, "",Iterations[[#This Row],[Grad_d]]))</f>
        <v>-5.6516624691450705E-4</v>
      </c>
      <c r="R886" s="2">
        <f ca="1">IF(Iterations[[#This Row],[Step]] =current_step, current_Grad_e,IF(Iterations[[#This Row],[Step]] &gt; current_step, "",Iterations[[#This Row],[Grad_e]]))</f>
        <v>3.5295436665161934E-3</v>
      </c>
    </row>
    <row r="887" spans="6:18" x14ac:dyDescent="0.3">
      <c r="F887" s="2">
        <f t="shared" si="16"/>
        <v>870</v>
      </c>
      <c r="G887" s="2">
        <f ca="1">IF(Iterations[[#This Row],[Step]] =current_step, current_a,IF(Iterations[[#This Row],[Step]] &gt; current_step, "",Iterations[[#This Row],[a]]))</f>
        <v>-7.2743040440762048</v>
      </c>
      <c r="H887" s="2">
        <f ca="1">IF(Iterations[[#This Row],[Step]] =current_step, current_b,IF(Iterations[[#This Row],[Step]] &gt; current_step, "",Iterations[[#This Row],[b]]))</f>
        <v>0.34826752476103645</v>
      </c>
      <c r="I887" s="2">
        <f ca="1">IF(Iterations[[#This Row],[Step]] =current_step, current_c,IF(Iterations[[#This Row],[Step]] &gt; current_step, "",Iterations[[#This Row],[c]]))</f>
        <v>21.241839609709693</v>
      </c>
      <c r="J887" s="2">
        <f ca="1">IF(Iterations[[#This Row],[Step]] =current_step, current_d,IF(Iterations[[#This Row],[Step]] &gt; current_step, "",Iterations[[#This Row],[d]]))</f>
        <v>1.2048633180587898</v>
      </c>
      <c r="K887" s="2">
        <f ca="1">IF(Iterations[[#This Row],[Step]] =current_step, current_e,IF(Iterations[[#This Row],[Step]] &gt; current_step, "",Iterations[[#This Row],[e]]))</f>
        <v>11.305743456913529</v>
      </c>
      <c r="L887" s="2">
        <f ca="1">IF(Iterations[[#This Row],[Step]] =current_step, current_Total_Loss,IF(Iterations[[#This Row],[Step]] &gt; current_step, "",Iterations[[#This Row],[Total Loss]]))</f>
        <v>90.44</v>
      </c>
      <c r="M887" s="6" t="s">
        <v>27</v>
      </c>
      <c r="N887" s="2">
        <f ca="1">IF(Iterations[[#This Row],[Step]] =current_step, current_Grad_a,IF(Iterations[[#This Row],[Step]] &gt; current_step, "",Iterations[[#This Row],[Grad_a]]))</f>
        <v>3.5043153021508586E-3</v>
      </c>
      <c r="O887" s="2">
        <f ca="1">IF(Iterations[[#This Row],[Step]] =current_step, current_Grad_b,IF(Iterations[[#This Row],[Step]] &gt; current_step, "",Iterations[[#This Row],[Grad_b]]))</f>
        <v>6.1112336284669451E-4</v>
      </c>
      <c r="P887" s="2">
        <f ca="1">IF(Iterations[[#This Row],[Step]] =current_step, current_Grad_c,IF(Iterations[[#This Row],[Step]] &gt; current_step, "",Iterations[[#This Row],[Grad_c]]))</f>
        <v>-9.8300064898688456E-3</v>
      </c>
      <c r="Q887" s="2">
        <f ca="1">IF(Iterations[[#This Row],[Step]] =current_step, current_Grad_d,IF(Iterations[[#This Row],[Step]] &gt; current_step, "",Iterations[[#This Row],[Grad_d]]))</f>
        <v>-5.6134312722268113E-4</v>
      </c>
      <c r="R887" s="2">
        <f ca="1">IF(Iterations[[#This Row],[Step]] =current_step, current_Grad_e,IF(Iterations[[#This Row],[Step]] &gt; current_step, "",Iterations[[#This Row],[Grad_e]]))</f>
        <v>3.5056588182032934E-3</v>
      </c>
    </row>
    <row r="888" spans="6:18" x14ac:dyDescent="0.3">
      <c r="F888" s="2">
        <f t="shared" si="16"/>
        <v>871</v>
      </c>
      <c r="G888" s="2">
        <f ca="1">IF(Iterations[[#This Row],[Step]] =current_step, current_a,IF(Iterations[[#This Row],[Step]] &gt; current_step, "",Iterations[[#This Row],[a]]))</f>
        <v>-7.2745493461473556</v>
      </c>
      <c r="H888" s="2">
        <f ca="1">IF(Iterations[[#This Row],[Step]] =current_step, current_b,IF(Iterations[[#This Row],[Step]] &gt; current_step, "",Iterations[[#This Row],[b]]))</f>
        <v>0.3482247461256372</v>
      </c>
      <c r="I888" s="2">
        <f ca="1">IF(Iterations[[#This Row],[Step]] =current_step, current_c,IF(Iterations[[#This Row],[Step]] &gt; current_step, "",Iterations[[#This Row],[c]]))</f>
        <v>21.242527710163984</v>
      </c>
      <c r="J888" s="2">
        <f ca="1">IF(Iterations[[#This Row],[Step]] =current_step, current_d,IF(Iterations[[#This Row],[Step]] &gt; current_step, "",Iterations[[#This Row],[d]]))</f>
        <v>1.2049026120776953</v>
      </c>
      <c r="K888" s="2">
        <f ca="1">IF(Iterations[[#This Row],[Step]] =current_step, current_e,IF(Iterations[[#This Row],[Step]] &gt; current_step, "",Iterations[[#This Row],[e]]))</f>
        <v>11.305498060796255</v>
      </c>
      <c r="L888" s="2">
        <f ca="1">IF(Iterations[[#This Row],[Step]] =current_step, current_Total_Loss,IF(Iterations[[#This Row],[Step]] &gt; current_step, "",Iterations[[#This Row],[Total Loss]]))</f>
        <v>90.44</v>
      </c>
      <c r="M888" s="6" t="s">
        <v>27</v>
      </c>
      <c r="N888" s="2">
        <f ca="1">IF(Iterations[[#This Row],[Step]] =current_step, current_Grad_a,IF(Iterations[[#This Row],[Step]] &gt; current_step, "",Iterations[[#This Row],[Grad_a]]))</f>
        <v>3.4806012439881785E-3</v>
      </c>
      <c r="O888" s="2">
        <f ca="1">IF(Iterations[[#This Row],[Step]] =current_step, current_Grad_b,IF(Iterations[[#This Row],[Step]] &gt; current_step, "",Iterations[[#This Row],[Grad_b]]))</f>
        <v>6.0698848556328677E-4</v>
      </c>
      <c r="P888" s="2">
        <f ca="1">IF(Iterations[[#This Row],[Step]] =current_step, current_Grad_c,IF(Iterations[[#This Row],[Step]] &gt; current_step, "",Iterations[[#This Row],[Grad_c]]))</f>
        <v>-9.7634857056926316E-3</v>
      </c>
      <c r="Q888" s="2">
        <f ca="1">IF(Iterations[[#This Row],[Step]] =current_step, current_Grad_d,IF(Iterations[[#This Row],[Step]] &gt; current_step, "",Iterations[[#This Row],[Grad_d]]))</f>
        <v>-5.5754585369123999E-4</v>
      </c>
      <c r="R888" s="2">
        <f ca="1">IF(Iterations[[#This Row],[Step]] =current_step, current_Grad_e,IF(Iterations[[#This Row],[Step]] &gt; current_step, "",Iterations[[#This Row],[Grad_e]]))</f>
        <v>3.4819356021509565E-3</v>
      </c>
    </row>
    <row r="889" spans="6:18" x14ac:dyDescent="0.3">
      <c r="F889" s="2">
        <f t="shared" si="16"/>
        <v>872</v>
      </c>
      <c r="G889" s="2">
        <f ca="1">IF(Iterations[[#This Row],[Step]] =current_step, current_a,IF(Iterations[[#This Row],[Step]] &gt; current_step, "",Iterations[[#This Row],[a]]))</f>
        <v>-7.2747929882344344</v>
      </c>
      <c r="H889" s="2">
        <f ca="1">IF(Iterations[[#This Row],[Step]] =current_step, current_b,IF(Iterations[[#This Row],[Step]] &gt; current_step, "",Iterations[[#This Row],[b]]))</f>
        <v>0.34818225693164778</v>
      </c>
      <c r="I889" s="2">
        <f ca="1">IF(Iterations[[#This Row],[Step]] =current_step, current_c,IF(Iterations[[#This Row],[Step]] &gt; current_step, "",Iterations[[#This Row],[c]]))</f>
        <v>21.243211154163383</v>
      </c>
      <c r="J889" s="2">
        <f ca="1">IF(Iterations[[#This Row],[Step]] =current_step, current_d,IF(Iterations[[#This Row],[Step]] &gt; current_step, "",Iterations[[#This Row],[d]]))</f>
        <v>1.2049416402874538</v>
      </c>
      <c r="K889" s="2">
        <f ca="1">IF(Iterations[[#This Row],[Step]] =current_step, current_e,IF(Iterations[[#This Row],[Step]] &gt; current_step, "",Iterations[[#This Row],[e]]))</f>
        <v>11.305254325304105</v>
      </c>
      <c r="L889" s="2">
        <f ca="1">IF(Iterations[[#This Row],[Step]] =current_step, current_Total_Loss,IF(Iterations[[#This Row],[Step]] &gt; current_step, "",Iterations[[#This Row],[Total Loss]]))</f>
        <v>90.44</v>
      </c>
      <c r="M889" s="6" t="s">
        <v>27</v>
      </c>
      <c r="N889" s="2">
        <f ca="1">IF(Iterations[[#This Row],[Step]] =current_step, current_Grad_a,IF(Iterations[[#This Row],[Step]] &gt; current_step, "",Iterations[[#This Row],[Grad_a]]))</f>
        <v>3.4570476613396592E-3</v>
      </c>
      <c r="O889" s="2">
        <f ca="1">IF(Iterations[[#This Row],[Step]] =current_step, current_Grad_b,IF(Iterations[[#This Row],[Step]] &gt; current_step, "",Iterations[[#This Row],[Grad_b]]))</f>
        <v>6.0288157769066645E-4</v>
      </c>
      <c r="P889" s="2">
        <f ca="1">IF(Iterations[[#This Row],[Step]] =current_step, current_Grad_c,IF(Iterations[[#This Row],[Step]] &gt; current_step, "",Iterations[[#This Row],[Grad_c]]))</f>
        <v>-9.6974150763833311E-3</v>
      </c>
      <c r="Q889" s="2">
        <f ca="1">IF(Iterations[[#This Row],[Step]] =current_step, current_Grad_d,IF(Iterations[[#This Row],[Step]] &gt; current_step, "",Iterations[[#This Row],[Grad_d]]))</f>
        <v>-5.5377425186055166E-4</v>
      </c>
      <c r="R889" s="2">
        <f ca="1">IF(Iterations[[#This Row],[Step]] =current_step, current_Grad_e,IF(Iterations[[#This Row],[Step]] &gt; current_step, "",Iterations[[#This Row],[Grad_e]]))</f>
        <v>3.4583729246260792E-3</v>
      </c>
    </row>
    <row r="890" spans="6:18" x14ac:dyDescent="0.3">
      <c r="F890" s="2">
        <f t="shared" si="16"/>
        <v>873</v>
      </c>
      <c r="G890" s="2">
        <f ca="1">IF(Iterations[[#This Row],[Step]] =current_step, current_a,IF(Iterations[[#This Row],[Step]] &gt; current_step, "",Iterations[[#This Row],[a]]))</f>
        <v>-7.2750349815707285</v>
      </c>
      <c r="H890" s="2">
        <f ca="1">IF(Iterations[[#This Row],[Step]] =current_step, current_b,IF(Iterations[[#This Row],[Step]] &gt; current_step, "",Iterations[[#This Row],[b]]))</f>
        <v>0.34814005522120944</v>
      </c>
      <c r="I890" s="2">
        <f ca="1">IF(Iterations[[#This Row],[Step]] =current_step, current_c,IF(Iterations[[#This Row],[Step]] &gt; current_step, "",Iterations[[#This Row],[c]]))</f>
        <v>21.243889973218728</v>
      </c>
      <c r="J890" s="2">
        <f ca="1">IF(Iterations[[#This Row],[Step]] =current_step, current_d,IF(Iterations[[#This Row],[Step]] &gt; current_step, "",Iterations[[#This Row],[d]]))</f>
        <v>1.204980404485084</v>
      </c>
      <c r="K890" s="2">
        <f ca="1">IF(Iterations[[#This Row],[Step]] =current_step, current_e,IF(Iterations[[#This Row],[Step]] &gt; current_step, "",Iterations[[#This Row],[e]]))</f>
        <v>11.305012239199382</v>
      </c>
      <c r="L890" s="2">
        <f ca="1">IF(Iterations[[#This Row],[Step]] =current_step, current_Total_Loss,IF(Iterations[[#This Row],[Step]] &gt; current_step, "",Iterations[[#This Row],[Total Loss]]))</f>
        <v>90.44</v>
      </c>
      <c r="M890" s="6" t="s">
        <v>27</v>
      </c>
      <c r="N890" s="2">
        <f ca="1">IF(Iterations[[#This Row],[Step]] =current_step, current_Grad_a,IF(Iterations[[#This Row],[Step]] &gt; current_step, "",Iterations[[#This Row],[Grad_a]]))</f>
        <v>3.4336534678790619E-3</v>
      </c>
      <c r="O890" s="2">
        <f ca="1">IF(Iterations[[#This Row],[Step]] =current_step, current_Grad_b,IF(Iterations[[#This Row],[Step]] &gt; current_step, "",Iterations[[#This Row],[Grad_b]]))</f>
        <v>5.9880245019113454E-4</v>
      </c>
      <c r="P890" s="2">
        <f ca="1">IF(Iterations[[#This Row],[Step]] =current_step, current_Grad_c,IF(Iterations[[#This Row],[Step]] &gt; current_step, "",Iterations[[#This Row],[Grad_c]]))</f>
        <v>-9.6317915558229925E-3</v>
      </c>
      <c r="Q890" s="2">
        <f ca="1">IF(Iterations[[#This Row],[Step]] =current_step, current_Grad_d,IF(Iterations[[#This Row],[Step]] &gt; current_step, "",Iterations[[#This Row],[Grad_d]]))</f>
        <v>-5.5002814844761091E-4</v>
      </c>
      <c r="R890" s="2">
        <f ca="1">IF(Iterations[[#This Row],[Step]] =current_step, current_Grad_e,IF(Iterations[[#This Row],[Step]] &gt; current_step, "",Iterations[[#This Row],[Grad_e]]))</f>
        <v>3.4349696991512837E-3</v>
      </c>
    </row>
    <row r="891" spans="6:18" x14ac:dyDescent="0.3">
      <c r="F891" s="2">
        <f t="shared" si="16"/>
        <v>874</v>
      </c>
      <c r="G891" s="2">
        <f ca="1">IF(Iterations[[#This Row],[Step]] =current_step, current_a,IF(Iterations[[#This Row],[Step]] &gt; current_step, "",Iterations[[#This Row],[a]]))</f>
        <v>-7.27527533731348</v>
      </c>
      <c r="H891" s="2">
        <f ca="1">IF(Iterations[[#This Row],[Step]] =current_step, current_b,IF(Iterations[[#This Row],[Step]] &gt; current_step, "",Iterations[[#This Row],[b]]))</f>
        <v>0.34809813904969605</v>
      </c>
      <c r="I891" s="2">
        <f ca="1">IF(Iterations[[#This Row],[Step]] =current_step, current_c,IF(Iterations[[#This Row],[Step]] &gt; current_step, "",Iterations[[#This Row],[c]]))</f>
        <v>21.244564198627636</v>
      </c>
      <c r="J891" s="2">
        <f ca="1">IF(Iterations[[#This Row],[Step]] =current_step, current_d,IF(Iterations[[#This Row],[Step]] &gt; current_step, "",Iterations[[#This Row],[d]]))</f>
        <v>1.2050189064554753</v>
      </c>
      <c r="K891" s="2">
        <f ca="1">IF(Iterations[[#This Row],[Step]] =current_step, current_e,IF(Iterations[[#This Row],[Step]] &gt; current_step, "",Iterations[[#This Row],[e]]))</f>
        <v>11.304771791320441</v>
      </c>
      <c r="L891" s="2">
        <f ca="1">IF(Iterations[[#This Row],[Step]] =current_step, current_Total_Loss,IF(Iterations[[#This Row],[Step]] &gt; current_step, "",Iterations[[#This Row],[Total Loss]]))</f>
        <v>90.44</v>
      </c>
      <c r="M891" s="6" t="s">
        <v>27</v>
      </c>
      <c r="N891" s="2">
        <f ca="1">IF(Iterations[[#This Row],[Step]] =current_step, current_Grad_a,IF(Iterations[[#This Row],[Step]] &gt; current_step, "",Iterations[[#This Row],[Grad_a]]))</f>
        <v>3.4104175854152213E-3</v>
      </c>
      <c r="O891" s="2">
        <f ca="1">IF(Iterations[[#This Row],[Step]] =current_step, current_Grad_b,IF(Iterations[[#This Row],[Step]] &gt; current_step, "",Iterations[[#This Row],[Grad_b]]))</f>
        <v>5.9475091521416564E-4</v>
      </c>
      <c r="P891" s="2">
        <f ca="1">IF(Iterations[[#This Row],[Step]] =current_step, current_Grad_c,IF(Iterations[[#This Row],[Step]] &gt; current_step, "",Iterations[[#This Row],[Grad_c]]))</f>
        <v>-9.566612118175024E-3</v>
      </c>
      <c r="Q891" s="2">
        <f ca="1">IF(Iterations[[#This Row],[Step]] =current_step, current_Grad_d,IF(Iterations[[#This Row],[Step]] &gt; current_step, "",Iterations[[#This Row],[Grad_d]]))</f>
        <v>-5.4630737135566128E-4</v>
      </c>
      <c r="R891" s="2">
        <f ca="1">IF(Iterations[[#This Row],[Step]] =current_step, current_Grad_e,IF(Iterations[[#This Row],[Step]] &gt; current_step, "",Iterations[[#This Row],[Grad_e]]))</f>
        <v>3.4117248467631831E-3</v>
      </c>
    </row>
    <row r="892" spans="6:18" x14ac:dyDescent="0.3">
      <c r="F892" s="2">
        <f t="shared" si="16"/>
        <v>875</v>
      </c>
      <c r="G892" s="2">
        <f ca="1">IF(Iterations[[#This Row],[Step]] =current_step, current_a,IF(Iterations[[#This Row],[Step]] &gt; current_step, "",Iterations[[#This Row],[a]]))</f>
        <v>-7.2755140665444591</v>
      </c>
      <c r="H892" s="2">
        <f ca="1">IF(Iterations[[#This Row],[Step]] =current_step, current_b,IF(Iterations[[#This Row],[Step]] &gt; current_step, "",Iterations[[#This Row],[b]]))</f>
        <v>0.34805650648563108</v>
      </c>
      <c r="I892" s="2">
        <f ca="1">IF(Iterations[[#This Row],[Step]] =current_step, current_c,IF(Iterations[[#This Row],[Step]] &gt; current_step, "",Iterations[[#This Row],[c]]))</f>
        <v>21.245233861475906</v>
      </c>
      <c r="J892" s="2">
        <f ca="1">IF(Iterations[[#This Row],[Step]] =current_step, current_d,IF(Iterations[[#This Row],[Step]] &gt; current_step, "",Iterations[[#This Row],[d]]))</f>
        <v>1.2050571479714702</v>
      </c>
      <c r="K892" s="2">
        <f ca="1">IF(Iterations[[#This Row],[Step]] =current_step, current_e,IF(Iterations[[#This Row],[Step]] &gt; current_step, "",Iterations[[#This Row],[e]]))</f>
        <v>11.304532970581167</v>
      </c>
      <c r="L892" s="2">
        <f ca="1">IF(Iterations[[#This Row],[Step]] =current_step, current_Total_Loss,IF(Iterations[[#This Row],[Step]] &gt; current_step, "",Iterations[[#This Row],[Total Loss]]))</f>
        <v>90.44</v>
      </c>
      <c r="M892" s="6" t="s">
        <v>27</v>
      </c>
      <c r="N892" s="2">
        <f ca="1">IF(Iterations[[#This Row],[Step]] =current_step, current_Grad_a,IF(Iterations[[#This Row],[Step]] &gt; current_step, "",Iterations[[#This Row],[Grad_a]]))</f>
        <v>3.387338942233321E-3</v>
      </c>
      <c r="O892" s="2">
        <f ca="1">IF(Iterations[[#This Row],[Step]] =current_step, current_Grad_b,IF(Iterations[[#This Row],[Step]] &gt; current_step, "",Iterations[[#This Row],[Grad_b]]))</f>
        <v>5.9072678632864236E-4</v>
      </c>
      <c r="P892" s="2">
        <f ca="1">IF(Iterations[[#This Row],[Step]] =current_step, current_Grad_c,IF(Iterations[[#This Row],[Step]] &gt; current_step, "",Iterations[[#This Row],[Grad_c]]))</f>
        <v>-9.5018737584212642E-3</v>
      </c>
      <c r="Q892" s="2">
        <f ca="1">IF(Iterations[[#This Row],[Step]] =current_step, current_Grad_d,IF(Iterations[[#This Row],[Step]] &gt; current_step, "",Iterations[[#This Row],[Grad_d]]))</f>
        <v>-5.426117495960349E-4</v>
      </c>
      <c r="R892" s="2">
        <f ca="1">IF(Iterations[[#This Row],[Step]] =current_step, current_Grad_e,IF(Iterations[[#This Row],[Step]] &gt; current_step, "",Iterations[[#This Row],[Grad_e]]))</f>
        <v>3.3886372956401325E-3</v>
      </c>
    </row>
    <row r="893" spans="6:18" x14ac:dyDescent="0.3">
      <c r="F893" s="2">
        <f t="shared" si="16"/>
        <v>876</v>
      </c>
      <c r="G893" s="2">
        <f ca="1">IF(Iterations[[#This Row],[Step]] =current_step, current_a,IF(Iterations[[#This Row],[Step]] &gt; current_step, "",Iterations[[#This Row],[a]]))</f>
        <v>-7.2757511802704151</v>
      </c>
      <c r="H893" s="2">
        <f ca="1">IF(Iterations[[#This Row],[Step]] =current_step, current_b,IF(Iterations[[#This Row],[Step]] &gt; current_step, "",Iterations[[#This Row],[b]]))</f>
        <v>0.3480151556105881</v>
      </c>
      <c r="I893" s="2">
        <f ca="1">IF(Iterations[[#This Row],[Step]] =current_step, current_c,IF(Iterations[[#This Row],[Step]] &gt; current_step, "",Iterations[[#This Row],[c]]))</f>
        <v>21.245898992638995</v>
      </c>
      <c r="J893" s="2">
        <f ca="1">IF(Iterations[[#This Row],[Step]] =current_step, current_d,IF(Iterations[[#This Row],[Step]] &gt; current_step, "",Iterations[[#This Row],[d]]))</f>
        <v>1.2050951307939419</v>
      </c>
      <c r="K893" s="2">
        <f ca="1">IF(Iterations[[#This Row],[Step]] =current_step, current_e,IF(Iterations[[#This Row],[Step]] &gt; current_step, "",Iterations[[#This Row],[e]]))</f>
        <v>11.304295765970473</v>
      </c>
      <c r="L893" s="2">
        <f ca="1">IF(Iterations[[#This Row],[Step]] =current_step, current_Total_Loss,IF(Iterations[[#This Row],[Step]] &gt; current_step, "",Iterations[[#This Row],[Total Loss]]))</f>
        <v>90.44</v>
      </c>
      <c r="M893" s="6" t="s">
        <v>27</v>
      </c>
      <c r="N893" s="2">
        <f ca="1">IF(Iterations[[#This Row],[Step]] =current_step, current_Grad_a,IF(Iterations[[#This Row],[Step]] &gt; current_step, "",Iterations[[#This Row],[Grad_a]]))</f>
        <v>3.3644164746675148E-3</v>
      </c>
      <c r="O893" s="2">
        <f ca="1">IF(Iterations[[#This Row],[Step]] =current_step, current_Grad_b,IF(Iterations[[#This Row],[Step]] &gt; current_step, "",Iterations[[#This Row],[Grad_b]]))</f>
        <v>5.8672987817996887E-4</v>
      </c>
      <c r="P893" s="2">
        <f ca="1">IF(Iterations[[#This Row],[Step]] =current_step, current_Grad_c,IF(Iterations[[#This Row],[Step]] &gt; current_step, "",Iterations[[#This Row],[Grad_c]]))</f>
        <v>-9.4375734915544841E-3</v>
      </c>
      <c r="Q893" s="2">
        <f ca="1">IF(Iterations[[#This Row],[Step]] =current_step, current_Grad_d,IF(Iterations[[#This Row],[Step]] &gt; current_step, "",Iterations[[#This Row],[Grad_d]]))</f>
        <v>-5.3894111339231672E-4</v>
      </c>
      <c r="R893" s="2">
        <f ca="1">IF(Iterations[[#This Row],[Step]] =current_step, current_Grad_e,IF(Iterations[[#This Row],[Step]] &gt; current_step, "",Iterations[[#This Row],[Grad_e]]))</f>
        <v>3.3657059813599036E-3</v>
      </c>
    </row>
    <row r="894" spans="6:18" x14ac:dyDescent="0.3">
      <c r="F894" s="2">
        <f t="shared" si="16"/>
        <v>877</v>
      </c>
      <c r="G894" s="2">
        <f ca="1">IF(Iterations[[#This Row],[Step]] =current_step, current_a,IF(Iterations[[#This Row],[Step]] &gt; current_step, "",Iterations[[#This Row],[a]]))</f>
        <v>-7.2759866894236422</v>
      </c>
      <c r="H894" s="2">
        <f ca="1">IF(Iterations[[#This Row],[Step]] =current_step, current_b,IF(Iterations[[#This Row],[Step]] &gt; current_step, "",Iterations[[#This Row],[b]]))</f>
        <v>0.34797408451911549</v>
      </c>
      <c r="I894" s="2">
        <f ca="1">IF(Iterations[[#This Row],[Step]] =current_step, current_c,IF(Iterations[[#This Row],[Step]] &gt; current_step, "",Iterations[[#This Row],[c]]))</f>
        <v>21.246559622783405</v>
      </c>
      <c r="J894" s="2">
        <f ca="1">IF(Iterations[[#This Row],[Step]] =current_step, current_d,IF(Iterations[[#This Row],[Step]] &gt; current_step, "",Iterations[[#This Row],[d]]))</f>
        <v>1.2051328566718793</v>
      </c>
      <c r="K894" s="2">
        <f ca="1">IF(Iterations[[#This Row],[Step]] =current_step, current_e,IF(Iterations[[#This Row],[Step]] &gt; current_step, "",Iterations[[#This Row],[e]]))</f>
        <v>11.304060166551777</v>
      </c>
      <c r="L894" s="2">
        <f ca="1">IF(Iterations[[#This Row],[Step]] =current_step, current_Total_Loss,IF(Iterations[[#This Row],[Step]] &gt; current_step, "",Iterations[[#This Row],[Total Loss]]))</f>
        <v>90.44</v>
      </c>
      <c r="M894" s="6" t="s">
        <v>27</v>
      </c>
      <c r="N894" s="2">
        <f ca="1">IF(Iterations[[#This Row],[Step]] =current_step, current_Grad_a,IF(Iterations[[#This Row],[Step]] &gt; current_step, "",Iterations[[#This Row],[Grad_a]]))</f>
        <v>3.3416491254952951E-3</v>
      </c>
      <c r="O894" s="2">
        <f ca="1">IF(Iterations[[#This Row],[Step]] =current_step, current_Grad_b,IF(Iterations[[#This Row],[Step]] &gt; current_step, "",Iterations[[#This Row],[Grad_b]]))</f>
        <v>5.8276000685558097E-4</v>
      </c>
      <c r="P894" s="2">
        <f ca="1">IF(Iterations[[#This Row],[Step]] =current_step, current_Grad_c,IF(Iterations[[#This Row],[Step]] &gt; current_step, "",Iterations[[#This Row],[Grad_c]]))</f>
        <v>-9.3737083530730028E-3</v>
      </c>
      <c r="Q894" s="2">
        <f ca="1">IF(Iterations[[#This Row],[Step]] =current_step, current_Grad_d,IF(Iterations[[#This Row],[Step]] &gt; current_step, "",Iterations[[#This Row],[Grad_d]]))</f>
        <v>-5.3529529404098641E-4</v>
      </c>
      <c r="R894" s="2">
        <f ca="1">IF(Iterations[[#This Row],[Step]] =current_step, current_Grad_e,IF(Iterations[[#This Row],[Step]] &gt; current_step, "",Iterations[[#This Row],[Grad_e]]))</f>
        <v>3.3429298465667123E-3</v>
      </c>
    </row>
    <row r="895" spans="6:18" x14ac:dyDescent="0.3">
      <c r="F895" s="2">
        <f t="shared" si="16"/>
        <v>878</v>
      </c>
      <c r="G895" s="2">
        <f ca="1">IF(Iterations[[#This Row],[Step]] =current_step, current_a,IF(Iterations[[#This Row],[Step]] &gt; current_step, "",Iterations[[#This Row],[a]]))</f>
        <v>-7.2762206048624272</v>
      </c>
      <c r="H895" s="2">
        <f ca="1">IF(Iterations[[#This Row],[Step]] =current_step, current_b,IF(Iterations[[#This Row],[Step]] &gt; current_step, "",Iterations[[#This Row],[b]]))</f>
        <v>0.3479332913186356</v>
      </c>
      <c r="I895" s="2">
        <f ca="1">IF(Iterations[[#This Row],[Step]] =current_step, current_c,IF(Iterations[[#This Row],[Step]] &gt; current_step, "",Iterations[[#This Row],[c]]))</f>
        <v>21.247215782368119</v>
      </c>
      <c r="J895" s="2">
        <f ca="1">IF(Iterations[[#This Row],[Step]] =current_step, current_d,IF(Iterations[[#This Row],[Step]] &gt; current_step, "",Iterations[[#This Row],[d]]))</f>
        <v>1.2051703273424621</v>
      </c>
      <c r="K895" s="2">
        <f ca="1">IF(Iterations[[#This Row],[Step]] =current_step, current_e,IF(Iterations[[#This Row],[Step]] &gt; current_step, "",Iterations[[#This Row],[e]]))</f>
        <v>11.303826161462517</v>
      </c>
      <c r="L895" s="2">
        <f ca="1">IF(Iterations[[#This Row],[Step]] =current_step, current_Total_Loss,IF(Iterations[[#This Row],[Step]] &gt; current_step, "",Iterations[[#This Row],[Total Loss]]))</f>
        <v>90.44</v>
      </c>
      <c r="M895" s="6" t="s">
        <v>27</v>
      </c>
      <c r="N895" s="2">
        <f ca="1">IF(Iterations[[#This Row],[Step]] =current_step, current_Grad_a,IF(Iterations[[#This Row],[Step]] &gt; current_step, "",Iterations[[#This Row],[Grad_a]]))</f>
        <v>3.3190358453746662E-3</v>
      </c>
      <c r="O895" s="2">
        <f ca="1">IF(Iterations[[#This Row],[Step]] =current_step, current_Grad_b,IF(Iterations[[#This Row],[Step]] &gt; current_step, "",Iterations[[#This Row],[Grad_b]]))</f>
        <v>5.7881698947236256E-4</v>
      </c>
      <c r="P895" s="2">
        <f ca="1">IF(Iterations[[#This Row],[Step]] =current_step, current_Grad_c,IF(Iterations[[#This Row],[Step]] &gt; current_step, "",Iterations[[#This Row],[Grad_c]]))</f>
        <v>-9.3102753982399946E-3</v>
      </c>
      <c r="Q895" s="2">
        <f ca="1">IF(Iterations[[#This Row],[Step]] =current_step, current_Grad_d,IF(Iterations[[#This Row],[Step]] &gt; current_step, "",Iterations[[#This Row],[Grad_d]]))</f>
        <v>-5.3167412405039386E-4</v>
      </c>
      <c r="R895" s="2">
        <f ca="1">IF(Iterations[[#This Row],[Step]] =current_step, current_Grad_e,IF(Iterations[[#This Row],[Step]] &gt; current_step, "",Iterations[[#This Row],[Grad_e]]))</f>
        <v>3.3203078411994844E-3</v>
      </c>
    </row>
    <row r="896" spans="6:18" x14ac:dyDescent="0.3">
      <c r="F896" s="2">
        <f t="shared" si="16"/>
        <v>879</v>
      </c>
      <c r="G896" s="2">
        <f ca="1">IF(Iterations[[#This Row],[Step]] =current_step, current_a,IF(Iterations[[#This Row],[Step]] &gt; current_step, "",Iterations[[#This Row],[a]]))</f>
        <v>-7.2764529373716034</v>
      </c>
      <c r="H896" s="2">
        <f ca="1">IF(Iterations[[#This Row],[Step]] =current_step, current_b,IF(Iterations[[#This Row],[Step]] &gt; current_step, "",Iterations[[#This Row],[b]]))</f>
        <v>0.34789277412937253</v>
      </c>
      <c r="I896" s="2">
        <f ca="1">IF(Iterations[[#This Row],[Step]] =current_step, current_c,IF(Iterations[[#This Row],[Step]] &gt; current_step, "",Iterations[[#This Row],[c]]))</f>
        <v>21.247867501645995</v>
      </c>
      <c r="J896" s="2">
        <f ca="1">IF(Iterations[[#This Row],[Step]] =current_step, current_d,IF(Iterations[[#This Row],[Step]] &gt; current_step, "",Iterations[[#This Row],[d]]))</f>
        <v>1.2052075445311456</v>
      </c>
      <c r="K896" s="2">
        <f ca="1">IF(Iterations[[#This Row],[Step]] =current_step, current_e,IF(Iterations[[#This Row],[Step]] &gt; current_step, "",Iterations[[#This Row],[e]]))</f>
        <v>11.303593739913634</v>
      </c>
      <c r="L896" s="2">
        <f ca="1">IF(Iterations[[#This Row],[Step]] =current_step, current_Total_Loss,IF(Iterations[[#This Row],[Step]] &gt; current_step, "",Iterations[[#This Row],[Total Loss]]))</f>
        <v>90.44</v>
      </c>
      <c r="M896" s="6" t="s">
        <v>27</v>
      </c>
      <c r="N896" s="2">
        <f ca="1">IF(Iterations[[#This Row],[Step]] =current_step, current_Grad_a,IF(Iterations[[#This Row],[Step]] &gt; current_step, "",Iterations[[#This Row],[Grad_a]]))</f>
        <v>3.2965755913748002E-3</v>
      </c>
      <c r="O896" s="2">
        <f ca="1">IF(Iterations[[#This Row],[Step]] =current_step, current_Grad_b,IF(Iterations[[#This Row],[Step]] &gt; current_step, "",Iterations[[#This Row],[Grad_b]]))</f>
        <v>5.7490064461757702E-4</v>
      </c>
      <c r="P896" s="2">
        <f ca="1">IF(Iterations[[#This Row],[Step]] =current_step, current_Grad_c,IF(Iterations[[#This Row],[Step]] &gt; current_step, "",Iterations[[#This Row],[Grad_c]]))</f>
        <v>-9.2472717025316644E-3</v>
      </c>
      <c r="Q896" s="2">
        <f ca="1">IF(Iterations[[#This Row],[Step]] =current_step, current_Grad_d,IF(Iterations[[#This Row],[Step]] &gt; current_step, "",Iterations[[#This Row],[Grad_d]]))</f>
        <v>-5.2807743696563984E-4</v>
      </c>
      <c r="R896" s="2">
        <f ca="1">IF(Iterations[[#This Row],[Step]] =current_step, current_Grad_e,IF(Iterations[[#This Row],[Step]] &gt; current_step, "",Iterations[[#This Row],[Grad_e]]))</f>
        <v>3.2978389221658905E-3</v>
      </c>
    </row>
    <row r="897" spans="6:18" x14ac:dyDescent="0.3">
      <c r="F897" s="2">
        <f t="shared" si="16"/>
        <v>880</v>
      </c>
      <c r="G897" s="2">
        <f ca="1">IF(Iterations[[#This Row],[Step]] =current_step, current_a,IF(Iterations[[#This Row],[Step]] &gt; current_step, "",Iterations[[#This Row],[a]]))</f>
        <v>-7.2766836976629996</v>
      </c>
      <c r="H897" s="2">
        <f ca="1">IF(Iterations[[#This Row],[Step]] =current_step, current_b,IF(Iterations[[#This Row],[Step]] &gt; current_step, "",Iterations[[#This Row],[b]]))</f>
        <v>0.34785253108424929</v>
      </c>
      <c r="I897" s="2">
        <f ca="1">IF(Iterations[[#This Row],[Step]] =current_step, current_c,IF(Iterations[[#This Row],[Step]] &gt; current_step, "",Iterations[[#This Row],[c]]))</f>
        <v>21.248514810665174</v>
      </c>
      <c r="J897" s="2">
        <f ca="1">IF(Iterations[[#This Row],[Step]] =current_step, current_d,IF(Iterations[[#This Row],[Step]] &gt; current_step, "",Iterations[[#This Row],[d]]))</f>
        <v>1.2052445099517333</v>
      </c>
      <c r="K897" s="2">
        <f ca="1">IF(Iterations[[#This Row],[Step]] =current_step, current_e,IF(Iterations[[#This Row],[Step]] &gt; current_step, "",Iterations[[#This Row],[e]]))</f>
        <v>11.303362891189082</v>
      </c>
      <c r="L897" s="2">
        <f ca="1">IF(Iterations[[#This Row],[Step]] =current_step, current_Total_Loss,IF(Iterations[[#This Row],[Step]] &gt; current_step, "",Iterations[[#This Row],[Total Loss]]))</f>
        <v>90.44</v>
      </c>
      <c r="M897" s="6" t="s">
        <v>27</v>
      </c>
      <c r="N897" s="2">
        <f ca="1">IF(Iterations[[#This Row],[Step]] =current_step, current_Grad_a,IF(Iterations[[#This Row],[Step]] &gt; current_step, "",Iterations[[#This Row],[Grad_a]]))</f>
        <v>3.2742673282821519E-3</v>
      </c>
      <c r="O897" s="2">
        <f ca="1">IF(Iterations[[#This Row],[Step]] =current_step, current_Grad_b,IF(Iterations[[#This Row],[Step]] &gt; current_step, "",Iterations[[#This Row],[Grad_b]]))</f>
        <v>5.7101079185341145E-4</v>
      </c>
      <c r="P897" s="2">
        <f ca="1">IF(Iterations[[#This Row],[Step]] =current_step, current_Grad_c,IF(Iterations[[#This Row],[Step]] &gt; current_step, "",Iterations[[#This Row],[Grad_c]]))</f>
        <v>-9.1846943609422069E-3</v>
      </c>
      <c r="Q897" s="2">
        <f ca="1">IF(Iterations[[#This Row],[Step]] =current_step, current_Grad_d,IF(Iterations[[#This Row],[Step]] &gt; current_step, "",Iterations[[#This Row],[Grad_d]]))</f>
        <v>-5.2450506754924623E-4</v>
      </c>
      <c r="R897" s="2">
        <f ca="1">IF(Iterations[[#This Row],[Step]] =current_step, current_Grad_e,IF(Iterations[[#This Row],[Step]] &gt; current_step, "",Iterations[[#This Row],[Grad_e]]))</f>
        <v>3.2755220535611368E-3</v>
      </c>
    </row>
    <row r="898" spans="6:18" x14ac:dyDescent="0.3">
      <c r="F898" s="2">
        <f t="shared" si="16"/>
        <v>881</v>
      </c>
      <c r="G898" s="2">
        <f ca="1">IF(Iterations[[#This Row],[Step]] =current_step, current_a,IF(Iterations[[#This Row],[Step]] &gt; current_step, "",Iterations[[#This Row],[a]]))</f>
        <v>-7.276912896375979</v>
      </c>
      <c r="H898" s="2">
        <f ca="1">IF(Iterations[[#This Row],[Step]] =current_step, current_b,IF(Iterations[[#This Row],[Step]] &gt; current_step, "",Iterations[[#This Row],[b]]))</f>
        <v>0.34781256032881958</v>
      </c>
      <c r="I898" s="2">
        <f ca="1">IF(Iterations[[#This Row],[Step]] =current_step, current_c,IF(Iterations[[#This Row],[Step]] &gt; current_step, "",Iterations[[#This Row],[c]]))</f>
        <v>21.249157739270441</v>
      </c>
      <c r="J898" s="2">
        <f ca="1">IF(Iterations[[#This Row],[Step]] =current_step, current_d,IF(Iterations[[#This Row],[Step]] &gt; current_step, "",Iterations[[#This Row],[d]]))</f>
        <v>1.2052812253064618</v>
      </c>
      <c r="K898" s="2">
        <f ca="1">IF(Iterations[[#This Row],[Step]] =current_step, current_e,IF(Iterations[[#This Row],[Step]] &gt; current_step, "",Iterations[[#This Row],[e]]))</f>
        <v>11.303133604645332</v>
      </c>
      <c r="L898" s="2">
        <f ca="1">IF(Iterations[[#This Row],[Step]] =current_step, current_Total_Loss,IF(Iterations[[#This Row],[Step]] &gt; current_step, "",Iterations[[#This Row],[Total Loss]]))</f>
        <v>90.44</v>
      </c>
      <c r="M898" s="6" t="s">
        <v>27</v>
      </c>
      <c r="N898" s="2">
        <f ca="1">IF(Iterations[[#This Row],[Step]] =current_step, current_Grad_a,IF(Iterations[[#This Row],[Step]] &gt; current_step, "",Iterations[[#This Row],[Grad_a]]))</f>
        <v>3.2521100272144584E-3</v>
      </c>
      <c r="O898" s="2">
        <f ca="1">IF(Iterations[[#This Row],[Step]] =current_step, current_Grad_b,IF(Iterations[[#This Row],[Step]] &gt; current_step, "",Iterations[[#This Row],[Grad_b]]))</f>
        <v>5.6714725219851755E-4</v>
      </c>
      <c r="P898" s="2">
        <f ca="1">IF(Iterations[[#This Row],[Step]] =current_step, current_Grad_c,IF(Iterations[[#This Row],[Step]] &gt; current_step, "",Iterations[[#This Row],[Grad_c]]))</f>
        <v>-9.1225404884050197E-3</v>
      </c>
      <c r="Q898" s="2">
        <f ca="1">IF(Iterations[[#This Row],[Step]] =current_step, current_Grad_d,IF(Iterations[[#This Row],[Step]] &gt; current_step, "",Iterations[[#This Row],[Grad_d]]))</f>
        <v>-5.2095685157978655E-4</v>
      </c>
      <c r="R898" s="2">
        <f ca="1">IF(Iterations[[#This Row],[Step]] =current_step, current_Grad_e,IF(Iterations[[#This Row],[Step]] &gt; current_step, "",Iterations[[#This Row],[Grad_e]]))</f>
        <v>3.2533562063614438E-3</v>
      </c>
    </row>
    <row r="899" spans="6:18" x14ac:dyDescent="0.3">
      <c r="F899" s="2">
        <f t="shared" si="16"/>
        <v>882</v>
      </c>
      <c r="G899" s="2">
        <f ca="1">IF(Iterations[[#This Row],[Step]] =current_step, current_a,IF(Iterations[[#This Row],[Step]] &gt; current_step, "",Iterations[[#This Row],[a]]))</f>
        <v>-7.2771405440778842</v>
      </c>
      <c r="H899" s="2">
        <f ca="1">IF(Iterations[[#This Row],[Step]] =current_step, current_b,IF(Iterations[[#This Row],[Step]] &gt; current_step, "",Iterations[[#This Row],[b]]))</f>
        <v>0.3477728600211657</v>
      </c>
      <c r="I899" s="2">
        <f ca="1">IF(Iterations[[#This Row],[Step]] =current_step, current_c,IF(Iterations[[#This Row],[Step]] &gt; current_step, "",Iterations[[#This Row],[c]]))</f>
        <v>21.249796317104629</v>
      </c>
      <c r="J899" s="2">
        <f ca="1">IF(Iterations[[#This Row],[Step]] =current_step, current_d,IF(Iterations[[#This Row],[Step]] &gt; current_step, "",Iterations[[#This Row],[d]]))</f>
        <v>1.2053176922860724</v>
      </c>
      <c r="K899" s="2">
        <f ca="1">IF(Iterations[[#This Row],[Step]] =current_step, current_e,IF(Iterations[[#This Row],[Step]] &gt; current_step, "",Iterations[[#This Row],[e]]))</f>
        <v>11.302905869710887</v>
      </c>
      <c r="L899" s="2">
        <f ca="1">IF(Iterations[[#This Row],[Step]] =current_step, current_Total_Loss,IF(Iterations[[#This Row],[Step]] &gt; current_step, "",Iterations[[#This Row],[Total Loss]]))</f>
        <v>90.44</v>
      </c>
      <c r="M899" s="6" t="s">
        <v>27</v>
      </c>
      <c r="N899" s="2">
        <f ca="1">IF(Iterations[[#This Row],[Step]] =current_step, current_Grad_a,IF(Iterations[[#This Row],[Step]] &gt; current_step, "",Iterations[[#This Row],[Grad_a]]))</f>
        <v>3.2301026669040076E-3</v>
      </c>
      <c r="O899" s="2">
        <f ca="1">IF(Iterations[[#This Row],[Step]] =current_step, current_Grad_b,IF(Iterations[[#This Row],[Step]] &gt; current_step, "",Iterations[[#This Row],[Grad_b]]))</f>
        <v>5.6330984769319907E-4</v>
      </c>
      <c r="P899" s="2">
        <f ca="1">IF(Iterations[[#This Row],[Step]] =current_step, current_Grad_c,IF(Iterations[[#This Row],[Step]] &gt; current_step, "",Iterations[[#This Row],[Grad_c]]))</f>
        <v>-9.0608072191040844E-3</v>
      </c>
      <c r="Q899" s="2">
        <f ca="1">IF(Iterations[[#This Row],[Step]] =current_step, current_Grad_d,IF(Iterations[[#This Row],[Step]] &gt; current_step, "",Iterations[[#This Row],[Grad_d]]))</f>
        <v>-5.174326260126952E-4</v>
      </c>
      <c r="R899" s="2">
        <f ca="1">IF(Iterations[[#This Row],[Step]] =current_step, current_Grad_e,IF(Iterations[[#This Row],[Step]] &gt; current_step, "",Iterations[[#This Row],[Grad_e]]))</f>
        <v>3.2313403586350375E-3</v>
      </c>
    </row>
    <row r="900" spans="6:18" x14ac:dyDescent="0.3">
      <c r="F900" s="2">
        <f t="shared" si="16"/>
        <v>883</v>
      </c>
      <c r="G900" s="2">
        <f ca="1">IF(Iterations[[#This Row],[Step]] =current_step, current_a,IF(Iterations[[#This Row],[Step]] &gt; current_step, "",Iterations[[#This Row],[a]]))</f>
        <v>-7.2773666512645674</v>
      </c>
      <c r="H900" s="2">
        <f ca="1">IF(Iterations[[#This Row],[Step]] =current_step, current_b,IF(Iterations[[#This Row],[Step]] &gt; current_step, "",Iterations[[#This Row],[b]]))</f>
        <v>0.34773342833182719</v>
      </c>
      <c r="I900" s="2">
        <f ca="1">IF(Iterations[[#This Row],[Step]] =current_step, current_c,IF(Iterations[[#This Row],[Step]] &gt; current_step, "",Iterations[[#This Row],[c]]))</f>
        <v>21.250430573609965</v>
      </c>
      <c r="J900" s="2">
        <f ca="1">IF(Iterations[[#This Row],[Step]] =current_step, current_d,IF(Iterations[[#This Row],[Step]] &gt; current_step, "",Iterations[[#This Row],[d]]))</f>
        <v>1.2053539125698933</v>
      </c>
      <c r="K900" s="2">
        <f ca="1">IF(Iterations[[#This Row],[Step]] =current_step, current_e,IF(Iterations[[#This Row],[Step]] &gt; current_step, "",Iterations[[#This Row],[e]]))</f>
        <v>11.302679675885782</v>
      </c>
      <c r="L900" s="2">
        <f ca="1">IF(Iterations[[#This Row],[Step]] =current_step, current_Total_Loss,IF(Iterations[[#This Row],[Step]] &gt; current_step, "",Iterations[[#This Row],[Total Loss]]))</f>
        <v>90.44</v>
      </c>
      <c r="M900" s="6" t="s">
        <v>27</v>
      </c>
      <c r="N900" s="2">
        <f ca="1">IF(Iterations[[#This Row],[Step]] =current_step, current_Grad_a,IF(Iterations[[#This Row],[Step]] &gt; current_step, "",Iterations[[#This Row],[Grad_a]]))</f>
        <v>3.2082442324826588E-3</v>
      </c>
      <c r="O900" s="2">
        <f ca="1">IF(Iterations[[#This Row],[Step]] =current_step, current_Grad_b,IF(Iterations[[#This Row],[Step]] &gt; current_step, "",Iterations[[#This Row],[Grad_b]]))</f>
        <v>5.5949840169218967E-4</v>
      </c>
      <c r="P900" s="2">
        <f ca="1">IF(Iterations[[#This Row],[Step]] =current_step, current_Grad_c,IF(Iterations[[#This Row],[Step]] &gt; current_step, "",Iterations[[#This Row],[Grad_c]]))</f>
        <v>-8.9994917068334269E-3</v>
      </c>
      <c r="Q900" s="2">
        <f ca="1">IF(Iterations[[#This Row],[Step]] =current_step, current_Grad_d,IF(Iterations[[#This Row],[Step]] &gt; current_step, "",Iterations[[#This Row],[Grad_d]]))</f>
        <v>-5.139322288586737E-4</v>
      </c>
      <c r="R900" s="2">
        <f ca="1">IF(Iterations[[#This Row],[Step]] =current_step, current_Grad_e,IF(Iterations[[#This Row],[Step]] &gt; current_step, "",Iterations[[#This Row],[Grad_e]]))</f>
        <v>3.2094734952616832E-3</v>
      </c>
    </row>
    <row r="901" spans="6:18" x14ac:dyDescent="0.3">
      <c r="F901" s="2">
        <f t="shared" si="16"/>
        <v>884</v>
      </c>
      <c r="G901" s="2">
        <f ca="1">IF(Iterations[[#This Row],[Step]] =current_step, current_a,IF(Iterations[[#This Row],[Step]] &gt; current_step, "",Iterations[[#This Row],[a]]))</f>
        <v>-7.2775912283608415</v>
      </c>
      <c r="H901" s="2">
        <f ca="1">IF(Iterations[[#This Row],[Step]] =current_step, current_b,IF(Iterations[[#This Row],[Step]] &gt; current_step, "",Iterations[[#This Row],[b]]))</f>
        <v>0.34769426344370874</v>
      </c>
      <c r="I901" s="2">
        <f ca="1">IF(Iterations[[#This Row],[Step]] =current_step, current_c,IF(Iterations[[#This Row],[Step]] &gt; current_step, "",Iterations[[#This Row],[c]]))</f>
        <v>21.251060538029442</v>
      </c>
      <c r="J901" s="2">
        <f ca="1">IF(Iterations[[#This Row],[Step]] =current_step, current_d,IF(Iterations[[#This Row],[Step]] &gt; current_step, "",Iterations[[#This Row],[d]]))</f>
        <v>1.2053898878259135</v>
      </c>
      <c r="K901" s="2">
        <f ca="1">IF(Iterations[[#This Row],[Step]] =current_step, current_e,IF(Iterations[[#This Row],[Step]] &gt; current_step, "",Iterations[[#This Row],[e]]))</f>
        <v>11.302455012741113</v>
      </c>
      <c r="L901" s="2">
        <f ca="1">IF(Iterations[[#This Row],[Step]] =current_step, current_Total_Loss,IF(Iterations[[#This Row],[Step]] &gt; current_step, "",Iterations[[#This Row],[Total Loss]]))</f>
        <v>90.44</v>
      </c>
      <c r="M901" s="6" t="s">
        <v>27</v>
      </c>
      <c r="N901" s="2">
        <f ca="1">IF(Iterations[[#This Row],[Step]] =current_step, current_Grad_a,IF(Iterations[[#This Row],[Step]] &gt; current_step, "",Iterations[[#This Row],[Grad_a]]))</f>
        <v>3.1865337162551516E-3</v>
      </c>
      <c r="O901" s="2">
        <f ca="1">IF(Iterations[[#This Row],[Step]] =current_step, current_Grad_b,IF(Iterations[[#This Row],[Step]] &gt; current_step, "",Iterations[[#This Row],[Grad_b]]))</f>
        <v>5.5571273869725601E-4</v>
      </c>
      <c r="P901" s="2">
        <f ca="1">IF(Iterations[[#This Row],[Step]] =current_step, current_Grad_c,IF(Iterations[[#This Row],[Step]] &gt; current_step, "",Iterations[[#This Row],[Grad_c]]))</f>
        <v>-8.9385911245161154E-3</v>
      </c>
      <c r="Q901" s="2">
        <f ca="1">IF(Iterations[[#This Row],[Step]] =current_step, current_Grad_d,IF(Iterations[[#This Row],[Step]] &gt; current_step, "",Iterations[[#This Row],[Grad_d]]))</f>
        <v>-5.1045549923436602E-4</v>
      </c>
      <c r="R901" s="2">
        <f ca="1">IF(Iterations[[#This Row],[Step]] =current_step, current_Grad_e,IF(Iterations[[#This Row],[Step]] &gt; current_step, "",Iterations[[#This Row],[Grad_e]]))</f>
        <v>3.1877546080566355E-3</v>
      </c>
    </row>
    <row r="902" spans="6:18" x14ac:dyDescent="0.3">
      <c r="F902" s="2">
        <f t="shared" si="16"/>
        <v>885</v>
      </c>
      <c r="G902" s="2">
        <f ca="1">IF(Iterations[[#This Row],[Step]] =current_step, current_a,IF(Iterations[[#This Row],[Step]] &gt; current_step, "",Iterations[[#This Row],[a]]))</f>
        <v>-7.2778142857209795</v>
      </c>
      <c r="H902" s="2">
        <f ca="1">IF(Iterations[[#This Row],[Step]] =current_step, current_b,IF(Iterations[[#This Row],[Step]] &gt; current_step, "",Iterations[[#This Row],[b]]))</f>
        <v>0.34765536355199994</v>
      </c>
      <c r="I902" s="2">
        <f ca="1">IF(Iterations[[#This Row],[Step]] =current_step, current_c,IF(Iterations[[#This Row],[Step]] &gt; current_step, "",Iterations[[#This Row],[c]]))</f>
        <v>21.251686239408158</v>
      </c>
      <c r="J902" s="2">
        <f ca="1">IF(Iterations[[#This Row],[Step]] =current_step, current_d,IF(Iterations[[#This Row],[Step]] &gt; current_step, "",Iterations[[#This Row],[d]]))</f>
        <v>1.2054256197108599</v>
      </c>
      <c r="K902" s="2">
        <f ca="1">IF(Iterations[[#This Row],[Step]] =current_step, current_e,IF(Iterations[[#This Row],[Step]] &gt; current_step, "",Iterations[[#This Row],[e]]))</f>
        <v>11.302231869918549</v>
      </c>
      <c r="L902" s="2">
        <f ca="1">IF(Iterations[[#This Row],[Step]] =current_step, current_Total_Loss,IF(Iterations[[#This Row],[Step]] &gt; current_step, "",Iterations[[#This Row],[Total Loss]]))</f>
        <v>90.44</v>
      </c>
      <c r="M902" s="6" t="s">
        <v>27</v>
      </c>
      <c r="N902" s="2">
        <f ca="1">IF(Iterations[[#This Row],[Step]] =current_step, current_Grad_a,IF(Iterations[[#This Row],[Step]] &gt; current_step, "",Iterations[[#This Row],[Grad_a]]))</f>
        <v>3.1649701172789474E-3</v>
      </c>
      <c r="O902" s="2">
        <f ca="1">IF(Iterations[[#This Row],[Step]] =current_step, current_Grad_b,IF(Iterations[[#This Row],[Step]] &gt; current_step, "",Iterations[[#This Row],[Grad_b]]))</f>
        <v>5.5195268435078348E-4</v>
      </c>
      <c r="P902" s="2">
        <f ca="1">IF(Iterations[[#This Row],[Step]] =current_step, current_Grad_c,IF(Iterations[[#This Row],[Step]] &gt; current_step, "",Iterations[[#This Row],[Grad_c]]))</f>
        <v>-8.8781026642412095E-3</v>
      </c>
      <c r="Q902" s="2">
        <f ca="1">IF(Iterations[[#This Row],[Step]] =current_step, current_Grad_d,IF(Iterations[[#This Row],[Step]] &gt; current_step, "",Iterations[[#This Row],[Grad_d]]))</f>
        <v>-5.0700227735274905E-4</v>
      </c>
      <c r="R902" s="2">
        <f ca="1">IF(Iterations[[#This Row],[Step]] =current_step, current_Grad_e,IF(Iterations[[#This Row],[Step]] &gt; current_step, "",Iterations[[#This Row],[Grad_e]]))</f>
        <v>3.1661826956399766E-3</v>
      </c>
    </row>
    <row r="903" spans="6:18" x14ac:dyDescent="0.3">
      <c r="F903" s="2">
        <f t="shared" si="16"/>
        <v>886</v>
      </c>
      <c r="G903" s="2">
        <f ca="1">IF(Iterations[[#This Row],[Step]] =current_step, current_a,IF(Iterations[[#This Row],[Step]] &gt; current_step, "",Iterations[[#This Row],[a]]))</f>
        <v>-7.2780358336291888</v>
      </c>
      <c r="H903" s="2">
        <f ca="1">IF(Iterations[[#This Row],[Step]] =current_step, current_b,IF(Iterations[[#This Row],[Step]] &gt; current_step, "",Iterations[[#This Row],[b]]))</f>
        <v>0.34761672686409539</v>
      </c>
      <c r="I903" s="2">
        <f ca="1">IF(Iterations[[#This Row],[Step]] =current_step, current_c,IF(Iterations[[#This Row],[Step]] &gt; current_step, "",Iterations[[#This Row],[c]]))</f>
        <v>21.252307706594657</v>
      </c>
      <c r="J903" s="2">
        <f ca="1">IF(Iterations[[#This Row],[Step]] =current_step, current_d,IF(Iterations[[#This Row],[Step]] &gt; current_step, "",Iterations[[#This Row],[d]]))</f>
        <v>1.2054611098702745</v>
      </c>
      <c r="K903" s="2">
        <f ca="1">IF(Iterations[[#This Row],[Step]] =current_step, current_e,IF(Iterations[[#This Row],[Step]] &gt; current_step, "",Iterations[[#This Row],[e]]))</f>
        <v>11.302010237129855</v>
      </c>
      <c r="L903" s="2">
        <f ca="1">IF(Iterations[[#This Row],[Step]] =current_step, current_Total_Loss,IF(Iterations[[#This Row],[Step]] &gt; current_step, "",Iterations[[#This Row],[Total Loss]]))</f>
        <v>90.44</v>
      </c>
      <c r="M903" s="6" t="s">
        <v>27</v>
      </c>
      <c r="N903" s="2">
        <f ca="1">IF(Iterations[[#This Row],[Step]] =current_step, current_Grad_a,IF(Iterations[[#This Row],[Step]] &gt; current_step, "",Iterations[[#This Row],[Grad_a]]))</f>
        <v>3.1435524412294236E-3</v>
      </c>
      <c r="O903" s="2">
        <f ca="1">IF(Iterations[[#This Row],[Step]] =current_step, current_Grad_b,IF(Iterations[[#This Row],[Step]] &gt; current_step, "",Iterations[[#This Row],[Grad_b]]))</f>
        <v>5.4821806561015463E-4</v>
      </c>
      <c r="P903" s="2">
        <f ca="1">IF(Iterations[[#This Row],[Step]] =current_step, current_Grad_c,IF(Iterations[[#This Row],[Step]] &gt; current_step, "",Iterations[[#This Row],[Grad_c]]))</f>
        <v>-8.8180235371583746E-3</v>
      </c>
      <c r="Q903" s="2">
        <f ca="1">IF(Iterations[[#This Row],[Step]] =current_step, current_Grad_d,IF(Iterations[[#This Row],[Step]] &gt; current_step, "",Iterations[[#This Row],[Grad_d]]))</f>
        <v>-5.0357240445218928E-4</v>
      </c>
      <c r="R903" s="2">
        <f ca="1">IF(Iterations[[#This Row],[Step]] =current_step, current_Grad_e,IF(Iterations[[#This Row],[Step]] &gt; current_step, "",Iterations[[#This Row],[Grad_e]]))</f>
        <v>3.1447567633803666E-3</v>
      </c>
    </row>
    <row r="904" spans="6:18" x14ac:dyDescent="0.3">
      <c r="F904" s="2">
        <f t="shared" si="16"/>
        <v>887</v>
      </c>
      <c r="G904" s="2">
        <f ca="1">IF(Iterations[[#This Row],[Step]] =current_step, current_a,IF(Iterations[[#This Row],[Step]] &gt; current_step, "",Iterations[[#This Row],[a]]))</f>
        <v>-7.2782558823000745</v>
      </c>
      <c r="H904" s="2">
        <f ca="1">IF(Iterations[[#This Row],[Step]] =current_step, current_b,IF(Iterations[[#This Row],[Step]] &gt; current_step, "",Iterations[[#This Row],[b]]))</f>
        <v>0.34757835159950268</v>
      </c>
      <c r="I904" s="2">
        <f ca="1">IF(Iterations[[#This Row],[Step]] =current_step, current_c,IF(Iterations[[#This Row],[Step]] &gt; current_step, "",Iterations[[#This Row],[c]]))</f>
        <v>21.252924968242258</v>
      </c>
      <c r="J904" s="2">
        <f ca="1">IF(Iterations[[#This Row],[Step]] =current_step, current_d,IF(Iterations[[#This Row],[Step]] &gt; current_step, "",Iterations[[#This Row],[d]]))</f>
        <v>1.2054963599385862</v>
      </c>
      <c r="K904" s="2">
        <f ca="1">IF(Iterations[[#This Row],[Step]] =current_step, current_e,IF(Iterations[[#This Row],[Step]] &gt; current_step, "",Iterations[[#This Row],[e]]))</f>
        <v>11.301790104156417</v>
      </c>
      <c r="L904" s="2">
        <f ca="1">IF(Iterations[[#This Row],[Step]] =current_step, current_Total_Loss,IF(Iterations[[#This Row],[Step]] &gt; current_step, "",Iterations[[#This Row],[Total Loss]]))</f>
        <v>90.44</v>
      </c>
      <c r="M904" s="6" t="s">
        <v>27</v>
      </c>
      <c r="N904" s="2">
        <f ca="1">IF(Iterations[[#This Row],[Step]] =current_step, current_Grad_a,IF(Iterations[[#This Row],[Step]] &gt; current_step, "",Iterations[[#This Row],[Grad_a]]))</f>
        <v>3.1222797007191242E-3</v>
      </c>
      <c r="O904" s="2">
        <f ca="1">IF(Iterations[[#This Row],[Step]] =current_step, current_Grad_b,IF(Iterations[[#This Row],[Step]] &gt; current_step, "",Iterations[[#This Row],[Grad_b]]))</f>
        <v>5.445087104420191E-4</v>
      </c>
      <c r="P904" s="2">
        <f ca="1">IF(Iterations[[#This Row],[Step]] =current_step, current_Grad_c,IF(Iterations[[#This Row],[Step]] &gt; current_step, "",Iterations[[#This Row],[Grad_c]]))</f>
        <v>-8.7583509732063677E-3</v>
      </c>
      <c r="Q904" s="2">
        <f ca="1">IF(Iterations[[#This Row],[Step]] =current_step, current_Grad_d,IF(Iterations[[#This Row],[Step]] &gt; current_step, "",Iterations[[#This Row],[Grad_d]]))</f>
        <v>-5.0016572290029822E-4</v>
      </c>
      <c r="R904" s="2">
        <f ca="1">IF(Iterations[[#This Row],[Step]] =current_step, current_Grad_e,IF(Iterations[[#This Row],[Step]] &gt; current_step, "",Iterations[[#This Row],[Grad_e]]))</f>
        <v>3.1234758234168522E-3</v>
      </c>
    </row>
    <row r="905" spans="6:18" x14ac:dyDescent="0.3">
      <c r="F905" s="2">
        <f t="shared" si="16"/>
        <v>888</v>
      </c>
      <c r="G905" s="2">
        <f ca="1">IF(Iterations[[#This Row],[Step]] =current_step, current_a,IF(Iterations[[#This Row],[Step]] &gt; current_step, "",Iterations[[#This Row],[a]]))</f>
        <v>-7.2784744418791245</v>
      </c>
      <c r="H905" s="2">
        <f ca="1">IF(Iterations[[#This Row],[Step]] =current_step, current_b,IF(Iterations[[#This Row],[Step]] &gt; current_step, "",Iterations[[#This Row],[b]]))</f>
        <v>0.34754023598977174</v>
      </c>
      <c r="I905" s="2">
        <f ca="1">IF(Iterations[[#This Row],[Step]] =current_step, current_c,IF(Iterations[[#This Row],[Step]] &gt; current_step, "",Iterations[[#This Row],[c]]))</f>
        <v>21.253538052810381</v>
      </c>
      <c r="J905" s="2">
        <f ca="1">IF(Iterations[[#This Row],[Step]] =current_step, current_d,IF(Iterations[[#This Row],[Step]] &gt; current_step, "",Iterations[[#This Row],[d]]))</f>
        <v>1.2055313715391891</v>
      </c>
      <c r="K905" s="2">
        <f ca="1">IF(Iterations[[#This Row],[Step]] =current_step, current_e,IF(Iterations[[#This Row],[Step]] &gt; current_step, "",Iterations[[#This Row],[e]]))</f>
        <v>11.301571460848779</v>
      </c>
      <c r="L905" s="2">
        <f ca="1">IF(Iterations[[#This Row],[Step]] =current_step, current_Total_Loss,IF(Iterations[[#This Row],[Step]] &gt; current_step, "",Iterations[[#This Row],[Total Loss]]))</f>
        <v>90.44</v>
      </c>
      <c r="M905" s="6" t="s">
        <v>27</v>
      </c>
      <c r="N905" s="2">
        <f ca="1">IF(Iterations[[#This Row],[Step]] =current_step, current_Grad_a,IF(Iterations[[#This Row],[Step]] &gt; current_step, "",Iterations[[#This Row],[Grad_a]]))</f>
        <v>3.1011509149260577E-3</v>
      </c>
      <c r="O905" s="2">
        <f ca="1">IF(Iterations[[#This Row],[Step]] =current_step, current_Grad_b,IF(Iterations[[#This Row],[Step]] &gt; current_step, "",Iterations[[#This Row],[Grad_b]]))</f>
        <v>5.4082444807510314E-4</v>
      </c>
      <c r="P905" s="2">
        <f ca="1">IF(Iterations[[#This Row],[Step]] =current_step, current_Grad_c,IF(Iterations[[#This Row],[Step]] &gt; current_step, "",Iterations[[#This Row],[Grad_c]]))</f>
        <v>-8.6990822211185804E-3</v>
      </c>
      <c r="Q905" s="2">
        <f ca="1">IF(Iterations[[#This Row],[Step]] =current_step, current_Grad_d,IF(Iterations[[#This Row],[Step]] &gt; current_step, "",Iterations[[#This Row],[Grad_d]]))</f>
        <v>-4.9678207608294667E-4</v>
      </c>
      <c r="R905" s="2">
        <f ca="1">IF(Iterations[[#This Row],[Step]] =current_step, current_Grad_e,IF(Iterations[[#This Row],[Step]] &gt; current_step, "",Iterations[[#This Row],[Grad_e]]))</f>
        <v>3.1023388945529756E-3</v>
      </c>
    </row>
    <row r="906" spans="6:18" x14ac:dyDescent="0.3">
      <c r="F906" s="2">
        <f t="shared" si="16"/>
        <v>889</v>
      </c>
      <c r="G906" s="2">
        <f ca="1">IF(Iterations[[#This Row],[Step]] =current_step, current_a,IF(Iterations[[#This Row],[Step]] &gt; current_step, "",Iterations[[#This Row],[a]]))</f>
        <v>-7.278691522443169</v>
      </c>
      <c r="H906" s="2">
        <f ca="1">IF(Iterations[[#This Row],[Step]] =current_step, current_b,IF(Iterations[[#This Row],[Step]] &gt; current_step, "",Iterations[[#This Row],[b]]))</f>
        <v>0.34750237827840647</v>
      </c>
      <c r="I906" s="2">
        <f ca="1">IF(Iterations[[#This Row],[Step]] =current_step, current_c,IF(Iterations[[#This Row],[Step]] &gt; current_step, "",Iterations[[#This Row],[c]]))</f>
        <v>21.254146988565861</v>
      </c>
      <c r="J906" s="2">
        <f ca="1">IF(Iterations[[#This Row],[Step]] =current_step, current_d,IF(Iterations[[#This Row],[Step]] &gt; current_step, "",Iterations[[#This Row],[d]]))</f>
        <v>1.2055661462845149</v>
      </c>
      <c r="K906" s="2">
        <f ca="1">IF(Iterations[[#This Row],[Step]] =current_step, current_e,IF(Iterations[[#This Row],[Step]] &gt; current_step, "",Iterations[[#This Row],[e]]))</f>
        <v>11.30135429712616</v>
      </c>
      <c r="L906" s="2">
        <f ca="1">IF(Iterations[[#This Row],[Step]] =current_step, current_Total_Loss,IF(Iterations[[#This Row],[Step]] &gt; current_step, "",Iterations[[#This Row],[Total Loss]]))</f>
        <v>90.44</v>
      </c>
      <c r="M906" s="6" t="s">
        <v>27</v>
      </c>
      <c r="N906" s="2">
        <f ca="1">IF(Iterations[[#This Row],[Step]] =current_step, current_Grad_a,IF(Iterations[[#This Row],[Step]] &gt; current_step, "",Iterations[[#This Row],[Grad_a]]))</f>
        <v>3.0801651097769581E-3</v>
      </c>
      <c r="O906" s="2">
        <f ca="1">IF(Iterations[[#This Row],[Step]] =current_step, current_Grad_b,IF(Iterations[[#This Row],[Step]] &gt; current_step, "",Iterations[[#This Row],[Grad_b]]))</f>
        <v>5.371651088447541E-4</v>
      </c>
      <c r="P906" s="2">
        <f ca="1">IF(Iterations[[#This Row],[Step]] =current_step, current_Grad_c,IF(Iterations[[#This Row],[Step]] &gt; current_step, "",Iterations[[#This Row],[Grad_c]]))</f>
        <v>-8.6402145481977201E-3</v>
      </c>
      <c r="Q906" s="2">
        <f ca="1">IF(Iterations[[#This Row],[Step]] =current_step, current_Grad_d,IF(Iterations[[#This Row],[Step]] &gt; current_step, "",Iterations[[#This Row],[Grad_d]]))</f>
        <v>-4.9342130846012167E-4</v>
      </c>
      <c r="R906" s="2">
        <f ca="1">IF(Iterations[[#This Row],[Step]] =current_step, current_Grad_e,IF(Iterations[[#This Row],[Step]] &gt; current_step, "",Iterations[[#This Row],[Grad_e]]))</f>
        <v>3.0813450022514465E-3</v>
      </c>
    </row>
    <row r="907" spans="6:18" x14ac:dyDescent="0.3">
      <c r="F907" s="2">
        <f t="shared" si="16"/>
        <v>890</v>
      </c>
      <c r="G907" s="2">
        <f ca="1">IF(Iterations[[#This Row],[Step]] =current_step, current_a,IF(Iterations[[#This Row],[Step]] &gt; current_step, "",Iterations[[#This Row],[a]]))</f>
        <v>-7.2789071340008533</v>
      </c>
      <c r="H907" s="2">
        <f ca="1">IF(Iterations[[#This Row],[Step]] =current_step, current_b,IF(Iterations[[#This Row],[Step]] &gt; current_step, "",Iterations[[#This Row],[b]]))</f>
        <v>0.34746477672078735</v>
      </c>
      <c r="I907" s="2">
        <f ca="1">IF(Iterations[[#This Row],[Step]] =current_step, current_c,IF(Iterations[[#This Row],[Step]] &gt; current_step, "",Iterations[[#This Row],[c]]))</f>
        <v>21.254751803584234</v>
      </c>
      <c r="J907" s="2">
        <f ca="1">IF(Iterations[[#This Row],[Step]] =current_step, current_d,IF(Iterations[[#This Row],[Step]] &gt; current_step, "",Iterations[[#This Row],[d]]))</f>
        <v>1.205600685776107</v>
      </c>
      <c r="K907" s="2">
        <f ca="1">IF(Iterations[[#This Row],[Step]] =current_step, current_e,IF(Iterations[[#This Row],[Step]] &gt; current_step, "",Iterations[[#This Row],[e]]))</f>
        <v>11.301138602976003</v>
      </c>
      <c r="L907" s="2">
        <f ca="1">IF(Iterations[[#This Row],[Step]] =current_step, current_Total_Loss,IF(Iterations[[#This Row],[Step]] &gt; current_step, "",Iterations[[#This Row],[Total Loss]]))</f>
        <v>90.44</v>
      </c>
      <c r="M907" s="6" t="s">
        <v>27</v>
      </c>
      <c r="N907" s="2">
        <f ca="1">IF(Iterations[[#This Row],[Step]] =current_step, current_Grad_a,IF(Iterations[[#This Row],[Step]] &gt; current_step, "",Iterations[[#This Row],[Grad_a]]))</f>
        <v>3.0593213174880951E-3</v>
      </c>
      <c r="O907" s="2">
        <f ca="1">IF(Iterations[[#This Row],[Step]] =current_step, current_Grad_b,IF(Iterations[[#This Row],[Step]] &gt; current_step, "",Iterations[[#This Row],[Grad_b]]))</f>
        <v>5.3353052429135539E-4</v>
      </c>
      <c r="P907" s="2">
        <f ca="1">IF(Iterations[[#This Row],[Step]] =current_step, current_Grad_c,IF(Iterations[[#This Row],[Step]] &gt; current_step, "",Iterations[[#This Row],[Grad_c]]))</f>
        <v>-8.5817452403667491E-3</v>
      </c>
      <c r="Q907" s="2">
        <f ca="1">IF(Iterations[[#This Row],[Step]] =current_step, current_Grad_d,IF(Iterations[[#This Row],[Step]] &gt; current_step, "",Iterations[[#This Row],[Grad_d]]))</f>
        <v>-4.9008326551761938E-4</v>
      </c>
      <c r="R907" s="2">
        <f ca="1">IF(Iterations[[#This Row],[Step]] =current_step, current_Grad_e,IF(Iterations[[#This Row],[Step]] &gt; current_step, "",Iterations[[#This Row],[Grad_e]]))</f>
        <v>3.060493178515521E-3</v>
      </c>
    </row>
    <row r="908" spans="6:18" x14ac:dyDescent="0.3">
      <c r="F908" s="2">
        <f t="shared" si="16"/>
        <v>891</v>
      </c>
      <c r="G908" s="2">
        <f ca="1">IF(Iterations[[#This Row],[Step]] =current_step, current_a,IF(Iterations[[#This Row],[Step]] &gt; current_step, "",Iterations[[#This Row],[a]]))</f>
        <v>-7.2791212864930772</v>
      </c>
      <c r="H908" s="2">
        <f ca="1">IF(Iterations[[#This Row],[Step]] =current_step, current_b,IF(Iterations[[#This Row],[Step]] &gt; current_step, "",Iterations[[#This Row],[b]]))</f>
        <v>0.34742742958408696</v>
      </c>
      <c r="I908" s="2">
        <f ca="1">IF(Iterations[[#This Row],[Step]] =current_step, current_c,IF(Iterations[[#This Row],[Step]] &gt; current_step, "",Iterations[[#This Row],[c]]))</f>
        <v>21.255352525751061</v>
      </c>
      <c r="J908" s="2">
        <f ca="1">IF(Iterations[[#This Row],[Step]] =current_step, current_d,IF(Iterations[[#This Row],[Step]] &gt; current_step, "",Iterations[[#This Row],[d]]))</f>
        <v>1.2056349916046933</v>
      </c>
      <c r="K908" s="2">
        <f ca="1">IF(Iterations[[#This Row],[Step]] =current_step, current_e,IF(Iterations[[#This Row],[Step]] &gt; current_step, "",Iterations[[#This Row],[e]]))</f>
        <v>11.300924368453508</v>
      </c>
      <c r="L908" s="2">
        <f ca="1">IF(Iterations[[#This Row],[Step]] =current_step, current_Total_Loss,IF(Iterations[[#This Row],[Step]] &gt; current_step, "",Iterations[[#This Row],[Total Loss]]))</f>
        <v>90.44</v>
      </c>
      <c r="M908" s="6" t="s">
        <v>27</v>
      </c>
      <c r="N908" s="2">
        <f ca="1">IF(Iterations[[#This Row],[Step]] =current_step, current_Grad_a,IF(Iterations[[#This Row],[Step]] &gt; current_step, "",Iterations[[#This Row],[Grad_a]]))</f>
        <v>3.0386185774171873E-3</v>
      </c>
      <c r="O908" s="2">
        <f ca="1">IF(Iterations[[#This Row],[Step]] =current_step, current_Grad_b,IF(Iterations[[#This Row],[Step]] &gt; current_step, "",Iterations[[#This Row],[Grad_b]]))</f>
        <v>5.2992052695555181E-4</v>
      </c>
      <c r="P908" s="2">
        <f ca="1">IF(Iterations[[#This Row],[Step]] =current_step, current_Grad_c,IF(Iterations[[#This Row],[Step]] &gt; current_step, "",Iterations[[#This Row],[Grad_c]]))</f>
        <v>-8.52367160167216E-3</v>
      </c>
      <c r="Q908" s="2">
        <f ca="1">IF(Iterations[[#This Row],[Step]] =current_step, current_Grad_d,IF(Iterations[[#This Row],[Step]] &gt; current_step, "",Iterations[[#This Row],[Grad_d]]))</f>
        <v>-4.8676779382753982E-4</v>
      </c>
      <c r="R908" s="2">
        <f ca="1">IF(Iterations[[#This Row],[Step]] =current_step, current_Grad_e,IF(Iterations[[#This Row],[Step]] &gt; current_step, "",Iterations[[#This Row],[Grad_e]]))</f>
        <v>3.0397824620072259E-3</v>
      </c>
    </row>
    <row r="909" spans="6:18" x14ac:dyDescent="0.3">
      <c r="F909" s="2">
        <f t="shared" si="16"/>
        <v>892</v>
      </c>
      <c r="G909" s="2">
        <f ca="1">IF(Iterations[[#This Row],[Step]] =current_step, current_a,IF(Iterations[[#This Row],[Step]] &gt; current_step, "",Iterations[[#This Row],[a]]))</f>
        <v>-7.2793339897934963</v>
      </c>
      <c r="H909" s="2">
        <f ca="1">IF(Iterations[[#This Row],[Step]] =current_step, current_b,IF(Iterations[[#This Row],[Step]] &gt; current_step, "",Iterations[[#This Row],[b]]))</f>
        <v>0.34739033514720008</v>
      </c>
      <c r="I909" s="2">
        <f ca="1">IF(Iterations[[#This Row],[Step]] =current_step, current_c,IF(Iterations[[#This Row],[Step]] &gt; current_step, "",Iterations[[#This Row],[c]]))</f>
        <v>21.255949182763178</v>
      </c>
      <c r="J909" s="2">
        <f ca="1">IF(Iterations[[#This Row],[Step]] =current_step, current_d,IF(Iterations[[#This Row],[Step]] &gt; current_step, "",Iterations[[#This Row],[d]]))</f>
        <v>1.2056690653502613</v>
      </c>
      <c r="K909" s="2">
        <f ca="1">IF(Iterations[[#This Row],[Step]] =current_step, current_e,IF(Iterations[[#This Row],[Step]] &gt; current_step, "",Iterations[[#This Row],[e]]))</f>
        <v>11.300711583681167</v>
      </c>
      <c r="L909" s="2">
        <f ca="1">IF(Iterations[[#This Row],[Step]] =current_step, current_Total_Loss,IF(Iterations[[#This Row],[Step]] &gt; current_step, "",Iterations[[#This Row],[Total Loss]]))</f>
        <v>90.44</v>
      </c>
      <c r="M909" s="6" t="s">
        <v>27</v>
      </c>
      <c r="N909" s="2">
        <f ca="1">IF(Iterations[[#This Row],[Step]] =current_step, current_Grad_a,IF(Iterations[[#This Row],[Step]] &gt; current_step, "",Iterations[[#This Row],[Grad_a]]))</f>
        <v>3.0180559345874456E-3</v>
      </c>
      <c r="O909" s="2">
        <f ca="1">IF(Iterations[[#This Row],[Step]] =current_step, current_Grad_b,IF(Iterations[[#This Row],[Step]] &gt; current_step, "",Iterations[[#This Row],[Grad_b]]))</f>
        <v>5.263349507272795E-4</v>
      </c>
      <c r="P909" s="2">
        <f ca="1">IF(Iterations[[#This Row],[Step]] =current_step, current_Grad_c,IF(Iterations[[#This Row],[Step]] &gt; current_step, "",Iterations[[#This Row],[Grad_c]]))</f>
        <v>-8.4659909547461932E-3</v>
      </c>
      <c r="Q909" s="2">
        <f ca="1">IF(Iterations[[#This Row],[Step]] =current_step, current_Grad_d,IF(Iterations[[#This Row],[Step]] &gt; current_step, "",Iterations[[#This Row],[Grad_d]]))</f>
        <v>-4.8347474091845231E-4</v>
      </c>
      <c r="R909" s="2">
        <f ca="1">IF(Iterations[[#This Row],[Step]] =current_step, current_Grad_e,IF(Iterations[[#This Row],[Step]] &gt; current_step, "",Iterations[[#This Row],[Grad_e]]))</f>
        <v>3.0192118977379798E-3</v>
      </c>
    </row>
    <row r="910" spans="6:18" x14ac:dyDescent="0.3">
      <c r="F910" s="2">
        <f t="shared" si="16"/>
        <v>893</v>
      </c>
      <c r="G910" s="2">
        <f ca="1">IF(Iterations[[#This Row],[Step]] =current_step, current_a,IF(Iterations[[#This Row],[Step]] &gt; current_step, "",Iterations[[#This Row],[a]]))</f>
        <v>-7.2795452537089176</v>
      </c>
      <c r="H910" s="2">
        <f ca="1">IF(Iterations[[#This Row],[Step]] =current_step, current_b,IF(Iterations[[#This Row],[Step]] &gt; current_step, "",Iterations[[#This Row],[b]]))</f>
        <v>0.34735349170064916</v>
      </c>
      <c r="I910" s="2">
        <f ca="1">IF(Iterations[[#This Row],[Step]] =current_step, current_c,IF(Iterations[[#This Row],[Step]] &gt; current_step, "",Iterations[[#This Row],[c]]))</f>
        <v>21.256541802130009</v>
      </c>
      <c r="J910" s="2">
        <f ca="1">IF(Iterations[[#This Row],[Step]] =current_step, current_d,IF(Iterations[[#This Row],[Step]] &gt; current_step, "",Iterations[[#This Row],[d]]))</f>
        <v>1.2057029085821256</v>
      </c>
      <c r="K910" s="2">
        <f ca="1">IF(Iterations[[#This Row],[Step]] =current_step, current_e,IF(Iterations[[#This Row],[Step]] &gt; current_step, "",Iterations[[#This Row],[e]]))</f>
        <v>11.300500238848326</v>
      </c>
      <c r="L910" s="2">
        <f ca="1">IF(Iterations[[#This Row],[Step]] =current_step, current_Total_Loss,IF(Iterations[[#This Row],[Step]] &gt; current_step, "",Iterations[[#This Row],[Total Loss]]))</f>
        <v>90.43</v>
      </c>
      <c r="M910" s="6" t="s">
        <v>27</v>
      </c>
      <c r="N910" s="2">
        <f ca="1">IF(Iterations[[#This Row],[Step]] =current_step, current_Grad_a,IF(Iterations[[#This Row],[Step]] &gt; current_step, "",Iterations[[#This Row],[Grad_a]]))</f>
        <v>2.9976324413810338E-3</v>
      </c>
      <c r="O910" s="2">
        <f ca="1">IF(Iterations[[#This Row],[Step]] =current_step, current_Grad_b,IF(Iterations[[#This Row],[Step]] &gt; current_step, "",Iterations[[#This Row],[Grad_b]]))</f>
        <v>5.2277363037007204E-4</v>
      </c>
      <c r="P910" s="2">
        <f ca="1">IF(Iterations[[#This Row],[Step]] =current_step, current_Grad_c,IF(Iterations[[#This Row],[Step]] &gt; current_step, "",Iterations[[#This Row],[Grad_c]]))</f>
        <v>-8.4087006399711853E-3</v>
      </c>
      <c r="Q910" s="2">
        <f ca="1">IF(Iterations[[#This Row],[Step]] =current_step, current_Grad_d,IF(Iterations[[#This Row],[Step]] &gt; current_step, "",Iterations[[#This Row],[Grad_d]]))</f>
        <v>-4.802039554333189E-4</v>
      </c>
      <c r="R910" s="2">
        <f ca="1">IF(Iterations[[#This Row],[Step]] =current_step, current_Grad_e,IF(Iterations[[#This Row],[Step]] &gt; current_step, "",Iterations[[#This Row],[Grad_e]]))</f>
        <v>2.9987805373540904E-3</v>
      </c>
    </row>
    <row r="911" spans="6:18" x14ac:dyDescent="0.3">
      <c r="F911" s="2">
        <f t="shared" si="16"/>
        <v>894</v>
      </c>
      <c r="G911" s="2">
        <f ca="1">IF(Iterations[[#This Row],[Step]] =current_step, current_a,IF(Iterations[[#This Row],[Step]] &gt; current_step, "",Iterations[[#This Row],[a]]))</f>
        <v>-7.2797550879798143</v>
      </c>
      <c r="H911" s="2">
        <f ca="1">IF(Iterations[[#This Row],[Step]] =current_step, current_b,IF(Iterations[[#This Row],[Step]] &gt; current_step, "",Iterations[[#This Row],[b]]))</f>
        <v>0.34731689754652328</v>
      </c>
      <c r="I911" s="2">
        <f ca="1">IF(Iterations[[#This Row],[Step]] =current_step, current_c,IF(Iterations[[#This Row],[Step]] &gt; current_step, "",Iterations[[#This Row],[c]]))</f>
        <v>21.257130411174806</v>
      </c>
      <c r="J911" s="2">
        <f ca="1">IF(Iterations[[#This Row],[Step]] =current_step, current_d,IF(Iterations[[#This Row],[Step]] &gt; current_step, "",Iterations[[#This Row],[d]]))</f>
        <v>1.205736522859006</v>
      </c>
      <c r="K911" s="2">
        <f ca="1">IF(Iterations[[#This Row],[Step]] =current_step, current_e,IF(Iterations[[#This Row],[Step]] &gt; current_step, "",Iterations[[#This Row],[e]]))</f>
        <v>11.30029032421071</v>
      </c>
      <c r="L911" s="2">
        <f ca="1">IF(Iterations[[#This Row],[Step]] =current_step, current_Total_Loss,IF(Iterations[[#This Row],[Step]] &gt; current_step, "",Iterations[[#This Row],[Total Loss]]))</f>
        <v>90.43</v>
      </c>
      <c r="M911" s="6" t="s">
        <v>27</v>
      </c>
      <c r="N911" s="2">
        <f ca="1">IF(Iterations[[#This Row],[Step]] =current_step, current_Grad_a,IF(Iterations[[#This Row],[Step]] &gt; current_step, "",Iterations[[#This Row],[Grad_a]]))</f>
        <v>2.9773471558875008E-3</v>
      </c>
      <c r="O911" s="2">
        <f ca="1">IF(Iterations[[#This Row],[Step]] =current_step, current_Grad_b,IF(Iterations[[#This Row],[Step]] &gt; current_step, "",Iterations[[#This Row],[Grad_b]]))</f>
        <v>5.1923640195989447E-4</v>
      </c>
      <c r="P911" s="2">
        <f ca="1">IF(Iterations[[#This Row],[Step]] =current_step, current_Grad_c,IF(Iterations[[#This Row],[Step]] &gt; current_step, "",Iterations[[#This Row],[Grad_c]]))</f>
        <v>-8.3517980160198665E-3</v>
      </c>
      <c r="Q911" s="2">
        <f ca="1">IF(Iterations[[#This Row],[Step]] =current_step, current_Grad_d,IF(Iterations[[#This Row],[Step]] &gt; current_step, "",Iterations[[#This Row],[Grad_d]]))</f>
        <v>-4.7695528696030848E-4</v>
      </c>
      <c r="R911" s="2">
        <f ca="1">IF(Iterations[[#This Row],[Step]] =current_step, current_Grad_e,IF(Iterations[[#This Row],[Step]] &gt; current_step, "",Iterations[[#This Row],[Grad_e]]))</f>
        <v>2.9784874387820772E-3</v>
      </c>
    </row>
    <row r="912" spans="6:18" x14ac:dyDescent="0.3">
      <c r="F912" s="2">
        <f t="shared" si="16"/>
        <v>895</v>
      </c>
      <c r="G912" s="2">
        <f ca="1">IF(Iterations[[#This Row],[Step]] =current_step, current_a,IF(Iterations[[#This Row],[Step]] &gt; current_step, "",Iterations[[#This Row],[a]]))</f>
        <v>-7.2799635022807268</v>
      </c>
      <c r="H912" s="2">
        <f ca="1">IF(Iterations[[#This Row],[Step]] =current_step, current_b,IF(Iterations[[#This Row],[Step]] &gt; current_step, "",Iterations[[#This Row],[b]]))</f>
        <v>0.34728055099838612</v>
      </c>
      <c r="I912" s="2">
        <f ca="1">IF(Iterations[[#This Row],[Step]] =current_step, current_c,IF(Iterations[[#This Row],[Step]] &gt; current_step, "",Iterations[[#This Row],[c]]))</f>
        <v>21.257715037035929</v>
      </c>
      <c r="J912" s="2">
        <f ca="1">IF(Iterations[[#This Row],[Step]] =current_step, current_d,IF(Iterations[[#This Row],[Step]] &gt; current_step, "",Iterations[[#This Row],[d]]))</f>
        <v>1.2057699097290933</v>
      </c>
      <c r="K912" s="2">
        <f ca="1">IF(Iterations[[#This Row],[Step]] =current_step, current_e,IF(Iterations[[#This Row],[Step]] &gt; current_step, "",Iterations[[#This Row],[e]]))</f>
        <v>11.300081830089995</v>
      </c>
      <c r="L912" s="2">
        <f ca="1">IF(Iterations[[#This Row],[Step]] =current_step, current_Total_Loss,IF(Iterations[[#This Row],[Step]] &gt; current_step, "",Iterations[[#This Row],[Total Loss]]))</f>
        <v>90.43</v>
      </c>
      <c r="M912" s="6" t="s">
        <v>27</v>
      </c>
      <c r="N912" s="2">
        <f ca="1">IF(Iterations[[#This Row],[Step]] =current_step, current_Grad_a,IF(Iterations[[#This Row],[Step]] &gt; current_step, "",Iterations[[#This Row],[Grad_a]]))</f>
        <v>2.9571991429435426E-3</v>
      </c>
      <c r="O912" s="2">
        <f ca="1">IF(Iterations[[#This Row],[Step]] =current_step, current_Grad_b,IF(Iterations[[#This Row],[Step]] &gt; current_step, "",Iterations[[#This Row],[Grad_b]]))</f>
        <v>5.1572310259855806E-4</v>
      </c>
      <c r="P912" s="2">
        <f ca="1">IF(Iterations[[#This Row],[Step]] =current_step, current_Grad_c,IF(Iterations[[#This Row],[Step]] &gt; current_step, "",Iterations[[#This Row],[Grad_c]]))</f>
        <v>-8.2952804592796303E-3</v>
      </c>
      <c r="Q912" s="2">
        <f ca="1">IF(Iterations[[#This Row],[Step]] =current_step, current_Grad_d,IF(Iterations[[#This Row],[Step]] &gt; current_step, "",Iterations[[#This Row],[Grad_d]]))</f>
        <v>-4.7372858613339532E-4</v>
      </c>
      <c r="R912" s="2">
        <f ca="1">IF(Iterations[[#This Row],[Step]] =current_step, current_Grad_e,IF(Iterations[[#This Row],[Step]] &gt; current_step, "",Iterations[[#This Row],[Grad_e]]))</f>
        <v>2.9583316664035428E-3</v>
      </c>
    </row>
    <row r="913" spans="6:18" x14ac:dyDescent="0.3">
      <c r="F913" s="2">
        <f t="shared" si="16"/>
        <v>896</v>
      </c>
      <c r="G913" s="2">
        <f ca="1">IF(Iterations[[#This Row],[Step]] =current_step, current_a,IF(Iterations[[#This Row],[Step]] &gt; current_step, "",Iterations[[#This Row],[a]]))</f>
        <v>-7.2801705062207329</v>
      </c>
      <c r="H913" s="2">
        <f ca="1">IF(Iterations[[#This Row],[Step]] =current_step, current_b,IF(Iterations[[#This Row],[Step]] &gt; current_step, "",Iterations[[#This Row],[b]]))</f>
        <v>0.34724445038120422</v>
      </c>
      <c r="I913" s="2">
        <f ca="1">IF(Iterations[[#This Row],[Step]] =current_step, current_c,IF(Iterations[[#This Row],[Step]] &gt; current_step, "",Iterations[[#This Row],[c]]))</f>
        <v>21.258295706668079</v>
      </c>
      <c r="J913" s="2">
        <f ca="1">IF(Iterations[[#This Row],[Step]] =current_step, current_d,IF(Iterations[[#This Row],[Step]] &gt; current_step, "",Iterations[[#This Row],[d]]))</f>
        <v>1.2058030707301226</v>
      </c>
      <c r="K913" s="2">
        <f ca="1">IF(Iterations[[#This Row],[Step]] =current_step, current_e,IF(Iterations[[#This Row],[Step]] &gt; current_step, "",Iterations[[#This Row],[e]]))</f>
        <v>11.299874746873348</v>
      </c>
      <c r="L913" s="2">
        <f ca="1">IF(Iterations[[#This Row],[Step]] =current_step, current_Total_Loss,IF(Iterations[[#This Row],[Step]] &gt; current_step, "",Iterations[[#This Row],[Total Loss]]))</f>
        <v>90.43</v>
      </c>
      <c r="M913" s="6" t="s">
        <v>27</v>
      </c>
      <c r="N913" s="2">
        <f ca="1">IF(Iterations[[#This Row],[Step]] =current_step, current_Grad_a,IF(Iterations[[#This Row],[Step]] &gt; current_step, "",Iterations[[#This Row],[Grad_a]]))</f>
        <v>2.9371874735978232E-3</v>
      </c>
      <c r="O913" s="2">
        <f ca="1">IF(Iterations[[#This Row],[Step]] =current_step, current_Grad_b,IF(Iterations[[#This Row],[Step]] &gt; current_step, "",Iterations[[#This Row],[Grad_b]]))</f>
        <v>5.1223357046656674E-4</v>
      </c>
      <c r="P913" s="2">
        <f ca="1">IF(Iterations[[#This Row],[Step]] =current_step, current_Grad_c,IF(Iterations[[#This Row],[Step]] &gt; current_step, "",Iterations[[#This Row],[Grad_c]]))</f>
        <v>-8.2391453639500088E-3</v>
      </c>
      <c r="Q913" s="2">
        <f ca="1">IF(Iterations[[#This Row],[Step]] =current_step, current_Grad_d,IF(Iterations[[#This Row],[Step]] &gt; current_step, "",Iterations[[#This Row],[Grad_d]]))</f>
        <v>-4.7052370459792984E-4</v>
      </c>
      <c r="R913" s="2">
        <f ca="1">IF(Iterations[[#This Row],[Step]] =current_step, current_Grad_e,IF(Iterations[[#This Row],[Step]] &gt; current_step, "",Iterations[[#This Row],[Grad_e]]))</f>
        <v>2.9383122908962869E-3</v>
      </c>
    </row>
    <row r="914" spans="6:18" x14ac:dyDescent="0.3">
      <c r="F914" s="2">
        <f t="shared" si="16"/>
        <v>897</v>
      </c>
      <c r="G914" s="2">
        <f ca="1">IF(Iterations[[#This Row],[Step]] =current_step, current_a,IF(Iterations[[#This Row],[Step]] &gt; current_step, "",Iterations[[#This Row],[a]]))</f>
        <v>-7.2803761093438846</v>
      </c>
      <c r="H914" s="2">
        <f ca="1">IF(Iterations[[#This Row],[Step]] =current_step, current_b,IF(Iterations[[#This Row],[Step]] &gt; current_step, "",Iterations[[#This Row],[b]]))</f>
        <v>0.34720859403127158</v>
      </c>
      <c r="I914" s="2">
        <f ca="1">IF(Iterations[[#This Row],[Step]] =current_step, current_c,IF(Iterations[[#This Row],[Step]] &gt; current_step, "",Iterations[[#This Row],[c]]))</f>
        <v>21.258872446843554</v>
      </c>
      <c r="J914" s="2">
        <f ca="1">IF(Iterations[[#This Row],[Step]] =current_step, current_d,IF(Iterations[[#This Row],[Step]] &gt; current_step, "",Iterations[[#This Row],[d]]))</f>
        <v>1.2058360073894445</v>
      </c>
      <c r="K914" s="2">
        <f ca="1">IF(Iterations[[#This Row],[Step]] =current_step, current_e,IF(Iterations[[#This Row],[Step]] &gt; current_step, "",Iterations[[#This Row],[e]]))</f>
        <v>11.299669065012985</v>
      </c>
      <c r="L914" s="2">
        <f ca="1">IF(Iterations[[#This Row],[Step]] =current_step, current_Total_Loss,IF(Iterations[[#This Row],[Step]] &gt; current_step, "",Iterations[[#This Row],[Total Loss]]))</f>
        <v>90.43</v>
      </c>
      <c r="M914" s="6" t="s">
        <v>27</v>
      </c>
      <c r="N914" s="2">
        <f ca="1">IF(Iterations[[#This Row],[Step]] =current_step, current_Grad_a,IF(Iterations[[#This Row],[Step]] &gt; current_step, "",Iterations[[#This Row],[Grad_a]]))</f>
        <v>2.9173112252008793E-3</v>
      </c>
      <c r="O914" s="2">
        <f ca="1">IF(Iterations[[#This Row],[Step]] =current_step, current_Grad_b,IF(Iterations[[#This Row],[Step]] &gt; current_step, "",Iterations[[#This Row],[Grad_b]]))</f>
        <v>5.0876764487487825E-4</v>
      </c>
      <c r="P914" s="2">
        <f ca="1">IF(Iterations[[#This Row],[Step]] =current_step, current_Grad_c,IF(Iterations[[#This Row],[Step]] &gt; current_step, "",Iterations[[#This Row],[Grad_c]]))</f>
        <v>-8.1833901418529743E-3</v>
      </c>
      <c r="Q914" s="2">
        <f ca="1">IF(Iterations[[#This Row],[Step]] =current_step, current_Grad_d,IF(Iterations[[#This Row],[Step]] &gt; current_step, "",Iterations[[#This Row],[Grad_d]]))</f>
        <v>-4.6734049498468416E-4</v>
      </c>
      <c r="R914" s="2">
        <f ca="1">IF(Iterations[[#This Row],[Step]] =current_step, current_Grad_e,IF(Iterations[[#This Row],[Step]] &gt; current_step, "",Iterations[[#This Row],[Grad_e]]))</f>
        <v>2.9184283892372698E-3</v>
      </c>
    </row>
    <row r="915" spans="6:18" x14ac:dyDescent="0.3">
      <c r="F915" s="2">
        <f t="shared" si="16"/>
        <v>898</v>
      </c>
      <c r="G915" s="2">
        <f ca="1">IF(Iterations[[#This Row],[Step]] =current_step, current_a,IF(Iterations[[#This Row],[Step]] &gt; current_step, "",Iterations[[#This Row],[a]]))</f>
        <v>-7.2805803211296487</v>
      </c>
      <c r="H915" s="2">
        <f ca="1">IF(Iterations[[#This Row],[Step]] =current_step, current_b,IF(Iterations[[#This Row],[Step]] &gt; current_step, "",Iterations[[#This Row],[b]]))</f>
        <v>0.34717298029613036</v>
      </c>
      <c r="I915" s="2">
        <f ca="1">IF(Iterations[[#This Row],[Step]] =current_step, current_c,IF(Iterations[[#This Row],[Step]] &gt; current_step, "",Iterations[[#This Row],[c]]))</f>
        <v>21.259445284153482</v>
      </c>
      <c r="J915" s="2">
        <f ca="1">IF(Iterations[[#This Row],[Step]] =current_step, current_d,IF(Iterations[[#This Row],[Step]] &gt; current_step, "",Iterations[[#This Row],[d]]))</f>
        <v>1.2058687212240935</v>
      </c>
      <c r="K915" s="2">
        <f ca="1">IF(Iterations[[#This Row],[Step]] =current_step, current_e,IF(Iterations[[#This Row],[Step]] &gt; current_step, "",Iterations[[#This Row],[e]]))</f>
        <v>11.299464775025738</v>
      </c>
      <c r="L915" s="2">
        <f ca="1">IF(Iterations[[#This Row],[Step]] =current_step, current_Total_Loss,IF(Iterations[[#This Row],[Step]] &gt; current_step, "",Iterations[[#This Row],[Total Loss]]))</f>
        <v>90.43</v>
      </c>
      <c r="M915" s="6" t="s">
        <v>27</v>
      </c>
      <c r="N915" s="2">
        <f ca="1">IF(Iterations[[#This Row],[Step]] =current_step, current_Grad_a,IF(Iterations[[#This Row],[Step]] &gt; current_step, "",Iterations[[#This Row],[Grad_a]]))</f>
        <v>2.8975694813419117E-3</v>
      </c>
      <c r="O915" s="2">
        <f ca="1">IF(Iterations[[#This Row],[Step]] =current_step, current_Grad_b,IF(Iterations[[#This Row],[Step]] &gt; current_step, "",Iterations[[#This Row],[Grad_b]]))</f>
        <v>5.0532516622394915E-4</v>
      </c>
      <c r="P915" s="2">
        <f ca="1">IF(Iterations[[#This Row],[Step]] =current_step, current_Grad_c,IF(Iterations[[#This Row],[Step]] &gt; current_step, "",Iterations[[#This Row],[Grad_c]]))</f>
        <v>-8.128012222325497E-3</v>
      </c>
      <c r="Q915" s="2">
        <f ca="1">IF(Iterations[[#This Row],[Step]] =current_step, current_Grad_d,IF(Iterations[[#This Row],[Step]] &gt; current_step, "",Iterations[[#This Row],[Grad_d]]))</f>
        <v>-4.6417881091339225E-4</v>
      </c>
      <c r="R915" s="2">
        <f ca="1">IF(Iterations[[#This Row],[Step]] =current_step, current_Grad_e,IF(Iterations[[#This Row],[Step]] &gt; current_step, "",Iterations[[#This Row],[Grad_e]]))</f>
        <v>2.8986790446504035E-3</v>
      </c>
    </row>
    <row r="916" spans="6:18" x14ac:dyDescent="0.3">
      <c r="F916" s="2">
        <f t="shared" si="16"/>
        <v>899</v>
      </c>
      <c r="G916" s="2">
        <f ca="1">IF(Iterations[[#This Row],[Step]] =current_step, current_a,IF(Iterations[[#This Row],[Step]] &gt; current_step, "",Iterations[[#This Row],[a]]))</f>
        <v>-7.2807831509933427</v>
      </c>
      <c r="H916" s="2">
        <f ca="1">IF(Iterations[[#This Row],[Step]] =current_step, current_b,IF(Iterations[[#This Row],[Step]] &gt; current_step, "",Iterations[[#This Row],[b]]))</f>
        <v>0.34713760753449469</v>
      </c>
      <c r="I916" s="2">
        <f ca="1">IF(Iterations[[#This Row],[Step]] =current_step, current_c,IF(Iterations[[#This Row],[Step]] &gt; current_step, "",Iterations[[#This Row],[c]]))</f>
        <v>21.260014245009046</v>
      </c>
      <c r="J916" s="2">
        <f ca="1">IF(Iterations[[#This Row],[Step]] =current_step, current_d,IF(Iterations[[#This Row],[Step]] &gt; current_step, "",Iterations[[#This Row],[d]]))</f>
        <v>1.2059012137408573</v>
      </c>
      <c r="K916" s="2">
        <f ca="1">IF(Iterations[[#This Row],[Step]] =current_step, current_e,IF(Iterations[[#This Row],[Step]] &gt; current_step, "",Iterations[[#This Row],[e]]))</f>
        <v>11.299261867492612</v>
      </c>
      <c r="L916" s="2">
        <f ca="1">IF(Iterations[[#This Row],[Step]] =current_step, current_Total_Loss,IF(Iterations[[#This Row],[Step]] &gt; current_step, "",Iterations[[#This Row],[Total Loss]]))</f>
        <v>90.43</v>
      </c>
      <c r="M916" s="6" t="s">
        <v>27</v>
      </c>
      <c r="N916" s="2">
        <f ca="1">IF(Iterations[[#This Row],[Step]] =current_step, current_Grad_a,IF(Iterations[[#This Row],[Step]] &gt; current_step, "",Iterations[[#This Row],[Grad_a]]))</f>
        <v>2.8779613318215486E-3</v>
      </c>
      <c r="O916" s="2">
        <f ca="1">IF(Iterations[[#This Row],[Step]] =current_step, current_Grad_b,IF(Iterations[[#This Row],[Step]] &gt; current_step, "",Iterations[[#This Row],[Grad_b]]))</f>
        <v>5.0190597596786206E-4</v>
      </c>
      <c r="P916" s="2">
        <f ca="1">IF(Iterations[[#This Row],[Step]] =current_step, current_Grad_c,IF(Iterations[[#This Row],[Step]] &gt; current_step, "",Iterations[[#This Row],[Grad_c]]))</f>
        <v>-8.0730090520984756E-3</v>
      </c>
      <c r="Q916" s="2">
        <f ca="1">IF(Iterations[[#This Row],[Step]] =current_step, current_Grad_d,IF(Iterations[[#This Row],[Step]] &gt; current_step, "",Iterations[[#This Row],[Grad_d]]))</f>
        <v>-4.610385069989182E-4</v>
      </c>
      <c r="R916" s="2">
        <f ca="1">IF(Iterations[[#This Row],[Step]] =current_step, current_Grad_e,IF(Iterations[[#This Row],[Step]] &gt; current_step, "",Iterations[[#This Row],[Grad_e]]))</f>
        <v>2.8790633465636262E-3</v>
      </c>
    </row>
    <row r="917" spans="6:18" x14ac:dyDescent="0.3">
      <c r="F917" s="2">
        <f t="shared" si="16"/>
        <v>900</v>
      </c>
      <c r="G917" s="2">
        <f ca="1">IF(Iterations[[#This Row],[Step]] =current_step, current_a,IF(Iterations[[#This Row],[Step]] &gt; current_step, "",Iterations[[#This Row],[a]]))</f>
        <v>-7.2809846082865706</v>
      </c>
      <c r="H917" s="2">
        <f ca="1">IF(Iterations[[#This Row],[Step]] =current_step, current_b,IF(Iterations[[#This Row],[Step]] &gt; current_step, "",Iterations[[#This Row],[b]]))</f>
        <v>0.34710247411617695</v>
      </c>
      <c r="I917" s="2">
        <f ca="1">IF(Iterations[[#This Row],[Step]] =current_step, current_c,IF(Iterations[[#This Row],[Step]] &gt; current_step, "",Iterations[[#This Row],[c]]))</f>
        <v>21.260579355642694</v>
      </c>
      <c r="J917" s="2">
        <f ca="1">IF(Iterations[[#This Row],[Step]] =current_step, current_d,IF(Iterations[[#This Row],[Step]] &gt; current_step, "",Iterations[[#This Row],[d]]))</f>
        <v>1.2059334864363473</v>
      </c>
      <c r="K917" s="2">
        <f ca="1">IF(Iterations[[#This Row],[Step]] =current_step, current_e,IF(Iterations[[#This Row],[Step]] &gt; current_step, "",Iterations[[#This Row],[e]]))</f>
        <v>11.299060333058353</v>
      </c>
      <c r="L917" s="2">
        <f ca="1">IF(Iterations[[#This Row],[Step]] =current_step, current_Total_Loss,IF(Iterations[[#This Row],[Step]] &gt; current_step, "",Iterations[[#This Row],[Total Loss]]))</f>
        <v>90.43</v>
      </c>
      <c r="M917" s="6" t="s">
        <v>27</v>
      </c>
      <c r="N917" s="2">
        <f ca="1">IF(Iterations[[#This Row],[Step]] =current_step, current_Grad_a,IF(Iterations[[#This Row],[Step]] &gt; current_step, "",Iterations[[#This Row],[Grad_a]]))</f>
        <v>2.8584858726155263E-3</v>
      </c>
      <c r="O917" s="2">
        <f ca="1">IF(Iterations[[#This Row],[Step]] =current_step, current_Grad_b,IF(Iterations[[#This Row],[Step]] &gt; current_step, "",Iterations[[#This Row],[Grad_b]]))</f>
        <v>4.9850991662283824E-4</v>
      </c>
      <c r="P917" s="2">
        <f ca="1">IF(Iterations[[#This Row],[Step]] =current_step, current_Grad_c,IF(Iterations[[#This Row],[Step]] &gt; current_step, "",Iterations[[#This Row],[Grad_c]]))</f>
        <v>-8.0183780951780369E-3</v>
      </c>
      <c r="Q917" s="2">
        <f ca="1">IF(Iterations[[#This Row],[Step]] =current_step, current_Grad_d,IF(Iterations[[#This Row],[Step]] &gt; current_step, "",Iterations[[#This Row],[Grad_d]]))</f>
        <v>-4.5791943884007955E-4</v>
      </c>
      <c r="R917" s="2">
        <f ca="1">IF(Iterations[[#This Row],[Step]] =current_step, current_Grad_e,IF(Iterations[[#This Row],[Step]] &gt; current_step, "",Iterations[[#This Row],[Grad_e]]))</f>
        <v>2.8595803905696235E-3</v>
      </c>
    </row>
    <row r="918" spans="6:18" x14ac:dyDescent="0.3">
      <c r="F918" s="2">
        <f t="shared" si="16"/>
        <v>901</v>
      </c>
      <c r="G918" s="2">
        <f ca="1">IF(Iterations[[#This Row],[Step]] =current_step, current_a,IF(Iterations[[#This Row],[Step]] &gt; current_step, "",Iterations[[#This Row],[a]]))</f>
        <v>-7.2811847022976535</v>
      </c>
      <c r="H918" s="2">
        <f ca="1">IF(Iterations[[#This Row],[Step]] =current_step, current_b,IF(Iterations[[#This Row],[Step]] &gt; current_step, "",Iterations[[#This Row],[b]]))</f>
        <v>0.34706757842201336</v>
      </c>
      <c r="I918" s="2">
        <f ca="1">IF(Iterations[[#This Row],[Step]] =current_step, current_c,IF(Iterations[[#This Row],[Step]] &gt; current_step, "",Iterations[[#This Row],[c]]))</f>
        <v>21.261140642109357</v>
      </c>
      <c r="J918" s="2">
        <f ca="1">IF(Iterations[[#This Row],[Step]] =current_step, current_d,IF(Iterations[[#This Row],[Step]] &gt; current_step, "",Iterations[[#This Row],[d]]))</f>
        <v>1.2059655407970662</v>
      </c>
      <c r="K918" s="2">
        <f ca="1">IF(Iterations[[#This Row],[Step]] =current_step, current_e,IF(Iterations[[#This Row],[Step]] &gt; current_step, "",Iterations[[#This Row],[e]]))</f>
        <v>11.298860162431014</v>
      </c>
      <c r="L918" s="2">
        <f ca="1">IF(Iterations[[#This Row],[Step]] =current_step, current_Total_Loss,IF(Iterations[[#This Row],[Step]] &gt; current_step, "",Iterations[[#This Row],[Total Loss]]))</f>
        <v>90.43</v>
      </c>
      <c r="M918" s="6" t="s">
        <v>27</v>
      </c>
      <c r="N918" s="2">
        <f ca="1">IF(Iterations[[#This Row],[Step]] =current_step, current_Grad_a,IF(Iterations[[#This Row],[Step]] &gt; current_step, "",Iterations[[#This Row],[Grad_a]]))</f>
        <v>2.8391422057567122E-3</v>
      </c>
      <c r="O918" s="2">
        <f ca="1">IF(Iterations[[#This Row],[Step]] =current_step, current_Grad_b,IF(Iterations[[#This Row],[Step]] &gt; current_step, "",Iterations[[#This Row],[Grad_b]]))</f>
        <v>4.9513683181524729E-4</v>
      </c>
      <c r="P918" s="2">
        <f ca="1">IF(Iterations[[#This Row],[Step]] =current_step, current_Grad_c,IF(Iterations[[#This Row],[Step]] &gt; current_step, "",Iterations[[#This Row],[Grad_c]]))</f>
        <v>-7.9641168327532329E-3</v>
      </c>
      <c r="Q918" s="2">
        <f ca="1">IF(Iterations[[#This Row],[Step]] =current_step, current_Grad_d,IF(Iterations[[#This Row],[Step]] &gt; current_step, "",Iterations[[#This Row],[Grad_d]]))</f>
        <v>-4.5482146298740184E-4</v>
      </c>
      <c r="R918" s="2">
        <f ca="1">IF(Iterations[[#This Row],[Step]] =current_step, current_Grad_e,IF(Iterations[[#This Row],[Step]] &gt; current_step, "",Iterations[[#This Row],[Grad_e]]))</f>
        <v>2.8402292783696759E-3</v>
      </c>
    </row>
    <row r="919" spans="6:18" x14ac:dyDescent="0.3">
      <c r="F919" s="2">
        <f t="shared" si="16"/>
        <v>902</v>
      </c>
      <c r="G919" s="2">
        <f ca="1">IF(Iterations[[#This Row],[Step]] =current_step, current_a,IF(Iterations[[#This Row],[Step]] &gt; current_step, "",Iterations[[#This Row],[a]]))</f>
        <v>-7.2813834422520562</v>
      </c>
      <c r="H919" s="2">
        <f ca="1">IF(Iterations[[#This Row],[Step]] =current_step, current_b,IF(Iterations[[#This Row],[Step]] &gt; current_step, "",Iterations[[#This Row],[b]]))</f>
        <v>0.34703291884378629</v>
      </c>
      <c r="I919" s="2">
        <f ca="1">IF(Iterations[[#This Row],[Step]] =current_step, current_c,IF(Iterations[[#This Row],[Step]] &gt; current_step, "",Iterations[[#This Row],[c]]))</f>
        <v>21.261698130287648</v>
      </c>
      <c r="J919" s="2">
        <f ca="1">IF(Iterations[[#This Row],[Step]] =current_step, current_d,IF(Iterations[[#This Row],[Step]] &gt; current_step, "",Iterations[[#This Row],[d]]))</f>
        <v>1.2059973782994753</v>
      </c>
      <c r="K919" s="2">
        <f ca="1">IF(Iterations[[#This Row],[Step]] =current_step, current_e,IF(Iterations[[#This Row],[Step]] &gt; current_step, "",Iterations[[#This Row],[e]]))</f>
        <v>11.298661346381529</v>
      </c>
      <c r="L919" s="2">
        <f ca="1">IF(Iterations[[#This Row],[Step]] =current_step, current_Total_Loss,IF(Iterations[[#This Row],[Step]] &gt; current_step, "",Iterations[[#This Row],[Total Loss]]))</f>
        <v>90.43</v>
      </c>
      <c r="M919" s="6" t="s">
        <v>27</v>
      </c>
      <c r="N919" s="2">
        <f ca="1">IF(Iterations[[#This Row],[Step]] =current_step, current_Grad_a,IF(Iterations[[#This Row],[Step]] &gt; current_step, "",Iterations[[#This Row],[Grad_a]]))</f>
        <v>2.8199294393747762E-3</v>
      </c>
      <c r="O919" s="2">
        <f ca="1">IF(Iterations[[#This Row],[Step]] =current_step, current_Grad_b,IF(Iterations[[#This Row],[Step]] &gt; current_step, "",Iterations[[#This Row],[Grad_b]]))</f>
        <v>4.917865661897558E-4</v>
      </c>
      <c r="P919" s="2">
        <f ca="1">IF(Iterations[[#This Row],[Step]] =current_step, current_Grad_c,IF(Iterations[[#This Row],[Step]] &gt; current_step, "",Iterations[[#This Row],[Grad_c]]))</f>
        <v>-7.9102227630511515E-3</v>
      </c>
      <c r="Q919" s="2">
        <f ca="1">IF(Iterations[[#This Row],[Step]] =current_step, current_Grad_d,IF(Iterations[[#This Row],[Step]] &gt; current_step, "",Iterations[[#This Row],[Grad_d]]))</f>
        <v>-4.5174443697352612E-4</v>
      </c>
      <c r="R919" s="2">
        <f ca="1">IF(Iterations[[#This Row],[Step]] =current_step, current_Grad_e,IF(Iterations[[#This Row],[Step]] &gt; current_step, "",Iterations[[#This Row],[Grad_e]]))</f>
        <v>2.8210091177487901E-3</v>
      </c>
    </row>
    <row r="920" spans="6:18" x14ac:dyDescent="0.3">
      <c r="F920" s="2">
        <f t="shared" si="16"/>
        <v>903</v>
      </c>
      <c r="G920" s="2">
        <f ca="1">IF(Iterations[[#This Row],[Step]] =current_step, current_a,IF(Iterations[[#This Row],[Step]] &gt; current_step, "",Iterations[[#This Row],[a]]))</f>
        <v>-7.2815808373128128</v>
      </c>
      <c r="H920" s="2">
        <f ca="1">IF(Iterations[[#This Row],[Step]] =current_step, current_b,IF(Iterations[[#This Row],[Step]] &gt; current_step, "",Iterations[[#This Row],[b]]))</f>
        <v>0.34699849378415298</v>
      </c>
      <c r="I920" s="2">
        <f ca="1">IF(Iterations[[#This Row],[Step]] =current_step, current_c,IF(Iterations[[#This Row],[Step]] &gt; current_step, "",Iterations[[#This Row],[c]]))</f>
        <v>21.26225184588106</v>
      </c>
      <c r="J920" s="2">
        <f ca="1">IF(Iterations[[#This Row],[Step]] =current_step, current_d,IF(Iterations[[#This Row],[Step]] &gt; current_step, "",Iterations[[#This Row],[d]]))</f>
        <v>1.2060290004100633</v>
      </c>
      <c r="K920" s="2">
        <f ca="1">IF(Iterations[[#This Row],[Step]] =current_step, current_e,IF(Iterations[[#This Row],[Step]] &gt; current_step, "",Iterations[[#This Row],[e]]))</f>
        <v>11.298463875743286</v>
      </c>
      <c r="L920" s="2">
        <f ca="1">IF(Iterations[[#This Row],[Step]] =current_step, current_Total_Loss,IF(Iterations[[#This Row],[Step]] &gt; current_step, "",Iterations[[#This Row],[Total Loss]]))</f>
        <v>90.43</v>
      </c>
      <c r="M920" s="6" t="s">
        <v>27</v>
      </c>
      <c r="N920" s="2">
        <f ca="1">IF(Iterations[[#This Row],[Step]] =current_step, current_Grad_a,IF(Iterations[[#This Row],[Step]] &gt; current_step, "",Iterations[[#This Row],[Grad_a]]))</f>
        <v>2.80084668776448E-3</v>
      </c>
      <c r="O920" s="2">
        <f ca="1">IF(Iterations[[#This Row],[Step]] =current_step, current_Grad_b,IF(Iterations[[#This Row],[Step]] &gt; current_step, "",Iterations[[#This Row],[Grad_b]]))</f>
        <v>4.8845896542297018E-4</v>
      </c>
      <c r="P920" s="2">
        <f ca="1">IF(Iterations[[#This Row],[Step]] =current_step, current_Grad_c,IF(Iterations[[#This Row],[Step]] &gt; current_step, "",Iterations[[#This Row],[Grad_c]]))</f>
        <v>-7.8566934011766107E-3</v>
      </c>
      <c r="Q920" s="2">
        <f ca="1">IF(Iterations[[#This Row],[Step]] =current_step, current_Grad_d,IF(Iterations[[#This Row],[Step]] &gt; current_step, "",Iterations[[#This Row],[Grad_d]]))</f>
        <v>-4.4868821929654342E-4</v>
      </c>
      <c r="R920" s="2">
        <f ca="1">IF(Iterations[[#This Row],[Step]] =current_step, current_Grad_e,IF(Iterations[[#This Row],[Step]] &gt; current_step, "",Iterations[[#This Row],[Grad_e]]))</f>
        <v>2.8019190225528037E-3</v>
      </c>
    </row>
    <row r="921" spans="6:18" x14ac:dyDescent="0.3">
      <c r="F921" s="2">
        <f t="shared" si="16"/>
        <v>904</v>
      </c>
      <c r="G921" s="2">
        <f ca="1">IF(Iterations[[#This Row],[Step]] =current_step, current_a,IF(Iterations[[#This Row],[Step]] &gt; current_step, "",Iterations[[#This Row],[a]]))</f>
        <v>-7.2817768965809559</v>
      </c>
      <c r="H921" s="2">
        <f ca="1">IF(Iterations[[#This Row],[Step]] =current_step, current_b,IF(Iterations[[#This Row],[Step]] &gt; current_step, "",Iterations[[#This Row],[b]]))</f>
        <v>0.34696430165657338</v>
      </c>
      <c r="I921" s="2">
        <f ca="1">IF(Iterations[[#This Row],[Step]] =current_step, current_c,IF(Iterations[[#This Row],[Step]] &gt; current_step, "",Iterations[[#This Row],[c]]))</f>
        <v>21.262801814419142</v>
      </c>
      <c r="J921" s="2">
        <f ca="1">IF(Iterations[[#This Row],[Step]] =current_step, current_d,IF(Iterations[[#This Row],[Step]] &gt; current_step, "",Iterations[[#This Row],[d]]))</f>
        <v>1.2060604085854141</v>
      </c>
      <c r="K921" s="2">
        <f ca="1">IF(Iterations[[#This Row],[Step]] =current_step, current_e,IF(Iterations[[#This Row],[Step]] &gt; current_step, "",Iterations[[#This Row],[e]]))</f>
        <v>11.298267741411706</v>
      </c>
      <c r="L921" s="2">
        <f ca="1">IF(Iterations[[#This Row],[Step]] =current_step, current_Total_Loss,IF(Iterations[[#This Row],[Step]] &gt; current_step, "",Iterations[[#This Row],[Total Loss]]))</f>
        <v>90.43</v>
      </c>
      <c r="M921" s="6" t="s">
        <v>27</v>
      </c>
      <c r="N921" s="2">
        <f ca="1">IF(Iterations[[#This Row],[Step]] =current_step, current_Grad_a,IF(Iterations[[#This Row],[Step]] &gt; current_step, "",Iterations[[#This Row],[Grad_a]]))</f>
        <v>2.7818930709734659E-3</v>
      </c>
      <c r="O921" s="2">
        <f ca="1">IF(Iterations[[#This Row],[Step]] =current_step, current_Grad_b,IF(Iterations[[#This Row],[Step]] &gt; current_step, "",Iterations[[#This Row],[Grad_b]]))</f>
        <v>4.8515387628667028E-4</v>
      </c>
      <c r="P921" s="2">
        <f ca="1">IF(Iterations[[#This Row],[Step]] =current_step, current_Grad_c,IF(Iterations[[#This Row],[Step]] &gt; current_step, "",Iterations[[#This Row],[Grad_c]]))</f>
        <v>-7.8035262791478583E-3</v>
      </c>
      <c r="Q921" s="2">
        <f ca="1">IF(Iterations[[#This Row],[Step]] =current_step, current_Grad_d,IF(Iterations[[#This Row],[Step]] &gt; current_step, "",Iterations[[#This Row],[Grad_d]]))</f>
        <v>-4.4565266938821776E-4</v>
      </c>
      <c r="R921" s="2">
        <f ca="1">IF(Iterations[[#This Row],[Step]] =current_step, current_Grad_e,IF(Iterations[[#This Row],[Step]] &gt; current_step, "",Iterations[[#This Row],[Grad_e]]))</f>
        <v>2.7829581125813105E-3</v>
      </c>
    </row>
    <row r="922" spans="6:18" x14ac:dyDescent="0.3">
      <c r="F922" s="2">
        <f t="shared" si="16"/>
        <v>905</v>
      </c>
      <c r="G922" s="2">
        <f ca="1">IF(Iterations[[#This Row],[Step]] =current_step, current_a,IF(Iterations[[#This Row],[Step]] &gt; current_step, "",Iterations[[#This Row],[a]]))</f>
        <v>-7.2819716290959242</v>
      </c>
      <c r="H922" s="2">
        <f ca="1">IF(Iterations[[#This Row],[Step]] =current_step, current_b,IF(Iterations[[#This Row],[Step]] &gt; current_step, "",Iterations[[#This Row],[b]]))</f>
        <v>0.34693034088523333</v>
      </c>
      <c r="I922" s="2">
        <f ca="1">IF(Iterations[[#This Row],[Step]] =current_step, current_c,IF(Iterations[[#This Row],[Step]] &gt; current_step, "",Iterations[[#This Row],[c]]))</f>
        <v>21.263348061258682</v>
      </c>
      <c r="J922" s="2">
        <f ca="1">IF(Iterations[[#This Row],[Step]] =current_step, current_d,IF(Iterations[[#This Row],[Step]] &gt; current_step, "",Iterations[[#This Row],[d]]))</f>
        <v>1.2060916042722714</v>
      </c>
      <c r="K922" s="2">
        <f ca="1">IF(Iterations[[#This Row],[Step]] =current_step, current_e,IF(Iterations[[#This Row],[Step]] &gt; current_step, "",Iterations[[#This Row],[e]]))</f>
        <v>11.298072934343825</v>
      </c>
      <c r="L922" s="2">
        <f ca="1">IF(Iterations[[#This Row],[Step]] =current_step, current_Total_Loss,IF(Iterations[[#This Row],[Step]] &gt; current_step, "",Iterations[[#This Row],[Total Loss]]))</f>
        <v>90.43</v>
      </c>
      <c r="M922" s="6" t="s">
        <v>27</v>
      </c>
      <c r="N922" s="2">
        <f ca="1">IF(Iterations[[#This Row],[Step]] =current_step, current_Grad_a,IF(Iterations[[#This Row],[Step]] &gt; current_step, "",Iterations[[#This Row],[Grad_a]]))</f>
        <v>2.7630677152387958E-3</v>
      </c>
      <c r="O922" s="2">
        <f ca="1">IF(Iterations[[#This Row],[Step]] =current_step, current_Grad_b,IF(Iterations[[#This Row],[Step]] &gt; current_step, "",Iterations[[#This Row],[Grad_b]]))</f>
        <v>4.8187114655494508E-4</v>
      </c>
      <c r="P922" s="2">
        <f ca="1">IF(Iterations[[#This Row],[Step]] =current_step, current_Grad_c,IF(Iterations[[#This Row],[Step]] &gt; current_step, "",Iterations[[#This Row],[Grad_c]]))</f>
        <v>-7.7507189455888132E-3</v>
      </c>
      <c r="Q922" s="2">
        <f ca="1">IF(Iterations[[#This Row],[Step]] =current_step, current_Grad_d,IF(Iterations[[#This Row],[Step]] &gt; current_step, "",Iterations[[#This Row],[Grad_d]]))</f>
        <v>-4.4263764763635075E-4</v>
      </c>
      <c r="R922" s="2">
        <f ca="1">IF(Iterations[[#This Row],[Step]] =current_step, current_Grad_e,IF(Iterations[[#This Row],[Step]] &gt; current_step, "",Iterations[[#This Row],[Grad_e]]))</f>
        <v>2.7641255136355231E-3</v>
      </c>
    </row>
    <row r="923" spans="6:18" x14ac:dyDescent="0.3">
      <c r="F923" s="2">
        <f t="shared" si="16"/>
        <v>906</v>
      </c>
      <c r="G923" s="2">
        <f ca="1">IF(Iterations[[#This Row],[Step]] =current_step, current_a,IF(Iterations[[#This Row],[Step]] &gt; current_step, "",Iterations[[#This Row],[a]]))</f>
        <v>-7.2821650438359908</v>
      </c>
      <c r="H923" s="2">
        <f ca="1">IF(Iterations[[#This Row],[Step]] =current_step, current_b,IF(Iterations[[#This Row],[Step]] &gt; current_step, "",Iterations[[#This Row],[b]]))</f>
        <v>0.34689660990497451</v>
      </c>
      <c r="I923" s="2">
        <f ca="1">IF(Iterations[[#This Row],[Step]] =current_step, current_c,IF(Iterations[[#This Row],[Step]] &gt; current_step, "",Iterations[[#This Row],[c]]))</f>
        <v>21.263890611584873</v>
      </c>
      <c r="J923" s="2">
        <f ca="1">IF(Iterations[[#This Row],[Step]] =current_step, current_d,IF(Iterations[[#This Row],[Step]] &gt; current_step, "",Iterations[[#This Row],[d]]))</f>
        <v>1.2061225889076059</v>
      </c>
      <c r="K923" s="2">
        <f ca="1">IF(Iterations[[#This Row],[Step]] =current_step, current_e,IF(Iterations[[#This Row],[Step]] &gt; current_step, "",Iterations[[#This Row],[e]]))</f>
        <v>11.29787944555787</v>
      </c>
      <c r="L923" s="2">
        <f ca="1">IF(Iterations[[#This Row],[Step]] =current_step, current_Total_Loss,IF(Iterations[[#This Row],[Step]] &gt; current_step, "",Iterations[[#This Row],[Total Loss]]))</f>
        <v>90.43</v>
      </c>
      <c r="M923" s="6" t="s">
        <v>27</v>
      </c>
      <c r="N923" s="2">
        <f ca="1">IF(Iterations[[#This Row],[Step]] =current_step, current_Grad_a,IF(Iterations[[#This Row],[Step]] &gt; current_step, "",Iterations[[#This Row],[Grad_a]]))</f>
        <v>2.7443697525106892E-3</v>
      </c>
      <c r="O923" s="2">
        <f ca="1">IF(Iterations[[#This Row],[Step]] =current_step, current_Grad_b,IF(Iterations[[#This Row],[Step]] &gt; current_step, "",Iterations[[#This Row],[Grad_b]]))</f>
        <v>4.786106250395476E-4</v>
      </c>
      <c r="P923" s="2">
        <f ca="1">IF(Iterations[[#This Row],[Step]] =current_step, current_Grad_c,IF(Iterations[[#This Row],[Step]] &gt; current_step, "",Iterations[[#This Row],[Grad_c]]))</f>
        <v>-7.6982689657917446E-3</v>
      </c>
      <c r="Q923" s="2">
        <f ca="1">IF(Iterations[[#This Row],[Step]] =current_step, current_Grad_d,IF(Iterations[[#This Row],[Step]] &gt; current_step, "",Iterations[[#This Row],[Grad_d]]))</f>
        <v>-4.3964301536947303E-4</v>
      </c>
      <c r="R923" s="2">
        <f ca="1">IF(Iterations[[#This Row],[Step]] =current_step, current_Grad_e,IF(Iterations[[#This Row],[Step]] &gt; current_step, "",Iterations[[#This Row],[Grad_e]]))</f>
        <v>2.7454203573956054E-3</v>
      </c>
    </row>
    <row r="924" spans="6:18" x14ac:dyDescent="0.3">
      <c r="F924" s="2">
        <f t="shared" si="16"/>
        <v>907</v>
      </c>
      <c r="G924" s="2">
        <f ca="1">IF(Iterations[[#This Row],[Step]] =current_step, current_a,IF(Iterations[[#This Row],[Step]] &gt; current_step, "",Iterations[[#This Row],[a]]))</f>
        <v>-7.282357149718667</v>
      </c>
      <c r="H924" s="2">
        <f ca="1">IF(Iterations[[#This Row],[Step]] =current_step, current_b,IF(Iterations[[#This Row],[Step]] &gt; current_step, "",Iterations[[#This Row],[b]]))</f>
        <v>0.34686310716122176</v>
      </c>
      <c r="I924" s="2">
        <f ca="1">IF(Iterations[[#This Row],[Step]] =current_step, current_c,IF(Iterations[[#This Row],[Step]] &gt; current_step, "",Iterations[[#This Row],[c]]))</f>
        <v>21.264429490412478</v>
      </c>
      <c r="J924" s="2">
        <f ca="1">IF(Iterations[[#This Row],[Step]] =current_step, current_d,IF(Iterations[[#This Row],[Step]] &gt; current_step, "",Iterations[[#This Row],[d]]))</f>
        <v>1.2061533639186819</v>
      </c>
      <c r="K924" s="2">
        <f ca="1">IF(Iterations[[#This Row],[Step]] =current_step, current_e,IF(Iterations[[#This Row],[Step]] &gt; current_step, "",Iterations[[#This Row],[e]]))</f>
        <v>11.297687266132852</v>
      </c>
      <c r="L924" s="2">
        <f ca="1">IF(Iterations[[#This Row],[Step]] =current_step, current_Total_Loss,IF(Iterations[[#This Row],[Step]] &gt; current_step, "",Iterations[[#This Row],[Total Loss]]))</f>
        <v>90.43</v>
      </c>
      <c r="M924" s="6" t="s">
        <v>27</v>
      </c>
      <c r="N924" s="2">
        <f ca="1">IF(Iterations[[#This Row],[Step]] =current_step, current_Grad_a,IF(Iterations[[#This Row],[Step]] &gt; current_step, "",Iterations[[#This Row],[Grad_a]]))</f>
        <v>2.725798320802861E-3</v>
      </c>
      <c r="O924" s="2">
        <f ca="1">IF(Iterations[[#This Row],[Step]] =current_step, current_Grad_b,IF(Iterations[[#This Row],[Step]] &gt; current_step, "",Iterations[[#This Row],[Grad_b]]))</f>
        <v>4.7537216153739316E-4</v>
      </c>
      <c r="P924" s="2">
        <f ca="1">IF(Iterations[[#This Row],[Step]] =current_step, current_Grad_c,IF(Iterations[[#This Row],[Step]] &gt; current_step, "",Iterations[[#This Row],[Grad_c]]))</f>
        <v>-7.6461739214537866E-3</v>
      </c>
      <c r="Q924" s="2">
        <f ca="1">IF(Iterations[[#This Row],[Step]] =current_step, current_Grad_d,IF(Iterations[[#This Row],[Step]] &gt; current_step, "",Iterations[[#This Row],[Grad_d]]))</f>
        <v>-4.3666863486065594E-4</v>
      </c>
      <c r="R924" s="2">
        <f ca="1">IF(Iterations[[#This Row],[Step]] =current_step, current_Grad_e,IF(Iterations[[#This Row],[Step]] &gt; current_step, "",Iterations[[#This Row],[Grad_e]]))</f>
        <v>2.7268417814468255E-3</v>
      </c>
    </row>
    <row r="925" spans="6:18" x14ac:dyDescent="0.3">
      <c r="F925" s="2">
        <f t="shared" si="16"/>
        <v>908</v>
      </c>
      <c r="G925" s="2">
        <f ca="1">IF(Iterations[[#This Row],[Step]] =current_step, current_a,IF(Iterations[[#This Row],[Step]] &gt; current_step, "",Iterations[[#This Row],[a]]))</f>
        <v>-7.2825479556011228</v>
      </c>
      <c r="H925" s="2">
        <f ca="1">IF(Iterations[[#This Row],[Step]] =current_step, current_b,IF(Iterations[[#This Row],[Step]] &gt; current_step, "",Iterations[[#This Row],[b]]))</f>
        <v>0.34682983110991417</v>
      </c>
      <c r="I925" s="2">
        <f ca="1">IF(Iterations[[#This Row],[Step]] =current_step, current_c,IF(Iterations[[#This Row],[Step]] &gt; current_step, "",Iterations[[#This Row],[c]]))</f>
        <v>21.264964722586981</v>
      </c>
      <c r="J925" s="2">
        <f ca="1">IF(Iterations[[#This Row],[Step]] =current_step, current_d,IF(Iterations[[#This Row],[Step]] &gt; current_step, "",Iterations[[#This Row],[d]]))</f>
        <v>1.2061839307231221</v>
      </c>
      <c r="K925" s="2">
        <f ca="1">IF(Iterations[[#This Row],[Step]] =current_step, current_e,IF(Iterations[[#This Row],[Step]] &gt; current_step, "",Iterations[[#This Row],[e]]))</f>
        <v>11.297496387208151</v>
      </c>
      <c r="L925" s="2">
        <f ca="1">IF(Iterations[[#This Row],[Step]] =current_step, current_Total_Loss,IF(Iterations[[#This Row],[Step]] &gt; current_step, "",Iterations[[#This Row],[Total Loss]]))</f>
        <v>90.43</v>
      </c>
      <c r="M925" s="6" t="s">
        <v>27</v>
      </c>
      <c r="N925" s="2">
        <f ca="1">IF(Iterations[[#This Row],[Step]] =current_step, current_Grad_a,IF(Iterations[[#This Row],[Step]] &gt; current_step, "",Iterations[[#This Row],[Grad_a]]))</f>
        <v>2.7073525638189938E-3</v>
      </c>
      <c r="O925" s="2">
        <f ca="1">IF(Iterations[[#This Row],[Step]] =current_step, current_Grad_b,IF(Iterations[[#This Row],[Step]] &gt; current_step, "",Iterations[[#This Row],[Grad_b]]))</f>
        <v>4.72155606938967E-4</v>
      </c>
      <c r="P925" s="2">
        <f ca="1">IF(Iterations[[#This Row],[Step]] =current_step, current_Grad_c,IF(Iterations[[#This Row],[Step]] &gt; current_step, "",Iterations[[#This Row],[Grad_c]]))</f>
        <v>-7.5944314106915177E-3</v>
      </c>
      <c r="Q925" s="2">
        <f ca="1">IF(Iterations[[#This Row],[Step]] =current_step, current_Grad_d,IF(Iterations[[#This Row],[Step]] &gt; current_step, "",Iterations[[#This Row],[Grad_d]]))</f>
        <v>-4.3371436928276965E-4</v>
      </c>
      <c r="R925" s="2">
        <f ca="1">IF(Iterations[[#This Row],[Step]] =current_step, current_Grad_e,IF(Iterations[[#This Row],[Step]] &gt; current_step, "",Iterations[[#This Row],[Grad_e]]))</f>
        <v>2.7083889291884666E-3</v>
      </c>
    </row>
    <row r="926" spans="6:18" x14ac:dyDescent="0.3">
      <c r="F926" s="2">
        <f t="shared" si="16"/>
        <v>909</v>
      </c>
      <c r="G926" s="2">
        <f ca="1">IF(Iterations[[#This Row],[Step]] =current_step, current_a,IF(Iterations[[#This Row],[Step]] &gt; current_step, "",Iterations[[#This Row],[a]]))</f>
        <v>-7.2827374702805905</v>
      </c>
      <c r="H926" s="2">
        <f ca="1">IF(Iterations[[#This Row],[Step]] =current_step, current_b,IF(Iterations[[#This Row],[Step]] &gt; current_step, "",Iterations[[#This Row],[b]]))</f>
        <v>0.34679678021742844</v>
      </c>
      <c r="I926" s="2">
        <f ca="1">IF(Iterations[[#This Row],[Step]] =current_step, current_c,IF(Iterations[[#This Row],[Step]] &gt; current_step, "",Iterations[[#This Row],[c]]))</f>
        <v>21.26549633278573</v>
      </c>
      <c r="J926" s="2">
        <f ca="1">IF(Iterations[[#This Row],[Step]] =current_step, current_d,IF(Iterations[[#This Row],[Step]] &gt; current_step, "",Iterations[[#This Row],[d]]))</f>
        <v>1.2062142907289719</v>
      </c>
      <c r="K926" s="2">
        <f ca="1">IF(Iterations[[#This Row],[Step]] =current_step, current_e,IF(Iterations[[#This Row],[Step]] &gt; current_step, "",Iterations[[#This Row],[e]]))</f>
        <v>11.297306799983108</v>
      </c>
      <c r="L926" s="2">
        <f ca="1">IF(Iterations[[#This Row],[Step]] =current_step, current_Total_Loss,IF(Iterations[[#This Row],[Step]] &gt; current_step, "",Iterations[[#This Row],[Total Loss]]))</f>
        <v>90.43</v>
      </c>
      <c r="M926" s="6" t="s">
        <v>27</v>
      </c>
      <c r="N926" s="2">
        <f ca="1">IF(Iterations[[#This Row],[Step]] =current_step, current_Grad_a,IF(Iterations[[#This Row],[Step]] &gt; current_step, "",Iterations[[#This Row],[Grad_a]]))</f>
        <v>2.689031631090355E-3</v>
      </c>
      <c r="O926" s="2">
        <f ca="1">IF(Iterations[[#This Row],[Step]] =current_step, current_Grad_b,IF(Iterations[[#This Row],[Step]] &gt; current_step, "",Iterations[[#This Row],[Grad_b]]))</f>
        <v>4.6896081306026086E-4</v>
      </c>
      <c r="P926" s="2">
        <f ca="1">IF(Iterations[[#This Row],[Step]] =current_step, current_Grad_c,IF(Iterations[[#This Row],[Step]] &gt; current_step, "",Iterations[[#This Row],[Grad_c]]))</f>
        <v>-7.5430390478613552E-3</v>
      </c>
      <c r="Q926" s="2">
        <f ca="1">IF(Iterations[[#This Row],[Step]] =current_step, current_Grad_d,IF(Iterations[[#This Row],[Step]] &gt; current_step, "",Iterations[[#This Row],[Grad_d]]))</f>
        <v>-4.3078008276021943E-4</v>
      </c>
      <c r="R926" s="2">
        <f ca="1">IF(Iterations[[#This Row],[Step]] =current_step, current_Grad_e,IF(Iterations[[#This Row],[Step]] &gt; current_step, "",Iterations[[#This Row],[Grad_e]]))</f>
        <v>2.6900609498255396E-3</v>
      </c>
    </row>
    <row r="927" spans="6:18" x14ac:dyDescent="0.3">
      <c r="F927" s="2">
        <f t="shared" si="16"/>
        <v>910</v>
      </c>
      <c r="G927" s="2">
        <f ca="1">IF(Iterations[[#This Row],[Step]] =current_step, current_a,IF(Iterations[[#This Row],[Step]] &gt; current_step, "",Iterations[[#This Row],[a]]))</f>
        <v>-7.2829257024947669</v>
      </c>
      <c r="H927" s="2">
        <f ca="1">IF(Iterations[[#This Row],[Step]] =current_step, current_b,IF(Iterations[[#This Row],[Step]] &gt; current_step, "",Iterations[[#This Row],[b]]))</f>
        <v>0.34676395296051421</v>
      </c>
      <c r="I927" s="2">
        <f ca="1">IF(Iterations[[#This Row],[Step]] =current_step, current_c,IF(Iterations[[#This Row],[Step]] &gt; current_step, "",Iterations[[#This Row],[c]]))</f>
        <v>21.266024345519082</v>
      </c>
      <c r="J927" s="2">
        <f ca="1">IF(Iterations[[#This Row],[Step]] =current_step, current_d,IF(Iterations[[#This Row],[Step]] &gt; current_step, "",Iterations[[#This Row],[d]]))</f>
        <v>1.2062444453347652</v>
      </c>
      <c r="K927" s="2">
        <f ca="1">IF(Iterations[[#This Row],[Step]] =current_step, current_e,IF(Iterations[[#This Row],[Step]] &gt; current_step, "",Iterations[[#This Row],[e]]))</f>
        <v>11.297118495716621</v>
      </c>
      <c r="L927" s="2">
        <f ca="1">IF(Iterations[[#This Row],[Step]] =current_step, current_Total_Loss,IF(Iterations[[#This Row],[Step]] &gt; current_step, "",Iterations[[#This Row],[Total Loss]]))</f>
        <v>90.43</v>
      </c>
      <c r="M927" s="6" t="s">
        <v>27</v>
      </c>
      <c r="N927" s="2">
        <f ca="1">IF(Iterations[[#This Row],[Step]] =current_step, current_Grad_a,IF(Iterations[[#This Row],[Step]] &gt; current_step, "",Iterations[[#This Row],[Grad_a]]))</f>
        <v>2.6708346779331649E-3</v>
      </c>
      <c r="O927" s="2">
        <f ca="1">IF(Iterations[[#This Row],[Step]] =current_step, current_Grad_b,IF(Iterations[[#This Row],[Step]] &gt; current_step, "",Iterations[[#This Row],[Grad_b]]))</f>
        <v>4.6578763277020191E-4</v>
      </c>
      <c r="P927" s="2">
        <f ca="1">IF(Iterations[[#This Row],[Step]] =current_step, current_Grad_c,IF(Iterations[[#This Row],[Step]] &gt; current_step, "",Iterations[[#This Row],[Grad_c]]))</f>
        <v>-7.4919944634535118E-3</v>
      </c>
      <c r="Q927" s="2">
        <f ca="1">IF(Iterations[[#This Row],[Step]] =current_step, current_Grad_d,IF(Iterations[[#This Row],[Step]] &gt; current_step, "",Iterations[[#This Row],[Grad_d]]))</f>
        <v>-4.2786564031429799E-4</v>
      </c>
      <c r="R927" s="2">
        <f ca="1">IF(Iterations[[#This Row],[Step]] =current_step, current_Grad_e,IF(Iterations[[#This Row],[Step]] &gt; current_step, "",Iterations[[#This Row],[Grad_e]]))</f>
        <v>2.6718569983225945E-3</v>
      </c>
    </row>
    <row r="928" spans="6:18" x14ac:dyDescent="0.3">
      <c r="F928" s="2">
        <f t="shared" si="16"/>
        <v>911</v>
      </c>
      <c r="G928" s="2">
        <f ca="1">IF(Iterations[[#This Row],[Step]] =current_step, current_a,IF(Iterations[[#This Row],[Step]] &gt; current_step, "",Iterations[[#This Row],[a]]))</f>
        <v>-7.2831126609222219</v>
      </c>
      <c r="H928" s="2">
        <f ca="1">IF(Iterations[[#This Row],[Step]] =current_step, current_b,IF(Iterations[[#This Row],[Step]] &gt; current_step, "",Iterations[[#This Row],[b]]))</f>
        <v>0.34673134782622028</v>
      </c>
      <c r="I928" s="2">
        <f ca="1">IF(Iterations[[#This Row],[Step]] =current_step, current_c,IF(Iterations[[#This Row],[Step]] &gt; current_step, "",Iterations[[#This Row],[c]]))</f>
        <v>21.266548785131523</v>
      </c>
      <c r="J928" s="2">
        <f ca="1">IF(Iterations[[#This Row],[Step]] =current_step, current_d,IF(Iterations[[#This Row],[Step]] &gt; current_step, "",Iterations[[#This Row],[d]]))</f>
        <v>1.2062743959295872</v>
      </c>
      <c r="K928" s="2">
        <f ca="1">IF(Iterations[[#This Row],[Step]] =current_step, current_e,IF(Iterations[[#This Row],[Step]] &gt; current_step, "",Iterations[[#This Row],[e]]))</f>
        <v>11.296931465726738</v>
      </c>
      <c r="L928" s="2">
        <f ca="1">IF(Iterations[[#This Row],[Step]] =current_step, current_Total_Loss,IF(Iterations[[#This Row],[Step]] &gt; current_step, "",Iterations[[#This Row],[Total Loss]]))</f>
        <v>90.43</v>
      </c>
      <c r="M928" s="6" t="s">
        <v>27</v>
      </c>
      <c r="N928" s="2">
        <f ca="1">IF(Iterations[[#This Row],[Step]] =current_step, current_Grad_a,IF(Iterations[[#This Row],[Step]] &gt; current_step, "",Iterations[[#This Row],[Grad_a]]))</f>
        <v>2.652760865428119E-3</v>
      </c>
      <c r="O928" s="2">
        <f ca="1">IF(Iterations[[#This Row],[Step]] =current_step, current_Grad_b,IF(Iterations[[#This Row],[Step]] &gt; current_step, "",Iterations[[#This Row],[Grad_b]]))</f>
        <v>4.6263591989070818E-4</v>
      </c>
      <c r="P928" s="2">
        <f ca="1">IF(Iterations[[#This Row],[Step]] =current_step, current_Grad_c,IF(Iterations[[#This Row],[Step]] &gt; current_step, "",Iterations[[#This Row],[Grad_c]]))</f>
        <v>-7.4412953039742925E-3</v>
      </c>
      <c r="Q928" s="2">
        <f ca="1">IF(Iterations[[#This Row],[Step]] =current_step, current_Grad_d,IF(Iterations[[#This Row],[Step]] &gt; current_step, "",Iterations[[#This Row],[Grad_d]]))</f>
        <v>-4.2497090788668542E-4</v>
      </c>
      <c r="R928" s="2">
        <f ca="1">IF(Iterations[[#This Row],[Step]] =current_step, current_Grad_e,IF(Iterations[[#This Row],[Step]] &gt; current_step, "",Iterations[[#This Row],[Grad_e]]))</f>
        <v>2.6537762353709602E-3</v>
      </c>
    </row>
    <row r="929" spans="6:18" x14ac:dyDescent="0.3">
      <c r="F929" s="2">
        <f t="shared" si="16"/>
        <v>912</v>
      </c>
      <c r="G929" s="2">
        <f ca="1">IF(Iterations[[#This Row],[Step]] =current_step, current_a,IF(Iterations[[#This Row],[Step]] &gt; current_step, "",Iterations[[#This Row],[a]]))</f>
        <v>-7.2832983541828016</v>
      </c>
      <c r="H929" s="2">
        <f ca="1">IF(Iterations[[#This Row],[Step]] =current_step, current_b,IF(Iterations[[#This Row],[Step]] &gt; current_step, "",Iterations[[#This Row],[b]]))</f>
        <v>0.34669896331182792</v>
      </c>
      <c r="I929" s="2">
        <f ca="1">IF(Iterations[[#This Row],[Step]] =current_step, current_c,IF(Iterations[[#This Row],[Step]] &gt; current_step, "",Iterations[[#This Row],[c]]))</f>
        <v>21.267069675802801</v>
      </c>
      <c r="J929" s="2">
        <f ca="1">IF(Iterations[[#This Row],[Step]] =current_step, current_d,IF(Iterations[[#This Row],[Step]] &gt; current_step, "",Iterations[[#This Row],[d]]))</f>
        <v>1.2063041438931392</v>
      </c>
      <c r="K929" s="2">
        <f ca="1">IF(Iterations[[#This Row],[Step]] =current_step, current_e,IF(Iterations[[#This Row],[Step]] &gt; current_step, "",Iterations[[#This Row],[e]]))</f>
        <v>11.296745701390263</v>
      </c>
      <c r="L929" s="2">
        <f ca="1">IF(Iterations[[#This Row],[Step]] =current_step, current_Total_Loss,IF(Iterations[[#This Row],[Step]] &gt; current_step, "",Iterations[[#This Row],[Total Loss]]))</f>
        <v>90.43</v>
      </c>
      <c r="M929" s="6" t="s">
        <v>27</v>
      </c>
      <c r="N929" s="2">
        <f ca="1">IF(Iterations[[#This Row],[Step]] =current_step, current_Grad_a,IF(Iterations[[#This Row],[Step]] &gt; current_step, "",Iterations[[#This Row],[Grad_a]]))</f>
        <v>2.6348093601514183E-3</v>
      </c>
      <c r="O929" s="2">
        <f ca="1">IF(Iterations[[#This Row],[Step]] =current_step, current_Grad_b,IF(Iterations[[#This Row],[Step]] &gt; current_step, "",Iterations[[#This Row],[Grad_b]]))</f>
        <v>4.5950552927563767E-4</v>
      </c>
      <c r="P929" s="2">
        <f ca="1">IF(Iterations[[#This Row],[Step]] =current_step, current_Grad_c,IF(Iterations[[#This Row],[Step]] &gt; current_step, "",Iterations[[#This Row],[Grad_c]]))</f>
        <v>-7.3909392319295346E-3</v>
      </c>
      <c r="Q929" s="2">
        <f ca="1">IF(Iterations[[#This Row],[Step]] =current_step, current_Grad_d,IF(Iterations[[#This Row],[Step]] &gt; current_step, "",Iterations[[#This Row],[Grad_d]]))</f>
        <v>-4.2209575231345734E-4</v>
      </c>
      <c r="R929" s="2">
        <f ca="1">IF(Iterations[[#This Row],[Step]] =current_step, current_Grad_e,IF(Iterations[[#This Row],[Step]] &gt; current_step, "",Iterations[[#This Row],[Grad_e]]))</f>
        <v>2.6358178273099891E-3</v>
      </c>
    </row>
    <row r="930" spans="6:18" x14ac:dyDescent="0.3">
      <c r="F930" s="2">
        <f t="shared" si="16"/>
        <v>913</v>
      </c>
      <c r="G930" s="2">
        <f ca="1">IF(Iterations[[#This Row],[Step]] =current_step, current_a,IF(Iterations[[#This Row],[Step]] &gt; current_step, "",Iterations[[#This Row],[a]]))</f>
        <v>-7.2834827908380122</v>
      </c>
      <c r="H930" s="2">
        <f ca="1">IF(Iterations[[#This Row],[Step]] =current_step, current_b,IF(Iterations[[#This Row],[Step]] &gt; current_step, "",Iterations[[#This Row],[b]]))</f>
        <v>0.34666679792477861</v>
      </c>
      <c r="I930" s="2">
        <f ca="1">IF(Iterations[[#This Row],[Step]] =current_step, current_c,IF(Iterations[[#This Row],[Step]] &gt; current_step, "",Iterations[[#This Row],[c]]))</f>
        <v>21.267587041549035</v>
      </c>
      <c r="J930" s="2">
        <f ca="1">IF(Iterations[[#This Row],[Step]] =current_step, current_d,IF(Iterations[[#This Row],[Step]] &gt; current_step, "",Iterations[[#This Row],[d]]))</f>
        <v>1.2063336905958011</v>
      </c>
      <c r="K930" s="2">
        <f ca="1">IF(Iterations[[#This Row],[Step]] =current_step, current_e,IF(Iterations[[#This Row],[Step]] &gt; current_step, "",Iterations[[#This Row],[e]]))</f>
        <v>11.296561194142351</v>
      </c>
      <c r="L930" s="2">
        <f ca="1">IF(Iterations[[#This Row],[Step]] =current_step, current_Total_Loss,IF(Iterations[[#This Row],[Step]] &gt; current_step, "",Iterations[[#This Row],[Total Loss]]))</f>
        <v>90.43</v>
      </c>
      <c r="M930" s="6" t="s">
        <v>27</v>
      </c>
      <c r="N930" s="2">
        <f ca="1">IF(Iterations[[#This Row],[Step]] =current_step, current_Grad_a,IF(Iterations[[#This Row],[Step]] &gt; current_step, "",Iterations[[#This Row],[Grad_a]]))</f>
        <v>2.6169793345033453E-3</v>
      </c>
      <c r="O930" s="2">
        <f ca="1">IF(Iterations[[#This Row],[Step]] =current_step, current_Grad_b,IF(Iterations[[#This Row],[Step]] &gt; current_step, "",Iterations[[#This Row],[Grad_b]]))</f>
        <v>4.5639631672749696E-4</v>
      </c>
      <c r="P930" s="2">
        <f ca="1">IF(Iterations[[#This Row],[Step]] =current_step, current_Grad_c,IF(Iterations[[#This Row],[Step]] &gt; current_step, "",Iterations[[#This Row],[Grad_c]]))</f>
        <v>-7.3409239255685594E-3</v>
      </c>
      <c r="Q930" s="2">
        <f ca="1">IF(Iterations[[#This Row],[Step]] =current_step, current_Grad_d,IF(Iterations[[#This Row],[Step]] &gt; current_step, "",Iterations[[#This Row],[Grad_d]]))</f>
        <v>-4.1924004133223985E-4</v>
      </c>
      <c r="R930" s="2">
        <f ca="1">IF(Iterations[[#This Row],[Step]] =current_step, current_Grad_e,IF(Iterations[[#This Row],[Step]] &gt; current_step, "",Iterations[[#This Row],[Grad_e]]))</f>
        <v>2.6179809461533113E-3</v>
      </c>
    </row>
    <row r="931" spans="6:18" x14ac:dyDescent="0.3">
      <c r="F931" s="2">
        <f t="shared" si="16"/>
        <v>914</v>
      </c>
      <c r="G931" s="2">
        <f ca="1">IF(Iterations[[#This Row],[Step]] =current_step, current_a,IF(Iterations[[#This Row],[Step]] &gt; current_step, "",Iterations[[#This Row],[a]]))</f>
        <v>-7.2836659793914276</v>
      </c>
      <c r="H931" s="2">
        <f ca="1">IF(Iterations[[#This Row],[Step]] =current_step, current_b,IF(Iterations[[#This Row],[Step]] &gt; current_step, "",Iterations[[#This Row],[b]]))</f>
        <v>0.3466348501826077</v>
      </c>
      <c r="I931" s="2">
        <f ca="1">IF(Iterations[[#This Row],[Step]] =current_step, current_c,IF(Iterations[[#This Row],[Step]] &gt; current_step, "",Iterations[[#This Row],[c]]))</f>
        <v>21.268100906223825</v>
      </c>
      <c r="J931" s="2">
        <f ca="1">IF(Iterations[[#This Row],[Step]] =current_step, current_d,IF(Iterations[[#This Row],[Step]] &gt; current_step, "",Iterations[[#This Row],[d]]))</f>
        <v>1.2063630373986944</v>
      </c>
      <c r="K931" s="2">
        <f ca="1">IF(Iterations[[#This Row],[Step]] =current_step, current_e,IF(Iterations[[#This Row],[Step]] &gt; current_step, "",Iterations[[#This Row],[e]]))</f>
        <v>11.296377935476119</v>
      </c>
      <c r="L931" s="2">
        <f ca="1">IF(Iterations[[#This Row],[Step]] =current_step, current_Total_Loss,IF(Iterations[[#This Row],[Step]] &gt; current_step, "",Iterations[[#This Row],[Total Loss]]))</f>
        <v>90.43</v>
      </c>
      <c r="M931" s="6" t="s">
        <v>27</v>
      </c>
      <c r="N931" s="2">
        <f ca="1">IF(Iterations[[#This Row],[Step]] =current_step, current_Grad_a,IF(Iterations[[#This Row],[Step]] &gt; current_step, "",Iterations[[#This Row],[Grad_a]]))</f>
        <v>2.599269966511534E-3</v>
      </c>
      <c r="O931" s="2">
        <f ca="1">IF(Iterations[[#This Row],[Step]] =current_step, current_Grad_b,IF(Iterations[[#This Row],[Step]] &gt; current_step, "",Iterations[[#This Row],[Grad_b]]))</f>
        <v>4.5330813900674235E-4</v>
      </c>
      <c r="P931" s="2">
        <f ca="1">IF(Iterations[[#This Row],[Step]] =current_step, current_Grad_c,IF(Iterations[[#This Row],[Step]] &gt; current_step, "",Iterations[[#This Row],[Grad_c]]))</f>
        <v>-7.2912470788385848E-3</v>
      </c>
      <c r="Q931" s="2">
        <f ca="1">IF(Iterations[[#This Row],[Step]] =current_step, current_Grad_d,IF(Iterations[[#This Row],[Step]] &gt; current_step, "",Iterations[[#This Row],[Grad_d]]))</f>
        <v>-4.1640364358102526E-4</v>
      </c>
      <c r="R931" s="2">
        <f ca="1">IF(Iterations[[#This Row],[Step]] =current_step, current_Grad_e,IF(Iterations[[#This Row],[Step]] &gt; current_step, "",Iterations[[#This Row],[Grad_e]]))</f>
        <v>2.6002647695298167E-3</v>
      </c>
    </row>
    <row r="932" spans="6:18" x14ac:dyDescent="0.3">
      <c r="F932" s="2">
        <f t="shared" si="16"/>
        <v>915</v>
      </c>
      <c r="G932" s="2">
        <f ca="1">IF(Iterations[[#This Row],[Step]] =current_step, current_a,IF(Iterations[[#This Row],[Step]] &gt; current_step, "",Iterations[[#This Row],[a]]))</f>
        <v>-7.2838479282890836</v>
      </c>
      <c r="H932" s="2">
        <f ca="1">IF(Iterations[[#This Row],[Step]] =current_step, current_b,IF(Iterations[[#This Row],[Step]] &gt; current_step, "",Iterations[[#This Row],[b]]))</f>
        <v>0.34660311861287724</v>
      </c>
      <c r="I932" s="2">
        <f ca="1">IF(Iterations[[#This Row],[Step]] =current_step, current_c,IF(Iterations[[#This Row],[Step]] &gt; current_step, "",Iterations[[#This Row],[c]]))</f>
        <v>21.268611293519346</v>
      </c>
      <c r="J932" s="2">
        <f ca="1">IF(Iterations[[#This Row],[Step]] =current_step, current_d,IF(Iterations[[#This Row],[Step]] &gt; current_step, "",Iterations[[#This Row],[d]]))</f>
        <v>1.2063921856537452</v>
      </c>
      <c r="K932" s="2">
        <f ca="1">IF(Iterations[[#This Row],[Step]] =current_step, current_e,IF(Iterations[[#This Row],[Step]] &gt; current_step, "",Iterations[[#This Row],[e]]))</f>
        <v>11.296195916942253</v>
      </c>
      <c r="L932" s="2">
        <f ca="1">IF(Iterations[[#This Row],[Step]] =current_step, current_Total_Loss,IF(Iterations[[#This Row],[Step]] &gt; current_step, "",Iterations[[#This Row],[Total Loss]]))</f>
        <v>90.43</v>
      </c>
      <c r="M932" s="6" t="s">
        <v>27</v>
      </c>
      <c r="N932" s="2">
        <f ca="1">IF(Iterations[[#This Row],[Step]] =current_step, current_Grad_a,IF(Iterations[[#This Row],[Step]] &gt; current_step, "",Iterations[[#This Row],[Grad_a]]))</f>
        <v>2.5816804394670611E-3</v>
      </c>
      <c r="O932" s="2">
        <f ca="1">IF(Iterations[[#This Row],[Step]] =current_step, current_Grad_b,IF(Iterations[[#This Row],[Step]] &gt; current_step, "",Iterations[[#This Row],[Grad_b]]))</f>
        <v>4.5024085393545005E-4</v>
      </c>
      <c r="P932" s="2">
        <f ca="1">IF(Iterations[[#This Row],[Step]] =current_step, current_Grad_c,IF(Iterations[[#This Row],[Step]] &gt; current_step, "",Iterations[[#This Row],[Grad_c]]))</f>
        <v>-7.2419064014201577E-3</v>
      </c>
      <c r="Q932" s="2">
        <f ca="1">IF(Iterations[[#This Row],[Step]] =current_step, current_Grad_d,IF(Iterations[[#This Row],[Step]] &gt; current_step, "",Iterations[[#This Row],[Grad_d]]))</f>
        <v>-4.1358642854678114E-4</v>
      </c>
      <c r="R932" s="2">
        <f ca="1">IF(Iterations[[#This Row],[Step]] =current_step, current_Grad_e,IF(Iterations[[#This Row],[Step]] &gt; current_step, "",Iterations[[#This Row],[Grad_e]]))</f>
        <v>2.58266848056701E-3</v>
      </c>
    </row>
    <row r="933" spans="6:18" x14ac:dyDescent="0.3">
      <c r="F933" s="2">
        <f t="shared" si="16"/>
        <v>916</v>
      </c>
      <c r="G933" s="2">
        <f ca="1">IF(Iterations[[#This Row],[Step]] =current_step, current_a,IF(Iterations[[#This Row],[Step]] &gt; current_step, "",Iterations[[#This Row],[a]]))</f>
        <v>-7.2840286459198467</v>
      </c>
      <c r="H933" s="2">
        <f ca="1">IF(Iterations[[#This Row],[Step]] =current_step, current_b,IF(Iterations[[#This Row],[Step]] &gt; current_step, "",Iterations[[#This Row],[b]]))</f>
        <v>0.34657160175310175</v>
      </c>
      <c r="I933" s="2">
        <f ca="1">IF(Iterations[[#This Row],[Step]] =current_step, current_c,IF(Iterations[[#This Row],[Step]] &gt; current_step, "",Iterations[[#This Row],[c]]))</f>
        <v>21.269118226967446</v>
      </c>
      <c r="J933" s="2">
        <f ca="1">IF(Iterations[[#This Row],[Step]] =current_step, current_d,IF(Iterations[[#This Row],[Step]] &gt; current_step, "",Iterations[[#This Row],[d]]))</f>
        <v>1.2064211367037434</v>
      </c>
      <c r="K933" s="2">
        <f ca="1">IF(Iterations[[#This Row],[Step]] =current_step, current_e,IF(Iterations[[#This Row],[Step]] &gt; current_step, "",Iterations[[#This Row],[e]]))</f>
        <v>11.296015130148612</v>
      </c>
      <c r="L933" s="2">
        <f ca="1">IF(Iterations[[#This Row],[Step]] =current_step, current_Total_Loss,IF(Iterations[[#This Row],[Step]] &gt; current_step, "",Iterations[[#This Row],[Total Loss]]))</f>
        <v>90.43</v>
      </c>
      <c r="M933" s="6" t="s">
        <v>27</v>
      </c>
      <c r="N933" s="2">
        <f ca="1">IF(Iterations[[#This Row],[Step]] =current_step, current_Grad_a,IF(Iterations[[#This Row],[Step]] &gt; current_step, "",Iterations[[#This Row],[Grad_a]]))</f>
        <v>2.5642099425994148E-3</v>
      </c>
      <c r="O933" s="2">
        <f ca="1">IF(Iterations[[#This Row],[Step]] =current_step, current_Grad_b,IF(Iterations[[#This Row],[Step]] &gt; current_step, "",Iterations[[#This Row],[Grad_b]]))</f>
        <v>4.4719432016071536E-4</v>
      </c>
      <c r="P933" s="2">
        <f ca="1">IF(Iterations[[#This Row],[Step]] =current_step, current_Grad_c,IF(Iterations[[#This Row],[Step]] &gt; current_step, "",Iterations[[#This Row],[Grad_c]]))</f>
        <v>-7.1928996183205302E-3</v>
      </c>
      <c r="Q933" s="2">
        <f ca="1">IF(Iterations[[#This Row],[Step]] =current_step, current_Grad_d,IF(Iterations[[#This Row],[Step]] &gt; current_step, "",Iterations[[#This Row],[Grad_d]]))</f>
        <v>-4.1078826664859354E-4</v>
      </c>
      <c r="R933" s="2">
        <f ca="1">IF(Iterations[[#This Row],[Step]] =current_step, current_Grad_e,IF(Iterations[[#This Row],[Step]] &gt; current_step, "",Iterations[[#This Row],[Grad_e]]))</f>
        <v>2.5651912680033145E-3</v>
      </c>
    </row>
    <row r="934" spans="6:18" x14ac:dyDescent="0.3">
      <c r="F934" s="2">
        <f t="shared" si="16"/>
        <v>917</v>
      </c>
      <c r="G934" s="2">
        <f ca="1">IF(Iterations[[#This Row],[Step]] =current_step, current_a,IF(Iterations[[#This Row],[Step]] &gt; current_step, "",Iterations[[#This Row],[a]]))</f>
        <v>-7.2842081406158288</v>
      </c>
      <c r="H934" s="2">
        <f ca="1">IF(Iterations[[#This Row],[Step]] =current_step, current_b,IF(Iterations[[#This Row],[Step]] &gt; current_step, "",Iterations[[#This Row],[b]]))</f>
        <v>0.34654029815069048</v>
      </c>
      <c r="I934" s="2">
        <f ca="1">IF(Iterations[[#This Row],[Step]] =current_step, current_c,IF(Iterations[[#This Row],[Step]] &gt; current_step, "",Iterations[[#This Row],[c]]))</f>
        <v>21.269621729940727</v>
      </c>
      <c r="J934" s="2">
        <f ca="1">IF(Iterations[[#This Row],[Step]] =current_step, current_d,IF(Iterations[[#This Row],[Step]] &gt; current_step, "",Iterations[[#This Row],[d]]))</f>
        <v>1.2064498918824087</v>
      </c>
      <c r="K934" s="2">
        <f ca="1">IF(Iterations[[#This Row],[Step]] =current_step, current_e,IF(Iterations[[#This Row],[Step]] &gt; current_step, "",Iterations[[#This Row],[e]]))</f>
        <v>11.295835566759852</v>
      </c>
      <c r="L934" s="2">
        <f ca="1">IF(Iterations[[#This Row],[Step]] =current_step, current_Total_Loss,IF(Iterations[[#This Row],[Step]] &gt; current_step, "",Iterations[[#This Row],[Total Loss]]))</f>
        <v>90.43</v>
      </c>
      <c r="M934" s="6" t="s">
        <v>27</v>
      </c>
      <c r="N934" s="2">
        <f ca="1">IF(Iterations[[#This Row],[Step]] =current_step, current_Grad_a,IF(Iterations[[#This Row],[Step]] &gt; current_step, "",Iterations[[#This Row],[Grad_a]]))</f>
        <v>2.5468576702881839E-3</v>
      </c>
      <c r="O934" s="2">
        <f ca="1">IF(Iterations[[#This Row],[Step]] =current_step, current_Grad_b,IF(Iterations[[#This Row],[Step]] &gt; current_step, "",Iterations[[#This Row],[Grad_b]]))</f>
        <v>4.4416839737608055E-4</v>
      </c>
      <c r="P934" s="2">
        <f ca="1">IF(Iterations[[#This Row],[Step]] =current_step, current_Grad_c,IF(Iterations[[#This Row],[Step]] &gt; current_step, "",Iterations[[#This Row],[Grad_c]]))</f>
        <v>-7.1442244700837942E-3</v>
      </c>
      <c r="Q934" s="2">
        <f ca="1">IF(Iterations[[#This Row],[Step]] =current_step, current_Grad_d,IF(Iterations[[#This Row],[Step]] &gt; current_step, "",Iterations[[#This Row],[Grad_d]]))</f>
        <v>-4.080090291445071E-4</v>
      </c>
      <c r="R934" s="2">
        <f ca="1">IF(Iterations[[#This Row],[Step]] =current_step, current_Grad_e,IF(Iterations[[#This Row],[Step]] &gt; current_step, "",Iterations[[#This Row],[Grad_e]]))</f>
        <v>2.5478323260001742E-3</v>
      </c>
    </row>
    <row r="935" spans="6:18" x14ac:dyDescent="0.3">
      <c r="F935" s="2">
        <f t="shared" si="16"/>
        <v>918</v>
      </c>
      <c r="G935" s="2">
        <f ca="1">IF(Iterations[[#This Row],[Step]] =current_step, current_a,IF(Iterations[[#This Row],[Step]] &gt; current_step, "",Iterations[[#This Row],[a]]))</f>
        <v>-7.2843864206527487</v>
      </c>
      <c r="H935" s="2">
        <f ca="1">IF(Iterations[[#This Row],[Step]] =current_step, current_b,IF(Iterations[[#This Row],[Step]] &gt; current_step, "",Iterations[[#This Row],[b]]))</f>
        <v>0.34650920636287413</v>
      </c>
      <c r="I935" s="2">
        <f ca="1">IF(Iterations[[#This Row],[Step]] =current_step, current_c,IF(Iterations[[#This Row],[Step]] &gt; current_step, "",Iterations[[#This Row],[c]]))</f>
        <v>21.270121825653632</v>
      </c>
      <c r="J935" s="2">
        <f ca="1">IF(Iterations[[#This Row],[Step]] =current_step, current_d,IF(Iterations[[#This Row],[Step]] &gt; current_step, "",Iterations[[#This Row],[d]]))</f>
        <v>1.2064784525144487</v>
      </c>
      <c r="K935" s="2">
        <f ca="1">IF(Iterations[[#This Row],[Step]] =current_step, current_e,IF(Iterations[[#This Row],[Step]] &gt; current_step, "",Iterations[[#This Row],[e]]))</f>
        <v>11.295657218497032</v>
      </c>
      <c r="L935" s="2">
        <f ca="1">IF(Iterations[[#This Row],[Step]] =current_step, current_Total_Loss,IF(Iterations[[#This Row],[Step]] &gt; current_step, "",Iterations[[#This Row],[Total Loss]]))</f>
        <v>90.43</v>
      </c>
      <c r="M935" s="6" t="s">
        <v>27</v>
      </c>
      <c r="N935" s="2">
        <f ca="1">IF(Iterations[[#This Row],[Step]] =current_step, current_Grad_a,IF(Iterations[[#This Row],[Step]] &gt; current_step, "",Iterations[[#This Row],[Grad_a]]))</f>
        <v>2.5296228225639952E-3</v>
      </c>
      <c r="O935" s="2">
        <f ca="1">IF(Iterations[[#This Row],[Step]] =current_step, current_Grad_b,IF(Iterations[[#This Row],[Step]] &gt; current_step, "",Iterations[[#This Row],[Grad_b]]))</f>
        <v>4.411629461931188E-4</v>
      </c>
      <c r="P935" s="2">
        <f ca="1">IF(Iterations[[#This Row],[Step]] =current_step, current_Grad_c,IF(Iterations[[#This Row],[Step]] &gt; current_step, "",Iterations[[#This Row],[Grad_c]]))</f>
        <v>-7.0958787124539109E-3</v>
      </c>
      <c r="Q935" s="2">
        <f ca="1">IF(Iterations[[#This Row],[Step]] =current_step, current_Grad_d,IF(Iterations[[#This Row],[Step]] &gt; current_step, "",Iterations[[#This Row],[Grad_d]]))</f>
        <v>-4.0524858816695343E-4</v>
      </c>
      <c r="R935" s="2">
        <f ca="1">IF(Iterations[[#This Row],[Step]] =current_step, current_Grad_e,IF(Iterations[[#This Row],[Step]] &gt; current_step, "",Iterations[[#This Row],[Grad_e]]))</f>
        <v>2.5305908542225808E-3</v>
      </c>
    </row>
    <row r="936" spans="6:18" x14ac:dyDescent="0.3">
      <c r="F936" s="2">
        <f t="shared" si="16"/>
        <v>919</v>
      </c>
      <c r="G936" s="2">
        <f ca="1">IF(Iterations[[#This Row],[Step]] =current_step, current_a,IF(Iterations[[#This Row],[Step]] &gt; current_step, "",Iterations[[#This Row],[a]]))</f>
        <v>-7.2845634942503281</v>
      </c>
      <c r="H936" s="2">
        <f ca="1">IF(Iterations[[#This Row],[Step]] =current_step, current_b,IF(Iterations[[#This Row],[Step]] &gt; current_step, "",Iterations[[#This Row],[b]]))</f>
        <v>0.3464783249566406</v>
      </c>
      <c r="I936" s="2">
        <f ca="1">IF(Iterations[[#This Row],[Step]] =current_step, current_c,IF(Iterations[[#This Row],[Step]] &gt; current_step, "",Iterations[[#This Row],[c]]))</f>
        <v>21.270618537163504</v>
      </c>
      <c r="J936" s="2">
        <f ca="1">IF(Iterations[[#This Row],[Step]] =current_step, current_d,IF(Iterations[[#This Row],[Step]] &gt; current_step, "",Iterations[[#This Row],[d]]))</f>
        <v>1.2065068199156204</v>
      </c>
      <c r="K936" s="2">
        <f ca="1">IF(Iterations[[#This Row],[Step]] =current_step, current_e,IF(Iterations[[#This Row],[Step]] &gt; current_step, "",Iterations[[#This Row],[e]]))</f>
        <v>11.295480077137237</v>
      </c>
      <c r="L936" s="2">
        <f ca="1">IF(Iterations[[#This Row],[Step]] =current_step, current_Total_Loss,IF(Iterations[[#This Row],[Step]] &gt; current_step, "",Iterations[[#This Row],[Total Loss]]))</f>
        <v>90.43</v>
      </c>
      <c r="M936" s="6" t="s">
        <v>27</v>
      </c>
      <c r="N936" s="2">
        <f ca="1">IF(Iterations[[#This Row],[Step]] =current_step, current_Grad_a,IF(Iterations[[#This Row],[Step]] &gt; current_step, "",Iterations[[#This Row],[Grad_a]]))</f>
        <v>2.5125046047415425E-3</v>
      </c>
      <c r="O936" s="2">
        <f ca="1">IF(Iterations[[#This Row],[Step]] =current_step, current_Grad_b,IF(Iterations[[#This Row],[Step]] &gt; current_step, "",Iterations[[#This Row],[Grad_b]]))</f>
        <v>4.381778281827595E-4</v>
      </c>
      <c r="P936" s="2">
        <f ca="1">IF(Iterations[[#This Row],[Step]] =current_step, current_Grad_c,IF(Iterations[[#This Row],[Step]] &gt; current_step, "",Iterations[[#This Row],[Grad_c]]))</f>
        <v>-7.0478601164275885E-3</v>
      </c>
      <c r="Q936" s="2">
        <f ca="1">IF(Iterations[[#This Row],[Step]] =current_step, current_Grad_d,IF(Iterations[[#This Row],[Step]] &gt; current_step, "",Iterations[[#This Row],[Grad_d]]))</f>
        <v>-4.0250681670905841E-4</v>
      </c>
      <c r="R936" s="2">
        <f ca="1">IF(Iterations[[#This Row],[Step]] =current_step, current_Grad_e,IF(Iterations[[#This Row],[Step]] &gt; current_step, "",Iterations[[#This Row],[Grad_e]]))</f>
        <v>2.5134660577077225E-3</v>
      </c>
    </row>
    <row r="937" spans="6:18" x14ac:dyDescent="0.3">
      <c r="F937" s="2">
        <f t="shared" si="16"/>
        <v>920</v>
      </c>
      <c r="G937" s="2">
        <f ca="1">IF(Iterations[[#This Row],[Step]] =current_step, current_a,IF(Iterations[[#This Row],[Step]] &gt; current_step, "",Iterations[[#This Row],[a]]))</f>
        <v>-7.2847393695726597</v>
      </c>
      <c r="H937" s="2">
        <f ca="1">IF(Iterations[[#This Row],[Step]] =current_step, current_b,IF(Iterations[[#This Row],[Step]] &gt; current_step, "",Iterations[[#This Row],[b]]))</f>
        <v>0.34644765250866782</v>
      </c>
      <c r="I937" s="2">
        <f ca="1">IF(Iterations[[#This Row],[Step]] =current_step, current_c,IF(Iterations[[#This Row],[Step]] &gt; current_step, "",Iterations[[#This Row],[c]]))</f>
        <v>21.271111887371653</v>
      </c>
      <c r="J937" s="2">
        <f ca="1">IF(Iterations[[#This Row],[Step]] =current_step, current_d,IF(Iterations[[#This Row],[Step]] &gt; current_step, "",Iterations[[#This Row],[d]]))</f>
        <v>1.20653499539279</v>
      </c>
      <c r="K937" s="2">
        <f ca="1">IF(Iterations[[#This Row],[Step]] =current_step, current_e,IF(Iterations[[#This Row],[Step]] &gt; current_step, "",Iterations[[#This Row],[e]]))</f>
        <v>11.295304134513197</v>
      </c>
      <c r="L937" s="2">
        <f ca="1">IF(Iterations[[#This Row],[Step]] =current_step, current_Total_Loss,IF(Iterations[[#This Row],[Step]] &gt; current_step, "",Iterations[[#This Row],[Total Loss]]))</f>
        <v>90.43</v>
      </c>
      <c r="M937" s="6" t="s">
        <v>27</v>
      </c>
      <c r="N937" s="2">
        <f ca="1">IF(Iterations[[#This Row],[Step]] =current_step, current_Grad_a,IF(Iterations[[#This Row],[Step]] &gt; current_step, "",Iterations[[#This Row],[Grad_a]]))</f>
        <v>2.4955022276997121E-3</v>
      </c>
      <c r="O937" s="2">
        <f ca="1">IF(Iterations[[#This Row],[Step]] =current_step, current_Grad_b,IF(Iterations[[#This Row],[Step]] &gt; current_step, "",Iterations[[#This Row],[Grad_b]]))</f>
        <v>4.3521290582246606E-4</v>
      </c>
      <c r="P937" s="2">
        <f ca="1">IF(Iterations[[#This Row],[Step]] =current_step, current_Grad_c,IF(Iterations[[#This Row],[Step]] &gt; current_step, "",Iterations[[#This Row],[Grad_c]]))</f>
        <v>-7.0001664679983549E-3</v>
      </c>
      <c r="Q937" s="2">
        <f ca="1">IF(Iterations[[#This Row],[Step]] =current_step, current_Grad_d,IF(Iterations[[#This Row],[Step]] &gt; current_step, "",Iterations[[#This Row],[Grad_d]]))</f>
        <v>-3.9978358862617175E-4</v>
      </c>
      <c r="R937" s="2">
        <f ca="1">IF(Iterations[[#This Row],[Step]] =current_step, current_Grad_e,IF(Iterations[[#This Row],[Step]] &gt; current_step, "",Iterations[[#This Row],[Grad_e]]))</f>
        <v>2.4964571469233083E-3</v>
      </c>
    </row>
    <row r="938" spans="6:18" x14ac:dyDescent="0.3">
      <c r="F938" s="2">
        <f t="shared" si="16"/>
        <v>921</v>
      </c>
      <c r="G938" s="2">
        <f ca="1">IF(Iterations[[#This Row],[Step]] =current_step, current_a,IF(Iterations[[#This Row],[Step]] &gt; current_step, "",Iterations[[#This Row],[a]]))</f>
        <v>-7.2849140547285982</v>
      </c>
      <c r="H938" s="2">
        <f ca="1">IF(Iterations[[#This Row],[Step]] =current_step, current_b,IF(Iterations[[#This Row],[Step]] &gt; current_step, "",Iterations[[#This Row],[b]]))</f>
        <v>0.34641718760526025</v>
      </c>
      <c r="I938" s="2">
        <f ca="1">IF(Iterations[[#This Row],[Step]] =current_step, current_c,IF(Iterations[[#This Row],[Step]] &gt; current_step, "",Iterations[[#This Row],[c]]))</f>
        <v>21.271601899024414</v>
      </c>
      <c r="J938" s="2">
        <f ca="1">IF(Iterations[[#This Row],[Step]] =current_step, current_d,IF(Iterations[[#This Row],[Step]] &gt; current_step, "",Iterations[[#This Row],[d]]))</f>
        <v>1.2065629802439939</v>
      </c>
      <c r="K938" s="2">
        <f ca="1">IF(Iterations[[#This Row],[Step]] =current_step, current_e,IF(Iterations[[#This Row],[Step]] &gt; current_step, "",Iterations[[#This Row],[e]]))</f>
        <v>11.295129382512911</v>
      </c>
      <c r="L938" s="2">
        <f ca="1">IF(Iterations[[#This Row],[Step]] =current_step, current_Total_Loss,IF(Iterations[[#This Row],[Step]] &gt; current_step, "",Iterations[[#This Row],[Total Loss]]))</f>
        <v>90.43</v>
      </c>
      <c r="M938" s="6" t="s">
        <v>27</v>
      </c>
      <c r="N938" s="2">
        <f ca="1">IF(Iterations[[#This Row],[Step]] =current_step, current_Grad_a,IF(Iterations[[#This Row],[Step]] &gt; current_step, "",Iterations[[#This Row],[Grad_a]]))</f>
        <v>2.4786149073580985E-3</v>
      </c>
      <c r="O938" s="2">
        <f ca="1">IF(Iterations[[#This Row],[Step]] =current_step, current_Grad_b,IF(Iterations[[#This Row],[Step]] &gt; current_step, "",Iterations[[#This Row],[Grad_b]]))</f>
        <v>4.3226804254508581E-4</v>
      </c>
      <c r="P938" s="2">
        <f ca="1">IF(Iterations[[#This Row],[Step]] =current_step, current_Grad_c,IF(Iterations[[#This Row],[Step]] &gt; current_step, "",Iterations[[#This Row],[Grad_c]]))</f>
        <v>-6.9527955682728475E-3</v>
      </c>
      <c r="Q938" s="2">
        <f ca="1">IF(Iterations[[#This Row],[Step]] =current_step, current_Grad_d,IF(Iterations[[#This Row],[Step]] &gt; current_step, "",Iterations[[#This Row],[Grad_d]]))</f>
        <v>-3.9707877861859683E-4</v>
      </c>
      <c r="R938" s="2">
        <f ca="1">IF(Iterations[[#This Row],[Step]] =current_step, current_Grad_e,IF(Iterations[[#This Row],[Step]] &gt; current_step, "",Iterations[[#This Row],[Grad_e]]))</f>
        <v>2.4795633376154904E-3</v>
      </c>
    </row>
    <row r="939" spans="6:18" x14ac:dyDescent="0.3">
      <c r="F939" s="2">
        <f t="shared" si="16"/>
        <v>922</v>
      </c>
      <c r="G939" s="2">
        <f ca="1">IF(Iterations[[#This Row],[Step]] =current_step, current_a,IF(Iterations[[#This Row],[Step]] &gt; current_step, "",Iterations[[#This Row],[a]]))</f>
        <v>-7.2850875577721137</v>
      </c>
      <c r="H939" s="2">
        <f ca="1">IF(Iterations[[#This Row],[Step]] =current_step, current_b,IF(Iterations[[#This Row],[Step]] &gt; current_step, "",Iterations[[#This Row],[b]]))</f>
        <v>0.34638692884228212</v>
      </c>
      <c r="I939" s="2">
        <f ca="1">IF(Iterations[[#This Row],[Step]] =current_step, current_c,IF(Iterations[[#This Row],[Step]] &gt; current_step, "",Iterations[[#This Row],[c]]))</f>
        <v>21.272088594714194</v>
      </c>
      <c r="J939" s="2">
        <f ca="1">IF(Iterations[[#This Row],[Step]] =current_step, current_d,IF(Iterations[[#This Row],[Step]] &gt; current_step, "",Iterations[[#This Row],[d]]))</f>
        <v>1.2065907757584973</v>
      </c>
      <c r="K939" s="2">
        <f ca="1">IF(Iterations[[#This Row],[Step]] =current_step, current_e,IF(Iterations[[#This Row],[Step]] &gt; current_step, "",Iterations[[#This Row],[e]]))</f>
        <v>11.294955813079278</v>
      </c>
      <c r="L939" s="2">
        <f ca="1">IF(Iterations[[#This Row],[Step]] =current_step, current_Total_Loss,IF(Iterations[[#This Row],[Step]] &gt; current_step, "",Iterations[[#This Row],[Total Loss]]))</f>
        <v>90.43</v>
      </c>
      <c r="M939" s="6" t="s">
        <v>27</v>
      </c>
      <c r="N939" s="2">
        <f ca="1">IF(Iterations[[#This Row],[Step]] =current_step, current_Grad_a,IF(Iterations[[#This Row],[Step]] &gt; current_step, "",Iterations[[#This Row],[Grad_a]]))</f>
        <v>2.461841865242034E-3</v>
      </c>
      <c r="O939" s="2">
        <f ca="1">IF(Iterations[[#This Row],[Step]] =current_step, current_Grad_b,IF(Iterations[[#This Row],[Step]] &gt; current_step, "",Iterations[[#This Row],[Grad_b]]))</f>
        <v>4.2934310268898871E-4</v>
      </c>
      <c r="P939" s="2">
        <f ca="1">IF(Iterations[[#This Row],[Step]] =current_step, current_Grad_c,IF(Iterations[[#This Row],[Step]] &gt; current_step, "",Iterations[[#This Row],[Grad_c]]))</f>
        <v>-6.9057452331101853E-3</v>
      </c>
      <c r="Q939" s="2">
        <f ca="1">IF(Iterations[[#This Row],[Step]] =current_step, current_Grad_d,IF(Iterations[[#This Row],[Step]] &gt; current_step, "",Iterations[[#This Row],[Grad_d]]))</f>
        <v>-3.9439226223303425E-4</v>
      </c>
      <c r="R939" s="2">
        <f ca="1">IF(Iterations[[#This Row],[Step]] =current_step, current_Grad_e,IF(Iterations[[#This Row],[Step]] &gt; current_step, "",Iterations[[#This Row],[Grad_e]]))</f>
        <v>2.4627838508986719E-3</v>
      </c>
    </row>
    <row r="940" spans="6:18" x14ac:dyDescent="0.3">
      <c r="F940" s="2">
        <f t="shared" si="16"/>
        <v>923</v>
      </c>
      <c r="G940" s="2">
        <f ca="1">IF(Iterations[[#This Row],[Step]] =current_step, current_a,IF(Iterations[[#This Row],[Step]] &gt; current_step, "",Iterations[[#This Row],[a]]))</f>
        <v>-7.285259886702681</v>
      </c>
      <c r="H940" s="2">
        <f ca="1">IF(Iterations[[#This Row],[Step]] =current_step, current_b,IF(Iterations[[#This Row],[Step]] &gt; current_step, "",Iterations[[#This Row],[b]]))</f>
        <v>0.34635687482509386</v>
      </c>
      <c r="I940" s="2">
        <f ca="1">IF(Iterations[[#This Row],[Step]] =current_step, current_c,IF(Iterations[[#This Row],[Step]] &gt; current_step, "",Iterations[[#This Row],[c]]))</f>
        <v>21.272571996880512</v>
      </c>
      <c r="J940" s="2">
        <f ca="1">IF(Iterations[[#This Row],[Step]] =current_step, current_d,IF(Iterations[[#This Row],[Step]] &gt; current_step, "",Iterations[[#This Row],[d]]))</f>
        <v>1.2066183832168536</v>
      </c>
      <c r="K940" s="2">
        <f ca="1">IF(Iterations[[#This Row],[Step]] =current_step, current_e,IF(Iterations[[#This Row],[Step]] &gt; current_step, "",Iterations[[#This Row],[e]]))</f>
        <v>11.294783418209715</v>
      </c>
      <c r="L940" s="2">
        <f ca="1">IF(Iterations[[#This Row],[Step]] =current_step, current_Total_Loss,IF(Iterations[[#This Row],[Step]] &gt; current_step, "",Iterations[[#This Row],[Total Loss]]))</f>
        <v>90.43</v>
      </c>
      <c r="M940" s="6" t="s">
        <v>27</v>
      </c>
      <c r="N940" s="2">
        <f ca="1">IF(Iterations[[#This Row],[Step]] =current_step, current_Grad_a,IF(Iterations[[#This Row],[Step]] &gt; current_step, "",Iterations[[#This Row],[Grad_a]]))</f>
        <v>2.4451823279763771E-3</v>
      </c>
      <c r="O940" s="2">
        <f ca="1">IF(Iterations[[#This Row],[Step]] =current_step, current_Grad_b,IF(Iterations[[#This Row],[Step]] &gt; current_step, "",Iterations[[#This Row],[Grad_b]]))</f>
        <v>4.2643795151891476E-4</v>
      </c>
      <c r="P940" s="2">
        <f ca="1">IF(Iterations[[#This Row],[Step]] =current_step, current_Grad_c,IF(Iterations[[#This Row],[Step]] &gt; current_step, "",Iterations[[#This Row],[Grad_c]]))</f>
        <v>-6.8590132932224218E-3</v>
      </c>
      <c r="Q940" s="2">
        <f ca="1">IF(Iterations[[#This Row],[Step]] =current_step, current_Grad_d,IF(Iterations[[#This Row],[Step]] &gt; current_step, "",Iterations[[#This Row],[Grad_d]]))</f>
        <v>-3.9172391585521699E-4</v>
      </c>
      <c r="R940" s="2">
        <f ca="1">IF(Iterations[[#This Row],[Step]] =current_step, current_Grad_e,IF(Iterations[[#This Row],[Step]] &gt; current_step, "",Iterations[[#This Row],[Grad_e]]))</f>
        <v>2.4461179131208943E-3</v>
      </c>
    </row>
    <row r="941" spans="6:18" x14ac:dyDescent="0.3">
      <c r="F941" s="2">
        <f t="shared" si="16"/>
        <v>924</v>
      </c>
      <c r="G941" s="2">
        <f ca="1">IF(Iterations[[#This Row],[Step]] =current_step, current_a,IF(Iterations[[#This Row],[Step]] &gt; current_step, "",Iterations[[#This Row],[a]]))</f>
        <v>-7.2854310494656396</v>
      </c>
      <c r="H941" s="2">
        <f ca="1">IF(Iterations[[#This Row],[Step]] =current_step, current_b,IF(Iterations[[#This Row],[Step]] &gt; current_step, "",Iterations[[#This Row],[b]]))</f>
        <v>0.34632702416848754</v>
      </c>
      <c r="I941" s="2">
        <f ca="1">IF(Iterations[[#This Row],[Step]] =current_step, current_c,IF(Iterations[[#This Row],[Step]] &gt; current_step, "",Iterations[[#This Row],[c]]))</f>
        <v>21.273052127811038</v>
      </c>
      <c r="J941" s="2">
        <f ca="1">IF(Iterations[[#This Row],[Step]] =current_step, current_d,IF(Iterations[[#This Row],[Step]] &gt; current_step, "",Iterations[[#This Row],[d]]))</f>
        <v>1.2066458038909633</v>
      </c>
      <c r="K941" s="2">
        <f ca="1">IF(Iterations[[#This Row],[Step]] =current_step, current_e,IF(Iterations[[#This Row],[Step]] &gt; current_step, "",Iterations[[#This Row],[e]]))</f>
        <v>11.294612189955796</v>
      </c>
      <c r="L941" s="2">
        <f ca="1">IF(Iterations[[#This Row],[Step]] =current_step, current_Total_Loss,IF(Iterations[[#This Row],[Step]] &gt; current_step, "",Iterations[[#This Row],[Total Loss]]))</f>
        <v>90.43</v>
      </c>
      <c r="M941" s="6" t="s">
        <v>27</v>
      </c>
      <c r="N941" s="2">
        <f ca="1">IF(Iterations[[#This Row],[Step]] =current_step, current_Grad_a,IF(Iterations[[#This Row],[Step]] &gt; current_step, "",Iterations[[#This Row],[Grad_a]]))</f>
        <v>2.4286355275110103E-3</v>
      </c>
      <c r="O941" s="2">
        <f ca="1">IF(Iterations[[#This Row],[Step]] =current_step, current_Grad_b,IF(Iterations[[#This Row],[Step]] &gt; current_step, "",Iterations[[#This Row],[Grad_b]]))</f>
        <v>4.2355245519703425E-4</v>
      </c>
      <c r="P941" s="2">
        <f ca="1">IF(Iterations[[#This Row],[Step]] =current_step, current_Grad_c,IF(Iterations[[#This Row],[Step]] &gt; current_step, "",Iterations[[#This Row],[Grad_c]]))</f>
        <v>-6.8125975939624904E-3</v>
      </c>
      <c r="Q941" s="2">
        <f ca="1">IF(Iterations[[#This Row],[Step]] =current_step, current_Grad_d,IF(Iterations[[#This Row],[Step]] &gt; current_step, "",Iterations[[#This Row],[Grad_d]]))</f>
        <v>-3.8907361670612349E-4</v>
      </c>
      <c r="R941" s="2">
        <f ca="1">IF(Iterations[[#This Row],[Step]] =current_step, current_Grad_e,IF(Iterations[[#This Row],[Step]] &gt; current_step, "",Iterations[[#This Row],[Grad_e]]))</f>
        <v>2.4295647558888098E-3</v>
      </c>
    </row>
    <row r="942" spans="6:18" x14ac:dyDescent="0.3">
      <c r="F942" s="2">
        <f t="shared" si="16"/>
        <v>925</v>
      </c>
      <c r="G942" s="2">
        <f ca="1">IF(Iterations[[#This Row],[Step]] =current_step, current_a,IF(Iterations[[#This Row],[Step]] &gt; current_step, "",Iterations[[#This Row],[a]]))</f>
        <v>-7.2856010539525657</v>
      </c>
      <c r="H942" s="2">
        <f ca="1">IF(Iterations[[#This Row],[Step]] =current_step, current_b,IF(Iterations[[#This Row],[Step]] &gt; current_step, "",Iterations[[#This Row],[b]]))</f>
        <v>0.34629737549662376</v>
      </c>
      <c r="I942" s="2">
        <f ca="1">IF(Iterations[[#This Row],[Step]] =current_step, current_c,IF(Iterations[[#This Row],[Step]] &gt; current_step, "",Iterations[[#This Row],[c]]))</f>
        <v>21.273529009642616</v>
      </c>
      <c r="J942" s="2">
        <f ca="1">IF(Iterations[[#This Row],[Step]] =current_step, current_d,IF(Iterations[[#This Row],[Step]] &gt; current_step, "",Iterations[[#This Row],[d]]))</f>
        <v>1.2066730390441327</v>
      </c>
      <c r="K942" s="2">
        <f ca="1">IF(Iterations[[#This Row],[Step]] =current_step, current_e,IF(Iterations[[#This Row],[Step]] &gt; current_step, "",Iterations[[#This Row],[e]]))</f>
        <v>11.294442120422884</v>
      </c>
      <c r="L942" s="2">
        <f ca="1">IF(Iterations[[#This Row],[Step]] =current_step, current_Total_Loss,IF(Iterations[[#This Row],[Step]] &gt; current_step, "",Iterations[[#This Row],[Total Loss]]))</f>
        <v>90.43</v>
      </c>
      <c r="M942" s="6" t="s">
        <v>27</v>
      </c>
      <c r="N942" s="2">
        <f ca="1">IF(Iterations[[#This Row],[Step]] =current_step, current_Grad_a,IF(Iterations[[#This Row],[Step]] &gt; current_step, "",Iterations[[#This Row],[Grad_a]]))</f>
        <v>2.4122007008653907E-3</v>
      </c>
      <c r="O942" s="2">
        <f ca="1">IF(Iterations[[#This Row],[Step]] =current_step, current_Grad_b,IF(Iterations[[#This Row],[Step]] &gt; current_step, "",Iterations[[#This Row],[Grad_b]]))</f>
        <v>4.2068648080887766E-4</v>
      </c>
      <c r="P942" s="2">
        <f ca="1">IF(Iterations[[#This Row],[Step]] =current_step, current_Grad_c,IF(Iterations[[#This Row],[Step]] &gt; current_step, "",Iterations[[#This Row],[Grad_c]]))</f>
        <v>-6.7664959953164239E-3</v>
      </c>
      <c r="Q942" s="2">
        <f ca="1">IF(Iterations[[#This Row],[Step]] =current_step, current_Grad_d,IF(Iterations[[#This Row],[Step]] &gt; current_step, "",Iterations[[#This Row],[Grad_d]]))</f>
        <v>-3.8644124282765583E-4</v>
      </c>
      <c r="R942" s="2">
        <f ca="1">IF(Iterations[[#This Row],[Step]] =current_step, current_Grad_e,IF(Iterations[[#This Row],[Step]] &gt; current_step, "",Iterations[[#This Row],[Grad_e]]))</f>
        <v>2.4131236159832012E-3</v>
      </c>
    </row>
    <row r="943" spans="6:18" x14ac:dyDescent="0.3">
      <c r="F943" s="2">
        <f t="shared" si="16"/>
        <v>926</v>
      </c>
      <c r="G943" s="2">
        <f ca="1">IF(Iterations[[#This Row],[Step]] =current_step, current_a,IF(Iterations[[#This Row],[Step]] &gt; current_step, "",Iterations[[#This Row],[a]]))</f>
        <v>-7.285769908001626</v>
      </c>
      <c r="H943" s="2">
        <f ca="1">IF(Iterations[[#This Row],[Step]] =current_step, current_b,IF(Iterations[[#This Row],[Step]] &gt; current_step, "",Iterations[[#This Row],[b]]))</f>
        <v>0.34626792744296714</v>
      </c>
      <c r="I943" s="2">
        <f ca="1">IF(Iterations[[#This Row],[Step]] =current_step, current_c,IF(Iterations[[#This Row],[Step]] &gt; current_step, "",Iterations[[#This Row],[c]]))</f>
        <v>21.274002664362289</v>
      </c>
      <c r="J943" s="2">
        <f ca="1">IF(Iterations[[#This Row],[Step]] =current_step, current_d,IF(Iterations[[#This Row],[Step]] &gt; current_step, "",Iterations[[#This Row],[d]]))</f>
        <v>1.2067000899311306</v>
      </c>
      <c r="K943" s="2">
        <f ca="1">IF(Iterations[[#This Row],[Step]] =current_step, current_e,IF(Iterations[[#This Row],[Step]] &gt; current_step, "",Iterations[[#This Row],[e]]))</f>
        <v>11.294273201769766</v>
      </c>
      <c r="L943" s="2">
        <f ca="1">IF(Iterations[[#This Row],[Step]] =current_step, current_Total_Loss,IF(Iterations[[#This Row],[Step]] &gt; current_step, "",Iterations[[#This Row],[Total Loss]]))</f>
        <v>90.43</v>
      </c>
      <c r="M943" s="6" t="s">
        <v>27</v>
      </c>
      <c r="N943" s="2">
        <f ca="1">IF(Iterations[[#This Row],[Step]] =current_step, current_Grad_a,IF(Iterations[[#This Row],[Step]] &gt; current_step, "",Iterations[[#This Row],[Grad_a]]))</f>
        <v>2.3958770903679139E-3</v>
      </c>
      <c r="O943" s="2">
        <f ca="1">IF(Iterations[[#This Row],[Step]] =current_step, current_Grad_b,IF(Iterations[[#This Row],[Step]] &gt; current_step, "",Iterations[[#This Row],[Grad_b]]))</f>
        <v>4.1783989633160782E-4</v>
      </c>
      <c r="P943" s="2">
        <f ca="1">IF(Iterations[[#This Row],[Step]] =current_step, current_Grad_c,IF(Iterations[[#This Row],[Step]] &gt; current_step, "",Iterations[[#This Row],[Grad_c]]))</f>
        <v>-6.7207063716904951E-3</v>
      </c>
      <c r="Q943" s="2">
        <f ca="1">IF(Iterations[[#This Row],[Step]] =current_step, current_Grad_d,IF(Iterations[[#This Row],[Step]] &gt; current_step, "",Iterations[[#This Row],[Grad_d]]))</f>
        <v>-3.838266730881168E-4</v>
      </c>
      <c r="R943" s="2">
        <f ca="1">IF(Iterations[[#This Row],[Step]] =current_step, current_Grad_e,IF(Iterations[[#This Row],[Step]] &gt; current_step, "",Iterations[[#This Row],[Grad_e]]))</f>
        <v>2.3967937353778345E-3</v>
      </c>
    </row>
    <row r="944" spans="6:18" x14ac:dyDescent="0.3">
      <c r="F944" s="2">
        <f t="shared" si="16"/>
        <v>927</v>
      </c>
      <c r="G944" s="2">
        <f ca="1">IF(Iterations[[#This Row],[Step]] =current_step, current_a,IF(Iterations[[#This Row],[Step]] &gt; current_step, "",Iterations[[#This Row],[a]]))</f>
        <v>-7.2859376193979521</v>
      </c>
      <c r="H944" s="2">
        <f ca="1">IF(Iterations[[#This Row],[Step]] =current_step, current_b,IF(Iterations[[#This Row],[Step]] &gt; current_step, "",Iterations[[#This Row],[b]]))</f>
        <v>0.34623867865022395</v>
      </c>
      <c r="I944" s="2">
        <f ca="1">IF(Iterations[[#This Row],[Step]] =current_step, current_c,IF(Iterations[[#This Row],[Step]] &gt; current_step, "",Iterations[[#This Row],[c]]))</f>
        <v>21.274473113808309</v>
      </c>
      <c r="J944" s="2">
        <f ca="1">IF(Iterations[[#This Row],[Step]] =current_step, current_d,IF(Iterations[[#This Row],[Step]] &gt; current_step, "",Iterations[[#This Row],[d]]))</f>
        <v>1.2067269577982469</v>
      </c>
      <c r="K944" s="2">
        <f ca="1">IF(Iterations[[#This Row],[Step]] =current_step, current_e,IF(Iterations[[#This Row],[Step]] &gt; current_step, "",Iterations[[#This Row],[e]]))</f>
        <v>11.29410542620829</v>
      </c>
      <c r="L944" s="2">
        <f ca="1">IF(Iterations[[#This Row],[Step]] =current_step, current_Total_Loss,IF(Iterations[[#This Row],[Step]] &gt; current_step, "",Iterations[[#This Row],[Total Loss]]))</f>
        <v>90.43</v>
      </c>
      <c r="M944" s="6" t="s">
        <v>27</v>
      </c>
      <c r="N944" s="2">
        <f ca="1">IF(Iterations[[#This Row],[Step]] =current_step, current_Grad_a,IF(Iterations[[#This Row],[Step]] &gt; current_step, "",Iterations[[#This Row],[Grad_a]]))</f>
        <v>2.379663943380825E-3</v>
      </c>
      <c r="O944" s="2">
        <f ca="1">IF(Iterations[[#This Row],[Step]] =current_step, current_Grad_b,IF(Iterations[[#This Row],[Step]] &gt; current_step, "",Iterations[[#This Row],[Grad_b]]))</f>
        <v>4.1501257061721871E-4</v>
      </c>
      <c r="P944" s="2">
        <f ca="1">IF(Iterations[[#This Row],[Step]] =current_step, current_Grad_c,IF(Iterations[[#This Row],[Step]] &gt; current_step, "",Iterations[[#This Row],[Grad_c]]))</f>
        <v>-6.6752266119212518E-3</v>
      </c>
      <c r="Q944" s="2">
        <f ca="1">IF(Iterations[[#This Row],[Step]] =current_step, current_Grad_d,IF(Iterations[[#This Row],[Step]] &gt; current_step, "",Iterations[[#This Row],[Grad_d]]))</f>
        <v>-3.8122978717773187E-4</v>
      </c>
      <c r="R944" s="2">
        <f ca="1">IF(Iterations[[#This Row],[Step]] =current_step, current_Grad_e,IF(Iterations[[#This Row],[Step]] &gt; current_step, "",Iterations[[#This Row],[Grad_e]]))</f>
        <v>2.3805743611527122E-3</v>
      </c>
    </row>
    <row r="945" spans="6:18" x14ac:dyDescent="0.3">
      <c r="F945" s="2">
        <f t="shared" si="16"/>
        <v>928</v>
      </c>
      <c r="G945" s="2">
        <f ca="1">IF(Iterations[[#This Row],[Step]] =current_step, current_a,IF(Iterations[[#This Row],[Step]] &gt; current_step, "",Iterations[[#This Row],[a]]))</f>
        <v>-7.2861041958739889</v>
      </c>
      <c r="H945" s="2">
        <f ca="1">IF(Iterations[[#This Row],[Step]] =current_step, current_b,IF(Iterations[[#This Row],[Step]] &gt; current_step, "",Iterations[[#This Row],[b]]))</f>
        <v>0.34620962777028075</v>
      </c>
      <c r="I945" s="2">
        <f ca="1">IF(Iterations[[#This Row],[Step]] =current_step, current_c,IF(Iterations[[#This Row],[Step]] &gt; current_step, "",Iterations[[#This Row],[c]]))</f>
        <v>21.274940379671143</v>
      </c>
      <c r="J945" s="2">
        <f ca="1">IF(Iterations[[#This Row],[Step]] =current_step, current_d,IF(Iterations[[#This Row],[Step]] &gt; current_step, "",Iterations[[#This Row],[d]]))</f>
        <v>1.2067536438833493</v>
      </c>
      <c r="K945" s="2">
        <f ca="1">IF(Iterations[[#This Row],[Step]] =current_step, current_e,IF(Iterations[[#This Row],[Step]] &gt; current_step, "",Iterations[[#This Row],[e]]))</f>
        <v>11.293938786003009</v>
      </c>
      <c r="L945" s="2">
        <f ca="1">IF(Iterations[[#This Row],[Step]] =current_step, current_Total_Loss,IF(Iterations[[#This Row],[Step]] &gt; current_step, "",Iterations[[#This Row],[Total Loss]]))</f>
        <v>90.43</v>
      </c>
      <c r="M945" s="6" t="s">
        <v>27</v>
      </c>
      <c r="N945" s="2">
        <f ca="1">IF(Iterations[[#This Row],[Step]] =current_step, current_Grad_a,IF(Iterations[[#This Row],[Step]] &gt; current_step, "",Iterations[[#This Row],[Grad_a]]))</f>
        <v>2.3635605123527212E-3</v>
      </c>
      <c r="O945" s="2">
        <f ca="1">IF(Iterations[[#This Row],[Step]] =current_step, current_Grad_b,IF(Iterations[[#This Row],[Step]] &gt; current_step, "",Iterations[[#This Row],[Grad_b]]))</f>
        <v>4.1220437343020896E-4</v>
      </c>
      <c r="P945" s="2">
        <f ca="1">IF(Iterations[[#This Row],[Step]] =current_step, current_Grad_c,IF(Iterations[[#This Row],[Step]] &gt; current_step, "",Iterations[[#This Row],[Grad_c]]))</f>
        <v>-6.6300546191264444E-3</v>
      </c>
      <c r="Q945" s="2">
        <f ca="1">IF(Iterations[[#This Row],[Step]] =current_step, current_Grad_d,IF(Iterations[[#This Row],[Step]] &gt; current_step, "",Iterations[[#This Row],[Grad_d]]))</f>
        <v>-3.7865046558887498E-4</v>
      </c>
      <c r="R945" s="2">
        <f ca="1">IF(Iterations[[#This Row],[Step]] =current_step, current_Grad_e,IF(Iterations[[#This Row],[Step]] &gt; current_step, "",Iterations[[#This Row],[Grad_e]]))</f>
        <v>2.3644647454877563E-3</v>
      </c>
    </row>
    <row r="946" spans="6:18" x14ac:dyDescent="0.3">
      <c r="F946" s="2">
        <f t="shared" ref="F946:F957" si="17">F945+1</f>
        <v>929</v>
      </c>
      <c r="G946" s="2">
        <f ca="1">IF(Iterations[[#This Row],[Step]] =current_step, current_a,IF(Iterations[[#This Row],[Step]] &gt; current_step, "",Iterations[[#This Row],[a]]))</f>
        <v>-7.2862696451098534</v>
      </c>
      <c r="H946" s="2">
        <f ca="1">IF(Iterations[[#This Row],[Step]] =current_step, current_b,IF(Iterations[[#This Row],[Step]] &gt; current_step, "",Iterations[[#This Row],[b]]))</f>
        <v>0.34618077346414061</v>
      </c>
      <c r="I946" s="2">
        <f ca="1">IF(Iterations[[#This Row],[Step]] =current_step, current_c,IF(Iterations[[#This Row],[Step]] &gt; current_step, "",Iterations[[#This Row],[c]]))</f>
        <v>21.275404483494484</v>
      </c>
      <c r="J946" s="2">
        <f ca="1">IF(Iterations[[#This Row],[Step]] =current_step, current_d,IF(Iterations[[#This Row],[Step]] &gt; current_step, "",Iterations[[#This Row],[d]]))</f>
        <v>1.2067801494159405</v>
      </c>
      <c r="K946" s="2">
        <f ca="1">IF(Iterations[[#This Row],[Step]] =current_step, current_e,IF(Iterations[[#This Row],[Step]] &gt; current_step, "",Iterations[[#This Row],[e]]))</f>
        <v>11.293773273470824</v>
      </c>
      <c r="L946" s="2">
        <f ca="1">IF(Iterations[[#This Row],[Step]] =current_step, current_Total_Loss,IF(Iterations[[#This Row],[Step]] &gt; current_step, "",Iterations[[#This Row],[Total Loss]]))</f>
        <v>90.43</v>
      </c>
      <c r="M946" s="6" t="s">
        <v>27</v>
      </c>
      <c r="N946" s="2">
        <f ca="1">IF(Iterations[[#This Row],[Step]] =current_step, current_Grad_a,IF(Iterations[[#This Row],[Step]] &gt; current_step, "",Iterations[[#This Row],[Grad_a]]))</f>
        <v>2.3475660549292757E-3</v>
      </c>
      <c r="O946" s="2">
        <f ca="1">IF(Iterations[[#This Row],[Step]] =current_step, current_Grad_b,IF(Iterations[[#This Row],[Step]] &gt; current_step, "",Iterations[[#This Row],[Grad_b]]))</f>
        <v>4.0941517539976816E-4</v>
      </c>
      <c r="P946" s="2">
        <f ca="1">IF(Iterations[[#This Row],[Step]] =current_step, current_Grad_c,IF(Iterations[[#This Row],[Step]] &gt; current_step, "",Iterations[[#This Row],[Grad_c]]))</f>
        <v>-6.5851883105594554E-3</v>
      </c>
      <c r="Q946" s="2">
        <f ca="1">IF(Iterations[[#This Row],[Step]] =current_step, current_Grad_d,IF(Iterations[[#This Row],[Step]] &gt; current_step, "",Iterations[[#This Row],[Grad_d]]))</f>
        <v>-3.7608858962089194E-4</v>
      </c>
      <c r="R946" s="2">
        <f ca="1">IF(Iterations[[#This Row],[Step]] =current_step, current_Grad_e,IF(Iterations[[#This Row],[Step]] &gt; current_step, "",Iterations[[#This Row],[Grad_e]]))</f>
        <v>2.3484641456515596E-3</v>
      </c>
    </row>
    <row r="947" spans="6:18" x14ac:dyDescent="0.3">
      <c r="F947" s="2">
        <f t="shared" si="17"/>
        <v>930</v>
      </c>
      <c r="G947" s="2">
        <f ca="1">IF(Iterations[[#This Row],[Step]] =current_step, current_a,IF(Iterations[[#This Row],[Step]] &gt; current_step, "",Iterations[[#This Row],[a]]))</f>
        <v>-7.2864339747336988</v>
      </c>
      <c r="H947" s="2">
        <f ca="1">IF(Iterations[[#This Row],[Step]] =current_step, current_b,IF(Iterations[[#This Row],[Step]] &gt; current_step, "",Iterations[[#This Row],[b]]))</f>
        <v>0.34615211440186261</v>
      </c>
      <c r="I947" s="2">
        <f ca="1">IF(Iterations[[#This Row],[Step]] =current_step, current_c,IF(Iterations[[#This Row],[Step]] &gt; current_step, "",Iterations[[#This Row],[c]]))</f>
        <v>21.275865446676224</v>
      </c>
      <c r="J947" s="2">
        <f ca="1">IF(Iterations[[#This Row],[Step]] =current_step, current_d,IF(Iterations[[#This Row],[Step]] &gt; current_step, "",Iterations[[#This Row],[d]]))</f>
        <v>1.2068064756172139</v>
      </c>
      <c r="K947" s="2">
        <f ca="1">IF(Iterations[[#This Row],[Step]] =current_step, current_e,IF(Iterations[[#This Row],[Step]] &gt; current_step, "",Iterations[[#This Row],[e]]))</f>
        <v>11.29360888098063</v>
      </c>
      <c r="L947" s="2">
        <f ca="1">IF(Iterations[[#This Row],[Step]] =current_step, current_Total_Loss,IF(Iterations[[#This Row],[Step]] &gt; current_step, "",Iterations[[#This Row],[Total Loss]]))</f>
        <v>90.43</v>
      </c>
      <c r="M947" s="6" t="s">
        <v>27</v>
      </c>
      <c r="N947" s="2">
        <f ca="1">IF(Iterations[[#This Row],[Step]] =current_step, current_Grad_a,IF(Iterations[[#This Row],[Step]] &gt; current_step, "",Iterations[[#This Row],[Grad_a]]))</f>
        <v>2.3316798335551387E-3</v>
      </c>
      <c r="O947" s="2">
        <f ca="1">IF(Iterations[[#This Row],[Step]] =current_step, current_Grad_b,IF(Iterations[[#This Row],[Step]] &gt; current_step, "",Iterations[[#This Row],[Grad_b]]))</f>
        <v>4.066448480165204E-4</v>
      </c>
      <c r="P947" s="2">
        <f ca="1">IF(Iterations[[#This Row],[Step]] =current_step, current_Grad_c,IF(Iterations[[#This Row],[Step]] &gt; current_step, "",Iterations[[#This Row],[Grad_c]]))</f>
        <v>-6.5406256176627764E-3</v>
      </c>
      <c r="Q947" s="2">
        <f ca="1">IF(Iterations[[#This Row],[Step]] =current_step, current_Grad_d,IF(Iterations[[#This Row],[Step]] &gt; current_step, "",Iterations[[#This Row],[Grad_d]]))</f>
        <v>-3.7354404138787188E-4</v>
      </c>
      <c r="R947" s="2">
        <f ca="1">IF(Iterations[[#This Row],[Step]] =current_step, current_Grad_e,IF(Iterations[[#This Row],[Step]] &gt; current_step, "",Iterations[[#This Row],[Grad_e]]))</f>
        <v>2.3325718238904614E-3</v>
      </c>
    </row>
    <row r="948" spans="6:18" x14ac:dyDescent="0.3">
      <c r="F948" s="2">
        <f t="shared" si="17"/>
        <v>931</v>
      </c>
      <c r="G948" s="2">
        <f ca="1">IF(Iterations[[#This Row],[Step]] =current_step, current_a,IF(Iterations[[#This Row],[Step]] &gt; current_step, "",Iterations[[#This Row],[a]]))</f>
        <v>-7.2865971923220476</v>
      </c>
      <c r="H948" s="2">
        <f ca="1">IF(Iterations[[#This Row],[Step]] =current_step, current_b,IF(Iterations[[#This Row],[Step]] &gt; current_step, "",Iterations[[#This Row],[b]]))</f>
        <v>0.34612364926250144</v>
      </c>
      <c r="I948" s="2">
        <f ca="1">IF(Iterations[[#This Row],[Step]] =current_step, current_c,IF(Iterations[[#This Row],[Step]] &gt; current_step, "",Iterations[[#This Row],[c]]))</f>
        <v>21.27632329046946</v>
      </c>
      <c r="J948" s="2">
        <f ca="1">IF(Iterations[[#This Row],[Step]] =current_step, current_d,IF(Iterations[[#This Row],[Step]] &gt; current_step, "",Iterations[[#This Row],[d]]))</f>
        <v>1.206832623700111</v>
      </c>
      <c r="K948" s="2">
        <f ca="1">IF(Iterations[[#This Row],[Step]] =current_step, current_e,IF(Iterations[[#This Row],[Step]] &gt; current_step, "",Iterations[[#This Row],[e]]))</f>
        <v>11.293445600952957</v>
      </c>
      <c r="L948" s="2">
        <f ca="1">IF(Iterations[[#This Row],[Step]] =current_step, current_Total_Loss,IF(Iterations[[#This Row],[Step]] &gt; current_step, "",Iterations[[#This Row],[Total Loss]]))</f>
        <v>90.43</v>
      </c>
      <c r="M948" s="6" t="s">
        <v>27</v>
      </c>
      <c r="N948" s="2">
        <f ca="1">IF(Iterations[[#This Row],[Step]] =current_step, current_Grad_a,IF(Iterations[[#This Row],[Step]] &gt; current_step, "",Iterations[[#This Row],[Grad_a]]))</f>
        <v>2.3159011158395693E-3</v>
      </c>
      <c r="O948" s="2">
        <f ca="1">IF(Iterations[[#This Row],[Step]] =current_step, current_Grad_b,IF(Iterations[[#This Row],[Step]] &gt; current_step, "",Iterations[[#This Row],[Grad_b]]))</f>
        <v>4.0389326369052705E-4</v>
      </c>
      <c r="P948" s="2">
        <f ca="1">IF(Iterations[[#This Row],[Step]] =current_step, current_Grad_c,IF(Iterations[[#This Row],[Step]] &gt; current_step, "",Iterations[[#This Row],[Grad_c]]))</f>
        <v>-6.4963644858036951E-3</v>
      </c>
      <c r="Q948" s="2">
        <f ca="1">IF(Iterations[[#This Row],[Step]] =current_step, current_Grad_d,IF(Iterations[[#This Row],[Step]] &gt; current_step, "",Iterations[[#This Row],[Grad_d]]))</f>
        <v>-3.7101670376888448E-4</v>
      </c>
      <c r="R948" s="2">
        <f ca="1">IF(Iterations[[#This Row],[Step]] =current_step, current_Grad_e,IF(Iterations[[#This Row],[Step]] &gt; current_step, "",Iterations[[#This Row],[Grad_e]]))</f>
        <v>2.3167870474778912E-3</v>
      </c>
    </row>
    <row r="949" spans="6:18" x14ac:dyDescent="0.3">
      <c r="F949" s="2">
        <f t="shared" si="17"/>
        <v>932</v>
      </c>
      <c r="G949" s="2">
        <f ca="1">IF(Iterations[[#This Row],[Step]] =current_step, current_a,IF(Iterations[[#This Row],[Step]] &gt; current_step, "",Iterations[[#This Row],[a]]))</f>
        <v>-7.2867593054001567</v>
      </c>
      <c r="H949" s="2">
        <f ca="1">IF(Iterations[[#This Row],[Step]] =current_step, current_b,IF(Iterations[[#This Row],[Step]] &gt; current_step, "",Iterations[[#This Row],[b]]))</f>
        <v>0.34609537673404311</v>
      </c>
      <c r="I949" s="2">
        <f ca="1">IF(Iterations[[#This Row],[Step]] =current_step, current_c,IF(Iterations[[#This Row],[Step]] &gt; current_step, "",Iterations[[#This Row],[c]]))</f>
        <v>21.276778035983465</v>
      </c>
      <c r="J949" s="2">
        <f ca="1">IF(Iterations[[#This Row],[Step]] =current_step, current_d,IF(Iterations[[#This Row],[Step]] &gt; current_step, "",Iterations[[#This Row],[d]]))</f>
        <v>1.2068585948693749</v>
      </c>
      <c r="K949" s="2">
        <f ca="1">IF(Iterations[[#This Row],[Step]] =current_step, current_e,IF(Iterations[[#This Row],[Step]] &gt; current_step, "",Iterations[[#This Row],[e]]))</f>
        <v>11.293283425859633</v>
      </c>
      <c r="L949" s="2">
        <f ca="1">IF(Iterations[[#This Row],[Step]] =current_step, current_Total_Loss,IF(Iterations[[#This Row],[Step]] &gt; current_step, "",Iterations[[#This Row],[Total Loss]]))</f>
        <v>90.43</v>
      </c>
      <c r="M949" s="6" t="s">
        <v>27</v>
      </c>
      <c r="N949" s="2">
        <f ca="1">IF(Iterations[[#This Row],[Step]] =current_step, current_Grad_a,IF(Iterations[[#This Row],[Step]] &gt; current_step, "",Iterations[[#This Row],[Grad_a]]))</f>
        <v>2.3002291743329118E-3</v>
      </c>
      <c r="O949" s="2">
        <f ca="1">IF(Iterations[[#This Row],[Step]] =current_step, current_Grad_b,IF(Iterations[[#This Row],[Step]] &gt; current_step, "",Iterations[[#This Row],[Grad_b]]))</f>
        <v>4.0116029560999245E-4</v>
      </c>
      <c r="P949" s="2">
        <f ca="1">IF(Iterations[[#This Row],[Step]] =current_step, current_Grad_c,IF(Iterations[[#This Row],[Step]] &gt; current_step, "",Iterations[[#This Row],[Grad_c]]))</f>
        <v>-6.4524028742592009E-3</v>
      </c>
      <c r="Q949" s="2">
        <f ca="1">IF(Iterations[[#This Row],[Step]] =current_step, current_Grad_d,IF(Iterations[[#This Row],[Step]] &gt; current_step, "",Iterations[[#This Row],[Grad_d]]))</f>
        <v>-3.6850646047150961E-4</v>
      </c>
      <c r="R949" s="2">
        <f ca="1">IF(Iterations[[#This Row],[Step]] =current_step, current_Grad_e,IF(Iterations[[#This Row],[Step]] &gt; current_step, "",Iterations[[#This Row],[Grad_e]]))</f>
        <v>2.3011090886475571E-3</v>
      </c>
    </row>
    <row r="950" spans="6:18" x14ac:dyDescent="0.3">
      <c r="F950" s="2">
        <f t="shared" si="17"/>
        <v>933</v>
      </c>
      <c r="G950" s="2">
        <f ca="1">IF(Iterations[[#This Row],[Step]] =current_step, current_a,IF(Iterations[[#This Row],[Step]] &gt; current_step, "",Iterations[[#This Row],[a]]))</f>
        <v>-7.2869203214423601</v>
      </c>
      <c r="H950" s="2">
        <f ca="1">IF(Iterations[[#This Row],[Step]] =current_step, current_b,IF(Iterations[[#This Row],[Step]] &gt; current_step, "",Iterations[[#This Row],[b]]))</f>
        <v>0.34606729551335041</v>
      </c>
      <c r="I950" s="2">
        <f ca="1">IF(Iterations[[#This Row],[Step]] =current_step, current_c,IF(Iterations[[#This Row],[Step]] &gt; current_step, "",Iterations[[#This Row],[c]]))</f>
        <v>21.277229704184663</v>
      </c>
      <c r="J950" s="2">
        <f ca="1">IF(Iterations[[#This Row],[Step]] =current_step, current_d,IF(Iterations[[#This Row],[Step]] &gt; current_step, "",Iterations[[#This Row],[d]]))</f>
        <v>1.2068843903216078</v>
      </c>
      <c r="K950" s="2">
        <f ca="1">IF(Iterations[[#This Row],[Step]] =current_step, current_e,IF(Iterations[[#This Row],[Step]] &gt; current_step, "",Iterations[[#This Row],[e]]))</f>
        <v>11.293122348223427</v>
      </c>
      <c r="L950" s="2">
        <f ca="1">IF(Iterations[[#This Row],[Step]] =current_step, current_Total_Loss,IF(Iterations[[#This Row],[Step]] &gt; current_step, "",Iterations[[#This Row],[Total Loss]]))</f>
        <v>90.43</v>
      </c>
      <c r="M950" s="6" t="s">
        <v>27</v>
      </c>
      <c r="N950" s="2">
        <f ca="1">IF(Iterations[[#This Row],[Step]] =current_step, current_Grad_a,IF(Iterations[[#This Row],[Step]] &gt; current_step, "",Iterations[[#This Row],[Grad_a]]))</f>
        <v>2.2846632864248484E-3</v>
      </c>
      <c r="O950" s="2">
        <f ca="1">IF(Iterations[[#This Row],[Step]] =current_step, current_Grad_b,IF(Iterations[[#This Row],[Step]] &gt; current_step, "",Iterations[[#This Row],[Grad_b]]))</f>
        <v>3.9844581790175287E-4</v>
      </c>
      <c r="P950" s="2">
        <f ca="1">IF(Iterations[[#This Row],[Step]] =current_step, current_Grad_c,IF(Iterations[[#This Row],[Step]] &gt; current_step, "",Iterations[[#This Row],[Grad_c]]))</f>
        <v>-6.408738756152197E-3</v>
      </c>
      <c r="Q950" s="2">
        <f ca="1">IF(Iterations[[#This Row],[Step]] =current_step, current_Grad_d,IF(Iterations[[#This Row],[Step]] &gt; current_step, "",Iterations[[#This Row],[Grad_d]]))</f>
        <v>-3.6601319595327048E-4</v>
      </c>
      <c r="R950" s="2">
        <f ca="1">IF(Iterations[[#This Row],[Step]] =current_step, current_Grad_e,IF(Iterations[[#This Row],[Step]] &gt; current_step, "",Iterations[[#This Row],[Grad_e]]))</f>
        <v>2.285537224537294E-3</v>
      </c>
    </row>
    <row r="951" spans="6:18" x14ac:dyDescent="0.3">
      <c r="F951" s="2">
        <f t="shared" si="17"/>
        <v>934</v>
      </c>
      <c r="G951" s="2">
        <f ca="1">IF(Iterations[[#This Row],[Step]] =current_step, current_a,IF(Iterations[[#This Row],[Step]] &gt; current_step, "",Iterations[[#This Row],[a]]))</f>
        <v>-7.2870802478724102</v>
      </c>
      <c r="H951" s="2">
        <f ca="1">IF(Iterations[[#This Row],[Step]] =current_step, current_b,IF(Iterations[[#This Row],[Step]] &gt; current_step, "",Iterations[[#This Row],[b]]))</f>
        <v>0.34603940430609731</v>
      </c>
      <c r="I951" s="2">
        <f ca="1">IF(Iterations[[#This Row],[Step]] =current_step, current_c,IF(Iterations[[#This Row],[Step]] &gt; current_step, "",Iterations[[#This Row],[c]]))</f>
        <v>21.277678315897592</v>
      </c>
      <c r="J951" s="2">
        <f ca="1">IF(Iterations[[#This Row],[Step]] =current_step, current_d,IF(Iterations[[#This Row],[Step]] &gt; current_step, "",Iterations[[#This Row],[d]]))</f>
        <v>1.2069100112453246</v>
      </c>
      <c r="K951" s="2">
        <f ca="1">IF(Iterations[[#This Row],[Step]] =current_step, current_e,IF(Iterations[[#This Row],[Step]] &gt; current_step, "",Iterations[[#This Row],[e]]))</f>
        <v>11.292962360617709</v>
      </c>
      <c r="L951" s="2">
        <f ca="1">IF(Iterations[[#This Row],[Step]] =current_step, current_Total_Loss,IF(Iterations[[#This Row],[Step]] &gt; current_step, "",Iterations[[#This Row],[Total Loss]]))</f>
        <v>90.43</v>
      </c>
      <c r="M951" s="6" t="s">
        <v>27</v>
      </c>
      <c r="N951" s="2">
        <f ca="1">IF(Iterations[[#This Row],[Step]] =current_step, current_Grad_a,IF(Iterations[[#This Row],[Step]] &gt; current_step, "",Iterations[[#This Row],[Grad_a]]))</f>
        <v>2.269202734414518E-3</v>
      </c>
      <c r="O951" s="2">
        <f ca="1">IF(Iterations[[#This Row],[Step]] =current_step, current_Grad_b,IF(Iterations[[#This Row],[Step]] &gt; current_step, "",Iterations[[#This Row],[Grad_b]]))</f>
        <v>3.9574970550964531E-4</v>
      </c>
      <c r="P951" s="2">
        <f ca="1">IF(Iterations[[#This Row],[Step]] =current_step, current_Grad_c,IF(Iterations[[#This Row],[Step]] &gt; current_step, "",Iterations[[#This Row],[Grad_c]]))</f>
        <v>-6.36537011831384E-3</v>
      </c>
      <c r="Q951" s="2">
        <f ca="1">IF(Iterations[[#This Row],[Step]] =current_step, current_Grad_d,IF(Iterations[[#This Row],[Step]] &gt; current_step, "",Iterations[[#This Row],[Grad_d]]))</f>
        <v>-3.6353679546580816E-4</v>
      </c>
      <c r="R951" s="2">
        <f ca="1">IF(Iterations[[#This Row],[Step]] =current_step, current_Grad_e,IF(Iterations[[#This Row],[Step]] &gt; current_step, "",Iterations[[#This Row],[Grad_e]]))</f>
        <v>2.2700707371820566E-3</v>
      </c>
    </row>
    <row r="952" spans="6:18" x14ac:dyDescent="0.3">
      <c r="F952" s="2">
        <f t="shared" si="17"/>
        <v>935</v>
      </c>
      <c r="G952" s="2">
        <f ca="1">IF(Iterations[[#This Row],[Step]] =current_step, current_a,IF(Iterations[[#This Row],[Step]] &gt; current_step, "",Iterations[[#This Row],[a]]))</f>
        <v>-7.2872390920638193</v>
      </c>
      <c r="H952" s="2">
        <f ca="1">IF(Iterations[[#This Row],[Step]] =current_step, current_b,IF(Iterations[[#This Row],[Step]] &gt; current_step, "",Iterations[[#This Row],[b]]))</f>
        <v>0.34601170182671165</v>
      </c>
      <c r="I952" s="2">
        <f ca="1">IF(Iterations[[#This Row],[Step]] =current_step, current_c,IF(Iterations[[#This Row],[Step]] &gt; current_step, "",Iterations[[#This Row],[c]]))</f>
        <v>21.278123891805873</v>
      </c>
      <c r="J952" s="2">
        <f ca="1">IF(Iterations[[#This Row],[Step]] =current_step, current_d,IF(Iterations[[#This Row],[Step]] &gt; current_step, "",Iterations[[#This Row],[d]]))</f>
        <v>1.2069354588210073</v>
      </c>
      <c r="K952" s="2">
        <f ca="1">IF(Iterations[[#This Row],[Step]] =current_step, current_e,IF(Iterations[[#This Row],[Step]] &gt; current_step, "",Iterations[[#This Row],[e]]))</f>
        <v>11.292803455666107</v>
      </c>
      <c r="L952" s="2">
        <f ca="1">IF(Iterations[[#This Row],[Step]] =current_step, current_Total_Loss,IF(Iterations[[#This Row],[Step]] &gt; current_step, "",Iterations[[#This Row],[Total Loss]]))</f>
        <v>90.43</v>
      </c>
      <c r="M952" s="6" t="s">
        <v>27</v>
      </c>
      <c r="N952" s="2">
        <f ca="1">IF(Iterations[[#This Row],[Step]] =current_step, current_Grad_a,IF(Iterations[[#This Row],[Step]] &gt; current_step, "",Iterations[[#This Row],[Grad_a]]))</f>
        <v>2.2538468055863545E-3</v>
      </c>
      <c r="O952" s="2">
        <f ca="1">IF(Iterations[[#This Row],[Step]] =current_step, current_Grad_b,IF(Iterations[[#This Row],[Step]] &gt; current_step, "",Iterations[[#This Row],[Grad_b]]))</f>
        <v>3.9307183419939266E-4</v>
      </c>
      <c r="P952" s="2">
        <f ca="1">IF(Iterations[[#This Row],[Step]] =current_step, current_Grad_c,IF(Iterations[[#This Row],[Step]] &gt; current_step, "",Iterations[[#This Row],[Grad_c]]))</f>
        <v>-6.3222949611432761E-3</v>
      </c>
      <c r="Q952" s="2">
        <f ca="1">IF(Iterations[[#This Row],[Step]] =current_step, current_Grad_d,IF(Iterations[[#This Row],[Step]] &gt; current_step, "",Iterations[[#This Row],[Grad_d]]))</f>
        <v>-3.6107714504104066E-4</v>
      </c>
      <c r="R952" s="2">
        <f ca="1">IF(Iterations[[#This Row],[Step]] =current_step, current_Grad_e,IF(Iterations[[#This Row],[Step]] &gt; current_step, "",Iterations[[#This Row],[Grad_e]]))</f>
        <v>2.2547089135017805E-3</v>
      </c>
    </row>
    <row r="953" spans="6:18" x14ac:dyDescent="0.3">
      <c r="F953" s="2">
        <f t="shared" si="17"/>
        <v>936</v>
      </c>
      <c r="G953" s="2">
        <f ca="1">IF(Iterations[[#This Row],[Step]] =current_step, current_a,IF(Iterations[[#This Row],[Step]] &gt; current_step, "",Iterations[[#This Row],[a]]))</f>
        <v>-7.28739686134021</v>
      </c>
      <c r="H953" s="2">
        <f ca="1">IF(Iterations[[#This Row],[Step]] =current_step, current_b,IF(Iterations[[#This Row],[Step]] &gt; current_step, "",Iterations[[#This Row],[b]]))</f>
        <v>0.34598418679831772</v>
      </c>
      <c r="I953" s="2">
        <f ca="1">IF(Iterations[[#This Row],[Step]] =current_step, current_c,IF(Iterations[[#This Row],[Step]] &gt; current_step, "",Iterations[[#This Row],[c]]))</f>
        <v>21.278566452453152</v>
      </c>
      <c r="J953" s="2">
        <f ca="1">IF(Iterations[[#This Row],[Step]] =current_step, current_d,IF(Iterations[[#This Row],[Step]] &gt; current_step, "",Iterations[[#This Row],[d]]))</f>
        <v>1.2069607342211601</v>
      </c>
      <c r="K953" s="2">
        <f ca="1">IF(Iterations[[#This Row],[Step]] =current_step, current_e,IF(Iterations[[#This Row],[Step]] &gt; current_step, "",Iterations[[#This Row],[e]]))</f>
        <v>11.292645626042162</v>
      </c>
      <c r="L953" s="2">
        <f ca="1">IF(Iterations[[#This Row],[Step]] =current_step, current_Total_Loss,IF(Iterations[[#This Row],[Step]] &gt; current_step, "",Iterations[[#This Row],[Total Loss]]))</f>
        <v>90.43</v>
      </c>
      <c r="M953" s="6" t="s">
        <v>27</v>
      </c>
      <c r="N953" s="2">
        <f ca="1">IF(Iterations[[#This Row],[Step]] =current_step, current_Grad_a,IF(Iterations[[#This Row],[Step]] &gt; current_step, "",Iterations[[#This Row],[Grad_a]]))</f>
        <v>2.2385947918210172E-3</v>
      </c>
      <c r="O953" s="2">
        <f ca="1">IF(Iterations[[#This Row],[Step]] =current_step, current_Grad_b,IF(Iterations[[#This Row],[Step]] &gt; current_step, "",Iterations[[#This Row],[Grad_b]]))</f>
        <v>3.9041208061075931E-4</v>
      </c>
      <c r="P953" s="2">
        <f ca="1">IF(Iterations[[#This Row],[Step]] =current_step, current_Grad_c,IF(Iterations[[#This Row],[Step]] &gt; current_step, "",Iterations[[#This Row],[Grad_c]]))</f>
        <v>-6.2795112986687223E-3</v>
      </c>
      <c r="Q953" s="2">
        <f ca="1">IF(Iterations[[#This Row],[Step]] =current_step, current_Grad_d,IF(Iterations[[#This Row],[Step]] &gt; current_step, "",Iterations[[#This Row],[Grad_d]]))</f>
        <v>-3.5863413146973596E-4</v>
      </c>
      <c r="R953" s="2">
        <f ca="1">IF(Iterations[[#This Row],[Step]] =current_step, current_Grad_e,IF(Iterations[[#This Row],[Step]] &gt; current_step, "",Iterations[[#This Row],[Grad_e]]))</f>
        <v>2.2394510451958873E-3</v>
      </c>
    </row>
    <row r="954" spans="6:18" x14ac:dyDescent="0.3">
      <c r="F954" s="2">
        <f t="shared" si="17"/>
        <v>937</v>
      </c>
      <c r="G954" s="2">
        <f ca="1">IF(Iterations[[#This Row],[Step]] =current_step, current_a,IF(Iterations[[#This Row],[Step]] &gt; current_step, "",Iterations[[#This Row],[a]]))</f>
        <v>-7.2875535629756376</v>
      </c>
      <c r="H954" s="2">
        <f ca="1">IF(Iterations[[#This Row],[Step]] =current_step, current_b,IF(Iterations[[#This Row],[Step]] &gt; current_step, "",Iterations[[#This Row],[b]]))</f>
        <v>0.34595685795267495</v>
      </c>
      <c r="I954" s="2">
        <f ca="1">IF(Iterations[[#This Row],[Step]] =current_step, current_c,IF(Iterations[[#This Row],[Step]] &gt; current_step, "",Iterations[[#This Row],[c]]))</f>
        <v>21.279006018244058</v>
      </c>
      <c r="J954" s="2">
        <f ca="1">IF(Iterations[[#This Row],[Step]] =current_step, current_d,IF(Iterations[[#This Row],[Step]] &gt; current_step, "",Iterations[[#This Row],[d]]))</f>
        <v>1.2069858386103629</v>
      </c>
      <c r="K954" s="2">
        <f ca="1">IF(Iterations[[#This Row],[Step]] =current_step, current_e,IF(Iterations[[#This Row],[Step]] &gt; current_step, "",Iterations[[#This Row],[e]]))</f>
        <v>11.292488864468998</v>
      </c>
      <c r="L954" s="2">
        <f ca="1">IF(Iterations[[#This Row],[Step]] =current_step, current_Total_Loss,IF(Iterations[[#This Row],[Step]] &gt; current_step, "",Iterations[[#This Row],[Total Loss]]))</f>
        <v>90.43</v>
      </c>
      <c r="M954" s="6" t="s">
        <v>27</v>
      </c>
      <c r="N954" s="2">
        <f ca="1">IF(Iterations[[#This Row],[Step]] =current_step, current_Grad_a,IF(Iterations[[#This Row],[Step]] &gt; current_step, "",Iterations[[#This Row],[Grad_a]]))</f>
        <v>2.223445990007949E-3</v>
      </c>
      <c r="O954" s="2">
        <f ca="1">IF(Iterations[[#This Row],[Step]] =current_step, current_Grad_b,IF(Iterations[[#This Row],[Step]] &gt; current_step, "",Iterations[[#This Row],[Grad_b]]))</f>
        <v>3.8777032220815855E-4</v>
      </c>
      <c r="P954" s="2">
        <f ca="1">IF(Iterations[[#This Row],[Step]] =current_step, current_Grad_c,IF(Iterations[[#This Row],[Step]] &gt; current_step, "",Iterations[[#This Row],[Grad_c]]))</f>
        <v>-6.2370171582679414E-3</v>
      </c>
      <c r="Q954" s="2">
        <f ca="1">IF(Iterations[[#This Row],[Step]] =current_step, current_Grad_d,IF(Iterations[[#This Row],[Step]] &gt; current_step, "",Iterations[[#This Row],[Grad_d]]))</f>
        <v>-3.5620764230445999E-4</v>
      </c>
      <c r="R954" s="2">
        <f ca="1">IF(Iterations[[#This Row],[Step]] =current_step, current_Grad_e,IF(Iterations[[#This Row],[Step]] &gt; current_step, "",Iterations[[#This Row],[Grad_e]]))</f>
        <v>2.2242964287951927E-3</v>
      </c>
    </row>
    <row r="955" spans="6:18" x14ac:dyDescent="0.3">
      <c r="F955" s="2">
        <f t="shared" si="17"/>
        <v>938</v>
      </c>
      <c r="G955" s="2">
        <f ca="1">IF(Iterations[[#This Row],[Step]] =current_step, current_a,IF(Iterations[[#This Row],[Step]] &gt; current_step, "",Iterations[[#This Row],[a]]))</f>
        <v>-7.2877092041949378</v>
      </c>
      <c r="H955" s="2">
        <f ca="1">IF(Iterations[[#This Row],[Step]] =current_step, current_b,IF(Iterations[[#This Row],[Step]] &gt; current_step, "",Iterations[[#This Row],[b]]))</f>
        <v>0.34592971403012035</v>
      </c>
      <c r="I955" s="2">
        <f ca="1">IF(Iterations[[#This Row],[Step]] =current_step, current_c,IF(Iterations[[#This Row],[Step]] &gt; current_step, "",Iterations[[#This Row],[c]]))</f>
        <v>21.279442609445137</v>
      </c>
      <c r="J955" s="2">
        <f ca="1">IF(Iterations[[#This Row],[Step]] =current_step, current_d,IF(Iterations[[#This Row],[Step]] &gt; current_step, "",Iterations[[#This Row],[d]]))</f>
        <v>1.2070107731453241</v>
      </c>
      <c r="K955" s="2">
        <f ca="1">IF(Iterations[[#This Row],[Step]] =current_step, current_e,IF(Iterations[[#This Row],[Step]] &gt; current_step, "",Iterations[[#This Row],[e]]))</f>
        <v>11.292333163718983</v>
      </c>
      <c r="L955" s="2">
        <f ca="1">IF(Iterations[[#This Row],[Step]] =current_step, current_Total_Loss,IF(Iterations[[#This Row],[Step]] &gt; current_step, "",Iterations[[#This Row],[Total Loss]]))</f>
        <v>90.43</v>
      </c>
      <c r="M955" s="6" t="s">
        <v>27</v>
      </c>
      <c r="N955" s="2">
        <f ca="1">IF(Iterations[[#This Row],[Step]] =current_step, current_Grad_a,IF(Iterations[[#This Row],[Step]] &gt; current_step, "",Iterations[[#This Row],[Grad_a]]))</f>
        <v>2.2083997016727353E-3</v>
      </c>
      <c r="O955" s="2">
        <f ca="1">IF(Iterations[[#This Row],[Step]] =current_step, current_Grad_b,IF(Iterations[[#This Row],[Step]] &gt; current_step, "",Iterations[[#This Row],[Grad_b]]))</f>
        <v>3.8514643728509372E-4</v>
      </c>
      <c r="P955" s="2">
        <f ca="1">IF(Iterations[[#This Row],[Step]] =current_step, current_Grad_c,IF(Iterations[[#This Row],[Step]] &gt; current_step, "",Iterations[[#This Row],[Grad_c]]))</f>
        <v>-6.1948105807116344E-3</v>
      </c>
      <c r="Q955" s="2">
        <f ca="1">IF(Iterations[[#This Row],[Step]] =current_step, current_Grad_d,IF(Iterations[[#This Row],[Step]] &gt; current_step, "",Iterations[[#This Row],[Grad_d]]))</f>
        <v>-3.5379756586135299E-4</v>
      </c>
      <c r="R955" s="2">
        <f ca="1">IF(Iterations[[#This Row],[Step]] =current_step, current_Grad_e,IF(Iterations[[#This Row],[Step]] &gt; current_step, "",Iterations[[#This Row],[Grad_e]]))</f>
        <v>2.2092443655799977E-3</v>
      </c>
    </row>
    <row r="956" spans="6:18" x14ac:dyDescent="0.3">
      <c r="F956" s="2">
        <f t="shared" si="17"/>
        <v>939</v>
      </c>
      <c r="G956" s="2">
        <f ca="1">IF(Iterations[[#This Row],[Step]] =current_step, current_a,IF(Iterations[[#This Row],[Step]] &gt; current_step, "",Iterations[[#This Row],[a]]))</f>
        <v>-7.287863792174055</v>
      </c>
      <c r="H956" s="2">
        <f ca="1">IF(Iterations[[#This Row],[Step]] =current_step, current_b,IF(Iterations[[#This Row],[Step]] &gt; current_step, "",Iterations[[#This Row],[b]]))</f>
        <v>0.34590275377951041</v>
      </c>
      <c r="I956" s="2">
        <f ca="1">IF(Iterations[[#This Row],[Step]] =current_step, current_c,IF(Iterations[[#This Row],[Step]] &gt; current_step, "",Iterations[[#This Row],[c]]))</f>
        <v>21.279876246185786</v>
      </c>
      <c r="J956" s="2">
        <f ca="1">IF(Iterations[[#This Row],[Step]] =current_step, current_d,IF(Iterations[[#This Row],[Step]] &gt; current_step, "",Iterations[[#This Row],[d]]))</f>
        <v>1.2070355389749343</v>
      </c>
      <c r="K956" s="2">
        <f ca="1">IF(Iterations[[#This Row],[Step]] =current_step, current_e,IF(Iterations[[#This Row],[Step]] &gt; current_step, "",Iterations[[#This Row],[e]]))</f>
        <v>11.292178516613392</v>
      </c>
      <c r="L956" s="2">
        <f ca="1">IF(Iterations[[#This Row],[Step]] =current_step, current_Total_Loss,IF(Iterations[[#This Row],[Step]] &gt; current_step, "",Iterations[[#This Row],[Total Loss]]))</f>
        <v>90.43</v>
      </c>
      <c r="M956" s="6" t="s">
        <v>27</v>
      </c>
      <c r="N956" s="2">
        <f ca="1">IF(Iterations[[#This Row],[Step]] =current_step, current_Grad_a,IF(Iterations[[#This Row],[Step]] &gt; current_step, "",Iterations[[#This Row],[Grad_a]]))</f>
        <v>2.193455233006859E-3</v>
      </c>
      <c r="O956" s="2">
        <f ca="1">IF(Iterations[[#This Row],[Step]] =current_step, current_Grad_b,IF(Iterations[[#This Row],[Step]] &gt; current_step, "",Iterations[[#This Row],[Grad_b]]))</f>
        <v>3.8254030496324515E-4</v>
      </c>
      <c r="P956" s="2">
        <f ca="1">IF(Iterations[[#This Row],[Step]] =current_step, current_Grad_c,IF(Iterations[[#This Row],[Step]] &gt; current_step, "",Iterations[[#This Row],[Grad_c]]))</f>
        <v>-6.1528896200643401E-3</v>
      </c>
      <c r="Q956" s="2">
        <f ca="1">IF(Iterations[[#This Row],[Step]] =current_step, current_Grad_d,IF(Iterations[[#This Row],[Step]] &gt; current_step, "",Iterations[[#This Row],[Grad_d]]))</f>
        <v>-3.5140379120569679E-4</v>
      </c>
      <c r="R956" s="2">
        <f ca="1">IF(Iterations[[#This Row],[Step]] =current_step, current_Grad_e,IF(Iterations[[#This Row],[Step]] &gt; current_step, "",Iterations[[#This Row],[Grad_e]]))</f>
        <v>2.1942941615331118E-3</v>
      </c>
    </row>
    <row r="957" spans="6:18" x14ac:dyDescent="0.3">
      <c r="F957" s="2">
        <f t="shared" si="17"/>
        <v>940</v>
      </c>
      <c r="G957" s="2">
        <f ca="1">IF(Iterations[[#This Row],[Step]] =current_step, current_a,IF(Iterations[[#This Row],[Step]] &gt; current_step, "",Iterations[[#This Row],[a]]))</f>
        <v>-7.2880173340403651</v>
      </c>
      <c r="H957" s="2">
        <f ca="1">IF(Iterations[[#This Row],[Step]] =current_step, current_b,IF(Iterations[[#This Row],[Step]] &gt; current_step, "",Iterations[[#This Row],[b]]))</f>
        <v>0.345875975958163</v>
      </c>
      <c r="I957" s="2">
        <f ca="1">IF(Iterations[[#This Row],[Step]] =current_step, current_c,IF(Iterations[[#This Row],[Step]] &gt; current_step, "",Iterations[[#This Row],[c]]))</f>
        <v>21.280306948459192</v>
      </c>
      <c r="J957" s="2">
        <f ca="1">IF(Iterations[[#This Row],[Step]] =current_step, current_d,IF(Iterations[[#This Row],[Step]] &gt; current_step, "",Iterations[[#This Row],[d]]))</f>
        <v>1.2070601372403187</v>
      </c>
      <c r="K957" s="2">
        <f ca="1">IF(Iterations[[#This Row],[Step]] =current_step, current_e,IF(Iterations[[#This Row],[Step]] &gt; current_step, "",Iterations[[#This Row],[e]]))</f>
        <v>11.292024916022084</v>
      </c>
      <c r="L957" s="2">
        <f ca="1">IF(Iterations[[#This Row],[Step]] =current_step, current_Total_Loss,IF(Iterations[[#This Row],[Step]] &gt; current_step, "",Iterations[[#This Row],[Total Loss]]))</f>
        <v>90.43</v>
      </c>
      <c r="M957" s="6" t="s">
        <v>27</v>
      </c>
      <c r="N957" s="2">
        <f ca="1">IF(Iterations[[#This Row],[Step]] =current_step, current_Grad_a,IF(Iterations[[#This Row],[Step]] &gt; current_step, "",Iterations[[#This Row],[Grad_a]]))</f>
        <v>2.1786118952212461E-3</v>
      </c>
      <c r="O957" s="2">
        <f ca="1">IF(Iterations[[#This Row],[Step]] =current_step, current_Grad_b,IF(Iterations[[#This Row],[Step]] &gt; current_step, "",Iterations[[#This Row],[Grad_b]]))</f>
        <v>3.799518051241297E-4</v>
      </c>
      <c r="P957" s="2">
        <f ca="1">IF(Iterations[[#This Row],[Step]] =current_step, current_Grad_c,IF(Iterations[[#This Row],[Step]] &gt; current_step, "",Iterations[[#This Row],[Grad_c]]))</f>
        <v>-6.1112523434161282E-3</v>
      </c>
      <c r="Q957" s="2">
        <f ca="1">IF(Iterations[[#This Row],[Step]] =current_step, current_Grad_d,IF(Iterations[[#This Row],[Step]] &gt; current_step, "",Iterations[[#This Row],[Grad_d]]))</f>
        <v>-3.4902620816998662E-4</v>
      </c>
      <c r="R957" s="2">
        <f ca="1">IF(Iterations[[#This Row],[Step]] =current_step, current_Grad_e,IF(Iterations[[#This Row],[Step]] &gt; current_step, "",Iterations[[#This Row],[Grad_e]]))</f>
        <v>2.1794451274066676E-3</v>
      </c>
    </row>
    <row r="958" spans="6:18" x14ac:dyDescent="0.3">
      <c r="F958" s="2">
        <f t="shared" ref="F958:F982" si="18">F957+1</f>
        <v>941</v>
      </c>
      <c r="G958" s="2">
        <f ca="1">IF(Iterations[[#This Row],[Step]] =current_step, current_a,IF(Iterations[[#This Row],[Step]] &gt; current_step, "",Iterations[[#This Row],[a]]))</f>
        <v>-7.2881698368730303</v>
      </c>
      <c r="H958" s="2">
        <f ca="1">IF(Iterations[[#This Row],[Step]] =current_step, current_b,IF(Iterations[[#This Row],[Step]] &gt; current_step, "",Iterations[[#This Row],[b]]))</f>
        <v>0.34584937933180432</v>
      </c>
      <c r="I958" s="2">
        <f ca="1">IF(Iterations[[#This Row],[Step]] =current_step, current_c,IF(Iterations[[#This Row],[Step]] &gt; current_step, "",Iterations[[#This Row],[c]]))</f>
        <v>21.280734736123232</v>
      </c>
      <c r="J958" s="2">
        <f ca="1">IF(Iterations[[#This Row],[Step]] =current_step, current_d,IF(Iterations[[#This Row],[Step]] &gt; current_step, "",Iterations[[#This Row],[d]]))</f>
        <v>1.2070845690748906</v>
      </c>
      <c r="K958" s="2">
        <f ca="1">IF(Iterations[[#This Row],[Step]] =current_step, current_e,IF(Iterations[[#This Row],[Step]] &gt; current_step, "",Iterations[[#This Row],[e]]))</f>
        <v>11.291872354863166</v>
      </c>
      <c r="L958" s="2">
        <f ca="1">IF(Iterations[[#This Row],[Step]] =current_step, current_Total_Loss,IF(Iterations[[#This Row],[Step]] &gt; current_step, "",Iterations[[#This Row],[Total Loss]]))</f>
        <v>90.43</v>
      </c>
      <c r="M958" s="6" t="s">
        <v>27</v>
      </c>
      <c r="N958" s="2">
        <f ca="1">IF(Iterations[[#This Row],[Step]] =current_step, current_Grad_a,IF(Iterations[[#This Row],[Step]] &gt; current_step, "",Iterations[[#This Row],[Grad_a]]))</f>
        <v>2.1638690036567512E-3</v>
      </c>
      <c r="O958" s="2">
        <f ca="1">IF(Iterations[[#This Row],[Step]] =current_step, current_Grad_b,IF(Iterations[[#This Row],[Step]] &gt; current_step, "",Iterations[[#This Row],[Grad_b]]))</f>
        <v>3.773808185708975E-4</v>
      </c>
      <c r="P958" s="2">
        <f ca="1">IF(Iterations[[#This Row],[Step]] =current_step, current_Grad_c,IF(Iterations[[#This Row],[Step]] &gt; current_step, "",Iterations[[#This Row],[Grad_c]]))</f>
        <v>-6.0698968311643725E-3</v>
      </c>
      <c r="Q958" s="2">
        <f ca="1">IF(Iterations[[#This Row],[Step]] =current_step, current_Grad_d,IF(Iterations[[#This Row],[Step]] &gt; current_step, "",Iterations[[#This Row],[Grad_d]]))</f>
        <v>-3.466647072926099E-4</v>
      </c>
      <c r="R958" s="2">
        <f ca="1">IF(Iterations[[#This Row],[Step]] =current_step, current_Grad_e,IF(Iterations[[#This Row],[Step]] &gt; current_step, "",Iterations[[#This Row],[Grad_e]]))</f>
        <v>2.1646965785065853E-3</v>
      </c>
    </row>
    <row r="959" spans="6:18" x14ac:dyDescent="0.3">
      <c r="F959" s="2">
        <f t="shared" si="18"/>
        <v>942</v>
      </c>
      <c r="G959" s="2">
        <f ca="1">IF(Iterations[[#This Row],[Step]] =current_step, current_a,IF(Iterations[[#This Row],[Step]] &gt; current_step, "",Iterations[[#This Row],[a]]))</f>
        <v>-7.2883213077032867</v>
      </c>
      <c r="H959" s="2">
        <f ca="1">IF(Iterations[[#This Row],[Step]] =current_step, current_b,IF(Iterations[[#This Row],[Step]] &gt; current_step, "",Iterations[[#This Row],[b]]))</f>
        <v>0.34582296267450435</v>
      </c>
      <c r="I959" s="2">
        <f ca="1">IF(Iterations[[#This Row],[Step]] =current_step, current_c,IF(Iterations[[#This Row],[Step]] &gt; current_step, "",Iterations[[#This Row],[c]]))</f>
        <v>21.281159628901413</v>
      </c>
      <c r="J959" s="2">
        <f ca="1">IF(Iterations[[#This Row],[Step]] =current_step, current_d,IF(Iterations[[#This Row],[Step]] &gt; current_step, "",Iterations[[#This Row],[d]]))</f>
        <v>1.2071088356044011</v>
      </c>
      <c r="K959" s="2">
        <f ca="1">IF(Iterations[[#This Row],[Step]] =current_step, current_e,IF(Iterations[[#This Row],[Step]] &gt; current_step, "",Iterations[[#This Row],[e]]))</f>
        <v>11.29172082610267</v>
      </c>
      <c r="L959" s="2">
        <f ca="1">IF(Iterations[[#This Row],[Step]] =current_step, current_Total_Loss,IF(Iterations[[#This Row],[Step]] &gt; current_step, "",Iterations[[#This Row],[Total Loss]]))</f>
        <v>90.43</v>
      </c>
      <c r="M959" s="6" t="s">
        <v>27</v>
      </c>
      <c r="N959" s="2">
        <f ca="1">IF(Iterations[[#This Row],[Step]] =current_step, current_Grad_a,IF(Iterations[[#This Row],[Step]] &gt; current_step, "",Iterations[[#This Row],[Grad_a]]))</f>
        <v>2.14922587880532E-3</v>
      </c>
      <c r="O959" s="2">
        <f ca="1">IF(Iterations[[#This Row],[Step]] =current_step, current_Grad_b,IF(Iterations[[#This Row],[Step]] &gt; current_step, "",Iterations[[#This Row],[Grad_b]]))</f>
        <v>3.7482722679760272E-4</v>
      </c>
      <c r="P959" s="2">
        <f ca="1">IF(Iterations[[#This Row],[Step]] =current_step, current_Grad_c,IF(Iterations[[#This Row],[Step]] &gt; current_step, "",Iterations[[#This Row],[Grad_c]]))</f>
        <v>-6.0288211764762834E-3</v>
      </c>
      <c r="Q959" s="2">
        <f ca="1">IF(Iterations[[#This Row],[Step]] =current_step, current_Grad_d,IF(Iterations[[#This Row],[Step]] &gt; current_step, "",Iterations[[#This Row],[Grad_d]]))</f>
        <v>-3.4431917989129353E-4</v>
      </c>
      <c r="R959" s="2">
        <f ca="1">IF(Iterations[[#This Row],[Step]] =current_step, current_Grad_e,IF(Iterations[[#This Row],[Step]] &gt; current_step, "",Iterations[[#This Row],[Grad_e]]))</f>
        <v>2.1500478348796845E-3</v>
      </c>
    </row>
    <row r="960" spans="6:18" x14ac:dyDescent="0.3">
      <c r="F960" s="2">
        <f t="shared" si="18"/>
        <v>943</v>
      </c>
      <c r="G960" s="2">
        <f ca="1">IF(Iterations[[#This Row],[Step]] =current_step, current_a,IF(Iterations[[#This Row],[Step]] &gt; current_step, "",Iterations[[#This Row],[a]]))</f>
        <v>-7.2884717535148029</v>
      </c>
      <c r="H960" s="2">
        <f ca="1">IF(Iterations[[#This Row],[Step]] =current_step, current_b,IF(Iterations[[#This Row],[Step]] &gt; current_step, "",Iterations[[#This Row],[b]]))</f>
        <v>0.34579672476862849</v>
      </c>
      <c r="I960" s="2">
        <f ca="1">IF(Iterations[[#This Row],[Step]] =current_step, current_c,IF(Iterations[[#This Row],[Step]] &gt; current_step, "",Iterations[[#This Row],[c]]))</f>
        <v>21.281581646383767</v>
      </c>
      <c r="J960" s="2">
        <f ca="1">IF(Iterations[[#This Row],[Step]] =current_step, current_d,IF(Iterations[[#This Row],[Step]] &gt; current_step, "",Iterations[[#This Row],[d]]))</f>
        <v>1.2071329379469935</v>
      </c>
      <c r="K960" s="2">
        <f ca="1">IF(Iterations[[#This Row],[Step]] =current_step, current_e,IF(Iterations[[#This Row],[Step]] &gt; current_step, "",Iterations[[#This Row],[e]]))</f>
        <v>11.291570322754229</v>
      </c>
      <c r="L960" s="2">
        <f ca="1">IF(Iterations[[#This Row],[Step]] =current_step, current_Total_Loss,IF(Iterations[[#This Row],[Step]] &gt; current_step, "",Iterations[[#This Row],[Total Loss]]))</f>
        <v>90.43</v>
      </c>
      <c r="M960" s="6" t="s">
        <v>27</v>
      </c>
      <c r="N960" s="2">
        <f ca="1">IF(Iterations[[#This Row],[Step]] =current_step, current_Grad_a,IF(Iterations[[#This Row],[Step]] &gt; current_step, "",Iterations[[#This Row],[Grad_a]]))</f>
        <v>2.1346818454574348E-3</v>
      </c>
      <c r="O960" s="2">
        <f ca="1">IF(Iterations[[#This Row],[Step]] =current_step, current_Grad_b,IF(Iterations[[#This Row],[Step]] &gt; current_step, "",Iterations[[#This Row],[Grad_b]]))</f>
        <v>3.7229091218290061E-4</v>
      </c>
      <c r="P960" s="2">
        <f ca="1">IF(Iterations[[#This Row],[Step]] =current_step, current_Grad_c,IF(Iterations[[#This Row],[Step]] &gt; current_step, "",Iterations[[#This Row],[Grad_c]]))</f>
        <v>-5.9880234855504482E-3</v>
      </c>
      <c r="Q960" s="2">
        <f ca="1">IF(Iterations[[#This Row],[Step]] =current_step, current_Grad_d,IF(Iterations[[#This Row],[Step]] &gt; current_step, "",Iterations[[#This Row],[Grad_d]]))</f>
        <v>-3.4198951798454963E-4</v>
      </c>
      <c r="R960" s="2">
        <f ca="1">IF(Iterations[[#This Row],[Step]] =current_step, current_Grad_e,IF(Iterations[[#This Row],[Step]] &gt; current_step, "",Iterations[[#This Row],[Grad_e]]))</f>
        <v>2.1354982211112786E-3</v>
      </c>
    </row>
    <row r="961" spans="6:18" x14ac:dyDescent="0.3">
      <c r="F961" s="2">
        <f t="shared" si="18"/>
        <v>944</v>
      </c>
      <c r="G961" s="2">
        <f ca="1">IF(Iterations[[#This Row],[Step]] =current_step, current_a,IF(Iterations[[#This Row],[Step]] &gt; current_step, "",Iterations[[#This Row],[a]]))</f>
        <v>-7.2886211812439852</v>
      </c>
      <c r="H961" s="2">
        <f ca="1">IF(Iterations[[#This Row],[Step]] =current_step, current_b,IF(Iterations[[#This Row],[Step]] &gt; current_step, "",Iterations[[#This Row],[b]]))</f>
        <v>0.34577066440477572</v>
      </c>
      <c r="I961" s="2">
        <f ca="1">IF(Iterations[[#This Row],[Step]] =current_step, current_c,IF(Iterations[[#This Row],[Step]] &gt; current_step, "",Iterations[[#This Row],[c]]))</f>
        <v>21.282000808027757</v>
      </c>
      <c r="J961" s="2">
        <f ca="1">IF(Iterations[[#This Row],[Step]] =current_step, current_d,IF(Iterations[[#This Row],[Step]] &gt; current_step, "",Iterations[[#This Row],[d]]))</f>
        <v>1.2071568772132524</v>
      </c>
      <c r="K961" s="2">
        <f ca="1">IF(Iterations[[#This Row],[Step]] =current_step, current_e,IF(Iterations[[#This Row],[Step]] &gt; current_step, "",Iterations[[#This Row],[e]]))</f>
        <v>11.291420837878752</v>
      </c>
      <c r="L961" s="2">
        <f ca="1">IF(Iterations[[#This Row],[Step]] =current_step, current_Total_Loss,IF(Iterations[[#This Row],[Step]] &gt; current_step, "",Iterations[[#This Row],[Total Loss]]))</f>
        <v>90.43</v>
      </c>
      <c r="M961" s="6" t="s">
        <v>27</v>
      </c>
      <c r="N961" s="2">
        <f ca="1">IF(Iterations[[#This Row],[Step]] =current_step, current_Grad_a,IF(Iterations[[#This Row],[Step]] &gt; current_step, "",Iterations[[#This Row],[Grad_a]]))</f>
        <v>2.1202362330298031E-3</v>
      </c>
      <c r="O961" s="2">
        <f ca="1">IF(Iterations[[#This Row],[Step]] =current_step, current_Grad_b,IF(Iterations[[#This Row],[Step]] &gt; current_step, "",Iterations[[#This Row],[Grad_b]]))</f>
        <v>3.697717578660726E-4</v>
      </c>
      <c r="P961" s="2">
        <f ca="1">IF(Iterations[[#This Row],[Step]] =current_step, current_Grad_c,IF(Iterations[[#This Row],[Step]] &gt; current_step, "",Iterations[[#This Row],[Grad_c]]))</f>
        <v>-5.9475018773757432E-3</v>
      </c>
      <c r="Q961" s="2">
        <f ca="1">IF(Iterations[[#This Row],[Step]] =current_step, current_Grad_d,IF(Iterations[[#This Row],[Step]] &gt; current_step, "",Iterations[[#This Row],[Grad_d]]))</f>
        <v>-3.3967561433386378E-4</v>
      </c>
      <c r="R961" s="2">
        <f ca="1">IF(Iterations[[#This Row],[Step]] =current_step, current_Grad_e,IF(Iterations[[#This Row],[Step]] &gt; current_step, "",Iterations[[#This Row],[Grad_e]]))</f>
        <v>2.121047066373036E-3</v>
      </c>
    </row>
    <row r="962" spans="6:18" x14ac:dyDescent="0.3">
      <c r="F962" s="2">
        <f t="shared" si="18"/>
        <v>945</v>
      </c>
      <c r="G962" s="2">
        <f ca="1">IF(Iterations[[#This Row],[Step]] =current_step, current_a,IF(Iterations[[#This Row],[Step]] &gt; current_step, "",Iterations[[#This Row],[a]]))</f>
        <v>-7.2887695977802975</v>
      </c>
      <c r="H962" s="2">
        <f ca="1">IF(Iterations[[#This Row],[Step]] =current_step, current_b,IF(Iterations[[#This Row],[Step]] &gt; current_step, "",Iterations[[#This Row],[b]]))</f>
        <v>0.34574478038172507</v>
      </c>
      <c r="I962" s="2">
        <f ca="1">IF(Iterations[[#This Row],[Step]] =current_step, current_c,IF(Iterations[[#This Row],[Step]] &gt; current_step, "",Iterations[[#This Row],[c]]))</f>
        <v>21.282417133159171</v>
      </c>
      <c r="J962" s="2">
        <f ca="1">IF(Iterations[[#This Row],[Step]] =current_step, current_d,IF(Iterations[[#This Row],[Step]] &gt; current_step, "",Iterations[[#This Row],[d]]))</f>
        <v>1.2071806545062558</v>
      </c>
      <c r="K962" s="2">
        <f ca="1">IF(Iterations[[#This Row],[Step]] =current_step, current_e,IF(Iterations[[#This Row],[Step]] &gt; current_step, "",Iterations[[#This Row],[e]]))</f>
        <v>11.291272364584106</v>
      </c>
      <c r="L962" s="2">
        <f ca="1">IF(Iterations[[#This Row],[Step]] =current_step, current_Total_Loss,IF(Iterations[[#This Row],[Step]] &gt; current_step, "",Iterations[[#This Row],[Total Loss]]))</f>
        <v>90.43</v>
      </c>
      <c r="M962" s="6" t="s">
        <v>27</v>
      </c>
      <c r="N962" s="2">
        <f ca="1">IF(Iterations[[#This Row],[Step]] =current_step, current_Grad_a,IF(Iterations[[#This Row],[Step]] &gt; current_step, "",Iterations[[#This Row],[Grad_a]]))</f>
        <v>2.1058883755312114E-3</v>
      </c>
      <c r="O962" s="2">
        <f ca="1">IF(Iterations[[#This Row],[Step]] =current_step, current_Grad_b,IF(Iterations[[#This Row],[Step]] &gt; current_step, "",Iterations[[#This Row],[Grad_b]]))</f>
        <v>3.6726964776728147E-4</v>
      </c>
      <c r="P962" s="2">
        <f ca="1">IF(Iterations[[#This Row],[Step]] =current_step, current_Grad_c,IF(Iterations[[#This Row],[Step]] &gt; current_step, "",Iterations[[#This Row],[Grad_c]]))</f>
        <v>-5.907254483651629E-3</v>
      </c>
      <c r="Q962" s="2">
        <f ca="1">IF(Iterations[[#This Row],[Step]] =current_step, current_Grad_d,IF(Iterations[[#This Row],[Step]] &gt; current_step, "",Iterations[[#This Row],[Grad_d]]))</f>
        <v>-3.3737736242816444E-4</v>
      </c>
      <c r="R962" s="2">
        <f ca="1">IF(Iterations[[#This Row],[Step]] =current_step, current_Grad_e,IF(Iterations[[#This Row],[Step]] &gt; current_step, "",Iterations[[#This Row],[Grad_e]]))</f>
        <v>2.1066937043787703E-3</v>
      </c>
    </row>
    <row r="963" spans="6:18" x14ac:dyDescent="0.3">
      <c r="F963" s="2">
        <f t="shared" si="18"/>
        <v>946</v>
      </c>
      <c r="G963" s="2">
        <f ca="1">IF(Iterations[[#This Row],[Step]] =current_step, current_a,IF(Iterations[[#This Row],[Step]] &gt; current_step, "",Iterations[[#This Row],[a]]))</f>
        <v>-7.2889170099665845</v>
      </c>
      <c r="H963" s="2">
        <f ca="1">IF(Iterations[[#This Row],[Step]] =current_step, current_b,IF(Iterations[[#This Row],[Step]] &gt; current_step, "",Iterations[[#This Row],[b]]))</f>
        <v>0.34571907150638137</v>
      </c>
      <c r="I963" s="2">
        <f ca="1">IF(Iterations[[#This Row],[Step]] =current_step, current_c,IF(Iterations[[#This Row],[Step]] &gt; current_step, "",Iterations[[#This Row],[c]]))</f>
        <v>21.282830640973028</v>
      </c>
      <c r="J963" s="2">
        <f ca="1">IF(Iterations[[#This Row],[Step]] =current_step, current_d,IF(Iterations[[#This Row],[Step]] &gt; current_step, "",Iterations[[#This Row],[d]]))</f>
        <v>1.2072042709216257</v>
      </c>
      <c r="K963" s="2">
        <f ca="1">IF(Iterations[[#This Row],[Step]] =current_step, current_e,IF(Iterations[[#This Row],[Step]] &gt; current_step, "",Iterations[[#This Row],[e]]))</f>
        <v>11.291124896024799</v>
      </c>
      <c r="L963" s="2">
        <f ca="1">IF(Iterations[[#This Row],[Step]] =current_step, current_Total_Loss,IF(Iterations[[#This Row],[Step]] &gt; current_step, "",Iterations[[#This Row],[Total Loss]]))</f>
        <v>90.43</v>
      </c>
      <c r="M963" s="6" t="s">
        <v>27</v>
      </c>
      <c r="N963" s="2">
        <f ca="1">IF(Iterations[[#This Row],[Step]] =current_step, current_Grad_a,IF(Iterations[[#This Row],[Step]] &gt; current_step, "",Iterations[[#This Row],[Grad_a]]))</f>
        <v>2.0916376114803212E-3</v>
      </c>
      <c r="O963" s="2">
        <f ca="1">IF(Iterations[[#This Row],[Step]] =current_step, current_Grad_b,IF(Iterations[[#This Row],[Step]] &gt; current_step, "",Iterations[[#This Row],[Grad_b]]))</f>
        <v>3.6478446658947148E-4</v>
      </c>
      <c r="P963" s="2">
        <f ca="1">IF(Iterations[[#This Row],[Step]] =current_step, current_Grad_c,IF(Iterations[[#This Row],[Step]] &gt; current_step, "",Iterations[[#This Row],[Grad_c]]))</f>
        <v>-5.8672794487142597E-3</v>
      </c>
      <c r="Q963" s="2">
        <f ca="1">IF(Iterations[[#This Row],[Step]] =current_step, current_Grad_d,IF(Iterations[[#This Row],[Step]] &gt; current_step, "",Iterations[[#This Row],[Grad_d]]))</f>
        <v>-3.3509465647427492E-4</v>
      </c>
      <c r="R963" s="2">
        <f ca="1">IF(Iterations[[#This Row],[Step]] =current_step, current_Grad_e,IF(Iterations[[#This Row],[Step]] &gt; current_step, "",Iterations[[#This Row],[Grad_e]]))</f>
        <v>2.0924374733597676E-3</v>
      </c>
    </row>
    <row r="964" spans="6:18" x14ac:dyDescent="0.3">
      <c r="F964" s="2">
        <f t="shared" si="18"/>
        <v>947</v>
      </c>
      <c r="G964" s="2">
        <f ca="1">IF(Iterations[[#This Row],[Step]] =current_step, current_a,IF(Iterations[[#This Row],[Step]] &gt; current_step, "",Iterations[[#This Row],[a]]))</f>
        <v>-7.2890634245993882</v>
      </c>
      <c r="H964" s="2">
        <f ca="1">IF(Iterations[[#This Row],[Step]] =current_step, current_b,IF(Iterations[[#This Row],[Step]] &gt; current_step, "",Iterations[[#This Row],[b]]))</f>
        <v>0.3456935365937201</v>
      </c>
      <c r="I964" s="2">
        <f ca="1">IF(Iterations[[#This Row],[Step]] =current_step, current_c,IF(Iterations[[#This Row],[Step]] &gt; current_step, "",Iterations[[#This Row],[c]]))</f>
        <v>21.283241350534439</v>
      </c>
      <c r="J964" s="2">
        <f ca="1">IF(Iterations[[#This Row],[Step]] =current_step, current_d,IF(Iterations[[#This Row],[Step]] &gt; current_step, "",Iterations[[#This Row],[d]]))</f>
        <v>1.2072277275475789</v>
      </c>
      <c r="K964" s="2">
        <f ca="1">IF(Iterations[[#This Row],[Step]] =current_step, current_e,IF(Iterations[[#This Row],[Step]] &gt; current_step, "",Iterations[[#This Row],[e]]))</f>
        <v>11.290978425401663</v>
      </c>
      <c r="L964" s="2">
        <f ca="1">IF(Iterations[[#This Row],[Step]] =current_step, current_Total_Loss,IF(Iterations[[#This Row],[Step]] &gt; current_step, "",Iterations[[#This Row],[Total Loss]]))</f>
        <v>90.43</v>
      </c>
      <c r="M964" s="6" t="s">
        <v>27</v>
      </c>
      <c r="N964" s="2">
        <f ca="1">IF(Iterations[[#This Row],[Step]] =current_step, current_Grad_a,IF(Iterations[[#This Row],[Step]] &gt; current_step, "",Iterations[[#This Row],[Grad_a]]))</f>
        <v>2.0774832837220617E-3</v>
      </c>
      <c r="O964" s="2">
        <f ca="1">IF(Iterations[[#This Row],[Step]] =current_step, current_Grad_b,IF(Iterations[[#This Row],[Step]] &gt; current_step, "",Iterations[[#This Row],[Grad_b]]))</f>
        <v>3.6231609988749786E-4</v>
      </c>
      <c r="P964" s="2">
        <f ca="1">IF(Iterations[[#This Row],[Step]] =current_step, current_Grad_c,IF(Iterations[[#This Row],[Step]] &gt; current_step, "",Iterations[[#This Row],[Grad_c]]))</f>
        <v>-5.8275749295213387E-3</v>
      </c>
      <c r="Q964" s="2">
        <f ca="1">IF(Iterations[[#This Row],[Step]] =current_step, current_Grad_d,IF(Iterations[[#This Row],[Step]] &gt; current_step, "",Iterations[[#This Row],[Grad_d]]))</f>
        <v>-3.3282739136366836E-4</v>
      </c>
      <c r="R964" s="2">
        <f ca="1">IF(Iterations[[#This Row],[Step]] =current_step, current_Grad_e,IF(Iterations[[#This Row],[Step]] &gt; current_step, "",Iterations[[#This Row],[Grad_e]]))</f>
        <v>2.0782777159941267E-3</v>
      </c>
    </row>
    <row r="965" spans="6:18" x14ac:dyDescent="0.3">
      <c r="F965" s="2">
        <f t="shared" si="18"/>
        <v>948</v>
      </c>
      <c r="G965" s="2">
        <f ca="1">IF(Iterations[[#This Row],[Step]] =current_step, current_a,IF(Iterations[[#This Row],[Step]] &gt; current_step, "",Iterations[[#This Row],[a]]))</f>
        <v>-7.289208848429249</v>
      </c>
      <c r="H965" s="2">
        <f ca="1">IF(Iterations[[#This Row],[Step]] =current_step, current_b,IF(Iterations[[#This Row],[Step]] &gt; current_step, "",Iterations[[#This Row],[b]]))</f>
        <v>0.34566817446672798</v>
      </c>
      <c r="I965" s="2">
        <f ca="1">IF(Iterations[[#This Row],[Step]] =current_step, current_c,IF(Iterations[[#This Row],[Step]] &gt; current_step, "",Iterations[[#This Row],[c]]))</f>
        <v>21.283649280779507</v>
      </c>
      <c r="J965" s="2">
        <f ca="1">IF(Iterations[[#This Row],[Step]] =current_step, current_d,IF(Iterations[[#This Row],[Step]] &gt; current_step, "",Iterations[[#This Row],[d]]))</f>
        <v>1.2072510254649744</v>
      </c>
      <c r="K965" s="2">
        <f ca="1">IF(Iterations[[#This Row],[Step]] =current_step, current_e,IF(Iterations[[#This Row],[Step]] &gt; current_step, "",Iterations[[#This Row],[e]]))</f>
        <v>11.290832945961544</v>
      </c>
      <c r="L965" s="2">
        <f ca="1">IF(Iterations[[#This Row],[Step]] =current_step, current_Total_Loss,IF(Iterations[[#This Row],[Step]] &gt; current_step, "",Iterations[[#This Row],[Total Loss]]))</f>
        <v>90.43</v>
      </c>
      <c r="M965" s="6" t="s">
        <v>27</v>
      </c>
      <c r="N965" s="2">
        <f ca="1">IF(Iterations[[#This Row],[Step]] =current_step, current_Grad_a,IF(Iterations[[#This Row],[Step]] &gt; current_step, "",Iterations[[#This Row],[Grad_a]]))</f>
        <v>2.0634247398129014E-3</v>
      </c>
      <c r="O965" s="2">
        <f ca="1">IF(Iterations[[#This Row],[Step]] =current_step, current_Grad_b,IF(Iterations[[#This Row],[Step]] &gt; current_step, "",Iterations[[#This Row],[Grad_b]]))</f>
        <v>3.5986443385237362E-4</v>
      </c>
      <c r="P965" s="2">
        <f ca="1">IF(Iterations[[#This Row],[Step]] =current_step, current_Grad_c,IF(Iterations[[#This Row],[Step]] &gt; current_step, "",Iterations[[#This Row],[Grad_c]]))</f>
        <v>-5.7881390953963031E-3</v>
      </c>
      <c r="Q965" s="2">
        <f ca="1">IF(Iterations[[#This Row],[Step]] =current_step, current_Grad_d,IF(Iterations[[#This Row],[Step]] &gt; current_step, "",Iterations[[#This Row],[Grad_d]]))</f>
        <v>-3.3057546275446398E-4</v>
      </c>
      <c r="R965" s="2">
        <f ca="1">IF(Iterations[[#This Row],[Step]] =current_step, current_Grad_e,IF(Iterations[[#This Row],[Step]] &gt; current_step, "",Iterations[[#This Row],[Grad_e]]))</f>
        <v>2.0642137794582758E-3</v>
      </c>
    </row>
    <row r="966" spans="6:18" x14ac:dyDescent="0.3">
      <c r="F966" s="2">
        <f t="shared" si="18"/>
        <v>949</v>
      </c>
      <c r="G966" s="2">
        <f ca="1">IF(Iterations[[#This Row],[Step]] =current_step, current_a,IF(Iterations[[#This Row],[Step]] &gt; current_step, "",Iterations[[#This Row],[a]]))</f>
        <v>-7.2893532881610357</v>
      </c>
      <c r="H966" s="2">
        <f ca="1">IF(Iterations[[#This Row],[Step]] =current_step, current_b,IF(Iterations[[#This Row],[Step]] &gt; current_step, "",Iterations[[#This Row],[b]]))</f>
        <v>0.34564298395635834</v>
      </c>
      <c r="I966" s="2">
        <f ca="1">IF(Iterations[[#This Row],[Step]] =current_step, current_c,IF(Iterations[[#This Row],[Step]] &gt; current_step, "",Iterations[[#This Row],[c]]))</f>
        <v>21.284054450516184</v>
      </c>
      <c r="J966" s="2">
        <f ca="1">IF(Iterations[[#This Row],[Step]] =current_step, current_d,IF(Iterations[[#This Row],[Step]] &gt; current_step, "",Iterations[[#This Row],[d]]))</f>
        <v>1.2072741657473673</v>
      </c>
      <c r="K966" s="2">
        <f ca="1">IF(Iterations[[#This Row],[Step]] =current_step, current_e,IF(Iterations[[#This Row],[Step]] &gt; current_step, "",Iterations[[#This Row],[e]]))</f>
        <v>11.290688450996981</v>
      </c>
      <c r="L966" s="2">
        <f ca="1">IF(Iterations[[#This Row],[Step]] =current_step, current_Total_Loss,IF(Iterations[[#This Row],[Step]] &gt; current_step, "",Iterations[[#This Row],[Total Loss]]))</f>
        <v>90.43</v>
      </c>
      <c r="M966" s="6" t="s">
        <v>27</v>
      </c>
      <c r="N966" s="2">
        <f ca="1">IF(Iterations[[#This Row],[Step]] =current_step, current_Grad_a,IF(Iterations[[#This Row],[Step]] &gt; current_step, "",Iterations[[#This Row],[Grad_a]]))</f>
        <v>2.0494613314031695E-3</v>
      </c>
      <c r="O966" s="2">
        <f ca="1">IF(Iterations[[#This Row],[Step]] =current_step, current_Grad_b,IF(Iterations[[#This Row],[Step]] &gt; current_step, "",Iterations[[#This Row],[Grad_b]]))</f>
        <v>3.5742935558554417E-4</v>
      </c>
      <c r="P966" s="2">
        <f ca="1">IF(Iterations[[#This Row],[Step]] =current_step, current_Grad_c,IF(Iterations[[#This Row],[Step]] &gt; current_step, "",Iterations[[#This Row],[Grad_c]]))</f>
        <v>-5.7489701281803933E-3</v>
      </c>
      <c r="Q966" s="2">
        <f ca="1">IF(Iterations[[#This Row],[Step]] =current_step, current_Grad_d,IF(Iterations[[#This Row],[Step]] &gt; current_step, "",Iterations[[#This Row],[Grad_d]]))</f>
        <v>-3.2833876694964785E-4</v>
      </c>
      <c r="R966" s="2">
        <f ca="1">IF(Iterations[[#This Row],[Step]] =current_step, current_Grad_e,IF(Iterations[[#This Row],[Step]] &gt; current_step, "",Iterations[[#This Row],[Grad_e]]))</f>
        <v>2.0502450152838727E-3</v>
      </c>
    </row>
    <row r="967" spans="6:18" x14ac:dyDescent="0.3">
      <c r="F967" s="2">
        <f t="shared" si="18"/>
        <v>950</v>
      </c>
      <c r="G967" s="2">
        <f ca="1">IF(Iterations[[#This Row],[Step]] =current_step, current_a,IF(Iterations[[#This Row],[Step]] &gt; current_step, "",Iterations[[#This Row],[a]]))</f>
        <v>-7.2894967504542336</v>
      </c>
      <c r="H967" s="2">
        <f ca="1">IF(Iterations[[#This Row],[Step]] =current_step, current_b,IF(Iterations[[#This Row],[Step]] &gt; current_step, "",Iterations[[#This Row],[b]]))</f>
        <v>0.34561796390146737</v>
      </c>
      <c r="I967" s="2">
        <f ca="1">IF(Iterations[[#This Row],[Step]] =current_step, current_c,IF(Iterations[[#This Row],[Step]] &gt; current_step, "",Iterations[[#This Row],[c]]))</f>
        <v>21.284456878425157</v>
      </c>
      <c r="J967" s="2">
        <f ca="1">IF(Iterations[[#This Row],[Step]] =current_step, current_d,IF(Iterations[[#This Row],[Step]] &gt; current_step, "",Iterations[[#This Row],[d]]))</f>
        <v>1.2072971494610538</v>
      </c>
      <c r="K967" s="2">
        <f ca="1">IF(Iterations[[#This Row],[Step]] =current_step, current_e,IF(Iterations[[#This Row],[Step]] &gt; current_step, "",Iterations[[#This Row],[e]]))</f>
        <v>11.290544933845911</v>
      </c>
      <c r="L967" s="2">
        <f ca="1">IF(Iterations[[#This Row],[Step]] =current_step, current_Total_Loss,IF(Iterations[[#This Row],[Step]] &gt; current_step, "",Iterations[[#This Row],[Total Loss]]))</f>
        <v>90.43</v>
      </c>
      <c r="M967" s="6" t="s">
        <v>27</v>
      </c>
      <c r="N967" s="2">
        <f ca="1">IF(Iterations[[#This Row],[Step]] =current_step, current_Grad_a,IF(Iterations[[#This Row],[Step]] &gt; current_step, "",Iterations[[#This Row],[Grad_a]]))</f>
        <v>2.0355924149243598E-3</v>
      </c>
      <c r="O967" s="2">
        <f ca="1">IF(Iterations[[#This Row],[Step]] =current_step, current_Grad_b,IF(Iterations[[#This Row],[Step]] &gt; current_step, "",Iterations[[#This Row],[Grad_b]]))</f>
        <v>3.5501075283159465E-4</v>
      </c>
      <c r="P967" s="2">
        <f ca="1">IF(Iterations[[#This Row],[Step]] =current_step, current_Grad_c,IF(Iterations[[#This Row],[Step]] &gt; current_step, "",Iterations[[#This Row],[Grad_c]]))</f>
        <v>-5.710066221857879E-3</v>
      </c>
      <c r="Q967" s="2">
        <f ca="1">IF(Iterations[[#This Row],[Step]] =current_step, current_Grad_d,IF(Iterations[[#This Row],[Step]] &gt; current_step, "",Iterations[[#This Row],[Grad_d]]))</f>
        <v>-3.2611720099884334E-4</v>
      </c>
      <c r="R967" s="2">
        <f ca="1">IF(Iterations[[#This Row],[Step]] =current_step, current_Grad_e,IF(Iterations[[#This Row],[Step]] &gt; current_step, "",Iterations[[#This Row],[Grad_e]]))</f>
        <v>2.0363707794681415E-3</v>
      </c>
    </row>
    <row r="968" spans="6:18" x14ac:dyDescent="0.3">
      <c r="F968" s="2">
        <f t="shared" si="18"/>
        <v>951</v>
      </c>
      <c r="G968" s="2">
        <f ca="1">IF(Iterations[[#This Row],[Step]] =current_step, current_a,IF(Iterations[[#This Row],[Step]] &gt; current_step, "",Iterations[[#This Row],[a]]))</f>
        <v>-7.2896392419232781</v>
      </c>
      <c r="H968" s="2">
        <f ca="1">IF(Iterations[[#This Row],[Step]] =current_step, current_b,IF(Iterations[[#This Row],[Step]] &gt; current_step, "",Iterations[[#This Row],[b]]))</f>
        <v>0.34559311314876917</v>
      </c>
      <c r="I968" s="2">
        <f ca="1">IF(Iterations[[#This Row],[Step]] =current_step, current_c,IF(Iterations[[#This Row],[Step]] &gt; current_step, "",Iterations[[#This Row],[c]]))</f>
        <v>21.284856583060687</v>
      </c>
      <c r="J968" s="2">
        <f ca="1">IF(Iterations[[#This Row],[Step]] =current_step, current_d,IF(Iterations[[#This Row],[Step]] &gt; current_step, "",Iterations[[#This Row],[d]]))</f>
        <v>1.2073199776651238</v>
      </c>
      <c r="K968" s="2">
        <f ca="1">IF(Iterations[[#This Row],[Step]] =current_step, current_e,IF(Iterations[[#This Row],[Step]] &gt; current_step, "",Iterations[[#This Row],[e]]))</f>
        <v>11.290402387891348</v>
      </c>
      <c r="L968" s="2">
        <f ca="1">IF(Iterations[[#This Row],[Step]] =current_step, current_Total_Loss,IF(Iterations[[#This Row],[Step]] &gt; current_step, "",Iterations[[#This Row],[Total Loss]]))</f>
        <v>90.43</v>
      </c>
      <c r="M968" s="6" t="s">
        <v>27</v>
      </c>
      <c r="N968" s="2">
        <f ca="1">IF(Iterations[[#This Row],[Step]] =current_step, current_Grad_a,IF(Iterations[[#This Row],[Step]] &gt; current_step, "",Iterations[[#This Row],[Grad_a]]))</f>
        <v>2.021817350656146E-3</v>
      </c>
      <c r="O968" s="2">
        <f ca="1">IF(Iterations[[#This Row],[Step]] =current_step, current_Grad_b,IF(Iterations[[#This Row],[Step]] &gt; current_step, "",Iterations[[#This Row],[Grad_b]]))</f>
        <v>3.5260851422504028E-4</v>
      </c>
      <c r="P968" s="2">
        <f ca="1">IF(Iterations[[#This Row],[Step]] =current_step, current_Grad_c,IF(Iterations[[#This Row],[Step]] &gt; current_step, "",Iterations[[#This Row],[Grad_c]]))</f>
        <v>-5.6714255828420723E-3</v>
      </c>
      <c r="Q968" s="2">
        <f ca="1">IF(Iterations[[#This Row],[Step]] =current_step, current_Grad_d,IF(Iterations[[#This Row],[Step]] &gt; current_step, "",Iterations[[#This Row],[Grad_d]]))</f>
        <v>-3.2391066259995771E-4</v>
      </c>
      <c r="R968" s="2">
        <f ca="1">IF(Iterations[[#This Row],[Step]] =current_step, current_Grad_e,IF(Iterations[[#This Row],[Step]] &gt; current_step, "",Iterations[[#This Row],[Grad_e]]))</f>
        <v>2.0225904322701796E-3</v>
      </c>
    </row>
    <row r="969" spans="6:18" x14ac:dyDescent="0.3">
      <c r="F969" s="2">
        <f t="shared" si="18"/>
        <v>952</v>
      </c>
      <c r="G969" s="2">
        <f ca="1">IF(Iterations[[#This Row],[Step]] =current_step, current_a,IF(Iterations[[#This Row],[Step]] &gt; current_step, "",Iterations[[#This Row],[a]]))</f>
        <v>-7.289780769137824</v>
      </c>
      <c r="H969" s="2">
        <f ca="1">IF(Iterations[[#This Row],[Step]] =current_step, current_b,IF(Iterations[[#This Row],[Step]] &gt; current_step, "",Iterations[[#This Row],[b]]))</f>
        <v>0.34556843055277342</v>
      </c>
      <c r="I969" s="2">
        <f ca="1">IF(Iterations[[#This Row],[Step]] =current_step, current_c,IF(Iterations[[#This Row],[Step]] &gt; current_step, "",Iterations[[#This Row],[c]]))</f>
        <v>21.285253582851485</v>
      </c>
      <c r="J969" s="2">
        <f ca="1">IF(Iterations[[#This Row],[Step]] =current_step, current_d,IF(Iterations[[#This Row],[Step]] &gt; current_step, "",Iterations[[#This Row],[d]]))</f>
        <v>1.2073426514115058</v>
      </c>
      <c r="K969" s="2">
        <f ca="1">IF(Iterations[[#This Row],[Step]] =current_step, current_e,IF(Iterations[[#This Row],[Step]] &gt; current_step, "",Iterations[[#This Row],[e]]))</f>
        <v>11.290260806561088</v>
      </c>
      <c r="L969" s="2">
        <f ca="1">IF(Iterations[[#This Row],[Step]] =current_step, current_Total_Loss,IF(Iterations[[#This Row],[Step]] &gt; current_step, "",Iterations[[#This Row],[Total Loss]]))</f>
        <v>90.43</v>
      </c>
      <c r="M969" s="6" t="s">
        <v>27</v>
      </c>
      <c r="N969" s="2">
        <f ca="1">IF(Iterations[[#This Row],[Step]] =current_step, current_Grad_a,IF(Iterations[[#This Row],[Step]] &gt; current_step, "",Iterations[[#This Row],[Grad_a]]))</f>
        <v>2.008135503768561E-3</v>
      </c>
      <c r="O969" s="2">
        <f ca="1">IF(Iterations[[#This Row],[Step]] =current_step, current_Grad_b,IF(Iterations[[#This Row],[Step]] &gt; current_step, "",Iterations[[#This Row],[Grad_b]]))</f>
        <v>3.5022252897963665E-4</v>
      </c>
      <c r="P969" s="2">
        <f ca="1">IF(Iterations[[#This Row],[Step]] =current_step, current_Grad_c,IF(Iterations[[#This Row],[Step]] &gt; current_step, "",Iterations[[#This Row],[Grad_c]]))</f>
        <v>-5.6330464294541078E-3</v>
      </c>
      <c r="Q969" s="2">
        <f ca="1">IF(Iterations[[#This Row],[Step]] =current_step, current_Grad_d,IF(Iterations[[#This Row],[Step]] &gt; current_step, "",Iterations[[#This Row],[Grad_d]]))</f>
        <v>-3.2171905020321007E-4</v>
      </c>
      <c r="R969" s="2">
        <f ca="1">IF(Iterations[[#This Row],[Step]] =current_step, current_Grad_e,IF(Iterations[[#This Row],[Step]] &gt; current_step, "",Iterations[[#This Row],[Grad_e]]))</f>
        <v>2.0089033383840554E-3</v>
      </c>
    </row>
    <row r="970" spans="6:18" x14ac:dyDescent="0.3">
      <c r="F970" s="2">
        <f t="shared" si="18"/>
        <v>953</v>
      </c>
      <c r="G970" s="2">
        <f ca="1">IF(Iterations[[#This Row],[Step]] =current_step, current_a,IF(Iterations[[#This Row],[Step]] &gt; current_step, "",Iterations[[#This Row],[a]]))</f>
        <v>-7.2899213386230874</v>
      </c>
      <c r="H970" s="2">
        <f ca="1">IF(Iterations[[#This Row],[Step]] =current_step, current_b,IF(Iterations[[#This Row],[Step]] &gt; current_step, "",Iterations[[#This Row],[b]]))</f>
        <v>0.34554391497574483</v>
      </c>
      <c r="I970" s="2">
        <f ca="1">IF(Iterations[[#This Row],[Step]] =current_step, current_c,IF(Iterations[[#This Row],[Step]] &gt; current_step, "",Iterations[[#This Row],[c]]))</f>
        <v>21.285647896101548</v>
      </c>
      <c r="J970" s="2">
        <f ca="1">IF(Iterations[[#This Row],[Step]] =current_step, current_d,IF(Iterations[[#This Row],[Step]] &gt; current_step, "",Iterations[[#This Row],[d]]))</f>
        <v>1.20736517174502</v>
      </c>
      <c r="K970" s="2">
        <f ca="1">IF(Iterations[[#This Row],[Step]] =current_step, current_e,IF(Iterations[[#This Row],[Step]] &gt; current_step, "",Iterations[[#This Row],[e]]))</f>
        <v>11.290120183327401</v>
      </c>
      <c r="L970" s="2">
        <f ca="1">IF(Iterations[[#This Row],[Step]] =current_step, current_Total_Loss,IF(Iterations[[#This Row],[Step]] &gt; current_step, "",Iterations[[#This Row],[Total Loss]]))</f>
        <v>90.43</v>
      </c>
      <c r="M970" s="6" t="s">
        <v>27</v>
      </c>
      <c r="N970" s="2">
        <f ca="1">IF(Iterations[[#This Row],[Step]] =current_step, current_Grad_a,IF(Iterations[[#This Row],[Step]] &gt; current_step, "",Iterations[[#This Row],[Grad_a]]))</f>
        <v>1.994546243282633E-3</v>
      </c>
      <c r="O970" s="2">
        <f ca="1">IF(Iterations[[#This Row],[Step]] =current_step, current_Grad_b,IF(Iterations[[#This Row],[Step]] &gt; current_step, "",Iterations[[#This Row],[Grad_b]]))</f>
        <v>3.4785268724342916E-4</v>
      </c>
      <c r="P970" s="2">
        <f ca="1">IF(Iterations[[#This Row],[Step]] =current_step, current_Grad_c,IF(Iterations[[#This Row],[Step]] &gt; current_step, "",Iterations[[#This Row],[Grad_c]]))</f>
        <v>-5.5949269922560309E-3</v>
      </c>
      <c r="Q970" s="2">
        <f ca="1">IF(Iterations[[#This Row],[Step]] =current_step, current_Grad_d,IF(Iterations[[#This Row],[Step]] &gt; current_step, "",Iterations[[#This Row],[Grad_d]]))</f>
        <v>-3.1954226287319215E-4</v>
      </c>
      <c r="R970" s="2">
        <f ca="1">IF(Iterations[[#This Row],[Step]] =current_step, current_Grad_e,IF(Iterations[[#This Row],[Step]] &gt; current_step, "",Iterations[[#This Row],[Grad_e]]))</f>
        <v>1.9953088667172578E-3</v>
      </c>
    </row>
    <row r="971" spans="6:18" x14ac:dyDescent="0.3">
      <c r="F971" s="2">
        <f t="shared" si="18"/>
        <v>954</v>
      </c>
      <c r="G971" s="2">
        <f ca="1">IF(Iterations[[#This Row],[Step]] =current_step, current_a,IF(Iterations[[#This Row],[Step]] &gt; current_step, "",Iterations[[#This Row],[a]]))</f>
        <v>-7.2900609568601169</v>
      </c>
      <c r="H971" s="2">
        <f ca="1">IF(Iterations[[#This Row],[Step]] =current_step, current_b,IF(Iterations[[#This Row],[Step]] &gt; current_step, "",Iterations[[#This Row],[b]]))</f>
        <v>0.34551956528763778</v>
      </c>
      <c r="I971" s="2">
        <f ca="1">IF(Iterations[[#This Row],[Step]] =current_step, current_c,IF(Iterations[[#This Row],[Step]] &gt; current_step, "",Iterations[[#This Row],[c]]))</f>
        <v>21.286039540991005</v>
      </c>
      <c r="J971" s="2">
        <f ca="1">IF(Iterations[[#This Row],[Step]] =current_step, current_d,IF(Iterations[[#This Row],[Step]] &gt; current_step, "",Iterations[[#This Row],[d]]))</f>
        <v>1.2073875397034211</v>
      </c>
      <c r="K971" s="2">
        <f ca="1">IF(Iterations[[#This Row],[Step]] =current_step, current_e,IF(Iterations[[#This Row],[Step]] &gt; current_step, "",Iterations[[#This Row],[e]]))</f>
        <v>11.28998051170673</v>
      </c>
      <c r="L971" s="2">
        <f ca="1">IF(Iterations[[#This Row],[Step]] =current_step, current_Total_Loss,IF(Iterations[[#This Row],[Step]] &gt; current_step, "",Iterations[[#This Row],[Total Loss]]))</f>
        <v>90.43</v>
      </c>
      <c r="M971" s="6" t="s">
        <v>27</v>
      </c>
      <c r="N971" s="2">
        <f ca="1">IF(Iterations[[#This Row],[Step]] =current_step, current_Grad_a,IF(Iterations[[#This Row],[Step]] &gt; current_step, "",Iterations[[#This Row],[Grad_a]]))</f>
        <v>1.9810489426758237E-3</v>
      </c>
      <c r="O971" s="2">
        <f ca="1">IF(Iterations[[#This Row],[Step]] =current_step, current_Grad_b,IF(Iterations[[#This Row],[Step]] &gt; current_step, "",Iterations[[#This Row],[Grad_b]]))</f>
        <v>3.4549887979428025E-4</v>
      </c>
      <c r="P971" s="2">
        <f ca="1">IF(Iterations[[#This Row],[Step]] =current_step, current_Grad_c,IF(Iterations[[#This Row],[Step]] &gt; current_step, "",Iterations[[#This Row],[Grad_c]]))</f>
        <v>-5.5570655137026324E-3</v>
      </c>
      <c r="Q971" s="2">
        <f ca="1">IF(Iterations[[#This Row],[Step]] =current_step, current_Grad_d,IF(Iterations[[#This Row],[Step]] &gt; current_step, "",Iterations[[#This Row],[Grad_d]]))</f>
        <v>-3.1738020040197569E-4</v>
      </c>
      <c r="R971" s="2">
        <f ca="1">IF(Iterations[[#This Row],[Step]] =current_step, current_Grad_e,IF(Iterations[[#This Row],[Step]] &gt; current_step, "",Iterations[[#This Row],[Grad_e]]))</f>
        <v>1.9818063904873087E-3</v>
      </c>
    </row>
    <row r="972" spans="6:18" x14ac:dyDescent="0.3">
      <c r="F972" s="2">
        <f t="shared" si="18"/>
        <v>955</v>
      </c>
      <c r="G972" s="2">
        <f ca="1">IF(Iterations[[#This Row],[Step]] =current_step, current_a,IF(Iterations[[#This Row],[Step]] &gt; current_step, "",Iterations[[#This Row],[a]]))</f>
        <v>-7.2901996302861045</v>
      </c>
      <c r="H972" s="2">
        <f ca="1">IF(Iterations[[#This Row],[Step]] =current_step, current_b,IF(Iterations[[#This Row],[Step]] &gt; current_step, "",Iterations[[#This Row],[b]]))</f>
        <v>0.34549538036605215</v>
      </c>
      <c r="I972" s="2">
        <f ca="1">IF(Iterations[[#This Row],[Step]] =current_step, current_c,IF(Iterations[[#This Row],[Step]] &gt; current_step, "",Iterations[[#This Row],[c]]))</f>
        <v>21.286428535576963</v>
      </c>
      <c r="J972" s="2">
        <f ca="1">IF(Iterations[[#This Row],[Step]] =current_step, current_d,IF(Iterations[[#This Row],[Step]] &gt; current_step, "",Iterations[[#This Row],[d]]))</f>
        <v>1.2074097563174493</v>
      </c>
      <c r="K972" s="2">
        <f ca="1">IF(Iterations[[#This Row],[Step]] =current_step, current_e,IF(Iterations[[#This Row],[Step]] &gt; current_step, "",Iterations[[#This Row],[e]]))</f>
        <v>11.289841785259396</v>
      </c>
      <c r="L972" s="2">
        <f ca="1">IF(Iterations[[#This Row],[Step]] =current_step, current_Total_Loss,IF(Iterations[[#This Row],[Step]] &gt; current_step, "",Iterations[[#This Row],[Total Loss]]))</f>
        <v>90.43</v>
      </c>
      <c r="M972" s="6" t="s">
        <v>27</v>
      </c>
      <c r="N972" s="2">
        <f ca="1">IF(Iterations[[#This Row],[Step]] =current_step, current_Grad_a,IF(Iterations[[#This Row],[Step]] &gt; current_step, "",Iterations[[#This Row],[Grad_a]]))</f>
        <v>1.9676429797064188E-3</v>
      </c>
      <c r="O972" s="2">
        <f ca="1">IF(Iterations[[#This Row],[Step]] =current_step, current_Grad_b,IF(Iterations[[#This Row],[Step]] &gt; current_step, "",Iterations[[#This Row],[Grad_b]]))</f>
        <v>3.4316099816224092E-4</v>
      </c>
      <c r="P972" s="2">
        <f ca="1">IF(Iterations[[#This Row],[Step]] =current_step, current_Grad_c,IF(Iterations[[#This Row],[Step]] &gt; current_step, "",Iterations[[#This Row],[Grad_c]]))</f>
        <v>-5.5194602481294991E-3</v>
      </c>
      <c r="Q972" s="2">
        <f ca="1">IF(Iterations[[#This Row],[Step]] =current_step, current_Grad_d,IF(Iterations[[#This Row],[Step]] &gt; current_step, "",Iterations[[#This Row],[Grad_d]]))</f>
        <v>-3.1523276325131879E-4</v>
      </c>
      <c r="R972" s="2">
        <f ca="1">IF(Iterations[[#This Row],[Step]] =current_step, current_Grad_e,IF(Iterations[[#This Row],[Step]] &gt; current_step, "",Iterations[[#This Row],[Grad_e]]))</f>
        <v>1.9683952871596905E-3</v>
      </c>
    </row>
    <row r="973" spans="6:18" x14ac:dyDescent="0.3">
      <c r="F973" s="2">
        <f t="shared" si="18"/>
        <v>956</v>
      </c>
      <c r="G973" s="2">
        <f ca="1">IF(Iterations[[#This Row],[Step]] =current_step, current_a,IF(Iterations[[#This Row],[Step]] &gt; current_step, "",Iterations[[#This Row],[a]]))</f>
        <v>-7.2903373652946843</v>
      </c>
      <c r="H973" s="2">
        <f ca="1">IF(Iterations[[#This Row],[Step]] =current_step, current_b,IF(Iterations[[#This Row],[Step]] &gt; current_step, "",Iterations[[#This Row],[b]]))</f>
        <v>0.34547135909618082</v>
      </c>
      <c r="I973" s="2">
        <f ca="1">IF(Iterations[[#This Row],[Step]] =current_step, current_c,IF(Iterations[[#This Row],[Step]] &gt; current_step, "",Iterations[[#This Row],[c]]))</f>
        <v>21.286814897794333</v>
      </c>
      <c r="J973" s="2">
        <f ca="1">IF(Iterations[[#This Row],[Step]] =current_step, current_d,IF(Iterations[[#This Row],[Step]] &gt; current_step, "",Iterations[[#This Row],[d]]))</f>
        <v>1.2074318226108769</v>
      </c>
      <c r="K973" s="2">
        <f ca="1">IF(Iterations[[#This Row],[Step]] =current_step, current_e,IF(Iterations[[#This Row],[Step]] &gt; current_step, "",Iterations[[#This Row],[e]]))</f>
        <v>11.289703997589296</v>
      </c>
      <c r="L973" s="2">
        <f ca="1">IF(Iterations[[#This Row],[Step]] =current_step, current_Total_Loss,IF(Iterations[[#This Row],[Step]] &gt; current_step, "",Iterations[[#This Row],[Total Loss]]))</f>
        <v>90.43</v>
      </c>
      <c r="M973" s="6" t="s">
        <v>27</v>
      </c>
      <c r="N973" s="2">
        <f ca="1">IF(Iterations[[#This Row],[Step]] =current_step, current_Grad_a,IF(Iterations[[#This Row],[Step]] &gt; current_step, "",Iterations[[#This Row],[Grad_a]]))</f>
        <v>1.9543277362557257E-3</v>
      </c>
      <c r="O973" s="2">
        <f ca="1">IF(Iterations[[#This Row],[Step]] =current_step, current_Grad_b,IF(Iterations[[#This Row],[Step]] &gt; current_step, "",Iterations[[#This Row],[Grad_b]]))</f>
        <v>3.408389346157343E-4</v>
      </c>
      <c r="P973" s="2">
        <f ca="1">IF(Iterations[[#This Row],[Step]] =current_step, current_Grad_c,IF(Iterations[[#This Row],[Step]] &gt; current_step, "",Iterations[[#This Row],[Grad_c]]))</f>
        <v>-5.4821094617239063E-3</v>
      </c>
      <c r="Q973" s="2">
        <f ca="1">IF(Iterations[[#This Row],[Step]] =current_step, current_Grad_d,IF(Iterations[[#This Row],[Step]] &gt; current_step, "",Iterations[[#This Row],[Grad_d]]))</f>
        <v>-3.1309985255138323E-4</v>
      </c>
      <c r="R973" s="2">
        <f ca="1">IF(Iterations[[#This Row],[Step]] =current_step, current_Grad_e,IF(Iterations[[#This Row],[Step]] &gt; current_step, "",Iterations[[#This Row],[Grad_e]]))</f>
        <v>1.955074938391298E-3</v>
      </c>
    </row>
    <row r="974" spans="6:18" x14ac:dyDescent="0.3">
      <c r="F974" s="2">
        <f t="shared" si="18"/>
        <v>957</v>
      </c>
      <c r="G974" s="2">
        <f ca="1">IF(Iterations[[#This Row],[Step]] =current_step, current_a,IF(Iterations[[#This Row],[Step]] &gt; current_step, "",Iterations[[#This Row],[a]]))</f>
        <v>-7.290474168236222</v>
      </c>
      <c r="H974" s="2">
        <f ca="1">IF(Iterations[[#This Row],[Step]] =current_step, current_b,IF(Iterations[[#This Row],[Step]] &gt; current_step, "",Iterations[[#This Row],[b]]))</f>
        <v>0.34544750037075772</v>
      </c>
      <c r="I974" s="2">
        <f ca="1">IF(Iterations[[#This Row],[Step]] =current_step, current_c,IF(Iterations[[#This Row],[Step]] &gt; current_step, "",Iterations[[#This Row],[c]]))</f>
        <v>21.287198645456652</v>
      </c>
      <c r="J974" s="2">
        <f ca="1">IF(Iterations[[#This Row],[Step]] =current_step, current_d,IF(Iterations[[#This Row],[Step]] &gt; current_step, "",Iterations[[#This Row],[d]]))</f>
        <v>1.2074537396005556</v>
      </c>
      <c r="K974" s="2">
        <f ca="1">IF(Iterations[[#This Row],[Step]] =current_step, current_e,IF(Iterations[[#This Row],[Step]] &gt; current_step, "",Iterations[[#This Row],[e]]))</f>
        <v>11.289567142343609</v>
      </c>
      <c r="L974" s="2">
        <f ca="1">IF(Iterations[[#This Row],[Step]] =current_step, current_Total_Loss,IF(Iterations[[#This Row],[Step]] &gt; current_step, "",Iterations[[#This Row],[Total Loss]]))</f>
        <v>90.43</v>
      </c>
      <c r="M974" s="6" t="s">
        <v>27</v>
      </c>
      <c r="N974" s="2">
        <f ca="1">IF(Iterations[[#This Row],[Step]] =current_step, current_Grad_a,IF(Iterations[[#This Row],[Step]] &gt; current_step, "",Iterations[[#This Row],[Grad_a]]))</f>
        <v>1.9411025983968105E-3</v>
      </c>
      <c r="O974" s="2">
        <f ca="1">IF(Iterations[[#This Row],[Step]] =current_step, current_Grad_b,IF(Iterations[[#This Row],[Step]] &gt; current_step, "",Iterations[[#This Row],[Grad_b]]))</f>
        <v>3.3853258217764193E-4</v>
      </c>
      <c r="P974" s="2">
        <f ca="1">IF(Iterations[[#This Row],[Step]] =current_step, current_Grad_c,IF(Iterations[[#This Row],[Step]] &gt; current_step, "",Iterations[[#This Row],[Grad_c]]))</f>
        <v>-5.4450114323971116E-3</v>
      </c>
      <c r="Q974" s="2">
        <f ca="1">IF(Iterations[[#This Row],[Step]] =current_step, current_Grad_d,IF(Iterations[[#This Row],[Step]] &gt; current_step, "",Iterations[[#This Row],[Grad_d]]))</f>
        <v>-3.1098137009101371E-4</v>
      </c>
      <c r="R974" s="2">
        <f ca="1">IF(Iterations[[#This Row],[Step]] =current_step, current_Grad_e,IF(Iterations[[#This Row],[Step]] &gt; current_step, "",Iterations[[#This Row],[Grad_e]]))</f>
        <v>1.9418447300303399E-3</v>
      </c>
    </row>
    <row r="975" spans="6:18" x14ac:dyDescent="0.3">
      <c r="F975" s="2">
        <f t="shared" si="18"/>
        <v>958</v>
      </c>
      <c r="G975" s="2">
        <f ca="1">IF(Iterations[[#This Row],[Step]] =current_step, current_a,IF(Iterations[[#This Row],[Step]] &gt; current_step, "",Iterations[[#This Row],[a]]))</f>
        <v>-7.2906100454181093</v>
      </c>
      <c r="H975" s="2">
        <f ca="1">IF(Iterations[[#This Row],[Step]] =current_step, current_b,IF(Iterations[[#This Row],[Step]] &gt; current_step, "",Iterations[[#This Row],[b]]))</f>
        <v>0.34542380309000531</v>
      </c>
      <c r="I975" s="2">
        <f ca="1">IF(Iterations[[#This Row],[Step]] =current_step, current_c,IF(Iterations[[#This Row],[Step]] &gt; current_step, "",Iterations[[#This Row],[c]]))</f>
        <v>21.287579796256921</v>
      </c>
      <c r="J975" s="2">
        <f ca="1">IF(Iterations[[#This Row],[Step]] =current_step, current_d,IF(Iterations[[#This Row],[Step]] &gt; current_step, "",Iterations[[#This Row],[d]]))</f>
        <v>1.2074755082964619</v>
      </c>
      <c r="K975" s="2">
        <f ca="1">IF(Iterations[[#This Row],[Step]] =current_step, current_e,IF(Iterations[[#This Row],[Step]] &gt; current_step, "",Iterations[[#This Row],[e]]))</f>
        <v>11.289431213212506</v>
      </c>
      <c r="L975" s="2">
        <f ca="1">IF(Iterations[[#This Row],[Step]] =current_step, current_Total_Loss,IF(Iterations[[#This Row],[Step]] &gt; current_step, "",Iterations[[#This Row],[Total Loss]]))</f>
        <v>90.43</v>
      </c>
      <c r="M975" s="6" t="s">
        <v>27</v>
      </c>
      <c r="N975" s="2">
        <f ca="1">IF(Iterations[[#This Row],[Step]] =current_step, current_Grad_a,IF(Iterations[[#This Row],[Step]] &gt; current_step, "",Iterations[[#This Row],[Grad_a]]))</f>
        <v>1.9279669564024912E-3</v>
      </c>
      <c r="O975" s="2">
        <f ca="1">IF(Iterations[[#This Row],[Step]] =current_step, current_Grad_b,IF(Iterations[[#This Row],[Step]] &gt; current_step, "",Iterations[[#This Row],[Grad_b]]))</f>
        <v>3.3624183458012976E-4</v>
      </c>
      <c r="P975" s="2">
        <f ca="1">IF(Iterations[[#This Row],[Step]] =current_step, current_Grad_c,IF(Iterations[[#This Row],[Step]] &gt; current_step, "",Iterations[[#This Row],[Grad_c]]))</f>
        <v>-5.4081644496965075E-3</v>
      </c>
      <c r="Q975" s="2">
        <f ca="1">IF(Iterations[[#This Row],[Step]] =current_step, current_Grad_d,IF(Iterations[[#This Row],[Step]] &gt; current_step, "",Iterations[[#This Row],[Grad_d]]))</f>
        <v>-3.0887721832499143E-4</v>
      </c>
      <c r="R975" s="2">
        <f ca="1">IF(Iterations[[#This Row],[Step]] =current_step, current_Grad_e,IF(Iterations[[#This Row],[Step]] &gt; current_step, "",Iterations[[#This Row],[Grad_e]]))</f>
        <v>1.9287040520897926E-3</v>
      </c>
    </row>
    <row r="976" spans="6:18" x14ac:dyDescent="0.3">
      <c r="F976" s="2">
        <f t="shared" si="18"/>
        <v>959</v>
      </c>
      <c r="G976" s="2">
        <f ca="1">IF(Iterations[[#This Row],[Step]] =current_step, current_a,IF(Iterations[[#This Row],[Step]] &gt; current_step, "",Iterations[[#This Row],[a]]))</f>
        <v>-7.2907450031050578</v>
      </c>
      <c r="H976" s="2">
        <f ca="1">IF(Iterations[[#This Row],[Step]] =current_step, current_b,IF(Iterations[[#This Row],[Step]] &gt; current_step, "",Iterations[[#This Row],[b]]))</f>
        <v>0.3454002661615847</v>
      </c>
      <c r="I976" s="2">
        <f ca="1">IF(Iterations[[#This Row],[Step]] =current_step, current_c,IF(Iterations[[#This Row],[Step]] &gt; current_step, "",Iterations[[#This Row],[c]]))</f>
        <v>21.2879583677684</v>
      </c>
      <c r="J976" s="2">
        <f ca="1">IF(Iterations[[#This Row],[Step]] =current_step, current_d,IF(Iterations[[#This Row],[Step]] &gt; current_step, "",Iterations[[#This Row],[d]]))</f>
        <v>1.2074971297017447</v>
      </c>
      <c r="K976" s="2">
        <f ca="1">IF(Iterations[[#This Row],[Step]] =current_step, current_e,IF(Iterations[[#This Row],[Step]] &gt; current_step, "",Iterations[[#This Row],[e]]))</f>
        <v>11.28929620392886</v>
      </c>
      <c r="L976" s="2">
        <f ca="1">IF(Iterations[[#This Row],[Step]] =current_step, current_Total_Loss,IF(Iterations[[#This Row],[Step]] &gt; current_step, "",Iterations[[#This Row],[Total Loss]]))</f>
        <v>90.43</v>
      </c>
      <c r="M976" s="6" t="s">
        <v>27</v>
      </c>
      <c r="N976" s="2">
        <f ca="1">IF(Iterations[[#This Row],[Step]] =current_step, current_Grad_a,IF(Iterations[[#This Row],[Step]] &gt; current_step, "",Iterations[[#This Row],[Grad_a]]))</f>
        <v>1.9149202046182287E-3</v>
      </c>
      <c r="O976" s="2">
        <f ca="1">IF(Iterations[[#This Row],[Step]] =current_step, current_Grad_b,IF(Iterations[[#This Row],[Step]] &gt; current_step, "",Iterations[[#This Row],[Grad_b]]))</f>
        <v>3.3396658624912986E-4</v>
      </c>
      <c r="P976" s="2">
        <f ca="1">IF(Iterations[[#This Row],[Step]] =current_step, current_Grad_c,IF(Iterations[[#This Row],[Step]] &gt; current_step, "",Iterations[[#This Row],[Grad_c]]))</f>
        <v>-5.371566814769641E-3</v>
      </c>
      <c r="Q976" s="2">
        <f ca="1">IF(Iterations[[#This Row],[Step]] =current_step, current_Grad_d,IF(Iterations[[#This Row],[Step]] &gt; current_step, "",Iterations[[#This Row],[Grad_d]]))</f>
        <v>-3.0678730038059669E-4</v>
      </c>
      <c r="R976" s="2">
        <f ca="1">IF(Iterations[[#This Row],[Step]] =current_step, current_Grad_e,IF(Iterations[[#This Row],[Step]] &gt; current_step, "",Iterations[[#This Row],[Grad_e]]))</f>
        <v>1.915652298696872E-3</v>
      </c>
    </row>
    <row r="977" spans="6:18" x14ac:dyDescent="0.3">
      <c r="F977" s="2">
        <f t="shared" si="18"/>
        <v>960</v>
      </c>
      <c r="G977" s="2">
        <f ca="1">IF(Iterations[[#This Row],[Step]] =current_step, current_a,IF(Iterations[[#This Row],[Step]] &gt; current_step, "",Iterations[[#This Row],[a]]))</f>
        <v>-7.2908790475193808</v>
      </c>
      <c r="H977" s="2">
        <f ca="1">IF(Iterations[[#This Row],[Step]] =current_step, current_b,IF(Iterations[[#This Row],[Step]] &gt; current_step, "",Iterations[[#This Row],[b]]))</f>
        <v>0.34537688850054726</v>
      </c>
      <c r="I977" s="2">
        <f ca="1">IF(Iterations[[#This Row],[Step]] =current_step, current_c,IF(Iterations[[#This Row],[Step]] &gt; current_step, "",Iterations[[#This Row],[c]]))</f>
        <v>21.288334377445434</v>
      </c>
      <c r="J977" s="2">
        <f ca="1">IF(Iterations[[#This Row],[Step]] =current_step, current_d,IF(Iterations[[#This Row],[Step]] &gt; current_step, "",Iterations[[#This Row],[d]]))</f>
        <v>1.2075186048127713</v>
      </c>
      <c r="K977" s="2">
        <f ca="1">IF(Iterations[[#This Row],[Step]] =current_step, current_e,IF(Iterations[[#This Row],[Step]] &gt; current_step, "",Iterations[[#This Row],[e]]))</f>
        <v>11.28916210826795</v>
      </c>
      <c r="L977" s="2">
        <f ca="1">IF(Iterations[[#This Row],[Step]] =current_step, current_Total_Loss,IF(Iterations[[#This Row],[Step]] &gt; current_step, "",Iterations[[#This Row],[Total Loss]]))</f>
        <v>90.43</v>
      </c>
      <c r="M977" s="6" t="s">
        <v>27</v>
      </c>
      <c r="N977" s="2">
        <f ca="1">IF(Iterations[[#This Row],[Step]] =current_step, current_Grad_a,IF(Iterations[[#This Row],[Step]] &gt; current_step, "",Iterations[[#This Row],[Grad_a]]))</f>
        <v>1.9019617415507975E-3</v>
      </c>
      <c r="O977" s="2">
        <f ca="1">IF(Iterations[[#This Row],[Step]] =current_step, current_Grad_b,IF(Iterations[[#This Row],[Step]] &gt; current_step, "",Iterations[[#This Row],[Grad_b]]))</f>
        <v>3.3170673233752349E-4</v>
      </c>
      <c r="P977" s="2">
        <f ca="1">IF(Iterations[[#This Row],[Step]] =current_step, current_Grad_c,IF(Iterations[[#This Row],[Step]] &gt; current_step, "",Iterations[[#This Row],[Grad_c]]))</f>
        <v>-5.3352168402334638E-3</v>
      </c>
      <c r="Q977" s="2">
        <f ca="1">IF(Iterations[[#This Row],[Step]] =current_step, current_Grad_d,IF(Iterations[[#This Row],[Step]] &gt; current_step, "",Iterations[[#This Row],[Grad_d]]))</f>
        <v>-3.0471152002938445E-4</v>
      </c>
      <c r="R977" s="2">
        <f ca="1">IF(Iterations[[#This Row],[Step]] =current_step, current_Grad_e,IF(Iterations[[#This Row],[Step]] &gt; current_step, "",Iterations[[#This Row],[Grad_e]]))</f>
        <v>1.9026888680914549E-3</v>
      </c>
    </row>
    <row r="978" spans="6:18" x14ac:dyDescent="0.3">
      <c r="F978" s="2">
        <f t="shared" si="18"/>
        <v>961</v>
      </c>
      <c r="G978" s="2">
        <f ca="1">IF(Iterations[[#This Row],[Step]] =current_step, current_a,IF(Iterations[[#This Row],[Step]] &gt; current_step, "",Iterations[[#This Row],[a]]))</f>
        <v>-7.2910121848412892</v>
      </c>
      <c r="H978" s="2">
        <f ca="1">IF(Iterations[[#This Row],[Step]] =current_step, current_b,IF(Iterations[[#This Row],[Step]] &gt; current_step, "",Iterations[[#This Row],[b]]))</f>
        <v>0.34535366902928366</v>
      </c>
      <c r="I978" s="2">
        <f ca="1">IF(Iterations[[#This Row],[Step]] =current_step, current_c,IF(Iterations[[#This Row],[Step]] &gt; current_step, "",Iterations[[#This Row],[c]]))</f>
        <v>21.288707842624252</v>
      </c>
      <c r="J978" s="2">
        <f ca="1">IF(Iterations[[#This Row],[Step]] =current_step, current_d,IF(Iterations[[#This Row],[Step]] &gt; current_step, "",Iterations[[#This Row],[d]]))</f>
        <v>1.2075399346191733</v>
      </c>
      <c r="K978" s="2">
        <f ca="1">IF(Iterations[[#This Row],[Step]] =current_step, current_e,IF(Iterations[[#This Row],[Step]] &gt; current_step, "",Iterations[[#This Row],[e]]))</f>
        <v>11.289028920047183</v>
      </c>
      <c r="L978" s="2">
        <f ca="1">IF(Iterations[[#This Row],[Step]] =current_step, current_Total_Loss,IF(Iterations[[#This Row],[Step]] &gt; current_step, "",Iterations[[#This Row],[Total Loss]]))</f>
        <v>90.43</v>
      </c>
      <c r="M978" s="6" t="s">
        <v>27</v>
      </c>
      <c r="N978" s="2">
        <f ca="1">IF(Iterations[[#This Row],[Step]] =current_step, current_Grad_a,IF(Iterations[[#This Row],[Step]] &gt; current_step, "",Iterations[[#This Row],[Grad_a]]))</f>
        <v>1.8890909696977055E-3</v>
      </c>
      <c r="O978" s="2">
        <f ca="1">IF(Iterations[[#This Row],[Step]] =current_step, current_Grad_b,IF(Iterations[[#This Row],[Step]] &gt; current_step, "",Iterations[[#This Row],[Grad_b]]))</f>
        <v>3.294621687406845E-4</v>
      </c>
      <c r="P978" s="2">
        <f ca="1">IF(Iterations[[#This Row],[Step]] =current_step, current_Grad_c,IF(Iterations[[#This Row],[Step]] &gt; current_step, "",Iterations[[#This Row],[Grad_c]]))</f>
        <v>-5.2991128501520667E-3</v>
      </c>
      <c r="Q978" s="2">
        <f ca="1">IF(Iterations[[#This Row],[Step]] =current_step, current_Grad_d,IF(Iterations[[#This Row],[Step]] &gt; current_step, "",Iterations[[#This Row],[Grad_d]]))</f>
        <v>-3.0264978168001753E-4</v>
      </c>
      <c r="R978" s="2">
        <f ca="1">IF(Iterations[[#This Row],[Step]] =current_step, current_Grad_e,IF(Iterations[[#This Row],[Step]] &gt; current_step, "",Iterations[[#This Row],[Grad_e]]))</f>
        <v>1.8898131625773276E-3</v>
      </c>
    </row>
    <row r="979" spans="6:18" x14ac:dyDescent="0.3">
      <c r="F979" s="2">
        <f t="shared" si="18"/>
        <v>962</v>
      </c>
      <c r="G979" s="2">
        <f ca="1">IF(Iterations[[#This Row],[Step]] =current_step, current_a,IF(Iterations[[#This Row],[Step]] &gt; current_step, "",Iterations[[#This Row],[a]]))</f>
        <v>-7.2911444212091681</v>
      </c>
      <c r="H979" s="2">
        <f ca="1">IF(Iterations[[#This Row],[Step]] =current_step, current_b,IF(Iterations[[#This Row],[Step]] &gt; current_step, "",Iterations[[#This Row],[b]]))</f>
        <v>0.34533060667747179</v>
      </c>
      <c r="I979" s="2">
        <f ca="1">IF(Iterations[[#This Row],[Step]] =current_step, current_c,IF(Iterations[[#This Row],[Step]] &gt; current_step, "",Iterations[[#This Row],[c]]))</f>
        <v>21.289078780523763</v>
      </c>
      <c r="J979" s="2">
        <f ca="1">IF(Iterations[[#This Row],[Step]] =current_step, current_d,IF(Iterations[[#This Row],[Step]] &gt; current_step, "",Iterations[[#This Row],[d]]))</f>
        <v>1.2075611201038909</v>
      </c>
      <c r="K979" s="2">
        <f ca="1">IF(Iterations[[#This Row],[Step]] =current_step, current_e,IF(Iterations[[#This Row],[Step]] &gt; current_step, "",Iterations[[#This Row],[e]]))</f>
        <v>11.288896633125804</v>
      </c>
      <c r="L979" s="2">
        <f ca="1">IF(Iterations[[#This Row],[Step]] =current_step, current_Total_Loss,IF(Iterations[[#This Row],[Step]] &gt; current_step, "",Iterations[[#This Row],[Total Loss]]))</f>
        <v>90.43</v>
      </c>
      <c r="M979" s="6" t="s">
        <v>27</v>
      </c>
      <c r="N979" s="2">
        <f ca="1">IF(Iterations[[#This Row],[Step]] =current_step, current_Grad_a,IF(Iterations[[#This Row],[Step]] &gt; current_step, "",Iterations[[#This Row],[Grad_a]]))</f>
        <v>1.8763072956874281E-3</v>
      </c>
      <c r="O979" s="2">
        <f ca="1">IF(Iterations[[#This Row],[Step]] =current_step, current_Grad_b,IF(Iterations[[#This Row],[Step]] &gt; current_step, "",Iterations[[#This Row],[Grad_b]]))</f>
        <v>3.2723279201755479E-4</v>
      </c>
      <c r="P979" s="2">
        <f ca="1">IF(Iterations[[#This Row],[Step]] =current_step, current_Grad_c,IF(Iterations[[#This Row],[Step]] &gt; current_step, "",Iterations[[#This Row],[Grad_c]]))</f>
        <v>-5.2632531799007903E-3</v>
      </c>
      <c r="Q979" s="2">
        <f ca="1">IF(Iterations[[#This Row],[Step]] =current_step, current_Grad_d,IF(Iterations[[#This Row],[Step]] &gt; current_step, "",Iterations[[#This Row],[Grad_d]]))</f>
        <v>-3.0060199040296245E-4</v>
      </c>
      <c r="R979" s="2">
        <f ca="1">IF(Iterations[[#This Row],[Step]] =current_step, current_Grad_e,IF(Iterations[[#This Row],[Step]] &gt; current_step, "",Iterations[[#This Row],[Grad_e]]))</f>
        <v>1.877024588510739E-3</v>
      </c>
    </row>
    <row r="980" spans="6:18" x14ac:dyDescent="0.3">
      <c r="F980" s="2">
        <f t="shared" si="18"/>
        <v>963</v>
      </c>
      <c r="G980" s="2">
        <f ca="1">IF(Iterations[[#This Row],[Step]] =current_step, current_a,IF(Iterations[[#This Row],[Step]] &gt; current_step, "",Iterations[[#This Row],[a]]))</f>
        <v>-7.2912757627198665</v>
      </c>
      <c r="H980" s="2">
        <f ca="1">IF(Iterations[[#This Row],[Step]] =current_step, current_b,IF(Iterations[[#This Row],[Step]] &gt; current_step, "",Iterations[[#This Row],[b]]))</f>
        <v>0.34530770038203057</v>
      </c>
      <c r="I980" s="2">
        <f ca="1">IF(Iterations[[#This Row],[Step]] =current_step, current_c,IF(Iterations[[#This Row],[Step]] &gt; current_step, "",Iterations[[#This Row],[c]]))</f>
        <v>21.289447208246354</v>
      </c>
      <c r="J980" s="2">
        <f ca="1">IF(Iterations[[#This Row],[Step]] =current_step, current_d,IF(Iterations[[#This Row],[Step]] &gt; current_step, "",Iterations[[#This Row],[d]]))</f>
        <v>1.2075821622432192</v>
      </c>
      <c r="K980" s="2">
        <f ca="1">IF(Iterations[[#This Row],[Step]] =current_step, current_e,IF(Iterations[[#This Row],[Step]] &gt; current_step, "",Iterations[[#This Row],[e]]))</f>
        <v>11.288765241404608</v>
      </c>
      <c r="L980" s="2">
        <f ca="1">IF(Iterations[[#This Row],[Step]] =current_step, current_Total_Loss,IF(Iterations[[#This Row],[Step]] &gt; current_step, "",Iterations[[#This Row],[Total Loss]]))</f>
        <v>90.43</v>
      </c>
      <c r="M980" s="6" t="s">
        <v>27</v>
      </c>
      <c r="N980" s="2">
        <f ca="1">IF(Iterations[[#This Row],[Step]] =current_step, current_Grad_a,IF(Iterations[[#This Row],[Step]] &gt; current_step, "",Iterations[[#This Row],[Grad_a]]))</f>
        <v>1.8636101300634324E-3</v>
      </c>
      <c r="O980" s="2">
        <f ca="1">IF(Iterations[[#This Row],[Step]] =current_step, current_Grad_b,IF(Iterations[[#This Row],[Step]] &gt; current_step, "",Iterations[[#This Row],[Grad_b]]))</f>
        <v>3.250184994250116E-4</v>
      </c>
      <c r="P980" s="2">
        <f ca="1">IF(Iterations[[#This Row],[Step]] =current_step, current_Grad_c,IF(Iterations[[#This Row],[Step]] &gt; current_step, "",Iterations[[#This Row],[Grad_c]]))</f>
        <v>-5.2276361761592399E-3</v>
      </c>
      <c r="Q980" s="2">
        <f ca="1">IF(Iterations[[#This Row],[Step]] =current_step, current_Grad_d,IF(Iterations[[#This Row],[Step]] &gt; current_step, "",Iterations[[#This Row],[Grad_d]]))</f>
        <v>-2.9856805191278796E-4</v>
      </c>
      <c r="R980" s="2">
        <f ca="1">IF(Iterations[[#This Row],[Step]] =current_step, current_Grad_e,IF(Iterations[[#This Row],[Step]] &gt; current_step, "",Iterations[[#This Row],[Grad_e]]))</f>
        <v>1.8643225562489836E-3</v>
      </c>
    </row>
    <row r="981" spans="6:18" x14ac:dyDescent="0.3">
      <c r="F981" s="2">
        <f t="shared" si="18"/>
        <v>964</v>
      </c>
      <c r="G981" s="2">
        <f ca="1">IF(Iterations[[#This Row],[Step]] =current_step, current_a,IF(Iterations[[#This Row],[Step]] &gt; current_step, "",Iterations[[#This Row],[a]]))</f>
        <v>-7.2914062154289709</v>
      </c>
      <c r="H981" s="2">
        <f ca="1">IF(Iterations[[#This Row],[Step]] =current_step, current_b,IF(Iterations[[#This Row],[Step]] &gt; current_step, "",Iterations[[#This Row],[b]]))</f>
        <v>0.3452849490870708</v>
      </c>
      <c r="I981" s="2">
        <f ca="1">IF(Iterations[[#This Row],[Step]] =current_step, current_c,IF(Iterations[[#This Row],[Step]] &gt; current_step, "",Iterations[[#This Row],[c]]))</f>
        <v>21.289813142778687</v>
      </c>
      <c r="J981" s="2">
        <f ca="1">IF(Iterations[[#This Row],[Step]] =current_step, current_d,IF(Iterations[[#This Row],[Step]] &gt; current_step, "",Iterations[[#This Row],[d]]))</f>
        <v>1.2076030620068532</v>
      </c>
      <c r="K981" s="2">
        <f ca="1">IF(Iterations[[#This Row],[Step]] =current_step, current_e,IF(Iterations[[#This Row],[Step]] &gt; current_step, "",Iterations[[#This Row],[e]]))</f>
        <v>11.288634738825671</v>
      </c>
      <c r="L981" s="2">
        <f ca="1">IF(Iterations[[#This Row],[Step]] =current_step, current_Total_Loss,IF(Iterations[[#This Row],[Step]] &gt; current_step, "",Iterations[[#This Row],[Total Loss]]))</f>
        <v>90.43</v>
      </c>
      <c r="M981" s="6" t="s">
        <v>27</v>
      </c>
      <c r="N981" s="2">
        <f ca="1">IF(Iterations[[#This Row],[Step]] =current_step, current_Grad_a,IF(Iterations[[#This Row],[Step]] &gt; current_step, "",Iterations[[#This Row],[Grad_a]]))</f>
        <v>1.8509988875622262E-3</v>
      </c>
      <c r="O981" s="2">
        <f ca="1">IF(Iterations[[#This Row],[Step]] =current_step, current_Grad_b,IF(Iterations[[#This Row],[Step]] &gt; current_step, "",Iterations[[#This Row],[Grad_b]]))</f>
        <v>3.2281918893188138E-4</v>
      </c>
      <c r="P981" s="2">
        <f ca="1">IF(Iterations[[#This Row],[Step]] =current_step, current_Grad_c,IF(Iterations[[#This Row],[Step]] &gt; current_step, "",Iterations[[#This Row],[Grad_c]]))</f>
        <v>-5.1922601967092519E-3</v>
      </c>
      <c r="Q981" s="2">
        <f ca="1">IF(Iterations[[#This Row],[Step]] =current_step, current_Grad_d,IF(Iterations[[#This Row],[Step]] &gt; current_step, "",Iterations[[#This Row],[Grad_d]]))</f>
        <v>-2.9654787254607129E-4</v>
      </c>
      <c r="R981" s="2">
        <f ca="1">IF(Iterations[[#This Row],[Step]] =current_step, current_Grad_e,IF(Iterations[[#This Row],[Step]] &gt; current_step, "",Iterations[[#This Row],[Grad_e]]))</f>
        <v>1.8517064801805026E-3</v>
      </c>
    </row>
    <row r="982" spans="6:18" x14ac:dyDescent="0.3">
      <c r="F982" s="2">
        <f t="shared" si="18"/>
        <v>965</v>
      </c>
      <c r="G982" s="2">
        <f ca="1">IF(Iterations[[#This Row],[Step]] =current_step, current_a,IF(Iterations[[#This Row],[Step]] &gt; current_step, "",Iterations[[#This Row],[a]]))</f>
        <v>-7.2915357853511003</v>
      </c>
      <c r="H982" s="2">
        <f ca="1">IF(Iterations[[#This Row],[Step]] =current_step, current_b,IF(Iterations[[#This Row],[Step]] &gt; current_step, "",Iterations[[#This Row],[b]]))</f>
        <v>0.34526235174384556</v>
      </c>
      <c r="I982" s="2">
        <f ca="1">IF(Iterations[[#This Row],[Step]] =current_step, current_c,IF(Iterations[[#This Row],[Step]] &gt; current_step, "",Iterations[[#This Row],[c]]))</f>
        <v>21.290176600992456</v>
      </c>
      <c r="J982" s="2">
        <f ca="1">IF(Iterations[[#This Row],[Step]] =current_step, current_d,IF(Iterations[[#This Row],[Step]] &gt; current_step, "",Iterations[[#This Row],[d]]))</f>
        <v>1.2076238203579315</v>
      </c>
      <c r="K982" s="2">
        <f ca="1">IF(Iterations[[#This Row],[Step]] =current_step, current_e,IF(Iterations[[#This Row],[Step]] &gt; current_step, "",Iterations[[#This Row],[e]]))</f>
        <v>11.288505119372058</v>
      </c>
      <c r="L982" s="2">
        <f ca="1">IF(Iterations[[#This Row],[Step]] =current_step, current_Total_Loss,IF(Iterations[[#This Row],[Step]] &gt; current_step, "",Iterations[[#This Row],[Total Loss]]))</f>
        <v>90.43</v>
      </c>
      <c r="M982" s="6" t="s">
        <v>27</v>
      </c>
      <c r="N982" s="2">
        <f ca="1">IF(Iterations[[#This Row],[Step]] =current_step, current_Grad_a,IF(Iterations[[#This Row],[Step]] &gt; current_step, "",Iterations[[#This Row],[Grad_a]]))</f>
        <v>1.8384729864308921E-3</v>
      </c>
      <c r="O982" s="2">
        <f ca="1">IF(Iterations[[#This Row],[Step]] =current_step, current_Grad_b,IF(Iterations[[#This Row],[Step]] &gt; current_step, "",Iterations[[#This Row],[Grad_b]]))</f>
        <v>3.2063475922774722E-4</v>
      </c>
      <c r="P982" s="2">
        <f ca="1">IF(Iterations[[#This Row],[Step]] =current_step, current_Grad_c,IF(Iterations[[#This Row],[Step]] &gt; current_step, "",Iterations[[#This Row],[Grad_c]]))</f>
        <v>-5.1571236106342268E-3</v>
      </c>
      <c r="Q982" s="2">
        <f ca="1">IF(Iterations[[#This Row],[Step]] =current_step, current_Grad_d,IF(Iterations[[#This Row],[Step]] &gt; current_step, "",Iterations[[#This Row],[Grad_d]]))</f>
        <v>-2.9454135927062562E-4</v>
      </c>
      <c r="R982" s="2">
        <f ca="1">IF(Iterations[[#This Row],[Step]] =current_step, current_Grad_e,IF(Iterations[[#This Row],[Step]] &gt; current_step, "",Iterations[[#This Row],[Grad_e]]))</f>
        <v>1.8391757785681682E-3</v>
      </c>
    </row>
    <row r="983" spans="6:18" x14ac:dyDescent="0.3">
      <c r="F983" s="2">
        <f t="shared" ref="F983:F1002" si="19">F982+1</f>
        <v>966</v>
      </c>
      <c r="G983" s="2">
        <f ca="1">IF(Iterations[[#This Row],[Step]] =current_step, current_a,IF(Iterations[[#This Row],[Step]] &gt; current_step, "",Iterations[[#This Row],[a]]))</f>
        <v>-7.2916644784601505</v>
      </c>
      <c r="H983" s="2">
        <f ca="1">IF(Iterations[[#This Row],[Step]] =current_step, current_b,IF(Iterations[[#This Row],[Step]] &gt; current_step, "",Iterations[[#This Row],[b]]))</f>
        <v>0.34523990731069965</v>
      </c>
      <c r="I983" s="2">
        <f ca="1">IF(Iterations[[#This Row],[Step]] =current_step, current_c,IF(Iterations[[#This Row],[Step]] &gt; current_step, "",Iterations[[#This Row],[c]]))</f>
        <v>21.290537599645202</v>
      </c>
      <c r="J983" s="2">
        <f ca="1">IF(Iterations[[#This Row],[Step]] =current_step, current_d,IF(Iterations[[#This Row],[Step]] &gt; current_step, "",Iterations[[#This Row],[d]]))</f>
        <v>1.2076444382530804</v>
      </c>
      <c r="K983" s="2">
        <f ca="1">IF(Iterations[[#This Row],[Step]] =current_step, current_e,IF(Iterations[[#This Row],[Step]] &gt; current_step, "",Iterations[[#This Row],[e]]))</f>
        <v>11.288376377067559</v>
      </c>
      <c r="L983" s="2">
        <f ca="1">IF(Iterations[[#This Row],[Step]] =current_step, current_Total_Loss,IF(Iterations[[#This Row],[Step]] &gt; current_step, "",Iterations[[#This Row],[Total Loss]]))</f>
        <v>90.43</v>
      </c>
      <c r="M983" s="6" t="s">
        <v>27</v>
      </c>
      <c r="N983" s="2">
        <f ca="1">IF(Iterations[[#This Row],[Step]] =current_step, current_Grad_a,IF(Iterations[[#This Row],[Step]] &gt; current_step, "",Iterations[[#This Row],[Grad_a]]))</f>
        <v>1.8260318495870484E-3</v>
      </c>
      <c r="O983" s="2">
        <f ca="1">IF(Iterations[[#This Row],[Step]] =current_step, current_Grad_b,IF(Iterations[[#This Row],[Step]] &gt; current_step, "",Iterations[[#This Row],[Grad_b]]))</f>
        <v>3.1846510958947566E-4</v>
      </c>
      <c r="P983" s="2">
        <f ca="1">IF(Iterations[[#This Row],[Step]] =current_step, current_Grad_c,IF(Iterations[[#This Row],[Step]] &gt; current_step, "",Iterations[[#This Row],[Grad_c]]))</f>
        <v>-5.1222247977476109E-3</v>
      </c>
      <c r="Q983" s="2">
        <f ca="1">IF(Iterations[[#This Row],[Step]] =current_step, current_Grad_d,IF(Iterations[[#This Row],[Step]] &gt; current_step, "",Iterations[[#This Row],[Grad_d]]))</f>
        <v>-2.925484197063967E-4</v>
      </c>
      <c r="R983" s="2">
        <f ca="1">IF(Iterations[[#This Row],[Step]] =current_step, current_Grad_e,IF(Iterations[[#This Row],[Step]] &gt; current_step, "",Iterations[[#This Row],[Grad_e]]))</f>
        <v>1.8267298737573157E-3</v>
      </c>
    </row>
    <row r="984" spans="6:18" x14ac:dyDescent="0.3">
      <c r="F984" s="2">
        <f t="shared" si="19"/>
        <v>967</v>
      </c>
      <c r="G984" s="2">
        <f ca="1">IF(Iterations[[#This Row],[Step]] =current_step, current_a,IF(Iterations[[#This Row],[Step]] &gt; current_step, "",Iterations[[#This Row],[a]]))</f>
        <v>-7.2917923006896217</v>
      </c>
      <c r="H984" s="2">
        <f ca="1">IF(Iterations[[#This Row],[Step]] =current_step, current_b,IF(Iterations[[#This Row],[Step]] &gt; current_step, "",Iterations[[#This Row],[b]]))</f>
        <v>0.34521761475302837</v>
      </c>
      <c r="I984" s="2">
        <f ca="1">IF(Iterations[[#This Row],[Step]] =current_step, current_c,IF(Iterations[[#This Row],[Step]] &gt; current_step, "",Iterations[[#This Row],[c]]))</f>
        <v>21.290896155381045</v>
      </c>
      <c r="J984" s="2">
        <f ca="1">IF(Iterations[[#This Row],[Step]] =current_step, current_d,IF(Iterations[[#This Row],[Step]] &gt; current_step, "",Iterations[[#This Row],[d]]))</f>
        <v>1.2076649166424598</v>
      </c>
      <c r="K984" s="2">
        <f ca="1">IF(Iterations[[#This Row],[Step]] =current_step, current_e,IF(Iterations[[#This Row],[Step]] &gt; current_step, "",Iterations[[#This Row],[e]]))</f>
        <v>11.288248505976396</v>
      </c>
      <c r="L984" s="2">
        <f ca="1">IF(Iterations[[#This Row],[Step]] =current_step, current_Total_Loss,IF(Iterations[[#This Row],[Step]] &gt; current_step, "",Iterations[[#This Row],[Total Loss]]))</f>
        <v>90.43</v>
      </c>
      <c r="M984" s="6" t="s">
        <v>27</v>
      </c>
      <c r="N984" s="2">
        <f ca="1">IF(Iterations[[#This Row],[Step]] =current_step, current_Grad_a,IF(Iterations[[#This Row],[Step]] &gt; current_step, "",Iterations[[#This Row],[Grad_a]]))</f>
        <v>1.8136749029567215E-3</v>
      </c>
      <c r="O984" s="2">
        <f ca="1">IF(Iterations[[#This Row],[Step]] =current_step, current_Grad_b,IF(Iterations[[#This Row],[Step]] &gt; current_step, "",Iterations[[#This Row],[Grad_b]]))</f>
        <v>3.1631014009499597E-4</v>
      </c>
      <c r="P984" s="2">
        <f ca="1">IF(Iterations[[#This Row],[Step]] =current_step, current_Grad_c,IF(Iterations[[#This Row],[Step]] &gt; current_step, "",Iterations[[#This Row],[Grad_c]]))</f>
        <v>-5.0875621492034728E-3</v>
      </c>
      <c r="Q984" s="2">
        <f ca="1">IF(Iterations[[#This Row],[Step]] =current_step, current_Grad_d,IF(Iterations[[#This Row],[Step]] &gt; current_step, "",Iterations[[#This Row],[Grad_d]]))</f>
        <v>-2.9056896206618936E-4</v>
      </c>
      <c r="R984" s="2">
        <f ca="1">IF(Iterations[[#This Row],[Step]] =current_step, current_Grad_e,IF(Iterations[[#This Row],[Step]] &gt; current_step, "",Iterations[[#This Row],[Grad_e]]))</f>
        <v>1.8143681918200765E-3</v>
      </c>
    </row>
    <row r="985" spans="6:18" x14ac:dyDescent="0.3">
      <c r="F985" s="2">
        <f t="shared" si="19"/>
        <v>968</v>
      </c>
      <c r="G985" s="2">
        <f ca="1">IF(Iterations[[#This Row],[Step]] =current_step, current_a,IF(Iterations[[#This Row],[Step]] &gt; current_step, "",Iterations[[#This Row],[a]]))</f>
        <v>-7.2919192579328289</v>
      </c>
      <c r="H985" s="2">
        <f ca="1">IF(Iterations[[#This Row],[Step]] =current_step, current_b,IF(Iterations[[#This Row],[Step]] &gt; current_step, "",Iterations[[#This Row],[b]]))</f>
        <v>0.34519547304322173</v>
      </c>
      <c r="I985" s="2">
        <f ca="1">IF(Iterations[[#This Row],[Step]] =current_step, current_c,IF(Iterations[[#This Row],[Step]] &gt; current_step, "",Iterations[[#This Row],[c]]))</f>
        <v>21.291252284731488</v>
      </c>
      <c r="J985" s="2">
        <f ca="1">IF(Iterations[[#This Row],[Step]] =current_step, current_d,IF(Iterations[[#This Row],[Step]] &gt; current_step, "",Iterations[[#This Row],[d]]))</f>
        <v>1.2076852564698044</v>
      </c>
      <c r="K985" s="2">
        <f ca="1">IF(Iterations[[#This Row],[Step]] =current_step, current_e,IF(Iterations[[#This Row],[Step]] &gt; current_step, "",Iterations[[#This Row],[e]]))</f>
        <v>11.288121500202969</v>
      </c>
      <c r="L985" s="2">
        <f ca="1">IF(Iterations[[#This Row],[Step]] =current_step, current_Total_Loss,IF(Iterations[[#This Row],[Step]] &gt; current_step, "",Iterations[[#This Row],[Total Loss]]))</f>
        <v>90.43</v>
      </c>
      <c r="M985" s="6" t="s">
        <v>27</v>
      </c>
      <c r="N985" s="2">
        <f ca="1">IF(Iterations[[#This Row],[Step]] =current_step, current_Grad_a,IF(Iterations[[#This Row],[Step]] &gt; current_step, "",Iterations[[#This Row],[Grad_a]]))</f>
        <v>1.8014015771963265E-3</v>
      </c>
      <c r="O985" s="2">
        <f ca="1">IF(Iterations[[#This Row],[Step]] =current_step, current_Grad_b,IF(Iterations[[#This Row],[Step]] &gt; current_step, "",Iterations[[#This Row],[Grad_b]]))</f>
        <v>3.1416975140438928E-4</v>
      </c>
      <c r="P985" s="2">
        <f ca="1">IF(Iterations[[#This Row],[Step]] =current_step, current_Grad_c,IF(Iterations[[#This Row],[Step]] &gt; current_step, "",Iterations[[#This Row],[Grad_c]]))</f>
        <v>-5.053134066687442E-3</v>
      </c>
      <c r="Q985" s="2">
        <f ca="1">IF(Iterations[[#This Row],[Step]] =current_step, current_Grad_d,IF(Iterations[[#This Row],[Step]] &gt; current_step, "",Iterations[[#This Row],[Grad_d]]))</f>
        <v>-2.8860289520388834E-4</v>
      </c>
      <c r="R985" s="2">
        <f ca="1">IF(Iterations[[#This Row],[Step]] =current_step, current_Grad_e,IF(Iterations[[#This Row],[Step]] &gt; current_step, "",Iterations[[#This Row],[Grad_e]]))</f>
        <v>1.8020901628859793E-3</v>
      </c>
    </row>
    <row r="986" spans="6:18" x14ac:dyDescent="0.3">
      <c r="F986" s="2">
        <f t="shared" si="19"/>
        <v>969</v>
      </c>
      <c r="G986" s="2">
        <f ca="1">IF(Iterations[[#This Row],[Step]] =current_step, current_a,IF(Iterations[[#This Row],[Step]] &gt; current_step, "",Iterations[[#This Row],[a]]))</f>
        <v>-7.292045356043233</v>
      </c>
      <c r="H986" s="2">
        <f ca="1">IF(Iterations[[#This Row],[Step]] =current_step, current_b,IF(Iterations[[#This Row],[Step]] &gt; current_step, "",Iterations[[#This Row],[b]]))</f>
        <v>0.34517348116062341</v>
      </c>
      <c r="I986" s="2">
        <f ca="1">IF(Iterations[[#This Row],[Step]] =current_step, current_c,IF(Iterations[[#This Row],[Step]] &gt; current_step, "",Iterations[[#This Row],[c]]))</f>
        <v>21.291606004116158</v>
      </c>
      <c r="J986" s="2">
        <f ca="1">IF(Iterations[[#This Row],[Step]] =current_step, current_d,IF(Iterations[[#This Row],[Step]] &gt; current_step, "",Iterations[[#This Row],[d]]))</f>
        <v>1.2077054586724687</v>
      </c>
      <c r="K986" s="2">
        <f ca="1">IF(Iterations[[#This Row],[Step]] =current_step, current_e,IF(Iterations[[#This Row],[Step]] &gt; current_step, "",Iterations[[#This Row],[e]]))</f>
        <v>11.287995353891567</v>
      </c>
      <c r="L986" s="2">
        <f ca="1">IF(Iterations[[#This Row],[Step]] =current_step, current_Total_Loss,IF(Iterations[[#This Row],[Step]] &gt; current_step, "",Iterations[[#This Row],[Total Loss]]))</f>
        <v>90.43</v>
      </c>
      <c r="M986" s="6" t="s">
        <v>27</v>
      </c>
      <c r="N986" s="2">
        <f ca="1">IF(Iterations[[#This Row],[Step]] =current_step, current_Grad_a,IF(Iterations[[#This Row],[Step]] &gt; current_step, "",Iterations[[#This Row],[Grad_a]]))</f>
        <v>1.7892113062509078E-3</v>
      </c>
      <c r="O986" s="2">
        <f ca="1">IF(Iterations[[#This Row],[Step]] =current_step, current_Grad_b,IF(Iterations[[#This Row],[Step]] &gt; current_step, "",Iterations[[#This Row],[Grad_b]]))</f>
        <v>3.1204384489573006E-4</v>
      </c>
      <c r="P986" s="2">
        <f ca="1">IF(Iterations[[#This Row],[Step]] =current_step, current_Grad_c,IF(Iterations[[#This Row],[Step]] &gt; current_step, "",Iterations[[#This Row],[Grad_c]]))</f>
        <v>-5.0189389629375913E-3</v>
      </c>
      <c r="Q986" s="2">
        <f ca="1">IF(Iterations[[#This Row],[Step]] =current_step, current_Grad_d,IF(Iterations[[#This Row],[Step]] &gt; current_step, "",Iterations[[#This Row],[Grad_d]]))</f>
        <v>-2.8665012857954767E-4</v>
      </c>
      <c r="R986" s="2">
        <f ca="1">IF(Iterations[[#This Row],[Step]] =current_step, current_Grad_e,IF(Iterations[[#This Row],[Step]] &gt; current_step, "",Iterations[[#This Row],[Grad_e]]))</f>
        <v>1.7898952208259544E-3</v>
      </c>
    </row>
    <row r="987" spans="6:18" x14ac:dyDescent="0.3">
      <c r="F987" s="2">
        <f t="shared" si="19"/>
        <v>970</v>
      </c>
      <c r="G987" s="2">
        <f ca="1">IF(Iterations[[#This Row],[Step]] =current_step, current_a,IF(Iterations[[#This Row],[Step]] &gt; current_step, "",Iterations[[#This Row],[a]]))</f>
        <v>-7.2921706008346705</v>
      </c>
      <c r="H987" s="2">
        <f ca="1">IF(Iterations[[#This Row],[Step]] =current_step, current_b,IF(Iterations[[#This Row],[Step]] &gt; current_step, "",Iterations[[#This Row],[b]]))</f>
        <v>0.34515163809148069</v>
      </c>
      <c r="I987" s="2">
        <f ca="1">IF(Iterations[[#This Row],[Step]] =current_step, current_c,IF(Iterations[[#This Row],[Step]] &gt; current_step, "",Iterations[[#This Row],[c]]))</f>
        <v>21.291957329843562</v>
      </c>
      <c r="J987" s="2">
        <f ca="1">IF(Iterations[[#This Row],[Step]] =current_step, current_d,IF(Iterations[[#This Row],[Step]] &gt; current_step, "",Iterations[[#This Row],[d]]))</f>
        <v>1.2077255241814693</v>
      </c>
      <c r="K987" s="2">
        <f ca="1">IF(Iterations[[#This Row],[Step]] =current_step, current_e,IF(Iterations[[#This Row],[Step]] &gt; current_step, "",Iterations[[#This Row],[e]]))</f>
        <v>11.287870061226108</v>
      </c>
      <c r="L987" s="2">
        <f ca="1">IF(Iterations[[#This Row],[Step]] =current_step, current_Total_Loss,IF(Iterations[[#This Row],[Step]] &gt; current_step, "",Iterations[[#This Row],[Total Loss]]))</f>
        <v>90.43</v>
      </c>
      <c r="M987" s="6" t="s">
        <v>27</v>
      </c>
      <c r="N987" s="2">
        <f ca="1">IF(Iterations[[#This Row],[Step]] =current_step, current_Grad_a,IF(Iterations[[#This Row],[Step]] &gt; current_step, "",Iterations[[#This Row],[Grad_a]]))</f>
        <v>1.7771035280379364E-3</v>
      </c>
      <c r="O987" s="2">
        <f ca="1">IF(Iterations[[#This Row],[Step]] =current_step, current_Grad_b,IF(Iterations[[#This Row],[Step]] &gt; current_step, "",Iterations[[#This Row],[Grad_b]]))</f>
        <v>3.0993232262304597E-4</v>
      </c>
      <c r="P987" s="2">
        <f ca="1">IF(Iterations[[#This Row],[Step]] =current_step, current_Grad_c,IF(Iterations[[#This Row],[Step]] &gt; current_step, "",Iterations[[#This Row],[Grad_c]]))</f>
        <v>-4.9849752613742148E-3</v>
      </c>
      <c r="Q987" s="2">
        <f ca="1">IF(Iterations[[#This Row],[Step]] =current_step, current_Grad_d,IF(Iterations[[#This Row],[Step]] &gt; current_step, "",Iterations[[#This Row],[Grad_d]]))</f>
        <v>-2.8471057226095751E-4</v>
      </c>
      <c r="R987" s="2">
        <f ca="1">IF(Iterations[[#This Row],[Step]] =current_step, current_Grad_e,IF(Iterations[[#This Row],[Step]] &gt; current_step, "",Iterations[[#This Row],[Grad_e]]))</f>
        <v>1.7777828033707583E-3</v>
      </c>
    </row>
    <row r="988" spans="6:18" x14ac:dyDescent="0.3">
      <c r="F988" s="2">
        <f t="shared" si="19"/>
        <v>971</v>
      </c>
      <c r="G988" s="2">
        <f ca="1">IF(Iterations[[#This Row],[Step]] =current_step, current_a,IF(Iterations[[#This Row],[Step]] &gt; current_step, "",Iterations[[#This Row],[a]]))</f>
        <v>-7.2922949980816334</v>
      </c>
      <c r="H988" s="2">
        <f ca="1">IF(Iterations[[#This Row],[Step]] =current_step, current_b,IF(Iterations[[#This Row],[Step]] &gt; current_step, "",Iterations[[#This Row],[b]]))</f>
        <v>0.34512994282889708</v>
      </c>
      <c r="I988" s="2">
        <f ca="1">IF(Iterations[[#This Row],[Step]] =current_step, current_c,IF(Iterations[[#This Row],[Step]] &gt; current_step, "",Iterations[[#This Row],[c]]))</f>
        <v>21.292306278111859</v>
      </c>
      <c r="J988" s="2">
        <f ca="1">IF(Iterations[[#This Row],[Step]] =current_step, current_d,IF(Iterations[[#This Row],[Step]] &gt; current_step, "",Iterations[[#This Row],[d]]))</f>
        <v>1.2077454539215275</v>
      </c>
      <c r="K988" s="2">
        <f ca="1">IF(Iterations[[#This Row],[Step]] =current_step, current_e,IF(Iterations[[#This Row],[Step]] &gt; current_step, "",Iterations[[#This Row],[e]]))</f>
        <v>11.287745616429872</v>
      </c>
      <c r="L988" s="2">
        <f ca="1">IF(Iterations[[#This Row],[Step]] =current_step, current_Total_Loss,IF(Iterations[[#This Row],[Step]] &gt; current_step, "",Iterations[[#This Row],[Total Loss]]))</f>
        <v>90.43</v>
      </c>
      <c r="M988" s="6" t="s">
        <v>27</v>
      </c>
      <c r="N988" s="2">
        <f ca="1">IF(Iterations[[#This Row],[Step]] =current_step, current_Grad_a,IF(Iterations[[#This Row],[Step]] &gt; current_step, "",Iterations[[#This Row],[Grad_a]]))</f>
        <v>1.7650776845082501E-3</v>
      </c>
      <c r="O988" s="2">
        <f ca="1">IF(Iterations[[#This Row],[Step]] =current_step, current_Grad_b,IF(Iterations[[#This Row],[Step]] &gt; current_step, "",Iterations[[#This Row],[Grad_b]]))</f>
        <v>3.0783508723946577E-4</v>
      </c>
      <c r="P988" s="2">
        <f ca="1">IF(Iterations[[#This Row],[Step]] =current_step, current_Grad_c,IF(Iterations[[#This Row],[Step]] &gt; current_step, "",Iterations[[#This Row],[Grad_c]]))</f>
        <v>-4.9512413959913954E-3</v>
      </c>
      <c r="Q988" s="2">
        <f ca="1">IF(Iterations[[#This Row],[Step]] =current_step, current_Grad_d,IF(Iterations[[#This Row],[Step]] &gt; current_step, "",Iterations[[#This Row],[Grad_d]]))</f>
        <v>-2.8278413694080327E-4</v>
      </c>
      <c r="R988" s="2">
        <f ca="1">IF(Iterations[[#This Row],[Step]] =current_step, current_Grad_e,IF(Iterations[[#This Row],[Step]] &gt; current_step, "",Iterations[[#This Row],[Grad_e]]))</f>
        <v>1.7657523521014005E-3</v>
      </c>
    </row>
    <row r="989" spans="6:18" x14ac:dyDescent="0.3">
      <c r="F989" s="2">
        <f t="shared" si="19"/>
        <v>972</v>
      </c>
      <c r="G989" s="2">
        <f ca="1">IF(Iterations[[#This Row],[Step]] =current_step, current_a,IF(Iterations[[#This Row],[Step]] &gt; current_step, "",Iterations[[#This Row],[a]]))</f>
        <v>-7.2924185535195489</v>
      </c>
      <c r="H989" s="2">
        <f ca="1">IF(Iterations[[#This Row],[Step]] =current_step, current_b,IF(Iterations[[#This Row],[Step]] &gt; current_step, "",Iterations[[#This Row],[b]]))</f>
        <v>0.34510839437279034</v>
      </c>
      <c r="I989" s="2">
        <f ca="1">IF(Iterations[[#This Row],[Step]] =current_step, current_c,IF(Iterations[[#This Row],[Step]] &gt; current_step, "",Iterations[[#This Row],[c]]))</f>
        <v>21.292652865009579</v>
      </c>
      <c r="J989" s="2">
        <f ca="1">IF(Iterations[[#This Row],[Step]] =current_step, current_d,IF(Iterations[[#This Row],[Step]] &gt; current_step, "",Iterations[[#This Row],[d]]))</f>
        <v>1.2077652488111135</v>
      </c>
      <c r="K989" s="2">
        <f ca="1">IF(Iterations[[#This Row],[Step]] =current_step, current_e,IF(Iterations[[#This Row],[Step]] &gt; current_step, "",Iterations[[#This Row],[e]]))</f>
        <v>11.287622013765224</v>
      </c>
      <c r="L989" s="2">
        <f ca="1">IF(Iterations[[#This Row],[Step]] =current_step, current_Total_Loss,IF(Iterations[[#This Row],[Step]] &gt; current_step, "",Iterations[[#This Row],[Total Loss]]))</f>
        <v>90.43</v>
      </c>
      <c r="M989" s="6" t="s">
        <v>27</v>
      </c>
      <c r="N989" s="2">
        <f ca="1">IF(Iterations[[#This Row],[Step]] =current_step, current_Grad_a,IF(Iterations[[#This Row],[Step]] &gt; current_step, "",Iterations[[#This Row],[Grad_a]]))</f>
        <v>1.7531332210278311E-3</v>
      </c>
      <c r="O989" s="2">
        <f ca="1">IF(Iterations[[#This Row],[Step]] =current_step, current_Grad_b,IF(Iterations[[#This Row],[Step]] &gt; current_step, "",Iterations[[#This Row],[Grad_b]]))</f>
        <v>3.0575204212894097E-4</v>
      </c>
      <c r="P989" s="2">
        <f ca="1">IF(Iterations[[#This Row],[Step]] =current_step, current_Grad_c,IF(Iterations[[#This Row],[Step]] &gt; current_step, "",Iterations[[#This Row],[Grad_c]]))</f>
        <v>-4.917735811531025E-3</v>
      </c>
      <c r="Q989" s="2">
        <f ca="1">IF(Iterations[[#This Row],[Step]] =current_step, current_Grad_d,IF(Iterations[[#This Row],[Step]] &gt; current_step, "",Iterations[[#This Row],[Grad_d]]))</f>
        <v>-2.8087073389534051E-4</v>
      </c>
      <c r="R989" s="2">
        <f ca="1">IF(Iterations[[#This Row],[Step]] =current_step, current_Grad_e,IF(Iterations[[#This Row],[Step]] &gt; current_step, "",Iterations[[#This Row],[Grad_e]]))</f>
        <v>1.7538033123077274E-3</v>
      </c>
    </row>
    <row r="990" spans="6:18" x14ac:dyDescent="0.3">
      <c r="F990" s="2">
        <f t="shared" si="19"/>
        <v>973</v>
      </c>
      <c r="G990" s="2">
        <f ca="1">IF(Iterations[[#This Row],[Step]] =current_step, current_a,IF(Iterations[[#This Row],[Step]] &gt; current_step, "",Iterations[[#This Row],[a]]))</f>
        <v>-7.2925412728450212</v>
      </c>
      <c r="H990" s="2">
        <f ca="1">IF(Iterations[[#This Row],[Step]] =current_step, current_b,IF(Iterations[[#This Row],[Step]] &gt; current_step, "",Iterations[[#This Row],[b]]))</f>
        <v>0.34508699172984131</v>
      </c>
      <c r="I990" s="2">
        <f ca="1">IF(Iterations[[#This Row],[Step]] =current_step, current_c,IF(Iterations[[#This Row],[Step]] &gt; current_step, "",Iterations[[#This Row],[c]]))</f>
        <v>21.292997106516385</v>
      </c>
      <c r="J990" s="2">
        <f ca="1">IF(Iterations[[#This Row],[Step]] =current_step, current_d,IF(Iterations[[#This Row],[Step]] &gt; current_step, "",Iterations[[#This Row],[d]]))</f>
        <v>1.2077849097624862</v>
      </c>
      <c r="K990" s="2">
        <f ca="1">IF(Iterations[[#This Row],[Step]] =current_step, current_e,IF(Iterations[[#This Row],[Step]] &gt; current_step, "",Iterations[[#This Row],[e]]))</f>
        <v>11.287499247533363</v>
      </c>
      <c r="L990" s="2">
        <f ca="1">IF(Iterations[[#This Row],[Step]] =current_step, current_Total_Loss,IF(Iterations[[#This Row],[Step]] &gt; current_step, "",Iterations[[#This Row],[Total Loss]]))</f>
        <v>90.43</v>
      </c>
      <c r="M990" s="6" t="s">
        <v>27</v>
      </c>
      <c r="N990" s="2">
        <f ca="1">IF(Iterations[[#This Row],[Step]] =current_step, current_Grad_a,IF(Iterations[[#This Row],[Step]] &gt; current_step, "",Iterations[[#This Row],[Grad_a]]))</f>
        <v>1.7412695869356318E-3</v>
      </c>
      <c r="O990" s="2">
        <f ca="1">IF(Iterations[[#This Row],[Step]] =current_step, current_Grad_b,IF(Iterations[[#This Row],[Step]] &gt; current_step, "",Iterations[[#This Row],[Grad_b]]))</f>
        <v>3.0368309131200018E-4</v>
      </c>
      <c r="P990" s="2">
        <f ca="1">IF(Iterations[[#This Row],[Step]] =current_step, current_Grad_c,IF(Iterations[[#This Row],[Step]] &gt; current_step, "",Iterations[[#This Row],[Grad_c]]))</f>
        <v>-4.8844569631653068E-3</v>
      </c>
      <c r="Q990" s="2">
        <f ca="1">IF(Iterations[[#This Row],[Step]] =current_step, current_Grad_d,IF(Iterations[[#This Row],[Step]] &gt; current_step, "",Iterations[[#This Row],[Grad_d]]))</f>
        <v>-2.7897027499958053E-4</v>
      </c>
      <c r="R990" s="2">
        <f ca="1">IF(Iterations[[#This Row],[Step]] =current_step, current_Grad_e,IF(Iterations[[#This Row],[Step]] &gt; current_step, "",Iterations[[#This Row],[Grad_e]]))</f>
        <v>1.7419351330768427E-3</v>
      </c>
    </row>
    <row r="991" spans="6:18" x14ac:dyDescent="0.3">
      <c r="F991" s="2">
        <f t="shared" si="19"/>
        <v>974</v>
      </c>
      <c r="G991" s="2">
        <f ca="1">IF(Iterations[[#This Row],[Step]] =current_step, current_a,IF(Iterations[[#This Row],[Step]] &gt; current_step, "",Iterations[[#This Row],[a]]))</f>
        <v>-7.2926631617161064</v>
      </c>
      <c r="H991" s="2">
        <f ca="1">IF(Iterations[[#This Row],[Step]] =current_step, current_b,IF(Iterations[[#This Row],[Step]] &gt; current_step, "",Iterations[[#This Row],[b]]))</f>
        <v>0.34506573391344947</v>
      </c>
      <c r="I991" s="2">
        <f ca="1">IF(Iterations[[#This Row],[Step]] =current_step, current_c,IF(Iterations[[#This Row],[Step]] &gt; current_step, "",Iterations[[#This Row],[c]]))</f>
        <v>21.293339018503808</v>
      </c>
      <c r="J991" s="2">
        <f ca="1">IF(Iterations[[#This Row],[Step]] =current_step, current_d,IF(Iterations[[#This Row],[Step]] &gt; current_step, "",Iterations[[#This Row],[d]]))</f>
        <v>1.2078044376817361</v>
      </c>
      <c r="K991" s="2">
        <f ca="1">IF(Iterations[[#This Row],[Step]] =current_step, current_e,IF(Iterations[[#This Row],[Step]] &gt; current_step, "",Iterations[[#This Row],[e]]))</f>
        <v>11.287377312074048</v>
      </c>
      <c r="L991" s="2">
        <f ca="1">IF(Iterations[[#This Row],[Step]] =current_step, current_Total_Loss,IF(Iterations[[#This Row],[Step]] &gt; current_step, "",Iterations[[#This Row],[Total Loss]]))</f>
        <v>90.43</v>
      </c>
      <c r="M991" s="6" t="s">
        <v>27</v>
      </c>
      <c r="N991" s="2">
        <f ca="1">IF(Iterations[[#This Row],[Step]] =current_step, current_Grad_a,IF(Iterations[[#This Row],[Step]] &gt; current_step, "",Iterations[[#This Row],[Grad_a]]))</f>
        <v>1.7294862353626329E-3</v>
      </c>
      <c r="O991" s="2">
        <f ca="1">IF(Iterations[[#This Row],[Step]] =current_step, current_Grad_b,IF(Iterations[[#This Row],[Step]] &gt; current_step, "",Iterations[[#This Row],[Grad_b]]))</f>
        <v>3.0162813939635689E-4</v>
      </c>
      <c r="P991" s="2">
        <f ca="1">IF(Iterations[[#This Row],[Step]] =current_step, current_Grad_c,IF(Iterations[[#This Row],[Step]] &gt; current_step, "",Iterations[[#This Row],[Grad_c]]))</f>
        <v>-4.8514033165000491E-3</v>
      </c>
      <c r="Q991" s="2">
        <f ca="1">IF(Iterations[[#This Row],[Step]] =current_step, current_Grad_d,IF(Iterations[[#This Row],[Step]] &gt; current_step, "",Iterations[[#This Row],[Grad_d]]))</f>
        <v>-2.7708267275078976E-4</v>
      </c>
      <c r="R991" s="2">
        <f ca="1">IF(Iterations[[#This Row],[Step]] =current_step, current_Grad_e,IF(Iterations[[#This Row],[Step]] &gt; current_step, "",Iterations[[#This Row],[Grad_e]]))</f>
        <v>1.7301472672311352E-3</v>
      </c>
    </row>
    <row r="992" spans="6:18" x14ac:dyDescent="0.3">
      <c r="F992" s="2">
        <f t="shared" si="19"/>
        <v>975</v>
      </c>
      <c r="G992" s="2">
        <f ca="1">IF(Iterations[[#This Row],[Step]] =current_step, current_a,IF(Iterations[[#This Row],[Step]] &gt; current_step, "",Iterations[[#This Row],[a]]))</f>
        <v>-7.2927842257525821</v>
      </c>
      <c r="H992" s="2">
        <f ca="1">IF(Iterations[[#This Row],[Step]] =current_step, current_b,IF(Iterations[[#This Row],[Step]] &gt; current_step, "",Iterations[[#This Row],[b]]))</f>
        <v>0.34504461994369173</v>
      </c>
      <c r="I992" s="2">
        <f ca="1">IF(Iterations[[#This Row],[Step]] =current_step, current_c,IF(Iterations[[#This Row],[Step]] &gt; current_step, "",Iterations[[#This Row],[c]]))</f>
        <v>21.293678616735964</v>
      </c>
      <c r="J992" s="2">
        <f ca="1">IF(Iterations[[#This Row],[Step]] =current_step, current_d,IF(Iterations[[#This Row],[Step]] &gt; current_step, "",Iterations[[#This Row],[d]]))</f>
        <v>1.2078238334688287</v>
      </c>
      <c r="K992" s="2">
        <f ca="1">IF(Iterations[[#This Row],[Step]] =current_step, current_e,IF(Iterations[[#This Row],[Step]] &gt; current_step, "",Iterations[[#This Row],[e]]))</f>
        <v>11.287256201765342</v>
      </c>
      <c r="L992" s="2">
        <f ca="1">IF(Iterations[[#This Row],[Step]] =current_step, current_Total_Loss,IF(Iterations[[#This Row],[Step]] &gt; current_step, "",Iterations[[#This Row],[Total Loss]]))</f>
        <v>90.43</v>
      </c>
      <c r="M992" s="6" t="s">
        <v>27</v>
      </c>
      <c r="N992" s="2">
        <f ca="1">IF(Iterations[[#This Row],[Step]] =current_step, current_Grad_a,IF(Iterations[[#This Row],[Step]] &gt; current_step, "",Iterations[[#This Row],[Grad_a]]))</f>
        <v>1.7177826227588887E-3</v>
      </c>
      <c r="O992" s="2">
        <f ca="1">IF(Iterations[[#This Row],[Step]] =current_step, current_Grad_b,IF(Iterations[[#This Row],[Step]] &gt; current_step, "",Iterations[[#This Row],[Grad_b]]))</f>
        <v>2.9958709175491468E-4</v>
      </c>
      <c r="P992" s="2">
        <f ca="1">IF(Iterations[[#This Row],[Step]] =current_step, current_Grad_c,IF(Iterations[[#This Row],[Step]] &gt; current_step, "",Iterations[[#This Row],[Grad_c]]))</f>
        <v>-4.8185733476735493E-3</v>
      </c>
      <c r="Q992" s="2">
        <f ca="1">IF(Iterations[[#This Row],[Step]] =current_step, current_Grad_d,IF(Iterations[[#This Row],[Step]] &gt; current_step, "",Iterations[[#This Row],[Grad_d]]))</f>
        <v>-2.7520784019095953E-4</v>
      </c>
      <c r="R992" s="2">
        <f ca="1">IF(Iterations[[#This Row],[Step]] =current_step, current_Grad_e,IF(Iterations[[#This Row],[Step]] &gt; current_step, "",Iterations[[#This Row],[Grad_e]]))</f>
        <v>1.7184391712334384E-3</v>
      </c>
    </row>
    <row r="993" spans="6:18" x14ac:dyDescent="0.3">
      <c r="F993" s="2">
        <f t="shared" si="19"/>
        <v>976</v>
      </c>
      <c r="G993" s="2">
        <f ca="1">IF(Iterations[[#This Row],[Step]] =current_step, current_a,IF(Iterations[[#This Row],[Step]] &gt; current_step, "",Iterations[[#This Row],[a]]))</f>
        <v>-7.2929044705361754</v>
      </c>
      <c r="H993" s="2">
        <f ca="1">IF(Iterations[[#This Row],[Step]] =current_step, current_b,IF(Iterations[[#This Row],[Step]] &gt; current_step, "",Iterations[[#This Row],[b]]))</f>
        <v>0.34502364884726888</v>
      </c>
      <c r="I993" s="2">
        <f ca="1">IF(Iterations[[#This Row],[Step]] =current_step, current_c,IF(Iterations[[#This Row],[Step]] &gt; current_step, "",Iterations[[#This Row],[c]]))</f>
        <v>21.2940159168703</v>
      </c>
      <c r="J993" s="2">
        <f ca="1">IF(Iterations[[#This Row],[Step]] =current_step, current_d,IF(Iterations[[#This Row],[Step]] &gt; current_step, "",Iterations[[#This Row],[d]]))</f>
        <v>1.207843098017642</v>
      </c>
      <c r="K993" s="2">
        <f ca="1">IF(Iterations[[#This Row],[Step]] =current_step, current_e,IF(Iterations[[#This Row],[Step]] &gt; current_step, "",Iterations[[#This Row],[e]]))</f>
        <v>11.287135911023356</v>
      </c>
      <c r="L993" s="2">
        <f ca="1">IF(Iterations[[#This Row],[Step]] =current_step, current_Total_Loss,IF(Iterations[[#This Row],[Step]] &gt; current_step, "",Iterations[[#This Row],[Total Loss]]))</f>
        <v>90.43</v>
      </c>
      <c r="M993" s="6" t="s">
        <v>27</v>
      </c>
      <c r="N993" s="2">
        <f ca="1">IF(Iterations[[#This Row],[Step]] =current_step, current_Grad_a,IF(Iterations[[#This Row],[Step]] &gt; current_step, "",Iterations[[#This Row],[Grad_a]]))</f>
        <v>1.7061582099195209E-3</v>
      </c>
      <c r="O993" s="2">
        <f ca="1">IF(Iterations[[#This Row],[Step]] =current_step, current_Grad_b,IF(Iterations[[#This Row],[Step]] &gt; current_step, "",Iterations[[#This Row],[Grad_b]]))</f>
        <v>2.9755985424761988E-4</v>
      </c>
      <c r="P993" s="2">
        <f ca="1">IF(Iterations[[#This Row],[Step]] =current_step, current_Grad_c,IF(Iterations[[#This Row],[Step]] &gt; current_step, "",Iterations[[#This Row],[Grad_c]]))</f>
        <v>-4.7859655428683888E-3</v>
      </c>
      <c r="Q993" s="2">
        <f ca="1">IF(Iterations[[#This Row],[Step]] =current_step, current_Grad_d,IF(Iterations[[#This Row],[Step]] &gt; current_step, "",Iterations[[#This Row],[Grad_d]]))</f>
        <v>-2.7334569100377778E-4</v>
      </c>
      <c r="R993" s="2">
        <f ca="1">IF(Iterations[[#This Row],[Step]] =current_step, current_Grad_e,IF(Iterations[[#This Row],[Step]] &gt; current_step, "",Iterations[[#This Row],[Grad_e]]))</f>
        <v>1.7068103053407865E-3</v>
      </c>
    </row>
    <row r="994" spans="6:18" x14ac:dyDescent="0.3">
      <c r="F994" s="2">
        <f t="shared" si="19"/>
        <v>977</v>
      </c>
      <c r="G994" s="2">
        <f ca="1">IF(Iterations[[#This Row],[Step]] =current_step, current_a,IF(Iterations[[#This Row],[Step]] &gt; current_step, "",Iterations[[#This Row],[a]]))</f>
        <v>-7.2930239016108702</v>
      </c>
      <c r="H994" s="2">
        <f ca="1">IF(Iterations[[#This Row],[Step]] =current_step, current_b,IF(Iterations[[#This Row],[Step]] &gt; current_step, "",Iterations[[#This Row],[b]]))</f>
        <v>0.34500281965747154</v>
      </c>
      <c r="I994" s="2">
        <f ca="1">IF(Iterations[[#This Row],[Step]] =current_step, current_c,IF(Iterations[[#This Row],[Step]] &gt; current_step, "",Iterations[[#This Row],[c]]))</f>
        <v>21.294350934458301</v>
      </c>
      <c r="J994" s="2">
        <f ca="1">IF(Iterations[[#This Row],[Step]] =current_step, current_d,IF(Iterations[[#This Row],[Step]] &gt; current_step, "",Iterations[[#This Row],[d]]))</f>
        <v>1.2078622322160122</v>
      </c>
      <c r="K994" s="2">
        <f ca="1">IF(Iterations[[#This Row],[Step]] =current_step, current_e,IF(Iterations[[#This Row],[Step]] &gt; current_step, "",Iterations[[#This Row],[e]]))</f>
        <v>11.287016434301982</v>
      </c>
      <c r="L994" s="2">
        <f ca="1">IF(Iterations[[#This Row],[Step]] =current_step, current_Total_Loss,IF(Iterations[[#This Row],[Step]] &gt; current_step, "",Iterations[[#This Row],[Total Loss]]))</f>
        <v>90.43</v>
      </c>
      <c r="M994" s="6" t="s">
        <v>27</v>
      </c>
      <c r="N994" s="2">
        <f ca="1">IF(Iterations[[#This Row],[Step]] =current_step, current_Grad_a,IF(Iterations[[#This Row],[Step]] &gt; current_step, "",Iterations[[#This Row],[Grad_a]]))</f>
        <v>1.6946124604236463E-3</v>
      </c>
      <c r="O994" s="2">
        <f ca="1">IF(Iterations[[#This Row],[Step]] =current_step, current_Grad_b,IF(Iterations[[#This Row],[Step]] &gt; current_step, "",Iterations[[#This Row],[Grad_b]]))</f>
        <v>2.9554633353017716E-4</v>
      </c>
      <c r="P994" s="2">
        <f ca="1">IF(Iterations[[#This Row],[Step]] =current_step, current_Grad_c,IF(Iterations[[#This Row],[Step]] &gt; current_step, "",Iterations[[#This Row],[Grad_c]]))</f>
        <v>-4.7535783988658341E-3</v>
      </c>
      <c r="Q994" s="2">
        <f ca="1">IF(Iterations[[#This Row],[Step]] =current_step, current_Grad_d,IF(Iterations[[#This Row],[Step]] &gt; current_step, "",Iterations[[#This Row],[Grad_d]]))</f>
        <v>-2.714961394036313E-4</v>
      </c>
      <c r="R994" s="2">
        <f ca="1">IF(Iterations[[#This Row],[Step]] =current_step, current_Grad_e,IF(Iterations[[#This Row],[Step]] &gt; current_step, "",Iterations[[#This Row],[Grad_e]]))</f>
        <v>1.6952601333038134E-3</v>
      </c>
    </row>
    <row r="995" spans="6:18" x14ac:dyDescent="0.3">
      <c r="F995" s="2">
        <f t="shared" si="19"/>
        <v>978</v>
      </c>
      <c r="G995" s="2">
        <f ca="1">IF(Iterations[[#This Row],[Step]] =current_step, current_a,IF(Iterations[[#This Row],[Step]] &gt; current_step, "",Iterations[[#This Row],[a]]))</f>
        <v>-7.2931425244831001</v>
      </c>
      <c r="H995" s="2">
        <f ca="1">IF(Iterations[[#This Row],[Step]] =current_step, current_b,IF(Iterations[[#This Row],[Step]] &gt; current_step, "",Iterations[[#This Row],[b]]))</f>
        <v>0.34498213141412443</v>
      </c>
      <c r="I995" s="2">
        <f ca="1">IF(Iterations[[#This Row],[Step]] =current_step, current_c,IF(Iterations[[#This Row],[Step]] &gt; current_step, "",Iterations[[#This Row],[c]]))</f>
        <v>21.294683684946222</v>
      </c>
      <c r="J995" s="2">
        <f ca="1">IF(Iterations[[#This Row],[Step]] =current_step, current_d,IF(Iterations[[#This Row],[Step]] &gt; current_step, "",Iterations[[#This Row],[d]]))</f>
        <v>1.2078812369457705</v>
      </c>
      <c r="K995" s="2">
        <f ca="1">IF(Iterations[[#This Row],[Step]] =current_step, current_e,IF(Iterations[[#This Row],[Step]] &gt; current_step, "",Iterations[[#This Row],[e]]))</f>
        <v>11.28689776609265</v>
      </c>
      <c r="L995" s="2">
        <f ca="1">IF(Iterations[[#This Row],[Step]] =current_step, current_Total_Loss,IF(Iterations[[#This Row],[Step]] &gt; current_step, "",Iterations[[#This Row],[Total Loss]]))</f>
        <v>90.43</v>
      </c>
      <c r="M995" s="6" t="s">
        <v>27</v>
      </c>
      <c r="N995" s="2">
        <f ca="1">IF(Iterations[[#This Row],[Step]] =current_step, current_Grad_a,IF(Iterations[[#This Row],[Step]] &gt; current_step, "",Iterations[[#This Row],[Grad_a]]))</f>
        <v>1.6831448424302743E-3</v>
      </c>
      <c r="O995" s="2">
        <f ca="1">IF(Iterations[[#This Row],[Step]] =current_step, current_Grad_b,IF(Iterations[[#This Row],[Step]] &gt; current_step, "",Iterations[[#This Row],[Grad_b]]))</f>
        <v>2.9354643672641068E-4</v>
      </c>
      <c r="P995" s="2">
        <f ca="1">IF(Iterations[[#This Row],[Step]] =current_step, current_Grad_c,IF(Iterations[[#This Row],[Step]] &gt; current_step, "",Iterations[[#This Row],[Grad_c]]))</f>
        <v>-4.7214104222252544E-3</v>
      </c>
      <c r="Q995" s="2">
        <f ca="1">IF(Iterations[[#This Row],[Step]] =current_step, current_Grad_d,IF(Iterations[[#This Row],[Step]] &gt; current_step, "",Iterations[[#This Row],[Grad_d]]))</f>
        <v>-2.6965910023305878E-4</v>
      </c>
      <c r="R995" s="2">
        <f ca="1">IF(Iterations[[#This Row],[Step]] =current_step, current_Grad_e,IF(Iterations[[#This Row],[Step]] &gt; current_step, "",Iterations[[#This Row],[Grad_e]]))</f>
        <v>1.6837881226836357E-3</v>
      </c>
    </row>
    <row r="996" spans="6:18" x14ac:dyDescent="0.3">
      <c r="F996" s="2">
        <f t="shared" si="19"/>
        <v>979</v>
      </c>
      <c r="G996" s="2">
        <f ca="1">IF(Iterations[[#This Row],[Step]] =current_step, current_a,IF(Iterations[[#This Row],[Step]] &gt; current_step, "",Iterations[[#This Row],[a]]))</f>
        <v>-7.2932603446220705</v>
      </c>
      <c r="H996" s="2">
        <f ca="1">IF(Iterations[[#This Row],[Step]] =current_step, current_b,IF(Iterations[[#This Row],[Step]] &gt; current_step, "",Iterations[[#This Row],[b]]))</f>
        <v>0.34496158316355358</v>
      </c>
      <c r="I996" s="2">
        <f ca="1">IF(Iterations[[#This Row],[Step]] =current_step, current_c,IF(Iterations[[#This Row],[Step]] &gt; current_step, "",Iterations[[#This Row],[c]]))</f>
        <v>21.295014183675779</v>
      </c>
      <c r="J996" s="2">
        <f ca="1">IF(Iterations[[#This Row],[Step]] =current_step, current_d,IF(Iterations[[#This Row],[Step]] &gt; current_step, "",Iterations[[#This Row],[d]]))</f>
        <v>1.2079001130827869</v>
      </c>
      <c r="K996" s="2">
        <f ca="1">IF(Iterations[[#This Row],[Step]] =current_step, current_e,IF(Iterations[[#This Row],[Step]] &gt; current_step, "",Iterations[[#This Row],[e]]))</f>
        <v>11.286779900924062</v>
      </c>
      <c r="L996" s="2">
        <f ca="1">IF(Iterations[[#This Row],[Step]] =current_step, current_Total_Loss,IF(Iterations[[#This Row],[Step]] &gt; current_step, "",Iterations[[#This Row],[Total Loss]]))</f>
        <v>90.43</v>
      </c>
      <c r="M996" s="6" t="s">
        <v>27</v>
      </c>
      <c r="N996" s="2">
        <f ca="1">IF(Iterations[[#This Row],[Step]] =current_step, current_Grad_a,IF(Iterations[[#This Row],[Step]] &gt; current_step, "",Iterations[[#This Row],[Grad_a]]))</f>
        <v>1.6717548268062722E-3</v>
      </c>
      <c r="O996" s="2">
        <f ca="1">IF(Iterations[[#This Row],[Step]] =current_step, current_Grad_b,IF(Iterations[[#This Row],[Step]] &gt; current_step, "",Iterations[[#This Row],[Grad_b]]))</f>
        <v>2.9156007176614176E-4</v>
      </c>
      <c r="P996" s="2">
        <f ca="1">IF(Iterations[[#This Row],[Step]] =current_step, current_Grad_c,IF(Iterations[[#This Row],[Step]] &gt; current_step, "",Iterations[[#This Row],[Grad_c]]))</f>
        <v>-4.6894601299858714E-3</v>
      </c>
      <c r="Q996" s="2">
        <f ca="1">IF(Iterations[[#This Row],[Step]] =current_step, current_Grad_d,IF(Iterations[[#This Row],[Step]] &gt; current_step, "",Iterations[[#This Row],[Grad_d]]))</f>
        <v>-2.6783448885641596E-4</v>
      </c>
      <c r="R996" s="2">
        <f ca="1">IF(Iterations[[#This Row],[Step]] =current_step, current_Grad_e,IF(Iterations[[#This Row],[Step]] &gt; current_step, "",Iterations[[#This Row],[Grad_e]]))</f>
        <v>1.6723937444682591E-3</v>
      </c>
    </row>
    <row r="997" spans="6:18" x14ac:dyDescent="0.3">
      <c r="F997" s="2">
        <f t="shared" si="19"/>
        <v>980</v>
      </c>
      <c r="G997" s="2">
        <f ca="1">IF(Iterations[[#This Row],[Step]] =current_step, current_a,IF(Iterations[[#This Row],[Step]] &gt; current_step, "",Iterations[[#This Row],[a]]))</f>
        <v>-7.2933773674599474</v>
      </c>
      <c r="H997" s="2">
        <f ca="1">IF(Iterations[[#This Row],[Step]] =current_step, current_b,IF(Iterations[[#This Row],[Step]] &gt; current_step, "",Iterations[[#This Row],[b]]))</f>
        <v>0.34494117395852997</v>
      </c>
      <c r="I997" s="2">
        <f ca="1">IF(Iterations[[#This Row],[Step]] =current_step, current_c,IF(Iterations[[#This Row],[Step]] &gt; current_step, "",Iterations[[#This Row],[c]]))</f>
        <v>21.295342445884877</v>
      </c>
      <c r="J997" s="2">
        <f ca="1">IF(Iterations[[#This Row],[Step]] =current_step, current_d,IF(Iterations[[#This Row],[Step]] &gt; current_step, "",Iterations[[#This Row],[d]]))</f>
        <v>1.2079188614970069</v>
      </c>
      <c r="K997" s="2">
        <f ca="1">IF(Iterations[[#This Row],[Step]] =current_step, current_e,IF(Iterations[[#This Row],[Step]] &gt; current_step, "",Iterations[[#This Row],[e]]))</f>
        <v>11.286662833361948</v>
      </c>
      <c r="L997" s="2">
        <f ca="1">IF(Iterations[[#This Row],[Step]] =current_step, current_Total_Loss,IF(Iterations[[#This Row],[Step]] &gt; current_step, "",Iterations[[#This Row],[Total Loss]]))</f>
        <v>90.43</v>
      </c>
      <c r="M997" s="6" t="s">
        <v>27</v>
      </c>
      <c r="N997" s="2">
        <f ca="1">IF(Iterations[[#This Row],[Step]] =current_step, current_Grad_a,IF(Iterations[[#This Row],[Step]] &gt; current_step, "",Iterations[[#This Row],[Grad_a]]))</f>
        <v>1.660441888695679E-3</v>
      </c>
      <c r="O997" s="2">
        <f ca="1">IF(Iterations[[#This Row],[Step]] =current_step, current_Grad_b,IF(Iterations[[#This Row],[Step]] &gt; current_step, "",Iterations[[#This Row],[Grad_b]]))</f>
        <v>2.895871470407485E-4</v>
      </c>
      <c r="P997" s="2">
        <f ca="1">IF(Iterations[[#This Row],[Step]] =current_step, current_Grad_c,IF(Iterations[[#This Row],[Step]] &gt; current_step, "",Iterations[[#This Row],[Grad_c]]))</f>
        <v>-4.6577260489277916E-3</v>
      </c>
      <c r="Q997" s="2">
        <f ca="1">IF(Iterations[[#This Row],[Step]] =current_step, current_Grad_d,IF(Iterations[[#This Row],[Step]] &gt; current_step, "",Iterations[[#This Row],[Grad_d]]))</f>
        <v>-2.6602222125857476E-4</v>
      </c>
      <c r="R997" s="2">
        <f ca="1">IF(Iterations[[#This Row],[Step]] =current_step, current_Grad_e,IF(Iterations[[#This Row],[Step]] &gt; current_step, "",Iterations[[#This Row],[Grad_e]]))</f>
        <v>1.6610764733688338E-3</v>
      </c>
    </row>
    <row r="998" spans="6:18" x14ac:dyDescent="0.3">
      <c r="F998" s="2">
        <f t="shared" si="19"/>
        <v>981</v>
      </c>
      <c r="G998" s="2">
        <f ca="1">IF(Iterations[[#This Row],[Step]] =current_step, current_a,IF(Iterations[[#This Row],[Step]] &gt; current_step, "",Iterations[[#This Row],[a]]))</f>
        <v>-7.2934935983921561</v>
      </c>
      <c r="H998" s="2">
        <f ca="1">IF(Iterations[[#This Row],[Step]] =current_step, current_b,IF(Iterations[[#This Row],[Step]] &gt; current_step, "",Iterations[[#This Row],[b]]))</f>
        <v>0.34492090285823712</v>
      </c>
      <c r="I998" s="2">
        <f ca="1">IF(Iterations[[#This Row],[Step]] =current_step, current_c,IF(Iterations[[#This Row],[Step]] &gt; current_step, "",Iterations[[#This Row],[c]]))</f>
        <v>21.295668486708301</v>
      </c>
      <c r="J998" s="2">
        <f ca="1">IF(Iterations[[#This Row],[Step]] =current_step, current_d,IF(Iterations[[#This Row],[Step]] &gt; current_step, "",Iterations[[#This Row],[d]]))</f>
        <v>1.2079374830524949</v>
      </c>
      <c r="K998" s="2">
        <f ca="1">IF(Iterations[[#This Row],[Step]] =current_step, current_e,IF(Iterations[[#This Row],[Step]] &gt; current_step, "",Iterations[[#This Row],[e]]))</f>
        <v>11.286546558008812</v>
      </c>
      <c r="L998" s="2">
        <f ca="1">IF(Iterations[[#This Row],[Step]] =current_step, current_Total_Loss,IF(Iterations[[#This Row],[Step]] &gt; current_step, "",Iterations[[#This Row],[Total Loss]]))</f>
        <v>90.43</v>
      </c>
      <c r="M998" s="6" t="s">
        <v>27</v>
      </c>
      <c r="N998" s="2">
        <f ca="1">IF(Iterations[[#This Row],[Step]] =current_step, current_Grad_a,IF(Iterations[[#This Row],[Step]] &gt; current_step, "",Iterations[[#This Row],[Grad_a]]))</f>
        <v>1.649205506310647E-3</v>
      </c>
      <c r="O998" s="2">
        <f ca="1">IF(Iterations[[#This Row],[Step]] =current_step, current_Grad_b,IF(Iterations[[#This Row],[Step]] &gt; current_step, "",Iterations[[#This Row],[Grad_b]]))</f>
        <v>2.8762757164751344E-4</v>
      </c>
      <c r="P998" s="2">
        <f ca="1">IF(Iterations[[#This Row],[Step]] =current_step, current_Grad_c,IF(Iterations[[#This Row],[Step]] &gt; current_step, "",Iterations[[#This Row],[Grad_c]]))</f>
        <v>-4.6262067160078362E-3</v>
      </c>
      <c r="Q998" s="2">
        <f ca="1">IF(Iterations[[#This Row],[Step]] =current_step, current_Grad_d,IF(Iterations[[#This Row],[Step]] &gt; current_step, "",Iterations[[#This Row],[Grad_d]]))</f>
        <v>-2.6422221396851488E-4</v>
      </c>
      <c r="R998" s="2">
        <f ca="1">IF(Iterations[[#This Row],[Step]] =current_step, current_Grad_e,IF(Iterations[[#This Row],[Step]] &gt; current_step, "",Iterations[[#This Row],[Grad_e]]))</f>
        <v>1.6498357875488602E-3</v>
      </c>
    </row>
    <row r="999" spans="6:18" x14ac:dyDescent="0.3">
      <c r="F999" s="2">
        <f t="shared" si="19"/>
        <v>982</v>
      </c>
      <c r="G999" s="2">
        <f ca="1">IF(Iterations[[#This Row],[Step]] =current_step, current_a,IF(Iterations[[#This Row],[Step]] &gt; current_step, "",Iterations[[#This Row],[a]]))</f>
        <v>-7.2936090427775975</v>
      </c>
      <c r="H999" s="2">
        <f ca="1">IF(Iterations[[#This Row],[Step]] =current_step, current_b,IF(Iterations[[#This Row],[Step]] &gt; current_step, "",Iterations[[#This Row],[b]]))</f>
        <v>0.3449007689282218</v>
      </c>
      <c r="I999" s="2">
        <f ca="1">IF(Iterations[[#This Row],[Step]] =current_step, current_c,IF(Iterations[[#This Row],[Step]] &gt; current_step, "",Iterations[[#This Row],[c]]))</f>
        <v>21.295992321178421</v>
      </c>
      <c r="J999" s="2">
        <f ca="1">IF(Iterations[[#This Row],[Step]] =current_step, current_d,IF(Iterations[[#This Row],[Step]] &gt; current_step, "",Iterations[[#This Row],[d]]))</f>
        <v>1.2079559786074727</v>
      </c>
      <c r="K999" s="2">
        <f ca="1">IF(Iterations[[#This Row],[Step]] =current_step, current_e,IF(Iterations[[#This Row],[Step]] &gt; current_step, "",Iterations[[#This Row],[e]]))</f>
        <v>11.286431069503683</v>
      </c>
      <c r="L999" s="2">
        <f ca="1">IF(Iterations[[#This Row],[Step]] =current_step, current_Total_Loss,IF(Iterations[[#This Row],[Step]] &gt; current_step, "",Iterations[[#This Row],[Total Loss]]))</f>
        <v>90.43</v>
      </c>
      <c r="M999" s="6" t="s">
        <v>27</v>
      </c>
      <c r="N999" s="2">
        <f ca="1">IF(Iterations[[#This Row],[Step]] =current_step, current_Grad_a,IF(Iterations[[#This Row],[Step]] &gt; current_step, "",Iterations[[#This Row],[Grad_a]]))</f>
        <v>1.6380451617729423E-3</v>
      </c>
      <c r="O999" s="2">
        <f ca="1">IF(Iterations[[#This Row],[Step]] =current_step, current_Grad_b,IF(Iterations[[#This Row],[Step]] &gt; current_step, "",Iterations[[#This Row],[Grad_b]]))</f>
        <v>2.8568125528506531E-4</v>
      </c>
      <c r="P999" s="2">
        <f ca="1">IF(Iterations[[#This Row],[Step]] =current_step, current_Grad_c,IF(Iterations[[#This Row],[Step]] &gt; current_step, "",Iterations[[#This Row],[Grad_c]]))</f>
        <v>-4.5949006779190983E-3</v>
      </c>
      <c r="Q999" s="2">
        <f ca="1">IF(Iterations[[#This Row],[Step]] =current_step, current_Grad_d,IF(Iterations[[#This Row],[Step]] &gt; current_step, "",Iterations[[#This Row],[Grad_d]]))</f>
        <v>-2.6243438407581713E-4</v>
      </c>
      <c r="R999" s="2">
        <f ca="1">IF(Iterations[[#This Row],[Step]] =current_step, current_Grad_e,IF(Iterations[[#This Row],[Step]] &gt; current_step, "",Iterations[[#This Row],[Grad_e]]))</f>
        <v>1.6386711687831716E-3</v>
      </c>
    </row>
    <row r="1000" spans="6:18" x14ac:dyDescent="0.3">
      <c r="F1000" s="2">
        <f t="shared" si="19"/>
        <v>983</v>
      </c>
      <c r="G1000" s="2">
        <f ca="1">IF(Iterations[[#This Row],[Step]] =current_step, current_a,IF(Iterations[[#This Row],[Step]] &gt; current_step, "",Iterations[[#This Row],[a]]))</f>
        <v>-7.2937237059389215</v>
      </c>
      <c r="H1000" s="2">
        <f ca="1">IF(Iterations[[#This Row],[Step]] =current_step, current_b,IF(Iterations[[#This Row],[Step]] &gt; current_step, "",Iterations[[#This Row],[b]]))</f>
        <v>0.34488077124035182</v>
      </c>
      <c r="I1000" s="2">
        <f ca="1">IF(Iterations[[#This Row],[Step]] =current_step, current_c,IF(Iterations[[#This Row],[Step]] &gt; current_step, "",Iterations[[#This Row],[c]]))</f>
        <v>21.296313964225874</v>
      </c>
      <c r="J1000" s="2">
        <f ca="1">IF(Iterations[[#This Row],[Step]] =current_step, current_d,IF(Iterations[[#This Row],[Step]] &gt; current_step, "",Iterations[[#This Row],[d]]))</f>
        <v>1.207974349014358</v>
      </c>
      <c r="K1000" s="2">
        <f ca="1">IF(Iterations[[#This Row],[Step]] =current_step, current_e,IF(Iterations[[#This Row],[Step]] &gt; current_step, "",Iterations[[#This Row],[e]]))</f>
        <v>11.286316362521868</v>
      </c>
      <c r="L1000" s="2">
        <f ca="1">IF(Iterations[[#This Row],[Step]] =current_step, current_Total_Loss,IF(Iterations[[#This Row],[Step]] &gt; current_step, "",Iterations[[#This Row],[Total Loss]]))</f>
        <v>90.43</v>
      </c>
      <c r="M1000" s="6" t="s">
        <v>27</v>
      </c>
      <c r="N1000" s="2">
        <f ca="1">IF(Iterations[[#This Row],[Step]] =current_step, current_Grad_a,IF(Iterations[[#This Row],[Step]] &gt; current_step, "",Iterations[[#This Row],[Grad_a]]))</f>
        <v>1.6269603402973133E-3</v>
      </c>
      <c r="O1000" s="2">
        <f ca="1">IF(Iterations[[#This Row],[Step]] =current_step, current_Grad_b,IF(Iterations[[#This Row],[Step]] &gt; current_step, "",Iterations[[#This Row],[Grad_b]]))</f>
        <v>2.8374810826680016E-4</v>
      </c>
      <c r="P1000" s="2">
        <f ca="1">IF(Iterations[[#This Row],[Step]] =current_step, current_Grad_c,IF(Iterations[[#This Row],[Step]] &gt; current_step, "",Iterations[[#This Row],[Grad_c]]))</f>
        <v>-4.5638064913654146E-3</v>
      </c>
      <c r="Q1000" s="2">
        <f ca="1">IF(Iterations[[#This Row],[Step]] =current_step, current_Grad_d,IF(Iterations[[#This Row],[Step]] &gt; current_step, "",Iterations[[#This Row],[Grad_d]]))</f>
        <v>-2.6065864923565909E-4</v>
      </c>
      <c r="R1000" s="2">
        <f ca="1">IF(Iterations[[#This Row],[Step]] =current_step, current_Grad_e,IF(Iterations[[#This Row],[Step]] &gt; current_step, "",Iterations[[#This Row],[Grad_e]]))</f>
        <v>1.6275821022715162E-3</v>
      </c>
    </row>
    <row r="1001" spans="6:18" x14ac:dyDescent="0.3">
      <c r="F1001" s="2">
        <f t="shared" si="19"/>
        <v>984</v>
      </c>
      <c r="G1001" s="2">
        <f ca="1">IF(Iterations[[#This Row],[Step]] =current_step, current_a,IF(Iterations[[#This Row],[Step]] &gt; current_step, "",Iterations[[#This Row],[a]]))</f>
        <v>-7.2938375931627419</v>
      </c>
      <c r="H1001" s="2">
        <f ca="1">IF(Iterations[[#This Row],[Step]] =current_step, current_b,IF(Iterations[[#This Row],[Step]] &gt; current_step, "",Iterations[[#This Row],[b]]))</f>
        <v>0.34486090887277315</v>
      </c>
      <c r="I1001" s="2">
        <f ca="1">IF(Iterations[[#This Row],[Step]] =current_step, current_c,IF(Iterations[[#This Row],[Step]] &gt; current_step, "",Iterations[[#This Row],[c]]))</f>
        <v>21.29663343068027</v>
      </c>
      <c r="J1001" s="2">
        <f ca="1">IF(Iterations[[#This Row],[Step]] =current_step, current_d,IF(Iterations[[#This Row],[Step]] &gt; current_step, "",Iterations[[#This Row],[d]]))</f>
        <v>1.2079925951198045</v>
      </c>
      <c r="K1001" s="2">
        <f ca="1">IF(Iterations[[#This Row],[Step]] =current_step, current_e,IF(Iterations[[#This Row],[Step]] &gt; current_step, "",Iterations[[#This Row],[e]]))</f>
        <v>11.28620243177471</v>
      </c>
      <c r="L1001" s="2">
        <f ca="1">IF(Iterations[[#This Row],[Step]] =current_step, current_Total_Loss,IF(Iterations[[#This Row],[Step]] &gt; current_step, "",Iterations[[#This Row],[Total Loss]]))</f>
        <v>90.43</v>
      </c>
      <c r="M1001" s="6" t="s">
        <v>27</v>
      </c>
      <c r="N1001" s="2">
        <f ca="1">IF(Iterations[[#This Row],[Step]] =current_step, current_Grad_a,IF(Iterations[[#This Row],[Step]] &gt; current_step, "",Iterations[[#This Row],[Grad_a]]))</f>
        <v>1.6159505311130751E-3</v>
      </c>
      <c r="O1001" s="2">
        <f ca="1">IF(Iterations[[#This Row],[Step]] =current_step, current_Grad_b,IF(Iterations[[#This Row],[Step]] &gt; current_step, "",Iterations[[#This Row],[Grad_b]]))</f>
        <v>2.8182804146408772E-4</v>
      </c>
      <c r="P1001" s="2">
        <f ca="1">IF(Iterations[[#This Row],[Step]] =current_step, current_Grad_c,IF(Iterations[[#This Row],[Step]] &gt; current_step, "",Iterations[[#This Row],[Grad_c]]))</f>
        <v>-4.5329227225954722E-3</v>
      </c>
      <c r="Q1001" s="2">
        <f ca="1">IF(Iterations[[#This Row],[Step]] =current_step, current_Grad_d,IF(Iterations[[#This Row],[Step]] &gt; current_step, "",Iterations[[#This Row],[Grad_d]]))</f>
        <v>-2.5889492767154171E-4</v>
      </c>
      <c r="R1001" s="2">
        <f ca="1">IF(Iterations[[#This Row],[Step]] =current_step, current_Grad_e,IF(Iterations[[#This Row],[Step]] &gt; current_step, "",Iterations[[#This Row],[Grad_e]]))</f>
        <v>1.6165680767993172E-3</v>
      </c>
    </row>
    <row r="1002" spans="6:18" x14ac:dyDescent="0.3">
      <c r="F1002" s="2">
        <f t="shared" si="19"/>
        <v>985</v>
      </c>
      <c r="G1002" s="2">
        <f ca="1">IF(Iterations[[#This Row],[Step]] =current_step, current_a,IF(Iterations[[#This Row],[Step]] &gt; current_step, "",Iterations[[#This Row],[a]]))</f>
        <v>-7.2939507096999199</v>
      </c>
      <c r="H1002" s="2">
        <f ca="1">IF(Iterations[[#This Row],[Step]] =current_step, current_b,IF(Iterations[[#This Row],[Step]] &gt; current_step, "",Iterations[[#This Row],[b]]))</f>
        <v>0.34484118090987065</v>
      </c>
      <c r="I1002" s="2">
        <f ca="1">IF(Iterations[[#This Row],[Step]] =current_step, current_c,IF(Iterations[[#This Row],[Step]] &gt; current_step, "",Iterations[[#This Row],[c]]))</f>
        <v>21.296950735270851</v>
      </c>
      <c r="J1002" s="2">
        <f ca="1">IF(Iterations[[#This Row],[Step]] =current_step, current_d,IF(Iterations[[#This Row],[Step]] &gt; current_step, "",Iterations[[#This Row],[d]]))</f>
        <v>1.2080107177647414</v>
      </c>
      <c r="K1002" s="2">
        <f ca="1">IF(Iterations[[#This Row],[Step]] =current_step, current_e,IF(Iterations[[#This Row],[Step]] &gt; current_step, "",Iterations[[#This Row],[e]]))</f>
        <v>11.286089272009333</v>
      </c>
      <c r="L1002" s="2">
        <f ca="1">IF(Iterations[[#This Row],[Step]] =current_step, current_Total_Loss,IF(Iterations[[#This Row],[Step]] &gt; current_step, "",Iterations[[#This Row],[Total Loss]]))</f>
        <v>90.43</v>
      </c>
      <c r="M1002" s="6" t="s">
        <v>27</v>
      </c>
      <c r="N1002" s="2">
        <f ca="1">IF(Iterations[[#This Row],[Step]] =current_step, current_Grad_a,IF(Iterations[[#This Row],[Step]] &gt; current_step, "",Iterations[[#This Row],[Grad_a]]))</f>
        <v>1.6050152262229291E-3</v>
      </c>
      <c r="O1002" s="2">
        <f ca="1">IF(Iterations[[#This Row],[Step]] =current_step, current_Grad_b,IF(Iterations[[#This Row],[Step]] &gt; current_step, "",Iterations[[#This Row],[Grad_b]]))</f>
        <v>2.7992096646560033E-4</v>
      </c>
      <c r="P1002" s="2">
        <f ca="1">IF(Iterations[[#This Row],[Step]] =current_step, current_Grad_c,IF(Iterations[[#This Row],[Step]] &gt; current_step, "",Iterations[[#This Row],[Grad_c]]))</f>
        <v>-4.502247947843362E-3</v>
      </c>
      <c r="Q1002" s="2">
        <f ca="1">IF(Iterations[[#This Row],[Step]] =current_step, current_Grad_d,IF(Iterations[[#This Row],[Step]] &gt; current_step, "",Iterations[[#This Row],[Grad_d]]))</f>
        <v>-2.5714313812262731E-4</v>
      </c>
      <c r="R1002" s="2">
        <f ca="1">IF(Iterations[[#This Row],[Step]] =current_step, current_Grad_e,IF(Iterations[[#This Row],[Step]] &gt; current_step, "",Iterations[[#This Row],[Grad_e]]))</f>
        <v>1.6056285844793115E-3</v>
      </c>
    </row>
    <row r="1003" spans="6:18" x14ac:dyDescent="0.3">
      <c r="F1003" s="2">
        <f t="shared" ref="F1003:F1015" si="20">F1002+1</f>
        <v>986</v>
      </c>
      <c r="G1003" s="2">
        <f ca="1">IF(Iterations[[#This Row],[Step]] =current_step, current_a,IF(Iterations[[#This Row],[Step]] &gt; current_step, "",Iterations[[#This Row],[a]]))</f>
        <v>-7.2940630607657555</v>
      </c>
      <c r="H1003" s="2">
        <f ca="1">IF(Iterations[[#This Row],[Step]] =current_step, current_b,IF(Iterations[[#This Row],[Step]] &gt; current_step, "",Iterations[[#This Row],[b]]))</f>
        <v>0.34482158644221805</v>
      </c>
      <c r="I1003" s="2">
        <f ca="1">IF(Iterations[[#This Row],[Step]] =current_step, current_c,IF(Iterations[[#This Row],[Step]] &gt; current_step, "",Iterations[[#This Row],[c]]))</f>
        <v>21.297265892627202</v>
      </c>
      <c r="J1003" s="2">
        <f ca="1">IF(Iterations[[#This Row],[Step]] =current_step, current_d,IF(Iterations[[#This Row],[Step]] &gt; current_step, "",Iterations[[#This Row],[d]]))</f>
        <v>1.20802871778441</v>
      </c>
      <c r="K1003" s="2">
        <f ca="1">IF(Iterations[[#This Row],[Step]] =current_step, current_e,IF(Iterations[[#This Row],[Step]] &gt; current_step, "",Iterations[[#This Row],[e]]))</f>
        <v>11.28597687800842</v>
      </c>
      <c r="L1003" s="2">
        <f ca="1">IF(Iterations[[#This Row],[Step]] =current_step, current_Total_Loss,IF(Iterations[[#This Row],[Step]] &gt; current_step, "",Iterations[[#This Row],[Total Loss]]))</f>
        <v>90.43</v>
      </c>
      <c r="M1003" s="6" t="s">
        <v>27</v>
      </c>
      <c r="N1003" s="2">
        <f ca="1">IF(Iterations[[#This Row],[Step]] =current_step, current_Grad_a,IF(Iterations[[#This Row],[Step]] &gt; current_step, "",Iterations[[#This Row],[Grad_a]]))</f>
        <v>1.5941539219065997E-3</v>
      </c>
      <c r="O1003" s="2">
        <f ca="1">IF(Iterations[[#This Row],[Step]] =current_step, current_Grad_b,IF(Iterations[[#This Row],[Step]] &gt; current_step, "",Iterations[[#This Row],[Grad_b]]))</f>
        <v>2.7802679526839965E-4</v>
      </c>
      <c r="P1003" s="2">
        <f ca="1">IF(Iterations[[#This Row],[Step]] =current_step, current_Grad_c,IF(Iterations[[#This Row],[Step]] &gt; current_step, "",Iterations[[#This Row],[Grad_c]]))</f>
        <v>-4.4717807526315117E-3</v>
      </c>
      <c r="Q1003" s="2">
        <f ca="1">IF(Iterations[[#This Row],[Step]] =current_step, current_Grad_d,IF(Iterations[[#This Row],[Step]] &gt; current_step, "",Iterations[[#This Row],[Grad_d]]))</f>
        <v>-2.5540319994036648E-4</v>
      </c>
      <c r="R1003" s="2">
        <f ca="1">IF(Iterations[[#This Row],[Step]] =current_step, current_Grad_e,IF(Iterations[[#This Row],[Step]] &gt; current_step, "",Iterations[[#This Row],[Grad_e]]))</f>
        <v>1.594763121025306E-3</v>
      </c>
    </row>
    <row r="1004" spans="6:18" x14ac:dyDescent="0.3">
      <c r="F1004" s="2">
        <f t="shared" si="20"/>
        <v>987</v>
      </c>
      <c r="G1004" s="2">
        <f ca="1">IF(Iterations[[#This Row],[Step]] =current_step, current_a,IF(Iterations[[#This Row],[Step]] &gt; current_step, "",Iterations[[#This Row],[a]]))</f>
        <v>-7.2941746515402892</v>
      </c>
      <c r="H1004" s="2">
        <f ca="1">IF(Iterations[[#This Row],[Step]] =current_step, current_b,IF(Iterations[[#This Row],[Step]] &gt; current_step, "",Iterations[[#This Row],[b]]))</f>
        <v>0.34480212456654924</v>
      </c>
      <c r="I1004" s="2">
        <f ca="1">IF(Iterations[[#This Row],[Step]] =current_step, current_c,IF(Iterations[[#This Row],[Step]] &gt; current_step, "",Iterations[[#This Row],[c]]))</f>
        <v>21.297578917279886</v>
      </c>
      <c r="J1004" s="2">
        <f ca="1">IF(Iterations[[#This Row],[Step]] =current_step, current_d,IF(Iterations[[#This Row],[Step]] &gt; current_step, "",Iterations[[#This Row],[d]]))</f>
        <v>1.2080465960084059</v>
      </c>
      <c r="K1004" s="2">
        <f ca="1">IF(Iterations[[#This Row],[Step]] =current_step, current_e,IF(Iterations[[#This Row],[Step]] &gt; current_step, "",Iterations[[#This Row],[e]]))</f>
        <v>11.285865244589948</v>
      </c>
      <c r="L1004" s="2">
        <f ca="1">IF(Iterations[[#This Row],[Step]] =current_step, current_Total_Loss,IF(Iterations[[#This Row],[Step]] &gt; current_step, "",Iterations[[#This Row],[Total Loss]]))</f>
        <v>90.43</v>
      </c>
      <c r="M1004" s="6" t="s">
        <v>27</v>
      </c>
      <c r="N1004" s="2">
        <f ca="1">IF(Iterations[[#This Row],[Step]] =current_step, current_Grad_a,IF(Iterations[[#This Row],[Step]] &gt; current_step, "",Iterations[[#This Row],[Grad_a]]))</f>
        <v>1.5833661168967634E-3</v>
      </c>
      <c r="O1004" s="2">
        <f ca="1">IF(Iterations[[#This Row],[Step]] =current_step, current_Grad_b,IF(Iterations[[#This Row],[Step]] &gt; current_step, "",Iterations[[#This Row],[Grad_b]]))</f>
        <v>2.7614544070031499E-4</v>
      </c>
      <c r="P1004" s="2">
        <f ca="1">IF(Iterations[[#This Row],[Step]] =current_step, current_Grad_c,IF(Iterations[[#This Row],[Step]] &gt; current_step, "",Iterations[[#This Row],[Grad_c]]))</f>
        <v>-4.4415197324521533E-3</v>
      </c>
      <c r="Q1004" s="2">
        <f ca="1">IF(Iterations[[#This Row],[Step]] =current_step, current_Grad_d,IF(Iterations[[#This Row],[Step]] &gt; current_step, "",Iterations[[#This Row],[Grad_d]]))</f>
        <v>-2.5367503293957958E-4</v>
      </c>
      <c r="R1004" s="2">
        <f ca="1">IF(Iterations[[#This Row],[Step]] =current_step, current_Grad_e,IF(Iterations[[#This Row],[Step]] &gt; current_step, "",Iterations[[#This Row],[Grad_e]]))</f>
        <v>1.5839711853720376E-3</v>
      </c>
    </row>
    <row r="1005" spans="6:18" x14ac:dyDescent="0.3">
      <c r="F1005" s="2">
        <f t="shared" si="20"/>
        <v>988</v>
      </c>
      <c r="G1005" s="2">
        <f ca="1">IF(Iterations[[#This Row],[Step]] =current_step, current_a,IF(Iterations[[#This Row],[Step]] &gt; current_step, "",Iterations[[#This Row],[a]]))</f>
        <v>-7.2942854871684721</v>
      </c>
      <c r="H1005" s="2">
        <f ca="1">IF(Iterations[[#This Row],[Step]] =current_step, current_b,IF(Iterations[[#This Row],[Step]] &gt; current_step, "",Iterations[[#This Row],[b]]))</f>
        <v>0.3447827943857002</v>
      </c>
      <c r="I1005" s="2">
        <f ca="1">IF(Iterations[[#This Row],[Step]] =current_step, current_c,IF(Iterations[[#This Row],[Step]] &gt; current_step, "",Iterations[[#This Row],[c]]))</f>
        <v>21.297889823661158</v>
      </c>
      <c r="J1005" s="2">
        <f ca="1">IF(Iterations[[#This Row],[Step]] =current_step, current_d,IF(Iterations[[#This Row],[Step]] &gt; current_step, "",Iterations[[#This Row],[d]]))</f>
        <v>1.2080643532607116</v>
      </c>
      <c r="K1005" s="2">
        <f ca="1">IF(Iterations[[#This Row],[Step]] =current_step, current_e,IF(Iterations[[#This Row],[Step]] &gt; current_step, "",Iterations[[#This Row],[e]]))</f>
        <v>11.285754366606971</v>
      </c>
      <c r="L1005" s="2">
        <f ca="1">IF(Iterations[[#This Row],[Step]] =current_step, current_Total_Loss,IF(Iterations[[#This Row],[Step]] &gt; current_step, "",Iterations[[#This Row],[Total Loss]]))</f>
        <v>90.43</v>
      </c>
      <c r="M1005" s="6" t="s">
        <v>27</v>
      </c>
      <c r="N1005" s="2">
        <f ca="1">IF(Iterations[[#This Row],[Step]] =current_step, current_Grad_a,IF(Iterations[[#This Row],[Step]] &gt; current_step, "",Iterations[[#This Row],[Grad_a]]))</f>
        <v>1.5726513143069375E-3</v>
      </c>
      <c r="O1005" s="2">
        <f ca="1">IF(Iterations[[#This Row],[Step]] =current_step, current_Grad_b,IF(Iterations[[#This Row],[Step]] &gt; current_step, "",Iterations[[#This Row],[Grad_b]]))</f>
        <v>2.7427681593951273E-4</v>
      </c>
      <c r="P1005" s="2">
        <f ca="1">IF(Iterations[[#This Row],[Step]] =current_step, current_Grad_c,IF(Iterations[[#This Row],[Step]] &gt; current_step, "",Iterations[[#This Row],[Grad_c]]))</f>
        <v>-4.4114634918851359E-3</v>
      </c>
      <c r="Q1005" s="2">
        <f ca="1">IF(Iterations[[#This Row],[Step]] =current_step, current_Grad_d,IF(Iterations[[#This Row],[Step]] &gt; current_step, "",Iterations[[#This Row],[Grad_d]]))</f>
        <v>-2.5195855756103097E-4</v>
      </c>
      <c r="R1005" s="2">
        <f ca="1">IF(Iterations[[#This Row],[Step]] =current_step, current_Grad_e,IF(Iterations[[#This Row],[Step]] &gt; current_step, "",Iterations[[#This Row],[Grad_e]]))</f>
        <v>1.5732522800495888E-3</v>
      </c>
    </row>
    <row r="1006" spans="6:18" x14ac:dyDescent="0.3">
      <c r="F1006" s="2">
        <f t="shared" si="20"/>
        <v>989</v>
      </c>
      <c r="G1006" s="2">
        <f ca="1">IF(Iterations[[#This Row],[Step]] =current_step, current_a,IF(Iterations[[#This Row],[Step]] &gt; current_step, "",Iterations[[#This Row],[a]]))</f>
        <v>-7.2943955727604735</v>
      </c>
      <c r="H1006" s="2">
        <f ca="1">IF(Iterations[[#This Row],[Step]] =current_step, current_b,IF(Iterations[[#This Row],[Step]] &gt; current_step, "",Iterations[[#This Row],[b]]))</f>
        <v>0.34476359500858444</v>
      </c>
      <c r="I1006" s="2">
        <f ca="1">IF(Iterations[[#This Row],[Step]] =current_step, current_c,IF(Iterations[[#This Row],[Step]] &gt; current_step, "",Iterations[[#This Row],[c]]))</f>
        <v>21.298198626105592</v>
      </c>
      <c r="J1006" s="2">
        <f ca="1">IF(Iterations[[#This Row],[Step]] =current_step, current_d,IF(Iterations[[#This Row],[Step]] &gt; current_step, "",Iterations[[#This Row],[d]]))</f>
        <v>1.2080819903597408</v>
      </c>
      <c r="K1006" s="2">
        <f ca="1">IF(Iterations[[#This Row],[Step]] =current_step, current_e,IF(Iterations[[#This Row],[Step]] &gt; current_step, "",Iterations[[#This Row],[e]]))</f>
        <v>11.285644238947368</v>
      </c>
      <c r="L1006" s="2">
        <f ca="1">IF(Iterations[[#This Row],[Step]] =current_step, current_Total_Loss,IF(Iterations[[#This Row],[Step]] &gt; current_step, "",Iterations[[#This Row],[Total Loss]]))</f>
        <v>90.43</v>
      </c>
      <c r="M1006" s="6" t="s">
        <v>27</v>
      </c>
      <c r="N1006" s="2">
        <f ca="1">IF(Iterations[[#This Row],[Step]] =current_step, current_Grad_a,IF(Iterations[[#This Row],[Step]] &gt; current_step, "",Iterations[[#This Row],[Grad_a]]))</f>
        <v>1.5620090196846921E-3</v>
      </c>
      <c r="O1006" s="2">
        <f ca="1">IF(Iterations[[#This Row],[Step]] =current_step, current_Grad_b,IF(Iterations[[#This Row],[Step]] &gt; current_step, "",Iterations[[#This Row],[Grad_b]]))</f>
        <v>2.7242083498305963E-4</v>
      </c>
      <c r="P1006" s="2">
        <f ca="1">IF(Iterations[[#This Row],[Step]] =current_step, current_Grad_c,IF(Iterations[[#This Row],[Step]] &gt; current_step, "",Iterations[[#This Row],[Grad_c]]))</f>
        <v>-4.3816106453471821E-3</v>
      </c>
      <c r="Q1006" s="2">
        <f ca="1">IF(Iterations[[#This Row],[Step]] =current_step, current_Grad_d,IF(Iterations[[#This Row],[Step]] &gt; current_step, "",Iterations[[#This Row],[Grad_d]]))</f>
        <v>-2.5025369469887523E-4</v>
      </c>
      <c r="R1006" s="2">
        <f ca="1">IF(Iterations[[#This Row],[Step]] =current_step, current_Grad_e,IF(Iterations[[#This Row],[Step]] &gt; current_step, "",Iterations[[#This Row],[Grad_e]]))</f>
        <v>1.5626059107616028E-3</v>
      </c>
    </row>
    <row r="1007" spans="6:18" x14ac:dyDescent="0.3">
      <c r="F1007" s="2">
        <f t="shared" si="20"/>
        <v>990</v>
      </c>
      <c r="G1007" s="2">
        <f ca="1">IF(Iterations[[#This Row],[Step]] =current_step, current_a,IF(Iterations[[#This Row],[Step]] &gt; current_step, "",Iterations[[#This Row],[a]]))</f>
        <v>-7.2945049133918518</v>
      </c>
      <c r="H1007" s="2">
        <f ca="1">IF(Iterations[[#This Row],[Step]] =current_step, current_b,IF(Iterations[[#This Row],[Step]] &gt; current_step, "",Iterations[[#This Row],[b]]))</f>
        <v>0.34474452555013563</v>
      </c>
      <c r="I1007" s="2">
        <f ca="1">IF(Iterations[[#This Row],[Step]] =current_step, current_c,IF(Iterations[[#This Row],[Step]] &gt; current_step, "",Iterations[[#This Row],[c]]))</f>
        <v>21.298505338850767</v>
      </c>
      <c r="J1007" s="2">
        <f ca="1">IF(Iterations[[#This Row],[Step]] =current_step, current_d,IF(Iterations[[#This Row],[Step]] &gt; current_step, "",Iterations[[#This Row],[d]]))</f>
        <v>1.2080995081183699</v>
      </c>
      <c r="K1007" s="2">
        <f ca="1">IF(Iterations[[#This Row],[Step]] =current_step, current_e,IF(Iterations[[#This Row],[Step]] &gt; current_step, "",Iterations[[#This Row],[e]]))</f>
        <v>11.285534856533614</v>
      </c>
      <c r="L1007" s="2">
        <f ca="1">IF(Iterations[[#This Row],[Step]] =current_step, current_Total_Loss,IF(Iterations[[#This Row],[Step]] &gt; current_step, "",Iterations[[#This Row],[Total Loss]]))</f>
        <v>90.43</v>
      </c>
      <c r="M1007" s="6" t="s">
        <v>27</v>
      </c>
      <c r="N1007" s="2">
        <f ca="1">IF(Iterations[[#This Row],[Step]] =current_step, current_Grad_a,IF(Iterations[[#This Row],[Step]] &gt; current_step, "",Iterations[[#This Row],[Grad_a]]))</f>
        <v>1.5514387426961305E-3</v>
      </c>
      <c r="O1007" s="2">
        <f ca="1">IF(Iterations[[#This Row],[Step]] =current_step, current_Grad_b,IF(Iterations[[#This Row],[Step]] &gt; current_step, "",Iterations[[#This Row],[Grad_b]]))</f>
        <v>2.7057741220493092E-4</v>
      </c>
      <c r="P1007" s="2">
        <f ca="1">IF(Iterations[[#This Row],[Step]] =current_step, current_Grad_c,IF(Iterations[[#This Row],[Step]] &gt; current_step, "",Iterations[[#This Row],[Grad_c]]))</f>
        <v>-4.3519598163035038E-3</v>
      </c>
      <c r="Q1007" s="2">
        <f ca="1">IF(Iterations[[#This Row],[Step]] =current_step, current_Grad_d,IF(Iterations[[#This Row],[Step]] &gt; current_step, "",Iterations[[#This Row],[Grad_d]]))</f>
        <v>-2.4856036585753209E-4</v>
      </c>
      <c r="R1007" s="2">
        <f ca="1">IF(Iterations[[#This Row],[Step]] =current_step, current_Grad_e,IF(Iterations[[#This Row],[Step]] &gt; current_step, "",Iterations[[#This Row],[Grad_e]]))</f>
        <v>1.5520315867134154E-3</v>
      </c>
    </row>
    <row r="1008" spans="6:18" x14ac:dyDescent="0.3">
      <c r="F1008" s="2">
        <f t="shared" si="20"/>
        <v>991</v>
      </c>
      <c r="G1008" s="2">
        <f ca="1">IF(Iterations[[#This Row],[Step]] =current_step, current_a,IF(Iterations[[#This Row],[Step]] &gt; current_step, "",Iterations[[#This Row],[a]]))</f>
        <v>-7.2946135141038404</v>
      </c>
      <c r="H1008" s="2">
        <f ca="1">IF(Iterations[[#This Row],[Step]] =current_step, current_b,IF(Iterations[[#This Row],[Step]] &gt; current_step, "",Iterations[[#This Row],[b]]))</f>
        <v>0.34472558513128126</v>
      </c>
      <c r="I1008" s="2">
        <f ca="1">IF(Iterations[[#This Row],[Step]] =current_step, current_c,IF(Iterations[[#This Row],[Step]] &gt; current_step, "",Iterations[[#This Row],[c]]))</f>
        <v>21.298809976037909</v>
      </c>
      <c r="J1008" s="2">
        <f ca="1">IF(Iterations[[#This Row],[Step]] =current_step, current_d,IF(Iterations[[#This Row],[Step]] &gt; current_step, "",Iterations[[#This Row],[d]]))</f>
        <v>1.2081169073439799</v>
      </c>
      <c r="K1008" s="2">
        <f ca="1">IF(Iterations[[#This Row],[Step]] =current_step, current_e,IF(Iterations[[#This Row],[Step]] &gt; current_step, "",Iterations[[#This Row],[e]]))</f>
        <v>11.285426214322545</v>
      </c>
      <c r="L1008" s="2">
        <f ca="1">IF(Iterations[[#This Row],[Step]] =current_step, current_Total_Loss,IF(Iterations[[#This Row],[Step]] &gt; current_step, "",Iterations[[#This Row],[Total Loss]]))</f>
        <v>90.43</v>
      </c>
      <c r="M1008" s="6" t="s">
        <v>27</v>
      </c>
      <c r="N1008" s="2">
        <f ca="1">IF(Iterations[[#This Row],[Step]] =current_step, current_Grad_a,IF(Iterations[[#This Row],[Step]] &gt; current_step, "",Iterations[[#This Row],[Grad_a]]))</f>
        <v>1.5409399957853804E-3</v>
      </c>
      <c r="O1008" s="2">
        <f ca="1">IF(Iterations[[#This Row],[Step]] =current_step, current_Grad_b,IF(Iterations[[#This Row],[Step]] &gt; current_step, "",Iterations[[#This Row],[Grad_b]]))</f>
        <v>2.6874646268821363E-4</v>
      </c>
      <c r="P1008" s="2">
        <f ca="1">IF(Iterations[[#This Row],[Step]] =current_step, current_Grad_c,IF(Iterations[[#This Row],[Step]] &gt; current_step, "",Iterations[[#This Row],[Grad_c]]))</f>
        <v>-4.3225096377624101E-3</v>
      </c>
      <c r="Q1008" s="2">
        <f ca="1">IF(Iterations[[#This Row],[Step]] =current_step, current_Grad_d,IF(Iterations[[#This Row],[Step]] &gt; current_step, "",Iterations[[#This Row],[Grad_d]]))</f>
        <v>-2.4687849302405958E-4</v>
      </c>
      <c r="R1008" s="2">
        <f ca="1">IF(Iterations[[#This Row],[Step]] =current_step, current_Grad_e,IF(Iterations[[#This Row],[Step]] &gt; current_step, "",Iterations[[#This Row],[Grad_e]]))</f>
        <v>1.5415288203281345E-3</v>
      </c>
    </row>
    <row r="1009" spans="6:18" x14ac:dyDescent="0.3">
      <c r="F1009" s="2">
        <f t="shared" si="20"/>
        <v>992</v>
      </c>
      <c r="G1009" s="2">
        <f ca="1">IF(Iterations[[#This Row],[Step]] =current_step, current_a,IF(Iterations[[#This Row],[Step]] &gt; current_step, "",Iterations[[#This Row],[a]]))</f>
        <v>-7.2947213799035451</v>
      </c>
      <c r="H1009" s="2">
        <f ca="1">IF(Iterations[[#This Row],[Step]] =current_step, current_b,IF(Iterations[[#This Row],[Step]] &gt; current_step, "",Iterations[[#This Row],[b]]))</f>
        <v>0.34470677287889306</v>
      </c>
      <c r="I1009" s="2">
        <f ca="1">IF(Iterations[[#This Row],[Step]] =current_step, current_c,IF(Iterations[[#This Row],[Step]] &gt; current_step, "",Iterations[[#This Row],[c]]))</f>
        <v>21.29911255171255</v>
      </c>
      <c r="J1009" s="2">
        <f ca="1">IF(Iterations[[#This Row],[Step]] =current_step, current_d,IF(Iterations[[#This Row],[Step]] &gt; current_step, "",Iterations[[#This Row],[d]]))</f>
        <v>1.2081341888384916</v>
      </c>
      <c r="K1009" s="2">
        <f ca="1">IF(Iterations[[#This Row],[Step]] =current_step, current_e,IF(Iterations[[#This Row],[Step]] &gt; current_step, "",Iterations[[#This Row],[e]]))</f>
        <v>11.285318307305122</v>
      </c>
      <c r="L1009" s="2">
        <f ca="1">IF(Iterations[[#This Row],[Step]] =current_step, current_Total_Loss,IF(Iterations[[#This Row],[Step]] &gt; current_step, "",Iterations[[#This Row],[Total Loss]]))</f>
        <v>90.43</v>
      </c>
      <c r="M1009" s="6" t="s">
        <v>27</v>
      </c>
      <c r="N1009" s="2">
        <f ca="1">IF(Iterations[[#This Row],[Step]] =current_step, current_Grad_a,IF(Iterations[[#This Row],[Step]] &gt; current_step, "",Iterations[[#This Row],[Grad_a]]))</f>
        <v>1.5305122949918666E-3</v>
      </c>
      <c r="O1009" s="2">
        <f ca="1">IF(Iterations[[#This Row],[Step]] =current_step, current_Grad_b,IF(Iterations[[#This Row],[Step]] &gt; current_step, "",Iterations[[#This Row],[Grad_b]]))</f>
        <v>2.6692790203775019E-4</v>
      </c>
      <c r="P1009" s="2">
        <f ca="1">IF(Iterations[[#This Row],[Step]] =current_step, current_Grad_c,IF(Iterations[[#This Row],[Step]] &gt; current_step, "",Iterations[[#This Row],[Grad_c]]))</f>
        <v>-4.2932587518641112E-3</v>
      </c>
      <c r="Q1009" s="2">
        <f ca="1">IF(Iterations[[#This Row],[Step]] =current_step, current_Grad_d,IF(Iterations[[#This Row],[Step]] &gt; current_step, "",Iterations[[#This Row],[Grad_d]]))</f>
        <v>-2.4520799872962407E-4</v>
      </c>
      <c r="R1009" s="2">
        <f ca="1">IF(Iterations[[#This Row],[Step]] =current_step, current_Grad_e,IF(Iterations[[#This Row],[Step]] &gt; current_step, "",Iterations[[#This Row],[Grad_e]]))</f>
        <v>1.5310971273751288E-3</v>
      </c>
    </row>
    <row r="1010" spans="6:18" x14ac:dyDescent="0.3">
      <c r="F1010" s="2">
        <f t="shared" si="20"/>
        <v>993</v>
      </c>
      <c r="G1010" s="2">
        <f ca="1">IF(Iterations[[#This Row],[Step]] =current_step, current_a,IF(Iterations[[#This Row],[Step]] &gt; current_step, "",Iterations[[#This Row],[a]]))</f>
        <v>-7.2948285157641948</v>
      </c>
      <c r="H1010" s="2">
        <f ca="1">IF(Iterations[[#This Row],[Step]] =current_step, current_b,IF(Iterations[[#This Row],[Step]] &gt; current_step, "",Iterations[[#This Row],[b]]))</f>
        <v>0.3446880879257504</v>
      </c>
      <c r="I1010" s="2">
        <f ca="1">IF(Iterations[[#This Row],[Step]] =current_step, current_c,IF(Iterations[[#This Row],[Step]] &gt; current_step, "",Iterations[[#This Row],[c]]))</f>
        <v>21.299413079825182</v>
      </c>
      <c r="J1010" s="2">
        <f ca="1">IF(Iterations[[#This Row],[Step]] =current_step, current_d,IF(Iterations[[#This Row],[Step]] &gt; current_step, "",Iterations[[#This Row],[d]]))</f>
        <v>1.2081513533984025</v>
      </c>
      <c r="K1010" s="2">
        <f ca="1">IF(Iterations[[#This Row],[Step]] =current_step, current_e,IF(Iterations[[#This Row],[Step]] &gt; current_step, "",Iterations[[#This Row],[e]]))</f>
        <v>11.285211130506205</v>
      </c>
      <c r="L1010" s="2">
        <f ca="1">IF(Iterations[[#This Row],[Step]] =current_step, current_Total_Loss,IF(Iterations[[#This Row],[Step]] &gt; current_step, "",Iterations[[#This Row],[Total Loss]]))</f>
        <v>90.43</v>
      </c>
      <c r="M1010" s="6" t="s">
        <v>27</v>
      </c>
      <c r="N1010" s="2">
        <f ca="1">IF(Iterations[[#This Row],[Step]] =current_step, current_Grad_a,IF(Iterations[[#This Row],[Step]] &gt; current_step, "",Iterations[[#This Row],[Grad_a]]))</f>
        <v>1.5201551595199882E-3</v>
      </c>
      <c r="O1010" s="2">
        <f ca="1">IF(Iterations[[#This Row],[Step]] =current_step, current_Grad_b,IF(Iterations[[#This Row],[Step]] &gt; current_step, "",Iterations[[#This Row],[Grad_b]]))</f>
        <v>2.6512164646034603E-4</v>
      </c>
      <c r="P1010" s="2">
        <f ca="1">IF(Iterations[[#This Row],[Step]] =current_step, current_Grad_c,IF(Iterations[[#This Row],[Step]] &gt; current_step, "",Iterations[[#This Row],[Grad_c]]))</f>
        <v>-4.2642058099708396E-3</v>
      </c>
      <c r="Q1010" s="2">
        <f ca="1">IF(Iterations[[#This Row],[Step]] =current_step, current_Grad_d,IF(Iterations[[#This Row],[Step]] &gt; current_step, "",Iterations[[#This Row],[Grad_d]]))</f>
        <v>-2.4354880601730312E-4</v>
      </c>
      <c r="R1010" s="2">
        <f ca="1">IF(Iterations[[#This Row],[Step]] =current_step, current_Grad_e,IF(Iterations[[#This Row],[Step]] &gt; current_step, "",Iterations[[#This Row],[Grad_e]]))</f>
        <v>1.5207360268979879E-3</v>
      </c>
    </row>
    <row r="1011" spans="6:18" x14ac:dyDescent="0.3">
      <c r="F1011" s="2">
        <f t="shared" si="20"/>
        <v>994</v>
      </c>
      <c r="G1011" s="2">
        <f ca="1">IF(Iterations[[#This Row],[Step]] =current_step, current_a,IF(Iterations[[#This Row],[Step]] &gt; current_step, "",Iterations[[#This Row],[a]]))</f>
        <v>-7.2949349266253609</v>
      </c>
      <c r="H1011" s="2">
        <f ca="1">IF(Iterations[[#This Row],[Step]] =current_step, current_b,IF(Iterations[[#This Row],[Step]] &gt; current_step, "",Iterations[[#This Row],[b]]))</f>
        <v>0.34466952941049817</v>
      </c>
      <c r="I1011" s="2">
        <f ca="1">IF(Iterations[[#This Row],[Step]] =current_step, current_c,IF(Iterations[[#This Row],[Step]] &gt; current_step, "",Iterations[[#This Row],[c]]))</f>
        <v>21.299711574231882</v>
      </c>
      <c r="J1011" s="2">
        <f ca="1">IF(Iterations[[#This Row],[Step]] =current_step, current_d,IF(Iterations[[#This Row],[Step]] &gt; current_step, "",Iterations[[#This Row],[d]]))</f>
        <v>1.2081684018148238</v>
      </c>
      <c r="K1011" s="2">
        <f ca="1">IF(Iterations[[#This Row],[Step]] =current_step, current_e,IF(Iterations[[#This Row],[Step]] &gt; current_step, "",Iterations[[#This Row],[e]]))</f>
        <v>11.285104678984322</v>
      </c>
      <c r="L1011" s="2">
        <f ca="1">IF(Iterations[[#This Row],[Step]] =current_step, current_Total_Loss,IF(Iterations[[#This Row],[Step]] &gt; current_step, "",Iterations[[#This Row],[Total Loss]]))</f>
        <v>90.43</v>
      </c>
      <c r="M1011" s="6" t="s">
        <v>27</v>
      </c>
      <c r="N1011" s="2">
        <f ca="1">IF(Iterations[[#This Row],[Step]] =current_step, current_Grad_a,IF(Iterations[[#This Row],[Step]] &gt; current_step, "",Iterations[[#This Row],[Grad_a]]))</f>
        <v>1.5098681118678552E-3</v>
      </c>
      <c r="O1011" s="2">
        <f ca="1">IF(Iterations[[#This Row],[Step]] =current_step, current_Grad_b,IF(Iterations[[#This Row],[Step]] &gt; current_step, "",Iterations[[#This Row],[Grad_b]]))</f>
        <v>2.6332761268004704E-4</v>
      </c>
      <c r="P1011" s="2">
        <f ca="1">IF(Iterations[[#This Row],[Step]] =current_step, current_Grad_c,IF(Iterations[[#This Row],[Step]] &gt; current_step, "",Iterations[[#This Row],[Grad_c]]))</f>
        <v>-4.2353494725678488E-3</v>
      </c>
      <c r="Q1011" s="2">
        <f ca="1">IF(Iterations[[#This Row],[Step]] =current_step, current_Grad_d,IF(Iterations[[#This Row],[Step]] &gt; current_step, "",Iterations[[#This Row],[Grad_d]]))</f>
        <v>-2.4190083847214835E-4</v>
      </c>
      <c r="R1011" s="2">
        <f ca="1">IF(Iterations[[#This Row],[Step]] =current_step, current_Grad_e,IF(Iterations[[#This Row],[Step]] &gt; current_step, "",Iterations[[#This Row],[Grad_e]]))</f>
        <v>1.5104450411846198E-3</v>
      </c>
    </row>
    <row r="1012" spans="6:18" x14ac:dyDescent="0.3">
      <c r="F1012" s="2">
        <f t="shared" si="20"/>
        <v>995</v>
      </c>
      <c r="G1012" s="2">
        <f ca="1">IF(Iterations[[#This Row],[Step]] =current_step, current_a,IF(Iterations[[#This Row],[Step]] &gt; current_step, "",Iterations[[#This Row],[a]]))</f>
        <v>-7.2950406173931919</v>
      </c>
      <c r="H1012" s="2">
        <f ca="1">IF(Iterations[[#This Row],[Step]] =current_step, current_b,IF(Iterations[[#This Row],[Step]] &gt; current_step, "",Iterations[[#This Row],[b]]))</f>
        <v>0.34465109647761055</v>
      </c>
      <c r="I1012" s="2">
        <f ca="1">IF(Iterations[[#This Row],[Step]] =current_step, current_c,IF(Iterations[[#This Row],[Step]] &gt; current_step, "",Iterations[[#This Row],[c]]))</f>
        <v>21.300008048694963</v>
      </c>
      <c r="J1012" s="2">
        <f ca="1">IF(Iterations[[#This Row],[Step]] =current_step, current_d,IF(Iterations[[#This Row],[Step]] &gt; current_step, "",Iterations[[#This Row],[d]]))</f>
        <v>1.2081853348735168</v>
      </c>
      <c r="K1012" s="2">
        <f ca="1">IF(Iterations[[#This Row],[Step]] =current_step, current_e,IF(Iterations[[#This Row],[Step]] &gt; current_step, "",Iterations[[#This Row],[e]]))</f>
        <v>11.284998947831438</v>
      </c>
      <c r="L1012" s="2">
        <f ca="1">IF(Iterations[[#This Row],[Step]] =current_step, current_Total_Loss,IF(Iterations[[#This Row],[Step]] &gt; current_step, "",Iterations[[#This Row],[Total Loss]]))</f>
        <v>90.43</v>
      </c>
      <c r="M1012" s="6" t="s">
        <v>27</v>
      </c>
      <c r="N1012" s="2">
        <f ca="1">IF(Iterations[[#This Row],[Step]] =current_step, current_Grad_a,IF(Iterations[[#This Row],[Step]] &gt; current_step, "",Iterations[[#This Row],[Grad_a]]))</f>
        <v>1.4996506776622847E-3</v>
      </c>
      <c r="O1012" s="2">
        <f ca="1">IF(Iterations[[#This Row],[Step]] =current_step, current_Grad_b,IF(Iterations[[#This Row],[Step]] &gt; current_step, "",Iterations[[#This Row],[Grad_b]]))</f>
        <v>2.6154571803756649E-4</v>
      </c>
      <c r="P1012" s="2">
        <f ca="1">IF(Iterations[[#This Row],[Step]] =current_step, current_Grad_c,IF(Iterations[[#This Row],[Step]] &gt; current_step, "",Iterations[[#This Row],[Grad_c]]))</f>
        <v>-4.2066884092424811E-3</v>
      </c>
      <c r="Q1012" s="2">
        <f ca="1">IF(Iterations[[#This Row],[Step]] =current_step, current_Grad_d,IF(Iterations[[#This Row],[Step]] &gt; current_step, "",Iterations[[#This Row],[Grad_d]]))</f>
        <v>-2.4026402017298911E-4</v>
      </c>
      <c r="R1012" s="2">
        <f ca="1">IF(Iterations[[#This Row],[Step]] =current_step, current_Grad_e,IF(Iterations[[#This Row],[Step]] &gt; current_step, "",Iterations[[#This Row],[Grad_e]]))</f>
        <v>1.5002236957432696E-3</v>
      </c>
    </row>
    <row r="1013" spans="6:18" x14ac:dyDescent="0.3">
      <c r="F1013" s="2">
        <f t="shared" si="20"/>
        <v>996</v>
      </c>
      <c r="G1013" s="2">
        <f ca="1">IF(Iterations[[#This Row],[Step]] =current_step, current_a,IF(Iterations[[#This Row],[Step]] &gt; current_step, "",Iterations[[#This Row],[a]]))</f>
        <v>-7.2951455929406279</v>
      </c>
      <c r="H1013" s="2">
        <f ca="1">IF(Iterations[[#This Row],[Step]] =current_step, current_b,IF(Iterations[[#This Row],[Step]] &gt; current_step, "",Iterations[[#This Row],[b]]))</f>
        <v>0.34463278827734795</v>
      </c>
      <c r="I1013" s="2">
        <f ca="1">IF(Iterations[[#This Row],[Step]] =current_step, current_c,IF(Iterations[[#This Row],[Step]] &gt; current_step, "",Iterations[[#This Row],[c]]))</f>
        <v>21.300302516883608</v>
      </c>
      <c r="J1013" s="2">
        <f ca="1">IF(Iterations[[#This Row],[Step]] =current_step, current_d,IF(Iterations[[#This Row],[Step]] &gt; current_step, "",Iterations[[#This Row],[d]]))</f>
        <v>1.208202153354929</v>
      </c>
      <c r="K1013" s="2">
        <f ca="1">IF(Iterations[[#This Row],[Step]] =current_step, current_e,IF(Iterations[[#This Row],[Step]] &gt; current_step, "",Iterations[[#This Row],[e]]))</f>
        <v>11.284893932172736</v>
      </c>
      <c r="L1013" s="2">
        <f ca="1">IF(Iterations[[#This Row],[Step]] =current_step, current_Total_Loss,IF(Iterations[[#This Row],[Step]] &gt; current_step, "",Iterations[[#This Row],[Total Loss]]))</f>
        <v>90.43</v>
      </c>
      <c r="M1013" s="6" t="s">
        <v>27</v>
      </c>
      <c r="N1013" s="2">
        <f ca="1">IF(Iterations[[#This Row],[Step]] =current_step, current_Grad_a,IF(Iterations[[#This Row],[Step]] &gt; current_step, "",Iterations[[#This Row],[Grad_a]]))</f>
        <v>1.4895023859592034E-3</v>
      </c>
      <c r="O1013" s="2">
        <f ca="1">IF(Iterations[[#This Row],[Step]] =current_step, current_Grad_b,IF(Iterations[[#This Row],[Step]] &gt; current_step, "",Iterations[[#This Row],[Grad_b]]))</f>
        <v>2.5977588039737139E-4</v>
      </c>
      <c r="P1013" s="2">
        <f ca="1">IF(Iterations[[#This Row],[Step]] =current_step, current_Grad_c,IF(Iterations[[#This Row],[Step]] &gt; current_step, "",Iterations[[#This Row],[Grad_c]]))</f>
        <v>-4.178221298491781E-3</v>
      </c>
      <c r="Q1013" s="2">
        <f ca="1">IF(Iterations[[#This Row],[Step]] =current_step, current_Grad_d,IF(Iterations[[#This Row],[Step]] &gt; current_step, "",Iterations[[#This Row],[Grad_d]]))</f>
        <v>-2.3863827572081744E-4</v>
      </c>
      <c r="R1013" s="2">
        <f ca="1">IF(Iterations[[#This Row],[Step]] =current_step, current_Grad_e,IF(Iterations[[#This Row],[Step]] &gt; current_step, "",Iterations[[#This Row],[Grad_e]]))</f>
        <v>1.4900715193392324E-3</v>
      </c>
    </row>
    <row r="1014" spans="6:18" x14ac:dyDescent="0.3">
      <c r="F1014" s="2">
        <f t="shared" si="20"/>
        <v>997</v>
      </c>
      <c r="G1014" s="2">
        <f ca="1">IF(Iterations[[#This Row],[Step]] =current_step, current_a,IF(Iterations[[#This Row],[Step]] &gt; current_step, "",Iterations[[#This Row],[a]]))</f>
        <v>-7.2952498581076455</v>
      </c>
      <c r="H1014" s="2">
        <f ca="1">IF(Iterations[[#This Row],[Step]] =current_step, current_b,IF(Iterations[[#This Row],[Step]] &gt; current_step, "",Iterations[[#This Row],[b]]))</f>
        <v>0.34461460396572013</v>
      </c>
      <c r="I1014" s="2">
        <f ca="1">IF(Iterations[[#This Row],[Step]] =current_step, current_c,IF(Iterations[[#This Row],[Step]] &gt; current_step, "",Iterations[[#This Row],[c]]))</f>
        <v>21.300594992374503</v>
      </c>
      <c r="J1014" s="2">
        <f ca="1">IF(Iterations[[#This Row],[Step]] =current_step, current_d,IF(Iterations[[#This Row],[Step]] &gt; current_step, "",Iterations[[#This Row],[d]]))</f>
        <v>1.2082188580342295</v>
      </c>
      <c r="K1014" s="2">
        <f ca="1">IF(Iterations[[#This Row],[Step]] =current_step, current_e,IF(Iterations[[#This Row],[Step]] &gt; current_step, "",Iterations[[#This Row],[e]]))</f>
        <v>11.284789627166383</v>
      </c>
      <c r="L1014" s="2">
        <f ca="1">IF(Iterations[[#This Row],[Step]] =current_step, current_Total_Loss,IF(Iterations[[#This Row],[Step]] &gt; current_step, "",Iterations[[#This Row],[Total Loss]]))</f>
        <v>90.43</v>
      </c>
      <c r="M1014" s="6" t="s">
        <v>27</v>
      </c>
      <c r="N1014" s="2">
        <f ca="1">IF(Iterations[[#This Row],[Step]] =current_step, current_Grad_a,IF(Iterations[[#This Row],[Step]] &gt; current_step, "",Iterations[[#This Row],[Grad_a]]))</f>
        <v>1.4794227687275649E-3</v>
      </c>
      <c r="O1014" s="2">
        <f ca="1">IF(Iterations[[#This Row],[Step]] =current_step, current_Grad_b,IF(Iterations[[#This Row],[Step]] &gt; current_step, "",Iterations[[#This Row],[Grad_b]]))</f>
        <v>2.5801801818779876E-4</v>
      </c>
      <c r="P1014" s="2">
        <f ca="1">IF(Iterations[[#This Row],[Step]] =current_step, current_Grad_c,IF(Iterations[[#This Row],[Step]] &gt; current_step, "",Iterations[[#This Row],[Grad_c]]))</f>
        <v>-4.1499468278735074E-3</v>
      </c>
      <c r="Q1014" s="2">
        <f ca="1">IF(Iterations[[#This Row],[Step]] =current_step, current_Grad_d,IF(Iterations[[#This Row],[Step]] &gt; current_step, "",Iterations[[#This Row],[Grad_d]]))</f>
        <v>-2.3702353023142338E-4</v>
      </c>
      <c r="R1014" s="2">
        <f ca="1">IF(Iterations[[#This Row],[Step]] =current_step, current_Grad_e,IF(Iterations[[#This Row],[Step]] &gt; current_step, "",Iterations[[#This Row],[Grad_e]]))</f>
        <v>1.4799880438684336E-3</v>
      </c>
    </row>
    <row r="1015" spans="6:18" x14ac:dyDescent="0.3">
      <c r="F1015" s="2">
        <f t="shared" si="20"/>
        <v>998</v>
      </c>
      <c r="G1015" s="2">
        <f ca="1">IF(Iterations[[#This Row],[Step]] =current_step, current_a,IF(Iterations[[#This Row],[Step]] &gt; current_step, "",Iterations[[#This Row],[a]]))</f>
        <v>-7.2953534177014561</v>
      </c>
      <c r="H1015" s="2">
        <f ca="1">IF(Iterations[[#This Row],[Step]] =current_step, current_b,IF(Iterations[[#This Row],[Step]] &gt; current_step, "",Iterations[[#This Row],[b]]))</f>
        <v>0.34459654270444701</v>
      </c>
      <c r="I1015" s="2">
        <f ca="1">IF(Iterations[[#This Row],[Step]] =current_step, current_c,IF(Iterations[[#This Row],[Step]] &gt; current_step, "",Iterations[[#This Row],[c]]))</f>
        <v>21.300885488652455</v>
      </c>
      <c r="J1015" s="2">
        <f ca="1">IF(Iterations[[#This Row],[Step]] =current_step, current_d,IF(Iterations[[#This Row],[Step]] &gt; current_step, "",Iterations[[#This Row],[d]]))</f>
        <v>1.2082354496813457</v>
      </c>
      <c r="K1015" s="2">
        <f ca="1">IF(Iterations[[#This Row],[Step]] =current_step, current_e,IF(Iterations[[#This Row],[Step]] &gt; current_step, "",Iterations[[#This Row],[e]]))</f>
        <v>11.284686028003312</v>
      </c>
      <c r="L1015" s="2">
        <f ca="1">IF(Iterations[[#This Row],[Step]] =current_step, current_Total_Loss,IF(Iterations[[#This Row],[Step]] &gt; current_step, "",Iterations[[#This Row],[Total Loss]]))</f>
        <v>90.43</v>
      </c>
      <c r="M1015" s="6" t="s">
        <v>27</v>
      </c>
      <c r="N1015" s="2">
        <f ca="1">IF(Iterations[[#This Row],[Step]] =current_step, current_Grad_a,IF(Iterations[[#This Row],[Step]] &gt; current_step, "",Iterations[[#This Row],[Grad_a]]))</f>
        <v>1.469411361337109E-3</v>
      </c>
      <c r="O1015" s="2">
        <f ca="1">IF(Iterations[[#This Row],[Step]] =current_step, current_Grad_b,IF(Iterations[[#This Row],[Step]] &gt; current_step, "",Iterations[[#This Row],[Grad_b]]))</f>
        <v>2.5627205040019204E-4</v>
      </c>
      <c r="P1015" s="2">
        <f ca="1">IF(Iterations[[#This Row],[Step]] =current_step, current_Grad_c,IF(Iterations[[#This Row],[Step]] &gt; current_step, "",Iterations[[#This Row],[Grad_c]]))</f>
        <v>-4.1218636937255431E-3</v>
      </c>
      <c r="Q1015" s="2">
        <f ca="1">IF(Iterations[[#This Row],[Step]] =current_step, current_Grad_d,IF(Iterations[[#This Row],[Step]] &gt; current_step, "",Iterations[[#This Row],[Grad_d]]))</f>
        <v>-2.3541970931330159E-4</v>
      </c>
      <c r="R1015" s="2">
        <f ca="1">IF(Iterations[[#This Row],[Step]] =current_step, current_Grad_e,IF(Iterations[[#This Row],[Step]] &gt; current_step, "",Iterations[[#This Row],[Grad_e]]))</f>
        <v>1.4699728044429922E-3</v>
      </c>
    </row>
    <row r="1016" spans="6:18" x14ac:dyDescent="0.3">
      <c r="F1016" s="2">
        <f t="shared" ref="F1016:F1079" si="21">F1015+1</f>
        <v>999</v>
      </c>
      <c r="G1016" s="2">
        <f ca="1">IF(Iterations[[#This Row],[Step]] =current_step, current_a,IF(Iterations[[#This Row],[Step]] &gt; current_step, "",Iterations[[#This Row],[a]]))</f>
        <v>-7.2954562764967497</v>
      </c>
      <c r="H1016" s="2">
        <f ca="1">IF(Iterations[[#This Row],[Step]] =current_step, current_b,IF(Iterations[[#This Row],[Step]] &gt; current_step, "",Iterations[[#This Row],[b]]))</f>
        <v>0.34457860366091897</v>
      </c>
      <c r="I1016" s="2">
        <f ca="1">IF(Iterations[[#This Row],[Step]] =current_step, current_c,IF(Iterations[[#This Row],[Step]] &gt; current_step, "",Iterations[[#This Row],[c]]))</f>
        <v>21.301174019111016</v>
      </c>
      <c r="J1016" s="2">
        <f ca="1">IF(Iterations[[#This Row],[Step]] =current_step, current_d,IF(Iterations[[#This Row],[Step]] &gt; current_step, "",Iterations[[#This Row],[d]]))</f>
        <v>1.2082519290609977</v>
      </c>
      <c r="K1016" s="2">
        <f ca="1">IF(Iterations[[#This Row],[Step]] =current_step, current_e,IF(Iterations[[#This Row],[Step]] &gt; current_step, "",Iterations[[#This Row],[e]]))</f>
        <v>11.284583129907002</v>
      </c>
      <c r="L1016" s="2">
        <f ca="1">IF(Iterations[[#This Row],[Step]] =current_step, current_Total_Loss,IF(Iterations[[#This Row],[Step]] &gt; current_step, "",Iterations[[#This Row],[Total Loss]]))</f>
        <v>90.43</v>
      </c>
      <c r="M1016" s="6" t="s">
        <v>27</v>
      </c>
      <c r="N1016" s="2">
        <f ca="1">IF(Iterations[[#This Row],[Step]] =current_step, current_Grad_a,IF(Iterations[[#This Row],[Step]] &gt; current_step, "",Iterations[[#This Row],[Grad_a]]))</f>
        <v>1.4594677021702277E-3</v>
      </c>
      <c r="O1016" s="2">
        <f ca="1">IF(Iterations[[#This Row],[Step]] =current_step, current_Grad_b,IF(Iterations[[#This Row],[Step]] &gt; current_step, "",Iterations[[#This Row],[Grad_b]]))</f>
        <v>2.5453789656252707E-4</v>
      </c>
      <c r="P1016" s="2">
        <f ca="1">IF(Iterations[[#This Row],[Step]] =current_step, current_Grad_c,IF(Iterations[[#This Row],[Step]] &gt; current_step, "",Iterations[[#This Row],[Grad_c]]))</f>
        <v>-4.0939706012679145E-3</v>
      </c>
      <c r="Q1016" s="2">
        <f ca="1">IF(Iterations[[#This Row],[Step]] =current_step, current_Grad_d,IF(Iterations[[#This Row],[Step]] &gt; current_step, "",Iterations[[#This Row],[Grad_d]]))</f>
        <v>-2.3382673908766015E-4</v>
      </c>
      <c r="R1016" s="2">
        <f ca="1">IF(Iterations[[#This Row],[Step]] =current_step, current_Grad_e,IF(Iterations[[#This Row],[Step]] &gt; current_step, "",Iterations[[#This Row],[Grad_e]]))</f>
        <v>1.4600253392907565E-3</v>
      </c>
    </row>
    <row r="1017" spans="6:18" x14ac:dyDescent="0.3">
      <c r="F1017" s="2">
        <f t="shared" si="21"/>
        <v>1000</v>
      </c>
      <c r="G1017" s="2">
        <f ca="1">IF(Iterations[[#This Row],[Step]] =current_step, current_a,IF(Iterations[[#This Row],[Step]] &gt; current_step, "",Iterations[[#This Row],[a]]))</f>
        <v>-7.2955584392359016</v>
      </c>
      <c r="H1017" s="2">
        <f ca="1">IF(Iterations[[#This Row],[Step]] =current_step, current_b,IF(Iterations[[#This Row],[Step]] &gt; current_step, "",Iterations[[#This Row],[b]]))</f>
        <v>0.34456078600815959</v>
      </c>
      <c r="I1017" s="2">
        <f ca="1">IF(Iterations[[#This Row],[Step]] =current_step, current_c,IF(Iterations[[#This Row],[Step]] &gt; current_step, "",Iterations[[#This Row],[c]]))</f>
        <v>21.301460597053104</v>
      </c>
      <c r="J1017" s="2">
        <f ca="1">IF(Iterations[[#This Row],[Step]] =current_step, current_d,IF(Iterations[[#This Row],[Step]] &gt; current_step, "",Iterations[[#This Row],[d]]))</f>
        <v>1.2082682969327339</v>
      </c>
      <c r="K1017" s="2">
        <f ca="1">IF(Iterations[[#This Row],[Step]] =current_step, current_e,IF(Iterations[[#This Row],[Step]] &gt; current_step, "",Iterations[[#This Row],[e]]))</f>
        <v>11.284480928133252</v>
      </c>
      <c r="L1017" s="2">
        <f ca="1">IF(Iterations[[#This Row],[Step]] =current_step, current_Total_Loss,IF(Iterations[[#This Row],[Step]] &gt; current_step, "",Iterations[[#This Row],[Total Loss]]))</f>
        <v>90.43</v>
      </c>
      <c r="M1017" s="6" t="s">
        <v>27</v>
      </c>
      <c r="N1017" s="2">
        <f ca="1">IF(Iterations[[#This Row],[Step]] =current_step, current_Grad_a,IF(Iterations[[#This Row],[Step]] &gt; current_step, "",Iterations[[#This Row],[Grad_a]]))</f>
        <v>1.4495913327056008E-3</v>
      </c>
      <c r="O1017" s="2">
        <f ca="1">IF(Iterations[[#This Row],[Step]] =current_step, current_Grad_b,IF(Iterations[[#This Row],[Step]] &gt; current_step, "",Iterations[[#This Row],[Grad_b]]))</f>
        <v>2.5281547676746382E-4</v>
      </c>
      <c r="P1017" s="2">
        <f ca="1">IF(Iterations[[#This Row],[Step]] =current_step, current_Grad_c,IF(Iterations[[#This Row],[Step]] &gt; current_step, "",Iterations[[#This Row],[Grad_c]]))</f>
        <v>-4.0662662644901986E-3</v>
      </c>
      <c r="Q1017" s="2">
        <f ca="1">IF(Iterations[[#This Row],[Step]] =current_step, current_Grad_d,IF(Iterations[[#This Row],[Step]] &gt; current_step, "",Iterations[[#This Row],[Grad_d]]))</f>
        <v>-2.3224454616529075E-4</v>
      </c>
      <c r="R1017" s="2">
        <f ca="1">IF(Iterations[[#This Row],[Step]] =current_step, current_Grad_e,IF(Iterations[[#This Row],[Step]] &gt; current_step, "",Iterations[[#This Row],[Grad_e]]))</f>
        <v>1.450145189763003E-3</v>
      </c>
    </row>
    <row r="1018" spans="6:18" x14ac:dyDescent="0.3">
      <c r="F1018" s="2">
        <f t="shared" si="21"/>
        <v>1001</v>
      </c>
      <c r="G1018" s="2" t="str">
        <f>IF(Iterations[[#This Row],[Step]] =current_step, current_a,IF(Iterations[[#This Row],[Step]] &gt; current_step, "",Iterations[[#This Row],[a]]))</f>
        <v/>
      </c>
      <c r="H1018" s="2" t="str">
        <f>IF(Iterations[[#This Row],[Step]] =current_step, current_b,IF(Iterations[[#This Row],[Step]] &gt; current_step, "",Iterations[[#This Row],[b]]))</f>
        <v/>
      </c>
      <c r="I1018" s="2" t="str">
        <f>IF(Iterations[[#This Row],[Step]] =current_step, current_c,IF(Iterations[[#This Row],[Step]] &gt; current_step, "",Iterations[[#This Row],[c]]))</f>
        <v/>
      </c>
      <c r="J1018" s="2" t="str">
        <f>IF(Iterations[[#This Row],[Step]] =current_step, current_d,IF(Iterations[[#This Row],[Step]] &gt; current_step, "",Iterations[[#This Row],[d]]))</f>
        <v/>
      </c>
      <c r="K1018" s="2" t="str">
        <f>IF(Iterations[[#This Row],[Step]] =current_step, current_e,IF(Iterations[[#This Row],[Step]] &gt; current_step, "",Iterations[[#This Row],[e]]))</f>
        <v/>
      </c>
      <c r="L1018" s="2" t="str">
        <f>IF(Iterations[[#This Row],[Step]] =current_step, current_Total_Loss,IF(Iterations[[#This Row],[Step]] &gt; current_step, "",Iterations[[#This Row],[Total Loss]]))</f>
        <v/>
      </c>
      <c r="M1018" s="6" t="s">
        <v>27</v>
      </c>
      <c r="N1018" s="2" t="str">
        <f>IF(Iterations[[#This Row],[Step]] =current_step, current_Grad_a,IF(Iterations[[#This Row],[Step]] &gt; current_step, "",Iterations[[#This Row],[Grad_a]]))</f>
        <v/>
      </c>
      <c r="O1018" s="2" t="str">
        <f>IF(Iterations[[#This Row],[Step]] =current_step, current_Grad_b,IF(Iterations[[#This Row],[Step]] &gt; current_step, "",Iterations[[#This Row],[Grad_b]]))</f>
        <v/>
      </c>
      <c r="P1018" s="2" t="str">
        <f>IF(Iterations[[#This Row],[Step]] =current_step, current_Grad_c,IF(Iterations[[#This Row],[Step]] &gt; current_step, "",Iterations[[#This Row],[Grad_c]]))</f>
        <v/>
      </c>
      <c r="Q1018" s="2" t="str">
        <f>IF(Iterations[[#This Row],[Step]] =current_step, current_Grad_d,IF(Iterations[[#This Row],[Step]] &gt; current_step, "",Iterations[[#This Row],[Grad_d]]))</f>
        <v/>
      </c>
      <c r="R1018" s="2" t="str">
        <f>IF(Iterations[[#This Row],[Step]] =current_step, current_Grad_e,IF(Iterations[[#This Row],[Step]] &gt; current_step, "",Iterations[[#This Row],[Grad_e]]))</f>
        <v/>
      </c>
    </row>
    <row r="1019" spans="6:18" x14ac:dyDescent="0.3">
      <c r="F1019" s="2">
        <f t="shared" si="21"/>
        <v>1002</v>
      </c>
      <c r="G1019" s="2" t="str">
        <f>IF(Iterations[[#This Row],[Step]] =current_step, current_a,IF(Iterations[[#This Row],[Step]] &gt; current_step, "",Iterations[[#This Row],[a]]))</f>
        <v/>
      </c>
      <c r="H1019" s="2" t="str">
        <f>IF(Iterations[[#This Row],[Step]] =current_step, current_b,IF(Iterations[[#This Row],[Step]] &gt; current_step, "",Iterations[[#This Row],[b]]))</f>
        <v/>
      </c>
      <c r="I1019" s="2" t="str">
        <f>IF(Iterations[[#This Row],[Step]] =current_step, current_c,IF(Iterations[[#This Row],[Step]] &gt; current_step, "",Iterations[[#This Row],[c]]))</f>
        <v/>
      </c>
      <c r="J1019" s="2" t="str">
        <f>IF(Iterations[[#This Row],[Step]] =current_step, current_d,IF(Iterations[[#This Row],[Step]] &gt; current_step, "",Iterations[[#This Row],[d]]))</f>
        <v/>
      </c>
      <c r="K1019" s="2" t="str">
        <f>IF(Iterations[[#This Row],[Step]] =current_step, current_e,IF(Iterations[[#This Row],[Step]] &gt; current_step, "",Iterations[[#This Row],[e]]))</f>
        <v/>
      </c>
      <c r="L1019" s="2" t="str">
        <f>IF(Iterations[[#This Row],[Step]] =current_step, current_Total_Loss,IF(Iterations[[#This Row],[Step]] &gt; current_step, "",Iterations[[#This Row],[Total Loss]]))</f>
        <v/>
      </c>
      <c r="M1019" s="6" t="s">
        <v>27</v>
      </c>
      <c r="N1019" s="2" t="str">
        <f>IF(Iterations[[#This Row],[Step]] =current_step, current_Grad_a,IF(Iterations[[#This Row],[Step]] &gt; current_step, "",Iterations[[#This Row],[Grad_a]]))</f>
        <v/>
      </c>
      <c r="O1019" s="2" t="str">
        <f>IF(Iterations[[#This Row],[Step]] =current_step, current_Grad_b,IF(Iterations[[#This Row],[Step]] &gt; current_step, "",Iterations[[#This Row],[Grad_b]]))</f>
        <v/>
      </c>
      <c r="P1019" s="2" t="str">
        <f>IF(Iterations[[#This Row],[Step]] =current_step, current_Grad_c,IF(Iterations[[#This Row],[Step]] &gt; current_step, "",Iterations[[#This Row],[Grad_c]]))</f>
        <v/>
      </c>
      <c r="Q1019" s="2" t="str">
        <f>IF(Iterations[[#This Row],[Step]] =current_step, current_Grad_d,IF(Iterations[[#This Row],[Step]] &gt; current_step, "",Iterations[[#This Row],[Grad_d]]))</f>
        <v/>
      </c>
      <c r="R1019" s="2" t="str">
        <f>IF(Iterations[[#This Row],[Step]] =current_step, current_Grad_e,IF(Iterations[[#This Row],[Step]] &gt; current_step, "",Iterations[[#This Row],[Grad_e]]))</f>
        <v/>
      </c>
    </row>
    <row r="1020" spans="6:18" x14ac:dyDescent="0.3">
      <c r="F1020" s="2">
        <f t="shared" si="21"/>
        <v>1003</v>
      </c>
      <c r="G1020" s="2" t="str">
        <f>IF(Iterations[[#This Row],[Step]] =current_step, current_a,IF(Iterations[[#This Row],[Step]] &gt; current_step, "",Iterations[[#This Row],[a]]))</f>
        <v/>
      </c>
      <c r="H1020" s="2" t="str">
        <f>IF(Iterations[[#This Row],[Step]] =current_step, current_b,IF(Iterations[[#This Row],[Step]] &gt; current_step, "",Iterations[[#This Row],[b]]))</f>
        <v/>
      </c>
      <c r="I1020" s="2" t="str">
        <f>IF(Iterations[[#This Row],[Step]] =current_step, current_c,IF(Iterations[[#This Row],[Step]] &gt; current_step, "",Iterations[[#This Row],[c]]))</f>
        <v/>
      </c>
      <c r="J1020" s="2" t="str">
        <f>IF(Iterations[[#This Row],[Step]] =current_step, current_d,IF(Iterations[[#This Row],[Step]] &gt; current_step, "",Iterations[[#This Row],[d]]))</f>
        <v/>
      </c>
      <c r="K1020" s="2" t="str">
        <f>IF(Iterations[[#This Row],[Step]] =current_step, current_e,IF(Iterations[[#This Row],[Step]] &gt; current_step, "",Iterations[[#This Row],[e]]))</f>
        <v/>
      </c>
      <c r="L1020" s="2" t="str">
        <f>IF(Iterations[[#This Row],[Step]] =current_step, current_Total_Loss,IF(Iterations[[#This Row],[Step]] &gt; current_step, "",Iterations[[#This Row],[Total Loss]]))</f>
        <v/>
      </c>
      <c r="M1020" s="6" t="s">
        <v>27</v>
      </c>
      <c r="N1020" s="2" t="str">
        <f>IF(Iterations[[#This Row],[Step]] =current_step, current_Grad_a,IF(Iterations[[#This Row],[Step]] &gt; current_step, "",Iterations[[#This Row],[Grad_a]]))</f>
        <v/>
      </c>
      <c r="O1020" s="2" t="str">
        <f>IF(Iterations[[#This Row],[Step]] =current_step, current_Grad_b,IF(Iterations[[#This Row],[Step]] &gt; current_step, "",Iterations[[#This Row],[Grad_b]]))</f>
        <v/>
      </c>
      <c r="P1020" s="2" t="str">
        <f>IF(Iterations[[#This Row],[Step]] =current_step, current_Grad_c,IF(Iterations[[#This Row],[Step]] &gt; current_step, "",Iterations[[#This Row],[Grad_c]]))</f>
        <v/>
      </c>
      <c r="Q1020" s="2" t="str">
        <f>IF(Iterations[[#This Row],[Step]] =current_step, current_Grad_d,IF(Iterations[[#This Row],[Step]] &gt; current_step, "",Iterations[[#This Row],[Grad_d]]))</f>
        <v/>
      </c>
      <c r="R1020" s="2" t="str">
        <f>IF(Iterations[[#This Row],[Step]] =current_step, current_Grad_e,IF(Iterations[[#This Row],[Step]] &gt; current_step, "",Iterations[[#This Row],[Grad_e]]))</f>
        <v/>
      </c>
    </row>
    <row r="1021" spans="6:18" x14ac:dyDescent="0.3">
      <c r="F1021" s="2">
        <f t="shared" si="21"/>
        <v>1004</v>
      </c>
      <c r="G1021" s="2" t="str">
        <f>IF(Iterations[[#This Row],[Step]] =current_step, current_a,IF(Iterations[[#This Row],[Step]] &gt; current_step, "",Iterations[[#This Row],[a]]))</f>
        <v/>
      </c>
      <c r="H1021" s="2" t="str">
        <f>IF(Iterations[[#This Row],[Step]] =current_step, current_b,IF(Iterations[[#This Row],[Step]] &gt; current_step, "",Iterations[[#This Row],[b]]))</f>
        <v/>
      </c>
      <c r="I1021" s="2" t="str">
        <f>IF(Iterations[[#This Row],[Step]] =current_step, current_c,IF(Iterations[[#This Row],[Step]] &gt; current_step, "",Iterations[[#This Row],[c]]))</f>
        <v/>
      </c>
      <c r="J1021" s="2" t="str">
        <f>IF(Iterations[[#This Row],[Step]] =current_step, current_d,IF(Iterations[[#This Row],[Step]] &gt; current_step, "",Iterations[[#This Row],[d]]))</f>
        <v/>
      </c>
      <c r="K1021" s="2" t="str">
        <f>IF(Iterations[[#This Row],[Step]] =current_step, current_e,IF(Iterations[[#This Row],[Step]] &gt; current_step, "",Iterations[[#This Row],[e]]))</f>
        <v/>
      </c>
      <c r="L1021" s="2" t="str">
        <f>IF(Iterations[[#This Row],[Step]] =current_step, current_Total_Loss,IF(Iterations[[#This Row],[Step]] &gt; current_step, "",Iterations[[#This Row],[Total Loss]]))</f>
        <v/>
      </c>
      <c r="M1021" s="6" t="s">
        <v>27</v>
      </c>
      <c r="N1021" s="2" t="str">
        <f>IF(Iterations[[#This Row],[Step]] =current_step, current_Grad_a,IF(Iterations[[#This Row],[Step]] &gt; current_step, "",Iterations[[#This Row],[Grad_a]]))</f>
        <v/>
      </c>
      <c r="O1021" s="2" t="str">
        <f>IF(Iterations[[#This Row],[Step]] =current_step, current_Grad_b,IF(Iterations[[#This Row],[Step]] &gt; current_step, "",Iterations[[#This Row],[Grad_b]]))</f>
        <v/>
      </c>
      <c r="P1021" s="2" t="str">
        <f>IF(Iterations[[#This Row],[Step]] =current_step, current_Grad_c,IF(Iterations[[#This Row],[Step]] &gt; current_step, "",Iterations[[#This Row],[Grad_c]]))</f>
        <v/>
      </c>
      <c r="Q1021" s="2" t="str">
        <f>IF(Iterations[[#This Row],[Step]] =current_step, current_Grad_d,IF(Iterations[[#This Row],[Step]] &gt; current_step, "",Iterations[[#This Row],[Grad_d]]))</f>
        <v/>
      </c>
      <c r="R1021" s="2" t="str">
        <f>IF(Iterations[[#This Row],[Step]] =current_step, current_Grad_e,IF(Iterations[[#This Row],[Step]] &gt; current_step, "",Iterations[[#This Row],[Grad_e]]))</f>
        <v/>
      </c>
    </row>
    <row r="1022" spans="6:18" x14ac:dyDescent="0.3">
      <c r="F1022" s="2">
        <f t="shared" si="21"/>
        <v>1005</v>
      </c>
      <c r="G1022" s="2" t="str">
        <f>IF(Iterations[[#This Row],[Step]] =current_step, current_a,IF(Iterations[[#This Row],[Step]] &gt; current_step, "",Iterations[[#This Row],[a]]))</f>
        <v/>
      </c>
      <c r="H1022" s="2" t="str">
        <f>IF(Iterations[[#This Row],[Step]] =current_step, current_b,IF(Iterations[[#This Row],[Step]] &gt; current_step, "",Iterations[[#This Row],[b]]))</f>
        <v/>
      </c>
      <c r="I1022" s="2" t="str">
        <f>IF(Iterations[[#This Row],[Step]] =current_step, current_c,IF(Iterations[[#This Row],[Step]] &gt; current_step, "",Iterations[[#This Row],[c]]))</f>
        <v/>
      </c>
      <c r="J1022" s="2" t="str">
        <f>IF(Iterations[[#This Row],[Step]] =current_step, current_d,IF(Iterations[[#This Row],[Step]] &gt; current_step, "",Iterations[[#This Row],[d]]))</f>
        <v/>
      </c>
      <c r="K1022" s="2" t="str">
        <f>IF(Iterations[[#This Row],[Step]] =current_step, current_e,IF(Iterations[[#This Row],[Step]] &gt; current_step, "",Iterations[[#This Row],[e]]))</f>
        <v/>
      </c>
      <c r="L1022" s="2" t="str">
        <f>IF(Iterations[[#This Row],[Step]] =current_step, current_Total_Loss,IF(Iterations[[#This Row],[Step]] &gt; current_step, "",Iterations[[#This Row],[Total Loss]]))</f>
        <v/>
      </c>
      <c r="M1022" s="6" t="s">
        <v>27</v>
      </c>
      <c r="N1022" s="2" t="str">
        <f>IF(Iterations[[#This Row],[Step]] =current_step, current_Grad_a,IF(Iterations[[#This Row],[Step]] &gt; current_step, "",Iterations[[#This Row],[Grad_a]]))</f>
        <v/>
      </c>
      <c r="O1022" s="2" t="str">
        <f>IF(Iterations[[#This Row],[Step]] =current_step, current_Grad_b,IF(Iterations[[#This Row],[Step]] &gt; current_step, "",Iterations[[#This Row],[Grad_b]]))</f>
        <v/>
      </c>
      <c r="P1022" s="2" t="str">
        <f>IF(Iterations[[#This Row],[Step]] =current_step, current_Grad_c,IF(Iterations[[#This Row],[Step]] &gt; current_step, "",Iterations[[#This Row],[Grad_c]]))</f>
        <v/>
      </c>
      <c r="Q1022" s="2" t="str">
        <f>IF(Iterations[[#This Row],[Step]] =current_step, current_Grad_d,IF(Iterations[[#This Row],[Step]] &gt; current_step, "",Iterations[[#This Row],[Grad_d]]))</f>
        <v/>
      </c>
      <c r="R1022" s="2" t="str">
        <f>IF(Iterations[[#This Row],[Step]] =current_step, current_Grad_e,IF(Iterations[[#This Row],[Step]] &gt; current_step, "",Iterations[[#This Row],[Grad_e]]))</f>
        <v/>
      </c>
    </row>
    <row r="1023" spans="6:18" x14ac:dyDescent="0.3">
      <c r="F1023" s="2">
        <f t="shared" si="21"/>
        <v>1006</v>
      </c>
      <c r="G1023" s="2" t="str">
        <f>IF(Iterations[[#This Row],[Step]] =current_step, current_a,IF(Iterations[[#This Row],[Step]] &gt; current_step, "",Iterations[[#This Row],[a]]))</f>
        <v/>
      </c>
      <c r="H1023" s="2" t="str">
        <f>IF(Iterations[[#This Row],[Step]] =current_step, current_b,IF(Iterations[[#This Row],[Step]] &gt; current_step, "",Iterations[[#This Row],[b]]))</f>
        <v/>
      </c>
      <c r="I1023" s="2" t="str">
        <f>IF(Iterations[[#This Row],[Step]] =current_step, current_c,IF(Iterations[[#This Row],[Step]] &gt; current_step, "",Iterations[[#This Row],[c]]))</f>
        <v/>
      </c>
      <c r="J1023" s="2" t="str">
        <f>IF(Iterations[[#This Row],[Step]] =current_step, current_d,IF(Iterations[[#This Row],[Step]] &gt; current_step, "",Iterations[[#This Row],[d]]))</f>
        <v/>
      </c>
      <c r="K1023" s="2" t="str">
        <f>IF(Iterations[[#This Row],[Step]] =current_step, current_e,IF(Iterations[[#This Row],[Step]] &gt; current_step, "",Iterations[[#This Row],[e]]))</f>
        <v/>
      </c>
      <c r="L1023" s="2" t="str">
        <f>IF(Iterations[[#This Row],[Step]] =current_step, current_Total_Loss,IF(Iterations[[#This Row],[Step]] &gt; current_step, "",Iterations[[#This Row],[Total Loss]]))</f>
        <v/>
      </c>
      <c r="M1023" s="6" t="s">
        <v>27</v>
      </c>
      <c r="N1023" s="2" t="str">
        <f>IF(Iterations[[#This Row],[Step]] =current_step, current_Grad_a,IF(Iterations[[#This Row],[Step]] &gt; current_step, "",Iterations[[#This Row],[Grad_a]]))</f>
        <v/>
      </c>
      <c r="O1023" s="2" t="str">
        <f>IF(Iterations[[#This Row],[Step]] =current_step, current_Grad_b,IF(Iterations[[#This Row],[Step]] &gt; current_step, "",Iterations[[#This Row],[Grad_b]]))</f>
        <v/>
      </c>
      <c r="P1023" s="2" t="str">
        <f>IF(Iterations[[#This Row],[Step]] =current_step, current_Grad_c,IF(Iterations[[#This Row],[Step]] &gt; current_step, "",Iterations[[#This Row],[Grad_c]]))</f>
        <v/>
      </c>
      <c r="Q1023" s="2" t="str">
        <f>IF(Iterations[[#This Row],[Step]] =current_step, current_Grad_d,IF(Iterations[[#This Row],[Step]] &gt; current_step, "",Iterations[[#This Row],[Grad_d]]))</f>
        <v/>
      </c>
      <c r="R1023" s="2" t="str">
        <f>IF(Iterations[[#This Row],[Step]] =current_step, current_Grad_e,IF(Iterations[[#This Row],[Step]] &gt; current_step, "",Iterations[[#This Row],[Grad_e]]))</f>
        <v/>
      </c>
    </row>
    <row r="1024" spans="6:18" x14ac:dyDescent="0.3">
      <c r="F1024" s="2">
        <f t="shared" si="21"/>
        <v>1007</v>
      </c>
      <c r="G1024" s="2" t="str">
        <f>IF(Iterations[[#This Row],[Step]] =current_step, current_a,IF(Iterations[[#This Row],[Step]] &gt; current_step, "",Iterations[[#This Row],[a]]))</f>
        <v/>
      </c>
      <c r="H1024" s="2" t="str">
        <f>IF(Iterations[[#This Row],[Step]] =current_step, current_b,IF(Iterations[[#This Row],[Step]] &gt; current_step, "",Iterations[[#This Row],[b]]))</f>
        <v/>
      </c>
      <c r="I1024" s="2" t="str">
        <f>IF(Iterations[[#This Row],[Step]] =current_step, current_c,IF(Iterations[[#This Row],[Step]] &gt; current_step, "",Iterations[[#This Row],[c]]))</f>
        <v/>
      </c>
      <c r="J1024" s="2" t="str">
        <f>IF(Iterations[[#This Row],[Step]] =current_step, current_d,IF(Iterations[[#This Row],[Step]] &gt; current_step, "",Iterations[[#This Row],[d]]))</f>
        <v/>
      </c>
      <c r="K1024" s="2" t="str">
        <f>IF(Iterations[[#This Row],[Step]] =current_step, current_e,IF(Iterations[[#This Row],[Step]] &gt; current_step, "",Iterations[[#This Row],[e]]))</f>
        <v/>
      </c>
      <c r="L1024" s="2" t="str">
        <f>IF(Iterations[[#This Row],[Step]] =current_step, current_Total_Loss,IF(Iterations[[#This Row],[Step]] &gt; current_step, "",Iterations[[#This Row],[Total Loss]]))</f>
        <v/>
      </c>
      <c r="M1024" s="6" t="s">
        <v>27</v>
      </c>
      <c r="N1024" s="2" t="str">
        <f>IF(Iterations[[#This Row],[Step]] =current_step, current_Grad_a,IF(Iterations[[#This Row],[Step]] &gt; current_step, "",Iterations[[#This Row],[Grad_a]]))</f>
        <v/>
      </c>
      <c r="O1024" s="2" t="str">
        <f>IF(Iterations[[#This Row],[Step]] =current_step, current_Grad_b,IF(Iterations[[#This Row],[Step]] &gt; current_step, "",Iterations[[#This Row],[Grad_b]]))</f>
        <v/>
      </c>
      <c r="P1024" s="2" t="str">
        <f>IF(Iterations[[#This Row],[Step]] =current_step, current_Grad_c,IF(Iterations[[#This Row],[Step]] &gt; current_step, "",Iterations[[#This Row],[Grad_c]]))</f>
        <v/>
      </c>
      <c r="Q1024" s="2" t="str">
        <f>IF(Iterations[[#This Row],[Step]] =current_step, current_Grad_d,IF(Iterations[[#This Row],[Step]] &gt; current_step, "",Iterations[[#This Row],[Grad_d]]))</f>
        <v/>
      </c>
      <c r="R1024" s="2" t="str">
        <f>IF(Iterations[[#This Row],[Step]] =current_step, current_Grad_e,IF(Iterations[[#This Row],[Step]] &gt; current_step, "",Iterations[[#This Row],[Grad_e]]))</f>
        <v/>
      </c>
    </row>
    <row r="1025" spans="6:18" x14ac:dyDescent="0.3">
      <c r="F1025" s="2">
        <f t="shared" si="21"/>
        <v>1008</v>
      </c>
      <c r="G1025" s="2" t="str">
        <f>IF(Iterations[[#This Row],[Step]] =current_step, current_a,IF(Iterations[[#This Row],[Step]] &gt; current_step, "",Iterations[[#This Row],[a]]))</f>
        <v/>
      </c>
      <c r="H1025" s="2" t="str">
        <f>IF(Iterations[[#This Row],[Step]] =current_step, current_b,IF(Iterations[[#This Row],[Step]] &gt; current_step, "",Iterations[[#This Row],[b]]))</f>
        <v/>
      </c>
      <c r="I1025" s="2" t="str">
        <f>IF(Iterations[[#This Row],[Step]] =current_step, current_c,IF(Iterations[[#This Row],[Step]] &gt; current_step, "",Iterations[[#This Row],[c]]))</f>
        <v/>
      </c>
      <c r="J1025" s="2" t="str">
        <f>IF(Iterations[[#This Row],[Step]] =current_step, current_d,IF(Iterations[[#This Row],[Step]] &gt; current_step, "",Iterations[[#This Row],[d]]))</f>
        <v/>
      </c>
      <c r="K1025" s="2" t="str">
        <f>IF(Iterations[[#This Row],[Step]] =current_step, current_e,IF(Iterations[[#This Row],[Step]] &gt; current_step, "",Iterations[[#This Row],[e]]))</f>
        <v/>
      </c>
      <c r="L1025" s="2" t="str">
        <f>IF(Iterations[[#This Row],[Step]] =current_step, current_Total_Loss,IF(Iterations[[#This Row],[Step]] &gt; current_step, "",Iterations[[#This Row],[Total Loss]]))</f>
        <v/>
      </c>
      <c r="M1025" s="6" t="s">
        <v>27</v>
      </c>
      <c r="N1025" s="2" t="str">
        <f>IF(Iterations[[#This Row],[Step]] =current_step, current_Grad_a,IF(Iterations[[#This Row],[Step]] &gt; current_step, "",Iterations[[#This Row],[Grad_a]]))</f>
        <v/>
      </c>
      <c r="O1025" s="2" t="str">
        <f>IF(Iterations[[#This Row],[Step]] =current_step, current_Grad_b,IF(Iterations[[#This Row],[Step]] &gt; current_step, "",Iterations[[#This Row],[Grad_b]]))</f>
        <v/>
      </c>
      <c r="P1025" s="2" t="str">
        <f>IF(Iterations[[#This Row],[Step]] =current_step, current_Grad_c,IF(Iterations[[#This Row],[Step]] &gt; current_step, "",Iterations[[#This Row],[Grad_c]]))</f>
        <v/>
      </c>
      <c r="Q1025" s="2" t="str">
        <f>IF(Iterations[[#This Row],[Step]] =current_step, current_Grad_d,IF(Iterations[[#This Row],[Step]] &gt; current_step, "",Iterations[[#This Row],[Grad_d]]))</f>
        <v/>
      </c>
      <c r="R1025" s="2" t="str">
        <f>IF(Iterations[[#This Row],[Step]] =current_step, current_Grad_e,IF(Iterations[[#This Row],[Step]] &gt; current_step, "",Iterations[[#This Row],[Grad_e]]))</f>
        <v/>
      </c>
    </row>
    <row r="1026" spans="6:18" x14ac:dyDescent="0.3">
      <c r="F1026" s="2">
        <f t="shared" si="21"/>
        <v>1009</v>
      </c>
      <c r="G1026" s="2" t="str">
        <f>IF(Iterations[[#This Row],[Step]] =current_step, current_a,IF(Iterations[[#This Row],[Step]] &gt; current_step, "",Iterations[[#This Row],[a]]))</f>
        <v/>
      </c>
      <c r="H1026" s="2" t="str">
        <f>IF(Iterations[[#This Row],[Step]] =current_step, current_b,IF(Iterations[[#This Row],[Step]] &gt; current_step, "",Iterations[[#This Row],[b]]))</f>
        <v/>
      </c>
      <c r="I1026" s="2" t="str">
        <f>IF(Iterations[[#This Row],[Step]] =current_step, current_c,IF(Iterations[[#This Row],[Step]] &gt; current_step, "",Iterations[[#This Row],[c]]))</f>
        <v/>
      </c>
      <c r="J1026" s="2" t="str">
        <f>IF(Iterations[[#This Row],[Step]] =current_step, current_d,IF(Iterations[[#This Row],[Step]] &gt; current_step, "",Iterations[[#This Row],[d]]))</f>
        <v/>
      </c>
      <c r="K1026" s="2" t="str">
        <f>IF(Iterations[[#This Row],[Step]] =current_step, current_e,IF(Iterations[[#This Row],[Step]] &gt; current_step, "",Iterations[[#This Row],[e]]))</f>
        <v/>
      </c>
      <c r="L1026" s="2" t="str">
        <f>IF(Iterations[[#This Row],[Step]] =current_step, current_Total_Loss,IF(Iterations[[#This Row],[Step]] &gt; current_step, "",Iterations[[#This Row],[Total Loss]]))</f>
        <v/>
      </c>
      <c r="M1026" s="6" t="s">
        <v>27</v>
      </c>
      <c r="N1026" s="2" t="str">
        <f>IF(Iterations[[#This Row],[Step]] =current_step, current_Grad_a,IF(Iterations[[#This Row],[Step]] &gt; current_step, "",Iterations[[#This Row],[Grad_a]]))</f>
        <v/>
      </c>
      <c r="O1026" s="2" t="str">
        <f>IF(Iterations[[#This Row],[Step]] =current_step, current_Grad_b,IF(Iterations[[#This Row],[Step]] &gt; current_step, "",Iterations[[#This Row],[Grad_b]]))</f>
        <v/>
      </c>
      <c r="P1026" s="2" t="str">
        <f>IF(Iterations[[#This Row],[Step]] =current_step, current_Grad_c,IF(Iterations[[#This Row],[Step]] &gt; current_step, "",Iterations[[#This Row],[Grad_c]]))</f>
        <v/>
      </c>
      <c r="Q1026" s="2" t="str">
        <f>IF(Iterations[[#This Row],[Step]] =current_step, current_Grad_d,IF(Iterations[[#This Row],[Step]] &gt; current_step, "",Iterations[[#This Row],[Grad_d]]))</f>
        <v/>
      </c>
      <c r="R1026" s="2" t="str">
        <f>IF(Iterations[[#This Row],[Step]] =current_step, current_Grad_e,IF(Iterations[[#This Row],[Step]] &gt; current_step, "",Iterations[[#This Row],[Grad_e]]))</f>
        <v/>
      </c>
    </row>
    <row r="1027" spans="6:18" x14ac:dyDescent="0.3">
      <c r="F1027" s="2">
        <f t="shared" si="21"/>
        <v>1010</v>
      </c>
      <c r="G1027" s="2" t="str">
        <f>IF(Iterations[[#This Row],[Step]] =current_step, current_a,IF(Iterations[[#This Row],[Step]] &gt; current_step, "",Iterations[[#This Row],[a]]))</f>
        <v/>
      </c>
      <c r="H1027" s="2" t="str">
        <f>IF(Iterations[[#This Row],[Step]] =current_step, current_b,IF(Iterations[[#This Row],[Step]] &gt; current_step, "",Iterations[[#This Row],[b]]))</f>
        <v/>
      </c>
      <c r="I1027" s="2" t="str">
        <f>IF(Iterations[[#This Row],[Step]] =current_step, current_c,IF(Iterations[[#This Row],[Step]] &gt; current_step, "",Iterations[[#This Row],[c]]))</f>
        <v/>
      </c>
      <c r="J1027" s="2" t="str">
        <f>IF(Iterations[[#This Row],[Step]] =current_step, current_d,IF(Iterations[[#This Row],[Step]] &gt; current_step, "",Iterations[[#This Row],[d]]))</f>
        <v/>
      </c>
      <c r="K1027" s="2" t="str">
        <f>IF(Iterations[[#This Row],[Step]] =current_step, current_e,IF(Iterations[[#This Row],[Step]] &gt; current_step, "",Iterations[[#This Row],[e]]))</f>
        <v/>
      </c>
      <c r="L1027" s="2" t="str">
        <f>IF(Iterations[[#This Row],[Step]] =current_step, current_Total_Loss,IF(Iterations[[#This Row],[Step]] &gt; current_step, "",Iterations[[#This Row],[Total Loss]]))</f>
        <v/>
      </c>
      <c r="M1027" s="6" t="s">
        <v>27</v>
      </c>
      <c r="N1027" s="2" t="str">
        <f>IF(Iterations[[#This Row],[Step]] =current_step, current_Grad_a,IF(Iterations[[#This Row],[Step]] &gt; current_step, "",Iterations[[#This Row],[Grad_a]]))</f>
        <v/>
      </c>
      <c r="O1027" s="2" t="str">
        <f>IF(Iterations[[#This Row],[Step]] =current_step, current_Grad_b,IF(Iterations[[#This Row],[Step]] &gt; current_step, "",Iterations[[#This Row],[Grad_b]]))</f>
        <v/>
      </c>
      <c r="P1027" s="2" t="str">
        <f>IF(Iterations[[#This Row],[Step]] =current_step, current_Grad_c,IF(Iterations[[#This Row],[Step]] &gt; current_step, "",Iterations[[#This Row],[Grad_c]]))</f>
        <v/>
      </c>
      <c r="Q1027" s="2" t="str">
        <f>IF(Iterations[[#This Row],[Step]] =current_step, current_Grad_d,IF(Iterations[[#This Row],[Step]] &gt; current_step, "",Iterations[[#This Row],[Grad_d]]))</f>
        <v/>
      </c>
      <c r="R1027" s="2" t="str">
        <f>IF(Iterations[[#This Row],[Step]] =current_step, current_Grad_e,IF(Iterations[[#This Row],[Step]] &gt; current_step, "",Iterations[[#This Row],[Grad_e]]))</f>
        <v/>
      </c>
    </row>
    <row r="1028" spans="6:18" x14ac:dyDescent="0.3">
      <c r="F1028" s="2">
        <f t="shared" si="21"/>
        <v>1011</v>
      </c>
      <c r="G1028" s="2" t="str">
        <f>IF(Iterations[[#This Row],[Step]] =current_step, current_a,IF(Iterations[[#This Row],[Step]] &gt; current_step, "",Iterations[[#This Row],[a]]))</f>
        <v/>
      </c>
      <c r="H1028" s="2" t="str">
        <f>IF(Iterations[[#This Row],[Step]] =current_step, current_b,IF(Iterations[[#This Row],[Step]] &gt; current_step, "",Iterations[[#This Row],[b]]))</f>
        <v/>
      </c>
      <c r="I1028" s="2" t="str">
        <f>IF(Iterations[[#This Row],[Step]] =current_step, current_c,IF(Iterations[[#This Row],[Step]] &gt; current_step, "",Iterations[[#This Row],[c]]))</f>
        <v/>
      </c>
      <c r="J1028" s="2" t="str">
        <f>IF(Iterations[[#This Row],[Step]] =current_step, current_d,IF(Iterations[[#This Row],[Step]] &gt; current_step, "",Iterations[[#This Row],[d]]))</f>
        <v/>
      </c>
      <c r="K1028" s="2" t="str">
        <f>IF(Iterations[[#This Row],[Step]] =current_step, current_e,IF(Iterations[[#This Row],[Step]] &gt; current_step, "",Iterations[[#This Row],[e]]))</f>
        <v/>
      </c>
      <c r="L1028" s="2" t="str">
        <f>IF(Iterations[[#This Row],[Step]] =current_step, current_Total_Loss,IF(Iterations[[#This Row],[Step]] &gt; current_step, "",Iterations[[#This Row],[Total Loss]]))</f>
        <v/>
      </c>
      <c r="M1028" s="6" t="s">
        <v>27</v>
      </c>
      <c r="N1028" s="2" t="str">
        <f>IF(Iterations[[#This Row],[Step]] =current_step, current_Grad_a,IF(Iterations[[#This Row],[Step]] &gt; current_step, "",Iterations[[#This Row],[Grad_a]]))</f>
        <v/>
      </c>
      <c r="O1028" s="2" t="str">
        <f>IF(Iterations[[#This Row],[Step]] =current_step, current_Grad_b,IF(Iterations[[#This Row],[Step]] &gt; current_step, "",Iterations[[#This Row],[Grad_b]]))</f>
        <v/>
      </c>
      <c r="P1028" s="2" t="str">
        <f>IF(Iterations[[#This Row],[Step]] =current_step, current_Grad_c,IF(Iterations[[#This Row],[Step]] &gt; current_step, "",Iterations[[#This Row],[Grad_c]]))</f>
        <v/>
      </c>
      <c r="Q1028" s="2" t="str">
        <f>IF(Iterations[[#This Row],[Step]] =current_step, current_Grad_d,IF(Iterations[[#This Row],[Step]] &gt; current_step, "",Iterations[[#This Row],[Grad_d]]))</f>
        <v/>
      </c>
      <c r="R1028" s="2" t="str">
        <f>IF(Iterations[[#This Row],[Step]] =current_step, current_Grad_e,IF(Iterations[[#This Row],[Step]] &gt; current_step, "",Iterations[[#This Row],[Grad_e]]))</f>
        <v/>
      </c>
    </row>
    <row r="1029" spans="6:18" x14ac:dyDescent="0.3">
      <c r="F1029" s="2">
        <f t="shared" si="21"/>
        <v>1012</v>
      </c>
      <c r="G1029" s="2" t="str">
        <f>IF(Iterations[[#This Row],[Step]] =current_step, current_a,IF(Iterations[[#This Row],[Step]] &gt; current_step, "",Iterations[[#This Row],[a]]))</f>
        <v/>
      </c>
      <c r="H1029" s="2" t="str">
        <f>IF(Iterations[[#This Row],[Step]] =current_step, current_b,IF(Iterations[[#This Row],[Step]] &gt; current_step, "",Iterations[[#This Row],[b]]))</f>
        <v/>
      </c>
      <c r="I1029" s="2" t="str">
        <f>IF(Iterations[[#This Row],[Step]] =current_step, current_c,IF(Iterations[[#This Row],[Step]] &gt; current_step, "",Iterations[[#This Row],[c]]))</f>
        <v/>
      </c>
      <c r="J1029" s="2" t="str">
        <f>IF(Iterations[[#This Row],[Step]] =current_step, current_d,IF(Iterations[[#This Row],[Step]] &gt; current_step, "",Iterations[[#This Row],[d]]))</f>
        <v/>
      </c>
      <c r="K1029" s="2" t="str">
        <f>IF(Iterations[[#This Row],[Step]] =current_step, current_e,IF(Iterations[[#This Row],[Step]] &gt; current_step, "",Iterations[[#This Row],[e]]))</f>
        <v/>
      </c>
      <c r="L1029" s="2" t="str">
        <f>IF(Iterations[[#This Row],[Step]] =current_step, current_Total_Loss,IF(Iterations[[#This Row],[Step]] &gt; current_step, "",Iterations[[#This Row],[Total Loss]]))</f>
        <v/>
      </c>
      <c r="M1029" s="6" t="s">
        <v>27</v>
      </c>
      <c r="N1029" s="2" t="str">
        <f>IF(Iterations[[#This Row],[Step]] =current_step, current_Grad_a,IF(Iterations[[#This Row],[Step]] &gt; current_step, "",Iterations[[#This Row],[Grad_a]]))</f>
        <v/>
      </c>
      <c r="O1029" s="2" t="str">
        <f>IF(Iterations[[#This Row],[Step]] =current_step, current_Grad_b,IF(Iterations[[#This Row],[Step]] &gt; current_step, "",Iterations[[#This Row],[Grad_b]]))</f>
        <v/>
      </c>
      <c r="P1029" s="2" t="str">
        <f>IF(Iterations[[#This Row],[Step]] =current_step, current_Grad_c,IF(Iterations[[#This Row],[Step]] &gt; current_step, "",Iterations[[#This Row],[Grad_c]]))</f>
        <v/>
      </c>
      <c r="Q1029" s="2" t="str">
        <f>IF(Iterations[[#This Row],[Step]] =current_step, current_Grad_d,IF(Iterations[[#This Row],[Step]] &gt; current_step, "",Iterations[[#This Row],[Grad_d]]))</f>
        <v/>
      </c>
      <c r="R1029" s="2" t="str">
        <f>IF(Iterations[[#This Row],[Step]] =current_step, current_Grad_e,IF(Iterations[[#This Row],[Step]] &gt; current_step, "",Iterations[[#This Row],[Grad_e]]))</f>
        <v/>
      </c>
    </row>
    <row r="1030" spans="6:18" x14ac:dyDescent="0.3">
      <c r="F1030" s="2">
        <f t="shared" si="21"/>
        <v>1013</v>
      </c>
      <c r="G1030" s="2" t="str">
        <f>IF(Iterations[[#This Row],[Step]] =current_step, current_a,IF(Iterations[[#This Row],[Step]] &gt; current_step, "",Iterations[[#This Row],[a]]))</f>
        <v/>
      </c>
      <c r="H1030" s="2" t="str">
        <f>IF(Iterations[[#This Row],[Step]] =current_step, current_b,IF(Iterations[[#This Row],[Step]] &gt; current_step, "",Iterations[[#This Row],[b]]))</f>
        <v/>
      </c>
      <c r="I1030" s="2" t="str">
        <f>IF(Iterations[[#This Row],[Step]] =current_step, current_c,IF(Iterations[[#This Row],[Step]] &gt; current_step, "",Iterations[[#This Row],[c]]))</f>
        <v/>
      </c>
      <c r="J1030" s="2" t="str">
        <f>IF(Iterations[[#This Row],[Step]] =current_step, current_d,IF(Iterations[[#This Row],[Step]] &gt; current_step, "",Iterations[[#This Row],[d]]))</f>
        <v/>
      </c>
      <c r="K1030" s="2" t="str">
        <f>IF(Iterations[[#This Row],[Step]] =current_step, current_e,IF(Iterations[[#This Row],[Step]] &gt; current_step, "",Iterations[[#This Row],[e]]))</f>
        <v/>
      </c>
      <c r="L1030" s="2" t="str">
        <f>IF(Iterations[[#This Row],[Step]] =current_step, current_Total_Loss,IF(Iterations[[#This Row],[Step]] &gt; current_step, "",Iterations[[#This Row],[Total Loss]]))</f>
        <v/>
      </c>
      <c r="M1030" s="6" t="s">
        <v>27</v>
      </c>
      <c r="N1030" s="2" t="str">
        <f>IF(Iterations[[#This Row],[Step]] =current_step, current_Grad_a,IF(Iterations[[#This Row],[Step]] &gt; current_step, "",Iterations[[#This Row],[Grad_a]]))</f>
        <v/>
      </c>
      <c r="O1030" s="2" t="str">
        <f>IF(Iterations[[#This Row],[Step]] =current_step, current_Grad_b,IF(Iterations[[#This Row],[Step]] &gt; current_step, "",Iterations[[#This Row],[Grad_b]]))</f>
        <v/>
      </c>
      <c r="P1030" s="2" t="str">
        <f>IF(Iterations[[#This Row],[Step]] =current_step, current_Grad_c,IF(Iterations[[#This Row],[Step]] &gt; current_step, "",Iterations[[#This Row],[Grad_c]]))</f>
        <v/>
      </c>
      <c r="Q1030" s="2" t="str">
        <f>IF(Iterations[[#This Row],[Step]] =current_step, current_Grad_d,IF(Iterations[[#This Row],[Step]] &gt; current_step, "",Iterations[[#This Row],[Grad_d]]))</f>
        <v/>
      </c>
      <c r="R1030" s="2" t="str">
        <f>IF(Iterations[[#This Row],[Step]] =current_step, current_Grad_e,IF(Iterations[[#This Row],[Step]] &gt; current_step, "",Iterations[[#This Row],[Grad_e]]))</f>
        <v/>
      </c>
    </row>
    <row r="1031" spans="6:18" x14ac:dyDescent="0.3">
      <c r="F1031" s="2">
        <f t="shared" si="21"/>
        <v>1014</v>
      </c>
      <c r="G1031" s="2" t="str">
        <f>IF(Iterations[[#This Row],[Step]] =current_step, current_a,IF(Iterations[[#This Row],[Step]] &gt; current_step, "",Iterations[[#This Row],[a]]))</f>
        <v/>
      </c>
      <c r="H1031" s="2" t="str">
        <f>IF(Iterations[[#This Row],[Step]] =current_step, current_b,IF(Iterations[[#This Row],[Step]] &gt; current_step, "",Iterations[[#This Row],[b]]))</f>
        <v/>
      </c>
      <c r="I1031" s="2" t="str">
        <f>IF(Iterations[[#This Row],[Step]] =current_step, current_c,IF(Iterations[[#This Row],[Step]] &gt; current_step, "",Iterations[[#This Row],[c]]))</f>
        <v/>
      </c>
      <c r="J1031" s="2" t="str">
        <f>IF(Iterations[[#This Row],[Step]] =current_step, current_d,IF(Iterations[[#This Row],[Step]] &gt; current_step, "",Iterations[[#This Row],[d]]))</f>
        <v/>
      </c>
      <c r="K1031" s="2" t="str">
        <f>IF(Iterations[[#This Row],[Step]] =current_step, current_e,IF(Iterations[[#This Row],[Step]] &gt; current_step, "",Iterations[[#This Row],[e]]))</f>
        <v/>
      </c>
      <c r="L1031" s="2" t="str">
        <f>IF(Iterations[[#This Row],[Step]] =current_step, current_Total_Loss,IF(Iterations[[#This Row],[Step]] &gt; current_step, "",Iterations[[#This Row],[Total Loss]]))</f>
        <v/>
      </c>
      <c r="M1031" s="6" t="s">
        <v>27</v>
      </c>
      <c r="N1031" s="2" t="str">
        <f>IF(Iterations[[#This Row],[Step]] =current_step, current_Grad_a,IF(Iterations[[#This Row],[Step]] &gt; current_step, "",Iterations[[#This Row],[Grad_a]]))</f>
        <v/>
      </c>
      <c r="O1031" s="2" t="str">
        <f>IF(Iterations[[#This Row],[Step]] =current_step, current_Grad_b,IF(Iterations[[#This Row],[Step]] &gt; current_step, "",Iterations[[#This Row],[Grad_b]]))</f>
        <v/>
      </c>
      <c r="P1031" s="2" t="str">
        <f>IF(Iterations[[#This Row],[Step]] =current_step, current_Grad_c,IF(Iterations[[#This Row],[Step]] &gt; current_step, "",Iterations[[#This Row],[Grad_c]]))</f>
        <v/>
      </c>
      <c r="Q1031" s="2" t="str">
        <f>IF(Iterations[[#This Row],[Step]] =current_step, current_Grad_d,IF(Iterations[[#This Row],[Step]] &gt; current_step, "",Iterations[[#This Row],[Grad_d]]))</f>
        <v/>
      </c>
      <c r="R1031" s="2" t="str">
        <f>IF(Iterations[[#This Row],[Step]] =current_step, current_Grad_e,IF(Iterations[[#This Row],[Step]] &gt; current_step, "",Iterations[[#This Row],[Grad_e]]))</f>
        <v/>
      </c>
    </row>
    <row r="1032" spans="6:18" x14ac:dyDescent="0.3">
      <c r="F1032" s="2">
        <f t="shared" si="21"/>
        <v>1015</v>
      </c>
      <c r="G1032" s="2" t="str">
        <f>IF(Iterations[[#This Row],[Step]] =current_step, current_a,IF(Iterations[[#This Row],[Step]] &gt; current_step, "",Iterations[[#This Row],[a]]))</f>
        <v/>
      </c>
      <c r="H1032" s="2" t="str">
        <f>IF(Iterations[[#This Row],[Step]] =current_step, current_b,IF(Iterations[[#This Row],[Step]] &gt; current_step, "",Iterations[[#This Row],[b]]))</f>
        <v/>
      </c>
      <c r="I1032" s="2" t="str">
        <f>IF(Iterations[[#This Row],[Step]] =current_step, current_c,IF(Iterations[[#This Row],[Step]] &gt; current_step, "",Iterations[[#This Row],[c]]))</f>
        <v/>
      </c>
      <c r="J1032" s="2" t="str">
        <f>IF(Iterations[[#This Row],[Step]] =current_step, current_d,IF(Iterations[[#This Row],[Step]] &gt; current_step, "",Iterations[[#This Row],[d]]))</f>
        <v/>
      </c>
      <c r="K1032" s="2" t="str">
        <f>IF(Iterations[[#This Row],[Step]] =current_step, current_e,IF(Iterations[[#This Row],[Step]] &gt; current_step, "",Iterations[[#This Row],[e]]))</f>
        <v/>
      </c>
      <c r="L1032" s="2" t="str">
        <f>IF(Iterations[[#This Row],[Step]] =current_step, current_Total_Loss,IF(Iterations[[#This Row],[Step]] &gt; current_step, "",Iterations[[#This Row],[Total Loss]]))</f>
        <v/>
      </c>
      <c r="M1032" s="6" t="s">
        <v>27</v>
      </c>
      <c r="N1032" s="2" t="str">
        <f>IF(Iterations[[#This Row],[Step]] =current_step, current_Grad_a,IF(Iterations[[#This Row],[Step]] &gt; current_step, "",Iterations[[#This Row],[Grad_a]]))</f>
        <v/>
      </c>
      <c r="O1032" s="2" t="str">
        <f>IF(Iterations[[#This Row],[Step]] =current_step, current_Grad_b,IF(Iterations[[#This Row],[Step]] &gt; current_step, "",Iterations[[#This Row],[Grad_b]]))</f>
        <v/>
      </c>
      <c r="P1032" s="2" t="str">
        <f>IF(Iterations[[#This Row],[Step]] =current_step, current_Grad_c,IF(Iterations[[#This Row],[Step]] &gt; current_step, "",Iterations[[#This Row],[Grad_c]]))</f>
        <v/>
      </c>
      <c r="Q1032" s="2" t="str">
        <f>IF(Iterations[[#This Row],[Step]] =current_step, current_Grad_d,IF(Iterations[[#This Row],[Step]] &gt; current_step, "",Iterations[[#This Row],[Grad_d]]))</f>
        <v/>
      </c>
      <c r="R1032" s="2" t="str">
        <f>IF(Iterations[[#This Row],[Step]] =current_step, current_Grad_e,IF(Iterations[[#This Row],[Step]] &gt; current_step, "",Iterations[[#This Row],[Grad_e]]))</f>
        <v/>
      </c>
    </row>
    <row r="1033" spans="6:18" x14ac:dyDescent="0.3">
      <c r="F1033" s="2">
        <f t="shared" si="21"/>
        <v>1016</v>
      </c>
      <c r="G1033" s="2" t="str">
        <f>IF(Iterations[[#This Row],[Step]] =current_step, current_a,IF(Iterations[[#This Row],[Step]] &gt; current_step, "",Iterations[[#This Row],[a]]))</f>
        <v/>
      </c>
      <c r="H1033" s="2" t="str">
        <f>IF(Iterations[[#This Row],[Step]] =current_step, current_b,IF(Iterations[[#This Row],[Step]] &gt; current_step, "",Iterations[[#This Row],[b]]))</f>
        <v/>
      </c>
      <c r="I1033" s="2" t="str">
        <f>IF(Iterations[[#This Row],[Step]] =current_step, current_c,IF(Iterations[[#This Row],[Step]] &gt; current_step, "",Iterations[[#This Row],[c]]))</f>
        <v/>
      </c>
      <c r="J1033" s="2" t="str">
        <f>IF(Iterations[[#This Row],[Step]] =current_step, current_d,IF(Iterations[[#This Row],[Step]] &gt; current_step, "",Iterations[[#This Row],[d]]))</f>
        <v/>
      </c>
      <c r="K1033" s="2" t="str">
        <f>IF(Iterations[[#This Row],[Step]] =current_step, current_e,IF(Iterations[[#This Row],[Step]] &gt; current_step, "",Iterations[[#This Row],[e]]))</f>
        <v/>
      </c>
      <c r="L1033" s="2" t="str">
        <f>IF(Iterations[[#This Row],[Step]] =current_step, current_Total_Loss,IF(Iterations[[#This Row],[Step]] &gt; current_step, "",Iterations[[#This Row],[Total Loss]]))</f>
        <v/>
      </c>
      <c r="M1033" s="6" t="s">
        <v>27</v>
      </c>
      <c r="N1033" s="2" t="str">
        <f>IF(Iterations[[#This Row],[Step]] =current_step, current_Grad_a,IF(Iterations[[#This Row],[Step]] &gt; current_step, "",Iterations[[#This Row],[Grad_a]]))</f>
        <v/>
      </c>
      <c r="O1033" s="2" t="str">
        <f>IF(Iterations[[#This Row],[Step]] =current_step, current_Grad_b,IF(Iterations[[#This Row],[Step]] &gt; current_step, "",Iterations[[#This Row],[Grad_b]]))</f>
        <v/>
      </c>
      <c r="P1033" s="2" t="str">
        <f>IF(Iterations[[#This Row],[Step]] =current_step, current_Grad_c,IF(Iterations[[#This Row],[Step]] &gt; current_step, "",Iterations[[#This Row],[Grad_c]]))</f>
        <v/>
      </c>
      <c r="Q1033" s="2" t="str">
        <f>IF(Iterations[[#This Row],[Step]] =current_step, current_Grad_d,IF(Iterations[[#This Row],[Step]] &gt; current_step, "",Iterations[[#This Row],[Grad_d]]))</f>
        <v/>
      </c>
      <c r="R1033" s="2" t="str">
        <f>IF(Iterations[[#This Row],[Step]] =current_step, current_Grad_e,IF(Iterations[[#This Row],[Step]] &gt; current_step, "",Iterations[[#This Row],[Grad_e]]))</f>
        <v/>
      </c>
    </row>
    <row r="1034" spans="6:18" x14ac:dyDescent="0.3">
      <c r="F1034" s="2">
        <f t="shared" si="21"/>
        <v>1017</v>
      </c>
      <c r="G1034" s="2" t="str">
        <f>IF(Iterations[[#This Row],[Step]] =current_step, current_a,IF(Iterations[[#This Row],[Step]] &gt; current_step, "",Iterations[[#This Row],[a]]))</f>
        <v/>
      </c>
      <c r="H1034" s="2" t="str">
        <f>IF(Iterations[[#This Row],[Step]] =current_step, current_b,IF(Iterations[[#This Row],[Step]] &gt; current_step, "",Iterations[[#This Row],[b]]))</f>
        <v/>
      </c>
      <c r="I1034" s="2" t="str">
        <f>IF(Iterations[[#This Row],[Step]] =current_step, current_c,IF(Iterations[[#This Row],[Step]] &gt; current_step, "",Iterations[[#This Row],[c]]))</f>
        <v/>
      </c>
      <c r="J1034" s="2" t="str">
        <f>IF(Iterations[[#This Row],[Step]] =current_step, current_d,IF(Iterations[[#This Row],[Step]] &gt; current_step, "",Iterations[[#This Row],[d]]))</f>
        <v/>
      </c>
      <c r="K1034" s="2" t="str">
        <f>IF(Iterations[[#This Row],[Step]] =current_step, current_e,IF(Iterations[[#This Row],[Step]] &gt; current_step, "",Iterations[[#This Row],[e]]))</f>
        <v/>
      </c>
      <c r="L1034" s="2" t="str">
        <f>IF(Iterations[[#This Row],[Step]] =current_step, current_Total_Loss,IF(Iterations[[#This Row],[Step]] &gt; current_step, "",Iterations[[#This Row],[Total Loss]]))</f>
        <v/>
      </c>
      <c r="M1034" s="6" t="s">
        <v>27</v>
      </c>
      <c r="N1034" s="2" t="str">
        <f>IF(Iterations[[#This Row],[Step]] =current_step, current_Grad_a,IF(Iterations[[#This Row],[Step]] &gt; current_step, "",Iterations[[#This Row],[Grad_a]]))</f>
        <v/>
      </c>
      <c r="O1034" s="2" t="str">
        <f>IF(Iterations[[#This Row],[Step]] =current_step, current_Grad_b,IF(Iterations[[#This Row],[Step]] &gt; current_step, "",Iterations[[#This Row],[Grad_b]]))</f>
        <v/>
      </c>
      <c r="P1034" s="2" t="str">
        <f>IF(Iterations[[#This Row],[Step]] =current_step, current_Grad_c,IF(Iterations[[#This Row],[Step]] &gt; current_step, "",Iterations[[#This Row],[Grad_c]]))</f>
        <v/>
      </c>
      <c r="Q1034" s="2" t="str">
        <f>IF(Iterations[[#This Row],[Step]] =current_step, current_Grad_d,IF(Iterations[[#This Row],[Step]] &gt; current_step, "",Iterations[[#This Row],[Grad_d]]))</f>
        <v/>
      </c>
      <c r="R1034" s="2" t="str">
        <f>IF(Iterations[[#This Row],[Step]] =current_step, current_Grad_e,IF(Iterations[[#This Row],[Step]] &gt; current_step, "",Iterations[[#This Row],[Grad_e]]))</f>
        <v/>
      </c>
    </row>
    <row r="1035" spans="6:18" x14ac:dyDescent="0.3">
      <c r="F1035" s="2">
        <f t="shared" si="21"/>
        <v>1018</v>
      </c>
      <c r="G1035" s="2" t="str">
        <f>IF(Iterations[[#This Row],[Step]] =current_step, current_a,IF(Iterations[[#This Row],[Step]] &gt; current_step, "",Iterations[[#This Row],[a]]))</f>
        <v/>
      </c>
      <c r="H1035" s="2" t="str">
        <f>IF(Iterations[[#This Row],[Step]] =current_step, current_b,IF(Iterations[[#This Row],[Step]] &gt; current_step, "",Iterations[[#This Row],[b]]))</f>
        <v/>
      </c>
      <c r="I1035" s="2" t="str">
        <f>IF(Iterations[[#This Row],[Step]] =current_step, current_c,IF(Iterations[[#This Row],[Step]] &gt; current_step, "",Iterations[[#This Row],[c]]))</f>
        <v/>
      </c>
      <c r="J1035" s="2" t="str">
        <f>IF(Iterations[[#This Row],[Step]] =current_step, current_d,IF(Iterations[[#This Row],[Step]] &gt; current_step, "",Iterations[[#This Row],[d]]))</f>
        <v/>
      </c>
      <c r="K1035" s="2" t="str">
        <f>IF(Iterations[[#This Row],[Step]] =current_step, current_e,IF(Iterations[[#This Row],[Step]] &gt; current_step, "",Iterations[[#This Row],[e]]))</f>
        <v/>
      </c>
      <c r="L1035" s="2" t="str">
        <f>IF(Iterations[[#This Row],[Step]] =current_step, current_Total_Loss,IF(Iterations[[#This Row],[Step]] &gt; current_step, "",Iterations[[#This Row],[Total Loss]]))</f>
        <v/>
      </c>
      <c r="M1035" s="6" t="s">
        <v>27</v>
      </c>
      <c r="N1035" s="2" t="str">
        <f>IF(Iterations[[#This Row],[Step]] =current_step, current_Grad_a,IF(Iterations[[#This Row],[Step]] &gt; current_step, "",Iterations[[#This Row],[Grad_a]]))</f>
        <v/>
      </c>
      <c r="O1035" s="2" t="str">
        <f>IF(Iterations[[#This Row],[Step]] =current_step, current_Grad_b,IF(Iterations[[#This Row],[Step]] &gt; current_step, "",Iterations[[#This Row],[Grad_b]]))</f>
        <v/>
      </c>
      <c r="P1035" s="2" t="str">
        <f>IF(Iterations[[#This Row],[Step]] =current_step, current_Grad_c,IF(Iterations[[#This Row],[Step]] &gt; current_step, "",Iterations[[#This Row],[Grad_c]]))</f>
        <v/>
      </c>
      <c r="Q1035" s="2" t="str">
        <f>IF(Iterations[[#This Row],[Step]] =current_step, current_Grad_d,IF(Iterations[[#This Row],[Step]] &gt; current_step, "",Iterations[[#This Row],[Grad_d]]))</f>
        <v/>
      </c>
      <c r="R1035" s="2" t="str">
        <f>IF(Iterations[[#This Row],[Step]] =current_step, current_Grad_e,IF(Iterations[[#This Row],[Step]] &gt; current_step, "",Iterations[[#This Row],[Grad_e]]))</f>
        <v/>
      </c>
    </row>
    <row r="1036" spans="6:18" x14ac:dyDescent="0.3">
      <c r="F1036" s="2">
        <f t="shared" si="21"/>
        <v>1019</v>
      </c>
      <c r="G1036" s="2" t="str">
        <f>IF(Iterations[[#This Row],[Step]] =current_step, current_a,IF(Iterations[[#This Row],[Step]] &gt; current_step, "",Iterations[[#This Row],[a]]))</f>
        <v/>
      </c>
      <c r="H1036" s="2" t="str">
        <f>IF(Iterations[[#This Row],[Step]] =current_step, current_b,IF(Iterations[[#This Row],[Step]] &gt; current_step, "",Iterations[[#This Row],[b]]))</f>
        <v/>
      </c>
      <c r="I1036" s="2" t="str">
        <f>IF(Iterations[[#This Row],[Step]] =current_step, current_c,IF(Iterations[[#This Row],[Step]] &gt; current_step, "",Iterations[[#This Row],[c]]))</f>
        <v/>
      </c>
      <c r="J1036" s="2" t="str">
        <f>IF(Iterations[[#This Row],[Step]] =current_step, current_d,IF(Iterations[[#This Row],[Step]] &gt; current_step, "",Iterations[[#This Row],[d]]))</f>
        <v/>
      </c>
      <c r="K1036" s="2" t="str">
        <f>IF(Iterations[[#This Row],[Step]] =current_step, current_e,IF(Iterations[[#This Row],[Step]] &gt; current_step, "",Iterations[[#This Row],[e]]))</f>
        <v/>
      </c>
      <c r="L1036" s="2" t="str">
        <f>IF(Iterations[[#This Row],[Step]] =current_step, current_Total_Loss,IF(Iterations[[#This Row],[Step]] &gt; current_step, "",Iterations[[#This Row],[Total Loss]]))</f>
        <v/>
      </c>
      <c r="M1036" s="6" t="s">
        <v>27</v>
      </c>
      <c r="N1036" s="2" t="str">
        <f>IF(Iterations[[#This Row],[Step]] =current_step, current_Grad_a,IF(Iterations[[#This Row],[Step]] &gt; current_step, "",Iterations[[#This Row],[Grad_a]]))</f>
        <v/>
      </c>
      <c r="O1036" s="2" t="str">
        <f>IF(Iterations[[#This Row],[Step]] =current_step, current_Grad_b,IF(Iterations[[#This Row],[Step]] &gt; current_step, "",Iterations[[#This Row],[Grad_b]]))</f>
        <v/>
      </c>
      <c r="P1036" s="2" t="str">
        <f>IF(Iterations[[#This Row],[Step]] =current_step, current_Grad_c,IF(Iterations[[#This Row],[Step]] &gt; current_step, "",Iterations[[#This Row],[Grad_c]]))</f>
        <v/>
      </c>
      <c r="Q1036" s="2" t="str">
        <f>IF(Iterations[[#This Row],[Step]] =current_step, current_Grad_d,IF(Iterations[[#This Row],[Step]] &gt; current_step, "",Iterations[[#This Row],[Grad_d]]))</f>
        <v/>
      </c>
      <c r="R1036" s="2" t="str">
        <f>IF(Iterations[[#This Row],[Step]] =current_step, current_Grad_e,IF(Iterations[[#This Row],[Step]] &gt; current_step, "",Iterations[[#This Row],[Grad_e]]))</f>
        <v/>
      </c>
    </row>
    <row r="1037" spans="6:18" x14ac:dyDescent="0.3">
      <c r="F1037" s="2">
        <f t="shared" si="21"/>
        <v>1020</v>
      </c>
      <c r="G1037" s="2" t="str">
        <f>IF(Iterations[[#This Row],[Step]] =current_step, current_a,IF(Iterations[[#This Row],[Step]] &gt; current_step, "",Iterations[[#This Row],[a]]))</f>
        <v/>
      </c>
      <c r="H1037" s="2" t="str">
        <f>IF(Iterations[[#This Row],[Step]] =current_step, current_b,IF(Iterations[[#This Row],[Step]] &gt; current_step, "",Iterations[[#This Row],[b]]))</f>
        <v/>
      </c>
      <c r="I1037" s="2" t="str">
        <f>IF(Iterations[[#This Row],[Step]] =current_step, current_c,IF(Iterations[[#This Row],[Step]] &gt; current_step, "",Iterations[[#This Row],[c]]))</f>
        <v/>
      </c>
      <c r="J1037" s="2" t="str">
        <f>IF(Iterations[[#This Row],[Step]] =current_step, current_d,IF(Iterations[[#This Row],[Step]] &gt; current_step, "",Iterations[[#This Row],[d]]))</f>
        <v/>
      </c>
      <c r="K1037" s="2" t="str">
        <f>IF(Iterations[[#This Row],[Step]] =current_step, current_e,IF(Iterations[[#This Row],[Step]] &gt; current_step, "",Iterations[[#This Row],[e]]))</f>
        <v/>
      </c>
      <c r="L1037" s="2" t="str">
        <f>IF(Iterations[[#This Row],[Step]] =current_step, current_Total_Loss,IF(Iterations[[#This Row],[Step]] &gt; current_step, "",Iterations[[#This Row],[Total Loss]]))</f>
        <v/>
      </c>
      <c r="M1037" s="6" t="s">
        <v>27</v>
      </c>
      <c r="N1037" s="2" t="str">
        <f>IF(Iterations[[#This Row],[Step]] =current_step, current_Grad_a,IF(Iterations[[#This Row],[Step]] &gt; current_step, "",Iterations[[#This Row],[Grad_a]]))</f>
        <v/>
      </c>
      <c r="O1037" s="2" t="str">
        <f>IF(Iterations[[#This Row],[Step]] =current_step, current_Grad_b,IF(Iterations[[#This Row],[Step]] &gt; current_step, "",Iterations[[#This Row],[Grad_b]]))</f>
        <v/>
      </c>
      <c r="P1037" s="2" t="str">
        <f>IF(Iterations[[#This Row],[Step]] =current_step, current_Grad_c,IF(Iterations[[#This Row],[Step]] &gt; current_step, "",Iterations[[#This Row],[Grad_c]]))</f>
        <v/>
      </c>
      <c r="Q1037" s="2" t="str">
        <f>IF(Iterations[[#This Row],[Step]] =current_step, current_Grad_d,IF(Iterations[[#This Row],[Step]] &gt; current_step, "",Iterations[[#This Row],[Grad_d]]))</f>
        <v/>
      </c>
      <c r="R1037" s="2" t="str">
        <f>IF(Iterations[[#This Row],[Step]] =current_step, current_Grad_e,IF(Iterations[[#This Row],[Step]] &gt; current_step, "",Iterations[[#This Row],[Grad_e]]))</f>
        <v/>
      </c>
    </row>
    <row r="1038" spans="6:18" x14ac:dyDescent="0.3">
      <c r="F1038" s="2">
        <f t="shared" si="21"/>
        <v>1021</v>
      </c>
      <c r="G1038" s="2" t="str">
        <f>IF(Iterations[[#This Row],[Step]] =current_step, current_a,IF(Iterations[[#This Row],[Step]] &gt; current_step, "",Iterations[[#This Row],[a]]))</f>
        <v/>
      </c>
      <c r="H1038" s="2" t="str">
        <f>IF(Iterations[[#This Row],[Step]] =current_step, current_b,IF(Iterations[[#This Row],[Step]] &gt; current_step, "",Iterations[[#This Row],[b]]))</f>
        <v/>
      </c>
      <c r="I1038" s="2" t="str">
        <f>IF(Iterations[[#This Row],[Step]] =current_step, current_c,IF(Iterations[[#This Row],[Step]] &gt; current_step, "",Iterations[[#This Row],[c]]))</f>
        <v/>
      </c>
      <c r="J1038" s="2" t="str">
        <f>IF(Iterations[[#This Row],[Step]] =current_step, current_d,IF(Iterations[[#This Row],[Step]] &gt; current_step, "",Iterations[[#This Row],[d]]))</f>
        <v/>
      </c>
      <c r="K1038" s="2" t="str">
        <f>IF(Iterations[[#This Row],[Step]] =current_step, current_e,IF(Iterations[[#This Row],[Step]] &gt; current_step, "",Iterations[[#This Row],[e]]))</f>
        <v/>
      </c>
      <c r="L1038" s="2" t="str">
        <f>IF(Iterations[[#This Row],[Step]] =current_step, current_Total_Loss,IF(Iterations[[#This Row],[Step]] &gt; current_step, "",Iterations[[#This Row],[Total Loss]]))</f>
        <v/>
      </c>
      <c r="M1038" s="6" t="s">
        <v>27</v>
      </c>
      <c r="N1038" s="2" t="str">
        <f>IF(Iterations[[#This Row],[Step]] =current_step, current_Grad_a,IF(Iterations[[#This Row],[Step]] &gt; current_step, "",Iterations[[#This Row],[Grad_a]]))</f>
        <v/>
      </c>
      <c r="O1038" s="2" t="str">
        <f>IF(Iterations[[#This Row],[Step]] =current_step, current_Grad_b,IF(Iterations[[#This Row],[Step]] &gt; current_step, "",Iterations[[#This Row],[Grad_b]]))</f>
        <v/>
      </c>
      <c r="P1038" s="2" t="str">
        <f>IF(Iterations[[#This Row],[Step]] =current_step, current_Grad_c,IF(Iterations[[#This Row],[Step]] &gt; current_step, "",Iterations[[#This Row],[Grad_c]]))</f>
        <v/>
      </c>
      <c r="Q1038" s="2" t="str">
        <f>IF(Iterations[[#This Row],[Step]] =current_step, current_Grad_d,IF(Iterations[[#This Row],[Step]] &gt; current_step, "",Iterations[[#This Row],[Grad_d]]))</f>
        <v/>
      </c>
      <c r="R1038" s="2" t="str">
        <f>IF(Iterations[[#This Row],[Step]] =current_step, current_Grad_e,IF(Iterations[[#This Row],[Step]] &gt; current_step, "",Iterations[[#This Row],[Grad_e]]))</f>
        <v/>
      </c>
    </row>
    <row r="1039" spans="6:18" x14ac:dyDescent="0.3">
      <c r="F1039" s="2">
        <f t="shared" si="21"/>
        <v>1022</v>
      </c>
      <c r="G1039" s="2" t="str">
        <f>IF(Iterations[[#This Row],[Step]] =current_step, current_a,IF(Iterations[[#This Row],[Step]] &gt; current_step, "",Iterations[[#This Row],[a]]))</f>
        <v/>
      </c>
      <c r="H1039" s="2" t="str">
        <f>IF(Iterations[[#This Row],[Step]] =current_step, current_b,IF(Iterations[[#This Row],[Step]] &gt; current_step, "",Iterations[[#This Row],[b]]))</f>
        <v/>
      </c>
      <c r="I1039" s="2" t="str">
        <f>IF(Iterations[[#This Row],[Step]] =current_step, current_c,IF(Iterations[[#This Row],[Step]] &gt; current_step, "",Iterations[[#This Row],[c]]))</f>
        <v/>
      </c>
      <c r="J1039" s="2" t="str">
        <f>IF(Iterations[[#This Row],[Step]] =current_step, current_d,IF(Iterations[[#This Row],[Step]] &gt; current_step, "",Iterations[[#This Row],[d]]))</f>
        <v/>
      </c>
      <c r="K1039" s="2" t="str">
        <f>IF(Iterations[[#This Row],[Step]] =current_step, current_e,IF(Iterations[[#This Row],[Step]] &gt; current_step, "",Iterations[[#This Row],[e]]))</f>
        <v/>
      </c>
      <c r="L1039" s="2" t="str">
        <f>IF(Iterations[[#This Row],[Step]] =current_step, current_Total_Loss,IF(Iterations[[#This Row],[Step]] &gt; current_step, "",Iterations[[#This Row],[Total Loss]]))</f>
        <v/>
      </c>
      <c r="M1039" s="6" t="s">
        <v>27</v>
      </c>
      <c r="N1039" s="2" t="str">
        <f>IF(Iterations[[#This Row],[Step]] =current_step, current_Grad_a,IF(Iterations[[#This Row],[Step]] &gt; current_step, "",Iterations[[#This Row],[Grad_a]]))</f>
        <v/>
      </c>
      <c r="O1039" s="2" t="str">
        <f>IF(Iterations[[#This Row],[Step]] =current_step, current_Grad_b,IF(Iterations[[#This Row],[Step]] &gt; current_step, "",Iterations[[#This Row],[Grad_b]]))</f>
        <v/>
      </c>
      <c r="P1039" s="2" t="str">
        <f>IF(Iterations[[#This Row],[Step]] =current_step, current_Grad_c,IF(Iterations[[#This Row],[Step]] &gt; current_step, "",Iterations[[#This Row],[Grad_c]]))</f>
        <v/>
      </c>
      <c r="Q1039" s="2" t="str">
        <f>IF(Iterations[[#This Row],[Step]] =current_step, current_Grad_d,IF(Iterations[[#This Row],[Step]] &gt; current_step, "",Iterations[[#This Row],[Grad_d]]))</f>
        <v/>
      </c>
      <c r="R1039" s="2" t="str">
        <f>IF(Iterations[[#This Row],[Step]] =current_step, current_Grad_e,IF(Iterations[[#This Row],[Step]] &gt; current_step, "",Iterations[[#This Row],[Grad_e]]))</f>
        <v/>
      </c>
    </row>
    <row r="1040" spans="6:18" x14ac:dyDescent="0.3">
      <c r="F1040" s="2">
        <f t="shared" si="21"/>
        <v>1023</v>
      </c>
      <c r="G1040" s="2" t="str">
        <f>IF(Iterations[[#This Row],[Step]] =current_step, current_a,IF(Iterations[[#This Row],[Step]] &gt; current_step, "",Iterations[[#This Row],[a]]))</f>
        <v/>
      </c>
      <c r="H1040" s="2" t="str">
        <f>IF(Iterations[[#This Row],[Step]] =current_step, current_b,IF(Iterations[[#This Row],[Step]] &gt; current_step, "",Iterations[[#This Row],[b]]))</f>
        <v/>
      </c>
      <c r="I1040" s="2" t="str">
        <f>IF(Iterations[[#This Row],[Step]] =current_step, current_c,IF(Iterations[[#This Row],[Step]] &gt; current_step, "",Iterations[[#This Row],[c]]))</f>
        <v/>
      </c>
      <c r="J1040" s="2" t="str">
        <f>IF(Iterations[[#This Row],[Step]] =current_step, current_d,IF(Iterations[[#This Row],[Step]] &gt; current_step, "",Iterations[[#This Row],[d]]))</f>
        <v/>
      </c>
      <c r="K1040" s="2" t="str">
        <f>IF(Iterations[[#This Row],[Step]] =current_step, current_e,IF(Iterations[[#This Row],[Step]] &gt; current_step, "",Iterations[[#This Row],[e]]))</f>
        <v/>
      </c>
      <c r="L1040" s="2" t="str">
        <f>IF(Iterations[[#This Row],[Step]] =current_step, current_Total_Loss,IF(Iterations[[#This Row],[Step]] &gt; current_step, "",Iterations[[#This Row],[Total Loss]]))</f>
        <v/>
      </c>
      <c r="M1040" s="6" t="s">
        <v>27</v>
      </c>
      <c r="N1040" s="2" t="str">
        <f>IF(Iterations[[#This Row],[Step]] =current_step, current_Grad_a,IF(Iterations[[#This Row],[Step]] &gt; current_step, "",Iterations[[#This Row],[Grad_a]]))</f>
        <v/>
      </c>
      <c r="O1040" s="2" t="str">
        <f>IF(Iterations[[#This Row],[Step]] =current_step, current_Grad_b,IF(Iterations[[#This Row],[Step]] &gt; current_step, "",Iterations[[#This Row],[Grad_b]]))</f>
        <v/>
      </c>
      <c r="P1040" s="2" t="str">
        <f>IF(Iterations[[#This Row],[Step]] =current_step, current_Grad_c,IF(Iterations[[#This Row],[Step]] &gt; current_step, "",Iterations[[#This Row],[Grad_c]]))</f>
        <v/>
      </c>
      <c r="Q1040" s="2" t="str">
        <f>IF(Iterations[[#This Row],[Step]] =current_step, current_Grad_d,IF(Iterations[[#This Row],[Step]] &gt; current_step, "",Iterations[[#This Row],[Grad_d]]))</f>
        <v/>
      </c>
      <c r="R1040" s="2" t="str">
        <f>IF(Iterations[[#This Row],[Step]] =current_step, current_Grad_e,IF(Iterations[[#This Row],[Step]] &gt; current_step, "",Iterations[[#This Row],[Grad_e]]))</f>
        <v/>
      </c>
    </row>
    <row r="1041" spans="6:18" x14ac:dyDescent="0.3">
      <c r="F1041" s="2">
        <f t="shared" si="21"/>
        <v>1024</v>
      </c>
      <c r="G1041" s="2" t="str">
        <f>IF(Iterations[[#This Row],[Step]] =current_step, current_a,IF(Iterations[[#This Row],[Step]] &gt; current_step, "",Iterations[[#This Row],[a]]))</f>
        <v/>
      </c>
      <c r="H1041" s="2" t="str">
        <f>IF(Iterations[[#This Row],[Step]] =current_step, current_b,IF(Iterations[[#This Row],[Step]] &gt; current_step, "",Iterations[[#This Row],[b]]))</f>
        <v/>
      </c>
      <c r="I1041" s="2" t="str">
        <f>IF(Iterations[[#This Row],[Step]] =current_step, current_c,IF(Iterations[[#This Row],[Step]] &gt; current_step, "",Iterations[[#This Row],[c]]))</f>
        <v/>
      </c>
      <c r="J1041" s="2" t="str">
        <f>IF(Iterations[[#This Row],[Step]] =current_step, current_d,IF(Iterations[[#This Row],[Step]] &gt; current_step, "",Iterations[[#This Row],[d]]))</f>
        <v/>
      </c>
      <c r="K1041" s="2" t="str">
        <f>IF(Iterations[[#This Row],[Step]] =current_step, current_e,IF(Iterations[[#This Row],[Step]] &gt; current_step, "",Iterations[[#This Row],[e]]))</f>
        <v/>
      </c>
      <c r="L1041" s="2" t="str">
        <f>IF(Iterations[[#This Row],[Step]] =current_step, current_Total_Loss,IF(Iterations[[#This Row],[Step]] &gt; current_step, "",Iterations[[#This Row],[Total Loss]]))</f>
        <v/>
      </c>
      <c r="M1041" s="6" t="s">
        <v>27</v>
      </c>
      <c r="N1041" s="2" t="str">
        <f>IF(Iterations[[#This Row],[Step]] =current_step, current_Grad_a,IF(Iterations[[#This Row],[Step]] &gt; current_step, "",Iterations[[#This Row],[Grad_a]]))</f>
        <v/>
      </c>
      <c r="O1041" s="2" t="str">
        <f>IF(Iterations[[#This Row],[Step]] =current_step, current_Grad_b,IF(Iterations[[#This Row],[Step]] &gt; current_step, "",Iterations[[#This Row],[Grad_b]]))</f>
        <v/>
      </c>
      <c r="P1041" s="2" t="str">
        <f>IF(Iterations[[#This Row],[Step]] =current_step, current_Grad_c,IF(Iterations[[#This Row],[Step]] &gt; current_step, "",Iterations[[#This Row],[Grad_c]]))</f>
        <v/>
      </c>
      <c r="Q1041" s="2" t="str">
        <f>IF(Iterations[[#This Row],[Step]] =current_step, current_Grad_d,IF(Iterations[[#This Row],[Step]] &gt; current_step, "",Iterations[[#This Row],[Grad_d]]))</f>
        <v/>
      </c>
      <c r="R1041" s="2" t="str">
        <f>IF(Iterations[[#This Row],[Step]] =current_step, current_Grad_e,IF(Iterations[[#This Row],[Step]] &gt; current_step, "",Iterations[[#This Row],[Grad_e]]))</f>
        <v/>
      </c>
    </row>
    <row r="1042" spans="6:18" x14ac:dyDescent="0.3">
      <c r="F1042" s="2">
        <f t="shared" si="21"/>
        <v>1025</v>
      </c>
      <c r="G1042" s="2" t="str">
        <f>IF(Iterations[[#This Row],[Step]] =current_step, current_a,IF(Iterations[[#This Row],[Step]] &gt; current_step, "",Iterations[[#This Row],[a]]))</f>
        <v/>
      </c>
      <c r="H1042" s="2" t="str">
        <f>IF(Iterations[[#This Row],[Step]] =current_step, current_b,IF(Iterations[[#This Row],[Step]] &gt; current_step, "",Iterations[[#This Row],[b]]))</f>
        <v/>
      </c>
      <c r="I1042" s="2" t="str">
        <f>IF(Iterations[[#This Row],[Step]] =current_step, current_c,IF(Iterations[[#This Row],[Step]] &gt; current_step, "",Iterations[[#This Row],[c]]))</f>
        <v/>
      </c>
      <c r="J1042" s="2" t="str">
        <f>IF(Iterations[[#This Row],[Step]] =current_step, current_d,IF(Iterations[[#This Row],[Step]] &gt; current_step, "",Iterations[[#This Row],[d]]))</f>
        <v/>
      </c>
      <c r="K1042" s="2" t="str">
        <f>IF(Iterations[[#This Row],[Step]] =current_step, current_e,IF(Iterations[[#This Row],[Step]] &gt; current_step, "",Iterations[[#This Row],[e]]))</f>
        <v/>
      </c>
      <c r="L1042" s="2" t="str">
        <f>IF(Iterations[[#This Row],[Step]] =current_step, current_Total_Loss,IF(Iterations[[#This Row],[Step]] &gt; current_step, "",Iterations[[#This Row],[Total Loss]]))</f>
        <v/>
      </c>
      <c r="M1042" s="6" t="s">
        <v>27</v>
      </c>
      <c r="N1042" s="2" t="str">
        <f>IF(Iterations[[#This Row],[Step]] =current_step, current_Grad_a,IF(Iterations[[#This Row],[Step]] &gt; current_step, "",Iterations[[#This Row],[Grad_a]]))</f>
        <v/>
      </c>
      <c r="O1042" s="2" t="str">
        <f>IF(Iterations[[#This Row],[Step]] =current_step, current_Grad_b,IF(Iterations[[#This Row],[Step]] &gt; current_step, "",Iterations[[#This Row],[Grad_b]]))</f>
        <v/>
      </c>
      <c r="P1042" s="2" t="str">
        <f>IF(Iterations[[#This Row],[Step]] =current_step, current_Grad_c,IF(Iterations[[#This Row],[Step]] &gt; current_step, "",Iterations[[#This Row],[Grad_c]]))</f>
        <v/>
      </c>
      <c r="Q1042" s="2" t="str">
        <f>IF(Iterations[[#This Row],[Step]] =current_step, current_Grad_d,IF(Iterations[[#This Row],[Step]] &gt; current_step, "",Iterations[[#This Row],[Grad_d]]))</f>
        <v/>
      </c>
      <c r="R1042" s="2" t="str">
        <f>IF(Iterations[[#This Row],[Step]] =current_step, current_Grad_e,IF(Iterations[[#This Row],[Step]] &gt; current_step, "",Iterations[[#This Row],[Grad_e]]))</f>
        <v/>
      </c>
    </row>
    <row r="1043" spans="6:18" x14ac:dyDescent="0.3">
      <c r="F1043" s="2">
        <f t="shared" si="21"/>
        <v>1026</v>
      </c>
      <c r="G1043" s="2" t="str">
        <f>IF(Iterations[[#This Row],[Step]] =current_step, current_a,IF(Iterations[[#This Row],[Step]] &gt; current_step, "",Iterations[[#This Row],[a]]))</f>
        <v/>
      </c>
      <c r="H1043" s="2" t="str">
        <f>IF(Iterations[[#This Row],[Step]] =current_step, current_b,IF(Iterations[[#This Row],[Step]] &gt; current_step, "",Iterations[[#This Row],[b]]))</f>
        <v/>
      </c>
      <c r="I1043" s="2" t="str">
        <f>IF(Iterations[[#This Row],[Step]] =current_step, current_c,IF(Iterations[[#This Row],[Step]] &gt; current_step, "",Iterations[[#This Row],[c]]))</f>
        <v/>
      </c>
      <c r="J1043" s="2" t="str">
        <f>IF(Iterations[[#This Row],[Step]] =current_step, current_d,IF(Iterations[[#This Row],[Step]] &gt; current_step, "",Iterations[[#This Row],[d]]))</f>
        <v/>
      </c>
      <c r="K1043" s="2" t="str">
        <f>IF(Iterations[[#This Row],[Step]] =current_step, current_e,IF(Iterations[[#This Row],[Step]] &gt; current_step, "",Iterations[[#This Row],[e]]))</f>
        <v/>
      </c>
      <c r="L1043" s="2" t="str">
        <f>IF(Iterations[[#This Row],[Step]] =current_step, current_Total_Loss,IF(Iterations[[#This Row],[Step]] &gt; current_step, "",Iterations[[#This Row],[Total Loss]]))</f>
        <v/>
      </c>
      <c r="M1043" s="6" t="s">
        <v>27</v>
      </c>
      <c r="N1043" s="2" t="str">
        <f>IF(Iterations[[#This Row],[Step]] =current_step, current_Grad_a,IF(Iterations[[#This Row],[Step]] &gt; current_step, "",Iterations[[#This Row],[Grad_a]]))</f>
        <v/>
      </c>
      <c r="O1043" s="2" t="str">
        <f>IF(Iterations[[#This Row],[Step]] =current_step, current_Grad_b,IF(Iterations[[#This Row],[Step]] &gt; current_step, "",Iterations[[#This Row],[Grad_b]]))</f>
        <v/>
      </c>
      <c r="P1043" s="2" t="str">
        <f>IF(Iterations[[#This Row],[Step]] =current_step, current_Grad_c,IF(Iterations[[#This Row],[Step]] &gt; current_step, "",Iterations[[#This Row],[Grad_c]]))</f>
        <v/>
      </c>
      <c r="Q1043" s="2" t="str">
        <f>IF(Iterations[[#This Row],[Step]] =current_step, current_Grad_d,IF(Iterations[[#This Row],[Step]] &gt; current_step, "",Iterations[[#This Row],[Grad_d]]))</f>
        <v/>
      </c>
      <c r="R1043" s="2" t="str">
        <f>IF(Iterations[[#This Row],[Step]] =current_step, current_Grad_e,IF(Iterations[[#This Row],[Step]] &gt; current_step, "",Iterations[[#This Row],[Grad_e]]))</f>
        <v/>
      </c>
    </row>
    <row r="1044" spans="6:18" x14ac:dyDescent="0.3">
      <c r="F1044" s="2">
        <f t="shared" si="21"/>
        <v>1027</v>
      </c>
      <c r="G1044" s="2" t="str">
        <f>IF(Iterations[[#This Row],[Step]] =current_step, current_a,IF(Iterations[[#This Row],[Step]] &gt; current_step, "",Iterations[[#This Row],[a]]))</f>
        <v/>
      </c>
      <c r="H1044" s="2" t="str">
        <f>IF(Iterations[[#This Row],[Step]] =current_step, current_b,IF(Iterations[[#This Row],[Step]] &gt; current_step, "",Iterations[[#This Row],[b]]))</f>
        <v/>
      </c>
      <c r="I1044" s="2" t="str">
        <f>IF(Iterations[[#This Row],[Step]] =current_step, current_c,IF(Iterations[[#This Row],[Step]] &gt; current_step, "",Iterations[[#This Row],[c]]))</f>
        <v/>
      </c>
      <c r="J1044" s="2" t="str">
        <f>IF(Iterations[[#This Row],[Step]] =current_step, current_d,IF(Iterations[[#This Row],[Step]] &gt; current_step, "",Iterations[[#This Row],[d]]))</f>
        <v/>
      </c>
      <c r="K1044" s="2" t="str">
        <f>IF(Iterations[[#This Row],[Step]] =current_step, current_e,IF(Iterations[[#This Row],[Step]] &gt; current_step, "",Iterations[[#This Row],[e]]))</f>
        <v/>
      </c>
      <c r="L1044" s="2" t="str">
        <f>IF(Iterations[[#This Row],[Step]] =current_step, current_Total_Loss,IF(Iterations[[#This Row],[Step]] &gt; current_step, "",Iterations[[#This Row],[Total Loss]]))</f>
        <v/>
      </c>
      <c r="M1044" s="6" t="s">
        <v>27</v>
      </c>
      <c r="N1044" s="2" t="str">
        <f>IF(Iterations[[#This Row],[Step]] =current_step, current_Grad_a,IF(Iterations[[#This Row],[Step]] &gt; current_step, "",Iterations[[#This Row],[Grad_a]]))</f>
        <v/>
      </c>
      <c r="O1044" s="2" t="str">
        <f>IF(Iterations[[#This Row],[Step]] =current_step, current_Grad_b,IF(Iterations[[#This Row],[Step]] &gt; current_step, "",Iterations[[#This Row],[Grad_b]]))</f>
        <v/>
      </c>
      <c r="P1044" s="2" t="str">
        <f>IF(Iterations[[#This Row],[Step]] =current_step, current_Grad_c,IF(Iterations[[#This Row],[Step]] &gt; current_step, "",Iterations[[#This Row],[Grad_c]]))</f>
        <v/>
      </c>
      <c r="Q1044" s="2" t="str">
        <f>IF(Iterations[[#This Row],[Step]] =current_step, current_Grad_d,IF(Iterations[[#This Row],[Step]] &gt; current_step, "",Iterations[[#This Row],[Grad_d]]))</f>
        <v/>
      </c>
      <c r="R1044" s="2" t="str">
        <f>IF(Iterations[[#This Row],[Step]] =current_step, current_Grad_e,IF(Iterations[[#This Row],[Step]] &gt; current_step, "",Iterations[[#This Row],[Grad_e]]))</f>
        <v/>
      </c>
    </row>
    <row r="1045" spans="6:18" x14ac:dyDescent="0.3">
      <c r="F1045" s="2">
        <f t="shared" si="21"/>
        <v>1028</v>
      </c>
      <c r="G1045" s="2" t="str">
        <f>IF(Iterations[[#This Row],[Step]] =current_step, current_a,IF(Iterations[[#This Row],[Step]] &gt; current_step, "",Iterations[[#This Row],[a]]))</f>
        <v/>
      </c>
      <c r="H1045" s="2" t="str">
        <f>IF(Iterations[[#This Row],[Step]] =current_step, current_b,IF(Iterations[[#This Row],[Step]] &gt; current_step, "",Iterations[[#This Row],[b]]))</f>
        <v/>
      </c>
      <c r="I1045" s="2" t="str">
        <f>IF(Iterations[[#This Row],[Step]] =current_step, current_c,IF(Iterations[[#This Row],[Step]] &gt; current_step, "",Iterations[[#This Row],[c]]))</f>
        <v/>
      </c>
      <c r="J1045" s="2" t="str">
        <f>IF(Iterations[[#This Row],[Step]] =current_step, current_d,IF(Iterations[[#This Row],[Step]] &gt; current_step, "",Iterations[[#This Row],[d]]))</f>
        <v/>
      </c>
      <c r="K1045" s="2" t="str">
        <f>IF(Iterations[[#This Row],[Step]] =current_step, current_e,IF(Iterations[[#This Row],[Step]] &gt; current_step, "",Iterations[[#This Row],[e]]))</f>
        <v/>
      </c>
      <c r="L1045" s="2" t="str">
        <f>IF(Iterations[[#This Row],[Step]] =current_step, current_Total_Loss,IF(Iterations[[#This Row],[Step]] &gt; current_step, "",Iterations[[#This Row],[Total Loss]]))</f>
        <v/>
      </c>
      <c r="M1045" s="6" t="s">
        <v>27</v>
      </c>
      <c r="N1045" s="2" t="str">
        <f>IF(Iterations[[#This Row],[Step]] =current_step, current_Grad_a,IF(Iterations[[#This Row],[Step]] &gt; current_step, "",Iterations[[#This Row],[Grad_a]]))</f>
        <v/>
      </c>
      <c r="O1045" s="2" t="str">
        <f>IF(Iterations[[#This Row],[Step]] =current_step, current_Grad_b,IF(Iterations[[#This Row],[Step]] &gt; current_step, "",Iterations[[#This Row],[Grad_b]]))</f>
        <v/>
      </c>
      <c r="P1045" s="2" t="str">
        <f>IF(Iterations[[#This Row],[Step]] =current_step, current_Grad_c,IF(Iterations[[#This Row],[Step]] &gt; current_step, "",Iterations[[#This Row],[Grad_c]]))</f>
        <v/>
      </c>
      <c r="Q1045" s="2" t="str">
        <f>IF(Iterations[[#This Row],[Step]] =current_step, current_Grad_d,IF(Iterations[[#This Row],[Step]] &gt; current_step, "",Iterations[[#This Row],[Grad_d]]))</f>
        <v/>
      </c>
      <c r="R1045" s="2" t="str">
        <f>IF(Iterations[[#This Row],[Step]] =current_step, current_Grad_e,IF(Iterations[[#This Row],[Step]] &gt; current_step, "",Iterations[[#This Row],[Grad_e]]))</f>
        <v/>
      </c>
    </row>
    <row r="1046" spans="6:18" x14ac:dyDescent="0.3">
      <c r="F1046" s="2">
        <f t="shared" si="21"/>
        <v>1029</v>
      </c>
      <c r="G1046" s="2" t="str">
        <f>IF(Iterations[[#This Row],[Step]] =current_step, current_a,IF(Iterations[[#This Row],[Step]] &gt; current_step, "",Iterations[[#This Row],[a]]))</f>
        <v/>
      </c>
      <c r="H1046" s="2" t="str">
        <f>IF(Iterations[[#This Row],[Step]] =current_step, current_b,IF(Iterations[[#This Row],[Step]] &gt; current_step, "",Iterations[[#This Row],[b]]))</f>
        <v/>
      </c>
      <c r="I1046" s="2" t="str">
        <f>IF(Iterations[[#This Row],[Step]] =current_step, current_c,IF(Iterations[[#This Row],[Step]] &gt; current_step, "",Iterations[[#This Row],[c]]))</f>
        <v/>
      </c>
      <c r="J1046" s="2" t="str">
        <f>IF(Iterations[[#This Row],[Step]] =current_step, current_d,IF(Iterations[[#This Row],[Step]] &gt; current_step, "",Iterations[[#This Row],[d]]))</f>
        <v/>
      </c>
      <c r="K1046" s="2" t="str">
        <f>IF(Iterations[[#This Row],[Step]] =current_step, current_e,IF(Iterations[[#This Row],[Step]] &gt; current_step, "",Iterations[[#This Row],[e]]))</f>
        <v/>
      </c>
      <c r="L1046" s="2" t="str">
        <f>IF(Iterations[[#This Row],[Step]] =current_step, current_Total_Loss,IF(Iterations[[#This Row],[Step]] &gt; current_step, "",Iterations[[#This Row],[Total Loss]]))</f>
        <v/>
      </c>
      <c r="M1046" s="6" t="s">
        <v>27</v>
      </c>
      <c r="N1046" s="2" t="str">
        <f>IF(Iterations[[#This Row],[Step]] =current_step, current_Grad_a,IF(Iterations[[#This Row],[Step]] &gt; current_step, "",Iterations[[#This Row],[Grad_a]]))</f>
        <v/>
      </c>
      <c r="O1046" s="2" t="str">
        <f>IF(Iterations[[#This Row],[Step]] =current_step, current_Grad_b,IF(Iterations[[#This Row],[Step]] &gt; current_step, "",Iterations[[#This Row],[Grad_b]]))</f>
        <v/>
      </c>
      <c r="P1046" s="2" t="str">
        <f>IF(Iterations[[#This Row],[Step]] =current_step, current_Grad_c,IF(Iterations[[#This Row],[Step]] &gt; current_step, "",Iterations[[#This Row],[Grad_c]]))</f>
        <v/>
      </c>
      <c r="Q1046" s="2" t="str">
        <f>IF(Iterations[[#This Row],[Step]] =current_step, current_Grad_d,IF(Iterations[[#This Row],[Step]] &gt; current_step, "",Iterations[[#This Row],[Grad_d]]))</f>
        <v/>
      </c>
      <c r="R1046" s="2" t="str">
        <f>IF(Iterations[[#This Row],[Step]] =current_step, current_Grad_e,IF(Iterations[[#This Row],[Step]] &gt; current_step, "",Iterations[[#This Row],[Grad_e]]))</f>
        <v/>
      </c>
    </row>
    <row r="1047" spans="6:18" x14ac:dyDescent="0.3">
      <c r="F1047" s="2">
        <f t="shared" si="21"/>
        <v>1030</v>
      </c>
      <c r="G1047" s="2" t="str">
        <f>IF(Iterations[[#This Row],[Step]] =current_step, current_a,IF(Iterations[[#This Row],[Step]] &gt; current_step, "",Iterations[[#This Row],[a]]))</f>
        <v/>
      </c>
      <c r="H1047" s="2" t="str">
        <f>IF(Iterations[[#This Row],[Step]] =current_step, current_b,IF(Iterations[[#This Row],[Step]] &gt; current_step, "",Iterations[[#This Row],[b]]))</f>
        <v/>
      </c>
      <c r="I1047" s="2" t="str">
        <f>IF(Iterations[[#This Row],[Step]] =current_step, current_c,IF(Iterations[[#This Row],[Step]] &gt; current_step, "",Iterations[[#This Row],[c]]))</f>
        <v/>
      </c>
      <c r="J1047" s="2" t="str">
        <f>IF(Iterations[[#This Row],[Step]] =current_step, current_d,IF(Iterations[[#This Row],[Step]] &gt; current_step, "",Iterations[[#This Row],[d]]))</f>
        <v/>
      </c>
      <c r="K1047" s="2" t="str">
        <f>IF(Iterations[[#This Row],[Step]] =current_step, current_e,IF(Iterations[[#This Row],[Step]] &gt; current_step, "",Iterations[[#This Row],[e]]))</f>
        <v/>
      </c>
      <c r="L1047" s="2" t="str">
        <f>IF(Iterations[[#This Row],[Step]] =current_step, current_Total_Loss,IF(Iterations[[#This Row],[Step]] &gt; current_step, "",Iterations[[#This Row],[Total Loss]]))</f>
        <v/>
      </c>
      <c r="M1047" s="6" t="s">
        <v>27</v>
      </c>
      <c r="N1047" s="2" t="str">
        <f>IF(Iterations[[#This Row],[Step]] =current_step, current_Grad_a,IF(Iterations[[#This Row],[Step]] &gt; current_step, "",Iterations[[#This Row],[Grad_a]]))</f>
        <v/>
      </c>
      <c r="O1047" s="2" t="str">
        <f>IF(Iterations[[#This Row],[Step]] =current_step, current_Grad_b,IF(Iterations[[#This Row],[Step]] &gt; current_step, "",Iterations[[#This Row],[Grad_b]]))</f>
        <v/>
      </c>
      <c r="P1047" s="2" t="str">
        <f>IF(Iterations[[#This Row],[Step]] =current_step, current_Grad_c,IF(Iterations[[#This Row],[Step]] &gt; current_step, "",Iterations[[#This Row],[Grad_c]]))</f>
        <v/>
      </c>
      <c r="Q1047" s="2" t="str">
        <f>IF(Iterations[[#This Row],[Step]] =current_step, current_Grad_d,IF(Iterations[[#This Row],[Step]] &gt; current_step, "",Iterations[[#This Row],[Grad_d]]))</f>
        <v/>
      </c>
      <c r="R1047" s="2" t="str">
        <f>IF(Iterations[[#This Row],[Step]] =current_step, current_Grad_e,IF(Iterations[[#This Row],[Step]] &gt; current_step, "",Iterations[[#This Row],[Grad_e]]))</f>
        <v/>
      </c>
    </row>
    <row r="1048" spans="6:18" x14ac:dyDescent="0.3">
      <c r="F1048" s="2">
        <f t="shared" si="21"/>
        <v>1031</v>
      </c>
      <c r="G1048" s="2" t="str">
        <f>IF(Iterations[[#This Row],[Step]] =current_step, current_a,IF(Iterations[[#This Row],[Step]] &gt; current_step, "",Iterations[[#This Row],[a]]))</f>
        <v/>
      </c>
      <c r="H1048" s="2" t="str">
        <f>IF(Iterations[[#This Row],[Step]] =current_step, current_b,IF(Iterations[[#This Row],[Step]] &gt; current_step, "",Iterations[[#This Row],[b]]))</f>
        <v/>
      </c>
      <c r="I1048" s="2" t="str">
        <f>IF(Iterations[[#This Row],[Step]] =current_step, current_c,IF(Iterations[[#This Row],[Step]] &gt; current_step, "",Iterations[[#This Row],[c]]))</f>
        <v/>
      </c>
      <c r="J1048" s="2" t="str">
        <f>IF(Iterations[[#This Row],[Step]] =current_step, current_d,IF(Iterations[[#This Row],[Step]] &gt; current_step, "",Iterations[[#This Row],[d]]))</f>
        <v/>
      </c>
      <c r="K1048" s="2" t="str">
        <f>IF(Iterations[[#This Row],[Step]] =current_step, current_e,IF(Iterations[[#This Row],[Step]] &gt; current_step, "",Iterations[[#This Row],[e]]))</f>
        <v/>
      </c>
      <c r="L1048" s="2" t="str">
        <f>IF(Iterations[[#This Row],[Step]] =current_step, current_Total_Loss,IF(Iterations[[#This Row],[Step]] &gt; current_step, "",Iterations[[#This Row],[Total Loss]]))</f>
        <v/>
      </c>
      <c r="M1048" s="6" t="s">
        <v>27</v>
      </c>
      <c r="N1048" s="2" t="str">
        <f>IF(Iterations[[#This Row],[Step]] =current_step, current_Grad_a,IF(Iterations[[#This Row],[Step]] &gt; current_step, "",Iterations[[#This Row],[Grad_a]]))</f>
        <v/>
      </c>
      <c r="O1048" s="2" t="str">
        <f>IF(Iterations[[#This Row],[Step]] =current_step, current_Grad_b,IF(Iterations[[#This Row],[Step]] &gt; current_step, "",Iterations[[#This Row],[Grad_b]]))</f>
        <v/>
      </c>
      <c r="P1048" s="2" t="str">
        <f>IF(Iterations[[#This Row],[Step]] =current_step, current_Grad_c,IF(Iterations[[#This Row],[Step]] &gt; current_step, "",Iterations[[#This Row],[Grad_c]]))</f>
        <v/>
      </c>
      <c r="Q1048" s="2" t="str">
        <f>IF(Iterations[[#This Row],[Step]] =current_step, current_Grad_d,IF(Iterations[[#This Row],[Step]] &gt; current_step, "",Iterations[[#This Row],[Grad_d]]))</f>
        <v/>
      </c>
      <c r="R1048" s="2" t="str">
        <f>IF(Iterations[[#This Row],[Step]] =current_step, current_Grad_e,IF(Iterations[[#This Row],[Step]] &gt; current_step, "",Iterations[[#This Row],[Grad_e]]))</f>
        <v/>
      </c>
    </row>
    <row r="1049" spans="6:18" x14ac:dyDescent="0.3">
      <c r="F1049" s="2">
        <f t="shared" si="21"/>
        <v>1032</v>
      </c>
      <c r="G1049" s="2" t="str">
        <f>IF(Iterations[[#This Row],[Step]] =current_step, current_a,IF(Iterations[[#This Row],[Step]] &gt; current_step, "",Iterations[[#This Row],[a]]))</f>
        <v/>
      </c>
      <c r="H1049" s="2" t="str">
        <f>IF(Iterations[[#This Row],[Step]] =current_step, current_b,IF(Iterations[[#This Row],[Step]] &gt; current_step, "",Iterations[[#This Row],[b]]))</f>
        <v/>
      </c>
      <c r="I1049" s="2" t="str">
        <f>IF(Iterations[[#This Row],[Step]] =current_step, current_c,IF(Iterations[[#This Row],[Step]] &gt; current_step, "",Iterations[[#This Row],[c]]))</f>
        <v/>
      </c>
      <c r="J1049" s="2" t="str">
        <f>IF(Iterations[[#This Row],[Step]] =current_step, current_d,IF(Iterations[[#This Row],[Step]] &gt; current_step, "",Iterations[[#This Row],[d]]))</f>
        <v/>
      </c>
      <c r="K1049" s="2" t="str">
        <f>IF(Iterations[[#This Row],[Step]] =current_step, current_e,IF(Iterations[[#This Row],[Step]] &gt; current_step, "",Iterations[[#This Row],[e]]))</f>
        <v/>
      </c>
      <c r="L1049" s="2" t="str">
        <f>IF(Iterations[[#This Row],[Step]] =current_step, current_Total_Loss,IF(Iterations[[#This Row],[Step]] &gt; current_step, "",Iterations[[#This Row],[Total Loss]]))</f>
        <v/>
      </c>
      <c r="M1049" s="6" t="s">
        <v>27</v>
      </c>
      <c r="N1049" s="2" t="str">
        <f>IF(Iterations[[#This Row],[Step]] =current_step, current_Grad_a,IF(Iterations[[#This Row],[Step]] &gt; current_step, "",Iterations[[#This Row],[Grad_a]]))</f>
        <v/>
      </c>
      <c r="O1049" s="2" t="str">
        <f>IF(Iterations[[#This Row],[Step]] =current_step, current_Grad_b,IF(Iterations[[#This Row],[Step]] &gt; current_step, "",Iterations[[#This Row],[Grad_b]]))</f>
        <v/>
      </c>
      <c r="P1049" s="2" t="str">
        <f>IF(Iterations[[#This Row],[Step]] =current_step, current_Grad_c,IF(Iterations[[#This Row],[Step]] &gt; current_step, "",Iterations[[#This Row],[Grad_c]]))</f>
        <v/>
      </c>
      <c r="Q1049" s="2" t="str">
        <f>IF(Iterations[[#This Row],[Step]] =current_step, current_Grad_d,IF(Iterations[[#This Row],[Step]] &gt; current_step, "",Iterations[[#This Row],[Grad_d]]))</f>
        <v/>
      </c>
      <c r="R1049" s="2" t="str">
        <f>IF(Iterations[[#This Row],[Step]] =current_step, current_Grad_e,IF(Iterations[[#This Row],[Step]] &gt; current_step, "",Iterations[[#This Row],[Grad_e]]))</f>
        <v/>
      </c>
    </row>
    <row r="1050" spans="6:18" x14ac:dyDescent="0.3">
      <c r="F1050" s="2">
        <f t="shared" si="21"/>
        <v>1033</v>
      </c>
      <c r="G1050" s="2" t="str">
        <f>IF(Iterations[[#This Row],[Step]] =current_step, current_a,IF(Iterations[[#This Row],[Step]] &gt; current_step, "",Iterations[[#This Row],[a]]))</f>
        <v/>
      </c>
      <c r="H1050" s="2" t="str">
        <f>IF(Iterations[[#This Row],[Step]] =current_step, current_b,IF(Iterations[[#This Row],[Step]] &gt; current_step, "",Iterations[[#This Row],[b]]))</f>
        <v/>
      </c>
      <c r="I1050" s="2" t="str">
        <f>IF(Iterations[[#This Row],[Step]] =current_step, current_c,IF(Iterations[[#This Row],[Step]] &gt; current_step, "",Iterations[[#This Row],[c]]))</f>
        <v/>
      </c>
      <c r="J1050" s="2" t="str">
        <f>IF(Iterations[[#This Row],[Step]] =current_step, current_d,IF(Iterations[[#This Row],[Step]] &gt; current_step, "",Iterations[[#This Row],[d]]))</f>
        <v/>
      </c>
      <c r="K1050" s="2" t="str">
        <f>IF(Iterations[[#This Row],[Step]] =current_step, current_e,IF(Iterations[[#This Row],[Step]] &gt; current_step, "",Iterations[[#This Row],[e]]))</f>
        <v/>
      </c>
      <c r="L1050" s="2" t="str">
        <f>IF(Iterations[[#This Row],[Step]] =current_step, current_Total_Loss,IF(Iterations[[#This Row],[Step]] &gt; current_step, "",Iterations[[#This Row],[Total Loss]]))</f>
        <v/>
      </c>
      <c r="M1050" s="6" t="s">
        <v>27</v>
      </c>
      <c r="N1050" s="2" t="str">
        <f>IF(Iterations[[#This Row],[Step]] =current_step, current_Grad_a,IF(Iterations[[#This Row],[Step]] &gt; current_step, "",Iterations[[#This Row],[Grad_a]]))</f>
        <v/>
      </c>
      <c r="O1050" s="2" t="str">
        <f>IF(Iterations[[#This Row],[Step]] =current_step, current_Grad_b,IF(Iterations[[#This Row],[Step]] &gt; current_step, "",Iterations[[#This Row],[Grad_b]]))</f>
        <v/>
      </c>
      <c r="P1050" s="2" t="str">
        <f>IF(Iterations[[#This Row],[Step]] =current_step, current_Grad_c,IF(Iterations[[#This Row],[Step]] &gt; current_step, "",Iterations[[#This Row],[Grad_c]]))</f>
        <v/>
      </c>
      <c r="Q1050" s="2" t="str">
        <f>IF(Iterations[[#This Row],[Step]] =current_step, current_Grad_d,IF(Iterations[[#This Row],[Step]] &gt; current_step, "",Iterations[[#This Row],[Grad_d]]))</f>
        <v/>
      </c>
      <c r="R1050" s="2" t="str">
        <f>IF(Iterations[[#This Row],[Step]] =current_step, current_Grad_e,IF(Iterations[[#This Row],[Step]] &gt; current_step, "",Iterations[[#This Row],[Grad_e]]))</f>
        <v/>
      </c>
    </row>
    <row r="1051" spans="6:18" x14ac:dyDescent="0.3">
      <c r="F1051" s="2">
        <f t="shared" si="21"/>
        <v>1034</v>
      </c>
      <c r="G1051" s="2" t="str">
        <f>IF(Iterations[[#This Row],[Step]] =current_step, current_a,IF(Iterations[[#This Row],[Step]] &gt; current_step, "",Iterations[[#This Row],[a]]))</f>
        <v/>
      </c>
      <c r="H1051" s="2" t="str">
        <f>IF(Iterations[[#This Row],[Step]] =current_step, current_b,IF(Iterations[[#This Row],[Step]] &gt; current_step, "",Iterations[[#This Row],[b]]))</f>
        <v/>
      </c>
      <c r="I1051" s="2" t="str">
        <f>IF(Iterations[[#This Row],[Step]] =current_step, current_c,IF(Iterations[[#This Row],[Step]] &gt; current_step, "",Iterations[[#This Row],[c]]))</f>
        <v/>
      </c>
      <c r="J1051" s="2" t="str">
        <f>IF(Iterations[[#This Row],[Step]] =current_step, current_d,IF(Iterations[[#This Row],[Step]] &gt; current_step, "",Iterations[[#This Row],[d]]))</f>
        <v/>
      </c>
      <c r="K1051" s="2" t="str">
        <f>IF(Iterations[[#This Row],[Step]] =current_step, current_e,IF(Iterations[[#This Row],[Step]] &gt; current_step, "",Iterations[[#This Row],[e]]))</f>
        <v/>
      </c>
      <c r="L1051" s="2" t="str">
        <f>IF(Iterations[[#This Row],[Step]] =current_step, current_Total_Loss,IF(Iterations[[#This Row],[Step]] &gt; current_step, "",Iterations[[#This Row],[Total Loss]]))</f>
        <v/>
      </c>
      <c r="M1051" s="6" t="s">
        <v>27</v>
      </c>
      <c r="N1051" s="2" t="str">
        <f>IF(Iterations[[#This Row],[Step]] =current_step, current_Grad_a,IF(Iterations[[#This Row],[Step]] &gt; current_step, "",Iterations[[#This Row],[Grad_a]]))</f>
        <v/>
      </c>
      <c r="O1051" s="2" t="str">
        <f>IF(Iterations[[#This Row],[Step]] =current_step, current_Grad_b,IF(Iterations[[#This Row],[Step]] &gt; current_step, "",Iterations[[#This Row],[Grad_b]]))</f>
        <v/>
      </c>
      <c r="P1051" s="2" t="str">
        <f>IF(Iterations[[#This Row],[Step]] =current_step, current_Grad_c,IF(Iterations[[#This Row],[Step]] &gt; current_step, "",Iterations[[#This Row],[Grad_c]]))</f>
        <v/>
      </c>
      <c r="Q1051" s="2" t="str">
        <f>IF(Iterations[[#This Row],[Step]] =current_step, current_Grad_d,IF(Iterations[[#This Row],[Step]] &gt; current_step, "",Iterations[[#This Row],[Grad_d]]))</f>
        <v/>
      </c>
      <c r="R1051" s="2" t="str">
        <f>IF(Iterations[[#This Row],[Step]] =current_step, current_Grad_e,IF(Iterations[[#This Row],[Step]] &gt; current_step, "",Iterations[[#This Row],[Grad_e]]))</f>
        <v/>
      </c>
    </row>
    <row r="1052" spans="6:18" x14ac:dyDescent="0.3">
      <c r="F1052" s="2">
        <f t="shared" si="21"/>
        <v>1035</v>
      </c>
      <c r="G1052" s="2" t="str">
        <f>IF(Iterations[[#This Row],[Step]] =current_step, current_a,IF(Iterations[[#This Row],[Step]] &gt; current_step, "",Iterations[[#This Row],[a]]))</f>
        <v/>
      </c>
      <c r="H1052" s="2" t="str">
        <f>IF(Iterations[[#This Row],[Step]] =current_step, current_b,IF(Iterations[[#This Row],[Step]] &gt; current_step, "",Iterations[[#This Row],[b]]))</f>
        <v/>
      </c>
      <c r="I1052" s="2" t="str">
        <f>IF(Iterations[[#This Row],[Step]] =current_step, current_c,IF(Iterations[[#This Row],[Step]] &gt; current_step, "",Iterations[[#This Row],[c]]))</f>
        <v/>
      </c>
      <c r="J1052" s="2" t="str">
        <f>IF(Iterations[[#This Row],[Step]] =current_step, current_d,IF(Iterations[[#This Row],[Step]] &gt; current_step, "",Iterations[[#This Row],[d]]))</f>
        <v/>
      </c>
      <c r="K1052" s="2" t="str">
        <f>IF(Iterations[[#This Row],[Step]] =current_step, current_e,IF(Iterations[[#This Row],[Step]] &gt; current_step, "",Iterations[[#This Row],[e]]))</f>
        <v/>
      </c>
      <c r="L1052" s="2" t="str">
        <f>IF(Iterations[[#This Row],[Step]] =current_step, current_Total_Loss,IF(Iterations[[#This Row],[Step]] &gt; current_step, "",Iterations[[#This Row],[Total Loss]]))</f>
        <v/>
      </c>
      <c r="M1052" s="6" t="s">
        <v>27</v>
      </c>
      <c r="N1052" s="2" t="str">
        <f>IF(Iterations[[#This Row],[Step]] =current_step, current_Grad_a,IF(Iterations[[#This Row],[Step]] &gt; current_step, "",Iterations[[#This Row],[Grad_a]]))</f>
        <v/>
      </c>
      <c r="O1052" s="2" t="str">
        <f>IF(Iterations[[#This Row],[Step]] =current_step, current_Grad_b,IF(Iterations[[#This Row],[Step]] &gt; current_step, "",Iterations[[#This Row],[Grad_b]]))</f>
        <v/>
      </c>
      <c r="P1052" s="2" t="str">
        <f>IF(Iterations[[#This Row],[Step]] =current_step, current_Grad_c,IF(Iterations[[#This Row],[Step]] &gt; current_step, "",Iterations[[#This Row],[Grad_c]]))</f>
        <v/>
      </c>
      <c r="Q1052" s="2" t="str">
        <f>IF(Iterations[[#This Row],[Step]] =current_step, current_Grad_d,IF(Iterations[[#This Row],[Step]] &gt; current_step, "",Iterations[[#This Row],[Grad_d]]))</f>
        <v/>
      </c>
      <c r="R1052" s="2" t="str">
        <f>IF(Iterations[[#This Row],[Step]] =current_step, current_Grad_e,IF(Iterations[[#This Row],[Step]] &gt; current_step, "",Iterations[[#This Row],[Grad_e]]))</f>
        <v/>
      </c>
    </row>
    <row r="1053" spans="6:18" x14ac:dyDescent="0.3">
      <c r="F1053" s="2">
        <f t="shared" si="21"/>
        <v>1036</v>
      </c>
      <c r="G1053" s="2" t="str">
        <f>IF(Iterations[[#This Row],[Step]] =current_step, current_a,IF(Iterations[[#This Row],[Step]] &gt; current_step, "",Iterations[[#This Row],[a]]))</f>
        <v/>
      </c>
      <c r="H1053" s="2" t="str">
        <f>IF(Iterations[[#This Row],[Step]] =current_step, current_b,IF(Iterations[[#This Row],[Step]] &gt; current_step, "",Iterations[[#This Row],[b]]))</f>
        <v/>
      </c>
      <c r="I1053" s="2" t="str">
        <f>IF(Iterations[[#This Row],[Step]] =current_step, current_c,IF(Iterations[[#This Row],[Step]] &gt; current_step, "",Iterations[[#This Row],[c]]))</f>
        <v/>
      </c>
      <c r="J1053" s="2" t="str">
        <f>IF(Iterations[[#This Row],[Step]] =current_step, current_d,IF(Iterations[[#This Row],[Step]] &gt; current_step, "",Iterations[[#This Row],[d]]))</f>
        <v/>
      </c>
      <c r="K1053" s="2" t="str">
        <f>IF(Iterations[[#This Row],[Step]] =current_step, current_e,IF(Iterations[[#This Row],[Step]] &gt; current_step, "",Iterations[[#This Row],[e]]))</f>
        <v/>
      </c>
      <c r="L1053" s="2" t="str">
        <f>IF(Iterations[[#This Row],[Step]] =current_step, current_Total_Loss,IF(Iterations[[#This Row],[Step]] &gt; current_step, "",Iterations[[#This Row],[Total Loss]]))</f>
        <v/>
      </c>
      <c r="M1053" s="6" t="s">
        <v>27</v>
      </c>
      <c r="N1053" s="2" t="str">
        <f>IF(Iterations[[#This Row],[Step]] =current_step, current_Grad_a,IF(Iterations[[#This Row],[Step]] &gt; current_step, "",Iterations[[#This Row],[Grad_a]]))</f>
        <v/>
      </c>
      <c r="O1053" s="2" t="str">
        <f>IF(Iterations[[#This Row],[Step]] =current_step, current_Grad_b,IF(Iterations[[#This Row],[Step]] &gt; current_step, "",Iterations[[#This Row],[Grad_b]]))</f>
        <v/>
      </c>
      <c r="P1053" s="2" t="str">
        <f>IF(Iterations[[#This Row],[Step]] =current_step, current_Grad_c,IF(Iterations[[#This Row],[Step]] &gt; current_step, "",Iterations[[#This Row],[Grad_c]]))</f>
        <v/>
      </c>
      <c r="Q1053" s="2" t="str">
        <f>IF(Iterations[[#This Row],[Step]] =current_step, current_Grad_d,IF(Iterations[[#This Row],[Step]] &gt; current_step, "",Iterations[[#This Row],[Grad_d]]))</f>
        <v/>
      </c>
      <c r="R1053" s="2" t="str">
        <f>IF(Iterations[[#This Row],[Step]] =current_step, current_Grad_e,IF(Iterations[[#This Row],[Step]] &gt; current_step, "",Iterations[[#This Row],[Grad_e]]))</f>
        <v/>
      </c>
    </row>
    <row r="1054" spans="6:18" x14ac:dyDescent="0.3">
      <c r="F1054" s="2">
        <f t="shared" si="21"/>
        <v>1037</v>
      </c>
      <c r="G1054" s="2" t="str">
        <f>IF(Iterations[[#This Row],[Step]] =current_step, current_a,IF(Iterations[[#This Row],[Step]] &gt; current_step, "",Iterations[[#This Row],[a]]))</f>
        <v/>
      </c>
      <c r="H1054" s="2" t="str">
        <f>IF(Iterations[[#This Row],[Step]] =current_step, current_b,IF(Iterations[[#This Row],[Step]] &gt; current_step, "",Iterations[[#This Row],[b]]))</f>
        <v/>
      </c>
      <c r="I1054" s="2" t="str">
        <f>IF(Iterations[[#This Row],[Step]] =current_step, current_c,IF(Iterations[[#This Row],[Step]] &gt; current_step, "",Iterations[[#This Row],[c]]))</f>
        <v/>
      </c>
      <c r="J1054" s="2" t="str">
        <f>IF(Iterations[[#This Row],[Step]] =current_step, current_d,IF(Iterations[[#This Row],[Step]] &gt; current_step, "",Iterations[[#This Row],[d]]))</f>
        <v/>
      </c>
      <c r="K1054" s="2" t="str">
        <f>IF(Iterations[[#This Row],[Step]] =current_step, current_e,IF(Iterations[[#This Row],[Step]] &gt; current_step, "",Iterations[[#This Row],[e]]))</f>
        <v/>
      </c>
      <c r="L1054" s="2" t="str">
        <f>IF(Iterations[[#This Row],[Step]] =current_step, current_Total_Loss,IF(Iterations[[#This Row],[Step]] &gt; current_step, "",Iterations[[#This Row],[Total Loss]]))</f>
        <v/>
      </c>
      <c r="M1054" s="6" t="s">
        <v>27</v>
      </c>
      <c r="N1054" s="2" t="str">
        <f>IF(Iterations[[#This Row],[Step]] =current_step, current_Grad_a,IF(Iterations[[#This Row],[Step]] &gt; current_step, "",Iterations[[#This Row],[Grad_a]]))</f>
        <v/>
      </c>
      <c r="O1054" s="2" t="str">
        <f>IF(Iterations[[#This Row],[Step]] =current_step, current_Grad_b,IF(Iterations[[#This Row],[Step]] &gt; current_step, "",Iterations[[#This Row],[Grad_b]]))</f>
        <v/>
      </c>
      <c r="P1054" s="2" t="str">
        <f>IF(Iterations[[#This Row],[Step]] =current_step, current_Grad_c,IF(Iterations[[#This Row],[Step]] &gt; current_step, "",Iterations[[#This Row],[Grad_c]]))</f>
        <v/>
      </c>
      <c r="Q1054" s="2" t="str">
        <f>IF(Iterations[[#This Row],[Step]] =current_step, current_Grad_d,IF(Iterations[[#This Row],[Step]] &gt; current_step, "",Iterations[[#This Row],[Grad_d]]))</f>
        <v/>
      </c>
      <c r="R1054" s="2" t="str">
        <f>IF(Iterations[[#This Row],[Step]] =current_step, current_Grad_e,IF(Iterations[[#This Row],[Step]] &gt; current_step, "",Iterations[[#This Row],[Grad_e]]))</f>
        <v/>
      </c>
    </row>
    <row r="1055" spans="6:18" x14ac:dyDescent="0.3">
      <c r="F1055" s="2">
        <f t="shared" si="21"/>
        <v>1038</v>
      </c>
      <c r="G1055" s="2" t="str">
        <f>IF(Iterations[[#This Row],[Step]] =current_step, current_a,IF(Iterations[[#This Row],[Step]] &gt; current_step, "",Iterations[[#This Row],[a]]))</f>
        <v/>
      </c>
      <c r="H1055" s="2" t="str">
        <f>IF(Iterations[[#This Row],[Step]] =current_step, current_b,IF(Iterations[[#This Row],[Step]] &gt; current_step, "",Iterations[[#This Row],[b]]))</f>
        <v/>
      </c>
      <c r="I1055" s="2" t="str">
        <f>IF(Iterations[[#This Row],[Step]] =current_step, current_c,IF(Iterations[[#This Row],[Step]] &gt; current_step, "",Iterations[[#This Row],[c]]))</f>
        <v/>
      </c>
      <c r="J1055" s="2" t="str">
        <f>IF(Iterations[[#This Row],[Step]] =current_step, current_d,IF(Iterations[[#This Row],[Step]] &gt; current_step, "",Iterations[[#This Row],[d]]))</f>
        <v/>
      </c>
      <c r="K1055" s="2" t="str">
        <f>IF(Iterations[[#This Row],[Step]] =current_step, current_e,IF(Iterations[[#This Row],[Step]] &gt; current_step, "",Iterations[[#This Row],[e]]))</f>
        <v/>
      </c>
      <c r="L1055" s="2" t="str">
        <f>IF(Iterations[[#This Row],[Step]] =current_step, current_Total_Loss,IF(Iterations[[#This Row],[Step]] &gt; current_step, "",Iterations[[#This Row],[Total Loss]]))</f>
        <v/>
      </c>
      <c r="M1055" s="6" t="s">
        <v>27</v>
      </c>
      <c r="N1055" s="2" t="str">
        <f>IF(Iterations[[#This Row],[Step]] =current_step, current_Grad_a,IF(Iterations[[#This Row],[Step]] &gt; current_step, "",Iterations[[#This Row],[Grad_a]]))</f>
        <v/>
      </c>
      <c r="O1055" s="2" t="str">
        <f>IF(Iterations[[#This Row],[Step]] =current_step, current_Grad_b,IF(Iterations[[#This Row],[Step]] &gt; current_step, "",Iterations[[#This Row],[Grad_b]]))</f>
        <v/>
      </c>
      <c r="P1055" s="2" t="str">
        <f>IF(Iterations[[#This Row],[Step]] =current_step, current_Grad_c,IF(Iterations[[#This Row],[Step]] &gt; current_step, "",Iterations[[#This Row],[Grad_c]]))</f>
        <v/>
      </c>
      <c r="Q1055" s="2" t="str">
        <f>IF(Iterations[[#This Row],[Step]] =current_step, current_Grad_d,IF(Iterations[[#This Row],[Step]] &gt; current_step, "",Iterations[[#This Row],[Grad_d]]))</f>
        <v/>
      </c>
      <c r="R1055" s="2" t="str">
        <f>IF(Iterations[[#This Row],[Step]] =current_step, current_Grad_e,IF(Iterations[[#This Row],[Step]] &gt; current_step, "",Iterations[[#This Row],[Grad_e]]))</f>
        <v/>
      </c>
    </row>
    <row r="1056" spans="6:18" x14ac:dyDescent="0.3">
      <c r="F1056" s="2">
        <f t="shared" si="21"/>
        <v>1039</v>
      </c>
      <c r="G1056" s="2" t="str">
        <f>IF(Iterations[[#This Row],[Step]] =current_step, current_a,IF(Iterations[[#This Row],[Step]] &gt; current_step, "",Iterations[[#This Row],[a]]))</f>
        <v/>
      </c>
      <c r="H1056" s="2" t="str">
        <f>IF(Iterations[[#This Row],[Step]] =current_step, current_b,IF(Iterations[[#This Row],[Step]] &gt; current_step, "",Iterations[[#This Row],[b]]))</f>
        <v/>
      </c>
      <c r="I1056" s="2" t="str">
        <f>IF(Iterations[[#This Row],[Step]] =current_step, current_c,IF(Iterations[[#This Row],[Step]] &gt; current_step, "",Iterations[[#This Row],[c]]))</f>
        <v/>
      </c>
      <c r="J1056" s="2" t="str">
        <f>IF(Iterations[[#This Row],[Step]] =current_step, current_d,IF(Iterations[[#This Row],[Step]] &gt; current_step, "",Iterations[[#This Row],[d]]))</f>
        <v/>
      </c>
      <c r="K1056" s="2" t="str">
        <f>IF(Iterations[[#This Row],[Step]] =current_step, current_e,IF(Iterations[[#This Row],[Step]] &gt; current_step, "",Iterations[[#This Row],[e]]))</f>
        <v/>
      </c>
      <c r="L1056" s="2" t="str">
        <f>IF(Iterations[[#This Row],[Step]] =current_step, current_Total_Loss,IF(Iterations[[#This Row],[Step]] &gt; current_step, "",Iterations[[#This Row],[Total Loss]]))</f>
        <v/>
      </c>
      <c r="M1056" s="6" t="s">
        <v>27</v>
      </c>
      <c r="N1056" s="2" t="str">
        <f>IF(Iterations[[#This Row],[Step]] =current_step, current_Grad_a,IF(Iterations[[#This Row],[Step]] &gt; current_step, "",Iterations[[#This Row],[Grad_a]]))</f>
        <v/>
      </c>
      <c r="O1056" s="2" t="str">
        <f>IF(Iterations[[#This Row],[Step]] =current_step, current_Grad_b,IF(Iterations[[#This Row],[Step]] &gt; current_step, "",Iterations[[#This Row],[Grad_b]]))</f>
        <v/>
      </c>
      <c r="P1056" s="2" t="str">
        <f>IF(Iterations[[#This Row],[Step]] =current_step, current_Grad_c,IF(Iterations[[#This Row],[Step]] &gt; current_step, "",Iterations[[#This Row],[Grad_c]]))</f>
        <v/>
      </c>
      <c r="Q1056" s="2" t="str">
        <f>IF(Iterations[[#This Row],[Step]] =current_step, current_Grad_d,IF(Iterations[[#This Row],[Step]] &gt; current_step, "",Iterations[[#This Row],[Grad_d]]))</f>
        <v/>
      </c>
      <c r="R1056" s="2" t="str">
        <f>IF(Iterations[[#This Row],[Step]] =current_step, current_Grad_e,IF(Iterations[[#This Row],[Step]] &gt; current_step, "",Iterations[[#This Row],[Grad_e]]))</f>
        <v/>
      </c>
    </row>
    <row r="1057" spans="6:18" x14ac:dyDescent="0.3">
      <c r="F1057" s="2">
        <f t="shared" si="21"/>
        <v>1040</v>
      </c>
      <c r="G1057" s="2" t="str">
        <f>IF(Iterations[[#This Row],[Step]] =current_step, current_a,IF(Iterations[[#This Row],[Step]] &gt; current_step, "",Iterations[[#This Row],[a]]))</f>
        <v/>
      </c>
      <c r="H1057" s="2" t="str">
        <f>IF(Iterations[[#This Row],[Step]] =current_step, current_b,IF(Iterations[[#This Row],[Step]] &gt; current_step, "",Iterations[[#This Row],[b]]))</f>
        <v/>
      </c>
      <c r="I1057" s="2" t="str">
        <f>IF(Iterations[[#This Row],[Step]] =current_step, current_c,IF(Iterations[[#This Row],[Step]] &gt; current_step, "",Iterations[[#This Row],[c]]))</f>
        <v/>
      </c>
      <c r="J1057" s="2" t="str">
        <f>IF(Iterations[[#This Row],[Step]] =current_step, current_d,IF(Iterations[[#This Row],[Step]] &gt; current_step, "",Iterations[[#This Row],[d]]))</f>
        <v/>
      </c>
      <c r="K1057" s="2" t="str">
        <f>IF(Iterations[[#This Row],[Step]] =current_step, current_e,IF(Iterations[[#This Row],[Step]] &gt; current_step, "",Iterations[[#This Row],[e]]))</f>
        <v/>
      </c>
      <c r="L1057" s="2" t="str">
        <f>IF(Iterations[[#This Row],[Step]] =current_step, current_Total_Loss,IF(Iterations[[#This Row],[Step]] &gt; current_step, "",Iterations[[#This Row],[Total Loss]]))</f>
        <v/>
      </c>
      <c r="M1057" s="6" t="s">
        <v>27</v>
      </c>
      <c r="N1057" s="2" t="str">
        <f>IF(Iterations[[#This Row],[Step]] =current_step, current_Grad_a,IF(Iterations[[#This Row],[Step]] &gt; current_step, "",Iterations[[#This Row],[Grad_a]]))</f>
        <v/>
      </c>
      <c r="O1057" s="2" t="str">
        <f>IF(Iterations[[#This Row],[Step]] =current_step, current_Grad_b,IF(Iterations[[#This Row],[Step]] &gt; current_step, "",Iterations[[#This Row],[Grad_b]]))</f>
        <v/>
      </c>
      <c r="P1057" s="2" t="str">
        <f>IF(Iterations[[#This Row],[Step]] =current_step, current_Grad_c,IF(Iterations[[#This Row],[Step]] &gt; current_step, "",Iterations[[#This Row],[Grad_c]]))</f>
        <v/>
      </c>
      <c r="Q1057" s="2" t="str">
        <f>IF(Iterations[[#This Row],[Step]] =current_step, current_Grad_d,IF(Iterations[[#This Row],[Step]] &gt; current_step, "",Iterations[[#This Row],[Grad_d]]))</f>
        <v/>
      </c>
      <c r="R1057" s="2" t="str">
        <f>IF(Iterations[[#This Row],[Step]] =current_step, current_Grad_e,IF(Iterations[[#This Row],[Step]] &gt; current_step, "",Iterations[[#This Row],[Grad_e]]))</f>
        <v/>
      </c>
    </row>
    <row r="1058" spans="6:18" x14ac:dyDescent="0.3">
      <c r="F1058" s="2">
        <f t="shared" si="21"/>
        <v>1041</v>
      </c>
      <c r="G1058" s="2" t="str">
        <f>IF(Iterations[[#This Row],[Step]] =current_step, current_a,IF(Iterations[[#This Row],[Step]] &gt; current_step, "",Iterations[[#This Row],[a]]))</f>
        <v/>
      </c>
      <c r="H1058" s="2" t="str">
        <f>IF(Iterations[[#This Row],[Step]] =current_step, current_b,IF(Iterations[[#This Row],[Step]] &gt; current_step, "",Iterations[[#This Row],[b]]))</f>
        <v/>
      </c>
      <c r="I1058" s="2" t="str">
        <f>IF(Iterations[[#This Row],[Step]] =current_step, current_c,IF(Iterations[[#This Row],[Step]] &gt; current_step, "",Iterations[[#This Row],[c]]))</f>
        <v/>
      </c>
      <c r="J1058" s="2" t="str">
        <f>IF(Iterations[[#This Row],[Step]] =current_step, current_d,IF(Iterations[[#This Row],[Step]] &gt; current_step, "",Iterations[[#This Row],[d]]))</f>
        <v/>
      </c>
      <c r="K1058" s="2" t="str">
        <f>IF(Iterations[[#This Row],[Step]] =current_step, current_e,IF(Iterations[[#This Row],[Step]] &gt; current_step, "",Iterations[[#This Row],[e]]))</f>
        <v/>
      </c>
      <c r="L1058" s="2" t="str">
        <f>IF(Iterations[[#This Row],[Step]] =current_step, current_Total_Loss,IF(Iterations[[#This Row],[Step]] &gt; current_step, "",Iterations[[#This Row],[Total Loss]]))</f>
        <v/>
      </c>
      <c r="M1058" s="6" t="s">
        <v>27</v>
      </c>
      <c r="N1058" s="2" t="str">
        <f>IF(Iterations[[#This Row],[Step]] =current_step, current_Grad_a,IF(Iterations[[#This Row],[Step]] &gt; current_step, "",Iterations[[#This Row],[Grad_a]]))</f>
        <v/>
      </c>
      <c r="O1058" s="2" t="str">
        <f>IF(Iterations[[#This Row],[Step]] =current_step, current_Grad_b,IF(Iterations[[#This Row],[Step]] &gt; current_step, "",Iterations[[#This Row],[Grad_b]]))</f>
        <v/>
      </c>
      <c r="P1058" s="2" t="str">
        <f>IF(Iterations[[#This Row],[Step]] =current_step, current_Grad_c,IF(Iterations[[#This Row],[Step]] &gt; current_step, "",Iterations[[#This Row],[Grad_c]]))</f>
        <v/>
      </c>
      <c r="Q1058" s="2" t="str">
        <f>IF(Iterations[[#This Row],[Step]] =current_step, current_Grad_d,IF(Iterations[[#This Row],[Step]] &gt; current_step, "",Iterations[[#This Row],[Grad_d]]))</f>
        <v/>
      </c>
      <c r="R1058" s="2" t="str">
        <f>IF(Iterations[[#This Row],[Step]] =current_step, current_Grad_e,IF(Iterations[[#This Row],[Step]] &gt; current_step, "",Iterations[[#This Row],[Grad_e]]))</f>
        <v/>
      </c>
    </row>
    <row r="1059" spans="6:18" x14ac:dyDescent="0.3">
      <c r="F1059" s="2">
        <f t="shared" si="21"/>
        <v>1042</v>
      </c>
      <c r="G1059" s="2" t="str">
        <f>IF(Iterations[[#This Row],[Step]] =current_step, current_a,IF(Iterations[[#This Row],[Step]] &gt; current_step, "",Iterations[[#This Row],[a]]))</f>
        <v/>
      </c>
      <c r="H1059" s="2" t="str">
        <f>IF(Iterations[[#This Row],[Step]] =current_step, current_b,IF(Iterations[[#This Row],[Step]] &gt; current_step, "",Iterations[[#This Row],[b]]))</f>
        <v/>
      </c>
      <c r="I1059" s="2" t="str">
        <f>IF(Iterations[[#This Row],[Step]] =current_step, current_c,IF(Iterations[[#This Row],[Step]] &gt; current_step, "",Iterations[[#This Row],[c]]))</f>
        <v/>
      </c>
      <c r="J1059" s="2" t="str">
        <f>IF(Iterations[[#This Row],[Step]] =current_step, current_d,IF(Iterations[[#This Row],[Step]] &gt; current_step, "",Iterations[[#This Row],[d]]))</f>
        <v/>
      </c>
      <c r="K1059" s="2" t="str">
        <f>IF(Iterations[[#This Row],[Step]] =current_step, current_e,IF(Iterations[[#This Row],[Step]] &gt; current_step, "",Iterations[[#This Row],[e]]))</f>
        <v/>
      </c>
      <c r="L1059" s="2" t="str">
        <f>IF(Iterations[[#This Row],[Step]] =current_step, current_Total_Loss,IF(Iterations[[#This Row],[Step]] &gt; current_step, "",Iterations[[#This Row],[Total Loss]]))</f>
        <v/>
      </c>
      <c r="M1059" s="6" t="s">
        <v>27</v>
      </c>
      <c r="N1059" s="2" t="str">
        <f>IF(Iterations[[#This Row],[Step]] =current_step, current_Grad_a,IF(Iterations[[#This Row],[Step]] &gt; current_step, "",Iterations[[#This Row],[Grad_a]]))</f>
        <v/>
      </c>
      <c r="O1059" s="2" t="str">
        <f>IF(Iterations[[#This Row],[Step]] =current_step, current_Grad_b,IF(Iterations[[#This Row],[Step]] &gt; current_step, "",Iterations[[#This Row],[Grad_b]]))</f>
        <v/>
      </c>
      <c r="P1059" s="2" t="str">
        <f>IF(Iterations[[#This Row],[Step]] =current_step, current_Grad_c,IF(Iterations[[#This Row],[Step]] &gt; current_step, "",Iterations[[#This Row],[Grad_c]]))</f>
        <v/>
      </c>
      <c r="Q1059" s="2" t="str">
        <f>IF(Iterations[[#This Row],[Step]] =current_step, current_Grad_d,IF(Iterations[[#This Row],[Step]] &gt; current_step, "",Iterations[[#This Row],[Grad_d]]))</f>
        <v/>
      </c>
      <c r="R1059" s="2" t="str">
        <f>IF(Iterations[[#This Row],[Step]] =current_step, current_Grad_e,IF(Iterations[[#This Row],[Step]] &gt; current_step, "",Iterations[[#This Row],[Grad_e]]))</f>
        <v/>
      </c>
    </row>
    <row r="1060" spans="6:18" x14ac:dyDescent="0.3">
      <c r="F1060" s="2">
        <f t="shared" si="21"/>
        <v>1043</v>
      </c>
      <c r="G1060" s="2" t="str">
        <f>IF(Iterations[[#This Row],[Step]] =current_step, current_a,IF(Iterations[[#This Row],[Step]] &gt; current_step, "",Iterations[[#This Row],[a]]))</f>
        <v/>
      </c>
      <c r="H1060" s="2" t="str">
        <f>IF(Iterations[[#This Row],[Step]] =current_step, current_b,IF(Iterations[[#This Row],[Step]] &gt; current_step, "",Iterations[[#This Row],[b]]))</f>
        <v/>
      </c>
      <c r="I1060" s="2" t="str">
        <f>IF(Iterations[[#This Row],[Step]] =current_step, current_c,IF(Iterations[[#This Row],[Step]] &gt; current_step, "",Iterations[[#This Row],[c]]))</f>
        <v/>
      </c>
      <c r="J1060" s="2" t="str">
        <f>IF(Iterations[[#This Row],[Step]] =current_step, current_d,IF(Iterations[[#This Row],[Step]] &gt; current_step, "",Iterations[[#This Row],[d]]))</f>
        <v/>
      </c>
      <c r="K1060" s="2" t="str">
        <f>IF(Iterations[[#This Row],[Step]] =current_step, current_e,IF(Iterations[[#This Row],[Step]] &gt; current_step, "",Iterations[[#This Row],[e]]))</f>
        <v/>
      </c>
      <c r="L1060" s="2" t="str">
        <f>IF(Iterations[[#This Row],[Step]] =current_step, current_Total_Loss,IF(Iterations[[#This Row],[Step]] &gt; current_step, "",Iterations[[#This Row],[Total Loss]]))</f>
        <v/>
      </c>
      <c r="M1060" s="6" t="s">
        <v>27</v>
      </c>
      <c r="N1060" s="2" t="str">
        <f>IF(Iterations[[#This Row],[Step]] =current_step, current_Grad_a,IF(Iterations[[#This Row],[Step]] &gt; current_step, "",Iterations[[#This Row],[Grad_a]]))</f>
        <v/>
      </c>
      <c r="O1060" s="2" t="str">
        <f>IF(Iterations[[#This Row],[Step]] =current_step, current_Grad_b,IF(Iterations[[#This Row],[Step]] &gt; current_step, "",Iterations[[#This Row],[Grad_b]]))</f>
        <v/>
      </c>
      <c r="P1060" s="2" t="str">
        <f>IF(Iterations[[#This Row],[Step]] =current_step, current_Grad_c,IF(Iterations[[#This Row],[Step]] &gt; current_step, "",Iterations[[#This Row],[Grad_c]]))</f>
        <v/>
      </c>
      <c r="Q1060" s="2" t="str">
        <f>IF(Iterations[[#This Row],[Step]] =current_step, current_Grad_d,IF(Iterations[[#This Row],[Step]] &gt; current_step, "",Iterations[[#This Row],[Grad_d]]))</f>
        <v/>
      </c>
      <c r="R1060" s="2" t="str">
        <f>IF(Iterations[[#This Row],[Step]] =current_step, current_Grad_e,IF(Iterations[[#This Row],[Step]] &gt; current_step, "",Iterations[[#This Row],[Grad_e]]))</f>
        <v/>
      </c>
    </row>
    <row r="1061" spans="6:18" x14ac:dyDescent="0.3">
      <c r="F1061" s="2">
        <f t="shared" si="21"/>
        <v>1044</v>
      </c>
      <c r="G1061" s="2" t="str">
        <f>IF(Iterations[[#This Row],[Step]] =current_step, current_a,IF(Iterations[[#This Row],[Step]] &gt; current_step, "",Iterations[[#This Row],[a]]))</f>
        <v/>
      </c>
      <c r="H1061" s="2" t="str">
        <f>IF(Iterations[[#This Row],[Step]] =current_step, current_b,IF(Iterations[[#This Row],[Step]] &gt; current_step, "",Iterations[[#This Row],[b]]))</f>
        <v/>
      </c>
      <c r="I1061" s="2" t="str">
        <f>IF(Iterations[[#This Row],[Step]] =current_step, current_c,IF(Iterations[[#This Row],[Step]] &gt; current_step, "",Iterations[[#This Row],[c]]))</f>
        <v/>
      </c>
      <c r="J1061" s="2" t="str">
        <f>IF(Iterations[[#This Row],[Step]] =current_step, current_d,IF(Iterations[[#This Row],[Step]] &gt; current_step, "",Iterations[[#This Row],[d]]))</f>
        <v/>
      </c>
      <c r="K1061" s="2" t="str">
        <f>IF(Iterations[[#This Row],[Step]] =current_step, current_e,IF(Iterations[[#This Row],[Step]] &gt; current_step, "",Iterations[[#This Row],[e]]))</f>
        <v/>
      </c>
      <c r="L1061" s="2" t="str">
        <f>IF(Iterations[[#This Row],[Step]] =current_step, current_Total_Loss,IF(Iterations[[#This Row],[Step]] &gt; current_step, "",Iterations[[#This Row],[Total Loss]]))</f>
        <v/>
      </c>
      <c r="M1061" s="6" t="s">
        <v>27</v>
      </c>
      <c r="N1061" s="2" t="str">
        <f>IF(Iterations[[#This Row],[Step]] =current_step, current_Grad_a,IF(Iterations[[#This Row],[Step]] &gt; current_step, "",Iterations[[#This Row],[Grad_a]]))</f>
        <v/>
      </c>
      <c r="O1061" s="2" t="str">
        <f>IF(Iterations[[#This Row],[Step]] =current_step, current_Grad_b,IF(Iterations[[#This Row],[Step]] &gt; current_step, "",Iterations[[#This Row],[Grad_b]]))</f>
        <v/>
      </c>
      <c r="P1061" s="2" t="str">
        <f>IF(Iterations[[#This Row],[Step]] =current_step, current_Grad_c,IF(Iterations[[#This Row],[Step]] &gt; current_step, "",Iterations[[#This Row],[Grad_c]]))</f>
        <v/>
      </c>
      <c r="Q1061" s="2" t="str">
        <f>IF(Iterations[[#This Row],[Step]] =current_step, current_Grad_d,IF(Iterations[[#This Row],[Step]] &gt; current_step, "",Iterations[[#This Row],[Grad_d]]))</f>
        <v/>
      </c>
      <c r="R1061" s="2" t="str">
        <f>IF(Iterations[[#This Row],[Step]] =current_step, current_Grad_e,IF(Iterations[[#This Row],[Step]] &gt; current_step, "",Iterations[[#This Row],[Grad_e]]))</f>
        <v/>
      </c>
    </row>
    <row r="1062" spans="6:18" x14ac:dyDescent="0.3">
      <c r="F1062" s="2">
        <f t="shared" si="21"/>
        <v>1045</v>
      </c>
      <c r="G1062" s="2" t="str">
        <f>IF(Iterations[[#This Row],[Step]] =current_step, current_a,IF(Iterations[[#This Row],[Step]] &gt; current_step, "",Iterations[[#This Row],[a]]))</f>
        <v/>
      </c>
      <c r="H1062" s="2" t="str">
        <f>IF(Iterations[[#This Row],[Step]] =current_step, current_b,IF(Iterations[[#This Row],[Step]] &gt; current_step, "",Iterations[[#This Row],[b]]))</f>
        <v/>
      </c>
      <c r="I1062" s="2" t="str">
        <f>IF(Iterations[[#This Row],[Step]] =current_step, current_c,IF(Iterations[[#This Row],[Step]] &gt; current_step, "",Iterations[[#This Row],[c]]))</f>
        <v/>
      </c>
      <c r="J1062" s="2" t="str">
        <f>IF(Iterations[[#This Row],[Step]] =current_step, current_d,IF(Iterations[[#This Row],[Step]] &gt; current_step, "",Iterations[[#This Row],[d]]))</f>
        <v/>
      </c>
      <c r="K1062" s="2" t="str">
        <f>IF(Iterations[[#This Row],[Step]] =current_step, current_e,IF(Iterations[[#This Row],[Step]] &gt; current_step, "",Iterations[[#This Row],[e]]))</f>
        <v/>
      </c>
      <c r="L1062" s="2" t="str">
        <f>IF(Iterations[[#This Row],[Step]] =current_step, current_Total_Loss,IF(Iterations[[#This Row],[Step]] &gt; current_step, "",Iterations[[#This Row],[Total Loss]]))</f>
        <v/>
      </c>
      <c r="M1062" s="6" t="s">
        <v>27</v>
      </c>
      <c r="N1062" s="2" t="str">
        <f>IF(Iterations[[#This Row],[Step]] =current_step, current_Grad_a,IF(Iterations[[#This Row],[Step]] &gt; current_step, "",Iterations[[#This Row],[Grad_a]]))</f>
        <v/>
      </c>
      <c r="O1062" s="2" t="str">
        <f>IF(Iterations[[#This Row],[Step]] =current_step, current_Grad_b,IF(Iterations[[#This Row],[Step]] &gt; current_step, "",Iterations[[#This Row],[Grad_b]]))</f>
        <v/>
      </c>
      <c r="P1062" s="2" t="str">
        <f>IF(Iterations[[#This Row],[Step]] =current_step, current_Grad_c,IF(Iterations[[#This Row],[Step]] &gt; current_step, "",Iterations[[#This Row],[Grad_c]]))</f>
        <v/>
      </c>
      <c r="Q1062" s="2" t="str">
        <f>IF(Iterations[[#This Row],[Step]] =current_step, current_Grad_d,IF(Iterations[[#This Row],[Step]] &gt; current_step, "",Iterations[[#This Row],[Grad_d]]))</f>
        <v/>
      </c>
      <c r="R1062" s="2" t="str">
        <f>IF(Iterations[[#This Row],[Step]] =current_step, current_Grad_e,IF(Iterations[[#This Row],[Step]] &gt; current_step, "",Iterations[[#This Row],[Grad_e]]))</f>
        <v/>
      </c>
    </row>
    <row r="1063" spans="6:18" x14ac:dyDescent="0.3">
      <c r="F1063" s="2">
        <f t="shared" si="21"/>
        <v>1046</v>
      </c>
      <c r="G1063" s="2" t="str">
        <f>IF(Iterations[[#This Row],[Step]] =current_step, current_a,IF(Iterations[[#This Row],[Step]] &gt; current_step, "",Iterations[[#This Row],[a]]))</f>
        <v/>
      </c>
      <c r="H1063" s="2" t="str">
        <f>IF(Iterations[[#This Row],[Step]] =current_step, current_b,IF(Iterations[[#This Row],[Step]] &gt; current_step, "",Iterations[[#This Row],[b]]))</f>
        <v/>
      </c>
      <c r="I1063" s="2" t="str">
        <f>IF(Iterations[[#This Row],[Step]] =current_step, current_c,IF(Iterations[[#This Row],[Step]] &gt; current_step, "",Iterations[[#This Row],[c]]))</f>
        <v/>
      </c>
      <c r="J1063" s="2" t="str">
        <f>IF(Iterations[[#This Row],[Step]] =current_step, current_d,IF(Iterations[[#This Row],[Step]] &gt; current_step, "",Iterations[[#This Row],[d]]))</f>
        <v/>
      </c>
      <c r="K1063" s="2" t="str">
        <f>IF(Iterations[[#This Row],[Step]] =current_step, current_e,IF(Iterations[[#This Row],[Step]] &gt; current_step, "",Iterations[[#This Row],[e]]))</f>
        <v/>
      </c>
      <c r="L1063" s="2" t="str">
        <f>IF(Iterations[[#This Row],[Step]] =current_step, current_Total_Loss,IF(Iterations[[#This Row],[Step]] &gt; current_step, "",Iterations[[#This Row],[Total Loss]]))</f>
        <v/>
      </c>
      <c r="M1063" s="6" t="s">
        <v>27</v>
      </c>
      <c r="N1063" s="2" t="str">
        <f>IF(Iterations[[#This Row],[Step]] =current_step, current_Grad_a,IF(Iterations[[#This Row],[Step]] &gt; current_step, "",Iterations[[#This Row],[Grad_a]]))</f>
        <v/>
      </c>
      <c r="O1063" s="2" t="str">
        <f>IF(Iterations[[#This Row],[Step]] =current_step, current_Grad_b,IF(Iterations[[#This Row],[Step]] &gt; current_step, "",Iterations[[#This Row],[Grad_b]]))</f>
        <v/>
      </c>
      <c r="P1063" s="2" t="str">
        <f>IF(Iterations[[#This Row],[Step]] =current_step, current_Grad_c,IF(Iterations[[#This Row],[Step]] &gt; current_step, "",Iterations[[#This Row],[Grad_c]]))</f>
        <v/>
      </c>
      <c r="Q1063" s="2" t="str">
        <f>IF(Iterations[[#This Row],[Step]] =current_step, current_Grad_d,IF(Iterations[[#This Row],[Step]] &gt; current_step, "",Iterations[[#This Row],[Grad_d]]))</f>
        <v/>
      </c>
      <c r="R1063" s="2" t="str">
        <f>IF(Iterations[[#This Row],[Step]] =current_step, current_Grad_e,IF(Iterations[[#This Row],[Step]] &gt; current_step, "",Iterations[[#This Row],[Grad_e]]))</f>
        <v/>
      </c>
    </row>
    <row r="1064" spans="6:18" x14ac:dyDescent="0.3">
      <c r="F1064" s="2">
        <f t="shared" si="21"/>
        <v>1047</v>
      </c>
      <c r="G1064" s="2" t="str">
        <f>IF(Iterations[[#This Row],[Step]] =current_step, current_a,IF(Iterations[[#This Row],[Step]] &gt; current_step, "",Iterations[[#This Row],[a]]))</f>
        <v/>
      </c>
      <c r="H1064" s="2" t="str">
        <f>IF(Iterations[[#This Row],[Step]] =current_step, current_b,IF(Iterations[[#This Row],[Step]] &gt; current_step, "",Iterations[[#This Row],[b]]))</f>
        <v/>
      </c>
      <c r="I1064" s="2" t="str">
        <f>IF(Iterations[[#This Row],[Step]] =current_step, current_c,IF(Iterations[[#This Row],[Step]] &gt; current_step, "",Iterations[[#This Row],[c]]))</f>
        <v/>
      </c>
      <c r="J1064" s="2" t="str">
        <f>IF(Iterations[[#This Row],[Step]] =current_step, current_d,IF(Iterations[[#This Row],[Step]] &gt; current_step, "",Iterations[[#This Row],[d]]))</f>
        <v/>
      </c>
      <c r="K1064" s="2" t="str">
        <f>IF(Iterations[[#This Row],[Step]] =current_step, current_e,IF(Iterations[[#This Row],[Step]] &gt; current_step, "",Iterations[[#This Row],[e]]))</f>
        <v/>
      </c>
      <c r="L1064" s="2" t="str">
        <f>IF(Iterations[[#This Row],[Step]] =current_step, current_Total_Loss,IF(Iterations[[#This Row],[Step]] &gt; current_step, "",Iterations[[#This Row],[Total Loss]]))</f>
        <v/>
      </c>
      <c r="M1064" s="6" t="s">
        <v>27</v>
      </c>
      <c r="N1064" s="2" t="str">
        <f>IF(Iterations[[#This Row],[Step]] =current_step, current_Grad_a,IF(Iterations[[#This Row],[Step]] &gt; current_step, "",Iterations[[#This Row],[Grad_a]]))</f>
        <v/>
      </c>
      <c r="O1064" s="2" t="str">
        <f>IF(Iterations[[#This Row],[Step]] =current_step, current_Grad_b,IF(Iterations[[#This Row],[Step]] &gt; current_step, "",Iterations[[#This Row],[Grad_b]]))</f>
        <v/>
      </c>
      <c r="P1064" s="2" t="str">
        <f>IF(Iterations[[#This Row],[Step]] =current_step, current_Grad_c,IF(Iterations[[#This Row],[Step]] &gt; current_step, "",Iterations[[#This Row],[Grad_c]]))</f>
        <v/>
      </c>
      <c r="Q1064" s="2" t="str">
        <f>IF(Iterations[[#This Row],[Step]] =current_step, current_Grad_d,IF(Iterations[[#This Row],[Step]] &gt; current_step, "",Iterations[[#This Row],[Grad_d]]))</f>
        <v/>
      </c>
      <c r="R1064" s="2" t="str">
        <f>IF(Iterations[[#This Row],[Step]] =current_step, current_Grad_e,IF(Iterations[[#This Row],[Step]] &gt; current_step, "",Iterations[[#This Row],[Grad_e]]))</f>
        <v/>
      </c>
    </row>
    <row r="1065" spans="6:18" x14ac:dyDescent="0.3">
      <c r="F1065" s="2">
        <f t="shared" si="21"/>
        <v>1048</v>
      </c>
      <c r="G1065" s="2" t="str">
        <f>IF(Iterations[[#This Row],[Step]] =current_step, current_a,IF(Iterations[[#This Row],[Step]] &gt; current_step, "",Iterations[[#This Row],[a]]))</f>
        <v/>
      </c>
      <c r="H1065" s="2" t="str">
        <f>IF(Iterations[[#This Row],[Step]] =current_step, current_b,IF(Iterations[[#This Row],[Step]] &gt; current_step, "",Iterations[[#This Row],[b]]))</f>
        <v/>
      </c>
      <c r="I1065" s="2" t="str">
        <f>IF(Iterations[[#This Row],[Step]] =current_step, current_c,IF(Iterations[[#This Row],[Step]] &gt; current_step, "",Iterations[[#This Row],[c]]))</f>
        <v/>
      </c>
      <c r="J1065" s="2" t="str">
        <f>IF(Iterations[[#This Row],[Step]] =current_step, current_d,IF(Iterations[[#This Row],[Step]] &gt; current_step, "",Iterations[[#This Row],[d]]))</f>
        <v/>
      </c>
      <c r="K1065" s="2" t="str">
        <f>IF(Iterations[[#This Row],[Step]] =current_step, current_e,IF(Iterations[[#This Row],[Step]] &gt; current_step, "",Iterations[[#This Row],[e]]))</f>
        <v/>
      </c>
      <c r="L1065" s="2" t="str">
        <f>IF(Iterations[[#This Row],[Step]] =current_step, current_Total_Loss,IF(Iterations[[#This Row],[Step]] &gt; current_step, "",Iterations[[#This Row],[Total Loss]]))</f>
        <v/>
      </c>
      <c r="M1065" s="6" t="s">
        <v>27</v>
      </c>
      <c r="N1065" s="2" t="str">
        <f>IF(Iterations[[#This Row],[Step]] =current_step, current_Grad_a,IF(Iterations[[#This Row],[Step]] &gt; current_step, "",Iterations[[#This Row],[Grad_a]]))</f>
        <v/>
      </c>
      <c r="O1065" s="2" t="str">
        <f>IF(Iterations[[#This Row],[Step]] =current_step, current_Grad_b,IF(Iterations[[#This Row],[Step]] &gt; current_step, "",Iterations[[#This Row],[Grad_b]]))</f>
        <v/>
      </c>
      <c r="P1065" s="2" t="str">
        <f>IF(Iterations[[#This Row],[Step]] =current_step, current_Grad_c,IF(Iterations[[#This Row],[Step]] &gt; current_step, "",Iterations[[#This Row],[Grad_c]]))</f>
        <v/>
      </c>
      <c r="Q1065" s="2" t="str">
        <f>IF(Iterations[[#This Row],[Step]] =current_step, current_Grad_d,IF(Iterations[[#This Row],[Step]] &gt; current_step, "",Iterations[[#This Row],[Grad_d]]))</f>
        <v/>
      </c>
      <c r="R1065" s="2" t="str">
        <f>IF(Iterations[[#This Row],[Step]] =current_step, current_Grad_e,IF(Iterations[[#This Row],[Step]] &gt; current_step, "",Iterations[[#This Row],[Grad_e]]))</f>
        <v/>
      </c>
    </row>
    <row r="1066" spans="6:18" x14ac:dyDescent="0.3">
      <c r="F1066" s="2">
        <f t="shared" si="21"/>
        <v>1049</v>
      </c>
      <c r="G1066" s="2" t="str">
        <f>IF(Iterations[[#This Row],[Step]] =current_step, current_a,IF(Iterations[[#This Row],[Step]] &gt; current_step, "",Iterations[[#This Row],[a]]))</f>
        <v/>
      </c>
      <c r="H1066" s="2" t="str">
        <f>IF(Iterations[[#This Row],[Step]] =current_step, current_b,IF(Iterations[[#This Row],[Step]] &gt; current_step, "",Iterations[[#This Row],[b]]))</f>
        <v/>
      </c>
      <c r="I1066" s="2" t="str">
        <f>IF(Iterations[[#This Row],[Step]] =current_step, current_c,IF(Iterations[[#This Row],[Step]] &gt; current_step, "",Iterations[[#This Row],[c]]))</f>
        <v/>
      </c>
      <c r="J1066" s="2" t="str">
        <f>IF(Iterations[[#This Row],[Step]] =current_step, current_d,IF(Iterations[[#This Row],[Step]] &gt; current_step, "",Iterations[[#This Row],[d]]))</f>
        <v/>
      </c>
      <c r="K1066" s="2" t="str">
        <f>IF(Iterations[[#This Row],[Step]] =current_step, current_e,IF(Iterations[[#This Row],[Step]] &gt; current_step, "",Iterations[[#This Row],[e]]))</f>
        <v/>
      </c>
      <c r="L1066" s="2" t="str">
        <f>IF(Iterations[[#This Row],[Step]] =current_step, current_Total_Loss,IF(Iterations[[#This Row],[Step]] &gt; current_step, "",Iterations[[#This Row],[Total Loss]]))</f>
        <v/>
      </c>
      <c r="M1066" s="6" t="s">
        <v>27</v>
      </c>
      <c r="N1066" s="2" t="str">
        <f>IF(Iterations[[#This Row],[Step]] =current_step, current_Grad_a,IF(Iterations[[#This Row],[Step]] &gt; current_step, "",Iterations[[#This Row],[Grad_a]]))</f>
        <v/>
      </c>
      <c r="O1066" s="2" t="str">
        <f>IF(Iterations[[#This Row],[Step]] =current_step, current_Grad_b,IF(Iterations[[#This Row],[Step]] &gt; current_step, "",Iterations[[#This Row],[Grad_b]]))</f>
        <v/>
      </c>
      <c r="P1066" s="2" t="str">
        <f>IF(Iterations[[#This Row],[Step]] =current_step, current_Grad_c,IF(Iterations[[#This Row],[Step]] &gt; current_step, "",Iterations[[#This Row],[Grad_c]]))</f>
        <v/>
      </c>
      <c r="Q1066" s="2" t="str">
        <f>IF(Iterations[[#This Row],[Step]] =current_step, current_Grad_d,IF(Iterations[[#This Row],[Step]] &gt; current_step, "",Iterations[[#This Row],[Grad_d]]))</f>
        <v/>
      </c>
      <c r="R1066" s="2" t="str">
        <f>IF(Iterations[[#This Row],[Step]] =current_step, current_Grad_e,IF(Iterations[[#This Row],[Step]] &gt; current_step, "",Iterations[[#This Row],[Grad_e]]))</f>
        <v/>
      </c>
    </row>
    <row r="1067" spans="6:18" x14ac:dyDescent="0.3">
      <c r="F1067" s="2">
        <f t="shared" si="21"/>
        <v>1050</v>
      </c>
      <c r="G1067" s="2" t="str">
        <f>IF(Iterations[[#This Row],[Step]] =current_step, current_a,IF(Iterations[[#This Row],[Step]] &gt; current_step, "",Iterations[[#This Row],[a]]))</f>
        <v/>
      </c>
      <c r="H1067" s="2" t="str">
        <f>IF(Iterations[[#This Row],[Step]] =current_step, current_b,IF(Iterations[[#This Row],[Step]] &gt; current_step, "",Iterations[[#This Row],[b]]))</f>
        <v/>
      </c>
      <c r="I1067" s="2" t="str">
        <f>IF(Iterations[[#This Row],[Step]] =current_step, current_c,IF(Iterations[[#This Row],[Step]] &gt; current_step, "",Iterations[[#This Row],[c]]))</f>
        <v/>
      </c>
      <c r="J1067" s="2" t="str">
        <f>IF(Iterations[[#This Row],[Step]] =current_step, current_d,IF(Iterations[[#This Row],[Step]] &gt; current_step, "",Iterations[[#This Row],[d]]))</f>
        <v/>
      </c>
      <c r="K1067" s="2" t="str">
        <f>IF(Iterations[[#This Row],[Step]] =current_step, current_e,IF(Iterations[[#This Row],[Step]] &gt; current_step, "",Iterations[[#This Row],[e]]))</f>
        <v/>
      </c>
      <c r="L1067" s="2" t="str">
        <f>IF(Iterations[[#This Row],[Step]] =current_step, current_Total_Loss,IF(Iterations[[#This Row],[Step]] &gt; current_step, "",Iterations[[#This Row],[Total Loss]]))</f>
        <v/>
      </c>
      <c r="M1067" s="6" t="s">
        <v>27</v>
      </c>
      <c r="N1067" s="2" t="str">
        <f>IF(Iterations[[#This Row],[Step]] =current_step, current_Grad_a,IF(Iterations[[#This Row],[Step]] &gt; current_step, "",Iterations[[#This Row],[Grad_a]]))</f>
        <v/>
      </c>
      <c r="O1067" s="2" t="str">
        <f>IF(Iterations[[#This Row],[Step]] =current_step, current_Grad_b,IF(Iterations[[#This Row],[Step]] &gt; current_step, "",Iterations[[#This Row],[Grad_b]]))</f>
        <v/>
      </c>
      <c r="P1067" s="2" t="str">
        <f>IF(Iterations[[#This Row],[Step]] =current_step, current_Grad_c,IF(Iterations[[#This Row],[Step]] &gt; current_step, "",Iterations[[#This Row],[Grad_c]]))</f>
        <v/>
      </c>
      <c r="Q1067" s="2" t="str">
        <f>IF(Iterations[[#This Row],[Step]] =current_step, current_Grad_d,IF(Iterations[[#This Row],[Step]] &gt; current_step, "",Iterations[[#This Row],[Grad_d]]))</f>
        <v/>
      </c>
      <c r="R1067" s="2" t="str">
        <f>IF(Iterations[[#This Row],[Step]] =current_step, current_Grad_e,IF(Iterations[[#This Row],[Step]] &gt; current_step, "",Iterations[[#This Row],[Grad_e]]))</f>
        <v/>
      </c>
    </row>
    <row r="1068" spans="6:18" x14ac:dyDescent="0.3">
      <c r="F1068" s="2">
        <f t="shared" si="21"/>
        <v>1051</v>
      </c>
      <c r="G1068" s="2" t="str">
        <f>IF(Iterations[[#This Row],[Step]] =current_step, current_a,IF(Iterations[[#This Row],[Step]] &gt; current_step, "",Iterations[[#This Row],[a]]))</f>
        <v/>
      </c>
      <c r="H1068" s="2" t="str">
        <f>IF(Iterations[[#This Row],[Step]] =current_step, current_b,IF(Iterations[[#This Row],[Step]] &gt; current_step, "",Iterations[[#This Row],[b]]))</f>
        <v/>
      </c>
      <c r="I1068" s="2" t="str">
        <f>IF(Iterations[[#This Row],[Step]] =current_step, current_c,IF(Iterations[[#This Row],[Step]] &gt; current_step, "",Iterations[[#This Row],[c]]))</f>
        <v/>
      </c>
      <c r="J1068" s="2" t="str">
        <f>IF(Iterations[[#This Row],[Step]] =current_step, current_d,IF(Iterations[[#This Row],[Step]] &gt; current_step, "",Iterations[[#This Row],[d]]))</f>
        <v/>
      </c>
      <c r="K1068" s="2" t="str">
        <f>IF(Iterations[[#This Row],[Step]] =current_step, current_e,IF(Iterations[[#This Row],[Step]] &gt; current_step, "",Iterations[[#This Row],[e]]))</f>
        <v/>
      </c>
      <c r="L1068" s="2" t="str">
        <f>IF(Iterations[[#This Row],[Step]] =current_step, current_Total_Loss,IF(Iterations[[#This Row],[Step]] &gt; current_step, "",Iterations[[#This Row],[Total Loss]]))</f>
        <v/>
      </c>
      <c r="M1068" s="6" t="s">
        <v>27</v>
      </c>
      <c r="N1068" s="2" t="str">
        <f>IF(Iterations[[#This Row],[Step]] =current_step, current_Grad_a,IF(Iterations[[#This Row],[Step]] &gt; current_step, "",Iterations[[#This Row],[Grad_a]]))</f>
        <v/>
      </c>
      <c r="O1068" s="2" t="str">
        <f>IF(Iterations[[#This Row],[Step]] =current_step, current_Grad_b,IF(Iterations[[#This Row],[Step]] &gt; current_step, "",Iterations[[#This Row],[Grad_b]]))</f>
        <v/>
      </c>
      <c r="P1068" s="2" t="str">
        <f>IF(Iterations[[#This Row],[Step]] =current_step, current_Grad_c,IF(Iterations[[#This Row],[Step]] &gt; current_step, "",Iterations[[#This Row],[Grad_c]]))</f>
        <v/>
      </c>
      <c r="Q1068" s="2" t="str">
        <f>IF(Iterations[[#This Row],[Step]] =current_step, current_Grad_d,IF(Iterations[[#This Row],[Step]] &gt; current_step, "",Iterations[[#This Row],[Grad_d]]))</f>
        <v/>
      </c>
      <c r="R1068" s="2" t="str">
        <f>IF(Iterations[[#This Row],[Step]] =current_step, current_Grad_e,IF(Iterations[[#This Row],[Step]] &gt; current_step, "",Iterations[[#This Row],[Grad_e]]))</f>
        <v/>
      </c>
    </row>
    <row r="1069" spans="6:18" x14ac:dyDescent="0.3">
      <c r="F1069" s="2">
        <f t="shared" si="21"/>
        <v>1052</v>
      </c>
      <c r="G1069" s="2" t="str">
        <f>IF(Iterations[[#This Row],[Step]] =current_step, current_a,IF(Iterations[[#This Row],[Step]] &gt; current_step, "",Iterations[[#This Row],[a]]))</f>
        <v/>
      </c>
      <c r="H1069" s="2" t="str">
        <f>IF(Iterations[[#This Row],[Step]] =current_step, current_b,IF(Iterations[[#This Row],[Step]] &gt; current_step, "",Iterations[[#This Row],[b]]))</f>
        <v/>
      </c>
      <c r="I1069" s="2" t="str">
        <f>IF(Iterations[[#This Row],[Step]] =current_step, current_c,IF(Iterations[[#This Row],[Step]] &gt; current_step, "",Iterations[[#This Row],[c]]))</f>
        <v/>
      </c>
      <c r="J1069" s="2" t="str">
        <f>IF(Iterations[[#This Row],[Step]] =current_step, current_d,IF(Iterations[[#This Row],[Step]] &gt; current_step, "",Iterations[[#This Row],[d]]))</f>
        <v/>
      </c>
      <c r="K1069" s="2" t="str">
        <f>IF(Iterations[[#This Row],[Step]] =current_step, current_e,IF(Iterations[[#This Row],[Step]] &gt; current_step, "",Iterations[[#This Row],[e]]))</f>
        <v/>
      </c>
      <c r="L1069" s="2" t="str">
        <f>IF(Iterations[[#This Row],[Step]] =current_step, current_Total_Loss,IF(Iterations[[#This Row],[Step]] &gt; current_step, "",Iterations[[#This Row],[Total Loss]]))</f>
        <v/>
      </c>
      <c r="M1069" s="6" t="s">
        <v>27</v>
      </c>
      <c r="N1069" s="2" t="str">
        <f>IF(Iterations[[#This Row],[Step]] =current_step, current_Grad_a,IF(Iterations[[#This Row],[Step]] &gt; current_step, "",Iterations[[#This Row],[Grad_a]]))</f>
        <v/>
      </c>
      <c r="O1069" s="2" t="str">
        <f>IF(Iterations[[#This Row],[Step]] =current_step, current_Grad_b,IF(Iterations[[#This Row],[Step]] &gt; current_step, "",Iterations[[#This Row],[Grad_b]]))</f>
        <v/>
      </c>
      <c r="P1069" s="2" t="str">
        <f>IF(Iterations[[#This Row],[Step]] =current_step, current_Grad_c,IF(Iterations[[#This Row],[Step]] &gt; current_step, "",Iterations[[#This Row],[Grad_c]]))</f>
        <v/>
      </c>
      <c r="Q1069" s="2" t="str">
        <f>IF(Iterations[[#This Row],[Step]] =current_step, current_Grad_d,IF(Iterations[[#This Row],[Step]] &gt; current_step, "",Iterations[[#This Row],[Grad_d]]))</f>
        <v/>
      </c>
      <c r="R1069" s="2" t="str">
        <f>IF(Iterations[[#This Row],[Step]] =current_step, current_Grad_e,IF(Iterations[[#This Row],[Step]] &gt; current_step, "",Iterations[[#This Row],[Grad_e]]))</f>
        <v/>
      </c>
    </row>
    <row r="1070" spans="6:18" x14ac:dyDescent="0.3">
      <c r="F1070" s="2">
        <f t="shared" si="21"/>
        <v>1053</v>
      </c>
      <c r="G1070" s="2" t="str">
        <f>IF(Iterations[[#This Row],[Step]] =current_step, current_a,IF(Iterations[[#This Row],[Step]] &gt; current_step, "",Iterations[[#This Row],[a]]))</f>
        <v/>
      </c>
      <c r="H1070" s="2" t="str">
        <f>IF(Iterations[[#This Row],[Step]] =current_step, current_b,IF(Iterations[[#This Row],[Step]] &gt; current_step, "",Iterations[[#This Row],[b]]))</f>
        <v/>
      </c>
      <c r="I1070" s="2" t="str">
        <f>IF(Iterations[[#This Row],[Step]] =current_step, current_c,IF(Iterations[[#This Row],[Step]] &gt; current_step, "",Iterations[[#This Row],[c]]))</f>
        <v/>
      </c>
      <c r="J1070" s="2" t="str">
        <f>IF(Iterations[[#This Row],[Step]] =current_step, current_d,IF(Iterations[[#This Row],[Step]] &gt; current_step, "",Iterations[[#This Row],[d]]))</f>
        <v/>
      </c>
      <c r="K1070" s="2" t="str">
        <f>IF(Iterations[[#This Row],[Step]] =current_step, current_e,IF(Iterations[[#This Row],[Step]] &gt; current_step, "",Iterations[[#This Row],[e]]))</f>
        <v/>
      </c>
      <c r="L1070" s="2" t="str">
        <f>IF(Iterations[[#This Row],[Step]] =current_step, current_Total_Loss,IF(Iterations[[#This Row],[Step]] &gt; current_step, "",Iterations[[#This Row],[Total Loss]]))</f>
        <v/>
      </c>
      <c r="M1070" s="6" t="s">
        <v>27</v>
      </c>
      <c r="N1070" s="2" t="str">
        <f>IF(Iterations[[#This Row],[Step]] =current_step, current_Grad_a,IF(Iterations[[#This Row],[Step]] &gt; current_step, "",Iterations[[#This Row],[Grad_a]]))</f>
        <v/>
      </c>
      <c r="O1070" s="2" t="str">
        <f>IF(Iterations[[#This Row],[Step]] =current_step, current_Grad_b,IF(Iterations[[#This Row],[Step]] &gt; current_step, "",Iterations[[#This Row],[Grad_b]]))</f>
        <v/>
      </c>
      <c r="P1070" s="2" t="str">
        <f>IF(Iterations[[#This Row],[Step]] =current_step, current_Grad_c,IF(Iterations[[#This Row],[Step]] &gt; current_step, "",Iterations[[#This Row],[Grad_c]]))</f>
        <v/>
      </c>
      <c r="Q1070" s="2" t="str">
        <f>IF(Iterations[[#This Row],[Step]] =current_step, current_Grad_d,IF(Iterations[[#This Row],[Step]] &gt; current_step, "",Iterations[[#This Row],[Grad_d]]))</f>
        <v/>
      </c>
      <c r="R1070" s="2" t="str">
        <f>IF(Iterations[[#This Row],[Step]] =current_step, current_Grad_e,IF(Iterations[[#This Row],[Step]] &gt; current_step, "",Iterations[[#This Row],[Grad_e]]))</f>
        <v/>
      </c>
    </row>
    <row r="1071" spans="6:18" x14ac:dyDescent="0.3">
      <c r="F1071" s="2">
        <f t="shared" si="21"/>
        <v>1054</v>
      </c>
      <c r="G1071" s="2" t="str">
        <f>IF(Iterations[[#This Row],[Step]] =current_step, current_a,IF(Iterations[[#This Row],[Step]] &gt; current_step, "",Iterations[[#This Row],[a]]))</f>
        <v/>
      </c>
      <c r="H1071" s="2" t="str">
        <f>IF(Iterations[[#This Row],[Step]] =current_step, current_b,IF(Iterations[[#This Row],[Step]] &gt; current_step, "",Iterations[[#This Row],[b]]))</f>
        <v/>
      </c>
      <c r="I1071" s="2" t="str">
        <f>IF(Iterations[[#This Row],[Step]] =current_step, current_c,IF(Iterations[[#This Row],[Step]] &gt; current_step, "",Iterations[[#This Row],[c]]))</f>
        <v/>
      </c>
      <c r="J1071" s="2" t="str">
        <f>IF(Iterations[[#This Row],[Step]] =current_step, current_d,IF(Iterations[[#This Row],[Step]] &gt; current_step, "",Iterations[[#This Row],[d]]))</f>
        <v/>
      </c>
      <c r="K1071" s="2" t="str">
        <f>IF(Iterations[[#This Row],[Step]] =current_step, current_e,IF(Iterations[[#This Row],[Step]] &gt; current_step, "",Iterations[[#This Row],[e]]))</f>
        <v/>
      </c>
      <c r="L1071" s="2" t="str">
        <f>IF(Iterations[[#This Row],[Step]] =current_step, current_Total_Loss,IF(Iterations[[#This Row],[Step]] &gt; current_step, "",Iterations[[#This Row],[Total Loss]]))</f>
        <v/>
      </c>
      <c r="M1071" s="6" t="s">
        <v>27</v>
      </c>
      <c r="N1071" s="2" t="str">
        <f>IF(Iterations[[#This Row],[Step]] =current_step, current_Grad_a,IF(Iterations[[#This Row],[Step]] &gt; current_step, "",Iterations[[#This Row],[Grad_a]]))</f>
        <v/>
      </c>
      <c r="O1071" s="2" t="str">
        <f>IF(Iterations[[#This Row],[Step]] =current_step, current_Grad_b,IF(Iterations[[#This Row],[Step]] &gt; current_step, "",Iterations[[#This Row],[Grad_b]]))</f>
        <v/>
      </c>
      <c r="P1071" s="2" t="str">
        <f>IF(Iterations[[#This Row],[Step]] =current_step, current_Grad_c,IF(Iterations[[#This Row],[Step]] &gt; current_step, "",Iterations[[#This Row],[Grad_c]]))</f>
        <v/>
      </c>
      <c r="Q1071" s="2" t="str">
        <f>IF(Iterations[[#This Row],[Step]] =current_step, current_Grad_d,IF(Iterations[[#This Row],[Step]] &gt; current_step, "",Iterations[[#This Row],[Grad_d]]))</f>
        <v/>
      </c>
      <c r="R1071" s="2" t="str">
        <f>IF(Iterations[[#This Row],[Step]] =current_step, current_Grad_e,IF(Iterations[[#This Row],[Step]] &gt; current_step, "",Iterations[[#This Row],[Grad_e]]))</f>
        <v/>
      </c>
    </row>
    <row r="1072" spans="6:18" x14ac:dyDescent="0.3">
      <c r="F1072" s="2">
        <f t="shared" si="21"/>
        <v>1055</v>
      </c>
      <c r="G1072" s="2" t="str">
        <f>IF(Iterations[[#This Row],[Step]] =current_step, current_a,IF(Iterations[[#This Row],[Step]] &gt; current_step, "",Iterations[[#This Row],[a]]))</f>
        <v/>
      </c>
      <c r="H1072" s="2" t="str">
        <f>IF(Iterations[[#This Row],[Step]] =current_step, current_b,IF(Iterations[[#This Row],[Step]] &gt; current_step, "",Iterations[[#This Row],[b]]))</f>
        <v/>
      </c>
      <c r="I1072" s="2" t="str">
        <f>IF(Iterations[[#This Row],[Step]] =current_step, current_c,IF(Iterations[[#This Row],[Step]] &gt; current_step, "",Iterations[[#This Row],[c]]))</f>
        <v/>
      </c>
      <c r="J1072" s="2" t="str">
        <f>IF(Iterations[[#This Row],[Step]] =current_step, current_d,IF(Iterations[[#This Row],[Step]] &gt; current_step, "",Iterations[[#This Row],[d]]))</f>
        <v/>
      </c>
      <c r="K1072" s="2" t="str">
        <f>IF(Iterations[[#This Row],[Step]] =current_step, current_e,IF(Iterations[[#This Row],[Step]] &gt; current_step, "",Iterations[[#This Row],[e]]))</f>
        <v/>
      </c>
      <c r="L1072" s="2" t="str">
        <f>IF(Iterations[[#This Row],[Step]] =current_step, current_Total_Loss,IF(Iterations[[#This Row],[Step]] &gt; current_step, "",Iterations[[#This Row],[Total Loss]]))</f>
        <v/>
      </c>
      <c r="M1072" s="6" t="s">
        <v>27</v>
      </c>
      <c r="N1072" s="2" t="str">
        <f>IF(Iterations[[#This Row],[Step]] =current_step, current_Grad_a,IF(Iterations[[#This Row],[Step]] &gt; current_step, "",Iterations[[#This Row],[Grad_a]]))</f>
        <v/>
      </c>
      <c r="O1072" s="2" t="str">
        <f>IF(Iterations[[#This Row],[Step]] =current_step, current_Grad_b,IF(Iterations[[#This Row],[Step]] &gt; current_step, "",Iterations[[#This Row],[Grad_b]]))</f>
        <v/>
      </c>
      <c r="P1072" s="2" t="str">
        <f>IF(Iterations[[#This Row],[Step]] =current_step, current_Grad_c,IF(Iterations[[#This Row],[Step]] &gt; current_step, "",Iterations[[#This Row],[Grad_c]]))</f>
        <v/>
      </c>
      <c r="Q1072" s="2" t="str">
        <f>IF(Iterations[[#This Row],[Step]] =current_step, current_Grad_d,IF(Iterations[[#This Row],[Step]] &gt; current_step, "",Iterations[[#This Row],[Grad_d]]))</f>
        <v/>
      </c>
      <c r="R1072" s="2" t="str">
        <f>IF(Iterations[[#This Row],[Step]] =current_step, current_Grad_e,IF(Iterations[[#This Row],[Step]] &gt; current_step, "",Iterations[[#This Row],[Grad_e]]))</f>
        <v/>
      </c>
    </row>
    <row r="1073" spans="6:18" x14ac:dyDescent="0.3">
      <c r="F1073" s="2">
        <f t="shared" si="21"/>
        <v>1056</v>
      </c>
      <c r="G1073" s="2" t="str">
        <f>IF(Iterations[[#This Row],[Step]] =current_step, current_a,IF(Iterations[[#This Row],[Step]] &gt; current_step, "",Iterations[[#This Row],[a]]))</f>
        <v/>
      </c>
      <c r="H1073" s="2" t="str">
        <f>IF(Iterations[[#This Row],[Step]] =current_step, current_b,IF(Iterations[[#This Row],[Step]] &gt; current_step, "",Iterations[[#This Row],[b]]))</f>
        <v/>
      </c>
      <c r="I1073" s="2" t="str">
        <f>IF(Iterations[[#This Row],[Step]] =current_step, current_c,IF(Iterations[[#This Row],[Step]] &gt; current_step, "",Iterations[[#This Row],[c]]))</f>
        <v/>
      </c>
      <c r="J1073" s="2" t="str">
        <f>IF(Iterations[[#This Row],[Step]] =current_step, current_d,IF(Iterations[[#This Row],[Step]] &gt; current_step, "",Iterations[[#This Row],[d]]))</f>
        <v/>
      </c>
      <c r="K1073" s="2" t="str">
        <f>IF(Iterations[[#This Row],[Step]] =current_step, current_e,IF(Iterations[[#This Row],[Step]] &gt; current_step, "",Iterations[[#This Row],[e]]))</f>
        <v/>
      </c>
      <c r="L1073" s="2" t="str">
        <f>IF(Iterations[[#This Row],[Step]] =current_step, current_Total_Loss,IF(Iterations[[#This Row],[Step]] &gt; current_step, "",Iterations[[#This Row],[Total Loss]]))</f>
        <v/>
      </c>
      <c r="M1073" s="6" t="s">
        <v>27</v>
      </c>
      <c r="N1073" s="2" t="str">
        <f>IF(Iterations[[#This Row],[Step]] =current_step, current_Grad_a,IF(Iterations[[#This Row],[Step]] &gt; current_step, "",Iterations[[#This Row],[Grad_a]]))</f>
        <v/>
      </c>
      <c r="O1073" s="2" t="str">
        <f>IF(Iterations[[#This Row],[Step]] =current_step, current_Grad_b,IF(Iterations[[#This Row],[Step]] &gt; current_step, "",Iterations[[#This Row],[Grad_b]]))</f>
        <v/>
      </c>
      <c r="P1073" s="2" t="str">
        <f>IF(Iterations[[#This Row],[Step]] =current_step, current_Grad_c,IF(Iterations[[#This Row],[Step]] &gt; current_step, "",Iterations[[#This Row],[Grad_c]]))</f>
        <v/>
      </c>
      <c r="Q1073" s="2" t="str">
        <f>IF(Iterations[[#This Row],[Step]] =current_step, current_Grad_d,IF(Iterations[[#This Row],[Step]] &gt; current_step, "",Iterations[[#This Row],[Grad_d]]))</f>
        <v/>
      </c>
      <c r="R1073" s="2" t="str">
        <f>IF(Iterations[[#This Row],[Step]] =current_step, current_Grad_e,IF(Iterations[[#This Row],[Step]] &gt; current_step, "",Iterations[[#This Row],[Grad_e]]))</f>
        <v/>
      </c>
    </row>
    <row r="1074" spans="6:18" x14ac:dyDescent="0.3">
      <c r="F1074" s="2">
        <f t="shared" si="21"/>
        <v>1057</v>
      </c>
      <c r="G1074" s="2" t="str">
        <f>IF(Iterations[[#This Row],[Step]] =current_step, current_a,IF(Iterations[[#This Row],[Step]] &gt; current_step, "",Iterations[[#This Row],[a]]))</f>
        <v/>
      </c>
      <c r="H1074" s="2" t="str">
        <f>IF(Iterations[[#This Row],[Step]] =current_step, current_b,IF(Iterations[[#This Row],[Step]] &gt; current_step, "",Iterations[[#This Row],[b]]))</f>
        <v/>
      </c>
      <c r="I1074" s="2" t="str">
        <f>IF(Iterations[[#This Row],[Step]] =current_step, current_c,IF(Iterations[[#This Row],[Step]] &gt; current_step, "",Iterations[[#This Row],[c]]))</f>
        <v/>
      </c>
      <c r="J1074" s="2" t="str">
        <f>IF(Iterations[[#This Row],[Step]] =current_step, current_d,IF(Iterations[[#This Row],[Step]] &gt; current_step, "",Iterations[[#This Row],[d]]))</f>
        <v/>
      </c>
      <c r="K1074" s="2" t="str">
        <f>IF(Iterations[[#This Row],[Step]] =current_step, current_e,IF(Iterations[[#This Row],[Step]] &gt; current_step, "",Iterations[[#This Row],[e]]))</f>
        <v/>
      </c>
      <c r="L1074" s="2" t="str">
        <f>IF(Iterations[[#This Row],[Step]] =current_step, current_Total_Loss,IF(Iterations[[#This Row],[Step]] &gt; current_step, "",Iterations[[#This Row],[Total Loss]]))</f>
        <v/>
      </c>
      <c r="M1074" s="6" t="s">
        <v>27</v>
      </c>
      <c r="N1074" s="2" t="str">
        <f>IF(Iterations[[#This Row],[Step]] =current_step, current_Grad_a,IF(Iterations[[#This Row],[Step]] &gt; current_step, "",Iterations[[#This Row],[Grad_a]]))</f>
        <v/>
      </c>
      <c r="O1074" s="2" t="str">
        <f>IF(Iterations[[#This Row],[Step]] =current_step, current_Grad_b,IF(Iterations[[#This Row],[Step]] &gt; current_step, "",Iterations[[#This Row],[Grad_b]]))</f>
        <v/>
      </c>
      <c r="P1074" s="2" t="str">
        <f>IF(Iterations[[#This Row],[Step]] =current_step, current_Grad_c,IF(Iterations[[#This Row],[Step]] &gt; current_step, "",Iterations[[#This Row],[Grad_c]]))</f>
        <v/>
      </c>
      <c r="Q1074" s="2" t="str">
        <f>IF(Iterations[[#This Row],[Step]] =current_step, current_Grad_d,IF(Iterations[[#This Row],[Step]] &gt; current_step, "",Iterations[[#This Row],[Grad_d]]))</f>
        <v/>
      </c>
      <c r="R1074" s="2" t="str">
        <f>IF(Iterations[[#This Row],[Step]] =current_step, current_Grad_e,IF(Iterations[[#This Row],[Step]] &gt; current_step, "",Iterations[[#This Row],[Grad_e]]))</f>
        <v/>
      </c>
    </row>
    <row r="1075" spans="6:18" x14ac:dyDescent="0.3">
      <c r="F1075" s="2">
        <f t="shared" si="21"/>
        <v>1058</v>
      </c>
      <c r="G1075" s="2" t="str">
        <f>IF(Iterations[[#This Row],[Step]] =current_step, current_a,IF(Iterations[[#This Row],[Step]] &gt; current_step, "",Iterations[[#This Row],[a]]))</f>
        <v/>
      </c>
      <c r="H1075" s="2" t="str">
        <f>IF(Iterations[[#This Row],[Step]] =current_step, current_b,IF(Iterations[[#This Row],[Step]] &gt; current_step, "",Iterations[[#This Row],[b]]))</f>
        <v/>
      </c>
      <c r="I1075" s="2" t="str">
        <f>IF(Iterations[[#This Row],[Step]] =current_step, current_c,IF(Iterations[[#This Row],[Step]] &gt; current_step, "",Iterations[[#This Row],[c]]))</f>
        <v/>
      </c>
      <c r="J1075" s="2" t="str">
        <f>IF(Iterations[[#This Row],[Step]] =current_step, current_d,IF(Iterations[[#This Row],[Step]] &gt; current_step, "",Iterations[[#This Row],[d]]))</f>
        <v/>
      </c>
      <c r="K1075" s="2" t="str">
        <f>IF(Iterations[[#This Row],[Step]] =current_step, current_e,IF(Iterations[[#This Row],[Step]] &gt; current_step, "",Iterations[[#This Row],[e]]))</f>
        <v/>
      </c>
      <c r="L1075" s="2" t="str">
        <f>IF(Iterations[[#This Row],[Step]] =current_step, current_Total_Loss,IF(Iterations[[#This Row],[Step]] &gt; current_step, "",Iterations[[#This Row],[Total Loss]]))</f>
        <v/>
      </c>
      <c r="M1075" s="6" t="s">
        <v>27</v>
      </c>
      <c r="N1075" s="2" t="str">
        <f>IF(Iterations[[#This Row],[Step]] =current_step, current_Grad_a,IF(Iterations[[#This Row],[Step]] &gt; current_step, "",Iterations[[#This Row],[Grad_a]]))</f>
        <v/>
      </c>
      <c r="O1075" s="2" t="str">
        <f>IF(Iterations[[#This Row],[Step]] =current_step, current_Grad_b,IF(Iterations[[#This Row],[Step]] &gt; current_step, "",Iterations[[#This Row],[Grad_b]]))</f>
        <v/>
      </c>
      <c r="P1075" s="2" t="str">
        <f>IF(Iterations[[#This Row],[Step]] =current_step, current_Grad_c,IF(Iterations[[#This Row],[Step]] &gt; current_step, "",Iterations[[#This Row],[Grad_c]]))</f>
        <v/>
      </c>
      <c r="Q1075" s="2" t="str">
        <f>IF(Iterations[[#This Row],[Step]] =current_step, current_Grad_d,IF(Iterations[[#This Row],[Step]] &gt; current_step, "",Iterations[[#This Row],[Grad_d]]))</f>
        <v/>
      </c>
      <c r="R1075" s="2" t="str">
        <f>IF(Iterations[[#This Row],[Step]] =current_step, current_Grad_e,IF(Iterations[[#This Row],[Step]] &gt; current_step, "",Iterations[[#This Row],[Grad_e]]))</f>
        <v/>
      </c>
    </row>
    <row r="1076" spans="6:18" x14ac:dyDescent="0.3">
      <c r="F1076" s="2">
        <f t="shared" si="21"/>
        <v>1059</v>
      </c>
      <c r="G1076" s="2" t="str">
        <f>IF(Iterations[[#This Row],[Step]] =current_step, current_a,IF(Iterations[[#This Row],[Step]] &gt; current_step, "",Iterations[[#This Row],[a]]))</f>
        <v/>
      </c>
      <c r="H1076" s="2" t="str">
        <f>IF(Iterations[[#This Row],[Step]] =current_step, current_b,IF(Iterations[[#This Row],[Step]] &gt; current_step, "",Iterations[[#This Row],[b]]))</f>
        <v/>
      </c>
      <c r="I1076" s="2" t="str">
        <f>IF(Iterations[[#This Row],[Step]] =current_step, current_c,IF(Iterations[[#This Row],[Step]] &gt; current_step, "",Iterations[[#This Row],[c]]))</f>
        <v/>
      </c>
      <c r="J1076" s="2" t="str">
        <f>IF(Iterations[[#This Row],[Step]] =current_step, current_d,IF(Iterations[[#This Row],[Step]] &gt; current_step, "",Iterations[[#This Row],[d]]))</f>
        <v/>
      </c>
      <c r="K1076" s="2" t="str">
        <f>IF(Iterations[[#This Row],[Step]] =current_step, current_e,IF(Iterations[[#This Row],[Step]] &gt; current_step, "",Iterations[[#This Row],[e]]))</f>
        <v/>
      </c>
      <c r="L1076" s="2" t="str">
        <f>IF(Iterations[[#This Row],[Step]] =current_step, current_Total_Loss,IF(Iterations[[#This Row],[Step]] &gt; current_step, "",Iterations[[#This Row],[Total Loss]]))</f>
        <v/>
      </c>
      <c r="M1076" s="6" t="s">
        <v>27</v>
      </c>
      <c r="N1076" s="2" t="str">
        <f>IF(Iterations[[#This Row],[Step]] =current_step, current_Grad_a,IF(Iterations[[#This Row],[Step]] &gt; current_step, "",Iterations[[#This Row],[Grad_a]]))</f>
        <v/>
      </c>
      <c r="O1076" s="2" t="str">
        <f>IF(Iterations[[#This Row],[Step]] =current_step, current_Grad_b,IF(Iterations[[#This Row],[Step]] &gt; current_step, "",Iterations[[#This Row],[Grad_b]]))</f>
        <v/>
      </c>
      <c r="P1076" s="2" t="str">
        <f>IF(Iterations[[#This Row],[Step]] =current_step, current_Grad_c,IF(Iterations[[#This Row],[Step]] &gt; current_step, "",Iterations[[#This Row],[Grad_c]]))</f>
        <v/>
      </c>
      <c r="Q1076" s="2" t="str">
        <f>IF(Iterations[[#This Row],[Step]] =current_step, current_Grad_d,IF(Iterations[[#This Row],[Step]] &gt; current_step, "",Iterations[[#This Row],[Grad_d]]))</f>
        <v/>
      </c>
      <c r="R1076" s="2" t="str">
        <f>IF(Iterations[[#This Row],[Step]] =current_step, current_Grad_e,IF(Iterations[[#This Row],[Step]] &gt; current_step, "",Iterations[[#This Row],[Grad_e]]))</f>
        <v/>
      </c>
    </row>
    <row r="1077" spans="6:18" x14ac:dyDescent="0.3">
      <c r="F1077" s="2">
        <f t="shared" si="21"/>
        <v>1060</v>
      </c>
      <c r="G1077" s="2" t="str">
        <f>IF(Iterations[[#This Row],[Step]] =current_step, current_a,IF(Iterations[[#This Row],[Step]] &gt; current_step, "",Iterations[[#This Row],[a]]))</f>
        <v/>
      </c>
      <c r="H1077" s="2" t="str">
        <f>IF(Iterations[[#This Row],[Step]] =current_step, current_b,IF(Iterations[[#This Row],[Step]] &gt; current_step, "",Iterations[[#This Row],[b]]))</f>
        <v/>
      </c>
      <c r="I1077" s="2" t="str">
        <f>IF(Iterations[[#This Row],[Step]] =current_step, current_c,IF(Iterations[[#This Row],[Step]] &gt; current_step, "",Iterations[[#This Row],[c]]))</f>
        <v/>
      </c>
      <c r="J1077" s="2" t="str">
        <f>IF(Iterations[[#This Row],[Step]] =current_step, current_d,IF(Iterations[[#This Row],[Step]] &gt; current_step, "",Iterations[[#This Row],[d]]))</f>
        <v/>
      </c>
      <c r="K1077" s="2" t="str">
        <f>IF(Iterations[[#This Row],[Step]] =current_step, current_e,IF(Iterations[[#This Row],[Step]] &gt; current_step, "",Iterations[[#This Row],[e]]))</f>
        <v/>
      </c>
      <c r="L1077" s="2" t="str">
        <f>IF(Iterations[[#This Row],[Step]] =current_step, current_Total_Loss,IF(Iterations[[#This Row],[Step]] &gt; current_step, "",Iterations[[#This Row],[Total Loss]]))</f>
        <v/>
      </c>
      <c r="M1077" s="6" t="s">
        <v>27</v>
      </c>
      <c r="N1077" s="2" t="str">
        <f>IF(Iterations[[#This Row],[Step]] =current_step, current_Grad_a,IF(Iterations[[#This Row],[Step]] &gt; current_step, "",Iterations[[#This Row],[Grad_a]]))</f>
        <v/>
      </c>
      <c r="O1077" s="2" t="str">
        <f>IF(Iterations[[#This Row],[Step]] =current_step, current_Grad_b,IF(Iterations[[#This Row],[Step]] &gt; current_step, "",Iterations[[#This Row],[Grad_b]]))</f>
        <v/>
      </c>
      <c r="P1077" s="2" t="str">
        <f>IF(Iterations[[#This Row],[Step]] =current_step, current_Grad_c,IF(Iterations[[#This Row],[Step]] &gt; current_step, "",Iterations[[#This Row],[Grad_c]]))</f>
        <v/>
      </c>
      <c r="Q1077" s="2" t="str">
        <f>IF(Iterations[[#This Row],[Step]] =current_step, current_Grad_d,IF(Iterations[[#This Row],[Step]] &gt; current_step, "",Iterations[[#This Row],[Grad_d]]))</f>
        <v/>
      </c>
      <c r="R1077" s="2" t="str">
        <f>IF(Iterations[[#This Row],[Step]] =current_step, current_Grad_e,IF(Iterations[[#This Row],[Step]] &gt; current_step, "",Iterations[[#This Row],[Grad_e]]))</f>
        <v/>
      </c>
    </row>
    <row r="1078" spans="6:18" x14ac:dyDescent="0.3">
      <c r="F1078" s="2">
        <f t="shared" si="21"/>
        <v>1061</v>
      </c>
      <c r="G1078" s="2" t="str">
        <f>IF(Iterations[[#This Row],[Step]] =current_step, current_a,IF(Iterations[[#This Row],[Step]] &gt; current_step, "",Iterations[[#This Row],[a]]))</f>
        <v/>
      </c>
      <c r="H1078" s="2" t="str">
        <f>IF(Iterations[[#This Row],[Step]] =current_step, current_b,IF(Iterations[[#This Row],[Step]] &gt; current_step, "",Iterations[[#This Row],[b]]))</f>
        <v/>
      </c>
      <c r="I1078" s="2" t="str">
        <f>IF(Iterations[[#This Row],[Step]] =current_step, current_c,IF(Iterations[[#This Row],[Step]] &gt; current_step, "",Iterations[[#This Row],[c]]))</f>
        <v/>
      </c>
      <c r="J1078" s="2" t="str">
        <f>IF(Iterations[[#This Row],[Step]] =current_step, current_d,IF(Iterations[[#This Row],[Step]] &gt; current_step, "",Iterations[[#This Row],[d]]))</f>
        <v/>
      </c>
      <c r="K1078" s="2" t="str">
        <f>IF(Iterations[[#This Row],[Step]] =current_step, current_e,IF(Iterations[[#This Row],[Step]] &gt; current_step, "",Iterations[[#This Row],[e]]))</f>
        <v/>
      </c>
      <c r="L1078" s="2" t="str">
        <f>IF(Iterations[[#This Row],[Step]] =current_step, current_Total_Loss,IF(Iterations[[#This Row],[Step]] &gt; current_step, "",Iterations[[#This Row],[Total Loss]]))</f>
        <v/>
      </c>
      <c r="M1078" s="6" t="s">
        <v>27</v>
      </c>
      <c r="N1078" s="2" t="str">
        <f>IF(Iterations[[#This Row],[Step]] =current_step, current_Grad_a,IF(Iterations[[#This Row],[Step]] &gt; current_step, "",Iterations[[#This Row],[Grad_a]]))</f>
        <v/>
      </c>
      <c r="O1078" s="2" t="str">
        <f>IF(Iterations[[#This Row],[Step]] =current_step, current_Grad_b,IF(Iterations[[#This Row],[Step]] &gt; current_step, "",Iterations[[#This Row],[Grad_b]]))</f>
        <v/>
      </c>
      <c r="P1078" s="2" t="str">
        <f>IF(Iterations[[#This Row],[Step]] =current_step, current_Grad_c,IF(Iterations[[#This Row],[Step]] &gt; current_step, "",Iterations[[#This Row],[Grad_c]]))</f>
        <v/>
      </c>
      <c r="Q1078" s="2" t="str">
        <f>IF(Iterations[[#This Row],[Step]] =current_step, current_Grad_d,IF(Iterations[[#This Row],[Step]] &gt; current_step, "",Iterations[[#This Row],[Grad_d]]))</f>
        <v/>
      </c>
      <c r="R1078" s="2" t="str">
        <f>IF(Iterations[[#This Row],[Step]] =current_step, current_Grad_e,IF(Iterations[[#This Row],[Step]] &gt; current_step, "",Iterations[[#This Row],[Grad_e]]))</f>
        <v/>
      </c>
    </row>
    <row r="1079" spans="6:18" x14ac:dyDescent="0.3">
      <c r="F1079" s="2">
        <f t="shared" si="21"/>
        <v>1062</v>
      </c>
      <c r="G1079" s="2" t="str">
        <f>IF(Iterations[[#This Row],[Step]] =current_step, current_a,IF(Iterations[[#This Row],[Step]] &gt; current_step, "",Iterations[[#This Row],[a]]))</f>
        <v/>
      </c>
      <c r="H1079" s="2" t="str">
        <f>IF(Iterations[[#This Row],[Step]] =current_step, current_b,IF(Iterations[[#This Row],[Step]] &gt; current_step, "",Iterations[[#This Row],[b]]))</f>
        <v/>
      </c>
      <c r="I1079" s="2" t="str">
        <f>IF(Iterations[[#This Row],[Step]] =current_step, current_c,IF(Iterations[[#This Row],[Step]] &gt; current_step, "",Iterations[[#This Row],[c]]))</f>
        <v/>
      </c>
      <c r="J1079" s="2" t="str">
        <f>IF(Iterations[[#This Row],[Step]] =current_step, current_d,IF(Iterations[[#This Row],[Step]] &gt; current_step, "",Iterations[[#This Row],[d]]))</f>
        <v/>
      </c>
      <c r="K1079" s="2" t="str">
        <f>IF(Iterations[[#This Row],[Step]] =current_step, current_e,IF(Iterations[[#This Row],[Step]] &gt; current_step, "",Iterations[[#This Row],[e]]))</f>
        <v/>
      </c>
      <c r="L1079" s="2" t="str">
        <f>IF(Iterations[[#This Row],[Step]] =current_step, current_Total_Loss,IF(Iterations[[#This Row],[Step]] &gt; current_step, "",Iterations[[#This Row],[Total Loss]]))</f>
        <v/>
      </c>
      <c r="M1079" s="6" t="s">
        <v>27</v>
      </c>
      <c r="N1079" s="2" t="str">
        <f>IF(Iterations[[#This Row],[Step]] =current_step, current_Grad_a,IF(Iterations[[#This Row],[Step]] &gt; current_step, "",Iterations[[#This Row],[Grad_a]]))</f>
        <v/>
      </c>
      <c r="O1079" s="2" t="str">
        <f>IF(Iterations[[#This Row],[Step]] =current_step, current_Grad_b,IF(Iterations[[#This Row],[Step]] &gt; current_step, "",Iterations[[#This Row],[Grad_b]]))</f>
        <v/>
      </c>
      <c r="P1079" s="2" t="str">
        <f>IF(Iterations[[#This Row],[Step]] =current_step, current_Grad_c,IF(Iterations[[#This Row],[Step]] &gt; current_step, "",Iterations[[#This Row],[Grad_c]]))</f>
        <v/>
      </c>
      <c r="Q1079" s="2" t="str">
        <f>IF(Iterations[[#This Row],[Step]] =current_step, current_Grad_d,IF(Iterations[[#This Row],[Step]] &gt; current_step, "",Iterations[[#This Row],[Grad_d]]))</f>
        <v/>
      </c>
      <c r="R1079" s="2" t="str">
        <f>IF(Iterations[[#This Row],[Step]] =current_step, current_Grad_e,IF(Iterations[[#This Row],[Step]] &gt; current_step, "",Iterations[[#This Row],[Grad_e]]))</f>
        <v/>
      </c>
    </row>
    <row r="1080" spans="6:18" x14ac:dyDescent="0.3">
      <c r="F1080" s="2">
        <f t="shared" ref="F1080:F1143" si="22">F1079+1</f>
        <v>1063</v>
      </c>
      <c r="G1080" s="2" t="str">
        <f>IF(Iterations[[#This Row],[Step]] =current_step, current_a,IF(Iterations[[#This Row],[Step]] &gt; current_step, "",Iterations[[#This Row],[a]]))</f>
        <v/>
      </c>
      <c r="H1080" s="2" t="str">
        <f>IF(Iterations[[#This Row],[Step]] =current_step, current_b,IF(Iterations[[#This Row],[Step]] &gt; current_step, "",Iterations[[#This Row],[b]]))</f>
        <v/>
      </c>
      <c r="I1080" s="2" t="str">
        <f>IF(Iterations[[#This Row],[Step]] =current_step, current_c,IF(Iterations[[#This Row],[Step]] &gt; current_step, "",Iterations[[#This Row],[c]]))</f>
        <v/>
      </c>
      <c r="J1080" s="2" t="str">
        <f>IF(Iterations[[#This Row],[Step]] =current_step, current_d,IF(Iterations[[#This Row],[Step]] &gt; current_step, "",Iterations[[#This Row],[d]]))</f>
        <v/>
      </c>
      <c r="K1080" s="2" t="str">
        <f>IF(Iterations[[#This Row],[Step]] =current_step, current_e,IF(Iterations[[#This Row],[Step]] &gt; current_step, "",Iterations[[#This Row],[e]]))</f>
        <v/>
      </c>
      <c r="L1080" s="2" t="str">
        <f>IF(Iterations[[#This Row],[Step]] =current_step, current_Total_Loss,IF(Iterations[[#This Row],[Step]] &gt; current_step, "",Iterations[[#This Row],[Total Loss]]))</f>
        <v/>
      </c>
      <c r="M1080" s="6" t="s">
        <v>27</v>
      </c>
      <c r="N1080" s="2" t="str">
        <f>IF(Iterations[[#This Row],[Step]] =current_step, current_Grad_a,IF(Iterations[[#This Row],[Step]] &gt; current_step, "",Iterations[[#This Row],[Grad_a]]))</f>
        <v/>
      </c>
      <c r="O1080" s="2" t="str">
        <f>IF(Iterations[[#This Row],[Step]] =current_step, current_Grad_b,IF(Iterations[[#This Row],[Step]] &gt; current_step, "",Iterations[[#This Row],[Grad_b]]))</f>
        <v/>
      </c>
      <c r="P1080" s="2" t="str">
        <f>IF(Iterations[[#This Row],[Step]] =current_step, current_Grad_c,IF(Iterations[[#This Row],[Step]] &gt; current_step, "",Iterations[[#This Row],[Grad_c]]))</f>
        <v/>
      </c>
      <c r="Q1080" s="2" t="str">
        <f>IF(Iterations[[#This Row],[Step]] =current_step, current_Grad_d,IF(Iterations[[#This Row],[Step]] &gt; current_step, "",Iterations[[#This Row],[Grad_d]]))</f>
        <v/>
      </c>
      <c r="R1080" s="2" t="str">
        <f>IF(Iterations[[#This Row],[Step]] =current_step, current_Grad_e,IF(Iterations[[#This Row],[Step]] &gt; current_step, "",Iterations[[#This Row],[Grad_e]]))</f>
        <v/>
      </c>
    </row>
    <row r="1081" spans="6:18" x14ac:dyDescent="0.3">
      <c r="F1081" s="2">
        <f t="shared" si="22"/>
        <v>1064</v>
      </c>
      <c r="G1081" s="2" t="str">
        <f>IF(Iterations[[#This Row],[Step]] =current_step, current_a,IF(Iterations[[#This Row],[Step]] &gt; current_step, "",Iterations[[#This Row],[a]]))</f>
        <v/>
      </c>
      <c r="H1081" s="2" t="str">
        <f>IF(Iterations[[#This Row],[Step]] =current_step, current_b,IF(Iterations[[#This Row],[Step]] &gt; current_step, "",Iterations[[#This Row],[b]]))</f>
        <v/>
      </c>
      <c r="I1081" s="2" t="str">
        <f>IF(Iterations[[#This Row],[Step]] =current_step, current_c,IF(Iterations[[#This Row],[Step]] &gt; current_step, "",Iterations[[#This Row],[c]]))</f>
        <v/>
      </c>
      <c r="J1081" s="2" t="str">
        <f>IF(Iterations[[#This Row],[Step]] =current_step, current_d,IF(Iterations[[#This Row],[Step]] &gt; current_step, "",Iterations[[#This Row],[d]]))</f>
        <v/>
      </c>
      <c r="K1081" s="2" t="str">
        <f>IF(Iterations[[#This Row],[Step]] =current_step, current_e,IF(Iterations[[#This Row],[Step]] &gt; current_step, "",Iterations[[#This Row],[e]]))</f>
        <v/>
      </c>
      <c r="L1081" s="2" t="str">
        <f>IF(Iterations[[#This Row],[Step]] =current_step, current_Total_Loss,IF(Iterations[[#This Row],[Step]] &gt; current_step, "",Iterations[[#This Row],[Total Loss]]))</f>
        <v/>
      </c>
      <c r="M1081" s="6" t="s">
        <v>27</v>
      </c>
      <c r="N1081" s="2" t="str">
        <f>IF(Iterations[[#This Row],[Step]] =current_step, current_Grad_a,IF(Iterations[[#This Row],[Step]] &gt; current_step, "",Iterations[[#This Row],[Grad_a]]))</f>
        <v/>
      </c>
      <c r="O1081" s="2" t="str">
        <f>IF(Iterations[[#This Row],[Step]] =current_step, current_Grad_b,IF(Iterations[[#This Row],[Step]] &gt; current_step, "",Iterations[[#This Row],[Grad_b]]))</f>
        <v/>
      </c>
      <c r="P1081" s="2" t="str">
        <f>IF(Iterations[[#This Row],[Step]] =current_step, current_Grad_c,IF(Iterations[[#This Row],[Step]] &gt; current_step, "",Iterations[[#This Row],[Grad_c]]))</f>
        <v/>
      </c>
      <c r="Q1081" s="2" t="str">
        <f>IF(Iterations[[#This Row],[Step]] =current_step, current_Grad_d,IF(Iterations[[#This Row],[Step]] &gt; current_step, "",Iterations[[#This Row],[Grad_d]]))</f>
        <v/>
      </c>
      <c r="R1081" s="2" t="str">
        <f>IF(Iterations[[#This Row],[Step]] =current_step, current_Grad_e,IF(Iterations[[#This Row],[Step]] &gt; current_step, "",Iterations[[#This Row],[Grad_e]]))</f>
        <v/>
      </c>
    </row>
    <row r="1082" spans="6:18" x14ac:dyDescent="0.3">
      <c r="F1082" s="2">
        <f t="shared" si="22"/>
        <v>1065</v>
      </c>
      <c r="G1082" s="2" t="str">
        <f>IF(Iterations[[#This Row],[Step]] =current_step, current_a,IF(Iterations[[#This Row],[Step]] &gt; current_step, "",Iterations[[#This Row],[a]]))</f>
        <v/>
      </c>
      <c r="H1082" s="2" t="str">
        <f>IF(Iterations[[#This Row],[Step]] =current_step, current_b,IF(Iterations[[#This Row],[Step]] &gt; current_step, "",Iterations[[#This Row],[b]]))</f>
        <v/>
      </c>
      <c r="I1082" s="2" t="str">
        <f>IF(Iterations[[#This Row],[Step]] =current_step, current_c,IF(Iterations[[#This Row],[Step]] &gt; current_step, "",Iterations[[#This Row],[c]]))</f>
        <v/>
      </c>
      <c r="J1082" s="2" t="str">
        <f>IF(Iterations[[#This Row],[Step]] =current_step, current_d,IF(Iterations[[#This Row],[Step]] &gt; current_step, "",Iterations[[#This Row],[d]]))</f>
        <v/>
      </c>
      <c r="K1082" s="2" t="str">
        <f>IF(Iterations[[#This Row],[Step]] =current_step, current_e,IF(Iterations[[#This Row],[Step]] &gt; current_step, "",Iterations[[#This Row],[e]]))</f>
        <v/>
      </c>
      <c r="L1082" s="2" t="str">
        <f>IF(Iterations[[#This Row],[Step]] =current_step, current_Total_Loss,IF(Iterations[[#This Row],[Step]] &gt; current_step, "",Iterations[[#This Row],[Total Loss]]))</f>
        <v/>
      </c>
      <c r="M1082" s="6" t="s">
        <v>27</v>
      </c>
      <c r="N1082" s="2" t="str">
        <f>IF(Iterations[[#This Row],[Step]] =current_step, current_Grad_a,IF(Iterations[[#This Row],[Step]] &gt; current_step, "",Iterations[[#This Row],[Grad_a]]))</f>
        <v/>
      </c>
      <c r="O1082" s="2" t="str">
        <f>IF(Iterations[[#This Row],[Step]] =current_step, current_Grad_b,IF(Iterations[[#This Row],[Step]] &gt; current_step, "",Iterations[[#This Row],[Grad_b]]))</f>
        <v/>
      </c>
      <c r="P1082" s="2" t="str">
        <f>IF(Iterations[[#This Row],[Step]] =current_step, current_Grad_c,IF(Iterations[[#This Row],[Step]] &gt; current_step, "",Iterations[[#This Row],[Grad_c]]))</f>
        <v/>
      </c>
      <c r="Q1082" s="2" t="str">
        <f>IF(Iterations[[#This Row],[Step]] =current_step, current_Grad_d,IF(Iterations[[#This Row],[Step]] &gt; current_step, "",Iterations[[#This Row],[Grad_d]]))</f>
        <v/>
      </c>
      <c r="R1082" s="2" t="str">
        <f>IF(Iterations[[#This Row],[Step]] =current_step, current_Grad_e,IF(Iterations[[#This Row],[Step]] &gt; current_step, "",Iterations[[#This Row],[Grad_e]]))</f>
        <v/>
      </c>
    </row>
    <row r="1083" spans="6:18" x14ac:dyDescent="0.3">
      <c r="F1083" s="2">
        <f t="shared" si="22"/>
        <v>1066</v>
      </c>
      <c r="G1083" s="2" t="str">
        <f>IF(Iterations[[#This Row],[Step]] =current_step, current_a,IF(Iterations[[#This Row],[Step]] &gt; current_step, "",Iterations[[#This Row],[a]]))</f>
        <v/>
      </c>
      <c r="H1083" s="2" t="str">
        <f>IF(Iterations[[#This Row],[Step]] =current_step, current_b,IF(Iterations[[#This Row],[Step]] &gt; current_step, "",Iterations[[#This Row],[b]]))</f>
        <v/>
      </c>
      <c r="I1083" s="2" t="str">
        <f>IF(Iterations[[#This Row],[Step]] =current_step, current_c,IF(Iterations[[#This Row],[Step]] &gt; current_step, "",Iterations[[#This Row],[c]]))</f>
        <v/>
      </c>
      <c r="J1083" s="2" t="str">
        <f>IF(Iterations[[#This Row],[Step]] =current_step, current_d,IF(Iterations[[#This Row],[Step]] &gt; current_step, "",Iterations[[#This Row],[d]]))</f>
        <v/>
      </c>
      <c r="K1083" s="2" t="str">
        <f>IF(Iterations[[#This Row],[Step]] =current_step, current_e,IF(Iterations[[#This Row],[Step]] &gt; current_step, "",Iterations[[#This Row],[e]]))</f>
        <v/>
      </c>
      <c r="L1083" s="2" t="str">
        <f>IF(Iterations[[#This Row],[Step]] =current_step, current_Total_Loss,IF(Iterations[[#This Row],[Step]] &gt; current_step, "",Iterations[[#This Row],[Total Loss]]))</f>
        <v/>
      </c>
      <c r="M1083" s="6" t="s">
        <v>27</v>
      </c>
      <c r="N1083" s="2" t="str">
        <f>IF(Iterations[[#This Row],[Step]] =current_step, current_Grad_a,IF(Iterations[[#This Row],[Step]] &gt; current_step, "",Iterations[[#This Row],[Grad_a]]))</f>
        <v/>
      </c>
      <c r="O1083" s="2" t="str">
        <f>IF(Iterations[[#This Row],[Step]] =current_step, current_Grad_b,IF(Iterations[[#This Row],[Step]] &gt; current_step, "",Iterations[[#This Row],[Grad_b]]))</f>
        <v/>
      </c>
      <c r="P1083" s="2" t="str">
        <f>IF(Iterations[[#This Row],[Step]] =current_step, current_Grad_c,IF(Iterations[[#This Row],[Step]] &gt; current_step, "",Iterations[[#This Row],[Grad_c]]))</f>
        <v/>
      </c>
      <c r="Q1083" s="2" t="str">
        <f>IF(Iterations[[#This Row],[Step]] =current_step, current_Grad_d,IF(Iterations[[#This Row],[Step]] &gt; current_step, "",Iterations[[#This Row],[Grad_d]]))</f>
        <v/>
      </c>
      <c r="R1083" s="2" t="str">
        <f>IF(Iterations[[#This Row],[Step]] =current_step, current_Grad_e,IF(Iterations[[#This Row],[Step]] &gt; current_step, "",Iterations[[#This Row],[Grad_e]]))</f>
        <v/>
      </c>
    </row>
    <row r="1084" spans="6:18" x14ac:dyDescent="0.3">
      <c r="F1084" s="2">
        <f t="shared" si="22"/>
        <v>1067</v>
      </c>
      <c r="G1084" s="2" t="str">
        <f>IF(Iterations[[#This Row],[Step]] =current_step, current_a,IF(Iterations[[#This Row],[Step]] &gt; current_step, "",Iterations[[#This Row],[a]]))</f>
        <v/>
      </c>
      <c r="H1084" s="2" t="str">
        <f>IF(Iterations[[#This Row],[Step]] =current_step, current_b,IF(Iterations[[#This Row],[Step]] &gt; current_step, "",Iterations[[#This Row],[b]]))</f>
        <v/>
      </c>
      <c r="I1084" s="2" t="str">
        <f>IF(Iterations[[#This Row],[Step]] =current_step, current_c,IF(Iterations[[#This Row],[Step]] &gt; current_step, "",Iterations[[#This Row],[c]]))</f>
        <v/>
      </c>
      <c r="J1084" s="2" t="str">
        <f>IF(Iterations[[#This Row],[Step]] =current_step, current_d,IF(Iterations[[#This Row],[Step]] &gt; current_step, "",Iterations[[#This Row],[d]]))</f>
        <v/>
      </c>
      <c r="K1084" s="2" t="str">
        <f>IF(Iterations[[#This Row],[Step]] =current_step, current_e,IF(Iterations[[#This Row],[Step]] &gt; current_step, "",Iterations[[#This Row],[e]]))</f>
        <v/>
      </c>
      <c r="L1084" s="2" t="str">
        <f>IF(Iterations[[#This Row],[Step]] =current_step, current_Total_Loss,IF(Iterations[[#This Row],[Step]] &gt; current_step, "",Iterations[[#This Row],[Total Loss]]))</f>
        <v/>
      </c>
      <c r="M1084" s="6" t="s">
        <v>27</v>
      </c>
      <c r="N1084" s="2" t="str">
        <f>IF(Iterations[[#This Row],[Step]] =current_step, current_Grad_a,IF(Iterations[[#This Row],[Step]] &gt; current_step, "",Iterations[[#This Row],[Grad_a]]))</f>
        <v/>
      </c>
      <c r="O1084" s="2" t="str">
        <f>IF(Iterations[[#This Row],[Step]] =current_step, current_Grad_b,IF(Iterations[[#This Row],[Step]] &gt; current_step, "",Iterations[[#This Row],[Grad_b]]))</f>
        <v/>
      </c>
      <c r="P1084" s="2" t="str">
        <f>IF(Iterations[[#This Row],[Step]] =current_step, current_Grad_c,IF(Iterations[[#This Row],[Step]] &gt; current_step, "",Iterations[[#This Row],[Grad_c]]))</f>
        <v/>
      </c>
      <c r="Q1084" s="2" t="str">
        <f>IF(Iterations[[#This Row],[Step]] =current_step, current_Grad_d,IF(Iterations[[#This Row],[Step]] &gt; current_step, "",Iterations[[#This Row],[Grad_d]]))</f>
        <v/>
      </c>
      <c r="R1084" s="2" t="str">
        <f>IF(Iterations[[#This Row],[Step]] =current_step, current_Grad_e,IF(Iterations[[#This Row],[Step]] &gt; current_step, "",Iterations[[#This Row],[Grad_e]]))</f>
        <v/>
      </c>
    </row>
    <row r="1085" spans="6:18" x14ac:dyDescent="0.3">
      <c r="F1085" s="2">
        <f t="shared" si="22"/>
        <v>1068</v>
      </c>
      <c r="G1085" s="2" t="str">
        <f>IF(Iterations[[#This Row],[Step]] =current_step, current_a,IF(Iterations[[#This Row],[Step]] &gt; current_step, "",Iterations[[#This Row],[a]]))</f>
        <v/>
      </c>
      <c r="H1085" s="2" t="str">
        <f>IF(Iterations[[#This Row],[Step]] =current_step, current_b,IF(Iterations[[#This Row],[Step]] &gt; current_step, "",Iterations[[#This Row],[b]]))</f>
        <v/>
      </c>
      <c r="I1085" s="2" t="str">
        <f>IF(Iterations[[#This Row],[Step]] =current_step, current_c,IF(Iterations[[#This Row],[Step]] &gt; current_step, "",Iterations[[#This Row],[c]]))</f>
        <v/>
      </c>
      <c r="J1085" s="2" t="str">
        <f>IF(Iterations[[#This Row],[Step]] =current_step, current_d,IF(Iterations[[#This Row],[Step]] &gt; current_step, "",Iterations[[#This Row],[d]]))</f>
        <v/>
      </c>
      <c r="K1085" s="2" t="str">
        <f>IF(Iterations[[#This Row],[Step]] =current_step, current_e,IF(Iterations[[#This Row],[Step]] &gt; current_step, "",Iterations[[#This Row],[e]]))</f>
        <v/>
      </c>
      <c r="L1085" s="2" t="str">
        <f>IF(Iterations[[#This Row],[Step]] =current_step, current_Total_Loss,IF(Iterations[[#This Row],[Step]] &gt; current_step, "",Iterations[[#This Row],[Total Loss]]))</f>
        <v/>
      </c>
      <c r="M1085" s="6" t="s">
        <v>27</v>
      </c>
      <c r="N1085" s="2" t="str">
        <f>IF(Iterations[[#This Row],[Step]] =current_step, current_Grad_a,IF(Iterations[[#This Row],[Step]] &gt; current_step, "",Iterations[[#This Row],[Grad_a]]))</f>
        <v/>
      </c>
      <c r="O1085" s="2" t="str">
        <f>IF(Iterations[[#This Row],[Step]] =current_step, current_Grad_b,IF(Iterations[[#This Row],[Step]] &gt; current_step, "",Iterations[[#This Row],[Grad_b]]))</f>
        <v/>
      </c>
      <c r="P1085" s="2" t="str">
        <f>IF(Iterations[[#This Row],[Step]] =current_step, current_Grad_c,IF(Iterations[[#This Row],[Step]] &gt; current_step, "",Iterations[[#This Row],[Grad_c]]))</f>
        <v/>
      </c>
      <c r="Q1085" s="2" t="str">
        <f>IF(Iterations[[#This Row],[Step]] =current_step, current_Grad_d,IF(Iterations[[#This Row],[Step]] &gt; current_step, "",Iterations[[#This Row],[Grad_d]]))</f>
        <v/>
      </c>
      <c r="R1085" s="2" t="str">
        <f>IF(Iterations[[#This Row],[Step]] =current_step, current_Grad_e,IF(Iterations[[#This Row],[Step]] &gt; current_step, "",Iterations[[#This Row],[Grad_e]]))</f>
        <v/>
      </c>
    </row>
    <row r="1086" spans="6:18" x14ac:dyDescent="0.3">
      <c r="F1086" s="2">
        <f t="shared" si="22"/>
        <v>1069</v>
      </c>
      <c r="G1086" s="2" t="str">
        <f>IF(Iterations[[#This Row],[Step]] =current_step, current_a,IF(Iterations[[#This Row],[Step]] &gt; current_step, "",Iterations[[#This Row],[a]]))</f>
        <v/>
      </c>
      <c r="H1086" s="2" t="str">
        <f>IF(Iterations[[#This Row],[Step]] =current_step, current_b,IF(Iterations[[#This Row],[Step]] &gt; current_step, "",Iterations[[#This Row],[b]]))</f>
        <v/>
      </c>
      <c r="I1086" s="2" t="str">
        <f>IF(Iterations[[#This Row],[Step]] =current_step, current_c,IF(Iterations[[#This Row],[Step]] &gt; current_step, "",Iterations[[#This Row],[c]]))</f>
        <v/>
      </c>
      <c r="J1086" s="2" t="str">
        <f>IF(Iterations[[#This Row],[Step]] =current_step, current_d,IF(Iterations[[#This Row],[Step]] &gt; current_step, "",Iterations[[#This Row],[d]]))</f>
        <v/>
      </c>
      <c r="K1086" s="2" t="str">
        <f>IF(Iterations[[#This Row],[Step]] =current_step, current_e,IF(Iterations[[#This Row],[Step]] &gt; current_step, "",Iterations[[#This Row],[e]]))</f>
        <v/>
      </c>
      <c r="L1086" s="2" t="str">
        <f>IF(Iterations[[#This Row],[Step]] =current_step, current_Total_Loss,IF(Iterations[[#This Row],[Step]] &gt; current_step, "",Iterations[[#This Row],[Total Loss]]))</f>
        <v/>
      </c>
      <c r="M1086" s="6" t="s">
        <v>27</v>
      </c>
      <c r="N1086" s="2" t="str">
        <f>IF(Iterations[[#This Row],[Step]] =current_step, current_Grad_a,IF(Iterations[[#This Row],[Step]] &gt; current_step, "",Iterations[[#This Row],[Grad_a]]))</f>
        <v/>
      </c>
      <c r="O1086" s="2" t="str">
        <f>IF(Iterations[[#This Row],[Step]] =current_step, current_Grad_b,IF(Iterations[[#This Row],[Step]] &gt; current_step, "",Iterations[[#This Row],[Grad_b]]))</f>
        <v/>
      </c>
      <c r="P1086" s="2" t="str">
        <f>IF(Iterations[[#This Row],[Step]] =current_step, current_Grad_c,IF(Iterations[[#This Row],[Step]] &gt; current_step, "",Iterations[[#This Row],[Grad_c]]))</f>
        <v/>
      </c>
      <c r="Q1086" s="2" t="str">
        <f>IF(Iterations[[#This Row],[Step]] =current_step, current_Grad_d,IF(Iterations[[#This Row],[Step]] &gt; current_step, "",Iterations[[#This Row],[Grad_d]]))</f>
        <v/>
      </c>
      <c r="R1086" s="2" t="str">
        <f>IF(Iterations[[#This Row],[Step]] =current_step, current_Grad_e,IF(Iterations[[#This Row],[Step]] &gt; current_step, "",Iterations[[#This Row],[Grad_e]]))</f>
        <v/>
      </c>
    </row>
    <row r="1087" spans="6:18" x14ac:dyDescent="0.3">
      <c r="F1087" s="2">
        <f t="shared" si="22"/>
        <v>1070</v>
      </c>
      <c r="G1087" s="2" t="str">
        <f>IF(Iterations[[#This Row],[Step]] =current_step, current_a,IF(Iterations[[#This Row],[Step]] &gt; current_step, "",Iterations[[#This Row],[a]]))</f>
        <v/>
      </c>
      <c r="H1087" s="2" t="str">
        <f>IF(Iterations[[#This Row],[Step]] =current_step, current_b,IF(Iterations[[#This Row],[Step]] &gt; current_step, "",Iterations[[#This Row],[b]]))</f>
        <v/>
      </c>
      <c r="I1087" s="2" t="str">
        <f>IF(Iterations[[#This Row],[Step]] =current_step, current_c,IF(Iterations[[#This Row],[Step]] &gt; current_step, "",Iterations[[#This Row],[c]]))</f>
        <v/>
      </c>
      <c r="J1087" s="2" t="str">
        <f>IF(Iterations[[#This Row],[Step]] =current_step, current_d,IF(Iterations[[#This Row],[Step]] &gt; current_step, "",Iterations[[#This Row],[d]]))</f>
        <v/>
      </c>
      <c r="K1087" s="2" t="str">
        <f>IF(Iterations[[#This Row],[Step]] =current_step, current_e,IF(Iterations[[#This Row],[Step]] &gt; current_step, "",Iterations[[#This Row],[e]]))</f>
        <v/>
      </c>
      <c r="L1087" s="2" t="str">
        <f>IF(Iterations[[#This Row],[Step]] =current_step, current_Total_Loss,IF(Iterations[[#This Row],[Step]] &gt; current_step, "",Iterations[[#This Row],[Total Loss]]))</f>
        <v/>
      </c>
      <c r="M1087" s="6" t="s">
        <v>27</v>
      </c>
      <c r="N1087" s="2" t="str">
        <f>IF(Iterations[[#This Row],[Step]] =current_step, current_Grad_a,IF(Iterations[[#This Row],[Step]] &gt; current_step, "",Iterations[[#This Row],[Grad_a]]))</f>
        <v/>
      </c>
      <c r="O1087" s="2" t="str">
        <f>IF(Iterations[[#This Row],[Step]] =current_step, current_Grad_b,IF(Iterations[[#This Row],[Step]] &gt; current_step, "",Iterations[[#This Row],[Grad_b]]))</f>
        <v/>
      </c>
      <c r="P1087" s="2" t="str">
        <f>IF(Iterations[[#This Row],[Step]] =current_step, current_Grad_c,IF(Iterations[[#This Row],[Step]] &gt; current_step, "",Iterations[[#This Row],[Grad_c]]))</f>
        <v/>
      </c>
      <c r="Q1087" s="2" t="str">
        <f>IF(Iterations[[#This Row],[Step]] =current_step, current_Grad_d,IF(Iterations[[#This Row],[Step]] &gt; current_step, "",Iterations[[#This Row],[Grad_d]]))</f>
        <v/>
      </c>
      <c r="R1087" s="2" t="str">
        <f>IF(Iterations[[#This Row],[Step]] =current_step, current_Grad_e,IF(Iterations[[#This Row],[Step]] &gt; current_step, "",Iterations[[#This Row],[Grad_e]]))</f>
        <v/>
      </c>
    </row>
    <row r="1088" spans="6:18" x14ac:dyDescent="0.3">
      <c r="F1088" s="2">
        <f t="shared" si="22"/>
        <v>1071</v>
      </c>
      <c r="G1088" s="2" t="str">
        <f>IF(Iterations[[#This Row],[Step]] =current_step, current_a,IF(Iterations[[#This Row],[Step]] &gt; current_step, "",Iterations[[#This Row],[a]]))</f>
        <v/>
      </c>
      <c r="H1088" s="2" t="str">
        <f>IF(Iterations[[#This Row],[Step]] =current_step, current_b,IF(Iterations[[#This Row],[Step]] &gt; current_step, "",Iterations[[#This Row],[b]]))</f>
        <v/>
      </c>
      <c r="I1088" s="2" t="str">
        <f>IF(Iterations[[#This Row],[Step]] =current_step, current_c,IF(Iterations[[#This Row],[Step]] &gt; current_step, "",Iterations[[#This Row],[c]]))</f>
        <v/>
      </c>
      <c r="J1088" s="2" t="str">
        <f>IF(Iterations[[#This Row],[Step]] =current_step, current_d,IF(Iterations[[#This Row],[Step]] &gt; current_step, "",Iterations[[#This Row],[d]]))</f>
        <v/>
      </c>
      <c r="K1088" s="2" t="str">
        <f>IF(Iterations[[#This Row],[Step]] =current_step, current_e,IF(Iterations[[#This Row],[Step]] &gt; current_step, "",Iterations[[#This Row],[e]]))</f>
        <v/>
      </c>
      <c r="L1088" s="2" t="str">
        <f>IF(Iterations[[#This Row],[Step]] =current_step, current_Total_Loss,IF(Iterations[[#This Row],[Step]] &gt; current_step, "",Iterations[[#This Row],[Total Loss]]))</f>
        <v/>
      </c>
      <c r="M1088" s="6" t="s">
        <v>27</v>
      </c>
      <c r="N1088" s="2" t="str">
        <f>IF(Iterations[[#This Row],[Step]] =current_step, current_Grad_a,IF(Iterations[[#This Row],[Step]] &gt; current_step, "",Iterations[[#This Row],[Grad_a]]))</f>
        <v/>
      </c>
      <c r="O1088" s="2" t="str">
        <f>IF(Iterations[[#This Row],[Step]] =current_step, current_Grad_b,IF(Iterations[[#This Row],[Step]] &gt; current_step, "",Iterations[[#This Row],[Grad_b]]))</f>
        <v/>
      </c>
      <c r="P1088" s="2" t="str">
        <f>IF(Iterations[[#This Row],[Step]] =current_step, current_Grad_c,IF(Iterations[[#This Row],[Step]] &gt; current_step, "",Iterations[[#This Row],[Grad_c]]))</f>
        <v/>
      </c>
      <c r="Q1088" s="2" t="str">
        <f>IF(Iterations[[#This Row],[Step]] =current_step, current_Grad_d,IF(Iterations[[#This Row],[Step]] &gt; current_step, "",Iterations[[#This Row],[Grad_d]]))</f>
        <v/>
      </c>
      <c r="R1088" s="2" t="str">
        <f>IF(Iterations[[#This Row],[Step]] =current_step, current_Grad_e,IF(Iterations[[#This Row],[Step]] &gt; current_step, "",Iterations[[#This Row],[Grad_e]]))</f>
        <v/>
      </c>
    </row>
    <row r="1089" spans="6:18" x14ac:dyDescent="0.3">
      <c r="F1089" s="2">
        <f t="shared" si="22"/>
        <v>1072</v>
      </c>
      <c r="G1089" s="2" t="str">
        <f>IF(Iterations[[#This Row],[Step]] =current_step, current_a,IF(Iterations[[#This Row],[Step]] &gt; current_step, "",Iterations[[#This Row],[a]]))</f>
        <v/>
      </c>
      <c r="H1089" s="2" t="str">
        <f>IF(Iterations[[#This Row],[Step]] =current_step, current_b,IF(Iterations[[#This Row],[Step]] &gt; current_step, "",Iterations[[#This Row],[b]]))</f>
        <v/>
      </c>
      <c r="I1089" s="2" t="str">
        <f>IF(Iterations[[#This Row],[Step]] =current_step, current_c,IF(Iterations[[#This Row],[Step]] &gt; current_step, "",Iterations[[#This Row],[c]]))</f>
        <v/>
      </c>
      <c r="J1089" s="2" t="str">
        <f>IF(Iterations[[#This Row],[Step]] =current_step, current_d,IF(Iterations[[#This Row],[Step]] &gt; current_step, "",Iterations[[#This Row],[d]]))</f>
        <v/>
      </c>
      <c r="K1089" s="2" t="str">
        <f>IF(Iterations[[#This Row],[Step]] =current_step, current_e,IF(Iterations[[#This Row],[Step]] &gt; current_step, "",Iterations[[#This Row],[e]]))</f>
        <v/>
      </c>
      <c r="L1089" s="2" t="str">
        <f>IF(Iterations[[#This Row],[Step]] =current_step, current_Total_Loss,IF(Iterations[[#This Row],[Step]] &gt; current_step, "",Iterations[[#This Row],[Total Loss]]))</f>
        <v/>
      </c>
      <c r="M1089" s="6" t="s">
        <v>27</v>
      </c>
      <c r="N1089" s="2" t="str">
        <f>IF(Iterations[[#This Row],[Step]] =current_step, current_Grad_a,IF(Iterations[[#This Row],[Step]] &gt; current_step, "",Iterations[[#This Row],[Grad_a]]))</f>
        <v/>
      </c>
      <c r="O1089" s="2" t="str">
        <f>IF(Iterations[[#This Row],[Step]] =current_step, current_Grad_b,IF(Iterations[[#This Row],[Step]] &gt; current_step, "",Iterations[[#This Row],[Grad_b]]))</f>
        <v/>
      </c>
      <c r="P1089" s="2" t="str">
        <f>IF(Iterations[[#This Row],[Step]] =current_step, current_Grad_c,IF(Iterations[[#This Row],[Step]] &gt; current_step, "",Iterations[[#This Row],[Grad_c]]))</f>
        <v/>
      </c>
      <c r="Q1089" s="2" t="str">
        <f>IF(Iterations[[#This Row],[Step]] =current_step, current_Grad_d,IF(Iterations[[#This Row],[Step]] &gt; current_step, "",Iterations[[#This Row],[Grad_d]]))</f>
        <v/>
      </c>
      <c r="R1089" s="2" t="str">
        <f>IF(Iterations[[#This Row],[Step]] =current_step, current_Grad_e,IF(Iterations[[#This Row],[Step]] &gt; current_step, "",Iterations[[#This Row],[Grad_e]]))</f>
        <v/>
      </c>
    </row>
    <row r="1090" spans="6:18" x14ac:dyDescent="0.3">
      <c r="F1090" s="2">
        <f t="shared" si="22"/>
        <v>1073</v>
      </c>
      <c r="G1090" s="2" t="str">
        <f>IF(Iterations[[#This Row],[Step]] =current_step, current_a,IF(Iterations[[#This Row],[Step]] &gt; current_step, "",Iterations[[#This Row],[a]]))</f>
        <v/>
      </c>
      <c r="H1090" s="2" t="str">
        <f>IF(Iterations[[#This Row],[Step]] =current_step, current_b,IF(Iterations[[#This Row],[Step]] &gt; current_step, "",Iterations[[#This Row],[b]]))</f>
        <v/>
      </c>
      <c r="I1090" s="2" t="str">
        <f>IF(Iterations[[#This Row],[Step]] =current_step, current_c,IF(Iterations[[#This Row],[Step]] &gt; current_step, "",Iterations[[#This Row],[c]]))</f>
        <v/>
      </c>
      <c r="J1090" s="2" t="str">
        <f>IF(Iterations[[#This Row],[Step]] =current_step, current_d,IF(Iterations[[#This Row],[Step]] &gt; current_step, "",Iterations[[#This Row],[d]]))</f>
        <v/>
      </c>
      <c r="K1090" s="2" t="str">
        <f>IF(Iterations[[#This Row],[Step]] =current_step, current_e,IF(Iterations[[#This Row],[Step]] &gt; current_step, "",Iterations[[#This Row],[e]]))</f>
        <v/>
      </c>
      <c r="L1090" s="2" t="str">
        <f>IF(Iterations[[#This Row],[Step]] =current_step, current_Total_Loss,IF(Iterations[[#This Row],[Step]] &gt; current_step, "",Iterations[[#This Row],[Total Loss]]))</f>
        <v/>
      </c>
      <c r="M1090" s="6" t="s">
        <v>27</v>
      </c>
      <c r="N1090" s="2" t="str">
        <f>IF(Iterations[[#This Row],[Step]] =current_step, current_Grad_a,IF(Iterations[[#This Row],[Step]] &gt; current_step, "",Iterations[[#This Row],[Grad_a]]))</f>
        <v/>
      </c>
      <c r="O1090" s="2" t="str">
        <f>IF(Iterations[[#This Row],[Step]] =current_step, current_Grad_b,IF(Iterations[[#This Row],[Step]] &gt; current_step, "",Iterations[[#This Row],[Grad_b]]))</f>
        <v/>
      </c>
      <c r="P1090" s="2" t="str">
        <f>IF(Iterations[[#This Row],[Step]] =current_step, current_Grad_c,IF(Iterations[[#This Row],[Step]] &gt; current_step, "",Iterations[[#This Row],[Grad_c]]))</f>
        <v/>
      </c>
      <c r="Q1090" s="2" t="str">
        <f>IF(Iterations[[#This Row],[Step]] =current_step, current_Grad_d,IF(Iterations[[#This Row],[Step]] &gt; current_step, "",Iterations[[#This Row],[Grad_d]]))</f>
        <v/>
      </c>
      <c r="R1090" s="2" t="str">
        <f>IF(Iterations[[#This Row],[Step]] =current_step, current_Grad_e,IF(Iterations[[#This Row],[Step]] &gt; current_step, "",Iterations[[#This Row],[Grad_e]]))</f>
        <v/>
      </c>
    </row>
    <row r="1091" spans="6:18" x14ac:dyDescent="0.3">
      <c r="F1091" s="2">
        <f t="shared" si="22"/>
        <v>1074</v>
      </c>
      <c r="G1091" s="2" t="str">
        <f>IF(Iterations[[#This Row],[Step]] =current_step, current_a,IF(Iterations[[#This Row],[Step]] &gt; current_step, "",Iterations[[#This Row],[a]]))</f>
        <v/>
      </c>
      <c r="H1091" s="2" t="str">
        <f>IF(Iterations[[#This Row],[Step]] =current_step, current_b,IF(Iterations[[#This Row],[Step]] &gt; current_step, "",Iterations[[#This Row],[b]]))</f>
        <v/>
      </c>
      <c r="I1091" s="2" t="str">
        <f>IF(Iterations[[#This Row],[Step]] =current_step, current_c,IF(Iterations[[#This Row],[Step]] &gt; current_step, "",Iterations[[#This Row],[c]]))</f>
        <v/>
      </c>
      <c r="J1091" s="2" t="str">
        <f>IF(Iterations[[#This Row],[Step]] =current_step, current_d,IF(Iterations[[#This Row],[Step]] &gt; current_step, "",Iterations[[#This Row],[d]]))</f>
        <v/>
      </c>
      <c r="K1091" s="2" t="str">
        <f>IF(Iterations[[#This Row],[Step]] =current_step, current_e,IF(Iterations[[#This Row],[Step]] &gt; current_step, "",Iterations[[#This Row],[e]]))</f>
        <v/>
      </c>
      <c r="L1091" s="2" t="str">
        <f>IF(Iterations[[#This Row],[Step]] =current_step, current_Total_Loss,IF(Iterations[[#This Row],[Step]] &gt; current_step, "",Iterations[[#This Row],[Total Loss]]))</f>
        <v/>
      </c>
      <c r="M1091" s="6" t="s">
        <v>27</v>
      </c>
      <c r="N1091" s="2" t="str">
        <f>IF(Iterations[[#This Row],[Step]] =current_step, current_Grad_a,IF(Iterations[[#This Row],[Step]] &gt; current_step, "",Iterations[[#This Row],[Grad_a]]))</f>
        <v/>
      </c>
      <c r="O1091" s="2" t="str">
        <f>IF(Iterations[[#This Row],[Step]] =current_step, current_Grad_b,IF(Iterations[[#This Row],[Step]] &gt; current_step, "",Iterations[[#This Row],[Grad_b]]))</f>
        <v/>
      </c>
      <c r="P1091" s="2" t="str">
        <f>IF(Iterations[[#This Row],[Step]] =current_step, current_Grad_c,IF(Iterations[[#This Row],[Step]] &gt; current_step, "",Iterations[[#This Row],[Grad_c]]))</f>
        <v/>
      </c>
      <c r="Q1091" s="2" t="str">
        <f>IF(Iterations[[#This Row],[Step]] =current_step, current_Grad_d,IF(Iterations[[#This Row],[Step]] &gt; current_step, "",Iterations[[#This Row],[Grad_d]]))</f>
        <v/>
      </c>
      <c r="R1091" s="2" t="str">
        <f>IF(Iterations[[#This Row],[Step]] =current_step, current_Grad_e,IF(Iterations[[#This Row],[Step]] &gt; current_step, "",Iterations[[#This Row],[Grad_e]]))</f>
        <v/>
      </c>
    </row>
    <row r="1092" spans="6:18" x14ac:dyDescent="0.3">
      <c r="F1092" s="2">
        <f t="shared" si="22"/>
        <v>1075</v>
      </c>
      <c r="G1092" s="2" t="str">
        <f>IF(Iterations[[#This Row],[Step]] =current_step, current_a,IF(Iterations[[#This Row],[Step]] &gt; current_step, "",Iterations[[#This Row],[a]]))</f>
        <v/>
      </c>
      <c r="H1092" s="2" t="str">
        <f>IF(Iterations[[#This Row],[Step]] =current_step, current_b,IF(Iterations[[#This Row],[Step]] &gt; current_step, "",Iterations[[#This Row],[b]]))</f>
        <v/>
      </c>
      <c r="I1092" s="2" t="str">
        <f>IF(Iterations[[#This Row],[Step]] =current_step, current_c,IF(Iterations[[#This Row],[Step]] &gt; current_step, "",Iterations[[#This Row],[c]]))</f>
        <v/>
      </c>
      <c r="J1092" s="2" t="str">
        <f>IF(Iterations[[#This Row],[Step]] =current_step, current_d,IF(Iterations[[#This Row],[Step]] &gt; current_step, "",Iterations[[#This Row],[d]]))</f>
        <v/>
      </c>
      <c r="K1092" s="2" t="str">
        <f>IF(Iterations[[#This Row],[Step]] =current_step, current_e,IF(Iterations[[#This Row],[Step]] &gt; current_step, "",Iterations[[#This Row],[e]]))</f>
        <v/>
      </c>
      <c r="L1092" s="2" t="str">
        <f>IF(Iterations[[#This Row],[Step]] =current_step, current_Total_Loss,IF(Iterations[[#This Row],[Step]] &gt; current_step, "",Iterations[[#This Row],[Total Loss]]))</f>
        <v/>
      </c>
      <c r="M1092" s="6" t="s">
        <v>27</v>
      </c>
      <c r="N1092" s="2" t="str">
        <f>IF(Iterations[[#This Row],[Step]] =current_step, current_Grad_a,IF(Iterations[[#This Row],[Step]] &gt; current_step, "",Iterations[[#This Row],[Grad_a]]))</f>
        <v/>
      </c>
      <c r="O1092" s="2" t="str">
        <f>IF(Iterations[[#This Row],[Step]] =current_step, current_Grad_b,IF(Iterations[[#This Row],[Step]] &gt; current_step, "",Iterations[[#This Row],[Grad_b]]))</f>
        <v/>
      </c>
      <c r="P1092" s="2" t="str">
        <f>IF(Iterations[[#This Row],[Step]] =current_step, current_Grad_c,IF(Iterations[[#This Row],[Step]] &gt; current_step, "",Iterations[[#This Row],[Grad_c]]))</f>
        <v/>
      </c>
      <c r="Q1092" s="2" t="str">
        <f>IF(Iterations[[#This Row],[Step]] =current_step, current_Grad_d,IF(Iterations[[#This Row],[Step]] &gt; current_step, "",Iterations[[#This Row],[Grad_d]]))</f>
        <v/>
      </c>
      <c r="R1092" s="2" t="str">
        <f>IF(Iterations[[#This Row],[Step]] =current_step, current_Grad_e,IF(Iterations[[#This Row],[Step]] &gt; current_step, "",Iterations[[#This Row],[Grad_e]]))</f>
        <v/>
      </c>
    </row>
    <row r="1093" spans="6:18" x14ac:dyDescent="0.3">
      <c r="F1093" s="2">
        <f t="shared" si="22"/>
        <v>1076</v>
      </c>
      <c r="G1093" s="2" t="str">
        <f>IF(Iterations[[#This Row],[Step]] =current_step, current_a,IF(Iterations[[#This Row],[Step]] &gt; current_step, "",Iterations[[#This Row],[a]]))</f>
        <v/>
      </c>
      <c r="H1093" s="2" t="str">
        <f>IF(Iterations[[#This Row],[Step]] =current_step, current_b,IF(Iterations[[#This Row],[Step]] &gt; current_step, "",Iterations[[#This Row],[b]]))</f>
        <v/>
      </c>
      <c r="I1093" s="2" t="str">
        <f>IF(Iterations[[#This Row],[Step]] =current_step, current_c,IF(Iterations[[#This Row],[Step]] &gt; current_step, "",Iterations[[#This Row],[c]]))</f>
        <v/>
      </c>
      <c r="J1093" s="2" t="str">
        <f>IF(Iterations[[#This Row],[Step]] =current_step, current_d,IF(Iterations[[#This Row],[Step]] &gt; current_step, "",Iterations[[#This Row],[d]]))</f>
        <v/>
      </c>
      <c r="K1093" s="2" t="str">
        <f>IF(Iterations[[#This Row],[Step]] =current_step, current_e,IF(Iterations[[#This Row],[Step]] &gt; current_step, "",Iterations[[#This Row],[e]]))</f>
        <v/>
      </c>
      <c r="L1093" s="2" t="str">
        <f>IF(Iterations[[#This Row],[Step]] =current_step, current_Total_Loss,IF(Iterations[[#This Row],[Step]] &gt; current_step, "",Iterations[[#This Row],[Total Loss]]))</f>
        <v/>
      </c>
      <c r="M1093" s="6" t="s">
        <v>27</v>
      </c>
      <c r="N1093" s="2" t="str">
        <f>IF(Iterations[[#This Row],[Step]] =current_step, current_Grad_a,IF(Iterations[[#This Row],[Step]] &gt; current_step, "",Iterations[[#This Row],[Grad_a]]))</f>
        <v/>
      </c>
      <c r="O1093" s="2" t="str">
        <f>IF(Iterations[[#This Row],[Step]] =current_step, current_Grad_b,IF(Iterations[[#This Row],[Step]] &gt; current_step, "",Iterations[[#This Row],[Grad_b]]))</f>
        <v/>
      </c>
      <c r="P1093" s="2" t="str">
        <f>IF(Iterations[[#This Row],[Step]] =current_step, current_Grad_c,IF(Iterations[[#This Row],[Step]] &gt; current_step, "",Iterations[[#This Row],[Grad_c]]))</f>
        <v/>
      </c>
      <c r="Q1093" s="2" t="str">
        <f>IF(Iterations[[#This Row],[Step]] =current_step, current_Grad_d,IF(Iterations[[#This Row],[Step]] &gt; current_step, "",Iterations[[#This Row],[Grad_d]]))</f>
        <v/>
      </c>
      <c r="R1093" s="2" t="str">
        <f>IF(Iterations[[#This Row],[Step]] =current_step, current_Grad_e,IF(Iterations[[#This Row],[Step]] &gt; current_step, "",Iterations[[#This Row],[Grad_e]]))</f>
        <v/>
      </c>
    </row>
    <row r="1094" spans="6:18" x14ac:dyDescent="0.3">
      <c r="F1094" s="2">
        <f t="shared" si="22"/>
        <v>1077</v>
      </c>
      <c r="G1094" s="2" t="str">
        <f>IF(Iterations[[#This Row],[Step]] =current_step, current_a,IF(Iterations[[#This Row],[Step]] &gt; current_step, "",Iterations[[#This Row],[a]]))</f>
        <v/>
      </c>
      <c r="H1094" s="2" t="str">
        <f>IF(Iterations[[#This Row],[Step]] =current_step, current_b,IF(Iterations[[#This Row],[Step]] &gt; current_step, "",Iterations[[#This Row],[b]]))</f>
        <v/>
      </c>
      <c r="I1094" s="2" t="str">
        <f>IF(Iterations[[#This Row],[Step]] =current_step, current_c,IF(Iterations[[#This Row],[Step]] &gt; current_step, "",Iterations[[#This Row],[c]]))</f>
        <v/>
      </c>
      <c r="J1094" s="2" t="str">
        <f>IF(Iterations[[#This Row],[Step]] =current_step, current_d,IF(Iterations[[#This Row],[Step]] &gt; current_step, "",Iterations[[#This Row],[d]]))</f>
        <v/>
      </c>
      <c r="K1094" s="2" t="str">
        <f>IF(Iterations[[#This Row],[Step]] =current_step, current_e,IF(Iterations[[#This Row],[Step]] &gt; current_step, "",Iterations[[#This Row],[e]]))</f>
        <v/>
      </c>
      <c r="L1094" s="2" t="str">
        <f>IF(Iterations[[#This Row],[Step]] =current_step, current_Total_Loss,IF(Iterations[[#This Row],[Step]] &gt; current_step, "",Iterations[[#This Row],[Total Loss]]))</f>
        <v/>
      </c>
      <c r="M1094" s="6" t="s">
        <v>27</v>
      </c>
      <c r="N1094" s="2" t="str">
        <f>IF(Iterations[[#This Row],[Step]] =current_step, current_Grad_a,IF(Iterations[[#This Row],[Step]] &gt; current_step, "",Iterations[[#This Row],[Grad_a]]))</f>
        <v/>
      </c>
      <c r="O1094" s="2" t="str">
        <f>IF(Iterations[[#This Row],[Step]] =current_step, current_Grad_b,IF(Iterations[[#This Row],[Step]] &gt; current_step, "",Iterations[[#This Row],[Grad_b]]))</f>
        <v/>
      </c>
      <c r="P1094" s="2" t="str">
        <f>IF(Iterations[[#This Row],[Step]] =current_step, current_Grad_c,IF(Iterations[[#This Row],[Step]] &gt; current_step, "",Iterations[[#This Row],[Grad_c]]))</f>
        <v/>
      </c>
      <c r="Q1094" s="2" t="str">
        <f>IF(Iterations[[#This Row],[Step]] =current_step, current_Grad_d,IF(Iterations[[#This Row],[Step]] &gt; current_step, "",Iterations[[#This Row],[Grad_d]]))</f>
        <v/>
      </c>
      <c r="R1094" s="2" t="str">
        <f>IF(Iterations[[#This Row],[Step]] =current_step, current_Grad_e,IF(Iterations[[#This Row],[Step]] &gt; current_step, "",Iterations[[#This Row],[Grad_e]]))</f>
        <v/>
      </c>
    </row>
    <row r="1095" spans="6:18" x14ac:dyDescent="0.3">
      <c r="F1095" s="2">
        <f t="shared" si="22"/>
        <v>1078</v>
      </c>
      <c r="G1095" s="2" t="str">
        <f>IF(Iterations[[#This Row],[Step]] =current_step, current_a,IF(Iterations[[#This Row],[Step]] &gt; current_step, "",Iterations[[#This Row],[a]]))</f>
        <v/>
      </c>
      <c r="H1095" s="2" t="str">
        <f>IF(Iterations[[#This Row],[Step]] =current_step, current_b,IF(Iterations[[#This Row],[Step]] &gt; current_step, "",Iterations[[#This Row],[b]]))</f>
        <v/>
      </c>
      <c r="I1095" s="2" t="str">
        <f>IF(Iterations[[#This Row],[Step]] =current_step, current_c,IF(Iterations[[#This Row],[Step]] &gt; current_step, "",Iterations[[#This Row],[c]]))</f>
        <v/>
      </c>
      <c r="J1095" s="2" t="str">
        <f>IF(Iterations[[#This Row],[Step]] =current_step, current_d,IF(Iterations[[#This Row],[Step]] &gt; current_step, "",Iterations[[#This Row],[d]]))</f>
        <v/>
      </c>
      <c r="K1095" s="2" t="str">
        <f>IF(Iterations[[#This Row],[Step]] =current_step, current_e,IF(Iterations[[#This Row],[Step]] &gt; current_step, "",Iterations[[#This Row],[e]]))</f>
        <v/>
      </c>
      <c r="L1095" s="2" t="str">
        <f>IF(Iterations[[#This Row],[Step]] =current_step, current_Total_Loss,IF(Iterations[[#This Row],[Step]] &gt; current_step, "",Iterations[[#This Row],[Total Loss]]))</f>
        <v/>
      </c>
      <c r="M1095" s="6" t="s">
        <v>27</v>
      </c>
      <c r="N1095" s="2" t="str">
        <f>IF(Iterations[[#This Row],[Step]] =current_step, current_Grad_a,IF(Iterations[[#This Row],[Step]] &gt; current_step, "",Iterations[[#This Row],[Grad_a]]))</f>
        <v/>
      </c>
      <c r="O1095" s="2" t="str">
        <f>IF(Iterations[[#This Row],[Step]] =current_step, current_Grad_b,IF(Iterations[[#This Row],[Step]] &gt; current_step, "",Iterations[[#This Row],[Grad_b]]))</f>
        <v/>
      </c>
      <c r="P1095" s="2" t="str">
        <f>IF(Iterations[[#This Row],[Step]] =current_step, current_Grad_c,IF(Iterations[[#This Row],[Step]] &gt; current_step, "",Iterations[[#This Row],[Grad_c]]))</f>
        <v/>
      </c>
      <c r="Q1095" s="2" t="str">
        <f>IF(Iterations[[#This Row],[Step]] =current_step, current_Grad_d,IF(Iterations[[#This Row],[Step]] &gt; current_step, "",Iterations[[#This Row],[Grad_d]]))</f>
        <v/>
      </c>
      <c r="R1095" s="2" t="str">
        <f>IF(Iterations[[#This Row],[Step]] =current_step, current_Grad_e,IF(Iterations[[#This Row],[Step]] &gt; current_step, "",Iterations[[#This Row],[Grad_e]]))</f>
        <v/>
      </c>
    </row>
    <row r="1096" spans="6:18" x14ac:dyDescent="0.3">
      <c r="F1096" s="2">
        <f t="shared" si="22"/>
        <v>1079</v>
      </c>
      <c r="G1096" s="2" t="str">
        <f>IF(Iterations[[#This Row],[Step]] =current_step, current_a,IF(Iterations[[#This Row],[Step]] &gt; current_step, "",Iterations[[#This Row],[a]]))</f>
        <v/>
      </c>
      <c r="H1096" s="2" t="str">
        <f>IF(Iterations[[#This Row],[Step]] =current_step, current_b,IF(Iterations[[#This Row],[Step]] &gt; current_step, "",Iterations[[#This Row],[b]]))</f>
        <v/>
      </c>
      <c r="I1096" s="2" t="str">
        <f>IF(Iterations[[#This Row],[Step]] =current_step, current_c,IF(Iterations[[#This Row],[Step]] &gt; current_step, "",Iterations[[#This Row],[c]]))</f>
        <v/>
      </c>
      <c r="J1096" s="2" t="str">
        <f>IF(Iterations[[#This Row],[Step]] =current_step, current_d,IF(Iterations[[#This Row],[Step]] &gt; current_step, "",Iterations[[#This Row],[d]]))</f>
        <v/>
      </c>
      <c r="K1096" s="2" t="str">
        <f>IF(Iterations[[#This Row],[Step]] =current_step, current_e,IF(Iterations[[#This Row],[Step]] &gt; current_step, "",Iterations[[#This Row],[e]]))</f>
        <v/>
      </c>
      <c r="L1096" s="2" t="str">
        <f>IF(Iterations[[#This Row],[Step]] =current_step, current_Total_Loss,IF(Iterations[[#This Row],[Step]] &gt; current_step, "",Iterations[[#This Row],[Total Loss]]))</f>
        <v/>
      </c>
      <c r="M1096" s="6" t="s">
        <v>27</v>
      </c>
      <c r="N1096" s="2" t="str">
        <f>IF(Iterations[[#This Row],[Step]] =current_step, current_Grad_a,IF(Iterations[[#This Row],[Step]] &gt; current_step, "",Iterations[[#This Row],[Grad_a]]))</f>
        <v/>
      </c>
      <c r="O1096" s="2" t="str">
        <f>IF(Iterations[[#This Row],[Step]] =current_step, current_Grad_b,IF(Iterations[[#This Row],[Step]] &gt; current_step, "",Iterations[[#This Row],[Grad_b]]))</f>
        <v/>
      </c>
      <c r="P1096" s="2" t="str">
        <f>IF(Iterations[[#This Row],[Step]] =current_step, current_Grad_c,IF(Iterations[[#This Row],[Step]] &gt; current_step, "",Iterations[[#This Row],[Grad_c]]))</f>
        <v/>
      </c>
      <c r="Q1096" s="2" t="str">
        <f>IF(Iterations[[#This Row],[Step]] =current_step, current_Grad_d,IF(Iterations[[#This Row],[Step]] &gt; current_step, "",Iterations[[#This Row],[Grad_d]]))</f>
        <v/>
      </c>
      <c r="R1096" s="2" t="str">
        <f>IF(Iterations[[#This Row],[Step]] =current_step, current_Grad_e,IF(Iterations[[#This Row],[Step]] &gt; current_step, "",Iterations[[#This Row],[Grad_e]]))</f>
        <v/>
      </c>
    </row>
    <row r="1097" spans="6:18" x14ac:dyDescent="0.3">
      <c r="F1097" s="2">
        <f t="shared" si="22"/>
        <v>1080</v>
      </c>
      <c r="G1097" s="2" t="str">
        <f>IF(Iterations[[#This Row],[Step]] =current_step, current_a,IF(Iterations[[#This Row],[Step]] &gt; current_step, "",Iterations[[#This Row],[a]]))</f>
        <v/>
      </c>
      <c r="H1097" s="2" t="str">
        <f>IF(Iterations[[#This Row],[Step]] =current_step, current_b,IF(Iterations[[#This Row],[Step]] &gt; current_step, "",Iterations[[#This Row],[b]]))</f>
        <v/>
      </c>
      <c r="I1097" s="2" t="str">
        <f>IF(Iterations[[#This Row],[Step]] =current_step, current_c,IF(Iterations[[#This Row],[Step]] &gt; current_step, "",Iterations[[#This Row],[c]]))</f>
        <v/>
      </c>
      <c r="J1097" s="2" t="str">
        <f>IF(Iterations[[#This Row],[Step]] =current_step, current_d,IF(Iterations[[#This Row],[Step]] &gt; current_step, "",Iterations[[#This Row],[d]]))</f>
        <v/>
      </c>
      <c r="K1097" s="2" t="str">
        <f>IF(Iterations[[#This Row],[Step]] =current_step, current_e,IF(Iterations[[#This Row],[Step]] &gt; current_step, "",Iterations[[#This Row],[e]]))</f>
        <v/>
      </c>
      <c r="L1097" s="2" t="str">
        <f>IF(Iterations[[#This Row],[Step]] =current_step, current_Total_Loss,IF(Iterations[[#This Row],[Step]] &gt; current_step, "",Iterations[[#This Row],[Total Loss]]))</f>
        <v/>
      </c>
      <c r="M1097" s="6" t="s">
        <v>27</v>
      </c>
      <c r="N1097" s="2" t="str">
        <f>IF(Iterations[[#This Row],[Step]] =current_step, current_Grad_a,IF(Iterations[[#This Row],[Step]] &gt; current_step, "",Iterations[[#This Row],[Grad_a]]))</f>
        <v/>
      </c>
      <c r="O1097" s="2" t="str">
        <f>IF(Iterations[[#This Row],[Step]] =current_step, current_Grad_b,IF(Iterations[[#This Row],[Step]] &gt; current_step, "",Iterations[[#This Row],[Grad_b]]))</f>
        <v/>
      </c>
      <c r="P1097" s="2" t="str">
        <f>IF(Iterations[[#This Row],[Step]] =current_step, current_Grad_c,IF(Iterations[[#This Row],[Step]] &gt; current_step, "",Iterations[[#This Row],[Grad_c]]))</f>
        <v/>
      </c>
      <c r="Q1097" s="2" t="str">
        <f>IF(Iterations[[#This Row],[Step]] =current_step, current_Grad_d,IF(Iterations[[#This Row],[Step]] &gt; current_step, "",Iterations[[#This Row],[Grad_d]]))</f>
        <v/>
      </c>
      <c r="R1097" s="2" t="str">
        <f>IF(Iterations[[#This Row],[Step]] =current_step, current_Grad_e,IF(Iterations[[#This Row],[Step]] &gt; current_step, "",Iterations[[#This Row],[Grad_e]]))</f>
        <v/>
      </c>
    </row>
    <row r="1098" spans="6:18" x14ac:dyDescent="0.3">
      <c r="F1098" s="2">
        <f t="shared" si="22"/>
        <v>1081</v>
      </c>
      <c r="G1098" s="2" t="str">
        <f>IF(Iterations[[#This Row],[Step]] =current_step, current_a,IF(Iterations[[#This Row],[Step]] &gt; current_step, "",Iterations[[#This Row],[a]]))</f>
        <v/>
      </c>
      <c r="H1098" s="2" t="str">
        <f>IF(Iterations[[#This Row],[Step]] =current_step, current_b,IF(Iterations[[#This Row],[Step]] &gt; current_step, "",Iterations[[#This Row],[b]]))</f>
        <v/>
      </c>
      <c r="I1098" s="2" t="str">
        <f>IF(Iterations[[#This Row],[Step]] =current_step, current_c,IF(Iterations[[#This Row],[Step]] &gt; current_step, "",Iterations[[#This Row],[c]]))</f>
        <v/>
      </c>
      <c r="J1098" s="2" t="str">
        <f>IF(Iterations[[#This Row],[Step]] =current_step, current_d,IF(Iterations[[#This Row],[Step]] &gt; current_step, "",Iterations[[#This Row],[d]]))</f>
        <v/>
      </c>
      <c r="K1098" s="2" t="str">
        <f>IF(Iterations[[#This Row],[Step]] =current_step, current_e,IF(Iterations[[#This Row],[Step]] &gt; current_step, "",Iterations[[#This Row],[e]]))</f>
        <v/>
      </c>
      <c r="L1098" s="2" t="str">
        <f>IF(Iterations[[#This Row],[Step]] =current_step, current_Total_Loss,IF(Iterations[[#This Row],[Step]] &gt; current_step, "",Iterations[[#This Row],[Total Loss]]))</f>
        <v/>
      </c>
      <c r="M1098" s="6" t="s">
        <v>27</v>
      </c>
      <c r="N1098" s="2" t="str">
        <f>IF(Iterations[[#This Row],[Step]] =current_step, current_Grad_a,IF(Iterations[[#This Row],[Step]] &gt; current_step, "",Iterations[[#This Row],[Grad_a]]))</f>
        <v/>
      </c>
      <c r="O1098" s="2" t="str">
        <f>IF(Iterations[[#This Row],[Step]] =current_step, current_Grad_b,IF(Iterations[[#This Row],[Step]] &gt; current_step, "",Iterations[[#This Row],[Grad_b]]))</f>
        <v/>
      </c>
      <c r="P1098" s="2" t="str">
        <f>IF(Iterations[[#This Row],[Step]] =current_step, current_Grad_c,IF(Iterations[[#This Row],[Step]] &gt; current_step, "",Iterations[[#This Row],[Grad_c]]))</f>
        <v/>
      </c>
      <c r="Q1098" s="2" t="str">
        <f>IF(Iterations[[#This Row],[Step]] =current_step, current_Grad_d,IF(Iterations[[#This Row],[Step]] &gt; current_step, "",Iterations[[#This Row],[Grad_d]]))</f>
        <v/>
      </c>
      <c r="R1098" s="2" t="str">
        <f>IF(Iterations[[#This Row],[Step]] =current_step, current_Grad_e,IF(Iterations[[#This Row],[Step]] &gt; current_step, "",Iterations[[#This Row],[Grad_e]]))</f>
        <v/>
      </c>
    </row>
    <row r="1099" spans="6:18" x14ac:dyDescent="0.3">
      <c r="F1099" s="2">
        <f t="shared" si="22"/>
        <v>1082</v>
      </c>
      <c r="G1099" s="2" t="str">
        <f>IF(Iterations[[#This Row],[Step]] =current_step, current_a,IF(Iterations[[#This Row],[Step]] &gt; current_step, "",Iterations[[#This Row],[a]]))</f>
        <v/>
      </c>
      <c r="H1099" s="2" t="str">
        <f>IF(Iterations[[#This Row],[Step]] =current_step, current_b,IF(Iterations[[#This Row],[Step]] &gt; current_step, "",Iterations[[#This Row],[b]]))</f>
        <v/>
      </c>
      <c r="I1099" s="2" t="str">
        <f>IF(Iterations[[#This Row],[Step]] =current_step, current_c,IF(Iterations[[#This Row],[Step]] &gt; current_step, "",Iterations[[#This Row],[c]]))</f>
        <v/>
      </c>
      <c r="J1099" s="2" t="str">
        <f>IF(Iterations[[#This Row],[Step]] =current_step, current_d,IF(Iterations[[#This Row],[Step]] &gt; current_step, "",Iterations[[#This Row],[d]]))</f>
        <v/>
      </c>
      <c r="K1099" s="2" t="str">
        <f>IF(Iterations[[#This Row],[Step]] =current_step, current_e,IF(Iterations[[#This Row],[Step]] &gt; current_step, "",Iterations[[#This Row],[e]]))</f>
        <v/>
      </c>
      <c r="L1099" s="2" t="str">
        <f>IF(Iterations[[#This Row],[Step]] =current_step, current_Total_Loss,IF(Iterations[[#This Row],[Step]] &gt; current_step, "",Iterations[[#This Row],[Total Loss]]))</f>
        <v/>
      </c>
      <c r="M1099" s="6" t="s">
        <v>27</v>
      </c>
      <c r="N1099" s="2" t="str">
        <f>IF(Iterations[[#This Row],[Step]] =current_step, current_Grad_a,IF(Iterations[[#This Row],[Step]] &gt; current_step, "",Iterations[[#This Row],[Grad_a]]))</f>
        <v/>
      </c>
      <c r="O1099" s="2" t="str">
        <f>IF(Iterations[[#This Row],[Step]] =current_step, current_Grad_b,IF(Iterations[[#This Row],[Step]] &gt; current_step, "",Iterations[[#This Row],[Grad_b]]))</f>
        <v/>
      </c>
      <c r="P1099" s="2" t="str">
        <f>IF(Iterations[[#This Row],[Step]] =current_step, current_Grad_c,IF(Iterations[[#This Row],[Step]] &gt; current_step, "",Iterations[[#This Row],[Grad_c]]))</f>
        <v/>
      </c>
      <c r="Q1099" s="2" t="str">
        <f>IF(Iterations[[#This Row],[Step]] =current_step, current_Grad_d,IF(Iterations[[#This Row],[Step]] &gt; current_step, "",Iterations[[#This Row],[Grad_d]]))</f>
        <v/>
      </c>
      <c r="R1099" s="2" t="str">
        <f>IF(Iterations[[#This Row],[Step]] =current_step, current_Grad_e,IF(Iterations[[#This Row],[Step]] &gt; current_step, "",Iterations[[#This Row],[Grad_e]]))</f>
        <v/>
      </c>
    </row>
    <row r="1100" spans="6:18" x14ac:dyDescent="0.3">
      <c r="F1100" s="2">
        <f t="shared" si="22"/>
        <v>1083</v>
      </c>
      <c r="G1100" s="2" t="str">
        <f>IF(Iterations[[#This Row],[Step]] =current_step, current_a,IF(Iterations[[#This Row],[Step]] &gt; current_step, "",Iterations[[#This Row],[a]]))</f>
        <v/>
      </c>
      <c r="H1100" s="2" t="str">
        <f>IF(Iterations[[#This Row],[Step]] =current_step, current_b,IF(Iterations[[#This Row],[Step]] &gt; current_step, "",Iterations[[#This Row],[b]]))</f>
        <v/>
      </c>
      <c r="I1100" s="2" t="str">
        <f>IF(Iterations[[#This Row],[Step]] =current_step, current_c,IF(Iterations[[#This Row],[Step]] &gt; current_step, "",Iterations[[#This Row],[c]]))</f>
        <v/>
      </c>
      <c r="J1100" s="2" t="str">
        <f>IF(Iterations[[#This Row],[Step]] =current_step, current_d,IF(Iterations[[#This Row],[Step]] &gt; current_step, "",Iterations[[#This Row],[d]]))</f>
        <v/>
      </c>
      <c r="K1100" s="2" t="str">
        <f>IF(Iterations[[#This Row],[Step]] =current_step, current_e,IF(Iterations[[#This Row],[Step]] &gt; current_step, "",Iterations[[#This Row],[e]]))</f>
        <v/>
      </c>
      <c r="L1100" s="2" t="str">
        <f>IF(Iterations[[#This Row],[Step]] =current_step, current_Total_Loss,IF(Iterations[[#This Row],[Step]] &gt; current_step, "",Iterations[[#This Row],[Total Loss]]))</f>
        <v/>
      </c>
      <c r="M1100" s="6" t="s">
        <v>27</v>
      </c>
      <c r="N1100" s="2" t="str">
        <f>IF(Iterations[[#This Row],[Step]] =current_step, current_Grad_a,IF(Iterations[[#This Row],[Step]] &gt; current_step, "",Iterations[[#This Row],[Grad_a]]))</f>
        <v/>
      </c>
      <c r="O1100" s="2" t="str">
        <f>IF(Iterations[[#This Row],[Step]] =current_step, current_Grad_b,IF(Iterations[[#This Row],[Step]] &gt; current_step, "",Iterations[[#This Row],[Grad_b]]))</f>
        <v/>
      </c>
      <c r="P1100" s="2" t="str">
        <f>IF(Iterations[[#This Row],[Step]] =current_step, current_Grad_c,IF(Iterations[[#This Row],[Step]] &gt; current_step, "",Iterations[[#This Row],[Grad_c]]))</f>
        <v/>
      </c>
      <c r="Q1100" s="2" t="str">
        <f>IF(Iterations[[#This Row],[Step]] =current_step, current_Grad_d,IF(Iterations[[#This Row],[Step]] &gt; current_step, "",Iterations[[#This Row],[Grad_d]]))</f>
        <v/>
      </c>
      <c r="R1100" s="2" t="str">
        <f>IF(Iterations[[#This Row],[Step]] =current_step, current_Grad_e,IF(Iterations[[#This Row],[Step]] &gt; current_step, "",Iterations[[#This Row],[Grad_e]]))</f>
        <v/>
      </c>
    </row>
    <row r="1101" spans="6:18" x14ac:dyDescent="0.3">
      <c r="F1101" s="2">
        <f t="shared" si="22"/>
        <v>1084</v>
      </c>
      <c r="G1101" s="2" t="str">
        <f>IF(Iterations[[#This Row],[Step]] =current_step, current_a,IF(Iterations[[#This Row],[Step]] &gt; current_step, "",Iterations[[#This Row],[a]]))</f>
        <v/>
      </c>
      <c r="H1101" s="2" t="str">
        <f>IF(Iterations[[#This Row],[Step]] =current_step, current_b,IF(Iterations[[#This Row],[Step]] &gt; current_step, "",Iterations[[#This Row],[b]]))</f>
        <v/>
      </c>
      <c r="I1101" s="2" t="str">
        <f>IF(Iterations[[#This Row],[Step]] =current_step, current_c,IF(Iterations[[#This Row],[Step]] &gt; current_step, "",Iterations[[#This Row],[c]]))</f>
        <v/>
      </c>
      <c r="J1101" s="2" t="str">
        <f>IF(Iterations[[#This Row],[Step]] =current_step, current_d,IF(Iterations[[#This Row],[Step]] &gt; current_step, "",Iterations[[#This Row],[d]]))</f>
        <v/>
      </c>
      <c r="K1101" s="2" t="str">
        <f>IF(Iterations[[#This Row],[Step]] =current_step, current_e,IF(Iterations[[#This Row],[Step]] &gt; current_step, "",Iterations[[#This Row],[e]]))</f>
        <v/>
      </c>
      <c r="L1101" s="2" t="str">
        <f>IF(Iterations[[#This Row],[Step]] =current_step, current_Total_Loss,IF(Iterations[[#This Row],[Step]] &gt; current_step, "",Iterations[[#This Row],[Total Loss]]))</f>
        <v/>
      </c>
      <c r="M1101" s="6" t="s">
        <v>27</v>
      </c>
      <c r="N1101" s="2" t="str">
        <f>IF(Iterations[[#This Row],[Step]] =current_step, current_Grad_a,IF(Iterations[[#This Row],[Step]] &gt; current_step, "",Iterations[[#This Row],[Grad_a]]))</f>
        <v/>
      </c>
      <c r="O1101" s="2" t="str">
        <f>IF(Iterations[[#This Row],[Step]] =current_step, current_Grad_b,IF(Iterations[[#This Row],[Step]] &gt; current_step, "",Iterations[[#This Row],[Grad_b]]))</f>
        <v/>
      </c>
      <c r="P1101" s="2" t="str">
        <f>IF(Iterations[[#This Row],[Step]] =current_step, current_Grad_c,IF(Iterations[[#This Row],[Step]] &gt; current_step, "",Iterations[[#This Row],[Grad_c]]))</f>
        <v/>
      </c>
      <c r="Q1101" s="2" t="str">
        <f>IF(Iterations[[#This Row],[Step]] =current_step, current_Grad_d,IF(Iterations[[#This Row],[Step]] &gt; current_step, "",Iterations[[#This Row],[Grad_d]]))</f>
        <v/>
      </c>
      <c r="R1101" s="2" t="str">
        <f>IF(Iterations[[#This Row],[Step]] =current_step, current_Grad_e,IF(Iterations[[#This Row],[Step]] &gt; current_step, "",Iterations[[#This Row],[Grad_e]]))</f>
        <v/>
      </c>
    </row>
    <row r="1102" spans="6:18" x14ac:dyDescent="0.3">
      <c r="F1102" s="2">
        <f t="shared" si="22"/>
        <v>1085</v>
      </c>
      <c r="G1102" s="2" t="str">
        <f>IF(Iterations[[#This Row],[Step]] =current_step, current_a,IF(Iterations[[#This Row],[Step]] &gt; current_step, "",Iterations[[#This Row],[a]]))</f>
        <v/>
      </c>
      <c r="H1102" s="2" t="str">
        <f>IF(Iterations[[#This Row],[Step]] =current_step, current_b,IF(Iterations[[#This Row],[Step]] &gt; current_step, "",Iterations[[#This Row],[b]]))</f>
        <v/>
      </c>
      <c r="I1102" s="2" t="str">
        <f>IF(Iterations[[#This Row],[Step]] =current_step, current_c,IF(Iterations[[#This Row],[Step]] &gt; current_step, "",Iterations[[#This Row],[c]]))</f>
        <v/>
      </c>
      <c r="J1102" s="2" t="str">
        <f>IF(Iterations[[#This Row],[Step]] =current_step, current_d,IF(Iterations[[#This Row],[Step]] &gt; current_step, "",Iterations[[#This Row],[d]]))</f>
        <v/>
      </c>
      <c r="K1102" s="2" t="str">
        <f>IF(Iterations[[#This Row],[Step]] =current_step, current_e,IF(Iterations[[#This Row],[Step]] &gt; current_step, "",Iterations[[#This Row],[e]]))</f>
        <v/>
      </c>
      <c r="L1102" s="2" t="str">
        <f>IF(Iterations[[#This Row],[Step]] =current_step, current_Total_Loss,IF(Iterations[[#This Row],[Step]] &gt; current_step, "",Iterations[[#This Row],[Total Loss]]))</f>
        <v/>
      </c>
      <c r="M1102" s="6" t="s">
        <v>27</v>
      </c>
      <c r="N1102" s="2" t="str">
        <f>IF(Iterations[[#This Row],[Step]] =current_step, current_Grad_a,IF(Iterations[[#This Row],[Step]] &gt; current_step, "",Iterations[[#This Row],[Grad_a]]))</f>
        <v/>
      </c>
      <c r="O1102" s="2" t="str">
        <f>IF(Iterations[[#This Row],[Step]] =current_step, current_Grad_b,IF(Iterations[[#This Row],[Step]] &gt; current_step, "",Iterations[[#This Row],[Grad_b]]))</f>
        <v/>
      </c>
      <c r="P1102" s="2" t="str">
        <f>IF(Iterations[[#This Row],[Step]] =current_step, current_Grad_c,IF(Iterations[[#This Row],[Step]] &gt; current_step, "",Iterations[[#This Row],[Grad_c]]))</f>
        <v/>
      </c>
      <c r="Q1102" s="2" t="str">
        <f>IF(Iterations[[#This Row],[Step]] =current_step, current_Grad_d,IF(Iterations[[#This Row],[Step]] &gt; current_step, "",Iterations[[#This Row],[Grad_d]]))</f>
        <v/>
      </c>
      <c r="R1102" s="2" t="str">
        <f>IF(Iterations[[#This Row],[Step]] =current_step, current_Grad_e,IF(Iterations[[#This Row],[Step]] &gt; current_step, "",Iterations[[#This Row],[Grad_e]]))</f>
        <v/>
      </c>
    </row>
    <row r="1103" spans="6:18" x14ac:dyDescent="0.3">
      <c r="F1103" s="2">
        <f t="shared" si="22"/>
        <v>1086</v>
      </c>
      <c r="G1103" s="2" t="str">
        <f>IF(Iterations[[#This Row],[Step]] =current_step, current_a,IF(Iterations[[#This Row],[Step]] &gt; current_step, "",Iterations[[#This Row],[a]]))</f>
        <v/>
      </c>
      <c r="H1103" s="2" t="str">
        <f>IF(Iterations[[#This Row],[Step]] =current_step, current_b,IF(Iterations[[#This Row],[Step]] &gt; current_step, "",Iterations[[#This Row],[b]]))</f>
        <v/>
      </c>
      <c r="I1103" s="2" t="str">
        <f>IF(Iterations[[#This Row],[Step]] =current_step, current_c,IF(Iterations[[#This Row],[Step]] &gt; current_step, "",Iterations[[#This Row],[c]]))</f>
        <v/>
      </c>
      <c r="J1103" s="2" t="str">
        <f>IF(Iterations[[#This Row],[Step]] =current_step, current_d,IF(Iterations[[#This Row],[Step]] &gt; current_step, "",Iterations[[#This Row],[d]]))</f>
        <v/>
      </c>
      <c r="K1103" s="2" t="str">
        <f>IF(Iterations[[#This Row],[Step]] =current_step, current_e,IF(Iterations[[#This Row],[Step]] &gt; current_step, "",Iterations[[#This Row],[e]]))</f>
        <v/>
      </c>
      <c r="L1103" s="2" t="str">
        <f>IF(Iterations[[#This Row],[Step]] =current_step, current_Total_Loss,IF(Iterations[[#This Row],[Step]] &gt; current_step, "",Iterations[[#This Row],[Total Loss]]))</f>
        <v/>
      </c>
      <c r="M1103" s="6" t="s">
        <v>27</v>
      </c>
      <c r="N1103" s="2" t="str">
        <f>IF(Iterations[[#This Row],[Step]] =current_step, current_Grad_a,IF(Iterations[[#This Row],[Step]] &gt; current_step, "",Iterations[[#This Row],[Grad_a]]))</f>
        <v/>
      </c>
      <c r="O1103" s="2" t="str">
        <f>IF(Iterations[[#This Row],[Step]] =current_step, current_Grad_b,IF(Iterations[[#This Row],[Step]] &gt; current_step, "",Iterations[[#This Row],[Grad_b]]))</f>
        <v/>
      </c>
      <c r="P1103" s="2" t="str">
        <f>IF(Iterations[[#This Row],[Step]] =current_step, current_Grad_c,IF(Iterations[[#This Row],[Step]] &gt; current_step, "",Iterations[[#This Row],[Grad_c]]))</f>
        <v/>
      </c>
      <c r="Q1103" s="2" t="str">
        <f>IF(Iterations[[#This Row],[Step]] =current_step, current_Grad_d,IF(Iterations[[#This Row],[Step]] &gt; current_step, "",Iterations[[#This Row],[Grad_d]]))</f>
        <v/>
      </c>
      <c r="R1103" s="2" t="str">
        <f>IF(Iterations[[#This Row],[Step]] =current_step, current_Grad_e,IF(Iterations[[#This Row],[Step]] &gt; current_step, "",Iterations[[#This Row],[Grad_e]]))</f>
        <v/>
      </c>
    </row>
    <row r="1104" spans="6:18" x14ac:dyDescent="0.3">
      <c r="F1104" s="2">
        <f t="shared" si="22"/>
        <v>1087</v>
      </c>
      <c r="G1104" s="2" t="str">
        <f>IF(Iterations[[#This Row],[Step]] =current_step, current_a,IF(Iterations[[#This Row],[Step]] &gt; current_step, "",Iterations[[#This Row],[a]]))</f>
        <v/>
      </c>
      <c r="H1104" s="2" t="str">
        <f>IF(Iterations[[#This Row],[Step]] =current_step, current_b,IF(Iterations[[#This Row],[Step]] &gt; current_step, "",Iterations[[#This Row],[b]]))</f>
        <v/>
      </c>
      <c r="I1104" s="2" t="str">
        <f>IF(Iterations[[#This Row],[Step]] =current_step, current_c,IF(Iterations[[#This Row],[Step]] &gt; current_step, "",Iterations[[#This Row],[c]]))</f>
        <v/>
      </c>
      <c r="J1104" s="2" t="str">
        <f>IF(Iterations[[#This Row],[Step]] =current_step, current_d,IF(Iterations[[#This Row],[Step]] &gt; current_step, "",Iterations[[#This Row],[d]]))</f>
        <v/>
      </c>
      <c r="K1104" s="2" t="str">
        <f>IF(Iterations[[#This Row],[Step]] =current_step, current_e,IF(Iterations[[#This Row],[Step]] &gt; current_step, "",Iterations[[#This Row],[e]]))</f>
        <v/>
      </c>
      <c r="L1104" s="2" t="str">
        <f>IF(Iterations[[#This Row],[Step]] =current_step, current_Total_Loss,IF(Iterations[[#This Row],[Step]] &gt; current_step, "",Iterations[[#This Row],[Total Loss]]))</f>
        <v/>
      </c>
      <c r="M1104" s="6" t="s">
        <v>27</v>
      </c>
      <c r="N1104" s="2" t="str">
        <f>IF(Iterations[[#This Row],[Step]] =current_step, current_Grad_a,IF(Iterations[[#This Row],[Step]] &gt; current_step, "",Iterations[[#This Row],[Grad_a]]))</f>
        <v/>
      </c>
      <c r="O1104" s="2" t="str">
        <f>IF(Iterations[[#This Row],[Step]] =current_step, current_Grad_b,IF(Iterations[[#This Row],[Step]] &gt; current_step, "",Iterations[[#This Row],[Grad_b]]))</f>
        <v/>
      </c>
      <c r="P1104" s="2" t="str">
        <f>IF(Iterations[[#This Row],[Step]] =current_step, current_Grad_c,IF(Iterations[[#This Row],[Step]] &gt; current_step, "",Iterations[[#This Row],[Grad_c]]))</f>
        <v/>
      </c>
      <c r="Q1104" s="2" t="str">
        <f>IF(Iterations[[#This Row],[Step]] =current_step, current_Grad_d,IF(Iterations[[#This Row],[Step]] &gt; current_step, "",Iterations[[#This Row],[Grad_d]]))</f>
        <v/>
      </c>
      <c r="R1104" s="2" t="str">
        <f>IF(Iterations[[#This Row],[Step]] =current_step, current_Grad_e,IF(Iterations[[#This Row],[Step]] &gt; current_step, "",Iterations[[#This Row],[Grad_e]]))</f>
        <v/>
      </c>
    </row>
    <row r="1105" spans="6:18" x14ac:dyDescent="0.3">
      <c r="F1105" s="2">
        <f t="shared" si="22"/>
        <v>1088</v>
      </c>
      <c r="G1105" s="2" t="str">
        <f>IF(Iterations[[#This Row],[Step]] =current_step, current_a,IF(Iterations[[#This Row],[Step]] &gt; current_step, "",Iterations[[#This Row],[a]]))</f>
        <v/>
      </c>
      <c r="H1105" s="2" t="str">
        <f>IF(Iterations[[#This Row],[Step]] =current_step, current_b,IF(Iterations[[#This Row],[Step]] &gt; current_step, "",Iterations[[#This Row],[b]]))</f>
        <v/>
      </c>
      <c r="I1105" s="2" t="str">
        <f>IF(Iterations[[#This Row],[Step]] =current_step, current_c,IF(Iterations[[#This Row],[Step]] &gt; current_step, "",Iterations[[#This Row],[c]]))</f>
        <v/>
      </c>
      <c r="J1105" s="2" t="str">
        <f>IF(Iterations[[#This Row],[Step]] =current_step, current_d,IF(Iterations[[#This Row],[Step]] &gt; current_step, "",Iterations[[#This Row],[d]]))</f>
        <v/>
      </c>
      <c r="K1105" s="2" t="str">
        <f>IF(Iterations[[#This Row],[Step]] =current_step, current_e,IF(Iterations[[#This Row],[Step]] &gt; current_step, "",Iterations[[#This Row],[e]]))</f>
        <v/>
      </c>
      <c r="L1105" s="2" t="str">
        <f>IF(Iterations[[#This Row],[Step]] =current_step, current_Total_Loss,IF(Iterations[[#This Row],[Step]] &gt; current_step, "",Iterations[[#This Row],[Total Loss]]))</f>
        <v/>
      </c>
      <c r="M1105" s="6" t="s">
        <v>27</v>
      </c>
      <c r="N1105" s="2" t="str">
        <f>IF(Iterations[[#This Row],[Step]] =current_step, current_Grad_a,IF(Iterations[[#This Row],[Step]] &gt; current_step, "",Iterations[[#This Row],[Grad_a]]))</f>
        <v/>
      </c>
      <c r="O1105" s="2" t="str">
        <f>IF(Iterations[[#This Row],[Step]] =current_step, current_Grad_b,IF(Iterations[[#This Row],[Step]] &gt; current_step, "",Iterations[[#This Row],[Grad_b]]))</f>
        <v/>
      </c>
      <c r="P1105" s="2" t="str">
        <f>IF(Iterations[[#This Row],[Step]] =current_step, current_Grad_c,IF(Iterations[[#This Row],[Step]] &gt; current_step, "",Iterations[[#This Row],[Grad_c]]))</f>
        <v/>
      </c>
      <c r="Q1105" s="2" t="str">
        <f>IF(Iterations[[#This Row],[Step]] =current_step, current_Grad_d,IF(Iterations[[#This Row],[Step]] &gt; current_step, "",Iterations[[#This Row],[Grad_d]]))</f>
        <v/>
      </c>
      <c r="R1105" s="2" t="str">
        <f>IF(Iterations[[#This Row],[Step]] =current_step, current_Grad_e,IF(Iterations[[#This Row],[Step]] &gt; current_step, "",Iterations[[#This Row],[Grad_e]]))</f>
        <v/>
      </c>
    </row>
    <row r="1106" spans="6:18" x14ac:dyDescent="0.3">
      <c r="F1106" s="2">
        <f t="shared" si="22"/>
        <v>1089</v>
      </c>
      <c r="G1106" s="2" t="str">
        <f>IF(Iterations[[#This Row],[Step]] =current_step, current_a,IF(Iterations[[#This Row],[Step]] &gt; current_step, "",Iterations[[#This Row],[a]]))</f>
        <v/>
      </c>
      <c r="H1106" s="2" t="str">
        <f>IF(Iterations[[#This Row],[Step]] =current_step, current_b,IF(Iterations[[#This Row],[Step]] &gt; current_step, "",Iterations[[#This Row],[b]]))</f>
        <v/>
      </c>
      <c r="I1106" s="2" t="str">
        <f>IF(Iterations[[#This Row],[Step]] =current_step, current_c,IF(Iterations[[#This Row],[Step]] &gt; current_step, "",Iterations[[#This Row],[c]]))</f>
        <v/>
      </c>
      <c r="J1106" s="2" t="str">
        <f>IF(Iterations[[#This Row],[Step]] =current_step, current_d,IF(Iterations[[#This Row],[Step]] &gt; current_step, "",Iterations[[#This Row],[d]]))</f>
        <v/>
      </c>
      <c r="K1106" s="2" t="str">
        <f>IF(Iterations[[#This Row],[Step]] =current_step, current_e,IF(Iterations[[#This Row],[Step]] &gt; current_step, "",Iterations[[#This Row],[e]]))</f>
        <v/>
      </c>
      <c r="L1106" s="2" t="str">
        <f>IF(Iterations[[#This Row],[Step]] =current_step, current_Total_Loss,IF(Iterations[[#This Row],[Step]] &gt; current_step, "",Iterations[[#This Row],[Total Loss]]))</f>
        <v/>
      </c>
      <c r="M1106" s="6" t="s">
        <v>27</v>
      </c>
      <c r="N1106" s="2" t="str">
        <f>IF(Iterations[[#This Row],[Step]] =current_step, current_Grad_a,IF(Iterations[[#This Row],[Step]] &gt; current_step, "",Iterations[[#This Row],[Grad_a]]))</f>
        <v/>
      </c>
      <c r="O1106" s="2" t="str">
        <f>IF(Iterations[[#This Row],[Step]] =current_step, current_Grad_b,IF(Iterations[[#This Row],[Step]] &gt; current_step, "",Iterations[[#This Row],[Grad_b]]))</f>
        <v/>
      </c>
      <c r="P1106" s="2" t="str">
        <f>IF(Iterations[[#This Row],[Step]] =current_step, current_Grad_c,IF(Iterations[[#This Row],[Step]] &gt; current_step, "",Iterations[[#This Row],[Grad_c]]))</f>
        <v/>
      </c>
      <c r="Q1106" s="2" t="str">
        <f>IF(Iterations[[#This Row],[Step]] =current_step, current_Grad_d,IF(Iterations[[#This Row],[Step]] &gt; current_step, "",Iterations[[#This Row],[Grad_d]]))</f>
        <v/>
      </c>
      <c r="R1106" s="2" t="str">
        <f>IF(Iterations[[#This Row],[Step]] =current_step, current_Grad_e,IF(Iterations[[#This Row],[Step]] &gt; current_step, "",Iterations[[#This Row],[Grad_e]]))</f>
        <v/>
      </c>
    </row>
    <row r="1107" spans="6:18" x14ac:dyDescent="0.3">
      <c r="F1107" s="2">
        <f t="shared" si="22"/>
        <v>1090</v>
      </c>
      <c r="G1107" s="2" t="str">
        <f>IF(Iterations[[#This Row],[Step]] =current_step, current_a,IF(Iterations[[#This Row],[Step]] &gt; current_step, "",Iterations[[#This Row],[a]]))</f>
        <v/>
      </c>
      <c r="H1107" s="2" t="str">
        <f>IF(Iterations[[#This Row],[Step]] =current_step, current_b,IF(Iterations[[#This Row],[Step]] &gt; current_step, "",Iterations[[#This Row],[b]]))</f>
        <v/>
      </c>
      <c r="I1107" s="2" t="str">
        <f>IF(Iterations[[#This Row],[Step]] =current_step, current_c,IF(Iterations[[#This Row],[Step]] &gt; current_step, "",Iterations[[#This Row],[c]]))</f>
        <v/>
      </c>
      <c r="J1107" s="2" t="str">
        <f>IF(Iterations[[#This Row],[Step]] =current_step, current_d,IF(Iterations[[#This Row],[Step]] &gt; current_step, "",Iterations[[#This Row],[d]]))</f>
        <v/>
      </c>
      <c r="K1107" s="2" t="str">
        <f>IF(Iterations[[#This Row],[Step]] =current_step, current_e,IF(Iterations[[#This Row],[Step]] &gt; current_step, "",Iterations[[#This Row],[e]]))</f>
        <v/>
      </c>
      <c r="L1107" s="2" t="str">
        <f>IF(Iterations[[#This Row],[Step]] =current_step, current_Total_Loss,IF(Iterations[[#This Row],[Step]] &gt; current_step, "",Iterations[[#This Row],[Total Loss]]))</f>
        <v/>
      </c>
      <c r="M1107" s="6" t="s">
        <v>27</v>
      </c>
      <c r="N1107" s="2" t="str">
        <f>IF(Iterations[[#This Row],[Step]] =current_step, current_Grad_a,IF(Iterations[[#This Row],[Step]] &gt; current_step, "",Iterations[[#This Row],[Grad_a]]))</f>
        <v/>
      </c>
      <c r="O1107" s="2" t="str">
        <f>IF(Iterations[[#This Row],[Step]] =current_step, current_Grad_b,IF(Iterations[[#This Row],[Step]] &gt; current_step, "",Iterations[[#This Row],[Grad_b]]))</f>
        <v/>
      </c>
      <c r="P1107" s="2" t="str">
        <f>IF(Iterations[[#This Row],[Step]] =current_step, current_Grad_c,IF(Iterations[[#This Row],[Step]] &gt; current_step, "",Iterations[[#This Row],[Grad_c]]))</f>
        <v/>
      </c>
      <c r="Q1107" s="2" t="str">
        <f>IF(Iterations[[#This Row],[Step]] =current_step, current_Grad_d,IF(Iterations[[#This Row],[Step]] &gt; current_step, "",Iterations[[#This Row],[Grad_d]]))</f>
        <v/>
      </c>
      <c r="R1107" s="2" t="str">
        <f>IF(Iterations[[#This Row],[Step]] =current_step, current_Grad_e,IF(Iterations[[#This Row],[Step]] &gt; current_step, "",Iterations[[#This Row],[Grad_e]]))</f>
        <v/>
      </c>
    </row>
    <row r="1108" spans="6:18" x14ac:dyDescent="0.3">
      <c r="F1108" s="2">
        <f t="shared" si="22"/>
        <v>1091</v>
      </c>
      <c r="G1108" s="2" t="str">
        <f>IF(Iterations[[#This Row],[Step]] =current_step, current_a,IF(Iterations[[#This Row],[Step]] &gt; current_step, "",Iterations[[#This Row],[a]]))</f>
        <v/>
      </c>
      <c r="H1108" s="2" t="str">
        <f>IF(Iterations[[#This Row],[Step]] =current_step, current_b,IF(Iterations[[#This Row],[Step]] &gt; current_step, "",Iterations[[#This Row],[b]]))</f>
        <v/>
      </c>
      <c r="I1108" s="2" t="str">
        <f>IF(Iterations[[#This Row],[Step]] =current_step, current_c,IF(Iterations[[#This Row],[Step]] &gt; current_step, "",Iterations[[#This Row],[c]]))</f>
        <v/>
      </c>
      <c r="J1108" s="2" t="str">
        <f>IF(Iterations[[#This Row],[Step]] =current_step, current_d,IF(Iterations[[#This Row],[Step]] &gt; current_step, "",Iterations[[#This Row],[d]]))</f>
        <v/>
      </c>
      <c r="K1108" s="2" t="str">
        <f>IF(Iterations[[#This Row],[Step]] =current_step, current_e,IF(Iterations[[#This Row],[Step]] &gt; current_step, "",Iterations[[#This Row],[e]]))</f>
        <v/>
      </c>
      <c r="L1108" s="2" t="str">
        <f>IF(Iterations[[#This Row],[Step]] =current_step, current_Total_Loss,IF(Iterations[[#This Row],[Step]] &gt; current_step, "",Iterations[[#This Row],[Total Loss]]))</f>
        <v/>
      </c>
      <c r="M1108" s="6" t="s">
        <v>27</v>
      </c>
      <c r="N1108" s="2" t="str">
        <f>IF(Iterations[[#This Row],[Step]] =current_step, current_Grad_a,IF(Iterations[[#This Row],[Step]] &gt; current_step, "",Iterations[[#This Row],[Grad_a]]))</f>
        <v/>
      </c>
      <c r="O1108" s="2" t="str">
        <f>IF(Iterations[[#This Row],[Step]] =current_step, current_Grad_b,IF(Iterations[[#This Row],[Step]] &gt; current_step, "",Iterations[[#This Row],[Grad_b]]))</f>
        <v/>
      </c>
      <c r="P1108" s="2" t="str">
        <f>IF(Iterations[[#This Row],[Step]] =current_step, current_Grad_c,IF(Iterations[[#This Row],[Step]] &gt; current_step, "",Iterations[[#This Row],[Grad_c]]))</f>
        <v/>
      </c>
      <c r="Q1108" s="2" t="str">
        <f>IF(Iterations[[#This Row],[Step]] =current_step, current_Grad_d,IF(Iterations[[#This Row],[Step]] &gt; current_step, "",Iterations[[#This Row],[Grad_d]]))</f>
        <v/>
      </c>
      <c r="R1108" s="2" t="str">
        <f>IF(Iterations[[#This Row],[Step]] =current_step, current_Grad_e,IF(Iterations[[#This Row],[Step]] &gt; current_step, "",Iterations[[#This Row],[Grad_e]]))</f>
        <v/>
      </c>
    </row>
    <row r="1109" spans="6:18" x14ac:dyDescent="0.3">
      <c r="F1109" s="2">
        <f t="shared" si="22"/>
        <v>1092</v>
      </c>
      <c r="G1109" s="2" t="str">
        <f>IF(Iterations[[#This Row],[Step]] =current_step, current_a,IF(Iterations[[#This Row],[Step]] &gt; current_step, "",Iterations[[#This Row],[a]]))</f>
        <v/>
      </c>
      <c r="H1109" s="2" t="str">
        <f>IF(Iterations[[#This Row],[Step]] =current_step, current_b,IF(Iterations[[#This Row],[Step]] &gt; current_step, "",Iterations[[#This Row],[b]]))</f>
        <v/>
      </c>
      <c r="I1109" s="2" t="str">
        <f>IF(Iterations[[#This Row],[Step]] =current_step, current_c,IF(Iterations[[#This Row],[Step]] &gt; current_step, "",Iterations[[#This Row],[c]]))</f>
        <v/>
      </c>
      <c r="J1109" s="2" t="str">
        <f>IF(Iterations[[#This Row],[Step]] =current_step, current_d,IF(Iterations[[#This Row],[Step]] &gt; current_step, "",Iterations[[#This Row],[d]]))</f>
        <v/>
      </c>
      <c r="K1109" s="2" t="str">
        <f>IF(Iterations[[#This Row],[Step]] =current_step, current_e,IF(Iterations[[#This Row],[Step]] &gt; current_step, "",Iterations[[#This Row],[e]]))</f>
        <v/>
      </c>
      <c r="L1109" s="2" t="str">
        <f>IF(Iterations[[#This Row],[Step]] =current_step, current_Total_Loss,IF(Iterations[[#This Row],[Step]] &gt; current_step, "",Iterations[[#This Row],[Total Loss]]))</f>
        <v/>
      </c>
      <c r="M1109" s="6" t="s">
        <v>27</v>
      </c>
      <c r="N1109" s="2" t="str">
        <f>IF(Iterations[[#This Row],[Step]] =current_step, current_Grad_a,IF(Iterations[[#This Row],[Step]] &gt; current_step, "",Iterations[[#This Row],[Grad_a]]))</f>
        <v/>
      </c>
      <c r="O1109" s="2" t="str">
        <f>IF(Iterations[[#This Row],[Step]] =current_step, current_Grad_b,IF(Iterations[[#This Row],[Step]] &gt; current_step, "",Iterations[[#This Row],[Grad_b]]))</f>
        <v/>
      </c>
      <c r="P1109" s="2" t="str">
        <f>IF(Iterations[[#This Row],[Step]] =current_step, current_Grad_c,IF(Iterations[[#This Row],[Step]] &gt; current_step, "",Iterations[[#This Row],[Grad_c]]))</f>
        <v/>
      </c>
      <c r="Q1109" s="2" t="str">
        <f>IF(Iterations[[#This Row],[Step]] =current_step, current_Grad_d,IF(Iterations[[#This Row],[Step]] &gt; current_step, "",Iterations[[#This Row],[Grad_d]]))</f>
        <v/>
      </c>
      <c r="R1109" s="2" t="str">
        <f>IF(Iterations[[#This Row],[Step]] =current_step, current_Grad_e,IF(Iterations[[#This Row],[Step]] &gt; current_step, "",Iterations[[#This Row],[Grad_e]]))</f>
        <v/>
      </c>
    </row>
    <row r="1110" spans="6:18" x14ac:dyDescent="0.3">
      <c r="F1110" s="2">
        <f t="shared" si="22"/>
        <v>1093</v>
      </c>
      <c r="G1110" s="2" t="str">
        <f>IF(Iterations[[#This Row],[Step]] =current_step, current_a,IF(Iterations[[#This Row],[Step]] &gt; current_step, "",Iterations[[#This Row],[a]]))</f>
        <v/>
      </c>
      <c r="H1110" s="2" t="str">
        <f>IF(Iterations[[#This Row],[Step]] =current_step, current_b,IF(Iterations[[#This Row],[Step]] &gt; current_step, "",Iterations[[#This Row],[b]]))</f>
        <v/>
      </c>
      <c r="I1110" s="2" t="str">
        <f>IF(Iterations[[#This Row],[Step]] =current_step, current_c,IF(Iterations[[#This Row],[Step]] &gt; current_step, "",Iterations[[#This Row],[c]]))</f>
        <v/>
      </c>
      <c r="J1110" s="2" t="str">
        <f>IF(Iterations[[#This Row],[Step]] =current_step, current_d,IF(Iterations[[#This Row],[Step]] &gt; current_step, "",Iterations[[#This Row],[d]]))</f>
        <v/>
      </c>
      <c r="K1110" s="2" t="str">
        <f>IF(Iterations[[#This Row],[Step]] =current_step, current_e,IF(Iterations[[#This Row],[Step]] &gt; current_step, "",Iterations[[#This Row],[e]]))</f>
        <v/>
      </c>
      <c r="L1110" s="2" t="str">
        <f>IF(Iterations[[#This Row],[Step]] =current_step, current_Total_Loss,IF(Iterations[[#This Row],[Step]] &gt; current_step, "",Iterations[[#This Row],[Total Loss]]))</f>
        <v/>
      </c>
      <c r="M1110" s="6" t="s">
        <v>27</v>
      </c>
      <c r="N1110" s="2" t="str">
        <f>IF(Iterations[[#This Row],[Step]] =current_step, current_Grad_a,IF(Iterations[[#This Row],[Step]] &gt; current_step, "",Iterations[[#This Row],[Grad_a]]))</f>
        <v/>
      </c>
      <c r="O1110" s="2" t="str">
        <f>IF(Iterations[[#This Row],[Step]] =current_step, current_Grad_b,IF(Iterations[[#This Row],[Step]] &gt; current_step, "",Iterations[[#This Row],[Grad_b]]))</f>
        <v/>
      </c>
      <c r="P1110" s="2" t="str">
        <f>IF(Iterations[[#This Row],[Step]] =current_step, current_Grad_c,IF(Iterations[[#This Row],[Step]] &gt; current_step, "",Iterations[[#This Row],[Grad_c]]))</f>
        <v/>
      </c>
      <c r="Q1110" s="2" t="str">
        <f>IF(Iterations[[#This Row],[Step]] =current_step, current_Grad_d,IF(Iterations[[#This Row],[Step]] &gt; current_step, "",Iterations[[#This Row],[Grad_d]]))</f>
        <v/>
      </c>
      <c r="R1110" s="2" t="str">
        <f>IF(Iterations[[#This Row],[Step]] =current_step, current_Grad_e,IF(Iterations[[#This Row],[Step]] &gt; current_step, "",Iterations[[#This Row],[Grad_e]]))</f>
        <v/>
      </c>
    </row>
    <row r="1111" spans="6:18" x14ac:dyDescent="0.3">
      <c r="F1111" s="2">
        <f t="shared" si="22"/>
        <v>1094</v>
      </c>
      <c r="G1111" s="2" t="str">
        <f>IF(Iterations[[#This Row],[Step]] =current_step, current_a,IF(Iterations[[#This Row],[Step]] &gt; current_step, "",Iterations[[#This Row],[a]]))</f>
        <v/>
      </c>
      <c r="H1111" s="2" t="str">
        <f>IF(Iterations[[#This Row],[Step]] =current_step, current_b,IF(Iterations[[#This Row],[Step]] &gt; current_step, "",Iterations[[#This Row],[b]]))</f>
        <v/>
      </c>
      <c r="I1111" s="2" t="str">
        <f>IF(Iterations[[#This Row],[Step]] =current_step, current_c,IF(Iterations[[#This Row],[Step]] &gt; current_step, "",Iterations[[#This Row],[c]]))</f>
        <v/>
      </c>
      <c r="J1111" s="2" t="str">
        <f>IF(Iterations[[#This Row],[Step]] =current_step, current_d,IF(Iterations[[#This Row],[Step]] &gt; current_step, "",Iterations[[#This Row],[d]]))</f>
        <v/>
      </c>
      <c r="K1111" s="2" t="str">
        <f>IF(Iterations[[#This Row],[Step]] =current_step, current_e,IF(Iterations[[#This Row],[Step]] &gt; current_step, "",Iterations[[#This Row],[e]]))</f>
        <v/>
      </c>
      <c r="L1111" s="2" t="str">
        <f>IF(Iterations[[#This Row],[Step]] =current_step, current_Total_Loss,IF(Iterations[[#This Row],[Step]] &gt; current_step, "",Iterations[[#This Row],[Total Loss]]))</f>
        <v/>
      </c>
      <c r="M1111" s="6" t="s">
        <v>27</v>
      </c>
      <c r="N1111" s="2" t="str">
        <f>IF(Iterations[[#This Row],[Step]] =current_step, current_Grad_a,IF(Iterations[[#This Row],[Step]] &gt; current_step, "",Iterations[[#This Row],[Grad_a]]))</f>
        <v/>
      </c>
      <c r="O1111" s="2" t="str">
        <f>IF(Iterations[[#This Row],[Step]] =current_step, current_Grad_b,IF(Iterations[[#This Row],[Step]] &gt; current_step, "",Iterations[[#This Row],[Grad_b]]))</f>
        <v/>
      </c>
      <c r="P1111" s="2" t="str">
        <f>IF(Iterations[[#This Row],[Step]] =current_step, current_Grad_c,IF(Iterations[[#This Row],[Step]] &gt; current_step, "",Iterations[[#This Row],[Grad_c]]))</f>
        <v/>
      </c>
      <c r="Q1111" s="2" t="str">
        <f>IF(Iterations[[#This Row],[Step]] =current_step, current_Grad_d,IF(Iterations[[#This Row],[Step]] &gt; current_step, "",Iterations[[#This Row],[Grad_d]]))</f>
        <v/>
      </c>
      <c r="R1111" s="2" t="str">
        <f>IF(Iterations[[#This Row],[Step]] =current_step, current_Grad_e,IF(Iterations[[#This Row],[Step]] &gt; current_step, "",Iterations[[#This Row],[Grad_e]]))</f>
        <v/>
      </c>
    </row>
    <row r="1112" spans="6:18" x14ac:dyDescent="0.3">
      <c r="F1112" s="2">
        <f t="shared" si="22"/>
        <v>1095</v>
      </c>
      <c r="G1112" s="2" t="str">
        <f>IF(Iterations[[#This Row],[Step]] =current_step, current_a,IF(Iterations[[#This Row],[Step]] &gt; current_step, "",Iterations[[#This Row],[a]]))</f>
        <v/>
      </c>
      <c r="H1112" s="2" t="str">
        <f>IF(Iterations[[#This Row],[Step]] =current_step, current_b,IF(Iterations[[#This Row],[Step]] &gt; current_step, "",Iterations[[#This Row],[b]]))</f>
        <v/>
      </c>
      <c r="I1112" s="2" t="str">
        <f>IF(Iterations[[#This Row],[Step]] =current_step, current_c,IF(Iterations[[#This Row],[Step]] &gt; current_step, "",Iterations[[#This Row],[c]]))</f>
        <v/>
      </c>
      <c r="J1112" s="2" t="str">
        <f>IF(Iterations[[#This Row],[Step]] =current_step, current_d,IF(Iterations[[#This Row],[Step]] &gt; current_step, "",Iterations[[#This Row],[d]]))</f>
        <v/>
      </c>
      <c r="K1112" s="2" t="str">
        <f>IF(Iterations[[#This Row],[Step]] =current_step, current_e,IF(Iterations[[#This Row],[Step]] &gt; current_step, "",Iterations[[#This Row],[e]]))</f>
        <v/>
      </c>
      <c r="L1112" s="2" t="str">
        <f>IF(Iterations[[#This Row],[Step]] =current_step, current_Total_Loss,IF(Iterations[[#This Row],[Step]] &gt; current_step, "",Iterations[[#This Row],[Total Loss]]))</f>
        <v/>
      </c>
      <c r="M1112" s="6" t="s">
        <v>27</v>
      </c>
      <c r="N1112" s="2" t="str">
        <f>IF(Iterations[[#This Row],[Step]] =current_step, current_Grad_a,IF(Iterations[[#This Row],[Step]] &gt; current_step, "",Iterations[[#This Row],[Grad_a]]))</f>
        <v/>
      </c>
      <c r="O1112" s="2" t="str">
        <f>IF(Iterations[[#This Row],[Step]] =current_step, current_Grad_b,IF(Iterations[[#This Row],[Step]] &gt; current_step, "",Iterations[[#This Row],[Grad_b]]))</f>
        <v/>
      </c>
      <c r="P1112" s="2" t="str">
        <f>IF(Iterations[[#This Row],[Step]] =current_step, current_Grad_c,IF(Iterations[[#This Row],[Step]] &gt; current_step, "",Iterations[[#This Row],[Grad_c]]))</f>
        <v/>
      </c>
      <c r="Q1112" s="2" t="str">
        <f>IF(Iterations[[#This Row],[Step]] =current_step, current_Grad_d,IF(Iterations[[#This Row],[Step]] &gt; current_step, "",Iterations[[#This Row],[Grad_d]]))</f>
        <v/>
      </c>
      <c r="R1112" s="2" t="str">
        <f>IF(Iterations[[#This Row],[Step]] =current_step, current_Grad_e,IF(Iterations[[#This Row],[Step]] &gt; current_step, "",Iterations[[#This Row],[Grad_e]]))</f>
        <v/>
      </c>
    </row>
    <row r="1113" spans="6:18" x14ac:dyDescent="0.3">
      <c r="F1113" s="2">
        <f t="shared" si="22"/>
        <v>1096</v>
      </c>
      <c r="G1113" s="2" t="str">
        <f>IF(Iterations[[#This Row],[Step]] =current_step, current_a,IF(Iterations[[#This Row],[Step]] &gt; current_step, "",Iterations[[#This Row],[a]]))</f>
        <v/>
      </c>
      <c r="H1113" s="2" t="str">
        <f>IF(Iterations[[#This Row],[Step]] =current_step, current_b,IF(Iterations[[#This Row],[Step]] &gt; current_step, "",Iterations[[#This Row],[b]]))</f>
        <v/>
      </c>
      <c r="I1113" s="2" t="str">
        <f>IF(Iterations[[#This Row],[Step]] =current_step, current_c,IF(Iterations[[#This Row],[Step]] &gt; current_step, "",Iterations[[#This Row],[c]]))</f>
        <v/>
      </c>
      <c r="J1113" s="2" t="str">
        <f>IF(Iterations[[#This Row],[Step]] =current_step, current_d,IF(Iterations[[#This Row],[Step]] &gt; current_step, "",Iterations[[#This Row],[d]]))</f>
        <v/>
      </c>
      <c r="K1113" s="2" t="str">
        <f>IF(Iterations[[#This Row],[Step]] =current_step, current_e,IF(Iterations[[#This Row],[Step]] &gt; current_step, "",Iterations[[#This Row],[e]]))</f>
        <v/>
      </c>
      <c r="L1113" s="2" t="str">
        <f>IF(Iterations[[#This Row],[Step]] =current_step, current_Total_Loss,IF(Iterations[[#This Row],[Step]] &gt; current_step, "",Iterations[[#This Row],[Total Loss]]))</f>
        <v/>
      </c>
      <c r="M1113" s="6" t="s">
        <v>27</v>
      </c>
      <c r="N1113" s="2" t="str">
        <f>IF(Iterations[[#This Row],[Step]] =current_step, current_Grad_a,IF(Iterations[[#This Row],[Step]] &gt; current_step, "",Iterations[[#This Row],[Grad_a]]))</f>
        <v/>
      </c>
      <c r="O1113" s="2" t="str">
        <f>IF(Iterations[[#This Row],[Step]] =current_step, current_Grad_b,IF(Iterations[[#This Row],[Step]] &gt; current_step, "",Iterations[[#This Row],[Grad_b]]))</f>
        <v/>
      </c>
      <c r="P1113" s="2" t="str">
        <f>IF(Iterations[[#This Row],[Step]] =current_step, current_Grad_c,IF(Iterations[[#This Row],[Step]] &gt; current_step, "",Iterations[[#This Row],[Grad_c]]))</f>
        <v/>
      </c>
      <c r="Q1113" s="2" t="str">
        <f>IF(Iterations[[#This Row],[Step]] =current_step, current_Grad_d,IF(Iterations[[#This Row],[Step]] &gt; current_step, "",Iterations[[#This Row],[Grad_d]]))</f>
        <v/>
      </c>
      <c r="R1113" s="2" t="str">
        <f>IF(Iterations[[#This Row],[Step]] =current_step, current_Grad_e,IF(Iterations[[#This Row],[Step]] &gt; current_step, "",Iterations[[#This Row],[Grad_e]]))</f>
        <v/>
      </c>
    </row>
    <row r="1114" spans="6:18" x14ac:dyDescent="0.3">
      <c r="F1114" s="2">
        <f t="shared" si="22"/>
        <v>1097</v>
      </c>
      <c r="G1114" s="2" t="str">
        <f>IF(Iterations[[#This Row],[Step]] =current_step, current_a,IF(Iterations[[#This Row],[Step]] &gt; current_step, "",Iterations[[#This Row],[a]]))</f>
        <v/>
      </c>
      <c r="H1114" s="2" t="str">
        <f>IF(Iterations[[#This Row],[Step]] =current_step, current_b,IF(Iterations[[#This Row],[Step]] &gt; current_step, "",Iterations[[#This Row],[b]]))</f>
        <v/>
      </c>
      <c r="I1114" s="2" t="str">
        <f>IF(Iterations[[#This Row],[Step]] =current_step, current_c,IF(Iterations[[#This Row],[Step]] &gt; current_step, "",Iterations[[#This Row],[c]]))</f>
        <v/>
      </c>
      <c r="J1114" s="2" t="str">
        <f>IF(Iterations[[#This Row],[Step]] =current_step, current_d,IF(Iterations[[#This Row],[Step]] &gt; current_step, "",Iterations[[#This Row],[d]]))</f>
        <v/>
      </c>
      <c r="K1114" s="2" t="str">
        <f>IF(Iterations[[#This Row],[Step]] =current_step, current_e,IF(Iterations[[#This Row],[Step]] &gt; current_step, "",Iterations[[#This Row],[e]]))</f>
        <v/>
      </c>
      <c r="L1114" s="2" t="str">
        <f>IF(Iterations[[#This Row],[Step]] =current_step, current_Total_Loss,IF(Iterations[[#This Row],[Step]] &gt; current_step, "",Iterations[[#This Row],[Total Loss]]))</f>
        <v/>
      </c>
      <c r="M1114" s="6" t="s">
        <v>27</v>
      </c>
      <c r="N1114" s="2" t="str">
        <f>IF(Iterations[[#This Row],[Step]] =current_step, current_Grad_a,IF(Iterations[[#This Row],[Step]] &gt; current_step, "",Iterations[[#This Row],[Grad_a]]))</f>
        <v/>
      </c>
      <c r="O1114" s="2" t="str">
        <f>IF(Iterations[[#This Row],[Step]] =current_step, current_Grad_b,IF(Iterations[[#This Row],[Step]] &gt; current_step, "",Iterations[[#This Row],[Grad_b]]))</f>
        <v/>
      </c>
      <c r="P1114" s="2" t="str">
        <f>IF(Iterations[[#This Row],[Step]] =current_step, current_Grad_c,IF(Iterations[[#This Row],[Step]] &gt; current_step, "",Iterations[[#This Row],[Grad_c]]))</f>
        <v/>
      </c>
      <c r="Q1114" s="2" t="str">
        <f>IF(Iterations[[#This Row],[Step]] =current_step, current_Grad_d,IF(Iterations[[#This Row],[Step]] &gt; current_step, "",Iterations[[#This Row],[Grad_d]]))</f>
        <v/>
      </c>
      <c r="R1114" s="2" t="str">
        <f>IF(Iterations[[#This Row],[Step]] =current_step, current_Grad_e,IF(Iterations[[#This Row],[Step]] &gt; current_step, "",Iterations[[#This Row],[Grad_e]]))</f>
        <v/>
      </c>
    </row>
    <row r="1115" spans="6:18" x14ac:dyDescent="0.3">
      <c r="F1115" s="2">
        <f t="shared" si="22"/>
        <v>1098</v>
      </c>
      <c r="G1115" s="2" t="str">
        <f>IF(Iterations[[#This Row],[Step]] =current_step, current_a,IF(Iterations[[#This Row],[Step]] &gt; current_step, "",Iterations[[#This Row],[a]]))</f>
        <v/>
      </c>
      <c r="H1115" s="2" t="str">
        <f>IF(Iterations[[#This Row],[Step]] =current_step, current_b,IF(Iterations[[#This Row],[Step]] &gt; current_step, "",Iterations[[#This Row],[b]]))</f>
        <v/>
      </c>
      <c r="I1115" s="2" t="str">
        <f>IF(Iterations[[#This Row],[Step]] =current_step, current_c,IF(Iterations[[#This Row],[Step]] &gt; current_step, "",Iterations[[#This Row],[c]]))</f>
        <v/>
      </c>
      <c r="J1115" s="2" t="str">
        <f>IF(Iterations[[#This Row],[Step]] =current_step, current_d,IF(Iterations[[#This Row],[Step]] &gt; current_step, "",Iterations[[#This Row],[d]]))</f>
        <v/>
      </c>
      <c r="K1115" s="2" t="str">
        <f>IF(Iterations[[#This Row],[Step]] =current_step, current_e,IF(Iterations[[#This Row],[Step]] &gt; current_step, "",Iterations[[#This Row],[e]]))</f>
        <v/>
      </c>
      <c r="L1115" s="2" t="str">
        <f>IF(Iterations[[#This Row],[Step]] =current_step, current_Total_Loss,IF(Iterations[[#This Row],[Step]] &gt; current_step, "",Iterations[[#This Row],[Total Loss]]))</f>
        <v/>
      </c>
      <c r="M1115" s="6" t="s">
        <v>27</v>
      </c>
      <c r="N1115" s="2" t="str">
        <f>IF(Iterations[[#This Row],[Step]] =current_step, current_Grad_a,IF(Iterations[[#This Row],[Step]] &gt; current_step, "",Iterations[[#This Row],[Grad_a]]))</f>
        <v/>
      </c>
      <c r="O1115" s="2" t="str">
        <f>IF(Iterations[[#This Row],[Step]] =current_step, current_Grad_b,IF(Iterations[[#This Row],[Step]] &gt; current_step, "",Iterations[[#This Row],[Grad_b]]))</f>
        <v/>
      </c>
      <c r="P1115" s="2" t="str">
        <f>IF(Iterations[[#This Row],[Step]] =current_step, current_Grad_c,IF(Iterations[[#This Row],[Step]] &gt; current_step, "",Iterations[[#This Row],[Grad_c]]))</f>
        <v/>
      </c>
      <c r="Q1115" s="2" t="str">
        <f>IF(Iterations[[#This Row],[Step]] =current_step, current_Grad_d,IF(Iterations[[#This Row],[Step]] &gt; current_step, "",Iterations[[#This Row],[Grad_d]]))</f>
        <v/>
      </c>
      <c r="R1115" s="2" t="str">
        <f>IF(Iterations[[#This Row],[Step]] =current_step, current_Grad_e,IF(Iterations[[#This Row],[Step]] &gt; current_step, "",Iterations[[#This Row],[Grad_e]]))</f>
        <v/>
      </c>
    </row>
    <row r="1116" spans="6:18" x14ac:dyDescent="0.3">
      <c r="F1116" s="2">
        <f t="shared" si="22"/>
        <v>1099</v>
      </c>
      <c r="G1116" s="2" t="str">
        <f>IF(Iterations[[#This Row],[Step]] =current_step, current_a,IF(Iterations[[#This Row],[Step]] &gt; current_step, "",Iterations[[#This Row],[a]]))</f>
        <v/>
      </c>
      <c r="H1116" s="2" t="str">
        <f>IF(Iterations[[#This Row],[Step]] =current_step, current_b,IF(Iterations[[#This Row],[Step]] &gt; current_step, "",Iterations[[#This Row],[b]]))</f>
        <v/>
      </c>
      <c r="I1116" s="2" t="str">
        <f>IF(Iterations[[#This Row],[Step]] =current_step, current_c,IF(Iterations[[#This Row],[Step]] &gt; current_step, "",Iterations[[#This Row],[c]]))</f>
        <v/>
      </c>
      <c r="J1116" s="2" t="str">
        <f>IF(Iterations[[#This Row],[Step]] =current_step, current_d,IF(Iterations[[#This Row],[Step]] &gt; current_step, "",Iterations[[#This Row],[d]]))</f>
        <v/>
      </c>
      <c r="K1116" s="2" t="str">
        <f>IF(Iterations[[#This Row],[Step]] =current_step, current_e,IF(Iterations[[#This Row],[Step]] &gt; current_step, "",Iterations[[#This Row],[e]]))</f>
        <v/>
      </c>
      <c r="L1116" s="2" t="str">
        <f>IF(Iterations[[#This Row],[Step]] =current_step, current_Total_Loss,IF(Iterations[[#This Row],[Step]] &gt; current_step, "",Iterations[[#This Row],[Total Loss]]))</f>
        <v/>
      </c>
      <c r="M1116" s="6" t="s">
        <v>27</v>
      </c>
      <c r="N1116" s="2" t="str">
        <f>IF(Iterations[[#This Row],[Step]] =current_step, current_Grad_a,IF(Iterations[[#This Row],[Step]] &gt; current_step, "",Iterations[[#This Row],[Grad_a]]))</f>
        <v/>
      </c>
      <c r="O1116" s="2" t="str">
        <f>IF(Iterations[[#This Row],[Step]] =current_step, current_Grad_b,IF(Iterations[[#This Row],[Step]] &gt; current_step, "",Iterations[[#This Row],[Grad_b]]))</f>
        <v/>
      </c>
      <c r="P1116" s="2" t="str">
        <f>IF(Iterations[[#This Row],[Step]] =current_step, current_Grad_c,IF(Iterations[[#This Row],[Step]] &gt; current_step, "",Iterations[[#This Row],[Grad_c]]))</f>
        <v/>
      </c>
      <c r="Q1116" s="2" t="str">
        <f>IF(Iterations[[#This Row],[Step]] =current_step, current_Grad_d,IF(Iterations[[#This Row],[Step]] &gt; current_step, "",Iterations[[#This Row],[Grad_d]]))</f>
        <v/>
      </c>
      <c r="R1116" s="2" t="str">
        <f>IF(Iterations[[#This Row],[Step]] =current_step, current_Grad_e,IF(Iterations[[#This Row],[Step]] &gt; current_step, "",Iterations[[#This Row],[Grad_e]]))</f>
        <v/>
      </c>
    </row>
    <row r="1117" spans="6:18" x14ac:dyDescent="0.3">
      <c r="F1117" s="2">
        <f t="shared" si="22"/>
        <v>1100</v>
      </c>
      <c r="G1117" s="2" t="str">
        <f>IF(Iterations[[#This Row],[Step]] =current_step, current_a,IF(Iterations[[#This Row],[Step]] &gt; current_step, "",Iterations[[#This Row],[a]]))</f>
        <v/>
      </c>
      <c r="H1117" s="2" t="str">
        <f>IF(Iterations[[#This Row],[Step]] =current_step, current_b,IF(Iterations[[#This Row],[Step]] &gt; current_step, "",Iterations[[#This Row],[b]]))</f>
        <v/>
      </c>
      <c r="I1117" s="2" t="str">
        <f>IF(Iterations[[#This Row],[Step]] =current_step, current_c,IF(Iterations[[#This Row],[Step]] &gt; current_step, "",Iterations[[#This Row],[c]]))</f>
        <v/>
      </c>
      <c r="J1117" s="2" t="str">
        <f>IF(Iterations[[#This Row],[Step]] =current_step, current_d,IF(Iterations[[#This Row],[Step]] &gt; current_step, "",Iterations[[#This Row],[d]]))</f>
        <v/>
      </c>
      <c r="K1117" s="2" t="str">
        <f>IF(Iterations[[#This Row],[Step]] =current_step, current_e,IF(Iterations[[#This Row],[Step]] &gt; current_step, "",Iterations[[#This Row],[e]]))</f>
        <v/>
      </c>
      <c r="L1117" s="2" t="str">
        <f>IF(Iterations[[#This Row],[Step]] =current_step, current_Total_Loss,IF(Iterations[[#This Row],[Step]] &gt; current_step, "",Iterations[[#This Row],[Total Loss]]))</f>
        <v/>
      </c>
      <c r="M1117" s="6" t="s">
        <v>27</v>
      </c>
      <c r="N1117" s="2" t="str">
        <f>IF(Iterations[[#This Row],[Step]] =current_step, current_Grad_a,IF(Iterations[[#This Row],[Step]] &gt; current_step, "",Iterations[[#This Row],[Grad_a]]))</f>
        <v/>
      </c>
      <c r="O1117" s="2" t="str">
        <f>IF(Iterations[[#This Row],[Step]] =current_step, current_Grad_b,IF(Iterations[[#This Row],[Step]] &gt; current_step, "",Iterations[[#This Row],[Grad_b]]))</f>
        <v/>
      </c>
      <c r="P1117" s="2" t="str">
        <f>IF(Iterations[[#This Row],[Step]] =current_step, current_Grad_c,IF(Iterations[[#This Row],[Step]] &gt; current_step, "",Iterations[[#This Row],[Grad_c]]))</f>
        <v/>
      </c>
      <c r="Q1117" s="2" t="str">
        <f>IF(Iterations[[#This Row],[Step]] =current_step, current_Grad_d,IF(Iterations[[#This Row],[Step]] &gt; current_step, "",Iterations[[#This Row],[Grad_d]]))</f>
        <v/>
      </c>
      <c r="R1117" s="2" t="str">
        <f>IF(Iterations[[#This Row],[Step]] =current_step, current_Grad_e,IF(Iterations[[#This Row],[Step]] &gt; current_step, "",Iterations[[#This Row],[Grad_e]]))</f>
        <v/>
      </c>
    </row>
    <row r="1118" spans="6:18" x14ac:dyDescent="0.3">
      <c r="F1118" s="2">
        <f t="shared" si="22"/>
        <v>1101</v>
      </c>
      <c r="G1118" s="2" t="str">
        <f>IF(Iterations[[#This Row],[Step]] =current_step, current_a,IF(Iterations[[#This Row],[Step]] &gt; current_step, "",Iterations[[#This Row],[a]]))</f>
        <v/>
      </c>
      <c r="H1118" s="2" t="str">
        <f>IF(Iterations[[#This Row],[Step]] =current_step, current_b,IF(Iterations[[#This Row],[Step]] &gt; current_step, "",Iterations[[#This Row],[b]]))</f>
        <v/>
      </c>
      <c r="I1118" s="2" t="str">
        <f>IF(Iterations[[#This Row],[Step]] =current_step, current_c,IF(Iterations[[#This Row],[Step]] &gt; current_step, "",Iterations[[#This Row],[c]]))</f>
        <v/>
      </c>
      <c r="J1118" s="2" t="str">
        <f>IF(Iterations[[#This Row],[Step]] =current_step, current_d,IF(Iterations[[#This Row],[Step]] &gt; current_step, "",Iterations[[#This Row],[d]]))</f>
        <v/>
      </c>
      <c r="K1118" s="2" t="str">
        <f>IF(Iterations[[#This Row],[Step]] =current_step, current_e,IF(Iterations[[#This Row],[Step]] &gt; current_step, "",Iterations[[#This Row],[e]]))</f>
        <v/>
      </c>
      <c r="L1118" s="2" t="str">
        <f>IF(Iterations[[#This Row],[Step]] =current_step, current_Total_Loss,IF(Iterations[[#This Row],[Step]] &gt; current_step, "",Iterations[[#This Row],[Total Loss]]))</f>
        <v/>
      </c>
      <c r="M1118" s="6" t="s">
        <v>27</v>
      </c>
      <c r="N1118" s="2" t="str">
        <f>IF(Iterations[[#This Row],[Step]] =current_step, current_Grad_a,IF(Iterations[[#This Row],[Step]] &gt; current_step, "",Iterations[[#This Row],[Grad_a]]))</f>
        <v/>
      </c>
      <c r="O1118" s="2" t="str">
        <f>IF(Iterations[[#This Row],[Step]] =current_step, current_Grad_b,IF(Iterations[[#This Row],[Step]] &gt; current_step, "",Iterations[[#This Row],[Grad_b]]))</f>
        <v/>
      </c>
      <c r="P1118" s="2" t="str">
        <f>IF(Iterations[[#This Row],[Step]] =current_step, current_Grad_c,IF(Iterations[[#This Row],[Step]] &gt; current_step, "",Iterations[[#This Row],[Grad_c]]))</f>
        <v/>
      </c>
      <c r="Q1118" s="2" t="str">
        <f>IF(Iterations[[#This Row],[Step]] =current_step, current_Grad_d,IF(Iterations[[#This Row],[Step]] &gt; current_step, "",Iterations[[#This Row],[Grad_d]]))</f>
        <v/>
      </c>
      <c r="R1118" s="2" t="str">
        <f>IF(Iterations[[#This Row],[Step]] =current_step, current_Grad_e,IF(Iterations[[#This Row],[Step]] &gt; current_step, "",Iterations[[#This Row],[Grad_e]]))</f>
        <v/>
      </c>
    </row>
    <row r="1119" spans="6:18" x14ac:dyDescent="0.3">
      <c r="F1119" s="2">
        <f t="shared" si="22"/>
        <v>1102</v>
      </c>
      <c r="G1119" s="2" t="str">
        <f>IF(Iterations[[#This Row],[Step]] =current_step, current_a,IF(Iterations[[#This Row],[Step]] &gt; current_step, "",Iterations[[#This Row],[a]]))</f>
        <v/>
      </c>
      <c r="H1119" s="2" t="str">
        <f>IF(Iterations[[#This Row],[Step]] =current_step, current_b,IF(Iterations[[#This Row],[Step]] &gt; current_step, "",Iterations[[#This Row],[b]]))</f>
        <v/>
      </c>
      <c r="I1119" s="2" t="str">
        <f>IF(Iterations[[#This Row],[Step]] =current_step, current_c,IF(Iterations[[#This Row],[Step]] &gt; current_step, "",Iterations[[#This Row],[c]]))</f>
        <v/>
      </c>
      <c r="J1119" s="2" t="str">
        <f>IF(Iterations[[#This Row],[Step]] =current_step, current_d,IF(Iterations[[#This Row],[Step]] &gt; current_step, "",Iterations[[#This Row],[d]]))</f>
        <v/>
      </c>
      <c r="K1119" s="2" t="str">
        <f>IF(Iterations[[#This Row],[Step]] =current_step, current_e,IF(Iterations[[#This Row],[Step]] &gt; current_step, "",Iterations[[#This Row],[e]]))</f>
        <v/>
      </c>
      <c r="L1119" s="2" t="str">
        <f>IF(Iterations[[#This Row],[Step]] =current_step, current_Total_Loss,IF(Iterations[[#This Row],[Step]] &gt; current_step, "",Iterations[[#This Row],[Total Loss]]))</f>
        <v/>
      </c>
      <c r="M1119" s="6" t="s">
        <v>27</v>
      </c>
      <c r="N1119" s="2" t="str">
        <f>IF(Iterations[[#This Row],[Step]] =current_step, current_Grad_a,IF(Iterations[[#This Row],[Step]] &gt; current_step, "",Iterations[[#This Row],[Grad_a]]))</f>
        <v/>
      </c>
      <c r="O1119" s="2" t="str">
        <f>IF(Iterations[[#This Row],[Step]] =current_step, current_Grad_b,IF(Iterations[[#This Row],[Step]] &gt; current_step, "",Iterations[[#This Row],[Grad_b]]))</f>
        <v/>
      </c>
      <c r="P1119" s="2" t="str">
        <f>IF(Iterations[[#This Row],[Step]] =current_step, current_Grad_c,IF(Iterations[[#This Row],[Step]] &gt; current_step, "",Iterations[[#This Row],[Grad_c]]))</f>
        <v/>
      </c>
      <c r="Q1119" s="2" t="str">
        <f>IF(Iterations[[#This Row],[Step]] =current_step, current_Grad_d,IF(Iterations[[#This Row],[Step]] &gt; current_step, "",Iterations[[#This Row],[Grad_d]]))</f>
        <v/>
      </c>
      <c r="R1119" s="2" t="str">
        <f>IF(Iterations[[#This Row],[Step]] =current_step, current_Grad_e,IF(Iterations[[#This Row],[Step]] &gt; current_step, "",Iterations[[#This Row],[Grad_e]]))</f>
        <v/>
      </c>
    </row>
    <row r="1120" spans="6:18" x14ac:dyDescent="0.3">
      <c r="F1120" s="2">
        <f t="shared" si="22"/>
        <v>1103</v>
      </c>
      <c r="G1120" s="2" t="str">
        <f>IF(Iterations[[#This Row],[Step]] =current_step, current_a,IF(Iterations[[#This Row],[Step]] &gt; current_step, "",Iterations[[#This Row],[a]]))</f>
        <v/>
      </c>
      <c r="H1120" s="2" t="str">
        <f>IF(Iterations[[#This Row],[Step]] =current_step, current_b,IF(Iterations[[#This Row],[Step]] &gt; current_step, "",Iterations[[#This Row],[b]]))</f>
        <v/>
      </c>
      <c r="I1120" s="2" t="str">
        <f>IF(Iterations[[#This Row],[Step]] =current_step, current_c,IF(Iterations[[#This Row],[Step]] &gt; current_step, "",Iterations[[#This Row],[c]]))</f>
        <v/>
      </c>
      <c r="J1120" s="2" t="str">
        <f>IF(Iterations[[#This Row],[Step]] =current_step, current_d,IF(Iterations[[#This Row],[Step]] &gt; current_step, "",Iterations[[#This Row],[d]]))</f>
        <v/>
      </c>
      <c r="K1120" s="2" t="str">
        <f>IF(Iterations[[#This Row],[Step]] =current_step, current_e,IF(Iterations[[#This Row],[Step]] &gt; current_step, "",Iterations[[#This Row],[e]]))</f>
        <v/>
      </c>
      <c r="L1120" s="2" t="str">
        <f>IF(Iterations[[#This Row],[Step]] =current_step, current_Total_Loss,IF(Iterations[[#This Row],[Step]] &gt; current_step, "",Iterations[[#This Row],[Total Loss]]))</f>
        <v/>
      </c>
      <c r="M1120" s="6" t="s">
        <v>27</v>
      </c>
      <c r="N1120" s="2" t="str">
        <f>IF(Iterations[[#This Row],[Step]] =current_step, current_Grad_a,IF(Iterations[[#This Row],[Step]] &gt; current_step, "",Iterations[[#This Row],[Grad_a]]))</f>
        <v/>
      </c>
      <c r="O1120" s="2" t="str">
        <f>IF(Iterations[[#This Row],[Step]] =current_step, current_Grad_b,IF(Iterations[[#This Row],[Step]] &gt; current_step, "",Iterations[[#This Row],[Grad_b]]))</f>
        <v/>
      </c>
      <c r="P1120" s="2" t="str">
        <f>IF(Iterations[[#This Row],[Step]] =current_step, current_Grad_c,IF(Iterations[[#This Row],[Step]] &gt; current_step, "",Iterations[[#This Row],[Grad_c]]))</f>
        <v/>
      </c>
      <c r="Q1120" s="2" t="str">
        <f>IF(Iterations[[#This Row],[Step]] =current_step, current_Grad_d,IF(Iterations[[#This Row],[Step]] &gt; current_step, "",Iterations[[#This Row],[Grad_d]]))</f>
        <v/>
      </c>
      <c r="R1120" s="2" t="str">
        <f>IF(Iterations[[#This Row],[Step]] =current_step, current_Grad_e,IF(Iterations[[#This Row],[Step]] &gt; current_step, "",Iterations[[#This Row],[Grad_e]]))</f>
        <v/>
      </c>
    </row>
    <row r="1121" spans="6:18" x14ac:dyDescent="0.3">
      <c r="F1121" s="2">
        <f t="shared" si="22"/>
        <v>1104</v>
      </c>
      <c r="G1121" s="2" t="str">
        <f>IF(Iterations[[#This Row],[Step]] =current_step, current_a,IF(Iterations[[#This Row],[Step]] &gt; current_step, "",Iterations[[#This Row],[a]]))</f>
        <v/>
      </c>
      <c r="H1121" s="2" t="str">
        <f>IF(Iterations[[#This Row],[Step]] =current_step, current_b,IF(Iterations[[#This Row],[Step]] &gt; current_step, "",Iterations[[#This Row],[b]]))</f>
        <v/>
      </c>
      <c r="I1121" s="2" t="str">
        <f>IF(Iterations[[#This Row],[Step]] =current_step, current_c,IF(Iterations[[#This Row],[Step]] &gt; current_step, "",Iterations[[#This Row],[c]]))</f>
        <v/>
      </c>
      <c r="J1121" s="2" t="str">
        <f>IF(Iterations[[#This Row],[Step]] =current_step, current_d,IF(Iterations[[#This Row],[Step]] &gt; current_step, "",Iterations[[#This Row],[d]]))</f>
        <v/>
      </c>
      <c r="K1121" s="2" t="str">
        <f>IF(Iterations[[#This Row],[Step]] =current_step, current_e,IF(Iterations[[#This Row],[Step]] &gt; current_step, "",Iterations[[#This Row],[e]]))</f>
        <v/>
      </c>
      <c r="L1121" s="2" t="str">
        <f>IF(Iterations[[#This Row],[Step]] =current_step, current_Total_Loss,IF(Iterations[[#This Row],[Step]] &gt; current_step, "",Iterations[[#This Row],[Total Loss]]))</f>
        <v/>
      </c>
      <c r="M1121" s="6" t="s">
        <v>27</v>
      </c>
      <c r="N1121" s="2" t="str">
        <f>IF(Iterations[[#This Row],[Step]] =current_step, current_Grad_a,IF(Iterations[[#This Row],[Step]] &gt; current_step, "",Iterations[[#This Row],[Grad_a]]))</f>
        <v/>
      </c>
      <c r="O1121" s="2" t="str">
        <f>IF(Iterations[[#This Row],[Step]] =current_step, current_Grad_b,IF(Iterations[[#This Row],[Step]] &gt; current_step, "",Iterations[[#This Row],[Grad_b]]))</f>
        <v/>
      </c>
      <c r="P1121" s="2" t="str">
        <f>IF(Iterations[[#This Row],[Step]] =current_step, current_Grad_c,IF(Iterations[[#This Row],[Step]] &gt; current_step, "",Iterations[[#This Row],[Grad_c]]))</f>
        <v/>
      </c>
      <c r="Q1121" s="2" t="str">
        <f>IF(Iterations[[#This Row],[Step]] =current_step, current_Grad_d,IF(Iterations[[#This Row],[Step]] &gt; current_step, "",Iterations[[#This Row],[Grad_d]]))</f>
        <v/>
      </c>
      <c r="R1121" s="2" t="str">
        <f>IF(Iterations[[#This Row],[Step]] =current_step, current_Grad_e,IF(Iterations[[#This Row],[Step]] &gt; current_step, "",Iterations[[#This Row],[Grad_e]]))</f>
        <v/>
      </c>
    </row>
    <row r="1122" spans="6:18" x14ac:dyDescent="0.3">
      <c r="F1122" s="2">
        <f t="shared" si="22"/>
        <v>1105</v>
      </c>
      <c r="G1122" s="2" t="str">
        <f>IF(Iterations[[#This Row],[Step]] =current_step, current_a,IF(Iterations[[#This Row],[Step]] &gt; current_step, "",Iterations[[#This Row],[a]]))</f>
        <v/>
      </c>
      <c r="H1122" s="2" t="str">
        <f>IF(Iterations[[#This Row],[Step]] =current_step, current_b,IF(Iterations[[#This Row],[Step]] &gt; current_step, "",Iterations[[#This Row],[b]]))</f>
        <v/>
      </c>
      <c r="I1122" s="2" t="str">
        <f>IF(Iterations[[#This Row],[Step]] =current_step, current_c,IF(Iterations[[#This Row],[Step]] &gt; current_step, "",Iterations[[#This Row],[c]]))</f>
        <v/>
      </c>
      <c r="J1122" s="2" t="str">
        <f>IF(Iterations[[#This Row],[Step]] =current_step, current_d,IF(Iterations[[#This Row],[Step]] &gt; current_step, "",Iterations[[#This Row],[d]]))</f>
        <v/>
      </c>
      <c r="K1122" s="2" t="str">
        <f>IF(Iterations[[#This Row],[Step]] =current_step, current_e,IF(Iterations[[#This Row],[Step]] &gt; current_step, "",Iterations[[#This Row],[e]]))</f>
        <v/>
      </c>
      <c r="L1122" s="2" t="str">
        <f>IF(Iterations[[#This Row],[Step]] =current_step, current_Total_Loss,IF(Iterations[[#This Row],[Step]] &gt; current_step, "",Iterations[[#This Row],[Total Loss]]))</f>
        <v/>
      </c>
      <c r="M1122" s="6" t="s">
        <v>27</v>
      </c>
      <c r="N1122" s="2" t="str">
        <f>IF(Iterations[[#This Row],[Step]] =current_step, current_Grad_a,IF(Iterations[[#This Row],[Step]] &gt; current_step, "",Iterations[[#This Row],[Grad_a]]))</f>
        <v/>
      </c>
      <c r="O1122" s="2" t="str">
        <f>IF(Iterations[[#This Row],[Step]] =current_step, current_Grad_b,IF(Iterations[[#This Row],[Step]] &gt; current_step, "",Iterations[[#This Row],[Grad_b]]))</f>
        <v/>
      </c>
      <c r="P1122" s="2" t="str">
        <f>IF(Iterations[[#This Row],[Step]] =current_step, current_Grad_c,IF(Iterations[[#This Row],[Step]] &gt; current_step, "",Iterations[[#This Row],[Grad_c]]))</f>
        <v/>
      </c>
      <c r="Q1122" s="2" t="str">
        <f>IF(Iterations[[#This Row],[Step]] =current_step, current_Grad_d,IF(Iterations[[#This Row],[Step]] &gt; current_step, "",Iterations[[#This Row],[Grad_d]]))</f>
        <v/>
      </c>
      <c r="R1122" s="2" t="str">
        <f>IF(Iterations[[#This Row],[Step]] =current_step, current_Grad_e,IF(Iterations[[#This Row],[Step]] &gt; current_step, "",Iterations[[#This Row],[Grad_e]]))</f>
        <v/>
      </c>
    </row>
    <row r="1123" spans="6:18" x14ac:dyDescent="0.3">
      <c r="F1123" s="2">
        <f t="shared" si="22"/>
        <v>1106</v>
      </c>
      <c r="G1123" s="2" t="str">
        <f>IF(Iterations[[#This Row],[Step]] =current_step, current_a,IF(Iterations[[#This Row],[Step]] &gt; current_step, "",Iterations[[#This Row],[a]]))</f>
        <v/>
      </c>
      <c r="H1123" s="2" t="str">
        <f>IF(Iterations[[#This Row],[Step]] =current_step, current_b,IF(Iterations[[#This Row],[Step]] &gt; current_step, "",Iterations[[#This Row],[b]]))</f>
        <v/>
      </c>
      <c r="I1123" s="2" t="str">
        <f>IF(Iterations[[#This Row],[Step]] =current_step, current_c,IF(Iterations[[#This Row],[Step]] &gt; current_step, "",Iterations[[#This Row],[c]]))</f>
        <v/>
      </c>
      <c r="J1123" s="2" t="str">
        <f>IF(Iterations[[#This Row],[Step]] =current_step, current_d,IF(Iterations[[#This Row],[Step]] &gt; current_step, "",Iterations[[#This Row],[d]]))</f>
        <v/>
      </c>
      <c r="K1123" s="2" t="str">
        <f>IF(Iterations[[#This Row],[Step]] =current_step, current_e,IF(Iterations[[#This Row],[Step]] &gt; current_step, "",Iterations[[#This Row],[e]]))</f>
        <v/>
      </c>
      <c r="L1123" s="2" t="str">
        <f>IF(Iterations[[#This Row],[Step]] =current_step, current_Total_Loss,IF(Iterations[[#This Row],[Step]] &gt; current_step, "",Iterations[[#This Row],[Total Loss]]))</f>
        <v/>
      </c>
      <c r="M1123" s="6" t="s">
        <v>27</v>
      </c>
      <c r="N1123" s="2" t="str">
        <f>IF(Iterations[[#This Row],[Step]] =current_step, current_Grad_a,IF(Iterations[[#This Row],[Step]] &gt; current_step, "",Iterations[[#This Row],[Grad_a]]))</f>
        <v/>
      </c>
      <c r="O1123" s="2" t="str">
        <f>IF(Iterations[[#This Row],[Step]] =current_step, current_Grad_b,IF(Iterations[[#This Row],[Step]] &gt; current_step, "",Iterations[[#This Row],[Grad_b]]))</f>
        <v/>
      </c>
      <c r="P1123" s="2" t="str">
        <f>IF(Iterations[[#This Row],[Step]] =current_step, current_Grad_c,IF(Iterations[[#This Row],[Step]] &gt; current_step, "",Iterations[[#This Row],[Grad_c]]))</f>
        <v/>
      </c>
      <c r="Q1123" s="2" t="str">
        <f>IF(Iterations[[#This Row],[Step]] =current_step, current_Grad_d,IF(Iterations[[#This Row],[Step]] &gt; current_step, "",Iterations[[#This Row],[Grad_d]]))</f>
        <v/>
      </c>
      <c r="R1123" s="2" t="str">
        <f>IF(Iterations[[#This Row],[Step]] =current_step, current_Grad_e,IF(Iterations[[#This Row],[Step]] &gt; current_step, "",Iterations[[#This Row],[Grad_e]]))</f>
        <v/>
      </c>
    </row>
    <row r="1124" spans="6:18" x14ac:dyDescent="0.3">
      <c r="F1124" s="2">
        <f t="shared" si="22"/>
        <v>1107</v>
      </c>
      <c r="G1124" s="2" t="str">
        <f>IF(Iterations[[#This Row],[Step]] =current_step, current_a,IF(Iterations[[#This Row],[Step]] &gt; current_step, "",Iterations[[#This Row],[a]]))</f>
        <v/>
      </c>
      <c r="H1124" s="2" t="str">
        <f>IF(Iterations[[#This Row],[Step]] =current_step, current_b,IF(Iterations[[#This Row],[Step]] &gt; current_step, "",Iterations[[#This Row],[b]]))</f>
        <v/>
      </c>
      <c r="I1124" s="2" t="str">
        <f>IF(Iterations[[#This Row],[Step]] =current_step, current_c,IF(Iterations[[#This Row],[Step]] &gt; current_step, "",Iterations[[#This Row],[c]]))</f>
        <v/>
      </c>
      <c r="J1124" s="2" t="str">
        <f>IF(Iterations[[#This Row],[Step]] =current_step, current_d,IF(Iterations[[#This Row],[Step]] &gt; current_step, "",Iterations[[#This Row],[d]]))</f>
        <v/>
      </c>
      <c r="K1124" s="2" t="str">
        <f>IF(Iterations[[#This Row],[Step]] =current_step, current_e,IF(Iterations[[#This Row],[Step]] &gt; current_step, "",Iterations[[#This Row],[e]]))</f>
        <v/>
      </c>
      <c r="L1124" s="2" t="str">
        <f>IF(Iterations[[#This Row],[Step]] =current_step, current_Total_Loss,IF(Iterations[[#This Row],[Step]] &gt; current_step, "",Iterations[[#This Row],[Total Loss]]))</f>
        <v/>
      </c>
      <c r="M1124" s="6" t="s">
        <v>27</v>
      </c>
      <c r="N1124" s="2" t="str">
        <f>IF(Iterations[[#This Row],[Step]] =current_step, current_Grad_a,IF(Iterations[[#This Row],[Step]] &gt; current_step, "",Iterations[[#This Row],[Grad_a]]))</f>
        <v/>
      </c>
      <c r="O1124" s="2" t="str">
        <f>IF(Iterations[[#This Row],[Step]] =current_step, current_Grad_b,IF(Iterations[[#This Row],[Step]] &gt; current_step, "",Iterations[[#This Row],[Grad_b]]))</f>
        <v/>
      </c>
      <c r="P1124" s="2" t="str">
        <f>IF(Iterations[[#This Row],[Step]] =current_step, current_Grad_c,IF(Iterations[[#This Row],[Step]] &gt; current_step, "",Iterations[[#This Row],[Grad_c]]))</f>
        <v/>
      </c>
      <c r="Q1124" s="2" t="str">
        <f>IF(Iterations[[#This Row],[Step]] =current_step, current_Grad_d,IF(Iterations[[#This Row],[Step]] &gt; current_step, "",Iterations[[#This Row],[Grad_d]]))</f>
        <v/>
      </c>
      <c r="R1124" s="2" t="str">
        <f>IF(Iterations[[#This Row],[Step]] =current_step, current_Grad_e,IF(Iterations[[#This Row],[Step]] &gt; current_step, "",Iterations[[#This Row],[Grad_e]]))</f>
        <v/>
      </c>
    </row>
    <row r="1125" spans="6:18" x14ac:dyDescent="0.3">
      <c r="F1125" s="2">
        <f t="shared" si="22"/>
        <v>1108</v>
      </c>
      <c r="G1125" s="2" t="str">
        <f>IF(Iterations[[#This Row],[Step]] =current_step, current_a,IF(Iterations[[#This Row],[Step]] &gt; current_step, "",Iterations[[#This Row],[a]]))</f>
        <v/>
      </c>
      <c r="H1125" s="2" t="str">
        <f>IF(Iterations[[#This Row],[Step]] =current_step, current_b,IF(Iterations[[#This Row],[Step]] &gt; current_step, "",Iterations[[#This Row],[b]]))</f>
        <v/>
      </c>
      <c r="I1125" s="2" t="str">
        <f>IF(Iterations[[#This Row],[Step]] =current_step, current_c,IF(Iterations[[#This Row],[Step]] &gt; current_step, "",Iterations[[#This Row],[c]]))</f>
        <v/>
      </c>
      <c r="J1125" s="2" t="str">
        <f>IF(Iterations[[#This Row],[Step]] =current_step, current_d,IF(Iterations[[#This Row],[Step]] &gt; current_step, "",Iterations[[#This Row],[d]]))</f>
        <v/>
      </c>
      <c r="K1125" s="2" t="str">
        <f>IF(Iterations[[#This Row],[Step]] =current_step, current_e,IF(Iterations[[#This Row],[Step]] &gt; current_step, "",Iterations[[#This Row],[e]]))</f>
        <v/>
      </c>
      <c r="L1125" s="2" t="str">
        <f>IF(Iterations[[#This Row],[Step]] =current_step, current_Total_Loss,IF(Iterations[[#This Row],[Step]] &gt; current_step, "",Iterations[[#This Row],[Total Loss]]))</f>
        <v/>
      </c>
      <c r="M1125" s="6" t="s">
        <v>27</v>
      </c>
      <c r="N1125" s="2" t="str">
        <f>IF(Iterations[[#This Row],[Step]] =current_step, current_Grad_a,IF(Iterations[[#This Row],[Step]] &gt; current_step, "",Iterations[[#This Row],[Grad_a]]))</f>
        <v/>
      </c>
      <c r="O1125" s="2" t="str">
        <f>IF(Iterations[[#This Row],[Step]] =current_step, current_Grad_b,IF(Iterations[[#This Row],[Step]] &gt; current_step, "",Iterations[[#This Row],[Grad_b]]))</f>
        <v/>
      </c>
      <c r="P1125" s="2" t="str">
        <f>IF(Iterations[[#This Row],[Step]] =current_step, current_Grad_c,IF(Iterations[[#This Row],[Step]] &gt; current_step, "",Iterations[[#This Row],[Grad_c]]))</f>
        <v/>
      </c>
      <c r="Q1125" s="2" t="str">
        <f>IF(Iterations[[#This Row],[Step]] =current_step, current_Grad_d,IF(Iterations[[#This Row],[Step]] &gt; current_step, "",Iterations[[#This Row],[Grad_d]]))</f>
        <v/>
      </c>
      <c r="R1125" s="2" t="str">
        <f>IF(Iterations[[#This Row],[Step]] =current_step, current_Grad_e,IF(Iterations[[#This Row],[Step]] &gt; current_step, "",Iterations[[#This Row],[Grad_e]]))</f>
        <v/>
      </c>
    </row>
    <row r="1126" spans="6:18" x14ac:dyDescent="0.3">
      <c r="F1126" s="2">
        <f t="shared" si="22"/>
        <v>1109</v>
      </c>
      <c r="G1126" s="2" t="str">
        <f>IF(Iterations[[#This Row],[Step]] =current_step, current_a,IF(Iterations[[#This Row],[Step]] &gt; current_step, "",Iterations[[#This Row],[a]]))</f>
        <v/>
      </c>
      <c r="H1126" s="2" t="str">
        <f>IF(Iterations[[#This Row],[Step]] =current_step, current_b,IF(Iterations[[#This Row],[Step]] &gt; current_step, "",Iterations[[#This Row],[b]]))</f>
        <v/>
      </c>
      <c r="I1126" s="2" t="str">
        <f>IF(Iterations[[#This Row],[Step]] =current_step, current_c,IF(Iterations[[#This Row],[Step]] &gt; current_step, "",Iterations[[#This Row],[c]]))</f>
        <v/>
      </c>
      <c r="J1126" s="2" t="str">
        <f>IF(Iterations[[#This Row],[Step]] =current_step, current_d,IF(Iterations[[#This Row],[Step]] &gt; current_step, "",Iterations[[#This Row],[d]]))</f>
        <v/>
      </c>
      <c r="K1126" s="2" t="str">
        <f>IF(Iterations[[#This Row],[Step]] =current_step, current_e,IF(Iterations[[#This Row],[Step]] &gt; current_step, "",Iterations[[#This Row],[e]]))</f>
        <v/>
      </c>
      <c r="L1126" s="2" t="str">
        <f>IF(Iterations[[#This Row],[Step]] =current_step, current_Total_Loss,IF(Iterations[[#This Row],[Step]] &gt; current_step, "",Iterations[[#This Row],[Total Loss]]))</f>
        <v/>
      </c>
      <c r="M1126" s="6" t="s">
        <v>27</v>
      </c>
      <c r="N1126" s="2" t="str">
        <f>IF(Iterations[[#This Row],[Step]] =current_step, current_Grad_a,IF(Iterations[[#This Row],[Step]] &gt; current_step, "",Iterations[[#This Row],[Grad_a]]))</f>
        <v/>
      </c>
      <c r="O1126" s="2" t="str">
        <f>IF(Iterations[[#This Row],[Step]] =current_step, current_Grad_b,IF(Iterations[[#This Row],[Step]] &gt; current_step, "",Iterations[[#This Row],[Grad_b]]))</f>
        <v/>
      </c>
      <c r="P1126" s="2" t="str">
        <f>IF(Iterations[[#This Row],[Step]] =current_step, current_Grad_c,IF(Iterations[[#This Row],[Step]] &gt; current_step, "",Iterations[[#This Row],[Grad_c]]))</f>
        <v/>
      </c>
      <c r="Q1126" s="2" t="str">
        <f>IF(Iterations[[#This Row],[Step]] =current_step, current_Grad_d,IF(Iterations[[#This Row],[Step]] &gt; current_step, "",Iterations[[#This Row],[Grad_d]]))</f>
        <v/>
      </c>
      <c r="R1126" s="2" t="str">
        <f>IF(Iterations[[#This Row],[Step]] =current_step, current_Grad_e,IF(Iterations[[#This Row],[Step]] &gt; current_step, "",Iterations[[#This Row],[Grad_e]]))</f>
        <v/>
      </c>
    </row>
    <row r="1127" spans="6:18" x14ac:dyDescent="0.3">
      <c r="F1127" s="2">
        <f t="shared" si="22"/>
        <v>1110</v>
      </c>
      <c r="G1127" s="2" t="str">
        <f>IF(Iterations[[#This Row],[Step]] =current_step, current_a,IF(Iterations[[#This Row],[Step]] &gt; current_step, "",Iterations[[#This Row],[a]]))</f>
        <v/>
      </c>
      <c r="H1127" s="2" t="str">
        <f>IF(Iterations[[#This Row],[Step]] =current_step, current_b,IF(Iterations[[#This Row],[Step]] &gt; current_step, "",Iterations[[#This Row],[b]]))</f>
        <v/>
      </c>
      <c r="I1127" s="2" t="str">
        <f>IF(Iterations[[#This Row],[Step]] =current_step, current_c,IF(Iterations[[#This Row],[Step]] &gt; current_step, "",Iterations[[#This Row],[c]]))</f>
        <v/>
      </c>
      <c r="J1127" s="2" t="str">
        <f>IF(Iterations[[#This Row],[Step]] =current_step, current_d,IF(Iterations[[#This Row],[Step]] &gt; current_step, "",Iterations[[#This Row],[d]]))</f>
        <v/>
      </c>
      <c r="K1127" s="2" t="str">
        <f>IF(Iterations[[#This Row],[Step]] =current_step, current_e,IF(Iterations[[#This Row],[Step]] &gt; current_step, "",Iterations[[#This Row],[e]]))</f>
        <v/>
      </c>
      <c r="L1127" s="2" t="str">
        <f>IF(Iterations[[#This Row],[Step]] =current_step, current_Total_Loss,IF(Iterations[[#This Row],[Step]] &gt; current_step, "",Iterations[[#This Row],[Total Loss]]))</f>
        <v/>
      </c>
      <c r="M1127" s="6" t="s">
        <v>27</v>
      </c>
      <c r="N1127" s="2" t="str">
        <f>IF(Iterations[[#This Row],[Step]] =current_step, current_Grad_a,IF(Iterations[[#This Row],[Step]] &gt; current_step, "",Iterations[[#This Row],[Grad_a]]))</f>
        <v/>
      </c>
      <c r="O1127" s="2" t="str">
        <f>IF(Iterations[[#This Row],[Step]] =current_step, current_Grad_b,IF(Iterations[[#This Row],[Step]] &gt; current_step, "",Iterations[[#This Row],[Grad_b]]))</f>
        <v/>
      </c>
      <c r="P1127" s="2" t="str">
        <f>IF(Iterations[[#This Row],[Step]] =current_step, current_Grad_c,IF(Iterations[[#This Row],[Step]] &gt; current_step, "",Iterations[[#This Row],[Grad_c]]))</f>
        <v/>
      </c>
      <c r="Q1127" s="2" t="str">
        <f>IF(Iterations[[#This Row],[Step]] =current_step, current_Grad_d,IF(Iterations[[#This Row],[Step]] &gt; current_step, "",Iterations[[#This Row],[Grad_d]]))</f>
        <v/>
      </c>
      <c r="R1127" s="2" t="str">
        <f>IF(Iterations[[#This Row],[Step]] =current_step, current_Grad_e,IF(Iterations[[#This Row],[Step]] &gt; current_step, "",Iterations[[#This Row],[Grad_e]]))</f>
        <v/>
      </c>
    </row>
    <row r="1128" spans="6:18" x14ac:dyDescent="0.3">
      <c r="F1128" s="2">
        <f t="shared" si="22"/>
        <v>1111</v>
      </c>
      <c r="G1128" s="2" t="str">
        <f>IF(Iterations[[#This Row],[Step]] =current_step, current_a,IF(Iterations[[#This Row],[Step]] &gt; current_step, "",Iterations[[#This Row],[a]]))</f>
        <v/>
      </c>
      <c r="H1128" s="2" t="str">
        <f>IF(Iterations[[#This Row],[Step]] =current_step, current_b,IF(Iterations[[#This Row],[Step]] &gt; current_step, "",Iterations[[#This Row],[b]]))</f>
        <v/>
      </c>
      <c r="I1128" s="2" t="str">
        <f>IF(Iterations[[#This Row],[Step]] =current_step, current_c,IF(Iterations[[#This Row],[Step]] &gt; current_step, "",Iterations[[#This Row],[c]]))</f>
        <v/>
      </c>
      <c r="J1128" s="2" t="str">
        <f>IF(Iterations[[#This Row],[Step]] =current_step, current_d,IF(Iterations[[#This Row],[Step]] &gt; current_step, "",Iterations[[#This Row],[d]]))</f>
        <v/>
      </c>
      <c r="K1128" s="2" t="str">
        <f>IF(Iterations[[#This Row],[Step]] =current_step, current_e,IF(Iterations[[#This Row],[Step]] &gt; current_step, "",Iterations[[#This Row],[e]]))</f>
        <v/>
      </c>
      <c r="L1128" s="2" t="str">
        <f>IF(Iterations[[#This Row],[Step]] =current_step, current_Total_Loss,IF(Iterations[[#This Row],[Step]] &gt; current_step, "",Iterations[[#This Row],[Total Loss]]))</f>
        <v/>
      </c>
      <c r="M1128" s="6" t="s">
        <v>27</v>
      </c>
      <c r="N1128" s="2" t="str">
        <f>IF(Iterations[[#This Row],[Step]] =current_step, current_Grad_a,IF(Iterations[[#This Row],[Step]] &gt; current_step, "",Iterations[[#This Row],[Grad_a]]))</f>
        <v/>
      </c>
      <c r="O1128" s="2" t="str">
        <f>IF(Iterations[[#This Row],[Step]] =current_step, current_Grad_b,IF(Iterations[[#This Row],[Step]] &gt; current_step, "",Iterations[[#This Row],[Grad_b]]))</f>
        <v/>
      </c>
      <c r="P1128" s="2" t="str">
        <f>IF(Iterations[[#This Row],[Step]] =current_step, current_Grad_c,IF(Iterations[[#This Row],[Step]] &gt; current_step, "",Iterations[[#This Row],[Grad_c]]))</f>
        <v/>
      </c>
      <c r="Q1128" s="2" t="str">
        <f>IF(Iterations[[#This Row],[Step]] =current_step, current_Grad_d,IF(Iterations[[#This Row],[Step]] &gt; current_step, "",Iterations[[#This Row],[Grad_d]]))</f>
        <v/>
      </c>
      <c r="R1128" s="2" t="str">
        <f>IF(Iterations[[#This Row],[Step]] =current_step, current_Grad_e,IF(Iterations[[#This Row],[Step]] &gt; current_step, "",Iterations[[#This Row],[Grad_e]]))</f>
        <v/>
      </c>
    </row>
    <row r="1129" spans="6:18" x14ac:dyDescent="0.3">
      <c r="F1129" s="2">
        <f t="shared" si="22"/>
        <v>1112</v>
      </c>
      <c r="G1129" s="2" t="str">
        <f>IF(Iterations[[#This Row],[Step]] =current_step, current_a,IF(Iterations[[#This Row],[Step]] &gt; current_step, "",Iterations[[#This Row],[a]]))</f>
        <v/>
      </c>
      <c r="H1129" s="2" t="str">
        <f>IF(Iterations[[#This Row],[Step]] =current_step, current_b,IF(Iterations[[#This Row],[Step]] &gt; current_step, "",Iterations[[#This Row],[b]]))</f>
        <v/>
      </c>
      <c r="I1129" s="2" t="str">
        <f>IF(Iterations[[#This Row],[Step]] =current_step, current_c,IF(Iterations[[#This Row],[Step]] &gt; current_step, "",Iterations[[#This Row],[c]]))</f>
        <v/>
      </c>
      <c r="J1129" s="2" t="str">
        <f>IF(Iterations[[#This Row],[Step]] =current_step, current_d,IF(Iterations[[#This Row],[Step]] &gt; current_step, "",Iterations[[#This Row],[d]]))</f>
        <v/>
      </c>
      <c r="K1129" s="2" t="str">
        <f>IF(Iterations[[#This Row],[Step]] =current_step, current_e,IF(Iterations[[#This Row],[Step]] &gt; current_step, "",Iterations[[#This Row],[e]]))</f>
        <v/>
      </c>
      <c r="L1129" s="2" t="str">
        <f>IF(Iterations[[#This Row],[Step]] =current_step, current_Total_Loss,IF(Iterations[[#This Row],[Step]] &gt; current_step, "",Iterations[[#This Row],[Total Loss]]))</f>
        <v/>
      </c>
      <c r="M1129" s="6" t="s">
        <v>27</v>
      </c>
      <c r="N1129" s="2" t="str">
        <f>IF(Iterations[[#This Row],[Step]] =current_step, current_Grad_a,IF(Iterations[[#This Row],[Step]] &gt; current_step, "",Iterations[[#This Row],[Grad_a]]))</f>
        <v/>
      </c>
      <c r="O1129" s="2" t="str">
        <f>IF(Iterations[[#This Row],[Step]] =current_step, current_Grad_b,IF(Iterations[[#This Row],[Step]] &gt; current_step, "",Iterations[[#This Row],[Grad_b]]))</f>
        <v/>
      </c>
      <c r="P1129" s="2" t="str">
        <f>IF(Iterations[[#This Row],[Step]] =current_step, current_Grad_c,IF(Iterations[[#This Row],[Step]] &gt; current_step, "",Iterations[[#This Row],[Grad_c]]))</f>
        <v/>
      </c>
      <c r="Q1129" s="2" t="str">
        <f>IF(Iterations[[#This Row],[Step]] =current_step, current_Grad_d,IF(Iterations[[#This Row],[Step]] &gt; current_step, "",Iterations[[#This Row],[Grad_d]]))</f>
        <v/>
      </c>
      <c r="R1129" s="2" t="str">
        <f>IF(Iterations[[#This Row],[Step]] =current_step, current_Grad_e,IF(Iterations[[#This Row],[Step]] &gt; current_step, "",Iterations[[#This Row],[Grad_e]]))</f>
        <v/>
      </c>
    </row>
    <row r="1130" spans="6:18" x14ac:dyDescent="0.3">
      <c r="F1130" s="2">
        <f t="shared" si="22"/>
        <v>1113</v>
      </c>
      <c r="G1130" s="2" t="str">
        <f>IF(Iterations[[#This Row],[Step]] =current_step, current_a,IF(Iterations[[#This Row],[Step]] &gt; current_step, "",Iterations[[#This Row],[a]]))</f>
        <v/>
      </c>
      <c r="H1130" s="2" t="str">
        <f>IF(Iterations[[#This Row],[Step]] =current_step, current_b,IF(Iterations[[#This Row],[Step]] &gt; current_step, "",Iterations[[#This Row],[b]]))</f>
        <v/>
      </c>
      <c r="I1130" s="2" t="str">
        <f>IF(Iterations[[#This Row],[Step]] =current_step, current_c,IF(Iterations[[#This Row],[Step]] &gt; current_step, "",Iterations[[#This Row],[c]]))</f>
        <v/>
      </c>
      <c r="J1130" s="2" t="str">
        <f>IF(Iterations[[#This Row],[Step]] =current_step, current_d,IF(Iterations[[#This Row],[Step]] &gt; current_step, "",Iterations[[#This Row],[d]]))</f>
        <v/>
      </c>
      <c r="K1130" s="2" t="str">
        <f>IF(Iterations[[#This Row],[Step]] =current_step, current_e,IF(Iterations[[#This Row],[Step]] &gt; current_step, "",Iterations[[#This Row],[e]]))</f>
        <v/>
      </c>
      <c r="L1130" s="2" t="str">
        <f>IF(Iterations[[#This Row],[Step]] =current_step, current_Total_Loss,IF(Iterations[[#This Row],[Step]] &gt; current_step, "",Iterations[[#This Row],[Total Loss]]))</f>
        <v/>
      </c>
      <c r="M1130" s="6" t="s">
        <v>27</v>
      </c>
      <c r="N1130" s="2" t="str">
        <f>IF(Iterations[[#This Row],[Step]] =current_step, current_Grad_a,IF(Iterations[[#This Row],[Step]] &gt; current_step, "",Iterations[[#This Row],[Grad_a]]))</f>
        <v/>
      </c>
      <c r="O1130" s="2" t="str">
        <f>IF(Iterations[[#This Row],[Step]] =current_step, current_Grad_b,IF(Iterations[[#This Row],[Step]] &gt; current_step, "",Iterations[[#This Row],[Grad_b]]))</f>
        <v/>
      </c>
      <c r="P1130" s="2" t="str">
        <f>IF(Iterations[[#This Row],[Step]] =current_step, current_Grad_c,IF(Iterations[[#This Row],[Step]] &gt; current_step, "",Iterations[[#This Row],[Grad_c]]))</f>
        <v/>
      </c>
      <c r="Q1130" s="2" t="str">
        <f>IF(Iterations[[#This Row],[Step]] =current_step, current_Grad_d,IF(Iterations[[#This Row],[Step]] &gt; current_step, "",Iterations[[#This Row],[Grad_d]]))</f>
        <v/>
      </c>
      <c r="R1130" s="2" t="str">
        <f>IF(Iterations[[#This Row],[Step]] =current_step, current_Grad_e,IF(Iterations[[#This Row],[Step]] &gt; current_step, "",Iterations[[#This Row],[Grad_e]]))</f>
        <v/>
      </c>
    </row>
    <row r="1131" spans="6:18" x14ac:dyDescent="0.3">
      <c r="F1131" s="2">
        <f t="shared" si="22"/>
        <v>1114</v>
      </c>
      <c r="G1131" s="2" t="str">
        <f>IF(Iterations[[#This Row],[Step]] =current_step, current_a,IF(Iterations[[#This Row],[Step]] &gt; current_step, "",Iterations[[#This Row],[a]]))</f>
        <v/>
      </c>
      <c r="H1131" s="2" t="str">
        <f>IF(Iterations[[#This Row],[Step]] =current_step, current_b,IF(Iterations[[#This Row],[Step]] &gt; current_step, "",Iterations[[#This Row],[b]]))</f>
        <v/>
      </c>
      <c r="I1131" s="2" t="str">
        <f>IF(Iterations[[#This Row],[Step]] =current_step, current_c,IF(Iterations[[#This Row],[Step]] &gt; current_step, "",Iterations[[#This Row],[c]]))</f>
        <v/>
      </c>
      <c r="J1131" s="2" t="str">
        <f>IF(Iterations[[#This Row],[Step]] =current_step, current_d,IF(Iterations[[#This Row],[Step]] &gt; current_step, "",Iterations[[#This Row],[d]]))</f>
        <v/>
      </c>
      <c r="K1131" s="2" t="str">
        <f>IF(Iterations[[#This Row],[Step]] =current_step, current_e,IF(Iterations[[#This Row],[Step]] &gt; current_step, "",Iterations[[#This Row],[e]]))</f>
        <v/>
      </c>
      <c r="L1131" s="2" t="str">
        <f>IF(Iterations[[#This Row],[Step]] =current_step, current_Total_Loss,IF(Iterations[[#This Row],[Step]] &gt; current_step, "",Iterations[[#This Row],[Total Loss]]))</f>
        <v/>
      </c>
      <c r="M1131" s="6" t="s">
        <v>27</v>
      </c>
      <c r="N1131" s="2" t="str">
        <f>IF(Iterations[[#This Row],[Step]] =current_step, current_Grad_a,IF(Iterations[[#This Row],[Step]] &gt; current_step, "",Iterations[[#This Row],[Grad_a]]))</f>
        <v/>
      </c>
      <c r="O1131" s="2" t="str">
        <f>IF(Iterations[[#This Row],[Step]] =current_step, current_Grad_b,IF(Iterations[[#This Row],[Step]] &gt; current_step, "",Iterations[[#This Row],[Grad_b]]))</f>
        <v/>
      </c>
      <c r="P1131" s="2" t="str">
        <f>IF(Iterations[[#This Row],[Step]] =current_step, current_Grad_c,IF(Iterations[[#This Row],[Step]] &gt; current_step, "",Iterations[[#This Row],[Grad_c]]))</f>
        <v/>
      </c>
      <c r="Q1131" s="2" t="str">
        <f>IF(Iterations[[#This Row],[Step]] =current_step, current_Grad_d,IF(Iterations[[#This Row],[Step]] &gt; current_step, "",Iterations[[#This Row],[Grad_d]]))</f>
        <v/>
      </c>
      <c r="R1131" s="2" t="str">
        <f>IF(Iterations[[#This Row],[Step]] =current_step, current_Grad_e,IF(Iterations[[#This Row],[Step]] &gt; current_step, "",Iterations[[#This Row],[Grad_e]]))</f>
        <v/>
      </c>
    </row>
    <row r="1132" spans="6:18" x14ac:dyDescent="0.3">
      <c r="F1132" s="2">
        <f t="shared" si="22"/>
        <v>1115</v>
      </c>
      <c r="G1132" s="2" t="str">
        <f>IF(Iterations[[#This Row],[Step]] =current_step, current_a,IF(Iterations[[#This Row],[Step]] &gt; current_step, "",Iterations[[#This Row],[a]]))</f>
        <v/>
      </c>
      <c r="H1132" s="2" t="str">
        <f>IF(Iterations[[#This Row],[Step]] =current_step, current_b,IF(Iterations[[#This Row],[Step]] &gt; current_step, "",Iterations[[#This Row],[b]]))</f>
        <v/>
      </c>
      <c r="I1132" s="2" t="str">
        <f>IF(Iterations[[#This Row],[Step]] =current_step, current_c,IF(Iterations[[#This Row],[Step]] &gt; current_step, "",Iterations[[#This Row],[c]]))</f>
        <v/>
      </c>
      <c r="J1132" s="2" t="str">
        <f>IF(Iterations[[#This Row],[Step]] =current_step, current_d,IF(Iterations[[#This Row],[Step]] &gt; current_step, "",Iterations[[#This Row],[d]]))</f>
        <v/>
      </c>
      <c r="K1132" s="2" t="str">
        <f>IF(Iterations[[#This Row],[Step]] =current_step, current_e,IF(Iterations[[#This Row],[Step]] &gt; current_step, "",Iterations[[#This Row],[e]]))</f>
        <v/>
      </c>
      <c r="L1132" s="2" t="str">
        <f>IF(Iterations[[#This Row],[Step]] =current_step, current_Total_Loss,IF(Iterations[[#This Row],[Step]] &gt; current_step, "",Iterations[[#This Row],[Total Loss]]))</f>
        <v/>
      </c>
      <c r="M1132" s="6" t="s">
        <v>27</v>
      </c>
      <c r="N1132" s="2" t="str">
        <f>IF(Iterations[[#This Row],[Step]] =current_step, current_Grad_a,IF(Iterations[[#This Row],[Step]] &gt; current_step, "",Iterations[[#This Row],[Grad_a]]))</f>
        <v/>
      </c>
      <c r="O1132" s="2" t="str">
        <f>IF(Iterations[[#This Row],[Step]] =current_step, current_Grad_b,IF(Iterations[[#This Row],[Step]] &gt; current_step, "",Iterations[[#This Row],[Grad_b]]))</f>
        <v/>
      </c>
      <c r="P1132" s="2" t="str">
        <f>IF(Iterations[[#This Row],[Step]] =current_step, current_Grad_c,IF(Iterations[[#This Row],[Step]] &gt; current_step, "",Iterations[[#This Row],[Grad_c]]))</f>
        <v/>
      </c>
      <c r="Q1132" s="2" t="str">
        <f>IF(Iterations[[#This Row],[Step]] =current_step, current_Grad_d,IF(Iterations[[#This Row],[Step]] &gt; current_step, "",Iterations[[#This Row],[Grad_d]]))</f>
        <v/>
      </c>
      <c r="R1132" s="2" t="str">
        <f>IF(Iterations[[#This Row],[Step]] =current_step, current_Grad_e,IF(Iterations[[#This Row],[Step]] &gt; current_step, "",Iterations[[#This Row],[Grad_e]]))</f>
        <v/>
      </c>
    </row>
    <row r="1133" spans="6:18" x14ac:dyDescent="0.3">
      <c r="F1133" s="2">
        <f t="shared" si="22"/>
        <v>1116</v>
      </c>
      <c r="G1133" s="2" t="str">
        <f>IF(Iterations[[#This Row],[Step]] =current_step, current_a,IF(Iterations[[#This Row],[Step]] &gt; current_step, "",Iterations[[#This Row],[a]]))</f>
        <v/>
      </c>
      <c r="H1133" s="2" t="str">
        <f>IF(Iterations[[#This Row],[Step]] =current_step, current_b,IF(Iterations[[#This Row],[Step]] &gt; current_step, "",Iterations[[#This Row],[b]]))</f>
        <v/>
      </c>
      <c r="I1133" s="2" t="str">
        <f>IF(Iterations[[#This Row],[Step]] =current_step, current_c,IF(Iterations[[#This Row],[Step]] &gt; current_step, "",Iterations[[#This Row],[c]]))</f>
        <v/>
      </c>
      <c r="J1133" s="2" t="str">
        <f>IF(Iterations[[#This Row],[Step]] =current_step, current_d,IF(Iterations[[#This Row],[Step]] &gt; current_step, "",Iterations[[#This Row],[d]]))</f>
        <v/>
      </c>
      <c r="K1133" s="2" t="str">
        <f>IF(Iterations[[#This Row],[Step]] =current_step, current_e,IF(Iterations[[#This Row],[Step]] &gt; current_step, "",Iterations[[#This Row],[e]]))</f>
        <v/>
      </c>
      <c r="L1133" s="2" t="str">
        <f>IF(Iterations[[#This Row],[Step]] =current_step, current_Total_Loss,IF(Iterations[[#This Row],[Step]] &gt; current_step, "",Iterations[[#This Row],[Total Loss]]))</f>
        <v/>
      </c>
      <c r="M1133" s="6" t="s">
        <v>27</v>
      </c>
      <c r="N1133" s="2" t="str">
        <f>IF(Iterations[[#This Row],[Step]] =current_step, current_Grad_a,IF(Iterations[[#This Row],[Step]] &gt; current_step, "",Iterations[[#This Row],[Grad_a]]))</f>
        <v/>
      </c>
      <c r="O1133" s="2" t="str">
        <f>IF(Iterations[[#This Row],[Step]] =current_step, current_Grad_b,IF(Iterations[[#This Row],[Step]] &gt; current_step, "",Iterations[[#This Row],[Grad_b]]))</f>
        <v/>
      </c>
      <c r="P1133" s="2" t="str">
        <f>IF(Iterations[[#This Row],[Step]] =current_step, current_Grad_c,IF(Iterations[[#This Row],[Step]] &gt; current_step, "",Iterations[[#This Row],[Grad_c]]))</f>
        <v/>
      </c>
      <c r="Q1133" s="2" t="str">
        <f>IF(Iterations[[#This Row],[Step]] =current_step, current_Grad_d,IF(Iterations[[#This Row],[Step]] &gt; current_step, "",Iterations[[#This Row],[Grad_d]]))</f>
        <v/>
      </c>
      <c r="R1133" s="2" t="str">
        <f>IF(Iterations[[#This Row],[Step]] =current_step, current_Grad_e,IF(Iterations[[#This Row],[Step]] &gt; current_step, "",Iterations[[#This Row],[Grad_e]]))</f>
        <v/>
      </c>
    </row>
    <row r="1134" spans="6:18" x14ac:dyDescent="0.3">
      <c r="F1134" s="2">
        <f t="shared" si="22"/>
        <v>1117</v>
      </c>
      <c r="G1134" s="2" t="str">
        <f>IF(Iterations[[#This Row],[Step]] =current_step, current_a,IF(Iterations[[#This Row],[Step]] &gt; current_step, "",Iterations[[#This Row],[a]]))</f>
        <v/>
      </c>
      <c r="H1134" s="2" t="str">
        <f>IF(Iterations[[#This Row],[Step]] =current_step, current_b,IF(Iterations[[#This Row],[Step]] &gt; current_step, "",Iterations[[#This Row],[b]]))</f>
        <v/>
      </c>
      <c r="I1134" s="2" t="str">
        <f>IF(Iterations[[#This Row],[Step]] =current_step, current_c,IF(Iterations[[#This Row],[Step]] &gt; current_step, "",Iterations[[#This Row],[c]]))</f>
        <v/>
      </c>
      <c r="J1134" s="2" t="str">
        <f>IF(Iterations[[#This Row],[Step]] =current_step, current_d,IF(Iterations[[#This Row],[Step]] &gt; current_step, "",Iterations[[#This Row],[d]]))</f>
        <v/>
      </c>
      <c r="K1134" s="2" t="str">
        <f>IF(Iterations[[#This Row],[Step]] =current_step, current_e,IF(Iterations[[#This Row],[Step]] &gt; current_step, "",Iterations[[#This Row],[e]]))</f>
        <v/>
      </c>
      <c r="L1134" s="2" t="str">
        <f>IF(Iterations[[#This Row],[Step]] =current_step, current_Total_Loss,IF(Iterations[[#This Row],[Step]] &gt; current_step, "",Iterations[[#This Row],[Total Loss]]))</f>
        <v/>
      </c>
      <c r="M1134" s="6" t="s">
        <v>27</v>
      </c>
      <c r="N1134" s="2" t="str">
        <f>IF(Iterations[[#This Row],[Step]] =current_step, current_Grad_a,IF(Iterations[[#This Row],[Step]] &gt; current_step, "",Iterations[[#This Row],[Grad_a]]))</f>
        <v/>
      </c>
      <c r="O1134" s="2" t="str">
        <f>IF(Iterations[[#This Row],[Step]] =current_step, current_Grad_b,IF(Iterations[[#This Row],[Step]] &gt; current_step, "",Iterations[[#This Row],[Grad_b]]))</f>
        <v/>
      </c>
      <c r="P1134" s="2" t="str">
        <f>IF(Iterations[[#This Row],[Step]] =current_step, current_Grad_c,IF(Iterations[[#This Row],[Step]] &gt; current_step, "",Iterations[[#This Row],[Grad_c]]))</f>
        <v/>
      </c>
      <c r="Q1134" s="2" t="str">
        <f>IF(Iterations[[#This Row],[Step]] =current_step, current_Grad_d,IF(Iterations[[#This Row],[Step]] &gt; current_step, "",Iterations[[#This Row],[Grad_d]]))</f>
        <v/>
      </c>
      <c r="R1134" s="2" t="str">
        <f>IF(Iterations[[#This Row],[Step]] =current_step, current_Grad_e,IF(Iterations[[#This Row],[Step]] &gt; current_step, "",Iterations[[#This Row],[Grad_e]]))</f>
        <v/>
      </c>
    </row>
    <row r="1135" spans="6:18" x14ac:dyDescent="0.3">
      <c r="F1135" s="2">
        <f t="shared" si="22"/>
        <v>1118</v>
      </c>
      <c r="G1135" s="2" t="str">
        <f>IF(Iterations[[#This Row],[Step]] =current_step, current_a,IF(Iterations[[#This Row],[Step]] &gt; current_step, "",Iterations[[#This Row],[a]]))</f>
        <v/>
      </c>
      <c r="H1135" s="2" t="str">
        <f>IF(Iterations[[#This Row],[Step]] =current_step, current_b,IF(Iterations[[#This Row],[Step]] &gt; current_step, "",Iterations[[#This Row],[b]]))</f>
        <v/>
      </c>
      <c r="I1135" s="2" t="str">
        <f>IF(Iterations[[#This Row],[Step]] =current_step, current_c,IF(Iterations[[#This Row],[Step]] &gt; current_step, "",Iterations[[#This Row],[c]]))</f>
        <v/>
      </c>
      <c r="J1135" s="2" t="str">
        <f>IF(Iterations[[#This Row],[Step]] =current_step, current_d,IF(Iterations[[#This Row],[Step]] &gt; current_step, "",Iterations[[#This Row],[d]]))</f>
        <v/>
      </c>
      <c r="K1135" s="2" t="str">
        <f>IF(Iterations[[#This Row],[Step]] =current_step, current_e,IF(Iterations[[#This Row],[Step]] &gt; current_step, "",Iterations[[#This Row],[e]]))</f>
        <v/>
      </c>
      <c r="L1135" s="2" t="str">
        <f>IF(Iterations[[#This Row],[Step]] =current_step, current_Total_Loss,IF(Iterations[[#This Row],[Step]] &gt; current_step, "",Iterations[[#This Row],[Total Loss]]))</f>
        <v/>
      </c>
      <c r="M1135" s="6" t="s">
        <v>27</v>
      </c>
      <c r="N1135" s="2" t="str">
        <f>IF(Iterations[[#This Row],[Step]] =current_step, current_Grad_a,IF(Iterations[[#This Row],[Step]] &gt; current_step, "",Iterations[[#This Row],[Grad_a]]))</f>
        <v/>
      </c>
      <c r="O1135" s="2" t="str">
        <f>IF(Iterations[[#This Row],[Step]] =current_step, current_Grad_b,IF(Iterations[[#This Row],[Step]] &gt; current_step, "",Iterations[[#This Row],[Grad_b]]))</f>
        <v/>
      </c>
      <c r="P1135" s="2" t="str">
        <f>IF(Iterations[[#This Row],[Step]] =current_step, current_Grad_c,IF(Iterations[[#This Row],[Step]] &gt; current_step, "",Iterations[[#This Row],[Grad_c]]))</f>
        <v/>
      </c>
      <c r="Q1135" s="2" t="str">
        <f>IF(Iterations[[#This Row],[Step]] =current_step, current_Grad_d,IF(Iterations[[#This Row],[Step]] &gt; current_step, "",Iterations[[#This Row],[Grad_d]]))</f>
        <v/>
      </c>
      <c r="R1135" s="2" t="str">
        <f>IF(Iterations[[#This Row],[Step]] =current_step, current_Grad_e,IF(Iterations[[#This Row],[Step]] &gt; current_step, "",Iterations[[#This Row],[Grad_e]]))</f>
        <v/>
      </c>
    </row>
    <row r="1136" spans="6:18" x14ac:dyDescent="0.3">
      <c r="F1136" s="2">
        <f t="shared" si="22"/>
        <v>1119</v>
      </c>
      <c r="G1136" s="2" t="str">
        <f>IF(Iterations[[#This Row],[Step]] =current_step, current_a,IF(Iterations[[#This Row],[Step]] &gt; current_step, "",Iterations[[#This Row],[a]]))</f>
        <v/>
      </c>
      <c r="H1136" s="2" t="str">
        <f>IF(Iterations[[#This Row],[Step]] =current_step, current_b,IF(Iterations[[#This Row],[Step]] &gt; current_step, "",Iterations[[#This Row],[b]]))</f>
        <v/>
      </c>
      <c r="I1136" s="2" t="str">
        <f>IF(Iterations[[#This Row],[Step]] =current_step, current_c,IF(Iterations[[#This Row],[Step]] &gt; current_step, "",Iterations[[#This Row],[c]]))</f>
        <v/>
      </c>
      <c r="J1136" s="2" t="str">
        <f>IF(Iterations[[#This Row],[Step]] =current_step, current_d,IF(Iterations[[#This Row],[Step]] &gt; current_step, "",Iterations[[#This Row],[d]]))</f>
        <v/>
      </c>
      <c r="K1136" s="2" t="str">
        <f>IF(Iterations[[#This Row],[Step]] =current_step, current_e,IF(Iterations[[#This Row],[Step]] &gt; current_step, "",Iterations[[#This Row],[e]]))</f>
        <v/>
      </c>
      <c r="L1136" s="2" t="str">
        <f>IF(Iterations[[#This Row],[Step]] =current_step, current_Total_Loss,IF(Iterations[[#This Row],[Step]] &gt; current_step, "",Iterations[[#This Row],[Total Loss]]))</f>
        <v/>
      </c>
      <c r="M1136" s="6" t="s">
        <v>27</v>
      </c>
      <c r="N1136" s="2" t="str">
        <f>IF(Iterations[[#This Row],[Step]] =current_step, current_Grad_a,IF(Iterations[[#This Row],[Step]] &gt; current_step, "",Iterations[[#This Row],[Grad_a]]))</f>
        <v/>
      </c>
      <c r="O1136" s="2" t="str">
        <f>IF(Iterations[[#This Row],[Step]] =current_step, current_Grad_b,IF(Iterations[[#This Row],[Step]] &gt; current_step, "",Iterations[[#This Row],[Grad_b]]))</f>
        <v/>
      </c>
      <c r="P1136" s="2" t="str">
        <f>IF(Iterations[[#This Row],[Step]] =current_step, current_Grad_c,IF(Iterations[[#This Row],[Step]] &gt; current_step, "",Iterations[[#This Row],[Grad_c]]))</f>
        <v/>
      </c>
      <c r="Q1136" s="2" t="str">
        <f>IF(Iterations[[#This Row],[Step]] =current_step, current_Grad_d,IF(Iterations[[#This Row],[Step]] &gt; current_step, "",Iterations[[#This Row],[Grad_d]]))</f>
        <v/>
      </c>
      <c r="R1136" s="2" t="str">
        <f>IF(Iterations[[#This Row],[Step]] =current_step, current_Grad_e,IF(Iterations[[#This Row],[Step]] &gt; current_step, "",Iterations[[#This Row],[Grad_e]]))</f>
        <v/>
      </c>
    </row>
    <row r="1137" spans="6:18" x14ac:dyDescent="0.3">
      <c r="F1137" s="2">
        <f t="shared" si="22"/>
        <v>1120</v>
      </c>
      <c r="G1137" s="2" t="str">
        <f>IF(Iterations[[#This Row],[Step]] =current_step, current_a,IF(Iterations[[#This Row],[Step]] &gt; current_step, "",Iterations[[#This Row],[a]]))</f>
        <v/>
      </c>
      <c r="H1137" s="2" t="str">
        <f>IF(Iterations[[#This Row],[Step]] =current_step, current_b,IF(Iterations[[#This Row],[Step]] &gt; current_step, "",Iterations[[#This Row],[b]]))</f>
        <v/>
      </c>
      <c r="I1137" s="2" t="str">
        <f>IF(Iterations[[#This Row],[Step]] =current_step, current_c,IF(Iterations[[#This Row],[Step]] &gt; current_step, "",Iterations[[#This Row],[c]]))</f>
        <v/>
      </c>
      <c r="J1137" s="2" t="str">
        <f>IF(Iterations[[#This Row],[Step]] =current_step, current_d,IF(Iterations[[#This Row],[Step]] &gt; current_step, "",Iterations[[#This Row],[d]]))</f>
        <v/>
      </c>
      <c r="K1137" s="2" t="str">
        <f>IF(Iterations[[#This Row],[Step]] =current_step, current_e,IF(Iterations[[#This Row],[Step]] &gt; current_step, "",Iterations[[#This Row],[e]]))</f>
        <v/>
      </c>
      <c r="L1137" s="2" t="str">
        <f>IF(Iterations[[#This Row],[Step]] =current_step, current_Total_Loss,IF(Iterations[[#This Row],[Step]] &gt; current_step, "",Iterations[[#This Row],[Total Loss]]))</f>
        <v/>
      </c>
      <c r="M1137" s="6" t="s">
        <v>27</v>
      </c>
      <c r="N1137" s="2" t="str">
        <f>IF(Iterations[[#This Row],[Step]] =current_step, current_Grad_a,IF(Iterations[[#This Row],[Step]] &gt; current_step, "",Iterations[[#This Row],[Grad_a]]))</f>
        <v/>
      </c>
      <c r="O1137" s="2" t="str">
        <f>IF(Iterations[[#This Row],[Step]] =current_step, current_Grad_b,IF(Iterations[[#This Row],[Step]] &gt; current_step, "",Iterations[[#This Row],[Grad_b]]))</f>
        <v/>
      </c>
      <c r="P1137" s="2" t="str">
        <f>IF(Iterations[[#This Row],[Step]] =current_step, current_Grad_c,IF(Iterations[[#This Row],[Step]] &gt; current_step, "",Iterations[[#This Row],[Grad_c]]))</f>
        <v/>
      </c>
      <c r="Q1137" s="2" t="str">
        <f>IF(Iterations[[#This Row],[Step]] =current_step, current_Grad_d,IF(Iterations[[#This Row],[Step]] &gt; current_step, "",Iterations[[#This Row],[Grad_d]]))</f>
        <v/>
      </c>
      <c r="R1137" s="2" t="str">
        <f>IF(Iterations[[#This Row],[Step]] =current_step, current_Grad_e,IF(Iterations[[#This Row],[Step]] &gt; current_step, "",Iterations[[#This Row],[Grad_e]]))</f>
        <v/>
      </c>
    </row>
    <row r="1138" spans="6:18" x14ac:dyDescent="0.3">
      <c r="F1138" s="2">
        <f t="shared" si="22"/>
        <v>1121</v>
      </c>
      <c r="G1138" s="2" t="str">
        <f>IF(Iterations[[#This Row],[Step]] =current_step, current_a,IF(Iterations[[#This Row],[Step]] &gt; current_step, "",Iterations[[#This Row],[a]]))</f>
        <v/>
      </c>
      <c r="H1138" s="2" t="str">
        <f>IF(Iterations[[#This Row],[Step]] =current_step, current_b,IF(Iterations[[#This Row],[Step]] &gt; current_step, "",Iterations[[#This Row],[b]]))</f>
        <v/>
      </c>
      <c r="I1138" s="2" t="str">
        <f>IF(Iterations[[#This Row],[Step]] =current_step, current_c,IF(Iterations[[#This Row],[Step]] &gt; current_step, "",Iterations[[#This Row],[c]]))</f>
        <v/>
      </c>
      <c r="J1138" s="2" t="str">
        <f>IF(Iterations[[#This Row],[Step]] =current_step, current_d,IF(Iterations[[#This Row],[Step]] &gt; current_step, "",Iterations[[#This Row],[d]]))</f>
        <v/>
      </c>
      <c r="K1138" s="2" t="str">
        <f>IF(Iterations[[#This Row],[Step]] =current_step, current_e,IF(Iterations[[#This Row],[Step]] &gt; current_step, "",Iterations[[#This Row],[e]]))</f>
        <v/>
      </c>
      <c r="L1138" s="2" t="str">
        <f>IF(Iterations[[#This Row],[Step]] =current_step, current_Total_Loss,IF(Iterations[[#This Row],[Step]] &gt; current_step, "",Iterations[[#This Row],[Total Loss]]))</f>
        <v/>
      </c>
      <c r="M1138" s="6" t="s">
        <v>27</v>
      </c>
      <c r="N1138" s="2" t="str">
        <f>IF(Iterations[[#This Row],[Step]] =current_step, current_Grad_a,IF(Iterations[[#This Row],[Step]] &gt; current_step, "",Iterations[[#This Row],[Grad_a]]))</f>
        <v/>
      </c>
      <c r="O1138" s="2" t="str">
        <f>IF(Iterations[[#This Row],[Step]] =current_step, current_Grad_b,IF(Iterations[[#This Row],[Step]] &gt; current_step, "",Iterations[[#This Row],[Grad_b]]))</f>
        <v/>
      </c>
      <c r="P1138" s="2" t="str">
        <f>IF(Iterations[[#This Row],[Step]] =current_step, current_Grad_c,IF(Iterations[[#This Row],[Step]] &gt; current_step, "",Iterations[[#This Row],[Grad_c]]))</f>
        <v/>
      </c>
      <c r="Q1138" s="2" t="str">
        <f>IF(Iterations[[#This Row],[Step]] =current_step, current_Grad_d,IF(Iterations[[#This Row],[Step]] &gt; current_step, "",Iterations[[#This Row],[Grad_d]]))</f>
        <v/>
      </c>
      <c r="R1138" s="2" t="str">
        <f>IF(Iterations[[#This Row],[Step]] =current_step, current_Grad_e,IF(Iterations[[#This Row],[Step]] &gt; current_step, "",Iterations[[#This Row],[Grad_e]]))</f>
        <v/>
      </c>
    </row>
    <row r="1139" spans="6:18" x14ac:dyDescent="0.3">
      <c r="F1139" s="2">
        <f t="shared" si="22"/>
        <v>1122</v>
      </c>
      <c r="G1139" s="2" t="str">
        <f>IF(Iterations[[#This Row],[Step]] =current_step, current_a,IF(Iterations[[#This Row],[Step]] &gt; current_step, "",Iterations[[#This Row],[a]]))</f>
        <v/>
      </c>
      <c r="H1139" s="2" t="str">
        <f>IF(Iterations[[#This Row],[Step]] =current_step, current_b,IF(Iterations[[#This Row],[Step]] &gt; current_step, "",Iterations[[#This Row],[b]]))</f>
        <v/>
      </c>
      <c r="I1139" s="2" t="str">
        <f>IF(Iterations[[#This Row],[Step]] =current_step, current_c,IF(Iterations[[#This Row],[Step]] &gt; current_step, "",Iterations[[#This Row],[c]]))</f>
        <v/>
      </c>
      <c r="J1139" s="2" t="str">
        <f>IF(Iterations[[#This Row],[Step]] =current_step, current_d,IF(Iterations[[#This Row],[Step]] &gt; current_step, "",Iterations[[#This Row],[d]]))</f>
        <v/>
      </c>
      <c r="K1139" s="2" t="str">
        <f>IF(Iterations[[#This Row],[Step]] =current_step, current_e,IF(Iterations[[#This Row],[Step]] &gt; current_step, "",Iterations[[#This Row],[e]]))</f>
        <v/>
      </c>
      <c r="L1139" s="2" t="str">
        <f>IF(Iterations[[#This Row],[Step]] =current_step, current_Total_Loss,IF(Iterations[[#This Row],[Step]] &gt; current_step, "",Iterations[[#This Row],[Total Loss]]))</f>
        <v/>
      </c>
      <c r="M1139" s="6" t="s">
        <v>27</v>
      </c>
      <c r="N1139" s="2" t="str">
        <f>IF(Iterations[[#This Row],[Step]] =current_step, current_Grad_a,IF(Iterations[[#This Row],[Step]] &gt; current_step, "",Iterations[[#This Row],[Grad_a]]))</f>
        <v/>
      </c>
      <c r="O1139" s="2" t="str">
        <f>IF(Iterations[[#This Row],[Step]] =current_step, current_Grad_b,IF(Iterations[[#This Row],[Step]] &gt; current_step, "",Iterations[[#This Row],[Grad_b]]))</f>
        <v/>
      </c>
      <c r="P1139" s="2" t="str">
        <f>IF(Iterations[[#This Row],[Step]] =current_step, current_Grad_c,IF(Iterations[[#This Row],[Step]] &gt; current_step, "",Iterations[[#This Row],[Grad_c]]))</f>
        <v/>
      </c>
      <c r="Q1139" s="2" t="str">
        <f>IF(Iterations[[#This Row],[Step]] =current_step, current_Grad_d,IF(Iterations[[#This Row],[Step]] &gt; current_step, "",Iterations[[#This Row],[Grad_d]]))</f>
        <v/>
      </c>
      <c r="R1139" s="2" t="str">
        <f>IF(Iterations[[#This Row],[Step]] =current_step, current_Grad_e,IF(Iterations[[#This Row],[Step]] &gt; current_step, "",Iterations[[#This Row],[Grad_e]]))</f>
        <v/>
      </c>
    </row>
    <row r="1140" spans="6:18" x14ac:dyDescent="0.3">
      <c r="F1140" s="2">
        <f t="shared" si="22"/>
        <v>1123</v>
      </c>
      <c r="G1140" s="2" t="str">
        <f>IF(Iterations[[#This Row],[Step]] =current_step, current_a,IF(Iterations[[#This Row],[Step]] &gt; current_step, "",Iterations[[#This Row],[a]]))</f>
        <v/>
      </c>
      <c r="H1140" s="2" t="str">
        <f>IF(Iterations[[#This Row],[Step]] =current_step, current_b,IF(Iterations[[#This Row],[Step]] &gt; current_step, "",Iterations[[#This Row],[b]]))</f>
        <v/>
      </c>
      <c r="I1140" s="2" t="str">
        <f>IF(Iterations[[#This Row],[Step]] =current_step, current_c,IF(Iterations[[#This Row],[Step]] &gt; current_step, "",Iterations[[#This Row],[c]]))</f>
        <v/>
      </c>
      <c r="J1140" s="2" t="str">
        <f>IF(Iterations[[#This Row],[Step]] =current_step, current_d,IF(Iterations[[#This Row],[Step]] &gt; current_step, "",Iterations[[#This Row],[d]]))</f>
        <v/>
      </c>
      <c r="K1140" s="2" t="str">
        <f>IF(Iterations[[#This Row],[Step]] =current_step, current_e,IF(Iterations[[#This Row],[Step]] &gt; current_step, "",Iterations[[#This Row],[e]]))</f>
        <v/>
      </c>
      <c r="L1140" s="2" t="str">
        <f>IF(Iterations[[#This Row],[Step]] =current_step, current_Total_Loss,IF(Iterations[[#This Row],[Step]] &gt; current_step, "",Iterations[[#This Row],[Total Loss]]))</f>
        <v/>
      </c>
      <c r="M1140" s="6" t="s">
        <v>27</v>
      </c>
      <c r="N1140" s="2" t="str">
        <f>IF(Iterations[[#This Row],[Step]] =current_step, current_Grad_a,IF(Iterations[[#This Row],[Step]] &gt; current_step, "",Iterations[[#This Row],[Grad_a]]))</f>
        <v/>
      </c>
      <c r="O1140" s="2" t="str">
        <f>IF(Iterations[[#This Row],[Step]] =current_step, current_Grad_b,IF(Iterations[[#This Row],[Step]] &gt; current_step, "",Iterations[[#This Row],[Grad_b]]))</f>
        <v/>
      </c>
      <c r="P1140" s="2" t="str">
        <f>IF(Iterations[[#This Row],[Step]] =current_step, current_Grad_c,IF(Iterations[[#This Row],[Step]] &gt; current_step, "",Iterations[[#This Row],[Grad_c]]))</f>
        <v/>
      </c>
      <c r="Q1140" s="2" t="str">
        <f>IF(Iterations[[#This Row],[Step]] =current_step, current_Grad_d,IF(Iterations[[#This Row],[Step]] &gt; current_step, "",Iterations[[#This Row],[Grad_d]]))</f>
        <v/>
      </c>
      <c r="R1140" s="2" t="str">
        <f>IF(Iterations[[#This Row],[Step]] =current_step, current_Grad_e,IF(Iterations[[#This Row],[Step]] &gt; current_step, "",Iterations[[#This Row],[Grad_e]]))</f>
        <v/>
      </c>
    </row>
    <row r="1141" spans="6:18" x14ac:dyDescent="0.3">
      <c r="F1141" s="2">
        <f t="shared" si="22"/>
        <v>1124</v>
      </c>
      <c r="G1141" s="2" t="str">
        <f>IF(Iterations[[#This Row],[Step]] =current_step, current_a,IF(Iterations[[#This Row],[Step]] &gt; current_step, "",Iterations[[#This Row],[a]]))</f>
        <v/>
      </c>
      <c r="H1141" s="2" t="str">
        <f>IF(Iterations[[#This Row],[Step]] =current_step, current_b,IF(Iterations[[#This Row],[Step]] &gt; current_step, "",Iterations[[#This Row],[b]]))</f>
        <v/>
      </c>
      <c r="I1141" s="2" t="str">
        <f>IF(Iterations[[#This Row],[Step]] =current_step, current_c,IF(Iterations[[#This Row],[Step]] &gt; current_step, "",Iterations[[#This Row],[c]]))</f>
        <v/>
      </c>
      <c r="J1141" s="2" t="str">
        <f>IF(Iterations[[#This Row],[Step]] =current_step, current_d,IF(Iterations[[#This Row],[Step]] &gt; current_step, "",Iterations[[#This Row],[d]]))</f>
        <v/>
      </c>
      <c r="K1141" s="2" t="str">
        <f>IF(Iterations[[#This Row],[Step]] =current_step, current_e,IF(Iterations[[#This Row],[Step]] &gt; current_step, "",Iterations[[#This Row],[e]]))</f>
        <v/>
      </c>
      <c r="L1141" s="2" t="str">
        <f>IF(Iterations[[#This Row],[Step]] =current_step, current_Total_Loss,IF(Iterations[[#This Row],[Step]] &gt; current_step, "",Iterations[[#This Row],[Total Loss]]))</f>
        <v/>
      </c>
      <c r="M1141" s="6" t="s">
        <v>27</v>
      </c>
      <c r="N1141" s="2" t="str">
        <f>IF(Iterations[[#This Row],[Step]] =current_step, current_Grad_a,IF(Iterations[[#This Row],[Step]] &gt; current_step, "",Iterations[[#This Row],[Grad_a]]))</f>
        <v/>
      </c>
      <c r="O1141" s="2" t="str">
        <f>IF(Iterations[[#This Row],[Step]] =current_step, current_Grad_b,IF(Iterations[[#This Row],[Step]] &gt; current_step, "",Iterations[[#This Row],[Grad_b]]))</f>
        <v/>
      </c>
      <c r="P1141" s="2" t="str">
        <f>IF(Iterations[[#This Row],[Step]] =current_step, current_Grad_c,IF(Iterations[[#This Row],[Step]] &gt; current_step, "",Iterations[[#This Row],[Grad_c]]))</f>
        <v/>
      </c>
      <c r="Q1141" s="2" t="str">
        <f>IF(Iterations[[#This Row],[Step]] =current_step, current_Grad_d,IF(Iterations[[#This Row],[Step]] &gt; current_step, "",Iterations[[#This Row],[Grad_d]]))</f>
        <v/>
      </c>
      <c r="R1141" s="2" t="str">
        <f>IF(Iterations[[#This Row],[Step]] =current_step, current_Grad_e,IF(Iterations[[#This Row],[Step]] &gt; current_step, "",Iterations[[#This Row],[Grad_e]]))</f>
        <v/>
      </c>
    </row>
    <row r="1142" spans="6:18" x14ac:dyDescent="0.3">
      <c r="F1142" s="2">
        <f t="shared" si="22"/>
        <v>1125</v>
      </c>
      <c r="G1142" s="2" t="str">
        <f>IF(Iterations[[#This Row],[Step]] =current_step, current_a,IF(Iterations[[#This Row],[Step]] &gt; current_step, "",Iterations[[#This Row],[a]]))</f>
        <v/>
      </c>
      <c r="H1142" s="2" t="str">
        <f>IF(Iterations[[#This Row],[Step]] =current_step, current_b,IF(Iterations[[#This Row],[Step]] &gt; current_step, "",Iterations[[#This Row],[b]]))</f>
        <v/>
      </c>
      <c r="I1142" s="2" t="str">
        <f>IF(Iterations[[#This Row],[Step]] =current_step, current_c,IF(Iterations[[#This Row],[Step]] &gt; current_step, "",Iterations[[#This Row],[c]]))</f>
        <v/>
      </c>
      <c r="J1142" s="2" t="str">
        <f>IF(Iterations[[#This Row],[Step]] =current_step, current_d,IF(Iterations[[#This Row],[Step]] &gt; current_step, "",Iterations[[#This Row],[d]]))</f>
        <v/>
      </c>
      <c r="K1142" s="2" t="str">
        <f>IF(Iterations[[#This Row],[Step]] =current_step, current_e,IF(Iterations[[#This Row],[Step]] &gt; current_step, "",Iterations[[#This Row],[e]]))</f>
        <v/>
      </c>
      <c r="L1142" s="2" t="str">
        <f>IF(Iterations[[#This Row],[Step]] =current_step, current_Total_Loss,IF(Iterations[[#This Row],[Step]] &gt; current_step, "",Iterations[[#This Row],[Total Loss]]))</f>
        <v/>
      </c>
      <c r="M1142" s="6" t="s">
        <v>27</v>
      </c>
      <c r="N1142" s="2" t="str">
        <f>IF(Iterations[[#This Row],[Step]] =current_step, current_Grad_a,IF(Iterations[[#This Row],[Step]] &gt; current_step, "",Iterations[[#This Row],[Grad_a]]))</f>
        <v/>
      </c>
      <c r="O1142" s="2" t="str">
        <f>IF(Iterations[[#This Row],[Step]] =current_step, current_Grad_b,IF(Iterations[[#This Row],[Step]] &gt; current_step, "",Iterations[[#This Row],[Grad_b]]))</f>
        <v/>
      </c>
      <c r="P1142" s="2" t="str">
        <f>IF(Iterations[[#This Row],[Step]] =current_step, current_Grad_c,IF(Iterations[[#This Row],[Step]] &gt; current_step, "",Iterations[[#This Row],[Grad_c]]))</f>
        <v/>
      </c>
      <c r="Q1142" s="2" t="str">
        <f>IF(Iterations[[#This Row],[Step]] =current_step, current_Grad_d,IF(Iterations[[#This Row],[Step]] &gt; current_step, "",Iterations[[#This Row],[Grad_d]]))</f>
        <v/>
      </c>
      <c r="R1142" s="2" t="str">
        <f>IF(Iterations[[#This Row],[Step]] =current_step, current_Grad_e,IF(Iterations[[#This Row],[Step]] &gt; current_step, "",Iterations[[#This Row],[Grad_e]]))</f>
        <v/>
      </c>
    </row>
    <row r="1143" spans="6:18" x14ac:dyDescent="0.3">
      <c r="F1143" s="2">
        <f t="shared" si="22"/>
        <v>1126</v>
      </c>
      <c r="G1143" s="2" t="str">
        <f>IF(Iterations[[#This Row],[Step]] =current_step, current_a,IF(Iterations[[#This Row],[Step]] &gt; current_step, "",Iterations[[#This Row],[a]]))</f>
        <v/>
      </c>
      <c r="H1143" s="2" t="str">
        <f>IF(Iterations[[#This Row],[Step]] =current_step, current_b,IF(Iterations[[#This Row],[Step]] &gt; current_step, "",Iterations[[#This Row],[b]]))</f>
        <v/>
      </c>
      <c r="I1143" s="2" t="str">
        <f>IF(Iterations[[#This Row],[Step]] =current_step, current_c,IF(Iterations[[#This Row],[Step]] &gt; current_step, "",Iterations[[#This Row],[c]]))</f>
        <v/>
      </c>
      <c r="J1143" s="2" t="str">
        <f>IF(Iterations[[#This Row],[Step]] =current_step, current_d,IF(Iterations[[#This Row],[Step]] &gt; current_step, "",Iterations[[#This Row],[d]]))</f>
        <v/>
      </c>
      <c r="K1143" s="2" t="str">
        <f>IF(Iterations[[#This Row],[Step]] =current_step, current_e,IF(Iterations[[#This Row],[Step]] &gt; current_step, "",Iterations[[#This Row],[e]]))</f>
        <v/>
      </c>
      <c r="L1143" s="2" t="str">
        <f>IF(Iterations[[#This Row],[Step]] =current_step, current_Total_Loss,IF(Iterations[[#This Row],[Step]] &gt; current_step, "",Iterations[[#This Row],[Total Loss]]))</f>
        <v/>
      </c>
      <c r="M1143" s="6" t="s">
        <v>27</v>
      </c>
      <c r="N1143" s="2" t="str">
        <f>IF(Iterations[[#This Row],[Step]] =current_step, current_Grad_a,IF(Iterations[[#This Row],[Step]] &gt; current_step, "",Iterations[[#This Row],[Grad_a]]))</f>
        <v/>
      </c>
      <c r="O1143" s="2" t="str">
        <f>IF(Iterations[[#This Row],[Step]] =current_step, current_Grad_b,IF(Iterations[[#This Row],[Step]] &gt; current_step, "",Iterations[[#This Row],[Grad_b]]))</f>
        <v/>
      </c>
      <c r="P1143" s="2" t="str">
        <f>IF(Iterations[[#This Row],[Step]] =current_step, current_Grad_c,IF(Iterations[[#This Row],[Step]] &gt; current_step, "",Iterations[[#This Row],[Grad_c]]))</f>
        <v/>
      </c>
      <c r="Q1143" s="2" t="str">
        <f>IF(Iterations[[#This Row],[Step]] =current_step, current_Grad_d,IF(Iterations[[#This Row],[Step]] &gt; current_step, "",Iterations[[#This Row],[Grad_d]]))</f>
        <v/>
      </c>
      <c r="R1143" s="2" t="str">
        <f>IF(Iterations[[#This Row],[Step]] =current_step, current_Grad_e,IF(Iterations[[#This Row],[Step]] &gt; current_step, "",Iterations[[#This Row],[Grad_e]]))</f>
        <v/>
      </c>
    </row>
    <row r="1144" spans="6:18" x14ac:dyDescent="0.3">
      <c r="F1144" s="2">
        <f t="shared" ref="F1144:F1207" si="23">F1143+1</f>
        <v>1127</v>
      </c>
      <c r="G1144" s="2" t="str">
        <f>IF(Iterations[[#This Row],[Step]] =current_step, current_a,IF(Iterations[[#This Row],[Step]] &gt; current_step, "",Iterations[[#This Row],[a]]))</f>
        <v/>
      </c>
      <c r="H1144" s="2" t="str">
        <f>IF(Iterations[[#This Row],[Step]] =current_step, current_b,IF(Iterations[[#This Row],[Step]] &gt; current_step, "",Iterations[[#This Row],[b]]))</f>
        <v/>
      </c>
      <c r="I1144" s="2" t="str">
        <f>IF(Iterations[[#This Row],[Step]] =current_step, current_c,IF(Iterations[[#This Row],[Step]] &gt; current_step, "",Iterations[[#This Row],[c]]))</f>
        <v/>
      </c>
      <c r="J1144" s="2" t="str">
        <f>IF(Iterations[[#This Row],[Step]] =current_step, current_d,IF(Iterations[[#This Row],[Step]] &gt; current_step, "",Iterations[[#This Row],[d]]))</f>
        <v/>
      </c>
      <c r="K1144" s="2" t="str">
        <f>IF(Iterations[[#This Row],[Step]] =current_step, current_e,IF(Iterations[[#This Row],[Step]] &gt; current_step, "",Iterations[[#This Row],[e]]))</f>
        <v/>
      </c>
      <c r="L1144" s="2" t="str">
        <f>IF(Iterations[[#This Row],[Step]] =current_step, current_Total_Loss,IF(Iterations[[#This Row],[Step]] &gt; current_step, "",Iterations[[#This Row],[Total Loss]]))</f>
        <v/>
      </c>
      <c r="M1144" s="6" t="s">
        <v>27</v>
      </c>
      <c r="N1144" s="2" t="str">
        <f>IF(Iterations[[#This Row],[Step]] =current_step, current_Grad_a,IF(Iterations[[#This Row],[Step]] &gt; current_step, "",Iterations[[#This Row],[Grad_a]]))</f>
        <v/>
      </c>
      <c r="O1144" s="2" t="str">
        <f>IF(Iterations[[#This Row],[Step]] =current_step, current_Grad_b,IF(Iterations[[#This Row],[Step]] &gt; current_step, "",Iterations[[#This Row],[Grad_b]]))</f>
        <v/>
      </c>
      <c r="P1144" s="2" t="str">
        <f>IF(Iterations[[#This Row],[Step]] =current_step, current_Grad_c,IF(Iterations[[#This Row],[Step]] &gt; current_step, "",Iterations[[#This Row],[Grad_c]]))</f>
        <v/>
      </c>
      <c r="Q1144" s="2" t="str">
        <f>IF(Iterations[[#This Row],[Step]] =current_step, current_Grad_d,IF(Iterations[[#This Row],[Step]] &gt; current_step, "",Iterations[[#This Row],[Grad_d]]))</f>
        <v/>
      </c>
      <c r="R1144" s="2" t="str">
        <f>IF(Iterations[[#This Row],[Step]] =current_step, current_Grad_e,IF(Iterations[[#This Row],[Step]] &gt; current_step, "",Iterations[[#This Row],[Grad_e]]))</f>
        <v/>
      </c>
    </row>
    <row r="1145" spans="6:18" x14ac:dyDescent="0.3">
      <c r="F1145" s="2">
        <f t="shared" si="23"/>
        <v>1128</v>
      </c>
      <c r="G1145" s="2" t="str">
        <f>IF(Iterations[[#This Row],[Step]] =current_step, current_a,IF(Iterations[[#This Row],[Step]] &gt; current_step, "",Iterations[[#This Row],[a]]))</f>
        <v/>
      </c>
      <c r="H1145" s="2" t="str">
        <f>IF(Iterations[[#This Row],[Step]] =current_step, current_b,IF(Iterations[[#This Row],[Step]] &gt; current_step, "",Iterations[[#This Row],[b]]))</f>
        <v/>
      </c>
      <c r="I1145" s="2" t="str">
        <f>IF(Iterations[[#This Row],[Step]] =current_step, current_c,IF(Iterations[[#This Row],[Step]] &gt; current_step, "",Iterations[[#This Row],[c]]))</f>
        <v/>
      </c>
      <c r="J1145" s="2" t="str">
        <f>IF(Iterations[[#This Row],[Step]] =current_step, current_d,IF(Iterations[[#This Row],[Step]] &gt; current_step, "",Iterations[[#This Row],[d]]))</f>
        <v/>
      </c>
      <c r="K1145" s="2" t="str">
        <f>IF(Iterations[[#This Row],[Step]] =current_step, current_e,IF(Iterations[[#This Row],[Step]] &gt; current_step, "",Iterations[[#This Row],[e]]))</f>
        <v/>
      </c>
      <c r="L1145" s="2" t="str">
        <f>IF(Iterations[[#This Row],[Step]] =current_step, current_Total_Loss,IF(Iterations[[#This Row],[Step]] &gt; current_step, "",Iterations[[#This Row],[Total Loss]]))</f>
        <v/>
      </c>
      <c r="M1145" s="6" t="s">
        <v>27</v>
      </c>
      <c r="N1145" s="2" t="str">
        <f>IF(Iterations[[#This Row],[Step]] =current_step, current_Grad_a,IF(Iterations[[#This Row],[Step]] &gt; current_step, "",Iterations[[#This Row],[Grad_a]]))</f>
        <v/>
      </c>
      <c r="O1145" s="2" t="str">
        <f>IF(Iterations[[#This Row],[Step]] =current_step, current_Grad_b,IF(Iterations[[#This Row],[Step]] &gt; current_step, "",Iterations[[#This Row],[Grad_b]]))</f>
        <v/>
      </c>
      <c r="P1145" s="2" t="str">
        <f>IF(Iterations[[#This Row],[Step]] =current_step, current_Grad_c,IF(Iterations[[#This Row],[Step]] &gt; current_step, "",Iterations[[#This Row],[Grad_c]]))</f>
        <v/>
      </c>
      <c r="Q1145" s="2" t="str">
        <f>IF(Iterations[[#This Row],[Step]] =current_step, current_Grad_d,IF(Iterations[[#This Row],[Step]] &gt; current_step, "",Iterations[[#This Row],[Grad_d]]))</f>
        <v/>
      </c>
      <c r="R1145" s="2" t="str">
        <f>IF(Iterations[[#This Row],[Step]] =current_step, current_Grad_e,IF(Iterations[[#This Row],[Step]] &gt; current_step, "",Iterations[[#This Row],[Grad_e]]))</f>
        <v/>
      </c>
    </row>
    <row r="1146" spans="6:18" x14ac:dyDescent="0.3">
      <c r="F1146" s="2">
        <f t="shared" si="23"/>
        <v>1129</v>
      </c>
      <c r="G1146" s="2" t="str">
        <f>IF(Iterations[[#This Row],[Step]] =current_step, current_a,IF(Iterations[[#This Row],[Step]] &gt; current_step, "",Iterations[[#This Row],[a]]))</f>
        <v/>
      </c>
      <c r="H1146" s="2" t="str">
        <f>IF(Iterations[[#This Row],[Step]] =current_step, current_b,IF(Iterations[[#This Row],[Step]] &gt; current_step, "",Iterations[[#This Row],[b]]))</f>
        <v/>
      </c>
      <c r="I1146" s="2" t="str">
        <f>IF(Iterations[[#This Row],[Step]] =current_step, current_c,IF(Iterations[[#This Row],[Step]] &gt; current_step, "",Iterations[[#This Row],[c]]))</f>
        <v/>
      </c>
      <c r="J1146" s="2" t="str">
        <f>IF(Iterations[[#This Row],[Step]] =current_step, current_d,IF(Iterations[[#This Row],[Step]] &gt; current_step, "",Iterations[[#This Row],[d]]))</f>
        <v/>
      </c>
      <c r="K1146" s="2" t="str">
        <f>IF(Iterations[[#This Row],[Step]] =current_step, current_e,IF(Iterations[[#This Row],[Step]] &gt; current_step, "",Iterations[[#This Row],[e]]))</f>
        <v/>
      </c>
      <c r="L1146" s="2" t="str">
        <f>IF(Iterations[[#This Row],[Step]] =current_step, current_Total_Loss,IF(Iterations[[#This Row],[Step]] &gt; current_step, "",Iterations[[#This Row],[Total Loss]]))</f>
        <v/>
      </c>
      <c r="M1146" s="6" t="s">
        <v>27</v>
      </c>
      <c r="N1146" s="2" t="str">
        <f>IF(Iterations[[#This Row],[Step]] =current_step, current_Grad_a,IF(Iterations[[#This Row],[Step]] &gt; current_step, "",Iterations[[#This Row],[Grad_a]]))</f>
        <v/>
      </c>
      <c r="O1146" s="2" t="str">
        <f>IF(Iterations[[#This Row],[Step]] =current_step, current_Grad_b,IF(Iterations[[#This Row],[Step]] &gt; current_step, "",Iterations[[#This Row],[Grad_b]]))</f>
        <v/>
      </c>
      <c r="P1146" s="2" t="str">
        <f>IF(Iterations[[#This Row],[Step]] =current_step, current_Grad_c,IF(Iterations[[#This Row],[Step]] &gt; current_step, "",Iterations[[#This Row],[Grad_c]]))</f>
        <v/>
      </c>
      <c r="Q1146" s="2" t="str">
        <f>IF(Iterations[[#This Row],[Step]] =current_step, current_Grad_d,IF(Iterations[[#This Row],[Step]] &gt; current_step, "",Iterations[[#This Row],[Grad_d]]))</f>
        <v/>
      </c>
      <c r="R1146" s="2" t="str">
        <f>IF(Iterations[[#This Row],[Step]] =current_step, current_Grad_e,IF(Iterations[[#This Row],[Step]] &gt; current_step, "",Iterations[[#This Row],[Grad_e]]))</f>
        <v/>
      </c>
    </row>
    <row r="1147" spans="6:18" x14ac:dyDescent="0.3">
      <c r="F1147" s="2">
        <f t="shared" si="23"/>
        <v>1130</v>
      </c>
      <c r="G1147" s="2" t="str">
        <f>IF(Iterations[[#This Row],[Step]] =current_step, current_a,IF(Iterations[[#This Row],[Step]] &gt; current_step, "",Iterations[[#This Row],[a]]))</f>
        <v/>
      </c>
      <c r="H1147" s="2" t="str">
        <f>IF(Iterations[[#This Row],[Step]] =current_step, current_b,IF(Iterations[[#This Row],[Step]] &gt; current_step, "",Iterations[[#This Row],[b]]))</f>
        <v/>
      </c>
      <c r="I1147" s="2" t="str">
        <f>IF(Iterations[[#This Row],[Step]] =current_step, current_c,IF(Iterations[[#This Row],[Step]] &gt; current_step, "",Iterations[[#This Row],[c]]))</f>
        <v/>
      </c>
      <c r="J1147" s="2" t="str">
        <f>IF(Iterations[[#This Row],[Step]] =current_step, current_d,IF(Iterations[[#This Row],[Step]] &gt; current_step, "",Iterations[[#This Row],[d]]))</f>
        <v/>
      </c>
      <c r="K1147" s="2" t="str">
        <f>IF(Iterations[[#This Row],[Step]] =current_step, current_e,IF(Iterations[[#This Row],[Step]] &gt; current_step, "",Iterations[[#This Row],[e]]))</f>
        <v/>
      </c>
      <c r="L1147" s="2" t="str">
        <f>IF(Iterations[[#This Row],[Step]] =current_step, current_Total_Loss,IF(Iterations[[#This Row],[Step]] &gt; current_step, "",Iterations[[#This Row],[Total Loss]]))</f>
        <v/>
      </c>
      <c r="M1147" s="6" t="s">
        <v>27</v>
      </c>
      <c r="N1147" s="2" t="str">
        <f>IF(Iterations[[#This Row],[Step]] =current_step, current_Grad_a,IF(Iterations[[#This Row],[Step]] &gt; current_step, "",Iterations[[#This Row],[Grad_a]]))</f>
        <v/>
      </c>
      <c r="O1147" s="2" t="str">
        <f>IF(Iterations[[#This Row],[Step]] =current_step, current_Grad_b,IF(Iterations[[#This Row],[Step]] &gt; current_step, "",Iterations[[#This Row],[Grad_b]]))</f>
        <v/>
      </c>
      <c r="P1147" s="2" t="str">
        <f>IF(Iterations[[#This Row],[Step]] =current_step, current_Grad_c,IF(Iterations[[#This Row],[Step]] &gt; current_step, "",Iterations[[#This Row],[Grad_c]]))</f>
        <v/>
      </c>
      <c r="Q1147" s="2" t="str">
        <f>IF(Iterations[[#This Row],[Step]] =current_step, current_Grad_d,IF(Iterations[[#This Row],[Step]] &gt; current_step, "",Iterations[[#This Row],[Grad_d]]))</f>
        <v/>
      </c>
      <c r="R1147" s="2" t="str">
        <f>IF(Iterations[[#This Row],[Step]] =current_step, current_Grad_e,IF(Iterations[[#This Row],[Step]] &gt; current_step, "",Iterations[[#This Row],[Grad_e]]))</f>
        <v/>
      </c>
    </row>
    <row r="1148" spans="6:18" x14ac:dyDescent="0.3">
      <c r="F1148" s="2">
        <f t="shared" si="23"/>
        <v>1131</v>
      </c>
      <c r="G1148" s="2" t="str">
        <f>IF(Iterations[[#This Row],[Step]] =current_step, current_a,IF(Iterations[[#This Row],[Step]] &gt; current_step, "",Iterations[[#This Row],[a]]))</f>
        <v/>
      </c>
      <c r="H1148" s="2" t="str">
        <f>IF(Iterations[[#This Row],[Step]] =current_step, current_b,IF(Iterations[[#This Row],[Step]] &gt; current_step, "",Iterations[[#This Row],[b]]))</f>
        <v/>
      </c>
      <c r="I1148" s="2" t="str">
        <f>IF(Iterations[[#This Row],[Step]] =current_step, current_c,IF(Iterations[[#This Row],[Step]] &gt; current_step, "",Iterations[[#This Row],[c]]))</f>
        <v/>
      </c>
      <c r="J1148" s="2" t="str">
        <f>IF(Iterations[[#This Row],[Step]] =current_step, current_d,IF(Iterations[[#This Row],[Step]] &gt; current_step, "",Iterations[[#This Row],[d]]))</f>
        <v/>
      </c>
      <c r="K1148" s="2" t="str">
        <f>IF(Iterations[[#This Row],[Step]] =current_step, current_e,IF(Iterations[[#This Row],[Step]] &gt; current_step, "",Iterations[[#This Row],[e]]))</f>
        <v/>
      </c>
      <c r="L1148" s="2" t="str">
        <f>IF(Iterations[[#This Row],[Step]] =current_step, current_Total_Loss,IF(Iterations[[#This Row],[Step]] &gt; current_step, "",Iterations[[#This Row],[Total Loss]]))</f>
        <v/>
      </c>
      <c r="M1148" s="6" t="s">
        <v>27</v>
      </c>
      <c r="N1148" s="2" t="str">
        <f>IF(Iterations[[#This Row],[Step]] =current_step, current_Grad_a,IF(Iterations[[#This Row],[Step]] &gt; current_step, "",Iterations[[#This Row],[Grad_a]]))</f>
        <v/>
      </c>
      <c r="O1148" s="2" t="str">
        <f>IF(Iterations[[#This Row],[Step]] =current_step, current_Grad_b,IF(Iterations[[#This Row],[Step]] &gt; current_step, "",Iterations[[#This Row],[Grad_b]]))</f>
        <v/>
      </c>
      <c r="P1148" s="2" t="str">
        <f>IF(Iterations[[#This Row],[Step]] =current_step, current_Grad_c,IF(Iterations[[#This Row],[Step]] &gt; current_step, "",Iterations[[#This Row],[Grad_c]]))</f>
        <v/>
      </c>
      <c r="Q1148" s="2" t="str">
        <f>IF(Iterations[[#This Row],[Step]] =current_step, current_Grad_d,IF(Iterations[[#This Row],[Step]] &gt; current_step, "",Iterations[[#This Row],[Grad_d]]))</f>
        <v/>
      </c>
      <c r="R1148" s="2" t="str">
        <f>IF(Iterations[[#This Row],[Step]] =current_step, current_Grad_e,IF(Iterations[[#This Row],[Step]] &gt; current_step, "",Iterations[[#This Row],[Grad_e]]))</f>
        <v/>
      </c>
    </row>
    <row r="1149" spans="6:18" x14ac:dyDescent="0.3">
      <c r="F1149" s="2">
        <f t="shared" si="23"/>
        <v>1132</v>
      </c>
      <c r="G1149" s="2" t="str">
        <f>IF(Iterations[[#This Row],[Step]] =current_step, current_a,IF(Iterations[[#This Row],[Step]] &gt; current_step, "",Iterations[[#This Row],[a]]))</f>
        <v/>
      </c>
      <c r="H1149" s="2" t="str">
        <f>IF(Iterations[[#This Row],[Step]] =current_step, current_b,IF(Iterations[[#This Row],[Step]] &gt; current_step, "",Iterations[[#This Row],[b]]))</f>
        <v/>
      </c>
      <c r="I1149" s="2" t="str">
        <f>IF(Iterations[[#This Row],[Step]] =current_step, current_c,IF(Iterations[[#This Row],[Step]] &gt; current_step, "",Iterations[[#This Row],[c]]))</f>
        <v/>
      </c>
      <c r="J1149" s="2" t="str">
        <f>IF(Iterations[[#This Row],[Step]] =current_step, current_d,IF(Iterations[[#This Row],[Step]] &gt; current_step, "",Iterations[[#This Row],[d]]))</f>
        <v/>
      </c>
      <c r="K1149" s="2" t="str">
        <f>IF(Iterations[[#This Row],[Step]] =current_step, current_e,IF(Iterations[[#This Row],[Step]] &gt; current_step, "",Iterations[[#This Row],[e]]))</f>
        <v/>
      </c>
      <c r="L1149" s="2" t="str">
        <f>IF(Iterations[[#This Row],[Step]] =current_step, current_Total_Loss,IF(Iterations[[#This Row],[Step]] &gt; current_step, "",Iterations[[#This Row],[Total Loss]]))</f>
        <v/>
      </c>
      <c r="M1149" s="6" t="s">
        <v>27</v>
      </c>
      <c r="N1149" s="2" t="str">
        <f>IF(Iterations[[#This Row],[Step]] =current_step, current_Grad_a,IF(Iterations[[#This Row],[Step]] &gt; current_step, "",Iterations[[#This Row],[Grad_a]]))</f>
        <v/>
      </c>
      <c r="O1149" s="2" t="str">
        <f>IF(Iterations[[#This Row],[Step]] =current_step, current_Grad_b,IF(Iterations[[#This Row],[Step]] &gt; current_step, "",Iterations[[#This Row],[Grad_b]]))</f>
        <v/>
      </c>
      <c r="P1149" s="2" t="str">
        <f>IF(Iterations[[#This Row],[Step]] =current_step, current_Grad_c,IF(Iterations[[#This Row],[Step]] &gt; current_step, "",Iterations[[#This Row],[Grad_c]]))</f>
        <v/>
      </c>
      <c r="Q1149" s="2" t="str">
        <f>IF(Iterations[[#This Row],[Step]] =current_step, current_Grad_d,IF(Iterations[[#This Row],[Step]] &gt; current_step, "",Iterations[[#This Row],[Grad_d]]))</f>
        <v/>
      </c>
      <c r="R1149" s="2" t="str">
        <f>IF(Iterations[[#This Row],[Step]] =current_step, current_Grad_e,IF(Iterations[[#This Row],[Step]] &gt; current_step, "",Iterations[[#This Row],[Grad_e]]))</f>
        <v/>
      </c>
    </row>
    <row r="1150" spans="6:18" x14ac:dyDescent="0.3">
      <c r="F1150" s="2">
        <f t="shared" si="23"/>
        <v>1133</v>
      </c>
      <c r="G1150" s="2" t="str">
        <f>IF(Iterations[[#This Row],[Step]] =current_step, current_a,IF(Iterations[[#This Row],[Step]] &gt; current_step, "",Iterations[[#This Row],[a]]))</f>
        <v/>
      </c>
      <c r="H1150" s="2" t="str">
        <f>IF(Iterations[[#This Row],[Step]] =current_step, current_b,IF(Iterations[[#This Row],[Step]] &gt; current_step, "",Iterations[[#This Row],[b]]))</f>
        <v/>
      </c>
      <c r="I1150" s="2" t="str">
        <f>IF(Iterations[[#This Row],[Step]] =current_step, current_c,IF(Iterations[[#This Row],[Step]] &gt; current_step, "",Iterations[[#This Row],[c]]))</f>
        <v/>
      </c>
      <c r="J1150" s="2" t="str">
        <f>IF(Iterations[[#This Row],[Step]] =current_step, current_d,IF(Iterations[[#This Row],[Step]] &gt; current_step, "",Iterations[[#This Row],[d]]))</f>
        <v/>
      </c>
      <c r="K1150" s="2" t="str">
        <f>IF(Iterations[[#This Row],[Step]] =current_step, current_e,IF(Iterations[[#This Row],[Step]] &gt; current_step, "",Iterations[[#This Row],[e]]))</f>
        <v/>
      </c>
      <c r="L1150" s="2" t="str">
        <f>IF(Iterations[[#This Row],[Step]] =current_step, current_Total_Loss,IF(Iterations[[#This Row],[Step]] &gt; current_step, "",Iterations[[#This Row],[Total Loss]]))</f>
        <v/>
      </c>
      <c r="M1150" s="6" t="s">
        <v>27</v>
      </c>
      <c r="N1150" s="2" t="str">
        <f>IF(Iterations[[#This Row],[Step]] =current_step, current_Grad_a,IF(Iterations[[#This Row],[Step]] &gt; current_step, "",Iterations[[#This Row],[Grad_a]]))</f>
        <v/>
      </c>
      <c r="O1150" s="2" t="str">
        <f>IF(Iterations[[#This Row],[Step]] =current_step, current_Grad_b,IF(Iterations[[#This Row],[Step]] &gt; current_step, "",Iterations[[#This Row],[Grad_b]]))</f>
        <v/>
      </c>
      <c r="P1150" s="2" t="str">
        <f>IF(Iterations[[#This Row],[Step]] =current_step, current_Grad_c,IF(Iterations[[#This Row],[Step]] &gt; current_step, "",Iterations[[#This Row],[Grad_c]]))</f>
        <v/>
      </c>
      <c r="Q1150" s="2" t="str">
        <f>IF(Iterations[[#This Row],[Step]] =current_step, current_Grad_d,IF(Iterations[[#This Row],[Step]] &gt; current_step, "",Iterations[[#This Row],[Grad_d]]))</f>
        <v/>
      </c>
      <c r="R1150" s="2" t="str">
        <f>IF(Iterations[[#This Row],[Step]] =current_step, current_Grad_e,IF(Iterations[[#This Row],[Step]] &gt; current_step, "",Iterations[[#This Row],[Grad_e]]))</f>
        <v/>
      </c>
    </row>
    <row r="1151" spans="6:18" x14ac:dyDescent="0.3">
      <c r="F1151" s="2">
        <f t="shared" si="23"/>
        <v>1134</v>
      </c>
      <c r="G1151" s="2" t="str">
        <f>IF(Iterations[[#This Row],[Step]] =current_step, current_a,IF(Iterations[[#This Row],[Step]] &gt; current_step, "",Iterations[[#This Row],[a]]))</f>
        <v/>
      </c>
      <c r="H1151" s="2" t="str">
        <f>IF(Iterations[[#This Row],[Step]] =current_step, current_b,IF(Iterations[[#This Row],[Step]] &gt; current_step, "",Iterations[[#This Row],[b]]))</f>
        <v/>
      </c>
      <c r="I1151" s="2" t="str">
        <f>IF(Iterations[[#This Row],[Step]] =current_step, current_c,IF(Iterations[[#This Row],[Step]] &gt; current_step, "",Iterations[[#This Row],[c]]))</f>
        <v/>
      </c>
      <c r="J1151" s="2" t="str">
        <f>IF(Iterations[[#This Row],[Step]] =current_step, current_d,IF(Iterations[[#This Row],[Step]] &gt; current_step, "",Iterations[[#This Row],[d]]))</f>
        <v/>
      </c>
      <c r="K1151" s="2" t="str">
        <f>IF(Iterations[[#This Row],[Step]] =current_step, current_e,IF(Iterations[[#This Row],[Step]] &gt; current_step, "",Iterations[[#This Row],[e]]))</f>
        <v/>
      </c>
      <c r="L1151" s="2" t="str">
        <f>IF(Iterations[[#This Row],[Step]] =current_step, current_Total_Loss,IF(Iterations[[#This Row],[Step]] &gt; current_step, "",Iterations[[#This Row],[Total Loss]]))</f>
        <v/>
      </c>
      <c r="M1151" s="6" t="s">
        <v>27</v>
      </c>
      <c r="N1151" s="2" t="str">
        <f>IF(Iterations[[#This Row],[Step]] =current_step, current_Grad_a,IF(Iterations[[#This Row],[Step]] &gt; current_step, "",Iterations[[#This Row],[Grad_a]]))</f>
        <v/>
      </c>
      <c r="O1151" s="2" t="str">
        <f>IF(Iterations[[#This Row],[Step]] =current_step, current_Grad_b,IF(Iterations[[#This Row],[Step]] &gt; current_step, "",Iterations[[#This Row],[Grad_b]]))</f>
        <v/>
      </c>
      <c r="P1151" s="2" t="str">
        <f>IF(Iterations[[#This Row],[Step]] =current_step, current_Grad_c,IF(Iterations[[#This Row],[Step]] &gt; current_step, "",Iterations[[#This Row],[Grad_c]]))</f>
        <v/>
      </c>
      <c r="Q1151" s="2" t="str">
        <f>IF(Iterations[[#This Row],[Step]] =current_step, current_Grad_d,IF(Iterations[[#This Row],[Step]] &gt; current_step, "",Iterations[[#This Row],[Grad_d]]))</f>
        <v/>
      </c>
      <c r="R1151" s="2" t="str">
        <f>IF(Iterations[[#This Row],[Step]] =current_step, current_Grad_e,IF(Iterations[[#This Row],[Step]] &gt; current_step, "",Iterations[[#This Row],[Grad_e]]))</f>
        <v/>
      </c>
    </row>
    <row r="1152" spans="6:18" x14ac:dyDescent="0.3">
      <c r="F1152" s="2">
        <f t="shared" si="23"/>
        <v>1135</v>
      </c>
      <c r="G1152" s="2" t="str">
        <f>IF(Iterations[[#This Row],[Step]] =current_step, current_a,IF(Iterations[[#This Row],[Step]] &gt; current_step, "",Iterations[[#This Row],[a]]))</f>
        <v/>
      </c>
      <c r="H1152" s="2" t="str">
        <f>IF(Iterations[[#This Row],[Step]] =current_step, current_b,IF(Iterations[[#This Row],[Step]] &gt; current_step, "",Iterations[[#This Row],[b]]))</f>
        <v/>
      </c>
      <c r="I1152" s="2" t="str">
        <f>IF(Iterations[[#This Row],[Step]] =current_step, current_c,IF(Iterations[[#This Row],[Step]] &gt; current_step, "",Iterations[[#This Row],[c]]))</f>
        <v/>
      </c>
      <c r="J1152" s="2" t="str">
        <f>IF(Iterations[[#This Row],[Step]] =current_step, current_d,IF(Iterations[[#This Row],[Step]] &gt; current_step, "",Iterations[[#This Row],[d]]))</f>
        <v/>
      </c>
      <c r="K1152" s="2" t="str">
        <f>IF(Iterations[[#This Row],[Step]] =current_step, current_e,IF(Iterations[[#This Row],[Step]] &gt; current_step, "",Iterations[[#This Row],[e]]))</f>
        <v/>
      </c>
      <c r="L1152" s="2" t="str">
        <f>IF(Iterations[[#This Row],[Step]] =current_step, current_Total_Loss,IF(Iterations[[#This Row],[Step]] &gt; current_step, "",Iterations[[#This Row],[Total Loss]]))</f>
        <v/>
      </c>
      <c r="M1152" s="6" t="s">
        <v>27</v>
      </c>
      <c r="N1152" s="2" t="str">
        <f>IF(Iterations[[#This Row],[Step]] =current_step, current_Grad_a,IF(Iterations[[#This Row],[Step]] &gt; current_step, "",Iterations[[#This Row],[Grad_a]]))</f>
        <v/>
      </c>
      <c r="O1152" s="2" t="str">
        <f>IF(Iterations[[#This Row],[Step]] =current_step, current_Grad_b,IF(Iterations[[#This Row],[Step]] &gt; current_step, "",Iterations[[#This Row],[Grad_b]]))</f>
        <v/>
      </c>
      <c r="P1152" s="2" t="str">
        <f>IF(Iterations[[#This Row],[Step]] =current_step, current_Grad_c,IF(Iterations[[#This Row],[Step]] &gt; current_step, "",Iterations[[#This Row],[Grad_c]]))</f>
        <v/>
      </c>
      <c r="Q1152" s="2" t="str">
        <f>IF(Iterations[[#This Row],[Step]] =current_step, current_Grad_d,IF(Iterations[[#This Row],[Step]] &gt; current_step, "",Iterations[[#This Row],[Grad_d]]))</f>
        <v/>
      </c>
      <c r="R1152" s="2" t="str">
        <f>IF(Iterations[[#This Row],[Step]] =current_step, current_Grad_e,IF(Iterations[[#This Row],[Step]] &gt; current_step, "",Iterations[[#This Row],[Grad_e]]))</f>
        <v/>
      </c>
    </row>
    <row r="1153" spans="6:18" x14ac:dyDescent="0.3">
      <c r="F1153" s="2">
        <f t="shared" si="23"/>
        <v>1136</v>
      </c>
      <c r="G1153" s="2" t="str">
        <f>IF(Iterations[[#This Row],[Step]] =current_step, current_a,IF(Iterations[[#This Row],[Step]] &gt; current_step, "",Iterations[[#This Row],[a]]))</f>
        <v/>
      </c>
      <c r="H1153" s="2" t="str">
        <f>IF(Iterations[[#This Row],[Step]] =current_step, current_b,IF(Iterations[[#This Row],[Step]] &gt; current_step, "",Iterations[[#This Row],[b]]))</f>
        <v/>
      </c>
      <c r="I1153" s="2" t="str">
        <f>IF(Iterations[[#This Row],[Step]] =current_step, current_c,IF(Iterations[[#This Row],[Step]] &gt; current_step, "",Iterations[[#This Row],[c]]))</f>
        <v/>
      </c>
      <c r="J1153" s="2" t="str">
        <f>IF(Iterations[[#This Row],[Step]] =current_step, current_d,IF(Iterations[[#This Row],[Step]] &gt; current_step, "",Iterations[[#This Row],[d]]))</f>
        <v/>
      </c>
      <c r="K1153" s="2" t="str">
        <f>IF(Iterations[[#This Row],[Step]] =current_step, current_e,IF(Iterations[[#This Row],[Step]] &gt; current_step, "",Iterations[[#This Row],[e]]))</f>
        <v/>
      </c>
      <c r="L1153" s="2" t="str">
        <f>IF(Iterations[[#This Row],[Step]] =current_step, current_Total_Loss,IF(Iterations[[#This Row],[Step]] &gt; current_step, "",Iterations[[#This Row],[Total Loss]]))</f>
        <v/>
      </c>
      <c r="M1153" s="6" t="s">
        <v>27</v>
      </c>
      <c r="N1153" s="2" t="str">
        <f>IF(Iterations[[#This Row],[Step]] =current_step, current_Grad_a,IF(Iterations[[#This Row],[Step]] &gt; current_step, "",Iterations[[#This Row],[Grad_a]]))</f>
        <v/>
      </c>
      <c r="O1153" s="2" t="str">
        <f>IF(Iterations[[#This Row],[Step]] =current_step, current_Grad_b,IF(Iterations[[#This Row],[Step]] &gt; current_step, "",Iterations[[#This Row],[Grad_b]]))</f>
        <v/>
      </c>
      <c r="P1153" s="2" t="str">
        <f>IF(Iterations[[#This Row],[Step]] =current_step, current_Grad_c,IF(Iterations[[#This Row],[Step]] &gt; current_step, "",Iterations[[#This Row],[Grad_c]]))</f>
        <v/>
      </c>
      <c r="Q1153" s="2" t="str">
        <f>IF(Iterations[[#This Row],[Step]] =current_step, current_Grad_d,IF(Iterations[[#This Row],[Step]] &gt; current_step, "",Iterations[[#This Row],[Grad_d]]))</f>
        <v/>
      </c>
      <c r="R1153" s="2" t="str">
        <f>IF(Iterations[[#This Row],[Step]] =current_step, current_Grad_e,IF(Iterations[[#This Row],[Step]] &gt; current_step, "",Iterations[[#This Row],[Grad_e]]))</f>
        <v/>
      </c>
    </row>
    <row r="1154" spans="6:18" x14ac:dyDescent="0.3">
      <c r="F1154" s="2">
        <f t="shared" si="23"/>
        <v>1137</v>
      </c>
      <c r="G1154" s="2" t="str">
        <f>IF(Iterations[[#This Row],[Step]] =current_step, current_a,IF(Iterations[[#This Row],[Step]] &gt; current_step, "",Iterations[[#This Row],[a]]))</f>
        <v/>
      </c>
      <c r="H1154" s="2" t="str">
        <f>IF(Iterations[[#This Row],[Step]] =current_step, current_b,IF(Iterations[[#This Row],[Step]] &gt; current_step, "",Iterations[[#This Row],[b]]))</f>
        <v/>
      </c>
      <c r="I1154" s="2" t="str">
        <f>IF(Iterations[[#This Row],[Step]] =current_step, current_c,IF(Iterations[[#This Row],[Step]] &gt; current_step, "",Iterations[[#This Row],[c]]))</f>
        <v/>
      </c>
      <c r="J1154" s="2" t="str">
        <f>IF(Iterations[[#This Row],[Step]] =current_step, current_d,IF(Iterations[[#This Row],[Step]] &gt; current_step, "",Iterations[[#This Row],[d]]))</f>
        <v/>
      </c>
      <c r="K1154" s="2" t="str">
        <f>IF(Iterations[[#This Row],[Step]] =current_step, current_e,IF(Iterations[[#This Row],[Step]] &gt; current_step, "",Iterations[[#This Row],[e]]))</f>
        <v/>
      </c>
      <c r="L1154" s="2" t="str">
        <f>IF(Iterations[[#This Row],[Step]] =current_step, current_Total_Loss,IF(Iterations[[#This Row],[Step]] &gt; current_step, "",Iterations[[#This Row],[Total Loss]]))</f>
        <v/>
      </c>
      <c r="M1154" s="6" t="s">
        <v>27</v>
      </c>
      <c r="N1154" s="2" t="str">
        <f>IF(Iterations[[#This Row],[Step]] =current_step, current_Grad_a,IF(Iterations[[#This Row],[Step]] &gt; current_step, "",Iterations[[#This Row],[Grad_a]]))</f>
        <v/>
      </c>
      <c r="O1154" s="2" t="str">
        <f>IF(Iterations[[#This Row],[Step]] =current_step, current_Grad_b,IF(Iterations[[#This Row],[Step]] &gt; current_step, "",Iterations[[#This Row],[Grad_b]]))</f>
        <v/>
      </c>
      <c r="P1154" s="2" t="str">
        <f>IF(Iterations[[#This Row],[Step]] =current_step, current_Grad_c,IF(Iterations[[#This Row],[Step]] &gt; current_step, "",Iterations[[#This Row],[Grad_c]]))</f>
        <v/>
      </c>
      <c r="Q1154" s="2" t="str">
        <f>IF(Iterations[[#This Row],[Step]] =current_step, current_Grad_d,IF(Iterations[[#This Row],[Step]] &gt; current_step, "",Iterations[[#This Row],[Grad_d]]))</f>
        <v/>
      </c>
      <c r="R1154" s="2" t="str">
        <f>IF(Iterations[[#This Row],[Step]] =current_step, current_Grad_e,IF(Iterations[[#This Row],[Step]] &gt; current_step, "",Iterations[[#This Row],[Grad_e]]))</f>
        <v/>
      </c>
    </row>
    <row r="1155" spans="6:18" x14ac:dyDescent="0.3">
      <c r="F1155" s="2">
        <f t="shared" si="23"/>
        <v>1138</v>
      </c>
      <c r="G1155" s="2" t="str">
        <f>IF(Iterations[[#This Row],[Step]] =current_step, current_a,IF(Iterations[[#This Row],[Step]] &gt; current_step, "",Iterations[[#This Row],[a]]))</f>
        <v/>
      </c>
      <c r="H1155" s="2" t="str">
        <f>IF(Iterations[[#This Row],[Step]] =current_step, current_b,IF(Iterations[[#This Row],[Step]] &gt; current_step, "",Iterations[[#This Row],[b]]))</f>
        <v/>
      </c>
      <c r="I1155" s="2" t="str">
        <f>IF(Iterations[[#This Row],[Step]] =current_step, current_c,IF(Iterations[[#This Row],[Step]] &gt; current_step, "",Iterations[[#This Row],[c]]))</f>
        <v/>
      </c>
      <c r="J1155" s="2" t="str">
        <f>IF(Iterations[[#This Row],[Step]] =current_step, current_d,IF(Iterations[[#This Row],[Step]] &gt; current_step, "",Iterations[[#This Row],[d]]))</f>
        <v/>
      </c>
      <c r="K1155" s="2" t="str">
        <f>IF(Iterations[[#This Row],[Step]] =current_step, current_e,IF(Iterations[[#This Row],[Step]] &gt; current_step, "",Iterations[[#This Row],[e]]))</f>
        <v/>
      </c>
      <c r="L1155" s="2" t="str">
        <f>IF(Iterations[[#This Row],[Step]] =current_step, current_Total_Loss,IF(Iterations[[#This Row],[Step]] &gt; current_step, "",Iterations[[#This Row],[Total Loss]]))</f>
        <v/>
      </c>
      <c r="M1155" s="6" t="s">
        <v>27</v>
      </c>
      <c r="N1155" s="2" t="str">
        <f>IF(Iterations[[#This Row],[Step]] =current_step, current_Grad_a,IF(Iterations[[#This Row],[Step]] &gt; current_step, "",Iterations[[#This Row],[Grad_a]]))</f>
        <v/>
      </c>
      <c r="O1155" s="2" t="str">
        <f>IF(Iterations[[#This Row],[Step]] =current_step, current_Grad_b,IF(Iterations[[#This Row],[Step]] &gt; current_step, "",Iterations[[#This Row],[Grad_b]]))</f>
        <v/>
      </c>
      <c r="P1155" s="2" t="str">
        <f>IF(Iterations[[#This Row],[Step]] =current_step, current_Grad_c,IF(Iterations[[#This Row],[Step]] &gt; current_step, "",Iterations[[#This Row],[Grad_c]]))</f>
        <v/>
      </c>
      <c r="Q1155" s="2" t="str">
        <f>IF(Iterations[[#This Row],[Step]] =current_step, current_Grad_d,IF(Iterations[[#This Row],[Step]] &gt; current_step, "",Iterations[[#This Row],[Grad_d]]))</f>
        <v/>
      </c>
      <c r="R1155" s="2" t="str">
        <f>IF(Iterations[[#This Row],[Step]] =current_step, current_Grad_e,IF(Iterations[[#This Row],[Step]] &gt; current_step, "",Iterations[[#This Row],[Grad_e]]))</f>
        <v/>
      </c>
    </row>
    <row r="1156" spans="6:18" x14ac:dyDescent="0.3">
      <c r="F1156" s="2">
        <f t="shared" si="23"/>
        <v>1139</v>
      </c>
      <c r="G1156" s="2" t="str">
        <f>IF(Iterations[[#This Row],[Step]] =current_step, current_a,IF(Iterations[[#This Row],[Step]] &gt; current_step, "",Iterations[[#This Row],[a]]))</f>
        <v/>
      </c>
      <c r="H1156" s="2" t="str">
        <f>IF(Iterations[[#This Row],[Step]] =current_step, current_b,IF(Iterations[[#This Row],[Step]] &gt; current_step, "",Iterations[[#This Row],[b]]))</f>
        <v/>
      </c>
      <c r="I1156" s="2" t="str">
        <f>IF(Iterations[[#This Row],[Step]] =current_step, current_c,IF(Iterations[[#This Row],[Step]] &gt; current_step, "",Iterations[[#This Row],[c]]))</f>
        <v/>
      </c>
      <c r="J1156" s="2" t="str">
        <f>IF(Iterations[[#This Row],[Step]] =current_step, current_d,IF(Iterations[[#This Row],[Step]] &gt; current_step, "",Iterations[[#This Row],[d]]))</f>
        <v/>
      </c>
      <c r="K1156" s="2" t="str">
        <f>IF(Iterations[[#This Row],[Step]] =current_step, current_e,IF(Iterations[[#This Row],[Step]] &gt; current_step, "",Iterations[[#This Row],[e]]))</f>
        <v/>
      </c>
      <c r="L1156" s="2" t="str">
        <f>IF(Iterations[[#This Row],[Step]] =current_step, current_Total_Loss,IF(Iterations[[#This Row],[Step]] &gt; current_step, "",Iterations[[#This Row],[Total Loss]]))</f>
        <v/>
      </c>
      <c r="M1156" s="6" t="s">
        <v>27</v>
      </c>
      <c r="N1156" s="2" t="str">
        <f>IF(Iterations[[#This Row],[Step]] =current_step, current_Grad_a,IF(Iterations[[#This Row],[Step]] &gt; current_step, "",Iterations[[#This Row],[Grad_a]]))</f>
        <v/>
      </c>
      <c r="O1156" s="2" t="str">
        <f>IF(Iterations[[#This Row],[Step]] =current_step, current_Grad_b,IF(Iterations[[#This Row],[Step]] &gt; current_step, "",Iterations[[#This Row],[Grad_b]]))</f>
        <v/>
      </c>
      <c r="P1156" s="2" t="str">
        <f>IF(Iterations[[#This Row],[Step]] =current_step, current_Grad_c,IF(Iterations[[#This Row],[Step]] &gt; current_step, "",Iterations[[#This Row],[Grad_c]]))</f>
        <v/>
      </c>
      <c r="Q1156" s="2" t="str">
        <f>IF(Iterations[[#This Row],[Step]] =current_step, current_Grad_d,IF(Iterations[[#This Row],[Step]] &gt; current_step, "",Iterations[[#This Row],[Grad_d]]))</f>
        <v/>
      </c>
      <c r="R1156" s="2" t="str">
        <f>IF(Iterations[[#This Row],[Step]] =current_step, current_Grad_e,IF(Iterations[[#This Row],[Step]] &gt; current_step, "",Iterations[[#This Row],[Grad_e]]))</f>
        <v/>
      </c>
    </row>
    <row r="1157" spans="6:18" x14ac:dyDescent="0.3">
      <c r="F1157" s="2">
        <f t="shared" si="23"/>
        <v>1140</v>
      </c>
      <c r="G1157" s="2" t="str">
        <f>IF(Iterations[[#This Row],[Step]] =current_step, current_a,IF(Iterations[[#This Row],[Step]] &gt; current_step, "",Iterations[[#This Row],[a]]))</f>
        <v/>
      </c>
      <c r="H1157" s="2" t="str">
        <f>IF(Iterations[[#This Row],[Step]] =current_step, current_b,IF(Iterations[[#This Row],[Step]] &gt; current_step, "",Iterations[[#This Row],[b]]))</f>
        <v/>
      </c>
      <c r="I1157" s="2" t="str">
        <f>IF(Iterations[[#This Row],[Step]] =current_step, current_c,IF(Iterations[[#This Row],[Step]] &gt; current_step, "",Iterations[[#This Row],[c]]))</f>
        <v/>
      </c>
      <c r="J1157" s="2" t="str">
        <f>IF(Iterations[[#This Row],[Step]] =current_step, current_d,IF(Iterations[[#This Row],[Step]] &gt; current_step, "",Iterations[[#This Row],[d]]))</f>
        <v/>
      </c>
      <c r="K1157" s="2" t="str">
        <f>IF(Iterations[[#This Row],[Step]] =current_step, current_e,IF(Iterations[[#This Row],[Step]] &gt; current_step, "",Iterations[[#This Row],[e]]))</f>
        <v/>
      </c>
      <c r="L1157" s="2" t="str">
        <f>IF(Iterations[[#This Row],[Step]] =current_step, current_Total_Loss,IF(Iterations[[#This Row],[Step]] &gt; current_step, "",Iterations[[#This Row],[Total Loss]]))</f>
        <v/>
      </c>
      <c r="M1157" s="6" t="s">
        <v>27</v>
      </c>
      <c r="N1157" s="2" t="str">
        <f>IF(Iterations[[#This Row],[Step]] =current_step, current_Grad_a,IF(Iterations[[#This Row],[Step]] &gt; current_step, "",Iterations[[#This Row],[Grad_a]]))</f>
        <v/>
      </c>
      <c r="O1157" s="2" t="str">
        <f>IF(Iterations[[#This Row],[Step]] =current_step, current_Grad_b,IF(Iterations[[#This Row],[Step]] &gt; current_step, "",Iterations[[#This Row],[Grad_b]]))</f>
        <v/>
      </c>
      <c r="P1157" s="2" t="str">
        <f>IF(Iterations[[#This Row],[Step]] =current_step, current_Grad_c,IF(Iterations[[#This Row],[Step]] &gt; current_step, "",Iterations[[#This Row],[Grad_c]]))</f>
        <v/>
      </c>
      <c r="Q1157" s="2" t="str">
        <f>IF(Iterations[[#This Row],[Step]] =current_step, current_Grad_d,IF(Iterations[[#This Row],[Step]] &gt; current_step, "",Iterations[[#This Row],[Grad_d]]))</f>
        <v/>
      </c>
      <c r="R1157" s="2" t="str">
        <f>IF(Iterations[[#This Row],[Step]] =current_step, current_Grad_e,IF(Iterations[[#This Row],[Step]] &gt; current_step, "",Iterations[[#This Row],[Grad_e]]))</f>
        <v/>
      </c>
    </row>
    <row r="1158" spans="6:18" x14ac:dyDescent="0.3">
      <c r="F1158" s="2">
        <f t="shared" si="23"/>
        <v>1141</v>
      </c>
      <c r="G1158" s="2" t="str">
        <f>IF(Iterations[[#This Row],[Step]] =current_step, current_a,IF(Iterations[[#This Row],[Step]] &gt; current_step, "",Iterations[[#This Row],[a]]))</f>
        <v/>
      </c>
      <c r="H1158" s="2" t="str">
        <f>IF(Iterations[[#This Row],[Step]] =current_step, current_b,IF(Iterations[[#This Row],[Step]] &gt; current_step, "",Iterations[[#This Row],[b]]))</f>
        <v/>
      </c>
      <c r="I1158" s="2" t="str">
        <f>IF(Iterations[[#This Row],[Step]] =current_step, current_c,IF(Iterations[[#This Row],[Step]] &gt; current_step, "",Iterations[[#This Row],[c]]))</f>
        <v/>
      </c>
      <c r="J1158" s="2" t="str">
        <f>IF(Iterations[[#This Row],[Step]] =current_step, current_d,IF(Iterations[[#This Row],[Step]] &gt; current_step, "",Iterations[[#This Row],[d]]))</f>
        <v/>
      </c>
      <c r="K1158" s="2" t="str">
        <f>IF(Iterations[[#This Row],[Step]] =current_step, current_e,IF(Iterations[[#This Row],[Step]] &gt; current_step, "",Iterations[[#This Row],[e]]))</f>
        <v/>
      </c>
      <c r="L1158" s="2" t="str">
        <f>IF(Iterations[[#This Row],[Step]] =current_step, current_Total_Loss,IF(Iterations[[#This Row],[Step]] &gt; current_step, "",Iterations[[#This Row],[Total Loss]]))</f>
        <v/>
      </c>
      <c r="M1158" s="6" t="s">
        <v>27</v>
      </c>
      <c r="N1158" s="2" t="str">
        <f>IF(Iterations[[#This Row],[Step]] =current_step, current_Grad_a,IF(Iterations[[#This Row],[Step]] &gt; current_step, "",Iterations[[#This Row],[Grad_a]]))</f>
        <v/>
      </c>
      <c r="O1158" s="2" t="str">
        <f>IF(Iterations[[#This Row],[Step]] =current_step, current_Grad_b,IF(Iterations[[#This Row],[Step]] &gt; current_step, "",Iterations[[#This Row],[Grad_b]]))</f>
        <v/>
      </c>
      <c r="P1158" s="2" t="str">
        <f>IF(Iterations[[#This Row],[Step]] =current_step, current_Grad_c,IF(Iterations[[#This Row],[Step]] &gt; current_step, "",Iterations[[#This Row],[Grad_c]]))</f>
        <v/>
      </c>
      <c r="Q1158" s="2" t="str">
        <f>IF(Iterations[[#This Row],[Step]] =current_step, current_Grad_d,IF(Iterations[[#This Row],[Step]] &gt; current_step, "",Iterations[[#This Row],[Grad_d]]))</f>
        <v/>
      </c>
      <c r="R1158" s="2" t="str">
        <f>IF(Iterations[[#This Row],[Step]] =current_step, current_Grad_e,IF(Iterations[[#This Row],[Step]] &gt; current_step, "",Iterations[[#This Row],[Grad_e]]))</f>
        <v/>
      </c>
    </row>
    <row r="1159" spans="6:18" x14ac:dyDescent="0.3">
      <c r="F1159" s="2">
        <f t="shared" si="23"/>
        <v>1142</v>
      </c>
      <c r="G1159" s="2" t="str">
        <f>IF(Iterations[[#This Row],[Step]] =current_step, current_a,IF(Iterations[[#This Row],[Step]] &gt; current_step, "",Iterations[[#This Row],[a]]))</f>
        <v/>
      </c>
      <c r="H1159" s="2" t="str">
        <f>IF(Iterations[[#This Row],[Step]] =current_step, current_b,IF(Iterations[[#This Row],[Step]] &gt; current_step, "",Iterations[[#This Row],[b]]))</f>
        <v/>
      </c>
      <c r="I1159" s="2" t="str">
        <f>IF(Iterations[[#This Row],[Step]] =current_step, current_c,IF(Iterations[[#This Row],[Step]] &gt; current_step, "",Iterations[[#This Row],[c]]))</f>
        <v/>
      </c>
      <c r="J1159" s="2" t="str">
        <f>IF(Iterations[[#This Row],[Step]] =current_step, current_d,IF(Iterations[[#This Row],[Step]] &gt; current_step, "",Iterations[[#This Row],[d]]))</f>
        <v/>
      </c>
      <c r="K1159" s="2" t="str">
        <f>IF(Iterations[[#This Row],[Step]] =current_step, current_e,IF(Iterations[[#This Row],[Step]] &gt; current_step, "",Iterations[[#This Row],[e]]))</f>
        <v/>
      </c>
      <c r="L1159" s="2" t="str">
        <f>IF(Iterations[[#This Row],[Step]] =current_step, current_Total_Loss,IF(Iterations[[#This Row],[Step]] &gt; current_step, "",Iterations[[#This Row],[Total Loss]]))</f>
        <v/>
      </c>
      <c r="M1159" s="6" t="s">
        <v>27</v>
      </c>
      <c r="N1159" s="2" t="str">
        <f>IF(Iterations[[#This Row],[Step]] =current_step, current_Grad_a,IF(Iterations[[#This Row],[Step]] &gt; current_step, "",Iterations[[#This Row],[Grad_a]]))</f>
        <v/>
      </c>
      <c r="O1159" s="2" t="str">
        <f>IF(Iterations[[#This Row],[Step]] =current_step, current_Grad_b,IF(Iterations[[#This Row],[Step]] &gt; current_step, "",Iterations[[#This Row],[Grad_b]]))</f>
        <v/>
      </c>
      <c r="P1159" s="2" t="str">
        <f>IF(Iterations[[#This Row],[Step]] =current_step, current_Grad_c,IF(Iterations[[#This Row],[Step]] &gt; current_step, "",Iterations[[#This Row],[Grad_c]]))</f>
        <v/>
      </c>
      <c r="Q1159" s="2" t="str">
        <f>IF(Iterations[[#This Row],[Step]] =current_step, current_Grad_d,IF(Iterations[[#This Row],[Step]] &gt; current_step, "",Iterations[[#This Row],[Grad_d]]))</f>
        <v/>
      </c>
      <c r="R1159" s="2" t="str">
        <f>IF(Iterations[[#This Row],[Step]] =current_step, current_Grad_e,IF(Iterations[[#This Row],[Step]] &gt; current_step, "",Iterations[[#This Row],[Grad_e]]))</f>
        <v/>
      </c>
    </row>
    <row r="1160" spans="6:18" x14ac:dyDescent="0.3">
      <c r="F1160" s="2">
        <f t="shared" si="23"/>
        <v>1143</v>
      </c>
      <c r="G1160" s="2" t="str">
        <f>IF(Iterations[[#This Row],[Step]] =current_step, current_a,IF(Iterations[[#This Row],[Step]] &gt; current_step, "",Iterations[[#This Row],[a]]))</f>
        <v/>
      </c>
      <c r="H1160" s="2" t="str">
        <f>IF(Iterations[[#This Row],[Step]] =current_step, current_b,IF(Iterations[[#This Row],[Step]] &gt; current_step, "",Iterations[[#This Row],[b]]))</f>
        <v/>
      </c>
      <c r="I1160" s="2" t="str">
        <f>IF(Iterations[[#This Row],[Step]] =current_step, current_c,IF(Iterations[[#This Row],[Step]] &gt; current_step, "",Iterations[[#This Row],[c]]))</f>
        <v/>
      </c>
      <c r="J1160" s="2" t="str">
        <f>IF(Iterations[[#This Row],[Step]] =current_step, current_d,IF(Iterations[[#This Row],[Step]] &gt; current_step, "",Iterations[[#This Row],[d]]))</f>
        <v/>
      </c>
      <c r="K1160" s="2" t="str">
        <f>IF(Iterations[[#This Row],[Step]] =current_step, current_e,IF(Iterations[[#This Row],[Step]] &gt; current_step, "",Iterations[[#This Row],[e]]))</f>
        <v/>
      </c>
      <c r="L1160" s="2" t="str">
        <f>IF(Iterations[[#This Row],[Step]] =current_step, current_Total_Loss,IF(Iterations[[#This Row],[Step]] &gt; current_step, "",Iterations[[#This Row],[Total Loss]]))</f>
        <v/>
      </c>
      <c r="M1160" s="6" t="s">
        <v>27</v>
      </c>
      <c r="N1160" s="2" t="str">
        <f>IF(Iterations[[#This Row],[Step]] =current_step, current_Grad_a,IF(Iterations[[#This Row],[Step]] &gt; current_step, "",Iterations[[#This Row],[Grad_a]]))</f>
        <v/>
      </c>
      <c r="O1160" s="2" t="str">
        <f>IF(Iterations[[#This Row],[Step]] =current_step, current_Grad_b,IF(Iterations[[#This Row],[Step]] &gt; current_step, "",Iterations[[#This Row],[Grad_b]]))</f>
        <v/>
      </c>
      <c r="P1160" s="2" t="str">
        <f>IF(Iterations[[#This Row],[Step]] =current_step, current_Grad_c,IF(Iterations[[#This Row],[Step]] &gt; current_step, "",Iterations[[#This Row],[Grad_c]]))</f>
        <v/>
      </c>
      <c r="Q1160" s="2" t="str">
        <f>IF(Iterations[[#This Row],[Step]] =current_step, current_Grad_d,IF(Iterations[[#This Row],[Step]] &gt; current_step, "",Iterations[[#This Row],[Grad_d]]))</f>
        <v/>
      </c>
      <c r="R1160" s="2" t="str">
        <f>IF(Iterations[[#This Row],[Step]] =current_step, current_Grad_e,IF(Iterations[[#This Row],[Step]] &gt; current_step, "",Iterations[[#This Row],[Grad_e]]))</f>
        <v/>
      </c>
    </row>
    <row r="1161" spans="6:18" x14ac:dyDescent="0.3">
      <c r="F1161" s="2">
        <f t="shared" si="23"/>
        <v>1144</v>
      </c>
      <c r="G1161" s="2" t="str">
        <f>IF(Iterations[[#This Row],[Step]] =current_step, current_a,IF(Iterations[[#This Row],[Step]] &gt; current_step, "",Iterations[[#This Row],[a]]))</f>
        <v/>
      </c>
      <c r="H1161" s="2" t="str">
        <f>IF(Iterations[[#This Row],[Step]] =current_step, current_b,IF(Iterations[[#This Row],[Step]] &gt; current_step, "",Iterations[[#This Row],[b]]))</f>
        <v/>
      </c>
      <c r="I1161" s="2" t="str">
        <f>IF(Iterations[[#This Row],[Step]] =current_step, current_c,IF(Iterations[[#This Row],[Step]] &gt; current_step, "",Iterations[[#This Row],[c]]))</f>
        <v/>
      </c>
      <c r="J1161" s="2" t="str">
        <f>IF(Iterations[[#This Row],[Step]] =current_step, current_d,IF(Iterations[[#This Row],[Step]] &gt; current_step, "",Iterations[[#This Row],[d]]))</f>
        <v/>
      </c>
      <c r="K1161" s="2" t="str">
        <f>IF(Iterations[[#This Row],[Step]] =current_step, current_e,IF(Iterations[[#This Row],[Step]] &gt; current_step, "",Iterations[[#This Row],[e]]))</f>
        <v/>
      </c>
      <c r="L1161" s="2" t="str">
        <f>IF(Iterations[[#This Row],[Step]] =current_step, current_Total_Loss,IF(Iterations[[#This Row],[Step]] &gt; current_step, "",Iterations[[#This Row],[Total Loss]]))</f>
        <v/>
      </c>
      <c r="M1161" s="6" t="s">
        <v>27</v>
      </c>
      <c r="N1161" s="2" t="str">
        <f>IF(Iterations[[#This Row],[Step]] =current_step, current_Grad_a,IF(Iterations[[#This Row],[Step]] &gt; current_step, "",Iterations[[#This Row],[Grad_a]]))</f>
        <v/>
      </c>
      <c r="O1161" s="2" t="str">
        <f>IF(Iterations[[#This Row],[Step]] =current_step, current_Grad_b,IF(Iterations[[#This Row],[Step]] &gt; current_step, "",Iterations[[#This Row],[Grad_b]]))</f>
        <v/>
      </c>
      <c r="P1161" s="2" t="str">
        <f>IF(Iterations[[#This Row],[Step]] =current_step, current_Grad_c,IF(Iterations[[#This Row],[Step]] &gt; current_step, "",Iterations[[#This Row],[Grad_c]]))</f>
        <v/>
      </c>
      <c r="Q1161" s="2" t="str">
        <f>IF(Iterations[[#This Row],[Step]] =current_step, current_Grad_d,IF(Iterations[[#This Row],[Step]] &gt; current_step, "",Iterations[[#This Row],[Grad_d]]))</f>
        <v/>
      </c>
      <c r="R1161" s="2" t="str">
        <f>IF(Iterations[[#This Row],[Step]] =current_step, current_Grad_e,IF(Iterations[[#This Row],[Step]] &gt; current_step, "",Iterations[[#This Row],[Grad_e]]))</f>
        <v/>
      </c>
    </row>
    <row r="1162" spans="6:18" x14ac:dyDescent="0.3">
      <c r="F1162" s="2">
        <f t="shared" si="23"/>
        <v>1145</v>
      </c>
      <c r="G1162" s="2" t="str">
        <f>IF(Iterations[[#This Row],[Step]] =current_step, current_a,IF(Iterations[[#This Row],[Step]] &gt; current_step, "",Iterations[[#This Row],[a]]))</f>
        <v/>
      </c>
      <c r="H1162" s="2" t="str">
        <f>IF(Iterations[[#This Row],[Step]] =current_step, current_b,IF(Iterations[[#This Row],[Step]] &gt; current_step, "",Iterations[[#This Row],[b]]))</f>
        <v/>
      </c>
      <c r="I1162" s="2" t="str">
        <f>IF(Iterations[[#This Row],[Step]] =current_step, current_c,IF(Iterations[[#This Row],[Step]] &gt; current_step, "",Iterations[[#This Row],[c]]))</f>
        <v/>
      </c>
      <c r="J1162" s="2" t="str">
        <f>IF(Iterations[[#This Row],[Step]] =current_step, current_d,IF(Iterations[[#This Row],[Step]] &gt; current_step, "",Iterations[[#This Row],[d]]))</f>
        <v/>
      </c>
      <c r="K1162" s="2" t="str">
        <f>IF(Iterations[[#This Row],[Step]] =current_step, current_e,IF(Iterations[[#This Row],[Step]] &gt; current_step, "",Iterations[[#This Row],[e]]))</f>
        <v/>
      </c>
      <c r="L1162" s="2" t="str">
        <f>IF(Iterations[[#This Row],[Step]] =current_step, current_Total_Loss,IF(Iterations[[#This Row],[Step]] &gt; current_step, "",Iterations[[#This Row],[Total Loss]]))</f>
        <v/>
      </c>
      <c r="M1162" s="6" t="s">
        <v>27</v>
      </c>
      <c r="N1162" s="2" t="str">
        <f>IF(Iterations[[#This Row],[Step]] =current_step, current_Grad_a,IF(Iterations[[#This Row],[Step]] &gt; current_step, "",Iterations[[#This Row],[Grad_a]]))</f>
        <v/>
      </c>
      <c r="O1162" s="2" t="str">
        <f>IF(Iterations[[#This Row],[Step]] =current_step, current_Grad_b,IF(Iterations[[#This Row],[Step]] &gt; current_step, "",Iterations[[#This Row],[Grad_b]]))</f>
        <v/>
      </c>
      <c r="P1162" s="2" t="str">
        <f>IF(Iterations[[#This Row],[Step]] =current_step, current_Grad_c,IF(Iterations[[#This Row],[Step]] &gt; current_step, "",Iterations[[#This Row],[Grad_c]]))</f>
        <v/>
      </c>
      <c r="Q1162" s="2" t="str">
        <f>IF(Iterations[[#This Row],[Step]] =current_step, current_Grad_d,IF(Iterations[[#This Row],[Step]] &gt; current_step, "",Iterations[[#This Row],[Grad_d]]))</f>
        <v/>
      </c>
      <c r="R1162" s="2" t="str">
        <f>IF(Iterations[[#This Row],[Step]] =current_step, current_Grad_e,IF(Iterations[[#This Row],[Step]] &gt; current_step, "",Iterations[[#This Row],[Grad_e]]))</f>
        <v/>
      </c>
    </row>
    <row r="1163" spans="6:18" x14ac:dyDescent="0.3">
      <c r="F1163" s="2">
        <f t="shared" si="23"/>
        <v>1146</v>
      </c>
      <c r="G1163" s="2" t="str">
        <f>IF(Iterations[[#This Row],[Step]] =current_step, current_a,IF(Iterations[[#This Row],[Step]] &gt; current_step, "",Iterations[[#This Row],[a]]))</f>
        <v/>
      </c>
      <c r="H1163" s="2" t="str">
        <f>IF(Iterations[[#This Row],[Step]] =current_step, current_b,IF(Iterations[[#This Row],[Step]] &gt; current_step, "",Iterations[[#This Row],[b]]))</f>
        <v/>
      </c>
      <c r="I1163" s="2" t="str">
        <f>IF(Iterations[[#This Row],[Step]] =current_step, current_c,IF(Iterations[[#This Row],[Step]] &gt; current_step, "",Iterations[[#This Row],[c]]))</f>
        <v/>
      </c>
      <c r="J1163" s="2" t="str">
        <f>IF(Iterations[[#This Row],[Step]] =current_step, current_d,IF(Iterations[[#This Row],[Step]] &gt; current_step, "",Iterations[[#This Row],[d]]))</f>
        <v/>
      </c>
      <c r="K1163" s="2" t="str">
        <f>IF(Iterations[[#This Row],[Step]] =current_step, current_e,IF(Iterations[[#This Row],[Step]] &gt; current_step, "",Iterations[[#This Row],[e]]))</f>
        <v/>
      </c>
      <c r="L1163" s="2" t="str">
        <f>IF(Iterations[[#This Row],[Step]] =current_step, current_Total_Loss,IF(Iterations[[#This Row],[Step]] &gt; current_step, "",Iterations[[#This Row],[Total Loss]]))</f>
        <v/>
      </c>
      <c r="M1163" s="6" t="s">
        <v>27</v>
      </c>
      <c r="N1163" s="2" t="str">
        <f>IF(Iterations[[#This Row],[Step]] =current_step, current_Grad_a,IF(Iterations[[#This Row],[Step]] &gt; current_step, "",Iterations[[#This Row],[Grad_a]]))</f>
        <v/>
      </c>
      <c r="O1163" s="2" t="str">
        <f>IF(Iterations[[#This Row],[Step]] =current_step, current_Grad_b,IF(Iterations[[#This Row],[Step]] &gt; current_step, "",Iterations[[#This Row],[Grad_b]]))</f>
        <v/>
      </c>
      <c r="P1163" s="2" t="str">
        <f>IF(Iterations[[#This Row],[Step]] =current_step, current_Grad_c,IF(Iterations[[#This Row],[Step]] &gt; current_step, "",Iterations[[#This Row],[Grad_c]]))</f>
        <v/>
      </c>
      <c r="Q1163" s="2" t="str">
        <f>IF(Iterations[[#This Row],[Step]] =current_step, current_Grad_d,IF(Iterations[[#This Row],[Step]] &gt; current_step, "",Iterations[[#This Row],[Grad_d]]))</f>
        <v/>
      </c>
      <c r="R1163" s="2" t="str">
        <f>IF(Iterations[[#This Row],[Step]] =current_step, current_Grad_e,IF(Iterations[[#This Row],[Step]] &gt; current_step, "",Iterations[[#This Row],[Grad_e]]))</f>
        <v/>
      </c>
    </row>
    <row r="1164" spans="6:18" x14ac:dyDescent="0.3">
      <c r="F1164" s="2">
        <f t="shared" si="23"/>
        <v>1147</v>
      </c>
      <c r="G1164" s="2" t="str">
        <f>IF(Iterations[[#This Row],[Step]] =current_step, current_a,IF(Iterations[[#This Row],[Step]] &gt; current_step, "",Iterations[[#This Row],[a]]))</f>
        <v/>
      </c>
      <c r="H1164" s="2" t="str">
        <f>IF(Iterations[[#This Row],[Step]] =current_step, current_b,IF(Iterations[[#This Row],[Step]] &gt; current_step, "",Iterations[[#This Row],[b]]))</f>
        <v/>
      </c>
      <c r="I1164" s="2" t="str">
        <f>IF(Iterations[[#This Row],[Step]] =current_step, current_c,IF(Iterations[[#This Row],[Step]] &gt; current_step, "",Iterations[[#This Row],[c]]))</f>
        <v/>
      </c>
      <c r="J1164" s="2" t="str">
        <f>IF(Iterations[[#This Row],[Step]] =current_step, current_d,IF(Iterations[[#This Row],[Step]] &gt; current_step, "",Iterations[[#This Row],[d]]))</f>
        <v/>
      </c>
      <c r="K1164" s="2" t="str">
        <f>IF(Iterations[[#This Row],[Step]] =current_step, current_e,IF(Iterations[[#This Row],[Step]] &gt; current_step, "",Iterations[[#This Row],[e]]))</f>
        <v/>
      </c>
      <c r="L1164" s="2" t="str">
        <f>IF(Iterations[[#This Row],[Step]] =current_step, current_Total_Loss,IF(Iterations[[#This Row],[Step]] &gt; current_step, "",Iterations[[#This Row],[Total Loss]]))</f>
        <v/>
      </c>
      <c r="M1164" s="6" t="s">
        <v>27</v>
      </c>
      <c r="N1164" s="2" t="str">
        <f>IF(Iterations[[#This Row],[Step]] =current_step, current_Grad_a,IF(Iterations[[#This Row],[Step]] &gt; current_step, "",Iterations[[#This Row],[Grad_a]]))</f>
        <v/>
      </c>
      <c r="O1164" s="2" t="str">
        <f>IF(Iterations[[#This Row],[Step]] =current_step, current_Grad_b,IF(Iterations[[#This Row],[Step]] &gt; current_step, "",Iterations[[#This Row],[Grad_b]]))</f>
        <v/>
      </c>
      <c r="P1164" s="2" t="str">
        <f>IF(Iterations[[#This Row],[Step]] =current_step, current_Grad_c,IF(Iterations[[#This Row],[Step]] &gt; current_step, "",Iterations[[#This Row],[Grad_c]]))</f>
        <v/>
      </c>
      <c r="Q1164" s="2" t="str">
        <f>IF(Iterations[[#This Row],[Step]] =current_step, current_Grad_d,IF(Iterations[[#This Row],[Step]] &gt; current_step, "",Iterations[[#This Row],[Grad_d]]))</f>
        <v/>
      </c>
      <c r="R1164" s="2" t="str">
        <f>IF(Iterations[[#This Row],[Step]] =current_step, current_Grad_e,IF(Iterations[[#This Row],[Step]] &gt; current_step, "",Iterations[[#This Row],[Grad_e]]))</f>
        <v/>
      </c>
    </row>
    <row r="1165" spans="6:18" x14ac:dyDescent="0.3">
      <c r="F1165" s="2">
        <f t="shared" si="23"/>
        <v>1148</v>
      </c>
      <c r="G1165" s="2" t="str">
        <f>IF(Iterations[[#This Row],[Step]] =current_step, current_a,IF(Iterations[[#This Row],[Step]] &gt; current_step, "",Iterations[[#This Row],[a]]))</f>
        <v/>
      </c>
      <c r="H1165" s="2" t="str">
        <f>IF(Iterations[[#This Row],[Step]] =current_step, current_b,IF(Iterations[[#This Row],[Step]] &gt; current_step, "",Iterations[[#This Row],[b]]))</f>
        <v/>
      </c>
      <c r="I1165" s="2" t="str">
        <f>IF(Iterations[[#This Row],[Step]] =current_step, current_c,IF(Iterations[[#This Row],[Step]] &gt; current_step, "",Iterations[[#This Row],[c]]))</f>
        <v/>
      </c>
      <c r="J1165" s="2" t="str">
        <f>IF(Iterations[[#This Row],[Step]] =current_step, current_d,IF(Iterations[[#This Row],[Step]] &gt; current_step, "",Iterations[[#This Row],[d]]))</f>
        <v/>
      </c>
      <c r="K1165" s="2" t="str">
        <f>IF(Iterations[[#This Row],[Step]] =current_step, current_e,IF(Iterations[[#This Row],[Step]] &gt; current_step, "",Iterations[[#This Row],[e]]))</f>
        <v/>
      </c>
      <c r="L1165" s="2" t="str">
        <f>IF(Iterations[[#This Row],[Step]] =current_step, current_Total_Loss,IF(Iterations[[#This Row],[Step]] &gt; current_step, "",Iterations[[#This Row],[Total Loss]]))</f>
        <v/>
      </c>
      <c r="M1165" s="6" t="s">
        <v>27</v>
      </c>
      <c r="N1165" s="2" t="str">
        <f>IF(Iterations[[#This Row],[Step]] =current_step, current_Grad_a,IF(Iterations[[#This Row],[Step]] &gt; current_step, "",Iterations[[#This Row],[Grad_a]]))</f>
        <v/>
      </c>
      <c r="O1165" s="2" t="str">
        <f>IF(Iterations[[#This Row],[Step]] =current_step, current_Grad_b,IF(Iterations[[#This Row],[Step]] &gt; current_step, "",Iterations[[#This Row],[Grad_b]]))</f>
        <v/>
      </c>
      <c r="P1165" s="2" t="str">
        <f>IF(Iterations[[#This Row],[Step]] =current_step, current_Grad_c,IF(Iterations[[#This Row],[Step]] &gt; current_step, "",Iterations[[#This Row],[Grad_c]]))</f>
        <v/>
      </c>
      <c r="Q1165" s="2" t="str">
        <f>IF(Iterations[[#This Row],[Step]] =current_step, current_Grad_d,IF(Iterations[[#This Row],[Step]] &gt; current_step, "",Iterations[[#This Row],[Grad_d]]))</f>
        <v/>
      </c>
      <c r="R1165" s="2" t="str">
        <f>IF(Iterations[[#This Row],[Step]] =current_step, current_Grad_e,IF(Iterations[[#This Row],[Step]] &gt; current_step, "",Iterations[[#This Row],[Grad_e]]))</f>
        <v/>
      </c>
    </row>
    <row r="1166" spans="6:18" x14ac:dyDescent="0.3">
      <c r="F1166" s="2">
        <f t="shared" si="23"/>
        <v>1149</v>
      </c>
      <c r="G1166" s="2" t="str">
        <f>IF(Iterations[[#This Row],[Step]] =current_step, current_a,IF(Iterations[[#This Row],[Step]] &gt; current_step, "",Iterations[[#This Row],[a]]))</f>
        <v/>
      </c>
      <c r="H1166" s="2" t="str">
        <f>IF(Iterations[[#This Row],[Step]] =current_step, current_b,IF(Iterations[[#This Row],[Step]] &gt; current_step, "",Iterations[[#This Row],[b]]))</f>
        <v/>
      </c>
      <c r="I1166" s="2" t="str">
        <f>IF(Iterations[[#This Row],[Step]] =current_step, current_c,IF(Iterations[[#This Row],[Step]] &gt; current_step, "",Iterations[[#This Row],[c]]))</f>
        <v/>
      </c>
      <c r="J1166" s="2" t="str">
        <f>IF(Iterations[[#This Row],[Step]] =current_step, current_d,IF(Iterations[[#This Row],[Step]] &gt; current_step, "",Iterations[[#This Row],[d]]))</f>
        <v/>
      </c>
      <c r="K1166" s="2" t="str">
        <f>IF(Iterations[[#This Row],[Step]] =current_step, current_e,IF(Iterations[[#This Row],[Step]] &gt; current_step, "",Iterations[[#This Row],[e]]))</f>
        <v/>
      </c>
      <c r="L1166" s="2" t="str">
        <f>IF(Iterations[[#This Row],[Step]] =current_step, current_Total_Loss,IF(Iterations[[#This Row],[Step]] &gt; current_step, "",Iterations[[#This Row],[Total Loss]]))</f>
        <v/>
      </c>
      <c r="M1166" s="6" t="s">
        <v>27</v>
      </c>
      <c r="N1166" s="2" t="str">
        <f>IF(Iterations[[#This Row],[Step]] =current_step, current_Grad_a,IF(Iterations[[#This Row],[Step]] &gt; current_step, "",Iterations[[#This Row],[Grad_a]]))</f>
        <v/>
      </c>
      <c r="O1166" s="2" t="str">
        <f>IF(Iterations[[#This Row],[Step]] =current_step, current_Grad_b,IF(Iterations[[#This Row],[Step]] &gt; current_step, "",Iterations[[#This Row],[Grad_b]]))</f>
        <v/>
      </c>
      <c r="P1166" s="2" t="str">
        <f>IF(Iterations[[#This Row],[Step]] =current_step, current_Grad_c,IF(Iterations[[#This Row],[Step]] &gt; current_step, "",Iterations[[#This Row],[Grad_c]]))</f>
        <v/>
      </c>
      <c r="Q1166" s="2" t="str">
        <f>IF(Iterations[[#This Row],[Step]] =current_step, current_Grad_d,IF(Iterations[[#This Row],[Step]] &gt; current_step, "",Iterations[[#This Row],[Grad_d]]))</f>
        <v/>
      </c>
      <c r="R1166" s="2" t="str">
        <f>IF(Iterations[[#This Row],[Step]] =current_step, current_Grad_e,IF(Iterations[[#This Row],[Step]] &gt; current_step, "",Iterations[[#This Row],[Grad_e]]))</f>
        <v/>
      </c>
    </row>
    <row r="1167" spans="6:18" x14ac:dyDescent="0.3">
      <c r="F1167" s="2">
        <f t="shared" si="23"/>
        <v>1150</v>
      </c>
      <c r="G1167" s="2" t="str">
        <f>IF(Iterations[[#This Row],[Step]] =current_step, current_a,IF(Iterations[[#This Row],[Step]] &gt; current_step, "",Iterations[[#This Row],[a]]))</f>
        <v/>
      </c>
      <c r="H1167" s="2" t="str">
        <f>IF(Iterations[[#This Row],[Step]] =current_step, current_b,IF(Iterations[[#This Row],[Step]] &gt; current_step, "",Iterations[[#This Row],[b]]))</f>
        <v/>
      </c>
      <c r="I1167" s="2" t="str">
        <f>IF(Iterations[[#This Row],[Step]] =current_step, current_c,IF(Iterations[[#This Row],[Step]] &gt; current_step, "",Iterations[[#This Row],[c]]))</f>
        <v/>
      </c>
      <c r="J1167" s="2" t="str">
        <f>IF(Iterations[[#This Row],[Step]] =current_step, current_d,IF(Iterations[[#This Row],[Step]] &gt; current_step, "",Iterations[[#This Row],[d]]))</f>
        <v/>
      </c>
      <c r="K1167" s="2" t="str">
        <f>IF(Iterations[[#This Row],[Step]] =current_step, current_e,IF(Iterations[[#This Row],[Step]] &gt; current_step, "",Iterations[[#This Row],[e]]))</f>
        <v/>
      </c>
      <c r="L1167" s="2" t="str">
        <f>IF(Iterations[[#This Row],[Step]] =current_step, current_Total_Loss,IF(Iterations[[#This Row],[Step]] &gt; current_step, "",Iterations[[#This Row],[Total Loss]]))</f>
        <v/>
      </c>
      <c r="M1167" s="6" t="s">
        <v>27</v>
      </c>
      <c r="N1167" s="2" t="str">
        <f>IF(Iterations[[#This Row],[Step]] =current_step, current_Grad_a,IF(Iterations[[#This Row],[Step]] &gt; current_step, "",Iterations[[#This Row],[Grad_a]]))</f>
        <v/>
      </c>
      <c r="O1167" s="2" t="str">
        <f>IF(Iterations[[#This Row],[Step]] =current_step, current_Grad_b,IF(Iterations[[#This Row],[Step]] &gt; current_step, "",Iterations[[#This Row],[Grad_b]]))</f>
        <v/>
      </c>
      <c r="P1167" s="2" t="str">
        <f>IF(Iterations[[#This Row],[Step]] =current_step, current_Grad_c,IF(Iterations[[#This Row],[Step]] &gt; current_step, "",Iterations[[#This Row],[Grad_c]]))</f>
        <v/>
      </c>
      <c r="Q1167" s="2" t="str">
        <f>IF(Iterations[[#This Row],[Step]] =current_step, current_Grad_d,IF(Iterations[[#This Row],[Step]] &gt; current_step, "",Iterations[[#This Row],[Grad_d]]))</f>
        <v/>
      </c>
      <c r="R1167" s="2" t="str">
        <f>IF(Iterations[[#This Row],[Step]] =current_step, current_Grad_e,IF(Iterations[[#This Row],[Step]] &gt; current_step, "",Iterations[[#This Row],[Grad_e]]))</f>
        <v/>
      </c>
    </row>
    <row r="1168" spans="6:18" x14ac:dyDescent="0.3">
      <c r="F1168" s="2">
        <f t="shared" si="23"/>
        <v>1151</v>
      </c>
      <c r="G1168" s="2" t="str">
        <f>IF(Iterations[[#This Row],[Step]] =current_step, current_a,IF(Iterations[[#This Row],[Step]] &gt; current_step, "",Iterations[[#This Row],[a]]))</f>
        <v/>
      </c>
      <c r="H1168" s="2" t="str">
        <f>IF(Iterations[[#This Row],[Step]] =current_step, current_b,IF(Iterations[[#This Row],[Step]] &gt; current_step, "",Iterations[[#This Row],[b]]))</f>
        <v/>
      </c>
      <c r="I1168" s="2" t="str">
        <f>IF(Iterations[[#This Row],[Step]] =current_step, current_c,IF(Iterations[[#This Row],[Step]] &gt; current_step, "",Iterations[[#This Row],[c]]))</f>
        <v/>
      </c>
      <c r="J1168" s="2" t="str">
        <f>IF(Iterations[[#This Row],[Step]] =current_step, current_d,IF(Iterations[[#This Row],[Step]] &gt; current_step, "",Iterations[[#This Row],[d]]))</f>
        <v/>
      </c>
      <c r="K1168" s="2" t="str">
        <f>IF(Iterations[[#This Row],[Step]] =current_step, current_e,IF(Iterations[[#This Row],[Step]] &gt; current_step, "",Iterations[[#This Row],[e]]))</f>
        <v/>
      </c>
      <c r="L1168" s="2" t="str">
        <f>IF(Iterations[[#This Row],[Step]] =current_step, current_Total_Loss,IF(Iterations[[#This Row],[Step]] &gt; current_step, "",Iterations[[#This Row],[Total Loss]]))</f>
        <v/>
      </c>
      <c r="M1168" s="6" t="s">
        <v>27</v>
      </c>
      <c r="N1168" s="2" t="str">
        <f>IF(Iterations[[#This Row],[Step]] =current_step, current_Grad_a,IF(Iterations[[#This Row],[Step]] &gt; current_step, "",Iterations[[#This Row],[Grad_a]]))</f>
        <v/>
      </c>
      <c r="O1168" s="2" t="str">
        <f>IF(Iterations[[#This Row],[Step]] =current_step, current_Grad_b,IF(Iterations[[#This Row],[Step]] &gt; current_step, "",Iterations[[#This Row],[Grad_b]]))</f>
        <v/>
      </c>
      <c r="P1168" s="2" t="str">
        <f>IF(Iterations[[#This Row],[Step]] =current_step, current_Grad_c,IF(Iterations[[#This Row],[Step]] &gt; current_step, "",Iterations[[#This Row],[Grad_c]]))</f>
        <v/>
      </c>
      <c r="Q1168" s="2" t="str">
        <f>IF(Iterations[[#This Row],[Step]] =current_step, current_Grad_d,IF(Iterations[[#This Row],[Step]] &gt; current_step, "",Iterations[[#This Row],[Grad_d]]))</f>
        <v/>
      </c>
      <c r="R1168" s="2" t="str">
        <f>IF(Iterations[[#This Row],[Step]] =current_step, current_Grad_e,IF(Iterations[[#This Row],[Step]] &gt; current_step, "",Iterations[[#This Row],[Grad_e]]))</f>
        <v/>
      </c>
    </row>
    <row r="1169" spans="6:18" x14ac:dyDescent="0.3">
      <c r="F1169" s="2">
        <f t="shared" si="23"/>
        <v>1152</v>
      </c>
      <c r="G1169" s="2" t="str">
        <f>IF(Iterations[[#This Row],[Step]] =current_step, current_a,IF(Iterations[[#This Row],[Step]] &gt; current_step, "",Iterations[[#This Row],[a]]))</f>
        <v/>
      </c>
      <c r="H1169" s="2" t="str">
        <f>IF(Iterations[[#This Row],[Step]] =current_step, current_b,IF(Iterations[[#This Row],[Step]] &gt; current_step, "",Iterations[[#This Row],[b]]))</f>
        <v/>
      </c>
      <c r="I1169" s="2" t="str">
        <f>IF(Iterations[[#This Row],[Step]] =current_step, current_c,IF(Iterations[[#This Row],[Step]] &gt; current_step, "",Iterations[[#This Row],[c]]))</f>
        <v/>
      </c>
      <c r="J1169" s="2" t="str">
        <f>IF(Iterations[[#This Row],[Step]] =current_step, current_d,IF(Iterations[[#This Row],[Step]] &gt; current_step, "",Iterations[[#This Row],[d]]))</f>
        <v/>
      </c>
      <c r="K1169" s="2" t="str">
        <f>IF(Iterations[[#This Row],[Step]] =current_step, current_e,IF(Iterations[[#This Row],[Step]] &gt; current_step, "",Iterations[[#This Row],[e]]))</f>
        <v/>
      </c>
      <c r="L1169" s="2" t="str">
        <f>IF(Iterations[[#This Row],[Step]] =current_step, current_Total_Loss,IF(Iterations[[#This Row],[Step]] &gt; current_step, "",Iterations[[#This Row],[Total Loss]]))</f>
        <v/>
      </c>
      <c r="M1169" s="6" t="s">
        <v>27</v>
      </c>
      <c r="N1169" s="2" t="str">
        <f>IF(Iterations[[#This Row],[Step]] =current_step, current_Grad_a,IF(Iterations[[#This Row],[Step]] &gt; current_step, "",Iterations[[#This Row],[Grad_a]]))</f>
        <v/>
      </c>
      <c r="O1169" s="2" t="str">
        <f>IF(Iterations[[#This Row],[Step]] =current_step, current_Grad_b,IF(Iterations[[#This Row],[Step]] &gt; current_step, "",Iterations[[#This Row],[Grad_b]]))</f>
        <v/>
      </c>
      <c r="P1169" s="2" t="str">
        <f>IF(Iterations[[#This Row],[Step]] =current_step, current_Grad_c,IF(Iterations[[#This Row],[Step]] &gt; current_step, "",Iterations[[#This Row],[Grad_c]]))</f>
        <v/>
      </c>
      <c r="Q1169" s="2" t="str">
        <f>IF(Iterations[[#This Row],[Step]] =current_step, current_Grad_d,IF(Iterations[[#This Row],[Step]] &gt; current_step, "",Iterations[[#This Row],[Grad_d]]))</f>
        <v/>
      </c>
      <c r="R1169" s="2" t="str">
        <f>IF(Iterations[[#This Row],[Step]] =current_step, current_Grad_e,IF(Iterations[[#This Row],[Step]] &gt; current_step, "",Iterations[[#This Row],[Grad_e]]))</f>
        <v/>
      </c>
    </row>
    <row r="1170" spans="6:18" x14ac:dyDescent="0.3">
      <c r="F1170" s="2">
        <f t="shared" si="23"/>
        <v>1153</v>
      </c>
      <c r="G1170" s="2" t="str">
        <f>IF(Iterations[[#This Row],[Step]] =current_step, current_a,IF(Iterations[[#This Row],[Step]] &gt; current_step, "",Iterations[[#This Row],[a]]))</f>
        <v/>
      </c>
      <c r="H1170" s="2" t="str">
        <f>IF(Iterations[[#This Row],[Step]] =current_step, current_b,IF(Iterations[[#This Row],[Step]] &gt; current_step, "",Iterations[[#This Row],[b]]))</f>
        <v/>
      </c>
      <c r="I1170" s="2" t="str">
        <f>IF(Iterations[[#This Row],[Step]] =current_step, current_c,IF(Iterations[[#This Row],[Step]] &gt; current_step, "",Iterations[[#This Row],[c]]))</f>
        <v/>
      </c>
      <c r="J1170" s="2" t="str">
        <f>IF(Iterations[[#This Row],[Step]] =current_step, current_d,IF(Iterations[[#This Row],[Step]] &gt; current_step, "",Iterations[[#This Row],[d]]))</f>
        <v/>
      </c>
      <c r="K1170" s="2" t="str">
        <f>IF(Iterations[[#This Row],[Step]] =current_step, current_e,IF(Iterations[[#This Row],[Step]] &gt; current_step, "",Iterations[[#This Row],[e]]))</f>
        <v/>
      </c>
      <c r="L1170" s="2" t="str">
        <f>IF(Iterations[[#This Row],[Step]] =current_step, current_Total_Loss,IF(Iterations[[#This Row],[Step]] &gt; current_step, "",Iterations[[#This Row],[Total Loss]]))</f>
        <v/>
      </c>
      <c r="M1170" s="6" t="s">
        <v>27</v>
      </c>
      <c r="N1170" s="2" t="str">
        <f>IF(Iterations[[#This Row],[Step]] =current_step, current_Grad_a,IF(Iterations[[#This Row],[Step]] &gt; current_step, "",Iterations[[#This Row],[Grad_a]]))</f>
        <v/>
      </c>
      <c r="O1170" s="2" t="str">
        <f>IF(Iterations[[#This Row],[Step]] =current_step, current_Grad_b,IF(Iterations[[#This Row],[Step]] &gt; current_step, "",Iterations[[#This Row],[Grad_b]]))</f>
        <v/>
      </c>
      <c r="P1170" s="2" t="str">
        <f>IF(Iterations[[#This Row],[Step]] =current_step, current_Grad_c,IF(Iterations[[#This Row],[Step]] &gt; current_step, "",Iterations[[#This Row],[Grad_c]]))</f>
        <v/>
      </c>
      <c r="Q1170" s="2" t="str">
        <f>IF(Iterations[[#This Row],[Step]] =current_step, current_Grad_d,IF(Iterations[[#This Row],[Step]] &gt; current_step, "",Iterations[[#This Row],[Grad_d]]))</f>
        <v/>
      </c>
      <c r="R1170" s="2" t="str">
        <f>IF(Iterations[[#This Row],[Step]] =current_step, current_Grad_e,IF(Iterations[[#This Row],[Step]] &gt; current_step, "",Iterations[[#This Row],[Grad_e]]))</f>
        <v/>
      </c>
    </row>
    <row r="1171" spans="6:18" x14ac:dyDescent="0.3">
      <c r="F1171" s="2">
        <f t="shared" si="23"/>
        <v>1154</v>
      </c>
      <c r="G1171" s="2" t="str">
        <f>IF(Iterations[[#This Row],[Step]] =current_step, current_a,IF(Iterations[[#This Row],[Step]] &gt; current_step, "",Iterations[[#This Row],[a]]))</f>
        <v/>
      </c>
      <c r="H1171" s="2" t="str">
        <f>IF(Iterations[[#This Row],[Step]] =current_step, current_b,IF(Iterations[[#This Row],[Step]] &gt; current_step, "",Iterations[[#This Row],[b]]))</f>
        <v/>
      </c>
      <c r="I1171" s="2" t="str">
        <f>IF(Iterations[[#This Row],[Step]] =current_step, current_c,IF(Iterations[[#This Row],[Step]] &gt; current_step, "",Iterations[[#This Row],[c]]))</f>
        <v/>
      </c>
      <c r="J1171" s="2" t="str">
        <f>IF(Iterations[[#This Row],[Step]] =current_step, current_d,IF(Iterations[[#This Row],[Step]] &gt; current_step, "",Iterations[[#This Row],[d]]))</f>
        <v/>
      </c>
      <c r="K1171" s="2" t="str">
        <f>IF(Iterations[[#This Row],[Step]] =current_step, current_e,IF(Iterations[[#This Row],[Step]] &gt; current_step, "",Iterations[[#This Row],[e]]))</f>
        <v/>
      </c>
      <c r="L1171" s="2" t="str">
        <f>IF(Iterations[[#This Row],[Step]] =current_step, current_Total_Loss,IF(Iterations[[#This Row],[Step]] &gt; current_step, "",Iterations[[#This Row],[Total Loss]]))</f>
        <v/>
      </c>
      <c r="M1171" s="6" t="s">
        <v>27</v>
      </c>
      <c r="N1171" s="2" t="str">
        <f>IF(Iterations[[#This Row],[Step]] =current_step, current_Grad_a,IF(Iterations[[#This Row],[Step]] &gt; current_step, "",Iterations[[#This Row],[Grad_a]]))</f>
        <v/>
      </c>
      <c r="O1171" s="2" t="str">
        <f>IF(Iterations[[#This Row],[Step]] =current_step, current_Grad_b,IF(Iterations[[#This Row],[Step]] &gt; current_step, "",Iterations[[#This Row],[Grad_b]]))</f>
        <v/>
      </c>
      <c r="P1171" s="2" t="str">
        <f>IF(Iterations[[#This Row],[Step]] =current_step, current_Grad_c,IF(Iterations[[#This Row],[Step]] &gt; current_step, "",Iterations[[#This Row],[Grad_c]]))</f>
        <v/>
      </c>
      <c r="Q1171" s="2" t="str">
        <f>IF(Iterations[[#This Row],[Step]] =current_step, current_Grad_d,IF(Iterations[[#This Row],[Step]] &gt; current_step, "",Iterations[[#This Row],[Grad_d]]))</f>
        <v/>
      </c>
      <c r="R1171" s="2" t="str">
        <f>IF(Iterations[[#This Row],[Step]] =current_step, current_Grad_e,IF(Iterations[[#This Row],[Step]] &gt; current_step, "",Iterations[[#This Row],[Grad_e]]))</f>
        <v/>
      </c>
    </row>
    <row r="1172" spans="6:18" x14ac:dyDescent="0.3">
      <c r="F1172" s="2">
        <f t="shared" si="23"/>
        <v>1155</v>
      </c>
      <c r="G1172" s="2" t="str">
        <f>IF(Iterations[[#This Row],[Step]] =current_step, current_a,IF(Iterations[[#This Row],[Step]] &gt; current_step, "",Iterations[[#This Row],[a]]))</f>
        <v/>
      </c>
      <c r="H1172" s="2" t="str">
        <f>IF(Iterations[[#This Row],[Step]] =current_step, current_b,IF(Iterations[[#This Row],[Step]] &gt; current_step, "",Iterations[[#This Row],[b]]))</f>
        <v/>
      </c>
      <c r="I1172" s="2" t="str">
        <f>IF(Iterations[[#This Row],[Step]] =current_step, current_c,IF(Iterations[[#This Row],[Step]] &gt; current_step, "",Iterations[[#This Row],[c]]))</f>
        <v/>
      </c>
      <c r="J1172" s="2" t="str">
        <f>IF(Iterations[[#This Row],[Step]] =current_step, current_d,IF(Iterations[[#This Row],[Step]] &gt; current_step, "",Iterations[[#This Row],[d]]))</f>
        <v/>
      </c>
      <c r="K1172" s="2" t="str">
        <f>IF(Iterations[[#This Row],[Step]] =current_step, current_e,IF(Iterations[[#This Row],[Step]] &gt; current_step, "",Iterations[[#This Row],[e]]))</f>
        <v/>
      </c>
      <c r="L1172" s="2" t="str">
        <f>IF(Iterations[[#This Row],[Step]] =current_step, current_Total_Loss,IF(Iterations[[#This Row],[Step]] &gt; current_step, "",Iterations[[#This Row],[Total Loss]]))</f>
        <v/>
      </c>
      <c r="M1172" s="6" t="s">
        <v>27</v>
      </c>
      <c r="N1172" s="2" t="str">
        <f>IF(Iterations[[#This Row],[Step]] =current_step, current_Grad_a,IF(Iterations[[#This Row],[Step]] &gt; current_step, "",Iterations[[#This Row],[Grad_a]]))</f>
        <v/>
      </c>
      <c r="O1172" s="2" t="str">
        <f>IF(Iterations[[#This Row],[Step]] =current_step, current_Grad_b,IF(Iterations[[#This Row],[Step]] &gt; current_step, "",Iterations[[#This Row],[Grad_b]]))</f>
        <v/>
      </c>
      <c r="P1172" s="2" t="str">
        <f>IF(Iterations[[#This Row],[Step]] =current_step, current_Grad_c,IF(Iterations[[#This Row],[Step]] &gt; current_step, "",Iterations[[#This Row],[Grad_c]]))</f>
        <v/>
      </c>
      <c r="Q1172" s="2" t="str">
        <f>IF(Iterations[[#This Row],[Step]] =current_step, current_Grad_d,IF(Iterations[[#This Row],[Step]] &gt; current_step, "",Iterations[[#This Row],[Grad_d]]))</f>
        <v/>
      </c>
      <c r="R1172" s="2" t="str">
        <f>IF(Iterations[[#This Row],[Step]] =current_step, current_Grad_e,IF(Iterations[[#This Row],[Step]] &gt; current_step, "",Iterations[[#This Row],[Grad_e]]))</f>
        <v/>
      </c>
    </row>
    <row r="1173" spans="6:18" x14ac:dyDescent="0.3">
      <c r="F1173" s="2">
        <f t="shared" si="23"/>
        <v>1156</v>
      </c>
      <c r="G1173" s="2" t="str">
        <f>IF(Iterations[[#This Row],[Step]] =current_step, current_a,IF(Iterations[[#This Row],[Step]] &gt; current_step, "",Iterations[[#This Row],[a]]))</f>
        <v/>
      </c>
      <c r="H1173" s="2" t="str">
        <f>IF(Iterations[[#This Row],[Step]] =current_step, current_b,IF(Iterations[[#This Row],[Step]] &gt; current_step, "",Iterations[[#This Row],[b]]))</f>
        <v/>
      </c>
      <c r="I1173" s="2" t="str">
        <f>IF(Iterations[[#This Row],[Step]] =current_step, current_c,IF(Iterations[[#This Row],[Step]] &gt; current_step, "",Iterations[[#This Row],[c]]))</f>
        <v/>
      </c>
      <c r="J1173" s="2" t="str">
        <f>IF(Iterations[[#This Row],[Step]] =current_step, current_d,IF(Iterations[[#This Row],[Step]] &gt; current_step, "",Iterations[[#This Row],[d]]))</f>
        <v/>
      </c>
      <c r="K1173" s="2" t="str">
        <f>IF(Iterations[[#This Row],[Step]] =current_step, current_e,IF(Iterations[[#This Row],[Step]] &gt; current_step, "",Iterations[[#This Row],[e]]))</f>
        <v/>
      </c>
      <c r="L1173" s="2" t="str">
        <f>IF(Iterations[[#This Row],[Step]] =current_step, current_Total_Loss,IF(Iterations[[#This Row],[Step]] &gt; current_step, "",Iterations[[#This Row],[Total Loss]]))</f>
        <v/>
      </c>
      <c r="M1173" s="6" t="s">
        <v>27</v>
      </c>
      <c r="N1173" s="2" t="str">
        <f>IF(Iterations[[#This Row],[Step]] =current_step, current_Grad_a,IF(Iterations[[#This Row],[Step]] &gt; current_step, "",Iterations[[#This Row],[Grad_a]]))</f>
        <v/>
      </c>
      <c r="O1173" s="2" t="str">
        <f>IF(Iterations[[#This Row],[Step]] =current_step, current_Grad_b,IF(Iterations[[#This Row],[Step]] &gt; current_step, "",Iterations[[#This Row],[Grad_b]]))</f>
        <v/>
      </c>
      <c r="P1173" s="2" t="str">
        <f>IF(Iterations[[#This Row],[Step]] =current_step, current_Grad_c,IF(Iterations[[#This Row],[Step]] &gt; current_step, "",Iterations[[#This Row],[Grad_c]]))</f>
        <v/>
      </c>
      <c r="Q1173" s="2" t="str">
        <f>IF(Iterations[[#This Row],[Step]] =current_step, current_Grad_d,IF(Iterations[[#This Row],[Step]] &gt; current_step, "",Iterations[[#This Row],[Grad_d]]))</f>
        <v/>
      </c>
      <c r="R1173" s="2" t="str">
        <f>IF(Iterations[[#This Row],[Step]] =current_step, current_Grad_e,IF(Iterations[[#This Row],[Step]] &gt; current_step, "",Iterations[[#This Row],[Grad_e]]))</f>
        <v/>
      </c>
    </row>
    <row r="1174" spans="6:18" x14ac:dyDescent="0.3">
      <c r="F1174" s="2">
        <f t="shared" si="23"/>
        <v>1157</v>
      </c>
      <c r="G1174" s="2" t="str">
        <f>IF(Iterations[[#This Row],[Step]] =current_step, current_a,IF(Iterations[[#This Row],[Step]] &gt; current_step, "",Iterations[[#This Row],[a]]))</f>
        <v/>
      </c>
      <c r="H1174" s="2" t="str">
        <f>IF(Iterations[[#This Row],[Step]] =current_step, current_b,IF(Iterations[[#This Row],[Step]] &gt; current_step, "",Iterations[[#This Row],[b]]))</f>
        <v/>
      </c>
      <c r="I1174" s="2" t="str">
        <f>IF(Iterations[[#This Row],[Step]] =current_step, current_c,IF(Iterations[[#This Row],[Step]] &gt; current_step, "",Iterations[[#This Row],[c]]))</f>
        <v/>
      </c>
      <c r="J1174" s="2" t="str">
        <f>IF(Iterations[[#This Row],[Step]] =current_step, current_d,IF(Iterations[[#This Row],[Step]] &gt; current_step, "",Iterations[[#This Row],[d]]))</f>
        <v/>
      </c>
      <c r="K1174" s="2" t="str">
        <f>IF(Iterations[[#This Row],[Step]] =current_step, current_e,IF(Iterations[[#This Row],[Step]] &gt; current_step, "",Iterations[[#This Row],[e]]))</f>
        <v/>
      </c>
      <c r="L1174" s="2" t="str">
        <f>IF(Iterations[[#This Row],[Step]] =current_step, current_Total_Loss,IF(Iterations[[#This Row],[Step]] &gt; current_step, "",Iterations[[#This Row],[Total Loss]]))</f>
        <v/>
      </c>
      <c r="M1174" s="6" t="s">
        <v>27</v>
      </c>
      <c r="N1174" s="2" t="str">
        <f>IF(Iterations[[#This Row],[Step]] =current_step, current_Grad_a,IF(Iterations[[#This Row],[Step]] &gt; current_step, "",Iterations[[#This Row],[Grad_a]]))</f>
        <v/>
      </c>
      <c r="O1174" s="2" t="str">
        <f>IF(Iterations[[#This Row],[Step]] =current_step, current_Grad_b,IF(Iterations[[#This Row],[Step]] &gt; current_step, "",Iterations[[#This Row],[Grad_b]]))</f>
        <v/>
      </c>
      <c r="P1174" s="2" t="str">
        <f>IF(Iterations[[#This Row],[Step]] =current_step, current_Grad_c,IF(Iterations[[#This Row],[Step]] &gt; current_step, "",Iterations[[#This Row],[Grad_c]]))</f>
        <v/>
      </c>
      <c r="Q1174" s="2" t="str">
        <f>IF(Iterations[[#This Row],[Step]] =current_step, current_Grad_d,IF(Iterations[[#This Row],[Step]] &gt; current_step, "",Iterations[[#This Row],[Grad_d]]))</f>
        <v/>
      </c>
      <c r="R1174" s="2" t="str">
        <f>IF(Iterations[[#This Row],[Step]] =current_step, current_Grad_e,IF(Iterations[[#This Row],[Step]] &gt; current_step, "",Iterations[[#This Row],[Grad_e]]))</f>
        <v/>
      </c>
    </row>
    <row r="1175" spans="6:18" x14ac:dyDescent="0.3">
      <c r="F1175" s="2">
        <f t="shared" si="23"/>
        <v>1158</v>
      </c>
      <c r="G1175" s="2" t="str">
        <f>IF(Iterations[[#This Row],[Step]] =current_step, current_a,IF(Iterations[[#This Row],[Step]] &gt; current_step, "",Iterations[[#This Row],[a]]))</f>
        <v/>
      </c>
      <c r="H1175" s="2" t="str">
        <f>IF(Iterations[[#This Row],[Step]] =current_step, current_b,IF(Iterations[[#This Row],[Step]] &gt; current_step, "",Iterations[[#This Row],[b]]))</f>
        <v/>
      </c>
      <c r="I1175" s="2" t="str">
        <f>IF(Iterations[[#This Row],[Step]] =current_step, current_c,IF(Iterations[[#This Row],[Step]] &gt; current_step, "",Iterations[[#This Row],[c]]))</f>
        <v/>
      </c>
      <c r="J1175" s="2" t="str">
        <f>IF(Iterations[[#This Row],[Step]] =current_step, current_d,IF(Iterations[[#This Row],[Step]] &gt; current_step, "",Iterations[[#This Row],[d]]))</f>
        <v/>
      </c>
      <c r="K1175" s="2" t="str">
        <f>IF(Iterations[[#This Row],[Step]] =current_step, current_e,IF(Iterations[[#This Row],[Step]] &gt; current_step, "",Iterations[[#This Row],[e]]))</f>
        <v/>
      </c>
      <c r="L1175" s="2" t="str">
        <f>IF(Iterations[[#This Row],[Step]] =current_step, current_Total_Loss,IF(Iterations[[#This Row],[Step]] &gt; current_step, "",Iterations[[#This Row],[Total Loss]]))</f>
        <v/>
      </c>
      <c r="M1175" s="6" t="s">
        <v>27</v>
      </c>
      <c r="N1175" s="2" t="str">
        <f>IF(Iterations[[#This Row],[Step]] =current_step, current_Grad_a,IF(Iterations[[#This Row],[Step]] &gt; current_step, "",Iterations[[#This Row],[Grad_a]]))</f>
        <v/>
      </c>
      <c r="O1175" s="2" t="str">
        <f>IF(Iterations[[#This Row],[Step]] =current_step, current_Grad_b,IF(Iterations[[#This Row],[Step]] &gt; current_step, "",Iterations[[#This Row],[Grad_b]]))</f>
        <v/>
      </c>
      <c r="P1175" s="2" t="str">
        <f>IF(Iterations[[#This Row],[Step]] =current_step, current_Grad_c,IF(Iterations[[#This Row],[Step]] &gt; current_step, "",Iterations[[#This Row],[Grad_c]]))</f>
        <v/>
      </c>
      <c r="Q1175" s="2" t="str">
        <f>IF(Iterations[[#This Row],[Step]] =current_step, current_Grad_d,IF(Iterations[[#This Row],[Step]] &gt; current_step, "",Iterations[[#This Row],[Grad_d]]))</f>
        <v/>
      </c>
      <c r="R1175" s="2" t="str">
        <f>IF(Iterations[[#This Row],[Step]] =current_step, current_Grad_e,IF(Iterations[[#This Row],[Step]] &gt; current_step, "",Iterations[[#This Row],[Grad_e]]))</f>
        <v/>
      </c>
    </row>
    <row r="1176" spans="6:18" x14ac:dyDescent="0.3">
      <c r="F1176" s="2">
        <f t="shared" si="23"/>
        <v>1159</v>
      </c>
      <c r="G1176" s="2" t="str">
        <f>IF(Iterations[[#This Row],[Step]] =current_step, current_a,IF(Iterations[[#This Row],[Step]] &gt; current_step, "",Iterations[[#This Row],[a]]))</f>
        <v/>
      </c>
      <c r="H1176" s="2" t="str">
        <f>IF(Iterations[[#This Row],[Step]] =current_step, current_b,IF(Iterations[[#This Row],[Step]] &gt; current_step, "",Iterations[[#This Row],[b]]))</f>
        <v/>
      </c>
      <c r="I1176" s="2" t="str">
        <f>IF(Iterations[[#This Row],[Step]] =current_step, current_c,IF(Iterations[[#This Row],[Step]] &gt; current_step, "",Iterations[[#This Row],[c]]))</f>
        <v/>
      </c>
      <c r="J1176" s="2" t="str">
        <f>IF(Iterations[[#This Row],[Step]] =current_step, current_d,IF(Iterations[[#This Row],[Step]] &gt; current_step, "",Iterations[[#This Row],[d]]))</f>
        <v/>
      </c>
      <c r="K1176" s="2" t="str">
        <f>IF(Iterations[[#This Row],[Step]] =current_step, current_e,IF(Iterations[[#This Row],[Step]] &gt; current_step, "",Iterations[[#This Row],[e]]))</f>
        <v/>
      </c>
      <c r="L1176" s="2" t="str">
        <f>IF(Iterations[[#This Row],[Step]] =current_step, current_Total_Loss,IF(Iterations[[#This Row],[Step]] &gt; current_step, "",Iterations[[#This Row],[Total Loss]]))</f>
        <v/>
      </c>
      <c r="M1176" s="6" t="s">
        <v>27</v>
      </c>
      <c r="N1176" s="2" t="str">
        <f>IF(Iterations[[#This Row],[Step]] =current_step, current_Grad_a,IF(Iterations[[#This Row],[Step]] &gt; current_step, "",Iterations[[#This Row],[Grad_a]]))</f>
        <v/>
      </c>
      <c r="O1176" s="2" t="str">
        <f>IF(Iterations[[#This Row],[Step]] =current_step, current_Grad_b,IF(Iterations[[#This Row],[Step]] &gt; current_step, "",Iterations[[#This Row],[Grad_b]]))</f>
        <v/>
      </c>
      <c r="P1176" s="2" t="str">
        <f>IF(Iterations[[#This Row],[Step]] =current_step, current_Grad_c,IF(Iterations[[#This Row],[Step]] &gt; current_step, "",Iterations[[#This Row],[Grad_c]]))</f>
        <v/>
      </c>
      <c r="Q1176" s="2" t="str">
        <f>IF(Iterations[[#This Row],[Step]] =current_step, current_Grad_d,IF(Iterations[[#This Row],[Step]] &gt; current_step, "",Iterations[[#This Row],[Grad_d]]))</f>
        <v/>
      </c>
      <c r="R1176" s="2" t="str">
        <f>IF(Iterations[[#This Row],[Step]] =current_step, current_Grad_e,IF(Iterations[[#This Row],[Step]] &gt; current_step, "",Iterations[[#This Row],[Grad_e]]))</f>
        <v/>
      </c>
    </row>
    <row r="1177" spans="6:18" x14ac:dyDescent="0.3">
      <c r="F1177" s="2">
        <f t="shared" si="23"/>
        <v>1160</v>
      </c>
      <c r="G1177" s="2" t="str">
        <f>IF(Iterations[[#This Row],[Step]] =current_step, current_a,IF(Iterations[[#This Row],[Step]] &gt; current_step, "",Iterations[[#This Row],[a]]))</f>
        <v/>
      </c>
      <c r="H1177" s="2" t="str">
        <f>IF(Iterations[[#This Row],[Step]] =current_step, current_b,IF(Iterations[[#This Row],[Step]] &gt; current_step, "",Iterations[[#This Row],[b]]))</f>
        <v/>
      </c>
      <c r="I1177" s="2" t="str">
        <f>IF(Iterations[[#This Row],[Step]] =current_step, current_c,IF(Iterations[[#This Row],[Step]] &gt; current_step, "",Iterations[[#This Row],[c]]))</f>
        <v/>
      </c>
      <c r="J1177" s="2" t="str">
        <f>IF(Iterations[[#This Row],[Step]] =current_step, current_d,IF(Iterations[[#This Row],[Step]] &gt; current_step, "",Iterations[[#This Row],[d]]))</f>
        <v/>
      </c>
      <c r="K1177" s="2" t="str">
        <f>IF(Iterations[[#This Row],[Step]] =current_step, current_e,IF(Iterations[[#This Row],[Step]] &gt; current_step, "",Iterations[[#This Row],[e]]))</f>
        <v/>
      </c>
      <c r="L1177" s="2" t="str">
        <f>IF(Iterations[[#This Row],[Step]] =current_step, current_Total_Loss,IF(Iterations[[#This Row],[Step]] &gt; current_step, "",Iterations[[#This Row],[Total Loss]]))</f>
        <v/>
      </c>
      <c r="M1177" s="6" t="s">
        <v>27</v>
      </c>
      <c r="N1177" s="2" t="str">
        <f>IF(Iterations[[#This Row],[Step]] =current_step, current_Grad_a,IF(Iterations[[#This Row],[Step]] &gt; current_step, "",Iterations[[#This Row],[Grad_a]]))</f>
        <v/>
      </c>
      <c r="O1177" s="2" t="str">
        <f>IF(Iterations[[#This Row],[Step]] =current_step, current_Grad_b,IF(Iterations[[#This Row],[Step]] &gt; current_step, "",Iterations[[#This Row],[Grad_b]]))</f>
        <v/>
      </c>
      <c r="P1177" s="2" t="str">
        <f>IF(Iterations[[#This Row],[Step]] =current_step, current_Grad_c,IF(Iterations[[#This Row],[Step]] &gt; current_step, "",Iterations[[#This Row],[Grad_c]]))</f>
        <v/>
      </c>
      <c r="Q1177" s="2" t="str">
        <f>IF(Iterations[[#This Row],[Step]] =current_step, current_Grad_d,IF(Iterations[[#This Row],[Step]] &gt; current_step, "",Iterations[[#This Row],[Grad_d]]))</f>
        <v/>
      </c>
      <c r="R1177" s="2" t="str">
        <f>IF(Iterations[[#This Row],[Step]] =current_step, current_Grad_e,IF(Iterations[[#This Row],[Step]] &gt; current_step, "",Iterations[[#This Row],[Grad_e]]))</f>
        <v/>
      </c>
    </row>
    <row r="1178" spans="6:18" x14ac:dyDescent="0.3">
      <c r="F1178" s="2">
        <f t="shared" si="23"/>
        <v>1161</v>
      </c>
      <c r="G1178" s="2" t="str">
        <f>IF(Iterations[[#This Row],[Step]] =current_step, current_a,IF(Iterations[[#This Row],[Step]] &gt; current_step, "",Iterations[[#This Row],[a]]))</f>
        <v/>
      </c>
      <c r="H1178" s="2" t="str">
        <f>IF(Iterations[[#This Row],[Step]] =current_step, current_b,IF(Iterations[[#This Row],[Step]] &gt; current_step, "",Iterations[[#This Row],[b]]))</f>
        <v/>
      </c>
      <c r="I1178" s="2" t="str">
        <f>IF(Iterations[[#This Row],[Step]] =current_step, current_c,IF(Iterations[[#This Row],[Step]] &gt; current_step, "",Iterations[[#This Row],[c]]))</f>
        <v/>
      </c>
      <c r="J1178" s="2" t="str">
        <f>IF(Iterations[[#This Row],[Step]] =current_step, current_d,IF(Iterations[[#This Row],[Step]] &gt; current_step, "",Iterations[[#This Row],[d]]))</f>
        <v/>
      </c>
      <c r="K1178" s="2" t="str">
        <f>IF(Iterations[[#This Row],[Step]] =current_step, current_e,IF(Iterations[[#This Row],[Step]] &gt; current_step, "",Iterations[[#This Row],[e]]))</f>
        <v/>
      </c>
      <c r="L1178" s="2" t="str">
        <f>IF(Iterations[[#This Row],[Step]] =current_step, current_Total_Loss,IF(Iterations[[#This Row],[Step]] &gt; current_step, "",Iterations[[#This Row],[Total Loss]]))</f>
        <v/>
      </c>
      <c r="M1178" s="6" t="s">
        <v>27</v>
      </c>
      <c r="N1178" s="2" t="str">
        <f>IF(Iterations[[#This Row],[Step]] =current_step, current_Grad_a,IF(Iterations[[#This Row],[Step]] &gt; current_step, "",Iterations[[#This Row],[Grad_a]]))</f>
        <v/>
      </c>
      <c r="O1178" s="2" t="str">
        <f>IF(Iterations[[#This Row],[Step]] =current_step, current_Grad_b,IF(Iterations[[#This Row],[Step]] &gt; current_step, "",Iterations[[#This Row],[Grad_b]]))</f>
        <v/>
      </c>
      <c r="P1178" s="2" t="str">
        <f>IF(Iterations[[#This Row],[Step]] =current_step, current_Grad_c,IF(Iterations[[#This Row],[Step]] &gt; current_step, "",Iterations[[#This Row],[Grad_c]]))</f>
        <v/>
      </c>
      <c r="Q1178" s="2" t="str">
        <f>IF(Iterations[[#This Row],[Step]] =current_step, current_Grad_d,IF(Iterations[[#This Row],[Step]] &gt; current_step, "",Iterations[[#This Row],[Grad_d]]))</f>
        <v/>
      </c>
      <c r="R1178" s="2" t="str">
        <f>IF(Iterations[[#This Row],[Step]] =current_step, current_Grad_e,IF(Iterations[[#This Row],[Step]] &gt; current_step, "",Iterations[[#This Row],[Grad_e]]))</f>
        <v/>
      </c>
    </row>
    <row r="1179" spans="6:18" x14ac:dyDescent="0.3">
      <c r="F1179" s="2">
        <f t="shared" si="23"/>
        <v>1162</v>
      </c>
      <c r="G1179" s="2" t="str">
        <f>IF(Iterations[[#This Row],[Step]] =current_step, current_a,IF(Iterations[[#This Row],[Step]] &gt; current_step, "",Iterations[[#This Row],[a]]))</f>
        <v/>
      </c>
      <c r="H1179" s="2" t="str">
        <f>IF(Iterations[[#This Row],[Step]] =current_step, current_b,IF(Iterations[[#This Row],[Step]] &gt; current_step, "",Iterations[[#This Row],[b]]))</f>
        <v/>
      </c>
      <c r="I1179" s="2" t="str">
        <f>IF(Iterations[[#This Row],[Step]] =current_step, current_c,IF(Iterations[[#This Row],[Step]] &gt; current_step, "",Iterations[[#This Row],[c]]))</f>
        <v/>
      </c>
      <c r="J1179" s="2" t="str">
        <f>IF(Iterations[[#This Row],[Step]] =current_step, current_d,IF(Iterations[[#This Row],[Step]] &gt; current_step, "",Iterations[[#This Row],[d]]))</f>
        <v/>
      </c>
      <c r="K1179" s="2" t="str">
        <f>IF(Iterations[[#This Row],[Step]] =current_step, current_e,IF(Iterations[[#This Row],[Step]] &gt; current_step, "",Iterations[[#This Row],[e]]))</f>
        <v/>
      </c>
      <c r="L1179" s="2" t="str">
        <f>IF(Iterations[[#This Row],[Step]] =current_step, current_Total_Loss,IF(Iterations[[#This Row],[Step]] &gt; current_step, "",Iterations[[#This Row],[Total Loss]]))</f>
        <v/>
      </c>
      <c r="M1179" s="6" t="s">
        <v>27</v>
      </c>
      <c r="N1179" s="2" t="str">
        <f>IF(Iterations[[#This Row],[Step]] =current_step, current_Grad_a,IF(Iterations[[#This Row],[Step]] &gt; current_step, "",Iterations[[#This Row],[Grad_a]]))</f>
        <v/>
      </c>
      <c r="O1179" s="2" t="str">
        <f>IF(Iterations[[#This Row],[Step]] =current_step, current_Grad_b,IF(Iterations[[#This Row],[Step]] &gt; current_step, "",Iterations[[#This Row],[Grad_b]]))</f>
        <v/>
      </c>
      <c r="P1179" s="2" t="str">
        <f>IF(Iterations[[#This Row],[Step]] =current_step, current_Grad_c,IF(Iterations[[#This Row],[Step]] &gt; current_step, "",Iterations[[#This Row],[Grad_c]]))</f>
        <v/>
      </c>
      <c r="Q1179" s="2" t="str">
        <f>IF(Iterations[[#This Row],[Step]] =current_step, current_Grad_d,IF(Iterations[[#This Row],[Step]] &gt; current_step, "",Iterations[[#This Row],[Grad_d]]))</f>
        <v/>
      </c>
      <c r="R1179" s="2" t="str">
        <f>IF(Iterations[[#This Row],[Step]] =current_step, current_Grad_e,IF(Iterations[[#This Row],[Step]] &gt; current_step, "",Iterations[[#This Row],[Grad_e]]))</f>
        <v/>
      </c>
    </row>
    <row r="1180" spans="6:18" x14ac:dyDescent="0.3">
      <c r="F1180" s="2">
        <f t="shared" si="23"/>
        <v>1163</v>
      </c>
      <c r="G1180" s="2" t="str">
        <f>IF(Iterations[[#This Row],[Step]] =current_step, current_a,IF(Iterations[[#This Row],[Step]] &gt; current_step, "",Iterations[[#This Row],[a]]))</f>
        <v/>
      </c>
      <c r="H1180" s="2" t="str">
        <f>IF(Iterations[[#This Row],[Step]] =current_step, current_b,IF(Iterations[[#This Row],[Step]] &gt; current_step, "",Iterations[[#This Row],[b]]))</f>
        <v/>
      </c>
      <c r="I1180" s="2" t="str">
        <f>IF(Iterations[[#This Row],[Step]] =current_step, current_c,IF(Iterations[[#This Row],[Step]] &gt; current_step, "",Iterations[[#This Row],[c]]))</f>
        <v/>
      </c>
      <c r="J1180" s="2" t="str">
        <f>IF(Iterations[[#This Row],[Step]] =current_step, current_d,IF(Iterations[[#This Row],[Step]] &gt; current_step, "",Iterations[[#This Row],[d]]))</f>
        <v/>
      </c>
      <c r="K1180" s="2" t="str">
        <f>IF(Iterations[[#This Row],[Step]] =current_step, current_e,IF(Iterations[[#This Row],[Step]] &gt; current_step, "",Iterations[[#This Row],[e]]))</f>
        <v/>
      </c>
      <c r="L1180" s="2" t="str">
        <f>IF(Iterations[[#This Row],[Step]] =current_step, current_Total_Loss,IF(Iterations[[#This Row],[Step]] &gt; current_step, "",Iterations[[#This Row],[Total Loss]]))</f>
        <v/>
      </c>
      <c r="M1180" s="6" t="s">
        <v>27</v>
      </c>
      <c r="N1180" s="2" t="str">
        <f>IF(Iterations[[#This Row],[Step]] =current_step, current_Grad_a,IF(Iterations[[#This Row],[Step]] &gt; current_step, "",Iterations[[#This Row],[Grad_a]]))</f>
        <v/>
      </c>
      <c r="O1180" s="2" t="str">
        <f>IF(Iterations[[#This Row],[Step]] =current_step, current_Grad_b,IF(Iterations[[#This Row],[Step]] &gt; current_step, "",Iterations[[#This Row],[Grad_b]]))</f>
        <v/>
      </c>
      <c r="P1180" s="2" t="str">
        <f>IF(Iterations[[#This Row],[Step]] =current_step, current_Grad_c,IF(Iterations[[#This Row],[Step]] &gt; current_step, "",Iterations[[#This Row],[Grad_c]]))</f>
        <v/>
      </c>
      <c r="Q1180" s="2" t="str">
        <f>IF(Iterations[[#This Row],[Step]] =current_step, current_Grad_d,IF(Iterations[[#This Row],[Step]] &gt; current_step, "",Iterations[[#This Row],[Grad_d]]))</f>
        <v/>
      </c>
      <c r="R1180" s="2" t="str">
        <f>IF(Iterations[[#This Row],[Step]] =current_step, current_Grad_e,IF(Iterations[[#This Row],[Step]] &gt; current_step, "",Iterations[[#This Row],[Grad_e]]))</f>
        <v/>
      </c>
    </row>
    <row r="1181" spans="6:18" x14ac:dyDescent="0.3">
      <c r="F1181" s="2">
        <f t="shared" si="23"/>
        <v>1164</v>
      </c>
      <c r="G1181" s="2" t="str">
        <f>IF(Iterations[[#This Row],[Step]] =current_step, current_a,IF(Iterations[[#This Row],[Step]] &gt; current_step, "",Iterations[[#This Row],[a]]))</f>
        <v/>
      </c>
      <c r="H1181" s="2" t="str">
        <f>IF(Iterations[[#This Row],[Step]] =current_step, current_b,IF(Iterations[[#This Row],[Step]] &gt; current_step, "",Iterations[[#This Row],[b]]))</f>
        <v/>
      </c>
      <c r="I1181" s="2" t="str">
        <f>IF(Iterations[[#This Row],[Step]] =current_step, current_c,IF(Iterations[[#This Row],[Step]] &gt; current_step, "",Iterations[[#This Row],[c]]))</f>
        <v/>
      </c>
      <c r="J1181" s="2" t="str">
        <f>IF(Iterations[[#This Row],[Step]] =current_step, current_d,IF(Iterations[[#This Row],[Step]] &gt; current_step, "",Iterations[[#This Row],[d]]))</f>
        <v/>
      </c>
      <c r="K1181" s="2" t="str">
        <f>IF(Iterations[[#This Row],[Step]] =current_step, current_e,IF(Iterations[[#This Row],[Step]] &gt; current_step, "",Iterations[[#This Row],[e]]))</f>
        <v/>
      </c>
      <c r="L1181" s="2" t="str">
        <f>IF(Iterations[[#This Row],[Step]] =current_step, current_Total_Loss,IF(Iterations[[#This Row],[Step]] &gt; current_step, "",Iterations[[#This Row],[Total Loss]]))</f>
        <v/>
      </c>
      <c r="M1181" s="6" t="s">
        <v>27</v>
      </c>
      <c r="N1181" s="2" t="str">
        <f>IF(Iterations[[#This Row],[Step]] =current_step, current_Grad_a,IF(Iterations[[#This Row],[Step]] &gt; current_step, "",Iterations[[#This Row],[Grad_a]]))</f>
        <v/>
      </c>
      <c r="O1181" s="2" t="str">
        <f>IF(Iterations[[#This Row],[Step]] =current_step, current_Grad_b,IF(Iterations[[#This Row],[Step]] &gt; current_step, "",Iterations[[#This Row],[Grad_b]]))</f>
        <v/>
      </c>
      <c r="P1181" s="2" t="str">
        <f>IF(Iterations[[#This Row],[Step]] =current_step, current_Grad_c,IF(Iterations[[#This Row],[Step]] &gt; current_step, "",Iterations[[#This Row],[Grad_c]]))</f>
        <v/>
      </c>
      <c r="Q1181" s="2" t="str">
        <f>IF(Iterations[[#This Row],[Step]] =current_step, current_Grad_d,IF(Iterations[[#This Row],[Step]] &gt; current_step, "",Iterations[[#This Row],[Grad_d]]))</f>
        <v/>
      </c>
      <c r="R1181" s="2" t="str">
        <f>IF(Iterations[[#This Row],[Step]] =current_step, current_Grad_e,IF(Iterations[[#This Row],[Step]] &gt; current_step, "",Iterations[[#This Row],[Grad_e]]))</f>
        <v/>
      </c>
    </row>
    <row r="1182" spans="6:18" x14ac:dyDescent="0.3">
      <c r="F1182" s="2">
        <f t="shared" si="23"/>
        <v>1165</v>
      </c>
      <c r="G1182" s="2" t="str">
        <f>IF(Iterations[[#This Row],[Step]] =current_step, current_a,IF(Iterations[[#This Row],[Step]] &gt; current_step, "",Iterations[[#This Row],[a]]))</f>
        <v/>
      </c>
      <c r="H1182" s="2" t="str">
        <f>IF(Iterations[[#This Row],[Step]] =current_step, current_b,IF(Iterations[[#This Row],[Step]] &gt; current_step, "",Iterations[[#This Row],[b]]))</f>
        <v/>
      </c>
      <c r="I1182" s="2" t="str">
        <f>IF(Iterations[[#This Row],[Step]] =current_step, current_c,IF(Iterations[[#This Row],[Step]] &gt; current_step, "",Iterations[[#This Row],[c]]))</f>
        <v/>
      </c>
      <c r="J1182" s="2" t="str">
        <f>IF(Iterations[[#This Row],[Step]] =current_step, current_d,IF(Iterations[[#This Row],[Step]] &gt; current_step, "",Iterations[[#This Row],[d]]))</f>
        <v/>
      </c>
      <c r="K1182" s="2" t="str">
        <f>IF(Iterations[[#This Row],[Step]] =current_step, current_e,IF(Iterations[[#This Row],[Step]] &gt; current_step, "",Iterations[[#This Row],[e]]))</f>
        <v/>
      </c>
      <c r="L1182" s="2" t="str">
        <f>IF(Iterations[[#This Row],[Step]] =current_step, current_Total_Loss,IF(Iterations[[#This Row],[Step]] &gt; current_step, "",Iterations[[#This Row],[Total Loss]]))</f>
        <v/>
      </c>
      <c r="M1182" s="6" t="s">
        <v>27</v>
      </c>
      <c r="N1182" s="2" t="str">
        <f>IF(Iterations[[#This Row],[Step]] =current_step, current_Grad_a,IF(Iterations[[#This Row],[Step]] &gt; current_step, "",Iterations[[#This Row],[Grad_a]]))</f>
        <v/>
      </c>
      <c r="O1182" s="2" t="str">
        <f>IF(Iterations[[#This Row],[Step]] =current_step, current_Grad_b,IF(Iterations[[#This Row],[Step]] &gt; current_step, "",Iterations[[#This Row],[Grad_b]]))</f>
        <v/>
      </c>
      <c r="P1182" s="2" t="str">
        <f>IF(Iterations[[#This Row],[Step]] =current_step, current_Grad_c,IF(Iterations[[#This Row],[Step]] &gt; current_step, "",Iterations[[#This Row],[Grad_c]]))</f>
        <v/>
      </c>
      <c r="Q1182" s="2" t="str">
        <f>IF(Iterations[[#This Row],[Step]] =current_step, current_Grad_d,IF(Iterations[[#This Row],[Step]] &gt; current_step, "",Iterations[[#This Row],[Grad_d]]))</f>
        <v/>
      </c>
      <c r="R1182" s="2" t="str">
        <f>IF(Iterations[[#This Row],[Step]] =current_step, current_Grad_e,IF(Iterations[[#This Row],[Step]] &gt; current_step, "",Iterations[[#This Row],[Grad_e]]))</f>
        <v/>
      </c>
    </row>
    <row r="1183" spans="6:18" x14ac:dyDescent="0.3">
      <c r="F1183" s="2">
        <f t="shared" si="23"/>
        <v>1166</v>
      </c>
      <c r="G1183" s="2" t="str">
        <f>IF(Iterations[[#This Row],[Step]] =current_step, current_a,IF(Iterations[[#This Row],[Step]] &gt; current_step, "",Iterations[[#This Row],[a]]))</f>
        <v/>
      </c>
      <c r="H1183" s="2" t="str">
        <f>IF(Iterations[[#This Row],[Step]] =current_step, current_b,IF(Iterations[[#This Row],[Step]] &gt; current_step, "",Iterations[[#This Row],[b]]))</f>
        <v/>
      </c>
      <c r="I1183" s="2" t="str">
        <f>IF(Iterations[[#This Row],[Step]] =current_step, current_c,IF(Iterations[[#This Row],[Step]] &gt; current_step, "",Iterations[[#This Row],[c]]))</f>
        <v/>
      </c>
      <c r="J1183" s="2" t="str">
        <f>IF(Iterations[[#This Row],[Step]] =current_step, current_d,IF(Iterations[[#This Row],[Step]] &gt; current_step, "",Iterations[[#This Row],[d]]))</f>
        <v/>
      </c>
      <c r="K1183" s="2" t="str">
        <f>IF(Iterations[[#This Row],[Step]] =current_step, current_e,IF(Iterations[[#This Row],[Step]] &gt; current_step, "",Iterations[[#This Row],[e]]))</f>
        <v/>
      </c>
      <c r="L1183" s="2" t="str">
        <f>IF(Iterations[[#This Row],[Step]] =current_step, current_Total_Loss,IF(Iterations[[#This Row],[Step]] &gt; current_step, "",Iterations[[#This Row],[Total Loss]]))</f>
        <v/>
      </c>
      <c r="M1183" s="6" t="s">
        <v>27</v>
      </c>
      <c r="N1183" s="2" t="str">
        <f>IF(Iterations[[#This Row],[Step]] =current_step, current_Grad_a,IF(Iterations[[#This Row],[Step]] &gt; current_step, "",Iterations[[#This Row],[Grad_a]]))</f>
        <v/>
      </c>
      <c r="O1183" s="2" t="str">
        <f>IF(Iterations[[#This Row],[Step]] =current_step, current_Grad_b,IF(Iterations[[#This Row],[Step]] &gt; current_step, "",Iterations[[#This Row],[Grad_b]]))</f>
        <v/>
      </c>
      <c r="P1183" s="2" t="str">
        <f>IF(Iterations[[#This Row],[Step]] =current_step, current_Grad_c,IF(Iterations[[#This Row],[Step]] &gt; current_step, "",Iterations[[#This Row],[Grad_c]]))</f>
        <v/>
      </c>
      <c r="Q1183" s="2" t="str">
        <f>IF(Iterations[[#This Row],[Step]] =current_step, current_Grad_d,IF(Iterations[[#This Row],[Step]] &gt; current_step, "",Iterations[[#This Row],[Grad_d]]))</f>
        <v/>
      </c>
      <c r="R1183" s="2" t="str">
        <f>IF(Iterations[[#This Row],[Step]] =current_step, current_Grad_e,IF(Iterations[[#This Row],[Step]] &gt; current_step, "",Iterations[[#This Row],[Grad_e]]))</f>
        <v/>
      </c>
    </row>
    <row r="1184" spans="6:18" x14ac:dyDescent="0.3">
      <c r="F1184" s="2">
        <f t="shared" si="23"/>
        <v>1167</v>
      </c>
      <c r="G1184" s="2" t="str">
        <f>IF(Iterations[[#This Row],[Step]] =current_step, current_a,IF(Iterations[[#This Row],[Step]] &gt; current_step, "",Iterations[[#This Row],[a]]))</f>
        <v/>
      </c>
      <c r="H1184" s="2" t="str">
        <f>IF(Iterations[[#This Row],[Step]] =current_step, current_b,IF(Iterations[[#This Row],[Step]] &gt; current_step, "",Iterations[[#This Row],[b]]))</f>
        <v/>
      </c>
      <c r="I1184" s="2" t="str">
        <f>IF(Iterations[[#This Row],[Step]] =current_step, current_c,IF(Iterations[[#This Row],[Step]] &gt; current_step, "",Iterations[[#This Row],[c]]))</f>
        <v/>
      </c>
      <c r="J1184" s="2" t="str">
        <f>IF(Iterations[[#This Row],[Step]] =current_step, current_d,IF(Iterations[[#This Row],[Step]] &gt; current_step, "",Iterations[[#This Row],[d]]))</f>
        <v/>
      </c>
      <c r="K1184" s="2" t="str">
        <f>IF(Iterations[[#This Row],[Step]] =current_step, current_e,IF(Iterations[[#This Row],[Step]] &gt; current_step, "",Iterations[[#This Row],[e]]))</f>
        <v/>
      </c>
      <c r="L1184" s="2" t="str">
        <f>IF(Iterations[[#This Row],[Step]] =current_step, current_Total_Loss,IF(Iterations[[#This Row],[Step]] &gt; current_step, "",Iterations[[#This Row],[Total Loss]]))</f>
        <v/>
      </c>
      <c r="M1184" s="6" t="s">
        <v>27</v>
      </c>
      <c r="N1184" s="2" t="str">
        <f>IF(Iterations[[#This Row],[Step]] =current_step, current_Grad_a,IF(Iterations[[#This Row],[Step]] &gt; current_step, "",Iterations[[#This Row],[Grad_a]]))</f>
        <v/>
      </c>
      <c r="O1184" s="2" t="str">
        <f>IF(Iterations[[#This Row],[Step]] =current_step, current_Grad_b,IF(Iterations[[#This Row],[Step]] &gt; current_step, "",Iterations[[#This Row],[Grad_b]]))</f>
        <v/>
      </c>
      <c r="P1184" s="2" t="str">
        <f>IF(Iterations[[#This Row],[Step]] =current_step, current_Grad_c,IF(Iterations[[#This Row],[Step]] &gt; current_step, "",Iterations[[#This Row],[Grad_c]]))</f>
        <v/>
      </c>
      <c r="Q1184" s="2" t="str">
        <f>IF(Iterations[[#This Row],[Step]] =current_step, current_Grad_d,IF(Iterations[[#This Row],[Step]] &gt; current_step, "",Iterations[[#This Row],[Grad_d]]))</f>
        <v/>
      </c>
      <c r="R1184" s="2" t="str">
        <f>IF(Iterations[[#This Row],[Step]] =current_step, current_Grad_e,IF(Iterations[[#This Row],[Step]] &gt; current_step, "",Iterations[[#This Row],[Grad_e]]))</f>
        <v/>
      </c>
    </row>
    <row r="1185" spans="6:18" x14ac:dyDescent="0.3">
      <c r="F1185" s="2">
        <f t="shared" si="23"/>
        <v>1168</v>
      </c>
      <c r="G1185" s="2" t="str">
        <f>IF(Iterations[[#This Row],[Step]] =current_step, current_a,IF(Iterations[[#This Row],[Step]] &gt; current_step, "",Iterations[[#This Row],[a]]))</f>
        <v/>
      </c>
      <c r="H1185" s="2" t="str">
        <f>IF(Iterations[[#This Row],[Step]] =current_step, current_b,IF(Iterations[[#This Row],[Step]] &gt; current_step, "",Iterations[[#This Row],[b]]))</f>
        <v/>
      </c>
      <c r="I1185" s="2" t="str">
        <f>IF(Iterations[[#This Row],[Step]] =current_step, current_c,IF(Iterations[[#This Row],[Step]] &gt; current_step, "",Iterations[[#This Row],[c]]))</f>
        <v/>
      </c>
      <c r="J1185" s="2" t="str">
        <f>IF(Iterations[[#This Row],[Step]] =current_step, current_d,IF(Iterations[[#This Row],[Step]] &gt; current_step, "",Iterations[[#This Row],[d]]))</f>
        <v/>
      </c>
      <c r="K1185" s="2" t="str">
        <f>IF(Iterations[[#This Row],[Step]] =current_step, current_e,IF(Iterations[[#This Row],[Step]] &gt; current_step, "",Iterations[[#This Row],[e]]))</f>
        <v/>
      </c>
      <c r="L1185" s="2" t="str">
        <f>IF(Iterations[[#This Row],[Step]] =current_step, current_Total_Loss,IF(Iterations[[#This Row],[Step]] &gt; current_step, "",Iterations[[#This Row],[Total Loss]]))</f>
        <v/>
      </c>
      <c r="M1185" s="6" t="s">
        <v>27</v>
      </c>
      <c r="N1185" s="2" t="str">
        <f>IF(Iterations[[#This Row],[Step]] =current_step, current_Grad_a,IF(Iterations[[#This Row],[Step]] &gt; current_step, "",Iterations[[#This Row],[Grad_a]]))</f>
        <v/>
      </c>
      <c r="O1185" s="2" t="str">
        <f>IF(Iterations[[#This Row],[Step]] =current_step, current_Grad_b,IF(Iterations[[#This Row],[Step]] &gt; current_step, "",Iterations[[#This Row],[Grad_b]]))</f>
        <v/>
      </c>
      <c r="P1185" s="2" t="str">
        <f>IF(Iterations[[#This Row],[Step]] =current_step, current_Grad_c,IF(Iterations[[#This Row],[Step]] &gt; current_step, "",Iterations[[#This Row],[Grad_c]]))</f>
        <v/>
      </c>
      <c r="Q1185" s="2" t="str">
        <f>IF(Iterations[[#This Row],[Step]] =current_step, current_Grad_d,IF(Iterations[[#This Row],[Step]] &gt; current_step, "",Iterations[[#This Row],[Grad_d]]))</f>
        <v/>
      </c>
      <c r="R1185" s="2" t="str">
        <f>IF(Iterations[[#This Row],[Step]] =current_step, current_Grad_e,IF(Iterations[[#This Row],[Step]] &gt; current_step, "",Iterations[[#This Row],[Grad_e]]))</f>
        <v/>
      </c>
    </row>
    <row r="1186" spans="6:18" x14ac:dyDescent="0.3">
      <c r="F1186" s="2">
        <f t="shared" si="23"/>
        <v>1169</v>
      </c>
      <c r="G1186" s="2" t="str">
        <f>IF(Iterations[[#This Row],[Step]] =current_step, current_a,IF(Iterations[[#This Row],[Step]] &gt; current_step, "",Iterations[[#This Row],[a]]))</f>
        <v/>
      </c>
      <c r="H1186" s="2" t="str">
        <f>IF(Iterations[[#This Row],[Step]] =current_step, current_b,IF(Iterations[[#This Row],[Step]] &gt; current_step, "",Iterations[[#This Row],[b]]))</f>
        <v/>
      </c>
      <c r="I1186" s="2" t="str">
        <f>IF(Iterations[[#This Row],[Step]] =current_step, current_c,IF(Iterations[[#This Row],[Step]] &gt; current_step, "",Iterations[[#This Row],[c]]))</f>
        <v/>
      </c>
      <c r="J1186" s="2" t="str">
        <f>IF(Iterations[[#This Row],[Step]] =current_step, current_d,IF(Iterations[[#This Row],[Step]] &gt; current_step, "",Iterations[[#This Row],[d]]))</f>
        <v/>
      </c>
      <c r="K1186" s="2" t="str">
        <f>IF(Iterations[[#This Row],[Step]] =current_step, current_e,IF(Iterations[[#This Row],[Step]] &gt; current_step, "",Iterations[[#This Row],[e]]))</f>
        <v/>
      </c>
      <c r="L1186" s="2" t="str">
        <f>IF(Iterations[[#This Row],[Step]] =current_step, current_Total_Loss,IF(Iterations[[#This Row],[Step]] &gt; current_step, "",Iterations[[#This Row],[Total Loss]]))</f>
        <v/>
      </c>
      <c r="M1186" s="6" t="s">
        <v>27</v>
      </c>
      <c r="N1186" s="2" t="str">
        <f>IF(Iterations[[#This Row],[Step]] =current_step, current_Grad_a,IF(Iterations[[#This Row],[Step]] &gt; current_step, "",Iterations[[#This Row],[Grad_a]]))</f>
        <v/>
      </c>
      <c r="O1186" s="2" t="str">
        <f>IF(Iterations[[#This Row],[Step]] =current_step, current_Grad_b,IF(Iterations[[#This Row],[Step]] &gt; current_step, "",Iterations[[#This Row],[Grad_b]]))</f>
        <v/>
      </c>
      <c r="P1186" s="2" t="str">
        <f>IF(Iterations[[#This Row],[Step]] =current_step, current_Grad_c,IF(Iterations[[#This Row],[Step]] &gt; current_step, "",Iterations[[#This Row],[Grad_c]]))</f>
        <v/>
      </c>
      <c r="Q1186" s="2" t="str">
        <f>IF(Iterations[[#This Row],[Step]] =current_step, current_Grad_d,IF(Iterations[[#This Row],[Step]] &gt; current_step, "",Iterations[[#This Row],[Grad_d]]))</f>
        <v/>
      </c>
      <c r="R1186" s="2" t="str">
        <f>IF(Iterations[[#This Row],[Step]] =current_step, current_Grad_e,IF(Iterations[[#This Row],[Step]] &gt; current_step, "",Iterations[[#This Row],[Grad_e]]))</f>
        <v/>
      </c>
    </row>
    <row r="1187" spans="6:18" x14ac:dyDescent="0.3">
      <c r="F1187" s="2">
        <f t="shared" si="23"/>
        <v>1170</v>
      </c>
      <c r="G1187" s="2" t="str">
        <f>IF(Iterations[[#This Row],[Step]] =current_step, current_a,IF(Iterations[[#This Row],[Step]] &gt; current_step, "",Iterations[[#This Row],[a]]))</f>
        <v/>
      </c>
      <c r="H1187" s="2" t="str">
        <f>IF(Iterations[[#This Row],[Step]] =current_step, current_b,IF(Iterations[[#This Row],[Step]] &gt; current_step, "",Iterations[[#This Row],[b]]))</f>
        <v/>
      </c>
      <c r="I1187" s="2" t="str">
        <f>IF(Iterations[[#This Row],[Step]] =current_step, current_c,IF(Iterations[[#This Row],[Step]] &gt; current_step, "",Iterations[[#This Row],[c]]))</f>
        <v/>
      </c>
      <c r="J1187" s="2" t="str">
        <f>IF(Iterations[[#This Row],[Step]] =current_step, current_d,IF(Iterations[[#This Row],[Step]] &gt; current_step, "",Iterations[[#This Row],[d]]))</f>
        <v/>
      </c>
      <c r="K1187" s="2" t="str">
        <f>IF(Iterations[[#This Row],[Step]] =current_step, current_e,IF(Iterations[[#This Row],[Step]] &gt; current_step, "",Iterations[[#This Row],[e]]))</f>
        <v/>
      </c>
      <c r="L1187" s="2" t="str">
        <f>IF(Iterations[[#This Row],[Step]] =current_step, current_Total_Loss,IF(Iterations[[#This Row],[Step]] &gt; current_step, "",Iterations[[#This Row],[Total Loss]]))</f>
        <v/>
      </c>
      <c r="M1187" s="6" t="s">
        <v>27</v>
      </c>
      <c r="N1187" s="2" t="str">
        <f>IF(Iterations[[#This Row],[Step]] =current_step, current_Grad_a,IF(Iterations[[#This Row],[Step]] &gt; current_step, "",Iterations[[#This Row],[Grad_a]]))</f>
        <v/>
      </c>
      <c r="O1187" s="2" t="str">
        <f>IF(Iterations[[#This Row],[Step]] =current_step, current_Grad_b,IF(Iterations[[#This Row],[Step]] &gt; current_step, "",Iterations[[#This Row],[Grad_b]]))</f>
        <v/>
      </c>
      <c r="P1187" s="2" t="str">
        <f>IF(Iterations[[#This Row],[Step]] =current_step, current_Grad_c,IF(Iterations[[#This Row],[Step]] &gt; current_step, "",Iterations[[#This Row],[Grad_c]]))</f>
        <v/>
      </c>
      <c r="Q1187" s="2" t="str">
        <f>IF(Iterations[[#This Row],[Step]] =current_step, current_Grad_d,IF(Iterations[[#This Row],[Step]] &gt; current_step, "",Iterations[[#This Row],[Grad_d]]))</f>
        <v/>
      </c>
      <c r="R1187" s="2" t="str">
        <f>IF(Iterations[[#This Row],[Step]] =current_step, current_Grad_e,IF(Iterations[[#This Row],[Step]] &gt; current_step, "",Iterations[[#This Row],[Grad_e]]))</f>
        <v/>
      </c>
    </row>
    <row r="1188" spans="6:18" x14ac:dyDescent="0.3">
      <c r="F1188" s="2">
        <f t="shared" si="23"/>
        <v>1171</v>
      </c>
      <c r="G1188" s="2" t="str">
        <f>IF(Iterations[[#This Row],[Step]] =current_step, current_a,IF(Iterations[[#This Row],[Step]] &gt; current_step, "",Iterations[[#This Row],[a]]))</f>
        <v/>
      </c>
      <c r="H1188" s="2" t="str">
        <f>IF(Iterations[[#This Row],[Step]] =current_step, current_b,IF(Iterations[[#This Row],[Step]] &gt; current_step, "",Iterations[[#This Row],[b]]))</f>
        <v/>
      </c>
      <c r="I1188" s="2" t="str">
        <f>IF(Iterations[[#This Row],[Step]] =current_step, current_c,IF(Iterations[[#This Row],[Step]] &gt; current_step, "",Iterations[[#This Row],[c]]))</f>
        <v/>
      </c>
      <c r="J1188" s="2" t="str">
        <f>IF(Iterations[[#This Row],[Step]] =current_step, current_d,IF(Iterations[[#This Row],[Step]] &gt; current_step, "",Iterations[[#This Row],[d]]))</f>
        <v/>
      </c>
      <c r="K1188" s="2" t="str">
        <f>IF(Iterations[[#This Row],[Step]] =current_step, current_e,IF(Iterations[[#This Row],[Step]] &gt; current_step, "",Iterations[[#This Row],[e]]))</f>
        <v/>
      </c>
      <c r="L1188" s="2" t="str">
        <f>IF(Iterations[[#This Row],[Step]] =current_step, current_Total_Loss,IF(Iterations[[#This Row],[Step]] &gt; current_step, "",Iterations[[#This Row],[Total Loss]]))</f>
        <v/>
      </c>
      <c r="M1188" s="6" t="s">
        <v>27</v>
      </c>
      <c r="N1188" s="2" t="str">
        <f>IF(Iterations[[#This Row],[Step]] =current_step, current_Grad_a,IF(Iterations[[#This Row],[Step]] &gt; current_step, "",Iterations[[#This Row],[Grad_a]]))</f>
        <v/>
      </c>
      <c r="O1188" s="2" t="str">
        <f>IF(Iterations[[#This Row],[Step]] =current_step, current_Grad_b,IF(Iterations[[#This Row],[Step]] &gt; current_step, "",Iterations[[#This Row],[Grad_b]]))</f>
        <v/>
      </c>
      <c r="P1188" s="2" t="str">
        <f>IF(Iterations[[#This Row],[Step]] =current_step, current_Grad_c,IF(Iterations[[#This Row],[Step]] &gt; current_step, "",Iterations[[#This Row],[Grad_c]]))</f>
        <v/>
      </c>
      <c r="Q1188" s="2" t="str">
        <f>IF(Iterations[[#This Row],[Step]] =current_step, current_Grad_d,IF(Iterations[[#This Row],[Step]] &gt; current_step, "",Iterations[[#This Row],[Grad_d]]))</f>
        <v/>
      </c>
      <c r="R1188" s="2" t="str">
        <f>IF(Iterations[[#This Row],[Step]] =current_step, current_Grad_e,IF(Iterations[[#This Row],[Step]] &gt; current_step, "",Iterations[[#This Row],[Grad_e]]))</f>
        <v/>
      </c>
    </row>
    <row r="1189" spans="6:18" x14ac:dyDescent="0.3">
      <c r="F1189" s="2">
        <f t="shared" si="23"/>
        <v>1172</v>
      </c>
      <c r="G1189" s="2" t="str">
        <f>IF(Iterations[[#This Row],[Step]] =current_step, current_a,IF(Iterations[[#This Row],[Step]] &gt; current_step, "",Iterations[[#This Row],[a]]))</f>
        <v/>
      </c>
      <c r="H1189" s="2" t="str">
        <f>IF(Iterations[[#This Row],[Step]] =current_step, current_b,IF(Iterations[[#This Row],[Step]] &gt; current_step, "",Iterations[[#This Row],[b]]))</f>
        <v/>
      </c>
      <c r="I1189" s="2" t="str">
        <f>IF(Iterations[[#This Row],[Step]] =current_step, current_c,IF(Iterations[[#This Row],[Step]] &gt; current_step, "",Iterations[[#This Row],[c]]))</f>
        <v/>
      </c>
      <c r="J1189" s="2" t="str">
        <f>IF(Iterations[[#This Row],[Step]] =current_step, current_d,IF(Iterations[[#This Row],[Step]] &gt; current_step, "",Iterations[[#This Row],[d]]))</f>
        <v/>
      </c>
      <c r="K1189" s="2" t="str">
        <f>IF(Iterations[[#This Row],[Step]] =current_step, current_e,IF(Iterations[[#This Row],[Step]] &gt; current_step, "",Iterations[[#This Row],[e]]))</f>
        <v/>
      </c>
      <c r="L1189" s="2" t="str">
        <f>IF(Iterations[[#This Row],[Step]] =current_step, current_Total_Loss,IF(Iterations[[#This Row],[Step]] &gt; current_step, "",Iterations[[#This Row],[Total Loss]]))</f>
        <v/>
      </c>
      <c r="M1189" s="6" t="s">
        <v>27</v>
      </c>
      <c r="N1189" s="2" t="str">
        <f>IF(Iterations[[#This Row],[Step]] =current_step, current_Grad_a,IF(Iterations[[#This Row],[Step]] &gt; current_step, "",Iterations[[#This Row],[Grad_a]]))</f>
        <v/>
      </c>
      <c r="O1189" s="2" t="str">
        <f>IF(Iterations[[#This Row],[Step]] =current_step, current_Grad_b,IF(Iterations[[#This Row],[Step]] &gt; current_step, "",Iterations[[#This Row],[Grad_b]]))</f>
        <v/>
      </c>
      <c r="P1189" s="2" t="str">
        <f>IF(Iterations[[#This Row],[Step]] =current_step, current_Grad_c,IF(Iterations[[#This Row],[Step]] &gt; current_step, "",Iterations[[#This Row],[Grad_c]]))</f>
        <v/>
      </c>
      <c r="Q1189" s="2" t="str">
        <f>IF(Iterations[[#This Row],[Step]] =current_step, current_Grad_d,IF(Iterations[[#This Row],[Step]] &gt; current_step, "",Iterations[[#This Row],[Grad_d]]))</f>
        <v/>
      </c>
      <c r="R1189" s="2" t="str">
        <f>IF(Iterations[[#This Row],[Step]] =current_step, current_Grad_e,IF(Iterations[[#This Row],[Step]] &gt; current_step, "",Iterations[[#This Row],[Grad_e]]))</f>
        <v/>
      </c>
    </row>
    <row r="1190" spans="6:18" x14ac:dyDescent="0.3">
      <c r="F1190" s="2">
        <f t="shared" si="23"/>
        <v>1173</v>
      </c>
      <c r="G1190" s="2" t="str">
        <f>IF(Iterations[[#This Row],[Step]] =current_step, current_a,IF(Iterations[[#This Row],[Step]] &gt; current_step, "",Iterations[[#This Row],[a]]))</f>
        <v/>
      </c>
      <c r="H1190" s="2" t="str">
        <f>IF(Iterations[[#This Row],[Step]] =current_step, current_b,IF(Iterations[[#This Row],[Step]] &gt; current_step, "",Iterations[[#This Row],[b]]))</f>
        <v/>
      </c>
      <c r="I1190" s="2" t="str">
        <f>IF(Iterations[[#This Row],[Step]] =current_step, current_c,IF(Iterations[[#This Row],[Step]] &gt; current_step, "",Iterations[[#This Row],[c]]))</f>
        <v/>
      </c>
      <c r="J1190" s="2" t="str">
        <f>IF(Iterations[[#This Row],[Step]] =current_step, current_d,IF(Iterations[[#This Row],[Step]] &gt; current_step, "",Iterations[[#This Row],[d]]))</f>
        <v/>
      </c>
      <c r="K1190" s="2" t="str">
        <f>IF(Iterations[[#This Row],[Step]] =current_step, current_e,IF(Iterations[[#This Row],[Step]] &gt; current_step, "",Iterations[[#This Row],[e]]))</f>
        <v/>
      </c>
      <c r="L1190" s="2" t="str">
        <f>IF(Iterations[[#This Row],[Step]] =current_step, current_Total_Loss,IF(Iterations[[#This Row],[Step]] &gt; current_step, "",Iterations[[#This Row],[Total Loss]]))</f>
        <v/>
      </c>
      <c r="M1190" s="6" t="s">
        <v>27</v>
      </c>
      <c r="N1190" s="2" t="str">
        <f>IF(Iterations[[#This Row],[Step]] =current_step, current_Grad_a,IF(Iterations[[#This Row],[Step]] &gt; current_step, "",Iterations[[#This Row],[Grad_a]]))</f>
        <v/>
      </c>
      <c r="O1190" s="2" t="str">
        <f>IF(Iterations[[#This Row],[Step]] =current_step, current_Grad_b,IF(Iterations[[#This Row],[Step]] &gt; current_step, "",Iterations[[#This Row],[Grad_b]]))</f>
        <v/>
      </c>
      <c r="P1190" s="2" t="str">
        <f>IF(Iterations[[#This Row],[Step]] =current_step, current_Grad_c,IF(Iterations[[#This Row],[Step]] &gt; current_step, "",Iterations[[#This Row],[Grad_c]]))</f>
        <v/>
      </c>
      <c r="Q1190" s="2" t="str">
        <f>IF(Iterations[[#This Row],[Step]] =current_step, current_Grad_d,IF(Iterations[[#This Row],[Step]] &gt; current_step, "",Iterations[[#This Row],[Grad_d]]))</f>
        <v/>
      </c>
      <c r="R1190" s="2" t="str">
        <f>IF(Iterations[[#This Row],[Step]] =current_step, current_Grad_e,IF(Iterations[[#This Row],[Step]] &gt; current_step, "",Iterations[[#This Row],[Grad_e]]))</f>
        <v/>
      </c>
    </row>
    <row r="1191" spans="6:18" x14ac:dyDescent="0.3">
      <c r="F1191" s="2">
        <f t="shared" si="23"/>
        <v>1174</v>
      </c>
      <c r="G1191" s="2" t="str">
        <f>IF(Iterations[[#This Row],[Step]] =current_step, current_a,IF(Iterations[[#This Row],[Step]] &gt; current_step, "",Iterations[[#This Row],[a]]))</f>
        <v/>
      </c>
      <c r="H1191" s="2" t="str">
        <f>IF(Iterations[[#This Row],[Step]] =current_step, current_b,IF(Iterations[[#This Row],[Step]] &gt; current_step, "",Iterations[[#This Row],[b]]))</f>
        <v/>
      </c>
      <c r="I1191" s="2" t="str">
        <f>IF(Iterations[[#This Row],[Step]] =current_step, current_c,IF(Iterations[[#This Row],[Step]] &gt; current_step, "",Iterations[[#This Row],[c]]))</f>
        <v/>
      </c>
      <c r="J1191" s="2" t="str">
        <f>IF(Iterations[[#This Row],[Step]] =current_step, current_d,IF(Iterations[[#This Row],[Step]] &gt; current_step, "",Iterations[[#This Row],[d]]))</f>
        <v/>
      </c>
      <c r="K1191" s="2" t="str">
        <f>IF(Iterations[[#This Row],[Step]] =current_step, current_e,IF(Iterations[[#This Row],[Step]] &gt; current_step, "",Iterations[[#This Row],[e]]))</f>
        <v/>
      </c>
      <c r="L1191" s="2" t="str">
        <f>IF(Iterations[[#This Row],[Step]] =current_step, current_Total_Loss,IF(Iterations[[#This Row],[Step]] &gt; current_step, "",Iterations[[#This Row],[Total Loss]]))</f>
        <v/>
      </c>
      <c r="M1191" s="6" t="s">
        <v>27</v>
      </c>
      <c r="N1191" s="2" t="str">
        <f>IF(Iterations[[#This Row],[Step]] =current_step, current_Grad_a,IF(Iterations[[#This Row],[Step]] &gt; current_step, "",Iterations[[#This Row],[Grad_a]]))</f>
        <v/>
      </c>
      <c r="O1191" s="2" t="str">
        <f>IF(Iterations[[#This Row],[Step]] =current_step, current_Grad_b,IF(Iterations[[#This Row],[Step]] &gt; current_step, "",Iterations[[#This Row],[Grad_b]]))</f>
        <v/>
      </c>
      <c r="P1191" s="2" t="str">
        <f>IF(Iterations[[#This Row],[Step]] =current_step, current_Grad_c,IF(Iterations[[#This Row],[Step]] &gt; current_step, "",Iterations[[#This Row],[Grad_c]]))</f>
        <v/>
      </c>
      <c r="Q1191" s="2" t="str">
        <f>IF(Iterations[[#This Row],[Step]] =current_step, current_Grad_d,IF(Iterations[[#This Row],[Step]] &gt; current_step, "",Iterations[[#This Row],[Grad_d]]))</f>
        <v/>
      </c>
      <c r="R1191" s="2" t="str">
        <f>IF(Iterations[[#This Row],[Step]] =current_step, current_Grad_e,IF(Iterations[[#This Row],[Step]] &gt; current_step, "",Iterations[[#This Row],[Grad_e]]))</f>
        <v/>
      </c>
    </row>
    <row r="1192" spans="6:18" x14ac:dyDescent="0.3">
      <c r="F1192" s="2">
        <f t="shared" si="23"/>
        <v>1175</v>
      </c>
      <c r="G1192" s="2" t="str">
        <f>IF(Iterations[[#This Row],[Step]] =current_step, current_a,IF(Iterations[[#This Row],[Step]] &gt; current_step, "",Iterations[[#This Row],[a]]))</f>
        <v/>
      </c>
      <c r="H1192" s="2" t="str">
        <f>IF(Iterations[[#This Row],[Step]] =current_step, current_b,IF(Iterations[[#This Row],[Step]] &gt; current_step, "",Iterations[[#This Row],[b]]))</f>
        <v/>
      </c>
      <c r="I1192" s="2" t="str">
        <f>IF(Iterations[[#This Row],[Step]] =current_step, current_c,IF(Iterations[[#This Row],[Step]] &gt; current_step, "",Iterations[[#This Row],[c]]))</f>
        <v/>
      </c>
      <c r="J1192" s="2" t="str">
        <f>IF(Iterations[[#This Row],[Step]] =current_step, current_d,IF(Iterations[[#This Row],[Step]] &gt; current_step, "",Iterations[[#This Row],[d]]))</f>
        <v/>
      </c>
      <c r="K1192" s="2" t="str">
        <f>IF(Iterations[[#This Row],[Step]] =current_step, current_e,IF(Iterations[[#This Row],[Step]] &gt; current_step, "",Iterations[[#This Row],[e]]))</f>
        <v/>
      </c>
      <c r="L1192" s="2" t="str">
        <f>IF(Iterations[[#This Row],[Step]] =current_step, current_Total_Loss,IF(Iterations[[#This Row],[Step]] &gt; current_step, "",Iterations[[#This Row],[Total Loss]]))</f>
        <v/>
      </c>
      <c r="M1192" s="6" t="s">
        <v>27</v>
      </c>
      <c r="N1192" s="2" t="str">
        <f>IF(Iterations[[#This Row],[Step]] =current_step, current_Grad_a,IF(Iterations[[#This Row],[Step]] &gt; current_step, "",Iterations[[#This Row],[Grad_a]]))</f>
        <v/>
      </c>
      <c r="O1192" s="2" t="str">
        <f>IF(Iterations[[#This Row],[Step]] =current_step, current_Grad_b,IF(Iterations[[#This Row],[Step]] &gt; current_step, "",Iterations[[#This Row],[Grad_b]]))</f>
        <v/>
      </c>
      <c r="P1192" s="2" t="str">
        <f>IF(Iterations[[#This Row],[Step]] =current_step, current_Grad_c,IF(Iterations[[#This Row],[Step]] &gt; current_step, "",Iterations[[#This Row],[Grad_c]]))</f>
        <v/>
      </c>
      <c r="Q1192" s="2" t="str">
        <f>IF(Iterations[[#This Row],[Step]] =current_step, current_Grad_d,IF(Iterations[[#This Row],[Step]] &gt; current_step, "",Iterations[[#This Row],[Grad_d]]))</f>
        <v/>
      </c>
      <c r="R1192" s="2" t="str">
        <f>IF(Iterations[[#This Row],[Step]] =current_step, current_Grad_e,IF(Iterations[[#This Row],[Step]] &gt; current_step, "",Iterations[[#This Row],[Grad_e]]))</f>
        <v/>
      </c>
    </row>
    <row r="1193" spans="6:18" x14ac:dyDescent="0.3">
      <c r="F1193" s="2">
        <f t="shared" si="23"/>
        <v>1176</v>
      </c>
      <c r="G1193" s="2" t="str">
        <f>IF(Iterations[[#This Row],[Step]] =current_step, current_a,IF(Iterations[[#This Row],[Step]] &gt; current_step, "",Iterations[[#This Row],[a]]))</f>
        <v/>
      </c>
      <c r="H1193" s="2" t="str">
        <f>IF(Iterations[[#This Row],[Step]] =current_step, current_b,IF(Iterations[[#This Row],[Step]] &gt; current_step, "",Iterations[[#This Row],[b]]))</f>
        <v/>
      </c>
      <c r="I1193" s="2" t="str">
        <f>IF(Iterations[[#This Row],[Step]] =current_step, current_c,IF(Iterations[[#This Row],[Step]] &gt; current_step, "",Iterations[[#This Row],[c]]))</f>
        <v/>
      </c>
      <c r="J1193" s="2" t="str">
        <f>IF(Iterations[[#This Row],[Step]] =current_step, current_d,IF(Iterations[[#This Row],[Step]] &gt; current_step, "",Iterations[[#This Row],[d]]))</f>
        <v/>
      </c>
      <c r="K1193" s="2" t="str">
        <f>IF(Iterations[[#This Row],[Step]] =current_step, current_e,IF(Iterations[[#This Row],[Step]] &gt; current_step, "",Iterations[[#This Row],[e]]))</f>
        <v/>
      </c>
      <c r="L1193" s="2" t="str">
        <f>IF(Iterations[[#This Row],[Step]] =current_step, current_Total_Loss,IF(Iterations[[#This Row],[Step]] &gt; current_step, "",Iterations[[#This Row],[Total Loss]]))</f>
        <v/>
      </c>
      <c r="M1193" s="6" t="s">
        <v>27</v>
      </c>
      <c r="N1193" s="2" t="str">
        <f>IF(Iterations[[#This Row],[Step]] =current_step, current_Grad_a,IF(Iterations[[#This Row],[Step]] &gt; current_step, "",Iterations[[#This Row],[Grad_a]]))</f>
        <v/>
      </c>
      <c r="O1193" s="2" t="str">
        <f>IF(Iterations[[#This Row],[Step]] =current_step, current_Grad_b,IF(Iterations[[#This Row],[Step]] &gt; current_step, "",Iterations[[#This Row],[Grad_b]]))</f>
        <v/>
      </c>
      <c r="P1193" s="2" t="str">
        <f>IF(Iterations[[#This Row],[Step]] =current_step, current_Grad_c,IF(Iterations[[#This Row],[Step]] &gt; current_step, "",Iterations[[#This Row],[Grad_c]]))</f>
        <v/>
      </c>
      <c r="Q1193" s="2" t="str">
        <f>IF(Iterations[[#This Row],[Step]] =current_step, current_Grad_d,IF(Iterations[[#This Row],[Step]] &gt; current_step, "",Iterations[[#This Row],[Grad_d]]))</f>
        <v/>
      </c>
      <c r="R1193" s="2" t="str">
        <f>IF(Iterations[[#This Row],[Step]] =current_step, current_Grad_e,IF(Iterations[[#This Row],[Step]] &gt; current_step, "",Iterations[[#This Row],[Grad_e]]))</f>
        <v/>
      </c>
    </row>
    <row r="1194" spans="6:18" x14ac:dyDescent="0.3">
      <c r="F1194" s="2">
        <f t="shared" si="23"/>
        <v>1177</v>
      </c>
      <c r="G1194" s="2" t="str">
        <f>IF(Iterations[[#This Row],[Step]] =current_step, current_a,IF(Iterations[[#This Row],[Step]] &gt; current_step, "",Iterations[[#This Row],[a]]))</f>
        <v/>
      </c>
      <c r="H1194" s="2" t="str">
        <f>IF(Iterations[[#This Row],[Step]] =current_step, current_b,IF(Iterations[[#This Row],[Step]] &gt; current_step, "",Iterations[[#This Row],[b]]))</f>
        <v/>
      </c>
      <c r="I1194" s="2" t="str">
        <f>IF(Iterations[[#This Row],[Step]] =current_step, current_c,IF(Iterations[[#This Row],[Step]] &gt; current_step, "",Iterations[[#This Row],[c]]))</f>
        <v/>
      </c>
      <c r="J1194" s="2" t="str">
        <f>IF(Iterations[[#This Row],[Step]] =current_step, current_d,IF(Iterations[[#This Row],[Step]] &gt; current_step, "",Iterations[[#This Row],[d]]))</f>
        <v/>
      </c>
      <c r="K1194" s="2" t="str">
        <f>IF(Iterations[[#This Row],[Step]] =current_step, current_e,IF(Iterations[[#This Row],[Step]] &gt; current_step, "",Iterations[[#This Row],[e]]))</f>
        <v/>
      </c>
      <c r="L1194" s="2" t="str">
        <f>IF(Iterations[[#This Row],[Step]] =current_step, current_Total_Loss,IF(Iterations[[#This Row],[Step]] &gt; current_step, "",Iterations[[#This Row],[Total Loss]]))</f>
        <v/>
      </c>
      <c r="M1194" s="6" t="s">
        <v>27</v>
      </c>
      <c r="N1194" s="2" t="str">
        <f>IF(Iterations[[#This Row],[Step]] =current_step, current_Grad_a,IF(Iterations[[#This Row],[Step]] &gt; current_step, "",Iterations[[#This Row],[Grad_a]]))</f>
        <v/>
      </c>
      <c r="O1194" s="2" t="str">
        <f>IF(Iterations[[#This Row],[Step]] =current_step, current_Grad_b,IF(Iterations[[#This Row],[Step]] &gt; current_step, "",Iterations[[#This Row],[Grad_b]]))</f>
        <v/>
      </c>
      <c r="P1194" s="2" t="str">
        <f>IF(Iterations[[#This Row],[Step]] =current_step, current_Grad_c,IF(Iterations[[#This Row],[Step]] &gt; current_step, "",Iterations[[#This Row],[Grad_c]]))</f>
        <v/>
      </c>
      <c r="Q1194" s="2" t="str">
        <f>IF(Iterations[[#This Row],[Step]] =current_step, current_Grad_d,IF(Iterations[[#This Row],[Step]] &gt; current_step, "",Iterations[[#This Row],[Grad_d]]))</f>
        <v/>
      </c>
      <c r="R1194" s="2" t="str">
        <f>IF(Iterations[[#This Row],[Step]] =current_step, current_Grad_e,IF(Iterations[[#This Row],[Step]] &gt; current_step, "",Iterations[[#This Row],[Grad_e]]))</f>
        <v/>
      </c>
    </row>
    <row r="1195" spans="6:18" x14ac:dyDescent="0.3">
      <c r="F1195" s="2">
        <f t="shared" si="23"/>
        <v>1178</v>
      </c>
      <c r="G1195" s="2" t="str">
        <f>IF(Iterations[[#This Row],[Step]] =current_step, current_a,IF(Iterations[[#This Row],[Step]] &gt; current_step, "",Iterations[[#This Row],[a]]))</f>
        <v/>
      </c>
      <c r="H1195" s="2" t="str">
        <f>IF(Iterations[[#This Row],[Step]] =current_step, current_b,IF(Iterations[[#This Row],[Step]] &gt; current_step, "",Iterations[[#This Row],[b]]))</f>
        <v/>
      </c>
      <c r="I1195" s="2" t="str">
        <f>IF(Iterations[[#This Row],[Step]] =current_step, current_c,IF(Iterations[[#This Row],[Step]] &gt; current_step, "",Iterations[[#This Row],[c]]))</f>
        <v/>
      </c>
      <c r="J1195" s="2" t="str">
        <f>IF(Iterations[[#This Row],[Step]] =current_step, current_d,IF(Iterations[[#This Row],[Step]] &gt; current_step, "",Iterations[[#This Row],[d]]))</f>
        <v/>
      </c>
      <c r="K1195" s="2" t="str">
        <f>IF(Iterations[[#This Row],[Step]] =current_step, current_e,IF(Iterations[[#This Row],[Step]] &gt; current_step, "",Iterations[[#This Row],[e]]))</f>
        <v/>
      </c>
      <c r="L1195" s="2" t="str">
        <f>IF(Iterations[[#This Row],[Step]] =current_step, current_Total_Loss,IF(Iterations[[#This Row],[Step]] &gt; current_step, "",Iterations[[#This Row],[Total Loss]]))</f>
        <v/>
      </c>
      <c r="M1195" s="6" t="s">
        <v>27</v>
      </c>
      <c r="N1195" s="2" t="str">
        <f>IF(Iterations[[#This Row],[Step]] =current_step, current_Grad_a,IF(Iterations[[#This Row],[Step]] &gt; current_step, "",Iterations[[#This Row],[Grad_a]]))</f>
        <v/>
      </c>
      <c r="O1195" s="2" t="str">
        <f>IF(Iterations[[#This Row],[Step]] =current_step, current_Grad_b,IF(Iterations[[#This Row],[Step]] &gt; current_step, "",Iterations[[#This Row],[Grad_b]]))</f>
        <v/>
      </c>
      <c r="P1195" s="2" t="str">
        <f>IF(Iterations[[#This Row],[Step]] =current_step, current_Grad_c,IF(Iterations[[#This Row],[Step]] &gt; current_step, "",Iterations[[#This Row],[Grad_c]]))</f>
        <v/>
      </c>
      <c r="Q1195" s="2" t="str">
        <f>IF(Iterations[[#This Row],[Step]] =current_step, current_Grad_d,IF(Iterations[[#This Row],[Step]] &gt; current_step, "",Iterations[[#This Row],[Grad_d]]))</f>
        <v/>
      </c>
      <c r="R1195" s="2" t="str">
        <f>IF(Iterations[[#This Row],[Step]] =current_step, current_Grad_e,IF(Iterations[[#This Row],[Step]] &gt; current_step, "",Iterations[[#This Row],[Grad_e]]))</f>
        <v/>
      </c>
    </row>
    <row r="1196" spans="6:18" x14ac:dyDescent="0.3">
      <c r="F1196" s="2">
        <f t="shared" si="23"/>
        <v>1179</v>
      </c>
      <c r="G1196" s="2" t="str">
        <f>IF(Iterations[[#This Row],[Step]] =current_step, current_a,IF(Iterations[[#This Row],[Step]] &gt; current_step, "",Iterations[[#This Row],[a]]))</f>
        <v/>
      </c>
      <c r="H1196" s="2" t="str">
        <f>IF(Iterations[[#This Row],[Step]] =current_step, current_b,IF(Iterations[[#This Row],[Step]] &gt; current_step, "",Iterations[[#This Row],[b]]))</f>
        <v/>
      </c>
      <c r="I1196" s="2" t="str">
        <f>IF(Iterations[[#This Row],[Step]] =current_step, current_c,IF(Iterations[[#This Row],[Step]] &gt; current_step, "",Iterations[[#This Row],[c]]))</f>
        <v/>
      </c>
      <c r="J1196" s="2" t="str">
        <f>IF(Iterations[[#This Row],[Step]] =current_step, current_d,IF(Iterations[[#This Row],[Step]] &gt; current_step, "",Iterations[[#This Row],[d]]))</f>
        <v/>
      </c>
      <c r="K1196" s="2" t="str">
        <f>IF(Iterations[[#This Row],[Step]] =current_step, current_e,IF(Iterations[[#This Row],[Step]] &gt; current_step, "",Iterations[[#This Row],[e]]))</f>
        <v/>
      </c>
      <c r="L1196" s="2" t="str">
        <f>IF(Iterations[[#This Row],[Step]] =current_step, current_Total_Loss,IF(Iterations[[#This Row],[Step]] &gt; current_step, "",Iterations[[#This Row],[Total Loss]]))</f>
        <v/>
      </c>
      <c r="M1196" s="6" t="s">
        <v>27</v>
      </c>
      <c r="N1196" s="2" t="str">
        <f>IF(Iterations[[#This Row],[Step]] =current_step, current_Grad_a,IF(Iterations[[#This Row],[Step]] &gt; current_step, "",Iterations[[#This Row],[Grad_a]]))</f>
        <v/>
      </c>
      <c r="O1196" s="2" t="str">
        <f>IF(Iterations[[#This Row],[Step]] =current_step, current_Grad_b,IF(Iterations[[#This Row],[Step]] &gt; current_step, "",Iterations[[#This Row],[Grad_b]]))</f>
        <v/>
      </c>
      <c r="P1196" s="2" t="str">
        <f>IF(Iterations[[#This Row],[Step]] =current_step, current_Grad_c,IF(Iterations[[#This Row],[Step]] &gt; current_step, "",Iterations[[#This Row],[Grad_c]]))</f>
        <v/>
      </c>
      <c r="Q1196" s="2" t="str">
        <f>IF(Iterations[[#This Row],[Step]] =current_step, current_Grad_d,IF(Iterations[[#This Row],[Step]] &gt; current_step, "",Iterations[[#This Row],[Grad_d]]))</f>
        <v/>
      </c>
      <c r="R1196" s="2" t="str">
        <f>IF(Iterations[[#This Row],[Step]] =current_step, current_Grad_e,IF(Iterations[[#This Row],[Step]] &gt; current_step, "",Iterations[[#This Row],[Grad_e]]))</f>
        <v/>
      </c>
    </row>
    <row r="1197" spans="6:18" x14ac:dyDescent="0.3">
      <c r="F1197" s="2">
        <f t="shared" si="23"/>
        <v>1180</v>
      </c>
      <c r="G1197" s="2" t="str">
        <f>IF(Iterations[[#This Row],[Step]] =current_step, current_a,IF(Iterations[[#This Row],[Step]] &gt; current_step, "",Iterations[[#This Row],[a]]))</f>
        <v/>
      </c>
      <c r="H1197" s="2" t="str">
        <f>IF(Iterations[[#This Row],[Step]] =current_step, current_b,IF(Iterations[[#This Row],[Step]] &gt; current_step, "",Iterations[[#This Row],[b]]))</f>
        <v/>
      </c>
      <c r="I1197" s="2" t="str">
        <f>IF(Iterations[[#This Row],[Step]] =current_step, current_c,IF(Iterations[[#This Row],[Step]] &gt; current_step, "",Iterations[[#This Row],[c]]))</f>
        <v/>
      </c>
      <c r="J1197" s="2" t="str">
        <f>IF(Iterations[[#This Row],[Step]] =current_step, current_d,IF(Iterations[[#This Row],[Step]] &gt; current_step, "",Iterations[[#This Row],[d]]))</f>
        <v/>
      </c>
      <c r="K1197" s="2" t="str">
        <f>IF(Iterations[[#This Row],[Step]] =current_step, current_e,IF(Iterations[[#This Row],[Step]] &gt; current_step, "",Iterations[[#This Row],[e]]))</f>
        <v/>
      </c>
      <c r="L1197" s="2" t="str">
        <f>IF(Iterations[[#This Row],[Step]] =current_step, current_Total_Loss,IF(Iterations[[#This Row],[Step]] &gt; current_step, "",Iterations[[#This Row],[Total Loss]]))</f>
        <v/>
      </c>
      <c r="M1197" s="6" t="s">
        <v>27</v>
      </c>
      <c r="N1197" s="2" t="str">
        <f>IF(Iterations[[#This Row],[Step]] =current_step, current_Grad_a,IF(Iterations[[#This Row],[Step]] &gt; current_step, "",Iterations[[#This Row],[Grad_a]]))</f>
        <v/>
      </c>
      <c r="O1197" s="2" t="str">
        <f>IF(Iterations[[#This Row],[Step]] =current_step, current_Grad_b,IF(Iterations[[#This Row],[Step]] &gt; current_step, "",Iterations[[#This Row],[Grad_b]]))</f>
        <v/>
      </c>
      <c r="P1197" s="2" t="str">
        <f>IF(Iterations[[#This Row],[Step]] =current_step, current_Grad_c,IF(Iterations[[#This Row],[Step]] &gt; current_step, "",Iterations[[#This Row],[Grad_c]]))</f>
        <v/>
      </c>
      <c r="Q1197" s="2" t="str">
        <f>IF(Iterations[[#This Row],[Step]] =current_step, current_Grad_d,IF(Iterations[[#This Row],[Step]] &gt; current_step, "",Iterations[[#This Row],[Grad_d]]))</f>
        <v/>
      </c>
      <c r="R1197" s="2" t="str">
        <f>IF(Iterations[[#This Row],[Step]] =current_step, current_Grad_e,IF(Iterations[[#This Row],[Step]] &gt; current_step, "",Iterations[[#This Row],[Grad_e]]))</f>
        <v/>
      </c>
    </row>
    <row r="1198" spans="6:18" x14ac:dyDescent="0.3">
      <c r="F1198" s="2">
        <f t="shared" si="23"/>
        <v>1181</v>
      </c>
      <c r="G1198" s="2" t="str">
        <f>IF(Iterations[[#This Row],[Step]] =current_step, current_a,IF(Iterations[[#This Row],[Step]] &gt; current_step, "",Iterations[[#This Row],[a]]))</f>
        <v/>
      </c>
      <c r="H1198" s="2" t="str">
        <f>IF(Iterations[[#This Row],[Step]] =current_step, current_b,IF(Iterations[[#This Row],[Step]] &gt; current_step, "",Iterations[[#This Row],[b]]))</f>
        <v/>
      </c>
      <c r="I1198" s="2" t="str">
        <f>IF(Iterations[[#This Row],[Step]] =current_step, current_c,IF(Iterations[[#This Row],[Step]] &gt; current_step, "",Iterations[[#This Row],[c]]))</f>
        <v/>
      </c>
      <c r="J1198" s="2" t="str">
        <f>IF(Iterations[[#This Row],[Step]] =current_step, current_d,IF(Iterations[[#This Row],[Step]] &gt; current_step, "",Iterations[[#This Row],[d]]))</f>
        <v/>
      </c>
      <c r="K1198" s="2" t="str">
        <f>IF(Iterations[[#This Row],[Step]] =current_step, current_e,IF(Iterations[[#This Row],[Step]] &gt; current_step, "",Iterations[[#This Row],[e]]))</f>
        <v/>
      </c>
      <c r="L1198" s="2" t="str">
        <f>IF(Iterations[[#This Row],[Step]] =current_step, current_Total_Loss,IF(Iterations[[#This Row],[Step]] &gt; current_step, "",Iterations[[#This Row],[Total Loss]]))</f>
        <v/>
      </c>
      <c r="M1198" s="6" t="s">
        <v>27</v>
      </c>
      <c r="N1198" s="2" t="str">
        <f>IF(Iterations[[#This Row],[Step]] =current_step, current_Grad_a,IF(Iterations[[#This Row],[Step]] &gt; current_step, "",Iterations[[#This Row],[Grad_a]]))</f>
        <v/>
      </c>
      <c r="O1198" s="2" t="str">
        <f>IF(Iterations[[#This Row],[Step]] =current_step, current_Grad_b,IF(Iterations[[#This Row],[Step]] &gt; current_step, "",Iterations[[#This Row],[Grad_b]]))</f>
        <v/>
      </c>
      <c r="P1198" s="2" t="str">
        <f>IF(Iterations[[#This Row],[Step]] =current_step, current_Grad_c,IF(Iterations[[#This Row],[Step]] &gt; current_step, "",Iterations[[#This Row],[Grad_c]]))</f>
        <v/>
      </c>
      <c r="Q1198" s="2" t="str">
        <f>IF(Iterations[[#This Row],[Step]] =current_step, current_Grad_d,IF(Iterations[[#This Row],[Step]] &gt; current_step, "",Iterations[[#This Row],[Grad_d]]))</f>
        <v/>
      </c>
      <c r="R1198" s="2" t="str">
        <f>IF(Iterations[[#This Row],[Step]] =current_step, current_Grad_e,IF(Iterations[[#This Row],[Step]] &gt; current_step, "",Iterations[[#This Row],[Grad_e]]))</f>
        <v/>
      </c>
    </row>
    <row r="1199" spans="6:18" x14ac:dyDescent="0.3">
      <c r="F1199" s="2">
        <f t="shared" si="23"/>
        <v>1182</v>
      </c>
      <c r="G1199" s="2" t="str">
        <f>IF(Iterations[[#This Row],[Step]] =current_step, current_a,IF(Iterations[[#This Row],[Step]] &gt; current_step, "",Iterations[[#This Row],[a]]))</f>
        <v/>
      </c>
      <c r="H1199" s="2" t="str">
        <f>IF(Iterations[[#This Row],[Step]] =current_step, current_b,IF(Iterations[[#This Row],[Step]] &gt; current_step, "",Iterations[[#This Row],[b]]))</f>
        <v/>
      </c>
      <c r="I1199" s="2" t="str">
        <f>IF(Iterations[[#This Row],[Step]] =current_step, current_c,IF(Iterations[[#This Row],[Step]] &gt; current_step, "",Iterations[[#This Row],[c]]))</f>
        <v/>
      </c>
      <c r="J1199" s="2" t="str">
        <f>IF(Iterations[[#This Row],[Step]] =current_step, current_d,IF(Iterations[[#This Row],[Step]] &gt; current_step, "",Iterations[[#This Row],[d]]))</f>
        <v/>
      </c>
      <c r="K1199" s="2" t="str">
        <f>IF(Iterations[[#This Row],[Step]] =current_step, current_e,IF(Iterations[[#This Row],[Step]] &gt; current_step, "",Iterations[[#This Row],[e]]))</f>
        <v/>
      </c>
      <c r="L1199" s="2" t="str">
        <f>IF(Iterations[[#This Row],[Step]] =current_step, current_Total_Loss,IF(Iterations[[#This Row],[Step]] &gt; current_step, "",Iterations[[#This Row],[Total Loss]]))</f>
        <v/>
      </c>
      <c r="M1199" s="6" t="s">
        <v>27</v>
      </c>
      <c r="N1199" s="2" t="str">
        <f>IF(Iterations[[#This Row],[Step]] =current_step, current_Grad_a,IF(Iterations[[#This Row],[Step]] &gt; current_step, "",Iterations[[#This Row],[Grad_a]]))</f>
        <v/>
      </c>
      <c r="O1199" s="2" t="str">
        <f>IF(Iterations[[#This Row],[Step]] =current_step, current_Grad_b,IF(Iterations[[#This Row],[Step]] &gt; current_step, "",Iterations[[#This Row],[Grad_b]]))</f>
        <v/>
      </c>
      <c r="P1199" s="2" t="str">
        <f>IF(Iterations[[#This Row],[Step]] =current_step, current_Grad_c,IF(Iterations[[#This Row],[Step]] &gt; current_step, "",Iterations[[#This Row],[Grad_c]]))</f>
        <v/>
      </c>
      <c r="Q1199" s="2" t="str">
        <f>IF(Iterations[[#This Row],[Step]] =current_step, current_Grad_d,IF(Iterations[[#This Row],[Step]] &gt; current_step, "",Iterations[[#This Row],[Grad_d]]))</f>
        <v/>
      </c>
      <c r="R1199" s="2" t="str">
        <f>IF(Iterations[[#This Row],[Step]] =current_step, current_Grad_e,IF(Iterations[[#This Row],[Step]] &gt; current_step, "",Iterations[[#This Row],[Grad_e]]))</f>
        <v/>
      </c>
    </row>
    <row r="1200" spans="6:18" x14ac:dyDescent="0.3">
      <c r="F1200" s="2">
        <f t="shared" si="23"/>
        <v>1183</v>
      </c>
      <c r="G1200" s="2" t="str">
        <f>IF(Iterations[[#This Row],[Step]] =current_step, current_a,IF(Iterations[[#This Row],[Step]] &gt; current_step, "",Iterations[[#This Row],[a]]))</f>
        <v/>
      </c>
      <c r="H1200" s="2" t="str">
        <f>IF(Iterations[[#This Row],[Step]] =current_step, current_b,IF(Iterations[[#This Row],[Step]] &gt; current_step, "",Iterations[[#This Row],[b]]))</f>
        <v/>
      </c>
      <c r="I1200" s="2" t="str">
        <f>IF(Iterations[[#This Row],[Step]] =current_step, current_c,IF(Iterations[[#This Row],[Step]] &gt; current_step, "",Iterations[[#This Row],[c]]))</f>
        <v/>
      </c>
      <c r="J1200" s="2" t="str">
        <f>IF(Iterations[[#This Row],[Step]] =current_step, current_d,IF(Iterations[[#This Row],[Step]] &gt; current_step, "",Iterations[[#This Row],[d]]))</f>
        <v/>
      </c>
      <c r="K1200" s="2" t="str">
        <f>IF(Iterations[[#This Row],[Step]] =current_step, current_e,IF(Iterations[[#This Row],[Step]] &gt; current_step, "",Iterations[[#This Row],[e]]))</f>
        <v/>
      </c>
      <c r="L1200" s="2" t="str">
        <f>IF(Iterations[[#This Row],[Step]] =current_step, current_Total_Loss,IF(Iterations[[#This Row],[Step]] &gt; current_step, "",Iterations[[#This Row],[Total Loss]]))</f>
        <v/>
      </c>
      <c r="M1200" s="6" t="s">
        <v>27</v>
      </c>
      <c r="N1200" s="2" t="str">
        <f>IF(Iterations[[#This Row],[Step]] =current_step, current_Grad_a,IF(Iterations[[#This Row],[Step]] &gt; current_step, "",Iterations[[#This Row],[Grad_a]]))</f>
        <v/>
      </c>
      <c r="O1200" s="2" t="str">
        <f>IF(Iterations[[#This Row],[Step]] =current_step, current_Grad_b,IF(Iterations[[#This Row],[Step]] &gt; current_step, "",Iterations[[#This Row],[Grad_b]]))</f>
        <v/>
      </c>
      <c r="P1200" s="2" t="str">
        <f>IF(Iterations[[#This Row],[Step]] =current_step, current_Grad_c,IF(Iterations[[#This Row],[Step]] &gt; current_step, "",Iterations[[#This Row],[Grad_c]]))</f>
        <v/>
      </c>
      <c r="Q1200" s="2" t="str">
        <f>IF(Iterations[[#This Row],[Step]] =current_step, current_Grad_d,IF(Iterations[[#This Row],[Step]] &gt; current_step, "",Iterations[[#This Row],[Grad_d]]))</f>
        <v/>
      </c>
      <c r="R1200" s="2" t="str">
        <f>IF(Iterations[[#This Row],[Step]] =current_step, current_Grad_e,IF(Iterations[[#This Row],[Step]] &gt; current_step, "",Iterations[[#This Row],[Grad_e]]))</f>
        <v/>
      </c>
    </row>
    <row r="1201" spans="6:18" x14ac:dyDescent="0.3">
      <c r="F1201" s="2">
        <f t="shared" si="23"/>
        <v>1184</v>
      </c>
      <c r="G1201" s="2" t="str">
        <f>IF(Iterations[[#This Row],[Step]] =current_step, current_a,IF(Iterations[[#This Row],[Step]] &gt; current_step, "",Iterations[[#This Row],[a]]))</f>
        <v/>
      </c>
      <c r="H1201" s="2" t="str">
        <f>IF(Iterations[[#This Row],[Step]] =current_step, current_b,IF(Iterations[[#This Row],[Step]] &gt; current_step, "",Iterations[[#This Row],[b]]))</f>
        <v/>
      </c>
      <c r="I1201" s="2" t="str">
        <f>IF(Iterations[[#This Row],[Step]] =current_step, current_c,IF(Iterations[[#This Row],[Step]] &gt; current_step, "",Iterations[[#This Row],[c]]))</f>
        <v/>
      </c>
      <c r="J1201" s="2" t="str">
        <f>IF(Iterations[[#This Row],[Step]] =current_step, current_d,IF(Iterations[[#This Row],[Step]] &gt; current_step, "",Iterations[[#This Row],[d]]))</f>
        <v/>
      </c>
      <c r="K1201" s="2" t="str">
        <f>IF(Iterations[[#This Row],[Step]] =current_step, current_e,IF(Iterations[[#This Row],[Step]] &gt; current_step, "",Iterations[[#This Row],[e]]))</f>
        <v/>
      </c>
      <c r="L1201" s="2" t="str">
        <f>IF(Iterations[[#This Row],[Step]] =current_step, current_Total_Loss,IF(Iterations[[#This Row],[Step]] &gt; current_step, "",Iterations[[#This Row],[Total Loss]]))</f>
        <v/>
      </c>
      <c r="M1201" s="6" t="s">
        <v>27</v>
      </c>
      <c r="N1201" s="2" t="str">
        <f>IF(Iterations[[#This Row],[Step]] =current_step, current_Grad_a,IF(Iterations[[#This Row],[Step]] &gt; current_step, "",Iterations[[#This Row],[Grad_a]]))</f>
        <v/>
      </c>
      <c r="O1201" s="2" t="str">
        <f>IF(Iterations[[#This Row],[Step]] =current_step, current_Grad_b,IF(Iterations[[#This Row],[Step]] &gt; current_step, "",Iterations[[#This Row],[Grad_b]]))</f>
        <v/>
      </c>
      <c r="P1201" s="2" t="str">
        <f>IF(Iterations[[#This Row],[Step]] =current_step, current_Grad_c,IF(Iterations[[#This Row],[Step]] &gt; current_step, "",Iterations[[#This Row],[Grad_c]]))</f>
        <v/>
      </c>
      <c r="Q1201" s="2" t="str">
        <f>IF(Iterations[[#This Row],[Step]] =current_step, current_Grad_d,IF(Iterations[[#This Row],[Step]] &gt; current_step, "",Iterations[[#This Row],[Grad_d]]))</f>
        <v/>
      </c>
      <c r="R1201" s="2" t="str">
        <f>IF(Iterations[[#This Row],[Step]] =current_step, current_Grad_e,IF(Iterations[[#This Row],[Step]] &gt; current_step, "",Iterations[[#This Row],[Grad_e]]))</f>
        <v/>
      </c>
    </row>
    <row r="1202" spans="6:18" x14ac:dyDescent="0.3">
      <c r="F1202" s="2">
        <f t="shared" si="23"/>
        <v>1185</v>
      </c>
      <c r="G1202" s="2" t="str">
        <f>IF(Iterations[[#This Row],[Step]] =current_step, current_a,IF(Iterations[[#This Row],[Step]] &gt; current_step, "",Iterations[[#This Row],[a]]))</f>
        <v/>
      </c>
      <c r="H1202" s="2" t="str">
        <f>IF(Iterations[[#This Row],[Step]] =current_step, current_b,IF(Iterations[[#This Row],[Step]] &gt; current_step, "",Iterations[[#This Row],[b]]))</f>
        <v/>
      </c>
      <c r="I1202" s="2" t="str">
        <f>IF(Iterations[[#This Row],[Step]] =current_step, current_c,IF(Iterations[[#This Row],[Step]] &gt; current_step, "",Iterations[[#This Row],[c]]))</f>
        <v/>
      </c>
      <c r="J1202" s="2" t="str">
        <f>IF(Iterations[[#This Row],[Step]] =current_step, current_d,IF(Iterations[[#This Row],[Step]] &gt; current_step, "",Iterations[[#This Row],[d]]))</f>
        <v/>
      </c>
      <c r="K1202" s="2" t="str">
        <f>IF(Iterations[[#This Row],[Step]] =current_step, current_e,IF(Iterations[[#This Row],[Step]] &gt; current_step, "",Iterations[[#This Row],[e]]))</f>
        <v/>
      </c>
      <c r="L1202" s="2" t="str">
        <f>IF(Iterations[[#This Row],[Step]] =current_step, current_Total_Loss,IF(Iterations[[#This Row],[Step]] &gt; current_step, "",Iterations[[#This Row],[Total Loss]]))</f>
        <v/>
      </c>
      <c r="M1202" s="6" t="s">
        <v>27</v>
      </c>
      <c r="N1202" s="2" t="str">
        <f>IF(Iterations[[#This Row],[Step]] =current_step, current_Grad_a,IF(Iterations[[#This Row],[Step]] &gt; current_step, "",Iterations[[#This Row],[Grad_a]]))</f>
        <v/>
      </c>
      <c r="O1202" s="2" t="str">
        <f>IF(Iterations[[#This Row],[Step]] =current_step, current_Grad_b,IF(Iterations[[#This Row],[Step]] &gt; current_step, "",Iterations[[#This Row],[Grad_b]]))</f>
        <v/>
      </c>
      <c r="P1202" s="2" t="str">
        <f>IF(Iterations[[#This Row],[Step]] =current_step, current_Grad_c,IF(Iterations[[#This Row],[Step]] &gt; current_step, "",Iterations[[#This Row],[Grad_c]]))</f>
        <v/>
      </c>
      <c r="Q1202" s="2" t="str">
        <f>IF(Iterations[[#This Row],[Step]] =current_step, current_Grad_d,IF(Iterations[[#This Row],[Step]] &gt; current_step, "",Iterations[[#This Row],[Grad_d]]))</f>
        <v/>
      </c>
      <c r="R1202" s="2" t="str">
        <f>IF(Iterations[[#This Row],[Step]] =current_step, current_Grad_e,IF(Iterations[[#This Row],[Step]] &gt; current_step, "",Iterations[[#This Row],[Grad_e]]))</f>
        <v/>
      </c>
    </row>
    <row r="1203" spans="6:18" x14ac:dyDescent="0.3">
      <c r="F1203" s="2">
        <f t="shared" si="23"/>
        <v>1186</v>
      </c>
      <c r="G1203" s="2" t="str">
        <f>IF(Iterations[[#This Row],[Step]] =current_step, current_a,IF(Iterations[[#This Row],[Step]] &gt; current_step, "",Iterations[[#This Row],[a]]))</f>
        <v/>
      </c>
      <c r="H1203" s="2" t="str">
        <f>IF(Iterations[[#This Row],[Step]] =current_step, current_b,IF(Iterations[[#This Row],[Step]] &gt; current_step, "",Iterations[[#This Row],[b]]))</f>
        <v/>
      </c>
      <c r="I1203" s="2" t="str">
        <f>IF(Iterations[[#This Row],[Step]] =current_step, current_c,IF(Iterations[[#This Row],[Step]] &gt; current_step, "",Iterations[[#This Row],[c]]))</f>
        <v/>
      </c>
      <c r="J1203" s="2" t="str">
        <f>IF(Iterations[[#This Row],[Step]] =current_step, current_d,IF(Iterations[[#This Row],[Step]] &gt; current_step, "",Iterations[[#This Row],[d]]))</f>
        <v/>
      </c>
      <c r="K1203" s="2" t="str">
        <f>IF(Iterations[[#This Row],[Step]] =current_step, current_e,IF(Iterations[[#This Row],[Step]] &gt; current_step, "",Iterations[[#This Row],[e]]))</f>
        <v/>
      </c>
      <c r="L1203" s="2" t="str">
        <f>IF(Iterations[[#This Row],[Step]] =current_step, current_Total_Loss,IF(Iterations[[#This Row],[Step]] &gt; current_step, "",Iterations[[#This Row],[Total Loss]]))</f>
        <v/>
      </c>
      <c r="M1203" s="6" t="s">
        <v>27</v>
      </c>
      <c r="N1203" s="2" t="str">
        <f>IF(Iterations[[#This Row],[Step]] =current_step, current_Grad_a,IF(Iterations[[#This Row],[Step]] &gt; current_step, "",Iterations[[#This Row],[Grad_a]]))</f>
        <v/>
      </c>
      <c r="O1203" s="2" t="str">
        <f>IF(Iterations[[#This Row],[Step]] =current_step, current_Grad_b,IF(Iterations[[#This Row],[Step]] &gt; current_step, "",Iterations[[#This Row],[Grad_b]]))</f>
        <v/>
      </c>
      <c r="P1203" s="2" t="str">
        <f>IF(Iterations[[#This Row],[Step]] =current_step, current_Grad_c,IF(Iterations[[#This Row],[Step]] &gt; current_step, "",Iterations[[#This Row],[Grad_c]]))</f>
        <v/>
      </c>
      <c r="Q1203" s="2" t="str">
        <f>IF(Iterations[[#This Row],[Step]] =current_step, current_Grad_d,IF(Iterations[[#This Row],[Step]] &gt; current_step, "",Iterations[[#This Row],[Grad_d]]))</f>
        <v/>
      </c>
      <c r="R1203" s="2" t="str">
        <f>IF(Iterations[[#This Row],[Step]] =current_step, current_Grad_e,IF(Iterations[[#This Row],[Step]] &gt; current_step, "",Iterations[[#This Row],[Grad_e]]))</f>
        <v/>
      </c>
    </row>
    <row r="1204" spans="6:18" x14ac:dyDescent="0.3">
      <c r="F1204" s="2">
        <f t="shared" si="23"/>
        <v>1187</v>
      </c>
      <c r="G1204" s="2" t="str">
        <f>IF(Iterations[[#This Row],[Step]] =current_step, current_a,IF(Iterations[[#This Row],[Step]] &gt; current_step, "",Iterations[[#This Row],[a]]))</f>
        <v/>
      </c>
      <c r="H1204" s="2" t="str">
        <f>IF(Iterations[[#This Row],[Step]] =current_step, current_b,IF(Iterations[[#This Row],[Step]] &gt; current_step, "",Iterations[[#This Row],[b]]))</f>
        <v/>
      </c>
      <c r="I1204" s="2" t="str">
        <f>IF(Iterations[[#This Row],[Step]] =current_step, current_c,IF(Iterations[[#This Row],[Step]] &gt; current_step, "",Iterations[[#This Row],[c]]))</f>
        <v/>
      </c>
      <c r="J1204" s="2" t="str">
        <f>IF(Iterations[[#This Row],[Step]] =current_step, current_d,IF(Iterations[[#This Row],[Step]] &gt; current_step, "",Iterations[[#This Row],[d]]))</f>
        <v/>
      </c>
      <c r="K1204" s="2" t="str">
        <f>IF(Iterations[[#This Row],[Step]] =current_step, current_e,IF(Iterations[[#This Row],[Step]] &gt; current_step, "",Iterations[[#This Row],[e]]))</f>
        <v/>
      </c>
      <c r="L1204" s="2" t="str">
        <f>IF(Iterations[[#This Row],[Step]] =current_step, current_Total_Loss,IF(Iterations[[#This Row],[Step]] &gt; current_step, "",Iterations[[#This Row],[Total Loss]]))</f>
        <v/>
      </c>
      <c r="M1204" s="6" t="s">
        <v>27</v>
      </c>
      <c r="N1204" s="2" t="str">
        <f>IF(Iterations[[#This Row],[Step]] =current_step, current_Grad_a,IF(Iterations[[#This Row],[Step]] &gt; current_step, "",Iterations[[#This Row],[Grad_a]]))</f>
        <v/>
      </c>
      <c r="O1204" s="2" t="str">
        <f>IF(Iterations[[#This Row],[Step]] =current_step, current_Grad_b,IF(Iterations[[#This Row],[Step]] &gt; current_step, "",Iterations[[#This Row],[Grad_b]]))</f>
        <v/>
      </c>
      <c r="P1204" s="2" t="str">
        <f>IF(Iterations[[#This Row],[Step]] =current_step, current_Grad_c,IF(Iterations[[#This Row],[Step]] &gt; current_step, "",Iterations[[#This Row],[Grad_c]]))</f>
        <v/>
      </c>
      <c r="Q1204" s="2" t="str">
        <f>IF(Iterations[[#This Row],[Step]] =current_step, current_Grad_d,IF(Iterations[[#This Row],[Step]] &gt; current_step, "",Iterations[[#This Row],[Grad_d]]))</f>
        <v/>
      </c>
      <c r="R1204" s="2" t="str">
        <f>IF(Iterations[[#This Row],[Step]] =current_step, current_Grad_e,IF(Iterations[[#This Row],[Step]] &gt; current_step, "",Iterations[[#This Row],[Grad_e]]))</f>
        <v/>
      </c>
    </row>
    <row r="1205" spans="6:18" x14ac:dyDescent="0.3">
      <c r="F1205" s="2">
        <f t="shared" si="23"/>
        <v>1188</v>
      </c>
      <c r="G1205" s="2" t="str">
        <f>IF(Iterations[[#This Row],[Step]] =current_step, current_a,IF(Iterations[[#This Row],[Step]] &gt; current_step, "",Iterations[[#This Row],[a]]))</f>
        <v/>
      </c>
      <c r="H1205" s="2" t="str">
        <f>IF(Iterations[[#This Row],[Step]] =current_step, current_b,IF(Iterations[[#This Row],[Step]] &gt; current_step, "",Iterations[[#This Row],[b]]))</f>
        <v/>
      </c>
      <c r="I1205" s="2" t="str">
        <f>IF(Iterations[[#This Row],[Step]] =current_step, current_c,IF(Iterations[[#This Row],[Step]] &gt; current_step, "",Iterations[[#This Row],[c]]))</f>
        <v/>
      </c>
      <c r="J1205" s="2" t="str">
        <f>IF(Iterations[[#This Row],[Step]] =current_step, current_d,IF(Iterations[[#This Row],[Step]] &gt; current_step, "",Iterations[[#This Row],[d]]))</f>
        <v/>
      </c>
      <c r="K1205" s="2" t="str">
        <f>IF(Iterations[[#This Row],[Step]] =current_step, current_e,IF(Iterations[[#This Row],[Step]] &gt; current_step, "",Iterations[[#This Row],[e]]))</f>
        <v/>
      </c>
      <c r="L1205" s="2" t="str">
        <f>IF(Iterations[[#This Row],[Step]] =current_step, current_Total_Loss,IF(Iterations[[#This Row],[Step]] &gt; current_step, "",Iterations[[#This Row],[Total Loss]]))</f>
        <v/>
      </c>
      <c r="M1205" s="6" t="s">
        <v>27</v>
      </c>
      <c r="N1205" s="2" t="str">
        <f>IF(Iterations[[#This Row],[Step]] =current_step, current_Grad_a,IF(Iterations[[#This Row],[Step]] &gt; current_step, "",Iterations[[#This Row],[Grad_a]]))</f>
        <v/>
      </c>
      <c r="O1205" s="2" t="str">
        <f>IF(Iterations[[#This Row],[Step]] =current_step, current_Grad_b,IF(Iterations[[#This Row],[Step]] &gt; current_step, "",Iterations[[#This Row],[Grad_b]]))</f>
        <v/>
      </c>
      <c r="P1205" s="2" t="str">
        <f>IF(Iterations[[#This Row],[Step]] =current_step, current_Grad_c,IF(Iterations[[#This Row],[Step]] &gt; current_step, "",Iterations[[#This Row],[Grad_c]]))</f>
        <v/>
      </c>
      <c r="Q1205" s="2" t="str">
        <f>IF(Iterations[[#This Row],[Step]] =current_step, current_Grad_d,IF(Iterations[[#This Row],[Step]] &gt; current_step, "",Iterations[[#This Row],[Grad_d]]))</f>
        <v/>
      </c>
      <c r="R1205" s="2" t="str">
        <f>IF(Iterations[[#This Row],[Step]] =current_step, current_Grad_e,IF(Iterations[[#This Row],[Step]] &gt; current_step, "",Iterations[[#This Row],[Grad_e]]))</f>
        <v/>
      </c>
    </row>
    <row r="1206" spans="6:18" x14ac:dyDescent="0.3">
      <c r="F1206" s="2">
        <f t="shared" si="23"/>
        <v>1189</v>
      </c>
      <c r="G1206" s="2" t="str">
        <f>IF(Iterations[[#This Row],[Step]] =current_step, current_a,IF(Iterations[[#This Row],[Step]] &gt; current_step, "",Iterations[[#This Row],[a]]))</f>
        <v/>
      </c>
      <c r="H1206" s="2" t="str">
        <f>IF(Iterations[[#This Row],[Step]] =current_step, current_b,IF(Iterations[[#This Row],[Step]] &gt; current_step, "",Iterations[[#This Row],[b]]))</f>
        <v/>
      </c>
      <c r="I1206" s="2" t="str">
        <f>IF(Iterations[[#This Row],[Step]] =current_step, current_c,IF(Iterations[[#This Row],[Step]] &gt; current_step, "",Iterations[[#This Row],[c]]))</f>
        <v/>
      </c>
      <c r="J1206" s="2" t="str">
        <f>IF(Iterations[[#This Row],[Step]] =current_step, current_d,IF(Iterations[[#This Row],[Step]] &gt; current_step, "",Iterations[[#This Row],[d]]))</f>
        <v/>
      </c>
      <c r="K1206" s="2" t="str">
        <f>IF(Iterations[[#This Row],[Step]] =current_step, current_e,IF(Iterations[[#This Row],[Step]] &gt; current_step, "",Iterations[[#This Row],[e]]))</f>
        <v/>
      </c>
      <c r="L1206" s="2" t="str">
        <f>IF(Iterations[[#This Row],[Step]] =current_step, current_Total_Loss,IF(Iterations[[#This Row],[Step]] &gt; current_step, "",Iterations[[#This Row],[Total Loss]]))</f>
        <v/>
      </c>
      <c r="M1206" s="6" t="s">
        <v>27</v>
      </c>
      <c r="N1206" s="2" t="str">
        <f>IF(Iterations[[#This Row],[Step]] =current_step, current_Grad_a,IF(Iterations[[#This Row],[Step]] &gt; current_step, "",Iterations[[#This Row],[Grad_a]]))</f>
        <v/>
      </c>
      <c r="O1206" s="2" t="str">
        <f>IF(Iterations[[#This Row],[Step]] =current_step, current_Grad_b,IF(Iterations[[#This Row],[Step]] &gt; current_step, "",Iterations[[#This Row],[Grad_b]]))</f>
        <v/>
      </c>
      <c r="P1206" s="2" t="str">
        <f>IF(Iterations[[#This Row],[Step]] =current_step, current_Grad_c,IF(Iterations[[#This Row],[Step]] &gt; current_step, "",Iterations[[#This Row],[Grad_c]]))</f>
        <v/>
      </c>
      <c r="Q1206" s="2" t="str">
        <f>IF(Iterations[[#This Row],[Step]] =current_step, current_Grad_d,IF(Iterations[[#This Row],[Step]] &gt; current_step, "",Iterations[[#This Row],[Grad_d]]))</f>
        <v/>
      </c>
      <c r="R1206" s="2" t="str">
        <f>IF(Iterations[[#This Row],[Step]] =current_step, current_Grad_e,IF(Iterations[[#This Row],[Step]] &gt; current_step, "",Iterations[[#This Row],[Grad_e]]))</f>
        <v/>
      </c>
    </row>
    <row r="1207" spans="6:18" x14ac:dyDescent="0.3">
      <c r="F1207" s="2">
        <f t="shared" si="23"/>
        <v>1190</v>
      </c>
      <c r="G1207" s="2" t="str">
        <f>IF(Iterations[[#This Row],[Step]] =current_step, current_a,IF(Iterations[[#This Row],[Step]] &gt; current_step, "",Iterations[[#This Row],[a]]))</f>
        <v/>
      </c>
      <c r="H1207" s="2" t="str">
        <f>IF(Iterations[[#This Row],[Step]] =current_step, current_b,IF(Iterations[[#This Row],[Step]] &gt; current_step, "",Iterations[[#This Row],[b]]))</f>
        <v/>
      </c>
      <c r="I1207" s="2" t="str">
        <f>IF(Iterations[[#This Row],[Step]] =current_step, current_c,IF(Iterations[[#This Row],[Step]] &gt; current_step, "",Iterations[[#This Row],[c]]))</f>
        <v/>
      </c>
      <c r="J1207" s="2" t="str">
        <f>IF(Iterations[[#This Row],[Step]] =current_step, current_d,IF(Iterations[[#This Row],[Step]] &gt; current_step, "",Iterations[[#This Row],[d]]))</f>
        <v/>
      </c>
      <c r="K1207" s="2" t="str">
        <f>IF(Iterations[[#This Row],[Step]] =current_step, current_e,IF(Iterations[[#This Row],[Step]] &gt; current_step, "",Iterations[[#This Row],[e]]))</f>
        <v/>
      </c>
      <c r="L1207" s="2" t="str">
        <f>IF(Iterations[[#This Row],[Step]] =current_step, current_Total_Loss,IF(Iterations[[#This Row],[Step]] &gt; current_step, "",Iterations[[#This Row],[Total Loss]]))</f>
        <v/>
      </c>
      <c r="M1207" s="6" t="s">
        <v>27</v>
      </c>
      <c r="N1207" s="2" t="str">
        <f>IF(Iterations[[#This Row],[Step]] =current_step, current_Grad_a,IF(Iterations[[#This Row],[Step]] &gt; current_step, "",Iterations[[#This Row],[Grad_a]]))</f>
        <v/>
      </c>
      <c r="O1207" s="2" t="str">
        <f>IF(Iterations[[#This Row],[Step]] =current_step, current_Grad_b,IF(Iterations[[#This Row],[Step]] &gt; current_step, "",Iterations[[#This Row],[Grad_b]]))</f>
        <v/>
      </c>
      <c r="P1207" s="2" t="str">
        <f>IF(Iterations[[#This Row],[Step]] =current_step, current_Grad_c,IF(Iterations[[#This Row],[Step]] &gt; current_step, "",Iterations[[#This Row],[Grad_c]]))</f>
        <v/>
      </c>
      <c r="Q1207" s="2" t="str">
        <f>IF(Iterations[[#This Row],[Step]] =current_step, current_Grad_d,IF(Iterations[[#This Row],[Step]] &gt; current_step, "",Iterations[[#This Row],[Grad_d]]))</f>
        <v/>
      </c>
      <c r="R1207" s="2" t="str">
        <f>IF(Iterations[[#This Row],[Step]] =current_step, current_Grad_e,IF(Iterations[[#This Row],[Step]] &gt; current_step, "",Iterations[[#This Row],[Grad_e]]))</f>
        <v/>
      </c>
    </row>
    <row r="1208" spans="6:18" x14ac:dyDescent="0.3">
      <c r="F1208" s="2">
        <f t="shared" ref="F1208:F1271" si="24">F1207+1</f>
        <v>1191</v>
      </c>
      <c r="G1208" s="2" t="str">
        <f>IF(Iterations[[#This Row],[Step]] =current_step, current_a,IF(Iterations[[#This Row],[Step]] &gt; current_step, "",Iterations[[#This Row],[a]]))</f>
        <v/>
      </c>
      <c r="H1208" s="2" t="str">
        <f>IF(Iterations[[#This Row],[Step]] =current_step, current_b,IF(Iterations[[#This Row],[Step]] &gt; current_step, "",Iterations[[#This Row],[b]]))</f>
        <v/>
      </c>
      <c r="I1208" s="2" t="str">
        <f>IF(Iterations[[#This Row],[Step]] =current_step, current_c,IF(Iterations[[#This Row],[Step]] &gt; current_step, "",Iterations[[#This Row],[c]]))</f>
        <v/>
      </c>
      <c r="J1208" s="2" t="str">
        <f>IF(Iterations[[#This Row],[Step]] =current_step, current_d,IF(Iterations[[#This Row],[Step]] &gt; current_step, "",Iterations[[#This Row],[d]]))</f>
        <v/>
      </c>
      <c r="K1208" s="2" t="str">
        <f>IF(Iterations[[#This Row],[Step]] =current_step, current_e,IF(Iterations[[#This Row],[Step]] &gt; current_step, "",Iterations[[#This Row],[e]]))</f>
        <v/>
      </c>
      <c r="L1208" s="2" t="str">
        <f>IF(Iterations[[#This Row],[Step]] =current_step, current_Total_Loss,IF(Iterations[[#This Row],[Step]] &gt; current_step, "",Iterations[[#This Row],[Total Loss]]))</f>
        <v/>
      </c>
      <c r="M1208" s="6" t="s">
        <v>27</v>
      </c>
      <c r="N1208" s="2" t="str">
        <f>IF(Iterations[[#This Row],[Step]] =current_step, current_Grad_a,IF(Iterations[[#This Row],[Step]] &gt; current_step, "",Iterations[[#This Row],[Grad_a]]))</f>
        <v/>
      </c>
      <c r="O1208" s="2" t="str">
        <f>IF(Iterations[[#This Row],[Step]] =current_step, current_Grad_b,IF(Iterations[[#This Row],[Step]] &gt; current_step, "",Iterations[[#This Row],[Grad_b]]))</f>
        <v/>
      </c>
      <c r="P1208" s="2" t="str">
        <f>IF(Iterations[[#This Row],[Step]] =current_step, current_Grad_c,IF(Iterations[[#This Row],[Step]] &gt; current_step, "",Iterations[[#This Row],[Grad_c]]))</f>
        <v/>
      </c>
      <c r="Q1208" s="2" t="str">
        <f>IF(Iterations[[#This Row],[Step]] =current_step, current_Grad_d,IF(Iterations[[#This Row],[Step]] &gt; current_step, "",Iterations[[#This Row],[Grad_d]]))</f>
        <v/>
      </c>
      <c r="R1208" s="2" t="str">
        <f>IF(Iterations[[#This Row],[Step]] =current_step, current_Grad_e,IF(Iterations[[#This Row],[Step]] &gt; current_step, "",Iterations[[#This Row],[Grad_e]]))</f>
        <v/>
      </c>
    </row>
    <row r="1209" spans="6:18" x14ac:dyDescent="0.3">
      <c r="F1209" s="2">
        <f t="shared" si="24"/>
        <v>1192</v>
      </c>
      <c r="G1209" s="2" t="str">
        <f>IF(Iterations[[#This Row],[Step]] =current_step, current_a,IF(Iterations[[#This Row],[Step]] &gt; current_step, "",Iterations[[#This Row],[a]]))</f>
        <v/>
      </c>
      <c r="H1209" s="2" t="str">
        <f>IF(Iterations[[#This Row],[Step]] =current_step, current_b,IF(Iterations[[#This Row],[Step]] &gt; current_step, "",Iterations[[#This Row],[b]]))</f>
        <v/>
      </c>
      <c r="I1209" s="2" t="str">
        <f>IF(Iterations[[#This Row],[Step]] =current_step, current_c,IF(Iterations[[#This Row],[Step]] &gt; current_step, "",Iterations[[#This Row],[c]]))</f>
        <v/>
      </c>
      <c r="J1209" s="2" t="str">
        <f>IF(Iterations[[#This Row],[Step]] =current_step, current_d,IF(Iterations[[#This Row],[Step]] &gt; current_step, "",Iterations[[#This Row],[d]]))</f>
        <v/>
      </c>
      <c r="K1209" s="2" t="str">
        <f>IF(Iterations[[#This Row],[Step]] =current_step, current_e,IF(Iterations[[#This Row],[Step]] &gt; current_step, "",Iterations[[#This Row],[e]]))</f>
        <v/>
      </c>
      <c r="L1209" s="2" t="str">
        <f>IF(Iterations[[#This Row],[Step]] =current_step, current_Total_Loss,IF(Iterations[[#This Row],[Step]] &gt; current_step, "",Iterations[[#This Row],[Total Loss]]))</f>
        <v/>
      </c>
      <c r="M1209" s="6" t="s">
        <v>27</v>
      </c>
      <c r="N1209" s="2" t="str">
        <f>IF(Iterations[[#This Row],[Step]] =current_step, current_Grad_a,IF(Iterations[[#This Row],[Step]] &gt; current_step, "",Iterations[[#This Row],[Grad_a]]))</f>
        <v/>
      </c>
      <c r="O1209" s="2" t="str">
        <f>IF(Iterations[[#This Row],[Step]] =current_step, current_Grad_b,IF(Iterations[[#This Row],[Step]] &gt; current_step, "",Iterations[[#This Row],[Grad_b]]))</f>
        <v/>
      </c>
      <c r="P1209" s="2" t="str">
        <f>IF(Iterations[[#This Row],[Step]] =current_step, current_Grad_c,IF(Iterations[[#This Row],[Step]] &gt; current_step, "",Iterations[[#This Row],[Grad_c]]))</f>
        <v/>
      </c>
      <c r="Q1209" s="2" t="str">
        <f>IF(Iterations[[#This Row],[Step]] =current_step, current_Grad_d,IF(Iterations[[#This Row],[Step]] &gt; current_step, "",Iterations[[#This Row],[Grad_d]]))</f>
        <v/>
      </c>
      <c r="R1209" s="2" t="str">
        <f>IF(Iterations[[#This Row],[Step]] =current_step, current_Grad_e,IF(Iterations[[#This Row],[Step]] &gt; current_step, "",Iterations[[#This Row],[Grad_e]]))</f>
        <v/>
      </c>
    </row>
    <row r="1210" spans="6:18" x14ac:dyDescent="0.3">
      <c r="F1210" s="2">
        <f t="shared" si="24"/>
        <v>1193</v>
      </c>
      <c r="G1210" s="2" t="str">
        <f>IF(Iterations[[#This Row],[Step]] =current_step, current_a,IF(Iterations[[#This Row],[Step]] &gt; current_step, "",Iterations[[#This Row],[a]]))</f>
        <v/>
      </c>
      <c r="H1210" s="2" t="str">
        <f>IF(Iterations[[#This Row],[Step]] =current_step, current_b,IF(Iterations[[#This Row],[Step]] &gt; current_step, "",Iterations[[#This Row],[b]]))</f>
        <v/>
      </c>
      <c r="I1210" s="2" t="str">
        <f>IF(Iterations[[#This Row],[Step]] =current_step, current_c,IF(Iterations[[#This Row],[Step]] &gt; current_step, "",Iterations[[#This Row],[c]]))</f>
        <v/>
      </c>
      <c r="J1210" s="2" t="str">
        <f>IF(Iterations[[#This Row],[Step]] =current_step, current_d,IF(Iterations[[#This Row],[Step]] &gt; current_step, "",Iterations[[#This Row],[d]]))</f>
        <v/>
      </c>
      <c r="K1210" s="2" t="str">
        <f>IF(Iterations[[#This Row],[Step]] =current_step, current_e,IF(Iterations[[#This Row],[Step]] &gt; current_step, "",Iterations[[#This Row],[e]]))</f>
        <v/>
      </c>
      <c r="L1210" s="2" t="str">
        <f>IF(Iterations[[#This Row],[Step]] =current_step, current_Total_Loss,IF(Iterations[[#This Row],[Step]] &gt; current_step, "",Iterations[[#This Row],[Total Loss]]))</f>
        <v/>
      </c>
      <c r="M1210" s="6" t="s">
        <v>27</v>
      </c>
      <c r="N1210" s="2" t="str">
        <f>IF(Iterations[[#This Row],[Step]] =current_step, current_Grad_a,IF(Iterations[[#This Row],[Step]] &gt; current_step, "",Iterations[[#This Row],[Grad_a]]))</f>
        <v/>
      </c>
      <c r="O1210" s="2" t="str">
        <f>IF(Iterations[[#This Row],[Step]] =current_step, current_Grad_b,IF(Iterations[[#This Row],[Step]] &gt; current_step, "",Iterations[[#This Row],[Grad_b]]))</f>
        <v/>
      </c>
      <c r="P1210" s="2" t="str">
        <f>IF(Iterations[[#This Row],[Step]] =current_step, current_Grad_c,IF(Iterations[[#This Row],[Step]] &gt; current_step, "",Iterations[[#This Row],[Grad_c]]))</f>
        <v/>
      </c>
      <c r="Q1210" s="2" t="str">
        <f>IF(Iterations[[#This Row],[Step]] =current_step, current_Grad_d,IF(Iterations[[#This Row],[Step]] &gt; current_step, "",Iterations[[#This Row],[Grad_d]]))</f>
        <v/>
      </c>
      <c r="R1210" s="2" t="str">
        <f>IF(Iterations[[#This Row],[Step]] =current_step, current_Grad_e,IF(Iterations[[#This Row],[Step]] &gt; current_step, "",Iterations[[#This Row],[Grad_e]]))</f>
        <v/>
      </c>
    </row>
    <row r="1211" spans="6:18" x14ac:dyDescent="0.3">
      <c r="F1211" s="2">
        <f t="shared" si="24"/>
        <v>1194</v>
      </c>
      <c r="G1211" s="2" t="str">
        <f>IF(Iterations[[#This Row],[Step]] =current_step, current_a,IF(Iterations[[#This Row],[Step]] &gt; current_step, "",Iterations[[#This Row],[a]]))</f>
        <v/>
      </c>
      <c r="H1211" s="2" t="str">
        <f>IF(Iterations[[#This Row],[Step]] =current_step, current_b,IF(Iterations[[#This Row],[Step]] &gt; current_step, "",Iterations[[#This Row],[b]]))</f>
        <v/>
      </c>
      <c r="I1211" s="2" t="str">
        <f>IF(Iterations[[#This Row],[Step]] =current_step, current_c,IF(Iterations[[#This Row],[Step]] &gt; current_step, "",Iterations[[#This Row],[c]]))</f>
        <v/>
      </c>
      <c r="J1211" s="2" t="str">
        <f>IF(Iterations[[#This Row],[Step]] =current_step, current_d,IF(Iterations[[#This Row],[Step]] &gt; current_step, "",Iterations[[#This Row],[d]]))</f>
        <v/>
      </c>
      <c r="K1211" s="2" t="str">
        <f>IF(Iterations[[#This Row],[Step]] =current_step, current_e,IF(Iterations[[#This Row],[Step]] &gt; current_step, "",Iterations[[#This Row],[e]]))</f>
        <v/>
      </c>
      <c r="L1211" s="2" t="str">
        <f>IF(Iterations[[#This Row],[Step]] =current_step, current_Total_Loss,IF(Iterations[[#This Row],[Step]] &gt; current_step, "",Iterations[[#This Row],[Total Loss]]))</f>
        <v/>
      </c>
      <c r="M1211" s="6" t="s">
        <v>27</v>
      </c>
      <c r="N1211" s="2" t="str">
        <f>IF(Iterations[[#This Row],[Step]] =current_step, current_Grad_a,IF(Iterations[[#This Row],[Step]] &gt; current_step, "",Iterations[[#This Row],[Grad_a]]))</f>
        <v/>
      </c>
      <c r="O1211" s="2" t="str">
        <f>IF(Iterations[[#This Row],[Step]] =current_step, current_Grad_b,IF(Iterations[[#This Row],[Step]] &gt; current_step, "",Iterations[[#This Row],[Grad_b]]))</f>
        <v/>
      </c>
      <c r="P1211" s="2" t="str">
        <f>IF(Iterations[[#This Row],[Step]] =current_step, current_Grad_c,IF(Iterations[[#This Row],[Step]] &gt; current_step, "",Iterations[[#This Row],[Grad_c]]))</f>
        <v/>
      </c>
      <c r="Q1211" s="2" t="str">
        <f>IF(Iterations[[#This Row],[Step]] =current_step, current_Grad_d,IF(Iterations[[#This Row],[Step]] &gt; current_step, "",Iterations[[#This Row],[Grad_d]]))</f>
        <v/>
      </c>
      <c r="R1211" s="2" t="str">
        <f>IF(Iterations[[#This Row],[Step]] =current_step, current_Grad_e,IF(Iterations[[#This Row],[Step]] &gt; current_step, "",Iterations[[#This Row],[Grad_e]]))</f>
        <v/>
      </c>
    </row>
    <row r="1212" spans="6:18" x14ac:dyDescent="0.3">
      <c r="F1212" s="2">
        <f t="shared" si="24"/>
        <v>1195</v>
      </c>
      <c r="G1212" s="2" t="str">
        <f>IF(Iterations[[#This Row],[Step]] =current_step, current_a,IF(Iterations[[#This Row],[Step]] &gt; current_step, "",Iterations[[#This Row],[a]]))</f>
        <v/>
      </c>
      <c r="H1212" s="2" t="str">
        <f>IF(Iterations[[#This Row],[Step]] =current_step, current_b,IF(Iterations[[#This Row],[Step]] &gt; current_step, "",Iterations[[#This Row],[b]]))</f>
        <v/>
      </c>
      <c r="I1212" s="2" t="str">
        <f>IF(Iterations[[#This Row],[Step]] =current_step, current_c,IF(Iterations[[#This Row],[Step]] &gt; current_step, "",Iterations[[#This Row],[c]]))</f>
        <v/>
      </c>
      <c r="J1212" s="2" t="str">
        <f>IF(Iterations[[#This Row],[Step]] =current_step, current_d,IF(Iterations[[#This Row],[Step]] &gt; current_step, "",Iterations[[#This Row],[d]]))</f>
        <v/>
      </c>
      <c r="K1212" s="2" t="str">
        <f>IF(Iterations[[#This Row],[Step]] =current_step, current_e,IF(Iterations[[#This Row],[Step]] &gt; current_step, "",Iterations[[#This Row],[e]]))</f>
        <v/>
      </c>
      <c r="L1212" s="2" t="str">
        <f>IF(Iterations[[#This Row],[Step]] =current_step, current_Total_Loss,IF(Iterations[[#This Row],[Step]] &gt; current_step, "",Iterations[[#This Row],[Total Loss]]))</f>
        <v/>
      </c>
      <c r="M1212" s="6" t="s">
        <v>27</v>
      </c>
      <c r="N1212" s="2" t="str">
        <f>IF(Iterations[[#This Row],[Step]] =current_step, current_Grad_a,IF(Iterations[[#This Row],[Step]] &gt; current_step, "",Iterations[[#This Row],[Grad_a]]))</f>
        <v/>
      </c>
      <c r="O1212" s="2" t="str">
        <f>IF(Iterations[[#This Row],[Step]] =current_step, current_Grad_b,IF(Iterations[[#This Row],[Step]] &gt; current_step, "",Iterations[[#This Row],[Grad_b]]))</f>
        <v/>
      </c>
      <c r="P1212" s="2" t="str">
        <f>IF(Iterations[[#This Row],[Step]] =current_step, current_Grad_c,IF(Iterations[[#This Row],[Step]] &gt; current_step, "",Iterations[[#This Row],[Grad_c]]))</f>
        <v/>
      </c>
      <c r="Q1212" s="2" t="str">
        <f>IF(Iterations[[#This Row],[Step]] =current_step, current_Grad_d,IF(Iterations[[#This Row],[Step]] &gt; current_step, "",Iterations[[#This Row],[Grad_d]]))</f>
        <v/>
      </c>
      <c r="R1212" s="2" t="str">
        <f>IF(Iterations[[#This Row],[Step]] =current_step, current_Grad_e,IF(Iterations[[#This Row],[Step]] &gt; current_step, "",Iterations[[#This Row],[Grad_e]]))</f>
        <v/>
      </c>
    </row>
    <row r="1213" spans="6:18" x14ac:dyDescent="0.3">
      <c r="F1213" s="2">
        <f t="shared" si="24"/>
        <v>1196</v>
      </c>
      <c r="G1213" s="2" t="str">
        <f>IF(Iterations[[#This Row],[Step]] =current_step, current_a,IF(Iterations[[#This Row],[Step]] &gt; current_step, "",Iterations[[#This Row],[a]]))</f>
        <v/>
      </c>
      <c r="H1213" s="2" t="str">
        <f>IF(Iterations[[#This Row],[Step]] =current_step, current_b,IF(Iterations[[#This Row],[Step]] &gt; current_step, "",Iterations[[#This Row],[b]]))</f>
        <v/>
      </c>
      <c r="I1213" s="2" t="str">
        <f>IF(Iterations[[#This Row],[Step]] =current_step, current_c,IF(Iterations[[#This Row],[Step]] &gt; current_step, "",Iterations[[#This Row],[c]]))</f>
        <v/>
      </c>
      <c r="J1213" s="2" t="str">
        <f>IF(Iterations[[#This Row],[Step]] =current_step, current_d,IF(Iterations[[#This Row],[Step]] &gt; current_step, "",Iterations[[#This Row],[d]]))</f>
        <v/>
      </c>
      <c r="K1213" s="2" t="str">
        <f>IF(Iterations[[#This Row],[Step]] =current_step, current_e,IF(Iterations[[#This Row],[Step]] &gt; current_step, "",Iterations[[#This Row],[e]]))</f>
        <v/>
      </c>
      <c r="L1213" s="2" t="str">
        <f>IF(Iterations[[#This Row],[Step]] =current_step, current_Total_Loss,IF(Iterations[[#This Row],[Step]] &gt; current_step, "",Iterations[[#This Row],[Total Loss]]))</f>
        <v/>
      </c>
      <c r="M1213" s="6" t="s">
        <v>27</v>
      </c>
      <c r="N1213" s="2" t="str">
        <f>IF(Iterations[[#This Row],[Step]] =current_step, current_Grad_a,IF(Iterations[[#This Row],[Step]] &gt; current_step, "",Iterations[[#This Row],[Grad_a]]))</f>
        <v/>
      </c>
      <c r="O1213" s="2" t="str">
        <f>IF(Iterations[[#This Row],[Step]] =current_step, current_Grad_b,IF(Iterations[[#This Row],[Step]] &gt; current_step, "",Iterations[[#This Row],[Grad_b]]))</f>
        <v/>
      </c>
      <c r="P1213" s="2" t="str">
        <f>IF(Iterations[[#This Row],[Step]] =current_step, current_Grad_c,IF(Iterations[[#This Row],[Step]] &gt; current_step, "",Iterations[[#This Row],[Grad_c]]))</f>
        <v/>
      </c>
      <c r="Q1213" s="2" t="str">
        <f>IF(Iterations[[#This Row],[Step]] =current_step, current_Grad_d,IF(Iterations[[#This Row],[Step]] &gt; current_step, "",Iterations[[#This Row],[Grad_d]]))</f>
        <v/>
      </c>
      <c r="R1213" s="2" t="str">
        <f>IF(Iterations[[#This Row],[Step]] =current_step, current_Grad_e,IF(Iterations[[#This Row],[Step]] &gt; current_step, "",Iterations[[#This Row],[Grad_e]]))</f>
        <v/>
      </c>
    </row>
    <row r="1214" spans="6:18" x14ac:dyDescent="0.3">
      <c r="F1214" s="2">
        <f t="shared" si="24"/>
        <v>1197</v>
      </c>
      <c r="G1214" s="2" t="str">
        <f>IF(Iterations[[#This Row],[Step]] =current_step, current_a,IF(Iterations[[#This Row],[Step]] &gt; current_step, "",Iterations[[#This Row],[a]]))</f>
        <v/>
      </c>
      <c r="H1214" s="2" t="str">
        <f>IF(Iterations[[#This Row],[Step]] =current_step, current_b,IF(Iterations[[#This Row],[Step]] &gt; current_step, "",Iterations[[#This Row],[b]]))</f>
        <v/>
      </c>
      <c r="I1214" s="2" t="str">
        <f>IF(Iterations[[#This Row],[Step]] =current_step, current_c,IF(Iterations[[#This Row],[Step]] &gt; current_step, "",Iterations[[#This Row],[c]]))</f>
        <v/>
      </c>
      <c r="J1214" s="2" t="str">
        <f>IF(Iterations[[#This Row],[Step]] =current_step, current_d,IF(Iterations[[#This Row],[Step]] &gt; current_step, "",Iterations[[#This Row],[d]]))</f>
        <v/>
      </c>
      <c r="K1214" s="2" t="str">
        <f>IF(Iterations[[#This Row],[Step]] =current_step, current_e,IF(Iterations[[#This Row],[Step]] &gt; current_step, "",Iterations[[#This Row],[e]]))</f>
        <v/>
      </c>
      <c r="L1214" s="2" t="str">
        <f>IF(Iterations[[#This Row],[Step]] =current_step, current_Total_Loss,IF(Iterations[[#This Row],[Step]] &gt; current_step, "",Iterations[[#This Row],[Total Loss]]))</f>
        <v/>
      </c>
      <c r="M1214" s="6" t="s">
        <v>27</v>
      </c>
      <c r="N1214" s="2" t="str">
        <f>IF(Iterations[[#This Row],[Step]] =current_step, current_Grad_a,IF(Iterations[[#This Row],[Step]] &gt; current_step, "",Iterations[[#This Row],[Grad_a]]))</f>
        <v/>
      </c>
      <c r="O1214" s="2" t="str">
        <f>IF(Iterations[[#This Row],[Step]] =current_step, current_Grad_b,IF(Iterations[[#This Row],[Step]] &gt; current_step, "",Iterations[[#This Row],[Grad_b]]))</f>
        <v/>
      </c>
      <c r="P1214" s="2" t="str">
        <f>IF(Iterations[[#This Row],[Step]] =current_step, current_Grad_c,IF(Iterations[[#This Row],[Step]] &gt; current_step, "",Iterations[[#This Row],[Grad_c]]))</f>
        <v/>
      </c>
      <c r="Q1214" s="2" t="str">
        <f>IF(Iterations[[#This Row],[Step]] =current_step, current_Grad_d,IF(Iterations[[#This Row],[Step]] &gt; current_step, "",Iterations[[#This Row],[Grad_d]]))</f>
        <v/>
      </c>
      <c r="R1214" s="2" t="str">
        <f>IF(Iterations[[#This Row],[Step]] =current_step, current_Grad_e,IF(Iterations[[#This Row],[Step]] &gt; current_step, "",Iterations[[#This Row],[Grad_e]]))</f>
        <v/>
      </c>
    </row>
    <row r="1215" spans="6:18" x14ac:dyDescent="0.3">
      <c r="F1215" s="2">
        <f t="shared" si="24"/>
        <v>1198</v>
      </c>
      <c r="G1215" s="2" t="str">
        <f>IF(Iterations[[#This Row],[Step]] =current_step, current_a,IF(Iterations[[#This Row],[Step]] &gt; current_step, "",Iterations[[#This Row],[a]]))</f>
        <v/>
      </c>
      <c r="H1215" s="2" t="str">
        <f>IF(Iterations[[#This Row],[Step]] =current_step, current_b,IF(Iterations[[#This Row],[Step]] &gt; current_step, "",Iterations[[#This Row],[b]]))</f>
        <v/>
      </c>
      <c r="I1215" s="2" t="str">
        <f>IF(Iterations[[#This Row],[Step]] =current_step, current_c,IF(Iterations[[#This Row],[Step]] &gt; current_step, "",Iterations[[#This Row],[c]]))</f>
        <v/>
      </c>
      <c r="J1215" s="2" t="str">
        <f>IF(Iterations[[#This Row],[Step]] =current_step, current_d,IF(Iterations[[#This Row],[Step]] &gt; current_step, "",Iterations[[#This Row],[d]]))</f>
        <v/>
      </c>
      <c r="K1215" s="2" t="str">
        <f>IF(Iterations[[#This Row],[Step]] =current_step, current_e,IF(Iterations[[#This Row],[Step]] &gt; current_step, "",Iterations[[#This Row],[e]]))</f>
        <v/>
      </c>
      <c r="L1215" s="2" t="str">
        <f>IF(Iterations[[#This Row],[Step]] =current_step, current_Total_Loss,IF(Iterations[[#This Row],[Step]] &gt; current_step, "",Iterations[[#This Row],[Total Loss]]))</f>
        <v/>
      </c>
      <c r="M1215" s="6" t="s">
        <v>27</v>
      </c>
      <c r="N1215" s="2" t="str">
        <f>IF(Iterations[[#This Row],[Step]] =current_step, current_Grad_a,IF(Iterations[[#This Row],[Step]] &gt; current_step, "",Iterations[[#This Row],[Grad_a]]))</f>
        <v/>
      </c>
      <c r="O1215" s="2" t="str">
        <f>IF(Iterations[[#This Row],[Step]] =current_step, current_Grad_b,IF(Iterations[[#This Row],[Step]] &gt; current_step, "",Iterations[[#This Row],[Grad_b]]))</f>
        <v/>
      </c>
      <c r="P1215" s="2" t="str">
        <f>IF(Iterations[[#This Row],[Step]] =current_step, current_Grad_c,IF(Iterations[[#This Row],[Step]] &gt; current_step, "",Iterations[[#This Row],[Grad_c]]))</f>
        <v/>
      </c>
      <c r="Q1215" s="2" t="str">
        <f>IF(Iterations[[#This Row],[Step]] =current_step, current_Grad_d,IF(Iterations[[#This Row],[Step]] &gt; current_step, "",Iterations[[#This Row],[Grad_d]]))</f>
        <v/>
      </c>
      <c r="R1215" s="2" t="str">
        <f>IF(Iterations[[#This Row],[Step]] =current_step, current_Grad_e,IF(Iterations[[#This Row],[Step]] &gt; current_step, "",Iterations[[#This Row],[Grad_e]]))</f>
        <v/>
      </c>
    </row>
    <row r="1216" spans="6:18" x14ac:dyDescent="0.3">
      <c r="F1216" s="2">
        <f t="shared" si="24"/>
        <v>1199</v>
      </c>
      <c r="G1216" s="2" t="str">
        <f>IF(Iterations[[#This Row],[Step]] =current_step, current_a,IF(Iterations[[#This Row],[Step]] &gt; current_step, "",Iterations[[#This Row],[a]]))</f>
        <v/>
      </c>
      <c r="H1216" s="2" t="str">
        <f>IF(Iterations[[#This Row],[Step]] =current_step, current_b,IF(Iterations[[#This Row],[Step]] &gt; current_step, "",Iterations[[#This Row],[b]]))</f>
        <v/>
      </c>
      <c r="I1216" s="2" t="str">
        <f>IF(Iterations[[#This Row],[Step]] =current_step, current_c,IF(Iterations[[#This Row],[Step]] &gt; current_step, "",Iterations[[#This Row],[c]]))</f>
        <v/>
      </c>
      <c r="J1216" s="2" t="str">
        <f>IF(Iterations[[#This Row],[Step]] =current_step, current_d,IF(Iterations[[#This Row],[Step]] &gt; current_step, "",Iterations[[#This Row],[d]]))</f>
        <v/>
      </c>
      <c r="K1216" s="2" t="str">
        <f>IF(Iterations[[#This Row],[Step]] =current_step, current_e,IF(Iterations[[#This Row],[Step]] &gt; current_step, "",Iterations[[#This Row],[e]]))</f>
        <v/>
      </c>
      <c r="L1216" s="2" t="str">
        <f>IF(Iterations[[#This Row],[Step]] =current_step, current_Total_Loss,IF(Iterations[[#This Row],[Step]] &gt; current_step, "",Iterations[[#This Row],[Total Loss]]))</f>
        <v/>
      </c>
      <c r="M1216" s="6" t="s">
        <v>27</v>
      </c>
      <c r="N1216" s="2" t="str">
        <f>IF(Iterations[[#This Row],[Step]] =current_step, current_Grad_a,IF(Iterations[[#This Row],[Step]] &gt; current_step, "",Iterations[[#This Row],[Grad_a]]))</f>
        <v/>
      </c>
      <c r="O1216" s="2" t="str">
        <f>IF(Iterations[[#This Row],[Step]] =current_step, current_Grad_b,IF(Iterations[[#This Row],[Step]] &gt; current_step, "",Iterations[[#This Row],[Grad_b]]))</f>
        <v/>
      </c>
      <c r="P1216" s="2" t="str">
        <f>IF(Iterations[[#This Row],[Step]] =current_step, current_Grad_c,IF(Iterations[[#This Row],[Step]] &gt; current_step, "",Iterations[[#This Row],[Grad_c]]))</f>
        <v/>
      </c>
      <c r="Q1216" s="2" t="str">
        <f>IF(Iterations[[#This Row],[Step]] =current_step, current_Grad_d,IF(Iterations[[#This Row],[Step]] &gt; current_step, "",Iterations[[#This Row],[Grad_d]]))</f>
        <v/>
      </c>
      <c r="R1216" s="2" t="str">
        <f>IF(Iterations[[#This Row],[Step]] =current_step, current_Grad_e,IF(Iterations[[#This Row],[Step]] &gt; current_step, "",Iterations[[#This Row],[Grad_e]]))</f>
        <v/>
      </c>
    </row>
    <row r="1217" spans="6:18" x14ac:dyDescent="0.3">
      <c r="F1217" s="2">
        <f t="shared" si="24"/>
        <v>1200</v>
      </c>
      <c r="G1217" s="2" t="str">
        <f>IF(Iterations[[#This Row],[Step]] =current_step, current_a,IF(Iterations[[#This Row],[Step]] &gt; current_step, "",Iterations[[#This Row],[a]]))</f>
        <v/>
      </c>
      <c r="H1217" s="2" t="str">
        <f>IF(Iterations[[#This Row],[Step]] =current_step, current_b,IF(Iterations[[#This Row],[Step]] &gt; current_step, "",Iterations[[#This Row],[b]]))</f>
        <v/>
      </c>
      <c r="I1217" s="2" t="str">
        <f>IF(Iterations[[#This Row],[Step]] =current_step, current_c,IF(Iterations[[#This Row],[Step]] &gt; current_step, "",Iterations[[#This Row],[c]]))</f>
        <v/>
      </c>
      <c r="J1217" s="2" t="str">
        <f>IF(Iterations[[#This Row],[Step]] =current_step, current_d,IF(Iterations[[#This Row],[Step]] &gt; current_step, "",Iterations[[#This Row],[d]]))</f>
        <v/>
      </c>
      <c r="K1217" s="2" t="str">
        <f>IF(Iterations[[#This Row],[Step]] =current_step, current_e,IF(Iterations[[#This Row],[Step]] &gt; current_step, "",Iterations[[#This Row],[e]]))</f>
        <v/>
      </c>
      <c r="L1217" s="2" t="str">
        <f>IF(Iterations[[#This Row],[Step]] =current_step, current_Total_Loss,IF(Iterations[[#This Row],[Step]] &gt; current_step, "",Iterations[[#This Row],[Total Loss]]))</f>
        <v/>
      </c>
      <c r="M1217" s="6" t="s">
        <v>27</v>
      </c>
      <c r="N1217" s="2" t="str">
        <f>IF(Iterations[[#This Row],[Step]] =current_step, current_Grad_a,IF(Iterations[[#This Row],[Step]] &gt; current_step, "",Iterations[[#This Row],[Grad_a]]))</f>
        <v/>
      </c>
      <c r="O1217" s="2" t="str">
        <f>IF(Iterations[[#This Row],[Step]] =current_step, current_Grad_b,IF(Iterations[[#This Row],[Step]] &gt; current_step, "",Iterations[[#This Row],[Grad_b]]))</f>
        <v/>
      </c>
      <c r="P1217" s="2" t="str">
        <f>IF(Iterations[[#This Row],[Step]] =current_step, current_Grad_c,IF(Iterations[[#This Row],[Step]] &gt; current_step, "",Iterations[[#This Row],[Grad_c]]))</f>
        <v/>
      </c>
      <c r="Q1217" s="2" t="str">
        <f>IF(Iterations[[#This Row],[Step]] =current_step, current_Grad_d,IF(Iterations[[#This Row],[Step]] &gt; current_step, "",Iterations[[#This Row],[Grad_d]]))</f>
        <v/>
      </c>
      <c r="R1217" s="2" t="str">
        <f>IF(Iterations[[#This Row],[Step]] =current_step, current_Grad_e,IF(Iterations[[#This Row],[Step]] &gt; current_step, "",Iterations[[#This Row],[Grad_e]]))</f>
        <v/>
      </c>
    </row>
    <row r="1218" spans="6:18" x14ac:dyDescent="0.3">
      <c r="F1218" s="2">
        <f t="shared" si="24"/>
        <v>1201</v>
      </c>
      <c r="G1218" s="2" t="str">
        <f>IF(Iterations[[#This Row],[Step]] =current_step, current_a,IF(Iterations[[#This Row],[Step]] &gt; current_step, "",Iterations[[#This Row],[a]]))</f>
        <v/>
      </c>
      <c r="H1218" s="2" t="str">
        <f>IF(Iterations[[#This Row],[Step]] =current_step, current_b,IF(Iterations[[#This Row],[Step]] &gt; current_step, "",Iterations[[#This Row],[b]]))</f>
        <v/>
      </c>
      <c r="I1218" s="2" t="str">
        <f>IF(Iterations[[#This Row],[Step]] =current_step, current_c,IF(Iterations[[#This Row],[Step]] &gt; current_step, "",Iterations[[#This Row],[c]]))</f>
        <v/>
      </c>
      <c r="J1218" s="2" t="str">
        <f>IF(Iterations[[#This Row],[Step]] =current_step, current_d,IF(Iterations[[#This Row],[Step]] &gt; current_step, "",Iterations[[#This Row],[d]]))</f>
        <v/>
      </c>
      <c r="K1218" s="2" t="str">
        <f>IF(Iterations[[#This Row],[Step]] =current_step, current_e,IF(Iterations[[#This Row],[Step]] &gt; current_step, "",Iterations[[#This Row],[e]]))</f>
        <v/>
      </c>
      <c r="L1218" s="2" t="str">
        <f>IF(Iterations[[#This Row],[Step]] =current_step, current_Total_Loss,IF(Iterations[[#This Row],[Step]] &gt; current_step, "",Iterations[[#This Row],[Total Loss]]))</f>
        <v/>
      </c>
      <c r="M1218" s="6" t="s">
        <v>27</v>
      </c>
      <c r="N1218" s="2" t="str">
        <f>IF(Iterations[[#This Row],[Step]] =current_step, current_Grad_a,IF(Iterations[[#This Row],[Step]] &gt; current_step, "",Iterations[[#This Row],[Grad_a]]))</f>
        <v/>
      </c>
      <c r="O1218" s="2" t="str">
        <f>IF(Iterations[[#This Row],[Step]] =current_step, current_Grad_b,IF(Iterations[[#This Row],[Step]] &gt; current_step, "",Iterations[[#This Row],[Grad_b]]))</f>
        <v/>
      </c>
      <c r="P1218" s="2" t="str">
        <f>IF(Iterations[[#This Row],[Step]] =current_step, current_Grad_c,IF(Iterations[[#This Row],[Step]] &gt; current_step, "",Iterations[[#This Row],[Grad_c]]))</f>
        <v/>
      </c>
      <c r="Q1218" s="2" t="str">
        <f>IF(Iterations[[#This Row],[Step]] =current_step, current_Grad_d,IF(Iterations[[#This Row],[Step]] &gt; current_step, "",Iterations[[#This Row],[Grad_d]]))</f>
        <v/>
      </c>
      <c r="R1218" s="2" t="str">
        <f>IF(Iterations[[#This Row],[Step]] =current_step, current_Grad_e,IF(Iterations[[#This Row],[Step]] &gt; current_step, "",Iterations[[#This Row],[Grad_e]]))</f>
        <v/>
      </c>
    </row>
    <row r="1219" spans="6:18" x14ac:dyDescent="0.3">
      <c r="F1219" s="2">
        <f t="shared" si="24"/>
        <v>1202</v>
      </c>
      <c r="G1219" s="2" t="str">
        <f>IF(Iterations[[#This Row],[Step]] =current_step, current_a,IF(Iterations[[#This Row],[Step]] &gt; current_step, "",Iterations[[#This Row],[a]]))</f>
        <v/>
      </c>
      <c r="H1219" s="2" t="str">
        <f>IF(Iterations[[#This Row],[Step]] =current_step, current_b,IF(Iterations[[#This Row],[Step]] &gt; current_step, "",Iterations[[#This Row],[b]]))</f>
        <v/>
      </c>
      <c r="I1219" s="2" t="str">
        <f>IF(Iterations[[#This Row],[Step]] =current_step, current_c,IF(Iterations[[#This Row],[Step]] &gt; current_step, "",Iterations[[#This Row],[c]]))</f>
        <v/>
      </c>
      <c r="J1219" s="2" t="str">
        <f>IF(Iterations[[#This Row],[Step]] =current_step, current_d,IF(Iterations[[#This Row],[Step]] &gt; current_step, "",Iterations[[#This Row],[d]]))</f>
        <v/>
      </c>
      <c r="K1219" s="2" t="str">
        <f>IF(Iterations[[#This Row],[Step]] =current_step, current_e,IF(Iterations[[#This Row],[Step]] &gt; current_step, "",Iterations[[#This Row],[e]]))</f>
        <v/>
      </c>
      <c r="L1219" s="2" t="str">
        <f>IF(Iterations[[#This Row],[Step]] =current_step, current_Total_Loss,IF(Iterations[[#This Row],[Step]] &gt; current_step, "",Iterations[[#This Row],[Total Loss]]))</f>
        <v/>
      </c>
      <c r="M1219" s="6" t="s">
        <v>27</v>
      </c>
      <c r="N1219" s="2" t="str">
        <f>IF(Iterations[[#This Row],[Step]] =current_step, current_Grad_a,IF(Iterations[[#This Row],[Step]] &gt; current_step, "",Iterations[[#This Row],[Grad_a]]))</f>
        <v/>
      </c>
      <c r="O1219" s="2" t="str">
        <f>IF(Iterations[[#This Row],[Step]] =current_step, current_Grad_b,IF(Iterations[[#This Row],[Step]] &gt; current_step, "",Iterations[[#This Row],[Grad_b]]))</f>
        <v/>
      </c>
      <c r="P1219" s="2" t="str">
        <f>IF(Iterations[[#This Row],[Step]] =current_step, current_Grad_c,IF(Iterations[[#This Row],[Step]] &gt; current_step, "",Iterations[[#This Row],[Grad_c]]))</f>
        <v/>
      </c>
      <c r="Q1219" s="2" t="str">
        <f>IF(Iterations[[#This Row],[Step]] =current_step, current_Grad_d,IF(Iterations[[#This Row],[Step]] &gt; current_step, "",Iterations[[#This Row],[Grad_d]]))</f>
        <v/>
      </c>
      <c r="R1219" s="2" t="str">
        <f>IF(Iterations[[#This Row],[Step]] =current_step, current_Grad_e,IF(Iterations[[#This Row],[Step]] &gt; current_step, "",Iterations[[#This Row],[Grad_e]]))</f>
        <v/>
      </c>
    </row>
    <row r="1220" spans="6:18" x14ac:dyDescent="0.3">
      <c r="F1220" s="2">
        <f t="shared" si="24"/>
        <v>1203</v>
      </c>
      <c r="G1220" s="2" t="str">
        <f>IF(Iterations[[#This Row],[Step]] =current_step, current_a,IF(Iterations[[#This Row],[Step]] &gt; current_step, "",Iterations[[#This Row],[a]]))</f>
        <v/>
      </c>
      <c r="H1220" s="2" t="str">
        <f>IF(Iterations[[#This Row],[Step]] =current_step, current_b,IF(Iterations[[#This Row],[Step]] &gt; current_step, "",Iterations[[#This Row],[b]]))</f>
        <v/>
      </c>
      <c r="I1220" s="2" t="str">
        <f>IF(Iterations[[#This Row],[Step]] =current_step, current_c,IF(Iterations[[#This Row],[Step]] &gt; current_step, "",Iterations[[#This Row],[c]]))</f>
        <v/>
      </c>
      <c r="J1220" s="2" t="str">
        <f>IF(Iterations[[#This Row],[Step]] =current_step, current_d,IF(Iterations[[#This Row],[Step]] &gt; current_step, "",Iterations[[#This Row],[d]]))</f>
        <v/>
      </c>
      <c r="K1220" s="2" t="str">
        <f>IF(Iterations[[#This Row],[Step]] =current_step, current_e,IF(Iterations[[#This Row],[Step]] &gt; current_step, "",Iterations[[#This Row],[e]]))</f>
        <v/>
      </c>
      <c r="L1220" s="2" t="str">
        <f>IF(Iterations[[#This Row],[Step]] =current_step, current_Total_Loss,IF(Iterations[[#This Row],[Step]] &gt; current_step, "",Iterations[[#This Row],[Total Loss]]))</f>
        <v/>
      </c>
      <c r="M1220" s="6" t="s">
        <v>27</v>
      </c>
      <c r="N1220" s="2" t="str">
        <f>IF(Iterations[[#This Row],[Step]] =current_step, current_Grad_a,IF(Iterations[[#This Row],[Step]] &gt; current_step, "",Iterations[[#This Row],[Grad_a]]))</f>
        <v/>
      </c>
      <c r="O1220" s="2" t="str">
        <f>IF(Iterations[[#This Row],[Step]] =current_step, current_Grad_b,IF(Iterations[[#This Row],[Step]] &gt; current_step, "",Iterations[[#This Row],[Grad_b]]))</f>
        <v/>
      </c>
      <c r="P1220" s="2" t="str">
        <f>IF(Iterations[[#This Row],[Step]] =current_step, current_Grad_c,IF(Iterations[[#This Row],[Step]] &gt; current_step, "",Iterations[[#This Row],[Grad_c]]))</f>
        <v/>
      </c>
      <c r="Q1220" s="2" t="str">
        <f>IF(Iterations[[#This Row],[Step]] =current_step, current_Grad_d,IF(Iterations[[#This Row],[Step]] &gt; current_step, "",Iterations[[#This Row],[Grad_d]]))</f>
        <v/>
      </c>
      <c r="R1220" s="2" t="str">
        <f>IF(Iterations[[#This Row],[Step]] =current_step, current_Grad_e,IF(Iterations[[#This Row],[Step]] &gt; current_step, "",Iterations[[#This Row],[Grad_e]]))</f>
        <v/>
      </c>
    </row>
    <row r="1221" spans="6:18" x14ac:dyDescent="0.3">
      <c r="F1221" s="2">
        <f t="shared" si="24"/>
        <v>1204</v>
      </c>
      <c r="G1221" s="2" t="str">
        <f>IF(Iterations[[#This Row],[Step]] =current_step, current_a,IF(Iterations[[#This Row],[Step]] &gt; current_step, "",Iterations[[#This Row],[a]]))</f>
        <v/>
      </c>
      <c r="H1221" s="2" t="str">
        <f>IF(Iterations[[#This Row],[Step]] =current_step, current_b,IF(Iterations[[#This Row],[Step]] &gt; current_step, "",Iterations[[#This Row],[b]]))</f>
        <v/>
      </c>
      <c r="I1221" s="2" t="str">
        <f>IF(Iterations[[#This Row],[Step]] =current_step, current_c,IF(Iterations[[#This Row],[Step]] &gt; current_step, "",Iterations[[#This Row],[c]]))</f>
        <v/>
      </c>
      <c r="J1221" s="2" t="str">
        <f>IF(Iterations[[#This Row],[Step]] =current_step, current_d,IF(Iterations[[#This Row],[Step]] &gt; current_step, "",Iterations[[#This Row],[d]]))</f>
        <v/>
      </c>
      <c r="K1221" s="2" t="str">
        <f>IF(Iterations[[#This Row],[Step]] =current_step, current_e,IF(Iterations[[#This Row],[Step]] &gt; current_step, "",Iterations[[#This Row],[e]]))</f>
        <v/>
      </c>
      <c r="L1221" s="2" t="str">
        <f>IF(Iterations[[#This Row],[Step]] =current_step, current_Total_Loss,IF(Iterations[[#This Row],[Step]] &gt; current_step, "",Iterations[[#This Row],[Total Loss]]))</f>
        <v/>
      </c>
      <c r="M1221" s="6" t="s">
        <v>27</v>
      </c>
      <c r="N1221" s="2" t="str">
        <f>IF(Iterations[[#This Row],[Step]] =current_step, current_Grad_a,IF(Iterations[[#This Row],[Step]] &gt; current_step, "",Iterations[[#This Row],[Grad_a]]))</f>
        <v/>
      </c>
      <c r="O1221" s="2" t="str">
        <f>IF(Iterations[[#This Row],[Step]] =current_step, current_Grad_b,IF(Iterations[[#This Row],[Step]] &gt; current_step, "",Iterations[[#This Row],[Grad_b]]))</f>
        <v/>
      </c>
      <c r="P1221" s="2" t="str">
        <f>IF(Iterations[[#This Row],[Step]] =current_step, current_Grad_c,IF(Iterations[[#This Row],[Step]] &gt; current_step, "",Iterations[[#This Row],[Grad_c]]))</f>
        <v/>
      </c>
      <c r="Q1221" s="2" t="str">
        <f>IF(Iterations[[#This Row],[Step]] =current_step, current_Grad_d,IF(Iterations[[#This Row],[Step]] &gt; current_step, "",Iterations[[#This Row],[Grad_d]]))</f>
        <v/>
      </c>
      <c r="R1221" s="2" t="str">
        <f>IF(Iterations[[#This Row],[Step]] =current_step, current_Grad_e,IF(Iterations[[#This Row],[Step]] &gt; current_step, "",Iterations[[#This Row],[Grad_e]]))</f>
        <v/>
      </c>
    </row>
    <row r="1222" spans="6:18" x14ac:dyDescent="0.3">
      <c r="F1222" s="2">
        <f t="shared" si="24"/>
        <v>1205</v>
      </c>
      <c r="G1222" s="2" t="str">
        <f>IF(Iterations[[#This Row],[Step]] =current_step, current_a,IF(Iterations[[#This Row],[Step]] &gt; current_step, "",Iterations[[#This Row],[a]]))</f>
        <v/>
      </c>
      <c r="H1222" s="2" t="str">
        <f>IF(Iterations[[#This Row],[Step]] =current_step, current_b,IF(Iterations[[#This Row],[Step]] &gt; current_step, "",Iterations[[#This Row],[b]]))</f>
        <v/>
      </c>
      <c r="I1222" s="2" t="str">
        <f>IF(Iterations[[#This Row],[Step]] =current_step, current_c,IF(Iterations[[#This Row],[Step]] &gt; current_step, "",Iterations[[#This Row],[c]]))</f>
        <v/>
      </c>
      <c r="J1222" s="2" t="str">
        <f>IF(Iterations[[#This Row],[Step]] =current_step, current_d,IF(Iterations[[#This Row],[Step]] &gt; current_step, "",Iterations[[#This Row],[d]]))</f>
        <v/>
      </c>
      <c r="K1222" s="2" t="str">
        <f>IF(Iterations[[#This Row],[Step]] =current_step, current_e,IF(Iterations[[#This Row],[Step]] &gt; current_step, "",Iterations[[#This Row],[e]]))</f>
        <v/>
      </c>
      <c r="L1222" s="2" t="str">
        <f>IF(Iterations[[#This Row],[Step]] =current_step, current_Total_Loss,IF(Iterations[[#This Row],[Step]] &gt; current_step, "",Iterations[[#This Row],[Total Loss]]))</f>
        <v/>
      </c>
      <c r="M1222" s="6" t="s">
        <v>27</v>
      </c>
      <c r="N1222" s="2" t="str">
        <f>IF(Iterations[[#This Row],[Step]] =current_step, current_Grad_a,IF(Iterations[[#This Row],[Step]] &gt; current_step, "",Iterations[[#This Row],[Grad_a]]))</f>
        <v/>
      </c>
      <c r="O1222" s="2" t="str">
        <f>IF(Iterations[[#This Row],[Step]] =current_step, current_Grad_b,IF(Iterations[[#This Row],[Step]] &gt; current_step, "",Iterations[[#This Row],[Grad_b]]))</f>
        <v/>
      </c>
      <c r="P1222" s="2" t="str">
        <f>IF(Iterations[[#This Row],[Step]] =current_step, current_Grad_c,IF(Iterations[[#This Row],[Step]] &gt; current_step, "",Iterations[[#This Row],[Grad_c]]))</f>
        <v/>
      </c>
      <c r="Q1222" s="2" t="str">
        <f>IF(Iterations[[#This Row],[Step]] =current_step, current_Grad_d,IF(Iterations[[#This Row],[Step]] &gt; current_step, "",Iterations[[#This Row],[Grad_d]]))</f>
        <v/>
      </c>
      <c r="R1222" s="2" t="str">
        <f>IF(Iterations[[#This Row],[Step]] =current_step, current_Grad_e,IF(Iterations[[#This Row],[Step]] &gt; current_step, "",Iterations[[#This Row],[Grad_e]]))</f>
        <v/>
      </c>
    </row>
    <row r="1223" spans="6:18" x14ac:dyDescent="0.3">
      <c r="F1223" s="2">
        <f t="shared" si="24"/>
        <v>1206</v>
      </c>
      <c r="G1223" s="2" t="str">
        <f>IF(Iterations[[#This Row],[Step]] =current_step, current_a,IF(Iterations[[#This Row],[Step]] &gt; current_step, "",Iterations[[#This Row],[a]]))</f>
        <v/>
      </c>
      <c r="H1223" s="2" t="str">
        <f>IF(Iterations[[#This Row],[Step]] =current_step, current_b,IF(Iterations[[#This Row],[Step]] &gt; current_step, "",Iterations[[#This Row],[b]]))</f>
        <v/>
      </c>
      <c r="I1223" s="2" t="str">
        <f>IF(Iterations[[#This Row],[Step]] =current_step, current_c,IF(Iterations[[#This Row],[Step]] &gt; current_step, "",Iterations[[#This Row],[c]]))</f>
        <v/>
      </c>
      <c r="J1223" s="2" t="str">
        <f>IF(Iterations[[#This Row],[Step]] =current_step, current_d,IF(Iterations[[#This Row],[Step]] &gt; current_step, "",Iterations[[#This Row],[d]]))</f>
        <v/>
      </c>
      <c r="K1223" s="2" t="str">
        <f>IF(Iterations[[#This Row],[Step]] =current_step, current_e,IF(Iterations[[#This Row],[Step]] &gt; current_step, "",Iterations[[#This Row],[e]]))</f>
        <v/>
      </c>
      <c r="L1223" s="2" t="str">
        <f>IF(Iterations[[#This Row],[Step]] =current_step, current_Total_Loss,IF(Iterations[[#This Row],[Step]] &gt; current_step, "",Iterations[[#This Row],[Total Loss]]))</f>
        <v/>
      </c>
      <c r="M1223" s="6" t="s">
        <v>27</v>
      </c>
      <c r="N1223" s="2" t="str">
        <f>IF(Iterations[[#This Row],[Step]] =current_step, current_Grad_a,IF(Iterations[[#This Row],[Step]] &gt; current_step, "",Iterations[[#This Row],[Grad_a]]))</f>
        <v/>
      </c>
      <c r="O1223" s="2" t="str">
        <f>IF(Iterations[[#This Row],[Step]] =current_step, current_Grad_b,IF(Iterations[[#This Row],[Step]] &gt; current_step, "",Iterations[[#This Row],[Grad_b]]))</f>
        <v/>
      </c>
      <c r="P1223" s="2" t="str">
        <f>IF(Iterations[[#This Row],[Step]] =current_step, current_Grad_c,IF(Iterations[[#This Row],[Step]] &gt; current_step, "",Iterations[[#This Row],[Grad_c]]))</f>
        <v/>
      </c>
      <c r="Q1223" s="2" t="str">
        <f>IF(Iterations[[#This Row],[Step]] =current_step, current_Grad_d,IF(Iterations[[#This Row],[Step]] &gt; current_step, "",Iterations[[#This Row],[Grad_d]]))</f>
        <v/>
      </c>
      <c r="R1223" s="2" t="str">
        <f>IF(Iterations[[#This Row],[Step]] =current_step, current_Grad_e,IF(Iterations[[#This Row],[Step]] &gt; current_step, "",Iterations[[#This Row],[Grad_e]]))</f>
        <v/>
      </c>
    </row>
    <row r="1224" spans="6:18" x14ac:dyDescent="0.3">
      <c r="F1224" s="2">
        <f t="shared" si="24"/>
        <v>1207</v>
      </c>
      <c r="G1224" s="2" t="str">
        <f>IF(Iterations[[#This Row],[Step]] =current_step, current_a,IF(Iterations[[#This Row],[Step]] &gt; current_step, "",Iterations[[#This Row],[a]]))</f>
        <v/>
      </c>
      <c r="H1224" s="2" t="str">
        <f>IF(Iterations[[#This Row],[Step]] =current_step, current_b,IF(Iterations[[#This Row],[Step]] &gt; current_step, "",Iterations[[#This Row],[b]]))</f>
        <v/>
      </c>
      <c r="I1224" s="2" t="str">
        <f>IF(Iterations[[#This Row],[Step]] =current_step, current_c,IF(Iterations[[#This Row],[Step]] &gt; current_step, "",Iterations[[#This Row],[c]]))</f>
        <v/>
      </c>
      <c r="J1224" s="2" t="str">
        <f>IF(Iterations[[#This Row],[Step]] =current_step, current_d,IF(Iterations[[#This Row],[Step]] &gt; current_step, "",Iterations[[#This Row],[d]]))</f>
        <v/>
      </c>
      <c r="K1224" s="2" t="str">
        <f>IF(Iterations[[#This Row],[Step]] =current_step, current_e,IF(Iterations[[#This Row],[Step]] &gt; current_step, "",Iterations[[#This Row],[e]]))</f>
        <v/>
      </c>
      <c r="L1224" s="2" t="str">
        <f>IF(Iterations[[#This Row],[Step]] =current_step, current_Total_Loss,IF(Iterations[[#This Row],[Step]] &gt; current_step, "",Iterations[[#This Row],[Total Loss]]))</f>
        <v/>
      </c>
      <c r="M1224" s="6" t="s">
        <v>27</v>
      </c>
      <c r="N1224" s="2" t="str">
        <f>IF(Iterations[[#This Row],[Step]] =current_step, current_Grad_a,IF(Iterations[[#This Row],[Step]] &gt; current_step, "",Iterations[[#This Row],[Grad_a]]))</f>
        <v/>
      </c>
      <c r="O1224" s="2" t="str">
        <f>IF(Iterations[[#This Row],[Step]] =current_step, current_Grad_b,IF(Iterations[[#This Row],[Step]] &gt; current_step, "",Iterations[[#This Row],[Grad_b]]))</f>
        <v/>
      </c>
      <c r="P1224" s="2" t="str">
        <f>IF(Iterations[[#This Row],[Step]] =current_step, current_Grad_c,IF(Iterations[[#This Row],[Step]] &gt; current_step, "",Iterations[[#This Row],[Grad_c]]))</f>
        <v/>
      </c>
      <c r="Q1224" s="2" t="str">
        <f>IF(Iterations[[#This Row],[Step]] =current_step, current_Grad_d,IF(Iterations[[#This Row],[Step]] &gt; current_step, "",Iterations[[#This Row],[Grad_d]]))</f>
        <v/>
      </c>
      <c r="R1224" s="2" t="str">
        <f>IF(Iterations[[#This Row],[Step]] =current_step, current_Grad_e,IF(Iterations[[#This Row],[Step]] &gt; current_step, "",Iterations[[#This Row],[Grad_e]]))</f>
        <v/>
      </c>
    </row>
    <row r="1225" spans="6:18" x14ac:dyDescent="0.3">
      <c r="F1225" s="2">
        <f t="shared" si="24"/>
        <v>1208</v>
      </c>
      <c r="G1225" s="2" t="str">
        <f>IF(Iterations[[#This Row],[Step]] =current_step, current_a,IF(Iterations[[#This Row],[Step]] &gt; current_step, "",Iterations[[#This Row],[a]]))</f>
        <v/>
      </c>
      <c r="H1225" s="2" t="str">
        <f>IF(Iterations[[#This Row],[Step]] =current_step, current_b,IF(Iterations[[#This Row],[Step]] &gt; current_step, "",Iterations[[#This Row],[b]]))</f>
        <v/>
      </c>
      <c r="I1225" s="2" t="str">
        <f>IF(Iterations[[#This Row],[Step]] =current_step, current_c,IF(Iterations[[#This Row],[Step]] &gt; current_step, "",Iterations[[#This Row],[c]]))</f>
        <v/>
      </c>
      <c r="J1225" s="2" t="str">
        <f>IF(Iterations[[#This Row],[Step]] =current_step, current_d,IF(Iterations[[#This Row],[Step]] &gt; current_step, "",Iterations[[#This Row],[d]]))</f>
        <v/>
      </c>
      <c r="K1225" s="2" t="str">
        <f>IF(Iterations[[#This Row],[Step]] =current_step, current_e,IF(Iterations[[#This Row],[Step]] &gt; current_step, "",Iterations[[#This Row],[e]]))</f>
        <v/>
      </c>
      <c r="L1225" s="2" t="str">
        <f>IF(Iterations[[#This Row],[Step]] =current_step, current_Total_Loss,IF(Iterations[[#This Row],[Step]] &gt; current_step, "",Iterations[[#This Row],[Total Loss]]))</f>
        <v/>
      </c>
      <c r="M1225" s="6" t="s">
        <v>27</v>
      </c>
      <c r="N1225" s="2" t="str">
        <f>IF(Iterations[[#This Row],[Step]] =current_step, current_Grad_a,IF(Iterations[[#This Row],[Step]] &gt; current_step, "",Iterations[[#This Row],[Grad_a]]))</f>
        <v/>
      </c>
      <c r="O1225" s="2" t="str">
        <f>IF(Iterations[[#This Row],[Step]] =current_step, current_Grad_b,IF(Iterations[[#This Row],[Step]] &gt; current_step, "",Iterations[[#This Row],[Grad_b]]))</f>
        <v/>
      </c>
      <c r="P1225" s="2" t="str">
        <f>IF(Iterations[[#This Row],[Step]] =current_step, current_Grad_c,IF(Iterations[[#This Row],[Step]] &gt; current_step, "",Iterations[[#This Row],[Grad_c]]))</f>
        <v/>
      </c>
      <c r="Q1225" s="2" t="str">
        <f>IF(Iterations[[#This Row],[Step]] =current_step, current_Grad_d,IF(Iterations[[#This Row],[Step]] &gt; current_step, "",Iterations[[#This Row],[Grad_d]]))</f>
        <v/>
      </c>
      <c r="R1225" s="2" t="str">
        <f>IF(Iterations[[#This Row],[Step]] =current_step, current_Grad_e,IF(Iterations[[#This Row],[Step]] &gt; current_step, "",Iterations[[#This Row],[Grad_e]]))</f>
        <v/>
      </c>
    </row>
    <row r="1226" spans="6:18" x14ac:dyDescent="0.3">
      <c r="F1226" s="2">
        <f t="shared" si="24"/>
        <v>1209</v>
      </c>
      <c r="G1226" s="2" t="str">
        <f>IF(Iterations[[#This Row],[Step]] =current_step, current_a,IF(Iterations[[#This Row],[Step]] &gt; current_step, "",Iterations[[#This Row],[a]]))</f>
        <v/>
      </c>
      <c r="H1226" s="2" t="str">
        <f>IF(Iterations[[#This Row],[Step]] =current_step, current_b,IF(Iterations[[#This Row],[Step]] &gt; current_step, "",Iterations[[#This Row],[b]]))</f>
        <v/>
      </c>
      <c r="I1226" s="2" t="str">
        <f>IF(Iterations[[#This Row],[Step]] =current_step, current_c,IF(Iterations[[#This Row],[Step]] &gt; current_step, "",Iterations[[#This Row],[c]]))</f>
        <v/>
      </c>
      <c r="J1226" s="2" t="str">
        <f>IF(Iterations[[#This Row],[Step]] =current_step, current_d,IF(Iterations[[#This Row],[Step]] &gt; current_step, "",Iterations[[#This Row],[d]]))</f>
        <v/>
      </c>
      <c r="K1226" s="2" t="str">
        <f>IF(Iterations[[#This Row],[Step]] =current_step, current_e,IF(Iterations[[#This Row],[Step]] &gt; current_step, "",Iterations[[#This Row],[e]]))</f>
        <v/>
      </c>
      <c r="L1226" s="2" t="str">
        <f>IF(Iterations[[#This Row],[Step]] =current_step, current_Total_Loss,IF(Iterations[[#This Row],[Step]] &gt; current_step, "",Iterations[[#This Row],[Total Loss]]))</f>
        <v/>
      </c>
      <c r="M1226" s="6" t="s">
        <v>27</v>
      </c>
      <c r="N1226" s="2" t="str">
        <f>IF(Iterations[[#This Row],[Step]] =current_step, current_Grad_a,IF(Iterations[[#This Row],[Step]] &gt; current_step, "",Iterations[[#This Row],[Grad_a]]))</f>
        <v/>
      </c>
      <c r="O1226" s="2" t="str">
        <f>IF(Iterations[[#This Row],[Step]] =current_step, current_Grad_b,IF(Iterations[[#This Row],[Step]] &gt; current_step, "",Iterations[[#This Row],[Grad_b]]))</f>
        <v/>
      </c>
      <c r="P1226" s="2" t="str">
        <f>IF(Iterations[[#This Row],[Step]] =current_step, current_Grad_c,IF(Iterations[[#This Row],[Step]] &gt; current_step, "",Iterations[[#This Row],[Grad_c]]))</f>
        <v/>
      </c>
      <c r="Q1226" s="2" t="str">
        <f>IF(Iterations[[#This Row],[Step]] =current_step, current_Grad_d,IF(Iterations[[#This Row],[Step]] &gt; current_step, "",Iterations[[#This Row],[Grad_d]]))</f>
        <v/>
      </c>
      <c r="R1226" s="2" t="str">
        <f>IF(Iterations[[#This Row],[Step]] =current_step, current_Grad_e,IF(Iterations[[#This Row],[Step]] &gt; current_step, "",Iterations[[#This Row],[Grad_e]]))</f>
        <v/>
      </c>
    </row>
    <row r="1227" spans="6:18" x14ac:dyDescent="0.3">
      <c r="F1227" s="2">
        <f t="shared" si="24"/>
        <v>1210</v>
      </c>
      <c r="G1227" s="2" t="str">
        <f>IF(Iterations[[#This Row],[Step]] =current_step, current_a,IF(Iterations[[#This Row],[Step]] &gt; current_step, "",Iterations[[#This Row],[a]]))</f>
        <v/>
      </c>
      <c r="H1227" s="2" t="str">
        <f>IF(Iterations[[#This Row],[Step]] =current_step, current_b,IF(Iterations[[#This Row],[Step]] &gt; current_step, "",Iterations[[#This Row],[b]]))</f>
        <v/>
      </c>
      <c r="I1227" s="2" t="str">
        <f>IF(Iterations[[#This Row],[Step]] =current_step, current_c,IF(Iterations[[#This Row],[Step]] &gt; current_step, "",Iterations[[#This Row],[c]]))</f>
        <v/>
      </c>
      <c r="J1227" s="2" t="str">
        <f>IF(Iterations[[#This Row],[Step]] =current_step, current_d,IF(Iterations[[#This Row],[Step]] &gt; current_step, "",Iterations[[#This Row],[d]]))</f>
        <v/>
      </c>
      <c r="K1227" s="2" t="str">
        <f>IF(Iterations[[#This Row],[Step]] =current_step, current_e,IF(Iterations[[#This Row],[Step]] &gt; current_step, "",Iterations[[#This Row],[e]]))</f>
        <v/>
      </c>
      <c r="L1227" s="2" t="str">
        <f>IF(Iterations[[#This Row],[Step]] =current_step, current_Total_Loss,IF(Iterations[[#This Row],[Step]] &gt; current_step, "",Iterations[[#This Row],[Total Loss]]))</f>
        <v/>
      </c>
      <c r="M1227" s="6" t="s">
        <v>27</v>
      </c>
      <c r="N1227" s="2" t="str">
        <f>IF(Iterations[[#This Row],[Step]] =current_step, current_Grad_a,IF(Iterations[[#This Row],[Step]] &gt; current_step, "",Iterations[[#This Row],[Grad_a]]))</f>
        <v/>
      </c>
      <c r="O1227" s="2" t="str">
        <f>IF(Iterations[[#This Row],[Step]] =current_step, current_Grad_b,IF(Iterations[[#This Row],[Step]] &gt; current_step, "",Iterations[[#This Row],[Grad_b]]))</f>
        <v/>
      </c>
      <c r="P1227" s="2" t="str">
        <f>IF(Iterations[[#This Row],[Step]] =current_step, current_Grad_c,IF(Iterations[[#This Row],[Step]] &gt; current_step, "",Iterations[[#This Row],[Grad_c]]))</f>
        <v/>
      </c>
      <c r="Q1227" s="2" t="str">
        <f>IF(Iterations[[#This Row],[Step]] =current_step, current_Grad_d,IF(Iterations[[#This Row],[Step]] &gt; current_step, "",Iterations[[#This Row],[Grad_d]]))</f>
        <v/>
      </c>
      <c r="R1227" s="2" t="str">
        <f>IF(Iterations[[#This Row],[Step]] =current_step, current_Grad_e,IF(Iterations[[#This Row],[Step]] &gt; current_step, "",Iterations[[#This Row],[Grad_e]]))</f>
        <v/>
      </c>
    </row>
    <row r="1228" spans="6:18" x14ac:dyDescent="0.3">
      <c r="F1228" s="2">
        <f t="shared" si="24"/>
        <v>1211</v>
      </c>
      <c r="G1228" s="2" t="str">
        <f>IF(Iterations[[#This Row],[Step]] =current_step, current_a,IF(Iterations[[#This Row],[Step]] &gt; current_step, "",Iterations[[#This Row],[a]]))</f>
        <v/>
      </c>
      <c r="H1228" s="2" t="str">
        <f>IF(Iterations[[#This Row],[Step]] =current_step, current_b,IF(Iterations[[#This Row],[Step]] &gt; current_step, "",Iterations[[#This Row],[b]]))</f>
        <v/>
      </c>
      <c r="I1228" s="2" t="str">
        <f>IF(Iterations[[#This Row],[Step]] =current_step, current_c,IF(Iterations[[#This Row],[Step]] &gt; current_step, "",Iterations[[#This Row],[c]]))</f>
        <v/>
      </c>
      <c r="J1228" s="2" t="str">
        <f>IF(Iterations[[#This Row],[Step]] =current_step, current_d,IF(Iterations[[#This Row],[Step]] &gt; current_step, "",Iterations[[#This Row],[d]]))</f>
        <v/>
      </c>
      <c r="K1228" s="2" t="str">
        <f>IF(Iterations[[#This Row],[Step]] =current_step, current_e,IF(Iterations[[#This Row],[Step]] &gt; current_step, "",Iterations[[#This Row],[e]]))</f>
        <v/>
      </c>
      <c r="L1228" s="2" t="str">
        <f>IF(Iterations[[#This Row],[Step]] =current_step, current_Total_Loss,IF(Iterations[[#This Row],[Step]] &gt; current_step, "",Iterations[[#This Row],[Total Loss]]))</f>
        <v/>
      </c>
      <c r="M1228" s="6" t="s">
        <v>27</v>
      </c>
      <c r="N1228" s="2" t="str">
        <f>IF(Iterations[[#This Row],[Step]] =current_step, current_Grad_a,IF(Iterations[[#This Row],[Step]] &gt; current_step, "",Iterations[[#This Row],[Grad_a]]))</f>
        <v/>
      </c>
      <c r="O1228" s="2" t="str">
        <f>IF(Iterations[[#This Row],[Step]] =current_step, current_Grad_b,IF(Iterations[[#This Row],[Step]] &gt; current_step, "",Iterations[[#This Row],[Grad_b]]))</f>
        <v/>
      </c>
      <c r="P1228" s="2" t="str">
        <f>IF(Iterations[[#This Row],[Step]] =current_step, current_Grad_c,IF(Iterations[[#This Row],[Step]] &gt; current_step, "",Iterations[[#This Row],[Grad_c]]))</f>
        <v/>
      </c>
      <c r="Q1228" s="2" t="str">
        <f>IF(Iterations[[#This Row],[Step]] =current_step, current_Grad_d,IF(Iterations[[#This Row],[Step]] &gt; current_step, "",Iterations[[#This Row],[Grad_d]]))</f>
        <v/>
      </c>
      <c r="R1228" s="2" t="str">
        <f>IF(Iterations[[#This Row],[Step]] =current_step, current_Grad_e,IF(Iterations[[#This Row],[Step]] &gt; current_step, "",Iterations[[#This Row],[Grad_e]]))</f>
        <v/>
      </c>
    </row>
    <row r="1229" spans="6:18" x14ac:dyDescent="0.3">
      <c r="F1229" s="2">
        <f t="shared" si="24"/>
        <v>1212</v>
      </c>
      <c r="G1229" s="2" t="str">
        <f>IF(Iterations[[#This Row],[Step]] =current_step, current_a,IF(Iterations[[#This Row],[Step]] &gt; current_step, "",Iterations[[#This Row],[a]]))</f>
        <v/>
      </c>
      <c r="H1229" s="2" t="str">
        <f>IF(Iterations[[#This Row],[Step]] =current_step, current_b,IF(Iterations[[#This Row],[Step]] &gt; current_step, "",Iterations[[#This Row],[b]]))</f>
        <v/>
      </c>
      <c r="I1229" s="2" t="str">
        <f>IF(Iterations[[#This Row],[Step]] =current_step, current_c,IF(Iterations[[#This Row],[Step]] &gt; current_step, "",Iterations[[#This Row],[c]]))</f>
        <v/>
      </c>
      <c r="J1229" s="2" t="str">
        <f>IF(Iterations[[#This Row],[Step]] =current_step, current_d,IF(Iterations[[#This Row],[Step]] &gt; current_step, "",Iterations[[#This Row],[d]]))</f>
        <v/>
      </c>
      <c r="K1229" s="2" t="str">
        <f>IF(Iterations[[#This Row],[Step]] =current_step, current_e,IF(Iterations[[#This Row],[Step]] &gt; current_step, "",Iterations[[#This Row],[e]]))</f>
        <v/>
      </c>
      <c r="L1229" s="2" t="str">
        <f>IF(Iterations[[#This Row],[Step]] =current_step, current_Total_Loss,IF(Iterations[[#This Row],[Step]] &gt; current_step, "",Iterations[[#This Row],[Total Loss]]))</f>
        <v/>
      </c>
      <c r="M1229" s="6" t="s">
        <v>27</v>
      </c>
      <c r="N1229" s="2" t="str">
        <f>IF(Iterations[[#This Row],[Step]] =current_step, current_Grad_a,IF(Iterations[[#This Row],[Step]] &gt; current_step, "",Iterations[[#This Row],[Grad_a]]))</f>
        <v/>
      </c>
      <c r="O1229" s="2" t="str">
        <f>IF(Iterations[[#This Row],[Step]] =current_step, current_Grad_b,IF(Iterations[[#This Row],[Step]] &gt; current_step, "",Iterations[[#This Row],[Grad_b]]))</f>
        <v/>
      </c>
      <c r="P1229" s="2" t="str">
        <f>IF(Iterations[[#This Row],[Step]] =current_step, current_Grad_c,IF(Iterations[[#This Row],[Step]] &gt; current_step, "",Iterations[[#This Row],[Grad_c]]))</f>
        <v/>
      </c>
      <c r="Q1229" s="2" t="str">
        <f>IF(Iterations[[#This Row],[Step]] =current_step, current_Grad_d,IF(Iterations[[#This Row],[Step]] &gt; current_step, "",Iterations[[#This Row],[Grad_d]]))</f>
        <v/>
      </c>
      <c r="R1229" s="2" t="str">
        <f>IF(Iterations[[#This Row],[Step]] =current_step, current_Grad_e,IF(Iterations[[#This Row],[Step]] &gt; current_step, "",Iterations[[#This Row],[Grad_e]]))</f>
        <v/>
      </c>
    </row>
    <row r="1230" spans="6:18" x14ac:dyDescent="0.3">
      <c r="F1230" s="2">
        <f t="shared" si="24"/>
        <v>1213</v>
      </c>
      <c r="G1230" s="2" t="str">
        <f>IF(Iterations[[#This Row],[Step]] =current_step, current_a,IF(Iterations[[#This Row],[Step]] &gt; current_step, "",Iterations[[#This Row],[a]]))</f>
        <v/>
      </c>
      <c r="H1230" s="2" t="str">
        <f>IF(Iterations[[#This Row],[Step]] =current_step, current_b,IF(Iterations[[#This Row],[Step]] &gt; current_step, "",Iterations[[#This Row],[b]]))</f>
        <v/>
      </c>
      <c r="I1230" s="2" t="str">
        <f>IF(Iterations[[#This Row],[Step]] =current_step, current_c,IF(Iterations[[#This Row],[Step]] &gt; current_step, "",Iterations[[#This Row],[c]]))</f>
        <v/>
      </c>
      <c r="J1230" s="2" t="str">
        <f>IF(Iterations[[#This Row],[Step]] =current_step, current_d,IF(Iterations[[#This Row],[Step]] &gt; current_step, "",Iterations[[#This Row],[d]]))</f>
        <v/>
      </c>
      <c r="K1230" s="2" t="str">
        <f>IF(Iterations[[#This Row],[Step]] =current_step, current_e,IF(Iterations[[#This Row],[Step]] &gt; current_step, "",Iterations[[#This Row],[e]]))</f>
        <v/>
      </c>
      <c r="L1230" s="2" t="str">
        <f>IF(Iterations[[#This Row],[Step]] =current_step, current_Total_Loss,IF(Iterations[[#This Row],[Step]] &gt; current_step, "",Iterations[[#This Row],[Total Loss]]))</f>
        <v/>
      </c>
      <c r="M1230" s="6" t="s">
        <v>27</v>
      </c>
      <c r="N1230" s="2" t="str">
        <f>IF(Iterations[[#This Row],[Step]] =current_step, current_Grad_a,IF(Iterations[[#This Row],[Step]] &gt; current_step, "",Iterations[[#This Row],[Grad_a]]))</f>
        <v/>
      </c>
      <c r="O1230" s="2" t="str">
        <f>IF(Iterations[[#This Row],[Step]] =current_step, current_Grad_b,IF(Iterations[[#This Row],[Step]] &gt; current_step, "",Iterations[[#This Row],[Grad_b]]))</f>
        <v/>
      </c>
      <c r="P1230" s="2" t="str">
        <f>IF(Iterations[[#This Row],[Step]] =current_step, current_Grad_c,IF(Iterations[[#This Row],[Step]] &gt; current_step, "",Iterations[[#This Row],[Grad_c]]))</f>
        <v/>
      </c>
      <c r="Q1230" s="2" t="str">
        <f>IF(Iterations[[#This Row],[Step]] =current_step, current_Grad_d,IF(Iterations[[#This Row],[Step]] &gt; current_step, "",Iterations[[#This Row],[Grad_d]]))</f>
        <v/>
      </c>
      <c r="R1230" s="2" t="str">
        <f>IF(Iterations[[#This Row],[Step]] =current_step, current_Grad_e,IF(Iterations[[#This Row],[Step]] &gt; current_step, "",Iterations[[#This Row],[Grad_e]]))</f>
        <v/>
      </c>
    </row>
    <row r="1231" spans="6:18" x14ac:dyDescent="0.3">
      <c r="F1231" s="2">
        <f t="shared" si="24"/>
        <v>1214</v>
      </c>
      <c r="G1231" s="2" t="str">
        <f>IF(Iterations[[#This Row],[Step]] =current_step, current_a,IF(Iterations[[#This Row],[Step]] &gt; current_step, "",Iterations[[#This Row],[a]]))</f>
        <v/>
      </c>
      <c r="H1231" s="2" t="str">
        <f>IF(Iterations[[#This Row],[Step]] =current_step, current_b,IF(Iterations[[#This Row],[Step]] &gt; current_step, "",Iterations[[#This Row],[b]]))</f>
        <v/>
      </c>
      <c r="I1231" s="2" t="str">
        <f>IF(Iterations[[#This Row],[Step]] =current_step, current_c,IF(Iterations[[#This Row],[Step]] &gt; current_step, "",Iterations[[#This Row],[c]]))</f>
        <v/>
      </c>
      <c r="J1231" s="2" t="str">
        <f>IF(Iterations[[#This Row],[Step]] =current_step, current_d,IF(Iterations[[#This Row],[Step]] &gt; current_step, "",Iterations[[#This Row],[d]]))</f>
        <v/>
      </c>
      <c r="K1231" s="2" t="str">
        <f>IF(Iterations[[#This Row],[Step]] =current_step, current_e,IF(Iterations[[#This Row],[Step]] &gt; current_step, "",Iterations[[#This Row],[e]]))</f>
        <v/>
      </c>
      <c r="L1231" s="2" t="str">
        <f>IF(Iterations[[#This Row],[Step]] =current_step, current_Total_Loss,IF(Iterations[[#This Row],[Step]] &gt; current_step, "",Iterations[[#This Row],[Total Loss]]))</f>
        <v/>
      </c>
      <c r="M1231" s="6" t="s">
        <v>27</v>
      </c>
      <c r="N1231" s="2" t="str">
        <f>IF(Iterations[[#This Row],[Step]] =current_step, current_Grad_a,IF(Iterations[[#This Row],[Step]] &gt; current_step, "",Iterations[[#This Row],[Grad_a]]))</f>
        <v/>
      </c>
      <c r="O1231" s="2" t="str">
        <f>IF(Iterations[[#This Row],[Step]] =current_step, current_Grad_b,IF(Iterations[[#This Row],[Step]] &gt; current_step, "",Iterations[[#This Row],[Grad_b]]))</f>
        <v/>
      </c>
      <c r="P1231" s="2" t="str">
        <f>IF(Iterations[[#This Row],[Step]] =current_step, current_Grad_c,IF(Iterations[[#This Row],[Step]] &gt; current_step, "",Iterations[[#This Row],[Grad_c]]))</f>
        <v/>
      </c>
      <c r="Q1231" s="2" t="str">
        <f>IF(Iterations[[#This Row],[Step]] =current_step, current_Grad_d,IF(Iterations[[#This Row],[Step]] &gt; current_step, "",Iterations[[#This Row],[Grad_d]]))</f>
        <v/>
      </c>
      <c r="R1231" s="2" t="str">
        <f>IF(Iterations[[#This Row],[Step]] =current_step, current_Grad_e,IF(Iterations[[#This Row],[Step]] &gt; current_step, "",Iterations[[#This Row],[Grad_e]]))</f>
        <v/>
      </c>
    </row>
    <row r="1232" spans="6:18" x14ac:dyDescent="0.3">
      <c r="F1232" s="2">
        <f t="shared" si="24"/>
        <v>1215</v>
      </c>
      <c r="G1232" s="2" t="str">
        <f>IF(Iterations[[#This Row],[Step]] =current_step, current_a,IF(Iterations[[#This Row],[Step]] &gt; current_step, "",Iterations[[#This Row],[a]]))</f>
        <v/>
      </c>
      <c r="H1232" s="2" t="str">
        <f>IF(Iterations[[#This Row],[Step]] =current_step, current_b,IF(Iterations[[#This Row],[Step]] &gt; current_step, "",Iterations[[#This Row],[b]]))</f>
        <v/>
      </c>
      <c r="I1232" s="2" t="str">
        <f>IF(Iterations[[#This Row],[Step]] =current_step, current_c,IF(Iterations[[#This Row],[Step]] &gt; current_step, "",Iterations[[#This Row],[c]]))</f>
        <v/>
      </c>
      <c r="J1232" s="2" t="str">
        <f>IF(Iterations[[#This Row],[Step]] =current_step, current_d,IF(Iterations[[#This Row],[Step]] &gt; current_step, "",Iterations[[#This Row],[d]]))</f>
        <v/>
      </c>
      <c r="K1232" s="2" t="str">
        <f>IF(Iterations[[#This Row],[Step]] =current_step, current_e,IF(Iterations[[#This Row],[Step]] &gt; current_step, "",Iterations[[#This Row],[e]]))</f>
        <v/>
      </c>
      <c r="L1232" s="2" t="str">
        <f>IF(Iterations[[#This Row],[Step]] =current_step, current_Total_Loss,IF(Iterations[[#This Row],[Step]] &gt; current_step, "",Iterations[[#This Row],[Total Loss]]))</f>
        <v/>
      </c>
      <c r="M1232" s="6" t="s">
        <v>27</v>
      </c>
      <c r="N1232" s="2" t="str">
        <f>IF(Iterations[[#This Row],[Step]] =current_step, current_Grad_a,IF(Iterations[[#This Row],[Step]] &gt; current_step, "",Iterations[[#This Row],[Grad_a]]))</f>
        <v/>
      </c>
      <c r="O1232" s="2" t="str">
        <f>IF(Iterations[[#This Row],[Step]] =current_step, current_Grad_b,IF(Iterations[[#This Row],[Step]] &gt; current_step, "",Iterations[[#This Row],[Grad_b]]))</f>
        <v/>
      </c>
      <c r="P1232" s="2" t="str">
        <f>IF(Iterations[[#This Row],[Step]] =current_step, current_Grad_c,IF(Iterations[[#This Row],[Step]] &gt; current_step, "",Iterations[[#This Row],[Grad_c]]))</f>
        <v/>
      </c>
      <c r="Q1232" s="2" t="str">
        <f>IF(Iterations[[#This Row],[Step]] =current_step, current_Grad_d,IF(Iterations[[#This Row],[Step]] &gt; current_step, "",Iterations[[#This Row],[Grad_d]]))</f>
        <v/>
      </c>
      <c r="R1232" s="2" t="str">
        <f>IF(Iterations[[#This Row],[Step]] =current_step, current_Grad_e,IF(Iterations[[#This Row],[Step]] &gt; current_step, "",Iterations[[#This Row],[Grad_e]]))</f>
        <v/>
      </c>
    </row>
    <row r="1233" spans="6:18" x14ac:dyDescent="0.3">
      <c r="F1233" s="2">
        <f t="shared" si="24"/>
        <v>1216</v>
      </c>
      <c r="G1233" s="2" t="str">
        <f>IF(Iterations[[#This Row],[Step]] =current_step, current_a,IF(Iterations[[#This Row],[Step]] &gt; current_step, "",Iterations[[#This Row],[a]]))</f>
        <v/>
      </c>
      <c r="H1233" s="2" t="str">
        <f>IF(Iterations[[#This Row],[Step]] =current_step, current_b,IF(Iterations[[#This Row],[Step]] &gt; current_step, "",Iterations[[#This Row],[b]]))</f>
        <v/>
      </c>
      <c r="I1233" s="2" t="str">
        <f>IF(Iterations[[#This Row],[Step]] =current_step, current_c,IF(Iterations[[#This Row],[Step]] &gt; current_step, "",Iterations[[#This Row],[c]]))</f>
        <v/>
      </c>
      <c r="J1233" s="2" t="str">
        <f>IF(Iterations[[#This Row],[Step]] =current_step, current_d,IF(Iterations[[#This Row],[Step]] &gt; current_step, "",Iterations[[#This Row],[d]]))</f>
        <v/>
      </c>
      <c r="K1233" s="2" t="str">
        <f>IF(Iterations[[#This Row],[Step]] =current_step, current_e,IF(Iterations[[#This Row],[Step]] &gt; current_step, "",Iterations[[#This Row],[e]]))</f>
        <v/>
      </c>
      <c r="L1233" s="2" t="str">
        <f>IF(Iterations[[#This Row],[Step]] =current_step, current_Total_Loss,IF(Iterations[[#This Row],[Step]] &gt; current_step, "",Iterations[[#This Row],[Total Loss]]))</f>
        <v/>
      </c>
      <c r="M1233" s="6" t="s">
        <v>27</v>
      </c>
      <c r="N1233" s="2" t="str">
        <f>IF(Iterations[[#This Row],[Step]] =current_step, current_Grad_a,IF(Iterations[[#This Row],[Step]] &gt; current_step, "",Iterations[[#This Row],[Grad_a]]))</f>
        <v/>
      </c>
      <c r="O1233" s="2" t="str">
        <f>IF(Iterations[[#This Row],[Step]] =current_step, current_Grad_b,IF(Iterations[[#This Row],[Step]] &gt; current_step, "",Iterations[[#This Row],[Grad_b]]))</f>
        <v/>
      </c>
      <c r="P1233" s="2" t="str">
        <f>IF(Iterations[[#This Row],[Step]] =current_step, current_Grad_c,IF(Iterations[[#This Row],[Step]] &gt; current_step, "",Iterations[[#This Row],[Grad_c]]))</f>
        <v/>
      </c>
      <c r="Q1233" s="2" t="str">
        <f>IF(Iterations[[#This Row],[Step]] =current_step, current_Grad_d,IF(Iterations[[#This Row],[Step]] &gt; current_step, "",Iterations[[#This Row],[Grad_d]]))</f>
        <v/>
      </c>
      <c r="R1233" s="2" t="str">
        <f>IF(Iterations[[#This Row],[Step]] =current_step, current_Grad_e,IF(Iterations[[#This Row],[Step]] &gt; current_step, "",Iterations[[#This Row],[Grad_e]]))</f>
        <v/>
      </c>
    </row>
    <row r="1234" spans="6:18" x14ac:dyDescent="0.3">
      <c r="F1234" s="2">
        <f t="shared" si="24"/>
        <v>1217</v>
      </c>
      <c r="G1234" s="2" t="str">
        <f>IF(Iterations[[#This Row],[Step]] =current_step, current_a,IF(Iterations[[#This Row],[Step]] &gt; current_step, "",Iterations[[#This Row],[a]]))</f>
        <v/>
      </c>
      <c r="H1234" s="2" t="str">
        <f>IF(Iterations[[#This Row],[Step]] =current_step, current_b,IF(Iterations[[#This Row],[Step]] &gt; current_step, "",Iterations[[#This Row],[b]]))</f>
        <v/>
      </c>
      <c r="I1234" s="2" t="str">
        <f>IF(Iterations[[#This Row],[Step]] =current_step, current_c,IF(Iterations[[#This Row],[Step]] &gt; current_step, "",Iterations[[#This Row],[c]]))</f>
        <v/>
      </c>
      <c r="J1234" s="2" t="str">
        <f>IF(Iterations[[#This Row],[Step]] =current_step, current_d,IF(Iterations[[#This Row],[Step]] &gt; current_step, "",Iterations[[#This Row],[d]]))</f>
        <v/>
      </c>
      <c r="K1234" s="2" t="str">
        <f>IF(Iterations[[#This Row],[Step]] =current_step, current_e,IF(Iterations[[#This Row],[Step]] &gt; current_step, "",Iterations[[#This Row],[e]]))</f>
        <v/>
      </c>
      <c r="L1234" s="2" t="str">
        <f>IF(Iterations[[#This Row],[Step]] =current_step, current_Total_Loss,IF(Iterations[[#This Row],[Step]] &gt; current_step, "",Iterations[[#This Row],[Total Loss]]))</f>
        <v/>
      </c>
      <c r="M1234" s="6" t="s">
        <v>27</v>
      </c>
      <c r="N1234" s="2" t="str">
        <f>IF(Iterations[[#This Row],[Step]] =current_step, current_Grad_a,IF(Iterations[[#This Row],[Step]] &gt; current_step, "",Iterations[[#This Row],[Grad_a]]))</f>
        <v/>
      </c>
      <c r="O1234" s="2" t="str">
        <f>IF(Iterations[[#This Row],[Step]] =current_step, current_Grad_b,IF(Iterations[[#This Row],[Step]] &gt; current_step, "",Iterations[[#This Row],[Grad_b]]))</f>
        <v/>
      </c>
      <c r="P1234" s="2" t="str">
        <f>IF(Iterations[[#This Row],[Step]] =current_step, current_Grad_c,IF(Iterations[[#This Row],[Step]] &gt; current_step, "",Iterations[[#This Row],[Grad_c]]))</f>
        <v/>
      </c>
      <c r="Q1234" s="2" t="str">
        <f>IF(Iterations[[#This Row],[Step]] =current_step, current_Grad_d,IF(Iterations[[#This Row],[Step]] &gt; current_step, "",Iterations[[#This Row],[Grad_d]]))</f>
        <v/>
      </c>
      <c r="R1234" s="2" t="str">
        <f>IF(Iterations[[#This Row],[Step]] =current_step, current_Grad_e,IF(Iterations[[#This Row],[Step]] &gt; current_step, "",Iterations[[#This Row],[Grad_e]]))</f>
        <v/>
      </c>
    </row>
    <row r="1235" spans="6:18" x14ac:dyDescent="0.3">
      <c r="F1235" s="2">
        <f t="shared" si="24"/>
        <v>1218</v>
      </c>
      <c r="G1235" s="2" t="str">
        <f>IF(Iterations[[#This Row],[Step]] =current_step, current_a,IF(Iterations[[#This Row],[Step]] &gt; current_step, "",Iterations[[#This Row],[a]]))</f>
        <v/>
      </c>
      <c r="H1235" s="2" t="str">
        <f>IF(Iterations[[#This Row],[Step]] =current_step, current_b,IF(Iterations[[#This Row],[Step]] &gt; current_step, "",Iterations[[#This Row],[b]]))</f>
        <v/>
      </c>
      <c r="I1235" s="2" t="str">
        <f>IF(Iterations[[#This Row],[Step]] =current_step, current_c,IF(Iterations[[#This Row],[Step]] &gt; current_step, "",Iterations[[#This Row],[c]]))</f>
        <v/>
      </c>
      <c r="J1235" s="2" t="str">
        <f>IF(Iterations[[#This Row],[Step]] =current_step, current_d,IF(Iterations[[#This Row],[Step]] &gt; current_step, "",Iterations[[#This Row],[d]]))</f>
        <v/>
      </c>
      <c r="K1235" s="2" t="str">
        <f>IF(Iterations[[#This Row],[Step]] =current_step, current_e,IF(Iterations[[#This Row],[Step]] &gt; current_step, "",Iterations[[#This Row],[e]]))</f>
        <v/>
      </c>
      <c r="L1235" s="2" t="str">
        <f>IF(Iterations[[#This Row],[Step]] =current_step, current_Total_Loss,IF(Iterations[[#This Row],[Step]] &gt; current_step, "",Iterations[[#This Row],[Total Loss]]))</f>
        <v/>
      </c>
      <c r="M1235" s="6" t="s">
        <v>27</v>
      </c>
      <c r="N1235" s="2" t="str">
        <f>IF(Iterations[[#This Row],[Step]] =current_step, current_Grad_a,IF(Iterations[[#This Row],[Step]] &gt; current_step, "",Iterations[[#This Row],[Grad_a]]))</f>
        <v/>
      </c>
      <c r="O1235" s="2" t="str">
        <f>IF(Iterations[[#This Row],[Step]] =current_step, current_Grad_b,IF(Iterations[[#This Row],[Step]] &gt; current_step, "",Iterations[[#This Row],[Grad_b]]))</f>
        <v/>
      </c>
      <c r="P1235" s="2" t="str">
        <f>IF(Iterations[[#This Row],[Step]] =current_step, current_Grad_c,IF(Iterations[[#This Row],[Step]] &gt; current_step, "",Iterations[[#This Row],[Grad_c]]))</f>
        <v/>
      </c>
      <c r="Q1235" s="2" t="str">
        <f>IF(Iterations[[#This Row],[Step]] =current_step, current_Grad_d,IF(Iterations[[#This Row],[Step]] &gt; current_step, "",Iterations[[#This Row],[Grad_d]]))</f>
        <v/>
      </c>
      <c r="R1235" s="2" t="str">
        <f>IF(Iterations[[#This Row],[Step]] =current_step, current_Grad_e,IF(Iterations[[#This Row],[Step]] &gt; current_step, "",Iterations[[#This Row],[Grad_e]]))</f>
        <v/>
      </c>
    </row>
    <row r="1236" spans="6:18" x14ac:dyDescent="0.3">
      <c r="F1236" s="2">
        <f t="shared" si="24"/>
        <v>1219</v>
      </c>
      <c r="G1236" s="2" t="str">
        <f>IF(Iterations[[#This Row],[Step]] =current_step, current_a,IF(Iterations[[#This Row],[Step]] &gt; current_step, "",Iterations[[#This Row],[a]]))</f>
        <v/>
      </c>
      <c r="H1236" s="2" t="str">
        <f>IF(Iterations[[#This Row],[Step]] =current_step, current_b,IF(Iterations[[#This Row],[Step]] &gt; current_step, "",Iterations[[#This Row],[b]]))</f>
        <v/>
      </c>
      <c r="I1236" s="2" t="str">
        <f>IF(Iterations[[#This Row],[Step]] =current_step, current_c,IF(Iterations[[#This Row],[Step]] &gt; current_step, "",Iterations[[#This Row],[c]]))</f>
        <v/>
      </c>
      <c r="J1236" s="2" t="str">
        <f>IF(Iterations[[#This Row],[Step]] =current_step, current_d,IF(Iterations[[#This Row],[Step]] &gt; current_step, "",Iterations[[#This Row],[d]]))</f>
        <v/>
      </c>
      <c r="K1236" s="2" t="str">
        <f>IF(Iterations[[#This Row],[Step]] =current_step, current_e,IF(Iterations[[#This Row],[Step]] &gt; current_step, "",Iterations[[#This Row],[e]]))</f>
        <v/>
      </c>
      <c r="L1236" s="2" t="str">
        <f>IF(Iterations[[#This Row],[Step]] =current_step, current_Total_Loss,IF(Iterations[[#This Row],[Step]] &gt; current_step, "",Iterations[[#This Row],[Total Loss]]))</f>
        <v/>
      </c>
      <c r="M1236" s="6" t="s">
        <v>27</v>
      </c>
      <c r="N1236" s="2" t="str">
        <f>IF(Iterations[[#This Row],[Step]] =current_step, current_Grad_a,IF(Iterations[[#This Row],[Step]] &gt; current_step, "",Iterations[[#This Row],[Grad_a]]))</f>
        <v/>
      </c>
      <c r="O1236" s="2" t="str">
        <f>IF(Iterations[[#This Row],[Step]] =current_step, current_Grad_b,IF(Iterations[[#This Row],[Step]] &gt; current_step, "",Iterations[[#This Row],[Grad_b]]))</f>
        <v/>
      </c>
      <c r="P1236" s="2" t="str">
        <f>IF(Iterations[[#This Row],[Step]] =current_step, current_Grad_c,IF(Iterations[[#This Row],[Step]] &gt; current_step, "",Iterations[[#This Row],[Grad_c]]))</f>
        <v/>
      </c>
      <c r="Q1236" s="2" t="str">
        <f>IF(Iterations[[#This Row],[Step]] =current_step, current_Grad_d,IF(Iterations[[#This Row],[Step]] &gt; current_step, "",Iterations[[#This Row],[Grad_d]]))</f>
        <v/>
      </c>
      <c r="R1236" s="2" t="str">
        <f>IF(Iterations[[#This Row],[Step]] =current_step, current_Grad_e,IF(Iterations[[#This Row],[Step]] &gt; current_step, "",Iterations[[#This Row],[Grad_e]]))</f>
        <v/>
      </c>
    </row>
    <row r="1237" spans="6:18" x14ac:dyDescent="0.3">
      <c r="F1237" s="2">
        <f t="shared" si="24"/>
        <v>1220</v>
      </c>
      <c r="G1237" s="2" t="str">
        <f>IF(Iterations[[#This Row],[Step]] =current_step, current_a,IF(Iterations[[#This Row],[Step]] &gt; current_step, "",Iterations[[#This Row],[a]]))</f>
        <v/>
      </c>
      <c r="H1237" s="2" t="str">
        <f>IF(Iterations[[#This Row],[Step]] =current_step, current_b,IF(Iterations[[#This Row],[Step]] &gt; current_step, "",Iterations[[#This Row],[b]]))</f>
        <v/>
      </c>
      <c r="I1237" s="2" t="str">
        <f>IF(Iterations[[#This Row],[Step]] =current_step, current_c,IF(Iterations[[#This Row],[Step]] &gt; current_step, "",Iterations[[#This Row],[c]]))</f>
        <v/>
      </c>
      <c r="J1237" s="2" t="str">
        <f>IF(Iterations[[#This Row],[Step]] =current_step, current_d,IF(Iterations[[#This Row],[Step]] &gt; current_step, "",Iterations[[#This Row],[d]]))</f>
        <v/>
      </c>
      <c r="K1237" s="2" t="str">
        <f>IF(Iterations[[#This Row],[Step]] =current_step, current_e,IF(Iterations[[#This Row],[Step]] &gt; current_step, "",Iterations[[#This Row],[e]]))</f>
        <v/>
      </c>
      <c r="L1237" s="2" t="str">
        <f>IF(Iterations[[#This Row],[Step]] =current_step, current_Total_Loss,IF(Iterations[[#This Row],[Step]] &gt; current_step, "",Iterations[[#This Row],[Total Loss]]))</f>
        <v/>
      </c>
      <c r="M1237" s="6" t="s">
        <v>27</v>
      </c>
      <c r="N1237" s="2" t="str">
        <f>IF(Iterations[[#This Row],[Step]] =current_step, current_Grad_a,IF(Iterations[[#This Row],[Step]] &gt; current_step, "",Iterations[[#This Row],[Grad_a]]))</f>
        <v/>
      </c>
      <c r="O1237" s="2" t="str">
        <f>IF(Iterations[[#This Row],[Step]] =current_step, current_Grad_b,IF(Iterations[[#This Row],[Step]] &gt; current_step, "",Iterations[[#This Row],[Grad_b]]))</f>
        <v/>
      </c>
      <c r="P1237" s="2" t="str">
        <f>IF(Iterations[[#This Row],[Step]] =current_step, current_Grad_c,IF(Iterations[[#This Row],[Step]] &gt; current_step, "",Iterations[[#This Row],[Grad_c]]))</f>
        <v/>
      </c>
      <c r="Q1237" s="2" t="str">
        <f>IF(Iterations[[#This Row],[Step]] =current_step, current_Grad_d,IF(Iterations[[#This Row],[Step]] &gt; current_step, "",Iterations[[#This Row],[Grad_d]]))</f>
        <v/>
      </c>
      <c r="R1237" s="2" t="str">
        <f>IF(Iterations[[#This Row],[Step]] =current_step, current_Grad_e,IF(Iterations[[#This Row],[Step]] &gt; current_step, "",Iterations[[#This Row],[Grad_e]]))</f>
        <v/>
      </c>
    </row>
    <row r="1238" spans="6:18" x14ac:dyDescent="0.3">
      <c r="F1238" s="2">
        <f t="shared" si="24"/>
        <v>1221</v>
      </c>
      <c r="G1238" s="2" t="str">
        <f>IF(Iterations[[#This Row],[Step]] =current_step, current_a,IF(Iterations[[#This Row],[Step]] &gt; current_step, "",Iterations[[#This Row],[a]]))</f>
        <v/>
      </c>
      <c r="H1238" s="2" t="str">
        <f>IF(Iterations[[#This Row],[Step]] =current_step, current_b,IF(Iterations[[#This Row],[Step]] &gt; current_step, "",Iterations[[#This Row],[b]]))</f>
        <v/>
      </c>
      <c r="I1238" s="2" t="str">
        <f>IF(Iterations[[#This Row],[Step]] =current_step, current_c,IF(Iterations[[#This Row],[Step]] &gt; current_step, "",Iterations[[#This Row],[c]]))</f>
        <v/>
      </c>
      <c r="J1238" s="2" t="str">
        <f>IF(Iterations[[#This Row],[Step]] =current_step, current_d,IF(Iterations[[#This Row],[Step]] &gt; current_step, "",Iterations[[#This Row],[d]]))</f>
        <v/>
      </c>
      <c r="K1238" s="2" t="str">
        <f>IF(Iterations[[#This Row],[Step]] =current_step, current_e,IF(Iterations[[#This Row],[Step]] &gt; current_step, "",Iterations[[#This Row],[e]]))</f>
        <v/>
      </c>
      <c r="L1238" s="2" t="str">
        <f>IF(Iterations[[#This Row],[Step]] =current_step, current_Total_Loss,IF(Iterations[[#This Row],[Step]] &gt; current_step, "",Iterations[[#This Row],[Total Loss]]))</f>
        <v/>
      </c>
      <c r="M1238" s="6" t="s">
        <v>27</v>
      </c>
      <c r="N1238" s="2" t="str">
        <f>IF(Iterations[[#This Row],[Step]] =current_step, current_Grad_a,IF(Iterations[[#This Row],[Step]] &gt; current_step, "",Iterations[[#This Row],[Grad_a]]))</f>
        <v/>
      </c>
      <c r="O1238" s="2" t="str">
        <f>IF(Iterations[[#This Row],[Step]] =current_step, current_Grad_b,IF(Iterations[[#This Row],[Step]] &gt; current_step, "",Iterations[[#This Row],[Grad_b]]))</f>
        <v/>
      </c>
      <c r="P1238" s="2" t="str">
        <f>IF(Iterations[[#This Row],[Step]] =current_step, current_Grad_c,IF(Iterations[[#This Row],[Step]] &gt; current_step, "",Iterations[[#This Row],[Grad_c]]))</f>
        <v/>
      </c>
      <c r="Q1238" s="2" t="str">
        <f>IF(Iterations[[#This Row],[Step]] =current_step, current_Grad_d,IF(Iterations[[#This Row],[Step]] &gt; current_step, "",Iterations[[#This Row],[Grad_d]]))</f>
        <v/>
      </c>
      <c r="R1238" s="2" t="str">
        <f>IF(Iterations[[#This Row],[Step]] =current_step, current_Grad_e,IF(Iterations[[#This Row],[Step]] &gt; current_step, "",Iterations[[#This Row],[Grad_e]]))</f>
        <v/>
      </c>
    </row>
    <row r="1239" spans="6:18" x14ac:dyDescent="0.3">
      <c r="F1239" s="2">
        <f t="shared" si="24"/>
        <v>1222</v>
      </c>
      <c r="G1239" s="2" t="str">
        <f>IF(Iterations[[#This Row],[Step]] =current_step, current_a,IF(Iterations[[#This Row],[Step]] &gt; current_step, "",Iterations[[#This Row],[a]]))</f>
        <v/>
      </c>
      <c r="H1239" s="2" t="str">
        <f>IF(Iterations[[#This Row],[Step]] =current_step, current_b,IF(Iterations[[#This Row],[Step]] &gt; current_step, "",Iterations[[#This Row],[b]]))</f>
        <v/>
      </c>
      <c r="I1239" s="2" t="str">
        <f>IF(Iterations[[#This Row],[Step]] =current_step, current_c,IF(Iterations[[#This Row],[Step]] &gt; current_step, "",Iterations[[#This Row],[c]]))</f>
        <v/>
      </c>
      <c r="J1239" s="2" t="str">
        <f>IF(Iterations[[#This Row],[Step]] =current_step, current_d,IF(Iterations[[#This Row],[Step]] &gt; current_step, "",Iterations[[#This Row],[d]]))</f>
        <v/>
      </c>
      <c r="K1239" s="2" t="str">
        <f>IF(Iterations[[#This Row],[Step]] =current_step, current_e,IF(Iterations[[#This Row],[Step]] &gt; current_step, "",Iterations[[#This Row],[e]]))</f>
        <v/>
      </c>
      <c r="L1239" s="2" t="str">
        <f>IF(Iterations[[#This Row],[Step]] =current_step, current_Total_Loss,IF(Iterations[[#This Row],[Step]] &gt; current_step, "",Iterations[[#This Row],[Total Loss]]))</f>
        <v/>
      </c>
      <c r="M1239" s="6" t="s">
        <v>27</v>
      </c>
      <c r="N1239" s="2" t="str">
        <f>IF(Iterations[[#This Row],[Step]] =current_step, current_Grad_a,IF(Iterations[[#This Row],[Step]] &gt; current_step, "",Iterations[[#This Row],[Grad_a]]))</f>
        <v/>
      </c>
      <c r="O1239" s="2" t="str">
        <f>IF(Iterations[[#This Row],[Step]] =current_step, current_Grad_b,IF(Iterations[[#This Row],[Step]] &gt; current_step, "",Iterations[[#This Row],[Grad_b]]))</f>
        <v/>
      </c>
      <c r="P1239" s="2" t="str">
        <f>IF(Iterations[[#This Row],[Step]] =current_step, current_Grad_c,IF(Iterations[[#This Row],[Step]] &gt; current_step, "",Iterations[[#This Row],[Grad_c]]))</f>
        <v/>
      </c>
      <c r="Q1239" s="2" t="str">
        <f>IF(Iterations[[#This Row],[Step]] =current_step, current_Grad_d,IF(Iterations[[#This Row],[Step]] &gt; current_step, "",Iterations[[#This Row],[Grad_d]]))</f>
        <v/>
      </c>
      <c r="R1239" s="2" t="str">
        <f>IF(Iterations[[#This Row],[Step]] =current_step, current_Grad_e,IF(Iterations[[#This Row],[Step]] &gt; current_step, "",Iterations[[#This Row],[Grad_e]]))</f>
        <v/>
      </c>
    </row>
    <row r="1240" spans="6:18" x14ac:dyDescent="0.3">
      <c r="F1240" s="2">
        <f t="shared" si="24"/>
        <v>1223</v>
      </c>
      <c r="G1240" s="2" t="str">
        <f>IF(Iterations[[#This Row],[Step]] =current_step, current_a,IF(Iterations[[#This Row],[Step]] &gt; current_step, "",Iterations[[#This Row],[a]]))</f>
        <v/>
      </c>
      <c r="H1240" s="2" t="str">
        <f>IF(Iterations[[#This Row],[Step]] =current_step, current_b,IF(Iterations[[#This Row],[Step]] &gt; current_step, "",Iterations[[#This Row],[b]]))</f>
        <v/>
      </c>
      <c r="I1240" s="2" t="str">
        <f>IF(Iterations[[#This Row],[Step]] =current_step, current_c,IF(Iterations[[#This Row],[Step]] &gt; current_step, "",Iterations[[#This Row],[c]]))</f>
        <v/>
      </c>
      <c r="J1240" s="2" t="str">
        <f>IF(Iterations[[#This Row],[Step]] =current_step, current_d,IF(Iterations[[#This Row],[Step]] &gt; current_step, "",Iterations[[#This Row],[d]]))</f>
        <v/>
      </c>
      <c r="K1240" s="2" t="str">
        <f>IF(Iterations[[#This Row],[Step]] =current_step, current_e,IF(Iterations[[#This Row],[Step]] &gt; current_step, "",Iterations[[#This Row],[e]]))</f>
        <v/>
      </c>
      <c r="L1240" s="2" t="str">
        <f>IF(Iterations[[#This Row],[Step]] =current_step, current_Total_Loss,IF(Iterations[[#This Row],[Step]] &gt; current_step, "",Iterations[[#This Row],[Total Loss]]))</f>
        <v/>
      </c>
      <c r="M1240" s="6" t="s">
        <v>27</v>
      </c>
      <c r="N1240" s="2" t="str">
        <f>IF(Iterations[[#This Row],[Step]] =current_step, current_Grad_a,IF(Iterations[[#This Row],[Step]] &gt; current_step, "",Iterations[[#This Row],[Grad_a]]))</f>
        <v/>
      </c>
      <c r="O1240" s="2" t="str">
        <f>IF(Iterations[[#This Row],[Step]] =current_step, current_Grad_b,IF(Iterations[[#This Row],[Step]] &gt; current_step, "",Iterations[[#This Row],[Grad_b]]))</f>
        <v/>
      </c>
      <c r="P1240" s="2" t="str">
        <f>IF(Iterations[[#This Row],[Step]] =current_step, current_Grad_c,IF(Iterations[[#This Row],[Step]] &gt; current_step, "",Iterations[[#This Row],[Grad_c]]))</f>
        <v/>
      </c>
      <c r="Q1240" s="2" t="str">
        <f>IF(Iterations[[#This Row],[Step]] =current_step, current_Grad_d,IF(Iterations[[#This Row],[Step]] &gt; current_step, "",Iterations[[#This Row],[Grad_d]]))</f>
        <v/>
      </c>
      <c r="R1240" s="2" t="str">
        <f>IF(Iterations[[#This Row],[Step]] =current_step, current_Grad_e,IF(Iterations[[#This Row],[Step]] &gt; current_step, "",Iterations[[#This Row],[Grad_e]]))</f>
        <v/>
      </c>
    </row>
    <row r="1241" spans="6:18" x14ac:dyDescent="0.3">
      <c r="F1241" s="2">
        <f t="shared" si="24"/>
        <v>1224</v>
      </c>
      <c r="G1241" s="2" t="str">
        <f>IF(Iterations[[#This Row],[Step]] =current_step, current_a,IF(Iterations[[#This Row],[Step]] &gt; current_step, "",Iterations[[#This Row],[a]]))</f>
        <v/>
      </c>
      <c r="H1241" s="2" t="str">
        <f>IF(Iterations[[#This Row],[Step]] =current_step, current_b,IF(Iterations[[#This Row],[Step]] &gt; current_step, "",Iterations[[#This Row],[b]]))</f>
        <v/>
      </c>
      <c r="I1241" s="2" t="str">
        <f>IF(Iterations[[#This Row],[Step]] =current_step, current_c,IF(Iterations[[#This Row],[Step]] &gt; current_step, "",Iterations[[#This Row],[c]]))</f>
        <v/>
      </c>
      <c r="J1241" s="2" t="str">
        <f>IF(Iterations[[#This Row],[Step]] =current_step, current_d,IF(Iterations[[#This Row],[Step]] &gt; current_step, "",Iterations[[#This Row],[d]]))</f>
        <v/>
      </c>
      <c r="K1241" s="2" t="str">
        <f>IF(Iterations[[#This Row],[Step]] =current_step, current_e,IF(Iterations[[#This Row],[Step]] &gt; current_step, "",Iterations[[#This Row],[e]]))</f>
        <v/>
      </c>
      <c r="L1241" s="2" t="str">
        <f>IF(Iterations[[#This Row],[Step]] =current_step, current_Total_Loss,IF(Iterations[[#This Row],[Step]] &gt; current_step, "",Iterations[[#This Row],[Total Loss]]))</f>
        <v/>
      </c>
      <c r="M1241" s="6" t="s">
        <v>27</v>
      </c>
      <c r="N1241" s="2" t="str">
        <f>IF(Iterations[[#This Row],[Step]] =current_step, current_Grad_a,IF(Iterations[[#This Row],[Step]] &gt; current_step, "",Iterations[[#This Row],[Grad_a]]))</f>
        <v/>
      </c>
      <c r="O1241" s="2" t="str">
        <f>IF(Iterations[[#This Row],[Step]] =current_step, current_Grad_b,IF(Iterations[[#This Row],[Step]] &gt; current_step, "",Iterations[[#This Row],[Grad_b]]))</f>
        <v/>
      </c>
      <c r="P1241" s="2" t="str">
        <f>IF(Iterations[[#This Row],[Step]] =current_step, current_Grad_c,IF(Iterations[[#This Row],[Step]] &gt; current_step, "",Iterations[[#This Row],[Grad_c]]))</f>
        <v/>
      </c>
      <c r="Q1241" s="2" t="str">
        <f>IF(Iterations[[#This Row],[Step]] =current_step, current_Grad_d,IF(Iterations[[#This Row],[Step]] &gt; current_step, "",Iterations[[#This Row],[Grad_d]]))</f>
        <v/>
      </c>
      <c r="R1241" s="2" t="str">
        <f>IF(Iterations[[#This Row],[Step]] =current_step, current_Grad_e,IF(Iterations[[#This Row],[Step]] &gt; current_step, "",Iterations[[#This Row],[Grad_e]]))</f>
        <v/>
      </c>
    </row>
    <row r="1242" spans="6:18" x14ac:dyDescent="0.3">
      <c r="F1242" s="2">
        <f t="shared" si="24"/>
        <v>1225</v>
      </c>
      <c r="G1242" s="2" t="str">
        <f>IF(Iterations[[#This Row],[Step]] =current_step, current_a,IF(Iterations[[#This Row],[Step]] &gt; current_step, "",Iterations[[#This Row],[a]]))</f>
        <v/>
      </c>
      <c r="H1242" s="2" t="str">
        <f>IF(Iterations[[#This Row],[Step]] =current_step, current_b,IF(Iterations[[#This Row],[Step]] &gt; current_step, "",Iterations[[#This Row],[b]]))</f>
        <v/>
      </c>
      <c r="I1242" s="2" t="str">
        <f>IF(Iterations[[#This Row],[Step]] =current_step, current_c,IF(Iterations[[#This Row],[Step]] &gt; current_step, "",Iterations[[#This Row],[c]]))</f>
        <v/>
      </c>
      <c r="J1242" s="2" t="str">
        <f>IF(Iterations[[#This Row],[Step]] =current_step, current_d,IF(Iterations[[#This Row],[Step]] &gt; current_step, "",Iterations[[#This Row],[d]]))</f>
        <v/>
      </c>
      <c r="K1242" s="2" t="str">
        <f>IF(Iterations[[#This Row],[Step]] =current_step, current_e,IF(Iterations[[#This Row],[Step]] &gt; current_step, "",Iterations[[#This Row],[e]]))</f>
        <v/>
      </c>
      <c r="L1242" s="2" t="str">
        <f>IF(Iterations[[#This Row],[Step]] =current_step, current_Total_Loss,IF(Iterations[[#This Row],[Step]] &gt; current_step, "",Iterations[[#This Row],[Total Loss]]))</f>
        <v/>
      </c>
      <c r="M1242" s="6" t="s">
        <v>27</v>
      </c>
      <c r="N1242" s="2" t="str">
        <f>IF(Iterations[[#This Row],[Step]] =current_step, current_Grad_a,IF(Iterations[[#This Row],[Step]] &gt; current_step, "",Iterations[[#This Row],[Grad_a]]))</f>
        <v/>
      </c>
      <c r="O1242" s="2" t="str">
        <f>IF(Iterations[[#This Row],[Step]] =current_step, current_Grad_b,IF(Iterations[[#This Row],[Step]] &gt; current_step, "",Iterations[[#This Row],[Grad_b]]))</f>
        <v/>
      </c>
      <c r="P1242" s="2" t="str">
        <f>IF(Iterations[[#This Row],[Step]] =current_step, current_Grad_c,IF(Iterations[[#This Row],[Step]] &gt; current_step, "",Iterations[[#This Row],[Grad_c]]))</f>
        <v/>
      </c>
      <c r="Q1242" s="2" t="str">
        <f>IF(Iterations[[#This Row],[Step]] =current_step, current_Grad_d,IF(Iterations[[#This Row],[Step]] &gt; current_step, "",Iterations[[#This Row],[Grad_d]]))</f>
        <v/>
      </c>
      <c r="R1242" s="2" t="str">
        <f>IF(Iterations[[#This Row],[Step]] =current_step, current_Grad_e,IF(Iterations[[#This Row],[Step]] &gt; current_step, "",Iterations[[#This Row],[Grad_e]]))</f>
        <v/>
      </c>
    </row>
    <row r="1243" spans="6:18" x14ac:dyDescent="0.3">
      <c r="F1243" s="2">
        <f t="shared" si="24"/>
        <v>1226</v>
      </c>
      <c r="G1243" s="2" t="str">
        <f>IF(Iterations[[#This Row],[Step]] =current_step, current_a,IF(Iterations[[#This Row],[Step]] &gt; current_step, "",Iterations[[#This Row],[a]]))</f>
        <v/>
      </c>
      <c r="H1243" s="2" t="str">
        <f>IF(Iterations[[#This Row],[Step]] =current_step, current_b,IF(Iterations[[#This Row],[Step]] &gt; current_step, "",Iterations[[#This Row],[b]]))</f>
        <v/>
      </c>
      <c r="I1243" s="2" t="str">
        <f>IF(Iterations[[#This Row],[Step]] =current_step, current_c,IF(Iterations[[#This Row],[Step]] &gt; current_step, "",Iterations[[#This Row],[c]]))</f>
        <v/>
      </c>
      <c r="J1243" s="2" t="str">
        <f>IF(Iterations[[#This Row],[Step]] =current_step, current_d,IF(Iterations[[#This Row],[Step]] &gt; current_step, "",Iterations[[#This Row],[d]]))</f>
        <v/>
      </c>
      <c r="K1243" s="2" t="str">
        <f>IF(Iterations[[#This Row],[Step]] =current_step, current_e,IF(Iterations[[#This Row],[Step]] &gt; current_step, "",Iterations[[#This Row],[e]]))</f>
        <v/>
      </c>
      <c r="L1243" s="2" t="str">
        <f>IF(Iterations[[#This Row],[Step]] =current_step, current_Total_Loss,IF(Iterations[[#This Row],[Step]] &gt; current_step, "",Iterations[[#This Row],[Total Loss]]))</f>
        <v/>
      </c>
      <c r="M1243" s="6" t="s">
        <v>27</v>
      </c>
      <c r="N1243" s="2" t="str">
        <f>IF(Iterations[[#This Row],[Step]] =current_step, current_Grad_a,IF(Iterations[[#This Row],[Step]] &gt; current_step, "",Iterations[[#This Row],[Grad_a]]))</f>
        <v/>
      </c>
      <c r="O1243" s="2" t="str">
        <f>IF(Iterations[[#This Row],[Step]] =current_step, current_Grad_b,IF(Iterations[[#This Row],[Step]] &gt; current_step, "",Iterations[[#This Row],[Grad_b]]))</f>
        <v/>
      </c>
      <c r="P1243" s="2" t="str">
        <f>IF(Iterations[[#This Row],[Step]] =current_step, current_Grad_c,IF(Iterations[[#This Row],[Step]] &gt; current_step, "",Iterations[[#This Row],[Grad_c]]))</f>
        <v/>
      </c>
      <c r="Q1243" s="2" t="str">
        <f>IF(Iterations[[#This Row],[Step]] =current_step, current_Grad_d,IF(Iterations[[#This Row],[Step]] &gt; current_step, "",Iterations[[#This Row],[Grad_d]]))</f>
        <v/>
      </c>
      <c r="R1243" s="2" t="str">
        <f>IF(Iterations[[#This Row],[Step]] =current_step, current_Grad_e,IF(Iterations[[#This Row],[Step]] &gt; current_step, "",Iterations[[#This Row],[Grad_e]]))</f>
        <v/>
      </c>
    </row>
    <row r="1244" spans="6:18" x14ac:dyDescent="0.3">
      <c r="F1244" s="2">
        <f t="shared" si="24"/>
        <v>1227</v>
      </c>
      <c r="G1244" s="2" t="str">
        <f>IF(Iterations[[#This Row],[Step]] =current_step, current_a,IF(Iterations[[#This Row],[Step]] &gt; current_step, "",Iterations[[#This Row],[a]]))</f>
        <v/>
      </c>
      <c r="H1244" s="2" t="str">
        <f>IF(Iterations[[#This Row],[Step]] =current_step, current_b,IF(Iterations[[#This Row],[Step]] &gt; current_step, "",Iterations[[#This Row],[b]]))</f>
        <v/>
      </c>
      <c r="I1244" s="2" t="str">
        <f>IF(Iterations[[#This Row],[Step]] =current_step, current_c,IF(Iterations[[#This Row],[Step]] &gt; current_step, "",Iterations[[#This Row],[c]]))</f>
        <v/>
      </c>
      <c r="J1244" s="2" t="str">
        <f>IF(Iterations[[#This Row],[Step]] =current_step, current_d,IF(Iterations[[#This Row],[Step]] &gt; current_step, "",Iterations[[#This Row],[d]]))</f>
        <v/>
      </c>
      <c r="K1244" s="2" t="str">
        <f>IF(Iterations[[#This Row],[Step]] =current_step, current_e,IF(Iterations[[#This Row],[Step]] &gt; current_step, "",Iterations[[#This Row],[e]]))</f>
        <v/>
      </c>
      <c r="L1244" s="2" t="str">
        <f>IF(Iterations[[#This Row],[Step]] =current_step, current_Total_Loss,IF(Iterations[[#This Row],[Step]] &gt; current_step, "",Iterations[[#This Row],[Total Loss]]))</f>
        <v/>
      </c>
      <c r="M1244" s="6" t="s">
        <v>27</v>
      </c>
      <c r="N1244" s="2" t="str">
        <f>IF(Iterations[[#This Row],[Step]] =current_step, current_Grad_a,IF(Iterations[[#This Row],[Step]] &gt; current_step, "",Iterations[[#This Row],[Grad_a]]))</f>
        <v/>
      </c>
      <c r="O1244" s="2" t="str">
        <f>IF(Iterations[[#This Row],[Step]] =current_step, current_Grad_b,IF(Iterations[[#This Row],[Step]] &gt; current_step, "",Iterations[[#This Row],[Grad_b]]))</f>
        <v/>
      </c>
      <c r="P1244" s="2" t="str">
        <f>IF(Iterations[[#This Row],[Step]] =current_step, current_Grad_c,IF(Iterations[[#This Row],[Step]] &gt; current_step, "",Iterations[[#This Row],[Grad_c]]))</f>
        <v/>
      </c>
      <c r="Q1244" s="2" t="str">
        <f>IF(Iterations[[#This Row],[Step]] =current_step, current_Grad_d,IF(Iterations[[#This Row],[Step]] &gt; current_step, "",Iterations[[#This Row],[Grad_d]]))</f>
        <v/>
      </c>
      <c r="R1244" s="2" t="str">
        <f>IF(Iterations[[#This Row],[Step]] =current_step, current_Grad_e,IF(Iterations[[#This Row],[Step]] &gt; current_step, "",Iterations[[#This Row],[Grad_e]]))</f>
        <v/>
      </c>
    </row>
    <row r="1245" spans="6:18" x14ac:dyDescent="0.3">
      <c r="F1245" s="2">
        <f t="shared" si="24"/>
        <v>1228</v>
      </c>
      <c r="G1245" s="2" t="str">
        <f>IF(Iterations[[#This Row],[Step]] =current_step, current_a,IF(Iterations[[#This Row],[Step]] &gt; current_step, "",Iterations[[#This Row],[a]]))</f>
        <v/>
      </c>
      <c r="H1245" s="2" t="str">
        <f>IF(Iterations[[#This Row],[Step]] =current_step, current_b,IF(Iterations[[#This Row],[Step]] &gt; current_step, "",Iterations[[#This Row],[b]]))</f>
        <v/>
      </c>
      <c r="I1245" s="2" t="str">
        <f>IF(Iterations[[#This Row],[Step]] =current_step, current_c,IF(Iterations[[#This Row],[Step]] &gt; current_step, "",Iterations[[#This Row],[c]]))</f>
        <v/>
      </c>
      <c r="J1245" s="2" t="str">
        <f>IF(Iterations[[#This Row],[Step]] =current_step, current_d,IF(Iterations[[#This Row],[Step]] &gt; current_step, "",Iterations[[#This Row],[d]]))</f>
        <v/>
      </c>
      <c r="K1245" s="2" t="str">
        <f>IF(Iterations[[#This Row],[Step]] =current_step, current_e,IF(Iterations[[#This Row],[Step]] &gt; current_step, "",Iterations[[#This Row],[e]]))</f>
        <v/>
      </c>
      <c r="L1245" s="2" t="str">
        <f>IF(Iterations[[#This Row],[Step]] =current_step, current_Total_Loss,IF(Iterations[[#This Row],[Step]] &gt; current_step, "",Iterations[[#This Row],[Total Loss]]))</f>
        <v/>
      </c>
      <c r="M1245" s="6" t="s">
        <v>27</v>
      </c>
      <c r="N1245" s="2" t="str">
        <f>IF(Iterations[[#This Row],[Step]] =current_step, current_Grad_a,IF(Iterations[[#This Row],[Step]] &gt; current_step, "",Iterations[[#This Row],[Grad_a]]))</f>
        <v/>
      </c>
      <c r="O1245" s="2" t="str">
        <f>IF(Iterations[[#This Row],[Step]] =current_step, current_Grad_b,IF(Iterations[[#This Row],[Step]] &gt; current_step, "",Iterations[[#This Row],[Grad_b]]))</f>
        <v/>
      </c>
      <c r="P1245" s="2" t="str">
        <f>IF(Iterations[[#This Row],[Step]] =current_step, current_Grad_c,IF(Iterations[[#This Row],[Step]] &gt; current_step, "",Iterations[[#This Row],[Grad_c]]))</f>
        <v/>
      </c>
      <c r="Q1245" s="2" t="str">
        <f>IF(Iterations[[#This Row],[Step]] =current_step, current_Grad_d,IF(Iterations[[#This Row],[Step]] &gt; current_step, "",Iterations[[#This Row],[Grad_d]]))</f>
        <v/>
      </c>
      <c r="R1245" s="2" t="str">
        <f>IF(Iterations[[#This Row],[Step]] =current_step, current_Grad_e,IF(Iterations[[#This Row],[Step]] &gt; current_step, "",Iterations[[#This Row],[Grad_e]]))</f>
        <v/>
      </c>
    </row>
    <row r="1246" spans="6:18" x14ac:dyDescent="0.3">
      <c r="F1246" s="2">
        <f t="shared" si="24"/>
        <v>1229</v>
      </c>
      <c r="G1246" s="2" t="str">
        <f>IF(Iterations[[#This Row],[Step]] =current_step, current_a,IF(Iterations[[#This Row],[Step]] &gt; current_step, "",Iterations[[#This Row],[a]]))</f>
        <v/>
      </c>
      <c r="H1246" s="2" t="str">
        <f>IF(Iterations[[#This Row],[Step]] =current_step, current_b,IF(Iterations[[#This Row],[Step]] &gt; current_step, "",Iterations[[#This Row],[b]]))</f>
        <v/>
      </c>
      <c r="I1246" s="2" t="str">
        <f>IF(Iterations[[#This Row],[Step]] =current_step, current_c,IF(Iterations[[#This Row],[Step]] &gt; current_step, "",Iterations[[#This Row],[c]]))</f>
        <v/>
      </c>
      <c r="J1246" s="2" t="str">
        <f>IF(Iterations[[#This Row],[Step]] =current_step, current_d,IF(Iterations[[#This Row],[Step]] &gt; current_step, "",Iterations[[#This Row],[d]]))</f>
        <v/>
      </c>
      <c r="K1246" s="2" t="str">
        <f>IF(Iterations[[#This Row],[Step]] =current_step, current_e,IF(Iterations[[#This Row],[Step]] &gt; current_step, "",Iterations[[#This Row],[e]]))</f>
        <v/>
      </c>
      <c r="L1246" s="2" t="str">
        <f>IF(Iterations[[#This Row],[Step]] =current_step, current_Total_Loss,IF(Iterations[[#This Row],[Step]] &gt; current_step, "",Iterations[[#This Row],[Total Loss]]))</f>
        <v/>
      </c>
      <c r="M1246" s="6" t="s">
        <v>27</v>
      </c>
      <c r="N1246" s="2" t="str">
        <f>IF(Iterations[[#This Row],[Step]] =current_step, current_Grad_a,IF(Iterations[[#This Row],[Step]] &gt; current_step, "",Iterations[[#This Row],[Grad_a]]))</f>
        <v/>
      </c>
      <c r="O1246" s="2" t="str">
        <f>IF(Iterations[[#This Row],[Step]] =current_step, current_Grad_b,IF(Iterations[[#This Row],[Step]] &gt; current_step, "",Iterations[[#This Row],[Grad_b]]))</f>
        <v/>
      </c>
      <c r="P1246" s="2" t="str">
        <f>IF(Iterations[[#This Row],[Step]] =current_step, current_Grad_c,IF(Iterations[[#This Row],[Step]] &gt; current_step, "",Iterations[[#This Row],[Grad_c]]))</f>
        <v/>
      </c>
      <c r="Q1246" s="2" t="str">
        <f>IF(Iterations[[#This Row],[Step]] =current_step, current_Grad_d,IF(Iterations[[#This Row],[Step]] &gt; current_step, "",Iterations[[#This Row],[Grad_d]]))</f>
        <v/>
      </c>
      <c r="R1246" s="2" t="str">
        <f>IF(Iterations[[#This Row],[Step]] =current_step, current_Grad_e,IF(Iterations[[#This Row],[Step]] &gt; current_step, "",Iterations[[#This Row],[Grad_e]]))</f>
        <v/>
      </c>
    </row>
    <row r="1247" spans="6:18" x14ac:dyDescent="0.3">
      <c r="F1247" s="2">
        <f t="shared" si="24"/>
        <v>1230</v>
      </c>
      <c r="G1247" s="2" t="str">
        <f>IF(Iterations[[#This Row],[Step]] =current_step, current_a,IF(Iterations[[#This Row],[Step]] &gt; current_step, "",Iterations[[#This Row],[a]]))</f>
        <v/>
      </c>
      <c r="H1247" s="2" t="str">
        <f>IF(Iterations[[#This Row],[Step]] =current_step, current_b,IF(Iterations[[#This Row],[Step]] &gt; current_step, "",Iterations[[#This Row],[b]]))</f>
        <v/>
      </c>
      <c r="I1247" s="2" t="str">
        <f>IF(Iterations[[#This Row],[Step]] =current_step, current_c,IF(Iterations[[#This Row],[Step]] &gt; current_step, "",Iterations[[#This Row],[c]]))</f>
        <v/>
      </c>
      <c r="J1247" s="2" t="str">
        <f>IF(Iterations[[#This Row],[Step]] =current_step, current_d,IF(Iterations[[#This Row],[Step]] &gt; current_step, "",Iterations[[#This Row],[d]]))</f>
        <v/>
      </c>
      <c r="K1247" s="2" t="str">
        <f>IF(Iterations[[#This Row],[Step]] =current_step, current_e,IF(Iterations[[#This Row],[Step]] &gt; current_step, "",Iterations[[#This Row],[e]]))</f>
        <v/>
      </c>
      <c r="L1247" s="2" t="str">
        <f>IF(Iterations[[#This Row],[Step]] =current_step, current_Total_Loss,IF(Iterations[[#This Row],[Step]] &gt; current_step, "",Iterations[[#This Row],[Total Loss]]))</f>
        <v/>
      </c>
      <c r="M1247" s="6" t="s">
        <v>27</v>
      </c>
      <c r="N1247" s="2" t="str">
        <f>IF(Iterations[[#This Row],[Step]] =current_step, current_Grad_a,IF(Iterations[[#This Row],[Step]] &gt; current_step, "",Iterations[[#This Row],[Grad_a]]))</f>
        <v/>
      </c>
      <c r="O1247" s="2" t="str">
        <f>IF(Iterations[[#This Row],[Step]] =current_step, current_Grad_b,IF(Iterations[[#This Row],[Step]] &gt; current_step, "",Iterations[[#This Row],[Grad_b]]))</f>
        <v/>
      </c>
      <c r="P1247" s="2" t="str">
        <f>IF(Iterations[[#This Row],[Step]] =current_step, current_Grad_c,IF(Iterations[[#This Row],[Step]] &gt; current_step, "",Iterations[[#This Row],[Grad_c]]))</f>
        <v/>
      </c>
      <c r="Q1247" s="2" t="str">
        <f>IF(Iterations[[#This Row],[Step]] =current_step, current_Grad_d,IF(Iterations[[#This Row],[Step]] &gt; current_step, "",Iterations[[#This Row],[Grad_d]]))</f>
        <v/>
      </c>
      <c r="R1247" s="2" t="str">
        <f>IF(Iterations[[#This Row],[Step]] =current_step, current_Grad_e,IF(Iterations[[#This Row],[Step]] &gt; current_step, "",Iterations[[#This Row],[Grad_e]]))</f>
        <v/>
      </c>
    </row>
    <row r="1248" spans="6:18" x14ac:dyDescent="0.3">
      <c r="F1248" s="2">
        <f t="shared" si="24"/>
        <v>1231</v>
      </c>
      <c r="G1248" s="2" t="str">
        <f>IF(Iterations[[#This Row],[Step]] =current_step, current_a,IF(Iterations[[#This Row],[Step]] &gt; current_step, "",Iterations[[#This Row],[a]]))</f>
        <v/>
      </c>
      <c r="H1248" s="2" t="str">
        <f>IF(Iterations[[#This Row],[Step]] =current_step, current_b,IF(Iterations[[#This Row],[Step]] &gt; current_step, "",Iterations[[#This Row],[b]]))</f>
        <v/>
      </c>
      <c r="I1248" s="2" t="str">
        <f>IF(Iterations[[#This Row],[Step]] =current_step, current_c,IF(Iterations[[#This Row],[Step]] &gt; current_step, "",Iterations[[#This Row],[c]]))</f>
        <v/>
      </c>
      <c r="J1248" s="2" t="str">
        <f>IF(Iterations[[#This Row],[Step]] =current_step, current_d,IF(Iterations[[#This Row],[Step]] &gt; current_step, "",Iterations[[#This Row],[d]]))</f>
        <v/>
      </c>
      <c r="K1248" s="2" t="str">
        <f>IF(Iterations[[#This Row],[Step]] =current_step, current_e,IF(Iterations[[#This Row],[Step]] &gt; current_step, "",Iterations[[#This Row],[e]]))</f>
        <v/>
      </c>
      <c r="L1248" s="2" t="str">
        <f>IF(Iterations[[#This Row],[Step]] =current_step, current_Total_Loss,IF(Iterations[[#This Row],[Step]] &gt; current_step, "",Iterations[[#This Row],[Total Loss]]))</f>
        <v/>
      </c>
      <c r="M1248" s="6" t="s">
        <v>27</v>
      </c>
      <c r="N1248" s="2" t="str">
        <f>IF(Iterations[[#This Row],[Step]] =current_step, current_Grad_a,IF(Iterations[[#This Row],[Step]] &gt; current_step, "",Iterations[[#This Row],[Grad_a]]))</f>
        <v/>
      </c>
      <c r="O1248" s="2" t="str">
        <f>IF(Iterations[[#This Row],[Step]] =current_step, current_Grad_b,IF(Iterations[[#This Row],[Step]] &gt; current_step, "",Iterations[[#This Row],[Grad_b]]))</f>
        <v/>
      </c>
      <c r="P1248" s="2" t="str">
        <f>IF(Iterations[[#This Row],[Step]] =current_step, current_Grad_c,IF(Iterations[[#This Row],[Step]] &gt; current_step, "",Iterations[[#This Row],[Grad_c]]))</f>
        <v/>
      </c>
      <c r="Q1248" s="2" t="str">
        <f>IF(Iterations[[#This Row],[Step]] =current_step, current_Grad_d,IF(Iterations[[#This Row],[Step]] &gt; current_step, "",Iterations[[#This Row],[Grad_d]]))</f>
        <v/>
      </c>
      <c r="R1248" s="2" t="str">
        <f>IF(Iterations[[#This Row],[Step]] =current_step, current_Grad_e,IF(Iterations[[#This Row],[Step]] &gt; current_step, "",Iterations[[#This Row],[Grad_e]]))</f>
        <v/>
      </c>
    </row>
    <row r="1249" spans="6:18" x14ac:dyDescent="0.3">
      <c r="F1249" s="2">
        <f t="shared" si="24"/>
        <v>1232</v>
      </c>
      <c r="G1249" s="2" t="str">
        <f>IF(Iterations[[#This Row],[Step]] =current_step, current_a,IF(Iterations[[#This Row],[Step]] &gt; current_step, "",Iterations[[#This Row],[a]]))</f>
        <v/>
      </c>
      <c r="H1249" s="2" t="str">
        <f>IF(Iterations[[#This Row],[Step]] =current_step, current_b,IF(Iterations[[#This Row],[Step]] &gt; current_step, "",Iterations[[#This Row],[b]]))</f>
        <v/>
      </c>
      <c r="I1249" s="2" t="str">
        <f>IF(Iterations[[#This Row],[Step]] =current_step, current_c,IF(Iterations[[#This Row],[Step]] &gt; current_step, "",Iterations[[#This Row],[c]]))</f>
        <v/>
      </c>
      <c r="J1249" s="2" t="str">
        <f>IF(Iterations[[#This Row],[Step]] =current_step, current_d,IF(Iterations[[#This Row],[Step]] &gt; current_step, "",Iterations[[#This Row],[d]]))</f>
        <v/>
      </c>
      <c r="K1249" s="2" t="str">
        <f>IF(Iterations[[#This Row],[Step]] =current_step, current_e,IF(Iterations[[#This Row],[Step]] &gt; current_step, "",Iterations[[#This Row],[e]]))</f>
        <v/>
      </c>
      <c r="L1249" s="2" t="str">
        <f>IF(Iterations[[#This Row],[Step]] =current_step, current_Total_Loss,IF(Iterations[[#This Row],[Step]] &gt; current_step, "",Iterations[[#This Row],[Total Loss]]))</f>
        <v/>
      </c>
      <c r="M1249" s="6" t="s">
        <v>27</v>
      </c>
      <c r="N1249" s="2" t="str">
        <f>IF(Iterations[[#This Row],[Step]] =current_step, current_Grad_a,IF(Iterations[[#This Row],[Step]] &gt; current_step, "",Iterations[[#This Row],[Grad_a]]))</f>
        <v/>
      </c>
      <c r="O1249" s="2" t="str">
        <f>IF(Iterations[[#This Row],[Step]] =current_step, current_Grad_b,IF(Iterations[[#This Row],[Step]] &gt; current_step, "",Iterations[[#This Row],[Grad_b]]))</f>
        <v/>
      </c>
      <c r="P1249" s="2" t="str">
        <f>IF(Iterations[[#This Row],[Step]] =current_step, current_Grad_c,IF(Iterations[[#This Row],[Step]] &gt; current_step, "",Iterations[[#This Row],[Grad_c]]))</f>
        <v/>
      </c>
      <c r="Q1249" s="2" t="str">
        <f>IF(Iterations[[#This Row],[Step]] =current_step, current_Grad_d,IF(Iterations[[#This Row],[Step]] &gt; current_step, "",Iterations[[#This Row],[Grad_d]]))</f>
        <v/>
      </c>
      <c r="R1249" s="2" t="str">
        <f>IF(Iterations[[#This Row],[Step]] =current_step, current_Grad_e,IF(Iterations[[#This Row],[Step]] &gt; current_step, "",Iterations[[#This Row],[Grad_e]]))</f>
        <v/>
      </c>
    </row>
    <row r="1250" spans="6:18" x14ac:dyDescent="0.3">
      <c r="F1250" s="2">
        <f t="shared" si="24"/>
        <v>1233</v>
      </c>
      <c r="G1250" s="2" t="str">
        <f>IF(Iterations[[#This Row],[Step]] =current_step, current_a,IF(Iterations[[#This Row],[Step]] &gt; current_step, "",Iterations[[#This Row],[a]]))</f>
        <v/>
      </c>
      <c r="H1250" s="2" t="str">
        <f>IF(Iterations[[#This Row],[Step]] =current_step, current_b,IF(Iterations[[#This Row],[Step]] &gt; current_step, "",Iterations[[#This Row],[b]]))</f>
        <v/>
      </c>
      <c r="I1250" s="2" t="str">
        <f>IF(Iterations[[#This Row],[Step]] =current_step, current_c,IF(Iterations[[#This Row],[Step]] &gt; current_step, "",Iterations[[#This Row],[c]]))</f>
        <v/>
      </c>
      <c r="J1250" s="2" t="str">
        <f>IF(Iterations[[#This Row],[Step]] =current_step, current_d,IF(Iterations[[#This Row],[Step]] &gt; current_step, "",Iterations[[#This Row],[d]]))</f>
        <v/>
      </c>
      <c r="K1250" s="2" t="str">
        <f>IF(Iterations[[#This Row],[Step]] =current_step, current_e,IF(Iterations[[#This Row],[Step]] &gt; current_step, "",Iterations[[#This Row],[e]]))</f>
        <v/>
      </c>
      <c r="L1250" s="2" t="str">
        <f>IF(Iterations[[#This Row],[Step]] =current_step, current_Total_Loss,IF(Iterations[[#This Row],[Step]] &gt; current_step, "",Iterations[[#This Row],[Total Loss]]))</f>
        <v/>
      </c>
      <c r="M1250" s="6" t="s">
        <v>27</v>
      </c>
      <c r="N1250" s="2" t="str">
        <f>IF(Iterations[[#This Row],[Step]] =current_step, current_Grad_a,IF(Iterations[[#This Row],[Step]] &gt; current_step, "",Iterations[[#This Row],[Grad_a]]))</f>
        <v/>
      </c>
      <c r="O1250" s="2" t="str">
        <f>IF(Iterations[[#This Row],[Step]] =current_step, current_Grad_b,IF(Iterations[[#This Row],[Step]] &gt; current_step, "",Iterations[[#This Row],[Grad_b]]))</f>
        <v/>
      </c>
      <c r="P1250" s="2" t="str">
        <f>IF(Iterations[[#This Row],[Step]] =current_step, current_Grad_c,IF(Iterations[[#This Row],[Step]] &gt; current_step, "",Iterations[[#This Row],[Grad_c]]))</f>
        <v/>
      </c>
      <c r="Q1250" s="2" t="str">
        <f>IF(Iterations[[#This Row],[Step]] =current_step, current_Grad_d,IF(Iterations[[#This Row],[Step]] &gt; current_step, "",Iterations[[#This Row],[Grad_d]]))</f>
        <v/>
      </c>
      <c r="R1250" s="2" t="str">
        <f>IF(Iterations[[#This Row],[Step]] =current_step, current_Grad_e,IF(Iterations[[#This Row],[Step]] &gt; current_step, "",Iterations[[#This Row],[Grad_e]]))</f>
        <v/>
      </c>
    </row>
    <row r="1251" spans="6:18" x14ac:dyDescent="0.3">
      <c r="F1251" s="2">
        <f t="shared" si="24"/>
        <v>1234</v>
      </c>
      <c r="G1251" s="2" t="str">
        <f>IF(Iterations[[#This Row],[Step]] =current_step, current_a,IF(Iterations[[#This Row],[Step]] &gt; current_step, "",Iterations[[#This Row],[a]]))</f>
        <v/>
      </c>
      <c r="H1251" s="2" t="str">
        <f>IF(Iterations[[#This Row],[Step]] =current_step, current_b,IF(Iterations[[#This Row],[Step]] &gt; current_step, "",Iterations[[#This Row],[b]]))</f>
        <v/>
      </c>
      <c r="I1251" s="2" t="str">
        <f>IF(Iterations[[#This Row],[Step]] =current_step, current_c,IF(Iterations[[#This Row],[Step]] &gt; current_step, "",Iterations[[#This Row],[c]]))</f>
        <v/>
      </c>
      <c r="J1251" s="2" t="str">
        <f>IF(Iterations[[#This Row],[Step]] =current_step, current_d,IF(Iterations[[#This Row],[Step]] &gt; current_step, "",Iterations[[#This Row],[d]]))</f>
        <v/>
      </c>
      <c r="K1251" s="2" t="str">
        <f>IF(Iterations[[#This Row],[Step]] =current_step, current_e,IF(Iterations[[#This Row],[Step]] &gt; current_step, "",Iterations[[#This Row],[e]]))</f>
        <v/>
      </c>
      <c r="L1251" s="2" t="str">
        <f>IF(Iterations[[#This Row],[Step]] =current_step, current_Total_Loss,IF(Iterations[[#This Row],[Step]] &gt; current_step, "",Iterations[[#This Row],[Total Loss]]))</f>
        <v/>
      </c>
      <c r="M1251" s="6" t="s">
        <v>27</v>
      </c>
      <c r="N1251" s="2" t="str">
        <f>IF(Iterations[[#This Row],[Step]] =current_step, current_Grad_a,IF(Iterations[[#This Row],[Step]] &gt; current_step, "",Iterations[[#This Row],[Grad_a]]))</f>
        <v/>
      </c>
      <c r="O1251" s="2" t="str">
        <f>IF(Iterations[[#This Row],[Step]] =current_step, current_Grad_b,IF(Iterations[[#This Row],[Step]] &gt; current_step, "",Iterations[[#This Row],[Grad_b]]))</f>
        <v/>
      </c>
      <c r="P1251" s="2" t="str">
        <f>IF(Iterations[[#This Row],[Step]] =current_step, current_Grad_c,IF(Iterations[[#This Row],[Step]] &gt; current_step, "",Iterations[[#This Row],[Grad_c]]))</f>
        <v/>
      </c>
      <c r="Q1251" s="2" t="str">
        <f>IF(Iterations[[#This Row],[Step]] =current_step, current_Grad_d,IF(Iterations[[#This Row],[Step]] &gt; current_step, "",Iterations[[#This Row],[Grad_d]]))</f>
        <v/>
      </c>
      <c r="R1251" s="2" t="str">
        <f>IF(Iterations[[#This Row],[Step]] =current_step, current_Grad_e,IF(Iterations[[#This Row],[Step]] &gt; current_step, "",Iterations[[#This Row],[Grad_e]]))</f>
        <v/>
      </c>
    </row>
    <row r="1252" spans="6:18" x14ac:dyDescent="0.3">
      <c r="F1252" s="2">
        <f t="shared" si="24"/>
        <v>1235</v>
      </c>
      <c r="G1252" s="2" t="str">
        <f>IF(Iterations[[#This Row],[Step]] =current_step, current_a,IF(Iterations[[#This Row],[Step]] &gt; current_step, "",Iterations[[#This Row],[a]]))</f>
        <v/>
      </c>
      <c r="H1252" s="2" t="str">
        <f>IF(Iterations[[#This Row],[Step]] =current_step, current_b,IF(Iterations[[#This Row],[Step]] &gt; current_step, "",Iterations[[#This Row],[b]]))</f>
        <v/>
      </c>
      <c r="I1252" s="2" t="str">
        <f>IF(Iterations[[#This Row],[Step]] =current_step, current_c,IF(Iterations[[#This Row],[Step]] &gt; current_step, "",Iterations[[#This Row],[c]]))</f>
        <v/>
      </c>
      <c r="J1252" s="2" t="str">
        <f>IF(Iterations[[#This Row],[Step]] =current_step, current_d,IF(Iterations[[#This Row],[Step]] &gt; current_step, "",Iterations[[#This Row],[d]]))</f>
        <v/>
      </c>
      <c r="K1252" s="2" t="str">
        <f>IF(Iterations[[#This Row],[Step]] =current_step, current_e,IF(Iterations[[#This Row],[Step]] &gt; current_step, "",Iterations[[#This Row],[e]]))</f>
        <v/>
      </c>
      <c r="L1252" s="2" t="str">
        <f>IF(Iterations[[#This Row],[Step]] =current_step, current_Total_Loss,IF(Iterations[[#This Row],[Step]] &gt; current_step, "",Iterations[[#This Row],[Total Loss]]))</f>
        <v/>
      </c>
      <c r="M1252" s="6" t="s">
        <v>27</v>
      </c>
      <c r="N1252" s="2" t="str">
        <f>IF(Iterations[[#This Row],[Step]] =current_step, current_Grad_a,IF(Iterations[[#This Row],[Step]] &gt; current_step, "",Iterations[[#This Row],[Grad_a]]))</f>
        <v/>
      </c>
      <c r="O1252" s="2" t="str">
        <f>IF(Iterations[[#This Row],[Step]] =current_step, current_Grad_b,IF(Iterations[[#This Row],[Step]] &gt; current_step, "",Iterations[[#This Row],[Grad_b]]))</f>
        <v/>
      </c>
      <c r="P1252" s="2" t="str">
        <f>IF(Iterations[[#This Row],[Step]] =current_step, current_Grad_c,IF(Iterations[[#This Row],[Step]] &gt; current_step, "",Iterations[[#This Row],[Grad_c]]))</f>
        <v/>
      </c>
      <c r="Q1252" s="2" t="str">
        <f>IF(Iterations[[#This Row],[Step]] =current_step, current_Grad_d,IF(Iterations[[#This Row],[Step]] &gt; current_step, "",Iterations[[#This Row],[Grad_d]]))</f>
        <v/>
      </c>
      <c r="R1252" s="2" t="str">
        <f>IF(Iterations[[#This Row],[Step]] =current_step, current_Grad_e,IF(Iterations[[#This Row],[Step]] &gt; current_step, "",Iterations[[#This Row],[Grad_e]]))</f>
        <v/>
      </c>
    </row>
    <row r="1253" spans="6:18" x14ac:dyDescent="0.3">
      <c r="F1253" s="2">
        <f t="shared" si="24"/>
        <v>1236</v>
      </c>
      <c r="G1253" s="2" t="str">
        <f>IF(Iterations[[#This Row],[Step]] =current_step, current_a,IF(Iterations[[#This Row],[Step]] &gt; current_step, "",Iterations[[#This Row],[a]]))</f>
        <v/>
      </c>
      <c r="H1253" s="2" t="str">
        <f>IF(Iterations[[#This Row],[Step]] =current_step, current_b,IF(Iterations[[#This Row],[Step]] &gt; current_step, "",Iterations[[#This Row],[b]]))</f>
        <v/>
      </c>
      <c r="I1253" s="2" t="str">
        <f>IF(Iterations[[#This Row],[Step]] =current_step, current_c,IF(Iterations[[#This Row],[Step]] &gt; current_step, "",Iterations[[#This Row],[c]]))</f>
        <v/>
      </c>
      <c r="J1253" s="2" t="str">
        <f>IF(Iterations[[#This Row],[Step]] =current_step, current_d,IF(Iterations[[#This Row],[Step]] &gt; current_step, "",Iterations[[#This Row],[d]]))</f>
        <v/>
      </c>
      <c r="K1253" s="2" t="str">
        <f>IF(Iterations[[#This Row],[Step]] =current_step, current_e,IF(Iterations[[#This Row],[Step]] &gt; current_step, "",Iterations[[#This Row],[e]]))</f>
        <v/>
      </c>
      <c r="L1253" s="2" t="str">
        <f>IF(Iterations[[#This Row],[Step]] =current_step, current_Total_Loss,IF(Iterations[[#This Row],[Step]] &gt; current_step, "",Iterations[[#This Row],[Total Loss]]))</f>
        <v/>
      </c>
      <c r="M1253" s="6" t="s">
        <v>27</v>
      </c>
      <c r="N1253" s="2" t="str">
        <f>IF(Iterations[[#This Row],[Step]] =current_step, current_Grad_a,IF(Iterations[[#This Row],[Step]] &gt; current_step, "",Iterations[[#This Row],[Grad_a]]))</f>
        <v/>
      </c>
      <c r="O1253" s="2" t="str">
        <f>IF(Iterations[[#This Row],[Step]] =current_step, current_Grad_b,IF(Iterations[[#This Row],[Step]] &gt; current_step, "",Iterations[[#This Row],[Grad_b]]))</f>
        <v/>
      </c>
      <c r="P1253" s="2" t="str">
        <f>IF(Iterations[[#This Row],[Step]] =current_step, current_Grad_c,IF(Iterations[[#This Row],[Step]] &gt; current_step, "",Iterations[[#This Row],[Grad_c]]))</f>
        <v/>
      </c>
      <c r="Q1253" s="2" t="str">
        <f>IF(Iterations[[#This Row],[Step]] =current_step, current_Grad_d,IF(Iterations[[#This Row],[Step]] &gt; current_step, "",Iterations[[#This Row],[Grad_d]]))</f>
        <v/>
      </c>
      <c r="R1253" s="2" t="str">
        <f>IF(Iterations[[#This Row],[Step]] =current_step, current_Grad_e,IF(Iterations[[#This Row],[Step]] &gt; current_step, "",Iterations[[#This Row],[Grad_e]]))</f>
        <v/>
      </c>
    </row>
    <row r="1254" spans="6:18" x14ac:dyDescent="0.3">
      <c r="F1254" s="2">
        <f t="shared" si="24"/>
        <v>1237</v>
      </c>
      <c r="G1254" s="2" t="str">
        <f>IF(Iterations[[#This Row],[Step]] =current_step, current_a,IF(Iterations[[#This Row],[Step]] &gt; current_step, "",Iterations[[#This Row],[a]]))</f>
        <v/>
      </c>
      <c r="H1254" s="2" t="str">
        <f>IF(Iterations[[#This Row],[Step]] =current_step, current_b,IF(Iterations[[#This Row],[Step]] &gt; current_step, "",Iterations[[#This Row],[b]]))</f>
        <v/>
      </c>
      <c r="I1254" s="2" t="str">
        <f>IF(Iterations[[#This Row],[Step]] =current_step, current_c,IF(Iterations[[#This Row],[Step]] &gt; current_step, "",Iterations[[#This Row],[c]]))</f>
        <v/>
      </c>
      <c r="J1254" s="2" t="str">
        <f>IF(Iterations[[#This Row],[Step]] =current_step, current_d,IF(Iterations[[#This Row],[Step]] &gt; current_step, "",Iterations[[#This Row],[d]]))</f>
        <v/>
      </c>
      <c r="K1254" s="2" t="str">
        <f>IF(Iterations[[#This Row],[Step]] =current_step, current_e,IF(Iterations[[#This Row],[Step]] &gt; current_step, "",Iterations[[#This Row],[e]]))</f>
        <v/>
      </c>
      <c r="L1254" s="2" t="str">
        <f>IF(Iterations[[#This Row],[Step]] =current_step, current_Total_Loss,IF(Iterations[[#This Row],[Step]] &gt; current_step, "",Iterations[[#This Row],[Total Loss]]))</f>
        <v/>
      </c>
      <c r="M1254" s="6" t="s">
        <v>27</v>
      </c>
      <c r="N1254" s="2" t="str">
        <f>IF(Iterations[[#This Row],[Step]] =current_step, current_Grad_a,IF(Iterations[[#This Row],[Step]] &gt; current_step, "",Iterations[[#This Row],[Grad_a]]))</f>
        <v/>
      </c>
      <c r="O1254" s="2" t="str">
        <f>IF(Iterations[[#This Row],[Step]] =current_step, current_Grad_b,IF(Iterations[[#This Row],[Step]] &gt; current_step, "",Iterations[[#This Row],[Grad_b]]))</f>
        <v/>
      </c>
      <c r="P1254" s="2" t="str">
        <f>IF(Iterations[[#This Row],[Step]] =current_step, current_Grad_c,IF(Iterations[[#This Row],[Step]] &gt; current_step, "",Iterations[[#This Row],[Grad_c]]))</f>
        <v/>
      </c>
      <c r="Q1254" s="2" t="str">
        <f>IF(Iterations[[#This Row],[Step]] =current_step, current_Grad_d,IF(Iterations[[#This Row],[Step]] &gt; current_step, "",Iterations[[#This Row],[Grad_d]]))</f>
        <v/>
      </c>
      <c r="R1254" s="2" t="str">
        <f>IF(Iterations[[#This Row],[Step]] =current_step, current_Grad_e,IF(Iterations[[#This Row],[Step]] &gt; current_step, "",Iterations[[#This Row],[Grad_e]]))</f>
        <v/>
      </c>
    </row>
    <row r="1255" spans="6:18" x14ac:dyDescent="0.3">
      <c r="F1255" s="2">
        <f t="shared" si="24"/>
        <v>1238</v>
      </c>
      <c r="G1255" s="2" t="str">
        <f>IF(Iterations[[#This Row],[Step]] =current_step, current_a,IF(Iterations[[#This Row],[Step]] &gt; current_step, "",Iterations[[#This Row],[a]]))</f>
        <v/>
      </c>
      <c r="H1255" s="2" t="str">
        <f>IF(Iterations[[#This Row],[Step]] =current_step, current_b,IF(Iterations[[#This Row],[Step]] &gt; current_step, "",Iterations[[#This Row],[b]]))</f>
        <v/>
      </c>
      <c r="I1255" s="2" t="str">
        <f>IF(Iterations[[#This Row],[Step]] =current_step, current_c,IF(Iterations[[#This Row],[Step]] &gt; current_step, "",Iterations[[#This Row],[c]]))</f>
        <v/>
      </c>
      <c r="J1255" s="2" t="str">
        <f>IF(Iterations[[#This Row],[Step]] =current_step, current_d,IF(Iterations[[#This Row],[Step]] &gt; current_step, "",Iterations[[#This Row],[d]]))</f>
        <v/>
      </c>
      <c r="K1255" s="2" t="str">
        <f>IF(Iterations[[#This Row],[Step]] =current_step, current_e,IF(Iterations[[#This Row],[Step]] &gt; current_step, "",Iterations[[#This Row],[e]]))</f>
        <v/>
      </c>
      <c r="L1255" s="2" t="str">
        <f>IF(Iterations[[#This Row],[Step]] =current_step, current_Total_Loss,IF(Iterations[[#This Row],[Step]] &gt; current_step, "",Iterations[[#This Row],[Total Loss]]))</f>
        <v/>
      </c>
      <c r="M1255" s="6" t="s">
        <v>27</v>
      </c>
      <c r="N1255" s="2" t="str">
        <f>IF(Iterations[[#This Row],[Step]] =current_step, current_Grad_a,IF(Iterations[[#This Row],[Step]] &gt; current_step, "",Iterations[[#This Row],[Grad_a]]))</f>
        <v/>
      </c>
      <c r="O1255" s="2" t="str">
        <f>IF(Iterations[[#This Row],[Step]] =current_step, current_Grad_b,IF(Iterations[[#This Row],[Step]] &gt; current_step, "",Iterations[[#This Row],[Grad_b]]))</f>
        <v/>
      </c>
      <c r="P1255" s="2" t="str">
        <f>IF(Iterations[[#This Row],[Step]] =current_step, current_Grad_c,IF(Iterations[[#This Row],[Step]] &gt; current_step, "",Iterations[[#This Row],[Grad_c]]))</f>
        <v/>
      </c>
      <c r="Q1255" s="2" t="str">
        <f>IF(Iterations[[#This Row],[Step]] =current_step, current_Grad_d,IF(Iterations[[#This Row],[Step]] &gt; current_step, "",Iterations[[#This Row],[Grad_d]]))</f>
        <v/>
      </c>
      <c r="R1255" s="2" t="str">
        <f>IF(Iterations[[#This Row],[Step]] =current_step, current_Grad_e,IF(Iterations[[#This Row],[Step]] &gt; current_step, "",Iterations[[#This Row],[Grad_e]]))</f>
        <v/>
      </c>
    </row>
    <row r="1256" spans="6:18" x14ac:dyDescent="0.3">
      <c r="F1256" s="2">
        <f t="shared" si="24"/>
        <v>1239</v>
      </c>
      <c r="G1256" s="2" t="str">
        <f>IF(Iterations[[#This Row],[Step]] =current_step, current_a,IF(Iterations[[#This Row],[Step]] &gt; current_step, "",Iterations[[#This Row],[a]]))</f>
        <v/>
      </c>
      <c r="H1256" s="2" t="str">
        <f>IF(Iterations[[#This Row],[Step]] =current_step, current_b,IF(Iterations[[#This Row],[Step]] &gt; current_step, "",Iterations[[#This Row],[b]]))</f>
        <v/>
      </c>
      <c r="I1256" s="2" t="str">
        <f>IF(Iterations[[#This Row],[Step]] =current_step, current_c,IF(Iterations[[#This Row],[Step]] &gt; current_step, "",Iterations[[#This Row],[c]]))</f>
        <v/>
      </c>
      <c r="J1256" s="2" t="str">
        <f>IF(Iterations[[#This Row],[Step]] =current_step, current_d,IF(Iterations[[#This Row],[Step]] &gt; current_step, "",Iterations[[#This Row],[d]]))</f>
        <v/>
      </c>
      <c r="K1256" s="2" t="str">
        <f>IF(Iterations[[#This Row],[Step]] =current_step, current_e,IF(Iterations[[#This Row],[Step]] &gt; current_step, "",Iterations[[#This Row],[e]]))</f>
        <v/>
      </c>
      <c r="L1256" s="2" t="str">
        <f>IF(Iterations[[#This Row],[Step]] =current_step, current_Total_Loss,IF(Iterations[[#This Row],[Step]] &gt; current_step, "",Iterations[[#This Row],[Total Loss]]))</f>
        <v/>
      </c>
      <c r="M1256" s="6" t="s">
        <v>27</v>
      </c>
      <c r="N1256" s="2" t="str">
        <f>IF(Iterations[[#This Row],[Step]] =current_step, current_Grad_a,IF(Iterations[[#This Row],[Step]] &gt; current_step, "",Iterations[[#This Row],[Grad_a]]))</f>
        <v/>
      </c>
      <c r="O1256" s="2" t="str">
        <f>IF(Iterations[[#This Row],[Step]] =current_step, current_Grad_b,IF(Iterations[[#This Row],[Step]] &gt; current_step, "",Iterations[[#This Row],[Grad_b]]))</f>
        <v/>
      </c>
      <c r="P1256" s="2" t="str">
        <f>IF(Iterations[[#This Row],[Step]] =current_step, current_Grad_c,IF(Iterations[[#This Row],[Step]] &gt; current_step, "",Iterations[[#This Row],[Grad_c]]))</f>
        <v/>
      </c>
      <c r="Q1256" s="2" t="str">
        <f>IF(Iterations[[#This Row],[Step]] =current_step, current_Grad_d,IF(Iterations[[#This Row],[Step]] &gt; current_step, "",Iterations[[#This Row],[Grad_d]]))</f>
        <v/>
      </c>
      <c r="R1256" s="2" t="str">
        <f>IF(Iterations[[#This Row],[Step]] =current_step, current_Grad_e,IF(Iterations[[#This Row],[Step]] &gt; current_step, "",Iterations[[#This Row],[Grad_e]]))</f>
        <v/>
      </c>
    </row>
    <row r="1257" spans="6:18" x14ac:dyDescent="0.3">
      <c r="F1257" s="2">
        <f t="shared" si="24"/>
        <v>1240</v>
      </c>
      <c r="G1257" s="2" t="str">
        <f>IF(Iterations[[#This Row],[Step]] =current_step, current_a,IF(Iterations[[#This Row],[Step]] &gt; current_step, "",Iterations[[#This Row],[a]]))</f>
        <v/>
      </c>
      <c r="H1257" s="2" t="str">
        <f>IF(Iterations[[#This Row],[Step]] =current_step, current_b,IF(Iterations[[#This Row],[Step]] &gt; current_step, "",Iterations[[#This Row],[b]]))</f>
        <v/>
      </c>
      <c r="I1257" s="2" t="str">
        <f>IF(Iterations[[#This Row],[Step]] =current_step, current_c,IF(Iterations[[#This Row],[Step]] &gt; current_step, "",Iterations[[#This Row],[c]]))</f>
        <v/>
      </c>
      <c r="J1257" s="2" t="str">
        <f>IF(Iterations[[#This Row],[Step]] =current_step, current_d,IF(Iterations[[#This Row],[Step]] &gt; current_step, "",Iterations[[#This Row],[d]]))</f>
        <v/>
      </c>
      <c r="K1257" s="2" t="str">
        <f>IF(Iterations[[#This Row],[Step]] =current_step, current_e,IF(Iterations[[#This Row],[Step]] &gt; current_step, "",Iterations[[#This Row],[e]]))</f>
        <v/>
      </c>
      <c r="L1257" s="2" t="str">
        <f>IF(Iterations[[#This Row],[Step]] =current_step, current_Total_Loss,IF(Iterations[[#This Row],[Step]] &gt; current_step, "",Iterations[[#This Row],[Total Loss]]))</f>
        <v/>
      </c>
      <c r="M1257" s="6" t="s">
        <v>27</v>
      </c>
      <c r="N1257" s="2" t="str">
        <f>IF(Iterations[[#This Row],[Step]] =current_step, current_Grad_a,IF(Iterations[[#This Row],[Step]] &gt; current_step, "",Iterations[[#This Row],[Grad_a]]))</f>
        <v/>
      </c>
      <c r="O1257" s="2" t="str">
        <f>IF(Iterations[[#This Row],[Step]] =current_step, current_Grad_b,IF(Iterations[[#This Row],[Step]] &gt; current_step, "",Iterations[[#This Row],[Grad_b]]))</f>
        <v/>
      </c>
      <c r="P1257" s="2" t="str">
        <f>IF(Iterations[[#This Row],[Step]] =current_step, current_Grad_c,IF(Iterations[[#This Row],[Step]] &gt; current_step, "",Iterations[[#This Row],[Grad_c]]))</f>
        <v/>
      </c>
      <c r="Q1257" s="2" t="str">
        <f>IF(Iterations[[#This Row],[Step]] =current_step, current_Grad_d,IF(Iterations[[#This Row],[Step]] &gt; current_step, "",Iterations[[#This Row],[Grad_d]]))</f>
        <v/>
      </c>
      <c r="R1257" s="2" t="str">
        <f>IF(Iterations[[#This Row],[Step]] =current_step, current_Grad_e,IF(Iterations[[#This Row],[Step]] &gt; current_step, "",Iterations[[#This Row],[Grad_e]]))</f>
        <v/>
      </c>
    </row>
    <row r="1258" spans="6:18" x14ac:dyDescent="0.3">
      <c r="F1258" s="2">
        <f t="shared" si="24"/>
        <v>1241</v>
      </c>
      <c r="G1258" s="2" t="str">
        <f>IF(Iterations[[#This Row],[Step]] =current_step, current_a,IF(Iterations[[#This Row],[Step]] &gt; current_step, "",Iterations[[#This Row],[a]]))</f>
        <v/>
      </c>
      <c r="H1258" s="2" t="str">
        <f>IF(Iterations[[#This Row],[Step]] =current_step, current_b,IF(Iterations[[#This Row],[Step]] &gt; current_step, "",Iterations[[#This Row],[b]]))</f>
        <v/>
      </c>
      <c r="I1258" s="2" t="str">
        <f>IF(Iterations[[#This Row],[Step]] =current_step, current_c,IF(Iterations[[#This Row],[Step]] &gt; current_step, "",Iterations[[#This Row],[c]]))</f>
        <v/>
      </c>
      <c r="J1258" s="2" t="str">
        <f>IF(Iterations[[#This Row],[Step]] =current_step, current_d,IF(Iterations[[#This Row],[Step]] &gt; current_step, "",Iterations[[#This Row],[d]]))</f>
        <v/>
      </c>
      <c r="K1258" s="2" t="str">
        <f>IF(Iterations[[#This Row],[Step]] =current_step, current_e,IF(Iterations[[#This Row],[Step]] &gt; current_step, "",Iterations[[#This Row],[e]]))</f>
        <v/>
      </c>
      <c r="L1258" s="2" t="str">
        <f>IF(Iterations[[#This Row],[Step]] =current_step, current_Total_Loss,IF(Iterations[[#This Row],[Step]] &gt; current_step, "",Iterations[[#This Row],[Total Loss]]))</f>
        <v/>
      </c>
      <c r="M1258" s="6" t="s">
        <v>27</v>
      </c>
      <c r="N1258" s="2" t="str">
        <f>IF(Iterations[[#This Row],[Step]] =current_step, current_Grad_a,IF(Iterations[[#This Row],[Step]] &gt; current_step, "",Iterations[[#This Row],[Grad_a]]))</f>
        <v/>
      </c>
      <c r="O1258" s="2" t="str">
        <f>IF(Iterations[[#This Row],[Step]] =current_step, current_Grad_b,IF(Iterations[[#This Row],[Step]] &gt; current_step, "",Iterations[[#This Row],[Grad_b]]))</f>
        <v/>
      </c>
      <c r="P1258" s="2" t="str">
        <f>IF(Iterations[[#This Row],[Step]] =current_step, current_Grad_c,IF(Iterations[[#This Row],[Step]] &gt; current_step, "",Iterations[[#This Row],[Grad_c]]))</f>
        <v/>
      </c>
      <c r="Q1258" s="2" t="str">
        <f>IF(Iterations[[#This Row],[Step]] =current_step, current_Grad_d,IF(Iterations[[#This Row],[Step]] &gt; current_step, "",Iterations[[#This Row],[Grad_d]]))</f>
        <v/>
      </c>
      <c r="R1258" s="2" t="str">
        <f>IF(Iterations[[#This Row],[Step]] =current_step, current_Grad_e,IF(Iterations[[#This Row],[Step]] &gt; current_step, "",Iterations[[#This Row],[Grad_e]]))</f>
        <v/>
      </c>
    </row>
    <row r="1259" spans="6:18" x14ac:dyDescent="0.3">
      <c r="F1259" s="2">
        <f t="shared" si="24"/>
        <v>1242</v>
      </c>
      <c r="G1259" s="2" t="str">
        <f>IF(Iterations[[#This Row],[Step]] =current_step, current_a,IF(Iterations[[#This Row],[Step]] &gt; current_step, "",Iterations[[#This Row],[a]]))</f>
        <v/>
      </c>
      <c r="H1259" s="2" t="str">
        <f>IF(Iterations[[#This Row],[Step]] =current_step, current_b,IF(Iterations[[#This Row],[Step]] &gt; current_step, "",Iterations[[#This Row],[b]]))</f>
        <v/>
      </c>
      <c r="I1259" s="2" t="str">
        <f>IF(Iterations[[#This Row],[Step]] =current_step, current_c,IF(Iterations[[#This Row],[Step]] &gt; current_step, "",Iterations[[#This Row],[c]]))</f>
        <v/>
      </c>
      <c r="J1259" s="2" t="str">
        <f>IF(Iterations[[#This Row],[Step]] =current_step, current_d,IF(Iterations[[#This Row],[Step]] &gt; current_step, "",Iterations[[#This Row],[d]]))</f>
        <v/>
      </c>
      <c r="K1259" s="2" t="str">
        <f>IF(Iterations[[#This Row],[Step]] =current_step, current_e,IF(Iterations[[#This Row],[Step]] &gt; current_step, "",Iterations[[#This Row],[e]]))</f>
        <v/>
      </c>
      <c r="L1259" s="2" t="str">
        <f>IF(Iterations[[#This Row],[Step]] =current_step, current_Total_Loss,IF(Iterations[[#This Row],[Step]] &gt; current_step, "",Iterations[[#This Row],[Total Loss]]))</f>
        <v/>
      </c>
      <c r="M1259" s="6" t="s">
        <v>27</v>
      </c>
      <c r="N1259" s="2" t="str">
        <f>IF(Iterations[[#This Row],[Step]] =current_step, current_Grad_a,IF(Iterations[[#This Row],[Step]] &gt; current_step, "",Iterations[[#This Row],[Grad_a]]))</f>
        <v/>
      </c>
      <c r="O1259" s="2" t="str">
        <f>IF(Iterations[[#This Row],[Step]] =current_step, current_Grad_b,IF(Iterations[[#This Row],[Step]] &gt; current_step, "",Iterations[[#This Row],[Grad_b]]))</f>
        <v/>
      </c>
      <c r="P1259" s="2" t="str">
        <f>IF(Iterations[[#This Row],[Step]] =current_step, current_Grad_c,IF(Iterations[[#This Row],[Step]] &gt; current_step, "",Iterations[[#This Row],[Grad_c]]))</f>
        <v/>
      </c>
      <c r="Q1259" s="2" t="str">
        <f>IF(Iterations[[#This Row],[Step]] =current_step, current_Grad_d,IF(Iterations[[#This Row],[Step]] &gt; current_step, "",Iterations[[#This Row],[Grad_d]]))</f>
        <v/>
      </c>
      <c r="R1259" s="2" t="str">
        <f>IF(Iterations[[#This Row],[Step]] =current_step, current_Grad_e,IF(Iterations[[#This Row],[Step]] &gt; current_step, "",Iterations[[#This Row],[Grad_e]]))</f>
        <v/>
      </c>
    </row>
    <row r="1260" spans="6:18" x14ac:dyDescent="0.3">
      <c r="F1260" s="2">
        <f t="shared" si="24"/>
        <v>1243</v>
      </c>
      <c r="G1260" s="2" t="str">
        <f>IF(Iterations[[#This Row],[Step]] =current_step, current_a,IF(Iterations[[#This Row],[Step]] &gt; current_step, "",Iterations[[#This Row],[a]]))</f>
        <v/>
      </c>
      <c r="H1260" s="2" t="str">
        <f>IF(Iterations[[#This Row],[Step]] =current_step, current_b,IF(Iterations[[#This Row],[Step]] &gt; current_step, "",Iterations[[#This Row],[b]]))</f>
        <v/>
      </c>
      <c r="I1260" s="2" t="str">
        <f>IF(Iterations[[#This Row],[Step]] =current_step, current_c,IF(Iterations[[#This Row],[Step]] &gt; current_step, "",Iterations[[#This Row],[c]]))</f>
        <v/>
      </c>
      <c r="J1260" s="2" t="str">
        <f>IF(Iterations[[#This Row],[Step]] =current_step, current_d,IF(Iterations[[#This Row],[Step]] &gt; current_step, "",Iterations[[#This Row],[d]]))</f>
        <v/>
      </c>
      <c r="K1260" s="2" t="str">
        <f>IF(Iterations[[#This Row],[Step]] =current_step, current_e,IF(Iterations[[#This Row],[Step]] &gt; current_step, "",Iterations[[#This Row],[e]]))</f>
        <v/>
      </c>
      <c r="L1260" s="2" t="str">
        <f>IF(Iterations[[#This Row],[Step]] =current_step, current_Total_Loss,IF(Iterations[[#This Row],[Step]] &gt; current_step, "",Iterations[[#This Row],[Total Loss]]))</f>
        <v/>
      </c>
      <c r="M1260" s="6" t="s">
        <v>27</v>
      </c>
      <c r="N1260" s="2" t="str">
        <f>IF(Iterations[[#This Row],[Step]] =current_step, current_Grad_a,IF(Iterations[[#This Row],[Step]] &gt; current_step, "",Iterations[[#This Row],[Grad_a]]))</f>
        <v/>
      </c>
      <c r="O1260" s="2" t="str">
        <f>IF(Iterations[[#This Row],[Step]] =current_step, current_Grad_b,IF(Iterations[[#This Row],[Step]] &gt; current_step, "",Iterations[[#This Row],[Grad_b]]))</f>
        <v/>
      </c>
      <c r="P1260" s="2" t="str">
        <f>IF(Iterations[[#This Row],[Step]] =current_step, current_Grad_c,IF(Iterations[[#This Row],[Step]] &gt; current_step, "",Iterations[[#This Row],[Grad_c]]))</f>
        <v/>
      </c>
      <c r="Q1260" s="2" t="str">
        <f>IF(Iterations[[#This Row],[Step]] =current_step, current_Grad_d,IF(Iterations[[#This Row],[Step]] &gt; current_step, "",Iterations[[#This Row],[Grad_d]]))</f>
        <v/>
      </c>
      <c r="R1260" s="2" t="str">
        <f>IF(Iterations[[#This Row],[Step]] =current_step, current_Grad_e,IF(Iterations[[#This Row],[Step]] &gt; current_step, "",Iterations[[#This Row],[Grad_e]]))</f>
        <v/>
      </c>
    </row>
    <row r="1261" spans="6:18" x14ac:dyDescent="0.3">
      <c r="F1261" s="2">
        <f t="shared" si="24"/>
        <v>1244</v>
      </c>
      <c r="G1261" s="2" t="str">
        <f>IF(Iterations[[#This Row],[Step]] =current_step, current_a,IF(Iterations[[#This Row],[Step]] &gt; current_step, "",Iterations[[#This Row],[a]]))</f>
        <v/>
      </c>
      <c r="H1261" s="2" t="str">
        <f>IF(Iterations[[#This Row],[Step]] =current_step, current_b,IF(Iterations[[#This Row],[Step]] &gt; current_step, "",Iterations[[#This Row],[b]]))</f>
        <v/>
      </c>
      <c r="I1261" s="2" t="str">
        <f>IF(Iterations[[#This Row],[Step]] =current_step, current_c,IF(Iterations[[#This Row],[Step]] &gt; current_step, "",Iterations[[#This Row],[c]]))</f>
        <v/>
      </c>
      <c r="J1261" s="2" t="str">
        <f>IF(Iterations[[#This Row],[Step]] =current_step, current_d,IF(Iterations[[#This Row],[Step]] &gt; current_step, "",Iterations[[#This Row],[d]]))</f>
        <v/>
      </c>
      <c r="K1261" s="2" t="str">
        <f>IF(Iterations[[#This Row],[Step]] =current_step, current_e,IF(Iterations[[#This Row],[Step]] &gt; current_step, "",Iterations[[#This Row],[e]]))</f>
        <v/>
      </c>
      <c r="L1261" s="2" t="str">
        <f>IF(Iterations[[#This Row],[Step]] =current_step, current_Total_Loss,IF(Iterations[[#This Row],[Step]] &gt; current_step, "",Iterations[[#This Row],[Total Loss]]))</f>
        <v/>
      </c>
      <c r="M1261" s="6" t="s">
        <v>27</v>
      </c>
      <c r="N1261" s="2" t="str">
        <f>IF(Iterations[[#This Row],[Step]] =current_step, current_Grad_a,IF(Iterations[[#This Row],[Step]] &gt; current_step, "",Iterations[[#This Row],[Grad_a]]))</f>
        <v/>
      </c>
      <c r="O1261" s="2" t="str">
        <f>IF(Iterations[[#This Row],[Step]] =current_step, current_Grad_b,IF(Iterations[[#This Row],[Step]] &gt; current_step, "",Iterations[[#This Row],[Grad_b]]))</f>
        <v/>
      </c>
      <c r="P1261" s="2" t="str">
        <f>IF(Iterations[[#This Row],[Step]] =current_step, current_Grad_c,IF(Iterations[[#This Row],[Step]] &gt; current_step, "",Iterations[[#This Row],[Grad_c]]))</f>
        <v/>
      </c>
      <c r="Q1261" s="2" t="str">
        <f>IF(Iterations[[#This Row],[Step]] =current_step, current_Grad_d,IF(Iterations[[#This Row],[Step]] &gt; current_step, "",Iterations[[#This Row],[Grad_d]]))</f>
        <v/>
      </c>
      <c r="R1261" s="2" t="str">
        <f>IF(Iterations[[#This Row],[Step]] =current_step, current_Grad_e,IF(Iterations[[#This Row],[Step]] &gt; current_step, "",Iterations[[#This Row],[Grad_e]]))</f>
        <v/>
      </c>
    </row>
    <row r="1262" spans="6:18" x14ac:dyDescent="0.3">
      <c r="F1262" s="2">
        <f t="shared" si="24"/>
        <v>1245</v>
      </c>
      <c r="G1262" s="2" t="str">
        <f>IF(Iterations[[#This Row],[Step]] =current_step, current_a,IF(Iterations[[#This Row],[Step]] &gt; current_step, "",Iterations[[#This Row],[a]]))</f>
        <v/>
      </c>
      <c r="H1262" s="2" t="str">
        <f>IF(Iterations[[#This Row],[Step]] =current_step, current_b,IF(Iterations[[#This Row],[Step]] &gt; current_step, "",Iterations[[#This Row],[b]]))</f>
        <v/>
      </c>
      <c r="I1262" s="2" t="str">
        <f>IF(Iterations[[#This Row],[Step]] =current_step, current_c,IF(Iterations[[#This Row],[Step]] &gt; current_step, "",Iterations[[#This Row],[c]]))</f>
        <v/>
      </c>
      <c r="J1262" s="2" t="str">
        <f>IF(Iterations[[#This Row],[Step]] =current_step, current_d,IF(Iterations[[#This Row],[Step]] &gt; current_step, "",Iterations[[#This Row],[d]]))</f>
        <v/>
      </c>
      <c r="K1262" s="2" t="str">
        <f>IF(Iterations[[#This Row],[Step]] =current_step, current_e,IF(Iterations[[#This Row],[Step]] &gt; current_step, "",Iterations[[#This Row],[e]]))</f>
        <v/>
      </c>
      <c r="L1262" s="2" t="str">
        <f>IF(Iterations[[#This Row],[Step]] =current_step, current_Total_Loss,IF(Iterations[[#This Row],[Step]] &gt; current_step, "",Iterations[[#This Row],[Total Loss]]))</f>
        <v/>
      </c>
      <c r="M1262" s="6" t="s">
        <v>27</v>
      </c>
      <c r="N1262" s="2" t="str">
        <f>IF(Iterations[[#This Row],[Step]] =current_step, current_Grad_a,IF(Iterations[[#This Row],[Step]] &gt; current_step, "",Iterations[[#This Row],[Grad_a]]))</f>
        <v/>
      </c>
      <c r="O1262" s="2" t="str">
        <f>IF(Iterations[[#This Row],[Step]] =current_step, current_Grad_b,IF(Iterations[[#This Row],[Step]] &gt; current_step, "",Iterations[[#This Row],[Grad_b]]))</f>
        <v/>
      </c>
      <c r="P1262" s="2" t="str">
        <f>IF(Iterations[[#This Row],[Step]] =current_step, current_Grad_c,IF(Iterations[[#This Row],[Step]] &gt; current_step, "",Iterations[[#This Row],[Grad_c]]))</f>
        <v/>
      </c>
      <c r="Q1262" s="2" t="str">
        <f>IF(Iterations[[#This Row],[Step]] =current_step, current_Grad_d,IF(Iterations[[#This Row],[Step]] &gt; current_step, "",Iterations[[#This Row],[Grad_d]]))</f>
        <v/>
      </c>
      <c r="R1262" s="2" t="str">
        <f>IF(Iterations[[#This Row],[Step]] =current_step, current_Grad_e,IF(Iterations[[#This Row],[Step]] &gt; current_step, "",Iterations[[#This Row],[Grad_e]]))</f>
        <v/>
      </c>
    </row>
    <row r="1263" spans="6:18" x14ac:dyDescent="0.3">
      <c r="F1263" s="2">
        <f t="shared" si="24"/>
        <v>1246</v>
      </c>
      <c r="G1263" s="2" t="str">
        <f>IF(Iterations[[#This Row],[Step]] =current_step, current_a,IF(Iterations[[#This Row],[Step]] &gt; current_step, "",Iterations[[#This Row],[a]]))</f>
        <v/>
      </c>
      <c r="H1263" s="2" t="str">
        <f>IF(Iterations[[#This Row],[Step]] =current_step, current_b,IF(Iterations[[#This Row],[Step]] &gt; current_step, "",Iterations[[#This Row],[b]]))</f>
        <v/>
      </c>
      <c r="I1263" s="2" t="str">
        <f>IF(Iterations[[#This Row],[Step]] =current_step, current_c,IF(Iterations[[#This Row],[Step]] &gt; current_step, "",Iterations[[#This Row],[c]]))</f>
        <v/>
      </c>
      <c r="J1263" s="2" t="str">
        <f>IF(Iterations[[#This Row],[Step]] =current_step, current_d,IF(Iterations[[#This Row],[Step]] &gt; current_step, "",Iterations[[#This Row],[d]]))</f>
        <v/>
      </c>
      <c r="K1263" s="2" t="str">
        <f>IF(Iterations[[#This Row],[Step]] =current_step, current_e,IF(Iterations[[#This Row],[Step]] &gt; current_step, "",Iterations[[#This Row],[e]]))</f>
        <v/>
      </c>
      <c r="L1263" s="2" t="str">
        <f>IF(Iterations[[#This Row],[Step]] =current_step, current_Total_Loss,IF(Iterations[[#This Row],[Step]] &gt; current_step, "",Iterations[[#This Row],[Total Loss]]))</f>
        <v/>
      </c>
      <c r="M1263" s="6" t="s">
        <v>27</v>
      </c>
      <c r="N1263" s="2" t="str">
        <f>IF(Iterations[[#This Row],[Step]] =current_step, current_Grad_a,IF(Iterations[[#This Row],[Step]] &gt; current_step, "",Iterations[[#This Row],[Grad_a]]))</f>
        <v/>
      </c>
      <c r="O1263" s="2" t="str">
        <f>IF(Iterations[[#This Row],[Step]] =current_step, current_Grad_b,IF(Iterations[[#This Row],[Step]] &gt; current_step, "",Iterations[[#This Row],[Grad_b]]))</f>
        <v/>
      </c>
      <c r="P1263" s="2" t="str">
        <f>IF(Iterations[[#This Row],[Step]] =current_step, current_Grad_c,IF(Iterations[[#This Row],[Step]] &gt; current_step, "",Iterations[[#This Row],[Grad_c]]))</f>
        <v/>
      </c>
      <c r="Q1263" s="2" t="str">
        <f>IF(Iterations[[#This Row],[Step]] =current_step, current_Grad_d,IF(Iterations[[#This Row],[Step]] &gt; current_step, "",Iterations[[#This Row],[Grad_d]]))</f>
        <v/>
      </c>
      <c r="R1263" s="2" t="str">
        <f>IF(Iterations[[#This Row],[Step]] =current_step, current_Grad_e,IF(Iterations[[#This Row],[Step]] &gt; current_step, "",Iterations[[#This Row],[Grad_e]]))</f>
        <v/>
      </c>
    </row>
    <row r="1264" spans="6:18" x14ac:dyDescent="0.3">
      <c r="F1264" s="2">
        <f t="shared" si="24"/>
        <v>1247</v>
      </c>
      <c r="G1264" s="2" t="str">
        <f>IF(Iterations[[#This Row],[Step]] =current_step, current_a,IF(Iterations[[#This Row],[Step]] &gt; current_step, "",Iterations[[#This Row],[a]]))</f>
        <v/>
      </c>
      <c r="H1264" s="2" t="str">
        <f>IF(Iterations[[#This Row],[Step]] =current_step, current_b,IF(Iterations[[#This Row],[Step]] &gt; current_step, "",Iterations[[#This Row],[b]]))</f>
        <v/>
      </c>
      <c r="I1264" s="2" t="str">
        <f>IF(Iterations[[#This Row],[Step]] =current_step, current_c,IF(Iterations[[#This Row],[Step]] &gt; current_step, "",Iterations[[#This Row],[c]]))</f>
        <v/>
      </c>
      <c r="J1264" s="2" t="str">
        <f>IF(Iterations[[#This Row],[Step]] =current_step, current_d,IF(Iterations[[#This Row],[Step]] &gt; current_step, "",Iterations[[#This Row],[d]]))</f>
        <v/>
      </c>
      <c r="K1264" s="2" t="str">
        <f>IF(Iterations[[#This Row],[Step]] =current_step, current_e,IF(Iterations[[#This Row],[Step]] &gt; current_step, "",Iterations[[#This Row],[e]]))</f>
        <v/>
      </c>
      <c r="L1264" s="2" t="str">
        <f>IF(Iterations[[#This Row],[Step]] =current_step, current_Total_Loss,IF(Iterations[[#This Row],[Step]] &gt; current_step, "",Iterations[[#This Row],[Total Loss]]))</f>
        <v/>
      </c>
      <c r="M1264" s="6" t="s">
        <v>27</v>
      </c>
      <c r="N1264" s="2" t="str">
        <f>IF(Iterations[[#This Row],[Step]] =current_step, current_Grad_a,IF(Iterations[[#This Row],[Step]] &gt; current_step, "",Iterations[[#This Row],[Grad_a]]))</f>
        <v/>
      </c>
      <c r="O1264" s="2" t="str">
        <f>IF(Iterations[[#This Row],[Step]] =current_step, current_Grad_b,IF(Iterations[[#This Row],[Step]] &gt; current_step, "",Iterations[[#This Row],[Grad_b]]))</f>
        <v/>
      </c>
      <c r="P1264" s="2" t="str">
        <f>IF(Iterations[[#This Row],[Step]] =current_step, current_Grad_c,IF(Iterations[[#This Row],[Step]] &gt; current_step, "",Iterations[[#This Row],[Grad_c]]))</f>
        <v/>
      </c>
      <c r="Q1264" s="2" t="str">
        <f>IF(Iterations[[#This Row],[Step]] =current_step, current_Grad_d,IF(Iterations[[#This Row],[Step]] &gt; current_step, "",Iterations[[#This Row],[Grad_d]]))</f>
        <v/>
      </c>
      <c r="R1264" s="2" t="str">
        <f>IF(Iterations[[#This Row],[Step]] =current_step, current_Grad_e,IF(Iterations[[#This Row],[Step]] &gt; current_step, "",Iterations[[#This Row],[Grad_e]]))</f>
        <v/>
      </c>
    </row>
    <row r="1265" spans="6:18" x14ac:dyDescent="0.3">
      <c r="F1265" s="2">
        <f t="shared" si="24"/>
        <v>1248</v>
      </c>
      <c r="G1265" s="2" t="str">
        <f>IF(Iterations[[#This Row],[Step]] =current_step, current_a,IF(Iterations[[#This Row],[Step]] &gt; current_step, "",Iterations[[#This Row],[a]]))</f>
        <v/>
      </c>
      <c r="H1265" s="2" t="str">
        <f>IF(Iterations[[#This Row],[Step]] =current_step, current_b,IF(Iterations[[#This Row],[Step]] &gt; current_step, "",Iterations[[#This Row],[b]]))</f>
        <v/>
      </c>
      <c r="I1265" s="2" t="str">
        <f>IF(Iterations[[#This Row],[Step]] =current_step, current_c,IF(Iterations[[#This Row],[Step]] &gt; current_step, "",Iterations[[#This Row],[c]]))</f>
        <v/>
      </c>
      <c r="J1265" s="2" t="str">
        <f>IF(Iterations[[#This Row],[Step]] =current_step, current_d,IF(Iterations[[#This Row],[Step]] &gt; current_step, "",Iterations[[#This Row],[d]]))</f>
        <v/>
      </c>
      <c r="K1265" s="2" t="str">
        <f>IF(Iterations[[#This Row],[Step]] =current_step, current_e,IF(Iterations[[#This Row],[Step]] &gt; current_step, "",Iterations[[#This Row],[e]]))</f>
        <v/>
      </c>
      <c r="L1265" s="2" t="str">
        <f>IF(Iterations[[#This Row],[Step]] =current_step, current_Total_Loss,IF(Iterations[[#This Row],[Step]] &gt; current_step, "",Iterations[[#This Row],[Total Loss]]))</f>
        <v/>
      </c>
      <c r="M1265" s="6" t="s">
        <v>27</v>
      </c>
      <c r="N1265" s="2" t="str">
        <f>IF(Iterations[[#This Row],[Step]] =current_step, current_Grad_a,IF(Iterations[[#This Row],[Step]] &gt; current_step, "",Iterations[[#This Row],[Grad_a]]))</f>
        <v/>
      </c>
      <c r="O1265" s="2" t="str">
        <f>IF(Iterations[[#This Row],[Step]] =current_step, current_Grad_b,IF(Iterations[[#This Row],[Step]] &gt; current_step, "",Iterations[[#This Row],[Grad_b]]))</f>
        <v/>
      </c>
      <c r="P1265" s="2" t="str">
        <f>IF(Iterations[[#This Row],[Step]] =current_step, current_Grad_c,IF(Iterations[[#This Row],[Step]] &gt; current_step, "",Iterations[[#This Row],[Grad_c]]))</f>
        <v/>
      </c>
      <c r="Q1265" s="2" t="str">
        <f>IF(Iterations[[#This Row],[Step]] =current_step, current_Grad_d,IF(Iterations[[#This Row],[Step]] &gt; current_step, "",Iterations[[#This Row],[Grad_d]]))</f>
        <v/>
      </c>
      <c r="R1265" s="2" t="str">
        <f>IF(Iterations[[#This Row],[Step]] =current_step, current_Grad_e,IF(Iterations[[#This Row],[Step]] &gt; current_step, "",Iterations[[#This Row],[Grad_e]]))</f>
        <v/>
      </c>
    </row>
    <row r="1266" spans="6:18" x14ac:dyDescent="0.3">
      <c r="F1266" s="2">
        <f t="shared" si="24"/>
        <v>1249</v>
      </c>
      <c r="G1266" s="2" t="str">
        <f>IF(Iterations[[#This Row],[Step]] =current_step, current_a,IF(Iterations[[#This Row],[Step]] &gt; current_step, "",Iterations[[#This Row],[a]]))</f>
        <v/>
      </c>
      <c r="H1266" s="2" t="str">
        <f>IF(Iterations[[#This Row],[Step]] =current_step, current_b,IF(Iterations[[#This Row],[Step]] &gt; current_step, "",Iterations[[#This Row],[b]]))</f>
        <v/>
      </c>
      <c r="I1266" s="2" t="str">
        <f>IF(Iterations[[#This Row],[Step]] =current_step, current_c,IF(Iterations[[#This Row],[Step]] &gt; current_step, "",Iterations[[#This Row],[c]]))</f>
        <v/>
      </c>
      <c r="J1266" s="2" t="str">
        <f>IF(Iterations[[#This Row],[Step]] =current_step, current_d,IF(Iterations[[#This Row],[Step]] &gt; current_step, "",Iterations[[#This Row],[d]]))</f>
        <v/>
      </c>
      <c r="K1266" s="2" t="str">
        <f>IF(Iterations[[#This Row],[Step]] =current_step, current_e,IF(Iterations[[#This Row],[Step]] &gt; current_step, "",Iterations[[#This Row],[e]]))</f>
        <v/>
      </c>
      <c r="L1266" s="2" t="str">
        <f>IF(Iterations[[#This Row],[Step]] =current_step, current_Total_Loss,IF(Iterations[[#This Row],[Step]] &gt; current_step, "",Iterations[[#This Row],[Total Loss]]))</f>
        <v/>
      </c>
      <c r="M1266" s="6" t="s">
        <v>27</v>
      </c>
      <c r="N1266" s="2" t="str">
        <f>IF(Iterations[[#This Row],[Step]] =current_step, current_Grad_a,IF(Iterations[[#This Row],[Step]] &gt; current_step, "",Iterations[[#This Row],[Grad_a]]))</f>
        <v/>
      </c>
      <c r="O1266" s="2" t="str">
        <f>IF(Iterations[[#This Row],[Step]] =current_step, current_Grad_b,IF(Iterations[[#This Row],[Step]] &gt; current_step, "",Iterations[[#This Row],[Grad_b]]))</f>
        <v/>
      </c>
      <c r="P1266" s="2" t="str">
        <f>IF(Iterations[[#This Row],[Step]] =current_step, current_Grad_c,IF(Iterations[[#This Row],[Step]] &gt; current_step, "",Iterations[[#This Row],[Grad_c]]))</f>
        <v/>
      </c>
      <c r="Q1266" s="2" t="str">
        <f>IF(Iterations[[#This Row],[Step]] =current_step, current_Grad_d,IF(Iterations[[#This Row],[Step]] &gt; current_step, "",Iterations[[#This Row],[Grad_d]]))</f>
        <v/>
      </c>
      <c r="R1266" s="2" t="str">
        <f>IF(Iterations[[#This Row],[Step]] =current_step, current_Grad_e,IF(Iterations[[#This Row],[Step]] &gt; current_step, "",Iterations[[#This Row],[Grad_e]]))</f>
        <v/>
      </c>
    </row>
    <row r="1267" spans="6:18" x14ac:dyDescent="0.3">
      <c r="F1267" s="2">
        <f t="shared" si="24"/>
        <v>1250</v>
      </c>
      <c r="G1267" s="2" t="str">
        <f>IF(Iterations[[#This Row],[Step]] =current_step, current_a,IF(Iterations[[#This Row],[Step]] &gt; current_step, "",Iterations[[#This Row],[a]]))</f>
        <v/>
      </c>
      <c r="H1267" s="2" t="str">
        <f>IF(Iterations[[#This Row],[Step]] =current_step, current_b,IF(Iterations[[#This Row],[Step]] &gt; current_step, "",Iterations[[#This Row],[b]]))</f>
        <v/>
      </c>
      <c r="I1267" s="2" t="str">
        <f>IF(Iterations[[#This Row],[Step]] =current_step, current_c,IF(Iterations[[#This Row],[Step]] &gt; current_step, "",Iterations[[#This Row],[c]]))</f>
        <v/>
      </c>
      <c r="J1267" s="2" t="str">
        <f>IF(Iterations[[#This Row],[Step]] =current_step, current_d,IF(Iterations[[#This Row],[Step]] &gt; current_step, "",Iterations[[#This Row],[d]]))</f>
        <v/>
      </c>
      <c r="K1267" s="2" t="str">
        <f>IF(Iterations[[#This Row],[Step]] =current_step, current_e,IF(Iterations[[#This Row],[Step]] &gt; current_step, "",Iterations[[#This Row],[e]]))</f>
        <v/>
      </c>
      <c r="L1267" s="2" t="str">
        <f>IF(Iterations[[#This Row],[Step]] =current_step, current_Total_Loss,IF(Iterations[[#This Row],[Step]] &gt; current_step, "",Iterations[[#This Row],[Total Loss]]))</f>
        <v/>
      </c>
      <c r="M1267" s="6" t="s">
        <v>27</v>
      </c>
      <c r="N1267" s="2" t="str">
        <f>IF(Iterations[[#This Row],[Step]] =current_step, current_Grad_a,IF(Iterations[[#This Row],[Step]] &gt; current_step, "",Iterations[[#This Row],[Grad_a]]))</f>
        <v/>
      </c>
      <c r="O1267" s="2" t="str">
        <f>IF(Iterations[[#This Row],[Step]] =current_step, current_Grad_b,IF(Iterations[[#This Row],[Step]] &gt; current_step, "",Iterations[[#This Row],[Grad_b]]))</f>
        <v/>
      </c>
      <c r="P1267" s="2" t="str">
        <f>IF(Iterations[[#This Row],[Step]] =current_step, current_Grad_c,IF(Iterations[[#This Row],[Step]] &gt; current_step, "",Iterations[[#This Row],[Grad_c]]))</f>
        <v/>
      </c>
      <c r="Q1267" s="2" t="str">
        <f>IF(Iterations[[#This Row],[Step]] =current_step, current_Grad_d,IF(Iterations[[#This Row],[Step]] &gt; current_step, "",Iterations[[#This Row],[Grad_d]]))</f>
        <v/>
      </c>
      <c r="R1267" s="2" t="str">
        <f>IF(Iterations[[#This Row],[Step]] =current_step, current_Grad_e,IF(Iterations[[#This Row],[Step]] &gt; current_step, "",Iterations[[#This Row],[Grad_e]]))</f>
        <v/>
      </c>
    </row>
    <row r="1268" spans="6:18" x14ac:dyDescent="0.3">
      <c r="F1268" s="2">
        <f t="shared" si="24"/>
        <v>1251</v>
      </c>
      <c r="G1268" s="2" t="str">
        <f>IF(Iterations[[#This Row],[Step]] =current_step, current_a,IF(Iterations[[#This Row],[Step]] &gt; current_step, "",Iterations[[#This Row],[a]]))</f>
        <v/>
      </c>
      <c r="H1268" s="2" t="str">
        <f>IF(Iterations[[#This Row],[Step]] =current_step, current_b,IF(Iterations[[#This Row],[Step]] &gt; current_step, "",Iterations[[#This Row],[b]]))</f>
        <v/>
      </c>
      <c r="I1268" s="2" t="str">
        <f>IF(Iterations[[#This Row],[Step]] =current_step, current_c,IF(Iterations[[#This Row],[Step]] &gt; current_step, "",Iterations[[#This Row],[c]]))</f>
        <v/>
      </c>
      <c r="J1268" s="2" t="str">
        <f>IF(Iterations[[#This Row],[Step]] =current_step, current_d,IF(Iterations[[#This Row],[Step]] &gt; current_step, "",Iterations[[#This Row],[d]]))</f>
        <v/>
      </c>
      <c r="K1268" s="2" t="str">
        <f>IF(Iterations[[#This Row],[Step]] =current_step, current_e,IF(Iterations[[#This Row],[Step]] &gt; current_step, "",Iterations[[#This Row],[e]]))</f>
        <v/>
      </c>
      <c r="L1268" s="2" t="str">
        <f>IF(Iterations[[#This Row],[Step]] =current_step, current_Total_Loss,IF(Iterations[[#This Row],[Step]] &gt; current_step, "",Iterations[[#This Row],[Total Loss]]))</f>
        <v/>
      </c>
      <c r="M1268" s="6" t="s">
        <v>27</v>
      </c>
      <c r="N1268" s="2" t="str">
        <f>IF(Iterations[[#This Row],[Step]] =current_step, current_Grad_a,IF(Iterations[[#This Row],[Step]] &gt; current_step, "",Iterations[[#This Row],[Grad_a]]))</f>
        <v/>
      </c>
      <c r="O1268" s="2" t="str">
        <f>IF(Iterations[[#This Row],[Step]] =current_step, current_Grad_b,IF(Iterations[[#This Row],[Step]] &gt; current_step, "",Iterations[[#This Row],[Grad_b]]))</f>
        <v/>
      </c>
      <c r="P1268" s="2" t="str">
        <f>IF(Iterations[[#This Row],[Step]] =current_step, current_Grad_c,IF(Iterations[[#This Row],[Step]] &gt; current_step, "",Iterations[[#This Row],[Grad_c]]))</f>
        <v/>
      </c>
      <c r="Q1268" s="2" t="str">
        <f>IF(Iterations[[#This Row],[Step]] =current_step, current_Grad_d,IF(Iterations[[#This Row],[Step]] &gt; current_step, "",Iterations[[#This Row],[Grad_d]]))</f>
        <v/>
      </c>
      <c r="R1268" s="2" t="str">
        <f>IF(Iterations[[#This Row],[Step]] =current_step, current_Grad_e,IF(Iterations[[#This Row],[Step]] &gt; current_step, "",Iterations[[#This Row],[Grad_e]]))</f>
        <v/>
      </c>
    </row>
    <row r="1269" spans="6:18" x14ac:dyDescent="0.3">
      <c r="F1269" s="2">
        <f t="shared" si="24"/>
        <v>1252</v>
      </c>
      <c r="G1269" s="2" t="str">
        <f>IF(Iterations[[#This Row],[Step]] =current_step, current_a,IF(Iterations[[#This Row],[Step]] &gt; current_step, "",Iterations[[#This Row],[a]]))</f>
        <v/>
      </c>
      <c r="H1269" s="2" t="str">
        <f>IF(Iterations[[#This Row],[Step]] =current_step, current_b,IF(Iterations[[#This Row],[Step]] &gt; current_step, "",Iterations[[#This Row],[b]]))</f>
        <v/>
      </c>
      <c r="I1269" s="2" t="str">
        <f>IF(Iterations[[#This Row],[Step]] =current_step, current_c,IF(Iterations[[#This Row],[Step]] &gt; current_step, "",Iterations[[#This Row],[c]]))</f>
        <v/>
      </c>
      <c r="J1269" s="2" t="str">
        <f>IF(Iterations[[#This Row],[Step]] =current_step, current_d,IF(Iterations[[#This Row],[Step]] &gt; current_step, "",Iterations[[#This Row],[d]]))</f>
        <v/>
      </c>
      <c r="K1269" s="2" t="str">
        <f>IF(Iterations[[#This Row],[Step]] =current_step, current_e,IF(Iterations[[#This Row],[Step]] &gt; current_step, "",Iterations[[#This Row],[e]]))</f>
        <v/>
      </c>
      <c r="L1269" s="2" t="str">
        <f>IF(Iterations[[#This Row],[Step]] =current_step, current_Total_Loss,IF(Iterations[[#This Row],[Step]] &gt; current_step, "",Iterations[[#This Row],[Total Loss]]))</f>
        <v/>
      </c>
      <c r="M1269" s="6" t="s">
        <v>27</v>
      </c>
      <c r="N1269" s="2" t="str">
        <f>IF(Iterations[[#This Row],[Step]] =current_step, current_Grad_a,IF(Iterations[[#This Row],[Step]] &gt; current_step, "",Iterations[[#This Row],[Grad_a]]))</f>
        <v/>
      </c>
      <c r="O1269" s="2" t="str">
        <f>IF(Iterations[[#This Row],[Step]] =current_step, current_Grad_b,IF(Iterations[[#This Row],[Step]] &gt; current_step, "",Iterations[[#This Row],[Grad_b]]))</f>
        <v/>
      </c>
      <c r="P1269" s="2" t="str">
        <f>IF(Iterations[[#This Row],[Step]] =current_step, current_Grad_c,IF(Iterations[[#This Row],[Step]] &gt; current_step, "",Iterations[[#This Row],[Grad_c]]))</f>
        <v/>
      </c>
      <c r="Q1269" s="2" t="str">
        <f>IF(Iterations[[#This Row],[Step]] =current_step, current_Grad_d,IF(Iterations[[#This Row],[Step]] &gt; current_step, "",Iterations[[#This Row],[Grad_d]]))</f>
        <v/>
      </c>
      <c r="R1269" s="2" t="str">
        <f>IF(Iterations[[#This Row],[Step]] =current_step, current_Grad_e,IF(Iterations[[#This Row],[Step]] &gt; current_step, "",Iterations[[#This Row],[Grad_e]]))</f>
        <v/>
      </c>
    </row>
    <row r="1270" spans="6:18" x14ac:dyDescent="0.3">
      <c r="F1270" s="2">
        <f t="shared" si="24"/>
        <v>1253</v>
      </c>
      <c r="G1270" s="2" t="str">
        <f>IF(Iterations[[#This Row],[Step]] =current_step, current_a,IF(Iterations[[#This Row],[Step]] &gt; current_step, "",Iterations[[#This Row],[a]]))</f>
        <v/>
      </c>
      <c r="H1270" s="2" t="str">
        <f>IF(Iterations[[#This Row],[Step]] =current_step, current_b,IF(Iterations[[#This Row],[Step]] &gt; current_step, "",Iterations[[#This Row],[b]]))</f>
        <v/>
      </c>
      <c r="I1270" s="2" t="str">
        <f>IF(Iterations[[#This Row],[Step]] =current_step, current_c,IF(Iterations[[#This Row],[Step]] &gt; current_step, "",Iterations[[#This Row],[c]]))</f>
        <v/>
      </c>
      <c r="J1270" s="2" t="str">
        <f>IF(Iterations[[#This Row],[Step]] =current_step, current_d,IF(Iterations[[#This Row],[Step]] &gt; current_step, "",Iterations[[#This Row],[d]]))</f>
        <v/>
      </c>
      <c r="K1270" s="2" t="str">
        <f>IF(Iterations[[#This Row],[Step]] =current_step, current_e,IF(Iterations[[#This Row],[Step]] &gt; current_step, "",Iterations[[#This Row],[e]]))</f>
        <v/>
      </c>
      <c r="L1270" s="2" t="str">
        <f>IF(Iterations[[#This Row],[Step]] =current_step, current_Total_Loss,IF(Iterations[[#This Row],[Step]] &gt; current_step, "",Iterations[[#This Row],[Total Loss]]))</f>
        <v/>
      </c>
      <c r="M1270" s="6" t="s">
        <v>27</v>
      </c>
      <c r="N1270" s="2" t="str">
        <f>IF(Iterations[[#This Row],[Step]] =current_step, current_Grad_a,IF(Iterations[[#This Row],[Step]] &gt; current_step, "",Iterations[[#This Row],[Grad_a]]))</f>
        <v/>
      </c>
      <c r="O1270" s="2" t="str">
        <f>IF(Iterations[[#This Row],[Step]] =current_step, current_Grad_b,IF(Iterations[[#This Row],[Step]] &gt; current_step, "",Iterations[[#This Row],[Grad_b]]))</f>
        <v/>
      </c>
      <c r="P1270" s="2" t="str">
        <f>IF(Iterations[[#This Row],[Step]] =current_step, current_Grad_c,IF(Iterations[[#This Row],[Step]] &gt; current_step, "",Iterations[[#This Row],[Grad_c]]))</f>
        <v/>
      </c>
      <c r="Q1270" s="2" t="str">
        <f>IF(Iterations[[#This Row],[Step]] =current_step, current_Grad_d,IF(Iterations[[#This Row],[Step]] &gt; current_step, "",Iterations[[#This Row],[Grad_d]]))</f>
        <v/>
      </c>
      <c r="R1270" s="2" t="str">
        <f>IF(Iterations[[#This Row],[Step]] =current_step, current_Grad_e,IF(Iterations[[#This Row],[Step]] &gt; current_step, "",Iterations[[#This Row],[Grad_e]]))</f>
        <v/>
      </c>
    </row>
    <row r="1271" spans="6:18" x14ac:dyDescent="0.3">
      <c r="F1271" s="2">
        <f t="shared" si="24"/>
        <v>1254</v>
      </c>
      <c r="G1271" s="2" t="str">
        <f>IF(Iterations[[#This Row],[Step]] =current_step, current_a,IF(Iterations[[#This Row],[Step]] &gt; current_step, "",Iterations[[#This Row],[a]]))</f>
        <v/>
      </c>
      <c r="H1271" s="2" t="str">
        <f>IF(Iterations[[#This Row],[Step]] =current_step, current_b,IF(Iterations[[#This Row],[Step]] &gt; current_step, "",Iterations[[#This Row],[b]]))</f>
        <v/>
      </c>
      <c r="I1271" s="2" t="str">
        <f>IF(Iterations[[#This Row],[Step]] =current_step, current_c,IF(Iterations[[#This Row],[Step]] &gt; current_step, "",Iterations[[#This Row],[c]]))</f>
        <v/>
      </c>
      <c r="J1271" s="2" t="str">
        <f>IF(Iterations[[#This Row],[Step]] =current_step, current_d,IF(Iterations[[#This Row],[Step]] &gt; current_step, "",Iterations[[#This Row],[d]]))</f>
        <v/>
      </c>
      <c r="K1271" s="2" t="str">
        <f>IF(Iterations[[#This Row],[Step]] =current_step, current_e,IF(Iterations[[#This Row],[Step]] &gt; current_step, "",Iterations[[#This Row],[e]]))</f>
        <v/>
      </c>
      <c r="L1271" s="2" t="str">
        <f>IF(Iterations[[#This Row],[Step]] =current_step, current_Total_Loss,IF(Iterations[[#This Row],[Step]] &gt; current_step, "",Iterations[[#This Row],[Total Loss]]))</f>
        <v/>
      </c>
      <c r="M1271" s="6" t="s">
        <v>27</v>
      </c>
      <c r="N1271" s="2" t="str">
        <f>IF(Iterations[[#This Row],[Step]] =current_step, current_Grad_a,IF(Iterations[[#This Row],[Step]] &gt; current_step, "",Iterations[[#This Row],[Grad_a]]))</f>
        <v/>
      </c>
      <c r="O1271" s="2" t="str">
        <f>IF(Iterations[[#This Row],[Step]] =current_step, current_Grad_b,IF(Iterations[[#This Row],[Step]] &gt; current_step, "",Iterations[[#This Row],[Grad_b]]))</f>
        <v/>
      </c>
      <c r="P1271" s="2" t="str">
        <f>IF(Iterations[[#This Row],[Step]] =current_step, current_Grad_c,IF(Iterations[[#This Row],[Step]] &gt; current_step, "",Iterations[[#This Row],[Grad_c]]))</f>
        <v/>
      </c>
      <c r="Q1271" s="2" t="str">
        <f>IF(Iterations[[#This Row],[Step]] =current_step, current_Grad_d,IF(Iterations[[#This Row],[Step]] &gt; current_step, "",Iterations[[#This Row],[Grad_d]]))</f>
        <v/>
      </c>
      <c r="R1271" s="2" t="str">
        <f>IF(Iterations[[#This Row],[Step]] =current_step, current_Grad_e,IF(Iterations[[#This Row],[Step]] &gt; current_step, "",Iterations[[#This Row],[Grad_e]]))</f>
        <v/>
      </c>
    </row>
    <row r="1272" spans="6:18" x14ac:dyDescent="0.3">
      <c r="F1272" s="2">
        <f t="shared" ref="F1272:F1335" si="25">F1271+1</f>
        <v>1255</v>
      </c>
      <c r="G1272" s="2" t="str">
        <f>IF(Iterations[[#This Row],[Step]] =current_step, current_a,IF(Iterations[[#This Row],[Step]] &gt; current_step, "",Iterations[[#This Row],[a]]))</f>
        <v/>
      </c>
      <c r="H1272" s="2" t="str">
        <f>IF(Iterations[[#This Row],[Step]] =current_step, current_b,IF(Iterations[[#This Row],[Step]] &gt; current_step, "",Iterations[[#This Row],[b]]))</f>
        <v/>
      </c>
      <c r="I1272" s="2" t="str">
        <f>IF(Iterations[[#This Row],[Step]] =current_step, current_c,IF(Iterations[[#This Row],[Step]] &gt; current_step, "",Iterations[[#This Row],[c]]))</f>
        <v/>
      </c>
      <c r="J1272" s="2" t="str">
        <f>IF(Iterations[[#This Row],[Step]] =current_step, current_d,IF(Iterations[[#This Row],[Step]] &gt; current_step, "",Iterations[[#This Row],[d]]))</f>
        <v/>
      </c>
      <c r="K1272" s="2" t="str">
        <f>IF(Iterations[[#This Row],[Step]] =current_step, current_e,IF(Iterations[[#This Row],[Step]] &gt; current_step, "",Iterations[[#This Row],[e]]))</f>
        <v/>
      </c>
      <c r="L1272" s="2" t="str">
        <f>IF(Iterations[[#This Row],[Step]] =current_step, current_Total_Loss,IF(Iterations[[#This Row],[Step]] &gt; current_step, "",Iterations[[#This Row],[Total Loss]]))</f>
        <v/>
      </c>
      <c r="M1272" s="6" t="s">
        <v>27</v>
      </c>
      <c r="N1272" s="2" t="str">
        <f>IF(Iterations[[#This Row],[Step]] =current_step, current_Grad_a,IF(Iterations[[#This Row],[Step]] &gt; current_step, "",Iterations[[#This Row],[Grad_a]]))</f>
        <v/>
      </c>
      <c r="O1272" s="2" t="str">
        <f>IF(Iterations[[#This Row],[Step]] =current_step, current_Grad_b,IF(Iterations[[#This Row],[Step]] &gt; current_step, "",Iterations[[#This Row],[Grad_b]]))</f>
        <v/>
      </c>
      <c r="P1272" s="2" t="str">
        <f>IF(Iterations[[#This Row],[Step]] =current_step, current_Grad_c,IF(Iterations[[#This Row],[Step]] &gt; current_step, "",Iterations[[#This Row],[Grad_c]]))</f>
        <v/>
      </c>
      <c r="Q1272" s="2" t="str">
        <f>IF(Iterations[[#This Row],[Step]] =current_step, current_Grad_d,IF(Iterations[[#This Row],[Step]] &gt; current_step, "",Iterations[[#This Row],[Grad_d]]))</f>
        <v/>
      </c>
      <c r="R1272" s="2" t="str">
        <f>IF(Iterations[[#This Row],[Step]] =current_step, current_Grad_e,IF(Iterations[[#This Row],[Step]] &gt; current_step, "",Iterations[[#This Row],[Grad_e]]))</f>
        <v/>
      </c>
    </row>
    <row r="1273" spans="6:18" x14ac:dyDescent="0.3">
      <c r="F1273" s="2">
        <f t="shared" si="25"/>
        <v>1256</v>
      </c>
      <c r="G1273" s="2" t="str">
        <f>IF(Iterations[[#This Row],[Step]] =current_step, current_a,IF(Iterations[[#This Row],[Step]] &gt; current_step, "",Iterations[[#This Row],[a]]))</f>
        <v/>
      </c>
      <c r="H1273" s="2" t="str">
        <f>IF(Iterations[[#This Row],[Step]] =current_step, current_b,IF(Iterations[[#This Row],[Step]] &gt; current_step, "",Iterations[[#This Row],[b]]))</f>
        <v/>
      </c>
      <c r="I1273" s="2" t="str">
        <f>IF(Iterations[[#This Row],[Step]] =current_step, current_c,IF(Iterations[[#This Row],[Step]] &gt; current_step, "",Iterations[[#This Row],[c]]))</f>
        <v/>
      </c>
      <c r="J1273" s="2" t="str">
        <f>IF(Iterations[[#This Row],[Step]] =current_step, current_d,IF(Iterations[[#This Row],[Step]] &gt; current_step, "",Iterations[[#This Row],[d]]))</f>
        <v/>
      </c>
      <c r="K1273" s="2" t="str">
        <f>IF(Iterations[[#This Row],[Step]] =current_step, current_e,IF(Iterations[[#This Row],[Step]] &gt; current_step, "",Iterations[[#This Row],[e]]))</f>
        <v/>
      </c>
      <c r="L1273" s="2" t="str">
        <f>IF(Iterations[[#This Row],[Step]] =current_step, current_Total_Loss,IF(Iterations[[#This Row],[Step]] &gt; current_step, "",Iterations[[#This Row],[Total Loss]]))</f>
        <v/>
      </c>
      <c r="M1273" s="6" t="s">
        <v>27</v>
      </c>
      <c r="N1273" s="2" t="str">
        <f>IF(Iterations[[#This Row],[Step]] =current_step, current_Grad_a,IF(Iterations[[#This Row],[Step]] &gt; current_step, "",Iterations[[#This Row],[Grad_a]]))</f>
        <v/>
      </c>
      <c r="O1273" s="2" t="str">
        <f>IF(Iterations[[#This Row],[Step]] =current_step, current_Grad_b,IF(Iterations[[#This Row],[Step]] &gt; current_step, "",Iterations[[#This Row],[Grad_b]]))</f>
        <v/>
      </c>
      <c r="P1273" s="2" t="str">
        <f>IF(Iterations[[#This Row],[Step]] =current_step, current_Grad_c,IF(Iterations[[#This Row],[Step]] &gt; current_step, "",Iterations[[#This Row],[Grad_c]]))</f>
        <v/>
      </c>
      <c r="Q1273" s="2" t="str">
        <f>IF(Iterations[[#This Row],[Step]] =current_step, current_Grad_d,IF(Iterations[[#This Row],[Step]] &gt; current_step, "",Iterations[[#This Row],[Grad_d]]))</f>
        <v/>
      </c>
      <c r="R1273" s="2" t="str">
        <f>IF(Iterations[[#This Row],[Step]] =current_step, current_Grad_e,IF(Iterations[[#This Row],[Step]] &gt; current_step, "",Iterations[[#This Row],[Grad_e]]))</f>
        <v/>
      </c>
    </row>
    <row r="1274" spans="6:18" x14ac:dyDescent="0.3">
      <c r="F1274" s="2">
        <f t="shared" si="25"/>
        <v>1257</v>
      </c>
      <c r="G1274" s="2" t="str">
        <f>IF(Iterations[[#This Row],[Step]] =current_step, current_a,IF(Iterations[[#This Row],[Step]] &gt; current_step, "",Iterations[[#This Row],[a]]))</f>
        <v/>
      </c>
      <c r="H1274" s="2" t="str">
        <f>IF(Iterations[[#This Row],[Step]] =current_step, current_b,IF(Iterations[[#This Row],[Step]] &gt; current_step, "",Iterations[[#This Row],[b]]))</f>
        <v/>
      </c>
      <c r="I1274" s="2" t="str">
        <f>IF(Iterations[[#This Row],[Step]] =current_step, current_c,IF(Iterations[[#This Row],[Step]] &gt; current_step, "",Iterations[[#This Row],[c]]))</f>
        <v/>
      </c>
      <c r="J1274" s="2" t="str">
        <f>IF(Iterations[[#This Row],[Step]] =current_step, current_d,IF(Iterations[[#This Row],[Step]] &gt; current_step, "",Iterations[[#This Row],[d]]))</f>
        <v/>
      </c>
      <c r="K1274" s="2" t="str">
        <f>IF(Iterations[[#This Row],[Step]] =current_step, current_e,IF(Iterations[[#This Row],[Step]] &gt; current_step, "",Iterations[[#This Row],[e]]))</f>
        <v/>
      </c>
      <c r="L1274" s="2" t="str">
        <f>IF(Iterations[[#This Row],[Step]] =current_step, current_Total_Loss,IF(Iterations[[#This Row],[Step]] &gt; current_step, "",Iterations[[#This Row],[Total Loss]]))</f>
        <v/>
      </c>
      <c r="M1274" s="6" t="s">
        <v>27</v>
      </c>
      <c r="N1274" s="2" t="str">
        <f>IF(Iterations[[#This Row],[Step]] =current_step, current_Grad_a,IF(Iterations[[#This Row],[Step]] &gt; current_step, "",Iterations[[#This Row],[Grad_a]]))</f>
        <v/>
      </c>
      <c r="O1274" s="2" t="str">
        <f>IF(Iterations[[#This Row],[Step]] =current_step, current_Grad_b,IF(Iterations[[#This Row],[Step]] &gt; current_step, "",Iterations[[#This Row],[Grad_b]]))</f>
        <v/>
      </c>
      <c r="P1274" s="2" t="str">
        <f>IF(Iterations[[#This Row],[Step]] =current_step, current_Grad_c,IF(Iterations[[#This Row],[Step]] &gt; current_step, "",Iterations[[#This Row],[Grad_c]]))</f>
        <v/>
      </c>
      <c r="Q1274" s="2" t="str">
        <f>IF(Iterations[[#This Row],[Step]] =current_step, current_Grad_d,IF(Iterations[[#This Row],[Step]] &gt; current_step, "",Iterations[[#This Row],[Grad_d]]))</f>
        <v/>
      </c>
      <c r="R1274" s="2" t="str">
        <f>IF(Iterations[[#This Row],[Step]] =current_step, current_Grad_e,IF(Iterations[[#This Row],[Step]] &gt; current_step, "",Iterations[[#This Row],[Grad_e]]))</f>
        <v/>
      </c>
    </row>
    <row r="1275" spans="6:18" x14ac:dyDescent="0.3">
      <c r="F1275" s="2">
        <f t="shared" si="25"/>
        <v>1258</v>
      </c>
      <c r="G1275" s="2" t="str">
        <f>IF(Iterations[[#This Row],[Step]] =current_step, current_a,IF(Iterations[[#This Row],[Step]] &gt; current_step, "",Iterations[[#This Row],[a]]))</f>
        <v/>
      </c>
      <c r="H1275" s="2" t="str">
        <f>IF(Iterations[[#This Row],[Step]] =current_step, current_b,IF(Iterations[[#This Row],[Step]] &gt; current_step, "",Iterations[[#This Row],[b]]))</f>
        <v/>
      </c>
      <c r="I1275" s="2" t="str">
        <f>IF(Iterations[[#This Row],[Step]] =current_step, current_c,IF(Iterations[[#This Row],[Step]] &gt; current_step, "",Iterations[[#This Row],[c]]))</f>
        <v/>
      </c>
      <c r="J1275" s="2" t="str">
        <f>IF(Iterations[[#This Row],[Step]] =current_step, current_d,IF(Iterations[[#This Row],[Step]] &gt; current_step, "",Iterations[[#This Row],[d]]))</f>
        <v/>
      </c>
      <c r="K1275" s="2" t="str">
        <f>IF(Iterations[[#This Row],[Step]] =current_step, current_e,IF(Iterations[[#This Row],[Step]] &gt; current_step, "",Iterations[[#This Row],[e]]))</f>
        <v/>
      </c>
      <c r="L1275" s="2" t="str">
        <f>IF(Iterations[[#This Row],[Step]] =current_step, current_Total_Loss,IF(Iterations[[#This Row],[Step]] &gt; current_step, "",Iterations[[#This Row],[Total Loss]]))</f>
        <v/>
      </c>
      <c r="M1275" s="6" t="s">
        <v>27</v>
      </c>
      <c r="N1275" s="2" t="str">
        <f>IF(Iterations[[#This Row],[Step]] =current_step, current_Grad_a,IF(Iterations[[#This Row],[Step]] &gt; current_step, "",Iterations[[#This Row],[Grad_a]]))</f>
        <v/>
      </c>
      <c r="O1275" s="2" t="str">
        <f>IF(Iterations[[#This Row],[Step]] =current_step, current_Grad_b,IF(Iterations[[#This Row],[Step]] &gt; current_step, "",Iterations[[#This Row],[Grad_b]]))</f>
        <v/>
      </c>
      <c r="P1275" s="2" t="str">
        <f>IF(Iterations[[#This Row],[Step]] =current_step, current_Grad_c,IF(Iterations[[#This Row],[Step]] &gt; current_step, "",Iterations[[#This Row],[Grad_c]]))</f>
        <v/>
      </c>
      <c r="Q1275" s="2" t="str">
        <f>IF(Iterations[[#This Row],[Step]] =current_step, current_Grad_d,IF(Iterations[[#This Row],[Step]] &gt; current_step, "",Iterations[[#This Row],[Grad_d]]))</f>
        <v/>
      </c>
      <c r="R1275" s="2" t="str">
        <f>IF(Iterations[[#This Row],[Step]] =current_step, current_Grad_e,IF(Iterations[[#This Row],[Step]] &gt; current_step, "",Iterations[[#This Row],[Grad_e]]))</f>
        <v/>
      </c>
    </row>
    <row r="1276" spans="6:18" x14ac:dyDescent="0.3">
      <c r="F1276" s="2">
        <f t="shared" si="25"/>
        <v>1259</v>
      </c>
      <c r="G1276" s="2" t="str">
        <f>IF(Iterations[[#This Row],[Step]] =current_step, current_a,IF(Iterations[[#This Row],[Step]] &gt; current_step, "",Iterations[[#This Row],[a]]))</f>
        <v/>
      </c>
      <c r="H1276" s="2" t="str">
        <f>IF(Iterations[[#This Row],[Step]] =current_step, current_b,IF(Iterations[[#This Row],[Step]] &gt; current_step, "",Iterations[[#This Row],[b]]))</f>
        <v/>
      </c>
      <c r="I1276" s="2" t="str">
        <f>IF(Iterations[[#This Row],[Step]] =current_step, current_c,IF(Iterations[[#This Row],[Step]] &gt; current_step, "",Iterations[[#This Row],[c]]))</f>
        <v/>
      </c>
      <c r="J1276" s="2" t="str">
        <f>IF(Iterations[[#This Row],[Step]] =current_step, current_d,IF(Iterations[[#This Row],[Step]] &gt; current_step, "",Iterations[[#This Row],[d]]))</f>
        <v/>
      </c>
      <c r="K1276" s="2" t="str">
        <f>IF(Iterations[[#This Row],[Step]] =current_step, current_e,IF(Iterations[[#This Row],[Step]] &gt; current_step, "",Iterations[[#This Row],[e]]))</f>
        <v/>
      </c>
      <c r="L1276" s="2" t="str">
        <f>IF(Iterations[[#This Row],[Step]] =current_step, current_Total_Loss,IF(Iterations[[#This Row],[Step]] &gt; current_step, "",Iterations[[#This Row],[Total Loss]]))</f>
        <v/>
      </c>
      <c r="M1276" s="6" t="s">
        <v>27</v>
      </c>
      <c r="N1276" s="2" t="str">
        <f>IF(Iterations[[#This Row],[Step]] =current_step, current_Grad_a,IF(Iterations[[#This Row],[Step]] &gt; current_step, "",Iterations[[#This Row],[Grad_a]]))</f>
        <v/>
      </c>
      <c r="O1276" s="2" t="str">
        <f>IF(Iterations[[#This Row],[Step]] =current_step, current_Grad_b,IF(Iterations[[#This Row],[Step]] &gt; current_step, "",Iterations[[#This Row],[Grad_b]]))</f>
        <v/>
      </c>
      <c r="P1276" s="2" t="str">
        <f>IF(Iterations[[#This Row],[Step]] =current_step, current_Grad_c,IF(Iterations[[#This Row],[Step]] &gt; current_step, "",Iterations[[#This Row],[Grad_c]]))</f>
        <v/>
      </c>
      <c r="Q1276" s="2" t="str">
        <f>IF(Iterations[[#This Row],[Step]] =current_step, current_Grad_d,IF(Iterations[[#This Row],[Step]] &gt; current_step, "",Iterations[[#This Row],[Grad_d]]))</f>
        <v/>
      </c>
      <c r="R1276" s="2" t="str">
        <f>IF(Iterations[[#This Row],[Step]] =current_step, current_Grad_e,IF(Iterations[[#This Row],[Step]] &gt; current_step, "",Iterations[[#This Row],[Grad_e]]))</f>
        <v/>
      </c>
    </row>
    <row r="1277" spans="6:18" x14ac:dyDescent="0.3">
      <c r="F1277" s="2">
        <f t="shared" si="25"/>
        <v>1260</v>
      </c>
      <c r="G1277" s="2" t="str">
        <f>IF(Iterations[[#This Row],[Step]] =current_step, current_a,IF(Iterations[[#This Row],[Step]] &gt; current_step, "",Iterations[[#This Row],[a]]))</f>
        <v/>
      </c>
      <c r="H1277" s="2" t="str">
        <f>IF(Iterations[[#This Row],[Step]] =current_step, current_b,IF(Iterations[[#This Row],[Step]] &gt; current_step, "",Iterations[[#This Row],[b]]))</f>
        <v/>
      </c>
      <c r="I1277" s="2" t="str">
        <f>IF(Iterations[[#This Row],[Step]] =current_step, current_c,IF(Iterations[[#This Row],[Step]] &gt; current_step, "",Iterations[[#This Row],[c]]))</f>
        <v/>
      </c>
      <c r="J1277" s="2" t="str">
        <f>IF(Iterations[[#This Row],[Step]] =current_step, current_d,IF(Iterations[[#This Row],[Step]] &gt; current_step, "",Iterations[[#This Row],[d]]))</f>
        <v/>
      </c>
      <c r="K1277" s="2" t="str">
        <f>IF(Iterations[[#This Row],[Step]] =current_step, current_e,IF(Iterations[[#This Row],[Step]] &gt; current_step, "",Iterations[[#This Row],[e]]))</f>
        <v/>
      </c>
      <c r="L1277" s="2" t="str">
        <f>IF(Iterations[[#This Row],[Step]] =current_step, current_Total_Loss,IF(Iterations[[#This Row],[Step]] &gt; current_step, "",Iterations[[#This Row],[Total Loss]]))</f>
        <v/>
      </c>
      <c r="M1277" s="6" t="s">
        <v>27</v>
      </c>
      <c r="N1277" s="2" t="str">
        <f>IF(Iterations[[#This Row],[Step]] =current_step, current_Grad_a,IF(Iterations[[#This Row],[Step]] &gt; current_step, "",Iterations[[#This Row],[Grad_a]]))</f>
        <v/>
      </c>
      <c r="O1277" s="2" t="str">
        <f>IF(Iterations[[#This Row],[Step]] =current_step, current_Grad_b,IF(Iterations[[#This Row],[Step]] &gt; current_step, "",Iterations[[#This Row],[Grad_b]]))</f>
        <v/>
      </c>
      <c r="P1277" s="2" t="str">
        <f>IF(Iterations[[#This Row],[Step]] =current_step, current_Grad_c,IF(Iterations[[#This Row],[Step]] &gt; current_step, "",Iterations[[#This Row],[Grad_c]]))</f>
        <v/>
      </c>
      <c r="Q1277" s="2" t="str">
        <f>IF(Iterations[[#This Row],[Step]] =current_step, current_Grad_d,IF(Iterations[[#This Row],[Step]] &gt; current_step, "",Iterations[[#This Row],[Grad_d]]))</f>
        <v/>
      </c>
      <c r="R1277" s="2" t="str">
        <f>IF(Iterations[[#This Row],[Step]] =current_step, current_Grad_e,IF(Iterations[[#This Row],[Step]] &gt; current_step, "",Iterations[[#This Row],[Grad_e]]))</f>
        <v/>
      </c>
    </row>
    <row r="1278" spans="6:18" x14ac:dyDescent="0.3">
      <c r="F1278" s="2">
        <f t="shared" si="25"/>
        <v>1261</v>
      </c>
      <c r="G1278" s="2" t="str">
        <f>IF(Iterations[[#This Row],[Step]] =current_step, current_a,IF(Iterations[[#This Row],[Step]] &gt; current_step, "",Iterations[[#This Row],[a]]))</f>
        <v/>
      </c>
      <c r="H1278" s="2" t="str">
        <f>IF(Iterations[[#This Row],[Step]] =current_step, current_b,IF(Iterations[[#This Row],[Step]] &gt; current_step, "",Iterations[[#This Row],[b]]))</f>
        <v/>
      </c>
      <c r="I1278" s="2" t="str">
        <f>IF(Iterations[[#This Row],[Step]] =current_step, current_c,IF(Iterations[[#This Row],[Step]] &gt; current_step, "",Iterations[[#This Row],[c]]))</f>
        <v/>
      </c>
      <c r="J1278" s="2" t="str">
        <f>IF(Iterations[[#This Row],[Step]] =current_step, current_d,IF(Iterations[[#This Row],[Step]] &gt; current_step, "",Iterations[[#This Row],[d]]))</f>
        <v/>
      </c>
      <c r="K1278" s="2" t="str">
        <f>IF(Iterations[[#This Row],[Step]] =current_step, current_e,IF(Iterations[[#This Row],[Step]] &gt; current_step, "",Iterations[[#This Row],[e]]))</f>
        <v/>
      </c>
      <c r="L1278" s="2" t="str">
        <f>IF(Iterations[[#This Row],[Step]] =current_step, current_Total_Loss,IF(Iterations[[#This Row],[Step]] &gt; current_step, "",Iterations[[#This Row],[Total Loss]]))</f>
        <v/>
      </c>
      <c r="M1278" s="6" t="s">
        <v>27</v>
      </c>
      <c r="N1278" s="2" t="str">
        <f>IF(Iterations[[#This Row],[Step]] =current_step, current_Grad_a,IF(Iterations[[#This Row],[Step]] &gt; current_step, "",Iterations[[#This Row],[Grad_a]]))</f>
        <v/>
      </c>
      <c r="O1278" s="2" t="str">
        <f>IF(Iterations[[#This Row],[Step]] =current_step, current_Grad_b,IF(Iterations[[#This Row],[Step]] &gt; current_step, "",Iterations[[#This Row],[Grad_b]]))</f>
        <v/>
      </c>
      <c r="P1278" s="2" t="str">
        <f>IF(Iterations[[#This Row],[Step]] =current_step, current_Grad_c,IF(Iterations[[#This Row],[Step]] &gt; current_step, "",Iterations[[#This Row],[Grad_c]]))</f>
        <v/>
      </c>
      <c r="Q1278" s="2" t="str">
        <f>IF(Iterations[[#This Row],[Step]] =current_step, current_Grad_d,IF(Iterations[[#This Row],[Step]] &gt; current_step, "",Iterations[[#This Row],[Grad_d]]))</f>
        <v/>
      </c>
      <c r="R1278" s="2" t="str">
        <f>IF(Iterations[[#This Row],[Step]] =current_step, current_Grad_e,IF(Iterations[[#This Row],[Step]] &gt; current_step, "",Iterations[[#This Row],[Grad_e]]))</f>
        <v/>
      </c>
    </row>
    <row r="1279" spans="6:18" x14ac:dyDescent="0.3">
      <c r="F1279" s="2">
        <f t="shared" si="25"/>
        <v>1262</v>
      </c>
      <c r="G1279" s="2" t="str">
        <f>IF(Iterations[[#This Row],[Step]] =current_step, current_a,IF(Iterations[[#This Row],[Step]] &gt; current_step, "",Iterations[[#This Row],[a]]))</f>
        <v/>
      </c>
      <c r="H1279" s="2" t="str">
        <f>IF(Iterations[[#This Row],[Step]] =current_step, current_b,IF(Iterations[[#This Row],[Step]] &gt; current_step, "",Iterations[[#This Row],[b]]))</f>
        <v/>
      </c>
      <c r="I1279" s="2" t="str">
        <f>IF(Iterations[[#This Row],[Step]] =current_step, current_c,IF(Iterations[[#This Row],[Step]] &gt; current_step, "",Iterations[[#This Row],[c]]))</f>
        <v/>
      </c>
      <c r="J1279" s="2" t="str">
        <f>IF(Iterations[[#This Row],[Step]] =current_step, current_d,IF(Iterations[[#This Row],[Step]] &gt; current_step, "",Iterations[[#This Row],[d]]))</f>
        <v/>
      </c>
      <c r="K1279" s="2" t="str">
        <f>IF(Iterations[[#This Row],[Step]] =current_step, current_e,IF(Iterations[[#This Row],[Step]] &gt; current_step, "",Iterations[[#This Row],[e]]))</f>
        <v/>
      </c>
      <c r="L1279" s="2" t="str">
        <f>IF(Iterations[[#This Row],[Step]] =current_step, current_Total_Loss,IF(Iterations[[#This Row],[Step]] &gt; current_step, "",Iterations[[#This Row],[Total Loss]]))</f>
        <v/>
      </c>
      <c r="M1279" s="6" t="s">
        <v>27</v>
      </c>
      <c r="N1279" s="2" t="str">
        <f>IF(Iterations[[#This Row],[Step]] =current_step, current_Grad_a,IF(Iterations[[#This Row],[Step]] &gt; current_step, "",Iterations[[#This Row],[Grad_a]]))</f>
        <v/>
      </c>
      <c r="O1279" s="2" t="str">
        <f>IF(Iterations[[#This Row],[Step]] =current_step, current_Grad_b,IF(Iterations[[#This Row],[Step]] &gt; current_step, "",Iterations[[#This Row],[Grad_b]]))</f>
        <v/>
      </c>
      <c r="P1279" s="2" t="str">
        <f>IF(Iterations[[#This Row],[Step]] =current_step, current_Grad_c,IF(Iterations[[#This Row],[Step]] &gt; current_step, "",Iterations[[#This Row],[Grad_c]]))</f>
        <v/>
      </c>
      <c r="Q1279" s="2" t="str">
        <f>IF(Iterations[[#This Row],[Step]] =current_step, current_Grad_d,IF(Iterations[[#This Row],[Step]] &gt; current_step, "",Iterations[[#This Row],[Grad_d]]))</f>
        <v/>
      </c>
      <c r="R1279" s="2" t="str">
        <f>IF(Iterations[[#This Row],[Step]] =current_step, current_Grad_e,IF(Iterations[[#This Row],[Step]] &gt; current_step, "",Iterations[[#This Row],[Grad_e]]))</f>
        <v/>
      </c>
    </row>
    <row r="1280" spans="6:18" x14ac:dyDescent="0.3">
      <c r="F1280" s="2">
        <f t="shared" si="25"/>
        <v>1263</v>
      </c>
      <c r="G1280" s="2" t="str">
        <f>IF(Iterations[[#This Row],[Step]] =current_step, current_a,IF(Iterations[[#This Row],[Step]] &gt; current_step, "",Iterations[[#This Row],[a]]))</f>
        <v/>
      </c>
      <c r="H1280" s="2" t="str">
        <f>IF(Iterations[[#This Row],[Step]] =current_step, current_b,IF(Iterations[[#This Row],[Step]] &gt; current_step, "",Iterations[[#This Row],[b]]))</f>
        <v/>
      </c>
      <c r="I1280" s="2" t="str">
        <f>IF(Iterations[[#This Row],[Step]] =current_step, current_c,IF(Iterations[[#This Row],[Step]] &gt; current_step, "",Iterations[[#This Row],[c]]))</f>
        <v/>
      </c>
      <c r="J1280" s="2" t="str">
        <f>IF(Iterations[[#This Row],[Step]] =current_step, current_d,IF(Iterations[[#This Row],[Step]] &gt; current_step, "",Iterations[[#This Row],[d]]))</f>
        <v/>
      </c>
      <c r="K1280" s="2" t="str">
        <f>IF(Iterations[[#This Row],[Step]] =current_step, current_e,IF(Iterations[[#This Row],[Step]] &gt; current_step, "",Iterations[[#This Row],[e]]))</f>
        <v/>
      </c>
      <c r="L1280" s="2" t="str">
        <f>IF(Iterations[[#This Row],[Step]] =current_step, current_Total_Loss,IF(Iterations[[#This Row],[Step]] &gt; current_step, "",Iterations[[#This Row],[Total Loss]]))</f>
        <v/>
      </c>
      <c r="M1280" s="6" t="s">
        <v>27</v>
      </c>
      <c r="N1280" s="2" t="str">
        <f>IF(Iterations[[#This Row],[Step]] =current_step, current_Grad_a,IF(Iterations[[#This Row],[Step]] &gt; current_step, "",Iterations[[#This Row],[Grad_a]]))</f>
        <v/>
      </c>
      <c r="O1280" s="2" t="str">
        <f>IF(Iterations[[#This Row],[Step]] =current_step, current_Grad_b,IF(Iterations[[#This Row],[Step]] &gt; current_step, "",Iterations[[#This Row],[Grad_b]]))</f>
        <v/>
      </c>
      <c r="P1280" s="2" t="str">
        <f>IF(Iterations[[#This Row],[Step]] =current_step, current_Grad_c,IF(Iterations[[#This Row],[Step]] &gt; current_step, "",Iterations[[#This Row],[Grad_c]]))</f>
        <v/>
      </c>
      <c r="Q1280" s="2" t="str">
        <f>IF(Iterations[[#This Row],[Step]] =current_step, current_Grad_d,IF(Iterations[[#This Row],[Step]] &gt; current_step, "",Iterations[[#This Row],[Grad_d]]))</f>
        <v/>
      </c>
      <c r="R1280" s="2" t="str">
        <f>IF(Iterations[[#This Row],[Step]] =current_step, current_Grad_e,IF(Iterations[[#This Row],[Step]] &gt; current_step, "",Iterations[[#This Row],[Grad_e]]))</f>
        <v/>
      </c>
    </row>
    <row r="1281" spans="6:18" x14ac:dyDescent="0.3">
      <c r="F1281" s="2">
        <f t="shared" si="25"/>
        <v>1264</v>
      </c>
      <c r="G1281" s="2" t="str">
        <f>IF(Iterations[[#This Row],[Step]] =current_step, current_a,IF(Iterations[[#This Row],[Step]] &gt; current_step, "",Iterations[[#This Row],[a]]))</f>
        <v/>
      </c>
      <c r="H1281" s="2" t="str">
        <f>IF(Iterations[[#This Row],[Step]] =current_step, current_b,IF(Iterations[[#This Row],[Step]] &gt; current_step, "",Iterations[[#This Row],[b]]))</f>
        <v/>
      </c>
      <c r="I1281" s="2" t="str">
        <f>IF(Iterations[[#This Row],[Step]] =current_step, current_c,IF(Iterations[[#This Row],[Step]] &gt; current_step, "",Iterations[[#This Row],[c]]))</f>
        <v/>
      </c>
      <c r="J1281" s="2" t="str">
        <f>IF(Iterations[[#This Row],[Step]] =current_step, current_d,IF(Iterations[[#This Row],[Step]] &gt; current_step, "",Iterations[[#This Row],[d]]))</f>
        <v/>
      </c>
      <c r="K1281" s="2" t="str">
        <f>IF(Iterations[[#This Row],[Step]] =current_step, current_e,IF(Iterations[[#This Row],[Step]] &gt; current_step, "",Iterations[[#This Row],[e]]))</f>
        <v/>
      </c>
      <c r="L1281" s="2" t="str">
        <f>IF(Iterations[[#This Row],[Step]] =current_step, current_Total_Loss,IF(Iterations[[#This Row],[Step]] &gt; current_step, "",Iterations[[#This Row],[Total Loss]]))</f>
        <v/>
      </c>
      <c r="M1281" s="6" t="s">
        <v>27</v>
      </c>
      <c r="N1281" s="2" t="str">
        <f>IF(Iterations[[#This Row],[Step]] =current_step, current_Grad_a,IF(Iterations[[#This Row],[Step]] &gt; current_step, "",Iterations[[#This Row],[Grad_a]]))</f>
        <v/>
      </c>
      <c r="O1281" s="2" t="str">
        <f>IF(Iterations[[#This Row],[Step]] =current_step, current_Grad_b,IF(Iterations[[#This Row],[Step]] &gt; current_step, "",Iterations[[#This Row],[Grad_b]]))</f>
        <v/>
      </c>
      <c r="P1281" s="2" t="str">
        <f>IF(Iterations[[#This Row],[Step]] =current_step, current_Grad_c,IF(Iterations[[#This Row],[Step]] &gt; current_step, "",Iterations[[#This Row],[Grad_c]]))</f>
        <v/>
      </c>
      <c r="Q1281" s="2" t="str">
        <f>IF(Iterations[[#This Row],[Step]] =current_step, current_Grad_d,IF(Iterations[[#This Row],[Step]] &gt; current_step, "",Iterations[[#This Row],[Grad_d]]))</f>
        <v/>
      </c>
      <c r="R1281" s="2" t="str">
        <f>IF(Iterations[[#This Row],[Step]] =current_step, current_Grad_e,IF(Iterations[[#This Row],[Step]] &gt; current_step, "",Iterations[[#This Row],[Grad_e]]))</f>
        <v/>
      </c>
    </row>
    <row r="1282" spans="6:18" x14ac:dyDescent="0.3">
      <c r="F1282" s="2">
        <f t="shared" si="25"/>
        <v>1265</v>
      </c>
      <c r="G1282" s="2" t="str">
        <f>IF(Iterations[[#This Row],[Step]] =current_step, current_a,IF(Iterations[[#This Row],[Step]] &gt; current_step, "",Iterations[[#This Row],[a]]))</f>
        <v/>
      </c>
      <c r="H1282" s="2" t="str">
        <f>IF(Iterations[[#This Row],[Step]] =current_step, current_b,IF(Iterations[[#This Row],[Step]] &gt; current_step, "",Iterations[[#This Row],[b]]))</f>
        <v/>
      </c>
      <c r="I1282" s="2" t="str">
        <f>IF(Iterations[[#This Row],[Step]] =current_step, current_c,IF(Iterations[[#This Row],[Step]] &gt; current_step, "",Iterations[[#This Row],[c]]))</f>
        <v/>
      </c>
      <c r="J1282" s="2" t="str">
        <f>IF(Iterations[[#This Row],[Step]] =current_step, current_d,IF(Iterations[[#This Row],[Step]] &gt; current_step, "",Iterations[[#This Row],[d]]))</f>
        <v/>
      </c>
      <c r="K1282" s="2" t="str">
        <f>IF(Iterations[[#This Row],[Step]] =current_step, current_e,IF(Iterations[[#This Row],[Step]] &gt; current_step, "",Iterations[[#This Row],[e]]))</f>
        <v/>
      </c>
      <c r="L1282" s="2" t="str">
        <f>IF(Iterations[[#This Row],[Step]] =current_step, current_Total_Loss,IF(Iterations[[#This Row],[Step]] &gt; current_step, "",Iterations[[#This Row],[Total Loss]]))</f>
        <v/>
      </c>
      <c r="M1282" s="6" t="s">
        <v>27</v>
      </c>
      <c r="N1282" s="2" t="str">
        <f>IF(Iterations[[#This Row],[Step]] =current_step, current_Grad_a,IF(Iterations[[#This Row],[Step]] &gt; current_step, "",Iterations[[#This Row],[Grad_a]]))</f>
        <v/>
      </c>
      <c r="O1282" s="2" t="str">
        <f>IF(Iterations[[#This Row],[Step]] =current_step, current_Grad_b,IF(Iterations[[#This Row],[Step]] &gt; current_step, "",Iterations[[#This Row],[Grad_b]]))</f>
        <v/>
      </c>
      <c r="P1282" s="2" t="str">
        <f>IF(Iterations[[#This Row],[Step]] =current_step, current_Grad_c,IF(Iterations[[#This Row],[Step]] &gt; current_step, "",Iterations[[#This Row],[Grad_c]]))</f>
        <v/>
      </c>
      <c r="Q1282" s="2" t="str">
        <f>IF(Iterations[[#This Row],[Step]] =current_step, current_Grad_d,IF(Iterations[[#This Row],[Step]] &gt; current_step, "",Iterations[[#This Row],[Grad_d]]))</f>
        <v/>
      </c>
      <c r="R1282" s="2" t="str">
        <f>IF(Iterations[[#This Row],[Step]] =current_step, current_Grad_e,IF(Iterations[[#This Row],[Step]] &gt; current_step, "",Iterations[[#This Row],[Grad_e]]))</f>
        <v/>
      </c>
    </row>
    <row r="1283" spans="6:18" x14ac:dyDescent="0.3">
      <c r="F1283" s="2">
        <f t="shared" si="25"/>
        <v>1266</v>
      </c>
      <c r="G1283" s="2" t="str">
        <f>IF(Iterations[[#This Row],[Step]] =current_step, current_a,IF(Iterations[[#This Row],[Step]] &gt; current_step, "",Iterations[[#This Row],[a]]))</f>
        <v/>
      </c>
      <c r="H1283" s="2" t="str">
        <f>IF(Iterations[[#This Row],[Step]] =current_step, current_b,IF(Iterations[[#This Row],[Step]] &gt; current_step, "",Iterations[[#This Row],[b]]))</f>
        <v/>
      </c>
      <c r="I1283" s="2" t="str">
        <f>IF(Iterations[[#This Row],[Step]] =current_step, current_c,IF(Iterations[[#This Row],[Step]] &gt; current_step, "",Iterations[[#This Row],[c]]))</f>
        <v/>
      </c>
      <c r="J1283" s="2" t="str">
        <f>IF(Iterations[[#This Row],[Step]] =current_step, current_d,IF(Iterations[[#This Row],[Step]] &gt; current_step, "",Iterations[[#This Row],[d]]))</f>
        <v/>
      </c>
      <c r="K1283" s="2" t="str">
        <f>IF(Iterations[[#This Row],[Step]] =current_step, current_e,IF(Iterations[[#This Row],[Step]] &gt; current_step, "",Iterations[[#This Row],[e]]))</f>
        <v/>
      </c>
      <c r="L1283" s="2" t="str">
        <f>IF(Iterations[[#This Row],[Step]] =current_step, current_Total_Loss,IF(Iterations[[#This Row],[Step]] &gt; current_step, "",Iterations[[#This Row],[Total Loss]]))</f>
        <v/>
      </c>
      <c r="M1283" s="6" t="s">
        <v>27</v>
      </c>
      <c r="N1283" s="2" t="str">
        <f>IF(Iterations[[#This Row],[Step]] =current_step, current_Grad_a,IF(Iterations[[#This Row],[Step]] &gt; current_step, "",Iterations[[#This Row],[Grad_a]]))</f>
        <v/>
      </c>
      <c r="O1283" s="2" t="str">
        <f>IF(Iterations[[#This Row],[Step]] =current_step, current_Grad_b,IF(Iterations[[#This Row],[Step]] &gt; current_step, "",Iterations[[#This Row],[Grad_b]]))</f>
        <v/>
      </c>
      <c r="P1283" s="2" t="str">
        <f>IF(Iterations[[#This Row],[Step]] =current_step, current_Grad_c,IF(Iterations[[#This Row],[Step]] &gt; current_step, "",Iterations[[#This Row],[Grad_c]]))</f>
        <v/>
      </c>
      <c r="Q1283" s="2" t="str">
        <f>IF(Iterations[[#This Row],[Step]] =current_step, current_Grad_d,IF(Iterations[[#This Row],[Step]] &gt; current_step, "",Iterations[[#This Row],[Grad_d]]))</f>
        <v/>
      </c>
      <c r="R1283" s="2" t="str">
        <f>IF(Iterations[[#This Row],[Step]] =current_step, current_Grad_e,IF(Iterations[[#This Row],[Step]] &gt; current_step, "",Iterations[[#This Row],[Grad_e]]))</f>
        <v/>
      </c>
    </row>
    <row r="1284" spans="6:18" x14ac:dyDescent="0.3">
      <c r="F1284" s="2">
        <f t="shared" si="25"/>
        <v>1267</v>
      </c>
      <c r="G1284" s="2" t="str">
        <f>IF(Iterations[[#This Row],[Step]] =current_step, current_a,IF(Iterations[[#This Row],[Step]] &gt; current_step, "",Iterations[[#This Row],[a]]))</f>
        <v/>
      </c>
      <c r="H1284" s="2" t="str">
        <f>IF(Iterations[[#This Row],[Step]] =current_step, current_b,IF(Iterations[[#This Row],[Step]] &gt; current_step, "",Iterations[[#This Row],[b]]))</f>
        <v/>
      </c>
      <c r="I1284" s="2" t="str">
        <f>IF(Iterations[[#This Row],[Step]] =current_step, current_c,IF(Iterations[[#This Row],[Step]] &gt; current_step, "",Iterations[[#This Row],[c]]))</f>
        <v/>
      </c>
      <c r="J1284" s="2" t="str">
        <f>IF(Iterations[[#This Row],[Step]] =current_step, current_d,IF(Iterations[[#This Row],[Step]] &gt; current_step, "",Iterations[[#This Row],[d]]))</f>
        <v/>
      </c>
      <c r="K1284" s="2" t="str">
        <f>IF(Iterations[[#This Row],[Step]] =current_step, current_e,IF(Iterations[[#This Row],[Step]] &gt; current_step, "",Iterations[[#This Row],[e]]))</f>
        <v/>
      </c>
      <c r="L1284" s="2" t="str">
        <f>IF(Iterations[[#This Row],[Step]] =current_step, current_Total_Loss,IF(Iterations[[#This Row],[Step]] &gt; current_step, "",Iterations[[#This Row],[Total Loss]]))</f>
        <v/>
      </c>
      <c r="M1284" s="6" t="s">
        <v>27</v>
      </c>
      <c r="N1284" s="2" t="str">
        <f>IF(Iterations[[#This Row],[Step]] =current_step, current_Grad_a,IF(Iterations[[#This Row],[Step]] &gt; current_step, "",Iterations[[#This Row],[Grad_a]]))</f>
        <v/>
      </c>
      <c r="O1284" s="2" t="str">
        <f>IF(Iterations[[#This Row],[Step]] =current_step, current_Grad_b,IF(Iterations[[#This Row],[Step]] &gt; current_step, "",Iterations[[#This Row],[Grad_b]]))</f>
        <v/>
      </c>
      <c r="P1284" s="2" t="str">
        <f>IF(Iterations[[#This Row],[Step]] =current_step, current_Grad_c,IF(Iterations[[#This Row],[Step]] &gt; current_step, "",Iterations[[#This Row],[Grad_c]]))</f>
        <v/>
      </c>
      <c r="Q1284" s="2" t="str">
        <f>IF(Iterations[[#This Row],[Step]] =current_step, current_Grad_d,IF(Iterations[[#This Row],[Step]] &gt; current_step, "",Iterations[[#This Row],[Grad_d]]))</f>
        <v/>
      </c>
      <c r="R1284" s="2" t="str">
        <f>IF(Iterations[[#This Row],[Step]] =current_step, current_Grad_e,IF(Iterations[[#This Row],[Step]] &gt; current_step, "",Iterations[[#This Row],[Grad_e]]))</f>
        <v/>
      </c>
    </row>
    <row r="1285" spans="6:18" x14ac:dyDescent="0.3">
      <c r="F1285" s="2">
        <f t="shared" si="25"/>
        <v>1268</v>
      </c>
      <c r="G1285" s="2" t="str">
        <f>IF(Iterations[[#This Row],[Step]] =current_step, current_a,IF(Iterations[[#This Row],[Step]] &gt; current_step, "",Iterations[[#This Row],[a]]))</f>
        <v/>
      </c>
      <c r="H1285" s="2" t="str">
        <f>IF(Iterations[[#This Row],[Step]] =current_step, current_b,IF(Iterations[[#This Row],[Step]] &gt; current_step, "",Iterations[[#This Row],[b]]))</f>
        <v/>
      </c>
      <c r="I1285" s="2" t="str">
        <f>IF(Iterations[[#This Row],[Step]] =current_step, current_c,IF(Iterations[[#This Row],[Step]] &gt; current_step, "",Iterations[[#This Row],[c]]))</f>
        <v/>
      </c>
      <c r="J1285" s="2" t="str">
        <f>IF(Iterations[[#This Row],[Step]] =current_step, current_d,IF(Iterations[[#This Row],[Step]] &gt; current_step, "",Iterations[[#This Row],[d]]))</f>
        <v/>
      </c>
      <c r="K1285" s="2" t="str">
        <f>IF(Iterations[[#This Row],[Step]] =current_step, current_e,IF(Iterations[[#This Row],[Step]] &gt; current_step, "",Iterations[[#This Row],[e]]))</f>
        <v/>
      </c>
      <c r="L1285" s="2" t="str">
        <f>IF(Iterations[[#This Row],[Step]] =current_step, current_Total_Loss,IF(Iterations[[#This Row],[Step]] &gt; current_step, "",Iterations[[#This Row],[Total Loss]]))</f>
        <v/>
      </c>
      <c r="M1285" s="6" t="s">
        <v>27</v>
      </c>
      <c r="N1285" s="2" t="str">
        <f>IF(Iterations[[#This Row],[Step]] =current_step, current_Grad_a,IF(Iterations[[#This Row],[Step]] &gt; current_step, "",Iterations[[#This Row],[Grad_a]]))</f>
        <v/>
      </c>
      <c r="O1285" s="2" t="str">
        <f>IF(Iterations[[#This Row],[Step]] =current_step, current_Grad_b,IF(Iterations[[#This Row],[Step]] &gt; current_step, "",Iterations[[#This Row],[Grad_b]]))</f>
        <v/>
      </c>
      <c r="P1285" s="2" t="str">
        <f>IF(Iterations[[#This Row],[Step]] =current_step, current_Grad_c,IF(Iterations[[#This Row],[Step]] &gt; current_step, "",Iterations[[#This Row],[Grad_c]]))</f>
        <v/>
      </c>
      <c r="Q1285" s="2" t="str">
        <f>IF(Iterations[[#This Row],[Step]] =current_step, current_Grad_d,IF(Iterations[[#This Row],[Step]] &gt; current_step, "",Iterations[[#This Row],[Grad_d]]))</f>
        <v/>
      </c>
      <c r="R1285" s="2" t="str">
        <f>IF(Iterations[[#This Row],[Step]] =current_step, current_Grad_e,IF(Iterations[[#This Row],[Step]] &gt; current_step, "",Iterations[[#This Row],[Grad_e]]))</f>
        <v/>
      </c>
    </row>
    <row r="1286" spans="6:18" x14ac:dyDescent="0.3">
      <c r="F1286" s="2">
        <f t="shared" si="25"/>
        <v>1269</v>
      </c>
      <c r="G1286" s="2" t="str">
        <f>IF(Iterations[[#This Row],[Step]] =current_step, current_a,IF(Iterations[[#This Row],[Step]] &gt; current_step, "",Iterations[[#This Row],[a]]))</f>
        <v/>
      </c>
      <c r="H1286" s="2" t="str">
        <f>IF(Iterations[[#This Row],[Step]] =current_step, current_b,IF(Iterations[[#This Row],[Step]] &gt; current_step, "",Iterations[[#This Row],[b]]))</f>
        <v/>
      </c>
      <c r="I1286" s="2" t="str">
        <f>IF(Iterations[[#This Row],[Step]] =current_step, current_c,IF(Iterations[[#This Row],[Step]] &gt; current_step, "",Iterations[[#This Row],[c]]))</f>
        <v/>
      </c>
      <c r="J1286" s="2" t="str">
        <f>IF(Iterations[[#This Row],[Step]] =current_step, current_d,IF(Iterations[[#This Row],[Step]] &gt; current_step, "",Iterations[[#This Row],[d]]))</f>
        <v/>
      </c>
      <c r="K1286" s="2" t="str">
        <f>IF(Iterations[[#This Row],[Step]] =current_step, current_e,IF(Iterations[[#This Row],[Step]] &gt; current_step, "",Iterations[[#This Row],[e]]))</f>
        <v/>
      </c>
      <c r="L1286" s="2" t="str">
        <f>IF(Iterations[[#This Row],[Step]] =current_step, current_Total_Loss,IF(Iterations[[#This Row],[Step]] &gt; current_step, "",Iterations[[#This Row],[Total Loss]]))</f>
        <v/>
      </c>
      <c r="M1286" s="6" t="s">
        <v>27</v>
      </c>
      <c r="N1286" s="2" t="str">
        <f>IF(Iterations[[#This Row],[Step]] =current_step, current_Grad_a,IF(Iterations[[#This Row],[Step]] &gt; current_step, "",Iterations[[#This Row],[Grad_a]]))</f>
        <v/>
      </c>
      <c r="O1286" s="2" t="str">
        <f>IF(Iterations[[#This Row],[Step]] =current_step, current_Grad_b,IF(Iterations[[#This Row],[Step]] &gt; current_step, "",Iterations[[#This Row],[Grad_b]]))</f>
        <v/>
      </c>
      <c r="P1286" s="2" t="str">
        <f>IF(Iterations[[#This Row],[Step]] =current_step, current_Grad_c,IF(Iterations[[#This Row],[Step]] &gt; current_step, "",Iterations[[#This Row],[Grad_c]]))</f>
        <v/>
      </c>
      <c r="Q1286" s="2" t="str">
        <f>IF(Iterations[[#This Row],[Step]] =current_step, current_Grad_d,IF(Iterations[[#This Row],[Step]] &gt; current_step, "",Iterations[[#This Row],[Grad_d]]))</f>
        <v/>
      </c>
      <c r="R1286" s="2" t="str">
        <f>IF(Iterations[[#This Row],[Step]] =current_step, current_Grad_e,IF(Iterations[[#This Row],[Step]] &gt; current_step, "",Iterations[[#This Row],[Grad_e]]))</f>
        <v/>
      </c>
    </row>
    <row r="1287" spans="6:18" x14ac:dyDescent="0.3">
      <c r="F1287" s="2">
        <f t="shared" si="25"/>
        <v>1270</v>
      </c>
      <c r="G1287" s="2" t="str">
        <f>IF(Iterations[[#This Row],[Step]] =current_step, current_a,IF(Iterations[[#This Row],[Step]] &gt; current_step, "",Iterations[[#This Row],[a]]))</f>
        <v/>
      </c>
      <c r="H1287" s="2" t="str">
        <f>IF(Iterations[[#This Row],[Step]] =current_step, current_b,IF(Iterations[[#This Row],[Step]] &gt; current_step, "",Iterations[[#This Row],[b]]))</f>
        <v/>
      </c>
      <c r="I1287" s="2" t="str">
        <f>IF(Iterations[[#This Row],[Step]] =current_step, current_c,IF(Iterations[[#This Row],[Step]] &gt; current_step, "",Iterations[[#This Row],[c]]))</f>
        <v/>
      </c>
      <c r="J1287" s="2" t="str">
        <f>IF(Iterations[[#This Row],[Step]] =current_step, current_d,IF(Iterations[[#This Row],[Step]] &gt; current_step, "",Iterations[[#This Row],[d]]))</f>
        <v/>
      </c>
      <c r="K1287" s="2" t="str">
        <f>IF(Iterations[[#This Row],[Step]] =current_step, current_e,IF(Iterations[[#This Row],[Step]] &gt; current_step, "",Iterations[[#This Row],[e]]))</f>
        <v/>
      </c>
      <c r="L1287" s="2" t="str">
        <f>IF(Iterations[[#This Row],[Step]] =current_step, current_Total_Loss,IF(Iterations[[#This Row],[Step]] &gt; current_step, "",Iterations[[#This Row],[Total Loss]]))</f>
        <v/>
      </c>
      <c r="M1287" s="6" t="s">
        <v>27</v>
      </c>
      <c r="N1287" s="2" t="str">
        <f>IF(Iterations[[#This Row],[Step]] =current_step, current_Grad_a,IF(Iterations[[#This Row],[Step]] &gt; current_step, "",Iterations[[#This Row],[Grad_a]]))</f>
        <v/>
      </c>
      <c r="O1287" s="2" t="str">
        <f>IF(Iterations[[#This Row],[Step]] =current_step, current_Grad_b,IF(Iterations[[#This Row],[Step]] &gt; current_step, "",Iterations[[#This Row],[Grad_b]]))</f>
        <v/>
      </c>
      <c r="P1287" s="2" t="str">
        <f>IF(Iterations[[#This Row],[Step]] =current_step, current_Grad_c,IF(Iterations[[#This Row],[Step]] &gt; current_step, "",Iterations[[#This Row],[Grad_c]]))</f>
        <v/>
      </c>
      <c r="Q1287" s="2" t="str">
        <f>IF(Iterations[[#This Row],[Step]] =current_step, current_Grad_d,IF(Iterations[[#This Row],[Step]] &gt; current_step, "",Iterations[[#This Row],[Grad_d]]))</f>
        <v/>
      </c>
      <c r="R1287" s="2" t="str">
        <f>IF(Iterations[[#This Row],[Step]] =current_step, current_Grad_e,IF(Iterations[[#This Row],[Step]] &gt; current_step, "",Iterations[[#This Row],[Grad_e]]))</f>
        <v/>
      </c>
    </row>
    <row r="1288" spans="6:18" x14ac:dyDescent="0.3">
      <c r="F1288" s="2">
        <f t="shared" si="25"/>
        <v>1271</v>
      </c>
      <c r="G1288" s="2" t="str">
        <f>IF(Iterations[[#This Row],[Step]] =current_step, current_a,IF(Iterations[[#This Row],[Step]] &gt; current_step, "",Iterations[[#This Row],[a]]))</f>
        <v/>
      </c>
      <c r="H1288" s="2" t="str">
        <f>IF(Iterations[[#This Row],[Step]] =current_step, current_b,IF(Iterations[[#This Row],[Step]] &gt; current_step, "",Iterations[[#This Row],[b]]))</f>
        <v/>
      </c>
      <c r="I1288" s="2" t="str">
        <f>IF(Iterations[[#This Row],[Step]] =current_step, current_c,IF(Iterations[[#This Row],[Step]] &gt; current_step, "",Iterations[[#This Row],[c]]))</f>
        <v/>
      </c>
      <c r="J1288" s="2" t="str">
        <f>IF(Iterations[[#This Row],[Step]] =current_step, current_d,IF(Iterations[[#This Row],[Step]] &gt; current_step, "",Iterations[[#This Row],[d]]))</f>
        <v/>
      </c>
      <c r="K1288" s="2" t="str">
        <f>IF(Iterations[[#This Row],[Step]] =current_step, current_e,IF(Iterations[[#This Row],[Step]] &gt; current_step, "",Iterations[[#This Row],[e]]))</f>
        <v/>
      </c>
      <c r="L1288" s="2" t="str">
        <f>IF(Iterations[[#This Row],[Step]] =current_step, current_Total_Loss,IF(Iterations[[#This Row],[Step]] &gt; current_step, "",Iterations[[#This Row],[Total Loss]]))</f>
        <v/>
      </c>
      <c r="M1288" s="6" t="s">
        <v>27</v>
      </c>
      <c r="N1288" s="2" t="str">
        <f>IF(Iterations[[#This Row],[Step]] =current_step, current_Grad_a,IF(Iterations[[#This Row],[Step]] &gt; current_step, "",Iterations[[#This Row],[Grad_a]]))</f>
        <v/>
      </c>
      <c r="O1288" s="2" t="str">
        <f>IF(Iterations[[#This Row],[Step]] =current_step, current_Grad_b,IF(Iterations[[#This Row],[Step]] &gt; current_step, "",Iterations[[#This Row],[Grad_b]]))</f>
        <v/>
      </c>
      <c r="P1288" s="2" t="str">
        <f>IF(Iterations[[#This Row],[Step]] =current_step, current_Grad_c,IF(Iterations[[#This Row],[Step]] &gt; current_step, "",Iterations[[#This Row],[Grad_c]]))</f>
        <v/>
      </c>
      <c r="Q1288" s="2" t="str">
        <f>IF(Iterations[[#This Row],[Step]] =current_step, current_Grad_d,IF(Iterations[[#This Row],[Step]] &gt; current_step, "",Iterations[[#This Row],[Grad_d]]))</f>
        <v/>
      </c>
      <c r="R1288" s="2" t="str">
        <f>IF(Iterations[[#This Row],[Step]] =current_step, current_Grad_e,IF(Iterations[[#This Row],[Step]] &gt; current_step, "",Iterations[[#This Row],[Grad_e]]))</f>
        <v/>
      </c>
    </row>
    <row r="1289" spans="6:18" x14ac:dyDescent="0.3">
      <c r="F1289" s="2">
        <f t="shared" si="25"/>
        <v>1272</v>
      </c>
      <c r="G1289" s="2" t="str">
        <f>IF(Iterations[[#This Row],[Step]] =current_step, current_a,IF(Iterations[[#This Row],[Step]] &gt; current_step, "",Iterations[[#This Row],[a]]))</f>
        <v/>
      </c>
      <c r="H1289" s="2" t="str">
        <f>IF(Iterations[[#This Row],[Step]] =current_step, current_b,IF(Iterations[[#This Row],[Step]] &gt; current_step, "",Iterations[[#This Row],[b]]))</f>
        <v/>
      </c>
      <c r="I1289" s="2" t="str">
        <f>IF(Iterations[[#This Row],[Step]] =current_step, current_c,IF(Iterations[[#This Row],[Step]] &gt; current_step, "",Iterations[[#This Row],[c]]))</f>
        <v/>
      </c>
      <c r="J1289" s="2" t="str">
        <f>IF(Iterations[[#This Row],[Step]] =current_step, current_d,IF(Iterations[[#This Row],[Step]] &gt; current_step, "",Iterations[[#This Row],[d]]))</f>
        <v/>
      </c>
      <c r="K1289" s="2" t="str">
        <f>IF(Iterations[[#This Row],[Step]] =current_step, current_e,IF(Iterations[[#This Row],[Step]] &gt; current_step, "",Iterations[[#This Row],[e]]))</f>
        <v/>
      </c>
      <c r="L1289" s="2" t="str">
        <f>IF(Iterations[[#This Row],[Step]] =current_step, current_Total_Loss,IF(Iterations[[#This Row],[Step]] &gt; current_step, "",Iterations[[#This Row],[Total Loss]]))</f>
        <v/>
      </c>
      <c r="M1289" s="6" t="s">
        <v>27</v>
      </c>
      <c r="N1289" s="2" t="str">
        <f>IF(Iterations[[#This Row],[Step]] =current_step, current_Grad_a,IF(Iterations[[#This Row],[Step]] &gt; current_step, "",Iterations[[#This Row],[Grad_a]]))</f>
        <v/>
      </c>
      <c r="O1289" s="2" t="str">
        <f>IF(Iterations[[#This Row],[Step]] =current_step, current_Grad_b,IF(Iterations[[#This Row],[Step]] &gt; current_step, "",Iterations[[#This Row],[Grad_b]]))</f>
        <v/>
      </c>
      <c r="P1289" s="2" t="str">
        <f>IF(Iterations[[#This Row],[Step]] =current_step, current_Grad_c,IF(Iterations[[#This Row],[Step]] &gt; current_step, "",Iterations[[#This Row],[Grad_c]]))</f>
        <v/>
      </c>
      <c r="Q1289" s="2" t="str">
        <f>IF(Iterations[[#This Row],[Step]] =current_step, current_Grad_d,IF(Iterations[[#This Row],[Step]] &gt; current_step, "",Iterations[[#This Row],[Grad_d]]))</f>
        <v/>
      </c>
      <c r="R1289" s="2" t="str">
        <f>IF(Iterations[[#This Row],[Step]] =current_step, current_Grad_e,IF(Iterations[[#This Row],[Step]] &gt; current_step, "",Iterations[[#This Row],[Grad_e]]))</f>
        <v/>
      </c>
    </row>
    <row r="1290" spans="6:18" x14ac:dyDescent="0.3">
      <c r="F1290" s="2">
        <f t="shared" si="25"/>
        <v>1273</v>
      </c>
      <c r="G1290" s="2" t="str">
        <f>IF(Iterations[[#This Row],[Step]] =current_step, current_a,IF(Iterations[[#This Row],[Step]] &gt; current_step, "",Iterations[[#This Row],[a]]))</f>
        <v/>
      </c>
      <c r="H1290" s="2" t="str">
        <f>IF(Iterations[[#This Row],[Step]] =current_step, current_b,IF(Iterations[[#This Row],[Step]] &gt; current_step, "",Iterations[[#This Row],[b]]))</f>
        <v/>
      </c>
      <c r="I1290" s="2" t="str">
        <f>IF(Iterations[[#This Row],[Step]] =current_step, current_c,IF(Iterations[[#This Row],[Step]] &gt; current_step, "",Iterations[[#This Row],[c]]))</f>
        <v/>
      </c>
      <c r="J1290" s="2" t="str">
        <f>IF(Iterations[[#This Row],[Step]] =current_step, current_d,IF(Iterations[[#This Row],[Step]] &gt; current_step, "",Iterations[[#This Row],[d]]))</f>
        <v/>
      </c>
      <c r="K1290" s="2" t="str">
        <f>IF(Iterations[[#This Row],[Step]] =current_step, current_e,IF(Iterations[[#This Row],[Step]] &gt; current_step, "",Iterations[[#This Row],[e]]))</f>
        <v/>
      </c>
      <c r="L1290" s="2" t="str">
        <f>IF(Iterations[[#This Row],[Step]] =current_step, current_Total_Loss,IF(Iterations[[#This Row],[Step]] &gt; current_step, "",Iterations[[#This Row],[Total Loss]]))</f>
        <v/>
      </c>
      <c r="M1290" s="6" t="s">
        <v>27</v>
      </c>
      <c r="N1290" s="2" t="str">
        <f>IF(Iterations[[#This Row],[Step]] =current_step, current_Grad_a,IF(Iterations[[#This Row],[Step]] &gt; current_step, "",Iterations[[#This Row],[Grad_a]]))</f>
        <v/>
      </c>
      <c r="O1290" s="2" t="str">
        <f>IF(Iterations[[#This Row],[Step]] =current_step, current_Grad_b,IF(Iterations[[#This Row],[Step]] &gt; current_step, "",Iterations[[#This Row],[Grad_b]]))</f>
        <v/>
      </c>
      <c r="P1290" s="2" t="str">
        <f>IF(Iterations[[#This Row],[Step]] =current_step, current_Grad_c,IF(Iterations[[#This Row],[Step]] &gt; current_step, "",Iterations[[#This Row],[Grad_c]]))</f>
        <v/>
      </c>
      <c r="Q1290" s="2" t="str">
        <f>IF(Iterations[[#This Row],[Step]] =current_step, current_Grad_d,IF(Iterations[[#This Row],[Step]] &gt; current_step, "",Iterations[[#This Row],[Grad_d]]))</f>
        <v/>
      </c>
      <c r="R1290" s="2" t="str">
        <f>IF(Iterations[[#This Row],[Step]] =current_step, current_Grad_e,IF(Iterations[[#This Row],[Step]] &gt; current_step, "",Iterations[[#This Row],[Grad_e]]))</f>
        <v/>
      </c>
    </row>
    <row r="1291" spans="6:18" x14ac:dyDescent="0.3">
      <c r="F1291" s="2">
        <f t="shared" si="25"/>
        <v>1274</v>
      </c>
      <c r="G1291" s="2" t="str">
        <f>IF(Iterations[[#This Row],[Step]] =current_step, current_a,IF(Iterations[[#This Row],[Step]] &gt; current_step, "",Iterations[[#This Row],[a]]))</f>
        <v/>
      </c>
      <c r="H1291" s="2" t="str">
        <f>IF(Iterations[[#This Row],[Step]] =current_step, current_b,IF(Iterations[[#This Row],[Step]] &gt; current_step, "",Iterations[[#This Row],[b]]))</f>
        <v/>
      </c>
      <c r="I1291" s="2" t="str">
        <f>IF(Iterations[[#This Row],[Step]] =current_step, current_c,IF(Iterations[[#This Row],[Step]] &gt; current_step, "",Iterations[[#This Row],[c]]))</f>
        <v/>
      </c>
      <c r="J1291" s="2" t="str">
        <f>IF(Iterations[[#This Row],[Step]] =current_step, current_d,IF(Iterations[[#This Row],[Step]] &gt; current_step, "",Iterations[[#This Row],[d]]))</f>
        <v/>
      </c>
      <c r="K1291" s="2" t="str">
        <f>IF(Iterations[[#This Row],[Step]] =current_step, current_e,IF(Iterations[[#This Row],[Step]] &gt; current_step, "",Iterations[[#This Row],[e]]))</f>
        <v/>
      </c>
      <c r="L1291" s="2" t="str">
        <f>IF(Iterations[[#This Row],[Step]] =current_step, current_Total_Loss,IF(Iterations[[#This Row],[Step]] &gt; current_step, "",Iterations[[#This Row],[Total Loss]]))</f>
        <v/>
      </c>
      <c r="M1291" s="6" t="s">
        <v>27</v>
      </c>
      <c r="N1291" s="2" t="str">
        <f>IF(Iterations[[#This Row],[Step]] =current_step, current_Grad_a,IF(Iterations[[#This Row],[Step]] &gt; current_step, "",Iterations[[#This Row],[Grad_a]]))</f>
        <v/>
      </c>
      <c r="O1291" s="2" t="str">
        <f>IF(Iterations[[#This Row],[Step]] =current_step, current_Grad_b,IF(Iterations[[#This Row],[Step]] &gt; current_step, "",Iterations[[#This Row],[Grad_b]]))</f>
        <v/>
      </c>
      <c r="P1291" s="2" t="str">
        <f>IF(Iterations[[#This Row],[Step]] =current_step, current_Grad_c,IF(Iterations[[#This Row],[Step]] &gt; current_step, "",Iterations[[#This Row],[Grad_c]]))</f>
        <v/>
      </c>
      <c r="Q1291" s="2" t="str">
        <f>IF(Iterations[[#This Row],[Step]] =current_step, current_Grad_d,IF(Iterations[[#This Row],[Step]] &gt; current_step, "",Iterations[[#This Row],[Grad_d]]))</f>
        <v/>
      </c>
      <c r="R1291" s="2" t="str">
        <f>IF(Iterations[[#This Row],[Step]] =current_step, current_Grad_e,IF(Iterations[[#This Row],[Step]] &gt; current_step, "",Iterations[[#This Row],[Grad_e]]))</f>
        <v/>
      </c>
    </row>
    <row r="1292" spans="6:18" x14ac:dyDescent="0.3">
      <c r="F1292" s="2">
        <f t="shared" si="25"/>
        <v>1275</v>
      </c>
      <c r="G1292" s="2" t="str">
        <f>IF(Iterations[[#This Row],[Step]] =current_step, current_a,IF(Iterations[[#This Row],[Step]] &gt; current_step, "",Iterations[[#This Row],[a]]))</f>
        <v/>
      </c>
      <c r="H1292" s="2" t="str">
        <f>IF(Iterations[[#This Row],[Step]] =current_step, current_b,IF(Iterations[[#This Row],[Step]] &gt; current_step, "",Iterations[[#This Row],[b]]))</f>
        <v/>
      </c>
      <c r="I1292" s="2" t="str">
        <f>IF(Iterations[[#This Row],[Step]] =current_step, current_c,IF(Iterations[[#This Row],[Step]] &gt; current_step, "",Iterations[[#This Row],[c]]))</f>
        <v/>
      </c>
      <c r="J1292" s="2" t="str">
        <f>IF(Iterations[[#This Row],[Step]] =current_step, current_d,IF(Iterations[[#This Row],[Step]] &gt; current_step, "",Iterations[[#This Row],[d]]))</f>
        <v/>
      </c>
      <c r="K1292" s="2" t="str">
        <f>IF(Iterations[[#This Row],[Step]] =current_step, current_e,IF(Iterations[[#This Row],[Step]] &gt; current_step, "",Iterations[[#This Row],[e]]))</f>
        <v/>
      </c>
      <c r="L1292" s="2" t="str">
        <f>IF(Iterations[[#This Row],[Step]] =current_step, current_Total_Loss,IF(Iterations[[#This Row],[Step]] &gt; current_step, "",Iterations[[#This Row],[Total Loss]]))</f>
        <v/>
      </c>
      <c r="M1292" s="6" t="s">
        <v>27</v>
      </c>
      <c r="N1292" s="2" t="str">
        <f>IF(Iterations[[#This Row],[Step]] =current_step, current_Grad_a,IF(Iterations[[#This Row],[Step]] &gt; current_step, "",Iterations[[#This Row],[Grad_a]]))</f>
        <v/>
      </c>
      <c r="O1292" s="2" t="str">
        <f>IF(Iterations[[#This Row],[Step]] =current_step, current_Grad_b,IF(Iterations[[#This Row],[Step]] &gt; current_step, "",Iterations[[#This Row],[Grad_b]]))</f>
        <v/>
      </c>
      <c r="P1292" s="2" t="str">
        <f>IF(Iterations[[#This Row],[Step]] =current_step, current_Grad_c,IF(Iterations[[#This Row],[Step]] &gt; current_step, "",Iterations[[#This Row],[Grad_c]]))</f>
        <v/>
      </c>
      <c r="Q1292" s="2" t="str">
        <f>IF(Iterations[[#This Row],[Step]] =current_step, current_Grad_d,IF(Iterations[[#This Row],[Step]] &gt; current_step, "",Iterations[[#This Row],[Grad_d]]))</f>
        <v/>
      </c>
      <c r="R1292" s="2" t="str">
        <f>IF(Iterations[[#This Row],[Step]] =current_step, current_Grad_e,IF(Iterations[[#This Row],[Step]] &gt; current_step, "",Iterations[[#This Row],[Grad_e]]))</f>
        <v/>
      </c>
    </row>
    <row r="1293" spans="6:18" x14ac:dyDescent="0.3">
      <c r="F1293" s="2">
        <f t="shared" si="25"/>
        <v>1276</v>
      </c>
      <c r="G1293" s="2" t="str">
        <f>IF(Iterations[[#This Row],[Step]] =current_step, current_a,IF(Iterations[[#This Row],[Step]] &gt; current_step, "",Iterations[[#This Row],[a]]))</f>
        <v/>
      </c>
      <c r="H1293" s="2" t="str">
        <f>IF(Iterations[[#This Row],[Step]] =current_step, current_b,IF(Iterations[[#This Row],[Step]] &gt; current_step, "",Iterations[[#This Row],[b]]))</f>
        <v/>
      </c>
      <c r="I1293" s="2" t="str">
        <f>IF(Iterations[[#This Row],[Step]] =current_step, current_c,IF(Iterations[[#This Row],[Step]] &gt; current_step, "",Iterations[[#This Row],[c]]))</f>
        <v/>
      </c>
      <c r="J1293" s="2" t="str">
        <f>IF(Iterations[[#This Row],[Step]] =current_step, current_d,IF(Iterations[[#This Row],[Step]] &gt; current_step, "",Iterations[[#This Row],[d]]))</f>
        <v/>
      </c>
      <c r="K1293" s="2" t="str">
        <f>IF(Iterations[[#This Row],[Step]] =current_step, current_e,IF(Iterations[[#This Row],[Step]] &gt; current_step, "",Iterations[[#This Row],[e]]))</f>
        <v/>
      </c>
      <c r="L1293" s="2" t="str">
        <f>IF(Iterations[[#This Row],[Step]] =current_step, current_Total_Loss,IF(Iterations[[#This Row],[Step]] &gt; current_step, "",Iterations[[#This Row],[Total Loss]]))</f>
        <v/>
      </c>
      <c r="M1293" s="6" t="s">
        <v>27</v>
      </c>
      <c r="N1293" s="2" t="str">
        <f>IF(Iterations[[#This Row],[Step]] =current_step, current_Grad_a,IF(Iterations[[#This Row],[Step]] &gt; current_step, "",Iterations[[#This Row],[Grad_a]]))</f>
        <v/>
      </c>
      <c r="O1293" s="2" t="str">
        <f>IF(Iterations[[#This Row],[Step]] =current_step, current_Grad_b,IF(Iterations[[#This Row],[Step]] &gt; current_step, "",Iterations[[#This Row],[Grad_b]]))</f>
        <v/>
      </c>
      <c r="P1293" s="2" t="str">
        <f>IF(Iterations[[#This Row],[Step]] =current_step, current_Grad_c,IF(Iterations[[#This Row],[Step]] &gt; current_step, "",Iterations[[#This Row],[Grad_c]]))</f>
        <v/>
      </c>
      <c r="Q1293" s="2" t="str">
        <f>IF(Iterations[[#This Row],[Step]] =current_step, current_Grad_d,IF(Iterations[[#This Row],[Step]] &gt; current_step, "",Iterations[[#This Row],[Grad_d]]))</f>
        <v/>
      </c>
      <c r="R1293" s="2" t="str">
        <f>IF(Iterations[[#This Row],[Step]] =current_step, current_Grad_e,IF(Iterations[[#This Row],[Step]] &gt; current_step, "",Iterations[[#This Row],[Grad_e]]))</f>
        <v/>
      </c>
    </row>
    <row r="1294" spans="6:18" x14ac:dyDescent="0.3">
      <c r="F1294" s="2">
        <f t="shared" si="25"/>
        <v>1277</v>
      </c>
      <c r="G1294" s="2" t="str">
        <f>IF(Iterations[[#This Row],[Step]] =current_step, current_a,IF(Iterations[[#This Row],[Step]] &gt; current_step, "",Iterations[[#This Row],[a]]))</f>
        <v/>
      </c>
      <c r="H1294" s="2" t="str">
        <f>IF(Iterations[[#This Row],[Step]] =current_step, current_b,IF(Iterations[[#This Row],[Step]] &gt; current_step, "",Iterations[[#This Row],[b]]))</f>
        <v/>
      </c>
      <c r="I1294" s="2" t="str">
        <f>IF(Iterations[[#This Row],[Step]] =current_step, current_c,IF(Iterations[[#This Row],[Step]] &gt; current_step, "",Iterations[[#This Row],[c]]))</f>
        <v/>
      </c>
      <c r="J1294" s="2" t="str">
        <f>IF(Iterations[[#This Row],[Step]] =current_step, current_d,IF(Iterations[[#This Row],[Step]] &gt; current_step, "",Iterations[[#This Row],[d]]))</f>
        <v/>
      </c>
      <c r="K1294" s="2" t="str">
        <f>IF(Iterations[[#This Row],[Step]] =current_step, current_e,IF(Iterations[[#This Row],[Step]] &gt; current_step, "",Iterations[[#This Row],[e]]))</f>
        <v/>
      </c>
      <c r="L1294" s="2" t="str">
        <f>IF(Iterations[[#This Row],[Step]] =current_step, current_Total_Loss,IF(Iterations[[#This Row],[Step]] &gt; current_step, "",Iterations[[#This Row],[Total Loss]]))</f>
        <v/>
      </c>
      <c r="M1294" s="6" t="s">
        <v>27</v>
      </c>
      <c r="N1294" s="2" t="str">
        <f>IF(Iterations[[#This Row],[Step]] =current_step, current_Grad_a,IF(Iterations[[#This Row],[Step]] &gt; current_step, "",Iterations[[#This Row],[Grad_a]]))</f>
        <v/>
      </c>
      <c r="O1294" s="2" t="str">
        <f>IF(Iterations[[#This Row],[Step]] =current_step, current_Grad_b,IF(Iterations[[#This Row],[Step]] &gt; current_step, "",Iterations[[#This Row],[Grad_b]]))</f>
        <v/>
      </c>
      <c r="P1294" s="2" t="str">
        <f>IF(Iterations[[#This Row],[Step]] =current_step, current_Grad_c,IF(Iterations[[#This Row],[Step]] &gt; current_step, "",Iterations[[#This Row],[Grad_c]]))</f>
        <v/>
      </c>
      <c r="Q1294" s="2" t="str">
        <f>IF(Iterations[[#This Row],[Step]] =current_step, current_Grad_d,IF(Iterations[[#This Row],[Step]] &gt; current_step, "",Iterations[[#This Row],[Grad_d]]))</f>
        <v/>
      </c>
      <c r="R1294" s="2" t="str">
        <f>IF(Iterations[[#This Row],[Step]] =current_step, current_Grad_e,IF(Iterations[[#This Row],[Step]] &gt; current_step, "",Iterations[[#This Row],[Grad_e]]))</f>
        <v/>
      </c>
    </row>
    <row r="1295" spans="6:18" x14ac:dyDescent="0.3">
      <c r="F1295" s="2">
        <f t="shared" si="25"/>
        <v>1278</v>
      </c>
      <c r="G1295" s="2" t="str">
        <f>IF(Iterations[[#This Row],[Step]] =current_step, current_a,IF(Iterations[[#This Row],[Step]] &gt; current_step, "",Iterations[[#This Row],[a]]))</f>
        <v/>
      </c>
      <c r="H1295" s="2" t="str">
        <f>IF(Iterations[[#This Row],[Step]] =current_step, current_b,IF(Iterations[[#This Row],[Step]] &gt; current_step, "",Iterations[[#This Row],[b]]))</f>
        <v/>
      </c>
      <c r="I1295" s="2" t="str">
        <f>IF(Iterations[[#This Row],[Step]] =current_step, current_c,IF(Iterations[[#This Row],[Step]] &gt; current_step, "",Iterations[[#This Row],[c]]))</f>
        <v/>
      </c>
      <c r="J1295" s="2" t="str">
        <f>IF(Iterations[[#This Row],[Step]] =current_step, current_d,IF(Iterations[[#This Row],[Step]] &gt; current_step, "",Iterations[[#This Row],[d]]))</f>
        <v/>
      </c>
      <c r="K1295" s="2" t="str">
        <f>IF(Iterations[[#This Row],[Step]] =current_step, current_e,IF(Iterations[[#This Row],[Step]] &gt; current_step, "",Iterations[[#This Row],[e]]))</f>
        <v/>
      </c>
      <c r="L1295" s="2" t="str">
        <f>IF(Iterations[[#This Row],[Step]] =current_step, current_Total_Loss,IF(Iterations[[#This Row],[Step]] &gt; current_step, "",Iterations[[#This Row],[Total Loss]]))</f>
        <v/>
      </c>
      <c r="M1295" s="6" t="s">
        <v>27</v>
      </c>
      <c r="N1295" s="2" t="str">
        <f>IF(Iterations[[#This Row],[Step]] =current_step, current_Grad_a,IF(Iterations[[#This Row],[Step]] &gt; current_step, "",Iterations[[#This Row],[Grad_a]]))</f>
        <v/>
      </c>
      <c r="O1295" s="2" t="str">
        <f>IF(Iterations[[#This Row],[Step]] =current_step, current_Grad_b,IF(Iterations[[#This Row],[Step]] &gt; current_step, "",Iterations[[#This Row],[Grad_b]]))</f>
        <v/>
      </c>
      <c r="P1295" s="2" t="str">
        <f>IF(Iterations[[#This Row],[Step]] =current_step, current_Grad_c,IF(Iterations[[#This Row],[Step]] &gt; current_step, "",Iterations[[#This Row],[Grad_c]]))</f>
        <v/>
      </c>
      <c r="Q1295" s="2" t="str">
        <f>IF(Iterations[[#This Row],[Step]] =current_step, current_Grad_d,IF(Iterations[[#This Row],[Step]] &gt; current_step, "",Iterations[[#This Row],[Grad_d]]))</f>
        <v/>
      </c>
      <c r="R1295" s="2" t="str">
        <f>IF(Iterations[[#This Row],[Step]] =current_step, current_Grad_e,IF(Iterations[[#This Row],[Step]] &gt; current_step, "",Iterations[[#This Row],[Grad_e]]))</f>
        <v/>
      </c>
    </row>
    <row r="1296" spans="6:18" x14ac:dyDescent="0.3">
      <c r="F1296" s="2">
        <f t="shared" si="25"/>
        <v>1279</v>
      </c>
      <c r="G1296" s="2" t="str">
        <f>IF(Iterations[[#This Row],[Step]] =current_step, current_a,IF(Iterations[[#This Row],[Step]] &gt; current_step, "",Iterations[[#This Row],[a]]))</f>
        <v/>
      </c>
      <c r="H1296" s="2" t="str">
        <f>IF(Iterations[[#This Row],[Step]] =current_step, current_b,IF(Iterations[[#This Row],[Step]] &gt; current_step, "",Iterations[[#This Row],[b]]))</f>
        <v/>
      </c>
      <c r="I1296" s="2" t="str">
        <f>IF(Iterations[[#This Row],[Step]] =current_step, current_c,IF(Iterations[[#This Row],[Step]] &gt; current_step, "",Iterations[[#This Row],[c]]))</f>
        <v/>
      </c>
      <c r="J1296" s="2" t="str">
        <f>IF(Iterations[[#This Row],[Step]] =current_step, current_d,IF(Iterations[[#This Row],[Step]] &gt; current_step, "",Iterations[[#This Row],[d]]))</f>
        <v/>
      </c>
      <c r="K1296" s="2" t="str">
        <f>IF(Iterations[[#This Row],[Step]] =current_step, current_e,IF(Iterations[[#This Row],[Step]] &gt; current_step, "",Iterations[[#This Row],[e]]))</f>
        <v/>
      </c>
      <c r="L1296" s="2" t="str">
        <f>IF(Iterations[[#This Row],[Step]] =current_step, current_Total_Loss,IF(Iterations[[#This Row],[Step]] &gt; current_step, "",Iterations[[#This Row],[Total Loss]]))</f>
        <v/>
      </c>
      <c r="M1296" s="6" t="s">
        <v>27</v>
      </c>
      <c r="N1296" s="2" t="str">
        <f>IF(Iterations[[#This Row],[Step]] =current_step, current_Grad_a,IF(Iterations[[#This Row],[Step]] &gt; current_step, "",Iterations[[#This Row],[Grad_a]]))</f>
        <v/>
      </c>
      <c r="O1296" s="2" t="str">
        <f>IF(Iterations[[#This Row],[Step]] =current_step, current_Grad_b,IF(Iterations[[#This Row],[Step]] &gt; current_step, "",Iterations[[#This Row],[Grad_b]]))</f>
        <v/>
      </c>
      <c r="P1296" s="2" t="str">
        <f>IF(Iterations[[#This Row],[Step]] =current_step, current_Grad_c,IF(Iterations[[#This Row],[Step]] &gt; current_step, "",Iterations[[#This Row],[Grad_c]]))</f>
        <v/>
      </c>
      <c r="Q1296" s="2" t="str">
        <f>IF(Iterations[[#This Row],[Step]] =current_step, current_Grad_d,IF(Iterations[[#This Row],[Step]] &gt; current_step, "",Iterations[[#This Row],[Grad_d]]))</f>
        <v/>
      </c>
      <c r="R1296" s="2" t="str">
        <f>IF(Iterations[[#This Row],[Step]] =current_step, current_Grad_e,IF(Iterations[[#This Row],[Step]] &gt; current_step, "",Iterations[[#This Row],[Grad_e]]))</f>
        <v/>
      </c>
    </row>
    <row r="1297" spans="6:18" x14ac:dyDescent="0.3">
      <c r="F1297" s="2">
        <f t="shared" si="25"/>
        <v>1280</v>
      </c>
      <c r="G1297" s="2" t="str">
        <f>IF(Iterations[[#This Row],[Step]] =current_step, current_a,IF(Iterations[[#This Row],[Step]] &gt; current_step, "",Iterations[[#This Row],[a]]))</f>
        <v/>
      </c>
      <c r="H1297" s="2" t="str">
        <f>IF(Iterations[[#This Row],[Step]] =current_step, current_b,IF(Iterations[[#This Row],[Step]] &gt; current_step, "",Iterations[[#This Row],[b]]))</f>
        <v/>
      </c>
      <c r="I1297" s="2" t="str">
        <f>IF(Iterations[[#This Row],[Step]] =current_step, current_c,IF(Iterations[[#This Row],[Step]] &gt; current_step, "",Iterations[[#This Row],[c]]))</f>
        <v/>
      </c>
      <c r="J1297" s="2" t="str">
        <f>IF(Iterations[[#This Row],[Step]] =current_step, current_d,IF(Iterations[[#This Row],[Step]] &gt; current_step, "",Iterations[[#This Row],[d]]))</f>
        <v/>
      </c>
      <c r="K1297" s="2" t="str">
        <f>IF(Iterations[[#This Row],[Step]] =current_step, current_e,IF(Iterations[[#This Row],[Step]] &gt; current_step, "",Iterations[[#This Row],[e]]))</f>
        <v/>
      </c>
      <c r="L1297" s="2" t="str">
        <f>IF(Iterations[[#This Row],[Step]] =current_step, current_Total_Loss,IF(Iterations[[#This Row],[Step]] &gt; current_step, "",Iterations[[#This Row],[Total Loss]]))</f>
        <v/>
      </c>
      <c r="M1297" s="6" t="s">
        <v>27</v>
      </c>
      <c r="N1297" s="2" t="str">
        <f>IF(Iterations[[#This Row],[Step]] =current_step, current_Grad_a,IF(Iterations[[#This Row],[Step]] &gt; current_step, "",Iterations[[#This Row],[Grad_a]]))</f>
        <v/>
      </c>
      <c r="O1297" s="2" t="str">
        <f>IF(Iterations[[#This Row],[Step]] =current_step, current_Grad_b,IF(Iterations[[#This Row],[Step]] &gt; current_step, "",Iterations[[#This Row],[Grad_b]]))</f>
        <v/>
      </c>
      <c r="P1297" s="2" t="str">
        <f>IF(Iterations[[#This Row],[Step]] =current_step, current_Grad_c,IF(Iterations[[#This Row],[Step]] &gt; current_step, "",Iterations[[#This Row],[Grad_c]]))</f>
        <v/>
      </c>
      <c r="Q1297" s="2" t="str">
        <f>IF(Iterations[[#This Row],[Step]] =current_step, current_Grad_d,IF(Iterations[[#This Row],[Step]] &gt; current_step, "",Iterations[[#This Row],[Grad_d]]))</f>
        <v/>
      </c>
      <c r="R1297" s="2" t="str">
        <f>IF(Iterations[[#This Row],[Step]] =current_step, current_Grad_e,IF(Iterations[[#This Row],[Step]] &gt; current_step, "",Iterations[[#This Row],[Grad_e]]))</f>
        <v/>
      </c>
    </row>
    <row r="1298" spans="6:18" x14ac:dyDescent="0.3">
      <c r="F1298" s="2">
        <f t="shared" si="25"/>
        <v>1281</v>
      </c>
      <c r="G1298" s="2" t="str">
        <f>IF(Iterations[[#This Row],[Step]] =current_step, current_a,IF(Iterations[[#This Row],[Step]] &gt; current_step, "",Iterations[[#This Row],[a]]))</f>
        <v/>
      </c>
      <c r="H1298" s="2" t="str">
        <f>IF(Iterations[[#This Row],[Step]] =current_step, current_b,IF(Iterations[[#This Row],[Step]] &gt; current_step, "",Iterations[[#This Row],[b]]))</f>
        <v/>
      </c>
      <c r="I1298" s="2" t="str">
        <f>IF(Iterations[[#This Row],[Step]] =current_step, current_c,IF(Iterations[[#This Row],[Step]] &gt; current_step, "",Iterations[[#This Row],[c]]))</f>
        <v/>
      </c>
      <c r="J1298" s="2" t="str">
        <f>IF(Iterations[[#This Row],[Step]] =current_step, current_d,IF(Iterations[[#This Row],[Step]] &gt; current_step, "",Iterations[[#This Row],[d]]))</f>
        <v/>
      </c>
      <c r="K1298" s="2" t="str">
        <f>IF(Iterations[[#This Row],[Step]] =current_step, current_e,IF(Iterations[[#This Row],[Step]] &gt; current_step, "",Iterations[[#This Row],[e]]))</f>
        <v/>
      </c>
      <c r="L1298" s="2" t="str">
        <f>IF(Iterations[[#This Row],[Step]] =current_step, current_Total_Loss,IF(Iterations[[#This Row],[Step]] &gt; current_step, "",Iterations[[#This Row],[Total Loss]]))</f>
        <v/>
      </c>
      <c r="M1298" s="6" t="s">
        <v>27</v>
      </c>
      <c r="N1298" s="2" t="str">
        <f>IF(Iterations[[#This Row],[Step]] =current_step, current_Grad_a,IF(Iterations[[#This Row],[Step]] &gt; current_step, "",Iterations[[#This Row],[Grad_a]]))</f>
        <v/>
      </c>
      <c r="O1298" s="2" t="str">
        <f>IF(Iterations[[#This Row],[Step]] =current_step, current_Grad_b,IF(Iterations[[#This Row],[Step]] &gt; current_step, "",Iterations[[#This Row],[Grad_b]]))</f>
        <v/>
      </c>
      <c r="P1298" s="2" t="str">
        <f>IF(Iterations[[#This Row],[Step]] =current_step, current_Grad_c,IF(Iterations[[#This Row],[Step]] &gt; current_step, "",Iterations[[#This Row],[Grad_c]]))</f>
        <v/>
      </c>
      <c r="Q1298" s="2" t="str">
        <f>IF(Iterations[[#This Row],[Step]] =current_step, current_Grad_d,IF(Iterations[[#This Row],[Step]] &gt; current_step, "",Iterations[[#This Row],[Grad_d]]))</f>
        <v/>
      </c>
      <c r="R1298" s="2" t="str">
        <f>IF(Iterations[[#This Row],[Step]] =current_step, current_Grad_e,IF(Iterations[[#This Row],[Step]] &gt; current_step, "",Iterations[[#This Row],[Grad_e]]))</f>
        <v/>
      </c>
    </row>
    <row r="1299" spans="6:18" x14ac:dyDescent="0.3">
      <c r="F1299" s="2">
        <f t="shared" si="25"/>
        <v>1282</v>
      </c>
      <c r="G1299" s="2" t="str">
        <f>IF(Iterations[[#This Row],[Step]] =current_step, current_a,IF(Iterations[[#This Row],[Step]] &gt; current_step, "",Iterations[[#This Row],[a]]))</f>
        <v/>
      </c>
      <c r="H1299" s="2" t="str">
        <f>IF(Iterations[[#This Row],[Step]] =current_step, current_b,IF(Iterations[[#This Row],[Step]] &gt; current_step, "",Iterations[[#This Row],[b]]))</f>
        <v/>
      </c>
      <c r="I1299" s="2" t="str">
        <f>IF(Iterations[[#This Row],[Step]] =current_step, current_c,IF(Iterations[[#This Row],[Step]] &gt; current_step, "",Iterations[[#This Row],[c]]))</f>
        <v/>
      </c>
      <c r="J1299" s="2" t="str">
        <f>IF(Iterations[[#This Row],[Step]] =current_step, current_d,IF(Iterations[[#This Row],[Step]] &gt; current_step, "",Iterations[[#This Row],[d]]))</f>
        <v/>
      </c>
      <c r="K1299" s="2" t="str">
        <f>IF(Iterations[[#This Row],[Step]] =current_step, current_e,IF(Iterations[[#This Row],[Step]] &gt; current_step, "",Iterations[[#This Row],[e]]))</f>
        <v/>
      </c>
      <c r="L1299" s="2" t="str">
        <f>IF(Iterations[[#This Row],[Step]] =current_step, current_Total_Loss,IF(Iterations[[#This Row],[Step]] &gt; current_step, "",Iterations[[#This Row],[Total Loss]]))</f>
        <v/>
      </c>
      <c r="M1299" s="6" t="s">
        <v>27</v>
      </c>
      <c r="N1299" s="2" t="str">
        <f>IF(Iterations[[#This Row],[Step]] =current_step, current_Grad_a,IF(Iterations[[#This Row],[Step]] &gt; current_step, "",Iterations[[#This Row],[Grad_a]]))</f>
        <v/>
      </c>
      <c r="O1299" s="2" t="str">
        <f>IF(Iterations[[#This Row],[Step]] =current_step, current_Grad_b,IF(Iterations[[#This Row],[Step]] &gt; current_step, "",Iterations[[#This Row],[Grad_b]]))</f>
        <v/>
      </c>
      <c r="P1299" s="2" t="str">
        <f>IF(Iterations[[#This Row],[Step]] =current_step, current_Grad_c,IF(Iterations[[#This Row],[Step]] &gt; current_step, "",Iterations[[#This Row],[Grad_c]]))</f>
        <v/>
      </c>
      <c r="Q1299" s="2" t="str">
        <f>IF(Iterations[[#This Row],[Step]] =current_step, current_Grad_d,IF(Iterations[[#This Row],[Step]] &gt; current_step, "",Iterations[[#This Row],[Grad_d]]))</f>
        <v/>
      </c>
      <c r="R1299" s="2" t="str">
        <f>IF(Iterations[[#This Row],[Step]] =current_step, current_Grad_e,IF(Iterations[[#This Row],[Step]] &gt; current_step, "",Iterations[[#This Row],[Grad_e]]))</f>
        <v/>
      </c>
    </row>
    <row r="1300" spans="6:18" x14ac:dyDescent="0.3">
      <c r="F1300" s="2">
        <f t="shared" si="25"/>
        <v>1283</v>
      </c>
      <c r="G1300" s="2" t="str">
        <f>IF(Iterations[[#This Row],[Step]] =current_step, current_a,IF(Iterations[[#This Row],[Step]] &gt; current_step, "",Iterations[[#This Row],[a]]))</f>
        <v/>
      </c>
      <c r="H1300" s="2" t="str">
        <f>IF(Iterations[[#This Row],[Step]] =current_step, current_b,IF(Iterations[[#This Row],[Step]] &gt; current_step, "",Iterations[[#This Row],[b]]))</f>
        <v/>
      </c>
      <c r="I1300" s="2" t="str">
        <f>IF(Iterations[[#This Row],[Step]] =current_step, current_c,IF(Iterations[[#This Row],[Step]] &gt; current_step, "",Iterations[[#This Row],[c]]))</f>
        <v/>
      </c>
      <c r="J1300" s="2" t="str">
        <f>IF(Iterations[[#This Row],[Step]] =current_step, current_d,IF(Iterations[[#This Row],[Step]] &gt; current_step, "",Iterations[[#This Row],[d]]))</f>
        <v/>
      </c>
      <c r="K1300" s="2" t="str">
        <f>IF(Iterations[[#This Row],[Step]] =current_step, current_e,IF(Iterations[[#This Row],[Step]] &gt; current_step, "",Iterations[[#This Row],[e]]))</f>
        <v/>
      </c>
      <c r="L1300" s="2" t="str">
        <f>IF(Iterations[[#This Row],[Step]] =current_step, current_Total_Loss,IF(Iterations[[#This Row],[Step]] &gt; current_step, "",Iterations[[#This Row],[Total Loss]]))</f>
        <v/>
      </c>
      <c r="M1300" s="6" t="s">
        <v>27</v>
      </c>
      <c r="N1300" s="2" t="str">
        <f>IF(Iterations[[#This Row],[Step]] =current_step, current_Grad_a,IF(Iterations[[#This Row],[Step]] &gt; current_step, "",Iterations[[#This Row],[Grad_a]]))</f>
        <v/>
      </c>
      <c r="O1300" s="2" t="str">
        <f>IF(Iterations[[#This Row],[Step]] =current_step, current_Grad_b,IF(Iterations[[#This Row],[Step]] &gt; current_step, "",Iterations[[#This Row],[Grad_b]]))</f>
        <v/>
      </c>
      <c r="P1300" s="2" t="str">
        <f>IF(Iterations[[#This Row],[Step]] =current_step, current_Grad_c,IF(Iterations[[#This Row],[Step]] &gt; current_step, "",Iterations[[#This Row],[Grad_c]]))</f>
        <v/>
      </c>
      <c r="Q1300" s="2" t="str">
        <f>IF(Iterations[[#This Row],[Step]] =current_step, current_Grad_d,IF(Iterations[[#This Row],[Step]] &gt; current_step, "",Iterations[[#This Row],[Grad_d]]))</f>
        <v/>
      </c>
      <c r="R1300" s="2" t="str">
        <f>IF(Iterations[[#This Row],[Step]] =current_step, current_Grad_e,IF(Iterations[[#This Row],[Step]] &gt; current_step, "",Iterations[[#This Row],[Grad_e]]))</f>
        <v/>
      </c>
    </row>
    <row r="1301" spans="6:18" x14ac:dyDescent="0.3">
      <c r="F1301" s="2">
        <f t="shared" si="25"/>
        <v>1284</v>
      </c>
      <c r="G1301" s="2" t="str">
        <f>IF(Iterations[[#This Row],[Step]] =current_step, current_a,IF(Iterations[[#This Row],[Step]] &gt; current_step, "",Iterations[[#This Row],[a]]))</f>
        <v/>
      </c>
      <c r="H1301" s="2" t="str">
        <f>IF(Iterations[[#This Row],[Step]] =current_step, current_b,IF(Iterations[[#This Row],[Step]] &gt; current_step, "",Iterations[[#This Row],[b]]))</f>
        <v/>
      </c>
      <c r="I1301" s="2" t="str">
        <f>IF(Iterations[[#This Row],[Step]] =current_step, current_c,IF(Iterations[[#This Row],[Step]] &gt; current_step, "",Iterations[[#This Row],[c]]))</f>
        <v/>
      </c>
      <c r="J1301" s="2" t="str">
        <f>IF(Iterations[[#This Row],[Step]] =current_step, current_d,IF(Iterations[[#This Row],[Step]] &gt; current_step, "",Iterations[[#This Row],[d]]))</f>
        <v/>
      </c>
      <c r="K1301" s="2" t="str">
        <f>IF(Iterations[[#This Row],[Step]] =current_step, current_e,IF(Iterations[[#This Row],[Step]] &gt; current_step, "",Iterations[[#This Row],[e]]))</f>
        <v/>
      </c>
      <c r="L1301" s="2" t="str">
        <f>IF(Iterations[[#This Row],[Step]] =current_step, current_Total_Loss,IF(Iterations[[#This Row],[Step]] &gt; current_step, "",Iterations[[#This Row],[Total Loss]]))</f>
        <v/>
      </c>
      <c r="M1301" s="6" t="s">
        <v>27</v>
      </c>
      <c r="N1301" s="2" t="str">
        <f>IF(Iterations[[#This Row],[Step]] =current_step, current_Grad_a,IF(Iterations[[#This Row],[Step]] &gt; current_step, "",Iterations[[#This Row],[Grad_a]]))</f>
        <v/>
      </c>
      <c r="O1301" s="2" t="str">
        <f>IF(Iterations[[#This Row],[Step]] =current_step, current_Grad_b,IF(Iterations[[#This Row],[Step]] &gt; current_step, "",Iterations[[#This Row],[Grad_b]]))</f>
        <v/>
      </c>
      <c r="P1301" s="2" t="str">
        <f>IF(Iterations[[#This Row],[Step]] =current_step, current_Grad_c,IF(Iterations[[#This Row],[Step]] &gt; current_step, "",Iterations[[#This Row],[Grad_c]]))</f>
        <v/>
      </c>
      <c r="Q1301" s="2" t="str">
        <f>IF(Iterations[[#This Row],[Step]] =current_step, current_Grad_d,IF(Iterations[[#This Row],[Step]] &gt; current_step, "",Iterations[[#This Row],[Grad_d]]))</f>
        <v/>
      </c>
      <c r="R1301" s="2" t="str">
        <f>IF(Iterations[[#This Row],[Step]] =current_step, current_Grad_e,IF(Iterations[[#This Row],[Step]] &gt; current_step, "",Iterations[[#This Row],[Grad_e]]))</f>
        <v/>
      </c>
    </row>
    <row r="1302" spans="6:18" x14ac:dyDescent="0.3">
      <c r="F1302" s="2">
        <f t="shared" si="25"/>
        <v>1285</v>
      </c>
      <c r="G1302" s="2" t="str">
        <f>IF(Iterations[[#This Row],[Step]] =current_step, current_a,IF(Iterations[[#This Row],[Step]] &gt; current_step, "",Iterations[[#This Row],[a]]))</f>
        <v/>
      </c>
      <c r="H1302" s="2" t="str">
        <f>IF(Iterations[[#This Row],[Step]] =current_step, current_b,IF(Iterations[[#This Row],[Step]] &gt; current_step, "",Iterations[[#This Row],[b]]))</f>
        <v/>
      </c>
      <c r="I1302" s="2" t="str">
        <f>IF(Iterations[[#This Row],[Step]] =current_step, current_c,IF(Iterations[[#This Row],[Step]] &gt; current_step, "",Iterations[[#This Row],[c]]))</f>
        <v/>
      </c>
      <c r="J1302" s="2" t="str">
        <f>IF(Iterations[[#This Row],[Step]] =current_step, current_d,IF(Iterations[[#This Row],[Step]] &gt; current_step, "",Iterations[[#This Row],[d]]))</f>
        <v/>
      </c>
      <c r="K1302" s="2" t="str">
        <f>IF(Iterations[[#This Row],[Step]] =current_step, current_e,IF(Iterations[[#This Row],[Step]] &gt; current_step, "",Iterations[[#This Row],[e]]))</f>
        <v/>
      </c>
      <c r="L1302" s="2" t="str">
        <f>IF(Iterations[[#This Row],[Step]] =current_step, current_Total_Loss,IF(Iterations[[#This Row],[Step]] &gt; current_step, "",Iterations[[#This Row],[Total Loss]]))</f>
        <v/>
      </c>
      <c r="M1302" s="6" t="s">
        <v>27</v>
      </c>
      <c r="N1302" s="2" t="str">
        <f>IF(Iterations[[#This Row],[Step]] =current_step, current_Grad_a,IF(Iterations[[#This Row],[Step]] &gt; current_step, "",Iterations[[#This Row],[Grad_a]]))</f>
        <v/>
      </c>
      <c r="O1302" s="2" t="str">
        <f>IF(Iterations[[#This Row],[Step]] =current_step, current_Grad_b,IF(Iterations[[#This Row],[Step]] &gt; current_step, "",Iterations[[#This Row],[Grad_b]]))</f>
        <v/>
      </c>
      <c r="P1302" s="2" t="str">
        <f>IF(Iterations[[#This Row],[Step]] =current_step, current_Grad_c,IF(Iterations[[#This Row],[Step]] &gt; current_step, "",Iterations[[#This Row],[Grad_c]]))</f>
        <v/>
      </c>
      <c r="Q1302" s="2" t="str">
        <f>IF(Iterations[[#This Row],[Step]] =current_step, current_Grad_d,IF(Iterations[[#This Row],[Step]] &gt; current_step, "",Iterations[[#This Row],[Grad_d]]))</f>
        <v/>
      </c>
      <c r="R1302" s="2" t="str">
        <f>IF(Iterations[[#This Row],[Step]] =current_step, current_Grad_e,IF(Iterations[[#This Row],[Step]] &gt; current_step, "",Iterations[[#This Row],[Grad_e]]))</f>
        <v/>
      </c>
    </row>
    <row r="1303" spans="6:18" x14ac:dyDescent="0.3">
      <c r="F1303" s="2">
        <f t="shared" si="25"/>
        <v>1286</v>
      </c>
      <c r="G1303" s="2" t="str">
        <f>IF(Iterations[[#This Row],[Step]] =current_step, current_a,IF(Iterations[[#This Row],[Step]] &gt; current_step, "",Iterations[[#This Row],[a]]))</f>
        <v/>
      </c>
      <c r="H1303" s="2" t="str">
        <f>IF(Iterations[[#This Row],[Step]] =current_step, current_b,IF(Iterations[[#This Row],[Step]] &gt; current_step, "",Iterations[[#This Row],[b]]))</f>
        <v/>
      </c>
      <c r="I1303" s="2" t="str">
        <f>IF(Iterations[[#This Row],[Step]] =current_step, current_c,IF(Iterations[[#This Row],[Step]] &gt; current_step, "",Iterations[[#This Row],[c]]))</f>
        <v/>
      </c>
      <c r="J1303" s="2" t="str">
        <f>IF(Iterations[[#This Row],[Step]] =current_step, current_d,IF(Iterations[[#This Row],[Step]] &gt; current_step, "",Iterations[[#This Row],[d]]))</f>
        <v/>
      </c>
      <c r="K1303" s="2" t="str">
        <f>IF(Iterations[[#This Row],[Step]] =current_step, current_e,IF(Iterations[[#This Row],[Step]] &gt; current_step, "",Iterations[[#This Row],[e]]))</f>
        <v/>
      </c>
      <c r="L1303" s="2" t="str">
        <f>IF(Iterations[[#This Row],[Step]] =current_step, current_Total_Loss,IF(Iterations[[#This Row],[Step]] &gt; current_step, "",Iterations[[#This Row],[Total Loss]]))</f>
        <v/>
      </c>
      <c r="M1303" s="6" t="s">
        <v>27</v>
      </c>
      <c r="N1303" s="2" t="str">
        <f>IF(Iterations[[#This Row],[Step]] =current_step, current_Grad_a,IF(Iterations[[#This Row],[Step]] &gt; current_step, "",Iterations[[#This Row],[Grad_a]]))</f>
        <v/>
      </c>
      <c r="O1303" s="2" t="str">
        <f>IF(Iterations[[#This Row],[Step]] =current_step, current_Grad_b,IF(Iterations[[#This Row],[Step]] &gt; current_step, "",Iterations[[#This Row],[Grad_b]]))</f>
        <v/>
      </c>
      <c r="P1303" s="2" t="str">
        <f>IF(Iterations[[#This Row],[Step]] =current_step, current_Grad_c,IF(Iterations[[#This Row],[Step]] &gt; current_step, "",Iterations[[#This Row],[Grad_c]]))</f>
        <v/>
      </c>
      <c r="Q1303" s="2" t="str">
        <f>IF(Iterations[[#This Row],[Step]] =current_step, current_Grad_d,IF(Iterations[[#This Row],[Step]] &gt; current_step, "",Iterations[[#This Row],[Grad_d]]))</f>
        <v/>
      </c>
      <c r="R1303" s="2" t="str">
        <f>IF(Iterations[[#This Row],[Step]] =current_step, current_Grad_e,IF(Iterations[[#This Row],[Step]] &gt; current_step, "",Iterations[[#This Row],[Grad_e]]))</f>
        <v/>
      </c>
    </row>
    <row r="1304" spans="6:18" x14ac:dyDescent="0.3">
      <c r="F1304" s="2">
        <f t="shared" si="25"/>
        <v>1287</v>
      </c>
      <c r="G1304" s="2" t="str">
        <f>IF(Iterations[[#This Row],[Step]] =current_step, current_a,IF(Iterations[[#This Row],[Step]] &gt; current_step, "",Iterations[[#This Row],[a]]))</f>
        <v/>
      </c>
      <c r="H1304" s="2" t="str">
        <f>IF(Iterations[[#This Row],[Step]] =current_step, current_b,IF(Iterations[[#This Row],[Step]] &gt; current_step, "",Iterations[[#This Row],[b]]))</f>
        <v/>
      </c>
      <c r="I1304" s="2" t="str">
        <f>IF(Iterations[[#This Row],[Step]] =current_step, current_c,IF(Iterations[[#This Row],[Step]] &gt; current_step, "",Iterations[[#This Row],[c]]))</f>
        <v/>
      </c>
      <c r="J1304" s="2" t="str">
        <f>IF(Iterations[[#This Row],[Step]] =current_step, current_d,IF(Iterations[[#This Row],[Step]] &gt; current_step, "",Iterations[[#This Row],[d]]))</f>
        <v/>
      </c>
      <c r="K1304" s="2" t="str">
        <f>IF(Iterations[[#This Row],[Step]] =current_step, current_e,IF(Iterations[[#This Row],[Step]] &gt; current_step, "",Iterations[[#This Row],[e]]))</f>
        <v/>
      </c>
      <c r="L1304" s="2" t="str">
        <f>IF(Iterations[[#This Row],[Step]] =current_step, current_Total_Loss,IF(Iterations[[#This Row],[Step]] &gt; current_step, "",Iterations[[#This Row],[Total Loss]]))</f>
        <v/>
      </c>
      <c r="M1304" s="6" t="s">
        <v>27</v>
      </c>
      <c r="N1304" s="2" t="str">
        <f>IF(Iterations[[#This Row],[Step]] =current_step, current_Grad_a,IF(Iterations[[#This Row],[Step]] &gt; current_step, "",Iterations[[#This Row],[Grad_a]]))</f>
        <v/>
      </c>
      <c r="O1304" s="2" t="str">
        <f>IF(Iterations[[#This Row],[Step]] =current_step, current_Grad_b,IF(Iterations[[#This Row],[Step]] &gt; current_step, "",Iterations[[#This Row],[Grad_b]]))</f>
        <v/>
      </c>
      <c r="P1304" s="2" t="str">
        <f>IF(Iterations[[#This Row],[Step]] =current_step, current_Grad_c,IF(Iterations[[#This Row],[Step]] &gt; current_step, "",Iterations[[#This Row],[Grad_c]]))</f>
        <v/>
      </c>
      <c r="Q1304" s="2" t="str">
        <f>IF(Iterations[[#This Row],[Step]] =current_step, current_Grad_d,IF(Iterations[[#This Row],[Step]] &gt; current_step, "",Iterations[[#This Row],[Grad_d]]))</f>
        <v/>
      </c>
      <c r="R1304" s="2" t="str">
        <f>IF(Iterations[[#This Row],[Step]] =current_step, current_Grad_e,IF(Iterations[[#This Row],[Step]] &gt; current_step, "",Iterations[[#This Row],[Grad_e]]))</f>
        <v/>
      </c>
    </row>
    <row r="1305" spans="6:18" x14ac:dyDescent="0.3">
      <c r="F1305" s="2">
        <f t="shared" si="25"/>
        <v>1288</v>
      </c>
      <c r="G1305" s="2" t="str">
        <f>IF(Iterations[[#This Row],[Step]] =current_step, current_a,IF(Iterations[[#This Row],[Step]] &gt; current_step, "",Iterations[[#This Row],[a]]))</f>
        <v/>
      </c>
      <c r="H1305" s="2" t="str">
        <f>IF(Iterations[[#This Row],[Step]] =current_step, current_b,IF(Iterations[[#This Row],[Step]] &gt; current_step, "",Iterations[[#This Row],[b]]))</f>
        <v/>
      </c>
      <c r="I1305" s="2" t="str">
        <f>IF(Iterations[[#This Row],[Step]] =current_step, current_c,IF(Iterations[[#This Row],[Step]] &gt; current_step, "",Iterations[[#This Row],[c]]))</f>
        <v/>
      </c>
      <c r="J1305" s="2" t="str">
        <f>IF(Iterations[[#This Row],[Step]] =current_step, current_d,IF(Iterations[[#This Row],[Step]] &gt; current_step, "",Iterations[[#This Row],[d]]))</f>
        <v/>
      </c>
      <c r="K1305" s="2" t="str">
        <f>IF(Iterations[[#This Row],[Step]] =current_step, current_e,IF(Iterations[[#This Row],[Step]] &gt; current_step, "",Iterations[[#This Row],[e]]))</f>
        <v/>
      </c>
      <c r="L1305" s="2" t="str">
        <f>IF(Iterations[[#This Row],[Step]] =current_step, current_Total_Loss,IF(Iterations[[#This Row],[Step]] &gt; current_step, "",Iterations[[#This Row],[Total Loss]]))</f>
        <v/>
      </c>
      <c r="M1305" s="6" t="s">
        <v>27</v>
      </c>
      <c r="N1305" s="2" t="str">
        <f>IF(Iterations[[#This Row],[Step]] =current_step, current_Grad_a,IF(Iterations[[#This Row],[Step]] &gt; current_step, "",Iterations[[#This Row],[Grad_a]]))</f>
        <v/>
      </c>
      <c r="O1305" s="2" t="str">
        <f>IF(Iterations[[#This Row],[Step]] =current_step, current_Grad_b,IF(Iterations[[#This Row],[Step]] &gt; current_step, "",Iterations[[#This Row],[Grad_b]]))</f>
        <v/>
      </c>
      <c r="P1305" s="2" t="str">
        <f>IF(Iterations[[#This Row],[Step]] =current_step, current_Grad_c,IF(Iterations[[#This Row],[Step]] &gt; current_step, "",Iterations[[#This Row],[Grad_c]]))</f>
        <v/>
      </c>
      <c r="Q1305" s="2" t="str">
        <f>IF(Iterations[[#This Row],[Step]] =current_step, current_Grad_d,IF(Iterations[[#This Row],[Step]] &gt; current_step, "",Iterations[[#This Row],[Grad_d]]))</f>
        <v/>
      </c>
      <c r="R1305" s="2" t="str">
        <f>IF(Iterations[[#This Row],[Step]] =current_step, current_Grad_e,IF(Iterations[[#This Row],[Step]] &gt; current_step, "",Iterations[[#This Row],[Grad_e]]))</f>
        <v/>
      </c>
    </row>
    <row r="1306" spans="6:18" x14ac:dyDescent="0.3">
      <c r="F1306" s="2">
        <f t="shared" si="25"/>
        <v>1289</v>
      </c>
      <c r="G1306" s="2" t="str">
        <f>IF(Iterations[[#This Row],[Step]] =current_step, current_a,IF(Iterations[[#This Row],[Step]] &gt; current_step, "",Iterations[[#This Row],[a]]))</f>
        <v/>
      </c>
      <c r="H1306" s="2" t="str">
        <f>IF(Iterations[[#This Row],[Step]] =current_step, current_b,IF(Iterations[[#This Row],[Step]] &gt; current_step, "",Iterations[[#This Row],[b]]))</f>
        <v/>
      </c>
      <c r="I1306" s="2" t="str">
        <f>IF(Iterations[[#This Row],[Step]] =current_step, current_c,IF(Iterations[[#This Row],[Step]] &gt; current_step, "",Iterations[[#This Row],[c]]))</f>
        <v/>
      </c>
      <c r="J1306" s="2" t="str">
        <f>IF(Iterations[[#This Row],[Step]] =current_step, current_d,IF(Iterations[[#This Row],[Step]] &gt; current_step, "",Iterations[[#This Row],[d]]))</f>
        <v/>
      </c>
      <c r="K1306" s="2" t="str">
        <f>IF(Iterations[[#This Row],[Step]] =current_step, current_e,IF(Iterations[[#This Row],[Step]] &gt; current_step, "",Iterations[[#This Row],[e]]))</f>
        <v/>
      </c>
      <c r="L1306" s="2" t="str">
        <f>IF(Iterations[[#This Row],[Step]] =current_step, current_Total_Loss,IF(Iterations[[#This Row],[Step]] &gt; current_step, "",Iterations[[#This Row],[Total Loss]]))</f>
        <v/>
      </c>
      <c r="M1306" s="6" t="s">
        <v>27</v>
      </c>
      <c r="N1306" s="2" t="str">
        <f>IF(Iterations[[#This Row],[Step]] =current_step, current_Grad_a,IF(Iterations[[#This Row],[Step]] &gt; current_step, "",Iterations[[#This Row],[Grad_a]]))</f>
        <v/>
      </c>
      <c r="O1306" s="2" t="str">
        <f>IF(Iterations[[#This Row],[Step]] =current_step, current_Grad_b,IF(Iterations[[#This Row],[Step]] &gt; current_step, "",Iterations[[#This Row],[Grad_b]]))</f>
        <v/>
      </c>
      <c r="P1306" s="2" t="str">
        <f>IF(Iterations[[#This Row],[Step]] =current_step, current_Grad_c,IF(Iterations[[#This Row],[Step]] &gt; current_step, "",Iterations[[#This Row],[Grad_c]]))</f>
        <v/>
      </c>
      <c r="Q1306" s="2" t="str">
        <f>IF(Iterations[[#This Row],[Step]] =current_step, current_Grad_d,IF(Iterations[[#This Row],[Step]] &gt; current_step, "",Iterations[[#This Row],[Grad_d]]))</f>
        <v/>
      </c>
      <c r="R1306" s="2" t="str">
        <f>IF(Iterations[[#This Row],[Step]] =current_step, current_Grad_e,IF(Iterations[[#This Row],[Step]] &gt; current_step, "",Iterations[[#This Row],[Grad_e]]))</f>
        <v/>
      </c>
    </row>
    <row r="1307" spans="6:18" x14ac:dyDescent="0.3">
      <c r="F1307" s="2">
        <f t="shared" si="25"/>
        <v>1290</v>
      </c>
      <c r="G1307" s="2" t="str">
        <f>IF(Iterations[[#This Row],[Step]] =current_step, current_a,IF(Iterations[[#This Row],[Step]] &gt; current_step, "",Iterations[[#This Row],[a]]))</f>
        <v/>
      </c>
      <c r="H1307" s="2" t="str">
        <f>IF(Iterations[[#This Row],[Step]] =current_step, current_b,IF(Iterations[[#This Row],[Step]] &gt; current_step, "",Iterations[[#This Row],[b]]))</f>
        <v/>
      </c>
      <c r="I1307" s="2" t="str">
        <f>IF(Iterations[[#This Row],[Step]] =current_step, current_c,IF(Iterations[[#This Row],[Step]] &gt; current_step, "",Iterations[[#This Row],[c]]))</f>
        <v/>
      </c>
      <c r="J1307" s="2" t="str">
        <f>IF(Iterations[[#This Row],[Step]] =current_step, current_d,IF(Iterations[[#This Row],[Step]] &gt; current_step, "",Iterations[[#This Row],[d]]))</f>
        <v/>
      </c>
      <c r="K1307" s="2" t="str">
        <f>IF(Iterations[[#This Row],[Step]] =current_step, current_e,IF(Iterations[[#This Row],[Step]] &gt; current_step, "",Iterations[[#This Row],[e]]))</f>
        <v/>
      </c>
      <c r="L1307" s="2" t="str">
        <f>IF(Iterations[[#This Row],[Step]] =current_step, current_Total_Loss,IF(Iterations[[#This Row],[Step]] &gt; current_step, "",Iterations[[#This Row],[Total Loss]]))</f>
        <v/>
      </c>
      <c r="M1307" s="6" t="s">
        <v>27</v>
      </c>
      <c r="N1307" s="2" t="str">
        <f>IF(Iterations[[#This Row],[Step]] =current_step, current_Grad_a,IF(Iterations[[#This Row],[Step]] &gt; current_step, "",Iterations[[#This Row],[Grad_a]]))</f>
        <v/>
      </c>
      <c r="O1307" s="2" t="str">
        <f>IF(Iterations[[#This Row],[Step]] =current_step, current_Grad_b,IF(Iterations[[#This Row],[Step]] &gt; current_step, "",Iterations[[#This Row],[Grad_b]]))</f>
        <v/>
      </c>
      <c r="P1307" s="2" t="str">
        <f>IF(Iterations[[#This Row],[Step]] =current_step, current_Grad_c,IF(Iterations[[#This Row],[Step]] &gt; current_step, "",Iterations[[#This Row],[Grad_c]]))</f>
        <v/>
      </c>
      <c r="Q1307" s="2" t="str">
        <f>IF(Iterations[[#This Row],[Step]] =current_step, current_Grad_d,IF(Iterations[[#This Row],[Step]] &gt; current_step, "",Iterations[[#This Row],[Grad_d]]))</f>
        <v/>
      </c>
      <c r="R1307" s="2" t="str">
        <f>IF(Iterations[[#This Row],[Step]] =current_step, current_Grad_e,IF(Iterations[[#This Row],[Step]] &gt; current_step, "",Iterations[[#This Row],[Grad_e]]))</f>
        <v/>
      </c>
    </row>
    <row r="1308" spans="6:18" x14ac:dyDescent="0.3">
      <c r="F1308" s="2">
        <f t="shared" si="25"/>
        <v>1291</v>
      </c>
      <c r="G1308" s="2" t="str">
        <f>IF(Iterations[[#This Row],[Step]] =current_step, current_a,IF(Iterations[[#This Row],[Step]] &gt; current_step, "",Iterations[[#This Row],[a]]))</f>
        <v/>
      </c>
      <c r="H1308" s="2" t="str">
        <f>IF(Iterations[[#This Row],[Step]] =current_step, current_b,IF(Iterations[[#This Row],[Step]] &gt; current_step, "",Iterations[[#This Row],[b]]))</f>
        <v/>
      </c>
      <c r="I1308" s="2" t="str">
        <f>IF(Iterations[[#This Row],[Step]] =current_step, current_c,IF(Iterations[[#This Row],[Step]] &gt; current_step, "",Iterations[[#This Row],[c]]))</f>
        <v/>
      </c>
      <c r="J1308" s="2" t="str">
        <f>IF(Iterations[[#This Row],[Step]] =current_step, current_d,IF(Iterations[[#This Row],[Step]] &gt; current_step, "",Iterations[[#This Row],[d]]))</f>
        <v/>
      </c>
      <c r="K1308" s="2" t="str">
        <f>IF(Iterations[[#This Row],[Step]] =current_step, current_e,IF(Iterations[[#This Row],[Step]] &gt; current_step, "",Iterations[[#This Row],[e]]))</f>
        <v/>
      </c>
      <c r="L1308" s="2" t="str">
        <f>IF(Iterations[[#This Row],[Step]] =current_step, current_Total_Loss,IF(Iterations[[#This Row],[Step]] &gt; current_step, "",Iterations[[#This Row],[Total Loss]]))</f>
        <v/>
      </c>
      <c r="M1308" s="6" t="s">
        <v>27</v>
      </c>
      <c r="N1308" s="2" t="str">
        <f>IF(Iterations[[#This Row],[Step]] =current_step, current_Grad_a,IF(Iterations[[#This Row],[Step]] &gt; current_step, "",Iterations[[#This Row],[Grad_a]]))</f>
        <v/>
      </c>
      <c r="O1308" s="2" t="str">
        <f>IF(Iterations[[#This Row],[Step]] =current_step, current_Grad_b,IF(Iterations[[#This Row],[Step]] &gt; current_step, "",Iterations[[#This Row],[Grad_b]]))</f>
        <v/>
      </c>
      <c r="P1308" s="2" t="str">
        <f>IF(Iterations[[#This Row],[Step]] =current_step, current_Grad_c,IF(Iterations[[#This Row],[Step]] &gt; current_step, "",Iterations[[#This Row],[Grad_c]]))</f>
        <v/>
      </c>
      <c r="Q1308" s="2" t="str">
        <f>IF(Iterations[[#This Row],[Step]] =current_step, current_Grad_d,IF(Iterations[[#This Row],[Step]] &gt; current_step, "",Iterations[[#This Row],[Grad_d]]))</f>
        <v/>
      </c>
      <c r="R1308" s="2" t="str">
        <f>IF(Iterations[[#This Row],[Step]] =current_step, current_Grad_e,IF(Iterations[[#This Row],[Step]] &gt; current_step, "",Iterations[[#This Row],[Grad_e]]))</f>
        <v/>
      </c>
    </row>
    <row r="1309" spans="6:18" x14ac:dyDescent="0.3">
      <c r="F1309" s="2">
        <f t="shared" si="25"/>
        <v>1292</v>
      </c>
      <c r="G1309" s="2" t="str">
        <f>IF(Iterations[[#This Row],[Step]] =current_step, current_a,IF(Iterations[[#This Row],[Step]] &gt; current_step, "",Iterations[[#This Row],[a]]))</f>
        <v/>
      </c>
      <c r="H1309" s="2" t="str">
        <f>IF(Iterations[[#This Row],[Step]] =current_step, current_b,IF(Iterations[[#This Row],[Step]] &gt; current_step, "",Iterations[[#This Row],[b]]))</f>
        <v/>
      </c>
      <c r="I1309" s="2" t="str">
        <f>IF(Iterations[[#This Row],[Step]] =current_step, current_c,IF(Iterations[[#This Row],[Step]] &gt; current_step, "",Iterations[[#This Row],[c]]))</f>
        <v/>
      </c>
      <c r="J1309" s="2" t="str">
        <f>IF(Iterations[[#This Row],[Step]] =current_step, current_d,IF(Iterations[[#This Row],[Step]] &gt; current_step, "",Iterations[[#This Row],[d]]))</f>
        <v/>
      </c>
      <c r="K1309" s="2" t="str">
        <f>IF(Iterations[[#This Row],[Step]] =current_step, current_e,IF(Iterations[[#This Row],[Step]] &gt; current_step, "",Iterations[[#This Row],[e]]))</f>
        <v/>
      </c>
      <c r="L1309" s="2" t="str">
        <f>IF(Iterations[[#This Row],[Step]] =current_step, current_Total_Loss,IF(Iterations[[#This Row],[Step]] &gt; current_step, "",Iterations[[#This Row],[Total Loss]]))</f>
        <v/>
      </c>
      <c r="M1309" s="6" t="s">
        <v>27</v>
      </c>
      <c r="N1309" s="2" t="str">
        <f>IF(Iterations[[#This Row],[Step]] =current_step, current_Grad_a,IF(Iterations[[#This Row],[Step]] &gt; current_step, "",Iterations[[#This Row],[Grad_a]]))</f>
        <v/>
      </c>
      <c r="O1309" s="2" t="str">
        <f>IF(Iterations[[#This Row],[Step]] =current_step, current_Grad_b,IF(Iterations[[#This Row],[Step]] &gt; current_step, "",Iterations[[#This Row],[Grad_b]]))</f>
        <v/>
      </c>
      <c r="P1309" s="2" t="str">
        <f>IF(Iterations[[#This Row],[Step]] =current_step, current_Grad_c,IF(Iterations[[#This Row],[Step]] &gt; current_step, "",Iterations[[#This Row],[Grad_c]]))</f>
        <v/>
      </c>
      <c r="Q1309" s="2" t="str">
        <f>IF(Iterations[[#This Row],[Step]] =current_step, current_Grad_d,IF(Iterations[[#This Row],[Step]] &gt; current_step, "",Iterations[[#This Row],[Grad_d]]))</f>
        <v/>
      </c>
      <c r="R1309" s="2" t="str">
        <f>IF(Iterations[[#This Row],[Step]] =current_step, current_Grad_e,IF(Iterations[[#This Row],[Step]] &gt; current_step, "",Iterations[[#This Row],[Grad_e]]))</f>
        <v/>
      </c>
    </row>
    <row r="1310" spans="6:18" x14ac:dyDescent="0.3">
      <c r="F1310" s="2">
        <f t="shared" si="25"/>
        <v>1293</v>
      </c>
      <c r="G1310" s="2" t="str">
        <f>IF(Iterations[[#This Row],[Step]] =current_step, current_a,IF(Iterations[[#This Row],[Step]] &gt; current_step, "",Iterations[[#This Row],[a]]))</f>
        <v/>
      </c>
      <c r="H1310" s="2" t="str">
        <f>IF(Iterations[[#This Row],[Step]] =current_step, current_b,IF(Iterations[[#This Row],[Step]] &gt; current_step, "",Iterations[[#This Row],[b]]))</f>
        <v/>
      </c>
      <c r="I1310" s="2" t="str">
        <f>IF(Iterations[[#This Row],[Step]] =current_step, current_c,IF(Iterations[[#This Row],[Step]] &gt; current_step, "",Iterations[[#This Row],[c]]))</f>
        <v/>
      </c>
      <c r="J1310" s="2" t="str">
        <f>IF(Iterations[[#This Row],[Step]] =current_step, current_d,IF(Iterations[[#This Row],[Step]] &gt; current_step, "",Iterations[[#This Row],[d]]))</f>
        <v/>
      </c>
      <c r="K1310" s="2" t="str">
        <f>IF(Iterations[[#This Row],[Step]] =current_step, current_e,IF(Iterations[[#This Row],[Step]] &gt; current_step, "",Iterations[[#This Row],[e]]))</f>
        <v/>
      </c>
      <c r="L1310" s="2" t="str">
        <f>IF(Iterations[[#This Row],[Step]] =current_step, current_Total_Loss,IF(Iterations[[#This Row],[Step]] &gt; current_step, "",Iterations[[#This Row],[Total Loss]]))</f>
        <v/>
      </c>
      <c r="M1310" s="6" t="s">
        <v>27</v>
      </c>
      <c r="N1310" s="2" t="str">
        <f>IF(Iterations[[#This Row],[Step]] =current_step, current_Grad_a,IF(Iterations[[#This Row],[Step]] &gt; current_step, "",Iterations[[#This Row],[Grad_a]]))</f>
        <v/>
      </c>
      <c r="O1310" s="2" t="str">
        <f>IF(Iterations[[#This Row],[Step]] =current_step, current_Grad_b,IF(Iterations[[#This Row],[Step]] &gt; current_step, "",Iterations[[#This Row],[Grad_b]]))</f>
        <v/>
      </c>
      <c r="P1310" s="2" t="str">
        <f>IF(Iterations[[#This Row],[Step]] =current_step, current_Grad_c,IF(Iterations[[#This Row],[Step]] &gt; current_step, "",Iterations[[#This Row],[Grad_c]]))</f>
        <v/>
      </c>
      <c r="Q1310" s="2" t="str">
        <f>IF(Iterations[[#This Row],[Step]] =current_step, current_Grad_d,IF(Iterations[[#This Row],[Step]] &gt; current_step, "",Iterations[[#This Row],[Grad_d]]))</f>
        <v/>
      </c>
      <c r="R1310" s="2" t="str">
        <f>IF(Iterations[[#This Row],[Step]] =current_step, current_Grad_e,IF(Iterations[[#This Row],[Step]] &gt; current_step, "",Iterations[[#This Row],[Grad_e]]))</f>
        <v/>
      </c>
    </row>
    <row r="1311" spans="6:18" x14ac:dyDescent="0.3">
      <c r="F1311" s="2">
        <f t="shared" si="25"/>
        <v>1294</v>
      </c>
      <c r="G1311" s="2" t="str">
        <f>IF(Iterations[[#This Row],[Step]] =current_step, current_a,IF(Iterations[[#This Row],[Step]] &gt; current_step, "",Iterations[[#This Row],[a]]))</f>
        <v/>
      </c>
      <c r="H1311" s="2" t="str">
        <f>IF(Iterations[[#This Row],[Step]] =current_step, current_b,IF(Iterations[[#This Row],[Step]] &gt; current_step, "",Iterations[[#This Row],[b]]))</f>
        <v/>
      </c>
      <c r="I1311" s="2" t="str">
        <f>IF(Iterations[[#This Row],[Step]] =current_step, current_c,IF(Iterations[[#This Row],[Step]] &gt; current_step, "",Iterations[[#This Row],[c]]))</f>
        <v/>
      </c>
      <c r="J1311" s="2" t="str">
        <f>IF(Iterations[[#This Row],[Step]] =current_step, current_d,IF(Iterations[[#This Row],[Step]] &gt; current_step, "",Iterations[[#This Row],[d]]))</f>
        <v/>
      </c>
      <c r="K1311" s="2" t="str">
        <f>IF(Iterations[[#This Row],[Step]] =current_step, current_e,IF(Iterations[[#This Row],[Step]] &gt; current_step, "",Iterations[[#This Row],[e]]))</f>
        <v/>
      </c>
      <c r="L1311" s="2" t="str">
        <f>IF(Iterations[[#This Row],[Step]] =current_step, current_Total_Loss,IF(Iterations[[#This Row],[Step]] &gt; current_step, "",Iterations[[#This Row],[Total Loss]]))</f>
        <v/>
      </c>
      <c r="M1311" s="6" t="s">
        <v>27</v>
      </c>
      <c r="N1311" s="2" t="str">
        <f>IF(Iterations[[#This Row],[Step]] =current_step, current_Grad_a,IF(Iterations[[#This Row],[Step]] &gt; current_step, "",Iterations[[#This Row],[Grad_a]]))</f>
        <v/>
      </c>
      <c r="O1311" s="2" t="str">
        <f>IF(Iterations[[#This Row],[Step]] =current_step, current_Grad_b,IF(Iterations[[#This Row],[Step]] &gt; current_step, "",Iterations[[#This Row],[Grad_b]]))</f>
        <v/>
      </c>
      <c r="P1311" s="2" t="str">
        <f>IF(Iterations[[#This Row],[Step]] =current_step, current_Grad_c,IF(Iterations[[#This Row],[Step]] &gt; current_step, "",Iterations[[#This Row],[Grad_c]]))</f>
        <v/>
      </c>
      <c r="Q1311" s="2" t="str">
        <f>IF(Iterations[[#This Row],[Step]] =current_step, current_Grad_d,IF(Iterations[[#This Row],[Step]] &gt; current_step, "",Iterations[[#This Row],[Grad_d]]))</f>
        <v/>
      </c>
      <c r="R1311" s="2" t="str">
        <f>IF(Iterations[[#This Row],[Step]] =current_step, current_Grad_e,IF(Iterations[[#This Row],[Step]] &gt; current_step, "",Iterations[[#This Row],[Grad_e]]))</f>
        <v/>
      </c>
    </row>
    <row r="1312" spans="6:18" x14ac:dyDescent="0.3">
      <c r="F1312" s="2">
        <f t="shared" si="25"/>
        <v>1295</v>
      </c>
      <c r="G1312" s="2" t="str">
        <f>IF(Iterations[[#This Row],[Step]] =current_step, current_a,IF(Iterations[[#This Row],[Step]] &gt; current_step, "",Iterations[[#This Row],[a]]))</f>
        <v/>
      </c>
      <c r="H1312" s="2" t="str">
        <f>IF(Iterations[[#This Row],[Step]] =current_step, current_b,IF(Iterations[[#This Row],[Step]] &gt; current_step, "",Iterations[[#This Row],[b]]))</f>
        <v/>
      </c>
      <c r="I1312" s="2" t="str">
        <f>IF(Iterations[[#This Row],[Step]] =current_step, current_c,IF(Iterations[[#This Row],[Step]] &gt; current_step, "",Iterations[[#This Row],[c]]))</f>
        <v/>
      </c>
      <c r="J1312" s="2" t="str">
        <f>IF(Iterations[[#This Row],[Step]] =current_step, current_d,IF(Iterations[[#This Row],[Step]] &gt; current_step, "",Iterations[[#This Row],[d]]))</f>
        <v/>
      </c>
      <c r="K1312" s="2" t="str">
        <f>IF(Iterations[[#This Row],[Step]] =current_step, current_e,IF(Iterations[[#This Row],[Step]] &gt; current_step, "",Iterations[[#This Row],[e]]))</f>
        <v/>
      </c>
      <c r="L1312" s="2" t="str">
        <f>IF(Iterations[[#This Row],[Step]] =current_step, current_Total_Loss,IF(Iterations[[#This Row],[Step]] &gt; current_step, "",Iterations[[#This Row],[Total Loss]]))</f>
        <v/>
      </c>
      <c r="M1312" s="6" t="s">
        <v>27</v>
      </c>
      <c r="N1312" s="2" t="str">
        <f>IF(Iterations[[#This Row],[Step]] =current_step, current_Grad_a,IF(Iterations[[#This Row],[Step]] &gt; current_step, "",Iterations[[#This Row],[Grad_a]]))</f>
        <v/>
      </c>
      <c r="O1312" s="2" t="str">
        <f>IF(Iterations[[#This Row],[Step]] =current_step, current_Grad_b,IF(Iterations[[#This Row],[Step]] &gt; current_step, "",Iterations[[#This Row],[Grad_b]]))</f>
        <v/>
      </c>
      <c r="P1312" s="2" t="str">
        <f>IF(Iterations[[#This Row],[Step]] =current_step, current_Grad_c,IF(Iterations[[#This Row],[Step]] &gt; current_step, "",Iterations[[#This Row],[Grad_c]]))</f>
        <v/>
      </c>
      <c r="Q1312" s="2" t="str">
        <f>IF(Iterations[[#This Row],[Step]] =current_step, current_Grad_d,IF(Iterations[[#This Row],[Step]] &gt; current_step, "",Iterations[[#This Row],[Grad_d]]))</f>
        <v/>
      </c>
      <c r="R1312" s="2" t="str">
        <f>IF(Iterations[[#This Row],[Step]] =current_step, current_Grad_e,IF(Iterations[[#This Row],[Step]] &gt; current_step, "",Iterations[[#This Row],[Grad_e]]))</f>
        <v/>
      </c>
    </row>
    <row r="1313" spans="6:18" x14ac:dyDescent="0.3">
      <c r="F1313" s="2">
        <f t="shared" si="25"/>
        <v>1296</v>
      </c>
      <c r="G1313" s="2" t="str">
        <f>IF(Iterations[[#This Row],[Step]] =current_step, current_a,IF(Iterations[[#This Row],[Step]] &gt; current_step, "",Iterations[[#This Row],[a]]))</f>
        <v/>
      </c>
      <c r="H1313" s="2" t="str">
        <f>IF(Iterations[[#This Row],[Step]] =current_step, current_b,IF(Iterations[[#This Row],[Step]] &gt; current_step, "",Iterations[[#This Row],[b]]))</f>
        <v/>
      </c>
      <c r="I1313" s="2" t="str">
        <f>IF(Iterations[[#This Row],[Step]] =current_step, current_c,IF(Iterations[[#This Row],[Step]] &gt; current_step, "",Iterations[[#This Row],[c]]))</f>
        <v/>
      </c>
      <c r="J1313" s="2" t="str">
        <f>IF(Iterations[[#This Row],[Step]] =current_step, current_d,IF(Iterations[[#This Row],[Step]] &gt; current_step, "",Iterations[[#This Row],[d]]))</f>
        <v/>
      </c>
      <c r="K1313" s="2" t="str">
        <f>IF(Iterations[[#This Row],[Step]] =current_step, current_e,IF(Iterations[[#This Row],[Step]] &gt; current_step, "",Iterations[[#This Row],[e]]))</f>
        <v/>
      </c>
      <c r="L1313" s="2" t="str">
        <f>IF(Iterations[[#This Row],[Step]] =current_step, current_Total_Loss,IF(Iterations[[#This Row],[Step]] &gt; current_step, "",Iterations[[#This Row],[Total Loss]]))</f>
        <v/>
      </c>
      <c r="M1313" s="6" t="s">
        <v>27</v>
      </c>
      <c r="N1313" s="2" t="str">
        <f>IF(Iterations[[#This Row],[Step]] =current_step, current_Grad_a,IF(Iterations[[#This Row],[Step]] &gt; current_step, "",Iterations[[#This Row],[Grad_a]]))</f>
        <v/>
      </c>
      <c r="O1313" s="2" t="str">
        <f>IF(Iterations[[#This Row],[Step]] =current_step, current_Grad_b,IF(Iterations[[#This Row],[Step]] &gt; current_step, "",Iterations[[#This Row],[Grad_b]]))</f>
        <v/>
      </c>
      <c r="P1313" s="2" t="str">
        <f>IF(Iterations[[#This Row],[Step]] =current_step, current_Grad_c,IF(Iterations[[#This Row],[Step]] &gt; current_step, "",Iterations[[#This Row],[Grad_c]]))</f>
        <v/>
      </c>
      <c r="Q1313" s="2" t="str">
        <f>IF(Iterations[[#This Row],[Step]] =current_step, current_Grad_d,IF(Iterations[[#This Row],[Step]] &gt; current_step, "",Iterations[[#This Row],[Grad_d]]))</f>
        <v/>
      </c>
      <c r="R1313" s="2" t="str">
        <f>IF(Iterations[[#This Row],[Step]] =current_step, current_Grad_e,IF(Iterations[[#This Row],[Step]] &gt; current_step, "",Iterations[[#This Row],[Grad_e]]))</f>
        <v/>
      </c>
    </row>
    <row r="1314" spans="6:18" x14ac:dyDescent="0.3">
      <c r="F1314" s="2">
        <f t="shared" si="25"/>
        <v>1297</v>
      </c>
      <c r="G1314" s="2" t="str">
        <f>IF(Iterations[[#This Row],[Step]] =current_step, current_a,IF(Iterations[[#This Row],[Step]] &gt; current_step, "",Iterations[[#This Row],[a]]))</f>
        <v/>
      </c>
      <c r="H1314" s="2" t="str">
        <f>IF(Iterations[[#This Row],[Step]] =current_step, current_b,IF(Iterations[[#This Row],[Step]] &gt; current_step, "",Iterations[[#This Row],[b]]))</f>
        <v/>
      </c>
      <c r="I1314" s="2" t="str">
        <f>IF(Iterations[[#This Row],[Step]] =current_step, current_c,IF(Iterations[[#This Row],[Step]] &gt; current_step, "",Iterations[[#This Row],[c]]))</f>
        <v/>
      </c>
      <c r="J1314" s="2" t="str">
        <f>IF(Iterations[[#This Row],[Step]] =current_step, current_d,IF(Iterations[[#This Row],[Step]] &gt; current_step, "",Iterations[[#This Row],[d]]))</f>
        <v/>
      </c>
      <c r="K1314" s="2" t="str">
        <f>IF(Iterations[[#This Row],[Step]] =current_step, current_e,IF(Iterations[[#This Row],[Step]] &gt; current_step, "",Iterations[[#This Row],[e]]))</f>
        <v/>
      </c>
      <c r="L1314" s="2" t="str">
        <f>IF(Iterations[[#This Row],[Step]] =current_step, current_Total_Loss,IF(Iterations[[#This Row],[Step]] &gt; current_step, "",Iterations[[#This Row],[Total Loss]]))</f>
        <v/>
      </c>
      <c r="M1314" s="6" t="s">
        <v>27</v>
      </c>
      <c r="N1314" s="2" t="str">
        <f>IF(Iterations[[#This Row],[Step]] =current_step, current_Grad_a,IF(Iterations[[#This Row],[Step]] &gt; current_step, "",Iterations[[#This Row],[Grad_a]]))</f>
        <v/>
      </c>
      <c r="O1314" s="2" t="str">
        <f>IF(Iterations[[#This Row],[Step]] =current_step, current_Grad_b,IF(Iterations[[#This Row],[Step]] &gt; current_step, "",Iterations[[#This Row],[Grad_b]]))</f>
        <v/>
      </c>
      <c r="P1314" s="2" t="str">
        <f>IF(Iterations[[#This Row],[Step]] =current_step, current_Grad_c,IF(Iterations[[#This Row],[Step]] &gt; current_step, "",Iterations[[#This Row],[Grad_c]]))</f>
        <v/>
      </c>
      <c r="Q1314" s="2" t="str">
        <f>IF(Iterations[[#This Row],[Step]] =current_step, current_Grad_d,IF(Iterations[[#This Row],[Step]] &gt; current_step, "",Iterations[[#This Row],[Grad_d]]))</f>
        <v/>
      </c>
      <c r="R1314" s="2" t="str">
        <f>IF(Iterations[[#This Row],[Step]] =current_step, current_Grad_e,IF(Iterations[[#This Row],[Step]] &gt; current_step, "",Iterations[[#This Row],[Grad_e]]))</f>
        <v/>
      </c>
    </row>
    <row r="1315" spans="6:18" x14ac:dyDescent="0.3">
      <c r="F1315" s="2">
        <f t="shared" si="25"/>
        <v>1298</v>
      </c>
      <c r="G1315" s="2" t="str">
        <f>IF(Iterations[[#This Row],[Step]] =current_step, current_a,IF(Iterations[[#This Row],[Step]] &gt; current_step, "",Iterations[[#This Row],[a]]))</f>
        <v/>
      </c>
      <c r="H1315" s="2" t="str">
        <f>IF(Iterations[[#This Row],[Step]] =current_step, current_b,IF(Iterations[[#This Row],[Step]] &gt; current_step, "",Iterations[[#This Row],[b]]))</f>
        <v/>
      </c>
      <c r="I1315" s="2" t="str">
        <f>IF(Iterations[[#This Row],[Step]] =current_step, current_c,IF(Iterations[[#This Row],[Step]] &gt; current_step, "",Iterations[[#This Row],[c]]))</f>
        <v/>
      </c>
      <c r="J1315" s="2" t="str">
        <f>IF(Iterations[[#This Row],[Step]] =current_step, current_d,IF(Iterations[[#This Row],[Step]] &gt; current_step, "",Iterations[[#This Row],[d]]))</f>
        <v/>
      </c>
      <c r="K1315" s="2" t="str">
        <f>IF(Iterations[[#This Row],[Step]] =current_step, current_e,IF(Iterations[[#This Row],[Step]] &gt; current_step, "",Iterations[[#This Row],[e]]))</f>
        <v/>
      </c>
      <c r="L1315" s="2" t="str">
        <f>IF(Iterations[[#This Row],[Step]] =current_step, current_Total_Loss,IF(Iterations[[#This Row],[Step]] &gt; current_step, "",Iterations[[#This Row],[Total Loss]]))</f>
        <v/>
      </c>
      <c r="M1315" s="6" t="s">
        <v>27</v>
      </c>
      <c r="N1315" s="2" t="str">
        <f>IF(Iterations[[#This Row],[Step]] =current_step, current_Grad_a,IF(Iterations[[#This Row],[Step]] &gt; current_step, "",Iterations[[#This Row],[Grad_a]]))</f>
        <v/>
      </c>
      <c r="O1315" s="2" t="str">
        <f>IF(Iterations[[#This Row],[Step]] =current_step, current_Grad_b,IF(Iterations[[#This Row],[Step]] &gt; current_step, "",Iterations[[#This Row],[Grad_b]]))</f>
        <v/>
      </c>
      <c r="P1315" s="2" t="str">
        <f>IF(Iterations[[#This Row],[Step]] =current_step, current_Grad_c,IF(Iterations[[#This Row],[Step]] &gt; current_step, "",Iterations[[#This Row],[Grad_c]]))</f>
        <v/>
      </c>
      <c r="Q1315" s="2" t="str">
        <f>IF(Iterations[[#This Row],[Step]] =current_step, current_Grad_d,IF(Iterations[[#This Row],[Step]] &gt; current_step, "",Iterations[[#This Row],[Grad_d]]))</f>
        <v/>
      </c>
      <c r="R1315" s="2" t="str">
        <f>IF(Iterations[[#This Row],[Step]] =current_step, current_Grad_e,IF(Iterations[[#This Row],[Step]] &gt; current_step, "",Iterations[[#This Row],[Grad_e]]))</f>
        <v/>
      </c>
    </row>
    <row r="1316" spans="6:18" x14ac:dyDescent="0.3">
      <c r="F1316" s="2">
        <f t="shared" si="25"/>
        <v>1299</v>
      </c>
      <c r="G1316" s="2" t="str">
        <f>IF(Iterations[[#This Row],[Step]] =current_step, current_a,IF(Iterations[[#This Row],[Step]] &gt; current_step, "",Iterations[[#This Row],[a]]))</f>
        <v/>
      </c>
      <c r="H1316" s="2" t="str">
        <f>IF(Iterations[[#This Row],[Step]] =current_step, current_b,IF(Iterations[[#This Row],[Step]] &gt; current_step, "",Iterations[[#This Row],[b]]))</f>
        <v/>
      </c>
      <c r="I1316" s="2" t="str">
        <f>IF(Iterations[[#This Row],[Step]] =current_step, current_c,IF(Iterations[[#This Row],[Step]] &gt; current_step, "",Iterations[[#This Row],[c]]))</f>
        <v/>
      </c>
      <c r="J1316" s="2" t="str">
        <f>IF(Iterations[[#This Row],[Step]] =current_step, current_d,IF(Iterations[[#This Row],[Step]] &gt; current_step, "",Iterations[[#This Row],[d]]))</f>
        <v/>
      </c>
      <c r="K1316" s="2" t="str">
        <f>IF(Iterations[[#This Row],[Step]] =current_step, current_e,IF(Iterations[[#This Row],[Step]] &gt; current_step, "",Iterations[[#This Row],[e]]))</f>
        <v/>
      </c>
      <c r="L1316" s="2" t="str">
        <f>IF(Iterations[[#This Row],[Step]] =current_step, current_Total_Loss,IF(Iterations[[#This Row],[Step]] &gt; current_step, "",Iterations[[#This Row],[Total Loss]]))</f>
        <v/>
      </c>
      <c r="M1316" s="6" t="s">
        <v>27</v>
      </c>
      <c r="N1316" s="2" t="str">
        <f>IF(Iterations[[#This Row],[Step]] =current_step, current_Grad_a,IF(Iterations[[#This Row],[Step]] &gt; current_step, "",Iterations[[#This Row],[Grad_a]]))</f>
        <v/>
      </c>
      <c r="O1316" s="2" t="str">
        <f>IF(Iterations[[#This Row],[Step]] =current_step, current_Grad_b,IF(Iterations[[#This Row],[Step]] &gt; current_step, "",Iterations[[#This Row],[Grad_b]]))</f>
        <v/>
      </c>
      <c r="P1316" s="2" t="str">
        <f>IF(Iterations[[#This Row],[Step]] =current_step, current_Grad_c,IF(Iterations[[#This Row],[Step]] &gt; current_step, "",Iterations[[#This Row],[Grad_c]]))</f>
        <v/>
      </c>
      <c r="Q1316" s="2" t="str">
        <f>IF(Iterations[[#This Row],[Step]] =current_step, current_Grad_d,IF(Iterations[[#This Row],[Step]] &gt; current_step, "",Iterations[[#This Row],[Grad_d]]))</f>
        <v/>
      </c>
      <c r="R1316" s="2" t="str">
        <f>IF(Iterations[[#This Row],[Step]] =current_step, current_Grad_e,IF(Iterations[[#This Row],[Step]] &gt; current_step, "",Iterations[[#This Row],[Grad_e]]))</f>
        <v/>
      </c>
    </row>
    <row r="1317" spans="6:18" x14ac:dyDescent="0.3">
      <c r="F1317" s="2">
        <f t="shared" si="25"/>
        <v>1300</v>
      </c>
      <c r="G1317" s="2" t="str">
        <f>IF(Iterations[[#This Row],[Step]] =current_step, current_a,IF(Iterations[[#This Row],[Step]] &gt; current_step, "",Iterations[[#This Row],[a]]))</f>
        <v/>
      </c>
      <c r="H1317" s="2" t="str">
        <f>IF(Iterations[[#This Row],[Step]] =current_step, current_b,IF(Iterations[[#This Row],[Step]] &gt; current_step, "",Iterations[[#This Row],[b]]))</f>
        <v/>
      </c>
      <c r="I1317" s="2" t="str">
        <f>IF(Iterations[[#This Row],[Step]] =current_step, current_c,IF(Iterations[[#This Row],[Step]] &gt; current_step, "",Iterations[[#This Row],[c]]))</f>
        <v/>
      </c>
      <c r="J1317" s="2" t="str">
        <f>IF(Iterations[[#This Row],[Step]] =current_step, current_d,IF(Iterations[[#This Row],[Step]] &gt; current_step, "",Iterations[[#This Row],[d]]))</f>
        <v/>
      </c>
      <c r="K1317" s="2" t="str">
        <f>IF(Iterations[[#This Row],[Step]] =current_step, current_e,IF(Iterations[[#This Row],[Step]] &gt; current_step, "",Iterations[[#This Row],[e]]))</f>
        <v/>
      </c>
      <c r="L1317" s="2" t="str">
        <f>IF(Iterations[[#This Row],[Step]] =current_step, current_Total_Loss,IF(Iterations[[#This Row],[Step]] &gt; current_step, "",Iterations[[#This Row],[Total Loss]]))</f>
        <v/>
      </c>
      <c r="M1317" s="6" t="s">
        <v>27</v>
      </c>
      <c r="N1317" s="2" t="str">
        <f>IF(Iterations[[#This Row],[Step]] =current_step, current_Grad_a,IF(Iterations[[#This Row],[Step]] &gt; current_step, "",Iterations[[#This Row],[Grad_a]]))</f>
        <v/>
      </c>
      <c r="O1317" s="2" t="str">
        <f>IF(Iterations[[#This Row],[Step]] =current_step, current_Grad_b,IF(Iterations[[#This Row],[Step]] &gt; current_step, "",Iterations[[#This Row],[Grad_b]]))</f>
        <v/>
      </c>
      <c r="P1317" s="2" t="str">
        <f>IF(Iterations[[#This Row],[Step]] =current_step, current_Grad_c,IF(Iterations[[#This Row],[Step]] &gt; current_step, "",Iterations[[#This Row],[Grad_c]]))</f>
        <v/>
      </c>
      <c r="Q1317" s="2" t="str">
        <f>IF(Iterations[[#This Row],[Step]] =current_step, current_Grad_d,IF(Iterations[[#This Row],[Step]] &gt; current_step, "",Iterations[[#This Row],[Grad_d]]))</f>
        <v/>
      </c>
      <c r="R1317" s="2" t="str">
        <f>IF(Iterations[[#This Row],[Step]] =current_step, current_Grad_e,IF(Iterations[[#This Row],[Step]] &gt; current_step, "",Iterations[[#This Row],[Grad_e]]))</f>
        <v/>
      </c>
    </row>
    <row r="1318" spans="6:18" x14ac:dyDescent="0.3">
      <c r="F1318" s="2">
        <f t="shared" si="25"/>
        <v>1301</v>
      </c>
      <c r="G1318" s="2" t="str">
        <f>IF(Iterations[[#This Row],[Step]] =current_step, current_a,IF(Iterations[[#This Row],[Step]] &gt; current_step, "",Iterations[[#This Row],[a]]))</f>
        <v/>
      </c>
      <c r="H1318" s="2" t="str">
        <f>IF(Iterations[[#This Row],[Step]] =current_step, current_b,IF(Iterations[[#This Row],[Step]] &gt; current_step, "",Iterations[[#This Row],[b]]))</f>
        <v/>
      </c>
      <c r="I1318" s="2" t="str">
        <f>IF(Iterations[[#This Row],[Step]] =current_step, current_c,IF(Iterations[[#This Row],[Step]] &gt; current_step, "",Iterations[[#This Row],[c]]))</f>
        <v/>
      </c>
      <c r="J1318" s="2" t="str">
        <f>IF(Iterations[[#This Row],[Step]] =current_step, current_d,IF(Iterations[[#This Row],[Step]] &gt; current_step, "",Iterations[[#This Row],[d]]))</f>
        <v/>
      </c>
      <c r="K1318" s="2" t="str">
        <f>IF(Iterations[[#This Row],[Step]] =current_step, current_e,IF(Iterations[[#This Row],[Step]] &gt; current_step, "",Iterations[[#This Row],[e]]))</f>
        <v/>
      </c>
      <c r="L1318" s="2" t="str">
        <f>IF(Iterations[[#This Row],[Step]] =current_step, current_Total_Loss,IF(Iterations[[#This Row],[Step]] &gt; current_step, "",Iterations[[#This Row],[Total Loss]]))</f>
        <v/>
      </c>
      <c r="M1318" s="6" t="s">
        <v>27</v>
      </c>
      <c r="N1318" s="2" t="str">
        <f>IF(Iterations[[#This Row],[Step]] =current_step, current_Grad_a,IF(Iterations[[#This Row],[Step]] &gt; current_step, "",Iterations[[#This Row],[Grad_a]]))</f>
        <v/>
      </c>
      <c r="O1318" s="2" t="str">
        <f>IF(Iterations[[#This Row],[Step]] =current_step, current_Grad_b,IF(Iterations[[#This Row],[Step]] &gt; current_step, "",Iterations[[#This Row],[Grad_b]]))</f>
        <v/>
      </c>
      <c r="P1318" s="2" t="str">
        <f>IF(Iterations[[#This Row],[Step]] =current_step, current_Grad_c,IF(Iterations[[#This Row],[Step]] &gt; current_step, "",Iterations[[#This Row],[Grad_c]]))</f>
        <v/>
      </c>
      <c r="Q1318" s="2" t="str">
        <f>IF(Iterations[[#This Row],[Step]] =current_step, current_Grad_d,IF(Iterations[[#This Row],[Step]] &gt; current_step, "",Iterations[[#This Row],[Grad_d]]))</f>
        <v/>
      </c>
      <c r="R1318" s="2" t="str">
        <f>IF(Iterations[[#This Row],[Step]] =current_step, current_Grad_e,IF(Iterations[[#This Row],[Step]] &gt; current_step, "",Iterations[[#This Row],[Grad_e]]))</f>
        <v/>
      </c>
    </row>
    <row r="1319" spans="6:18" x14ac:dyDescent="0.3">
      <c r="F1319" s="2">
        <f t="shared" si="25"/>
        <v>1302</v>
      </c>
      <c r="G1319" s="2" t="str">
        <f>IF(Iterations[[#This Row],[Step]] =current_step, current_a,IF(Iterations[[#This Row],[Step]] &gt; current_step, "",Iterations[[#This Row],[a]]))</f>
        <v/>
      </c>
      <c r="H1319" s="2" t="str">
        <f>IF(Iterations[[#This Row],[Step]] =current_step, current_b,IF(Iterations[[#This Row],[Step]] &gt; current_step, "",Iterations[[#This Row],[b]]))</f>
        <v/>
      </c>
      <c r="I1319" s="2" t="str">
        <f>IF(Iterations[[#This Row],[Step]] =current_step, current_c,IF(Iterations[[#This Row],[Step]] &gt; current_step, "",Iterations[[#This Row],[c]]))</f>
        <v/>
      </c>
      <c r="J1319" s="2" t="str">
        <f>IF(Iterations[[#This Row],[Step]] =current_step, current_d,IF(Iterations[[#This Row],[Step]] &gt; current_step, "",Iterations[[#This Row],[d]]))</f>
        <v/>
      </c>
      <c r="K1319" s="2" t="str">
        <f>IF(Iterations[[#This Row],[Step]] =current_step, current_e,IF(Iterations[[#This Row],[Step]] &gt; current_step, "",Iterations[[#This Row],[e]]))</f>
        <v/>
      </c>
      <c r="L1319" s="2" t="str">
        <f>IF(Iterations[[#This Row],[Step]] =current_step, current_Total_Loss,IF(Iterations[[#This Row],[Step]] &gt; current_step, "",Iterations[[#This Row],[Total Loss]]))</f>
        <v/>
      </c>
      <c r="M1319" s="6" t="s">
        <v>27</v>
      </c>
      <c r="N1319" s="2" t="str">
        <f>IF(Iterations[[#This Row],[Step]] =current_step, current_Grad_a,IF(Iterations[[#This Row],[Step]] &gt; current_step, "",Iterations[[#This Row],[Grad_a]]))</f>
        <v/>
      </c>
      <c r="O1319" s="2" t="str">
        <f>IF(Iterations[[#This Row],[Step]] =current_step, current_Grad_b,IF(Iterations[[#This Row],[Step]] &gt; current_step, "",Iterations[[#This Row],[Grad_b]]))</f>
        <v/>
      </c>
      <c r="P1319" s="2" t="str">
        <f>IF(Iterations[[#This Row],[Step]] =current_step, current_Grad_c,IF(Iterations[[#This Row],[Step]] &gt; current_step, "",Iterations[[#This Row],[Grad_c]]))</f>
        <v/>
      </c>
      <c r="Q1319" s="2" t="str">
        <f>IF(Iterations[[#This Row],[Step]] =current_step, current_Grad_d,IF(Iterations[[#This Row],[Step]] &gt; current_step, "",Iterations[[#This Row],[Grad_d]]))</f>
        <v/>
      </c>
      <c r="R1319" s="2" t="str">
        <f>IF(Iterations[[#This Row],[Step]] =current_step, current_Grad_e,IF(Iterations[[#This Row],[Step]] &gt; current_step, "",Iterations[[#This Row],[Grad_e]]))</f>
        <v/>
      </c>
    </row>
    <row r="1320" spans="6:18" x14ac:dyDescent="0.3">
      <c r="F1320" s="2">
        <f t="shared" si="25"/>
        <v>1303</v>
      </c>
      <c r="G1320" s="2" t="str">
        <f>IF(Iterations[[#This Row],[Step]] =current_step, current_a,IF(Iterations[[#This Row],[Step]] &gt; current_step, "",Iterations[[#This Row],[a]]))</f>
        <v/>
      </c>
      <c r="H1320" s="2" t="str">
        <f>IF(Iterations[[#This Row],[Step]] =current_step, current_b,IF(Iterations[[#This Row],[Step]] &gt; current_step, "",Iterations[[#This Row],[b]]))</f>
        <v/>
      </c>
      <c r="I1320" s="2" t="str">
        <f>IF(Iterations[[#This Row],[Step]] =current_step, current_c,IF(Iterations[[#This Row],[Step]] &gt; current_step, "",Iterations[[#This Row],[c]]))</f>
        <v/>
      </c>
      <c r="J1320" s="2" t="str">
        <f>IF(Iterations[[#This Row],[Step]] =current_step, current_d,IF(Iterations[[#This Row],[Step]] &gt; current_step, "",Iterations[[#This Row],[d]]))</f>
        <v/>
      </c>
      <c r="K1320" s="2" t="str">
        <f>IF(Iterations[[#This Row],[Step]] =current_step, current_e,IF(Iterations[[#This Row],[Step]] &gt; current_step, "",Iterations[[#This Row],[e]]))</f>
        <v/>
      </c>
      <c r="L1320" s="2" t="str">
        <f>IF(Iterations[[#This Row],[Step]] =current_step, current_Total_Loss,IF(Iterations[[#This Row],[Step]] &gt; current_step, "",Iterations[[#This Row],[Total Loss]]))</f>
        <v/>
      </c>
      <c r="M1320" s="6" t="s">
        <v>27</v>
      </c>
      <c r="N1320" s="2" t="str">
        <f>IF(Iterations[[#This Row],[Step]] =current_step, current_Grad_a,IF(Iterations[[#This Row],[Step]] &gt; current_step, "",Iterations[[#This Row],[Grad_a]]))</f>
        <v/>
      </c>
      <c r="O1320" s="2" t="str">
        <f>IF(Iterations[[#This Row],[Step]] =current_step, current_Grad_b,IF(Iterations[[#This Row],[Step]] &gt; current_step, "",Iterations[[#This Row],[Grad_b]]))</f>
        <v/>
      </c>
      <c r="P1320" s="2" t="str">
        <f>IF(Iterations[[#This Row],[Step]] =current_step, current_Grad_c,IF(Iterations[[#This Row],[Step]] &gt; current_step, "",Iterations[[#This Row],[Grad_c]]))</f>
        <v/>
      </c>
      <c r="Q1320" s="2" t="str">
        <f>IF(Iterations[[#This Row],[Step]] =current_step, current_Grad_d,IF(Iterations[[#This Row],[Step]] &gt; current_step, "",Iterations[[#This Row],[Grad_d]]))</f>
        <v/>
      </c>
      <c r="R1320" s="2" t="str">
        <f>IF(Iterations[[#This Row],[Step]] =current_step, current_Grad_e,IF(Iterations[[#This Row],[Step]] &gt; current_step, "",Iterations[[#This Row],[Grad_e]]))</f>
        <v/>
      </c>
    </row>
    <row r="1321" spans="6:18" x14ac:dyDescent="0.3">
      <c r="F1321" s="2">
        <f t="shared" si="25"/>
        <v>1304</v>
      </c>
      <c r="G1321" s="2" t="str">
        <f>IF(Iterations[[#This Row],[Step]] =current_step, current_a,IF(Iterations[[#This Row],[Step]] &gt; current_step, "",Iterations[[#This Row],[a]]))</f>
        <v/>
      </c>
      <c r="H1321" s="2" t="str">
        <f>IF(Iterations[[#This Row],[Step]] =current_step, current_b,IF(Iterations[[#This Row],[Step]] &gt; current_step, "",Iterations[[#This Row],[b]]))</f>
        <v/>
      </c>
      <c r="I1321" s="2" t="str">
        <f>IF(Iterations[[#This Row],[Step]] =current_step, current_c,IF(Iterations[[#This Row],[Step]] &gt; current_step, "",Iterations[[#This Row],[c]]))</f>
        <v/>
      </c>
      <c r="J1321" s="2" t="str">
        <f>IF(Iterations[[#This Row],[Step]] =current_step, current_d,IF(Iterations[[#This Row],[Step]] &gt; current_step, "",Iterations[[#This Row],[d]]))</f>
        <v/>
      </c>
      <c r="K1321" s="2" t="str">
        <f>IF(Iterations[[#This Row],[Step]] =current_step, current_e,IF(Iterations[[#This Row],[Step]] &gt; current_step, "",Iterations[[#This Row],[e]]))</f>
        <v/>
      </c>
      <c r="L1321" s="2" t="str">
        <f>IF(Iterations[[#This Row],[Step]] =current_step, current_Total_Loss,IF(Iterations[[#This Row],[Step]] &gt; current_step, "",Iterations[[#This Row],[Total Loss]]))</f>
        <v/>
      </c>
      <c r="M1321" s="6" t="s">
        <v>27</v>
      </c>
      <c r="N1321" s="2" t="str">
        <f>IF(Iterations[[#This Row],[Step]] =current_step, current_Grad_a,IF(Iterations[[#This Row],[Step]] &gt; current_step, "",Iterations[[#This Row],[Grad_a]]))</f>
        <v/>
      </c>
      <c r="O1321" s="2" t="str">
        <f>IF(Iterations[[#This Row],[Step]] =current_step, current_Grad_b,IF(Iterations[[#This Row],[Step]] &gt; current_step, "",Iterations[[#This Row],[Grad_b]]))</f>
        <v/>
      </c>
      <c r="P1321" s="2" t="str">
        <f>IF(Iterations[[#This Row],[Step]] =current_step, current_Grad_c,IF(Iterations[[#This Row],[Step]] &gt; current_step, "",Iterations[[#This Row],[Grad_c]]))</f>
        <v/>
      </c>
      <c r="Q1321" s="2" t="str">
        <f>IF(Iterations[[#This Row],[Step]] =current_step, current_Grad_d,IF(Iterations[[#This Row],[Step]] &gt; current_step, "",Iterations[[#This Row],[Grad_d]]))</f>
        <v/>
      </c>
      <c r="R1321" s="2" t="str">
        <f>IF(Iterations[[#This Row],[Step]] =current_step, current_Grad_e,IF(Iterations[[#This Row],[Step]] &gt; current_step, "",Iterations[[#This Row],[Grad_e]]))</f>
        <v/>
      </c>
    </row>
    <row r="1322" spans="6:18" x14ac:dyDescent="0.3">
      <c r="F1322" s="2">
        <f t="shared" si="25"/>
        <v>1305</v>
      </c>
      <c r="G1322" s="2" t="str">
        <f>IF(Iterations[[#This Row],[Step]] =current_step, current_a,IF(Iterations[[#This Row],[Step]] &gt; current_step, "",Iterations[[#This Row],[a]]))</f>
        <v/>
      </c>
      <c r="H1322" s="2" t="str">
        <f>IF(Iterations[[#This Row],[Step]] =current_step, current_b,IF(Iterations[[#This Row],[Step]] &gt; current_step, "",Iterations[[#This Row],[b]]))</f>
        <v/>
      </c>
      <c r="I1322" s="2" t="str">
        <f>IF(Iterations[[#This Row],[Step]] =current_step, current_c,IF(Iterations[[#This Row],[Step]] &gt; current_step, "",Iterations[[#This Row],[c]]))</f>
        <v/>
      </c>
      <c r="J1322" s="2" t="str">
        <f>IF(Iterations[[#This Row],[Step]] =current_step, current_d,IF(Iterations[[#This Row],[Step]] &gt; current_step, "",Iterations[[#This Row],[d]]))</f>
        <v/>
      </c>
      <c r="K1322" s="2" t="str">
        <f>IF(Iterations[[#This Row],[Step]] =current_step, current_e,IF(Iterations[[#This Row],[Step]] &gt; current_step, "",Iterations[[#This Row],[e]]))</f>
        <v/>
      </c>
      <c r="L1322" s="2" t="str">
        <f>IF(Iterations[[#This Row],[Step]] =current_step, current_Total_Loss,IF(Iterations[[#This Row],[Step]] &gt; current_step, "",Iterations[[#This Row],[Total Loss]]))</f>
        <v/>
      </c>
      <c r="M1322" s="6" t="s">
        <v>27</v>
      </c>
      <c r="N1322" s="2" t="str">
        <f>IF(Iterations[[#This Row],[Step]] =current_step, current_Grad_a,IF(Iterations[[#This Row],[Step]] &gt; current_step, "",Iterations[[#This Row],[Grad_a]]))</f>
        <v/>
      </c>
      <c r="O1322" s="2" t="str">
        <f>IF(Iterations[[#This Row],[Step]] =current_step, current_Grad_b,IF(Iterations[[#This Row],[Step]] &gt; current_step, "",Iterations[[#This Row],[Grad_b]]))</f>
        <v/>
      </c>
      <c r="P1322" s="2" t="str">
        <f>IF(Iterations[[#This Row],[Step]] =current_step, current_Grad_c,IF(Iterations[[#This Row],[Step]] &gt; current_step, "",Iterations[[#This Row],[Grad_c]]))</f>
        <v/>
      </c>
      <c r="Q1322" s="2" t="str">
        <f>IF(Iterations[[#This Row],[Step]] =current_step, current_Grad_d,IF(Iterations[[#This Row],[Step]] &gt; current_step, "",Iterations[[#This Row],[Grad_d]]))</f>
        <v/>
      </c>
      <c r="R1322" s="2" t="str">
        <f>IF(Iterations[[#This Row],[Step]] =current_step, current_Grad_e,IF(Iterations[[#This Row],[Step]] &gt; current_step, "",Iterations[[#This Row],[Grad_e]]))</f>
        <v/>
      </c>
    </row>
    <row r="1323" spans="6:18" x14ac:dyDescent="0.3">
      <c r="F1323" s="2">
        <f t="shared" si="25"/>
        <v>1306</v>
      </c>
      <c r="G1323" s="2" t="str">
        <f>IF(Iterations[[#This Row],[Step]] =current_step, current_a,IF(Iterations[[#This Row],[Step]] &gt; current_step, "",Iterations[[#This Row],[a]]))</f>
        <v/>
      </c>
      <c r="H1323" s="2" t="str">
        <f>IF(Iterations[[#This Row],[Step]] =current_step, current_b,IF(Iterations[[#This Row],[Step]] &gt; current_step, "",Iterations[[#This Row],[b]]))</f>
        <v/>
      </c>
      <c r="I1323" s="2" t="str">
        <f>IF(Iterations[[#This Row],[Step]] =current_step, current_c,IF(Iterations[[#This Row],[Step]] &gt; current_step, "",Iterations[[#This Row],[c]]))</f>
        <v/>
      </c>
      <c r="J1323" s="2" t="str">
        <f>IF(Iterations[[#This Row],[Step]] =current_step, current_d,IF(Iterations[[#This Row],[Step]] &gt; current_step, "",Iterations[[#This Row],[d]]))</f>
        <v/>
      </c>
      <c r="K1323" s="2" t="str">
        <f>IF(Iterations[[#This Row],[Step]] =current_step, current_e,IF(Iterations[[#This Row],[Step]] &gt; current_step, "",Iterations[[#This Row],[e]]))</f>
        <v/>
      </c>
      <c r="L1323" s="2" t="str">
        <f>IF(Iterations[[#This Row],[Step]] =current_step, current_Total_Loss,IF(Iterations[[#This Row],[Step]] &gt; current_step, "",Iterations[[#This Row],[Total Loss]]))</f>
        <v/>
      </c>
      <c r="M1323" s="6" t="s">
        <v>27</v>
      </c>
      <c r="N1323" s="2" t="str">
        <f>IF(Iterations[[#This Row],[Step]] =current_step, current_Grad_a,IF(Iterations[[#This Row],[Step]] &gt; current_step, "",Iterations[[#This Row],[Grad_a]]))</f>
        <v/>
      </c>
      <c r="O1323" s="2" t="str">
        <f>IF(Iterations[[#This Row],[Step]] =current_step, current_Grad_b,IF(Iterations[[#This Row],[Step]] &gt; current_step, "",Iterations[[#This Row],[Grad_b]]))</f>
        <v/>
      </c>
      <c r="P1323" s="2" t="str">
        <f>IF(Iterations[[#This Row],[Step]] =current_step, current_Grad_c,IF(Iterations[[#This Row],[Step]] &gt; current_step, "",Iterations[[#This Row],[Grad_c]]))</f>
        <v/>
      </c>
      <c r="Q1323" s="2" t="str">
        <f>IF(Iterations[[#This Row],[Step]] =current_step, current_Grad_d,IF(Iterations[[#This Row],[Step]] &gt; current_step, "",Iterations[[#This Row],[Grad_d]]))</f>
        <v/>
      </c>
      <c r="R1323" s="2" t="str">
        <f>IF(Iterations[[#This Row],[Step]] =current_step, current_Grad_e,IF(Iterations[[#This Row],[Step]] &gt; current_step, "",Iterations[[#This Row],[Grad_e]]))</f>
        <v/>
      </c>
    </row>
    <row r="1324" spans="6:18" x14ac:dyDescent="0.3">
      <c r="F1324" s="2">
        <f t="shared" si="25"/>
        <v>1307</v>
      </c>
      <c r="G1324" s="2" t="str">
        <f>IF(Iterations[[#This Row],[Step]] =current_step, current_a,IF(Iterations[[#This Row],[Step]] &gt; current_step, "",Iterations[[#This Row],[a]]))</f>
        <v/>
      </c>
      <c r="H1324" s="2" t="str">
        <f>IF(Iterations[[#This Row],[Step]] =current_step, current_b,IF(Iterations[[#This Row],[Step]] &gt; current_step, "",Iterations[[#This Row],[b]]))</f>
        <v/>
      </c>
      <c r="I1324" s="2" t="str">
        <f>IF(Iterations[[#This Row],[Step]] =current_step, current_c,IF(Iterations[[#This Row],[Step]] &gt; current_step, "",Iterations[[#This Row],[c]]))</f>
        <v/>
      </c>
      <c r="J1324" s="2" t="str">
        <f>IF(Iterations[[#This Row],[Step]] =current_step, current_d,IF(Iterations[[#This Row],[Step]] &gt; current_step, "",Iterations[[#This Row],[d]]))</f>
        <v/>
      </c>
      <c r="K1324" s="2" t="str">
        <f>IF(Iterations[[#This Row],[Step]] =current_step, current_e,IF(Iterations[[#This Row],[Step]] &gt; current_step, "",Iterations[[#This Row],[e]]))</f>
        <v/>
      </c>
      <c r="L1324" s="2" t="str">
        <f>IF(Iterations[[#This Row],[Step]] =current_step, current_Total_Loss,IF(Iterations[[#This Row],[Step]] &gt; current_step, "",Iterations[[#This Row],[Total Loss]]))</f>
        <v/>
      </c>
      <c r="M1324" s="6" t="s">
        <v>27</v>
      </c>
      <c r="N1324" s="2" t="str">
        <f>IF(Iterations[[#This Row],[Step]] =current_step, current_Grad_a,IF(Iterations[[#This Row],[Step]] &gt; current_step, "",Iterations[[#This Row],[Grad_a]]))</f>
        <v/>
      </c>
      <c r="O1324" s="2" t="str">
        <f>IF(Iterations[[#This Row],[Step]] =current_step, current_Grad_b,IF(Iterations[[#This Row],[Step]] &gt; current_step, "",Iterations[[#This Row],[Grad_b]]))</f>
        <v/>
      </c>
      <c r="P1324" s="2" t="str">
        <f>IF(Iterations[[#This Row],[Step]] =current_step, current_Grad_c,IF(Iterations[[#This Row],[Step]] &gt; current_step, "",Iterations[[#This Row],[Grad_c]]))</f>
        <v/>
      </c>
      <c r="Q1324" s="2" t="str">
        <f>IF(Iterations[[#This Row],[Step]] =current_step, current_Grad_d,IF(Iterations[[#This Row],[Step]] &gt; current_step, "",Iterations[[#This Row],[Grad_d]]))</f>
        <v/>
      </c>
      <c r="R1324" s="2" t="str">
        <f>IF(Iterations[[#This Row],[Step]] =current_step, current_Grad_e,IF(Iterations[[#This Row],[Step]] &gt; current_step, "",Iterations[[#This Row],[Grad_e]]))</f>
        <v/>
      </c>
    </row>
    <row r="1325" spans="6:18" x14ac:dyDescent="0.3">
      <c r="F1325" s="2">
        <f t="shared" si="25"/>
        <v>1308</v>
      </c>
      <c r="G1325" s="2" t="str">
        <f>IF(Iterations[[#This Row],[Step]] =current_step, current_a,IF(Iterations[[#This Row],[Step]] &gt; current_step, "",Iterations[[#This Row],[a]]))</f>
        <v/>
      </c>
      <c r="H1325" s="2" t="str">
        <f>IF(Iterations[[#This Row],[Step]] =current_step, current_b,IF(Iterations[[#This Row],[Step]] &gt; current_step, "",Iterations[[#This Row],[b]]))</f>
        <v/>
      </c>
      <c r="I1325" s="2" t="str">
        <f>IF(Iterations[[#This Row],[Step]] =current_step, current_c,IF(Iterations[[#This Row],[Step]] &gt; current_step, "",Iterations[[#This Row],[c]]))</f>
        <v/>
      </c>
      <c r="J1325" s="2" t="str">
        <f>IF(Iterations[[#This Row],[Step]] =current_step, current_d,IF(Iterations[[#This Row],[Step]] &gt; current_step, "",Iterations[[#This Row],[d]]))</f>
        <v/>
      </c>
      <c r="K1325" s="2" t="str">
        <f>IF(Iterations[[#This Row],[Step]] =current_step, current_e,IF(Iterations[[#This Row],[Step]] &gt; current_step, "",Iterations[[#This Row],[e]]))</f>
        <v/>
      </c>
      <c r="L1325" s="2" t="str">
        <f>IF(Iterations[[#This Row],[Step]] =current_step, current_Total_Loss,IF(Iterations[[#This Row],[Step]] &gt; current_step, "",Iterations[[#This Row],[Total Loss]]))</f>
        <v/>
      </c>
      <c r="M1325" s="6" t="s">
        <v>27</v>
      </c>
      <c r="N1325" s="2" t="str">
        <f>IF(Iterations[[#This Row],[Step]] =current_step, current_Grad_a,IF(Iterations[[#This Row],[Step]] &gt; current_step, "",Iterations[[#This Row],[Grad_a]]))</f>
        <v/>
      </c>
      <c r="O1325" s="2" t="str">
        <f>IF(Iterations[[#This Row],[Step]] =current_step, current_Grad_b,IF(Iterations[[#This Row],[Step]] &gt; current_step, "",Iterations[[#This Row],[Grad_b]]))</f>
        <v/>
      </c>
      <c r="P1325" s="2" t="str">
        <f>IF(Iterations[[#This Row],[Step]] =current_step, current_Grad_c,IF(Iterations[[#This Row],[Step]] &gt; current_step, "",Iterations[[#This Row],[Grad_c]]))</f>
        <v/>
      </c>
      <c r="Q1325" s="2" t="str">
        <f>IF(Iterations[[#This Row],[Step]] =current_step, current_Grad_d,IF(Iterations[[#This Row],[Step]] &gt; current_step, "",Iterations[[#This Row],[Grad_d]]))</f>
        <v/>
      </c>
      <c r="R1325" s="2" t="str">
        <f>IF(Iterations[[#This Row],[Step]] =current_step, current_Grad_e,IF(Iterations[[#This Row],[Step]] &gt; current_step, "",Iterations[[#This Row],[Grad_e]]))</f>
        <v/>
      </c>
    </row>
    <row r="1326" spans="6:18" x14ac:dyDescent="0.3">
      <c r="F1326" s="2">
        <f t="shared" si="25"/>
        <v>1309</v>
      </c>
      <c r="G1326" s="2" t="str">
        <f>IF(Iterations[[#This Row],[Step]] =current_step, current_a,IF(Iterations[[#This Row],[Step]] &gt; current_step, "",Iterations[[#This Row],[a]]))</f>
        <v/>
      </c>
      <c r="H1326" s="2" t="str">
        <f>IF(Iterations[[#This Row],[Step]] =current_step, current_b,IF(Iterations[[#This Row],[Step]] &gt; current_step, "",Iterations[[#This Row],[b]]))</f>
        <v/>
      </c>
      <c r="I1326" s="2" t="str">
        <f>IF(Iterations[[#This Row],[Step]] =current_step, current_c,IF(Iterations[[#This Row],[Step]] &gt; current_step, "",Iterations[[#This Row],[c]]))</f>
        <v/>
      </c>
      <c r="J1326" s="2" t="str">
        <f>IF(Iterations[[#This Row],[Step]] =current_step, current_d,IF(Iterations[[#This Row],[Step]] &gt; current_step, "",Iterations[[#This Row],[d]]))</f>
        <v/>
      </c>
      <c r="K1326" s="2" t="str">
        <f>IF(Iterations[[#This Row],[Step]] =current_step, current_e,IF(Iterations[[#This Row],[Step]] &gt; current_step, "",Iterations[[#This Row],[e]]))</f>
        <v/>
      </c>
      <c r="L1326" s="2" t="str">
        <f>IF(Iterations[[#This Row],[Step]] =current_step, current_Total_Loss,IF(Iterations[[#This Row],[Step]] &gt; current_step, "",Iterations[[#This Row],[Total Loss]]))</f>
        <v/>
      </c>
      <c r="M1326" s="6" t="s">
        <v>27</v>
      </c>
      <c r="N1326" s="2" t="str">
        <f>IF(Iterations[[#This Row],[Step]] =current_step, current_Grad_a,IF(Iterations[[#This Row],[Step]] &gt; current_step, "",Iterations[[#This Row],[Grad_a]]))</f>
        <v/>
      </c>
      <c r="O1326" s="2" t="str">
        <f>IF(Iterations[[#This Row],[Step]] =current_step, current_Grad_b,IF(Iterations[[#This Row],[Step]] &gt; current_step, "",Iterations[[#This Row],[Grad_b]]))</f>
        <v/>
      </c>
      <c r="P1326" s="2" t="str">
        <f>IF(Iterations[[#This Row],[Step]] =current_step, current_Grad_c,IF(Iterations[[#This Row],[Step]] &gt; current_step, "",Iterations[[#This Row],[Grad_c]]))</f>
        <v/>
      </c>
      <c r="Q1326" s="2" t="str">
        <f>IF(Iterations[[#This Row],[Step]] =current_step, current_Grad_d,IF(Iterations[[#This Row],[Step]] &gt; current_step, "",Iterations[[#This Row],[Grad_d]]))</f>
        <v/>
      </c>
      <c r="R1326" s="2" t="str">
        <f>IF(Iterations[[#This Row],[Step]] =current_step, current_Grad_e,IF(Iterations[[#This Row],[Step]] &gt; current_step, "",Iterations[[#This Row],[Grad_e]]))</f>
        <v/>
      </c>
    </row>
    <row r="1327" spans="6:18" x14ac:dyDescent="0.3">
      <c r="F1327" s="2">
        <f t="shared" si="25"/>
        <v>1310</v>
      </c>
      <c r="G1327" s="2" t="str">
        <f>IF(Iterations[[#This Row],[Step]] =current_step, current_a,IF(Iterations[[#This Row],[Step]] &gt; current_step, "",Iterations[[#This Row],[a]]))</f>
        <v/>
      </c>
      <c r="H1327" s="2" t="str">
        <f>IF(Iterations[[#This Row],[Step]] =current_step, current_b,IF(Iterations[[#This Row],[Step]] &gt; current_step, "",Iterations[[#This Row],[b]]))</f>
        <v/>
      </c>
      <c r="I1327" s="2" t="str">
        <f>IF(Iterations[[#This Row],[Step]] =current_step, current_c,IF(Iterations[[#This Row],[Step]] &gt; current_step, "",Iterations[[#This Row],[c]]))</f>
        <v/>
      </c>
      <c r="J1327" s="2" t="str">
        <f>IF(Iterations[[#This Row],[Step]] =current_step, current_d,IF(Iterations[[#This Row],[Step]] &gt; current_step, "",Iterations[[#This Row],[d]]))</f>
        <v/>
      </c>
      <c r="K1327" s="2" t="str">
        <f>IF(Iterations[[#This Row],[Step]] =current_step, current_e,IF(Iterations[[#This Row],[Step]] &gt; current_step, "",Iterations[[#This Row],[e]]))</f>
        <v/>
      </c>
      <c r="L1327" s="2" t="str">
        <f>IF(Iterations[[#This Row],[Step]] =current_step, current_Total_Loss,IF(Iterations[[#This Row],[Step]] &gt; current_step, "",Iterations[[#This Row],[Total Loss]]))</f>
        <v/>
      </c>
      <c r="M1327" s="6" t="s">
        <v>27</v>
      </c>
      <c r="N1327" s="2" t="str">
        <f>IF(Iterations[[#This Row],[Step]] =current_step, current_Grad_a,IF(Iterations[[#This Row],[Step]] &gt; current_step, "",Iterations[[#This Row],[Grad_a]]))</f>
        <v/>
      </c>
      <c r="O1327" s="2" t="str">
        <f>IF(Iterations[[#This Row],[Step]] =current_step, current_Grad_b,IF(Iterations[[#This Row],[Step]] &gt; current_step, "",Iterations[[#This Row],[Grad_b]]))</f>
        <v/>
      </c>
      <c r="P1327" s="2" t="str">
        <f>IF(Iterations[[#This Row],[Step]] =current_step, current_Grad_c,IF(Iterations[[#This Row],[Step]] &gt; current_step, "",Iterations[[#This Row],[Grad_c]]))</f>
        <v/>
      </c>
      <c r="Q1327" s="2" t="str">
        <f>IF(Iterations[[#This Row],[Step]] =current_step, current_Grad_d,IF(Iterations[[#This Row],[Step]] &gt; current_step, "",Iterations[[#This Row],[Grad_d]]))</f>
        <v/>
      </c>
      <c r="R1327" s="2" t="str">
        <f>IF(Iterations[[#This Row],[Step]] =current_step, current_Grad_e,IF(Iterations[[#This Row],[Step]] &gt; current_step, "",Iterations[[#This Row],[Grad_e]]))</f>
        <v/>
      </c>
    </row>
    <row r="1328" spans="6:18" x14ac:dyDescent="0.3">
      <c r="F1328" s="2">
        <f t="shared" si="25"/>
        <v>1311</v>
      </c>
      <c r="G1328" s="2" t="str">
        <f>IF(Iterations[[#This Row],[Step]] =current_step, current_a,IF(Iterations[[#This Row],[Step]] &gt; current_step, "",Iterations[[#This Row],[a]]))</f>
        <v/>
      </c>
      <c r="H1328" s="2" t="str">
        <f>IF(Iterations[[#This Row],[Step]] =current_step, current_b,IF(Iterations[[#This Row],[Step]] &gt; current_step, "",Iterations[[#This Row],[b]]))</f>
        <v/>
      </c>
      <c r="I1328" s="2" t="str">
        <f>IF(Iterations[[#This Row],[Step]] =current_step, current_c,IF(Iterations[[#This Row],[Step]] &gt; current_step, "",Iterations[[#This Row],[c]]))</f>
        <v/>
      </c>
      <c r="J1328" s="2" t="str">
        <f>IF(Iterations[[#This Row],[Step]] =current_step, current_d,IF(Iterations[[#This Row],[Step]] &gt; current_step, "",Iterations[[#This Row],[d]]))</f>
        <v/>
      </c>
      <c r="K1328" s="2" t="str">
        <f>IF(Iterations[[#This Row],[Step]] =current_step, current_e,IF(Iterations[[#This Row],[Step]] &gt; current_step, "",Iterations[[#This Row],[e]]))</f>
        <v/>
      </c>
      <c r="L1328" s="2" t="str">
        <f>IF(Iterations[[#This Row],[Step]] =current_step, current_Total_Loss,IF(Iterations[[#This Row],[Step]] &gt; current_step, "",Iterations[[#This Row],[Total Loss]]))</f>
        <v/>
      </c>
      <c r="M1328" s="6" t="s">
        <v>27</v>
      </c>
      <c r="N1328" s="2" t="str">
        <f>IF(Iterations[[#This Row],[Step]] =current_step, current_Grad_a,IF(Iterations[[#This Row],[Step]] &gt; current_step, "",Iterations[[#This Row],[Grad_a]]))</f>
        <v/>
      </c>
      <c r="O1328" s="2" t="str">
        <f>IF(Iterations[[#This Row],[Step]] =current_step, current_Grad_b,IF(Iterations[[#This Row],[Step]] &gt; current_step, "",Iterations[[#This Row],[Grad_b]]))</f>
        <v/>
      </c>
      <c r="P1328" s="2" t="str">
        <f>IF(Iterations[[#This Row],[Step]] =current_step, current_Grad_c,IF(Iterations[[#This Row],[Step]] &gt; current_step, "",Iterations[[#This Row],[Grad_c]]))</f>
        <v/>
      </c>
      <c r="Q1328" s="2" t="str">
        <f>IF(Iterations[[#This Row],[Step]] =current_step, current_Grad_d,IF(Iterations[[#This Row],[Step]] &gt; current_step, "",Iterations[[#This Row],[Grad_d]]))</f>
        <v/>
      </c>
      <c r="R1328" s="2" t="str">
        <f>IF(Iterations[[#This Row],[Step]] =current_step, current_Grad_e,IF(Iterations[[#This Row],[Step]] &gt; current_step, "",Iterations[[#This Row],[Grad_e]]))</f>
        <v/>
      </c>
    </row>
    <row r="1329" spans="6:18" x14ac:dyDescent="0.3">
      <c r="F1329" s="2">
        <f t="shared" si="25"/>
        <v>1312</v>
      </c>
      <c r="G1329" s="2" t="str">
        <f>IF(Iterations[[#This Row],[Step]] =current_step, current_a,IF(Iterations[[#This Row],[Step]] &gt; current_step, "",Iterations[[#This Row],[a]]))</f>
        <v/>
      </c>
      <c r="H1329" s="2" t="str">
        <f>IF(Iterations[[#This Row],[Step]] =current_step, current_b,IF(Iterations[[#This Row],[Step]] &gt; current_step, "",Iterations[[#This Row],[b]]))</f>
        <v/>
      </c>
      <c r="I1329" s="2" t="str">
        <f>IF(Iterations[[#This Row],[Step]] =current_step, current_c,IF(Iterations[[#This Row],[Step]] &gt; current_step, "",Iterations[[#This Row],[c]]))</f>
        <v/>
      </c>
      <c r="J1329" s="2" t="str">
        <f>IF(Iterations[[#This Row],[Step]] =current_step, current_d,IF(Iterations[[#This Row],[Step]] &gt; current_step, "",Iterations[[#This Row],[d]]))</f>
        <v/>
      </c>
      <c r="K1329" s="2" t="str">
        <f>IF(Iterations[[#This Row],[Step]] =current_step, current_e,IF(Iterations[[#This Row],[Step]] &gt; current_step, "",Iterations[[#This Row],[e]]))</f>
        <v/>
      </c>
      <c r="L1329" s="2" t="str">
        <f>IF(Iterations[[#This Row],[Step]] =current_step, current_Total_Loss,IF(Iterations[[#This Row],[Step]] &gt; current_step, "",Iterations[[#This Row],[Total Loss]]))</f>
        <v/>
      </c>
      <c r="M1329" s="6" t="s">
        <v>27</v>
      </c>
      <c r="N1329" s="2" t="str">
        <f>IF(Iterations[[#This Row],[Step]] =current_step, current_Grad_a,IF(Iterations[[#This Row],[Step]] &gt; current_step, "",Iterations[[#This Row],[Grad_a]]))</f>
        <v/>
      </c>
      <c r="O1329" s="2" t="str">
        <f>IF(Iterations[[#This Row],[Step]] =current_step, current_Grad_b,IF(Iterations[[#This Row],[Step]] &gt; current_step, "",Iterations[[#This Row],[Grad_b]]))</f>
        <v/>
      </c>
      <c r="P1329" s="2" t="str">
        <f>IF(Iterations[[#This Row],[Step]] =current_step, current_Grad_c,IF(Iterations[[#This Row],[Step]] &gt; current_step, "",Iterations[[#This Row],[Grad_c]]))</f>
        <v/>
      </c>
      <c r="Q1329" s="2" t="str">
        <f>IF(Iterations[[#This Row],[Step]] =current_step, current_Grad_d,IF(Iterations[[#This Row],[Step]] &gt; current_step, "",Iterations[[#This Row],[Grad_d]]))</f>
        <v/>
      </c>
      <c r="R1329" s="2" t="str">
        <f>IF(Iterations[[#This Row],[Step]] =current_step, current_Grad_e,IF(Iterations[[#This Row],[Step]] &gt; current_step, "",Iterations[[#This Row],[Grad_e]]))</f>
        <v/>
      </c>
    </row>
    <row r="1330" spans="6:18" x14ac:dyDescent="0.3">
      <c r="F1330" s="2">
        <f t="shared" si="25"/>
        <v>1313</v>
      </c>
      <c r="G1330" s="2" t="str">
        <f>IF(Iterations[[#This Row],[Step]] =current_step, current_a,IF(Iterations[[#This Row],[Step]] &gt; current_step, "",Iterations[[#This Row],[a]]))</f>
        <v/>
      </c>
      <c r="H1330" s="2" t="str">
        <f>IF(Iterations[[#This Row],[Step]] =current_step, current_b,IF(Iterations[[#This Row],[Step]] &gt; current_step, "",Iterations[[#This Row],[b]]))</f>
        <v/>
      </c>
      <c r="I1330" s="2" t="str">
        <f>IF(Iterations[[#This Row],[Step]] =current_step, current_c,IF(Iterations[[#This Row],[Step]] &gt; current_step, "",Iterations[[#This Row],[c]]))</f>
        <v/>
      </c>
      <c r="J1330" s="2" t="str">
        <f>IF(Iterations[[#This Row],[Step]] =current_step, current_d,IF(Iterations[[#This Row],[Step]] &gt; current_step, "",Iterations[[#This Row],[d]]))</f>
        <v/>
      </c>
      <c r="K1330" s="2" t="str">
        <f>IF(Iterations[[#This Row],[Step]] =current_step, current_e,IF(Iterations[[#This Row],[Step]] &gt; current_step, "",Iterations[[#This Row],[e]]))</f>
        <v/>
      </c>
      <c r="L1330" s="2" t="str">
        <f>IF(Iterations[[#This Row],[Step]] =current_step, current_Total_Loss,IF(Iterations[[#This Row],[Step]] &gt; current_step, "",Iterations[[#This Row],[Total Loss]]))</f>
        <v/>
      </c>
      <c r="M1330" s="6" t="s">
        <v>27</v>
      </c>
      <c r="N1330" s="2" t="str">
        <f>IF(Iterations[[#This Row],[Step]] =current_step, current_Grad_a,IF(Iterations[[#This Row],[Step]] &gt; current_step, "",Iterations[[#This Row],[Grad_a]]))</f>
        <v/>
      </c>
      <c r="O1330" s="2" t="str">
        <f>IF(Iterations[[#This Row],[Step]] =current_step, current_Grad_b,IF(Iterations[[#This Row],[Step]] &gt; current_step, "",Iterations[[#This Row],[Grad_b]]))</f>
        <v/>
      </c>
      <c r="P1330" s="2" t="str">
        <f>IF(Iterations[[#This Row],[Step]] =current_step, current_Grad_c,IF(Iterations[[#This Row],[Step]] &gt; current_step, "",Iterations[[#This Row],[Grad_c]]))</f>
        <v/>
      </c>
      <c r="Q1330" s="2" t="str">
        <f>IF(Iterations[[#This Row],[Step]] =current_step, current_Grad_d,IF(Iterations[[#This Row],[Step]] &gt; current_step, "",Iterations[[#This Row],[Grad_d]]))</f>
        <v/>
      </c>
      <c r="R1330" s="2" t="str">
        <f>IF(Iterations[[#This Row],[Step]] =current_step, current_Grad_e,IF(Iterations[[#This Row],[Step]] &gt; current_step, "",Iterations[[#This Row],[Grad_e]]))</f>
        <v/>
      </c>
    </row>
    <row r="1331" spans="6:18" x14ac:dyDescent="0.3">
      <c r="F1331" s="2">
        <f t="shared" si="25"/>
        <v>1314</v>
      </c>
      <c r="G1331" s="2" t="str">
        <f>IF(Iterations[[#This Row],[Step]] =current_step, current_a,IF(Iterations[[#This Row],[Step]] &gt; current_step, "",Iterations[[#This Row],[a]]))</f>
        <v/>
      </c>
      <c r="H1331" s="2" t="str">
        <f>IF(Iterations[[#This Row],[Step]] =current_step, current_b,IF(Iterations[[#This Row],[Step]] &gt; current_step, "",Iterations[[#This Row],[b]]))</f>
        <v/>
      </c>
      <c r="I1331" s="2" t="str">
        <f>IF(Iterations[[#This Row],[Step]] =current_step, current_c,IF(Iterations[[#This Row],[Step]] &gt; current_step, "",Iterations[[#This Row],[c]]))</f>
        <v/>
      </c>
      <c r="J1331" s="2" t="str">
        <f>IF(Iterations[[#This Row],[Step]] =current_step, current_d,IF(Iterations[[#This Row],[Step]] &gt; current_step, "",Iterations[[#This Row],[d]]))</f>
        <v/>
      </c>
      <c r="K1331" s="2" t="str">
        <f>IF(Iterations[[#This Row],[Step]] =current_step, current_e,IF(Iterations[[#This Row],[Step]] &gt; current_step, "",Iterations[[#This Row],[e]]))</f>
        <v/>
      </c>
      <c r="L1331" s="2" t="str">
        <f>IF(Iterations[[#This Row],[Step]] =current_step, current_Total_Loss,IF(Iterations[[#This Row],[Step]] &gt; current_step, "",Iterations[[#This Row],[Total Loss]]))</f>
        <v/>
      </c>
      <c r="M1331" s="6" t="s">
        <v>27</v>
      </c>
      <c r="N1331" s="2" t="str">
        <f>IF(Iterations[[#This Row],[Step]] =current_step, current_Grad_a,IF(Iterations[[#This Row],[Step]] &gt; current_step, "",Iterations[[#This Row],[Grad_a]]))</f>
        <v/>
      </c>
      <c r="O1331" s="2" t="str">
        <f>IF(Iterations[[#This Row],[Step]] =current_step, current_Grad_b,IF(Iterations[[#This Row],[Step]] &gt; current_step, "",Iterations[[#This Row],[Grad_b]]))</f>
        <v/>
      </c>
      <c r="P1331" s="2" t="str">
        <f>IF(Iterations[[#This Row],[Step]] =current_step, current_Grad_c,IF(Iterations[[#This Row],[Step]] &gt; current_step, "",Iterations[[#This Row],[Grad_c]]))</f>
        <v/>
      </c>
      <c r="Q1331" s="2" t="str">
        <f>IF(Iterations[[#This Row],[Step]] =current_step, current_Grad_d,IF(Iterations[[#This Row],[Step]] &gt; current_step, "",Iterations[[#This Row],[Grad_d]]))</f>
        <v/>
      </c>
      <c r="R1331" s="2" t="str">
        <f>IF(Iterations[[#This Row],[Step]] =current_step, current_Grad_e,IF(Iterations[[#This Row],[Step]] &gt; current_step, "",Iterations[[#This Row],[Grad_e]]))</f>
        <v/>
      </c>
    </row>
    <row r="1332" spans="6:18" x14ac:dyDescent="0.3">
      <c r="F1332" s="2">
        <f t="shared" si="25"/>
        <v>1315</v>
      </c>
      <c r="G1332" s="2" t="str">
        <f>IF(Iterations[[#This Row],[Step]] =current_step, current_a,IF(Iterations[[#This Row],[Step]] &gt; current_step, "",Iterations[[#This Row],[a]]))</f>
        <v/>
      </c>
      <c r="H1332" s="2" t="str">
        <f>IF(Iterations[[#This Row],[Step]] =current_step, current_b,IF(Iterations[[#This Row],[Step]] &gt; current_step, "",Iterations[[#This Row],[b]]))</f>
        <v/>
      </c>
      <c r="I1332" s="2" t="str">
        <f>IF(Iterations[[#This Row],[Step]] =current_step, current_c,IF(Iterations[[#This Row],[Step]] &gt; current_step, "",Iterations[[#This Row],[c]]))</f>
        <v/>
      </c>
      <c r="J1332" s="2" t="str">
        <f>IF(Iterations[[#This Row],[Step]] =current_step, current_d,IF(Iterations[[#This Row],[Step]] &gt; current_step, "",Iterations[[#This Row],[d]]))</f>
        <v/>
      </c>
      <c r="K1332" s="2" t="str">
        <f>IF(Iterations[[#This Row],[Step]] =current_step, current_e,IF(Iterations[[#This Row],[Step]] &gt; current_step, "",Iterations[[#This Row],[e]]))</f>
        <v/>
      </c>
      <c r="L1332" s="2" t="str">
        <f>IF(Iterations[[#This Row],[Step]] =current_step, current_Total_Loss,IF(Iterations[[#This Row],[Step]] &gt; current_step, "",Iterations[[#This Row],[Total Loss]]))</f>
        <v/>
      </c>
      <c r="M1332" s="6" t="s">
        <v>27</v>
      </c>
      <c r="N1332" s="2" t="str">
        <f>IF(Iterations[[#This Row],[Step]] =current_step, current_Grad_a,IF(Iterations[[#This Row],[Step]] &gt; current_step, "",Iterations[[#This Row],[Grad_a]]))</f>
        <v/>
      </c>
      <c r="O1332" s="2" t="str">
        <f>IF(Iterations[[#This Row],[Step]] =current_step, current_Grad_b,IF(Iterations[[#This Row],[Step]] &gt; current_step, "",Iterations[[#This Row],[Grad_b]]))</f>
        <v/>
      </c>
      <c r="P1332" s="2" t="str">
        <f>IF(Iterations[[#This Row],[Step]] =current_step, current_Grad_c,IF(Iterations[[#This Row],[Step]] &gt; current_step, "",Iterations[[#This Row],[Grad_c]]))</f>
        <v/>
      </c>
      <c r="Q1332" s="2" t="str">
        <f>IF(Iterations[[#This Row],[Step]] =current_step, current_Grad_d,IF(Iterations[[#This Row],[Step]] &gt; current_step, "",Iterations[[#This Row],[Grad_d]]))</f>
        <v/>
      </c>
      <c r="R1332" s="2" t="str">
        <f>IF(Iterations[[#This Row],[Step]] =current_step, current_Grad_e,IF(Iterations[[#This Row],[Step]] &gt; current_step, "",Iterations[[#This Row],[Grad_e]]))</f>
        <v/>
      </c>
    </row>
    <row r="1333" spans="6:18" x14ac:dyDescent="0.3">
      <c r="F1333" s="2">
        <f t="shared" si="25"/>
        <v>1316</v>
      </c>
      <c r="G1333" s="2" t="str">
        <f>IF(Iterations[[#This Row],[Step]] =current_step, current_a,IF(Iterations[[#This Row],[Step]] &gt; current_step, "",Iterations[[#This Row],[a]]))</f>
        <v/>
      </c>
      <c r="H1333" s="2" t="str">
        <f>IF(Iterations[[#This Row],[Step]] =current_step, current_b,IF(Iterations[[#This Row],[Step]] &gt; current_step, "",Iterations[[#This Row],[b]]))</f>
        <v/>
      </c>
      <c r="I1333" s="2" t="str">
        <f>IF(Iterations[[#This Row],[Step]] =current_step, current_c,IF(Iterations[[#This Row],[Step]] &gt; current_step, "",Iterations[[#This Row],[c]]))</f>
        <v/>
      </c>
      <c r="J1333" s="2" t="str">
        <f>IF(Iterations[[#This Row],[Step]] =current_step, current_d,IF(Iterations[[#This Row],[Step]] &gt; current_step, "",Iterations[[#This Row],[d]]))</f>
        <v/>
      </c>
      <c r="K1333" s="2" t="str">
        <f>IF(Iterations[[#This Row],[Step]] =current_step, current_e,IF(Iterations[[#This Row],[Step]] &gt; current_step, "",Iterations[[#This Row],[e]]))</f>
        <v/>
      </c>
      <c r="L1333" s="2" t="str">
        <f>IF(Iterations[[#This Row],[Step]] =current_step, current_Total_Loss,IF(Iterations[[#This Row],[Step]] &gt; current_step, "",Iterations[[#This Row],[Total Loss]]))</f>
        <v/>
      </c>
      <c r="M1333" s="6" t="s">
        <v>27</v>
      </c>
      <c r="N1333" s="2" t="str">
        <f>IF(Iterations[[#This Row],[Step]] =current_step, current_Grad_a,IF(Iterations[[#This Row],[Step]] &gt; current_step, "",Iterations[[#This Row],[Grad_a]]))</f>
        <v/>
      </c>
      <c r="O1333" s="2" t="str">
        <f>IF(Iterations[[#This Row],[Step]] =current_step, current_Grad_b,IF(Iterations[[#This Row],[Step]] &gt; current_step, "",Iterations[[#This Row],[Grad_b]]))</f>
        <v/>
      </c>
      <c r="P1333" s="2" t="str">
        <f>IF(Iterations[[#This Row],[Step]] =current_step, current_Grad_c,IF(Iterations[[#This Row],[Step]] &gt; current_step, "",Iterations[[#This Row],[Grad_c]]))</f>
        <v/>
      </c>
      <c r="Q1333" s="2" t="str">
        <f>IF(Iterations[[#This Row],[Step]] =current_step, current_Grad_d,IF(Iterations[[#This Row],[Step]] &gt; current_step, "",Iterations[[#This Row],[Grad_d]]))</f>
        <v/>
      </c>
      <c r="R1333" s="2" t="str">
        <f>IF(Iterations[[#This Row],[Step]] =current_step, current_Grad_e,IF(Iterations[[#This Row],[Step]] &gt; current_step, "",Iterations[[#This Row],[Grad_e]]))</f>
        <v/>
      </c>
    </row>
    <row r="1334" spans="6:18" x14ac:dyDescent="0.3">
      <c r="F1334" s="2">
        <f t="shared" si="25"/>
        <v>1317</v>
      </c>
      <c r="G1334" s="2" t="str">
        <f>IF(Iterations[[#This Row],[Step]] =current_step, current_a,IF(Iterations[[#This Row],[Step]] &gt; current_step, "",Iterations[[#This Row],[a]]))</f>
        <v/>
      </c>
      <c r="H1334" s="2" t="str">
        <f>IF(Iterations[[#This Row],[Step]] =current_step, current_b,IF(Iterations[[#This Row],[Step]] &gt; current_step, "",Iterations[[#This Row],[b]]))</f>
        <v/>
      </c>
      <c r="I1334" s="2" t="str">
        <f>IF(Iterations[[#This Row],[Step]] =current_step, current_c,IF(Iterations[[#This Row],[Step]] &gt; current_step, "",Iterations[[#This Row],[c]]))</f>
        <v/>
      </c>
      <c r="J1334" s="2" t="str">
        <f>IF(Iterations[[#This Row],[Step]] =current_step, current_d,IF(Iterations[[#This Row],[Step]] &gt; current_step, "",Iterations[[#This Row],[d]]))</f>
        <v/>
      </c>
      <c r="K1334" s="2" t="str">
        <f>IF(Iterations[[#This Row],[Step]] =current_step, current_e,IF(Iterations[[#This Row],[Step]] &gt; current_step, "",Iterations[[#This Row],[e]]))</f>
        <v/>
      </c>
      <c r="L1334" s="2" t="str">
        <f>IF(Iterations[[#This Row],[Step]] =current_step, current_Total_Loss,IF(Iterations[[#This Row],[Step]] &gt; current_step, "",Iterations[[#This Row],[Total Loss]]))</f>
        <v/>
      </c>
      <c r="M1334" s="6" t="s">
        <v>27</v>
      </c>
      <c r="N1334" s="2" t="str">
        <f>IF(Iterations[[#This Row],[Step]] =current_step, current_Grad_a,IF(Iterations[[#This Row],[Step]] &gt; current_step, "",Iterations[[#This Row],[Grad_a]]))</f>
        <v/>
      </c>
      <c r="O1334" s="2" t="str">
        <f>IF(Iterations[[#This Row],[Step]] =current_step, current_Grad_b,IF(Iterations[[#This Row],[Step]] &gt; current_step, "",Iterations[[#This Row],[Grad_b]]))</f>
        <v/>
      </c>
      <c r="P1334" s="2" t="str">
        <f>IF(Iterations[[#This Row],[Step]] =current_step, current_Grad_c,IF(Iterations[[#This Row],[Step]] &gt; current_step, "",Iterations[[#This Row],[Grad_c]]))</f>
        <v/>
      </c>
      <c r="Q1334" s="2" t="str">
        <f>IF(Iterations[[#This Row],[Step]] =current_step, current_Grad_d,IF(Iterations[[#This Row],[Step]] &gt; current_step, "",Iterations[[#This Row],[Grad_d]]))</f>
        <v/>
      </c>
      <c r="R1334" s="2" t="str">
        <f>IF(Iterations[[#This Row],[Step]] =current_step, current_Grad_e,IF(Iterations[[#This Row],[Step]] &gt; current_step, "",Iterations[[#This Row],[Grad_e]]))</f>
        <v/>
      </c>
    </row>
    <row r="1335" spans="6:18" x14ac:dyDescent="0.3">
      <c r="F1335" s="2">
        <f t="shared" si="25"/>
        <v>1318</v>
      </c>
      <c r="G1335" s="2" t="str">
        <f>IF(Iterations[[#This Row],[Step]] =current_step, current_a,IF(Iterations[[#This Row],[Step]] &gt; current_step, "",Iterations[[#This Row],[a]]))</f>
        <v/>
      </c>
      <c r="H1335" s="2" t="str">
        <f>IF(Iterations[[#This Row],[Step]] =current_step, current_b,IF(Iterations[[#This Row],[Step]] &gt; current_step, "",Iterations[[#This Row],[b]]))</f>
        <v/>
      </c>
      <c r="I1335" s="2" t="str">
        <f>IF(Iterations[[#This Row],[Step]] =current_step, current_c,IF(Iterations[[#This Row],[Step]] &gt; current_step, "",Iterations[[#This Row],[c]]))</f>
        <v/>
      </c>
      <c r="J1335" s="2" t="str">
        <f>IF(Iterations[[#This Row],[Step]] =current_step, current_d,IF(Iterations[[#This Row],[Step]] &gt; current_step, "",Iterations[[#This Row],[d]]))</f>
        <v/>
      </c>
      <c r="K1335" s="2" t="str">
        <f>IF(Iterations[[#This Row],[Step]] =current_step, current_e,IF(Iterations[[#This Row],[Step]] &gt; current_step, "",Iterations[[#This Row],[e]]))</f>
        <v/>
      </c>
      <c r="L1335" s="2" t="str">
        <f>IF(Iterations[[#This Row],[Step]] =current_step, current_Total_Loss,IF(Iterations[[#This Row],[Step]] &gt; current_step, "",Iterations[[#This Row],[Total Loss]]))</f>
        <v/>
      </c>
      <c r="M1335" s="6" t="s">
        <v>27</v>
      </c>
      <c r="N1335" s="2" t="str">
        <f>IF(Iterations[[#This Row],[Step]] =current_step, current_Grad_a,IF(Iterations[[#This Row],[Step]] &gt; current_step, "",Iterations[[#This Row],[Grad_a]]))</f>
        <v/>
      </c>
      <c r="O1335" s="2" t="str">
        <f>IF(Iterations[[#This Row],[Step]] =current_step, current_Grad_b,IF(Iterations[[#This Row],[Step]] &gt; current_step, "",Iterations[[#This Row],[Grad_b]]))</f>
        <v/>
      </c>
      <c r="P1335" s="2" t="str">
        <f>IF(Iterations[[#This Row],[Step]] =current_step, current_Grad_c,IF(Iterations[[#This Row],[Step]] &gt; current_step, "",Iterations[[#This Row],[Grad_c]]))</f>
        <v/>
      </c>
      <c r="Q1335" s="2" t="str">
        <f>IF(Iterations[[#This Row],[Step]] =current_step, current_Grad_d,IF(Iterations[[#This Row],[Step]] &gt; current_step, "",Iterations[[#This Row],[Grad_d]]))</f>
        <v/>
      </c>
      <c r="R1335" s="2" t="str">
        <f>IF(Iterations[[#This Row],[Step]] =current_step, current_Grad_e,IF(Iterations[[#This Row],[Step]] &gt; current_step, "",Iterations[[#This Row],[Grad_e]]))</f>
        <v/>
      </c>
    </row>
    <row r="1336" spans="6:18" x14ac:dyDescent="0.3">
      <c r="F1336" s="2">
        <f t="shared" ref="F1336:F1399" si="26">F1335+1</f>
        <v>1319</v>
      </c>
      <c r="G1336" s="2" t="str">
        <f>IF(Iterations[[#This Row],[Step]] =current_step, current_a,IF(Iterations[[#This Row],[Step]] &gt; current_step, "",Iterations[[#This Row],[a]]))</f>
        <v/>
      </c>
      <c r="H1336" s="2" t="str">
        <f>IF(Iterations[[#This Row],[Step]] =current_step, current_b,IF(Iterations[[#This Row],[Step]] &gt; current_step, "",Iterations[[#This Row],[b]]))</f>
        <v/>
      </c>
      <c r="I1336" s="2" t="str">
        <f>IF(Iterations[[#This Row],[Step]] =current_step, current_c,IF(Iterations[[#This Row],[Step]] &gt; current_step, "",Iterations[[#This Row],[c]]))</f>
        <v/>
      </c>
      <c r="J1336" s="2" t="str">
        <f>IF(Iterations[[#This Row],[Step]] =current_step, current_d,IF(Iterations[[#This Row],[Step]] &gt; current_step, "",Iterations[[#This Row],[d]]))</f>
        <v/>
      </c>
      <c r="K1336" s="2" t="str">
        <f>IF(Iterations[[#This Row],[Step]] =current_step, current_e,IF(Iterations[[#This Row],[Step]] &gt; current_step, "",Iterations[[#This Row],[e]]))</f>
        <v/>
      </c>
      <c r="L1336" s="2" t="str">
        <f>IF(Iterations[[#This Row],[Step]] =current_step, current_Total_Loss,IF(Iterations[[#This Row],[Step]] &gt; current_step, "",Iterations[[#This Row],[Total Loss]]))</f>
        <v/>
      </c>
      <c r="M1336" s="6" t="s">
        <v>27</v>
      </c>
      <c r="N1336" s="2" t="str">
        <f>IF(Iterations[[#This Row],[Step]] =current_step, current_Grad_a,IF(Iterations[[#This Row],[Step]] &gt; current_step, "",Iterations[[#This Row],[Grad_a]]))</f>
        <v/>
      </c>
      <c r="O1336" s="2" t="str">
        <f>IF(Iterations[[#This Row],[Step]] =current_step, current_Grad_b,IF(Iterations[[#This Row],[Step]] &gt; current_step, "",Iterations[[#This Row],[Grad_b]]))</f>
        <v/>
      </c>
      <c r="P1336" s="2" t="str">
        <f>IF(Iterations[[#This Row],[Step]] =current_step, current_Grad_c,IF(Iterations[[#This Row],[Step]] &gt; current_step, "",Iterations[[#This Row],[Grad_c]]))</f>
        <v/>
      </c>
      <c r="Q1336" s="2" t="str">
        <f>IF(Iterations[[#This Row],[Step]] =current_step, current_Grad_d,IF(Iterations[[#This Row],[Step]] &gt; current_step, "",Iterations[[#This Row],[Grad_d]]))</f>
        <v/>
      </c>
      <c r="R1336" s="2" t="str">
        <f>IF(Iterations[[#This Row],[Step]] =current_step, current_Grad_e,IF(Iterations[[#This Row],[Step]] &gt; current_step, "",Iterations[[#This Row],[Grad_e]]))</f>
        <v/>
      </c>
    </row>
    <row r="1337" spans="6:18" x14ac:dyDescent="0.3">
      <c r="F1337" s="2">
        <f t="shared" si="26"/>
        <v>1320</v>
      </c>
      <c r="G1337" s="2" t="str">
        <f>IF(Iterations[[#This Row],[Step]] =current_step, current_a,IF(Iterations[[#This Row],[Step]] &gt; current_step, "",Iterations[[#This Row],[a]]))</f>
        <v/>
      </c>
      <c r="H1337" s="2" t="str">
        <f>IF(Iterations[[#This Row],[Step]] =current_step, current_b,IF(Iterations[[#This Row],[Step]] &gt; current_step, "",Iterations[[#This Row],[b]]))</f>
        <v/>
      </c>
      <c r="I1337" s="2" t="str">
        <f>IF(Iterations[[#This Row],[Step]] =current_step, current_c,IF(Iterations[[#This Row],[Step]] &gt; current_step, "",Iterations[[#This Row],[c]]))</f>
        <v/>
      </c>
      <c r="J1337" s="2" t="str">
        <f>IF(Iterations[[#This Row],[Step]] =current_step, current_d,IF(Iterations[[#This Row],[Step]] &gt; current_step, "",Iterations[[#This Row],[d]]))</f>
        <v/>
      </c>
      <c r="K1337" s="2" t="str">
        <f>IF(Iterations[[#This Row],[Step]] =current_step, current_e,IF(Iterations[[#This Row],[Step]] &gt; current_step, "",Iterations[[#This Row],[e]]))</f>
        <v/>
      </c>
      <c r="L1337" s="2" t="str">
        <f>IF(Iterations[[#This Row],[Step]] =current_step, current_Total_Loss,IF(Iterations[[#This Row],[Step]] &gt; current_step, "",Iterations[[#This Row],[Total Loss]]))</f>
        <v/>
      </c>
      <c r="M1337" s="6" t="s">
        <v>27</v>
      </c>
      <c r="N1337" s="2" t="str">
        <f>IF(Iterations[[#This Row],[Step]] =current_step, current_Grad_a,IF(Iterations[[#This Row],[Step]] &gt; current_step, "",Iterations[[#This Row],[Grad_a]]))</f>
        <v/>
      </c>
      <c r="O1337" s="2" t="str">
        <f>IF(Iterations[[#This Row],[Step]] =current_step, current_Grad_b,IF(Iterations[[#This Row],[Step]] &gt; current_step, "",Iterations[[#This Row],[Grad_b]]))</f>
        <v/>
      </c>
      <c r="P1337" s="2" t="str">
        <f>IF(Iterations[[#This Row],[Step]] =current_step, current_Grad_c,IF(Iterations[[#This Row],[Step]] &gt; current_step, "",Iterations[[#This Row],[Grad_c]]))</f>
        <v/>
      </c>
      <c r="Q1337" s="2" t="str">
        <f>IF(Iterations[[#This Row],[Step]] =current_step, current_Grad_d,IF(Iterations[[#This Row],[Step]] &gt; current_step, "",Iterations[[#This Row],[Grad_d]]))</f>
        <v/>
      </c>
      <c r="R1337" s="2" t="str">
        <f>IF(Iterations[[#This Row],[Step]] =current_step, current_Grad_e,IF(Iterations[[#This Row],[Step]] &gt; current_step, "",Iterations[[#This Row],[Grad_e]]))</f>
        <v/>
      </c>
    </row>
    <row r="1338" spans="6:18" x14ac:dyDescent="0.3">
      <c r="F1338" s="2">
        <f t="shared" si="26"/>
        <v>1321</v>
      </c>
      <c r="G1338" s="2" t="str">
        <f>IF(Iterations[[#This Row],[Step]] =current_step, current_a,IF(Iterations[[#This Row],[Step]] &gt; current_step, "",Iterations[[#This Row],[a]]))</f>
        <v/>
      </c>
      <c r="H1338" s="2" t="str">
        <f>IF(Iterations[[#This Row],[Step]] =current_step, current_b,IF(Iterations[[#This Row],[Step]] &gt; current_step, "",Iterations[[#This Row],[b]]))</f>
        <v/>
      </c>
      <c r="I1338" s="2" t="str">
        <f>IF(Iterations[[#This Row],[Step]] =current_step, current_c,IF(Iterations[[#This Row],[Step]] &gt; current_step, "",Iterations[[#This Row],[c]]))</f>
        <v/>
      </c>
      <c r="J1338" s="2" t="str">
        <f>IF(Iterations[[#This Row],[Step]] =current_step, current_d,IF(Iterations[[#This Row],[Step]] &gt; current_step, "",Iterations[[#This Row],[d]]))</f>
        <v/>
      </c>
      <c r="K1338" s="2" t="str">
        <f>IF(Iterations[[#This Row],[Step]] =current_step, current_e,IF(Iterations[[#This Row],[Step]] &gt; current_step, "",Iterations[[#This Row],[e]]))</f>
        <v/>
      </c>
      <c r="L1338" s="2" t="str">
        <f>IF(Iterations[[#This Row],[Step]] =current_step, current_Total_Loss,IF(Iterations[[#This Row],[Step]] &gt; current_step, "",Iterations[[#This Row],[Total Loss]]))</f>
        <v/>
      </c>
      <c r="M1338" s="6" t="s">
        <v>27</v>
      </c>
      <c r="N1338" s="2" t="str">
        <f>IF(Iterations[[#This Row],[Step]] =current_step, current_Grad_a,IF(Iterations[[#This Row],[Step]] &gt; current_step, "",Iterations[[#This Row],[Grad_a]]))</f>
        <v/>
      </c>
      <c r="O1338" s="2" t="str">
        <f>IF(Iterations[[#This Row],[Step]] =current_step, current_Grad_b,IF(Iterations[[#This Row],[Step]] &gt; current_step, "",Iterations[[#This Row],[Grad_b]]))</f>
        <v/>
      </c>
      <c r="P1338" s="2" t="str">
        <f>IF(Iterations[[#This Row],[Step]] =current_step, current_Grad_c,IF(Iterations[[#This Row],[Step]] &gt; current_step, "",Iterations[[#This Row],[Grad_c]]))</f>
        <v/>
      </c>
      <c r="Q1338" s="2" t="str">
        <f>IF(Iterations[[#This Row],[Step]] =current_step, current_Grad_d,IF(Iterations[[#This Row],[Step]] &gt; current_step, "",Iterations[[#This Row],[Grad_d]]))</f>
        <v/>
      </c>
      <c r="R1338" s="2" t="str">
        <f>IF(Iterations[[#This Row],[Step]] =current_step, current_Grad_e,IF(Iterations[[#This Row],[Step]] &gt; current_step, "",Iterations[[#This Row],[Grad_e]]))</f>
        <v/>
      </c>
    </row>
    <row r="1339" spans="6:18" x14ac:dyDescent="0.3">
      <c r="F1339" s="2">
        <f t="shared" si="26"/>
        <v>1322</v>
      </c>
      <c r="G1339" s="2" t="str">
        <f>IF(Iterations[[#This Row],[Step]] =current_step, current_a,IF(Iterations[[#This Row],[Step]] &gt; current_step, "",Iterations[[#This Row],[a]]))</f>
        <v/>
      </c>
      <c r="H1339" s="2" t="str">
        <f>IF(Iterations[[#This Row],[Step]] =current_step, current_b,IF(Iterations[[#This Row],[Step]] &gt; current_step, "",Iterations[[#This Row],[b]]))</f>
        <v/>
      </c>
      <c r="I1339" s="2" t="str">
        <f>IF(Iterations[[#This Row],[Step]] =current_step, current_c,IF(Iterations[[#This Row],[Step]] &gt; current_step, "",Iterations[[#This Row],[c]]))</f>
        <v/>
      </c>
      <c r="J1339" s="2" t="str">
        <f>IF(Iterations[[#This Row],[Step]] =current_step, current_d,IF(Iterations[[#This Row],[Step]] &gt; current_step, "",Iterations[[#This Row],[d]]))</f>
        <v/>
      </c>
      <c r="K1339" s="2" t="str">
        <f>IF(Iterations[[#This Row],[Step]] =current_step, current_e,IF(Iterations[[#This Row],[Step]] &gt; current_step, "",Iterations[[#This Row],[e]]))</f>
        <v/>
      </c>
      <c r="L1339" s="2" t="str">
        <f>IF(Iterations[[#This Row],[Step]] =current_step, current_Total_Loss,IF(Iterations[[#This Row],[Step]] &gt; current_step, "",Iterations[[#This Row],[Total Loss]]))</f>
        <v/>
      </c>
      <c r="M1339" s="6" t="s">
        <v>27</v>
      </c>
      <c r="N1339" s="2" t="str">
        <f>IF(Iterations[[#This Row],[Step]] =current_step, current_Grad_a,IF(Iterations[[#This Row],[Step]] &gt; current_step, "",Iterations[[#This Row],[Grad_a]]))</f>
        <v/>
      </c>
      <c r="O1339" s="2" t="str">
        <f>IF(Iterations[[#This Row],[Step]] =current_step, current_Grad_b,IF(Iterations[[#This Row],[Step]] &gt; current_step, "",Iterations[[#This Row],[Grad_b]]))</f>
        <v/>
      </c>
      <c r="P1339" s="2" t="str">
        <f>IF(Iterations[[#This Row],[Step]] =current_step, current_Grad_c,IF(Iterations[[#This Row],[Step]] &gt; current_step, "",Iterations[[#This Row],[Grad_c]]))</f>
        <v/>
      </c>
      <c r="Q1339" s="2" t="str">
        <f>IF(Iterations[[#This Row],[Step]] =current_step, current_Grad_d,IF(Iterations[[#This Row],[Step]] &gt; current_step, "",Iterations[[#This Row],[Grad_d]]))</f>
        <v/>
      </c>
      <c r="R1339" s="2" t="str">
        <f>IF(Iterations[[#This Row],[Step]] =current_step, current_Grad_e,IF(Iterations[[#This Row],[Step]] &gt; current_step, "",Iterations[[#This Row],[Grad_e]]))</f>
        <v/>
      </c>
    </row>
    <row r="1340" spans="6:18" x14ac:dyDescent="0.3">
      <c r="F1340" s="2">
        <f t="shared" si="26"/>
        <v>1323</v>
      </c>
      <c r="G1340" s="2" t="str">
        <f>IF(Iterations[[#This Row],[Step]] =current_step, current_a,IF(Iterations[[#This Row],[Step]] &gt; current_step, "",Iterations[[#This Row],[a]]))</f>
        <v/>
      </c>
      <c r="H1340" s="2" t="str">
        <f>IF(Iterations[[#This Row],[Step]] =current_step, current_b,IF(Iterations[[#This Row],[Step]] &gt; current_step, "",Iterations[[#This Row],[b]]))</f>
        <v/>
      </c>
      <c r="I1340" s="2" t="str">
        <f>IF(Iterations[[#This Row],[Step]] =current_step, current_c,IF(Iterations[[#This Row],[Step]] &gt; current_step, "",Iterations[[#This Row],[c]]))</f>
        <v/>
      </c>
      <c r="J1340" s="2" t="str">
        <f>IF(Iterations[[#This Row],[Step]] =current_step, current_d,IF(Iterations[[#This Row],[Step]] &gt; current_step, "",Iterations[[#This Row],[d]]))</f>
        <v/>
      </c>
      <c r="K1340" s="2" t="str">
        <f>IF(Iterations[[#This Row],[Step]] =current_step, current_e,IF(Iterations[[#This Row],[Step]] &gt; current_step, "",Iterations[[#This Row],[e]]))</f>
        <v/>
      </c>
      <c r="L1340" s="2" t="str">
        <f>IF(Iterations[[#This Row],[Step]] =current_step, current_Total_Loss,IF(Iterations[[#This Row],[Step]] &gt; current_step, "",Iterations[[#This Row],[Total Loss]]))</f>
        <v/>
      </c>
      <c r="M1340" s="6" t="s">
        <v>27</v>
      </c>
      <c r="N1340" s="2" t="str">
        <f>IF(Iterations[[#This Row],[Step]] =current_step, current_Grad_a,IF(Iterations[[#This Row],[Step]] &gt; current_step, "",Iterations[[#This Row],[Grad_a]]))</f>
        <v/>
      </c>
      <c r="O1340" s="2" t="str">
        <f>IF(Iterations[[#This Row],[Step]] =current_step, current_Grad_b,IF(Iterations[[#This Row],[Step]] &gt; current_step, "",Iterations[[#This Row],[Grad_b]]))</f>
        <v/>
      </c>
      <c r="P1340" s="2" t="str">
        <f>IF(Iterations[[#This Row],[Step]] =current_step, current_Grad_c,IF(Iterations[[#This Row],[Step]] &gt; current_step, "",Iterations[[#This Row],[Grad_c]]))</f>
        <v/>
      </c>
      <c r="Q1340" s="2" t="str">
        <f>IF(Iterations[[#This Row],[Step]] =current_step, current_Grad_d,IF(Iterations[[#This Row],[Step]] &gt; current_step, "",Iterations[[#This Row],[Grad_d]]))</f>
        <v/>
      </c>
      <c r="R1340" s="2" t="str">
        <f>IF(Iterations[[#This Row],[Step]] =current_step, current_Grad_e,IF(Iterations[[#This Row],[Step]] &gt; current_step, "",Iterations[[#This Row],[Grad_e]]))</f>
        <v/>
      </c>
    </row>
    <row r="1341" spans="6:18" x14ac:dyDescent="0.3">
      <c r="F1341" s="2">
        <f t="shared" si="26"/>
        <v>1324</v>
      </c>
      <c r="G1341" s="2" t="str">
        <f>IF(Iterations[[#This Row],[Step]] =current_step, current_a,IF(Iterations[[#This Row],[Step]] &gt; current_step, "",Iterations[[#This Row],[a]]))</f>
        <v/>
      </c>
      <c r="H1341" s="2" t="str">
        <f>IF(Iterations[[#This Row],[Step]] =current_step, current_b,IF(Iterations[[#This Row],[Step]] &gt; current_step, "",Iterations[[#This Row],[b]]))</f>
        <v/>
      </c>
      <c r="I1341" s="2" t="str">
        <f>IF(Iterations[[#This Row],[Step]] =current_step, current_c,IF(Iterations[[#This Row],[Step]] &gt; current_step, "",Iterations[[#This Row],[c]]))</f>
        <v/>
      </c>
      <c r="J1341" s="2" t="str">
        <f>IF(Iterations[[#This Row],[Step]] =current_step, current_d,IF(Iterations[[#This Row],[Step]] &gt; current_step, "",Iterations[[#This Row],[d]]))</f>
        <v/>
      </c>
      <c r="K1341" s="2" t="str">
        <f>IF(Iterations[[#This Row],[Step]] =current_step, current_e,IF(Iterations[[#This Row],[Step]] &gt; current_step, "",Iterations[[#This Row],[e]]))</f>
        <v/>
      </c>
      <c r="L1341" s="2" t="str">
        <f>IF(Iterations[[#This Row],[Step]] =current_step, current_Total_Loss,IF(Iterations[[#This Row],[Step]] &gt; current_step, "",Iterations[[#This Row],[Total Loss]]))</f>
        <v/>
      </c>
      <c r="M1341" s="6" t="s">
        <v>27</v>
      </c>
      <c r="N1341" s="2" t="str">
        <f>IF(Iterations[[#This Row],[Step]] =current_step, current_Grad_a,IF(Iterations[[#This Row],[Step]] &gt; current_step, "",Iterations[[#This Row],[Grad_a]]))</f>
        <v/>
      </c>
      <c r="O1341" s="2" t="str">
        <f>IF(Iterations[[#This Row],[Step]] =current_step, current_Grad_b,IF(Iterations[[#This Row],[Step]] &gt; current_step, "",Iterations[[#This Row],[Grad_b]]))</f>
        <v/>
      </c>
      <c r="P1341" s="2" t="str">
        <f>IF(Iterations[[#This Row],[Step]] =current_step, current_Grad_c,IF(Iterations[[#This Row],[Step]] &gt; current_step, "",Iterations[[#This Row],[Grad_c]]))</f>
        <v/>
      </c>
      <c r="Q1341" s="2" t="str">
        <f>IF(Iterations[[#This Row],[Step]] =current_step, current_Grad_d,IF(Iterations[[#This Row],[Step]] &gt; current_step, "",Iterations[[#This Row],[Grad_d]]))</f>
        <v/>
      </c>
      <c r="R1341" s="2" t="str">
        <f>IF(Iterations[[#This Row],[Step]] =current_step, current_Grad_e,IF(Iterations[[#This Row],[Step]] &gt; current_step, "",Iterations[[#This Row],[Grad_e]]))</f>
        <v/>
      </c>
    </row>
    <row r="1342" spans="6:18" x14ac:dyDescent="0.3">
      <c r="F1342" s="2">
        <f t="shared" si="26"/>
        <v>1325</v>
      </c>
      <c r="G1342" s="2" t="str">
        <f>IF(Iterations[[#This Row],[Step]] =current_step, current_a,IF(Iterations[[#This Row],[Step]] &gt; current_step, "",Iterations[[#This Row],[a]]))</f>
        <v/>
      </c>
      <c r="H1342" s="2" t="str">
        <f>IF(Iterations[[#This Row],[Step]] =current_step, current_b,IF(Iterations[[#This Row],[Step]] &gt; current_step, "",Iterations[[#This Row],[b]]))</f>
        <v/>
      </c>
      <c r="I1342" s="2" t="str">
        <f>IF(Iterations[[#This Row],[Step]] =current_step, current_c,IF(Iterations[[#This Row],[Step]] &gt; current_step, "",Iterations[[#This Row],[c]]))</f>
        <v/>
      </c>
      <c r="J1342" s="2" t="str">
        <f>IF(Iterations[[#This Row],[Step]] =current_step, current_d,IF(Iterations[[#This Row],[Step]] &gt; current_step, "",Iterations[[#This Row],[d]]))</f>
        <v/>
      </c>
      <c r="K1342" s="2" t="str">
        <f>IF(Iterations[[#This Row],[Step]] =current_step, current_e,IF(Iterations[[#This Row],[Step]] &gt; current_step, "",Iterations[[#This Row],[e]]))</f>
        <v/>
      </c>
      <c r="L1342" s="2" t="str">
        <f>IF(Iterations[[#This Row],[Step]] =current_step, current_Total_Loss,IF(Iterations[[#This Row],[Step]] &gt; current_step, "",Iterations[[#This Row],[Total Loss]]))</f>
        <v/>
      </c>
      <c r="M1342" s="6" t="s">
        <v>27</v>
      </c>
      <c r="N1342" s="2" t="str">
        <f>IF(Iterations[[#This Row],[Step]] =current_step, current_Grad_a,IF(Iterations[[#This Row],[Step]] &gt; current_step, "",Iterations[[#This Row],[Grad_a]]))</f>
        <v/>
      </c>
      <c r="O1342" s="2" t="str">
        <f>IF(Iterations[[#This Row],[Step]] =current_step, current_Grad_b,IF(Iterations[[#This Row],[Step]] &gt; current_step, "",Iterations[[#This Row],[Grad_b]]))</f>
        <v/>
      </c>
      <c r="P1342" s="2" t="str">
        <f>IF(Iterations[[#This Row],[Step]] =current_step, current_Grad_c,IF(Iterations[[#This Row],[Step]] &gt; current_step, "",Iterations[[#This Row],[Grad_c]]))</f>
        <v/>
      </c>
      <c r="Q1342" s="2" t="str">
        <f>IF(Iterations[[#This Row],[Step]] =current_step, current_Grad_d,IF(Iterations[[#This Row],[Step]] &gt; current_step, "",Iterations[[#This Row],[Grad_d]]))</f>
        <v/>
      </c>
      <c r="R1342" s="2" t="str">
        <f>IF(Iterations[[#This Row],[Step]] =current_step, current_Grad_e,IF(Iterations[[#This Row],[Step]] &gt; current_step, "",Iterations[[#This Row],[Grad_e]]))</f>
        <v/>
      </c>
    </row>
    <row r="1343" spans="6:18" x14ac:dyDescent="0.3">
      <c r="F1343" s="2">
        <f t="shared" si="26"/>
        <v>1326</v>
      </c>
      <c r="G1343" s="2" t="str">
        <f>IF(Iterations[[#This Row],[Step]] =current_step, current_a,IF(Iterations[[#This Row],[Step]] &gt; current_step, "",Iterations[[#This Row],[a]]))</f>
        <v/>
      </c>
      <c r="H1343" s="2" t="str">
        <f>IF(Iterations[[#This Row],[Step]] =current_step, current_b,IF(Iterations[[#This Row],[Step]] &gt; current_step, "",Iterations[[#This Row],[b]]))</f>
        <v/>
      </c>
      <c r="I1343" s="2" t="str">
        <f>IF(Iterations[[#This Row],[Step]] =current_step, current_c,IF(Iterations[[#This Row],[Step]] &gt; current_step, "",Iterations[[#This Row],[c]]))</f>
        <v/>
      </c>
      <c r="J1343" s="2" t="str">
        <f>IF(Iterations[[#This Row],[Step]] =current_step, current_d,IF(Iterations[[#This Row],[Step]] &gt; current_step, "",Iterations[[#This Row],[d]]))</f>
        <v/>
      </c>
      <c r="K1343" s="2" t="str">
        <f>IF(Iterations[[#This Row],[Step]] =current_step, current_e,IF(Iterations[[#This Row],[Step]] &gt; current_step, "",Iterations[[#This Row],[e]]))</f>
        <v/>
      </c>
      <c r="L1343" s="2" t="str">
        <f>IF(Iterations[[#This Row],[Step]] =current_step, current_Total_Loss,IF(Iterations[[#This Row],[Step]] &gt; current_step, "",Iterations[[#This Row],[Total Loss]]))</f>
        <v/>
      </c>
      <c r="M1343" s="6" t="s">
        <v>27</v>
      </c>
      <c r="N1343" s="2" t="str">
        <f>IF(Iterations[[#This Row],[Step]] =current_step, current_Grad_a,IF(Iterations[[#This Row],[Step]] &gt; current_step, "",Iterations[[#This Row],[Grad_a]]))</f>
        <v/>
      </c>
      <c r="O1343" s="2" t="str">
        <f>IF(Iterations[[#This Row],[Step]] =current_step, current_Grad_b,IF(Iterations[[#This Row],[Step]] &gt; current_step, "",Iterations[[#This Row],[Grad_b]]))</f>
        <v/>
      </c>
      <c r="P1343" s="2" t="str">
        <f>IF(Iterations[[#This Row],[Step]] =current_step, current_Grad_c,IF(Iterations[[#This Row],[Step]] &gt; current_step, "",Iterations[[#This Row],[Grad_c]]))</f>
        <v/>
      </c>
      <c r="Q1343" s="2" t="str">
        <f>IF(Iterations[[#This Row],[Step]] =current_step, current_Grad_d,IF(Iterations[[#This Row],[Step]] &gt; current_step, "",Iterations[[#This Row],[Grad_d]]))</f>
        <v/>
      </c>
      <c r="R1343" s="2" t="str">
        <f>IF(Iterations[[#This Row],[Step]] =current_step, current_Grad_e,IF(Iterations[[#This Row],[Step]] &gt; current_step, "",Iterations[[#This Row],[Grad_e]]))</f>
        <v/>
      </c>
    </row>
    <row r="1344" spans="6:18" x14ac:dyDescent="0.3">
      <c r="F1344" s="2">
        <f t="shared" si="26"/>
        <v>1327</v>
      </c>
      <c r="G1344" s="2" t="str">
        <f>IF(Iterations[[#This Row],[Step]] =current_step, current_a,IF(Iterations[[#This Row],[Step]] &gt; current_step, "",Iterations[[#This Row],[a]]))</f>
        <v/>
      </c>
      <c r="H1344" s="2" t="str">
        <f>IF(Iterations[[#This Row],[Step]] =current_step, current_b,IF(Iterations[[#This Row],[Step]] &gt; current_step, "",Iterations[[#This Row],[b]]))</f>
        <v/>
      </c>
      <c r="I1344" s="2" t="str">
        <f>IF(Iterations[[#This Row],[Step]] =current_step, current_c,IF(Iterations[[#This Row],[Step]] &gt; current_step, "",Iterations[[#This Row],[c]]))</f>
        <v/>
      </c>
      <c r="J1344" s="2" t="str">
        <f>IF(Iterations[[#This Row],[Step]] =current_step, current_d,IF(Iterations[[#This Row],[Step]] &gt; current_step, "",Iterations[[#This Row],[d]]))</f>
        <v/>
      </c>
      <c r="K1344" s="2" t="str">
        <f>IF(Iterations[[#This Row],[Step]] =current_step, current_e,IF(Iterations[[#This Row],[Step]] &gt; current_step, "",Iterations[[#This Row],[e]]))</f>
        <v/>
      </c>
      <c r="L1344" s="2" t="str">
        <f>IF(Iterations[[#This Row],[Step]] =current_step, current_Total_Loss,IF(Iterations[[#This Row],[Step]] &gt; current_step, "",Iterations[[#This Row],[Total Loss]]))</f>
        <v/>
      </c>
      <c r="M1344" s="6" t="s">
        <v>27</v>
      </c>
      <c r="N1344" s="2" t="str">
        <f>IF(Iterations[[#This Row],[Step]] =current_step, current_Grad_a,IF(Iterations[[#This Row],[Step]] &gt; current_step, "",Iterations[[#This Row],[Grad_a]]))</f>
        <v/>
      </c>
      <c r="O1344" s="2" t="str">
        <f>IF(Iterations[[#This Row],[Step]] =current_step, current_Grad_b,IF(Iterations[[#This Row],[Step]] &gt; current_step, "",Iterations[[#This Row],[Grad_b]]))</f>
        <v/>
      </c>
      <c r="P1344" s="2" t="str">
        <f>IF(Iterations[[#This Row],[Step]] =current_step, current_Grad_c,IF(Iterations[[#This Row],[Step]] &gt; current_step, "",Iterations[[#This Row],[Grad_c]]))</f>
        <v/>
      </c>
      <c r="Q1344" s="2" t="str">
        <f>IF(Iterations[[#This Row],[Step]] =current_step, current_Grad_d,IF(Iterations[[#This Row],[Step]] &gt; current_step, "",Iterations[[#This Row],[Grad_d]]))</f>
        <v/>
      </c>
      <c r="R1344" s="2" t="str">
        <f>IF(Iterations[[#This Row],[Step]] =current_step, current_Grad_e,IF(Iterations[[#This Row],[Step]] &gt; current_step, "",Iterations[[#This Row],[Grad_e]]))</f>
        <v/>
      </c>
    </row>
    <row r="1345" spans="6:18" x14ac:dyDescent="0.3">
      <c r="F1345" s="2">
        <f t="shared" si="26"/>
        <v>1328</v>
      </c>
      <c r="G1345" s="2" t="str">
        <f>IF(Iterations[[#This Row],[Step]] =current_step, current_a,IF(Iterations[[#This Row],[Step]] &gt; current_step, "",Iterations[[#This Row],[a]]))</f>
        <v/>
      </c>
      <c r="H1345" s="2" t="str">
        <f>IF(Iterations[[#This Row],[Step]] =current_step, current_b,IF(Iterations[[#This Row],[Step]] &gt; current_step, "",Iterations[[#This Row],[b]]))</f>
        <v/>
      </c>
      <c r="I1345" s="2" t="str">
        <f>IF(Iterations[[#This Row],[Step]] =current_step, current_c,IF(Iterations[[#This Row],[Step]] &gt; current_step, "",Iterations[[#This Row],[c]]))</f>
        <v/>
      </c>
      <c r="J1345" s="2" t="str">
        <f>IF(Iterations[[#This Row],[Step]] =current_step, current_d,IF(Iterations[[#This Row],[Step]] &gt; current_step, "",Iterations[[#This Row],[d]]))</f>
        <v/>
      </c>
      <c r="K1345" s="2" t="str">
        <f>IF(Iterations[[#This Row],[Step]] =current_step, current_e,IF(Iterations[[#This Row],[Step]] &gt; current_step, "",Iterations[[#This Row],[e]]))</f>
        <v/>
      </c>
      <c r="L1345" s="2" t="str">
        <f>IF(Iterations[[#This Row],[Step]] =current_step, current_Total_Loss,IF(Iterations[[#This Row],[Step]] &gt; current_step, "",Iterations[[#This Row],[Total Loss]]))</f>
        <v/>
      </c>
      <c r="M1345" s="6" t="s">
        <v>27</v>
      </c>
      <c r="N1345" s="2" t="str">
        <f>IF(Iterations[[#This Row],[Step]] =current_step, current_Grad_a,IF(Iterations[[#This Row],[Step]] &gt; current_step, "",Iterations[[#This Row],[Grad_a]]))</f>
        <v/>
      </c>
      <c r="O1345" s="2" t="str">
        <f>IF(Iterations[[#This Row],[Step]] =current_step, current_Grad_b,IF(Iterations[[#This Row],[Step]] &gt; current_step, "",Iterations[[#This Row],[Grad_b]]))</f>
        <v/>
      </c>
      <c r="P1345" s="2" t="str">
        <f>IF(Iterations[[#This Row],[Step]] =current_step, current_Grad_c,IF(Iterations[[#This Row],[Step]] &gt; current_step, "",Iterations[[#This Row],[Grad_c]]))</f>
        <v/>
      </c>
      <c r="Q1345" s="2" t="str">
        <f>IF(Iterations[[#This Row],[Step]] =current_step, current_Grad_d,IF(Iterations[[#This Row],[Step]] &gt; current_step, "",Iterations[[#This Row],[Grad_d]]))</f>
        <v/>
      </c>
      <c r="R1345" s="2" t="str">
        <f>IF(Iterations[[#This Row],[Step]] =current_step, current_Grad_e,IF(Iterations[[#This Row],[Step]] &gt; current_step, "",Iterations[[#This Row],[Grad_e]]))</f>
        <v/>
      </c>
    </row>
    <row r="1346" spans="6:18" x14ac:dyDescent="0.3">
      <c r="F1346" s="2">
        <f t="shared" si="26"/>
        <v>1329</v>
      </c>
      <c r="G1346" s="2" t="str">
        <f>IF(Iterations[[#This Row],[Step]] =current_step, current_a,IF(Iterations[[#This Row],[Step]] &gt; current_step, "",Iterations[[#This Row],[a]]))</f>
        <v/>
      </c>
      <c r="H1346" s="2" t="str">
        <f>IF(Iterations[[#This Row],[Step]] =current_step, current_b,IF(Iterations[[#This Row],[Step]] &gt; current_step, "",Iterations[[#This Row],[b]]))</f>
        <v/>
      </c>
      <c r="I1346" s="2" t="str">
        <f>IF(Iterations[[#This Row],[Step]] =current_step, current_c,IF(Iterations[[#This Row],[Step]] &gt; current_step, "",Iterations[[#This Row],[c]]))</f>
        <v/>
      </c>
      <c r="J1346" s="2" t="str">
        <f>IF(Iterations[[#This Row],[Step]] =current_step, current_d,IF(Iterations[[#This Row],[Step]] &gt; current_step, "",Iterations[[#This Row],[d]]))</f>
        <v/>
      </c>
      <c r="K1346" s="2" t="str">
        <f>IF(Iterations[[#This Row],[Step]] =current_step, current_e,IF(Iterations[[#This Row],[Step]] &gt; current_step, "",Iterations[[#This Row],[e]]))</f>
        <v/>
      </c>
      <c r="L1346" s="2" t="str">
        <f>IF(Iterations[[#This Row],[Step]] =current_step, current_Total_Loss,IF(Iterations[[#This Row],[Step]] &gt; current_step, "",Iterations[[#This Row],[Total Loss]]))</f>
        <v/>
      </c>
      <c r="M1346" s="6" t="s">
        <v>27</v>
      </c>
      <c r="N1346" s="2" t="str">
        <f>IF(Iterations[[#This Row],[Step]] =current_step, current_Grad_a,IF(Iterations[[#This Row],[Step]] &gt; current_step, "",Iterations[[#This Row],[Grad_a]]))</f>
        <v/>
      </c>
      <c r="O1346" s="2" t="str">
        <f>IF(Iterations[[#This Row],[Step]] =current_step, current_Grad_b,IF(Iterations[[#This Row],[Step]] &gt; current_step, "",Iterations[[#This Row],[Grad_b]]))</f>
        <v/>
      </c>
      <c r="P1346" s="2" t="str">
        <f>IF(Iterations[[#This Row],[Step]] =current_step, current_Grad_c,IF(Iterations[[#This Row],[Step]] &gt; current_step, "",Iterations[[#This Row],[Grad_c]]))</f>
        <v/>
      </c>
      <c r="Q1346" s="2" t="str">
        <f>IF(Iterations[[#This Row],[Step]] =current_step, current_Grad_d,IF(Iterations[[#This Row],[Step]] &gt; current_step, "",Iterations[[#This Row],[Grad_d]]))</f>
        <v/>
      </c>
      <c r="R1346" s="2" t="str">
        <f>IF(Iterations[[#This Row],[Step]] =current_step, current_Grad_e,IF(Iterations[[#This Row],[Step]] &gt; current_step, "",Iterations[[#This Row],[Grad_e]]))</f>
        <v/>
      </c>
    </row>
    <row r="1347" spans="6:18" x14ac:dyDescent="0.3">
      <c r="F1347" s="2">
        <f t="shared" si="26"/>
        <v>1330</v>
      </c>
      <c r="G1347" s="2" t="str">
        <f>IF(Iterations[[#This Row],[Step]] =current_step, current_a,IF(Iterations[[#This Row],[Step]] &gt; current_step, "",Iterations[[#This Row],[a]]))</f>
        <v/>
      </c>
      <c r="H1347" s="2" t="str">
        <f>IF(Iterations[[#This Row],[Step]] =current_step, current_b,IF(Iterations[[#This Row],[Step]] &gt; current_step, "",Iterations[[#This Row],[b]]))</f>
        <v/>
      </c>
      <c r="I1347" s="2" t="str">
        <f>IF(Iterations[[#This Row],[Step]] =current_step, current_c,IF(Iterations[[#This Row],[Step]] &gt; current_step, "",Iterations[[#This Row],[c]]))</f>
        <v/>
      </c>
      <c r="J1347" s="2" t="str">
        <f>IF(Iterations[[#This Row],[Step]] =current_step, current_d,IF(Iterations[[#This Row],[Step]] &gt; current_step, "",Iterations[[#This Row],[d]]))</f>
        <v/>
      </c>
      <c r="K1347" s="2" t="str">
        <f>IF(Iterations[[#This Row],[Step]] =current_step, current_e,IF(Iterations[[#This Row],[Step]] &gt; current_step, "",Iterations[[#This Row],[e]]))</f>
        <v/>
      </c>
      <c r="L1347" s="2" t="str">
        <f>IF(Iterations[[#This Row],[Step]] =current_step, current_Total_Loss,IF(Iterations[[#This Row],[Step]] &gt; current_step, "",Iterations[[#This Row],[Total Loss]]))</f>
        <v/>
      </c>
      <c r="M1347" s="6" t="s">
        <v>27</v>
      </c>
      <c r="N1347" s="2" t="str">
        <f>IF(Iterations[[#This Row],[Step]] =current_step, current_Grad_a,IF(Iterations[[#This Row],[Step]] &gt; current_step, "",Iterations[[#This Row],[Grad_a]]))</f>
        <v/>
      </c>
      <c r="O1347" s="2" t="str">
        <f>IF(Iterations[[#This Row],[Step]] =current_step, current_Grad_b,IF(Iterations[[#This Row],[Step]] &gt; current_step, "",Iterations[[#This Row],[Grad_b]]))</f>
        <v/>
      </c>
      <c r="P1347" s="2" t="str">
        <f>IF(Iterations[[#This Row],[Step]] =current_step, current_Grad_c,IF(Iterations[[#This Row],[Step]] &gt; current_step, "",Iterations[[#This Row],[Grad_c]]))</f>
        <v/>
      </c>
      <c r="Q1347" s="2" t="str">
        <f>IF(Iterations[[#This Row],[Step]] =current_step, current_Grad_d,IF(Iterations[[#This Row],[Step]] &gt; current_step, "",Iterations[[#This Row],[Grad_d]]))</f>
        <v/>
      </c>
      <c r="R1347" s="2" t="str">
        <f>IF(Iterations[[#This Row],[Step]] =current_step, current_Grad_e,IF(Iterations[[#This Row],[Step]] &gt; current_step, "",Iterations[[#This Row],[Grad_e]]))</f>
        <v/>
      </c>
    </row>
    <row r="1348" spans="6:18" x14ac:dyDescent="0.3">
      <c r="F1348" s="2">
        <f t="shared" si="26"/>
        <v>1331</v>
      </c>
      <c r="G1348" s="2" t="str">
        <f>IF(Iterations[[#This Row],[Step]] =current_step, current_a,IF(Iterations[[#This Row],[Step]] &gt; current_step, "",Iterations[[#This Row],[a]]))</f>
        <v/>
      </c>
      <c r="H1348" s="2" t="str">
        <f>IF(Iterations[[#This Row],[Step]] =current_step, current_b,IF(Iterations[[#This Row],[Step]] &gt; current_step, "",Iterations[[#This Row],[b]]))</f>
        <v/>
      </c>
      <c r="I1348" s="2" t="str">
        <f>IF(Iterations[[#This Row],[Step]] =current_step, current_c,IF(Iterations[[#This Row],[Step]] &gt; current_step, "",Iterations[[#This Row],[c]]))</f>
        <v/>
      </c>
      <c r="J1348" s="2" t="str">
        <f>IF(Iterations[[#This Row],[Step]] =current_step, current_d,IF(Iterations[[#This Row],[Step]] &gt; current_step, "",Iterations[[#This Row],[d]]))</f>
        <v/>
      </c>
      <c r="K1348" s="2" t="str">
        <f>IF(Iterations[[#This Row],[Step]] =current_step, current_e,IF(Iterations[[#This Row],[Step]] &gt; current_step, "",Iterations[[#This Row],[e]]))</f>
        <v/>
      </c>
      <c r="L1348" s="2" t="str">
        <f>IF(Iterations[[#This Row],[Step]] =current_step, current_Total_Loss,IF(Iterations[[#This Row],[Step]] &gt; current_step, "",Iterations[[#This Row],[Total Loss]]))</f>
        <v/>
      </c>
      <c r="M1348" s="6" t="s">
        <v>27</v>
      </c>
      <c r="N1348" s="2" t="str">
        <f>IF(Iterations[[#This Row],[Step]] =current_step, current_Grad_a,IF(Iterations[[#This Row],[Step]] &gt; current_step, "",Iterations[[#This Row],[Grad_a]]))</f>
        <v/>
      </c>
      <c r="O1348" s="2" t="str">
        <f>IF(Iterations[[#This Row],[Step]] =current_step, current_Grad_b,IF(Iterations[[#This Row],[Step]] &gt; current_step, "",Iterations[[#This Row],[Grad_b]]))</f>
        <v/>
      </c>
      <c r="P1348" s="2" t="str">
        <f>IF(Iterations[[#This Row],[Step]] =current_step, current_Grad_c,IF(Iterations[[#This Row],[Step]] &gt; current_step, "",Iterations[[#This Row],[Grad_c]]))</f>
        <v/>
      </c>
      <c r="Q1348" s="2" t="str">
        <f>IF(Iterations[[#This Row],[Step]] =current_step, current_Grad_d,IF(Iterations[[#This Row],[Step]] &gt; current_step, "",Iterations[[#This Row],[Grad_d]]))</f>
        <v/>
      </c>
      <c r="R1348" s="2" t="str">
        <f>IF(Iterations[[#This Row],[Step]] =current_step, current_Grad_e,IF(Iterations[[#This Row],[Step]] &gt; current_step, "",Iterations[[#This Row],[Grad_e]]))</f>
        <v/>
      </c>
    </row>
    <row r="1349" spans="6:18" x14ac:dyDescent="0.3">
      <c r="F1349" s="2">
        <f t="shared" si="26"/>
        <v>1332</v>
      </c>
      <c r="G1349" s="2" t="str">
        <f>IF(Iterations[[#This Row],[Step]] =current_step, current_a,IF(Iterations[[#This Row],[Step]] &gt; current_step, "",Iterations[[#This Row],[a]]))</f>
        <v/>
      </c>
      <c r="H1349" s="2" t="str">
        <f>IF(Iterations[[#This Row],[Step]] =current_step, current_b,IF(Iterations[[#This Row],[Step]] &gt; current_step, "",Iterations[[#This Row],[b]]))</f>
        <v/>
      </c>
      <c r="I1349" s="2" t="str">
        <f>IF(Iterations[[#This Row],[Step]] =current_step, current_c,IF(Iterations[[#This Row],[Step]] &gt; current_step, "",Iterations[[#This Row],[c]]))</f>
        <v/>
      </c>
      <c r="J1349" s="2" t="str">
        <f>IF(Iterations[[#This Row],[Step]] =current_step, current_d,IF(Iterations[[#This Row],[Step]] &gt; current_step, "",Iterations[[#This Row],[d]]))</f>
        <v/>
      </c>
      <c r="K1349" s="2" t="str">
        <f>IF(Iterations[[#This Row],[Step]] =current_step, current_e,IF(Iterations[[#This Row],[Step]] &gt; current_step, "",Iterations[[#This Row],[e]]))</f>
        <v/>
      </c>
      <c r="L1349" s="2" t="str">
        <f>IF(Iterations[[#This Row],[Step]] =current_step, current_Total_Loss,IF(Iterations[[#This Row],[Step]] &gt; current_step, "",Iterations[[#This Row],[Total Loss]]))</f>
        <v/>
      </c>
      <c r="M1349" s="6" t="s">
        <v>27</v>
      </c>
      <c r="N1349" s="2" t="str">
        <f>IF(Iterations[[#This Row],[Step]] =current_step, current_Grad_a,IF(Iterations[[#This Row],[Step]] &gt; current_step, "",Iterations[[#This Row],[Grad_a]]))</f>
        <v/>
      </c>
      <c r="O1349" s="2" t="str">
        <f>IF(Iterations[[#This Row],[Step]] =current_step, current_Grad_b,IF(Iterations[[#This Row],[Step]] &gt; current_step, "",Iterations[[#This Row],[Grad_b]]))</f>
        <v/>
      </c>
      <c r="P1349" s="2" t="str">
        <f>IF(Iterations[[#This Row],[Step]] =current_step, current_Grad_c,IF(Iterations[[#This Row],[Step]] &gt; current_step, "",Iterations[[#This Row],[Grad_c]]))</f>
        <v/>
      </c>
      <c r="Q1349" s="2" t="str">
        <f>IF(Iterations[[#This Row],[Step]] =current_step, current_Grad_d,IF(Iterations[[#This Row],[Step]] &gt; current_step, "",Iterations[[#This Row],[Grad_d]]))</f>
        <v/>
      </c>
      <c r="R1349" s="2" t="str">
        <f>IF(Iterations[[#This Row],[Step]] =current_step, current_Grad_e,IF(Iterations[[#This Row],[Step]] &gt; current_step, "",Iterations[[#This Row],[Grad_e]]))</f>
        <v/>
      </c>
    </row>
    <row r="1350" spans="6:18" x14ac:dyDescent="0.3">
      <c r="F1350" s="2">
        <f t="shared" si="26"/>
        <v>1333</v>
      </c>
      <c r="G1350" s="2" t="str">
        <f>IF(Iterations[[#This Row],[Step]] =current_step, current_a,IF(Iterations[[#This Row],[Step]] &gt; current_step, "",Iterations[[#This Row],[a]]))</f>
        <v/>
      </c>
      <c r="H1350" s="2" t="str">
        <f>IF(Iterations[[#This Row],[Step]] =current_step, current_b,IF(Iterations[[#This Row],[Step]] &gt; current_step, "",Iterations[[#This Row],[b]]))</f>
        <v/>
      </c>
      <c r="I1350" s="2" t="str">
        <f>IF(Iterations[[#This Row],[Step]] =current_step, current_c,IF(Iterations[[#This Row],[Step]] &gt; current_step, "",Iterations[[#This Row],[c]]))</f>
        <v/>
      </c>
      <c r="J1350" s="2" t="str">
        <f>IF(Iterations[[#This Row],[Step]] =current_step, current_d,IF(Iterations[[#This Row],[Step]] &gt; current_step, "",Iterations[[#This Row],[d]]))</f>
        <v/>
      </c>
      <c r="K1350" s="2" t="str">
        <f>IF(Iterations[[#This Row],[Step]] =current_step, current_e,IF(Iterations[[#This Row],[Step]] &gt; current_step, "",Iterations[[#This Row],[e]]))</f>
        <v/>
      </c>
      <c r="L1350" s="2" t="str">
        <f>IF(Iterations[[#This Row],[Step]] =current_step, current_Total_Loss,IF(Iterations[[#This Row],[Step]] &gt; current_step, "",Iterations[[#This Row],[Total Loss]]))</f>
        <v/>
      </c>
      <c r="M1350" s="6" t="s">
        <v>27</v>
      </c>
      <c r="N1350" s="2" t="str">
        <f>IF(Iterations[[#This Row],[Step]] =current_step, current_Grad_a,IF(Iterations[[#This Row],[Step]] &gt; current_step, "",Iterations[[#This Row],[Grad_a]]))</f>
        <v/>
      </c>
      <c r="O1350" s="2" t="str">
        <f>IF(Iterations[[#This Row],[Step]] =current_step, current_Grad_b,IF(Iterations[[#This Row],[Step]] &gt; current_step, "",Iterations[[#This Row],[Grad_b]]))</f>
        <v/>
      </c>
      <c r="P1350" s="2" t="str">
        <f>IF(Iterations[[#This Row],[Step]] =current_step, current_Grad_c,IF(Iterations[[#This Row],[Step]] &gt; current_step, "",Iterations[[#This Row],[Grad_c]]))</f>
        <v/>
      </c>
      <c r="Q1350" s="2" t="str">
        <f>IF(Iterations[[#This Row],[Step]] =current_step, current_Grad_d,IF(Iterations[[#This Row],[Step]] &gt; current_step, "",Iterations[[#This Row],[Grad_d]]))</f>
        <v/>
      </c>
      <c r="R1350" s="2" t="str">
        <f>IF(Iterations[[#This Row],[Step]] =current_step, current_Grad_e,IF(Iterations[[#This Row],[Step]] &gt; current_step, "",Iterations[[#This Row],[Grad_e]]))</f>
        <v/>
      </c>
    </row>
    <row r="1351" spans="6:18" x14ac:dyDescent="0.3">
      <c r="F1351" s="2">
        <f t="shared" si="26"/>
        <v>1334</v>
      </c>
      <c r="G1351" s="2" t="str">
        <f>IF(Iterations[[#This Row],[Step]] =current_step, current_a,IF(Iterations[[#This Row],[Step]] &gt; current_step, "",Iterations[[#This Row],[a]]))</f>
        <v/>
      </c>
      <c r="H1351" s="2" t="str">
        <f>IF(Iterations[[#This Row],[Step]] =current_step, current_b,IF(Iterations[[#This Row],[Step]] &gt; current_step, "",Iterations[[#This Row],[b]]))</f>
        <v/>
      </c>
      <c r="I1351" s="2" t="str">
        <f>IF(Iterations[[#This Row],[Step]] =current_step, current_c,IF(Iterations[[#This Row],[Step]] &gt; current_step, "",Iterations[[#This Row],[c]]))</f>
        <v/>
      </c>
      <c r="J1351" s="2" t="str">
        <f>IF(Iterations[[#This Row],[Step]] =current_step, current_d,IF(Iterations[[#This Row],[Step]] &gt; current_step, "",Iterations[[#This Row],[d]]))</f>
        <v/>
      </c>
      <c r="K1351" s="2" t="str">
        <f>IF(Iterations[[#This Row],[Step]] =current_step, current_e,IF(Iterations[[#This Row],[Step]] &gt; current_step, "",Iterations[[#This Row],[e]]))</f>
        <v/>
      </c>
      <c r="L1351" s="2" t="str">
        <f>IF(Iterations[[#This Row],[Step]] =current_step, current_Total_Loss,IF(Iterations[[#This Row],[Step]] &gt; current_step, "",Iterations[[#This Row],[Total Loss]]))</f>
        <v/>
      </c>
      <c r="M1351" s="6" t="s">
        <v>27</v>
      </c>
      <c r="N1351" s="2" t="str">
        <f>IF(Iterations[[#This Row],[Step]] =current_step, current_Grad_a,IF(Iterations[[#This Row],[Step]] &gt; current_step, "",Iterations[[#This Row],[Grad_a]]))</f>
        <v/>
      </c>
      <c r="O1351" s="2" t="str">
        <f>IF(Iterations[[#This Row],[Step]] =current_step, current_Grad_b,IF(Iterations[[#This Row],[Step]] &gt; current_step, "",Iterations[[#This Row],[Grad_b]]))</f>
        <v/>
      </c>
      <c r="P1351" s="2" t="str">
        <f>IF(Iterations[[#This Row],[Step]] =current_step, current_Grad_c,IF(Iterations[[#This Row],[Step]] &gt; current_step, "",Iterations[[#This Row],[Grad_c]]))</f>
        <v/>
      </c>
      <c r="Q1351" s="2" t="str">
        <f>IF(Iterations[[#This Row],[Step]] =current_step, current_Grad_d,IF(Iterations[[#This Row],[Step]] &gt; current_step, "",Iterations[[#This Row],[Grad_d]]))</f>
        <v/>
      </c>
      <c r="R1351" s="2" t="str">
        <f>IF(Iterations[[#This Row],[Step]] =current_step, current_Grad_e,IF(Iterations[[#This Row],[Step]] &gt; current_step, "",Iterations[[#This Row],[Grad_e]]))</f>
        <v/>
      </c>
    </row>
    <row r="1352" spans="6:18" x14ac:dyDescent="0.3">
      <c r="F1352" s="2">
        <f t="shared" si="26"/>
        <v>1335</v>
      </c>
      <c r="G1352" s="2" t="str">
        <f>IF(Iterations[[#This Row],[Step]] =current_step, current_a,IF(Iterations[[#This Row],[Step]] &gt; current_step, "",Iterations[[#This Row],[a]]))</f>
        <v/>
      </c>
      <c r="H1352" s="2" t="str">
        <f>IF(Iterations[[#This Row],[Step]] =current_step, current_b,IF(Iterations[[#This Row],[Step]] &gt; current_step, "",Iterations[[#This Row],[b]]))</f>
        <v/>
      </c>
      <c r="I1352" s="2" t="str">
        <f>IF(Iterations[[#This Row],[Step]] =current_step, current_c,IF(Iterations[[#This Row],[Step]] &gt; current_step, "",Iterations[[#This Row],[c]]))</f>
        <v/>
      </c>
      <c r="J1352" s="2" t="str">
        <f>IF(Iterations[[#This Row],[Step]] =current_step, current_d,IF(Iterations[[#This Row],[Step]] &gt; current_step, "",Iterations[[#This Row],[d]]))</f>
        <v/>
      </c>
      <c r="K1352" s="2" t="str">
        <f>IF(Iterations[[#This Row],[Step]] =current_step, current_e,IF(Iterations[[#This Row],[Step]] &gt; current_step, "",Iterations[[#This Row],[e]]))</f>
        <v/>
      </c>
      <c r="L1352" s="2" t="str">
        <f>IF(Iterations[[#This Row],[Step]] =current_step, current_Total_Loss,IF(Iterations[[#This Row],[Step]] &gt; current_step, "",Iterations[[#This Row],[Total Loss]]))</f>
        <v/>
      </c>
      <c r="M1352" s="6" t="s">
        <v>27</v>
      </c>
      <c r="N1352" s="2" t="str">
        <f>IF(Iterations[[#This Row],[Step]] =current_step, current_Grad_a,IF(Iterations[[#This Row],[Step]] &gt; current_step, "",Iterations[[#This Row],[Grad_a]]))</f>
        <v/>
      </c>
      <c r="O1352" s="2" t="str">
        <f>IF(Iterations[[#This Row],[Step]] =current_step, current_Grad_b,IF(Iterations[[#This Row],[Step]] &gt; current_step, "",Iterations[[#This Row],[Grad_b]]))</f>
        <v/>
      </c>
      <c r="P1352" s="2" t="str">
        <f>IF(Iterations[[#This Row],[Step]] =current_step, current_Grad_c,IF(Iterations[[#This Row],[Step]] &gt; current_step, "",Iterations[[#This Row],[Grad_c]]))</f>
        <v/>
      </c>
      <c r="Q1352" s="2" t="str">
        <f>IF(Iterations[[#This Row],[Step]] =current_step, current_Grad_d,IF(Iterations[[#This Row],[Step]] &gt; current_step, "",Iterations[[#This Row],[Grad_d]]))</f>
        <v/>
      </c>
      <c r="R1352" s="2" t="str">
        <f>IF(Iterations[[#This Row],[Step]] =current_step, current_Grad_e,IF(Iterations[[#This Row],[Step]] &gt; current_step, "",Iterations[[#This Row],[Grad_e]]))</f>
        <v/>
      </c>
    </row>
    <row r="1353" spans="6:18" x14ac:dyDescent="0.3">
      <c r="F1353" s="2">
        <f t="shared" si="26"/>
        <v>1336</v>
      </c>
      <c r="G1353" s="2" t="str">
        <f>IF(Iterations[[#This Row],[Step]] =current_step, current_a,IF(Iterations[[#This Row],[Step]] &gt; current_step, "",Iterations[[#This Row],[a]]))</f>
        <v/>
      </c>
      <c r="H1353" s="2" t="str">
        <f>IF(Iterations[[#This Row],[Step]] =current_step, current_b,IF(Iterations[[#This Row],[Step]] &gt; current_step, "",Iterations[[#This Row],[b]]))</f>
        <v/>
      </c>
      <c r="I1353" s="2" t="str">
        <f>IF(Iterations[[#This Row],[Step]] =current_step, current_c,IF(Iterations[[#This Row],[Step]] &gt; current_step, "",Iterations[[#This Row],[c]]))</f>
        <v/>
      </c>
      <c r="J1353" s="2" t="str">
        <f>IF(Iterations[[#This Row],[Step]] =current_step, current_d,IF(Iterations[[#This Row],[Step]] &gt; current_step, "",Iterations[[#This Row],[d]]))</f>
        <v/>
      </c>
      <c r="K1353" s="2" t="str">
        <f>IF(Iterations[[#This Row],[Step]] =current_step, current_e,IF(Iterations[[#This Row],[Step]] &gt; current_step, "",Iterations[[#This Row],[e]]))</f>
        <v/>
      </c>
      <c r="L1353" s="2" t="str">
        <f>IF(Iterations[[#This Row],[Step]] =current_step, current_Total_Loss,IF(Iterations[[#This Row],[Step]] &gt; current_step, "",Iterations[[#This Row],[Total Loss]]))</f>
        <v/>
      </c>
      <c r="M1353" s="6" t="s">
        <v>27</v>
      </c>
      <c r="N1353" s="2" t="str">
        <f>IF(Iterations[[#This Row],[Step]] =current_step, current_Grad_a,IF(Iterations[[#This Row],[Step]] &gt; current_step, "",Iterations[[#This Row],[Grad_a]]))</f>
        <v/>
      </c>
      <c r="O1353" s="2" t="str">
        <f>IF(Iterations[[#This Row],[Step]] =current_step, current_Grad_b,IF(Iterations[[#This Row],[Step]] &gt; current_step, "",Iterations[[#This Row],[Grad_b]]))</f>
        <v/>
      </c>
      <c r="P1353" s="2" t="str">
        <f>IF(Iterations[[#This Row],[Step]] =current_step, current_Grad_c,IF(Iterations[[#This Row],[Step]] &gt; current_step, "",Iterations[[#This Row],[Grad_c]]))</f>
        <v/>
      </c>
      <c r="Q1353" s="2" t="str">
        <f>IF(Iterations[[#This Row],[Step]] =current_step, current_Grad_d,IF(Iterations[[#This Row],[Step]] &gt; current_step, "",Iterations[[#This Row],[Grad_d]]))</f>
        <v/>
      </c>
      <c r="R1353" s="2" t="str">
        <f>IF(Iterations[[#This Row],[Step]] =current_step, current_Grad_e,IF(Iterations[[#This Row],[Step]] &gt; current_step, "",Iterations[[#This Row],[Grad_e]]))</f>
        <v/>
      </c>
    </row>
    <row r="1354" spans="6:18" x14ac:dyDescent="0.3">
      <c r="F1354" s="2">
        <f t="shared" si="26"/>
        <v>1337</v>
      </c>
      <c r="G1354" s="2" t="str">
        <f>IF(Iterations[[#This Row],[Step]] =current_step, current_a,IF(Iterations[[#This Row],[Step]] &gt; current_step, "",Iterations[[#This Row],[a]]))</f>
        <v/>
      </c>
      <c r="H1354" s="2" t="str">
        <f>IF(Iterations[[#This Row],[Step]] =current_step, current_b,IF(Iterations[[#This Row],[Step]] &gt; current_step, "",Iterations[[#This Row],[b]]))</f>
        <v/>
      </c>
      <c r="I1354" s="2" t="str">
        <f>IF(Iterations[[#This Row],[Step]] =current_step, current_c,IF(Iterations[[#This Row],[Step]] &gt; current_step, "",Iterations[[#This Row],[c]]))</f>
        <v/>
      </c>
      <c r="J1354" s="2" t="str">
        <f>IF(Iterations[[#This Row],[Step]] =current_step, current_d,IF(Iterations[[#This Row],[Step]] &gt; current_step, "",Iterations[[#This Row],[d]]))</f>
        <v/>
      </c>
      <c r="K1354" s="2" t="str">
        <f>IF(Iterations[[#This Row],[Step]] =current_step, current_e,IF(Iterations[[#This Row],[Step]] &gt; current_step, "",Iterations[[#This Row],[e]]))</f>
        <v/>
      </c>
      <c r="L1354" s="2" t="str">
        <f>IF(Iterations[[#This Row],[Step]] =current_step, current_Total_Loss,IF(Iterations[[#This Row],[Step]] &gt; current_step, "",Iterations[[#This Row],[Total Loss]]))</f>
        <v/>
      </c>
      <c r="M1354" s="6" t="s">
        <v>27</v>
      </c>
      <c r="N1354" s="2" t="str">
        <f>IF(Iterations[[#This Row],[Step]] =current_step, current_Grad_a,IF(Iterations[[#This Row],[Step]] &gt; current_step, "",Iterations[[#This Row],[Grad_a]]))</f>
        <v/>
      </c>
      <c r="O1354" s="2" t="str">
        <f>IF(Iterations[[#This Row],[Step]] =current_step, current_Grad_b,IF(Iterations[[#This Row],[Step]] &gt; current_step, "",Iterations[[#This Row],[Grad_b]]))</f>
        <v/>
      </c>
      <c r="P1354" s="2" t="str">
        <f>IF(Iterations[[#This Row],[Step]] =current_step, current_Grad_c,IF(Iterations[[#This Row],[Step]] &gt; current_step, "",Iterations[[#This Row],[Grad_c]]))</f>
        <v/>
      </c>
      <c r="Q1354" s="2" t="str">
        <f>IF(Iterations[[#This Row],[Step]] =current_step, current_Grad_d,IF(Iterations[[#This Row],[Step]] &gt; current_step, "",Iterations[[#This Row],[Grad_d]]))</f>
        <v/>
      </c>
      <c r="R1354" s="2" t="str">
        <f>IF(Iterations[[#This Row],[Step]] =current_step, current_Grad_e,IF(Iterations[[#This Row],[Step]] &gt; current_step, "",Iterations[[#This Row],[Grad_e]]))</f>
        <v/>
      </c>
    </row>
    <row r="1355" spans="6:18" x14ac:dyDescent="0.3">
      <c r="F1355" s="2">
        <f t="shared" si="26"/>
        <v>1338</v>
      </c>
      <c r="G1355" s="2" t="str">
        <f>IF(Iterations[[#This Row],[Step]] =current_step, current_a,IF(Iterations[[#This Row],[Step]] &gt; current_step, "",Iterations[[#This Row],[a]]))</f>
        <v/>
      </c>
      <c r="H1355" s="2" t="str">
        <f>IF(Iterations[[#This Row],[Step]] =current_step, current_b,IF(Iterations[[#This Row],[Step]] &gt; current_step, "",Iterations[[#This Row],[b]]))</f>
        <v/>
      </c>
      <c r="I1355" s="2" t="str">
        <f>IF(Iterations[[#This Row],[Step]] =current_step, current_c,IF(Iterations[[#This Row],[Step]] &gt; current_step, "",Iterations[[#This Row],[c]]))</f>
        <v/>
      </c>
      <c r="J1355" s="2" t="str">
        <f>IF(Iterations[[#This Row],[Step]] =current_step, current_d,IF(Iterations[[#This Row],[Step]] &gt; current_step, "",Iterations[[#This Row],[d]]))</f>
        <v/>
      </c>
      <c r="K1355" s="2" t="str">
        <f>IF(Iterations[[#This Row],[Step]] =current_step, current_e,IF(Iterations[[#This Row],[Step]] &gt; current_step, "",Iterations[[#This Row],[e]]))</f>
        <v/>
      </c>
      <c r="L1355" s="2" t="str">
        <f>IF(Iterations[[#This Row],[Step]] =current_step, current_Total_Loss,IF(Iterations[[#This Row],[Step]] &gt; current_step, "",Iterations[[#This Row],[Total Loss]]))</f>
        <v/>
      </c>
      <c r="M1355" s="6" t="s">
        <v>27</v>
      </c>
      <c r="N1355" s="2" t="str">
        <f>IF(Iterations[[#This Row],[Step]] =current_step, current_Grad_a,IF(Iterations[[#This Row],[Step]] &gt; current_step, "",Iterations[[#This Row],[Grad_a]]))</f>
        <v/>
      </c>
      <c r="O1355" s="2" t="str">
        <f>IF(Iterations[[#This Row],[Step]] =current_step, current_Grad_b,IF(Iterations[[#This Row],[Step]] &gt; current_step, "",Iterations[[#This Row],[Grad_b]]))</f>
        <v/>
      </c>
      <c r="P1355" s="2" t="str">
        <f>IF(Iterations[[#This Row],[Step]] =current_step, current_Grad_c,IF(Iterations[[#This Row],[Step]] &gt; current_step, "",Iterations[[#This Row],[Grad_c]]))</f>
        <v/>
      </c>
      <c r="Q1355" s="2" t="str">
        <f>IF(Iterations[[#This Row],[Step]] =current_step, current_Grad_d,IF(Iterations[[#This Row],[Step]] &gt; current_step, "",Iterations[[#This Row],[Grad_d]]))</f>
        <v/>
      </c>
      <c r="R1355" s="2" t="str">
        <f>IF(Iterations[[#This Row],[Step]] =current_step, current_Grad_e,IF(Iterations[[#This Row],[Step]] &gt; current_step, "",Iterations[[#This Row],[Grad_e]]))</f>
        <v/>
      </c>
    </row>
    <row r="1356" spans="6:18" x14ac:dyDescent="0.3">
      <c r="F1356" s="2">
        <f t="shared" si="26"/>
        <v>1339</v>
      </c>
      <c r="G1356" s="2" t="str">
        <f>IF(Iterations[[#This Row],[Step]] =current_step, current_a,IF(Iterations[[#This Row],[Step]] &gt; current_step, "",Iterations[[#This Row],[a]]))</f>
        <v/>
      </c>
      <c r="H1356" s="2" t="str">
        <f>IF(Iterations[[#This Row],[Step]] =current_step, current_b,IF(Iterations[[#This Row],[Step]] &gt; current_step, "",Iterations[[#This Row],[b]]))</f>
        <v/>
      </c>
      <c r="I1356" s="2" t="str">
        <f>IF(Iterations[[#This Row],[Step]] =current_step, current_c,IF(Iterations[[#This Row],[Step]] &gt; current_step, "",Iterations[[#This Row],[c]]))</f>
        <v/>
      </c>
      <c r="J1356" s="2" t="str">
        <f>IF(Iterations[[#This Row],[Step]] =current_step, current_d,IF(Iterations[[#This Row],[Step]] &gt; current_step, "",Iterations[[#This Row],[d]]))</f>
        <v/>
      </c>
      <c r="K1356" s="2" t="str">
        <f>IF(Iterations[[#This Row],[Step]] =current_step, current_e,IF(Iterations[[#This Row],[Step]] &gt; current_step, "",Iterations[[#This Row],[e]]))</f>
        <v/>
      </c>
      <c r="L1356" s="2" t="str">
        <f>IF(Iterations[[#This Row],[Step]] =current_step, current_Total_Loss,IF(Iterations[[#This Row],[Step]] &gt; current_step, "",Iterations[[#This Row],[Total Loss]]))</f>
        <v/>
      </c>
      <c r="M1356" s="6" t="s">
        <v>27</v>
      </c>
      <c r="N1356" s="2" t="str">
        <f>IF(Iterations[[#This Row],[Step]] =current_step, current_Grad_a,IF(Iterations[[#This Row],[Step]] &gt; current_step, "",Iterations[[#This Row],[Grad_a]]))</f>
        <v/>
      </c>
      <c r="O1356" s="2" t="str">
        <f>IF(Iterations[[#This Row],[Step]] =current_step, current_Grad_b,IF(Iterations[[#This Row],[Step]] &gt; current_step, "",Iterations[[#This Row],[Grad_b]]))</f>
        <v/>
      </c>
      <c r="P1356" s="2" t="str">
        <f>IF(Iterations[[#This Row],[Step]] =current_step, current_Grad_c,IF(Iterations[[#This Row],[Step]] &gt; current_step, "",Iterations[[#This Row],[Grad_c]]))</f>
        <v/>
      </c>
      <c r="Q1356" s="2" t="str">
        <f>IF(Iterations[[#This Row],[Step]] =current_step, current_Grad_d,IF(Iterations[[#This Row],[Step]] &gt; current_step, "",Iterations[[#This Row],[Grad_d]]))</f>
        <v/>
      </c>
      <c r="R1356" s="2" t="str">
        <f>IF(Iterations[[#This Row],[Step]] =current_step, current_Grad_e,IF(Iterations[[#This Row],[Step]] &gt; current_step, "",Iterations[[#This Row],[Grad_e]]))</f>
        <v/>
      </c>
    </row>
    <row r="1357" spans="6:18" x14ac:dyDescent="0.3">
      <c r="F1357" s="2">
        <f t="shared" si="26"/>
        <v>1340</v>
      </c>
      <c r="G1357" s="2" t="str">
        <f>IF(Iterations[[#This Row],[Step]] =current_step, current_a,IF(Iterations[[#This Row],[Step]] &gt; current_step, "",Iterations[[#This Row],[a]]))</f>
        <v/>
      </c>
      <c r="H1357" s="2" t="str">
        <f>IF(Iterations[[#This Row],[Step]] =current_step, current_b,IF(Iterations[[#This Row],[Step]] &gt; current_step, "",Iterations[[#This Row],[b]]))</f>
        <v/>
      </c>
      <c r="I1357" s="2" t="str">
        <f>IF(Iterations[[#This Row],[Step]] =current_step, current_c,IF(Iterations[[#This Row],[Step]] &gt; current_step, "",Iterations[[#This Row],[c]]))</f>
        <v/>
      </c>
      <c r="J1357" s="2" t="str">
        <f>IF(Iterations[[#This Row],[Step]] =current_step, current_d,IF(Iterations[[#This Row],[Step]] &gt; current_step, "",Iterations[[#This Row],[d]]))</f>
        <v/>
      </c>
      <c r="K1357" s="2" t="str">
        <f>IF(Iterations[[#This Row],[Step]] =current_step, current_e,IF(Iterations[[#This Row],[Step]] &gt; current_step, "",Iterations[[#This Row],[e]]))</f>
        <v/>
      </c>
      <c r="L1357" s="2" t="str">
        <f>IF(Iterations[[#This Row],[Step]] =current_step, current_Total_Loss,IF(Iterations[[#This Row],[Step]] &gt; current_step, "",Iterations[[#This Row],[Total Loss]]))</f>
        <v/>
      </c>
      <c r="M1357" s="6" t="s">
        <v>27</v>
      </c>
      <c r="N1357" s="2" t="str">
        <f>IF(Iterations[[#This Row],[Step]] =current_step, current_Grad_a,IF(Iterations[[#This Row],[Step]] &gt; current_step, "",Iterations[[#This Row],[Grad_a]]))</f>
        <v/>
      </c>
      <c r="O1357" s="2" t="str">
        <f>IF(Iterations[[#This Row],[Step]] =current_step, current_Grad_b,IF(Iterations[[#This Row],[Step]] &gt; current_step, "",Iterations[[#This Row],[Grad_b]]))</f>
        <v/>
      </c>
      <c r="P1357" s="2" t="str">
        <f>IF(Iterations[[#This Row],[Step]] =current_step, current_Grad_c,IF(Iterations[[#This Row],[Step]] &gt; current_step, "",Iterations[[#This Row],[Grad_c]]))</f>
        <v/>
      </c>
      <c r="Q1357" s="2" t="str">
        <f>IF(Iterations[[#This Row],[Step]] =current_step, current_Grad_d,IF(Iterations[[#This Row],[Step]] &gt; current_step, "",Iterations[[#This Row],[Grad_d]]))</f>
        <v/>
      </c>
      <c r="R1357" s="2" t="str">
        <f>IF(Iterations[[#This Row],[Step]] =current_step, current_Grad_e,IF(Iterations[[#This Row],[Step]] &gt; current_step, "",Iterations[[#This Row],[Grad_e]]))</f>
        <v/>
      </c>
    </row>
    <row r="1358" spans="6:18" x14ac:dyDescent="0.3">
      <c r="F1358" s="2">
        <f t="shared" si="26"/>
        <v>1341</v>
      </c>
      <c r="G1358" s="2" t="str">
        <f>IF(Iterations[[#This Row],[Step]] =current_step, current_a,IF(Iterations[[#This Row],[Step]] &gt; current_step, "",Iterations[[#This Row],[a]]))</f>
        <v/>
      </c>
      <c r="H1358" s="2" t="str">
        <f>IF(Iterations[[#This Row],[Step]] =current_step, current_b,IF(Iterations[[#This Row],[Step]] &gt; current_step, "",Iterations[[#This Row],[b]]))</f>
        <v/>
      </c>
      <c r="I1358" s="2" t="str">
        <f>IF(Iterations[[#This Row],[Step]] =current_step, current_c,IF(Iterations[[#This Row],[Step]] &gt; current_step, "",Iterations[[#This Row],[c]]))</f>
        <v/>
      </c>
      <c r="J1358" s="2" t="str">
        <f>IF(Iterations[[#This Row],[Step]] =current_step, current_d,IF(Iterations[[#This Row],[Step]] &gt; current_step, "",Iterations[[#This Row],[d]]))</f>
        <v/>
      </c>
      <c r="K1358" s="2" t="str">
        <f>IF(Iterations[[#This Row],[Step]] =current_step, current_e,IF(Iterations[[#This Row],[Step]] &gt; current_step, "",Iterations[[#This Row],[e]]))</f>
        <v/>
      </c>
      <c r="L1358" s="2" t="str">
        <f>IF(Iterations[[#This Row],[Step]] =current_step, current_Total_Loss,IF(Iterations[[#This Row],[Step]] &gt; current_step, "",Iterations[[#This Row],[Total Loss]]))</f>
        <v/>
      </c>
      <c r="M1358" s="6" t="s">
        <v>27</v>
      </c>
      <c r="N1358" s="2" t="str">
        <f>IF(Iterations[[#This Row],[Step]] =current_step, current_Grad_a,IF(Iterations[[#This Row],[Step]] &gt; current_step, "",Iterations[[#This Row],[Grad_a]]))</f>
        <v/>
      </c>
      <c r="O1358" s="2" t="str">
        <f>IF(Iterations[[#This Row],[Step]] =current_step, current_Grad_b,IF(Iterations[[#This Row],[Step]] &gt; current_step, "",Iterations[[#This Row],[Grad_b]]))</f>
        <v/>
      </c>
      <c r="P1358" s="2" t="str">
        <f>IF(Iterations[[#This Row],[Step]] =current_step, current_Grad_c,IF(Iterations[[#This Row],[Step]] &gt; current_step, "",Iterations[[#This Row],[Grad_c]]))</f>
        <v/>
      </c>
      <c r="Q1358" s="2" t="str">
        <f>IF(Iterations[[#This Row],[Step]] =current_step, current_Grad_d,IF(Iterations[[#This Row],[Step]] &gt; current_step, "",Iterations[[#This Row],[Grad_d]]))</f>
        <v/>
      </c>
      <c r="R1358" s="2" t="str">
        <f>IF(Iterations[[#This Row],[Step]] =current_step, current_Grad_e,IF(Iterations[[#This Row],[Step]] &gt; current_step, "",Iterations[[#This Row],[Grad_e]]))</f>
        <v/>
      </c>
    </row>
    <row r="1359" spans="6:18" x14ac:dyDescent="0.3">
      <c r="F1359" s="2">
        <f t="shared" si="26"/>
        <v>1342</v>
      </c>
      <c r="G1359" s="2" t="str">
        <f>IF(Iterations[[#This Row],[Step]] =current_step, current_a,IF(Iterations[[#This Row],[Step]] &gt; current_step, "",Iterations[[#This Row],[a]]))</f>
        <v/>
      </c>
      <c r="H1359" s="2" t="str">
        <f>IF(Iterations[[#This Row],[Step]] =current_step, current_b,IF(Iterations[[#This Row],[Step]] &gt; current_step, "",Iterations[[#This Row],[b]]))</f>
        <v/>
      </c>
      <c r="I1359" s="2" t="str">
        <f>IF(Iterations[[#This Row],[Step]] =current_step, current_c,IF(Iterations[[#This Row],[Step]] &gt; current_step, "",Iterations[[#This Row],[c]]))</f>
        <v/>
      </c>
      <c r="J1359" s="2" t="str">
        <f>IF(Iterations[[#This Row],[Step]] =current_step, current_d,IF(Iterations[[#This Row],[Step]] &gt; current_step, "",Iterations[[#This Row],[d]]))</f>
        <v/>
      </c>
      <c r="K1359" s="2" t="str">
        <f>IF(Iterations[[#This Row],[Step]] =current_step, current_e,IF(Iterations[[#This Row],[Step]] &gt; current_step, "",Iterations[[#This Row],[e]]))</f>
        <v/>
      </c>
      <c r="L1359" s="2" t="str">
        <f>IF(Iterations[[#This Row],[Step]] =current_step, current_Total_Loss,IF(Iterations[[#This Row],[Step]] &gt; current_step, "",Iterations[[#This Row],[Total Loss]]))</f>
        <v/>
      </c>
      <c r="M1359" s="6" t="s">
        <v>27</v>
      </c>
      <c r="N1359" s="2" t="str">
        <f>IF(Iterations[[#This Row],[Step]] =current_step, current_Grad_a,IF(Iterations[[#This Row],[Step]] &gt; current_step, "",Iterations[[#This Row],[Grad_a]]))</f>
        <v/>
      </c>
      <c r="O1359" s="2" t="str">
        <f>IF(Iterations[[#This Row],[Step]] =current_step, current_Grad_b,IF(Iterations[[#This Row],[Step]] &gt; current_step, "",Iterations[[#This Row],[Grad_b]]))</f>
        <v/>
      </c>
      <c r="P1359" s="2" t="str">
        <f>IF(Iterations[[#This Row],[Step]] =current_step, current_Grad_c,IF(Iterations[[#This Row],[Step]] &gt; current_step, "",Iterations[[#This Row],[Grad_c]]))</f>
        <v/>
      </c>
      <c r="Q1359" s="2" t="str">
        <f>IF(Iterations[[#This Row],[Step]] =current_step, current_Grad_d,IF(Iterations[[#This Row],[Step]] &gt; current_step, "",Iterations[[#This Row],[Grad_d]]))</f>
        <v/>
      </c>
      <c r="R1359" s="2" t="str">
        <f>IF(Iterations[[#This Row],[Step]] =current_step, current_Grad_e,IF(Iterations[[#This Row],[Step]] &gt; current_step, "",Iterations[[#This Row],[Grad_e]]))</f>
        <v/>
      </c>
    </row>
    <row r="1360" spans="6:18" x14ac:dyDescent="0.3">
      <c r="F1360" s="2">
        <f t="shared" si="26"/>
        <v>1343</v>
      </c>
      <c r="G1360" s="2" t="str">
        <f>IF(Iterations[[#This Row],[Step]] =current_step, current_a,IF(Iterations[[#This Row],[Step]] &gt; current_step, "",Iterations[[#This Row],[a]]))</f>
        <v/>
      </c>
      <c r="H1360" s="2" t="str">
        <f>IF(Iterations[[#This Row],[Step]] =current_step, current_b,IF(Iterations[[#This Row],[Step]] &gt; current_step, "",Iterations[[#This Row],[b]]))</f>
        <v/>
      </c>
      <c r="I1360" s="2" t="str">
        <f>IF(Iterations[[#This Row],[Step]] =current_step, current_c,IF(Iterations[[#This Row],[Step]] &gt; current_step, "",Iterations[[#This Row],[c]]))</f>
        <v/>
      </c>
      <c r="J1360" s="2" t="str">
        <f>IF(Iterations[[#This Row],[Step]] =current_step, current_d,IF(Iterations[[#This Row],[Step]] &gt; current_step, "",Iterations[[#This Row],[d]]))</f>
        <v/>
      </c>
      <c r="K1360" s="2" t="str">
        <f>IF(Iterations[[#This Row],[Step]] =current_step, current_e,IF(Iterations[[#This Row],[Step]] &gt; current_step, "",Iterations[[#This Row],[e]]))</f>
        <v/>
      </c>
      <c r="L1360" s="2" t="str">
        <f>IF(Iterations[[#This Row],[Step]] =current_step, current_Total_Loss,IF(Iterations[[#This Row],[Step]] &gt; current_step, "",Iterations[[#This Row],[Total Loss]]))</f>
        <v/>
      </c>
      <c r="M1360" s="6" t="s">
        <v>27</v>
      </c>
      <c r="N1360" s="2" t="str">
        <f>IF(Iterations[[#This Row],[Step]] =current_step, current_Grad_a,IF(Iterations[[#This Row],[Step]] &gt; current_step, "",Iterations[[#This Row],[Grad_a]]))</f>
        <v/>
      </c>
      <c r="O1360" s="2" t="str">
        <f>IF(Iterations[[#This Row],[Step]] =current_step, current_Grad_b,IF(Iterations[[#This Row],[Step]] &gt; current_step, "",Iterations[[#This Row],[Grad_b]]))</f>
        <v/>
      </c>
      <c r="P1360" s="2" t="str">
        <f>IF(Iterations[[#This Row],[Step]] =current_step, current_Grad_c,IF(Iterations[[#This Row],[Step]] &gt; current_step, "",Iterations[[#This Row],[Grad_c]]))</f>
        <v/>
      </c>
      <c r="Q1360" s="2" t="str">
        <f>IF(Iterations[[#This Row],[Step]] =current_step, current_Grad_d,IF(Iterations[[#This Row],[Step]] &gt; current_step, "",Iterations[[#This Row],[Grad_d]]))</f>
        <v/>
      </c>
      <c r="R1360" s="2" t="str">
        <f>IF(Iterations[[#This Row],[Step]] =current_step, current_Grad_e,IF(Iterations[[#This Row],[Step]] &gt; current_step, "",Iterations[[#This Row],[Grad_e]]))</f>
        <v/>
      </c>
    </row>
    <row r="1361" spans="6:18" x14ac:dyDescent="0.3">
      <c r="F1361" s="2">
        <f t="shared" si="26"/>
        <v>1344</v>
      </c>
      <c r="G1361" s="2" t="str">
        <f>IF(Iterations[[#This Row],[Step]] =current_step, current_a,IF(Iterations[[#This Row],[Step]] &gt; current_step, "",Iterations[[#This Row],[a]]))</f>
        <v/>
      </c>
      <c r="H1361" s="2" t="str">
        <f>IF(Iterations[[#This Row],[Step]] =current_step, current_b,IF(Iterations[[#This Row],[Step]] &gt; current_step, "",Iterations[[#This Row],[b]]))</f>
        <v/>
      </c>
      <c r="I1361" s="2" t="str">
        <f>IF(Iterations[[#This Row],[Step]] =current_step, current_c,IF(Iterations[[#This Row],[Step]] &gt; current_step, "",Iterations[[#This Row],[c]]))</f>
        <v/>
      </c>
      <c r="J1361" s="2" t="str">
        <f>IF(Iterations[[#This Row],[Step]] =current_step, current_d,IF(Iterations[[#This Row],[Step]] &gt; current_step, "",Iterations[[#This Row],[d]]))</f>
        <v/>
      </c>
      <c r="K1361" s="2" t="str">
        <f>IF(Iterations[[#This Row],[Step]] =current_step, current_e,IF(Iterations[[#This Row],[Step]] &gt; current_step, "",Iterations[[#This Row],[e]]))</f>
        <v/>
      </c>
      <c r="L1361" s="2" t="str">
        <f>IF(Iterations[[#This Row],[Step]] =current_step, current_Total_Loss,IF(Iterations[[#This Row],[Step]] &gt; current_step, "",Iterations[[#This Row],[Total Loss]]))</f>
        <v/>
      </c>
      <c r="M1361" s="6" t="s">
        <v>27</v>
      </c>
      <c r="N1361" s="2" t="str">
        <f>IF(Iterations[[#This Row],[Step]] =current_step, current_Grad_a,IF(Iterations[[#This Row],[Step]] &gt; current_step, "",Iterations[[#This Row],[Grad_a]]))</f>
        <v/>
      </c>
      <c r="O1361" s="2" t="str">
        <f>IF(Iterations[[#This Row],[Step]] =current_step, current_Grad_b,IF(Iterations[[#This Row],[Step]] &gt; current_step, "",Iterations[[#This Row],[Grad_b]]))</f>
        <v/>
      </c>
      <c r="P1361" s="2" t="str">
        <f>IF(Iterations[[#This Row],[Step]] =current_step, current_Grad_c,IF(Iterations[[#This Row],[Step]] &gt; current_step, "",Iterations[[#This Row],[Grad_c]]))</f>
        <v/>
      </c>
      <c r="Q1361" s="2" t="str">
        <f>IF(Iterations[[#This Row],[Step]] =current_step, current_Grad_d,IF(Iterations[[#This Row],[Step]] &gt; current_step, "",Iterations[[#This Row],[Grad_d]]))</f>
        <v/>
      </c>
      <c r="R1361" s="2" t="str">
        <f>IF(Iterations[[#This Row],[Step]] =current_step, current_Grad_e,IF(Iterations[[#This Row],[Step]] &gt; current_step, "",Iterations[[#This Row],[Grad_e]]))</f>
        <v/>
      </c>
    </row>
    <row r="1362" spans="6:18" x14ac:dyDescent="0.3">
      <c r="F1362" s="2">
        <f t="shared" si="26"/>
        <v>1345</v>
      </c>
      <c r="G1362" s="2" t="str">
        <f>IF(Iterations[[#This Row],[Step]] =current_step, current_a,IF(Iterations[[#This Row],[Step]] &gt; current_step, "",Iterations[[#This Row],[a]]))</f>
        <v/>
      </c>
      <c r="H1362" s="2" t="str">
        <f>IF(Iterations[[#This Row],[Step]] =current_step, current_b,IF(Iterations[[#This Row],[Step]] &gt; current_step, "",Iterations[[#This Row],[b]]))</f>
        <v/>
      </c>
      <c r="I1362" s="2" t="str">
        <f>IF(Iterations[[#This Row],[Step]] =current_step, current_c,IF(Iterations[[#This Row],[Step]] &gt; current_step, "",Iterations[[#This Row],[c]]))</f>
        <v/>
      </c>
      <c r="J1362" s="2" t="str">
        <f>IF(Iterations[[#This Row],[Step]] =current_step, current_d,IF(Iterations[[#This Row],[Step]] &gt; current_step, "",Iterations[[#This Row],[d]]))</f>
        <v/>
      </c>
      <c r="K1362" s="2" t="str">
        <f>IF(Iterations[[#This Row],[Step]] =current_step, current_e,IF(Iterations[[#This Row],[Step]] &gt; current_step, "",Iterations[[#This Row],[e]]))</f>
        <v/>
      </c>
      <c r="L1362" s="2" t="str">
        <f>IF(Iterations[[#This Row],[Step]] =current_step, current_Total_Loss,IF(Iterations[[#This Row],[Step]] &gt; current_step, "",Iterations[[#This Row],[Total Loss]]))</f>
        <v/>
      </c>
      <c r="M1362" s="6" t="s">
        <v>27</v>
      </c>
      <c r="N1362" s="2" t="str">
        <f>IF(Iterations[[#This Row],[Step]] =current_step, current_Grad_a,IF(Iterations[[#This Row],[Step]] &gt; current_step, "",Iterations[[#This Row],[Grad_a]]))</f>
        <v/>
      </c>
      <c r="O1362" s="2" t="str">
        <f>IF(Iterations[[#This Row],[Step]] =current_step, current_Grad_b,IF(Iterations[[#This Row],[Step]] &gt; current_step, "",Iterations[[#This Row],[Grad_b]]))</f>
        <v/>
      </c>
      <c r="P1362" s="2" t="str">
        <f>IF(Iterations[[#This Row],[Step]] =current_step, current_Grad_c,IF(Iterations[[#This Row],[Step]] &gt; current_step, "",Iterations[[#This Row],[Grad_c]]))</f>
        <v/>
      </c>
      <c r="Q1362" s="2" t="str">
        <f>IF(Iterations[[#This Row],[Step]] =current_step, current_Grad_d,IF(Iterations[[#This Row],[Step]] &gt; current_step, "",Iterations[[#This Row],[Grad_d]]))</f>
        <v/>
      </c>
      <c r="R1362" s="2" t="str">
        <f>IF(Iterations[[#This Row],[Step]] =current_step, current_Grad_e,IF(Iterations[[#This Row],[Step]] &gt; current_step, "",Iterations[[#This Row],[Grad_e]]))</f>
        <v/>
      </c>
    </row>
    <row r="1363" spans="6:18" x14ac:dyDescent="0.3">
      <c r="F1363" s="2">
        <f t="shared" si="26"/>
        <v>1346</v>
      </c>
      <c r="G1363" s="2" t="str">
        <f>IF(Iterations[[#This Row],[Step]] =current_step, current_a,IF(Iterations[[#This Row],[Step]] &gt; current_step, "",Iterations[[#This Row],[a]]))</f>
        <v/>
      </c>
      <c r="H1363" s="2" t="str">
        <f>IF(Iterations[[#This Row],[Step]] =current_step, current_b,IF(Iterations[[#This Row],[Step]] &gt; current_step, "",Iterations[[#This Row],[b]]))</f>
        <v/>
      </c>
      <c r="I1363" s="2" t="str">
        <f>IF(Iterations[[#This Row],[Step]] =current_step, current_c,IF(Iterations[[#This Row],[Step]] &gt; current_step, "",Iterations[[#This Row],[c]]))</f>
        <v/>
      </c>
      <c r="J1363" s="2" t="str">
        <f>IF(Iterations[[#This Row],[Step]] =current_step, current_d,IF(Iterations[[#This Row],[Step]] &gt; current_step, "",Iterations[[#This Row],[d]]))</f>
        <v/>
      </c>
      <c r="K1363" s="2" t="str">
        <f>IF(Iterations[[#This Row],[Step]] =current_step, current_e,IF(Iterations[[#This Row],[Step]] &gt; current_step, "",Iterations[[#This Row],[e]]))</f>
        <v/>
      </c>
      <c r="L1363" s="2" t="str">
        <f>IF(Iterations[[#This Row],[Step]] =current_step, current_Total_Loss,IF(Iterations[[#This Row],[Step]] &gt; current_step, "",Iterations[[#This Row],[Total Loss]]))</f>
        <v/>
      </c>
      <c r="M1363" s="6" t="s">
        <v>27</v>
      </c>
      <c r="N1363" s="2" t="str">
        <f>IF(Iterations[[#This Row],[Step]] =current_step, current_Grad_a,IF(Iterations[[#This Row],[Step]] &gt; current_step, "",Iterations[[#This Row],[Grad_a]]))</f>
        <v/>
      </c>
      <c r="O1363" s="2" t="str">
        <f>IF(Iterations[[#This Row],[Step]] =current_step, current_Grad_b,IF(Iterations[[#This Row],[Step]] &gt; current_step, "",Iterations[[#This Row],[Grad_b]]))</f>
        <v/>
      </c>
      <c r="P1363" s="2" t="str">
        <f>IF(Iterations[[#This Row],[Step]] =current_step, current_Grad_c,IF(Iterations[[#This Row],[Step]] &gt; current_step, "",Iterations[[#This Row],[Grad_c]]))</f>
        <v/>
      </c>
      <c r="Q1363" s="2" t="str">
        <f>IF(Iterations[[#This Row],[Step]] =current_step, current_Grad_d,IF(Iterations[[#This Row],[Step]] &gt; current_step, "",Iterations[[#This Row],[Grad_d]]))</f>
        <v/>
      </c>
      <c r="R1363" s="2" t="str">
        <f>IF(Iterations[[#This Row],[Step]] =current_step, current_Grad_e,IF(Iterations[[#This Row],[Step]] &gt; current_step, "",Iterations[[#This Row],[Grad_e]]))</f>
        <v/>
      </c>
    </row>
    <row r="1364" spans="6:18" x14ac:dyDescent="0.3">
      <c r="F1364" s="2">
        <f t="shared" si="26"/>
        <v>1347</v>
      </c>
      <c r="G1364" s="2" t="str">
        <f>IF(Iterations[[#This Row],[Step]] =current_step, current_a,IF(Iterations[[#This Row],[Step]] &gt; current_step, "",Iterations[[#This Row],[a]]))</f>
        <v/>
      </c>
      <c r="H1364" s="2" t="str">
        <f>IF(Iterations[[#This Row],[Step]] =current_step, current_b,IF(Iterations[[#This Row],[Step]] &gt; current_step, "",Iterations[[#This Row],[b]]))</f>
        <v/>
      </c>
      <c r="I1364" s="2" t="str">
        <f>IF(Iterations[[#This Row],[Step]] =current_step, current_c,IF(Iterations[[#This Row],[Step]] &gt; current_step, "",Iterations[[#This Row],[c]]))</f>
        <v/>
      </c>
      <c r="J1364" s="2" t="str">
        <f>IF(Iterations[[#This Row],[Step]] =current_step, current_d,IF(Iterations[[#This Row],[Step]] &gt; current_step, "",Iterations[[#This Row],[d]]))</f>
        <v/>
      </c>
      <c r="K1364" s="2" t="str">
        <f>IF(Iterations[[#This Row],[Step]] =current_step, current_e,IF(Iterations[[#This Row],[Step]] &gt; current_step, "",Iterations[[#This Row],[e]]))</f>
        <v/>
      </c>
      <c r="L1364" s="2" t="str">
        <f>IF(Iterations[[#This Row],[Step]] =current_step, current_Total_Loss,IF(Iterations[[#This Row],[Step]] &gt; current_step, "",Iterations[[#This Row],[Total Loss]]))</f>
        <v/>
      </c>
      <c r="M1364" s="6" t="s">
        <v>27</v>
      </c>
      <c r="N1364" s="2" t="str">
        <f>IF(Iterations[[#This Row],[Step]] =current_step, current_Grad_a,IF(Iterations[[#This Row],[Step]] &gt; current_step, "",Iterations[[#This Row],[Grad_a]]))</f>
        <v/>
      </c>
      <c r="O1364" s="2" t="str">
        <f>IF(Iterations[[#This Row],[Step]] =current_step, current_Grad_b,IF(Iterations[[#This Row],[Step]] &gt; current_step, "",Iterations[[#This Row],[Grad_b]]))</f>
        <v/>
      </c>
      <c r="P1364" s="2" t="str">
        <f>IF(Iterations[[#This Row],[Step]] =current_step, current_Grad_c,IF(Iterations[[#This Row],[Step]] &gt; current_step, "",Iterations[[#This Row],[Grad_c]]))</f>
        <v/>
      </c>
      <c r="Q1364" s="2" t="str">
        <f>IF(Iterations[[#This Row],[Step]] =current_step, current_Grad_d,IF(Iterations[[#This Row],[Step]] &gt; current_step, "",Iterations[[#This Row],[Grad_d]]))</f>
        <v/>
      </c>
      <c r="R1364" s="2" t="str">
        <f>IF(Iterations[[#This Row],[Step]] =current_step, current_Grad_e,IF(Iterations[[#This Row],[Step]] &gt; current_step, "",Iterations[[#This Row],[Grad_e]]))</f>
        <v/>
      </c>
    </row>
    <row r="1365" spans="6:18" x14ac:dyDescent="0.3">
      <c r="F1365" s="2">
        <f t="shared" si="26"/>
        <v>1348</v>
      </c>
      <c r="G1365" s="2" t="str">
        <f>IF(Iterations[[#This Row],[Step]] =current_step, current_a,IF(Iterations[[#This Row],[Step]] &gt; current_step, "",Iterations[[#This Row],[a]]))</f>
        <v/>
      </c>
      <c r="H1365" s="2" t="str">
        <f>IF(Iterations[[#This Row],[Step]] =current_step, current_b,IF(Iterations[[#This Row],[Step]] &gt; current_step, "",Iterations[[#This Row],[b]]))</f>
        <v/>
      </c>
      <c r="I1365" s="2" t="str">
        <f>IF(Iterations[[#This Row],[Step]] =current_step, current_c,IF(Iterations[[#This Row],[Step]] &gt; current_step, "",Iterations[[#This Row],[c]]))</f>
        <v/>
      </c>
      <c r="J1365" s="2" t="str">
        <f>IF(Iterations[[#This Row],[Step]] =current_step, current_d,IF(Iterations[[#This Row],[Step]] &gt; current_step, "",Iterations[[#This Row],[d]]))</f>
        <v/>
      </c>
      <c r="K1365" s="2" t="str">
        <f>IF(Iterations[[#This Row],[Step]] =current_step, current_e,IF(Iterations[[#This Row],[Step]] &gt; current_step, "",Iterations[[#This Row],[e]]))</f>
        <v/>
      </c>
      <c r="L1365" s="2" t="str">
        <f>IF(Iterations[[#This Row],[Step]] =current_step, current_Total_Loss,IF(Iterations[[#This Row],[Step]] &gt; current_step, "",Iterations[[#This Row],[Total Loss]]))</f>
        <v/>
      </c>
      <c r="M1365" s="6" t="s">
        <v>27</v>
      </c>
      <c r="N1365" s="2" t="str">
        <f>IF(Iterations[[#This Row],[Step]] =current_step, current_Grad_a,IF(Iterations[[#This Row],[Step]] &gt; current_step, "",Iterations[[#This Row],[Grad_a]]))</f>
        <v/>
      </c>
      <c r="O1365" s="2" t="str">
        <f>IF(Iterations[[#This Row],[Step]] =current_step, current_Grad_b,IF(Iterations[[#This Row],[Step]] &gt; current_step, "",Iterations[[#This Row],[Grad_b]]))</f>
        <v/>
      </c>
      <c r="P1365" s="2" t="str">
        <f>IF(Iterations[[#This Row],[Step]] =current_step, current_Grad_c,IF(Iterations[[#This Row],[Step]] &gt; current_step, "",Iterations[[#This Row],[Grad_c]]))</f>
        <v/>
      </c>
      <c r="Q1365" s="2" t="str">
        <f>IF(Iterations[[#This Row],[Step]] =current_step, current_Grad_d,IF(Iterations[[#This Row],[Step]] &gt; current_step, "",Iterations[[#This Row],[Grad_d]]))</f>
        <v/>
      </c>
      <c r="R1365" s="2" t="str">
        <f>IF(Iterations[[#This Row],[Step]] =current_step, current_Grad_e,IF(Iterations[[#This Row],[Step]] &gt; current_step, "",Iterations[[#This Row],[Grad_e]]))</f>
        <v/>
      </c>
    </row>
    <row r="1366" spans="6:18" x14ac:dyDescent="0.3">
      <c r="F1366" s="2">
        <f t="shared" si="26"/>
        <v>1349</v>
      </c>
      <c r="G1366" s="2" t="str">
        <f>IF(Iterations[[#This Row],[Step]] =current_step, current_a,IF(Iterations[[#This Row],[Step]] &gt; current_step, "",Iterations[[#This Row],[a]]))</f>
        <v/>
      </c>
      <c r="H1366" s="2" t="str">
        <f>IF(Iterations[[#This Row],[Step]] =current_step, current_b,IF(Iterations[[#This Row],[Step]] &gt; current_step, "",Iterations[[#This Row],[b]]))</f>
        <v/>
      </c>
      <c r="I1366" s="2" t="str">
        <f>IF(Iterations[[#This Row],[Step]] =current_step, current_c,IF(Iterations[[#This Row],[Step]] &gt; current_step, "",Iterations[[#This Row],[c]]))</f>
        <v/>
      </c>
      <c r="J1366" s="2" t="str">
        <f>IF(Iterations[[#This Row],[Step]] =current_step, current_d,IF(Iterations[[#This Row],[Step]] &gt; current_step, "",Iterations[[#This Row],[d]]))</f>
        <v/>
      </c>
      <c r="K1366" s="2" t="str">
        <f>IF(Iterations[[#This Row],[Step]] =current_step, current_e,IF(Iterations[[#This Row],[Step]] &gt; current_step, "",Iterations[[#This Row],[e]]))</f>
        <v/>
      </c>
      <c r="L1366" s="2" t="str">
        <f>IF(Iterations[[#This Row],[Step]] =current_step, current_Total_Loss,IF(Iterations[[#This Row],[Step]] &gt; current_step, "",Iterations[[#This Row],[Total Loss]]))</f>
        <v/>
      </c>
      <c r="M1366" s="6" t="s">
        <v>27</v>
      </c>
      <c r="N1366" s="2" t="str">
        <f>IF(Iterations[[#This Row],[Step]] =current_step, current_Grad_a,IF(Iterations[[#This Row],[Step]] &gt; current_step, "",Iterations[[#This Row],[Grad_a]]))</f>
        <v/>
      </c>
      <c r="O1366" s="2" t="str">
        <f>IF(Iterations[[#This Row],[Step]] =current_step, current_Grad_b,IF(Iterations[[#This Row],[Step]] &gt; current_step, "",Iterations[[#This Row],[Grad_b]]))</f>
        <v/>
      </c>
      <c r="P1366" s="2" t="str">
        <f>IF(Iterations[[#This Row],[Step]] =current_step, current_Grad_c,IF(Iterations[[#This Row],[Step]] &gt; current_step, "",Iterations[[#This Row],[Grad_c]]))</f>
        <v/>
      </c>
      <c r="Q1366" s="2" t="str">
        <f>IF(Iterations[[#This Row],[Step]] =current_step, current_Grad_d,IF(Iterations[[#This Row],[Step]] &gt; current_step, "",Iterations[[#This Row],[Grad_d]]))</f>
        <v/>
      </c>
      <c r="R1366" s="2" t="str">
        <f>IF(Iterations[[#This Row],[Step]] =current_step, current_Grad_e,IF(Iterations[[#This Row],[Step]] &gt; current_step, "",Iterations[[#This Row],[Grad_e]]))</f>
        <v/>
      </c>
    </row>
    <row r="1367" spans="6:18" x14ac:dyDescent="0.3">
      <c r="F1367" s="2">
        <f t="shared" si="26"/>
        <v>1350</v>
      </c>
      <c r="G1367" s="2" t="str">
        <f>IF(Iterations[[#This Row],[Step]] =current_step, current_a,IF(Iterations[[#This Row],[Step]] &gt; current_step, "",Iterations[[#This Row],[a]]))</f>
        <v/>
      </c>
      <c r="H1367" s="2" t="str">
        <f>IF(Iterations[[#This Row],[Step]] =current_step, current_b,IF(Iterations[[#This Row],[Step]] &gt; current_step, "",Iterations[[#This Row],[b]]))</f>
        <v/>
      </c>
      <c r="I1367" s="2" t="str">
        <f>IF(Iterations[[#This Row],[Step]] =current_step, current_c,IF(Iterations[[#This Row],[Step]] &gt; current_step, "",Iterations[[#This Row],[c]]))</f>
        <v/>
      </c>
      <c r="J1367" s="2" t="str">
        <f>IF(Iterations[[#This Row],[Step]] =current_step, current_d,IF(Iterations[[#This Row],[Step]] &gt; current_step, "",Iterations[[#This Row],[d]]))</f>
        <v/>
      </c>
      <c r="K1367" s="2" t="str">
        <f>IF(Iterations[[#This Row],[Step]] =current_step, current_e,IF(Iterations[[#This Row],[Step]] &gt; current_step, "",Iterations[[#This Row],[e]]))</f>
        <v/>
      </c>
      <c r="L1367" s="2" t="str">
        <f>IF(Iterations[[#This Row],[Step]] =current_step, current_Total_Loss,IF(Iterations[[#This Row],[Step]] &gt; current_step, "",Iterations[[#This Row],[Total Loss]]))</f>
        <v/>
      </c>
      <c r="M1367" s="6" t="s">
        <v>27</v>
      </c>
      <c r="N1367" s="2" t="str">
        <f>IF(Iterations[[#This Row],[Step]] =current_step, current_Grad_a,IF(Iterations[[#This Row],[Step]] &gt; current_step, "",Iterations[[#This Row],[Grad_a]]))</f>
        <v/>
      </c>
      <c r="O1367" s="2" t="str">
        <f>IF(Iterations[[#This Row],[Step]] =current_step, current_Grad_b,IF(Iterations[[#This Row],[Step]] &gt; current_step, "",Iterations[[#This Row],[Grad_b]]))</f>
        <v/>
      </c>
      <c r="P1367" s="2" t="str">
        <f>IF(Iterations[[#This Row],[Step]] =current_step, current_Grad_c,IF(Iterations[[#This Row],[Step]] &gt; current_step, "",Iterations[[#This Row],[Grad_c]]))</f>
        <v/>
      </c>
      <c r="Q1367" s="2" t="str">
        <f>IF(Iterations[[#This Row],[Step]] =current_step, current_Grad_d,IF(Iterations[[#This Row],[Step]] &gt; current_step, "",Iterations[[#This Row],[Grad_d]]))</f>
        <v/>
      </c>
      <c r="R1367" s="2" t="str">
        <f>IF(Iterations[[#This Row],[Step]] =current_step, current_Grad_e,IF(Iterations[[#This Row],[Step]] &gt; current_step, "",Iterations[[#This Row],[Grad_e]]))</f>
        <v/>
      </c>
    </row>
    <row r="1368" spans="6:18" x14ac:dyDescent="0.3">
      <c r="F1368" s="2">
        <f t="shared" si="26"/>
        <v>1351</v>
      </c>
      <c r="G1368" s="2" t="str">
        <f>IF(Iterations[[#This Row],[Step]] =current_step, current_a,IF(Iterations[[#This Row],[Step]] &gt; current_step, "",Iterations[[#This Row],[a]]))</f>
        <v/>
      </c>
      <c r="H1368" s="2" t="str">
        <f>IF(Iterations[[#This Row],[Step]] =current_step, current_b,IF(Iterations[[#This Row],[Step]] &gt; current_step, "",Iterations[[#This Row],[b]]))</f>
        <v/>
      </c>
      <c r="I1368" s="2" t="str">
        <f>IF(Iterations[[#This Row],[Step]] =current_step, current_c,IF(Iterations[[#This Row],[Step]] &gt; current_step, "",Iterations[[#This Row],[c]]))</f>
        <v/>
      </c>
      <c r="J1368" s="2" t="str">
        <f>IF(Iterations[[#This Row],[Step]] =current_step, current_d,IF(Iterations[[#This Row],[Step]] &gt; current_step, "",Iterations[[#This Row],[d]]))</f>
        <v/>
      </c>
      <c r="K1368" s="2" t="str">
        <f>IF(Iterations[[#This Row],[Step]] =current_step, current_e,IF(Iterations[[#This Row],[Step]] &gt; current_step, "",Iterations[[#This Row],[e]]))</f>
        <v/>
      </c>
      <c r="L1368" s="2" t="str">
        <f>IF(Iterations[[#This Row],[Step]] =current_step, current_Total_Loss,IF(Iterations[[#This Row],[Step]] &gt; current_step, "",Iterations[[#This Row],[Total Loss]]))</f>
        <v/>
      </c>
      <c r="M1368" s="6" t="s">
        <v>27</v>
      </c>
      <c r="N1368" s="2" t="str">
        <f>IF(Iterations[[#This Row],[Step]] =current_step, current_Grad_a,IF(Iterations[[#This Row],[Step]] &gt; current_step, "",Iterations[[#This Row],[Grad_a]]))</f>
        <v/>
      </c>
      <c r="O1368" s="2" t="str">
        <f>IF(Iterations[[#This Row],[Step]] =current_step, current_Grad_b,IF(Iterations[[#This Row],[Step]] &gt; current_step, "",Iterations[[#This Row],[Grad_b]]))</f>
        <v/>
      </c>
      <c r="P1368" s="2" t="str">
        <f>IF(Iterations[[#This Row],[Step]] =current_step, current_Grad_c,IF(Iterations[[#This Row],[Step]] &gt; current_step, "",Iterations[[#This Row],[Grad_c]]))</f>
        <v/>
      </c>
      <c r="Q1368" s="2" t="str">
        <f>IF(Iterations[[#This Row],[Step]] =current_step, current_Grad_d,IF(Iterations[[#This Row],[Step]] &gt; current_step, "",Iterations[[#This Row],[Grad_d]]))</f>
        <v/>
      </c>
      <c r="R1368" s="2" t="str">
        <f>IF(Iterations[[#This Row],[Step]] =current_step, current_Grad_e,IF(Iterations[[#This Row],[Step]] &gt; current_step, "",Iterations[[#This Row],[Grad_e]]))</f>
        <v/>
      </c>
    </row>
    <row r="1369" spans="6:18" x14ac:dyDescent="0.3">
      <c r="F1369" s="2">
        <f t="shared" si="26"/>
        <v>1352</v>
      </c>
      <c r="G1369" s="2" t="str">
        <f>IF(Iterations[[#This Row],[Step]] =current_step, current_a,IF(Iterations[[#This Row],[Step]] &gt; current_step, "",Iterations[[#This Row],[a]]))</f>
        <v/>
      </c>
      <c r="H1369" s="2" t="str">
        <f>IF(Iterations[[#This Row],[Step]] =current_step, current_b,IF(Iterations[[#This Row],[Step]] &gt; current_step, "",Iterations[[#This Row],[b]]))</f>
        <v/>
      </c>
      <c r="I1369" s="2" t="str">
        <f>IF(Iterations[[#This Row],[Step]] =current_step, current_c,IF(Iterations[[#This Row],[Step]] &gt; current_step, "",Iterations[[#This Row],[c]]))</f>
        <v/>
      </c>
      <c r="J1369" s="2" t="str">
        <f>IF(Iterations[[#This Row],[Step]] =current_step, current_d,IF(Iterations[[#This Row],[Step]] &gt; current_step, "",Iterations[[#This Row],[d]]))</f>
        <v/>
      </c>
      <c r="K1369" s="2" t="str">
        <f>IF(Iterations[[#This Row],[Step]] =current_step, current_e,IF(Iterations[[#This Row],[Step]] &gt; current_step, "",Iterations[[#This Row],[e]]))</f>
        <v/>
      </c>
      <c r="L1369" s="2" t="str">
        <f>IF(Iterations[[#This Row],[Step]] =current_step, current_Total_Loss,IF(Iterations[[#This Row],[Step]] &gt; current_step, "",Iterations[[#This Row],[Total Loss]]))</f>
        <v/>
      </c>
      <c r="M1369" s="6" t="s">
        <v>27</v>
      </c>
      <c r="N1369" s="2" t="str">
        <f>IF(Iterations[[#This Row],[Step]] =current_step, current_Grad_a,IF(Iterations[[#This Row],[Step]] &gt; current_step, "",Iterations[[#This Row],[Grad_a]]))</f>
        <v/>
      </c>
      <c r="O1369" s="2" t="str">
        <f>IF(Iterations[[#This Row],[Step]] =current_step, current_Grad_b,IF(Iterations[[#This Row],[Step]] &gt; current_step, "",Iterations[[#This Row],[Grad_b]]))</f>
        <v/>
      </c>
      <c r="P1369" s="2" t="str">
        <f>IF(Iterations[[#This Row],[Step]] =current_step, current_Grad_c,IF(Iterations[[#This Row],[Step]] &gt; current_step, "",Iterations[[#This Row],[Grad_c]]))</f>
        <v/>
      </c>
      <c r="Q1369" s="2" t="str">
        <f>IF(Iterations[[#This Row],[Step]] =current_step, current_Grad_d,IF(Iterations[[#This Row],[Step]] &gt; current_step, "",Iterations[[#This Row],[Grad_d]]))</f>
        <v/>
      </c>
      <c r="R1369" s="2" t="str">
        <f>IF(Iterations[[#This Row],[Step]] =current_step, current_Grad_e,IF(Iterations[[#This Row],[Step]] &gt; current_step, "",Iterations[[#This Row],[Grad_e]]))</f>
        <v/>
      </c>
    </row>
    <row r="1370" spans="6:18" x14ac:dyDescent="0.3">
      <c r="F1370" s="2">
        <f t="shared" si="26"/>
        <v>1353</v>
      </c>
      <c r="G1370" s="2" t="str">
        <f>IF(Iterations[[#This Row],[Step]] =current_step, current_a,IF(Iterations[[#This Row],[Step]] &gt; current_step, "",Iterations[[#This Row],[a]]))</f>
        <v/>
      </c>
      <c r="H1370" s="2" t="str">
        <f>IF(Iterations[[#This Row],[Step]] =current_step, current_b,IF(Iterations[[#This Row],[Step]] &gt; current_step, "",Iterations[[#This Row],[b]]))</f>
        <v/>
      </c>
      <c r="I1370" s="2" t="str">
        <f>IF(Iterations[[#This Row],[Step]] =current_step, current_c,IF(Iterations[[#This Row],[Step]] &gt; current_step, "",Iterations[[#This Row],[c]]))</f>
        <v/>
      </c>
      <c r="J1370" s="2" t="str">
        <f>IF(Iterations[[#This Row],[Step]] =current_step, current_d,IF(Iterations[[#This Row],[Step]] &gt; current_step, "",Iterations[[#This Row],[d]]))</f>
        <v/>
      </c>
      <c r="K1370" s="2" t="str">
        <f>IF(Iterations[[#This Row],[Step]] =current_step, current_e,IF(Iterations[[#This Row],[Step]] &gt; current_step, "",Iterations[[#This Row],[e]]))</f>
        <v/>
      </c>
      <c r="L1370" s="2" t="str">
        <f>IF(Iterations[[#This Row],[Step]] =current_step, current_Total_Loss,IF(Iterations[[#This Row],[Step]] &gt; current_step, "",Iterations[[#This Row],[Total Loss]]))</f>
        <v/>
      </c>
      <c r="M1370" s="6" t="s">
        <v>27</v>
      </c>
      <c r="N1370" s="2" t="str">
        <f>IF(Iterations[[#This Row],[Step]] =current_step, current_Grad_a,IF(Iterations[[#This Row],[Step]] &gt; current_step, "",Iterations[[#This Row],[Grad_a]]))</f>
        <v/>
      </c>
      <c r="O1370" s="2" t="str">
        <f>IF(Iterations[[#This Row],[Step]] =current_step, current_Grad_b,IF(Iterations[[#This Row],[Step]] &gt; current_step, "",Iterations[[#This Row],[Grad_b]]))</f>
        <v/>
      </c>
      <c r="P1370" s="2" t="str">
        <f>IF(Iterations[[#This Row],[Step]] =current_step, current_Grad_c,IF(Iterations[[#This Row],[Step]] &gt; current_step, "",Iterations[[#This Row],[Grad_c]]))</f>
        <v/>
      </c>
      <c r="Q1370" s="2" t="str">
        <f>IF(Iterations[[#This Row],[Step]] =current_step, current_Grad_d,IF(Iterations[[#This Row],[Step]] &gt; current_step, "",Iterations[[#This Row],[Grad_d]]))</f>
        <v/>
      </c>
      <c r="R1370" s="2" t="str">
        <f>IF(Iterations[[#This Row],[Step]] =current_step, current_Grad_e,IF(Iterations[[#This Row],[Step]] &gt; current_step, "",Iterations[[#This Row],[Grad_e]]))</f>
        <v/>
      </c>
    </row>
    <row r="1371" spans="6:18" x14ac:dyDescent="0.3">
      <c r="F1371" s="2">
        <f t="shared" si="26"/>
        <v>1354</v>
      </c>
      <c r="G1371" s="2" t="str">
        <f>IF(Iterations[[#This Row],[Step]] =current_step, current_a,IF(Iterations[[#This Row],[Step]] &gt; current_step, "",Iterations[[#This Row],[a]]))</f>
        <v/>
      </c>
      <c r="H1371" s="2" t="str">
        <f>IF(Iterations[[#This Row],[Step]] =current_step, current_b,IF(Iterations[[#This Row],[Step]] &gt; current_step, "",Iterations[[#This Row],[b]]))</f>
        <v/>
      </c>
      <c r="I1371" s="2" t="str">
        <f>IF(Iterations[[#This Row],[Step]] =current_step, current_c,IF(Iterations[[#This Row],[Step]] &gt; current_step, "",Iterations[[#This Row],[c]]))</f>
        <v/>
      </c>
      <c r="J1371" s="2" t="str">
        <f>IF(Iterations[[#This Row],[Step]] =current_step, current_d,IF(Iterations[[#This Row],[Step]] &gt; current_step, "",Iterations[[#This Row],[d]]))</f>
        <v/>
      </c>
      <c r="K1371" s="2" t="str">
        <f>IF(Iterations[[#This Row],[Step]] =current_step, current_e,IF(Iterations[[#This Row],[Step]] &gt; current_step, "",Iterations[[#This Row],[e]]))</f>
        <v/>
      </c>
      <c r="L1371" s="2" t="str">
        <f>IF(Iterations[[#This Row],[Step]] =current_step, current_Total_Loss,IF(Iterations[[#This Row],[Step]] &gt; current_step, "",Iterations[[#This Row],[Total Loss]]))</f>
        <v/>
      </c>
      <c r="M1371" s="6" t="s">
        <v>27</v>
      </c>
      <c r="N1371" s="2" t="str">
        <f>IF(Iterations[[#This Row],[Step]] =current_step, current_Grad_a,IF(Iterations[[#This Row],[Step]] &gt; current_step, "",Iterations[[#This Row],[Grad_a]]))</f>
        <v/>
      </c>
      <c r="O1371" s="2" t="str">
        <f>IF(Iterations[[#This Row],[Step]] =current_step, current_Grad_b,IF(Iterations[[#This Row],[Step]] &gt; current_step, "",Iterations[[#This Row],[Grad_b]]))</f>
        <v/>
      </c>
      <c r="P1371" s="2" t="str">
        <f>IF(Iterations[[#This Row],[Step]] =current_step, current_Grad_c,IF(Iterations[[#This Row],[Step]] &gt; current_step, "",Iterations[[#This Row],[Grad_c]]))</f>
        <v/>
      </c>
      <c r="Q1371" s="2" t="str">
        <f>IF(Iterations[[#This Row],[Step]] =current_step, current_Grad_d,IF(Iterations[[#This Row],[Step]] &gt; current_step, "",Iterations[[#This Row],[Grad_d]]))</f>
        <v/>
      </c>
      <c r="R1371" s="2" t="str">
        <f>IF(Iterations[[#This Row],[Step]] =current_step, current_Grad_e,IF(Iterations[[#This Row],[Step]] &gt; current_step, "",Iterations[[#This Row],[Grad_e]]))</f>
        <v/>
      </c>
    </row>
    <row r="1372" spans="6:18" x14ac:dyDescent="0.3">
      <c r="F1372" s="2">
        <f t="shared" si="26"/>
        <v>1355</v>
      </c>
      <c r="G1372" s="2" t="str">
        <f>IF(Iterations[[#This Row],[Step]] =current_step, current_a,IF(Iterations[[#This Row],[Step]] &gt; current_step, "",Iterations[[#This Row],[a]]))</f>
        <v/>
      </c>
      <c r="H1372" s="2" t="str">
        <f>IF(Iterations[[#This Row],[Step]] =current_step, current_b,IF(Iterations[[#This Row],[Step]] &gt; current_step, "",Iterations[[#This Row],[b]]))</f>
        <v/>
      </c>
      <c r="I1372" s="2" t="str">
        <f>IF(Iterations[[#This Row],[Step]] =current_step, current_c,IF(Iterations[[#This Row],[Step]] &gt; current_step, "",Iterations[[#This Row],[c]]))</f>
        <v/>
      </c>
      <c r="J1372" s="2" t="str">
        <f>IF(Iterations[[#This Row],[Step]] =current_step, current_d,IF(Iterations[[#This Row],[Step]] &gt; current_step, "",Iterations[[#This Row],[d]]))</f>
        <v/>
      </c>
      <c r="K1372" s="2" t="str">
        <f>IF(Iterations[[#This Row],[Step]] =current_step, current_e,IF(Iterations[[#This Row],[Step]] &gt; current_step, "",Iterations[[#This Row],[e]]))</f>
        <v/>
      </c>
      <c r="L1372" s="2" t="str">
        <f>IF(Iterations[[#This Row],[Step]] =current_step, current_Total_Loss,IF(Iterations[[#This Row],[Step]] &gt; current_step, "",Iterations[[#This Row],[Total Loss]]))</f>
        <v/>
      </c>
      <c r="M1372" s="6" t="s">
        <v>27</v>
      </c>
      <c r="N1372" s="2" t="str">
        <f>IF(Iterations[[#This Row],[Step]] =current_step, current_Grad_a,IF(Iterations[[#This Row],[Step]] &gt; current_step, "",Iterations[[#This Row],[Grad_a]]))</f>
        <v/>
      </c>
      <c r="O1372" s="2" t="str">
        <f>IF(Iterations[[#This Row],[Step]] =current_step, current_Grad_b,IF(Iterations[[#This Row],[Step]] &gt; current_step, "",Iterations[[#This Row],[Grad_b]]))</f>
        <v/>
      </c>
      <c r="P1372" s="2" t="str">
        <f>IF(Iterations[[#This Row],[Step]] =current_step, current_Grad_c,IF(Iterations[[#This Row],[Step]] &gt; current_step, "",Iterations[[#This Row],[Grad_c]]))</f>
        <v/>
      </c>
      <c r="Q1372" s="2" t="str">
        <f>IF(Iterations[[#This Row],[Step]] =current_step, current_Grad_d,IF(Iterations[[#This Row],[Step]] &gt; current_step, "",Iterations[[#This Row],[Grad_d]]))</f>
        <v/>
      </c>
      <c r="R1372" s="2" t="str">
        <f>IF(Iterations[[#This Row],[Step]] =current_step, current_Grad_e,IF(Iterations[[#This Row],[Step]] &gt; current_step, "",Iterations[[#This Row],[Grad_e]]))</f>
        <v/>
      </c>
    </row>
    <row r="1373" spans="6:18" x14ac:dyDescent="0.3">
      <c r="F1373" s="2">
        <f t="shared" si="26"/>
        <v>1356</v>
      </c>
      <c r="G1373" s="2" t="str">
        <f>IF(Iterations[[#This Row],[Step]] =current_step, current_a,IF(Iterations[[#This Row],[Step]] &gt; current_step, "",Iterations[[#This Row],[a]]))</f>
        <v/>
      </c>
      <c r="H1373" s="2" t="str">
        <f>IF(Iterations[[#This Row],[Step]] =current_step, current_b,IF(Iterations[[#This Row],[Step]] &gt; current_step, "",Iterations[[#This Row],[b]]))</f>
        <v/>
      </c>
      <c r="I1373" s="2" t="str">
        <f>IF(Iterations[[#This Row],[Step]] =current_step, current_c,IF(Iterations[[#This Row],[Step]] &gt; current_step, "",Iterations[[#This Row],[c]]))</f>
        <v/>
      </c>
      <c r="J1373" s="2" t="str">
        <f>IF(Iterations[[#This Row],[Step]] =current_step, current_d,IF(Iterations[[#This Row],[Step]] &gt; current_step, "",Iterations[[#This Row],[d]]))</f>
        <v/>
      </c>
      <c r="K1373" s="2" t="str">
        <f>IF(Iterations[[#This Row],[Step]] =current_step, current_e,IF(Iterations[[#This Row],[Step]] &gt; current_step, "",Iterations[[#This Row],[e]]))</f>
        <v/>
      </c>
      <c r="L1373" s="2" t="str">
        <f>IF(Iterations[[#This Row],[Step]] =current_step, current_Total_Loss,IF(Iterations[[#This Row],[Step]] &gt; current_step, "",Iterations[[#This Row],[Total Loss]]))</f>
        <v/>
      </c>
      <c r="M1373" s="6" t="s">
        <v>27</v>
      </c>
      <c r="N1373" s="2" t="str">
        <f>IF(Iterations[[#This Row],[Step]] =current_step, current_Grad_a,IF(Iterations[[#This Row],[Step]] &gt; current_step, "",Iterations[[#This Row],[Grad_a]]))</f>
        <v/>
      </c>
      <c r="O1373" s="2" t="str">
        <f>IF(Iterations[[#This Row],[Step]] =current_step, current_Grad_b,IF(Iterations[[#This Row],[Step]] &gt; current_step, "",Iterations[[#This Row],[Grad_b]]))</f>
        <v/>
      </c>
      <c r="P1373" s="2" t="str">
        <f>IF(Iterations[[#This Row],[Step]] =current_step, current_Grad_c,IF(Iterations[[#This Row],[Step]] &gt; current_step, "",Iterations[[#This Row],[Grad_c]]))</f>
        <v/>
      </c>
      <c r="Q1373" s="2" t="str">
        <f>IF(Iterations[[#This Row],[Step]] =current_step, current_Grad_d,IF(Iterations[[#This Row],[Step]] &gt; current_step, "",Iterations[[#This Row],[Grad_d]]))</f>
        <v/>
      </c>
      <c r="R1373" s="2" t="str">
        <f>IF(Iterations[[#This Row],[Step]] =current_step, current_Grad_e,IF(Iterations[[#This Row],[Step]] &gt; current_step, "",Iterations[[#This Row],[Grad_e]]))</f>
        <v/>
      </c>
    </row>
    <row r="1374" spans="6:18" x14ac:dyDescent="0.3">
      <c r="F1374" s="2">
        <f t="shared" si="26"/>
        <v>1357</v>
      </c>
      <c r="G1374" s="2" t="str">
        <f>IF(Iterations[[#This Row],[Step]] =current_step, current_a,IF(Iterations[[#This Row],[Step]] &gt; current_step, "",Iterations[[#This Row],[a]]))</f>
        <v/>
      </c>
      <c r="H1374" s="2" t="str">
        <f>IF(Iterations[[#This Row],[Step]] =current_step, current_b,IF(Iterations[[#This Row],[Step]] &gt; current_step, "",Iterations[[#This Row],[b]]))</f>
        <v/>
      </c>
      <c r="I1374" s="2" t="str">
        <f>IF(Iterations[[#This Row],[Step]] =current_step, current_c,IF(Iterations[[#This Row],[Step]] &gt; current_step, "",Iterations[[#This Row],[c]]))</f>
        <v/>
      </c>
      <c r="J1374" s="2" t="str">
        <f>IF(Iterations[[#This Row],[Step]] =current_step, current_d,IF(Iterations[[#This Row],[Step]] &gt; current_step, "",Iterations[[#This Row],[d]]))</f>
        <v/>
      </c>
      <c r="K1374" s="2" t="str">
        <f>IF(Iterations[[#This Row],[Step]] =current_step, current_e,IF(Iterations[[#This Row],[Step]] &gt; current_step, "",Iterations[[#This Row],[e]]))</f>
        <v/>
      </c>
      <c r="L1374" s="2" t="str">
        <f>IF(Iterations[[#This Row],[Step]] =current_step, current_Total_Loss,IF(Iterations[[#This Row],[Step]] &gt; current_step, "",Iterations[[#This Row],[Total Loss]]))</f>
        <v/>
      </c>
      <c r="M1374" s="6" t="s">
        <v>27</v>
      </c>
      <c r="N1374" s="2" t="str">
        <f>IF(Iterations[[#This Row],[Step]] =current_step, current_Grad_a,IF(Iterations[[#This Row],[Step]] &gt; current_step, "",Iterations[[#This Row],[Grad_a]]))</f>
        <v/>
      </c>
      <c r="O1374" s="2" t="str">
        <f>IF(Iterations[[#This Row],[Step]] =current_step, current_Grad_b,IF(Iterations[[#This Row],[Step]] &gt; current_step, "",Iterations[[#This Row],[Grad_b]]))</f>
        <v/>
      </c>
      <c r="P1374" s="2" t="str">
        <f>IF(Iterations[[#This Row],[Step]] =current_step, current_Grad_c,IF(Iterations[[#This Row],[Step]] &gt; current_step, "",Iterations[[#This Row],[Grad_c]]))</f>
        <v/>
      </c>
      <c r="Q1374" s="2" t="str">
        <f>IF(Iterations[[#This Row],[Step]] =current_step, current_Grad_d,IF(Iterations[[#This Row],[Step]] &gt; current_step, "",Iterations[[#This Row],[Grad_d]]))</f>
        <v/>
      </c>
      <c r="R1374" s="2" t="str">
        <f>IF(Iterations[[#This Row],[Step]] =current_step, current_Grad_e,IF(Iterations[[#This Row],[Step]] &gt; current_step, "",Iterations[[#This Row],[Grad_e]]))</f>
        <v/>
      </c>
    </row>
    <row r="1375" spans="6:18" x14ac:dyDescent="0.3">
      <c r="F1375" s="2">
        <f t="shared" si="26"/>
        <v>1358</v>
      </c>
      <c r="G1375" s="2" t="str">
        <f>IF(Iterations[[#This Row],[Step]] =current_step, current_a,IF(Iterations[[#This Row],[Step]] &gt; current_step, "",Iterations[[#This Row],[a]]))</f>
        <v/>
      </c>
      <c r="H1375" s="2" t="str">
        <f>IF(Iterations[[#This Row],[Step]] =current_step, current_b,IF(Iterations[[#This Row],[Step]] &gt; current_step, "",Iterations[[#This Row],[b]]))</f>
        <v/>
      </c>
      <c r="I1375" s="2" t="str">
        <f>IF(Iterations[[#This Row],[Step]] =current_step, current_c,IF(Iterations[[#This Row],[Step]] &gt; current_step, "",Iterations[[#This Row],[c]]))</f>
        <v/>
      </c>
      <c r="J1375" s="2" t="str">
        <f>IF(Iterations[[#This Row],[Step]] =current_step, current_d,IF(Iterations[[#This Row],[Step]] &gt; current_step, "",Iterations[[#This Row],[d]]))</f>
        <v/>
      </c>
      <c r="K1375" s="2" t="str">
        <f>IF(Iterations[[#This Row],[Step]] =current_step, current_e,IF(Iterations[[#This Row],[Step]] &gt; current_step, "",Iterations[[#This Row],[e]]))</f>
        <v/>
      </c>
      <c r="L1375" s="2" t="str">
        <f>IF(Iterations[[#This Row],[Step]] =current_step, current_Total_Loss,IF(Iterations[[#This Row],[Step]] &gt; current_step, "",Iterations[[#This Row],[Total Loss]]))</f>
        <v/>
      </c>
      <c r="M1375" s="6" t="s">
        <v>27</v>
      </c>
      <c r="N1375" s="2" t="str">
        <f>IF(Iterations[[#This Row],[Step]] =current_step, current_Grad_a,IF(Iterations[[#This Row],[Step]] &gt; current_step, "",Iterations[[#This Row],[Grad_a]]))</f>
        <v/>
      </c>
      <c r="O1375" s="2" t="str">
        <f>IF(Iterations[[#This Row],[Step]] =current_step, current_Grad_b,IF(Iterations[[#This Row],[Step]] &gt; current_step, "",Iterations[[#This Row],[Grad_b]]))</f>
        <v/>
      </c>
      <c r="P1375" s="2" t="str">
        <f>IF(Iterations[[#This Row],[Step]] =current_step, current_Grad_c,IF(Iterations[[#This Row],[Step]] &gt; current_step, "",Iterations[[#This Row],[Grad_c]]))</f>
        <v/>
      </c>
      <c r="Q1375" s="2" t="str">
        <f>IF(Iterations[[#This Row],[Step]] =current_step, current_Grad_d,IF(Iterations[[#This Row],[Step]] &gt; current_step, "",Iterations[[#This Row],[Grad_d]]))</f>
        <v/>
      </c>
      <c r="R1375" s="2" t="str">
        <f>IF(Iterations[[#This Row],[Step]] =current_step, current_Grad_e,IF(Iterations[[#This Row],[Step]] &gt; current_step, "",Iterations[[#This Row],[Grad_e]]))</f>
        <v/>
      </c>
    </row>
    <row r="1376" spans="6:18" x14ac:dyDescent="0.3">
      <c r="F1376" s="2">
        <f t="shared" si="26"/>
        <v>1359</v>
      </c>
      <c r="G1376" s="2" t="str">
        <f>IF(Iterations[[#This Row],[Step]] =current_step, current_a,IF(Iterations[[#This Row],[Step]] &gt; current_step, "",Iterations[[#This Row],[a]]))</f>
        <v/>
      </c>
      <c r="H1376" s="2" t="str">
        <f>IF(Iterations[[#This Row],[Step]] =current_step, current_b,IF(Iterations[[#This Row],[Step]] &gt; current_step, "",Iterations[[#This Row],[b]]))</f>
        <v/>
      </c>
      <c r="I1376" s="2" t="str">
        <f>IF(Iterations[[#This Row],[Step]] =current_step, current_c,IF(Iterations[[#This Row],[Step]] &gt; current_step, "",Iterations[[#This Row],[c]]))</f>
        <v/>
      </c>
      <c r="J1376" s="2" t="str">
        <f>IF(Iterations[[#This Row],[Step]] =current_step, current_d,IF(Iterations[[#This Row],[Step]] &gt; current_step, "",Iterations[[#This Row],[d]]))</f>
        <v/>
      </c>
      <c r="K1376" s="2" t="str">
        <f>IF(Iterations[[#This Row],[Step]] =current_step, current_e,IF(Iterations[[#This Row],[Step]] &gt; current_step, "",Iterations[[#This Row],[e]]))</f>
        <v/>
      </c>
      <c r="L1376" s="2" t="str">
        <f>IF(Iterations[[#This Row],[Step]] =current_step, current_Total_Loss,IF(Iterations[[#This Row],[Step]] &gt; current_step, "",Iterations[[#This Row],[Total Loss]]))</f>
        <v/>
      </c>
      <c r="M1376" s="6" t="s">
        <v>27</v>
      </c>
      <c r="N1376" s="2" t="str">
        <f>IF(Iterations[[#This Row],[Step]] =current_step, current_Grad_a,IF(Iterations[[#This Row],[Step]] &gt; current_step, "",Iterations[[#This Row],[Grad_a]]))</f>
        <v/>
      </c>
      <c r="O1376" s="2" t="str">
        <f>IF(Iterations[[#This Row],[Step]] =current_step, current_Grad_b,IF(Iterations[[#This Row],[Step]] &gt; current_step, "",Iterations[[#This Row],[Grad_b]]))</f>
        <v/>
      </c>
      <c r="P1376" s="2" t="str">
        <f>IF(Iterations[[#This Row],[Step]] =current_step, current_Grad_c,IF(Iterations[[#This Row],[Step]] &gt; current_step, "",Iterations[[#This Row],[Grad_c]]))</f>
        <v/>
      </c>
      <c r="Q1376" s="2" t="str">
        <f>IF(Iterations[[#This Row],[Step]] =current_step, current_Grad_d,IF(Iterations[[#This Row],[Step]] &gt; current_step, "",Iterations[[#This Row],[Grad_d]]))</f>
        <v/>
      </c>
      <c r="R1376" s="2" t="str">
        <f>IF(Iterations[[#This Row],[Step]] =current_step, current_Grad_e,IF(Iterations[[#This Row],[Step]] &gt; current_step, "",Iterations[[#This Row],[Grad_e]]))</f>
        <v/>
      </c>
    </row>
    <row r="1377" spans="6:18" x14ac:dyDescent="0.3">
      <c r="F1377" s="2">
        <f t="shared" si="26"/>
        <v>1360</v>
      </c>
      <c r="G1377" s="2" t="str">
        <f>IF(Iterations[[#This Row],[Step]] =current_step, current_a,IF(Iterations[[#This Row],[Step]] &gt; current_step, "",Iterations[[#This Row],[a]]))</f>
        <v/>
      </c>
      <c r="H1377" s="2" t="str">
        <f>IF(Iterations[[#This Row],[Step]] =current_step, current_b,IF(Iterations[[#This Row],[Step]] &gt; current_step, "",Iterations[[#This Row],[b]]))</f>
        <v/>
      </c>
      <c r="I1377" s="2" t="str">
        <f>IF(Iterations[[#This Row],[Step]] =current_step, current_c,IF(Iterations[[#This Row],[Step]] &gt; current_step, "",Iterations[[#This Row],[c]]))</f>
        <v/>
      </c>
      <c r="J1377" s="2" t="str">
        <f>IF(Iterations[[#This Row],[Step]] =current_step, current_d,IF(Iterations[[#This Row],[Step]] &gt; current_step, "",Iterations[[#This Row],[d]]))</f>
        <v/>
      </c>
      <c r="K1377" s="2" t="str">
        <f>IF(Iterations[[#This Row],[Step]] =current_step, current_e,IF(Iterations[[#This Row],[Step]] &gt; current_step, "",Iterations[[#This Row],[e]]))</f>
        <v/>
      </c>
      <c r="L1377" s="2" t="str">
        <f>IF(Iterations[[#This Row],[Step]] =current_step, current_Total_Loss,IF(Iterations[[#This Row],[Step]] &gt; current_step, "",Iterations[[#This Row],[Total Loss]]))</f>
        <v/>
      </c>
      <c r="M1377" s="6" t="s">
        <v>27</v>
      </c>
      <c r="N1377" s="2" t="str">
        <f>IF(Iterations[[#This Row],[Step]] =current_step, current_Grad_a,IF(Iterations[[#This Row],[Step]] &gt; current_step, "",Iterations[[#This Row],[Grad_a]]))</f>
        <v/>
      </c>
      <c r="O1377" s="2" t="str">
        <f>IF(Iterations[[#This Row],[Step]] =current_step, current_Grad_b,IF(Iterations[[#This Row],[Step]] &gt; current_step, "",Iterations[[#This Row],[Grad_b]]))</f>
        <v/>
      </c>
      <c r="P1377" s="2" t="str">
        <f>IF(Iterations[[#This Row],[Step]] =current_step, current_Grad_c,IF(Iterations[[#This Row],[Step]] &gt; current_step, "",Iterations[[#This Row],[Grad_c]]))</f>
        <v/>
      </c>
      <c r="Q1377" s="2" t="str">
        <f>IF(Iterations[[#This Row],[Step]] =current_step, current_Grad_d,IF(Iterations[[#This Row],[Step]] &gt; current_step, "",Iterations[[#This Row],[Grad_d]]))</f>
        <v/>
      </c>
      <c r="R1377" s="2" t="str">
        <f>IF(Iterations[[#This Row],[Step]] =current_step, current_Grad_e,IF(Iterations[[#This Row],[Step]] &gt; current_step, "",Iterations[[#This Row],[Grad_e]]))</f>
        <v/>
      </c>
    </row>
    <row r="1378" spans="6:18" x14ac:dyDescent="0.3">
      <c r="F1378" s="2">
        <f t="shared" si="26"/>
        <v>1361</v>
      </c>
      <c r="G1378" s="2" t="str">
        <f>IF(Iterations[[#This Row],[Step]] =current_step, current_a,IF(Iterations[[#This Row],[Step]] &gt; current_step, "",Iterations[[#This Row],[a]]))</f>
        <v/>
      </c>
      <c r="H1378" s="2" t="str">
        <f>IF(Iterations[[#This Row],[Step]] =current_step, current_b,IF(Iterations[[#This Row],[Step]] &gt; current_step, "",Iterations[[#This Row],[b]]))</f>
        <v/>
      </c>
      <c r="I1378" s="2" t="str">
        <f>IF(Iterations[[#This Row],[Step]] =current_step, current_c,IF(Iterations[[#This Row],[Step]] &gt; current_step, "",Iterations[[#This Row],[c]]))</f>
        <v/>
      </c>
      <c r="J1378" s="2" t="str">
        <f>IF(Iterations[[#This Row],[Step]] =current_step, current_d,IF(Iterations[[#This Row],[Step]] &gt; current_step, "",Iterations[[#This Row],[d]]))</f>
        <v/>
      </c>
      <c r="K1378" s="2" t="str">
        <f>IF(Iterations[[#This Row],[Step]] =current_step, current_e,IF(Iterations[[#This Row],[Step]] &gt; current_step, "",Iterations[[#This Row],[e]]))</f>
        <v/>
      </c>
      <c r="L1378" s="2" t="str">
        <f>IF(Iterations[[#This Row],[Step]] =current_step, current_Total_Loss,IF(Iterations[[#This Row],[Step]] &gt; current_step, "",Iterations[[#This Row],[Total Loss]]))</f>
        <v/>
      </c>
      <c r="M1378" s="6" t="s">
        <v>27</v>
      </c>
      <c r="N1378" s="2" t="str">
        <f>IF(Iterations[[#This Row],[Step]] =current_step, current_Grad_a,IF(Iterations[[#This Row],[Step]] &gt; current_step, "",Iterations[[#This Row],[Grad_a]]))</f>
        <v/>
      </c>
      <c r="O1378" s="2" t="str">
        <f>IF(Iterations[[#This Row],[Step]] =current_step, current_Grad_b,IF(Iterations[[#This Row],[Step]] &gt; current_step, "",Iterations[[#This Row],[Grad_b]]))</f>
        <v/>
      </c>
      <c r="P1378" s="2" t="str">
        <f>IF(Iterations[[#This Row],[Step]] =current_step, current_Grad_c,IF(Iterations[[#This Row],[Step]] &gt; current_step, "",Iterations[[#This Row],[Grad_c]]))</f>
        <v/>
      </c>
      <c r="Q1378" s="2" t="str">
        <f>IF(Iterations[[#This Row],[Step]] =current_step, current_Grad_d,IF(Iterations[[#This Row],[Step]] &gt; current_step, "",Iterations[[#This Row],[Grad_d]]))</f>
        <v/>
      </c>
      <c r="R1378" s="2" t="str">
        <f>IF(Iterations[[#This Row],[Step]] =current_step, current_Grad_e,IF(Iterations[[#This Row],[Step]] &gt; current_step, "",Iterations[[#This Row],[Grad_e]]))</f>
        <v/>
      </c>
    </row>
    <row r="1379" spans="6:18" x14ac:dyDescent="0.3">
      <c r="F1379" s="2">
        <f t="shared" si="26"/>
        <v>1362</v>
      </c>
      <c r="G1379" s="2" t="str">
        <f>IF(Iterations[[#This Row],[Step]] =current_step, current_a,IF(Iterations[[#This Row],[Step]] &gt; current_step, "",Iterations[[#This Row],[a]]))</f>
        <v/>
      </c>
      <c r="H1379" s="2" t="str">
        <f>IF(Iterations[[#This Row],[Step]] =current_step, current_b,IF(Iterations[[#This Row],[Step]] &gt; current_step, "",Iterations[[#This Row],[b]]))</f>
        <v/>
      </c>
      <c r="I1379" s="2" t="str">
        <f>IF(Iterations[[#This Row],[Step]] =current_step, current_c,IF(Iterations[[#This Row],[Step]] &gt; current_step, "",Iterations[[#This Row],[c]]))</f>
        <v/>
      </c>
      <c r="J1379" s="2" t="str">
        <f>IF(Iterations[[#This Row],[Step]] =current_step, current_d,IF(Iterations[[#This Row],[Step]] &gt; current_step, "",Iterations[[#This Row],[d]]))</f>
        <v/>
      </c>
      <c r="K1379" s="2" t="str">
        <f>IF(Iterations[[#This Row],[Step]] =current_step, current_e,IF(Iterations[[#This Row],[Step]] &gt; current_step, "",Iterations[[#This Row],[e]]))</f>
        <v/>
      </c>
      <c r="L1379" s="2" t="str">
        <f>IF(Iterations[[#This Row],[Step]] =current_step, current_Total_Loss,IF(Iterations[[#This Row],[Step]] &gt; current_step, "",Iterations[[#This Row],[Total Loss]]))</f>
        <v/>
      </c>
      <c r="M1379" s="6" t="s">
        <v>27</v>
      </c>
      <c r="N1379" s="2" t="str">
        <f>IF(Iterations[[#This Row],[Step]] =current_step, current_Grad_a,IF(Iterations[[#This Row],[Step]] &gt; current_step, "",Iterations[[#This Row],[Grad_a]]))</f>
        <v/>
      </c>
      <c r="O1379" s="2" t="str">
        <f>IF(Iterations[[#This Row],[Step]] =current_step, current_Grad_b,IF(Iterations[[#This Row],[Step]] &gt; current_step, "",Iterations[[#This Row],[Grad_b]]))</f>
        <v/>
      </c>
      <c r="P1379" s="2" t="str">
        <f>IF(Iterations[[#This Row],[Step]] =current_step, current_Grad_c,IF(Iterations[[#This Row],[Step]] &gt; current_step, "",Iterations[[#This Row],[Grad_c]]))</f>
        <v/>
      </c>
      <c r="Q1379" s="2" t="str">
        <f>IF(Iterations[[#This Row],[Step]] =current_step, current_Grad_d,IF(Iterations[[#This Row],[Step]] &gt; current_step, "",Iterations[[#This Row],[Grad_d]]))</f>
        <v/>
      </c>
      <c r="R1379" s="2" t="str">
        <f>IF(Iterations[[#This Row],[Step]] =current_step, current_Grad_e,IF(Iterations[[#This Row],[Step]] &gt; current_step, "",Iterations[[#This Row],[Grad_e]]))</f>
        <v/>
      </c>
    </row>
    <row r="1380" spans="6:18" x14ac:dyDescent="0.3">
      <c r="F1380" s="2">
        <f t="shared" si="26"/>
        <v>1363</v>
      </c>
      <c r="G1380" s="2" t="str">
        <f>IF(Iterations[[#This Row],[Step]] =current_step, current_a,IF(Iterations[[#This Row],[Step]] &gt; current_step, "",Iterations[[#This Row],[a]]))</f>
        <v/>
      </c>
      <c r="H1380" s="2" t="str">
        <f>IF(Iterations[[#This Row],[Step]] =current_step, current_b,IF(Iterations[[#This Row],[Step]] &gt; current_step, "",Iterations[[#This Row],[b]]))</f>
        <v/>
      </c>
      <c r="I1380" s="2" t="str">
        <f>IF(Iterations[[#This Row],[Step]] =current_step, current_c,IF(Iterations[[#This Row],[Step]] &gt; current_step, "",Iterations[[#This Row],[c]]))</f>
        <v/>
      </c>
      <c r="J1380" s="2" t="str">
        <f>IF(Iterations[[#This Row],[Step]] =current_step, current_d,IF(Iterations[[#This Row],[Step]] &gt; current_step, "",Iterations[[#This Row],[d]]))</f>
        <v/>
      </c>
      <c r="K1380" s="2" t="str">
        <f>IF(Iterations[[#This Row],[Step]] =current_step, current_e,IF(Iterations[[#This Row],[Step]] &gt; current_step, "",Iterations[[#This Row],[e]]))</f>
        <v/>
      </c>
      <c r="L1380" s="2" t="str">
        <f>IF(Iterations[[#This Row],[Step]] =current_step, current_Total_Loss,IF(Iterations[[#This Row],[Step]] &gt; current_step, "",Iterations[[#This Row],[Total Loss]]))</f>
        <v/>
      </c>
      <c r="M1380" s="6" t="s">
        <v>27</v>
      </c>
      <c r="N1380" s="2" t="str">
        <f>IF(Iterations[[#This Row],[Step]] =current_step, current_Grad_a,IF(Iterations[[#This Row],[Step]] &gt; current_step, "",Iterations[[#This Row],[Grad_a]]))</f>
        <v/>
      </c>
      <c r="O1380" s="2" t="str">
        <f>IF(Iterations[[#This Row],[Step]] =current_step, current_Grad_b,IF(Iterations[[#This Row],[Step]] &gt; current_step, "",Iterations[[#This Row],[Grad_b]]))</f>
        <v/>
      </c>
      <c r="P1380" s="2" t="str">
        <f>IF(Iterations[[#This Row],[Step]] =current_step, current_Grad_c,IF(Iterations[[#This Row],[Step]] &gt; current_step, "",Iterations[[#This Row],[Grad_c]]))</f>
        <v/>
      </c>
      <c r="Q1380" s="2" t="str">
        <f>IF(Iterations[[#This Row],[Step]] =current_step, current_Grad_d,IF(Iterations[[#This Row],[Step]] &gt; current_step, "",Iterations[[#This Row],[Grad_d]]))</f>
        <v/>
      </c>
      <c r="R1380" s="2" t="str">
        <f>IF(Iterations[[#This Row],[Step]] =current_step, current_Grad_e,IF(Iterations[[#This Row],[Step]] &gt; current_step, "",Iterations[[#This Row],[Grad_e]]))</f>
        <v/>
      </c>
    </row>
    <row r="1381" spans="6:18" x14ac:dyDescent="0.3">
      <c r="F1381" s="2">
        <f t="shared" si="26"/>
        <v>1364</v>
      </c>
      <c r="G1381" s="2" t="str">
        <f>IF(Iterations[[#This Row],[Step]] =current_step, current_a,IF(Iterations[[#This Row],[Step]] &gt; current_step, "",Iterations[[#This Row],[a]]))</f>
        <v/>
      </c>
      <c r="H1381" s="2" t="str">
        <f>IF(Iterations[[#This Row],[Step]] =current_step, current_b,IF(Iterations[[#This Row],[Step]] &gt; current_step, "",Iterations[[#This Row],[b]]))</f>
        <v/>
      </c>
      <c r="I1381" s="2" t="str">
        <f>IF(Iterations[[#This Row],[Step]] =current_step, current_c,IF(Iterations[[#This Row],[Step]] &gt; current_step, "",Iterations[[#This Row],[c]]))</f>
        <v/>
      </c>
      <c r="J1381" s="2" t="str">
        <f>IF(Iterations[[#This Row],[Step]] =current_step, current_d,IF(Iterations[[#This Row],[Step]] &gt; current_step, "",Iterations[[#This Row],[d]]))</f>
        <v/>
      </c>
      <c r="K1381" s="2" t="str">
        <f>IF(Iterations[[#This Row],[Step]] =current_step, current_e,IF(Iterations[[#This Row],[Step]] &gt; current_step, "",Iterations[[#This Row],[e]]))</f>
        <v/>
      </c>
      <c r="L1381" s="2" t="str">
        <f>IF(Iterations[[#This Row],[Step]] =current_step, current_Total_Loss,IF(Iterations[[#This Row],[Step]] &gt; current_step, "",Iterations[[#This Row],[Total Loss]]))</f>
        <v/>
      </c>
      <c r="M1381" s="6" t="s">
        <v>27</v>
      </c>
      <c r="N1381" s="2" t="str">
        <f>IF(Iterations[[#This Row],[Step]] =current_step, current_Grad_a,IF(Iterations[[#This Row],[Step]] &gt; current_step, "",Iterations[[#This Row],[Grad_a]]))</f>
        <v/>
      </c>
      <c r="O1381" s="2" t="str">
        <f>IF(Iterations[[#This Row],[Step]] =current_step, current_Grad_b,IF(Iterations[[#This Row],[Step]] &gt; current_step, "",Iterations[[#This Row],[Grad_b]]))</f>
        <v/>
      </c>
      <c r="P1381" s="2" t="str">
        <f>IF(Iterations[[#This Row],[Step]] =current_step, current_Grad_c,IF(Iterations[[#This Row],[Step]] &gt; current_step, "",Iterations[[#This Row],[Grad_c]]))</f>
        <v/>
      </c>
      <c r="Q1381" s="2" t="str">
        <f>IF(Iterations[[#This Row],[Step]] =current_step, current_Grad_d,IF(Iterations[[#This Row],[Step]] &gt; current_step, "",Iterations[[#This Row],[Grad_d]]))</f>
        <v/>
      </c>
      <c r="R1381" s="2" t="str">
        <f>IF(Iterations[[#This Row],[Step]] =current_step, current_Grad_e,IF(Iterations[[#This Row],[Step]] &gt; current_step, "",Iterations[[#This Row],[Grad_e]]))</f>
        <v/>
      </c>
    </row>
    <row r="1382" spans="6:18" x14ac:dyDescent="0.3">
      <c r="F1382" s="2">
        <f t="shared" si="26"/>
        <v>1365</v>
      </c>
      <c r="G1382" s="2" t="str">
        <f>IF(Iterations[[#This Row],[Step]] =current_step, current_a,IF(Iterations[[#This Row],[Step]] &gt; current_step, "",Iterations[[#This Row],[a]]))</f>
        <v/>
      </c>
      <c r="H1382" s="2" t="str">
        <f>IF(Iterations[[#This Row],[Step]] =current_step, current_b,IF(Iterations[[#This Row],[Step]] &gt; current_step, "",Iterations[[#This Row],[b]]))</f>
        <v/>
      </c>
      <c r="I1382" s="2" t="str">
        <f>IF(Iterations[[#This Row],[Step]] =current_step, current_c,IF(Iterations[[#This Row],[Step]] &gt; current_step, "",Iterations[[#This Row],[c]]))</f>
        <v/>
      </c>
      <c r="J1382" s="2" t="str">
        <f>IF(Iterations[[#This Row],[Step]] =current_step, current_d,IF(Iterations[[#This Row],[Step]] &gt; current_step, "",Iterations[[#This Row],[d]]))</f>
        <v/>
      </c>
      <c r="K1382" s="2" t="str">
        <f>IF(Iterations[[#This Row],[Step]] =current_step, current_e,IF(Iterations[[#This Row],[Step]] &gt; current_step, "",Iterations[[#This Row],[e]]))</f>
        <v/>
      </c>
      <c r="L1382" s="2" t="str">
        <f>IF(Iterations[[#This Row],[Step]] =current_step, current_Total_Loss,IF(Iterations[[#This Row],[Step]] &gt; current_step, "",Iterations[[#This Row],[Total Loss]]))</f>
        <v/>
      </c>
      <c r="M1382" s="6" t="s">
        <v>27</v>
      </c>
      <c r="N1382" s="2" t="str">
        <f>IF(Iterations[[#This Row],[Step]] =current_step, current_Grad_a,IF(Iterations[[#This Row],[Step]] &gt; current_step, "",Iterations[[#This Row],[Grad_a]]))</f>
        <v/>
      </c>
      <c r="O1382" s="2" t="str">
        <f>IF(Iterations[[#This Row],[Step]] =current_step, current_Grad_b,IF(Iterations[[#This Row],[Step]] &gt; current_step, "",Iterations[[#This Row],[Grad_b]]))</f>
        <v/>
      </c>
      <c r="P1382" s="2" t="str">
        <f>IF(Iterations[[#This Row],[Step]] =current_step, current_Grad_c,IF(Iterations[[#This Row],[Step]] &gt; current_step, "",Iterations[[#This Row],[Grad_c]]))</f>
        <v/>
      </c>
      <c r="Q1382" s="2" t="str">
        <f>IF(Iterations[[#This Row],[Step]] =current_step, current_Grad_d,IF(Iterations[[#This Row],[Step]] &gt; current_step, "",Iterations[[#This Row],[Grad_d]]))</f>
        <v/>
      </c>
      <c r="R1382" s="2" t="str">
        <f>IF(Iterations[[#This Row],[Step]] =current_step, current_Grad_e,IF(Iterations[[#This Row],[Step]] &gt; current_step, "",Iterations[[#This Row],[Grad_e]]))</f>
        <v/>
      </c>
    </row>
    <row r="1383" spans="6:18" x14ac:dyDescent="0.3">
      <c r="F1383" s="2">
        <f t="shared" si="26"/>
        <v>1366</v>
      </c>
      <c r="G1383" s="2" t="str">
        <f>IF(Iterations[[#This Row],[Step]] =current_step, current_a,IF(Iterations[[#This Row],[Step]] &gt; current_step, "",Iterations[[#This Row],[a]]))</f>
        <v/>
      </c>
      <c r="H1383" s="2" t="str">
        <f>IF(Iterations[[#This Row],[Step]] =current_step, current_b,IF(Iterations[[#This Row],[Step]] &gt; current_step, "",Iterations[[#This Row],[b]]))</f>
        <v/>
      </c>
      <c r="I1383" s="2" t="str">
        <f>IF(Iterations[[#This Row],[Step]] =current_step, current_c,IF(Iterations[[#This Row],[Step]] &gt; current_step, "",Iterations[[#This Row],[c]]))</f>
        <v/>
      </c>
      <c r="J1383" s="2" t="str">
        <f>IF(Iterations[[#This Row],[Step]] =current_step, current_d,IF(Iterations[[#This Row],[Step]] &gt; current_step, "",Iterations[[#This Row],[d]]))</f>
        <v/>
      </c>
      <c r="K1383" s="2" t="str">
        <f>IF(Iterations[[#This Row],[Step]] =current_step, current_e,IF(Iterations[[#This Row],[Step]] &gt; current_step, "",Iterations[[#This Row],[e]]))</f>
        <v/>
      </c>
      <c r="L1383" s="2" t="str">
        <f>IF(Iterations[[#This Row],[Step]] =current_step, current_Total_Loss,IF(Iterations[[#This Row],[Step]] &gt; current_step, "",Iterations[[#This Row],[Total Loss]]))</f>
        <v/>
      </c>
      <c r="M1383" s="6" t="s">
        <v>27</v>
      </c>
      <c r="N1383" s="2" t="str">
        <f>IF(Iterations[[#This Row],[Step]] =current_step, current_Grad_a,IF(Iterations[[#This Row],[Step]] &gt; current_step, "",Iterations[[#This Row],[Grad_a]]))</f>
        <v/>
      </c>
      <c r="O1383" s="2" t="str">
        <f>IF(Iterations[[#This Row],[Step]] =current_step, current_Grad_b,IF(Iterations[[#This Row],[Step]] &gt; current_step, "",Iterations[[#This Row],[Grad_b]]))</f>
        <v/>
      </c>
      <c r="P1383" s="2" t="str">
        <f>IF(Iterations[[#This Row],[Step]] =current_step, current_Grad_c,IF(Iterations[[#This Row],[Step]] &gt; current_step, "",Iterations[[#This Row],[Grad_c]]))</f>
        <v/>
      </c>
      <c r="Q1383" s="2" t="str">
        <f>IF(Iterations[[#This Row],[Step]] =current_step, current_Grad_d,IF(Iterations[[#This Row],[Step]] &gt; current_step, "",Iterations[[#This Row],[Grad_d]]))</f>
        <v/>
      </c>
      <c r="R1383" s="2" t="str">
        <f>IF(Iterations[[#This Row],[Step]] =current_step, current_Grad_e,IF(Iterations[[#This Row],[Step]] &gt; current_step, "",Iterations[[#This Row],[Grad_e]]))</f>
        <v/>
      </c>
    </row>
    <row r="1384" spans="6:18" x14ac:dyDescent="0.3">
      <c r="F1384" s="2">
        <f t="shared" si="26"/>
        <v>1367</v>
      </c>
      <c r="G1384" s="2" t="str">
        <f>IF(Iterations[[#This Row],[Step]] =current_step, current_a,IF(Iterations[[#This Row],[Step]] &gt; current_step, "",Iterations[[#This Row],[a]]))</f>
        <v/>
      </c>
      <c r="H1384" s="2" t="str">
        <f>IF(Iterations[[#This Row],[Step]] =current_step, current_b,IF(Iterations[[#This Row],[Step]] &gt; current_step, "",Iterations[[#This Row],[b]]))</f>
        <v/>
      </c>
      <c r="I1384" s="2" t="str">
        <f>IF(Iterations[[#This Row],[Step]] =current_step, current_c,IF(Iterations[[#This Row],[Step]] &gt; current_step, "",Iterations[[#This Row],[c]]))</f>
        <v/>
      </c>
      <c r="J1384" s="2" t="str">
        <f>IF(Iterations[[#This Row],[Step]] =current_step, current_d,IF(Iterations[[#This Row],[Step]] &gt; current_step, "",Iterations[[#This Row],[d]]))</f>
        <v/>
      </c>
      <c r="K1384" s="2" t="str">
        <f>IF(Iterations[[#This Row],[Step]] =current_step, current_e,IF(Iterations[[#This Row],[Step]] &gt; current_step, "",Iterations[[#This Row],[e]]))</f>
        <v/>
      </c>
      <c r="L1384" s="2" t="str">
        <f>IF(Iterations[[#This Row],[Step]] =current_step, current_Total_Loss,IF(Iterations[[#This Row],[Step]] &gt; current_step, "",Iterations[[#This Row],[Total Loss]]))</f>
        <v/>
      </c>
      <c r="M1384" s="6" t="s">
        <v>27</v>
      </c>
      <c r="N1384" s="2" t="str">
        <f>IF(Iterations[[#This Row],[Step]] =current_step, current_Grad_a,IF(Iterations[[#This Row],[Step]] &gt; current_step, "",Iterations[[#This Row],[Grad_a]]))</f>
        <v/>
      </c>
      <c r="O1384" s="2" t="str">
        <f>IF(Iterations[[#This Row],[Step]] =current_step, current_Grad_b,IF(Iterations[[#This Row],[Step]] &gt; current_step, "",Iterations[[#This Row],[Grad_b]]))</f>
        <v/>
      </c>
      <c r="P1384" s="2" t="str">
        <f>IF(Iterations[[#This Row],[Step]] =current_step, current_Grad_c,IF(Iterations[[#This Row],[Step]] &gt; current_step, "",Iterations[[#This Row],[Grad_c]]))</f>
        <v/>
      </c>
      <c r="Q1384" s="2" t="str">
        <f>IF(Iterations[[#This Row],[Step]] =current_step, current_Grad_d,IF(Iterations[[#This Row],[Step]] &gt; current_step, "",Iterations[[#This Row],[Grad_d]]))</f>
        <v/>
      </c>
      <c r="R1384" s="2" t="str">
        <f>IF(Iterations[[#This Row],[Step]] =current_step, current_Grad_e,IF(Iterations[[#This Row],[Step]] &gt; current_step, "",Iterations[[#This Row],[Grad_e]]))</f>
        <v/>
      </c>
    </row>
    <row r="1385" spans="6:18" x14ac:dyDescent="0.3">
      <c r="F1385" s="2">
        <f t="shared" si="26"/>
        <v>1368</v>
      </c>
      <c r="G1385" s="2" t="str">
        <f>IF(Iterations[[#This Row],[Step]] =current_step, current_a,IF(Iterations[[#This Row],[Step]] &gt; current_step, "",Iterations[[#This Row],[a]]))</f>
        <v/>
      </c>
      <c r="H1385" s="2" t="str">
        <f>IF(Iterations[[#This Row],[Step]] =current_step, current_b,IF(Iterations[[#This Row],[Step]] &gt; current_step, "",Iterations[[#This Row],[b]]))</f>
        <v/>
      </c>
      <c r="I1385" s="2" t="str">
        <f>IF(Iterations[[#This Row],[Step]] =current_step, current_c,IF(Iterations[[#This Row],[Step]] &gt; current_step, "",Iterations[[#This Row],[c]]))</f>
        <v/>
      </c>
      <c r="J1385" s="2" t="str">
        <f>IF(Iterations[[#This Row],[Step]] =current_step, current_d,IF(Iterations[[#This Row],[Step]] &gt; current_step, "",Iterations[[#This Row],[d]]))</f>
        <v/>
      </c>
      <c r="K1385" s="2" t="str">
        <f>IF(Iterations[[#This Row],[Step]] =current_step, current_e,IF(Iterations[[#This Row],[Step]] &gt; current_step, "",Iterations[[#This Row],[e]]))</f>
        <v/>
      </c>
      <c r="L1385" s="2" t="str">
        <f>IF(Iterations[[#This Row],[Step]] =current_step, current_Total_Loss,IF(Iterations[[#This Row],[Step]] &gt; current_step, "",Iterations[[#This Row],[Total Loss]]))</f>
        <v/>
      </c>
      <c r="M1385" s="6" t="s">
        <v>27</v>
      </c>
      <c r="N1385" s="2" t="str">
        <f>IF(Iterations[[#This Row],[Step]] =current_step, current_Grad_a,IF(Iterations[[#This Row],[Step]] &gt; current_step, "",Iterations[[#This Row],[Grad_a]]))</f>
        <v/>
      </c>
      <c r="O1385" s="2" t="str">
        <f>IF(Iterations[[#This Row],[Step]] =current_step, current_Grad_b,IF(Iterations[[#This Row],[Step]] &gt; current_step, "",Iterations[[#This Row],[Grad_b]]))</f>
        <v/>
      </c>
      <c r="P1385" s="2" t="str">
        <f>IF(Iterations[[#This Row],[Step]] =current_step, current_Grad_c,IF(Iterations[[#This Row],[Step]] &gt; current_step, "",Iterations[[#This Row],[Grad_c]]))</f>
        <v/>
      </c>
      <c r="Q1385" s="2" t="str">
        <f>IF(Iterations[[#This Row],[Step]] =current_step, current_Grad_d,IF(Iterations[[#This Row],[Step]] &gt; current_step, "",Iterations[[#This Row],[Grad_d]]))</f>
        <v/>
      </c>
      <c r="R1385" s="2" t="str">
        <f>IF(Iterations[[#This Row],[Step]] =current_step, current_Grad_e,IF(Iterations[[#This Row],[Step]] &gt; current_step, "",Iterations[[#This Row],[Grad_e]]))</f>
        <v/>
      </c>
    </row>
    <row r="1386" spans="6:18" x14ac:dyDescent="0.3">
      <c r="F1386" s="2">
        <f t="shared" si="26"/>
        <v>1369</v>
      </c>
      <c r="G1386" s="2" t="str">
        <f>IF(Iterations[[#This Row],[Step]] =current_step, current_a,IF(Iterations[[#This Row],[Step]] &gt; current_step, "",Iterations[[#This Row],[a]]))</f>
        <v/>
      </c>
      <c r="H1386" s="2" t="str">
        <f>IF(Iterations[[#This Row],[Step]] =current_step, current_b,IF(Iterations[[#This Row],[Step]] &gt; current_step, "",Iterations[[#This Row],[b]]))</f>
        <v/>
      </c>
      <c r="I1386" s="2" t="str">
        <f>IF(Iterations[[#This Row],[Step]] =current_step, current_c,IF(Iterations[[#This Row],[Step]] &gt; current_step, "",Iterations[[#This Row],[c]]))</f>
        <v/>
      </c>
      <c r="J1386" s="2" t="str">
        <f>IF(Iterations[[#This Row],[Step]] =current_step, current_d,IF(Iterations[[#This Row],[Step]] &gt; current_step, "",Iterations[[#This Row],[d]]))</f>
        <v/>
      </c>
      <c r="K1386" s="2" t="str">
        <f>IF(Iterations[[#This Row],[Step]] =current_step, current_e,IF(Iterations[[#This Row],[Step]] &gt; current_step, "",Iterations[[#This Row],[e]]))</f>
        <v/>
      </c>
      <c r="L1386" s="2" t="str">
        <f>IF(Iterations[[#This Row],[Step]] =current_step, current_Total_Loss,IF(Iterations[[#This Row],[Step]] &gt; current_step, "",Iterations[[#This Row],[Total Loss]]))</f>
        <v/>
      </c>
      <c r="M1386" s="6" t="s">
        <v>27</v>
      </c>
      <c r="N1386" s="2" t="str">
        <f>IF(Iterations[[#This Row],[Step]] =current_step, current_Grad_a,IF(Iterations[[#This Row],[Step]] &gt; current_step, "",Iterations[[#This Row],[Grad_a]]))</f>
        <v/>
      </c>
      <c r="O1386" s="2" t="str">
        <f>IF(Iterations[[#This Row],[Step]] =current_step, current_Grad_b,IF(Iterations[[#This Row],[Step]] &gt; current_step, "",Iterations[[#This Row],[Grad_b]]))</f>
        <v/>
      </c>
      <c r="P1386" s="2" t="str">
        <f>IF(Iterations[[#This Row],[Step]] =current_step, current_Grad_c,IF(Iterations[[#This Row],[Step]] &gt; current_step, "",Iterations[[#This Row],[Grad_c]]))</f>
        <v/>
      </c>
      <c r="Q1386" s="2" t="str">
        <f>IF(Iterations[[#This Row],[Step]] =current_step, current_Grad_d,IF(Iterations[[#This Row],[Step]] &gt; current_step, "",Iterations[[#This Row],[Grad_d]]))</f>
        <v/>
      </c>
      <c r="R1386" s="2" t="str">
        <f>IF(Iterations[[#This Row],[Step]] =current_step, current_Grad_e,IF(Iterations[[#This Row],[Step]] &gt; current_step, "",Iterations[[#This Row],[Grad_e]]))</f>
        <v/>
      </c>
    </row>
    <row r="1387" spans="6:18" x14ac:dyDescent="0.3">
      <c r="F1387" s="2">
        <f t="shared" si="26"/>
        <v>1370</v>
      </c>
      <c r="G1387" s="2" t="str">
        <f>IF(Iterations[[#This Row],[Step]] =current_step, current_a,IF(Iterations[[#This Row],[Step]] &gt; current_step, "",Iterations[[#This Row],[a]]))</f>
        <v/>
      </c>
      <c r="H1387" s="2" t="str">
        <f>IF(Iterations[[#This Row],[Step]] =current_step, current_b,IF(Iterations[[#This Row],[Step]] &gt; current_step, "",Iterations[[#This Row],[b]]))</f>
        <v/>
      </c>
      <c r="I1387" s="2" t="str">
        <f>IF(Iterations[[#This Row],[Step]] =current_step, current_c,IF(Iterations[[#This Row],[Step]] &gt; current_step, "",Iterations[[#This Row],[c]]))</f>
        <v/>
      </c>
      <c r="J1387" s="2" t="str">
        <f>IF(Iterations[[#This Row],[Step]] =current_step, current_d,IF(Iterations[[#This Row],[Step]] &gt; current_step, "",Iterations[[#This Row],[d]]))</f>
        <v/>
      </c>
      <c r="K1387" s="2" t="str">
        <f>IF(Iterations[[#This Row],[Step]] =current_step, current_e,IF(Iterations[[#This Row],[Step]] &gt; current_step, "",Iterations[[#This Row],[e]]))</f>
        <v/>
      </c>
      <c r="L1387" s="2" t="str">
        <f>IF(Iterations[[#This Row],[Step]] =current_step, current_Total_Loss,IF(Iterations[[#This Row],[Step]] &gt; current_step, "",Iterations[[#This Row],[Total Loss]]))</f>
        <v/>
      </c>
      <c r="M1387" s="6" t="s">
        <v>27</v>
      </c>
      <c r="N1387" s="2" t="str">
        <f>IF(Iterations[[#This Row],[Step]] =current_step, current_Grad_a,IF(Iterations[[#This Row],[Step]] &gt; current_step, "",Iterations[[#This Row],[Grad_a]]))</f>
        <v/>
      </c>
      <c r="O1387" s="2" t="str">
        <f>IF(Iterations[[#This Row],[Step]] =current_step, current_Grad_b,IF(Iterations[[#This Row],[Step]] &gt; current_step, "",Iterations[[#This Row],[Grad_b]]))</f>
        <v/>
      </c>
      <c r="P1387" s="2" t="str">
        <f>IF(Iterations[[#This Row],[Step]] =current_step, current_Grad_c,IF(Iterations[[#This Row],[Step]] &gt; current_step, "",Iterations[[#This Row],[Grad_c]]))</f>
        <v/>
      </c>
      <c r="Q1387" s="2" t="str">
        <f>IF(Iterations[[#This Row],[Step]] =current_step, current_Grad_d,IF(Iterations[[#This Row],[Step]] &gt; current_step, "",Iterations[[#This Row],[Grad_d]]))</f>
        <v/>
      </c>
      <c r="R1387" s="2" t="str">
        <f>IF(Iterations[[#This Row],[Step]] =current_step, current_Grad_e,IF(Iterations[[#This Row],[Step]] &gt; current_step, "",Iterations[[#This Row],[Grad_e]]))</f>
        <v/>
      </c>
    </row>
    <row r="1388" spans="6:18" x14ac:dyDescent="0.3">
      <c r="F1388" s="2">
        <f t="shared" si="26"/>
        <v>1371</v>
      </c>
      <c r="G1388" s="2" t="str">
        <f>IF(Iterations[[#This Row],[Step]] =current_step, current_a,IF(Iterations[[#This Row],[Step]] &gt; current_step, "",Iterations[[#This Row],[a]]))</f>
        <v/>
      </c>
      <c r="H1388" s="2" t="str">
        <f>IF(Iterations[[#This Row],[Step]] =current_step, current_b,IF(Iterations[[#This Row],[Step]] &gt; current_step, "",Iterations[[#This Row],[b]]))</f>
        <v/>
      </c>
      <c r="I1388" s="2" t="str">
        <f>IF(Iterations[[#This Row],[Step]] =current_step, current_c,IF(Iterations[[#This Row],[Step]] &gt; current_step, "",Iterations[[#This Row],[c]]))</f>
        <v/>
      </c>
      <c r="J1388" s="2" t="str">
        <f>IF(Iterations[[#This Row],[Step]] =current_step, current_d,IF(Iterations[[#This Row],[Step]] &gt; current_step, "",Iterations[[#This Row],[d]]))</f>
        <v/>
      </c>
      <c r="K1388" s="2" t="str">
        <f>IF(Iterations[[#This Row],[Step]] =current_step, current_e,IF(Iterations[[#This Row],[Step]] &gt; current_step, "",Iterations[[#This Row],[e]]))</f>
        <v/>
      </c>
      <c r="L1388" s="2" t="str">
        <f>IF(Iterations[[#This Row],[Step]] =current_step, current_Total_Loss,IF(Iterations[[#This Row],[Step]] &gt; current_step, "",Iterations[[#This Row],[Total Loss]]))</f>
        <v/>
      </c>
      <c r="M1388" s="6" t="s">
        <v>27</v>
      </c>
      <c r="N1388" s="2" t="str">
        <f>IF(Iterations[[#This Row],[Step]] =current_step, current_Grad_a,IF(Iterations[[#This Row],[Step]] &gt; current_step, "",Iterations[[#This Row],[Grad_a]]))</f>
        <v/>
      </c>
      <c r="O1388" s="2" t="str">
        <f>IF(Iterations[[#This Row],[Step]] =current_step, current_Grad_b,IF(Iterations[[#This Row],[Step]] &gt; current_step, "",Iterations[[#This Row],[Grad_b]]))</f>
        <v/>
      </c>
      <c r="P1388" s="2" t="str">
        <f>IF(Iterations[[#This Row],[Step]] =current_step, current_Grad_c,IF(Iterations[[#This Row],[Step]] &gt; current_step, "",Iterations[[#This Row],[Grad_c]]))</f>
        <v/>
      </c>
      <c r="Q1388" s="2" t="str">
        <f>IF(Iterations[[#This Row],[Step]] =current_step, current_Grad_d,IF(Iterations[[#This Row],[Step]] &gt; current_step, "",Iterations[[#This Row],[Grad_d]]))</f>
        <v/>
      </c>
      <c r="R1388" s="2" t="str">
        <f>IF(Iterations[[#This Row],[Step]] =current_step, current_Grad_e,IF(Iterations[[#This Row],[Step]] &gt; current_step, "",Iterations[[#This Row],[Grad_e]]))</f>
        <v/>
      </c>
    </row>
    <row r="1389" spans="6:18" x14ac:dyDescent="0.3">
      <c r="F1389" s="2">
        <f t="shared" si="26"/>
        <v>1372</v>
      </c>
      <c r="G1389" s="2" t="str">
        <f>IF(Iterations[[#This Row],[Step]] =current_step, current_a,IF(Iterations[[#This Row],[Step]] &gt; current_step, "",Iterations[[#This Row],[a]]))</f>
        <v/>
      </c>
      <c r="H1389" s="2" t="str">
        <f>IF(Iterations[[#This Row],[Step]] =current_step, current_b,IF(Iterations[[#This Row],[Step]] &gt; current_step, "",Iterations[[#This Row],[b]]))</f>
        <v/>
      </c>
      <c r="I1389" s="2" t="str">
        <f>IF(Iterations[[#This Row],[Step]] =current_step, current_c,IF(Iterations[[#This Row],[Step]] &gt; current_step, "",Iterations[[#This Row],[c]]))</f>
        <v/>
      </c>
      <c r="J1389" s="2" t="str">
        <f>IF(Iterations[[#This Row],[Step]] =current_step, current_d,IF(Iterations[[#This Row],[Step]] &gt; current_step, "",Iterations[[#This Row],[d]]))</f>
        <v/>
      </c>
      <c r="K1389" s="2" t="str">
        <f>IF(Iterations[[#This Row],[Step]] =current_step, current_e,IF(Iterations[[#This Row],[Step]] &gt; current_step, "",Iterations[[#This Row],[e]]))</f>
        <v/>
      </c>
      <c r="L1389" s="2" t="str">
        <f>IF(Iterations[[#This Row],[Step]] =current_step, current_Total_Loss,IF(Iterations[[#This Row],[Step]] &gt; current_step, "",Iterations[[#This Row],[Total Loss]]))</f>
        <v/>
      </c>
      <c r="M1389" s="6" t="s">
        <v>27</v>
      </c>
      <c r="N1389" s="2" t="str">
        <f>IF(Iterations[[#This Row],[Step]] =current_step, current_Grad_a,IF(Iterations[[#This Row],[Step]] &gt; current_step, "",Iterations[[#This Row],[Grad_a]]))</f>
        <v/>
      </c>
      <c r="O1389" s="2" t="str">
        <f>IF(Iterations[[#This Row],[Step]] =current_step, current_Grad_b,IF(Iterations[[#This Row],[Step]] &gt; current_step, "",Iterations[[#This Row],[Grad_b]]))</f>
        <v/>
      </c>
      <c r="P1389" s="2" t="str">
        <f>IF(Iterations[[#This Row],[Step]] =current_step, current_Grad_c,IF(Iterations[[#This Row],[Step]] &gt; current_step, "",Iterations[[#This Row],[Grad_c]]))</f>
        <v/>
      </c>
      <c r="Q1389" s="2" t="str">
        <f>IF(Iterations[[#This Row],[Step]] =current_step, current_Grad_d,IF(Iterations[[#This Row],[Step]] &gt; current_step, "",Iterations[[#This Row],[Grad_d]]))</f>
        <v/>
      </c>
      <c r="R1389" s="2" t="str">
        <f>IF(Iterations[[#This Row],[Step]] =current_step, current_Grad_e,IF(Iterations[[#This Row],[Step]] &gt; current_step, "",Iterations[[#This Row],[Grad_e]]))</f>
        <v/>
      </c>
    </row>
    <row r="1390" spans="6:18" x14ac:dyDescent="0.3">
      <c r="F1390" s="2">
        <f t="shared" si="26"/>
        <v>1373</v>
      </c>
      <c r="G1390" s="2" t="str">
        <f>IF(Iterations[[#This Row],[Step]] =current_step, current_a,IF(Iterations[[#This Row],[Step]] &gt; current_step, "",Iterations[[#This Row],[a]]))</f>
        <v/>
      </c>
      <c r="H1390" s="2" t="str">
        <f>IF(Iterations[[#This Row],[Step]] =current_step, current_b,IF(Iterations[[#This Row],[Step]] &gt; current_step, "",Iterations[[#This Row],[b]]))</f>
        <v/>
      </c>
      <c r="I1390" s="2" t="str">
        <f>IF(Iterations[[#This Row],[Step]] =current_step, current_c,IF(Iterations[[#This Row],[Step]] &gt; current_step, "",Iterations[[#This Row],[c]]))</f>
        <v/>
      </c>
      <c r="J1390" s="2" t="str">
        <f>IF(Iterations[[#This Row],[Step]] =current_step, current_d,IF(Iterations[[#This Row],[Step]] &gt; current_step, "",Iterations[[#This Row],[d]]))</f>
        <v/>
      </c>
      <c r="K1390" s="2" t="str">
        <f>IF(Iterations[[#This Row],[Step]] =current_step, current_e,IF(Iterations[[#This Row],[Step]] &gt; current_step, "",Iterations[[#This Row],[e]]))</f>
        <v/>
      </c>
      <c r="L1390" s="2" t="str">
        <f>IF(Iterations[[#This Row],[Step]] =current_step, current_Total_Loss,IF(Iterations[[#This Row],[Step]] &gt; current_step, "",Iterations[[#This Row],[Total Loss]]))</f>
        <v/>
      </c>
      <c r="M1390" s="6" t="s">
        <v>27</v>
      </c>
      <c r="N1390" s="2" t="str">
        <f>IF(Iterations[[#This Row],[Step]] =current_step, current_Grad_a,IF(Iterations[[#This Row],[Step]] &gt; current_step, "",Iterations[[#This Row],[Grad_a]]))</f>
        <v/>
      </c>
      <c r="O1390" s="2" t="str">
        <f>IF(Iterations[[#This Row],[Step]] =current_step, current_Grad_b,IF(Iterations[[#This Row],[Step]] &gt; current_step, "",Iterations[[#This Row],[Grad_b]]))</f>
        <v/>
      </c>
      <c r="P1390" s="2" t="str">
        <f>IF(Iterations[[#This Row],[Step]] =current_step, current_Grad_c,IF(Iterations[[#This Row],[Step]] &gt; current_step, "",Iterations[[#This Row],[Grad_c]]))</f>
        <v/>
      </c>
      <c r="Q1390" s="2" t="str">
        <f>IF(Iterations[[#This Row],[Step]] =current_step, current_Grad_d,IF(Iterations[[#This Row],[Step]] &gt; current_step, "",Iterations[[#This Row],[Grad_d]]))</f>
        <v/>
      </c>
      <c r="R1390" s="2" t="str">
        <f>IF(Iterations[[#This Row],[Step]] =current_step, current_Grad_e,IF(Iterations[[#This Row],[Step]] &gt; current_step, "",Iterations[[#This Row],[Grad_e]]))</f>
        <v/>
      </c>
    </row>
    <row r="1391" spans="6:18" x14ac:dyDescent="0.3">
      <c r="F1391" s="2">
        <f t="shared" si="26"/>
        <v>1374</v>
      </c>
      <c r="G1391" s="2" t="str">
        <f>IF(Iterations[[#This Row],[Step]] =current_step, current_a,IF(Iterations[[#This Row],[Step]] &gt; current_step, "",Iterations[[#This Row],[a]]))</f>
        <v/>
      </c>
      <c r="H1391" s="2" t="str">
        <f>IF(Iterations[[#This Row],[Step]] =current_step, current_b,IF(Iterations[[#This Row],[Step]] &gt; current_step, "",Iterations[[#This Row],[b]]))</f>
        <v/>
      </c>
      <c r="I1391" s="2" t="str">
        <f>IF(Iterations[[#This Row],[Step]] =current_step, current_c,IF(Iterations[[#This Row],[Step]] &gt; current_step, "",Iterations[[#This Row],[c]]))</f>
        <v/>
      </c>
      <c r="J1391" s="2" t="str">
        <f>IF(Iterations[[#This Row],[Step]] =current_step, current_d,IF(Iterations[[#This Row],[Step]] &gt; current_step, "",Iterations[[#This Row],[d]]))</f>
        <v/>
      </c>
      <c r="K1391" s="2" t="str">
        <f>IF(Iterations[[#This Row],[Step]] =current_step, current_e,IF(Iterations[[#This Row],[Step]] &gt; current_step, "",Iterations[[#This Row],[e]]))</f>
        <v/>
      </c>
      <c r="L1391" s="2" t="str">
        <f>IF(Iterations[[#This Row],[Step]] =current_step, current_Total_Loss,IF(Iterations[[#This Row],[Step]] &gt; current_step, "",Iterations[[#This Row],[Total Loss]]))</f>
        <v/>
      </c>
      <c r="M1391" s="6" t="s">
        <v>27</v>
      </c>
      <c r="N1391" s="2" t="str">
        <f>IF(Iterations[[#This Row],[Step]] =current_step, current_Grad_a,IF(Iterations[[#This Row],[Step]] &gt; current_step, "",Iterations[[#This Row],[Grad_a]]))</f>
        <v/>
      </c>
      <c r="O1391" s="2" t="str">
        <f>IF(Iterations[[#This Row],[Step]] =current_step, current_Grad_b,IF(Iterations[[#This Row],[Step]] &gt; current_step, "",Iterations[[#This Row],[Grad_b]]))</f>
        <v/>
      </c>
      <c r="P1391" s="2" t="str">
        <f>IF(Iterations[[#This Row],[Step]] =current_step, current_Grad_c,IF(Iterations[[#This Row],[Step]] &gt; current_step, "",Iterations[[#This Row],[Grad_c]]))</f>
        <v/>
      </c>
      <c r="Q1391" s="2" t="str">
        <f>IF(Iterations[[#This Row],[Step]] =current_step, current_Grad_d,IF(Iterations[[#This Row],[Step]] &gt; current_step, "",Iterations[[#This Row],[Grad_d]]))</f>
        <v/>
      </c>
      <c r="R1391" s="2" t="str">
        <f>IF(Iterations[[#This Row],[Step]] =current_step, current_Grad_e,IF(Iterations[[#This Row],[Step]] &gt; current_step, "",Iterations[[#This Row],[Grad_e]]))</f>
        <v/>
      </c>
    </row>
    <row r="1392" spans="6:18" x14ac:dyDescent="0.3">
      <c r="F1392" s="2">
        <f t="shared" si="26"/>
        <v>1375</v>
      </c>
      <c r="G1392" s="2" t="str">
        <f>IF(Iterations[[#This Row],[Step]] =current_step, current_a,IF(Iterations[[#This Row],[Step]] &gt; current_step, "",Iterations[[#This Row],[a]]))</f>
        <v/>
      </c>
      <c r="H1392" s="2" t="str">
        <f>IF(Iterations[[#This Row],[Step]] =current_step, current_b,IF(Iterations[[#This Row],[Step]] &gt; current_step, "",Iterations[[#This Row],[b]]))</f>
        <v/>
      </c>
      <c r="I1392" s="2" t="str">
        <f>IF(Iterations[[#This Row],[Step]] =current_step, current_c,IF(Iterations[[#This Row],[Step]] &gt; current_step, "",Iterations[[#This Row],[c]]))</f>
        <v/>
      </c>
      <c r="J1392" s="2" t="str">
        <f>IF(Iterations[[#This Row],[Step]] =current_step, current_d,IF(Iterations[[#This Row],[Step]] &gt; current_step, "",Iterations[[#This Row],[d]]))</f>
        <v/>
      </c>
      <c r="K1392" s="2" t="str">
        <f>IF(Iterations[[#This Row],[Step]] =current_step, current_e,IF(Iterations[[#This Row],[Step]] &gt; current_step, "",Iterations[[#This Row],[e]]))</f>
        <v/>
      </c>
      <c r="L1392" s="2" t="str">
        <f>IF(Iterations[[#This Row],[Step]] =current_step, current_Total_Loss,IF(Iterations[[#This Row],[Step]] &gt; current_step, "",Iterations[[#This Row],[Total Loss]]))</f>
        <v/>
      </c>
      <c r="M1392" s="6" t="s">
        <v>27</v>
      </c>
      <c r="N1392" s="2" t="str">
        <f>IF(Iterations[[#This Row],[Step]] =current_step, current_Grad_a,IF(Iterations[[#This Row],[Step]] &gt; current_step, "",Iterations[[#This Row],[Grad_a]]))</f>
        <v/>
      </c>
      <c r="O1392" s="2" t="str">
        <f>IF(Iterations[[#This Row],[Step]] =current_step, current_Grad_b,IF(Iterations[[#This Row],[Step]] &gt; current_step, "",Iterations[[#This Row],[Grad_b]]))</f>
        <v/>
      </c>
      <c r="P1392" s="2" t="str">
        <f>IF(Iterations[[#This Row],[Step]] =current_step, current_Grad_c,IF(Iterations[[#This Row],[Step]] &gt; current_step, "",Iterations[[#This Row],[Grad_c]]))</f>
        <v/>
      </c>
      <c r="Q1392" s="2" t="str">
        <f>IF(Iterations[[#This Row],[Step]] =current_step, current_Grad_d,IF(Iterations[[#This Row],[Step]] &gt; current_step, "",Iterations[[#This Row],[Grad_d]]))</f>
        <v/>
      </c>
      <c r="R1392" s="2" t="str">
        <f>IF(Iterations[[#This Row],[Step]] =current_step, current_Grad_e,IF(Iterations[[#This Row],[Step]] &gt; current_step, "",Iterations[[#This Row],[Grad_e]]))</f>
        <v/>
      </c>
    </row>
    <row r="1393" spans="6:18" x14ac:dyDescent="0.3">
      <c r="F1393" s="2">
        <f t="shared" si="26"/>
        <v>1376</v>
      </c>
      <c r="G1393" s="2" t="str">
        <f>IF(Iterations[[#This Row],[Step]] =current_step, current_a,IF(Iterations[[#This Row],[Step]] &gt; current_step, "",Iterations[[#This Row],[a]]))</f>
        <v/>
      </c>
      <c r="H1393" s="2" t="str">
        <f>IF(Iterations[[#This Row],[Step]] =current_step, current_b,IF(Iterations[[#This Row],[Step]] &gt; current_step, "",Iterations[[#This Row],[b]]))</f>
        <v/>
      </c>
      <c r="I1393" s="2" t="str">
        <f>IF(Iterations[[#This Row],[Step]] =current_step, current_c,IF(Iterations[[#This Row],[Step]] &gt; current_step, "",Iterations[[#This Row],[c]]))</f>
        <v/>
      </c>
      <c r="J1393" s="2" t="str">
        <f>IF(Iterations[[#This Row],[Step]] =current_step, current_d,IF(Iterations[[#This Row],[Step]] &gt; current_step, "",Iterations[[#This Row],[d]]))</f>
        <v/>
      </c>
      <c r="K1393" s="2" t="str">
        <f>IF(Iterations[[#This Row],[Step]] =current_step, current_e,IF(Iterations[[#This Row],[Step]] &gt; current_step, "",Iterations[[#This Row],[e]]))</f>
        <v/>
      </c>
      <c r="L1393" s="2" t="str">
        <f>IF(Iterations[[#This Row],[Step]] =current_step, current_Total_Loss,IF(Iterations[[#This Row],[Step]] &gt; current_step, "",Iterations[[#This Row],[Total Loss]]))</f>
        <v/>
      </c>
      <c r="M1393" s="6" t="s">
        <v>27</v>
      </c>
      <c r="N1393" s="2" t="str">
        <f>IF(Iterations[[#This Row],[Step]] =current_step, current_Grad_a,IF(Iterations[[#This Row],[Step]] &gt; current_step, "",Iterations[[#This Row],[Grad_a]]))</f>
        <v/>
      </c>
      <c r="O1393" s="2" t="str">
        <f>IF(Iterations[[#This Row],[Step]] =current_step, current_Grad_b,IF(Iterations[[#This Row],[Step]] &gt; current_step, "",Iterations[[#This Row],[Grad_b]]))</f>
        <v/>
      </c>
      <c r="P1393" s="2" t="str">
        <f>IF(Iterations[[#This Row],[Step]] =current_step, current_Grad_c,IF(Iterations[[#This Row],[Step]] &gt; current_step, "",Iterations[[#This Row],[Grad_c]]))</f>
        <v/>
      </c>
      <c r="Q1393" s="2" t="str">
        <f>IF(Iterations[[#This Row],[Step]] =current_step, current_Grad_d,IF(Iterations[[#This Row],[Step]] &gt; current_step, "",Iterations[[#This Row],[Grad_d]]))</f>
        <v/>
      </c>
      <c r="R1393" s="2" t="str">
        <f>IF(Iterations[[#This Row],[Step]] =current_step, current_Grad_e,IF(Iterations[[#This Row],[Step]] &gt; current_step, "",Iterations[[#This Row],[Grad_e]]))</f>
        <v/>
      </c>
    </row>
    <row r="1394" spans="6:18" x14ac:dyDescent="0.3">
      <c r="F1394" s="2">
        <f t="shared" si="26"/>
        <v>1377</v>
      </c>
      <c r="G1394" s="2" t="str">
        <f>IF(Iterations[[#This Row],[Step]] =current_step, current_a,IF(Iterations[[#This Row],[Step]] &gt; current_step, "",Iterations[[#This Row],[a]]))</f>
        <v/>
      </c>
      <c r="H1394" s="2" t="str">
        <f>IF(Iterations[[#This Row],[Step]] =current_step, current_b,IF(Iterations[[#This Row],[Step]] &gt; current_step, "",Iterations[[#This Row],[b]]))</f>
        <v/>
      </c>
      <c r="I1394" s="2" t="str">
        <f>IF(Iterations[[#This Row],[Step]] =current_step, current_c,IF(Iterations[[#This Row],[Step]] &gt; current_step, "",Iterations[[#This Row],[c]]))</f>
        <v/>
      </c>
      <c r="J1394" s="2" t="str">
        <f>IF(Iterations[[#This Row],[Step]] =current_step, current_d,IF(Iterations[[#This Row],[Step]] &gt; current_step, "",Iterations[[#This Row],[d]]))</f>
        <v/>
      </c>
      <c r="K1394" s="2" t="str">
        <f>IF(Iterations[[#This Row],[Step]] =current_step, current_e,IF(Iterations[[#This Row],[Step]] &gt; current_step, "",Iterations[[#This Row],[e]]))</f>
        <v/>
      </c>
      <c r="L1394" s="2" t="str">
        <f>IF(Iterations[[#This Row],[Step]] =current_step, current_Total_Loss,IF(Iterations[[#This Row],[Step]] &gt; current_step, "",Iterations[[#This Row],[Total Loss]]))</f>
        <v/>
      </c>
      <c r="M1394" s="6" t="s">
        <v>27</v>
      </c>
      <c r="N1394" s="2" t="str">
        <f>IF(Iterations[[#This Row],[Step]] =current_step, current_Grad_a,IF(Iterations[[#This Row],[Step]] &gt; current_step, "",Iterations[[#This Row],[Grad_a]]))</f>
        <v/>
      </c>
      <c r="O1394" s="2" t="str">
        <f>IF(Iterations[[#This Row],[Step]] =current_step, current_Grad_b,IF(Iterations[[#This Row],[Step]] &gt; current_step, "",Iterations[[#This Row],[Grad_b]]))</f>
        <v/>
      </c>
      <c r="P1394" s="2" t="str">
        <f>IF(Iterations[[#This Row],[Step]] =current_step, current_Grad_c,IF(Iterations[[#This Row],[Step]] &gt; current_step, "",Iterations[[#This Row],[Grad_c]]))</f>
        <v/>
      </c>
      <c r="Q1394" s="2" t="str">
        <f>IF(Iterations[[#This Row],[Step]] =current_step, current_Grad_d,IF(Iterations[[#This Row],[Step]] &gt; current_step, "",Iterations[[#This Row],[Grad_d]]))</f>
        <v/>
      </c>
      <c r="R1394" s="2" t="str">
        <f>IF(Iterations[[#This Row],[Step]] =current_step, current_Grad_e,IF(Iterations[[#This Row],[Step]] &gt; current_step, "",Iterations[[#This Row],[Grad_e]]))</f>
        <v/>
      </c>
    </row>
    <row r="1395" spans="6:18" x14ac:dyDescent="0.3">
      <c r="F1395" s="2">
        <f t="shared" si="26"/>
        <v>1378</v>
      </c>
      <c r="G1395" s="2" t="str">
        <f>IF(Iterations[[#This Row],[Step]] =current_step, current_a,IF(Iterations[[#This Row],[Step]] &gt; current_step, "",Iterations[[#This Row],[a]]))</f>
        <v/>
      </c>
      <c r="H1395" s="2" t="str">
        <f>IF(Iterations[[#This Row],[Step]] =current_step, current_b,IF(Iterations[[#This Row],[Step]] &gt; current_step, "",Iterations[[#This Row],[b]]))</f>
        <v/>
      </c>
      <c r="I1395" s="2" t="str">
        <f>IF(Iterations[[#This Row],[Step]] =current_step, current_c,IF(Iterations[[#This Row],[Step]] &gt; current_step, "",Iterations[[#This Row],[c]]))</f>
        <v/>
      </c>
      <c r="J1395" s="2" t="str">
        <f>IF(Iterations[[#This Row],[Step]] =current_step, current_d,IF(Iterations[[#This Row],[Step]] &gt; current_step, "",Iterations[[#This Row],[d]]))</f>
        <v/>
      </c>
      <c r="K1395" s="2" t="str">
        <f>IF(Iterations[[#This Row],[Step]] =current_step, current_e,IF(Iterations[[#This Row],[Step]] &gt; current_step, "",Iterations[[#This Row],[e]]))</f>
        <v/>
      </c>
      <c r="L1395" s="2" t="str">
        <f>IF(Iterations[[#This Row],[Step]] =current_step, current_Total_Loss,IF(Iterations[[#This Row],[Step]] &gt; current_step, "",Iterations[[#This Row],[Total Loss]]))</f>
        <v/>
      </c>
      <c r="M1395" s="6" t="s">
        <v>27</v>
      </c>
      <c r="N1395" s="2" t="str">
        <f>IF(Iterations[[#This Row],[Step]] =current_step, current_Grad_a,IF(Iterations[[#This Row],[Step]] &gt; current_step, "",Iterations[[#This Row],[Grad_a]]))</f>
        <v/>
      </c>
      <c r="O1395" s="2" t="str">
        <f>IF(Iterations[[#This Row],[Step]] =current_step, current_Grad_b,IF(Iterations[[#This Row],[Step]] &gt; current_step, "",Iterations[[#This Row],[Grad_b]]))</f>
        <v/>
      </c>
      <c r="P1395" s="2" t="str">
        <f>IF(Iterations[[#This Row],[Step]] =current_step, current_Grad_c,IF(Iterations[[#This Row],[Step]] &gt; current_step, "",Iterations[[#This Row],[Grad_c]]))</f>
        <v/>
      </c>
      <c r="Q1395" s="2" t="str">
        <f>IF(Iterations[[#This Row],[Step]] =current_step, current_Grad_d,IF(Iterations[[#This Row],[Step]] &gt; current_step, "",Iterations[[#This Row],[Grad_d]]))</f>
        <v/>
      </c>
      <c r="R1395" s="2" t="str">
        <f>IF(Iterations[[#This Row],[Step]] =current_step, current_Grad_e,IF(Iterations[[#This Row],[Step]] &gt; current_step, "",Iterations[[#This Row],[Grad_e]]))</f>
        <v/>
      </c>
    </row>
    <row r="1396" spans="6:18" x14ac:dyDescent="0.3">
      <c r="F1396" s="2">
        <f t="shared" si="26"/>
        <v>1379</v>
      </c>
      <c r="G1396" s="2" t="str">
        <f>IF(Iterations[[#This Row],[Step]] =current_step, current_a,IF(Iterations[[#This Row],[Step]] &gt; current_step, "",Iterations[[#This Row],[a]]))</f>
        <v/>
      </c>
      <c r="H1396" s="2" t="str">
        <f>IF(Iterations[[#This Row],[Step]] =current_step, current_b,IF(Iterations[[#This Row],[Step]] &gt; current_step, "",Iterations[[#This Row],[b]]))</f>
        <v/>
      </c>
      <c r="I1396" s="2" t="str">
        <f>IF(Iterations[[#This Row],[Step]] =current_step, current_c,IF(Iterations[[#This Row],[Step]] &gt; current_step, "",Iterations[[#This Row],[c]]))</f>
        <v/>
      </c>
      <c r="J1396" s="2" t="str">
        <f>IF(Iterations[[#This Row],[Step]] =current_step, current_d,IF(Iterations[[#This Row],[Step]] &gt; current_step, "",Iterations[[#This Row],[d]]))</f>
        <v/>
      </c>
      <c r="K1396" s="2" t="str">
        <f>IF(Iterations[[#This Row],[Step]] =current_step, current_e,IF(Iterations[[#This Row],[Step]] &gt; current_step, "",Iterations[[#This Row],[e]]))</f>
        <v/>
      </c>
      <c r="L1396" s="2" t="str">
        <f>IF(Iterations[[#This Row],[Step]] =current_step, current_Total_Loss,IF(Iterations[[#This Row],[Step]] &gt; current_step, "",Iterations[[#This Row],[Total Loss]]))</f>
        <v/>
      </c>
      <c r="M1396" s="6" t="s">
        <v>27</v>
      </c>
      <c r="N1396" s="2" t="str">
        <f>IF(Iterations[[#This Row],[Step]] =current_step, current_Grad_a,IF(Iterations[[#This Row],[Step]] &gt; current_step, "",Iterations[[#This Row],[Grad_a]]))</f>
        <v/>
      </c>
      <c r="O1396" s="2" t="str">
        <f>IF(Iterations[[#This Row],[Step]] =current_step, current_Grad_b,IF(Iterations[[#This Row],[Step]] &gt; current_step, "",Iterations[[#This Row],[Grad_b]]))</f>
        <v/>
      </c>
      <c r="P1396" s="2" t="str">
        <f>IF(Iterations[[#This Row],[Step]] =current_step, current_Grad_c,IF(Iterations[[#This Row],[Step]] &gt; current_step, "",Iterations[[#This Row],[Grad_c]]))</f>
        <v/>
      </c>
      <c r="Q1396" s="2" t="str">
        <f>IF(Iterations[[#This Row],[Step]] =current_step, current_Grad_d,IF(Iterations[[#This Row],[Step]] &gt; current_step, "",Iterations[[#This Row],[Grad_d]]))</f>
        <v/>
      </c>
      <c r="R1396" s="2" t="str">
        <f>IF(Iterations[[#This Row],[Step]] =current_step, current_Grad_e,IF(Iterations[[#This Row],[Step]] &gt; current_step, "",Iterations[[#This Row],[Grad_e]]))</f>
        <v/>
      </c>
    </row>
    <row r="1397" spans="6:18" x14ac:dyDescent="0.3">
      <c r="F1397" s="2">
        <f t="shared" si="26"/>
        <v>1380</v>
      </c>
      <c r="G1397" s="2" t="str">
        <f>IF(Iterations[[#This Row],[Step]] =current_step, current_a,IF(Iterations[[#This Row],[Step]] &gt; current_step, "",Iterations[[#This Row],[a]]))</f>
        <v/>
      </c>
      <c r="H1397" s="2" t="str">
        <f>IF(Iterations[[#This Row],[Step]] =current_step, current_b,IF(Iterations[[#This Row],[Step]] &gt; current_step, "",Iterations[[#This Row],[b]]))</f>
        <v/>
      </c>
      <c r="I1397" s="2" t="str">
        <f>IF(Iterations[[#This Row],[Step]] =current_step, current_c,IF(Iterations[[#This Row],[Step]] &gt; current_step, "",Iterations[[#This Row],[c]]))</f>
        <v/>
      </c>
      <c r="J1397" s="2" t="str">
        <f>IF(Iterations[[#This Row],[Step]] =current_step, current_d,IF(Iterations[[#This Row],[Step]] &gt; current_step, "",Iterations[[#This Row],[d]]))</f>
        <v/>
      </c>
      <c r="K1397" s="2" t="str">
        <f>IF(Iterations[[#This Row],[Step]] =current_step, current_e,IF(Iterations[[#This Row],[Step]] &gt; current_step, "",Iterations[[#This Row],[e]]))</f>
        <v/>
      </c>
      <c r="L1397" s="2" t="str">
        <f>IF(Iterations[[#This Row],[Step]] =current_step, current_Total_Loss,IF(Iterations[[#This Row],[Step]] &gt; current_step, "",Iterations[[#This Row],[Total Loss]]))</f>
        <v/>
      </c>
      <c r="M1397" s="6" t="s">
        <v>27</v>
      </c>
      <c r="N1397" s="2" t="str">
        <f>IF(Iterations[[#This Row],[Step]] =current_step, current_Grad_a,IF(Iterations[[#This Row],[Step]] &gt; current_step, "",Iterations[[#This Row],[Grad_a]]))</f>
        <v/>
      </c>
      <c r="O1397" s="2" t="str">
        <f>IF(Iterations[[#This Row],[Step]] =current_step, current_Grad_b,IF(Iterations[[#This Row],[Step]] &gt; current_step, "",Iterations[[#This Row],[Grad_b]]))</f>
        <v/>
      </c>
      <c r="P1397" s="2" t="str">
        <f>IF(Iterations[[#This Row],[Step]] =current_step, current_Grad_c,IF(Iterations[[#This Row],[Step]] &gt; current_step, "",Iterations[[#This Row],[Grad_c]]))</f>
        <v/>
      </c>
      <c r="Q1397" s="2" t="str">
        <f>IF(Iterations[[#This Row],[Step]] =current_step, current_Grad_d,IF(Iterations[[#This Row],[Step]] &gt; current_step, "",Iterations[[#This Row],[Grad_d]]))</f>
        <v/>
      </c>
      <c r="R1397" s="2" t="str">
        <f>IF(Iterations[[#This Row],[Step]] =current_step, current_Grad_e,IF(Iterations[[#This Row],[Step]] &gt; current_step, "",Iterations[[#This Row],[Grad_e]]))</f>
        <v/>
      </c>
    </row>
    <row r="1398" spans="6:18" x14ac:dyDescent="0.3">
      <c r="F1398" s="2">
        <f t="shared" si="26"/>
        <v>1381</v>
      </c>
      <c r="G1398" s="2" t="str">
        <f>IF(Iterations[[#This Row],[Step]] =current_step, current_a,IF(Iterations[[#This Row],[Step]] &gt; current_step, "",Iterations[[#This Row],[a]]))</f>
        <v/>
      </c>
      <c r="H1398" s="2" t="str">
        <f>IF(Iterations[[#This Row],[Step]] =current_step, current_b,IF(Iterations[[#This Row],[Step]] &gt; current_step, "",Iterations[[#This Row],[b]]))</f>
        <v/>
      </c>
      <c r="I1398" s="2" t="str">
        <f>IF(Iterations[[#This Row],[Step]] =current_step, current_c,IF(Iterations[[#This Row],[Step]] &gt; current_step, "",Iterations[[#This Row],[c]]))</f>
        <v/>
      </c>
      <c r="J1398" s="2" t="str">
        <f>IF(Iterations[[#This Row],[Step]] =current_step, current_d,IF(Iterations[[#This Row],[Step]] &gt; current_step, "",Iterations[[#This Row],[d]]))</f>
        <v/>
      </c>
      <c r="K1398" s="2" t="str">
        <f>IF(Iterations[[#This Row],[Step]] =current_step, current_e,IF(Iterations[[#This Row],[Step]] &gt; current_step, "",Iterations[[#This Row],[e]]))</f>
        <v/>
      </c>
      <c r="L1398" s="2" t="str">
        <f>IF(Iterations[[#This Row],[Step]] =current_step, current_Total_Loss,IF(Iterations[[#This Row],[Step]] &gt; current_step, "",Iterations[[#This Row],[Total Loss]]))</f>
        <v/>
      </c>
      <c r="M1398" s="6" t="s">
        <v>27</v>
      </c>
      <c r="N1398" s="2" t="str">
        <f>IF(Iterations[[#This Row],[Step]] =current_step, current_Grad_a,IF(Iterations[[#This Row],[Step]] &gt; current_step, "",Iterations[[#This Row],[Grad_a]]))</f>
        <v/>
      </c>
      <c r="O1398" s="2" t="str">
        <f>IF(Iterations[[#This Row],[Step]] =current_step, current_Grad_b,IF(Iterations[[#This Row],[Step]] &gt; current_step, "",Iterations[[#This Row],[Grad_b]]))</f>
        <v/>
      </c>
      <c r="P1398" s="2" t="str">
        <f>IF(Iterations[[#This Row],[Step]] =current_step, current_Grad_c,IF(Iterations[[#This Row],[Step]] &gt; current_step, "",Iterations[[#This Row],[Grad_c]]))</f>
        <v/>
      </c>
      <c r="Q1398" s="2" t="str">
        <f>IF(Iterations[[#This Row],[Step]] =current_step, current_Grad_d,IF(Iterations[[#This Row],[Step]] &gt; current_step, "",Iterations[[#This Row],[Grad_d]]))</f>
        <v/>
      </c>
      <c r="R1398" s="2" t="str">
        <f>IF(Iterations[[#This Row],[Step]] =current_step, current_Grad_e,IF(Iterations[[#This Row],[Step]] &gt; current_step, "",Iterations[[#This Row],[Grad_e]]))</f>
        <v/>
      </c>
    </row>
    <row r="1399" spans="6:18" x14ac:dyDescent="0.3">
      <c r="F1399" s="2">
        <f t="shared" si="26"/>
        <v>1382</v>
      </c>
      <c r="G1399" s="2" t="str">
        <f>IF(Iterations[[#This Row],[Step]] =current_step, current_a,IF(Iterations[[#This Row],[Step]] &gt; current_step, "",Iterations[[#This Row],[a]]))</f>
        <v/>
      </c>
      <c r="H1399" s="2" t="str">
        <f>IF(Iterations[[#This Row],[Step]] =current_step, current_b,IF(Iterations[[#This Row],[Step]] &gt; current_step, "",Iterations[[#This Row],[b]]))</f>
        <v/>
      </c>
      <c r="I1399" s="2" t="str">
        <f>IF(Iterations[[#This Row],[Step]] =current_step, current_c,IF(Iterations[[#This Row],[Step]] &gt; current_step, "",Iterations[[#This Row],[c]]))</f>
        <v/>
      </c>
      <c r="J1399" s="2" t="str">
        <f>IF(Iterations[[#This Row],[Step]] =current_step, current_d,IF(Iterations[[#This Row],[Step]] &gt; current_step, "",Iterations[[#This Row],[d]]))</f>
        <v/>
      </c>
      <c r="K1399" s="2" t="str">
        <f>IF(Iterations[[#This Row],[Step]] =current_step, current_e,IF(Iterations[[#This Row],[Step]] &gt; current_step, "",Iterations[[#This Row],[e]]))</f>
        <v/>
      </c>
      <c r="L1399" s="2" t="str">
        <f>IF(Iterations[[#This Row],[Step]] =current_step, current_Total_Loss,IF(Iterations[[#This Row],[Step]] &gt; current_step, "",Iterations[[#This Row],[Total Loss]]))</f>
        <v/>
      </c>
      <c r="M1399" s="6" t="s">
        <v>27</v>
      </c>
      <c r="N1399" s="2" t="str">
        <f>IF(Iterations[[#This Row],[Step]] =current_step, current_Grad_a,IF(Iterations[[#This Row],[Step]] &gt; current_step, "",Iterations[[#This Row],[Grad_a]]))</f>
        <v/>
      </c>
      <c r="O1399" s="2" t="str">
        <f>IF(Iterations[[#This Row],[Step]] =current_step, current_Grad_b,IF(Iterations[[#This Row],[Step]] &gt; current_step, "",Iterations[[#This Row],[Grad_b]]))</f>
        <v/>
      </c>
      <c r="P1399" s="2" t="str">
        <f>IF(Iterations[[#This Row],[Step]] =current_step, current_Grad_c,IF(Iterations[[#This Row],[Step]] &gt; current_step, "",Iterations[[#This Row],[Grad_c]]))</f>
        <v/>
      </c>
      <c r="Q1399" s="2" t="str">
        <f>IF(Iterations[[#This Row],[Step]] =current_step, current_Grad_d,IF(Iterations[[#This Row],[Step]] &gt; current_step, "",Iterations[[#This Row],[Grad_d]]))</f>
        <v/>
      </c>
      <c r="R1399" s="2" t="str">
        <f>IF(Iterations[[#This Row],[Step]] =current_step, current_Grad_e,IF(Iterations[[#This Row],[Step]] &gt; current_step, "",Iterations[[#This Row],[Grad_e]]))</f>
        <v/>
      </c>
    </row>
    <row r="1400" spans="6:18" x14ac:dyDescent="0.3">
      <c r="F1400" s="2">
        <f t="shared" ref="F1400:F1463" si="27">F1399+1</f>
        <v>1383</v>
      </c>
      <c r="G1400" s="2" t="str">
        <f>IF(Iterations[[#This Row],[Step]] =current_step, current_a,IF(Iterations[[#This Row],[Step]] &gt; current_step, "",Iterations[[#This Row],[a]]))</f>
        <v/>
      </c>
      <c r="H1400" s="2" t="str">
        <f>IF(Iterations[[#This Row],[Step]] =current_step, current_b,IF(Iterations[[#This Row],[Step]] &gt; current_step, "",Iterations[[#This Row],[b]]))</f>
        <v/>
      </c>
      <c r="I1400" s="2" t="str">
        <f>IF(Iterations[[#This Row],[Step]] =current_step, current_c,IF(Iterations[[#This Row],[Step]] &gt; current_step, "",Iterations[[#This Row],[c]]))</f>
        <v/>
      </c>
      <c r="J1400" s="2" t="str">
        <f>IF(Iterations[[#This Row],[Step]] =current_step, current_d,IF(Iterations[[#This Row],[Step]] &gt; current_step, "",Iterations[[#This Row],[d]]))</f>
        <v/>
      </c>
      <c r="K1400" s="2" t="str">
        <f>IF(Iterations[[#This Row],[Step]] =current_step, current_e,IF(Iterations[[#This Row],[Step]] &gt; current_step, "",Iterations[[#This Row],[e]]))</f>
        <v/>
      </c>
      <c r="L1400" s="2" t="str">
        <f>IF(Iterations[[#This Row],[Step]] =current_step, current_Total_Loss,IF(Iterations[[#This Row],[Step]] &gt; current_step, "",Iterations[[#This Row],[Total Loss]]))</f>
        <v/>
      </c>
      <c r="M1400" s="6" t="s">
        <v>27</v>
      </c>
      <c r="N1400" s="2" t="str">
        <f>IF(Iterations[[#This Row],[Step]] =current_step, current_Grad_a,IF(Iterations[[#This Row],[Step]] &gt; current_step, "",Iterations[[#This Row],[Grad_a]]))</f>
        <v/>
      </c>
      <c r="O1400" s="2" t="str">
        <f>IF(Iterations[[#This Row],[Step]] =current_step, current_Grad_b,IF(Iterations[[#This Row],[Step]] &gt; current_step, "",Iterations[[#This Row],[Grad_b]]))</f>
        <v/>
      </c>
      <c r="P1400" s="2" t="str">
        <f>IF(Iterations[[#This Row],[Step]] =current_step, current_Grad_c,IF(Iterations[[#This Row],[Step]] &gt; current_step, "",Iterations[[#This Row],[Grad_c]]))</f>
        <v/>
      </c>
      <c r="Q1400" s="2" t="str">
        <f>IF(Iterations[[#This Row],[Step]] =current_step, current_Grad_d,IF(Iterations[[#This Row],[Step]] &gt; current_step, "",Iterations[[#This Row],[Grad_d]]))</f>
        <v/>
      </c>
      <c r="R1400" s="2" t="str">
        <f>IF(Iterations[[#This Row],[Step]] =current_step, current_Grad_e,IF(Iterations[[#This Row],[Step]] &gt; current_step, "",Iterations[[#This Row],[Grad_e]]))</f>
        <v/>
      </c>
    </row>
    <row r="1401" spans="6:18" x14ac:dyDescent="0.3">
      <c r="F1401" s="2">
        <f t="shared" si="27"/>
        <v>1384</v>
      </c>
      <c r="G1401" s="2" t="str">
        <f>IF(Iterations[[#This Row],[Step]] =current_step, current_a,IF(Iterations[[#This Row],[Step]] &gt; current_step, "",Iterations[[#This Row],[a]]))</f>
        <v/>
      </c>
      <c r="H1401" s="2" t="str">
        <f>IF(Iterations[[#This Row],[Step]] =current_step, current_b,IF(Iterations[[#This Row],[Step]] &gt; current_step, "",Iterations[[#This Row],[b]]))</f>
        <v/>
      </c>
      <c r="I1401" s="2" t="str">
        <f>IF(Iterations[[#This Row],[Step]] =current_step, current_c,IF(Iterations[[#This Row],[Step]] &gt; current_step, "",Iterations[[#This Row],[c]]))</f>
        <v/>
      </c>
      <c r="J1401" s="2" t="str">
        <f>IF(Iterations[[#This Row],[Step]] =current_step, current_d,IF(Iterations[[#This Row],[Step]] &gt; current_step, "",Iterations[[#This Row],[d]]))</f>
        <v/>
      </c>
      <c r="K1401" s="2" t="str">
        <f>IF(Iterations[[#This Row],[Step]] =current_step, current_e,IF(Iterations[[#This Row],[Step]] &gt; current_step, "",Iterations[[#This Row],[e]]))</f>
        <v/>
      </c>
      <c r="L1401" s="2" t="str">
        <f>IF(Iterations[[#This Row],[Step]] =current_step, current_Total_Loss,IF(Iterations[[#This Row],[Step]] &gt; current_step, "",Iterations[[#This Row],[Total Loss]]))</f>
        <v/>
      </c>
      <c r="M1401" s="6" t="s">
        <v>27</v>
      </c>
      <c r="N1401" s="2" t="str">
        <f>IF(Iterations[[#This Row],[Step]] =current_step, current_Grad_a,IF(Iterations[[#This Row],[Step]] &gt; current_step, "",Iterations[[#This Row],[Grad_a]]))</f>
        <v/>
      </c>
      <c r="O1401" s="2" t="str">
        <f>IF(Iterations[[#This Row],[Step]] =current_step, current_Grad_b,IF(Iterations[[#This Row],[Step]] &gt; current_step, "",Iterations[[#This Row],[Grad_b]]))</f>
        <v/>
      </c>
      <c r="P1401" s="2" t="str">
        <f>IF(Iterations[[#This Row],[Step]] =current_step, current_Grad_c,IF(Iterations[[#This Row],[Step]] &gt; current_step, "",Iterations[[#This Row],[Grad_c]]))</f>
        <v/>
      </c>
      <c r="Q1401" s="2" t="str">
        <f>IF(Iterations[[#This Row],[Step]] =current_step, current_Grad_d,IF(Iterations[[#This Row],[Step]] &gt; current_step, "",Iterations[[#This Row],[Grad_d]]))</f>
        <v/>
      </c>
      <c r="R1401" s="2" t="str">
        <f>IF(Iterations[[#This Row],[Step]] =current_step, current_Grad_e,IF(Iterations[[#This Row],[Step]] &gt; current_step, "",Iterations[[#This Row],[Grad_e]]))</f>
        <v/>
      </c>
    </row>
    <row r="1402" spans="6:18" x14ac:dyDescent="0.3">
      <c r="F1402" s="2">
        <f t="shared" si="27"/>
        <v>1385</v>
      </c>
      <c r="G1402" s="2" t="str">
        <f>IF(Iterations[[#This Row],[Step]] =current_step, current_a,IF(Iterations[[#This Row],[Step]] &gt; current_step, "",Iterations[[#This Row],[a]]))</f>
        <v/>
      </c>
      <c r="H1402" s="2" t="str">
        <f>IF(Iterations[[#This Row],[Step]] =current_step, current_b,IF(Iterations[[#This Row],[Step]] &gt; current_step, "",Iterations[[#This Row],[b]]))</f>
        <v/>
      </c>
      <c r="I1402" s="2" t="str">
        <f>IF(Iterations[[#This Row],[Step]] =current_step, current_c,IF(Iterations[[#This Row],[Step]] &gt; current_step, "",Iterations[[#This Row],[c]]))</f>
        <v/>
      </c>
      <c r="J1402" s="2" t="str">
        <f>IF(Iterations[[#This Row],[Step]] =current_step, current_d,IF(Iterations[[#This Row],[Step]] &gt; current_step, "",Iterations[[#This Row],[d]]))</f>
        <v/>
      </c>
      <c r="K1402" s="2" t="str">
        <f>IF(Iterations[[#This Row],[Step]] =current_step, current_e,IF(Iterations[[#This Row],[Step]] &gt; current_step, "",Iterations[[#This Row],[e]]))</f>
        <v/>
      </c>
      <c r="L1402" s="2" t="str">
        <f>IF(Iterations[[#This Row],[Step]] =current_step, current_Total_Loss,IF(Iterations[[#This Row],[Step]] &gt; current_step, "",Iterations[[#This Row],[Total Loss]]))</f>
        <v/>
      </c>
      <c r="M1402" s="6" t="s">
        <v>27</v>
      </c>
      <c r="N1402" s="2" t="str">
        <f>IF(Iterations[[#This Row],[Step]] =current_step, current_Grad_a,IF(Iterations[[#This Row],[Step]] &gt; current_step, "",Iterations[[#This Row],[Grad_a]]))</f>
        <v/>
      </c>
      <c r="O1402" s="2" t="str">
        <f>IF(Iterations[[#This Row],[Step]] =current_step, current_Grad_b,IF(Iterations[[#This Row],[Step]] &gt; current_step, "",Iterations[[#This Row],[Grad_b]]))</f>
        <v/>
      </c>
      <c r="P1402" s="2" t="str">
        <f>IF(Iterations[[#This Row],[Step]] =current_step, current_Grad_c,IF(Iterations[[#This Row],[Step]] &gt; current_step, "",Iterations[[#This Row],[Grad_c]]))</f>
        <v/>
      </c>
      <c r="Q1402" s="2" t="str">
        <f>IF(Iterations[[#This Row],[Step]] =current_step, current_Grad_d,IF(Iterations[[#This Row],[Step]] &gt; current_step, "",Iterations[[#This Row],[Grad_d]]))</f>
        <v/>
      </c>
      <c r="R1402" s="2" t="str">
        <f>IF(Iterations[[#This Row],[Step]] =current_step, current_Grad_e,IF(Iterations[[#This Row],[Step]] &gt; current_step, "",Iterations[[#This Row],[Grad_e]]))</f>
        <v/>
      </c>
    </row>
    <row r="1403" spans="6:18" x14ac:dyDescent="0.3">
      <c r="F1403" s="2">
        <f t="shared" si="27"/>
        <v>1386</v>
      </c>
      <c r="G1403" s="2" t="str">
        <f>IF(Iterations[[#This Row],[Step]] =current_step, current_a,IF(Iterations[[#This Row],[Step]] &gt; current_step, "",Iterations[[#This Row],[a]]))</f>
        <v/>
      </c>
      <c r="H1403" s="2" t="str">
        <f>IF(Iterations[[#This Row],[Step]] =current_step, current_b,IF(Iterations[[#This Row],[Step]] &gt; current_step, "",Iterations[[#This Row],[b]]))</f>
        <v/>
      </c>
      <c r="I1403" s="2" t="str">
        <f>IF(Iterations[[#This Row],[Step]] =current_step, current_c,IF(Iterations[[#This Row],[Step]] &gt; current_step, "",Iterations[[#This Row],[c]]))</f>
        <v/>
      </c>
      <c r="J1403" s="2" t="str">
        <f>IF(Iterations[[#This Row],[Step]] =current_step, current_d,IF(Iterations[[#This Row],[Step]] &gt; current_step, "",Iterations[[#This Row],[d]]))</f>
        <v/>
      </c>
      <c r="K1403" s="2" t="str">
        <f>IF(Iterations[[#This Row],[Step]] =current_step, current_e,IF(Iterations[[#This Row],[Step]] &gt; current_step, "",Iterations[[#This Row],[e]]))</f>
        <v/>
      </c>
      <c r="L1403" s="2" t="str">
        <f>IF(Iterations[[#This Row],[Step]] =current_step, current_Total_Loss,IF(Iterations[[#This Row],[Step]] &gt; current_step, "",Iterations[[#This Row],[Total Loss]]))</f>
        <v/>
      </c>
      <c r="M1403" s="6" t="s">
        <v>27</v>
      </c>
      <c r="N1403" s="2" t="str">
        <f>IF(Iterations[[#This Row],[Step]] =current_step, current_Grad_a,IF(Iterations[[#This Row],[Step]] &gt; current_step, "",Iterations[[#This Row],[Grad_a]]))</f>
        <v/>
      </c>
      <c r="O1403" s="2" t="str">
        <f>IF(Iterations[[#This Row],[Step]] =current_step, current_Grad_b,IF(Iterations[[#This Row],[Step]] &gt; current_step, "",Iterations[[#This Row],[Grad_b]]))</f>
        <v/>
      </c>
      <c r="P1403" s="2" t="str">
        <f>IF(Iterations[[#This Row],[Step]] =current_step, current_Grad_c,IF(Iterations[[#This Row],[Step]] &gt; current_step, "",Iterations[[#This Row],[Grad_c]]))</f>
        <v/>
      </c>
      <c r="Q1403" s="2" t="str">
        <f>IF(Iterations[[#This Row],[Step]] =current_step, current_Grad_d,IF(Iterations[[#This Row],[Step]] &gt; current_step, "",Iterations[[#This Row],[Grad_d]]))</f>
        <v/>
      </c>
      <c r="R1403" s="2" t="str">
        <f>IF(Iterations[[#This Row],[Step]] =current_step, current_Grad_e,IF(Iterations[[#This Row],[Step]] &gt; current_step, "",Iterations[[#This Row],[Grad_e]]))</f>
        <v/>
      </c>
    </row>
    <row r="1404" spans="6:18" x14ac:dyDescent="0.3">
      <c r="F1404" s="2">
        <f t="shared" si="27"/>
        <v>1387</v>
      </c>
      <c r="G1404" s="2" t="str">
        <f>IF(Iterations[[#This Row],[Step]] =current_step, current_a,IF(Iterations[[#This Row],[Step]] &gt; current_step, "",Iterations[[#This Row],[a]]))</f>
        <v/>
      </c>
      <c r="H1404" s="2" t="str">
        <f>IF(Iterations[[#This Row],[Step]] =current_step, current_b,IF(Iterations[[#This Row],[Step]] &gt; current_step, "",Iterations[[#This Row],[b]]))</f>
        <v/>
      </c>
      <c r="I1404" s="2" t="str">
        <f>IF(Iterations[[#This Row],[Step]] =current_step, current_c,IF(Iterations[[#This Row],[Step]] &gt; current_step, "",Iterations[[#This Row],[c]]))</f>
        <v/>
      </c>
      <c r="J1404" s="2" t="str">
        <f>IF(Iterations[[#This Row],[Step]] =current_step, current_d,IF(Iterations[[#This Row],[Step]] &gt; current_step, "",Iterations[[#This Row],[d]]))</f>
        <v/>
      </c>
      <c r="K1404" s="2" t="str">
        <f>IF(Iterations[[#This Row],[Step]] =current_step, current_e,IF(Iterations[[#This Row],[Step]] &gt; current_step, "",Iterations[[#This Row],[e]]))</f>
        <v/>
      </c>
      <c r="L1404" s="2" t="str">
        <f>IF(Iterations[[#This Row],[Step]] =current_step, current_Total_Loss,IF(Iterations[[#This Row],[Step]] &gt; current_step, "",Iterations[[#This Row],[Total Loss]]))</f>
        <v/>
      </c>
      <c r="M1404" s="6" t="s">
        <v>27</v>
      </c>
      <c r="N1404" s="2" t="str">
        <f>IF(Iterations[[#This Row],[Step]] =current_step, current_Grad_a,IF(Iterations[[#This Row],[Step]] &gt; current_step, "",Iterations[[#This Row],[Grad_a]]))</f>
        <v/>
      </c>
      <c r="O1404" s="2" t="str">
        <f>IF(Iterations[[#This Row],[Step]] =current_step, current_Grad_b,IF(Iterations[[#This Row],[Step]] &gt; current_step, "",Iterations[[#This Row],[Grad_b]]))</f>
        <v/>
      </c>
      <c r="P1404" s="2" t="str">
        <f>IF(Iterations[[#This Row],[Step]] =current_step, current_Grad_c,IF(Iterations[[#This Row],[Step]] &gt; current_step, "",Iterations[[#This Row],[Grad_c]]))</f>
        <v/>
      </c>
      <c r="Q1404" s="2" t="str">
        <f>IF(Iterations[[#This Row],[Step]] =current_step, current_Grad_d,IF(Iterations[[#This Row],[Step]] &gt; current_step, "",Iterations[[#This Row],[Grad_d]]))</f>
        <v/>
      </c>
      <c r="R1404" s="2" t="str">
        <f>IF(Iterations[[#This Row],[Step]] =current_step, current_Grad_e,IF(Iterations[[#This Row],[Step]] &gt; current_step, "",Iterations[[#This Row],[Grad_e]]))</f>
        <v/>
      </c>
    </row>
    <row r="1405" spans="6:18" x14ac:dyDescent="0.3">
      <c r="F1405" s="2">
        <f t="shared" si="27"/>
        <v>1388</v>
      </c>
      <c r="G1405" s="2" t="str">
        <f>IF(Iterations[[#This Row],[Step]] =current_step, current_a,IF(Iterations[[#This Row],[Step]] &gt; current_step, "",Iterations[[#This Row],[a]]))</f>
        <v/>
      </c>
      <c r="H1405" s="2" t="str">
        <f>IF(Iterations[[#This Row],[Step]] =current_step, current_b,IF(Iterations[[#This Row],[Step]] &gt; current_step, "",Iterations[[#This Row],[b]]))</f>
        <v/>
      </c>
      <c r="I1405" s="2" t="str">
        <f>IF(Iterations[[#This Row],[Step]] =current_step, current_c,IF(Iterations[[#This Row],[Step]] &gt; current_step, "",Iterations[[#This Row],[c]]))</f>
        <v/>
      </c>
      <c r="J1405" s="2" t="str">
        <f>IF(Iterations[[#This Row],[Step]] =current_step, current_d,IF(Iterations[[#This Row],[Step]] &gt; current_step, "",Iterations[[#This Row],[d]]))</f>
        <v/>
      </c>
      <c r="K1405" s="2" t="str">
        <f>IF(Iterations[[#This Row],[Step]] =current_step, current_e,IF(Iterations[[#This Row],[Step]] &gt; current_step, "",Iterations[[#This Row],[e]]))</f>
        <v/>
      </c>
      <c r="L1405" s="2" t="str">
        <f>IF(Iterations[[#This Row],[Step]] =current_step, current_Total_Loss,IF(Iterations[[#This Row],[Step]] &gt; current_step, "",Iterations[[#This Row],[Total Loss]]))</f>
        <v/>
      </c>
      <c r="M1405" s="6" t="s">
        <v>27</v>
      </c>
      <c r="N1405" s="2" t="str">
        <f>IF(Iterations[[#This Row],[Step]] =current_step, current_Grad_a,IF(Iterations[[#This Row],[Step]] &gt; current_step, "",Iterations[[#This Row],[Grad_a]]))</f>
        <v/>
      </c>
      <c r="O1405" s="2" t="str">
        <f>IF(Iterations[[#This Row],[Step]] =current_step, current_Grad_b,IF(Iterations[[#This Row],[Step]] &gt; current_step, "",Iterations[[#This Row],[Grad_b]]))</f>
        <v/>
      </c>
      <c r="P1405" s="2" t="str">
        <f>IF(Iterations[[#This Row],[Step]] =current_step, current_Grad_c,IF(Iterations[[#This Row],[Step]] &gt; current_step, "",Iterations[[#This Row],[Grad_c]]))</f>
        <v/>
      </c>
      <c r="Q1405" s="2" t="str">
        <f>IF(Iterations[[#This Row],[Step]] =current_step, current_Grad_d,IF(Iterations[[#This Row],[Step]] &gt; current_step, "",Iterations[[#This Row],[Grad_d]]))</f>
        <v/>
      </c>
      <c r="R1405" s="2" t="str">
        <f>IF(Iterations[[#This Row],[Step]] =current_step, current_Grad_e,IF(Iterations[[#This Row],[Step]] &gt; current_step, "",Iterations[[#This Row],[Grad_e]]))</f>
        <v/>
      </c>
    </row>
    <row r="1406" spans="6:18" x14ac:dyDescent="0.3">
      <c r="F1406" s="2">
        <f t="shared" si="27"/>
        <v>1389</v>
      </c>
      <c r="G1406" s="2" t="str">
        <f>IF(Iterations[[#This Row],[Step]] =current_step, current_a,IF(Iterations[[#This Row],[Step]] &gt; current_step, "",Iterations[[#This Row],[a]]))</f>
        <v/>
      </c>
      <c r="H1406" s="2" t="str">
        <f>IF(Iterations[[#This Row],[Step]] =current_step, current_b,IF(Iterations[[#This Row],[Step]] &gt; current_step, "",Iterations[[#This Row],[b]]))</f>
        <v/>
      </c>
      <c r="I1406" s="2" t="str">
        <f>IF(Iterations[[#This Row],[Step]] =current_step, current_c,IF(Iterations[[#This Row],[Step]] &gt; current_step, "",Iterations[[#This Row],[c]]))</f>
        <v/>
      </c>
      <c r="J1406" s="2" t="str">
        <f>IF(Iterations[[#This Row],[Step]] =current_step, current_d,IF(Iterations[[#This Row],[Step]] &gt; current_step, "",Iterations[[#This Row],[d]]))</f>
        <v/>
      </c>
      <c r="K1406" s="2" t="str">
        <f>IF(Iterations[[#This Row],[Step]] =current_step, current_e,IF(Iterations[[#This Row],[Step]] &gt; current_step, "",Iterations[[#This Row],[e]]))</f>
        <v/>
      </c>
      <c r="L1406" s="2" t="str">
        <f>IF(Iterations[[#This Row],[Step]] =current_step, current_Total_Loss,IF(Iterations[[#This Row],[Step]] &gt; current_step, "",Iterations[[#This Row],[Total Loss]]))</f>
        <v/>
      </c>
      <c r="M1406" s="6" t="s">
        <v>27</v>
      </c>
      <c r="N1406" s="2" t="str">
        <f>IF(Iterations[[#This Row],[Step]] =current_step, current_Grad_a,IF(Iterations[[#This Row],[Step]] &gt; current_step, "",Iterations[[#This Row],[Grad_a]]))</f>
        <v/>
      </c>
      <c r="O1406" s="2" t="str">
        <f>IF(Iterations[[#This Row],[Step]] =current_step, current_Grad_b,IF(Iterations[[#This Row],[Step]] &gt; current_step, "",Iterations[[#This Row],[Grad_b]]))</f>
        <v/>
      </c>
      <c r="P1406" s="2" t="str">
        <f>IF(Iterations[[#This Row],[Step]] =current_step, current_Grad_c,IF(Iterations[[#This Row],[Step]] &gt; current_step, "",Iterations[[#This Row],[Grad_c]]))</f>
        <v/>
      </c>
      <c r="Q1406" s="2" t="str">
        <f>IF(Iterations[[#This Row],[Step]] =current_step, current_Grad_d,IF(Iterations[[#This Row],[Step]] &gt; current_step, "",Iterations[[#This Row],[Grad_d]]))</f>
        <v/>
      </c>
      <c r="R1406" s="2" t="str">
        <f>IF(Iterations[[#This Row],[Step]] =current_step, current_Grad_e,IF(Iterations[[#This Row],[Step]] &gt; current_step, "",Iterations[[#This Row],[Grad_e]]))</f>
        <v/>
      </c>
    </row>
    <row r="1407" spans="6:18" x14ac:dyDescent="0.3">
      <c r="F1407" s="2">
        <f t="shared" si="27"/>
        <v>1390</v>
      </c>
      <c r="G1407" s="2" t="str">
        <f>IF(Iterations[[#This Row],[Step]] =current_step, current_a,IF(Iterations[[#This Row],[Step]] &gt; current_step, "",Iterations[[#This Row],[a]]))</f>
        <v/>
      </c>
      <c r="H1407" s="2" t="str">
        <f>IF(Iterations[[#This Row],[Step]] =current_step, current_b,IF(Iterations[[#This Row],[Step]] &gt; current_step, "",Iterations[[#This Row],[b]]))</f>
        <v/>
      </c>
      <c r="I1407" s="2" t="str">
        <f>IF(Iterations[[#This Row],[Step]] =current_step, current_c,IF(Iterations[[#This Row],[Step]] &gt; current_step, "",Iterations[[#This Row],[c]]))</f>
        <v/>
      </c>
      <c r="J1407" s="2" t="str">
        <f>IF(Iterations[[#This Row],[Step]] =current_step, current_d,IF(Iterations[[#This Row],[Step]] &gt; current_step, "",Iterations[[#This Row],[d]]))</f>
        <v/>
      </c>
      <c r="K1407" s="2" t="str">
        <f>IF(Iterations[[#This Row],[Step]] =current_step, current_e,IF(Iterations[[#This Row],[Step]] &gt; current_step, "",Iterations[[#This Row],[e]]))</f>
        <v/>
      </c>
      <c r="L1407" s="2" t="str">
        <f>IF(Iterations[[#This Row],[Step]] =current_step, current_Total_Loss,IF(Iterations[[#This Row],[Step]] &gt; current_step, "",Iterations[[#This Row],[Total Loss]]))</f>
        <v/>
      </c>
      <c r="M1407" s="6" t="s">
        <v>27</v>
      </c>
      <c r="N1407" s="2" t="str">
        <f>IF(Iterations[[#This Row],[Step]] =current_step, current_Grad_a,IF(Iterations[[#This Row],[Step]] &gt; current_step, "",Iterations[[#This Row],[Grad_a]]))</f>
        <v/>
      </c>
      <c r="O1407" s="2" t="str">
        <f>IF(Iterations[[#This Row],[Step]] =current_step, current_Grad_b,IF(Iterations[[#This Row],[Step]] &gt; current_step, "",Iterations[[#This Row],[Grad_b]]))</f>
        <v/>
      </c>
      <c r="P1407" s="2" t="str">
        <f>IF(Iterations[[#This Row],[Step]] =current_step, current_Grad_c,IF(Iterations[[#This Row],[Step]] &gt; current_step, "",Iterations[[#This Row],[Grad_c]]))</f>
        <v/>
      </c>
      <c r="Q1407" s="2" t="str">
        <f>IF(Iterations[[#This Row],[Step]] =current_step, current_Grad_d,IF(Iterations[[#This Row],[Step]] &gt; current_step, "",Iterations[[#This Row],[Grad_d]]))</f>
        <v/>
      </c>
      <c r="R1407" s="2" t="str">
        <f>IF(Iterations[[#This Row],[Step]] =current_step, current_Grad_e,IF(Iterations[[#This Row],[Step]] &gt; current_step, "",Iterations[[#This Row],[Grad_e]]))</f>
        <v/>
      </c>
    </row>
    <row r="1408" spans="6:18" x14ac:dyDescent="0.3">
      <c r="F1408" s="2">
        <f t="shared" si="27"/>
        <v>1391</v>
      </c>
      <c r="G1408" s="2" t="str">
        <f>IF(Iterations[[#This Row],[Step]] =current_step, current_a,IF(Iterations[[#This Row],[Step]] &gt; current_step, "",Iterations[[#This Row],[a]]))</f>
        <v/>
      </c>
      <c r="H1408" s="2" t="str">
        <f>IF(Iterations[[#This Row],[Step]] =current_step, current_b,IF(Iterations[[#This Row],[Step]] &gt; current_step, "",Iterations[[#This Row],[b]]))</f>
        <v/>
      </c>
      <c r="I1408" s="2" t="str">
        <f>IF(Iterations[[#This Row],[Step]] =current_step, current_c,IF(Iterations[[#This Row],[Step]] &gt; current_step, "",Iterations[[#This Row],[c]]))</f>
        <v/>
      </c>
      <c r="J1408" s="2" t="str">
        <f>IF(Iterations[[#This Row],[Step]] =current_step, current_d,IF(Iterations[[#This Row],[Step]] &gt; current_step, "",Iterations[[#This Row],[d]]))</f>
        <v/>
      </c>
      <c r="K1408" s="2" t="str">
        <f>IF(Iterations[[#This Row],[Step]] =current_step, current_e,IF(Iterations[[#This Row],[Step]] &gt; current_step, "",Iterations[[#This Row],[e]]))</f>
        <v/>
      </c>
      <c r="L1408" s="2" t="str">
        <f>IF(Iterations[[#This Row],[Step]] =current_step, current_Total_Loss,IF(Iterations[[#This Row],[Step]] &gt; current_step, "",Iterations[[#This Row],[Total Loss]]))</f>
        <v/>
      </c>
      <c r="M1408" s="6" t="s">
        <v>27</v>
      </c>
      <c r="N1408" s="2" t="str">
        <f>IF(Iterations[[#This Row],[Step]] =current_step, current_Grad_a,IF(Iterations[[#This Row],[Step]] &gt; current_step, "",Iterations[[#This Row],[Grad_a]]))</f>
        <v/>
      </c>
      <c r="O1408" s="2" t="str">
        <f>IF(Iterations[[#This Row],[Step]] =current_step, current_Grad_b,IF(Iterations[[#This Row],[Step]] &gt; current_step, "",Iterations[[#This Row],[Grad_b]]))</f>
        <v/>
      </c>
      <c r="P1408" s="2" t="str">
        <f>IF(Iterations[[#This Row],[Step]] =current_step, current_Grad_c,IF(Iterations[[#This Row],[Step]] &gt; current_step, "",Iterations[[#This Row],[Grad_c]]))</f>
        <v/>
      </c>
      <c r="Q1408" s="2" t="str">
        <f>IF(Iterations[[#This Row],[Step]] =current_step, current_Grad_d,IF(Iterations[[#This Row],[Step]] &gt; current_step, "",Iterations[[#This Row],[Grad_d]]))</f>
        <v/>
      </c>
      <c r="R1408" s="2" t="str">
        <f>IF(Iterations[[#This Row],[Step]] =current_step, current_Grad_e,IF(Iterations[[#This Row],[Step]] &gt; current_step, "",Iterations[[#This Row],[Grad_e]]))</f>
        <v/>
      </c>
    </row>
    <row r="1409" spans="6:18" x14ac:dyDescent="0.3">
      <c r="F1409" s="2">
        <f t="shared" si="27"/>
        <v>1392</v>
      </c>
      <c r="G1409" s="2" t="str">
        <f>IF(Iterations[[#This Row],[Step]] =current_step, current_a,IF(Iterations[[#This Row],[Step]] &gt; current_step, "",Iterations[[#This Row],[a]]))</f>
        <v/>
      </c>
      <c r="H1409" s="2" t="str">
        <f>IF(Iterations[[#This Row],[Step]] =current_step, current_b,IF(Iterations[[#This Row],[Step]] &gt; current_step, "",Iterations[[#This Row],[b]]))</f>
        <v/>
      </c>
      <c r="I1409" s="2" t="str">
        <f>IF(Iterations[[#This Row],[Step]] =current_step, current_c,IF(Iterations[[#This Row],[Step]] &gt; current_step, "",Iterations[[#This Row],[c]]))</f>
        <v/>
      </c>
      <c r="J1409" s="2" t="str">
        <f>IF(Iterations[[#This Row],[Step]] =current_step, current_d,IF(Iterations[[#This Row],[Step]] &gt; current_step, "",Iterations[[#This Row],[d]]))</f>
        <v/>
      </c>
      <c r="K1409" s="2" t="str">
        <f>IF(Iterations[[#This Row],[Step]] =current_step, current_e,IF(Iterations[[#This Row],[Step]] &gt; current_step, "",Iterations[[#This Row],[e]]))</f>
        <v/>
      </c>
      <c r="L1409" s="2" t="str">
        <f>IF(Iterations[[#This Row],[Step]] =current_step, current_Total_Loss,IF(Iterations[[#This Row],[Step]] &gt; current_step, "",Iterations[[#This Row],[Total Loss]]))</f>
        <v/>
      </c>
      <c r="M1409" s="6" t="s">
        <v>27</v>
      </c>
      <c r="N1409" s="2" t="str">
        <f>IF(Iterations[[#This Row],[Step]] =current_step, current_Grad_a,IF(Iterations[[#This Row],[Step]] &gt; current_step, "",Iterations[[#This Row],[Grad_a]]))</f>
        <v/>
      </c>
      <c r="O1409" s="2" t="str">
        <f>IF(Iterations[[#This Row],[Step]] =current_step, current_Grad_b,IF(Iterations[[#This Row],[Step]] &gt; current_step, "",Iterations[[#This Row],[Grad_b]]))</f>
        <v/>
      </c>
      <c r="P1409" s="2" t="str">
        <f>IF(Iterations[[#This Row],[Step]] =current_step, current_Grad_c,IF(Iterations[[#This Row],[Step]] &gt; current_step, "",Iterations[[#This Row],[Grad_c]]))</f>
        <v/>
      </c>
      <c r="Q1409" s="2" t="str">
        <f>IF(Iterations[[#This Row],[Step]] =current_step, current_Grad_d,IF(Iterations[[#This Row],[Step]] &gt; current_step, "",Iterations[[#This Row],[Grad_d]]))</f>
        <v/>
      </c>
      <c r="R1409" s="2" t="str">
        <f>IF(Iterations[[#This Row],[Step]] =current_step, current_Grad_e,IF(Iterations[[#This Row],[Step]] &gt; current_step, "",Iterations[[#This Row],[Grad_e]]))</f>
        <v/>
      </c>
    </row>
    <row r="1410" spans="6:18" x14ac:dyDescent="0.3">
      <c r="F1410" s="2">
        <f t="shared" si="27"/>
        <v>1393</v>
      </c>
      <c r="G1410" s="2" t="str">
        <f>IF(Iterations[[#This Row],[Step]] =current_step, current_a,IF(Iterations[[#This Row],[Step]] &gt; current_step, "",Iterations[[#This Row],[a]]))</f>
        <v/>
      </c>
      <c r="H1410" s="2" t="str">
        <f>IF(Iterations[[#This Row],[Step]] =current_step, current_b,IF(Iterations[[#This Row],[Step]] &gt; current_step, "",Iterations[[#This Row],[b]]))</f>
        <v/>
      </c>
      <c r="I1410" s="2" t="str">
        <f>IF(Iterations[[#This Row],[Step]] =current_step, current_c,IF(Iterations[[#This Row],[Step]] &gt; current_step, "",Iterations[[#This Row],[c]]))</f>
        <v/>
      </c>
      <c r="J1410" s="2" t="str">
        <f>IF(Iterations[[#This Row],[Step]] =current_step, current_d,IF(Iterations[[#This Row],[Step]] &gt; current_step, "",Iterations[[#This Row],[d]]))</f>
        <v/>
      </c>
      <c r="K1410" s="2" t="str">
        <f>IF(Iterations[[#This Row],[Step]] =current_step, current_e,IF(Iterations[[#This Row],[Step]] &gt; current_step, "",Iterations[[#This Row],[e]]))</f>
        <v/>
      </c>
      <c r="L1410" s="2" t="str">
        <f>IF(Iterations[[#This Row],[Step]] =current_step, current_Total_Loss,IF(Iterations[[#This Row],[Step]] &gt; current_step, "",Iterations[[#This Row],[Total Loss]]))</f>
        <v/>
      </c>
      <c r="M1410" s="6" t="s">
        <v>27</v>
      </c>
      <c r="N1410" s="2" t="str">
        <f>IF(Iterations[[#This Row],[Step]] =current_step, current_Grad_a,IF(Iterations[[#This Row],[Step]] &gt; current_step, "",Iterations[[#This Row],[Grad_a]]))</f>
        <v/>
      </c>
      <c r="O1410" s="2" t="str">
        <f>IF(Iterations[[#This Row],[Step]] =current_step, current_Grad_b,IF(Iterations[[#This Row],[Step]] &gt; current_step, "",Iterations[[#This Row],[Grad_b]]))</f>
        <v/>
      </c>
      <c r="P1410" s="2" t="str">
        <f>IF(Iterations[[#This Row],[Step]] =current_step, current_Grad_c,IF(Iterations[[#This Row],[Step]] &gt; current_step, "",Iterations[[#This Row],[Grad_c]]))</f>
        <v/>
      </c>
      <c r="Q1410" s="2" t="str">
        <f>IF(Iterations[[#This Row],[Step]] =current_step, current_Grad_d,IF(Iterations[[#This Row],[Step]] &gt; current_step, "",Iterations[[#This Row],[Grad_d]]))</f>
        <v/>
      </c>
      <c r="R1410" s="2" t="str">
        <f>IF(Iterations[[#This Row],[Step]] =current_step, current_Grad_e,IF(Iterations[[#This Row],[Step]] &gt; current_step, "",Iterations[[#This Row],[Grad_e]]))</f>
        <v/>
      </c>
    </row>
    <row r="1411" spans="6:18" x14ac:dyDescent="0.3">
      <c r="F1411" s="2">
        <f t="shared" si="27"/>
        <v>1394</v>
      </c>
      <c r="G1411" s="2" t="str">
        <f>IF(Iterations[[#This Row],[Step]] =current_step, current_a,IF(Iterations[[#This Row],[Step]] &gt; current_step, "",Iterations[[#This Row],[a]]))</f>
        <v/>
      </c>
      <c r="H1411" s="2" t="str">
        <f>IF(Iterations[[#This Row],[Step]] =current_step, current_b,IF(Iterations[[#This Row],[Step]] &gt; current_step, "",Iterations[[#This Row],[b]]))</f>
        <v/>
      </c>
      <c r="I1411" s="2" t="str">
        <f>IF(Iterations[[#This Row],[Step]] =current_step, current_c,IF(Iterations[[#This Row],[Step]] &gt; current_step, "",Iterations[[#This Row],[c]]))</f>
        <v/>
      </c>
      <c r="J1411" s="2" t="str">
        <f>IF(Iterations[[#This Row],[Step]] =current_step, current_d,IF(Iterations[[#This Row],[Step]] &gt; current_step, "",Iterations[[#This Row],[d]]))</f>
        <v/>
      </c>
      <c r="K1411" s="2" t="str">
        <f>IF(Iterations[[#This Row],[Step]] =current_step, current_e,IF(Iterations[[#This Row],[Step]] &gt; current_step, "",Iterations[[#This Row],[e]]))</f>
        <v/>
      </c>
      <c r="L1411" s="2" t="str">
        <f>IF(Iterations[[#This Row],[Step]] =current_step, current_Total_Loss,IF(Iterations[[#This Row],[Step]] &gt; current_step, "",Iterations[[#This Row],[Total Loss]]))</f>
        <v/>
      </c>
      <c r="M1411" s="6" t="s">
        <v>27</v>
      </c>
      <c r="N1411" s="2" t="str">
        <f>IF(Iterations[[#This Row],[Step]] =current_step, current_Grad_a,IF(Iterations[[#This Row],[Step]] &gt; current_step, "",Iterations[[#This Row],[Grad_a]]))</f>
        <v/>
      </c>
      <c r="O1411" s="2" t="str">
        <f>IF(Iterations[[#This Row],[Step]] =current_step, current_Grad_b,IF(Iterations[[#This Row],[Step]] &gt; current_step, "",Iterations[[#This Row],[Grad_b]]))</f>
        <v/>
      </c>
      <c r="P1411" s="2" t="str">
        <f>IF(Iterations[[#This Row],[Step]] =current_step, current_Grad_c,IF(Iterations[[#This Row],[Step]] &gt; current_step, "",Iterations[[#This Row],[Grad_c]]))</f>
        <v/>
      </c>
      <c r="Q1411" s="2" t="str">
        <f>IF(Iterations[[#This Row],[Step]] =current_step, current_Grad_d,IF(Iterations[[#This Row],[Step]] &gt; current_step, "",Iterations[[#This Row],[Grad_d]]))</f>
        <v/>
      </c>
      <c r="R1411" s="2" t="str">
        <f>IF(Iterations[[#This Row],[Step]] =current_step, current_Grad_e,IF(Iterations[[#This Row],[Step]] &gt; current_step, "",Iterations[[#This Row],[Grad_e]]))</f>
        <v/>
      </c>
    </row>
    <row r="1412" spans="6:18" x14ac:dyDescent="0.3">
      <c r="F1412" s="2">
        <f t="shared" si="27"/>
        <v>1395</v>
      </c>
      <c r="G1412" s="2" t="str">
        <f>IF(Iterations[[#This Row],[Step]] =current_step, current_a,IF(Iterations[[#This Row],[Step]] &gt; current_step, "",Iterations[[#This Row],[a]]))</f>
        <v/>
      </c>
      <c r="H1412" s="2" t="str">
        <f>IF(Iterations[[#This Row],[Step]] =current_step, current_b,IF(Iterations[[#This Row],[Step]] &gt; current_step, "",Iterations[[#This Row],[b]]))</f>
        <v/>
      </c>
      <c r="I1412" s="2" t="str">
        <f>IF(Iterations[[#This Row],[Step]] =current_step, current_c,IF(Iterations[[#This Row],[Step]] &gt; current_step, "",Iterations[[#This Row],[c]]))</f>
        <v/>
      </c>
      <c r="J1412" s="2" t="str">
        <f>IF(Iterations[[#This Row],[Step]] =current_step, current_d,IF(Iterations[[#This Row],[Step]] &gt; current_step, "",Iterations[[#This Row],[d]]))</f>
        <v/>
      </c>
      <c r="K1412" s="2" t="str">
        <f>IF(Iterations[[#This Row],[Step]] =current_step, current_e,IF(Iterations[[#This Row],[Step]] &gt; current_step, "",Iterations[[#This Row],[e]]))</f>
        <v/>
      </c>
      <c r="L1412" s="2" t="str">
        <f>IF(Iterations[[#This Row],[Step]] =current_step, current_Total_Loss,IF(Iterations[[#This Row],[Step]] &gt; current_step, "",Iterations[[#This Row],[Total Loss]]))</f>
        <v/>
      </c>
      <c r="M1412" s="6" t="s">
        <v>27</v>
      </c>
      <c r="N1412" s="2" t="str">
        <f>IF(Iterations[[#This Row],[Step]] =current_step, current_Grad_a,IF(Iterations[[#This Row],[Step]] &gt; current_step, "",Iterations[[#This Row],[Grad_a]]))</f>
        <v/>
      </c>
      <c r="O1412" s="2" t="str">
        <f>IF(Iterations[[#This Row],[Step]] =current_step, current_Grad_b,IF(Iterations[[#This Row],[Step]] &gt; current_step, "",Iterations[[#This Row],[Grad_b]]))</f>
        <v/>
      </c>
      <c r="P1412" s="2" t="str">
        <f>IF(Iterations[[#This Row],[Step]] =current_step, current_Grad_c,IF(Iterations[[#This Row],[Step]] &gt; current_step, "",Iterations[[#This Row],[Grad_c]]))</f>
        <v/>
      </c>
      <c r="Q1412" s="2" t="str">
        <f>IF(Iterations[[#This Row],[Step]] =current_step, current_Grad_d,IF(Iterations[[#This Row],[Step]] &gt; current_step, "",Iterations[[#This Row],[Grad_d]]))</f>
        <v/>
      </c>
      <c r="R1412" s="2" t="str">
        <f>IF(Iterations[[#This Row],[Step]] =current_step, current_Grad_e,IF(Iterations[[#This Row],[Step]] &gt; current_step, "",Iterations[[#This Row],[Grad_e]]))</f>
        <v/>
      </c>
    </row>
    <row r="1413" spans="6:18" x14ac:dyDescent="0.3">
      <c r="F1413" s="2">
        <f t="shared" si="27"/>
        <v>1396</v>
      </c>
      <c r="G1413" s="2" t="str">
        <f>IF(Iterations[[#This Row],[Step]] =current_step, current_a,IF(Iterations[[#This Row],[Step]] &gt; current_step, "",Iterations[[#This Row],[a]]))</f>
        <v/>
      </c>
      <c r="H1413" s="2" t="str">
        <f>IF(Iterations[[#This Row],[Step]] =current_step, current_b,IF(Iterations[[#This Row],[Step]] &gt; current_step, "",Iterations[[#This Row],[b]]))</f>
        <v/>
      </c>
      <c r="I1413" s="2" t="str">
        <f>IF(Iterations[[#This Row],[Step]] =current_step, current_c,IF(Iterations[[#This Row],[Step]] &gt; current_step, "",Iterations[[#This Row],[c]]))</f>
        <v/>
      </c>
      <c r="J1413" s="2" t="str">
        <f>IF(Iterations[[#This Row],[Step]] =current_step, current_d,IF(Iterations[[#This Row],[Step]] &gt; current_step, "",Iterations[[#This Row],[d]]))</f>
        <v/>
      </c>
      <c r="K1413" s="2" t="str">
        <f>IF(Iterations[[#This Row],[Step]] =current_step, current_e,IF(Iterations[[#This Row],[Step]] &gt; current_step, "",Iterations[[#This Row],[e]]))</f>
        <v/>
      </c>
      <c r="L1413" s="2" t="str">
        <f>IF(Iterations[[#This Row],[Step]] =current_step, current_Total_Loss,IF(Iterations[[#This Row],[Step]] &gt; current_step, "",Iterations[[#This Row],[Total Loss]]))</f>
        <v/>
      </c>
      <c r="M1413" s="6" t="s">
        <v>27</v>
      </c>
      <c r="N1413" s="2" t="str">
        <f>IF(Iterations[[#This Row],[Step]] =current_step, current_Grad_a,IF(Iterations[[#This Row],[Step]] &gt; current_step, "",Iterations[[#This Row],[Grad_a]]))</f>
        <v/>
      </c>
      <c r="O1413" s="2" t="str">
        <f>IF(Iterations[[#This Row],[Step]] =current_step, current_Grad_b,IF(Iterations[[#This Row],[Step]] &gt; current_step, "",Iterations[[#This Row],[Grad_b]]))</f>
        <v/>
      </c>
      <c r="P1413" s="2" t="str">
        <f>IF(Iterations[[#This Row],[Step]] =current_step, current_Grad_c,IF(Iterations[[#This Row],[Step]] &gt; current_step, "",Iterations[[#This Row],[Grad_c]]))</f>
        <v/>
      </c>
      <c r="Q1413" s="2" t="str">
        <f>IF(Iterations[[#This Row],[Step]] =current_step, current_Grad_d,IF(Iterations[[#This Row],[Step]] &gt; current_step, "",Iterations[[#This Row],[Grad_d]]))</f>
        <v/>
      </c>
      <c r="R1413" s="2" t="str">
        <f>IF(Iterations[[#This Row],[Step]] =current_step, current_Grad_e,IF(Iterations[[#This Row],[Step]] &gt; current_step, "",Iterations[[#This Row],[Grad_e]]))</f>
        <v/>
      </c>
    </row>
    <row r="1414" spans="6:18" x14ac:dyDescent="0.3">
      <c r="F1414" s="2">
        <f t="shared" si="27"/>
        <v>1397</v>
      </c>
      <c r="G1414" s="2" t="str">
        <f>IF(Iterations[[#This Row],[Step]] =current_step, current_a,IF(Iterations[[#This Row],[Step]] &gt; current_step, "",Iterations[[#This Row],[a]]))</f>
        <v/>
      </c>
      <c r="H1414" s="2" t="str">
        <f>IF(Iterations[[#This Row],[Step]] =current_step, current_b,IF(Iterations[[#This Row],[Step]] &gt; current_step, "",Iterations[[#This Row],[b]]))</f>
        <v/>
      </c>
      <c r="I1414" s="2" t="str">
        <f>IF(Iterations[[#This Row],[Step]] =current_step, current_c,IF(Iterations[[#This Row],[Step]] &gt; current_step, "",Iterations[[#This Row],[c]]))</f>
        <v/>
      </c>
      <c r="J1414" s="2" t="str">
        <f>IF(Iterations[[#This Row],[Step]] =current_step, current_d,IF(Iterations[[#This Row],[Step]] &gt; current_step, "",Iterations[[#This Row],[d]]))</f>
        <v/>
      </c>
      <c r="K1414" s="2" t="str">
        <f>IF(Iterations[[#This Row],[Step]] =current_step, current_e,IF(Iterations[[#This Row],[Step]] &gt; current_step, "",Iterations[[#This Row],[e]]))</f>
        <v/>
      </c>
      <c r="L1414" s="2" t="str">
        <f>IF(Iterations[[#This Row],[Step]] =current_step, current_Total_Loss,IF(Iterations[[#This Row],[Step]] &gt; current_step, "",Iterations[[#This Row],[Total Loss]]))</f>
        <v/>
      </c>
      <c r="M1414" s="6" t="s">
        <v>27</v>
      </c>
      <c r="N1414" s="2" t="str">
        <f>IF(Iterations[[#This Row],[Step]] =current_step, current_Grad_a,IF(Iterations[[#This Row],[Step]] &gt; current_step, "",Iterations[[#This Row],[Grad_a]]))</f>
        <v/>
      </c>
      <c r="O1414" s="2" t="str">
        <f>IF(Iterations[[#This Row],[Step]] =current_step, current_Grad_b,IF(Iterations[[#This Row],[Step]] &gt; current_step, "",Iterations[[#This Row],[Grad_b]]))</f>
        <v/>
      </c>
      <c r="P1414" s="2" t="str">
        <f>IF(Iterations[[#This Row],[Step]] =current_step, current_Grad_c,IF(Iterations[[#This Row],[Step]] &gt; current_step, "",Iterations[[#This Row],[Grad_c]]))</f>
        <v/>
      </c>
      <c r="Q1414" s="2" t="str">
        <f>IF(Iterations[[#This Row],[Step]] =current_step, current_Grad_d,IF(Iterations[[#This Row],[Step]] &gt; current_step, "",Iterations[[#This Row],[Grad_d]]))</f>
        <v/>
      </c>
      <c r="R1414" s="2" t="str">
        <f>IF(Iterations[[#This Row],[Step]] =current_step, current_Grad_e,IF(Iterations[[#This Row],[Step]] &gt; current_step, "",Iterations[[#This Row],[Grad_e]]))</f>
        <v/>
      </c>
    </row>
    <row r="1415" spans="6:18" x14ac:dyDescent="0.3">
      <c r="F1415" s="2">
        <f t="shared" si="27"/>
        <v>1398</v>
      </c>
      <c r="G1415" s="2" t="str">
        <f>IF(Iterations[[#This Row],[Step]] =current_step, current_a,IF(Iterations[[#This Row],[Step]] &gt; current_step, "",Iterations[[#This Row],[a]]))</f>
        <v/>
      </c>
      <c r="H1415" s="2" t="str">
        <f>IF(Iterations[[#This Row],[Step]] =current_step, current_b,IF(Iterations[[#This Row],[Step]] &gt; current_step, "",Iterations[[#This Row],[b]]))</f>
        <v/>
      </c>
      <c r="I1415" s="2" t="str">
        <f>IF(Iterations[[#This Row],[Step]] =current_step, current_c,IF(Iterations[[#This Row],[Step]] &gt; current_step, "",Iterations[[#This Row],[c]]))</f>
        <v/>
      </c>
      <c r="J1415" s="2" t="str">
        <f>IF(Iterations[[#This Row],[Step]] =current_step, current_d,IF(Iterations[[#This Row],[Step]] &gt; current_step, "",Iterations[[#This Row],[d]]))</f>
        <v/>
      </c>
      <c r="K1415" s="2" t="str">
        <f>IF(Iterations[[#This Row],[Step]] =current_step, current_e,IF(Iterations[[#This Row],[Step]] &gt; current_step, "",Iterations[[#This Row],[e]]))</f>
        <v/>
      </c>
      <c r="L1415" s="2" t="str">
        <f>IF(Iterations[[#This Row],[Step]] =current_step, current_Total_Loss,IF(Iterations[[#This Row],[Step]] &gt; current_step, "",Iterations[[#This Row],[Total Loss]]))</f>
        <v/>
      </c>
      <c r="M1415" s="6" t="s">
        <v>27</v>
      </c>
      <c r="N1415" s="2" t="str">
        <f>IF(Iterations[[#This Row],[Step]] =current_step, current_Grad_a,IF(Iterations[[#This Row],[Step]] &gt; current_step, "",Iterations[[#This Row],[Grad_a]]))</f>
        <v/>
      </c>
      <c r="O1415" s="2" t="str">
        <f>IF(Iterations[[#This Row],[Step]] =current_step, current_Grad_b,IF(Iterations[[#This Row],[Step]] &gt; current_step, "",Iterations[[#This Row],[Grad_b]]))</f>
        <v/>
      </c>
      <c r="P1415" s="2" t="str">
        <f>IF(Iterations[[#This Row],[Step]] =current_step, current_Grad_c,IF(Iterations[[#This Row],[Step]] &gt; current_step, "",Iterations[[#This Row],[Grad_c]]))</f>
        <v/>
      </c>
      <c r="Q1415" s="2" t="str">
        <f>IF(Iterations[[#This Row],[Step]] =current_step, current_Grad_d,IF(Iterations[[#This Row],[Step]] &gt; current_step, "",Iterations[[#This Row],[Grad_d]]))</f>
        <v/>
      </c>
      <c r="R1415" s="2" t="str">
        <f>IF(Iterations[[#This Row],[Step]] =current_step, current_Grad_e,IF(Iterations[[#This Row],[Step]] &gt; current_step, "",Iterations[[#This Row],[Grad_e]]))</f>
        <v/>
      </c>
    </row>
    <row r="1416" spans="6:18" x14ac:dyDescent="0.3">
      <c r="F1416" s="2">
        <f t="shared" si="27"/>
        <v>1399</v>
      </c>
      <c r="G1416" s="2" t="str">
        <f>IF(Iterations[[#This Row],[Step]] =current_step, current_a,IF(Iterations[[#This Row],[Step]] &gt; current_step, "",Iterations[[#This Row],[a]]))</f>
        <v/>
      </c>
      <c r="H1416" s="2" t="str">
        <f>IF(Iterations[[#This Row],[Step]] =current_step, current_b,IF(Iterations[[#This Row],[Step]] &gt; current_step, "",Iterations[[#This Row],[b]]))</f>
        <v/>
      </c>
      <c r="I1416" s="2" t="str">
        <f>IF(Iterations[[#This Row],[Step]] =current_step, current_c,IF(Iterations[[#This Row],[Step]] &gt; current_step, "",Iterations[[#This Row],[c]]))</f>
        <v/>
      </c>
      <c r="J1416" s="2" t="str">
        <f>IF(Iterations[[#This Row],[Step]] =current_step, current_d,IF(Iterations[[#This Row],[Step]] &gt; current_step, "",Iterations[[#This Row],[d]]))</f>
        <v/>
      </c>
      <c r="K1416" s="2" t="str">
        <f>IF(Iterations[[#This Row],[Step]] =current_step, current_e,IF(Iterations[[#This Row],[Step]] &gt; current_step, "",Iterations[[#This Row],[e]]))</f>
        <v/>
      </c>
      <c r="L1416" s="2" t="str">
        <f>IF(Iterations[[#This Row],[Step]] =current_step, current_Total_Loss,IF(Iterations[[#This Row],[Step]] &gt; current_step, "",Iterations[[#This Row],[Total Loss]]))</f>
        <v/>
      </c>
      <c r="M1416" s="6" t="s">
        <v>27</v>
      </c>
      <c r="N1416" s="2" t="str">
        <f>IF(Iterations[[#This Row],[Step]] =current_step, current_Grad_a,IF(Iterations[[#This Row],[Step]] &gt; current_step, "",Iterations[[#This Row],[Grad_a]]))</f>
        <v/>
      </c>
      <c r="O1416" s="2" t="str">
        <f>IF(Iterations[[#This Row],[Step]] =current_step, current_Grad_b,IF(Iterations[[#This Row],[Step]] &gt; current_step, "",Iterations[[#This Row],[Grad_b]]))</f>
        <v/>
      </c>
      <c r="P1416" s="2" t="str">
        <f>IF(Iterations[[#This Row],[Step]] =current_step, current_Grad_c,IF(Iterations[[#This Row],[Step]] &gt; current_step, "",Iterations[[#This Row],[Grad_c]]))</f>
        <v/>
      </c>
      <c r="Q1416" s="2" t="str">
        <f>IF(Iterations[[#This Row],[Step]] =current_step, current_Grad_d,IF(Iterations[[#This Row],[Step]] &gt; current_step, "",Iterations[[#This Row],[Grad_d]]))</f>
        <v/>
      </c>
      <c r="R1416" s="2" t="str">
        <f>IF(Iterations[[#This Row],[Step]] =current_step, current_Grad_e,IF(Iterations[[#This Row],[Step]] &gt; current_step, "",Iterations[[#This Row],[Grad_e]]))</f>
        <v/>
      </c>
    </row>
    <row r="1417" spans="6:18" x14ac:dyDescent="0.3">
      <c r="F1417" s="2">
        <f t="shared" si="27"/>
        <v>1400</v>
      </c>
      <c r="G1417" s="2" t="str">
        <f>IF(Iterations[[#This Row],[Step]] =current_step, current_a,IF(Iterations[[#This Row],[Step]] &gt; current_step, "",Iterations[[#This Row],[a]]))</f>
        <v/>
      </c>
      <c r="H1417" s="2" t="str">
        <f>IF(Iterations[[#This Row],[Step]] =current_step, current_b,IF(Iterations[[#This Row],[Step]] &gt; current_step, "",Iterations[[#This Row],[b]]))</f>
        <v/>
      </c>
      <c r="I1417" s="2" t="str">
        <f>IF(Iterations[[#This Row],[Step]] =current_step, current_c,IF(Iterations[[#This Row],[Step]] &gt; current_step, "",Iterations[[#This Row],[c]]))</f>
        <v/>
      </c>
      <c r="J1417" s="2" t="str">
        <f>IF(Iterations[[#This Row],[Step]] =current_step, current_d,IF(Iterations[[#This Row],[Step]] &gt; current_step, "",Iterations[[#This Row],[d]]))</f>
        <v/>
      </c>
      <c r="K1417" s="2" t="str">
        <f>IF(Iterations[[#This Row],[Step]] =current_step, current_e,IF(Iterations[[#This Row],[Step]] &gt; current_step, "",Iterations[[#This Row],[e]]))</f>
        <v/>
      </c>
      <c r="L1417" s="2" t="str">
        <f>IF(Iterations[[#This Row],[Step]] =current_step, current_Total_Loss,IF(Iterations[[#This Row],[Step]] &gt; current_step, "",Iterations[[#This Row],[Total Loss]]))</f>
        <v/>
      </c>
      <c r="M1417" s="6" t="s">
        <v>27</v>
      </c>
      <c r="N1417" s="2" t="str">
        <f>IF(Iterations[[#This Row],[Step]] =current_step, current_Grad_a,IF(Iterations[[#This Row],[Step]] &gt; current_step, "",Iterations[[#This Row],[Grad_a]]))</f>
        <v/>
      </c>
      <c r="O1417" s="2" t="str">
        <f>IF(Iterations[[#This Row],[Step]] =current_step, current_Grad_b,IF(Iterations[[#This Row],[Step]] &gt; current_step, "",Iterations[[#This Row],[Grad_b]]))</f>
        <v/>
      </c>
      <c r="P1417" s="2" t="str">
        <f>IF(Iterations[[#This Row],[Step]] =current_step, current_Grad_c,IF(Iterations[[#This Row],[Step]] &gt; current_step, "",Iterations[[#This Row],[Grad_c]]))</f>
        <v/>
      </c>
      <c r="Q1417" s="2" t="str">
        <f>IF(Iterations[[#This Row],[Step]] =current_step, current_Grad_d,IF(Iterations[[#This Row],[Step]] &gt; current_step, "",Iterations[[#This Row],[Grad_d]]))</f>
        <v/>
      </c>
      <c r="R1417" s="2" t="str">
        <f>IF(Iterations[[#This Row],[Step]] =current_step, current_Grad_e,IF(Iterations[[#This Row],[Step]] &gt; current_step, "",Iterations[[#This Row],[Grad_e]]))</f>
        <v/>
      </c>
    </row>
    <row r="1418" spans="6:18" x14ac:dyDescent="0.3">
      <c r="F1418" s="2">
        <f t="shared" si="27"/>
        <v>1401</v>
      </c>
      <c r="G1418" s="2" t="str">
        <f>IF(Iterations[[#This Row],[Step]] =current_step, current_a,IF(Iterations[[#This Row],[Step]] &gt; current_step, "",Iterations[[#This Row],[a]]))</f>
        <v/>
      </c>
      <c r="H1418" s="2" t="str">
        <f>IF(Iterations[[#This Row],[Step]] =current_step, current_b,IF(Iterations[[#This Row],[Step]] &gt; current_step, "",Iterations[[#This Row],[b]]))</f>
        <v/>
      </c>
      <c r="I1418" s="2" t="str">
        <f>IF(Iterations[[#This Row],[Step]] =current_step, current_c,IF(Iterations[[#This Row],[Step]] &gt; current_step, "",Iterations[[#This Row],[c]]))</f>
        <v/>
      </c>
      <c r="J1418" s="2" t="str">
        <f>IF(Iterations[[#This Row],[Step]] =current_step, current_d,IF(Iterations[[#This Row],[Step]] &gt; current_step, "",Iterations[[#This Row],[d]]))</f>
        <v/>
      </c>
      <c r="K1418" s="2" t="str">
        <f>IF(Iterations[[#This Row],[Step]] =current_step, current_e,IF(Iterations[[#This Row],[Step]] &gt; current_step, "",Iterations[[#This Row],[e]]))</f>
        <v/>
      </c>
      <c r="L1418" s="2" t="str">
        <f>IF(Iterations[[#This Row],[Step]] =current_step, current_Total_Loss,IF(Iterations[[#This Row],[Step]] &gt; current_step, "",Iterations[[#This Row],[Total Loss]]))</f>
        <v/>
      </c>
      <c r="M1418" s="6" t="s">
        <v>27</v>
      </c>
      <c r="N1418" s="2" t="str">
        <f>IF(Iterations[[#This Row],[Step]] =current_step, current_Grad_a,IF(Iterations[[#This Row],[Step]] &gt; current_step, "",Iterations[[#This Row],[Grad_a]]))</f>
        <v/>
      </c>
      <c r="O1418" s="2" t="str">
        <f>IF(Iterations[[#This Row],[Step]] =current_step, current_Grad_b,IF(Iterations[[#This Row],[Step]] &gt; current_step, "",Iterations[[#This Row],[Grad_b]]))</f>
        <v/>
      </c>
      <c r="P1418" s="2" t="str">
        <f>IF(Iterations[[#This Row],[Step]] =current_step, current_Grad_c,IF(Iterations[[#This Row],[Step]] &gt; current_step, "",Iterations[[#This Row],[Grad_c]]))</f>
        <v/>
      </c>
      <c r="Q1418" s="2" t="str">
        <f>IF(Iterations[[#This Row],[Step]] =current_step, current_Grad_d,IF(Iterations[[#This Row],[Step]] &gt; current_step, "",Iterations[[#This Row],[Grad_d]]))</f>
        <v/>
      </c>
      <c r="R1418" s="2" t="str">
        <f>IF(Iterations[[#This Row],[Step]] =current_step, current_Grad_e,IF(Iterations[[#This Row],[Step]] &gt; current_step, "",Iterations[[#This Row],[Grad_e]]))</f>
        <v/>
      </c>
    </row>
    <row r="1419" spans="6:18" x14ac:dyDescent="0.3">
      <c r="F1419" s="2">
        <f t="shared" si="27"/>
        <v>1402</v>
      </c>
      <c r="G1419" s="2" t="str">
        <f>IF(Iterations[[#This Row],[Step]] =current_step, current_a,IF(Iterations[[#This Row],[Step]] &gt; current_step, "",Iterations[[#This Row],[a]]))</f>
        <v/>
      </c>
      <c r="H1419" s="2" t="str">
        <f>IF(Iterations[[#This Row],[Step]] =current_step, current_b,IF(Iterations[[#This Row],[Step]] &gt; current_step, "",Iterations[[#This Row],[b]]))</f>
        <v/>
      </c>
      <c r="I1419" s="2" t="str">
        <f>IF(Iterations[[#This Row],[Step]] =current_step, current_c,IF(Iterations[[#This Row],[Step]] &gt; current_step, "",Iterations[[#This Row],[c]]))</f>
        <v/>
      </c>
      <c r="J1419" s="2" t="str">
        <f>IF(Iterations[[#This Row],[Step]] =current_step, current_d,IF(Iterations[[#This Row],[Step]] &gt; current_step, "",Iterations[[#This Row],[d]]))</f>
        <v/>
      </c>
      <c r="K1419" s="2" t="str">
        <f>IF(Iterations[[#This Row],[Step]] =current_step, current_e,IF(Iterations[[#This Row],[Step]] &gt; current_step, "",Iterations[[#This Row],[e]]))</f>
        <v/>
      </c>
      <c r="L1419" s="2" t="str">
        <f>IF(Iterations[[#This Row],[Step]] =current_step, current_Total_Loss,IF(Iterations[[#This Row],[Step]] &gt; current_step, "",Iterations[[#This Row],[Total Loss]]))</f>
        <v/>
      </c>
      <c r="M1419" s="6" t="s">
        <v>27</v>
      </c>
      <c r="N1419" s="2" t="str">
        <f>IF(Iterations[[#This Row],[Step]] =current_step, current_Grad_a,IF(Iterations[[#This Row],[Step]] &gt; current_step, "",Iterations[[#This Row],[Grad_a]]))</f>
        <v/>
      </c>
      <c r="O1419" s="2" t="str">
        <f>IF(Iterations[[#This Row],[Step]] =current_step, current_Grad_b,IF(Iterations[[#This Row],[Step]] &gt; current_step, "",Iterations[[#This Row],[Grad_b]]))</f>
        <v/>
      </c>
      <c r="P1419" s="2" t="str">
        <f>IF(Iterations[[#This Row],[Step]] =current_step, current_Grad_c,IF(Iterations[[#This Row],[Step]] &gt; current_step, "",Iterations[[#This Row],[Grad_c]]))</f>
        <v/>
      </c>
      <c r="Q1419" s="2" t="str">
        <f>IF(Iterations[[#This Row],[Step]] =current_step, current_Grad_d,IF(Iterations[[#This Row],[Step]] &gt; current_step, "",Iterations[[#This Row],[Grad_d]]))</f>
        <v/>
      </c>
      <c r="R1419" s="2" t="str">
        <f>IF(Iterations[[#This Row],[Step]] =current_step, current_Grad_e,IF(Iterations[[#This Row],[Step]] &gt; current_step, "",Iterations[[#This Row],[Grad_e]]))</f>
        <v/>
      </c>
    </row>
    <row r="1420" spans="6:18" x14ac:dyDescent="0.3">
      <c r="F1420" s="2">
        <f t="shared" si="27"/>
        <v>1403</v>
      </c>
      <c r="G1420" s="2" t="str">
        <f>IF(Iterations[[#This Row],[Step]] =current_step, current_a,IF(Iterations[[#This Row],[Step]] &gt; current_step, "",Iterations[[#This Row],[a]]))</f>
        <v/>
      </c>
      <c r="H1420" s="2" t="str">
        <f>IF(Iterations[[#This Row],[Step]] =current_step, current_b,IF(Iterations[[#This Row],[Step]] &gt; current_step, "",Iterations[[#This Row],[b]]))</f>
        <v/>
      </c>
      <c r="I1420" s="2" t="str">
        <f>IF(Iterations[[#This Row],[Step]] =current_step, current_c,IF(Iterations[[#This Row],[Step]] &gt; current_step, "",Iterations[[#This Row],[c]]))</f>
        <v/>
      </c>
      <c r="J1420" s="2" t="str">
        <f>IF(Iterations[[#This Row],[Step]] =current_step, current_d,IF(Iterations[[#This Row],[Step]] &gt; current_step, "",Iterations[[#This Row],[d]]))</f>
        <v/>
      </c>
      <c r="K1420" s="2" t="str">
        <f>IF(Iterations[[#This Row],[Step]] =current_step, current_e,IF(Iterations[[#This Row],[Step]] &gt; current_step, "",Iterations[[#This Row],[e]]))</f>
        <v/>
      </c>
      <c r="L1420" s="2" t="str">
        <f>IF(Iterations[[#This Row],[Step]] =current_step, current_Total_Loss,IF(Iterations[[#This Row],[Step]] &gt; current_step, "",Iterations[[#This Row],[Total Loss]]))</f>
        <v/>
      </c>
      <c r="M1420" s="6" t="s">
        <v>27</v>
      </c>
      <c r="N1420" s="2" t="str">
        <f>IF(Iterations[[#This Row],[Step]] =current_step, current_Grad_a,IF(Iterations[[#This Row],[Step]] &gt; current_step, "",Iterations[[#This Row],[Grad_a]]))</f>
        <v/>
      </c>
      <c r="O1420" s="2" t="str">
        <f>IF(Iterations[[#This Row],[Step]] =current_step, current_Grad_b,IF(Iterations[[#This Row],[Step]] &gt; current_step, "",Iterations[[#This Row],[Grad_b]]))</f>
        <v/>
      </c>
      <c r="P1420" s="2" t="str">
        <f>IF(Iterations[[#This Row],[Step]] =current_step, current_Grad_c,IF(Iterations[[#This Row],[Step]] &gt; current_step, "",Iterations[[#This Row],[Grad_c]]))</f>
        <v/>
      </c>
      <c r="Q1420" s="2" t="str">
        <f>IF(Iterations[[#This Row],[Step]] =current_step, current_Grad_d,IF(Iterations[[#This Row],[Step]] &gt; current_step, "",Iterations[[#This Row],[Grad_d]]))</f>
        <v/>
      </c>
      <c r="R1420" s="2" t="str">
        <f>IF(Iterations[[#This Row],[Step]] =current_step, current_Grad_e,IF(Iterations[[#This Row],[Step]] &gt; current_step, "",Iterations[[#This Row],[Grad_e]]))</f>
        <v/>
      </c>
    </row>
    <row r="1421" spans="6:18" x14ac:dyDescent="0.3">
      <c r="F1421" s="2">
        <f t="shared" si="27"/>
        <v>1404</v>
      </c>
      <c r="G1421" s="2" t="str">
        <f>IF(Iterations[[#This Row],[Step]] =current_step, current_a,IF(Iterations[[#This Row],[Step]] &gt; current_step, "",Iterations[[#This Row],[a]]))</f>
        <v/>
      </c>
      <c r="H1421" s="2" t="str">
        <f>IF(Iterations[[#This Row],[Step]] =current_step, current_b,IF(Iterations[[#This Row],[Step]] &gt; current_step, "",Iterations[[#This Row],[b]]))</f>
        <v/>
      </c>
      <c r="I1421" s="2" t="str">
        <f>IF(Iterations[[#This Row],[Step]] =current_step, current_c,IF(Iterations[[#This Row],[Step]] &gt; current_step, "",Iterations[[#This Row],[c]]))</f>
        <v/>
      </c>
      <c r="J1421" s="2" t="str">
        <f>IF(Iterations[[#This Row],[Step]] =current_step, current_d,IF(Iterations[[#This Row],[Step]] &gt; current_step, "",Iterations[[#This Row],[d]]))</f>
        <v/>
      </c>
      <c r="K1421" s="2" t="str">
        <f>IF(Iterations[[#This Row],[Step]] =current_step, current_e,IF(Iterations[[#This Row],[Step]] &gt; current_step, "",Iterations[[#This Row],[e]]))</f>
        <v/>
      </c>
      <c r="L1421" s="2" t="str">
        <f>IF(Iterations[[#This Row],[Step]] =current_step, current_Total_Loss,IF(Iterations[[#This Row],[Step]] &gt; current_step, "",Iterations[[#This Row],[Total Loss]]))</f>
        <v/>
      </c>
      <c r="M1421" s="6" t="s">
        <v>27</v>
      </c>
      <c r="N1421" s="2" t="str">
        <f>IF(Iterations[[#This Row],[Step]] =current_step, current_Grad_a,IF(Iterations[[#This Row],[Step]] &gt; current_step, "",Iterations[[#This Row],[Grad_a]]))</f>
        <v/>
      </c>
      <c r="O1421" s="2" t="str">
        <f>IF(Iterations[[#This Row],[Step]] =current_step, current_Grad_b,IF(Iterations[[#This Row],[Step]] &gt; current_step, "",Iterations[[#This Row],[Grad_b]]))</f>
        <v/>
      </c>
      <c r="P1421" s="2" t="str">
        <f>IF(Iterations[[#This Row],[Step]] =current_step, current_Grad_c,IF(Iterations[[#This Row],[Step]] &gt; current_step, "",Iterations[[#This Row],[Grad_c]]))</f>
        <v/>
      </c>
      <c r="Q1421" s="2" t="str">
        <f>IF(Iterations[[#This Row],[Step]] =current_step, current_Grad_d,IF(Iterations[[#This Row],[Step]] &gt; current_step, "",Iterations[[#This Row],[Grad_d]]))</f>
        <v/>
      </c>
      <c r="R1421" s="2" t="str">
        <f>IF(Iterations[[#This Row],[Step]] =current_step, current_Grad_e,IF(Iterations[[#This Row],[Step]] &gt; current_step, "",Iterations[[#This Row],[Grad_e]]))</f>
        <v/>
      </c>
    </row>
    <row r="1422" spans="6:18" x14ac:dyDescent="0.3">
      <c r="F1422" s="2">
        <f t="shared" si="27"/>
        <v>1405</v>
      </c>
      <c r="G1422" s="2" t="str">
        <f>IF(Iterations[[#This Row],[Step]] =current_step, current_a,IF(Iterations[[#This Row],[Step]] &gt; current_step, "",Iterations[[#This Row],[a]]))</f>
        <v/>
      </c>
      <c r="H1422" s="2" t="str">
        <f>IF(Iterations[[#This Row],[Step]] =current_step, current_b,IF(Iterations[[#This Row],[Step]] &gt; current_step, "",Iterations[[#This Row],[b]]))</f>
        <v/>
      </c>
      <c r="I1422" s="2" t="str">
        <f>IF(Iterations[[#This Row],[Step]] =current_step, current_c,IF(Iterations[[#This Row],[Step]] &gt; current_step, "",Iterations[[#This Row],[c]]))</f>
        <v/>
      </c>
      <c r="J1422" s="2" t="str">
        <f>IF(Iterations[[#This Row],[Step]] =current_step, current_d,IF(Iterations[[#This Row],[Step]] &gt; current_step, "",Iterations[[#This Row],[d]]))</f>
        <v/>
      </c>
      <c r="K1422" s="2" t="str">
        <f>IF(Iterations[[#This Row],[Step]] =current_step, current_e,IF(Iterations[[#This Row],[Step]] &gt; current_step, "",Iterations[[#This Row],[e]]))</f>
        <v/>
      </c>
      <c r="L1422" s="2" t="str">
        <f>IF(Iterations[[#This Row],[Step]] =current_step, current_Total_Loss,IF(Iterations[[#This Row],[Step]] &gt; current_step, "",Iterations[[#This Row],[Total Loss]]))</f>
        <v/>
      </c>
      <c r="M1422" s="6" t="s">
        <v>27</v>
      </c>
      <c r="N1422" s="2" t="str">
        <f>IF(Iterations[[#This Row],[Step]] =current_step, current_Grad_a,IF(Iterations[[#This Row],[Step]] &gt; current_step, "",Iterations[[#This Row],[Grad_a]]))</f>
        <v/>
      </c>
      <c r="O1422" s="2" t="str">
        <f>IF(Iterations[[#This Row],[Step]] =current_step, current_Grad_b,IF(Iterations[[#This Row],[Step]] &gt; current_step, "",Iterations[[#This Row],[Grad_b]]))</f>
        <v/>
      </c>
      <c r="P1422" s="2" t="str">
        <f>IF(Iterations[[#This Row],[Step]] =current_step, current_Grad_c,IF(Iterations[[#This Row],[Step]] &gt; current_step, "",Iterations[[#This Row],[Grad_c]]))</f>
        <v/>
      </c>
      <c r="Q1422" s="2" t="str">
        <f>IF(Iterations[[#This Row],[Step]] =current_step, current_Grad_d,IF(Iterations[[#This Row],[Step]] &gt; current_step, "",Iterations[[#This Row],[Grad_d]]))</f>
        <v/>
      </c>
      <c r="R1422" s="2" t="str">
        <f>IF(Iterations[[#This Row],[Step]] =current_step, current_Grad_e,IF(Iterations[[#This Row],[Step]] &gt; current_step, "",Iterations[[#This Row],[Grad_e]]))</f>
        <v/>
      </c>
    </row>
    <row r="1423" spans="6:18" x14ac:dyDescent="0.3">
      <c r="F1423" s="2">
        <f t="shared" si="27"/>
        <v>1406</v>
      </c>
      <c r="G1423" s="2" t="str">
        <f>IF(Iterations[[#This Row],[Step]] =current_step, current_a,IF(Iterations[[#This Row],[Step]] &gt; current_step, "",Iterations[[#This Row],[a]]))</f>
        <v/>
      </c>
      <c r="H1423" s="2" t="str">
        <f>IF(Iterations[[#This Row],[Step]] =current_step, current_b,IF(Iterations[[#This Row],[Step]] &gt; current_step, "",Iterations[[#This Row],[b]]))</f>
        <v/>
      </c>
      <c r="I1423" s="2" t="str">
        <f>IF(Iterations[[#This Row],[Step]] =current_step, current_c,IF(Iterations[[#This Row],[Step]] &gt; current_step, "",Iterations[[#This Row],[c]]))</f>
        <v/>
      </c>
      <c r="J1423" s="2" t="str">
        <f>IF(Iterations[[#This Row],[Step]] =current_step, current_d,IF(Iterations[[#This Row],[Step]] &gt; current_step, "",Iterations[[#This Row],[d]]))</f>
        <v/>
      </c>
      <c r="K1423" s="2" t="str">
        <f>IF(Iterations[[#This Row],[Step]] =current_step, current_e,IF(Iterations[[#This Row],[Step]] &gt; current_step, "",Iterations[[#This Row],[e]]))</f>
        <v/>
      </c>
      <c r="L1423" s="2" t="str">
        <f>IF(Iterations[[#This Row],[Step]] =current_step, current_Total_Loss,IF(Iterations[[#This Row],[Step]] &gt; current_step, "",Iterations[[#This Row],[Total Loss]]))</f>
        <v/>
      </c>
      <c r="M1423" s="6" t="s">
        <v>27</v>
      </c>
      <c r="N1423" s="2" t="str">
        <f>IF(Iterations[[#This Row],[Step]] =current_step, current_Grad_a,IF(Iterations[[#This Row],[Step]] &gt; current_step, "",Iterations[[#This Row],[Grad_a]]))</f>
        <v/>
      </c>
      <c r="O1423" s="2" t="str">
        <f>IF(Iterations[[#This Row],[Step]] =current_step, current_Grad_b,IF(Iterations[[#This Row],[Step]] &gt; current_step, "",Iterations[[#This Row],[Grad_b]]))</f>
        <v/>
      </c>
      <c r="P1423" s="2" t="str">
        <f>IF(Iterations[[#This Row],[Step]] =current_step, current_Grad_c,IF(Iterations[[#This Row],[Step]] &gt; current_step, "",Iterations[[#This Row],[Grad_c]]))</f>
        <v/>
      </c>
      <c r="Q1423" s="2" t="str">
        <f>IF(Iterations[[#This Row],[Step]] =current_step, current_Grad_d,IF(Iterations[[#This Row],[Step]] &gt; current_step, "",Iterations[[#This Row],[Grad_d]]))</f>
        <v/>
      </c>
      <c r="R1423" s="2" t="str">
        <f>IF(Iterations[[#This Row],[Step]] =current_step, current_Grad_e,IF(Iterations[[#This Row],[Step]] &gt; current_step, "",Iterations[[#This Row],[Grad_e]]))</f>
        <v/>
      </c>
    </row>
    <row r="1424" spans="6:18" x14ac:dyDescent="0.3">
      <c r="F1424" s="2">
        <f t="shared" si="27"/>
        <v>1407</v>
      </c>
      <c r="G1424" s="2" t="str">
        <f>IF(Iterations[[#This Row],[Step]] =current_step, current_a,IF(Iterations[[#This Row],[Step]] &gt; current_step, "",Iterations[[#This Row],[a]]))</f>
        <v/>
      </c>
      <c r="H1424" s="2" t="str">
        <f>IF(Iterations[[#This Row],[Step]] =current_step, current_b,IF(Iterations[[#This Row],[Step]] &gt; current_step, "",Iterations[[#This Row],[b]]))</f>
        <v/>
      </c>
      <c r="I1424" s="2" t="str">
        <f>IF(Iterations[[#This Row],[Step]] =current_step, current_c,IF(Iterations[[#This Row],[Step]] &gt; current_step, "",Iterations[[#This Row],[c]]))</f>
        <v/>
      </c>
      <c r="J1424" s="2" t="str">
        <f>IF(Iterations[[#This Row],[Step]] =current_step, current_d,IF(Iterations[[#This Row],[Step]] &gt; current_step, "",Iterations[[#This Row],[d]]))</f>
        <v/>
      </c>
      <c r="K1424" s="2" t="str">
        <f>IF(Iterations[[#This Row],[Step]] =current_step, current_e,IF(Iterations[[#This Row],[Step]] &gt; current_step, "",Iterations[[#This Row],[e]]))</f>
        <v/>
      </c>
      <c r="L1424" s="2" t="str">
        <f>IF(Iterations[[#This Row],[Step]] =current_step, current_Total_Loss,IF(Iterations[[#This Row],[Step]] &gt; current_step, "",Iterations[[#This Row],[Total Loss]]))</f>
        <v/>
      </c>
      <c r="M1424" s="6" t="s">
        <v>27</v>
      </c>
      <c r="N1424" s="2" t="str">
        <f>IF(Iterations[[#This Row],[Step]] =current_step, current_Grad_a,IF(Iterations[[#This Row],[Step]] &gt; current_step, "",Iterations[[#This Row],[Grad_a]]))</f>
        <v/>
      </c>
      <c r="O1424" s="2" t="str">
        <f>IF(Iterations[[#This Row],[Step]] =current_step, current_Grad_b,IF(Iterations[[#This Row],[Step]] &gt; current_step, "",Iterations[[#This Row],[Grad_b]]))</f>
        <v/>
      </c>
      <c r="P1424" s="2" t="str">
        <f>IF(Iterations[[#This Row],[Step]] =current_step, current_Grad_c,IF(Iterations[[#This Row],[Step]] &gt; current_step, "",Iterations[[#This Row],[Grad_c]]))</f>
        <v/>
      </c>
      <c r="Q1424" s="2" t="str">
        <f>IF(Iterations[[#This Row],[Step]] =current_step, current_Grad_d,IF(Iterations[[#This Row],[Step]] &gt; current_step, "",Iterations[[#This Row],[Grad_d]]))</f>
        <v/>
      </c>
      <c r="R1424" s="2" t="str">
        <f>IF(Iterations[[#This Row],[Step]] =current_step, current_Grad_e,IF(Iterations[[#This Row],[Step]] &gt; current_step, "",Iterations[[#This Row],[Grad_e]]))</f>
        <v/>
      </c>
    </row>
    <row r="1425" spans="6:18" x14ac:dyDescent="0.3">
      <c r="F1425" s="2">
        <f t="shared" si="27"/>
        <v>1408</v>
      </c>
      <c r="G1425" s="2" t="str">
        <f>IF(Iterations[[#This Row],[Step]] =current_step, current_a,IF(Iterations[[#This Row],[Step]] &gt; current_step, "",Iterations[[#This Row],[a]]))</f>
        <v/>
      </c>
      <c r="H1425" s="2" t="str">
        <f>IF(Iterations[[#This Row],[Step]] =current_step, current_b,IF(Iterations[[#This Row],[Step]] &gt; current_step, "",Iterations[[#This Row],[b]]))</f>
        <v/>
      </c>
      <c r="I1425" s="2" t="str">
        <f>IF(Iterations[[#This Row],[Step]] =current_step, current_c,IF(Iterations[[#This Row],[Step]] &gt; current_step, "",Iterations[[#This Row],[c]]))</f>
        <v/>
      </c>
      <c r="J1425" s="2" t="str">
        <f>IF(Iterations[[#This Row],[Step]] =current_step, current_d,IF(Iterations[[#This Row],[Step]] &gt; current_step, "",Iterations[[#This Row],[d]]))</f>
        <v/>
      </c>
      <c r="K1425" s="2" t="str">
        <f>IF(Iterations[[#This Row],[Step]] =current_step, current_e,IF(Iterations[[#This Row],[Step]] &gt; current_step, "",Iterations[[#This Row],[e]]))</f>
        <v/>
      </c>
      <c r="L1425" s="2" t="str">
        <f>IF(Iterations[[#This Row],[Step]] =current_step, current_Total_Loss,IF(Iterations[[#This Row],[Step]] &gt; current_step, "",Iterations[[#This Row],[Total Loss]]))</f>
        <v/>
      </c>
      <c r="M1425" s="6" t="s">
        <v>27</v>
      </c>
      <c r="N1425" s="2" t="str">
        <f>IF(Iterations[[#This Row],[Step]] =current_step, current_Grad_a,IF(Iterations[[#This Row],[Step]] &gt; current_step, "",Iterations[[#This Row],[Grad_a]]))</f>
        <v/>
      </c>
      <c r="O1425" s="2" t="str">
        <f>IF(Iterations[[#This Row],[Step]] =current_step, current_Grad_b,IF(Iterations[[#This Row],[Step]] &gt; current_step, "",Iterations[[#This Row],[Grad_b]]))</f>
        <v/>
      </c>
      <c r="P1425" s="2" t="str">
        <f>IF(Iterations[[#This Row],[Step]] =current_step, current_Grad_c,IF(Iterations[[#This Row],[Step]] &gt; current_step, "",Iterations[[#This Row],[Grad_c]]))</f>
        <v/>
      </c>
      <c r="Q1425" s="2" t="str">
        <f>IF(Iterations[[#This Row],[Step]] =current_step, current_Grad_d,IF(Iterations[[#This Row],[Step]] &gt; current_step, "",Iterations[[#This Row],[Grad_d]]))</f>
        <v/>
      </c>
      <c r="R1425" s="2" t="str">
        <f>IF(Iterations[[#This Row],[Step]] =current_step, current_Grad_e,IF(Iterations[[#This Row],[Step]] &gt; current_step, "",Iterations[[#This Row],[Grad_e]]))</f>
        <v/>
      </c>
    </row>
    <row r="1426" spans="6:18" x14ac:dyDescent="0.3">
      <c r="F1426" s="2">
        <f t="shared" si="27"/>
        <v>1409</v>
      </c>
      <c r="G1426" s="2" t="str">
        <f>IF(Iterations[[#This Row],[Step]] =current_step, current_a,IF(Iterations[[#This Row],[Step]] &gt; current_step, "",Iterations[[#This Row],[a]]))</f>
        <v/>
      </c>
      <c r="H1426" s="2" t="str">
        <f>IF(Iterations[[#This Row],[Step]] =current_step, current_b,IF(Iterations[[#This Row],[Step]] &gt; current_step, "",Iterations[[#This Row],[b]]))</f>
        <v/>
      </c>
      <c r="I1426" s="2" t="str">
        <f>IF(Iterations[[#This Row],[Step]] =current_step, current_c,IF(Iterations[[#This Row],[Step]] &gt; current_step, "",Iterations[[#This Row],[c]]))</f>
        <v/>
      </c>
      <c r="J1426" s="2" t="str">
        <f>IF(Iterations[[#This Row],[Step]] =current_step, current_d,IF(Iterations[[#This Row],[Step]] &gt; current_step, "",Iterations[[#This Row],[d]]))</f>
        <v/>
      </c>
      <c r="K1426" s="2" t="str">
        <f>IF(Iterations[[#This Row],[Step]] =current_step, current_e,IF(Iterations[[#This Row],[Step]] &gt; current_step, "",Iterations[[#This Row],[e]]))</f>
        <v/>
      </c>
      <c r="L1426" s="2" t="str">
        <f>IF(Iterations[[#This Row],[Step]] =current_step, current_Total_Loss,IF(Iterations[[#This Row],[Step]] &gt; current_step, "",Iterations[[#This Row],[Total Loss]]))</f>
        <v/>
      </c>
      <c r="M1426" s="6" t="s">
        <v>27</v>
      </c>
      <c r="N1426" s="2" t="str">
        <f>IF(Iterations[[#This Row],[Step]] =current_step, current_Grad_a,IF(Iterations[[#This Row],[Step]] &gt; current_step, "",Iterations[[#This Row],[Grad_a]]))</f>
        <v/>
      </c>
      <c r="O1426" s="2" t="str">
        <f>IF(Iterations[[#This Row],[Step]] =current_step, current_Grad_b,IF(Iterations[[#This Row],[Step]] &gt; current_step, "",Iterations[[#This Row],[Grad_b]]))</f>
        <v/>
      </c>
      <c r="P1426" s="2" t="str">
        <f>IF(Iterations[[#This Row],[Step]] =current_step, current_Grad_c,IF(Iterations[[#This Row],[Step]] &gt; current_step, "",Iterations[[#This Row],[Grad_c]]))</f>
        <v/>
      </c>
      <c r="Q1426" s="2" t="str">
        <f>IF(Iterations[[#This Row],[Step]] =current_step, current_Grad_d,IF(Iterations[[#This Row],[Step]] &gt; current_step, "",Iterations[[#This Row],[Grad_d]]))</f>
        <v/>
      </c>
      <c r="R1426" s="2" t="str">
        <f>IF(Iterations[[#This Row],[Step]] =current_step, current_Grad_e,IF(Iterations[[#This Row],[Step]] &gt; current_step, "",Iterations[[#This Row],[Grad_e]]))</f>
        <v/>
      </c>
    </row>
    <row r="1427" spans="6:18" x14ac:dyDescent="0.3">
      <c r="F1427" s="2">
        <f t="shared" si="27"/>
        <v>1410</v>
      </c>
      <c r="G1427" s="2" t="str">
        <f>IF(Iterations[[#This Row],[Step]] =current_step, current_a,IF(Iterations[[#This Row],[Step]] &gt; current_step, "",Iterations[[#This Row],[a]]))</f>
        <v/>
      </c>
      <c r="H1427" s="2" t="str">
        <f>IF(Iterations[[#This Row],[Step]] =current_step, current_b,IF(Iterations[[#This Row],[Step]] &gt; current_step, "",Iterations[[#This Row],[b]]))</f>
        <v/>
      </c>
      <c r="I1427" s="2" t="str">
        <f>IF(Iterations[[#This Row],[Step]] =current_step, current_c,IF(Iterations[[#This Row],[Step]] &gt; current_step, "",Iterations[[#This Row],[c]]))</f>
        <v/>
      </c>
      <c r="J1427" s="2" t="str">
        <f>IF(Iterations[[#This Row],[Step]] =current_step, current_d,IF(Iterations[[#This Row],[Step]] &gt; current_step, "",Iterations[[#This Row],[d]]))</f>
        <v/>
      </c>
      <c r="K1427" s="2" t="str">
        <f>IF(Iterations[[#This Row],[Step]] =current_step, current_e,IF(Iterations[[#This Row],[Step]] &gt; current_step, "",Iterations[[#This Row],[e]]))</f>
        <v/>
      </c>
      <c r="L1427" s="2" t="str">
        <f>IF(Iterations[[#This Row],[Step]] =current_step, current_Total_Loss,IF(Iterations[[#This Row],[Step]] &gt; current_step, "",Iterations[[#This Row],[Total Loss]]))</f>
        <v/>
      </c>
      <c r="M1427" s="6" t="s">
        <v>27</v>
      </c>
      <c r="N1427" s="2" t="str">
        <f>IF(Iterations[[#This Row],[Step]] =current_step, current_Grad_a,IF(Iterations[[#This Row],[Step]] &gt; current_step, "",Iterations[[#This Row],[Grad_a]]))</f>
        <v/>
      </c>
      <c r="O1427" s="2" t="str">
        <f>IF(Iterations[[#This Row],[Step]] =current_step, current_Grad_b,IF(Iterations[[#This Row],[Step]] &gt; current_step, "",Iterations[[#This Row],[Grad_b]]))</f>
        <v/>
      </c>
      <c r="P1427" s="2" t="str">
        <f>IF(Iterations[[#This Row],[Step]] =current_step, current_Grad_c,IF(Iterations[[#This Row],[Step]] &gt; current_step, "",Iterations[[#This Row],[Grad_c]]))</f>
        <v/>
      </c>
      <c r="Q1427" s="2" t="str">
        <f>IF(Iterations[[#This Row],[Step]] =current_step, current_Grad_d,IF(Iterations[[#This Row],[Step]] &gt; current_step, "",Iterations[[#This Row],[Grad_d]]))</f>
        <v/>
      </c>
      <c r="R1427" s="2" t="str">
        <f>IF(Iterations[[#This Row],[Step]] =current_step, current_Grad_e,IF(Iterations[[#This Row],[Step]] &gt; current_step, "",Iterations[[#This Row],[Grad_e]]))</f>
        <v/>
      </c>
    </row>
    <row r="1428" spans="6:18" x14ac:dyDescent="0.3">
      <c r="F1428" s="2">
        <f t="shared" si="27"/>
        <v>1411</v>
      </c>
      <c r="G1428" s="2" t="str">
        <f>IF(Iterations[[#This Row],[Step]] =current_step, current_a,IF(Iterations[[#This Row],[Step]] &gt; current_step, "",Iterations[[#This Row],[a]]))</f>
        <v/>
      </c>
      <c r="H1428" s="2" t="str">
        <f>IF(Iterations[[#This Row],[Step]] =current_step, current_b,IF(Iterations[[#This Row],[Step]] &gt; current_step, "",Iterations[[#This Row],[b]]))</f>
        <v/>
      </c>
      <c r="I1428" s="2" t="str">
        <f>IF(Iterations[[#This Row],[Step]] =current_step, current_c,IF(Iterations[[#This Row],[Step]] &gt; current_step, "",Iterations[[#This Row],[c]]))</f>
        <v/>
      </c>
      <c r="J1428" s="2" t="str">
        <f>IF(Iterations[[#This Row],[Step]] =current_step, current_d,IF(Iterations[[#This Row],[Step]] &gt; current_step, "",Iterations[[#This Row],[d]]))</f>
        <v/>
      </c>
      <c r="K1428" s="2" t="str">
        <f>IF(Iterations[[#This Row],[Step]] =current_step, current_e,IF(Iterations[[#This Row],[Step]] &gt; current_step, "",Iterations[[#This Row],[e]]))</f>
        <v/>
      </c>
      <c r="L1428" s="2" t="str">
        <f>IF(Iterations[[#This Row],[Step]] =current_step, current_Total_Loss,IF(Iterations[[#This Row],[Step]] &gt; current_step, "",Iterations[[#This Row],[Total Loss]]))</f>
        <v/>
      </c>
      <c r="M1428" s="6" t="s">
        <v>27</v>
      </c>
      <c r="N1428" s="2" t="str">
        <f>IF(Iterations[[#This Row],[Step]] =current_step, current_Grad_a,IF(Iterations[[#This Row],[Step]] &gt; current_step, "",Iterations[[#This Row],[Grad_a]]))</f>
        <v/>
      </c>
      <c r="O1428" s="2" t="str">
        <f>IF(Iterations[[#This Row],[Step]] =current_step, current_Grad_b,IF(Iterations[[#This Row],[Step]] &gt; current_step, "",Iterations[[#This Row],[Grad_b]]))</f>
        <v/>
      </c>
      <c r="P1428" s="2" t="str">
        <f>IF(Iterations[[#This Row],[Step]] =current_step, current_Grad_c,IF(Iterations[[#This Row],[Step]] &gt; current_step, "",Iterations[[#This Row],[Grad_c]]))</f>
        <v/>
      </c>
      <c r="Q1428" s="2" t="str">
        <f>IF(Iterations[[#This Row],[Step]] =current_step, current_Grad_d,IF(Iterations[[#This Row],[Step]] &gt; current_step, "",Iterations[[#This Row],[Grad_d]]))</f>
        <v/>
      </c>
      <c r="R1428" s="2" t="str">
        <f>IF(Iterations[[#This Row],[Step]] =current_step, current_Grad_e,IF(Iterations[[#This Row],[Step]] &gt; current_step, "",Iterations[[#This Row],[Grad_e]]))</f>
        <v/>
      </c>
    </row>
    <row r="1429" spans="6:18" x14ac:dyDescent="0.3">
      <c r="F1429" s="2">
        <f t="shared" si="27"/>
        <v>1412</v>
      </c>
      <c r="G1429" s="2" t="str">
        <f>IF(Iterations[[#This Row],[Step]] =current_step, current_a,IF(Iterations[[#This Row],[Step]] &gt; current_step, "",Iterations[[#This Row],[a]]))</f>
        <v/>
      </c>
      <c r="H1429" s="2" t="str">
        <f>IF(Iterations[[#This Row],[Step]] =current_step, current_b,IF(Iterations[[#This Row],[Step]] &gt; current_step, "",Iterations[[#This Row],[b]]))</f>
        <v/>
      </c>
      <c r="I1429" s="2" t="str">
        <f>IF(Iterations[[#This Row],[Step]] =current_step, current_c,IF(Iterations[[#This Row],[Step]] &gt; current_step, "",Iterations[[#This Row],[c]]))</f>
        <v/>
      </c>
      <c r="J1429" s="2" t="str">
        <f>IF(Iterations[[#This Row],[Step]] =current_step, current_d,IF(Iterations[[#This Row],[Step]] &gt; current_step, "",Iterations[[#This Row],[d]]))</f>
        <v/>
      </c>
      <c r="K1429" s="2" t="str">
        <f>IF(Iterations[[#This Row],[Step]] =current_step, current_e,IF(Iterations[[#This Row],[Step]] &gt; current_step, "",Iterations[[#This Row],[e]]))</f>
        <v/>
      </c>
      <c r="L1429" s="2" t="str">
        <f>IF(Iterations[[#This Row],[Step]] =current_step, current_Total_Loss,IF(Iterations[[#This Row],[Step]] &gt; current_step, "",Iterations[[#This Row],[Total Loss]]))</f>
        <v/>
      </c>
      <c r="M1429" s="6" t="s">
        <v>27</v>
      </c>
      <c r="N1429" s="2" t="str">
        <f>IF(Iterations[[#This Row],[Step]] =current_step, current_Grad_a,IF(Iterations[[#This Row],[Step]] &gt; current_step, "",Iterations[[#This Row],[Grad_a]]))</f>
        <v/>
      </c>
      <c r="O1429" s="2" t="str">
        <f>IF(Iterations[[#This Row],[Step]] =current_step, current_Grad_b,IF(Iterations[[#This Row],[Step]] &gt; current_step, "",Iterations[[#This Row],[Grad_b]]))</f>
        <v/>
      </c>
      <c r="P1429" s="2" t="str">
        <f>IF(Iterations[[#This Row],[Step]] =current_step, current_Grad_c,IF(Iterations[[#This Row],[Step]] &gt; current_step, "",Iterations[[#This Row],[Grad_c]]))</f>
        <v/>
      </c>
      <c r="Q1429" s="2" t="str">
        <f>IF(Iterations[[#This Row],[Step]] =current_step, current_Grad_d,IF(Iterations[[#This Row],[Step]] &gt; current_step, "",Iterations[[#This Row],[Grad_d]]))</f>
        <v/>
      </c>
      <c r="R1429" s="2" t="str">
        <f>IF(Iterations[[#This Row],[Step]] =current_step, current_Grad_e,IF(Iterations[[#This Row],[Step]] &gt; current_step, "",Iterations[[#This Row],[Grad_e]]))</f>
        <v/>
      </c>
    </row>
    <row r="1430" spans="6:18" x14ac:dyDescent="0.3">
      <c r="F1430" s="2">
        <f t="shared" si="27"/>
        <v>1413</v>
      </c>
      <c r="G1430" s="2" t="str">
        <f>IF(Iterations[[#This Row],[Step]] =current_step, current_a,IF(Iterations[[#This Row],[Step]] &gt; current_step, "",Iterations[[#This Row],[a]]))</f>
        <v/>
      </c>
      <c r="H1430" s="2" t="str">
        <f>IF(Iterations[[#This Row],[Step]] =current_step, current_b,IF(Iterations[[#This Row],[Step]] &gt; current_step, "",Iterations[[#This Row],[b]]))</f>
        <v/>
      </c>
      <c r="I1430" s="2" t="str">
        <f>IF(Iterations[[#This Row],[Step]] =current_step, current_c,IF(Iterations[[#This Row],[Step]] &gt; current_step, "",Iterations[[#This Row],[c]]))</f>
        <v/>
      </c>
      <c r="J1430" s="2" t="str">
        <f>IF(Iterations[[#This Row],[Step]] =current_step, current_d,IF(Iterations[[#This Row],[Step]] &gt; current_step, "",Iterations[[#This Row],[d]]))</f>
        <v/>
      </c>
      <c r="K1430" s="2" t="str">
        <f>IF(Iterations[[#This Row],[Step]] =current_step, current_e,IF(Iterations[[#This Row],[Step]] &gt; current_step, "",Iterations[[#This Row],[e]]))</f>
        <v/>
      </c>
      <c r="L1430" s="2" t="str">
        <f>IF(Iterations[[#This Row],[Step]] =current_step, current_Total_Loss,IF(Iterations[[#This Row],[Step]] &gt; current_step, "",Iterations[[#This Row],[Total Loss]]))</f>
        <v/>
      </c>
      <c r="M1430" s="6" t="s">
        <v>27</v>
      </c>
      <c r="N1430" s="2" t="str">
        <f>IF(Iterations[[#This Row],[Step]] =current_step, current_Grad_a,IF(Iterations[[#This Row],[Step]] &gt; current_step, "",Iterations[[#This Row],[Grad_a]]))</f>
        <v/>
      </c>
      <c r="O1430" s="2" t="str">
        <f>IF(Iterations[[#This Row],[Step]] =current_step, current_Grad_b,IF(Iterations[[#This Row],[Step]] &gt; current_step, "",Iterations[[#This Row],[Grad_b]]))</f>
        <v/>
      </c>
      <c r="P1430" s="2" t="str">
        <f>IF(Iterations[[#This Row],[Step]] =current_step, current_Grad_c,IF(Iterations[[#This Row],[Step]] &gt; current_step, "",Iterations[[#This Row],[Grad_c]]))</f>
        <v/>
      </c>
      <c r="Q1430" s="2" t="str">
        <f>IF(Iterations[[#This Row],[Step]] =current_step, current_Grad_d,IF(Iterations[[#This Row],[Step]] &gt; current_step, "",Iterations[[#This Row],[Grad_d]]))</f>
        <v/>
      </c>
      <c r="R1430" s="2" t="str">
        <f>IF(Iterations[[#This Row],[Step]] =current_step, current_Grad_e,IF(Iterations[[#This Row],[Step]] &gt; current_step, "",Iterations[[#This Row],[Grad_e]]))</f>
        <v/>
      </c>
    </row>
    <row r="1431" spans="6:18" x14ac:dyDescent="0.3">
      <c r="F1431" s="2">
        <f t="shared" si="27"/>
        <v>1414</v>
      </c>
      <c r="G1431" s="2" t="str">
        <f>IF(Iterations[[#This Row],[Step]] =current_step, current_a,IF(Iterations[[#This Row],[Step]] &gt; current_step, "",Iterations[[#This Row],[a]]))</f>
        <v/>
      </c>
      <c r="H1431" s="2" t="str">
        <f>IF(Iterations[[#This Row],[Step]] =current_step, current_b,IF(Iterations[[#This Row],[Step]] &gt; current_step, "",Iterations[[#This Row],[b]]))</f>
        <v/>
      </c>
      <c r="I1431" s="2" t="str">
        <f>IF(Iterations[[#This Row],[Step]] =current_step, current_c,IF(Iterations[[#This Row],[Step]] &gt; current_step, "",Iterations[[#This Row],[c]]))</f>
        <v/>
      </c>
      <c r="J1431" s="2" t="str">
        <f>IF(Iterations[[#This Row],[Step]] =current_step, current_d,IF(Iterations[[#This Row],[Step]] &gt; current_step, "",Iterations[[#This Row],[d]]))</f>
        <v/>
      </c>
      <c r="K1431" s="2" t="str">
        <f>IF(Iterations[[#This Row],[Step]] =current_step, current_e,IF(Iterations[[#This Row],[Step]] &gt; current_step, "",Iterations[[#This Row],[e]]))</f>
        <v/>
      </c>
      <c r="L1431" s="2" t="str">
        <f>IF(Iterations[[#This Row],[Step]] =current_step, current_Total_Loss,IF(Iterations[[#This Row],[Step]] &gt; current_step, "",Iterations[[#This Row],[Total Loss]]))</f>
        <v/>
      </c>
      <c r="M1431" s="6" t="s">
        <v>27</v>
      </c>
      <c r="N1431" s="2" t="str">
        <f>IF(Iterations[[#This Row],[Step]] =current_step, current_Grad_a,IF(Iterations[[#This Row],[Step]] &gt; current_step, "",Iterations[[#This Row],[Grad_a]]))</f>
        <v/>
      </c>
      <c r="O1431" s="2" t="str">
        <f>IF(Iterations[[#This Row],[Step]] =current_step, current_Grad_b,IF(Iterations[[#This Row],[Step]] &gt; current_step, "",Iterations[[#This Row],[Grad_b]]))</f>
        <v/>
      </c>
      <c r="P1431" s="2" t="str">
        <f>IF(Iterations[[#This Row],[Step]] =current_step, current_Grad_c,IF(Iterations[[#This Row],[Step]] &gt; current_step, "",Iterations[[#This Row],[Grad_c]]))</f>
        <v/>
      </c>
      <c r="Q1431" s="2" t="str">
        <f>IF(Iterations[[#This Row],[Step]] =current_step, current_Grad_d,IF(Iterations[[#This Row],[Step]] &gt; current_step, "",Iterations[[#This Row],[Grad_d]]))</f>
        <v/>
      </c>
      <c r="R1431" s="2" t="str">
        <f>IF(Iterations[[#This Row],[Step]] =current_step, current_Grad_e,IF(Iterations[[#This Row],[Step]] &gt; current_step, "",Iterations[[#This Row],[Grad_e]]))</f>
        <v/>
      </c>
    </row>
    <row r="1432" spans="6:18" x14ac:dyDescent="0.3">
      <c r="F1432" s="2">
        <f t="shared" si="27"/>
        <v>1415</v>
      </c>
      <c r="G1432" s="2" t="str">
        <f>IF(Iterations[[#This Row],[Step]] =current_step, current_a,IF(Iterations[[#This Row],[Step]] &gt; current_step, "",Iterations[[#This Row],[a]]))</f>
        <v/>
      </c>
      <c r="H1432" s="2" t="str">
        <f>IF(Iterations[[#This Row],[Step]] =current_step, current_b,IF(Iterations[[#This Row],[Step]] &gt; current_step, "",Iterations[[#This Row],[b]]))</f>
        <v/>
      </c>
      <c r="I1432" s="2" t="str">
        <f>IF(Iterations[[#This Row],[Step]] =current_step, current_c,IF(Iterations[[#This Row],[Step]] &gt; current_step, "",Iterations[[#This Row],[c]]))</f>
        <v/>
      </c>
      <c r="J1432" s="2" t="str">
        <f>IF(Iterations[[#This Row],[Step]] =current_step, current_d,IF(Iterations[[#This Row],[Step]] &gt; current_step, "",Iterations[[#This Row],[d]]))</f>
        <v/>
      </c>
      <c r="K1432" s="2" t="str">
        <f>IF(Iterations[[#This Row],[Step]] =current_step, current_e,IF(Iterations[[#This Row],[Step]] &gt; current_step, "",Iterations[[#This Row],[e]]))</f>
        <v/>
      </c>
      <c r="L1432" s="2" t="str">
        <f>IF(Iterations[[#This Row],[Step]] =current_step, current_Total_Loss,IF(Iterations[[#This Row],[Step]] &gt; current_step, "",Iterations[[#This Row],[Total Loss]]))</f>
        <v/>
      </c>
      <c r="M1432" s="6" t="s">
        <v>27</v>
      </c>
      <c r="N1432" s="2" t="str">
        <f>IF(Iterations[[#This Row],[Step]] =current_step, current_Grad_a,IF(Iterations[[#This Row],[Step]] &gt; current_step, "",Iterations[[#This Row],[Grad_a]]))</f>
        <v/>
      </c>
      <c r="O1432" s="2" t="str">
        <f>IF(Iterations[[#This Row],[Step]] =current_step, current_Grad_b,IF(Iterations[[#This Row],[Step]] &gt; current_step, "",Iterations[[#This Row],[Grad_b]]))</f>
        <v/>
      </c>
      <c r="P1432" s="2" t="str">
        <f>IF(Iterations[[#This Row],[Step]] =current_step, current_Grad_c,IF(Iterations[[#This Row],[Step]] &gt; current_step, "",Iterations[[#This Row],[Grad_c]]))</f>
        <v/>
      </c>
      <c r="Q1432" s="2" t="str">
        <f>IF(Iterations[[#This Row],[Step]] =current_step, current_Grad_d,IF(Iterations[[#This Row],[Step]] &gt; current_step, "",Iterations[[#This Row],[Grad_d]]))</f>
        <v/>
      </c>
      <c r="R1432" s="2" t="str">
        <f>IF(Iterations[[#This Row],[Step]] =current_step, current_Grad_e,IF(Iterations[[#This Row],[Step]] &gt; current_step, "",Iterations[[#This Row],[Grad_e]]))</f>
        <v/>
      </c>
    </row>
    <row r="1433" spans="6:18" x14ac:dyDescent="0.3">
      <c r="F1433" s="2">
        <f t="shared" si="27"/>
        <v>1416</v>
      </c>
      <c r="G1433" s="2" t="str">
        <f>IF(Iterations[[#This Row],[Step]] =current_step, current_a,IF(Iterations[[#This Row],[Step]] &gt; current_step, "",Iterations[[#This Row],[a]]))</f>
        <v/>
      </c>
      <c r="H1433" s="2" t="str">
        <f>IF(Iterations[[#This Row],[Step]] =current_step, current_b,IF(Iterations[[#This Row],[Step]] &gt; current_step, "",Iterations[[#This Row],[b]]))</f>
        <v/>
      </c>
      <c r="I1433" s="2" t="str">
        <f>IF(Iterations[[#This Row],[Step]] =current_step, current_c,IF(Iterations[[#This Row],[Step]] &gt; current_step, "",Iterations[[#This Row],[c]]))</f>
        <v/>
      </c>
      <c r="J1433" s="2" t="str">
        <f>IF(Iterations[[#This Row],[Step]] =current_step, current_d,IF(Iterations[[#This Row],[Step]] &gt; current_step, "",Iterations[[#This Row],[d]]))</f>
        <v/>
      </c>
      <c r="K1433" s="2" t="str">
        <f>IF(Iterations[[#This Row],[Step]] =current_step, current_e,IF(Iterations[[#This Row],[Step]] &gt; current_step, "",Iterations[[#This Row],[e]]))</f>
        <v/>
      </c>
      <c r="L1433" s="2" t="str">
        <f>IF(Iterations[[#This Row],[Step]] =current_step, current_Total_Loss,IF(Iterations[[#This Row],[Step]] &gt; current_step, "",Iterations[[#This Row],[Total Loss]]))</f>
        <v/>
      </c>
      <c r="M1433" s="6" t="s">
        <v>27</v>
      </c>
      <c r="N1433" s="2" t="str">
        <f>IF(Iterations[[#This Row],[Step]] =current_step, current_Grad_a,IF(Iterations[[#This Row],[Step]] &gt; current_step, "",Iterations[[#This Row],[Grad_a]]))</f>
        <v/>
      </c>
      <c r="O1433" s="2" t="str">
        <f>IF(Iterations[[#This Row],[Step]] =current_step, current_Grad_b,IF(Iterations[[#This Row],[Step]] &gt; current_step, "",Iterations[[#This Row],[Grad_b]]))</f>
        <v/>
      </c>
      <c r="P1433" s="2" t="str">
        <f>IF(Iterations[[#This Row],[Step]] =current_step, current_Grad_c,IF(Iterations[[#This Row],[Step]] &gt; current_step, "",Iterations[[#This Row],[Grad_c]]))</f>
        <v/>
      </c>
      <c r="Q1433" s="2" t="str">
        <f>IF(Iterations[[#This Row],[Step]] =current_step, current_Grad_d,IF(Iterations[[#This Row],[Step]] &gt; current_step, "",Iterations[[#This Row],[Grad_d]]))</f>
        <v/>
      </c>
      <c r="R1433" s="2" t="str">
        <f>IF(Iterations[[#This Row],[Step]] =current_step, current_Grad_e,IF(Iterations[[#This Row],[Step]] &gt; current_step, "",Iterations[[#This Row],[Grad_e]]))</f>
        <v/>
      </c>
    </row>
    <row r="1434" spans="6:18" x14ac:dyDescent="0.3">
      <c r="F1434" s="2">
        <f t="shared" si="27"/>
        <v>1417</v>
      </c>
      <c r="G1434" s="2" t="str">
        <f>IF(Iterations[[#This Row],[Step]] =current_step, current_a,IF(Iterations[[#This Row],[Step]] &gt; current_step, "",Iterations[[#This Row],[a]]))</f>
        <v/>
      </c>
      <c r="H1434" s="2" t="str">
        <f>IF(Iterations[[#This Row],[Step]] =current_step, current_b,IF(Iterations[[#This Row],[Step]] &gt; current_step, "",Iterations[[#This Row],[b]]))</f>
        <v/>
      </c>
      <c r="I1434" s="2" t="str">
        <f>IF(Iterations[[#This Row],[Step]] =current_step, current_c,IF(Iterations[[#This Row],[Step]] &gt; current_step, "",Iterations[[#This Row],[c]]))</f>
        <v/>
      </c>
      <c r="J1434" s="2" t="str">
        <f>IF(Iterations[[#This Row],[Step]] =current_step, current_d,IF(Iterations[[#This Row],[Step]] &gt; current_step, "",Iterations[[#This Row],[d]]))</f>
        <v/>
      </c>
      <c r="K1434" s="2" t="str">
        <f>IF(Iterations[[#This Row],[Step]] =current_step, current_e,IF(Iterations[[#This Row],[Step]] &gt; current_step, "",Iterations[[#This Row],[e]]))</f>
        <v/>
      </c>
      <c r="L1434" s="2" t="str">
        <f>IF(Iterations[[#This Row],[Step]] =current_step, current_Total_Loss,IF(Iterations[[#This Row],[Step]] &gt; current_step, "",Iterations[[#This Row],[Total Loss]]))</f>
        <v/>
      </c>
      <c r="M1434" s="6" t="s">
        <v>27</v>
      </c>
      <c r="N1434" s="2" t="str">
        <f>IF(Iterations[[#This Row],[Step]] =current_step, current_Grad_a,IF(Iterations[[#This Row],[Step]] &gt; current_step, "",Iterations[[#This Row],[Grad_a]]))</f>
        <v/>
      </c>
      <c r="O1434" s="2" t="str">
        <f>IF(Iterations[[#This Row],[Step]] =current_step, current_Grad_b,IF(Iterations[[#This Row],[Step]] &gt; current_step, "",Iterations[[#This Row],[Grad_b]]))</f>
        <v/>
      </c>
      <c r="P1434" s="2" t="str">
        <f>IF(Iterations[[#This Row],[Step]] =current_step, current_Grad_c,IF(Iterations[[#This Row],[Step]] &gt; current_step, "",Iterations[[#This Row],[Grad_c]]))</f>
        <v/>
      </c>
      <c r="Q1434" s="2" t="str">
        <f>IF(Iterations[[#This Row],[Step]] =current_step, current_Grad_d,IF(Iterations[[#This Row],[Step]] &gt; current_step, "",Iterations[[#This Row],[Grad_d]]))</f>
        <v/>
      </c>
      <c r="R1434" s="2" t="str">
        <f>IF(Iterations[[#This Row],[Step]] =current_step, current_Grad_e,IF(Iterations[[#This Row],[Step]] &gt; current_step, "",Iterations[[#This Row],[Grad_e]]))</f>
        <v/>
      </c>
    </row>
    <row r="1435" spans="6:18" x14ac:dyDescent="0.3">
      <c r="F1435" s="2">
        <f t="shared" si="27"/>
        <v>1418</v>
      </c>
      <c r="G1435" s="2" t="str">
        <f>IF(Iterations[[#This Row],[Step]] =current_step, current_a,IF(Iterations[[#This Row],[Step]] &gt; current_step, "",Iterations[[#This Row],[a]]))</f>
        <v/>
      </c>
      <c r="H1435" s="2" t="str">
        <f>IF(Iterations[[#This Row],[Step]] =current_step, current_b,IF(Iterations[[#This Row],[Step]] &gt; current_step, "",Iterations[[#This Row],[b]]))</f>
        <v/>
      </c>
      <c r="I1435" s="2" t="str">
        <f>IF(Iterations[[#This Row],[Step]] =current_step, current_c,IF(Iterations[[#This Row],[Step]] &gt; current_step, "",Iterations[[#This Row],[c]]))</f>
        <v/>
      </c>
      <c r="J1435" s="2" t="str">
        <f>IF(Iterations[[#This Row],[Step]] =current_step, current_d,IF(Iterations[[#This Row],[Step]] &gt; current_step, "",Iterations[[#This Row],[d]]))</f>
        <v/>
      </c>
      <c r="K1435" s="2" t="str">
        <f>IF(Iterations[[#This Row],[Step]] =current_step, current_e,IF(Iterations[[#This Row],[Step]] &gt; current_step, "",Iterations[[#This Row],[e]]))</f>
        <v/>
      </c>
      <c r="L1435" s="2" t="str">
        <f>IF(Iterations[[#This Row],[Step]] =current_step, current_Total_Loss,IF(Iterations[[#This Row],[Step]] &gt; current_step, "",Iterations[[#This Row],[Total Loss]]))</f>
        <v/>
      </c>
      <c r="M1435" s="6" t="s">
        <v>27</v>
      </c>
      <c r="N1435" s="2" t="str">
        <f>IF(Iterations[[#This Row],[Step]] =current_step, current_Grad_a,IF(Iterations[[#This Row],[Step]] &gt; current_step, "",Iterations[[#This Row],[Grad_a]]))</f>
        <v/>
      </c>
      <c r="O1435" s="2" t="str">
        <f>IF(Iterations[[#This Row],[Step]] =current_step, current_Grad_b,IF(Iterations[[#This Row],[Step]] &gt; current_step, "",Iterations[[#This Row],[Grad_b]]))</f>
        <v/>
      </c>
      <c r="P1435" s="2" t="str">
        <f>IF(Iterations[[#This Row],[Step]] =current_step, current_Grad_c,IF(Iterations[[#This Row],[Step]] &gt; current_step, "",Iterations[[#This Row],[Grad_c]]))</f>
        <v/>
      </c>
      <c r="Q1435" s="2" t="str">
        <f>IF(Iterations[[#This Row],[Step]] =current_step, current_Grad_d,IF(Iterations[[#This Row],[Step]] &gt; current_step, "",Iterations[[#This Row],[Grad_d]]))</f>
        <v/>
      </c>
      <c r="R1435" s="2" t="str">
        <f>IF(Iterations[[#This Row],[Step]] =current_step, current_Grad_e,IF(Iterations[[#This Row],[Step]] &gt; current_step, "",Iterations[[#This Row],[Grad_e]]))</f>
        <v/>
      </c>
    </row>
    <row r="1436" spans="6:18" x14ac:dyDescent="0.3">
      <c r="F1436" s="2">
        <f t="shared" si="27"/>
        <v>1419</v>
      </c>
      <c r="G1436" s="2" t="str">
        <f>IF(Iterations[[#This Row],[Step]] =current_step, current_a,IF(Iterations[[#This Row],[Step]] &gt; current_step, "",Iterations[[#This Row],[a]]))</f>
        <v/>
      </c>
      <c r="H1436" s="2" t="str">
        <f>IF(Iterations[[#This Row],[Step]] =current_step, current_b,IF(Iterations[[#This Row],[Step]] &gt; current_step, "",Iterations[[#This Row],[b]]))</f>
        <v/>
      </c>
      <c r="I1436" s="2" t="str">
        <f>IF(Iterations[[#This Row],[Step]] =current_step, current_c,IF(Iterations[[#This Row],[Step]] &gt; current_step, "",Iterations[[#This Row],[c]]))</f>
        <v/>
      </c>
      <c r="J1436" s="2" t="str">
        <f>IF(Iterations[[#This Row],[Step]] =current_step, current_d,IF(Iterations[[#This Row],[Step]] &gt; current_step, "",Iterations[[#This Row],[d]]))</f>
        <v/>
      </c>
      <c r="K1436" s="2" t="str">
        <f>IF(Iterations[[#This Row],[Step]] =current_step, current_e,IF(Iterations[[#This Row],[Step]] &gt; current_step, "",Iterations[[#This Row],[e]]))</f>
        <v/>
      </c>
      <c r="L1436" s="2" t="str">
        <f>IF(Iterations[[#This Row],[Step]] =current_step, current_Total_Loss,IF(Iterations[[#This Row],[Step]] &gt; current_step, "",Iterations[[#This Row],[Total Loss]]))</f>
        <v/>
      </c>
      <c r="M1436" s="6" t="s">
        <v>27</v>
      </c>
      <c r="N1436" s="2" t="str">
        <f>IF(Iterations[[#This Row],[Step]] =current_step, current_Grad_a,IF(Iterations[[#This Row],[Step]] &gt; current_step, "",Iterations[[#This Row],[Grad_a]]))</f>
        <v/>
      </c>
      <c r="O1436" s="2" t="str">
        <f>IF(Iterations[[#This Row],[Step]] =current_step, current_Grad_b,IF(Iterations[[#This Row],[Step]] &gt; current_step, "",Iterations[[#This Row],[Grad_b]]))</f>
        <v/>
      </c>
      <c r="P1436" s="2" t="str">
        <f>IF(Iterations[[#This Row],[Step]] =current_step, current_Grad_c,IF(Iterations[[#This Row],[Step]] &gt; current_step, "",Iterations[[#This Row],[Grad_c]]))</f>
        <v/>
      </c>
      <c r="Q1436" s="2" t="str">
        <f>IF(Iterations[[#This Row],[Step]] =current_step, current_Grad_d,IF(Iterations[[#This Row],[Step]] &gt; current_step, "",Iterations[[#This Row],[Grad_d]]))</f>
        <v/>
      </c>
      <c r="R1436" s="2" t="str">
        <f>IF(Iterations[[#This Row],[Step]] =current_step, current_Grad_e,IF(Iterations[[#This Row],[Step]] &gt; current_step, "",Iterations[[#This Row],[Grad_e]]))</f>
        <v/>
      </c>
    </row>
    <row r="1437" spans="6:18" x14ac:dyDescent="0.3">
      <c r="F1437" s="2">
        <f t="shared" si="27"/>
        <v>1420</v>
      </c>
      <c r="G1437" s="2" t="str">
        <f>IF(Iterations[[#This Row],[Step]] =current_step, current_a,IF(Iterations[[#This Row],[Step]] &gt; current_step, "",Iterations[[#This Row],[a]]))</f>
        <v/>
      </c>
      <c r="H1437" s="2" t="str">
        <f>IF(Iterations[[#This Row],[Step]] =current_step, current_b,IF(Iterations[[#This Row],[Step]] &gt; current_step, "",Iterations[[#This Row],[b]]))</f>
        <v/>
      </c>
      <c r="I1437" s="2" t="str">
        <f>IF(Iterations[[#This Row],[Step]] =current_step, current_c,IF(Iterations[[#This Row],[Step]] &gt; current_step, "",Iterations[[#This Row],[c]]))</f>
        <v/>
      </c>
      <c r="J1437" s="2" t="str">
        <f>IF(Iterations[[#This Row],[Step]] =current_step, current_d,IF(Iterations[[#This Row],[Step]] &gt; current_step, "",Iterations[[#This Row],[d]]))</f>
        <v/>
      </c>
      <c r="K1437" s="2" t="str">
        <f>IF(Iterations[[#This Row],[Step]] =current_step, current_e,IF(Iterations[[#This Row],[Step]] &gt; current_step, "",Iterations[[#This Row],[e]]))</f>
        <v/>
      </c>
      <c r="L1437" s="2" t="str">
        <f>IF(Iterations[[#This Row],[Step]] =current_step, current_Total_Loss,IF(Iterations[[#This Row],[Step]] &gt; current_step, "",Iterations[[#This Row],[Total Loss]]))</f>
        <v/>
      </c>
      <c r="M1437" s="6" t="s">
        <v>27</v>
      </c>
      <c r="N1437" s="2" t="str">
        <f>IF(Iterations[[#This Row],[Step]] =current_step, current_Grad_a,IF(Iterations[[#This Row],[Step]] &gt; current_step, "",Iterations[[#This Row],[Grad_a]]))</f>
        <v/>
      </c>
      <c r="O1437" s="2" t="str">
        <f>IF(Iterations[[#This Row],[Step]] =current_step, current_Grad_b,IF(Iterations[[#This Row],[Step]] &gt; current_step, "",Iterations[[#This Row],[Grad_b]]))</f>
        <v/>
      </c>
      <c r="P1437" s="2" t="str">
        <f>IF(Iterations[[#This Row],[Step]] =current_step, current_Grad_c,IF(Iterations[[#This Row],[Step]] &gt; current_step, "",Iterations[[#This Row],[Grad_c]]))</f>
        <v/>
      </c>
      <c r="Q1437" s="2" t="str">
        <f>IF(Iterations[[#This Row],[Step]] =current_step, current_Grad_d,IF(Iterations[[#This Row],[Step]] &gt; current_step, "",Iterations[[#This Row],[Grad_d]]))</f>
        <v/>
      </c>
      <c r="R1437" s="2" t="str">
        <f>IF(Iterations[[#This Row],[Step]] =current_step, current_Grad_e,IF(Iterations[[#This Row],[Step]] &gt; current_step, "",Iterations[[#This Row],[Grad_e]]))</f>
        <v/>
      </c>
    </row>
    <row r="1438" spans="6:18" x14ac:dyDescent="0.3">
      <c r="F1438" s="2">
        <f t="shared" si="27"/>
        <v>1421</v>
      </c>
      <c r="G1438" s="2" t="str">
        <f>IF(Iterations[[#This Row],[Step]] =current_step, current_a,IF(Iterations[[#This Row],[Step]] &gt; current_step, "",Iterations[[#This Row],[a]]))</f>
        <v/>
      </c>
      <c r="H1438" s="2" t="str">
        <f>IF(Iterations[[#This Row],[Step]] =current_step, current_b,IF(Iterations[[#This Row],[Step]] &gt; current_step, "",Iterations[[#This Row],[b]]))</f>
        <v/>
      </c>
      <c r="I1438" s="2" t="str">
        <f>IF(Iterations[[#This Row],[Step]] =current_step, current_c,IF(Iterations[[#This Row],[Step]] &gt; current_step, "",Iterations[[#This Row],[c]]))</f>
        <v/>
      </c>
      <c r="J1438" s="2" t="str">
        <f>IF(Iterations[[#This Row],[Step]] =current_step, current_d,IF(Iterations[[#This Row],[Step]] &gt; current_step, "",Iterations[[#This Row],[d]]))</f>
        <v/>
      </c>
      <c r="K1438" s="2" t="str">
        <f>IF(Iterations[[#This Row],[Step]] =current_step, current_e,IF(Iterations[[#This Row],[Step]] &gt; current_step, "",Iterations[[#This Row],[e]]))</f>
        <v/>
      </c>
      <c r="L1438" s="2" t="str">
        <f>IF(Iterations[[#This Row],[Step]] =current_step, current_Total_Loss,IF(Iterations[[#This Row],[Step]] &gt; current_step, "",Iterations[[#This Row],[Total Loss]]))</f>
        <v/>
      </c>
      <c r="M1438" s="6" t="s">
        <v>27</v>
      </c>
      <c r="N1438" s="2" t="str">
        <f>IF(Iterations[[#This Row],[Step]] =current_step, current_Grad_a,IF(Iterations[[#This Row],[Step]] &gt; current_step, "",Iterations[[#This Row],[Grad_a]]))</f>
        <v/>
      </c>
      <c r="O1438" s="2" t="str">
        <f>IF(Iterations[[#This Row],[Step]] =current_step, current_Grad_b,IF(Iterations[[#This Row],[Step]] &gt; current_step, "",Iterations[[#This Row],[Grad_b]]))</f>
        <v/>
      </c>
      <c r="P1438" s="2" t="str">
        <f>IF(Iterations[[#This Row],[Step]] =current_step, current_Grad_c,IF(Iterations[[#This Row],[Step]] &gt; current_step, "",Iterations[[#This Row],[Grad_c]]))</f>
        <v/>
      </c>
      <c r="Q1438" s="2" t="str">
        <f>IF(Iterations[[#This Row],[Step]] =current_step, current_Grad_d,IF(Iterations[[#This Row],[Step]] &gt; current_step, "",Iterations[[#This Row],[Grad_d]]))</f>
        <v/>
      </c>
      <c r="R1438" s="2" t="str">
        <f>IF(Iterations[[#This Row],[Step]] =current_step, current_Grad_e,IF(Iterations[[#This Row],[Step]] &gt; current_step, "",Iterations[[#This Row],[Grad_e]]))</f>
        <v/>
      </c>
    </row>
    <row r="1439" spans="6:18" x14ac:dyDescent="0.3">
      <c r="F1439" s="2">
        <f t="shared" si="27"/>
        <v>1422</v>
      </c>
      <c r="G1439" s="2" t="str">
        <f>IF(Iterations[[#This Row],[Step]] =current_step, current_a,IF(Iterations[[#This Row],[Step]] &gt; current_step, "",Iterations[[#This Row],[a]]))</f>
        <v/>
      </c>
      <c r="H1439" s="2" t="str">
        <f>IF(Iterations[[#This Row],[Step]] =current_step, current_b,IF(Iterations[[#This Row],[Step]] &gt; current_step, "",Iterations[[#This Row],[b]]))</f>
        <v/>
      </c>
      <c r="I1439" s="2" t="str">
        <f>IF(Iterations[[#This Row],[Step]] =current_step, current_c,IF(Iterations[[#This Row],[Step]] &gt; current_step, "",Iterations[[#This Row],[c]]))</f>
        <v/>
      </c>
      <c r="J1439" s="2" t="str">
        <f>IF(Iterations[[#This Row],[Step]] =current_step, current_d,IF(Iterations[[#This Row],[Step]] &gt; current_step, "",Iterations[[#This Row],[d]]))</f>
        <v/>
      </c>
      <c r="K1439" s="2" t="str">
        <f>IF(Iterations[[#This Row],[Step]] =current_step, current_e,IF(Iterations[[#This Row],[Step]] &gt; current_step, "",Iterations[[#This Row],[e]]))</f>
        <v/>
      </c>
      <c r="L1439" s="2" t="str">
        <f>IF(Iterations[[#This Row],[Step]] =current_step, current_Total_Loss,IF(Iterations[[#This Row],[Step]] &gt; current_step, "",Iterations[[#This Row],[Total Loss]]))</f>
        <v/>
      </c>
      <c r="M1439" s="6" t="s">
        <v>27</v>
      </c>
      <c r="N1439" s="2" t="str">
        <f>IF(Iterations[[#This Row],[Step]] =current_step, current_Grad_a,IF(Iterations[[#This Row],[Step]] &gt; current_step, "",Iterations[[#This Row],[Grad_a]]))</f>
        <v/>
      </c>
      <c r="O1439" s="2" t="str">
        <f>IF(Iterations[[#This Row],[Step]] =current_step, current_Grad_b,IF(Iterations[[#This Row],[Step]] &gt; current_step, "",Iterations[[#This Row],[Grad_b]]))</f>
        <v/>
      </c>
      <c r="P1439" s="2" t="str">
        <f>IF(Iterations[[#This Row],[Step]] =current_step, current_Grad_c,IF(Iterations[[#This Row],[Step]] &gt; current_step, "",Iterations[[#This Row],[Grad_c]]))</f>
        <v/>
      </c>
      <c r="Q1439" s="2" t="str">
        <f>IF(Iterations[[#This Row],[Step]] =current_step, current_Grad_d,IF(Iterations[[#This Row],[Step]] &gt; current_step, "",Iterations[[#This Row],[Grad_d]]))</f>
        <v/>
      </c>
      <c r="R1439" s="2" t="str">
        <f>IF(Iterations[[#This Row],[Step]] =current_step, current_Grad_e,IF(Iterations[[#This Row],[Step]] &gt; current_step, "",Iterations[[#This Row],[Grad_e]]))</f>
        <v/>
      </c>
    </row>
    <row r="1440" spans="6:18" x14ac:dyDescent="0.3">
      <c r="F1440" s="2">
        <f t="shared" si="27"/>
        <v>1423</v>
      </c>
      <c r="G1440" s="2" t="str">
        <f>IF(Iterations[[#This Row],[Step]] =current_step, current_a,IF(Iterations[[#This Row],[Step]] &gt; current_step, "",Iterations[[#This Row],[a]]))</f>
        <v/>
      </c>
      <c r="H1440" s="2" t="str">
        <f>IF(Iterations[[#This Row],[Step]] =current_step, current_b,IF(Iterations[[#This Row],[Step]] &gt; current_step, "",Iterations[[#This Row],[b]]))</f>
        <v/>
      </c>
      <c r="I1440" s="2" t="str">
        <f>IF(Iterations[[#This Row],[Step]] =current_step, current_c,IF(Iterations[[#This Row],[Step]] &gt; current_step, "",Iterations[[#This Row],[c]]))</f>
        <v/>
      </c>
      <c r="J1440" s="2" t="str">
        <f>IF(Iterations[[#This Row],[Step]] =current_step, current_d,IF(Iterations[[#This Row],[Step]] &gt; current_step, "",Iterations[[#This Row],[d]]))</f>
        <v/>
      </c>
      <c r="K1440" s="2" t="str">
        <f>IF(Iterations[[#This Row],[Step]] =current_step, current_e,IF(Iterations[[#This Row],[Step]] &gt; current_step, "",Iterations[[#This Row],[e]]))</f>
        <v/>
      </c>
      <c r="L1440" s="2" t="str">
        <f>IF(Iterations[[#This Row],[Step]] =current_step, current_Total_Loss,IF(Iterations[[#This Row],[Step]] &gt; current_step, "",Iterations[[#This Row],[Total Loss]]))</f>
        <v/>
      </c>
      <c r="M1440" s="6" t="s">
        <v>27</v>
      </c>
      <c r="N1440" s="2" t="str">
        <f>IF(Iterations[[#This Row],[Step]] =current_step, current_Grad_a,IF(Iterations[[#This Row],[Step]] &gt; current_step, "",Iterations[[#This Row],[Grad_a]]))</f>
        <v/>
      </c>
      <c r="O1440" s="2" t="str">
        <f>IF(Iterations[[#This Row],[Step]] =current_step, current_Grad_b,IF(Iterations[[#This Row],[Step]] &gt; current_step, "",Iterations[[#This Row],[Grad_b]]))</f>
        <v/>
      </c>
      <c r="P1440" s="2" t="str">
        <f>IF(Iterations[[#This Row],[Step]] =current_step, current_Grad_c,IF(Iterations[[#This Row],[Step]] &gt; current_step, "",Iterations[[#This Row],[Grad_c]]))</f>
        <v/>
      </c>
      <c r="Q1440" s="2" t="str">
        <f>IF(Iterations[[#This Row],[Step]] =current_step, current_Grad_d,IF(Iterations[[#This Row],[Step]] &gt; current_step, "",Iterations[[#This Row],[Grad_d]]))</f>
        <v/>
      </c>
      <c r="R1440" s="2" t="str">
        <f>IF(Iterations[[#This Row],[Step]] =current_step, current_Grad_e,IF(Iterations[[#This Row],[Step]] &gt; current_step, "",Iterations[[#This Row],[Grad_e]]))</f>
        <v/>
      </c>
    </row>
    <row r="1441" spans="6:18" x14ac:dyDescent="0.3">
      <c r="F1441" s="2">
        <f t="shared" si="27"/>
        <v>1424</v>
      </c>
      <c r="G1441" s="2" t="str">
        <f>IF(Iterations[[#This Row],[Step]] =current_step, current_a,IF(Iterations[[#This Row],[Step]] &gt; current_step, "",Iterations[[#This Row],[a]]))</f>
        <v/>
      </c>
      <c r="H1441" s="2" t="str">
        <f>IF(Iterations[[#This Row],[Step]] =current_step, current_b,IF(Iterations[[#This Row],[Step]] &gt; current_step, "",Iterations[[#This Row],[b]]))</f>
        <v/>
      </c>
      <c r="I1441" s="2" t="str">
        <f>IF(Iterations[[#This Row],[Step]] =current_step, current_c,IF(Iterations[[#This Row],[Step]] &gt; current_step, "",Iterations[[#This Row],[c]]))</f>
        <v/>
      </c>
      <c r="J1441" s="2" t="str">
        <f>IF(Iterations[[#This Row],[Step]] =current_step, current_d,IF(Iterations[[#This Row],[Step]] &gt; current_step, "",Iterations[[#This Row],[d]]))</f>
        <v/>
      </c>
      <c r="K1441" s="2" t="str">
        <f>IF(Iterations[[#This Row],[Step]] =current_step, current_e,IF(Iterations[[#This Row],[Step]] &gt; current_step, "",Iterations[[#This Row],[e]]))</f>
        <v/>
      </c>
      <c r="L1441" s="2" t="str">
        <f>IF(Iterations[[#This Row],[Step]] =current_step, current_Total_Loss,IF(Iterations[[#This Row],[Step]] &gt; current_step, "",Iterations[[#This Row],[Total Loss]]))</f>
        <v/>
      </c>
      <c r="M1441" s="6" t="s">
        <v>27</v>
      </c>
      <c r="N1441" s="2" t="str">
        <f>IF(Iterations[[#This Row],[Step]] =current_step, current_Grad_a,IF(Iterations[[#This Row],[Step]] &gt; current_step, "",Iterations[[#This Row],[Grad_a]]))</f>
        <v/>
      </c>
      <c r="O1441" s="2" t="str">
        <f>IF(Iterations[[#This Row],[Step]] =current_step, current_Grad_b,IF(Iterations[[#This Row],[Step]] &gt; current_step, "",Iterations[[#This Row],[Grad_b]]))</f>
        <v/>
      </c>
      <c r="P1441" s="2" t="str">
        <f>IF(Iterations[[#This Row],[Step]] =current_step, current_Grad_c,IF(Iterations[[#This Row],[Step]] &gt; current_step, "",Iterations[[#This Row],[Grad_c]]))</f>
        <v/>
      </c>
      <c r="Q1441" s="2" t="str">
        <f>IF(Iterations[[#This Row],[Step]] =current_step, current_Grad_d,IF(Iterations[[#This Row],[Step]] &gt; current_step, "",Iterations[[#This Row],[Grad_d]]))</f>
        <v/>
      </c>
      <c r="R1441" s="2" t="str">
        <f>IF(Iterations[[#This Row],[Step]] =current_step, current_Grad_e,IF(Iterations[[#This Row],[Step]] &gt; current_step, "",Iterations[[#This Row],[Grad_e]]))</f>
        <v/>
      </c>
    </row>
    <row r="1442" spans="6:18" x14ac:dyDescent="0.3">
      <c r="F1442" s="2">
        <f t="shared" si="27"/>
        <v>1425</v>
      </c>
      <c r="G1442" s="2" t="str">
        <f>IF(Iterations[[#This Row],[Step]] =current_step, current_a,IF(Iterations[[#This Row],[Step]] &gt; current_step, "",Iterations[[#This Row],[a]]))</f>
        <v/>
      </c>
      <c r="H1442" s="2" t="str">
        <f>IF(Iterations[[#This Row],[Step]] =current_step, current_b,IF(Iterations[[#This Row],[Step]] &gt; current_step, "",Iterations[[#This Row],[b]]))</f>
        <v/>
      </c>
      <c r="I1442" s="2" t="str">
        <f>IF(Iterations[[#This Row],[Step]] =current_step, current_c,IF(Iterations[[#This Row],[Step]] &gt; current_step, "",Iterations[[#This Row],[c]]))</f>
        <v/>
      </c>
      <c r="J1442" s="2" t="str">
        <f>IF(Iterations[[#This Row],[Step]] =current_step, current_d,IF(Iterations[[#This Row],[Step]] &gt; current_step, "",Iterations[[#This Row],[d]]))</f>
        <v/>
      </c>
      <c r="K1442" s="2" t="str">
        <f>IF(Iterations[[#This Row],[Step]] =current_step, current_e,IF(Iterations[[#This Row],[Step]] &gt; current_step, "",Iterations[[#This Row],[e]]))</f>
        <v/>
      </c>
      <c r="L1442" s="2" t="str">
        <f>IF(Iterations[[#This Row],[Step]] =current_step, current_Total_Loss,IF(Iterations[[#This Row],[Step]] &gt; current_step, "",Iterations[[#This Row],[Total Loss]]))</f>
        <v/>
      </c>
      <c r="M1442" s="6" t="s">
        <v>27</v>
      </c>
      <c r="N1442" s="2" t="str">
        <f>IF(Iterations[[#This Row],[Step]] =current_step, current_Grad_a,IF(Iterations[[#This Row],[Step]] &gt; current_step, "",Iterations[[#This Row],[Grad_a]]))</f>
        <v/>
      </c>
      <c r="O1442" s="2" t="str">
        <f>IF(Iterations[[#This Row],[Step]] =current_step, current_Grad_b,IF(Iterations[[#This Row],[Step]] &gt; current_step, "",Iterations[[#This Row],[Grad_b]]))</f>
        <v/>
      </c>
      <c r="P1442" s="2" t="str">
        <f>IF(Iterations[[#This Row],[Step]] =current_step, current_Grad_c,IF(Iterations[[#This Row],[Step]] &gt; current_step, "",Iterations[[#This Row],[Grad_c]]))</f>
        <v/>
      </c>
      <c r="Q1442" s="2" t="str">
        <f>IF(Iterations[[#This Row],[Step]] =current_step, current_Grad_d,IF(Iterations[[#This Row],[Step]] &gt; current_step, "",Iterations[[#This Row],[Grad_d]]))</f>
        <v/>
      </c>
      <c r="R1442" s="2" t="str">
        <f>IF(Iterations[[#This Row],[Step]] =current_step, current_Grad_e,IF(Iterations[[#This Row],[Step]] &gt; current_step, "",Iterations[[#This Row],[Grad_e]]))</f>
        <v/>
      </c>
    </row>
    <row r="1443" spans="6:18" x14ac:dyDescent="0.3">
      <c r="F1443" s="2">
        <f t="shared" si="27"/>
        <v>1426</v>
      </c>
      <c r="G1443" s="2" t="str">
        <f>IF(Iterations[[#This Row],[Step]] =current_step, current_a,IF(Iterations[[#This Row],[Step]] &gt; current_step, "",Iterations[[#This Row],[a]]))</f>
        <v/>
      </c>
      <c r="H1443" s="2" t="str">
        <f>IF(Iterations[[#This Row],[Step]] =current_step, current_b,IF(Iterations[[#This Row],[Step]] &gt; current_step, "",Iterations[[#This Row],[b]]))</f>
        <v/>
      </c>
      <c r="I1443" s="2" t="str">
        <f>IF(Iterations[[#This Row],[Step]] =current_step, current_c,IF(Iterations[[#This Row],[Step]] &gt; current_step, "",Iterations[[#This Row],[c]]))</f>
        <v/>
      </c>
      <c r="J1443" s="2" t="str">
        <f>IF(Iterations[[#This Row],[Step]] =current_step, current_d,IF(Iterations[[#This Row],[Step]] &gt; current_step, "",Iterations[[#This Row],[d]]))</f>
        <v/>
      </c>
      <c r="K1443" s="2" t="str">
        <f>IF(Iterations[[#This Row],[Step]] =current_step, current_e,IF(Iterations[[#This Row],[Step]] &gt; current_step, "",Iterations[[#This Row],[e]]))</f>
        <v/>
      </c>
      <c r="L1443" s="2" t="str">
        <f>IF(Iterations[[#This Row],[Step]] =current_step, current_Total_Loss,IF(Iterations[[#This Row],[Step]] &gt; current_step, "",Iterations[[#This Row],[Total Loss]]))</f>
        <v/>
      </c>
      <c r="M1443" s="6" t="s">
        <v>27</v>
      </c>
      <c r="N1443" s="2" t="str">
        <f>IF(Iterations[[#This Row],[Step]] =current_step, current_Grad_a,IF(Iterations[[#This Row],[Step]] &gt; current_step, "",Iterations[[#This Row],[Grad_a]]))</f>
        <v/>
      </c>
      <c r="O1443" s="2" t="str">
        <f>IF(Iterations[[#This Row],[Step]] =current_step, current_Grad_b,IF(Iterations[[#This Row],[Step]] &gt; current_step, "",Iterations[[#This Row],[Grad_b]]))</f>
        <v/>
      </c>
      <c r="P1443" s="2" t="str">
        <f>IF(Iterations[[#This Row],[Step]] =current_step, current_Grad_c,IF(Iterations[[#This Row],[Step]] &gt; current_step, "",Iterations[[#This Row],[Grad_c]]))</f>
        <v/>
      </c>
      <c r="Q1443" s="2" t="str">
        <f>IF(Iterations[[#This Row],[Step]] =current_step, current_Grad_d,IF(Iterations[[#This Row],[Step]] &gt; current_step, "",Iterations[[#This Row],[Grad_d]]))</f>
        <v/>
      </c>
      <c r="R1443" s="2" t="str">
        <f>IF(Iterations[[#This Row],[Step]] =current_step, current_Grad_e,IF(Iterations[[#This Row],[Step]] &gt; current_step, "",Iterations[[#This Row],[Grad_e]]))</f>
        <v/>
      </c>
    </row>
    <row r="1444" spans="6:18" x14ac:dyDescent="0.3">
      <c r="F1444" s="2">
        <f t="shared" si="27"/>
        <v>1427</v>
      </c>
      <c r="G1444" s="2" t="str">
        <f>IF(Iterations[[#This Row],[Step]] =current_step, current_a,IF(Iterations[[#This Row],[Step]] &gt; current_step, "",Iterations[[#This Row],[a]]))</f>
        <v/>
      </c>
      <c r="H1444" s="2" t="str">
        <f>IF(Iterations[[#This Row],[Step]] =current_step, current_b,IF(Iterations[[#This Row],[Step]] &gt; current_step, "",Iterations[[#This Row],[b]]))</f>
        <v/>
      </c>
      <c r="I1444" s="2" t="str">
        <f>IF(Iterations[[#This Row],[Step]] =current_step, current_c,IF(Iterations[[#This Row],[Step]] &gt; current_step, "",Iterations[[#This Row],[c]]))</f>
        <v/>
      </c>
      <c r="J1444" s="2" t="str">
        <f>IF(Iterations[[#This Row],[Step]] =current_step, current_d,IF(Iterations[[#This Row],[Step]] &gt; current_step, "",Iterations[[#This Row],[d]]))</f>
        <v/>
      </c>
      <c r="K1444" s="2" t="str">
        <f>IF(Iterations[[#This Row],[Step]] =current_step, current_e,IF(Iterations[[#This Row],[Step]] &gt; current_step, "",Iterations[[#This Row],[e]]))</f>
        <v/>
      </c>
      <c r="L1444" s="2" t="str">
        <f>IF(Iterations[[#This Row],[Step]] =current_step, current_Total_Loss,IF(Iterations[[#This Row],[Step]] &gt; current_step, "",Iterations[[#This Row],[Total Loss]]))</f>
        <v/>
      </c>
      <c r="M1444" s="6" t="s">
        <v>27</v>
      </c>
      <c r="N1444" s="2" t="str">
        <f>IF(Iterations[[#This Row],[Step]] =current_step, current_Grad_a,IF(Iterations[[#This Row],[Step]] &gt; current_step, "",Iterations[[#This Row],[Grad_a]]))</f>
        <v/>
      </c>
      <c r="O1444" s="2" t="str">
        <f>IF(Iterations[[#This Row],[Step]] =current_step, current_Grad_b,IF(Iterations[[#This Row],[Step]] &gt; current_step, "",Iterations[[#This Row],[Grad_b]]))</f>
        <v/>
      </c>
      <c r="P1444" s="2" t="str">
        <f>IF(Iterations[[#This Row],[Step]] =current_step, current_Grad_c,IF(Iterations[[#This Row],[Step]] &gt; current_step, "",Iterations[[#This Row],[Grad_c]]))</f>
        <v/>
      </c>
      <c r="Q1444" s="2" t="str">
        <f>IF(Iterations[[#This Row],[Step]] =current_step, current_Grad_d,IF(Iterations[[#This Row],[Step]] &gt; current_step, "",Iterations[[#This Row],[Grad_d]]))</f>
        <v/>
      </c>
      <c r="R1444" s="2" t="str">
        <f>IF(Iterations[[#This Row],[Step]] =current_step, current_Grad_e,IF(Iterations[[#This Row],[Step]] &gt; current_step, "",Iterations[[#This Row],[Grad_e]]))</f>
        <v/>
      </c>
    </row>
    <row r="1445" spans="6:18" x14ac:dyDescent="0.3">
      <c r="F1445" s="2">
        <f t="shared" si="27"/>
        <v>1428</v>
      </c>
      <c r="G1445" s="2" t="str">
        <f>IF(Iterations[[#This Row],[Step]] =current_step, current_a,IF(Iterations[[#This Row],[Step]] &gt; current_step, "",Iterations[[#This Row],[a]]))</f>
        <v/>
      </c>
      <c r="H1445" s="2" t="str">
        <f>IF(Iterations[[#This Row],[Step]] =current_step, current_b,IF(Iterations[[#This Row],[Step]] &gt; current_step, "",Iterations[[#This Row],[b]]))</f>
        <v/>
      </c>
      <c r="I1445" s="2" t="str">
        <f>IF(Iterations[[#This Row],[Step]] =current_step, current_c,IF(Iterations[[#This Row],[Step]] &gt; current_step, "",Iterations[[#This Row],[c]]))</f>
        <v/>
      </c>
      <c r="J1445" s="2" t="str">
        <f>IF(Iterations[[#This Row],[Step]] =current_step, current_d,IF(Iterations[[#This Row],[Step]] &gt; current_step, "",Iterations[[#This Row],[d]]))</f>
        <v/>
      </c>
      <c r="K1445" s="2" t="str">
        <f>IF(Iterations[[#This Row],[Step]] =current_step, current_e,IF(Iterations[[#This Row],[Step]] &gt; current_step, "",Iterations[[#This Row],[e]]))</f>
        <v/>
      </c>
      <c r="L1445" s="2" t="str">
        <f>IF(Iterations[[#This Row],[Step]] =current_step, current_Total_Loss,IF(Iterations[[#This Row],[Step]] &gt; current_step, "",Iterations[[#This Row],[Total Loss]]))</f>
        <v/>
      </c>
      <c r="M1445" s="6" t="s">
        <v>27</v>
      </c>
      <c r="N1445" s="2" t="str">
        <f>IF(Iterations[[#This Row],[Step]] =current_step, current_Grad_a,IF(Iterations[[#This Row],[Step]] &gt; current_step, "",Iterations[[#This Row],[Grad_a]]))</f>
        <v/>
      </c>
      <c r="O1445" s="2" t="str">
        <f>IF(Iterations[[#This Row],[Step]] =current_step, current_Grad_b,IF(Iterations[[#This Row],[Step]] &gt; current_step, "",Iterations[[#This Row],[Grad_b]]))</f>
        <v/>
      </c>
      <c r="P1445" s="2" t="str">
        <f>IF(Iterations[[#This Row],[Step]] =current_step, current_Grad_c,IF(Iterations[[#This Row],[Step]] &gt; current_step, "",Iterations[[#This Row],[Grad_c]]))</f>
        <v/>
      </c>
      <c r="Q1445" s="2" t="str">
        <f>IF(Iterations[[#This Row],[Step]] =current_step, current_Grad_d,IF(Iterations[[#This Row],[Step]] &gt; current_step, "",Iterations[[#This Row],[Grad_d]]))</f>
        <v/>
      </c>
      <c r="R1445" s="2" t="str">
        <f>IF(Iterations[[#This Row],[Step]] =current_step, current_Grad_e,IF(Iterations[[#This Row],[Step]] &gt; current_step, "",Iterations[[#This Row],[Grad_e]]))</f>
        <v/>
      </c>
    </row>
    <row r="1446" spans="6:18" x14ac:dyDescent="0.3">
      <c r="F1446" s="2">
        <f t="shared" si="27"/>
        <v>1429</v>
      </c>
      <c r="G1446" s="2" t="str">
        <f>IF(Iterations[[#This Row],[Step]] =current_step, current_a,IF(Iterations[[#This Row],[Step]] &gt; current_step, "",Iterations[[#This Row],[a]]))</f>
        <v/>
      </c>
      <c r="H1446" s="2" t="str">
        <f>IF(Iterations[[#This Row],[Step]] =current_step, current_b,IF(Iterations[[#This Row],[Step]] &gt; current_step, "",Iterations[[#This Row],[b]]))</f>
        <v/>
      </c>
      <c r="I1446" s="2" t="str">
        <f>IF(Iterations[[#This Row],[Step]] =current_step, current_c,IF(Iterations[[#This Row],[Step]] &gt; current_step, "",Iterations[[#This Row],[c]]))</f>
        <v/>
      </c>
      <c r="J1446" s="2" t="str">
        <f>IF(Iterations[[#This Row],[Step]] =current_step, current_d,IF(Iterations[[#This Row],[Step]] &gt; current_step, "",Iterations[[#This Row],[d]]))</f>
        <v/>
      </c>
      <c r="K1446" s="2" t="str">
        <f>IF(Iterations[[#This Row],[Step]] =current_step, current_e,IF(Iterations[[#This Row],[Step]] &gt; current_step, "",Iterations[[#This Row],[e]]))</f>
        <v/>
      </c>
      <c r="L1446" s="2" t="str">
        <f>IF(Iterations[[#This Row],[Step]] =current_step, current_Total_Loss,IF(Iterations[[#This Row],[Step]] &gt; current_step, "",Iterations[[#This Row],[Total Loss]]))</f>
        <v/>
      </c>
      <c r="M1446" s="6" t="s">
        <v>27</v>
      </c>
      <c r="N1446" s="2" t="str">
        <f>IF(Iterations[[#This Row],[Step]] =current_step, current_Grad_a,IF(Iterations[[#This Row],[Step]] &gt; current_step, "",Iterations[[#This Row],[Grad_a]]))</f>
        <v/>
      </c>
      <c r="O1446" s="2" t="str">
        <f>IF(Iterations[[#This Row],[Step]] =current_step, current_Grad_b,IF(Iterations[[#This Row],[Step]] &gt; current_step, "",Iterations[[#This Row],[Grad_b]]))</f>
        <v/>
      </c>
      <c r="P1446" s="2" t="str">
        <f>IF(Iterations[[#This Row],[Step]] =current_step, current_Grad_c,IF(Iterations[[#This Row],[Step]] &gt; current_step, "",Iterations[[#This Row],[Grad_c]]))</f>
        <v/>
      </c>
      <c r="Q1446" s="2" t="str">
        <f>IF(Iterations[[#This Row],[Step]] =current_step, current_Grad_d,IF(Iterations[[#This Row],[Step]] &gt; current_step, "",Iterations[[#This Row],[Grad_d]]))</f>
        <v/>
      </c>
      <c r="R1446" s="2" t="str">
        <f>IF(Iterations[[#This Row],[Step]] =current_step, current_Grad_e,IF(Iterations[[#This Row],[Step]] &gt; current_step, "",Iterations[[#This Row],[Grad_e]]))</f>
        <v/>
      </c>
    </row>
    <row r="1447" spans="6:18" x14ac:dyDescent="0.3">
      <c r="F1447" s="2">
        <f t="shared" si="27"/>
        <v>1430</v>
      </c>
      <c r="G1447" s="2" t="str">
        <f>IF(Iterations[[#This Row],[Step]] =current_step, current_a,IF(Iterations[[#This Row],[Step]] &gt; current_step, "",Iterations[[#This Row],[a]]))</f>
        <v/>
      </c>
      <c r="H1447" s="2" t="str">
        <f>IF(Iterations[[#This Row],[Step]] =current_step, current_b,IF(Iterations[[#This Row],[Step]] &gt; current_step, "",Iterations[[#This Row],[b]]))</f>
        <v/>
      </c>
      <c r="I1447" s="2" t="str">
        <f>IF(Iterations[[#This Row],[Step]] =current_step, current_c,IF(Iterations[[#This Row],[Step]] &gt; current_step, "",Iterations[[#This Row],[c]]))</f>
        <v/>
      </c>
      <c r="J1447" s="2" t="str">
        <f>IF(Iterations[[#This Row],[Step]] =current_step, current_d,IF(Iterations[[#This Row],[Step]] &gt; current_step, "",Iterations[[#This Row],[d]]))</f>
        <v/>
      </c>
      <c r="K1447" s="2" t="str">
        <f>IF(Iterations[[#This Row],[Step]] =current_step, current_e,IF(Iterations[[#This Row],[Step]] &gt; current_step, "",Iterations[[#This Row],[e]]))</f>
        <v/>
      </c>
      <c r="L1447" s="2" t="str">
        <f>IF(Iterations[[#This Row],[Step]] =current_step, current_Total_Loss,IF(Iterations[[#This Row],[Step]] &gt; current_step, "",Iterations[[#This Row],[Total Loss]]))</f>
        <v/>
      </c>
      <c r="M1447" s="6" t="s">
        <v>27</v>
      </c>
      <c r="N1447" s="2" t="str">
        <f>IF(Iterations[[#This Row],[Step]] =current_step, current_Grad_a,IF(Iterations[[#This Row],[Step]] &gt; current_step, "",Iterations[[#This Row],[Grad_a]]))</f>
        <v/>
      </c>
      <c r="O1447" s="2" t="str">
        <f>IF(Iterations[[#This Row],[Step]] =current_step, current_Grad_b,IF(Iterations[[#This Row],[Step]] &gt; current_step, "",Iterations[[#This Row],[Grad_b]]))</f>
        <v/>
      </c>
      <c r="P1447" s="2" t="str">
        <f>IF(Iterations[[#This Row],[Step]] =current_step, current_Grad_c,IF(Iterations[[#This Row],[Step]] &gt; current_step, "",Iterations[[#This Row],[Grad_c]]))</f>
        <v/>
      </c>
      <c r="Q1447" s="2" t="str">
        <f>IF(Iterations[[#This Row],[Step]] =current_step, current_Grad_d,IF(Iterations[[#This Row],[Step]] &gt; current_step, "",Iterations[[#This Row],[Grad_d]]))</f>
        <v/>
      </c>
      <c r="R1447" s="2" t="str">
        <f>IF(Iterations[[#This Row],[Step]] =current_step, current_Grad_e,IF(Iterations[[#This Row],[Step]] &gt; current_step, "",Iterations[[#This Row],[Grad_e]]))</f>
        <v/>
      </c>
    </row>
    <row r="1448" spans="6:18" x14ac:dyDescent="0.3">
      <c r="F1448" s="2">
        <f t="shared" si="27"/>
        <v>1431</v>
      </c>
      <c r="G1448" s="2" t="str">
        <f>IF(Iterations[[#This Row],[Step]] =current_step, current_a,IF(Iterations[[#This Row],[Step]] &gt; current_step, "",Iterations[[#This Row],[a]]))</f>
        <v/>
      </c>
      <c r="H1448" s="2" t="str">
        <f>IF(Iterations[[#This Row],[Step]] =current_step, current_b,IF(Iterations[[#This Row],[Step]] &gt; current_step, "",Iterations[[#This Row],[b]]))</f>
        <v/>
      </c>
      <c r="I1448" s="2" t="str">
        <f>IF(Iterations[[#This Row],[Step]] =current_step, current_c,IF(Iterations[[#This Row],[Step]] &gt; current_step, "",Iterations[[#This Row],[c]]))</f>
        <v/>
      </c>
      <c r="J1448" s="2" t="str">
        <f>IF(Iterations[[#This Row],[Step]] =current_step, current_d,IF(Iterations[[#This Row],[Step]] &gt; current_step, "",Iterations[[#This Row],[d]]))</f>
        <v/>
      </c>
      <c r="K1448" s="2" t="str">
        <f>IF(Iterations[[#This Row],[Step]] =current_step, current_e,IF(Iterations[[#This Row],[Step]] &gt; current_step, "",Iterations[[#This Row],[e]]))</f>
        <v/>
      </c>
      <c r="L1448" s="2" t="str">
        <f>IF(Iterations[[#This Row],[Step]] =current_step, current_Total_Loss,IF(Iterations[[#This Row],[Step]] &gt; current_step, "",Iterations[[#This Row],[Total Loss]]))</f>
        <v/>
      </c>
      <c r="M1448" s="6" t="s">
        <v>27</v>
      </c>
      <c r="N1448" s="2" t="str">
        <f>IF(Iterations[[#This Row],[Step]] =current_step, current_Grad_a,IF(Iterations[[#This Row],[Step]] &gt; current_step, "",Iterations[[#This Row],[Grad_a]]))</f>
        <v/>
      </c>
      <c r="O1448" s="2" t="str">
        <f>IF(Iterations[[#This Row],[Step]] =current_step, current_Grad_b,IF(Iterations[[#This Row],[Step]] &gt; current_step, "",Iterations[[#This Row],[Grad_b]]))</f>
        <v/>
      </c>
      <c r="P1448" s="2" t="str">
        <f>IF(Iterations[[#This Row],[Step]] =current_step, current_Grad_c,IF(Iterations[[#This Row],[Step]] &gt; current_step, "",Iterations[[#This Row],[Grad_c]]))</f>
        <v/>
      </c>
      <c r="Q1448" s="2" t="str">
        <f>IF(Iterations[[#This Row],[Step]] =current_step, current_Grad_d,IF(Iterations[[#This Row],[Step]] &gt; current_step, "",Iterations[[#This Row],[Grad_d]]))</f>
        <v/>
      </c>
      <c r="R1448" s="2" t="str">
        <f>IF(Iterations[[#This Row],[Step]] =current_step, current_Grad_e,IF(Iterations[[#This Row],[Step]] &gt; current_step, "",Iterations[[#This Row],[Grad_e]]))</f>
        <v/>
      </c>
    </row>
    <row r="1449" spans="6:18" x14ac:dyDescent="0.3">
      <c r="F1449" s="2">
        <f t="shared" si="27"/>
        <v>1432</v>
      </c>
      <c r="G1449" s="2" t="str">
        <f>IF(Iterations[[#This Row],[Step]] =current_step, current_a,IF(Iterations[[#This Row],[Step]] &gt; current_step, "",Iterations[[#This Row],[a]]))</f>
        <v/>
      </c>
      <c r="H1449" s="2" t="str">
        <f>IF(Iterations[[#This Row],[Step]] =current_step, current_b,IF(Iterations[[#This Row],[Step]] &gt; current_step, "",Iterations[[#This Row],[b]]))</f>
        <v/>
      </c>
      <c r="I1449" s="2" t="str">
        <f>IF(Iterations[[#This Row],[Step]] =current_step, current_c,IF(Iterations[[#This Row],[Step]] &gt; current_step, "",Iterations[[#This Row],[c]]))</f>
        <v/>
      </c>
      <c r="J1449" s="2" t="str">
        <f>IF(Iterations[[#This Row],[Step]] =current_step, current_d,IF(Iterations[[#This Row],[Step]] &gt; current_step, "",Iterations[[#This Row],[d]]))</f>
        <v/>
      </c>
      <c r="K1449" s="2" t="str">
        <f>IF(Iterations[[#This Row],[Step]] =current_step, current_e,IF(Iterations[[#This Row],[Step]] &gt; current_step, "",Iterations[[#This Row],[e]]))</f>
        <v/>
      </c>
      <c r="L1449" s="2" t="str">
        <f>IF(Iterations[[#This Row],[Step]] =current_step, current_Total_Loss,IF(Iterations[[#This Row],[Step]] &gt; current_step, "",Iterations[[#This Row],[Total Loss]]))</f>
        <v/>
      </c>
      <c r="M1449" s="6" t="s">
        <v>27</v>
      </c>
      <c r="N1449" s="2" t="str">
        <f>IF(Iterations[[#This Row],[Step]] =current_step, current_Grad_a,IF(Iterations[[#This Row],[Step]] &gt; current_step, "",Iterations[[#This Row],[Grad_a]]))</f>
        <v/>
      </c>
      <c r="O1449" s="2" t="str">
        <f>IF(Iterations[[#This Row],[Step]] =current_step, current_Grad_b,IF(Iterations[[#This Row],[Step]] &gt; current_step, "",Iterations[[#This Row],[Grad_b]]))</f>
        <v/>
      </c>
      <c r="P1449" s="2" t="str">
        <f>IF(Iterations[[#This Row],[Step]] =current_step, current_Grad_c,IF(Iterations[[#This Row],[Step]] &gt; current_step, "",Iterations[[#This Row],[Grad_c]]))</f>
        <v/>
      </c>
      <c r="Q1449" s="2" t="str">
        <f>IF(Iterations[[#This Row],[Step]] =current_step, current_Grad_d,IF(Iterations[[#This Row],[Step]] &gt; current_step, "",Iterations[[#This Row],[Grad_d]]))</f>
        <v/>
      </c>
      <c r="R1449" s="2" t="str">
        <f>IF(Iterations[[#This Row],[Step]] =current_step, current_Grad_e,IF(Iterations[[#This Row],[Step]] &gt; current_step, "",Iterations[[#This Row],[Grad_e]]))</f>
        <v/>
      </c>
    </row>
    <row r="1450" spans="6:18" x14ac:dyDescent="0.3">
      <c r="F1450" s="2">
        <f t="shared" si="27"/>
        <v>1433</v>
      </c>
      <c r="G1450" s="2" t="str">
        <f>IF(Iterations[[#This Row],[Step]] =current_step, current_a,IF(Iterations[[#This Row],[Step]] &gt; current_step, "",Iterations[[#This Row],[a]]))</f>
        <v/>
      </c>
      <c r="H1450" s="2" t="str">
        <f>IF(Iterations[[#This Row],[Step]] =current_step, current_b,IF(Iterations[[#This Row],[Step]] &gt; current_step, "",Iterations[[#This Row],[b]]))</f>
        <v/>
      </c>
      <c r="I1450" s="2" t="str">
        <f>IF(Iterations[[#This Row],[Step]] =current_step, current_c,IF(Iterations[[#This Row],[Step]] &gt; current_step, "",Iterations[[#This Row],[c]]))</f>
        <v/>
      </c>
      <c r="J1450" s="2" t="str">
        <f>IF(Iterations[[#This Row],[Step]] =current_step, current_d,IF(Iterations[[#This Row],[Step]] &gt; current_step, "",Iterations[[#This Row],[d]]))</f>
        <v/>
      </c>
      <c r="K1450" s="2" t="str">
        <f>IF(Iterations[[#This Row],[Step]] =current_step, current_e,IF(Iterations[[#This Row],[Step]] &gt; current_step, "",Iterations[[#This Row],[e]]))</f>
        <v/>
      </c>
      <c r="L1450" s="2" t="str">
        <f>IF(Iterations[[#This Row],[Step]] =current_step, current_Total_Loss,IF(Iterations[[#This Row],[Step]] &gt; current_step, "",Iterations[[#This Row],[Total Loss]]))</f>
        <v/>
      </c>
      <c r="M1450" s="6" t="s">
        <v>27</v>
      </c>
      <c r="N1450" s="2" t="str">
        <f>IF(Iterations[[#This Row],[Step]] =current_step, current_Grad_a,IF(Iterations[[#This Row],[Step]] &gt; current_step, "",Iterations[[#This Row],[Grad_a]]))</f>
        <v/>
      </c>
      <c r="O1450" s="2" t="str">
        <f>IF(Iterations[[#This Row],[Step]] =current_step, current_Grad_b,IF(Iterations[[#This Row],[Step]] &gt; current_step, "",Iterations[[#This Row],[Grad_b]]))</f>
        <v/>
      </c>
      <c r="P1450" s="2" t="str">
        <f>IF(Iterations[[#This Row],[Step]] =current_step, current_Grad_c,IF(Iterations[[#This Row],[Step]] &gt; current_step, "",Iterations[[#This Row],[Grad_c]]))</f>
        <v/>
      </c>
      <c r="Q1450" s="2" t="str">
        <f>IF(Iterations[[#This Row],[Step]] =current_step, current_Grad_d,IF(Iterations[[#This Row],[Step]] &gt; current_step, "",Iterations[[#This Row],[Grad_d]]))</f>
        <v/>
      </c>
      <c r="R1450" s="2" t="str">
        <f>IF(Iterations[[#This Row],[Step]] =current_step, current_Grad_e,IF(Iterations[[#This Row],[Step]] &gt; current_step, "",Iterations[[#This Row],[Grad_e]]))</f>
        <v/>
      </c>
    </row>
    <row r="1451" spans="6:18" x14ac:dyDescent="0.3">
      <c r="F1451" s="2">
        <f t="shared" si="27"/>
        <v>1434</v>
      </c>
      <c r="G1451" s="2" t="str">
        <f>IF(Iterations[[#This Row],[Step]] =current_step, current_a,IF(Iterations[[#This Row],[Step]] &gt; current_step, "",Iterations[[#This Row],[a]]))</f>
        <v/>
      </c>
      <c r="H1451" s="2" t="str">
        <f>IF(Iterations[[#This Row],[Step]] =current_step, current_b,IF(Iterations[[#This Row],[Step]] &gt; current_step, "",Iterations[[#This Row],[b]]))</f>
        <v/>
      </c>
      <c r="I1451" s="2" t="str">
        <f>IF(Iterations[[#This Row],[Step]] =current_step, current_c,IF(Iterations[[#This Row],[Step]] &gt; current_step, "",Iterations[[#This Row],[c]]))</f>
        <v/>
      </c>
      <c r="J1451" s="2" t="str">
        <f>IF(Iterations[[#This Row],[Step]] =current_step, current_d,IF(Iterations[[#This Row],[Step]] &gt; current_step, "",Iterations[[#This Row],[d]]))</f>
        <v/>
      </c>
      <c r="K1451" s="2" t="str">
        <f>IF(Iterations[[#This Row],[Step]] =current_step, current_e,IF(Iterations[[#This Row],[Step]] &gt; current_step, "",Iterations[[#This Row],[e]]))</f>
        <v/>
      </c>
      <c r="L1451" s="2" t="str">
        <f>IF(Iterations[[#This Row],[Step]] =current_step, current_Total_Loss,IF(Iterations[[#This Row],[Step]] &gt; current_step, "",Iterations[[#This Row],[Total Loss]]))</f>
        <v/>
      </c>
      <c r="M1451" s="6" t="s">
        <v>27</v>
      </c>
      <c r="N1451" s="2" t="str">
        <f>IF(Iterations[[#This Row],[Step]] =current_step, current_Grad_a,IF(Iterations[[#This Row],[Step]] &gt; current_step, "",Iterations[[#This Row],[Grad_a]]))</f>
        <v/>
      </c>
      <c r="O1451" s="2" t="str">
        <f>IF(Iterations[[#This Row],[Step]] =current_step, current_Grad_b,IF(Iterations[[#This Row],[Step]] &gt; current_step, "",Iterations[[#This Row],[Grad_b]]))</f>
        <v/>
      </c>
      <c r="P1451" s="2" t="str">
        <f>IF(Iterations[[#This Row],[Step]] =current_step, current_Grad_c,IF(Iterations[[#This Row],[Step]] &gt; current_step, "",Iterations[[#This Row],[Grad_c]]))</f>
        <v/>
      </c>
      <c r="Q1451" s="2" t="str">
        <f>IF(Iterations[[#This Row],[Step]] =current_step, current_Grad_d,IF(Iterations[[#This Row],[Step]] &gt; current_step, "",Iterations[[#This Row],[Grad_d]]))</f>
        <v/>
      </c>
      <c r="R1451" s="2" t="str">
        <f>IF(Iterations[[#This Row],[Step]] =current_step, current_Grad_e,IF(Iterations[[#This Row],[Step]] &gt; current_step, "",Iterations[[#This Row],[Grad_e]]))</f>
        <v/>
      </c>
    </row>
    <row r="1452" spans="6:18" x14ac:dyDescent="0.3">
      <c r="F1452" s="2">
        <f t="shared" si="27"/>
        <v>1435</v>
      </c>
      <c r="G1452" s="2" t="str">
        <f>IF(Iterations[[#This Row],[Step]] =current_step, current_a,IF(Iterations[[#This Row],[Step]] &gt; current_step, "",Iterations[[#This Row],[a]]))</f>
        <v/>
      </c>
      <c r="H1452" s="2" t="str">
        <f>IF(Iterations[[#This Row],[Step]] =current_step, current_b,IF(Iterations[[#This Row],[Step]] &gt; current_step, "",Iterations[[#This Row],[b]]))</f>
        <v/>
      </c>
      <c r="I1452" s="2" t="str">
        <f>IF(Iterations[[#This Row],[Step]] =current_step, current_c,IF(Iterations[[#This Row],[Step]] &gt; current_step, "",Iterations[[#This Row],[c]]))</f>
        <v/>
      </c>
      <c r="J1452" s="2" t="str">
        <f>IF(Iterations[[#This Row],[Step]] =current_step, current_d,IF(Iterations[[#This Row],[Step]] &gt; current_step, "",Iterations[[#This Row],[d]]))</f>
        <v/>
      </c>
      <c r="K1452" s="2" t="str">
        <f>IF(Iterations[[#This Row],[Step]] =current_step, current_e,IF(Iterations[[#This Row],[Step]] &gt; current_step, "",Iterations[[#This Row],[e]]))</f>
        <v/>
      </c>
      <c r="L1452" s="2" t="str">
        <f>IF(Iterations[[#This Row],[Step]] =current_step, current_Total_Loss,IF(Iterations[[#This Row],[Step]] &gt; current_step, "",Iterations[[#This Row],[Total Loss]]))</f>
        <v/>
      </c>
      <c r="M1452" s="6" t="s">
        <v>27</v>
      </c>
      <c r="N1452" s="2" t="str">
        <f>IF(Iterations[[#This Row],[Step]] =current_step, current_Grad_a,IF(Iterations[[#This Row],[Step]] &gt; current_step, "",Iterations[[#This Row],[Grad_a]]))</f>
        <v/>
      </c>
      <c r="O1452" s="2" t="str">
        <f>IF(Iterations[[#This Row],[Step]] =current_step, current_Grad_b,IF(Iterations[[#This Row],[Step]] &gt; current_step, "",Iterations[[#This Row],[Grad_b]]))</f>
        <v/>
      </c>
      <c r="P1452" s="2" t="str">
        <f>IF(Iterations[[#This Row],[Step]] =current_step, current_Grad_c,IF(Iterations[[#This Row],[Step]] &gt; current_step, "",Iterations[[#This Row],[Grad_c]]))</f>
        <v/>
      </c>
      <c r="Q1452" s="2" t="str">
        <f>IF(Iterations[[#This Row],[Step]] =current_step, current_Grad_d,IF(Iterations[[#This Row],[Step]] &gt; current_step, "",Iterations[[#This Row],[Grad_d]]))</f>
        <v/>
      </c>
      <c r="R1452" s="2" t="str">
        <f>IF(Iterations[[#This Row],[Step]] =current_step, current_Grad_e,IF(Iterations[[#This Row],[Step]] &gt; current_step, "",Iterations[[#This Row],[Grad_e]]))</f>
        <v/>
      </c>
    </row>
    <row r="1453" spans="6:18" x14ac:dyDescent="0.3">
      <c r="F1453" s="2">
        <f t="shared" si="27"/>
        <v>1436</v>
      </c>
      <c r="G1453" s="2" t="str">
        <f>IF(Iterations[[#This Row],[Step]] =current_step, current_a,IF(Iterations[[#This Row],[Step]] &gt; current_step, "",Iterations[[#This Row],[a]]))</f>
        <v/>
      </c>
      <c r="H1453" s="2" t="str">
        <f>IF(Iterations[[#This Row],[Step]] =current_step, current_b,IF(Iterations[[#This Row],[Step]] &gt; current_step, "",Iterations[[#This Row],[b]]))</f>
        <v/>
      </c>
      <c r="I1453" s="2" t="str">
        <f>IF(Iterations[[#This Row],[Step]] =current_step, current_c,IF(Iterations[[#This Row],[Step]] &gt; current_step, "",Iterations[[#This Row],[c]]))</f>
        <v/>
      </c>
      <c r="J1453" s="2" t="str">
        <f>IF(Iterations[[#This Row],[Step]] =current_step, current_d,IF(Iterations[[#This Row],[Step]] &gt; current_step, "",Iterations[[#This Row],[d]]))</f>
        <v/>
      </c>
      <c r="K1453" s="2" t="str">
        <f>IF(Iterations[[#This Row],[Step]] =current_step, current_e,IF(Iterations[[#This Row],[Step]] &gt; current_step, "",Iterations[[#This Row],[e]]))</f>
        <v/>
      </c>
      <c r="L1453" s="2" t="str">
        <f>IF(Iterations[[#This Row],[Step]] =current_step, current_Total_Loss,IF(Iterations[[#This Row],[Step]] &gt; current_step, "",Iterations[[#This Row],[Total Loss]]))</f>
        <v/>
      </c>
      <c r="M1453" s="6" t="s">
        <v>27</v>
      </c>
      <c r="N1453" s="2" t="str">
        <f>IF(Iterations[[#This Row],[Step]] =current_step, current_Grad_a,IF(Iterations[[#This Row],[Step]] &gt; current_step, "",Iterations[[#This Row],[Grad_a]]))</f>
        <v/>
      </c>
      <c r="O1453" s="2" t="str">
        <f>IF(Iterations[[#This Row],[Step]] =current_step, current_Grad_b,IF(Iterations[[#This Row],[Step]] &gt; current_step, "",Iterations[[#This Row],[Grad_b]]))</f>
        <v/>
      </c>
      <c r="P1453" s="2" t="str">
        <f>IF(Iterations[[#This Row],[Step]] =current_step, current_Grad_c,IF(Iterations[[#This Row],[Step]] &gt; current_step, "",Iterations[[#This Row],[Grad_c]]))</f>
        <v/>
      </c>
      <c r="Q1453" s="2" t="str">
        <f>IF(Iterations[[#This Row],[Step]] =current_step, current_Grad_d,IF(Iterations[[#This Row],[Step]] &gt; current_step, "",Iterations[[#This Row],[Grad_d]]))</f>
        <v/>
      </c>
      <c r="R1453" s="2" t="str">
        <f>IF(Iterations[[#This Row],[Step]] =current_step, current_Grad_e,IF(Iterations[[#This Row],[Step]] &gt; current_step, "",Iterations[[#This Row],[Grad_e]]))</f>
        <v/>
      </c>
    </row>
    <row r="1454" spans="6:18" x14ac:dyDescent="0.3">
      <c r="F1454" s="2">
        <f t="shared" si="27"/>
        <v>1437</v>
      </c>
      <c r="G1454" s="2" t="str">
        <f>IF(Iterations[[#This Row],[Step]] =current_step, current_a,IF(Iterations[[#This Row],[Step]] &gt; current_step, "",Iterations[[#This Row],[a]]))</f>
        <v/>
      </c>
      <c r="H1454" s="2" t="str">
        <f>IF(Iterations[[#This Row],[Step]] =current_step, current_b,IF(Iterations[[#This Row],[Step]] &gt; current_step, "",Iterations[[#This Row],[b]]))</f>
        <v/>
      </c>
      <c r="I1454" s="2" t="str">
        <f>IF(Iterations[[#This Row],[Step]] =current_step, current_c,IF(Iterations[[#This Row],[Step]] &gt; current_step, "",Iterations[[#This Row],[c]]))</f>
        <v/>
      </c>
      <c r="J1454" s="2" t="str">
        <f>IF(Iterations[[#This Row],[Step]] =current_step, current_d,IF(Iterations[[#This Row],[Step]] &gt; current_step, "",Iterations[[#This Row],[d]]))</f>
        <v/>
      </c>
      <c r="K1454" s="2" t="str">
        <f>IF(Iterations[[#This Row],[Step]] =current_step, current_e,IF(Iterations[[#This Row],[Step]] &gt; current_step, "",Iterations[[#This Row],[e]]))</f>
        <v/>
      </c>
      <c r="L1454" s="2" t="str">
        <f>IF(Iterations[[#This Row],[Step]] =current_step, current_Total_Loss,IF(Iterations[[#This Row],[Step]] &gt; current_step, "",Iterations[[#This Row],[Total Loss]]))</f>
        <v/>
      </c>
      <c r="M1454" s="6" t="s">
        <v>27</v>
      </c>
      <c r="N1454" s="2" t="str">
        <f>IF(Iterations[[#This Row],[Step]] =current_step, current_Grad_a,IF(Iterations[[#This Row],[Step]] &gt; current_step, "",Iterations[[#This Row],[Grad_a]]))</f>
        <v/>
      </c>
      <c r="O1454" s="2" t="str">
        <f>IF(Iterations[[#This Row],[Step]] =current_step, current_Grad_b,IF(Iterations[[#This Row],[Step]] &gt; current_step, "",Iterations[[#This Row],[Grad_b]]))</f>
        <v/>
      </c>
      <c r="P1454" s="2" t="str">
        <f>IF(Iterations[[#This Row],[Step]] =current_step, current_Grad_c,IF(Iterations[[#This Row],[Step]] &gt; current_step, "",Iterations[[#This Row],[Grad_c]]))</f>
        <v/>
      </c>
      <c r="Q1454" s="2" t="str">
        <f>IF(Iterations[[#This Row],[Step]] =current_step, current_Grad_d,IF(Iterations[[#This Row],[Step]] &gt; current_step, "",Iterations[[#This Row],[Grad_d]]))</f>
        <v/>
      </c>
      <c r="R1454" s="2" t="str">
        <f>IF(Iterations[[#This Row],[Step]] =current_step, current_Grad_e,IF(Iterations[[#This Row],[Step]] &gt; current_step, "",Iterations[[#This Row],[Grad_e]]))</f>
        <v/>
      </c>
    </row>
    <row r="1455" spans="6:18" x14ac:dyDescent="0.3">
      <c r="F1455" s="2">
        <f t="shared" si="27"/>
        <v>1438</v>
      </c>
      <c r="G1455" s="2" t="str">
        <f>IF(Iterations[[#This Row],[Step]] =current_step, current_a,IF(Iterations[[#This Row],[Step]] &gt; current_step, "",Iterations[[#This Row],[a]]))</f>
        <v/>
      </c>
      <c r="H1455" s="2" t="str">
        <f>IF(Iterations[[#This Row],[Step]] =current_step, current_b,IF(Iterations[[#This Row],[Step]] &gt; current_step, "",Iterations[[#This Row],[b]]))</f>
        <v/>
      </c>
      <c r="I1455" s="2" t="str">
        <f>IF(Iterations[[#This Row],[Step]] =current_step, current_c,IF(Iterations[[#This Row],[Step]] &gt; current_step, "",Iterations[[#This Row],[c]]))</f>
        <v/>
      </c>
      <c r="J1455" s="2" t="str">
        <f>IF(Iterations[[#This Row],[Step]] =current_step, current_d,IF(Iterations[[#This Row],[Step]] &gt; current_step, "",Iterations[[#This Row],[d]]))</f>
        <v/>
      </c>
      <c r="K1455" s="2" t="str">
        <f>IF(Iterations[[#This Row],[Step]] =current_step, current_e,IF(Iterations[[#This Row],[Step]] &gt; current_step, "",Iterations[[#This Row],[e]]))</f>
        <v/>
      </c>
      <c r="L1455" s="2" t="str">
        <f>IF(Iterations[[#This Row],[Step]] =current_step, current_Total_Loss,IF(Iterations[[#This Row],[Step]] &gt; current_step, "",Iterations[[#This Row],[Total Loss]]))</f>
        <v/>
      </c>
      <c r="M1455" s="6" t="s">
        <v>27</v>
      </c>
      <c r="N1455" s="2" t="str">
        <f>IF(Iterations[[#This Row],[Step]] =current_step, current_Grad_a,IF(Iterations[[#This Row],[Step]] &gt; current_step, "",Iterations[[#This Row],[Grad_a]]))</f>
        <v/>
      </c>
      <c r="O1455" s="2" t="str">
        <f>IF(Iterations[[#This Row],[Step]] =current_step, current_Grad_b,IF(Iterations[[#This Row],[Step]] &gt; current_step, "",Iterations[[#This Row],[Grad_b]]))</f>
        <v/>
      </c>
      <c r="P1455" s="2" t="str">
        <f>IF(Iterations[[#This Row],[Step]] =current_step, current_Grad_c,IF(Iterations[[#This Row],[Step]] &gt; current_step, "",Iterations[[#This Row],[Grad_c]]))</f>
        <v/>
      </c>
      <c r="Q1455" s="2" t="str">
        <f>IF(Iterations[[#This Row],[Step]] =current_step, current_Grad_d,IF(Iterations[[#This Row],[Step]] &gt; current_step, "",Iterations[[#This Row],[Grad_d]]))</f>
        <v/>
      </c>
      <c r="R1455" s="2" t="str">
        <f>IF(Iterations[[#This Row],[Step]] =current_step, current_Grad_e,IF(Iterations[[#This Row],[Step]] &gt; current_step, "",Iterations[[#This Row],[Grad_e]]))</f>
        <v/>
      </c>
    </row>
    <row r="1456" spans="6:18" x14ac:dyDescent="0.3">
      <c r="F1456" s="2">
        <f t="shared" si="27"/>
        <v>1439</v>
      </c>
      <c r="G1456" s="2" t="str">
        <f>IF(Iterations[[#This Row],[Step]] =current_step, current_a,IF(Iterations[[#This Row],[Step]] &gt; current_step, "",Iterations[[#This Row],[a]]))</f>
        <v/>
      </c>
      <c r="H1456" s="2" t="str">
        <f>IF(Iterations[[#This Row],[Step]] =current_step, current_b,IF(Iterations[[#This Row],[Step]] &gt; current_step, "",Iterations[[#This Row],[b]]))</f>
        <v/>
      </c>
      <c r="I1456" s="2" t="str">
        <f>IF(Iterations[[#This Row],[Step]] =current_step, current_c,IF(Iterations[[#This Row],[Step]] &gt; current_step, "",Iterations[[#This Row],[c]]))</f>
        <v/>
      </c>
      <c r="J1456" s="2" t="str">
        <f>IF(Iterations[[#This Row],[Step]] =current_step, current_d,IF(Iterations[[#This Row],[Step]] &gt; current_step, "",Iterations[[#This Row],[d]]))</f>
        <v/>
      </c>
      <c r="K1456" s="2" t="str">
        <f>IF(Iterations[[#This Row],[Step]] =current_step, current_e,IF(Iterations[[#This Row],[Step]] &gt; current_step, "",Iterations[[#This Row],[e]]))</f>
        <v/>
      </c>
      <c r="L1456" s="2" t="str">
        <f>IF(Iterations[[#This Row],[Step]] =current_step, current_Total_Loss,IF(Iterations[[#This Row],[Step]] &gt; current_step, "",Iterations[[#This Row],[Total Loss]]))</f>
        <v/>
      </c>
      <c r="M1456" s="6" t="s">
        <v>27</v>
      </c>
      <c r="N1456" s="2" t="str">
        <f>IF(Iterations[[#This Row],[Step]] =current_step, current_Grad_a,IF(Iterations[[#This Row],[Step]] &gt; current_step, "",Iterations[[#This Row],[Grad_a]]))</f>
        <v/>
      </c>
      <c r="O1456" s="2" t="str">
        <f>IF(Iterations[[#This Row],[Step]] =current_step, current_Grad_b,IF(Iterations[[#This Row],[Step]] &gt; current_step, "",Iterations[[#This Row],[Grad_b]]))</f>
        <v/>
      </c>
      <c r="P1456" s="2" t="str">
        <f>IF(Iterations[[#This Row],[Step]] =current_step, current_Grad_c,IF(Iterations[[#This Row],[Step]] &gt; current_step, "",Iterations[[#This Row],[Grad_c]]))</f>
        <v/>
      </c>
      <c r="Q1456" s="2" t="str">
        <f>IF(Iterations[[#This Row],[Step]] =current_step, current_Grad_d,IF(Iterations[[#This Row],[Step]] &gt; current_step, "",Iterations[[#This Row],[Grad_d]]))</f>
        <v/>
      </c>
      <c r="R1456" s="2" t="str">
        <f>IF(Iterations[[#This Row],[Step]] =current_step, current_Grad_e,IF(Iterations[[#This Row],[Step]] &gt; current_step, "",Iterations[[#This Row],[Grad_e]]))</f>
        <v/>
      </c>
    </row>
    <row r="1457" spans="6:18" x14ac:dyDescent="0.3">
      <c r="F1457" s="2">
        <f t="shared" si="27"/>
        <v>1440</v>
      </c>
      <c r="G1457" s="2" t="str">
        <f>IF(Iterations[[#This Row],[Step]] =current_step, current_a,IF(Iterations[[#This Row],[Step]] &gt; current_step, "",Iterations[[#This Row],[a]]))</f>
        <v/>
      </c>
      <c r="H1457" s="2" t="str">
        <f>IF(Iterations[[#This Row],[Step]] =current_step, current_b,IF(Iterations[[#This Row],[Step]] &gt; current_step, "",Iterations[[#This Row],[b]]))</f>
        <v/>
      </c>
      <c r="I1457" s="2" t="str">
        <f>IF(Iterations[[#This Row],[Step]] =current_step, current_c,IF(Iterations[[#This Row],[Step]] &gt; current_step, "",Iterations[[#This Row],[c]]))</f>
        <v/>
      </c>
      <c r="J1457" s="2" t="str">
        <f>IF(Iterations[[#This Row],[Step]] =current_step, current_d,IF(Iterations[[#This Row],[Step]] &gt; current_step, "",Iterations[[#This Row],[d]]))</f>
        <v/>
      </c>
      <c r="K1457" s="2" t="str">
        <f>IF(Iterations[[#This Row],[Step]] =current_step, current_e,IF(Iterations[[#This Row],[Step]] &gt; current_step, "",Iterations[[#This Row],[e]]))</f>
        <v/>
      </c>
      <c r="L1457" s="2" t="str">
        <f>IF(Iterations[[#This Row],[Step]] =current_step, current_Total_Loss,IF(Iterations[[#This Row],[Step]] &gt; current_step, "",Iterations[[#This Row],[Total Loss]]))</f>
        <v/>
      </c>
      <c r="M1457" s="6" t="s">
        <v>27</v>
      </c>
      <c r="N1457" s="2" t="str">
        <f>IF(Iterations[[#This Row],[Step]] =current_step, current_Grad_a,IF(Iterations[[#This Row],[Step]] &gt; current_step, "",Iterations[[#This Row],[Grad_a]]))</f>
        <v/>
      </c>
      <c r="O1457" s="2" t="str">
        <f>IF(Iterations[[#This Row],[Step]] =current_step, current_Grad_b,IF(Iterations[[#This Row],[Step]] &gt; current_step, "",Iterations[[#This Row],[Grad_b]]))</f>
        <v/>
      </c>
      <c r="P1457" s="2" t="str">
        <f>IF(Iterations[[#This Row],[Step]] =current_step, current_Grad_c,IF(Iterations[[#This Row],[Step]] &gt; current_step, "",Iterations[[#This Row],[Grad_c]]))</f>
        <v/>
      </c>
      <c r="Q1457" s="2" t="str">
        <f>IF(Iterations[[#This Row],[Step]] =current_step, current_Grad_d,IF(Iterations[[#This Row],[Step]] &gt; current_step, "",Iterations[[#This Row],[Grad_d]]))</f>
        <v/>
      </c>
      <c r="R1457" s="2" t="str">
        <f>IF(Iterations[[#This Row],[Step]] =current_step, current_Grad_e,IF(Iterations[[#This Row],[Step]] &gt; current_step, "",Iterations[[#This Row],[Grad_e]]))</f>
        <v/>
      </c>
    </row>
    <row r="1458" spans="6:18" x14ac:dyDescent="0.3">
      <c r="F1458" s="2">
        <f t="shared" si="27"/>
        <v>1441</v>
      </c>
      <c r="G1458" s="2" t="str">
        <f>IF(Iterations[[#This Row],[Step]] =current_step, current_a,IF(Iterations[[#This Row],[Step]] &gt; current_step, "",Iterations[[#This Row],[a]]))</f>
        <v/>
      </c>
      <c r="H1458" s="2" t="str">
        <f>IF(Iterations[[#This Row],[Step]] =current_step, current_b,IF(Iterations[[#This Row],[Step]] &gt; current_step, "",Iterations[[#This Row],[b]]))</f>
        <v/>
      </c>
      <c r="I1458" s="2" t="str">
        <f>IF(Iterations[[#This Row],[Step]] =current_step, current_c,IF(Iterations[[#This Row],[Step]] &gt; current_step, "",Iterations[[#This Row],[c]]))</f>
        <v/>
      </c>
      <c r="J1458" s="2" t="str">
        <f>IF(Iterations[[#This Row],[Step]] =current_step, current_d,IF(Iterations[[#This Row],[Step]] &gt; current_step, "",Iterations[[#This Row],[d]]))</f>
        <v/>
      </c>
      <c r="K1458" s="2" t="str">
        <f>IF(Iterations[[#This Row],[Step]] =current_step, current_e,IF(Iterations[[#This Row],[Step]] &gt; current_step, "",Iterations[[#This Row],[e]]))</f>
        <v/>
      </c>
      <c r="L1458" s="2" t="str">
        <f>IF(Iterations[[#This Row],[Step]] =current_step, current_Total_Loss,IF(Iterations[[#This Row],[Step]] &gt; current_step, "",Iterations[[#This Row],[Total Loss]]))</f>
        <v/>
      </c>
      <c r="M1458" s="6" t="s">
        <v>27</v>
      </c>
      <c r="N1458" s="2" t="str">
        <f>IF(Iterations[[#This Row],[Step]] =current_step, current_Grad_a,IF(Iterations[[#This Row],[Step]] &gt; current_step, "",Iterations[[#This Row],[Grad_a]]))</f>
        <v/>
      </c>
      <c r="O1458" s="2" t="str">
        <f>IF(Iterations[[#This Row],[Step]] =current_step, current_Grad_b,IF(Iterations[[#This Row],[Step]] &gt; current_step, "",Iterations[[#This Row],[Grad_b]]))</f>
        <v/>
      </c>
      <c r="P1458" s="2" t="str">
        <f>IF(Iterations[[#This Row],[Step]] =current_step, current_Grad_c,IF(Iterations[[#This Row],[Step]] &gt; current_step, "",Iterations[[#This Row],[Grad_c]]))</f>
        <v/>
      </c>
      <c r="Q1458" s="2" t="str">
        <f>IF(Iterations[[#This Row],[Step]] =current_step, current_Grad_d,IF(Iterations[[#This Row],[Step]] &gt; current_step, "",Iterations[[#This Row],[Grad_d]]))</f>
        <v/>
      </c>
      <c r="R1458" s="2" t="str">
        <f>IF(Iterations[[#This Row],[Step]] =current_step, current_Grad_e,IF(Iterations[[#This Row],[Step]] &gt; current_step, "",Iterations[[#This Row],[Grad_e]]))</f>
        <v/>
      </c>
    </row>
    <row r="1459" spans="6:18" x14ac:dyDescent="0.3">
      <c r="F1459" s="2">
        <f t="shared" si="27"/>
        <v>1442</v>
      </c>
      <c r="G1459" s="2" t="str">
        <f>IF(Iterations[[#This Row],[Step]] =current_step, current_a,IF(Iterations[[#This Row],[Step]] &gt; current_step, "",Iterations[[#This Row],[a]]))</f>
        <v/>
      </c>
      <c r="H1459" s="2" t="str">
        <f>IF(Iterations[[#This Row],[Step]] =current_step, current_b,IF(Iterations[[#This Row],[Step]] &gt; current_step, "",Iterations[[#This Row],[b]]))</f>
        <v/>
      </c>
      <c r="I1459" s="2" t="str">
        <f>IF(Iterations[[#This Row],[Step]] =current_step, current_c,IF(Iterations[[#This Row],[Step]] &gt; current_step, "",Iterations[[#This Row],[c]]))</f>
        <v/>
      </c>
      <c r="J1459" s="2" t="str">
        <f>IF(Iterations[[#This Row],[Step]] =current_step, current_d,IF(Iterations[[#This Row],[Step]] &gt; current_step, "",Iterations[[#This Row],[d]]))</f>
        <v/>
      </c>
      <c r="K1459" s="2" t="str">
        <f>IF(Iterations[[#This Row],[Step]] =current_step, current_e,IF(Iterations[[#This Row],[Step]] &gt; current_step, "",Iterations[[#This Row],[e]]))</f>
        <v/>
      </c>
      <c r="L1459" s="2" t="str">
        <f>IF(Iterations[[#This Row],[Step]] =current_step, current_Total_Loss,IF(Iterations[[#This Row],[Step]] &gt; current_step, "",Iterations[[#This Row],[Total Loss]]))</f>
        <v/>
      </c>
      <c r="M1459" s="6" t="s">
        <v>27</v>
      </c>
      <c r="N1459" s="2" t="str">
        <f>IF(Iterations[[#This Row],[Step]] =current_step, current_Grad_a,IF(Iterations[[#This Row],[Step]] &gt; current_step, "",Iterations[[#This Row],[Grad_a]]))</f>
        <v/>
      </c>
      <c r="O1459" s="2" t="str">
        <f>IF(Iterations[[#This Row],[Step]] =current_step, current_Grad_b,IF(Iterations[[#This Row],[Step]] &gt; current_step, "",Iterations[[#This Row],[Grad_b]]))</f>
        <v/>
      </c>
      <c r="P1459" s="2" t="str">
        <f>IF(Iterations[[#This Row],[Step]] =current_step, current_Grad_c,IF(Iterations[[#This Row],[Step]] &gt; current_step, "",Iterations[[#This Row],[Grad_c]]))</f>
        <v/>
      </c>
      <c r="Q1459" s="2" t="str">
        <f>IF(Iterations[[#This Row],[Step]] =current_step, current_Grad_d,IF(Iterations[[#This Row],[Step]] &gt; current_step, "",Iterations[[#This Row],[Grad_d]]))</f>
        <v/>
      </c>
      <c r="R1459" s="2" t="str">
        <f>IF(Iterations[[#This Row],[Step]] =current_step, current_Grad_e,IF(Iterations[[#This Row],[Step]] &gt; current_step, "",Iterations[[#This Row],[Grad_e]]))</f>
        <v/>
      </c>
    </row>
    <row r="1460" spans="6:18" x14ac:dyDescent="0.3">
      <c r="F1460" s="2">
        <f t="shared" si="27"/>
        <v>1443</v>
      </c>
      <c r="G1460" s="2" t="str">
        <f>IF(Iterations[[#This Row],[Step]] =current_step, current_a,IF(Iterations[[#This Row],[Step]] &gt; current_step, "",Iterations[[#This Row],[a]]))</f>
        <v/>
      </c>
      <c r="H1460" s="2" t="str">
        <f>IF(Iterations[[#This Row],[Step]] =current_step, current_b,IF(Iterations[[#This Row],[Step]] &gt; current_step, "",Iterations[[#This Row],[b]]))</f>
        <v/>
      </c>
      <c r="I1460" s="2" t="str">
        <f>IF(Iterations[[#This Row],[Step]] =current_step, current_c,IF(Iterations[[#This Row],[Step]] &gt; current_step, "",Iterations[[#This Row],[c]]))</f>
        <v/>
      </c>
      <c r="J1460" s="2" t="str">
        <f>IF(Iterations[[#This Row],[Step]] =current_step, current_d,IF(Iterations[[#This Row],[Step]] &gt; current_step, "",Iterations[[#This Row],[d]]))</f>
        <v/>
      </c>
      <c r="K1460" s="2" t="str">
        <f>IF(Iterations[[#This Row],[Step]] =current_step, current_e,IF(Iterations[[#This Row],[Step]] &gt; current_step, "",Iterations[[#This Row],[e]]))</f>
        <v/>
      </c>
      <c r="L1460" s="2" t="str">
        <f>IF(Iterations[[#This Row],[Step]] =current_step, current_Total_Loss,IF(Iterations[[#This Row],[Step]] &gt; current_step, "",Iterations[[#This Row],[Total Loss]]))</f>
        <v/>
      </c>
      <c r="M1460" s="6" t="s">
        <v>27</v>
      </c>
      <c r="N1460" s="2" t="str">
        <f>IF(Iterations[[#This Row],[Step]] =current_step, current_Grad_a,IF(Iterations[[#This Row],[Step]] &gt; current_step, "",Iterations[[#This Row],[Grad_a]]))</f>
        <v/>
      </c>
      <c r="O1460" s="2" t="str">
        <f>IF(Iterations[[#This Row],[Step]] =current_step, current_Grad_b,IF(Iterations[[#This Row],[Step]] &gt; current_step, "",Iterations[[#This Row],[Grad_b]]))</f>
        <v/>
      </c>
      <c r="P1460" s="2" t="str">
        <f>IF(Iterations[[#This Row],[Step]] =current_step, current_Grad_c,IF(Iterations[[#This Row],[Step]] &gt; current_step, "",Iterations[[#This Row],[Grad_c]]))</f>
        <v/>
      </c>
      <c r="Q1460" s="2" t="str">
        <f>IF(Iterations[[#This Row],[Step]] =current_step, current_Grad_d,IF(Iterations[[#This Row],[Step]] &gt; current_step, "",Iterations[[#This Row],[Grad_d]]))</f>
        <v/>
      </c>
      <c r="R1460" s="2" t="str">
        <f>IF(Iterations[[#This Row],[Step]] =current_step, current_Grad_e,IF(Iterations[[#This Row],[Step]] &gt; current_step, "",Iterations[[#This Row],[Grad_e]]))</f>
        <v/>
      </c>
    </row>
    <row r="1461" spans="6:18" x14ac:dyDescent="0.3">
      <c r="F1461" s="2">
        <f t="shared" si="27"/>
        <v>1444</v>
      </c>
      <c r="G1461" s="2" t="str">
        <f>IF(Iterations[[#This Row],[Step]] =current_step, current_a,IF(Iterations[[#This Row],[Step]] &gt; current_step, "",Iterations[[#This Row],[a]]))</f>
        <v/>
      </c>
      <c r="H1461" s="2" t="str">
        <f>IF(Iterations[[#This Row],[Step]] =current_step, current_b,IF(Iterations[[#This Row],[Step]] &gt; current_step, "",Iterations[[#This Row],[b]]))</f>
        <v/>
      </c>
      <c r="I1461" s="2" t="str">
        <f>IF(Iterations[[#This Row],[Step]] =current_step, current_c,IF(Iterations[[#This Row],[Step]] &gt; current_step, "",Iterations[[#This Row],[c]]))</f>
        <v/>
      </c>
      <c r="J1461" s="2" t="str">
        <f>IF(Iterations[[#This Row],[Step]] =current_step, current_d,IF(Iterations[[#This Row],[Step]] &gt; current_step, "",Iterations[[#This Row],[d]]))</f>
        <v/>
      </c>
      <c r="K1461" s="2" t="str">
        <f>IF(Iterations[[#This Row],[Step]] =current_step, current_e,IF(Iterations[[#This Row],[Step]] &gt; current_step, "",Iterations[[#This Row],[e]]))</f>
        <v/>
      </c>
      <c r="L1461" s="2" t="str">
        <f>IF(Iterations[[#This Row],[Step]] =current_step, current_Total_Loss,IF(Iterations[[#This Row],[Step]] &gt; current_step, "",Iterations[[#This Row],[Total Loss]]))</f>
        <v/>
      </c>
      <c r="M1461" s="6" t="s">
        <v>27</v>
      </c>
      <c r="N1461" s="2" t="str">
        <f>IF(Iterations[[#This Row],[Step]] =current_step, current_Grad_a,IF(Iterations[[#This Row],[Step]] &gt; current_step, "",Iterations[[#This Row],[Grad_a]]))</f>
        <v/>
      </c>
      <c r="O1461" s="2" t="str">
        <f>IF(Iterations[[#This Row],[Step]] =current_step, current_Grad_b,IF(Iterations[[#This Row],[Step]] &gt; current_step, "",Iterations[[#This Row],[Grad_b]]))</f>
        <v/>
      </c>
      <c r="P1461" s="2" t="str">
        <f>IF(Iterations[[#This Row],[Step]] =current_step, current_Grad_c,IF(Iterations[[#This Row],[Step]] &gt; current_step, "",Iterations[[#This Row],[Grad_c]]))</f>
        <v/>
      </c>
      <c r="Q1461" s="2" t="str">
        <f>IF(Iterations[[#This Row],[Step]] =current_step, current_Grad_d,IF(Iterations[[#This Row],[Step]] &gt; current_step, "",Iterations[[#This Row],[Grad_d]]))</f>
        <v/>
      </c>
      <c r="R1461" s="2" t="str">
        <f>IF(Iterations[[#This Row],[Step]] =current_step, current_Grad_e,IF(Iterations[[#This Row],[Step]] &gt; current_step, "",Iterations[[#This Row],[Grad_e]]))</f>
        <v/>
      </c>
    </row>
    <row r="1462" spans="6:18" x14ac:dyDescent="0.3">
      <c r="F1462" s="2">
        <f t="shared" si="27"/>
        <v>1445</v>
      </c>
      <c r="G1462" s="2" t="str">
        <f>IF(Iterations[[#This Row],[Step]] =current_step, current_a,IF(Iterations[[#This Row],[Step]] &gt; current_step, "",Iterations[[#This Row],[a]]))</f>
        <v/>
      </c>
      <c r="H1462" s="2" t="str">
        <f>IF(Iterations[[#This Row],[Step]] =current_step, current_b,IF(Iterations[[#This Row],[Step]] &gt; current_step, "",Iterations[[#This Row],[b]]))</f>
        <v/>
      </c>
      <c r="I1462" s="2" t="str">
        <f>IF(Iterations[[#This Row],[Step]] =current_step, current_c,IF(Iterations[[#This Row],[Step]] &gt; current_step, "",Iterations[[#This Row],[c]]))</f>
        <v/>
      </c>
      <c r="J1462" s="2" t="str">
        <f>IF(Iterations[[#This Row],[Step]] =current_step, current_d,IF(Iterations[[#This Row],[Step]] &gt; current_step, "",Iterations[[#This Row],[d]]))</f>
        <v/>
      </c>
      <c r="K1462" s="2" t="str">
        <f>IF(Iterations[[#This Row],[Step]] =current_step, current_e,IF(Iterations[[#This Row],[Step]] &gt; current_step, "",Iterations[[#This Row],[e]]))</f>
        <v/>
      </c>
      <c r="L1462" s="2" t="str">
        <f>IF(Iterations[[#This Row],[Step]] =current_step, current_Total_Loss,IF(Iterations[[#This Row],[Step]] &gt; current_step, "",Iterations[[#This Row],[Total Loss]]))</f>
        <v/>
      </c>
      <c r="M1462" s="6" t="s">
        <v>27</v>
      </c>
      <c r="N1462" s="2" t="str">
        <f>IF(Iterations[[#This Row],[Step]] =current_step, current_Grad_a,IF(Iterations[[#This Row],[Step]] &gt; current_step, "",Iterations[[#This Row],[Grad_a]]))</f>
        <v/>
      </c>
      <c r="O1462" s="2" t="str">
        <f>IF(Iterations[[#This Row],[Step]] =current_step, current_Grad_b,IF(Iterations[[#This Row],[Step]] &gt; current_step, "",Iterations[[#This Row],[Grad_b]]))</f>
        <v/>
      </c>
      <c r="P1462" s="2" t="str">
        <f>IF(Iterations[[#This Row],[Step]] =current_step, current_Grad_c,IF(Iterations[[#This Row],[Step]] &gt; current_step, "",Iterations[[#This Row],[Grad_c]]))</f>
        <v/>
      </c>
      <c r="Q1462" s="2" t="str">
        <f>IF(Iterations[[#This Row],[Step]] =current_step, current_Grad_d,IF(Iterations[[#This Row],[Step]] &gt; current_step, "",Iterations[[#This Row],[Grad_d]]))</f>
        <v/>
      </c>
      <c r="R1462" s="2" t="str">
        <f>IF(Iterations[[#This Row],[Step]] =current_step, current_Grad_e,IF(Iterations[[#This Row],[Step]] &gt; current_step, "",Iterations[[#This Row],[Grad_e]]))</f>
        <v/>
      </c>
    </row>
    <row r="1463" spans="6:18" x14ac:dyDescent="0.3">
      <c r="F1463" s="2">
        <f t="shared" si="27"/>
        <v>1446</v>
      </c>
      <c r="G1463" s="2" t="str">
        <f>IF(Iterations[[#This Row],[Step]] =current_step, current_a,IF(Iterations[[#This Row],[Step]] &gt; current_step, "",Iterations[[#This Row],[a]]))</f>
        <v/>
      </c>
      <c r="H1463" s="2" t="str">
        <f>IF(Iterations[[#This Row],[Step]] =current_step, current_b,IF(Iterations[[#This Row],[Step]] &gt; current_step, "",Iterations[[#This Row],[b]]))</f>
        <v/>
      </c>
      <c r="I1463" s="2" t="str">
        <f>IF(Iterations[[#This Row],[Step]] =current_step, current_c,IF(Iterations[[#This Row],[Step]] &gt; current_step, "",Iterations[[#This Row],[c]]))</f>
        <v/>
      </c>
      <c r="J1463" s="2" t="str">
        <f>IF(Iterations[[#This Row],[Step]] =current_step, current_d,IF(Iterations[[#This Row],[Step]] &gt; current_step, "",Iterations[[#This Row],[d]]))</f>
        <v/>
      </c>
      <c r="K1463" s="2" t="str">
        <f>IF(Iterations[[#This Row],[Step]] =current_step, current_e,IF(Iterations[[#This Row],[Step]] &gt; current_step, "",Iterations[[#This Row],[e]]))</f>
        <v/>
      </c>
      <c r="L1463" s="2" t="str">
        <f>IF(Iterations[[#This Row],[Step]] =current_step, current_Total_Loss,IF(Iterations[[#This Row],[Step]] &gt; current_step, "",Iterations[[#This Row],[Total Loss]]))</f>
        <v/>
      </c>
      <c r="M1463" s="6" t="s">
        <v>27</v>
      </c>
      <c r="N1463" s="2" t="str">
        <f>IF(Iterations[[#This Row],[Step]] =current_step, current_Grad_a,IF(Iterations[[#This Row],[Step]] &gt; current_step, "",Iterations[[#This Row],[Grad_a]]))</f>
        <v/>
      </c>
      <c r="O1463" s="2" t="str">
        <f>IF(Iterations[[#This Row],[Step]] =current_step, current_Grad_b,IF(Iterations[[#This Row],[Step]] &gt; current_step, "",Iterations[[#This Row],[Grad_b]]))</f>
        <v/>
      </c>
      <c r="P1463" s="2" t="str">
        <f>IF(Iterations[[#This Row],[Step]] =current_step, current_Grad_c,IF(Iterations[[#This Row],[Step]] &gt; current_step, "",Iterations[[#This Row],[Grad_c]]))</f>
        <v/>
      </c>
      <c r="Q1463" s="2" t="str">
        <f>IF(Iterations[[#This Row],[Step]] =current_step, current_Grad_d,IF(Iterations[[#This Row],[Step]] &gt; current_step, "",Iterations[[#This Row],[Grad_d]]))</f>
        <v/>
      </c>
      <c r="R1463" s="2" t="str">
        <f>IF(Iterations[[#This Row],[Step]] =current_step, current_Grad_e,IF(Iterations[[#This Row],[Step]] &gt; current_step, "",Iterations[[#This Row],[Grad_e]]))</f>
        <v/>
      </c>
    </row>
    <row r="1464" spans="6:18" x14ac:dyDescent="0.3">
      <c r="F1464" s="2">
        <f t="shared" ref="F1464:F1527" si="28">F1463+1</f>
        <v>1447</v>
      </c>
      <c r="G1464" s="2" t="str">
        <f>IF(Iterations[[#This Row],[Step]] =current_step, current_a,IF(Iterations[[#This Row],[Step]] &gt; current_step, "",Iterations[[#This Row],[a]]))</f>
        <v/>
      </c>
      <c r="H1464" s="2" t="str">
        <f>IF(Iterations[[#This Row],[Step]] =current_step, current_b,IF(Iterations[[#This Row],[Step]] &gt; current_step, "",Iterations[[#This Row],[b]]))</f>
        <v/>
      </c>
      <c r="I1464" s="2" t="str">
        <f>IF(Iterations[[#This Row],[Step]] =current_step, current_c,IF(Iterations[[#This Row],[Step]] &gt; current_step, "",Iterations[[#This Row],[c]]))</f>
        <v/>
      </c>
      <c r="J1464" s="2" t="str">
        <f>IF(Iterations[[#This Row],[Step]] =current_step, current_d,IF(Iterations[[#This Row],[Step]] &gt; current_step, "",Iterations[[#This Row],[d]]))</f>
        <v/>
      </c>
      <c r="K1464" s="2" t="str">
        <f>IF(Iterations[[#This Row],[Step]] =current_step, current_e,IF(Iterations[[#This Row],[Step]] &gt; current_step, "",Iterations[[#This Row],[e]]))</f>
        <v/>
      </c>
      <c r="L1464" s="2" t="str">
        <f>IF(Iterations[[#This Row],[Step]] =current_step, current_Total_Loss,IF(Iterations[[#This Row],[Step]] &gt; current_step, "",Iterations[[#This Row],[Total Loss]]))</f>
        <v/>
      </c>
      <c r="M1464" s="6" t="s">
        <v>27</v>
      </c>
      <c r="N1464" s="2" t="str">
        <f>IF(Iterations[[#This Row],[Step]] =current_step, current_Grad_a,IF(Iterations[[#This Row],[Step]] &gt; current_step, "",Iterations[[#This Row],[Grad_a]]))</f>
        <v/>
      </c>
      <c r="O1464" s="2" t="str">
        <f>IF(Iterations[[#This Row],[Step]] =current_step, current_Grad_b,IF(Iterations[[#This Row],[Step]] &gt; current_step, "",Iterations[[#This Row],[Grad_b]]))</f>
        <v/>
      </c>
      <c r="P1464" s="2" t="str">
        <f>IF(Iterations[[#This Row],[Step]] =current_step, current_Grad_c,IF(Iterations[[#This Row],[Step]] &gt; current_step, "",Iterations[[#This Row],[Grad_c]]))</f>
        <v/>
      </c>
      <c r="Q1464" s="2" t="str">
        <f>IF(Iterations[[#This Row],[Step]] =current_step, current_Grad_d,IF(Iterations[[#This Row],[Step]] &gt; current_step, "",Iterations[[#This Row],[Grad_d]]))</f>
        <v/>
      </c>
      <c r="R1464" s="2" t="str">
        <f>IF(Iterations[[#This Row],[Step]] =current_step, current_Grad_e,IF(Iterations[[#This Row],[Step]] &gt; current_step, "",Iterations[[#This Row],[Grad_e]]))</f>
        <v/>
      </c>
    </row>
    <row r="1465" spans="6:18" x14ac:dyDescent="0.3">
      <c r="F1465" s="2">
        <f t="shared" si="28"/>
        <v>1448</v>
      </c>
      <c r="G1465" s="2" t="str">
        <f>IF(Iterations[[#This Row],[Step]] =current_step, current_a,IF(Iterations[[#This Row],[Step]] &gt; current_step, "",Iterations[[#This Row],[a]]))</f>
        <v/>
      </c>
      <c r="H1465" s="2" t="str">
        <f>IF(Iterations[[#This Row],[Step]] =current_step, current_b,IF(Iterations[[#This Row],[Step]] &gt; current_step, "",Iterations[[#This Row],[b]]))</f>
        <v/>
      </c>
      <c r="I1465" s="2" t="str">
        <f>IF(Iterations[[#This Row],[Step]] =current_step, current_c,IF(Iterations[[#This Row],[Step]] &gt; current_step, "",Iterations[[#This Row],[c]]))</f>
        <v/>
      </c>
      <c r="J1465" s="2" t="str">
        <f>IF(Iterations[[#This Row],[Step]] =current_step, current_d,IF(Iterations[[#This Row],[Step]] &gt; current_step, "",Iterations[[#This Row],[d]]))</f>
        <v/>
      </c>
      <c r="K1465" s="2" t="str">
        <f>IF(Iterations[[#This Row],[Step]] =current_step, current_e,IF(Iterations[[#This Row],[Step]] &gt; current_step, "",Iterations[[#This Row],[e]]))</f>
        <v/>
      </c>
      <c r="L1465" s="2" t="str">
        <f>IF(Iterations[[#This Row],[Step]] =current_step, current_Total_Loss,IF(Iterations[[#This Row],[Step]] &gt; current_step, "",Iterations[[#This Row],[Total Loss]]))</f>
        <v/>
      </c>
      <c r="M1465" s="6" t="s">
        <v>27</v>
      </c>
      <c r="N1465" s="2" t="str">
        <f>IF(Iterations[[#This Row],[Step]] =current_step, current_Grad_a,IF(Iterations[[#This Row],[Step]] &gt; current_step, "",Iterations[[#This Row],[Grad_a]]))</f>
        <v/>
      </c>
      <c r="O1465" s="2" t="str">
        <f>IF(Iterations[[#This Row],[Step]] =current_step, current_Grad_b,IF(Iterations[[#This Row],[Step]] &gt; current_step, "",Iterations[[#This Row],[Grad_b]]))</f>
        <v/>
      </c>
      <c r="P1465" s="2" t="str">
        <f>IF(Iterations[[#This Row],[Step]] =current_step, current_Grad_c,IF(Iterations[[#This Row],[Step]] &gt; current_step, "",Iterations[[#This Row],[Grad_c]]))</f>
        <v/>
      </c>
      <c r="Q1465" s="2" t="str">
        <f>IF(Iterations[[#This Row],[Step]] =current_step, current_Grad_d,IF(Iterations[[#This Row],[Step]] &gt; current_step, "",Iterations[[#This Row],[Grad_d]]))</f>
        <v/>
      </c>
      <c r="R1465" s="2" t="str">
        <f>IF(Iterations[[#This Row],[Step]] =current_step, current_Grad_e,IF(Iterations[[#This Row],[Step]] &gt; current_step, "",Iterations[[#This Row],[Grad_e]]))</f>
        <v/>
      </c>
    </row>
    <row r="1466" spans="6:18" x14ac:dyDescent="0.3">
      <c r="F1466" s="2">
        <f t="shared" si="28"/>
        <v>1449</v>
      </c>
      <c r="G1466" s="2" t="str">
        <f>IF(Iterations[[#This Row],[Step]] =current_step, current_a,IF(Iterations[[#This Row],[Step]] &gt; current_step, "",Iterations[[#This Row],[a]]))</f>
        <v/>
      </c>
      <c r="H1466" s="2" t="str">
        <f>IF(Iterations[[#This Row],[Step]] =current_step, current_b,IF(Iterations[[#This Row],[Step]] &gt; current_step, "",Iterations[[#This Row],[b]]))</f>
        <v/>
      </c>
      <c r="I1466" s="2" t="str">
        <f>IF(Iterations[[#This Row],[Step]] =current_step, current_c,IF(Iterations[[#This Row],[Step]] &gt; current_step, "",Iterations[[#This Row],[c]]))</f>
        <v/>
      </c>
      <c r="J1466" s="2" t="str">
        <f>IF(Iterations[[#This Row],[Step]] =current_step, current_d,IF(Iterations[[#This Row],[Step]] &gt; current_step, "",Iterations[[#This Row],[d]]))</f>
        <v/>
      </c>
      <c r="K1466" s="2" t="str">
        <f>IF(Iterations[[#This Row],[Step]] =current_step, current_e,IF(Iterations[[#This Row],[Step]] &gt; current_step, "",Iterations[[#This Row],[e]]))</f>
        <v/>
      </c>
      <c r="L1466" s="2" t="str">
        <f>IF(Iterations[[#This Row],[Step]] =current_step, current_Total_Loss,IF(Iterations[[#This Row],[Step]] &gt; current_step, "",Iterations[[#This Row],[Total Loss]]))</f>
        <v/>
      </c>
      <c r="M1466" s="6" t="s">
        <v>27</v>
      </c>
      <c r="N1466" s="2" t="str">
        <f>IF(Iterations[[#This Row],[Step]] =current_step, current_Grad_a,IF(Iterations[[#This Row],[Step]] &gt; current_step, "",Iterations[[#This Row],[Grad_a]]))</f>
        <v/>
      </c>
      <c r="O1466" s="2" t="str">
        <f>IF(Iterations[[#This Row],[Step]] =current_step, current_Grad_b,IF(Iterations[[#This Row],[Step]] &gt; current_step, "",Iterations[[#This Row],[Grad_b]]))</f>
        <v/>
      </c>
      <c r="P1466" s="2" t="str">
        <f>IF(Iterations[[#This Row],[Step]] =current_step, current_Grad_c,IF(Iterations[[#This Row],[Step]] &gt; current_step, "",Iterations[[#This Row],[Grad_c]]))</f>
        <v/>
      </c>
      <c r="Q1466" s="2" t="str">
        <f>IF(Iterations[[#This Row],[Step]] =current_step, current_Grad_d,IF(Iterations[[#This Row],[Step]] &gt; current_step, "",Iterations[[#This Row],[Grad_d]]))</f>
        <v/>
      </c>
      <c r="R1466" s="2" t="str">
        <f>IF(Iterations[[#This Row],[Step]] =current_step, current_Grad_e,IF(Iterations[[#This Row],[Step]] &gt; current_step, "",Iterations[[#This Row],[Grad_e]]))</f>
        <v/>
      </c>
    </row>
    <row r="1467" spans="6:18" x14ac:dyDescent="0.3">
      <c r="F1467" s="2">
        <f t="shared" si="28"/>
        <v>1450</v>
      </c>
      <c r="G1467" s="2" t="str">
        <f>IF(Iterations[[#This Row],[Step]] =current_step, current_a,IF(Iterations[[#This Row],[Step]] &gt; current_step, "",Iterations[[#This Row],[a]]))</f>
        <v/>
      </c>
      <c r="H1467" s="2" t="str">
        <f>IF(Iterations[[#This Row],[Step]] =current_step, current_b,IF(Iterations[[#This Row],[Step]] &gt; current_step, "",Iterations[[#This Row],[b]]))</f>
        <v/>
      </c>
      <c r="I1467" s="2" t="str">
        <f>IF(Iterations[[#This Row],[Step]] =current_step, current_c,IF(Iterations[[#This Row],[Step]] &gt; current_step, "",Iterations[[#This Row],[c]]))</f>
        <v/>
      </c>
      <c r="J1467" s="2" t="str">
        <f>IF(Iterations[[#This Row],[Step]] =current_step, current_d,IF(Iterations[[#This Row],[Step]] &gt; current_step, "",Iterations[[#This Row],[d]]))</f>
        <v/>
      </c>
      <c r="K1467" s="2" t="str">
        <f>IF(Iterations[[#This Row],[Step]] =current_step, current_e,IF(Iterations[[#This Row],[Step]] &gt; current_step, "",Iterations[[#This Row],[e]]))</f>
        <v/>
      </c>
      <c r="L1467" s="2" t="str">
        <f>IF(Iterations[[#This Row],[Step]] =current_step, current_Total_Loss,IF(Iterations[[#This Row],[Step]] &gt; current_step, "",Iterations[[#This Row],[Total Loss]]))</f>
        <v/>
      </c>
      <c r="M1467" s="6" t="s">
        <v>27</v>
      </c>
      <c r="N1467" s="2" t="str">
        <f>IF(Iterations[[#This Row],[Step]] =current_step, current_Grad_a,IF(Iterations[[#This Row],[Step]] &gt; current_step, "",Iterations[[#This Row],[Grad_a]]))</f>
        <v/>
      </c>
      <c r="O1467" s="2" t="str">
        <f>IF(Iterations[[#This Row],[Step]] =current_step, current_Grad_b,IF(Iterations[[#This Row],[Step]] &gt; current_step, "",Iterations[[#This Row],[Grad_b]]))</f>
        <v/>
      </c>
      <c r="P1467" s="2" t="str">
        <f>IF(Iterations[[#This Row],[Step]] =current_step, current_Grad_c,IF(Iterations[[#This Row],[Step]] &gt; current_step, "",Iterations[[#This Row],[Grad_c]]))</f>
        <v/>
      </c>
      <c r="Q1467" s="2" t="str">
        <f>IF(Iterations[[#This Row],[Step]] =current_step, current_Grad_d,IF(Iterations[[#This Row],[Step]] &gt; current_step, "",Iterations[[#This Row],[Grad_d]]))</f>
        <v/>
      </c>
      <c r="R1467" s="2" t="str">
        <f>IF(Iterations[[#This Row],[Step]] =current_step, current_Grad_e,IF(Iterations[[#This Row],[Step]] &gt; current_step, "",Iterations[[#This Row],[Grad_e]]))</f>
        <v/>
      </c>
    </row>
    <row r="1468" spans="6:18" x14ac:dyDescent="0.3">
      <c r="F1468" s="2">
        <f t="shared" si="28"/>
        <v>1451</v>
      </c>
      <c r="G1468" s="2" t="str">
        <f>IF(Iterations[[#This Row],[Step]] =current_step, current_a,IF(Iterations[[#This Row],[Step]] &gt; current_step, "",Iterations[[#This Row],[a]]))</f>
        <v/>
      </c>
      <c r="H1468" s="2" t="str">
        <f>IF(Iterations[[#This Row],[Step]] =current_step, current_b,IF(Iterations[[#This Row],[Step]] &gt; current_step, "",Iterations[[#This Row],[b]]))</f>
        <v/>
      </c>
      <c r="I1468" s="2" t="str">
        <f>IF(Iterations[[#This Row],[Step]] =current_step, current_c,IF(Iterations[[#This Row],[Step]] &gt; current_step, "",Iterations[[#This Row],[c]]))</f>
        <v/>
      </c>
      <c r="J1468" s="2" t="str">
        <f>IF(Iterations[[#This Row],[Step]] =current_step, current_d,IF(Iterations[[#This Row],[Step]] &gt; current_step, "",Iterations[[#This Row],[d]]))</f>
        <v/>
      </c>
      <c r="K1468" s="2" t="str">
        <f>IF(Iterations[[#This Row],[Step]] =current_step, current_e,IF(Iterations[[#This Row],[Step]] &gt; current_step, "",Iterations[[#This Row],[e]]))</f>
        <v/>
      </c>
      <c r="L1468" s="2" t="str">
        <f>IF(Iterations[[#This Row],[Step]] =current_step, current_Total_Loss,IF(Iterations[[#This Row],[Step]] &gt; current_step, "",Iterations[[#This Row],[Total Loss]]))</f>
        <v/>
      </c>
      <c r="M1468" s="6" t="s">
        <v>27</v>
      </c>
      <c r="N1468" s="2" t="str">
        <f>IF(Iterations[[#This Row],[Step]] =current_step, current_Grad_a,IF(Iterations[[#This Row],[Step]] &gt; current_step, "",Iterations[[#This Row],[Grad_a]]))</f>
        <v/>
      </c>
      <c r="O1468" s="2" t="str">
        <f>IF(Iterations[[#This Row],[Step]] =current_step, current_Grad_b,IF(Iterations[[#This Row],[Step]] &gt; current_step, "",Iterations[[#This Row],[Grad_b]]))</f>
        <v/>
      </c>
      <c r="P1468" s="2" t="str">
        <f>IF(Iterations[[#This Row],[Step]] =current_step, current_Grad_c,IF(Iterations[[#This Row],[Step]] &gt; current_step, "",Iterations[[#This Row],[Grad_c]]))</f>
        <v/>
      </c>
      <c r="Q1468" s="2" t="str">
        <f>IF(Iterations[[#This Row],[Step]] =current_step, current_Grad_d,IF(Iterations[[#This Row],[Step]] &gt; current_step, "",Iterations[[#This Row],[Grad_d]]))</f>
        <v/>
      </c>
      <c r="R1468" s="2" t="str">
        <f>IF(Iterations[[#This Row],[Step]] =current_step, current_Grad_e,IF(Iterations[[#This Row],[Step]] &gt; current_step, "",Iterations[[#This Row],[Grad_e]]))</f>
        <v/>
      </c>
    </row>
    <row r="1469" spans="6:18" x14ac:dyDescent="0.3">
      <c r="F1469" s="2">
        <f t="shared" si="28"/>
        <v>1452</v>
      </c>
      <c r="G1469" s="2" t="str">
        <f>IF(Iterations[[#This Row],[Step]] =current_step, current_a,IF(Iterations[[#This Row],[Step]] &gt; current_step, "",Iterations[[#This Row],[a]]))</f>
        <v/>
      </c>
      <c r="H1469" s="2" t="str">
        <f>IF(Iterations[[#This Row],[Step]] =current_step, current_b,IF(Iterations[[#This Row],[Step]] &gt; current_step, "",Iterations[[#This Row],[b]]))</f>
        <v/>
      </c>
      <c r="I1469" s="2" t="str">
        <f>IF(Iterations[[#This Row],[Step]] =current_step, current_c,IF(Iterations[[#This Row],[Step]] &gt; current_step, "",Iterations[[#This Row],[c]]))</f>
        <v/>
      </c>
      <c r="J1469" s="2" t="str">
        <f>IF(Iterations[[#This Row],[Step]] =current_step, current_d,IF(Iterations[[#This Row],[Step]] &gt; current_step, "",Iterations[[#This Row],[d]]))</f>
        <v/>
      </c>
      <c r="K1469" s="2" t="str">
        <f>IF(Iterations[[#This Row],[Step]] =current_step, current_e,IF(Iterations[[#This Row],[Step]] &gt; current_step, "",Iterations[[#This Row],[e]]))</f>
        <v/>
      </c>
      <c r="L1469" s="2" t="str">
        <f>IF(Iterations[[#This Row],[Step]] =current_step, current_Total_Loss,IF(Iterations[[#This Row],[Step]] &gt; current_step, "",Iterations[[#This Row],[Total Loss]]))</f>
        <v/>
      </c>
      <c r="M1469" s="6" t="s">
        <v>27</v>
      </c>
      <c r="N1469" s="2" t="str">
        <f>IF(Iterations[[#This Row],[Step]] =current_step, current_Grad_a,IF(Iterations[[#This Row],[Step]] &gt; current_step, "",Iterations[[#This Row],[Grad_a]]))</f>
        <v/>
      </c>
      <c r="O1469" s="2" t="str">
        <f>IF(Iterations[[#This Row],[Step]] =current_step, current_Grad_b,IF(Iterations[[#This Row],[Step]] &gt; current_step, "",Iterations[[#This Row],[Grad_b]]))</f>
        <v/>
      </c>
      <c r="P1469" s="2" t="str">
        <f>IF(Iterations[[#This Row],[Step]] =current_step, current_Grad_c,IF(Iterations[[#This Row],[Step]] &gt; current_step, "",Iterations[[#This Row],[Grad_c]]))</f>
        <v/>
      </c>
      <c r="Q1469" s="2" t="str">
        <f>IF(Iterations[[#This Row],[Step]] =current_step, current_Grad_d,IF(Iterations[[#This Row],[Step]] &gt; current_step, "",Iterations[[#This Row],[Grad_d]]))</f>
        <v/>
      </c>
      <c r="R1469" s="2" t="str">
        <f>IF(Iterations[[#This Row],[Step]] =current_step, current_Grad_e,IF(Iterations[[#This Row],[Step]] &gt; current_step, "",Iterations[[#This Row],[Grad_e]]))</f>
        <v/>
      </c>
    </row>
    <row r="1470" spans="6:18" x14ac:dyDescent="0.3">
      <c r="F1470" s="2">
        <f t="shared" si="28"/>
        <v>1453</v>
      </c>
      <c r="G1470" s="2" t="str">
        <f>IF(Iterations[[#This Row],[Step]] =current_step, current_a,IF(Iterations[[#This Row],[Step]] &gt; current_step, "",Iterations[[#This Row],[a]]))</f>
        <v/>
      </c>
      <c r="H1470" s="2" t="str">
        <f>IF(Iterations[[#This Row],[Step]] =current_step, current_b,IF(Iterations[[#This Row],[Step]] &gt; current_step, "",Iterations[[#This Row],[b]]))</f>
        <v/>
      </c>
      <c r="I1470" s="2" t="str">
        <f>IF(Iterations[[#This Row],[Step]] =current_step, current_c,IF(Iterations[[#This Row],[Step]] &gt; current_step, "",Iterations[[#This Row],[c]]))</f>
        <v/>
      </c>
      <c r="J1470" s="2" t="str">
        <f>IF(Iterations[[#This Row],[Step]] =current_step, current_d,IF(Iterations[[#This Row],[Step]] &gt; current_step, "",Iterations[[#This Row],[d]]))</f>
        <v/>
      </c>
      <c r="K1470" s="2" t="str">
        <f>IF(Iterations[[#This Row],[Step]] =current_step, current_e,IF(Iterations[[#This Row],[Step]] &gt; current_step, "",Iterations[[#This Row],[e]]))</f>
        <v/>
      </c>
      <c r="L1470" s="2" t="str">
        <f>IF(Iterations[[#This Row],[Step]] =current_step, current_Total_Loss,IF(Iterations[[#This Row],[Step]] &gt; current_step, "",Iterations[[#This Row],[Total Loss]]))</f>
        <v/>
      </c>
      <c r="M1470" s="6" t="s">
        <v>27</v>
      </c>
      <c r="N1470" s="2" t="str">
        <f>IF(Iterations[[#This Row],[Step]] =current_step, current_Grad_a,IF(Iterations[[#This Row],[Step]] &gt; current_step, "",Iterations[[#This Row],[Grad_a]]))</f>
        <v/>
      </c>
      <c r="O1470" s="2" t="str">
        <f>IF(Iterations[[#This Row],[Step]] =current_step, current_Grad_b,IF(Iterations[[#This Row],[Step]] &gt; current_step, "",Iterations[[#This Row],[Grad_b]]))</f>
        <v/>
      </c>
      <c r="P1470" s="2" t="str">
        <f>IF(Iterations[[#This Row],[Step]] =current_step, current_Grad_c,IF(Iterations[[#This Row],[Step]] &gt; current_step, "",Iterations[[#This Row],[Grad_c]]))</f>
        <v/>
      </c>
      <c r="Q1470" s="2" t="str">
        <f>IF(Iterations[[#This Row],[Step]] =current_step, current_Grad_d,IF(Iterations[[#This Row],[Step]] &gt; current_step, "",Iterations[[#This Row],[Grad_d]]))</f>
        <v/>
      </c>
      <c r="R1470" s="2" t="str">
        <f>IF(Iterations[[#This Row],[Step]] =current_step, current_Grad_e,IF(Iterations[[#This Row],[Step]] &gt; current_step, "",Iterations[[#This Row],[Grad_e]]))</f>
        <v/>
      </c>
    </row>
    <row r="1471" spans="6:18" x14ac:dyDescent="0.3">
      <c r="F1471" s="2">
        <f t="shared" si="28"/>
        <v>1454</v>
      </c>
      <c r="G1471" s="2" t="str">
        <f>IF(Iterations[[#This Row],[Step]] =current_step, current_a,IF(Iterations[[#This Row],[Step]] &gt; current_step, "",Iterations[[#This Row],[a]]))</f>
        <v/>
      </c>
      <c r="H1471" s="2" t="str">
        <f>IF(Iterations[[#This Row],[Step]] =current_step, current_b,IF(Iterations[[#This Row],[Step]] &gt; current_step, "",Iterations[[#This Row],[b]]))</f>
        <v/>
      </c>
      <c r="I1471" s="2" t="str">
        <f>IF(Iterations[[#This Row],[Step]] =current_step, current_c,IF(Iterations[[#This Row],[Step]] &gt; current_step, "",Iterations[[#This Row],[c]]))</f>
        <v/>
      </c>
      <c r="J1471" s="2" t="str">
        <f>IF(Iterations[[#This Row],[Step]] =current_step, current_d,IF(Iterations[[#This Row],[Step]] &gt; current_step, "",Iterations[[#This Row],[d]]))</f>
        <v/>
      </c>
      <c r="K1471" s="2" t="str">
        <f>IF(Iterations[[#This Row],[Step]] =current_step, current_e,IF(Iterations[[#This Row],[Step]] &gt; current_step, "",Iterations[[#This Row],[e]]))</f>
        <v/>
      </c>
      <c r="L1471" s="2" t="str">
        <f>IF(Iterations[[#This Row],[Step]] =current_step, current_Total_Loss,IF(Iterations[[#This Row],[Step]] &gt; current_step, "",Iterations[[#This Row],[Total Loss]]))</f>
        <v/>
      </c>
      <c r="M1471" s="6" t="s">
        <v>27</v>
      </c>
      <c r="N1471" s="2" t="str">
        <f>IF(Iterations[[#This Row],[Step]] =current_step, current_Grad_a,IF(Iterations[[#This Row],[Step]] &gt; current_step, "",Iterations[[#This Row],[Grad_a]]))</f>
        <v/>
      </c>
      <c r="O1471" s="2" t="str">
        <f>IF(Iterations[[#This Row],[Step]] =current_step, current_Grad_b,IF(Iterations[[#This Row],[Step]] &gt; current_step, "",Iterations[[#This Row],[Grad_b]]))</f>
        <v/>
      </c>
      <c r="P1471" s="2" t="str">
        <f>IF(Iterations[[#This Row],[Step]] =current_step, current_Grad_c,IF(Iterations[[#This Row],[Step]] &gt; current_step, "",Iterations[[#This Row],[Grad_c]]))</f>
        <v/>
      </c>
      <c r="Q1471" s="2" t="str">
        <f>IF(Iterations[[#This Row],[Step]] =current_step, current_Grad_d,IF(Iterations[[#This Row],[Step]] &gt; current_step, "",Iterations[[#This Row],[Grad_d]]))</f>
        <v/>
      </c>
      <c r="R1471" s="2" t="str">
        <f>IF(Iterations[[#This Row],[Step]] =current_step, current_Grad_e,IF(Iterations[[#This Row],[Step]] &gt; current_step, "",Iterations[[#This Row],[Grad_e]]))</f>
        <v/>
      </c>
    </row>
    <row r="1472" spans="6:18" x14ac:dyDescent="0.3">
      <c r="F1472" s="2">
        <f t="shared" si="28"/>
        <v>1455</v>
      </c>
      <c r="G1472" s="2" t="str">
        <f>IF(Iterations[[#This Row],[Step]] =current_step, current_a,IF(Iterations[[#This Row],[Step]] &gt; current_step, "",Iterations[[#This Row],[a]]))</f>
        <v/>
      </c>
      <c r="H1472" s="2" t="str">
        <f>IF(Iterations[[#This Row],[Step]] =current_step, current_b,IF(Iterations[[#This Row],[Step]] &gt; current_step, "",Iterations[[#This Row],[b]]))</f>
        <v/>
      </c>
      <c r="I1472" s="2" t="str">
        <f>IF(Iterations[[#This Row],[Step]] =current_step, current_c,IF(Iterations[[#This Row],[Step]] &gt; current_step, "",Iterations[[#This Row],[c]]))</f>
        <v/>
      </c>
      <c r="J1472" s="2" t="str">
        <f>IF(Iterations[[#This Row],[Step]] =current_step, current_d,IF(Iterations[[#This Row],[Step]] &gt; current_step, "",Iterations[[#This Row],[d]]))</f>
        <v/>
      </c>
      <c r="K1472" s="2" t="str">
        <f>IF(Iterations[[#This Row],[Step]] =current_step, current_e,IF(Iterations[[#This Row],[Step]] &gt; current_step, "",Iterations[[#This Row],[e]]))</f>
        <v/>
      </c>
      <c r="L1472" s="2" t="str">
        <f>IF(Iterations[[#This Row],[Step]] =current_step, current_Total_Loss,IF(Iterations[[#This Row],[Step]] &gt; current_step, "",Iterations[[#This Row],[Total Loss]]))</f>
        <v/>
      </c>
      <c r="M1472" s="6" t="s">
        <v>27</v>
      </c>
      <c r="N1472" s="2" t="str">
        <f>IF(Iterations[[#This Row],[Step]] =current_step, current_Grad_a,IF(Iterations[[#This Row],[Step]] &gt; current_step, "",Iterations[[#This Row],[Grad_a]]))</f>
        <v/>
      </c>
      <c r="O1472" s="2" t="str">
        <f>IF(Iterations[[#This Row],[Step]] =current_step, current_Grad_b,IF(Iterations[[#This Row],[Step]] &gt; current_step, "",Iterations[[#This Row],[Grad_b]]))</f>
        <v/>
      </c>
      <c r="P1472" s="2" t="str">
        <f>IF(Iterations[[#This Row],[Step]] =current_step, current_Grad_c,IF(Iterations[[#This Row],[Step]] &gt; current_step, "",Iterations[[#This Row],[Grad_c]]))</f>
        <v/>
      </c>
      <c r="Q1472" s="2" t="str">
        <f>IF(Iterations[[#This Row],[Step]] =current_step, current_Grad_d,IF(Iterations[[#This Row],[Step]] &gt; current_step, "",Iterations[[#This Row],[Grad_d]]))</f>
        <v/>
      </c>
      <c r="R1472" s="2" t="str">
        <f>IF(Iterations[[#This Row],[Step]] =current_step, current_Grad_e,IF(Iterations[[#This Row],[Step]] &gt; current_step, "",Iterations[[#This Row],[Grad_e]]))</f>
        <v/>
      </c>
    </row>
    <row r="1473" spans="6:18" x14ac:dyDescent="0.3">
      <c r="F1473" s="2">
        <f t="shared" si="28"/>
        <v>1456</v>
      </c>
      <c r="G1473" s="2" t="str">
        <f>IF(Iterations[[#This Row],[Step]] =current_step, current_a,IF(Iterations[[#This Row],[Step]] &gt; current_step, "",Iterations[[#This Row],[a]]))</f>
        <v/>
      </c>
      <c r="H1473" s="2" t="str">
        <f>IF(Iterations[[#This Row],[Step]] =current_step, current_b,IF(Iterations[[#This Row],[Step]] &gt; current_step, "",Iterations[[#This Row],[b]]))</f>
        <v/>
      </c>
      <c r="I1473" s="2" t="str">
        <f>IF(Iterations[[#This Row],[Step]] =current_step, current_c,IF(Iterations[[#This Row],[Step]] &gt; current_step, "",Iterations[[#This Row],[c]]))</f>
        <v/>
      </c>
      <c r="J1473" s="2" t="str">
        <f>IF(Iterations[[#This Row],[Step]] =current_step, current_d,IF(Iterations[[#This Row],[Step]] &gt; current_step, "",Iterations[[#This Row],[d]]))</f>
        <v/>
      </c>
      <c r="K1473" s="2" t="str">
        <f>IF(Iterations[[#This Row],[Step]] =current_step, current_e,IF(Iterations[[#This Row],[Step]] &gt; current_step, "",Iterations[[#This Row],[e]]))</f>
        <v/>
      </c>
      <c r="L1473" s="2" t="str">
        <f>IF(Iterations[[#This Row],[Step]] =current_step, current_Total_Loss,IF(Iterations[[#This Row],[Step]] &gt; current_step, "",Iterations[[#This Row],[Total Loss]]))</f>
        <v/>
      </c>
      <c r="M1473" s="6" t="s">
        <v>27</v>
      </c>
      <c r="N1473" s="2" t="str">
        <f>IF(Iterations[[#This Row],[Step]] =current_step, current_Grad_a,IF(Iterations[[#This Row],[Step]] &gt; current_step, "",Iterations[[#This Row],[Grad_a]]))</f>
        <v/>
      </c>
      <c r="O1473" s="2" t="str">
        <f>IF(Iterations[[#This Row],[Step]] =current_step, current_Grad_b,IF(Iterations[[#This Row],[Step]] &gt; current_step, "",Iterations[[#This Row],[Grad_b]]))</f>
        <v/>
      </c>
      <c r="P1473" s="2" t="str">
        <f>IF(Iterations[[#This Row],[Step]] =current_step, current_Grad_c,IF(Iterations[[#This Row],[Step]] &gt; current_step, "",Iterations[[#This Row],[Grad_c]]))</f>
        <v/>
      </c>
      <c r="Q1473" s="2" t="str">
        <f>IF(Iterations[[#This Row],[Step]] =current_step, current_Grad_d,IF(Iterations[[#This Row],[Step]] &gt; current_step, "",Iterations[[#This Row],[Grad_d]]))</f>
        <v/>
      </c>
      <c r="R1473" s="2" t="str">
        <f>IF(Iterations[[#This Row],[Step]] =current_step, current_Grad_e,IF(Iterations[[#This Row],[Step]] &gt; current_step, "",Iterations[[#This Row],[Grad_e]]))</f>
        <v/>
      </c>
    </row>
    <row r="1474" spans="6:18" x14ac:dyDescent="0.3">
      <c r="F1474" s="2">
        <f t="shared" si="28"/>
        <v>1457</v>
      </c>
      <c r="G1474" s="2" t="str">
        <f>IF(Iterations[[#This Row],[Step]] =current_step, current_a,IF(Iterations[[#This Row],[Step]] &gt; current_step, "",Iterations[[#This Row],[a]]))</f>
        <v/>
      </c>
      <c r="H1474" s="2" t="str">
        <f>IF(Iterations[[#This Row],[Step]] =current_step, current_b,IF(Iterations[[#This Row],[Step]] &gt; current_step, "",Iterations[[#This Row],[b]]))</f>
        <v/>
      </c>
      <c r="I1474" s="2" t="str">
        <f>IF(Iterations[[#This Row],[Step]] =current_step, current_c,IF(Iterations[[#This Row],[Step]] &gt; current_step, "",Iterations[[#This Row],[c]]))</f>
        <v/>
      </c>
      <c r="J1474" s="2" t="str">
        <f>IF(Iterations[[#This Row],[Step]] =current_step, current_d,IF(Iterations[[#This Row],[Step]] &gt; current_step, "",Iterations[[#This Row],[d]]))</f>
        <v/>
      </c>
      <c r="K1474" s="2" t="str">
        <f>IF(Iterations[[#This Row],[Step]] =current_step, current_e,IF(Iterations[[#This Row],[Step]] &gt; current_step, "",Iterations[[#This Row],[e]]))</f>
        <v/>
      </c>
      <c r="L1474" s="2" t="str">
        <f>IF(Iterations[[#This Row],[Step]] =current_step, current_Total_Loss,IF(Iterations[[#This Row],[Step]] &gt; current_step, "",Iterations[[#This Row],[Total Loss]]))</f>
        <v/>
      </c>
      <c r="M1474" s="6" t="s">
        <v>27</v>
      </c>
      <c r="N1474" s="2" t="str">
        <f>IF(Iterations[[#This Row],[Step]] =current_step, current_Grad_a,IF(Iterations[[#This Row],[Step]] &gt; current_step, "",Iterations[[#This Row],[Grad_a]]))</f>
        <v/>
      </c>
      <c r="O1474" s="2" t="str">
        <f>IF(Iterations[[#This Row],[Step]] =current_step, current_Grad_b,IF(Iterations[[#This Row],[Step]] &gt; current_step, "",Iterations[[#This Row],[Grad_b]]))</f>
        <v/>
      </c>
      <c r="P1474" s="2" t="str">
        <f>IF(Iterations[[#This Row],[Step]] =current_step, current_Grad_c,IF(Iterations[[#This Row],[Step]] &gt; current_step, "",Iterations[[#This Row],[Grad_c]]))</f>
        <v/>
      </c>
      <c r="Q1474" s="2" t="str">
        <f>IF(Iterations[[#This Row],[Step]] =current_step, current_Grad_d,IF(Iterations[[#This Row],[Step]] &gt; current_step, "",Iterations[[#This Row],[Grad_d]]))</f>
        <v/>
      </c>
      <c r="R1474" s="2" t="str">
        <f>IF(Iterations[[#This Row],[Step]] =current_step, current_Grad_e,IF(Iterations[[#This Row],[Step]] &gt; current_step, "",Iterations[[#This Row],[Grad_e]]))</f>
        <v/>
      </c>
    </row>
    <row r="1475" spans="6:18" x14ac:dyDescent="0.3">
      <c r="F1475" s="2">
        <f t="shared" si="28"/>
        <v>1458</v>
      </c>
      <c r="G1475" s="2" t="str">
        <f>IF(Iterations[[#This Row],[Step]] =current_step, current_a,IF(Iterations[[#This Row],[Step]] &gt; current_step, "",Iterations[[#This Row],[a]]))</f>
        <v/>
      </c>
      <c r="H1475" s="2" t="str">
        <f>IF(Iterations[[#This Row],[Step]] =current_step, current_b,IF(Iterations[[#This Row],[Step]] &gt; current_step, "",Iterations[[#This Row],[b]]))</f>
        <v/>
      </c>
      <c r="I1475" s="2" t="str">
        <f>IF(Iterations[[#This Row],[Step]] =current_step, current_c,IF(Iterations[[#This Row],[Step]] &gt; current_step, "",Iterations[[#This Row],[c]]))</f>
        <v/>
      </c>
      <c r="J1475" s="2" t="str">
        <f>IF(Iterations[[#This Row],[Step]] =current_step, current_d,IF(Iterations[[#This Row],[Step]] &gt; current_step, "",Iterations[[#This Row],[d]]))</f>
        <v/>
      </c>
      <c r="K1475" s="2" t="str">
        <f>IF(Iterations[[#This Row],[Step]] =current_step, current_e,IF(Iterations[[#This Row],[Step]] &gt; current_step, "",Iterations[[#This Row],[e]]))</f>
        <v/>
      </c>
      <c r="L1475" s="2" t="str">
        <f>IF(Iterations[[#This Row],[Step]] =current_step, current_Total_Loss,IF(Iterations[[#This Row],[Step]] &gt; current_step, "",Iterations[[#This Row],[Total Loss]]))</f>
        <v/>
      </c>
      <c r="M1475" s="6" t="s">
        <v>27</v>
      </c>
      <c r="N1475" s="2" t="str">
        <f>IF(Iterations[[#This Row],[Step]] =current_step, current_Grad_a,IF(Iterations[[#This Row],[Step]] &gt; current_step, "",Iterations[[#This Row],[Grad_a]]))</f>
        <v/>
      </c>
      <c r="O1475" s="2" t="str">
        <f>IF(Iterations[[#This Row],[Step]] =current_step, current_Grad_b,IF(Iterations[[#This Row],[Step]] &gt; current_step, "",Iterations[[#This Row],[Grad_b]]))</f>
        <v/>
      </c>
      <c r="P1475" s="2" t="str">
        <f>IF(Iterations[[#This Row],[Step]] =current_step, current_Grad_c,IF(Iterations[[#This Row],[Step]] &gt; current_step, "",Iterations[[#This Row],[Grad_c]]))</f>
        <v/>
      </c>
      <c r="Q1475" s="2" t="str">
        <f>IF(Iterations[[#This Row],[Step]] =current_step, current_Grad_d,IF(Iterations[[#This Row],[Step]] &gt; current_step, "",Iterations[[#This Row],[Grad_d]]))</f>
        <v/>
      </c>
      <c r="R1475" s="2" t="str">
        <f>IF(Iterations[[#This Row],[Step]] =current_step, current_Grad_e,IF(Iterations[[#This Row],[Step]] &gt; current_step, "",Iterations[[#This Row],[Grad_e]]))</f>
        <v/>
      </c>
    </row>
    <row r="1476" spans="6:18" x14ac:dyDescent="0.3">
      <c r="F1476" s="2">
        <f t="shared" si="28"/>
        <v>1459</v>
      </c>
      <c r="G1476" s="2" t="str">
        <f>IF(Iterations[[#This Row],[Step]] =current_step, current_a,IF(Iterations[[#This Row],[Step]] &gt; current_step, "",Iterations[[#This Row],[a]]))</f>
        <v/>
      </c>
      <c r="H1476" s="2" t="str">
        <f>IF(Iterations[[#This Row],[Step]] =current_step, current_b,IF(Iterations[[#This Row],[Step]] &gt; current_step, "",Iterations[[#This Row],[b]]))</f>
        <v/>
      </c>
      <c r="I1476" s="2" t="str">
        <f>IF(Iterations[[#This Row],[Step]] =current_step, current_c,IF(Iterations[[#This Row],[Step]] &gt; current_step, "",Iterations[[#This Row],[c]]))</f>
        <v/>
      </c>
      <c r="J1476" s="2" t="str">
        <f>IF(Iterations[[#This Row],[Step]] =current_step, current_d,IF(Iterations[[#This Row],[Step]] &gt; current_step, "",Iterations[[#This Row],[d]]))</f>
        <v/>
      </c>
      <c r="K1476" s="2" t="str">
        <f>IF(Iterations[[#This Row],[Step]] =current_step, current_e,IF(Iterations[[#This Row],[Step]] &gt; current_step, "",Iterations[[#This Row],[e]]))</f>
        <v/>
      </c>
      <c r="L1476" s="2" t="str">
        <f>IF(Iterations[[#This Row],[Step]] =current_step, current_Total_Loss,IF(Iterations[[#This Row],[Step]] &gt; current_step, "",Iterations[[#This Row],[Total Loss]]))</f>
        <v/>
      </c>
      <c r="M1476" s="6" t="s">
        <v>27</v>
      </c>
      <c r="N1476" s="2" t="str">
        <f>IF(Iterations[[#This Row],[Step]] =current_step, current_Grad_a,IF(Iterations[[#This Row],[Step]] &gt; current_step, "",Iterations[[#This Row],[Grad_a]]))</f>
        <v/>
      </c>
      <c r="O1476" s="2" t="str">
        <f>IF(Iterations[[#This Row],[Step]] =current_step, current_Grad_b,IF(Iterations[[#This Row],[Step]] &gt; current_step, "",Iterations[[#This Row],[Grad_b]]))</f>
        <v/>
      </c>
      <c r="P1476" s="2" t="str">
        <f>IF(Iterations[[#This Row],[Step]] =current_step, current_Grad_c,IF(Iterations[[#This Row],[Step]] &gt; current_step, "",Iterations[[#This Row],[Grad_c]]))</f>
        <v/>
      </c>
      <c r="Q1476" s="2" t="str">
        <f>IF(Iterations[[#This Row],[Step]] =current_step, current_Grad_d,IF(Iterations[[#This Row],[Step]] &gt; current_step, "",Iterations[[#This Row],[Grad_d]]))</f>
        <v/>
      </c>
      <c r="R1476" s="2" t="str">
        <f>IF(Iterations[[#This Row],[Step]] =current_step, current_Grad_e,IF(Iterations[[#This Row],[Step]] &gt; current_step, "",Iterations[[#This Row],[Grad_e]]))</f>
        <v/>
      </c>
    </row>
    <row r="1477" spans="6:18" x14ac:dyDescent="0.3">
      <c r="F1477" s="2">
        <f t="shared" si="28"/>
        <v>1460</v>
      </c>
      <c r="G1477" s="2" t="str">
        <f>IF(Iterations[[#This Row],[Step]] =current_step, current_a,IF(Iterations[[#This Row],[Step]] &gt; current_step, "",Iterations[[#This Row],[a]]))</f>
        <v/>
      </c>
      <c r="H1477" s="2" t="str">
        <f>IF(Iterations[[#This Row],[Step]] =current_step, current_b,IF(Iterations[[#This Row],[Step]] &gt; current_step, "",Iterations[[#This Row],[b]]))</f>
        <v/>
      </c>
      <c r="I1477" s="2" t="str">
        <f>IF(Iterations[[#This Row],[Step]] =current_step, current_c,IF(Iterations[[#This Row],[Step]] &gt; current_step, "",Iterations[[#This Row],[c]]))</f>
        <v/>
      </c>
      <c r="J1477" s="2" t="str">
        <f>IF(Iterations[[#This Row],[Step]] =current_step, current_d,IF(Iterations[[#This Row],[Step]] &gt; current_step, "",Iterations[[#This Row],[d]]))</f>
        <v/>
      </c>
      <c r="K1477" s="2" t="str">
        <f>IF(Iterations[[#This Row],[Step]] =current_step, current_e,IF(Iterations[[#This Row],[Step]] &gt; current_step, "",Iterations[[#This Row],[e]]))</f>
        <v/>
      </c>
      <c r="L1477" s="2" t="str">
        <f>IF(Iterations[[#This Row],[Step]] =current_step, current_Total_Loss,IF(Iterations[[#This Row],[Step]] &gt; current_step, "",Iterations[[#This Row],[Total Loss]]))</f>
        <v/>
      </c>
      <c r="M1477" s="6" t="s">
        <v>27</v>
      </c>
      <c r="N1477" s="2" t="str">
        <f>IF(Iterations[[#This Row],[Step]] =current_step, current_Grad_a,IF(Iterations[[#This Row],[Step]] &gt; current_step, "",Iterations[[#This Row],[Grad_a]]))</f>
        <v/>
      </c>
      <c r="O1477" s="2" t="str">
        <f>IF(Iterations[[#This Row],[Step]] =current_step, current_Grad_b,IF(Iterations[[#This Row],[Step]] &gt; current_step, "",Iterations[[#This Row],[Grad_b]]))</f>
        <v/>
      </c>
      <c r="P1477" s="2" t="str">
        <f>IF(Iterations[[#This Row],[Step]] =current_step, current_Grad_c,IF(Iterations[[#This Row],[Step]] &gt; current_step, "",Iterations[[#This Row],[Grad_c]]))</f>
        <v/>
      </c>
      <c r="Q1477" s="2" t="str">
        <f>IF(Iterations[[#This Row],[Step]] =current_step, current_Grad_d,IF(Iterations[[#This Row],[Step]] &gt; current_step, "",Iterations[[#This Row],[Grad_d]]))</f>
        <v/>
      </c>
      <c r="R1477" s="2" t="str">
        <f>IF(Iterations[[#This Row],[Step]] =current_step, current_Grad_e,IF(Iterations[[#This Row],[Step]] &gt; current_step, "",Iterations[[#This Row],[Grad_e]]))</f>
        <v/>
      </c>
    </row>
    <row r="1478" spans="6:18" x14ac:dyDescent="0.3">
      <c r="F1478" s="2">
        <f t="shared" si="28"/>
        <v>1461</v>
      </c>
      <c r="G1478" s="2" t="str">
        <f>IF(Iterations[[#This Row],[Step]] =current_step, current_a,IF(Iterations[[#This Row],[Step]] &gt; current_step, "",Iterations[[#This Row],[a]]))</f>
        <v/>
      </c>
      <c r="H1478" s="2" t="str">
        <f>IF(Iterations[[#This Row],[Step]] =current_step, current_b,IF(Iterations[[#This Row],[Step]] &gt; current_step, "",Iterations[[#This Row],[b]]))</f>
        <v/>
      </c>
      <c r="I1478" s="2" t="str">
        <f>IF(Iterations[[#This Row],[Step]] =current_step, current_c,IF(Iterations[[#This Row],[Step]] &gt; current_step, "",Iterations[[#This Row],[c]]))</f>
        <v/>
      </c>
      <c r="J1478" s="2" t="str">
        <f>IF(Iterations[[#This Row],[Step]] =current_step, current_d,IF(Iterations[[#This Row],[Step]] &gt; current_step, "",Iterations[[#This Row],[d]]))</f>
        <v/>
      </c>
      <c r="K1478" s="2" t="str">
        <f>IF(Iterations[[#This Row],[Step]] =current_step, current_e,IF(Iterations[[#This Row],[Step]] &gt; current_step, "",Iterations[[#This Row],[e]]))</f>
        <v/>
      </c>
      <c r="L1478" s="2" t="str">
        <f>IF(Iterations[[#This Row],[Step]] =current_step, current_Total_Loss,IF(Iterations[[#This Row],[Step]] &gt; current_step, "",Iterations[[#This Row],[Total Loss]]))</f>
        <v/>
      </c>
      <c r="M1478" s="6" t="s">
        <v>27</v>
      </c>
      <c r="N1478" s="2" t="str">
        <f>IF(Iterations[[#This Row],[Step]] =current_step, current_Grad_a,IF(Iterations[[#This Row],[Step]] &gt; current_step, "",Iterations[[#This Row],[Grad_a]]))</f>
        <v/>
      </c>
      <c r="O1478" s="2" t="str">
        <f>IF(Iterations[[#This Row],[Step]] =current_step, current_Grad_b,IF(Iterations[[#This Row],[Step]] &gt; current_step, "",Iterations[[#This Row],[Grad_b]]))</f>
        <v/>
      </c>
      <c r="P1478" s="2" t="str">
        <f>IF(Iterations[[#This Row],[Step]] =current_step, current_Grad_c,IF(Iterations[[#This Row],[Step]] &gt; current_step, "",Iterations[[#This Row],[Grad_c]]))</f>
        <v/>
      </c>
      <c r="Q1478" s="2" t="str">
        <f>IF(Iterations[[#This Row],[Step]] =current_step, current_Grad_d,IF(Iterations[[#This Row],[Step]] &gt; current_step, "",Iterations[[#This Row],[Grad_d]]))</f>
        <v/>
      </c>
      <c r="R1478" s="2" t="str">
        <f>IF(Iterations[[#This Row],[Step]] =current_step, current_Grad_e,IF(Iterations[[#This Row],[Step]] &gt; current_step, "",Iterations[[#This Row],[Grad_e]]))</f>
        <v/>
      </c>
    </row>
    <row r="1479" spans="6:18" x14ac:dyDescent="0.3">
      <c r="F1479" s="2">
        <f t="shared" si="28"/>
        <v>1462</v>
      </c>
      <c r="G1479" s="2" t="str">
        <f>IF(Iterations[[#This Row],[Step]] =current_step, current_a,IF(Iterations[[#This Row],[Step]] &gt; current_step, "",Iterations[[#This Row],[a]]))</f>
        <v/>
      </c>
      <c r="H1479" s="2" t="str">
        <f>IF(Iterations[[#This Row],[Step]] =current_step, current_b,IF(Iterations[[#This Row],[Step]] &gt; current_step, "",Iterations[[#This Row],[b]]))</f>
        <v/>
      </c>
      <c r="I1479" s="2" t="str">
        <f>IF(Iterations[[#This Row],[Step]] =current_step, current_c,IF(Iterations[[#This Row],[Step]] &gt; current_step, "",Iterations[[#This Row],[c]]))</f>
        <v/>
      </c>
      <c r="J1479" s="2" t="str">
        <f>IF(Iterations[[#This Row],[Step]] =current_step, current_d,IF(Iterations[[#This Row],[Step]] &gt; current_step, "",Iterations[[#This Row],[d]]))</f>
        <v/>
      </c>
      <c r="K1479" s="2" t="str">
        <f>IF(Iterations[[#This Row],[Step]] =current_step, current_e,IF(Iterations[[#This Row],[Step]] &gt; current_step, "",Iterations[[#This Row],[e]]))</f>
        <v/>
      </c>
      <c r="L1479" s="2" t="str">
        <f>IF(Iterations[[#This Row],[Step]] =current_step, current_Total_Loss,IF(Iterations[[#This Row],[Step]] &gt; current_step, "",Iterations[[#This Row],[Total Loss]]))</f>
        <v/>
      </c>
      <c r="M1479" s="6" t="s">
        <v>27</v>
      </c>
      <c r="N1479" s="2" t="str">
        <f>IF(Iterations[[#This Row],[Step]] =current_step, current_Grad_a,IF(Iterations[[#This Row],[Step]] &gt; current_step, "",Iterations[[#This Row],[Grad_a]]))</f>
        <v/>
      </c>
      <c r="O1479" s="2" t="str">
        <f>IF(Iterations[[#This Row],[Step]] =current_step, current_Grad_b,IF(Iterations[[#This Row],[Step]] &gt; current_step, "",Iterations[[#This Row],[Grad_b]]))</f>
        <v/>
      </c>
      <c r="P1479" s="2" t="str">
        <f>IF(Iterations[[#This Row],[Step]] =current_step, current_Grad_c,IF(Iterations[[#This Row],[Step]] &gt; current_step, "",Iterations[[#This Row],[Grad_c]]))</f>
        <v/>
      </c>
      <c r="Q1479" s="2" t="str">
        <f>IF(Iterations[[#This Row],[Step]] =current_step, current_Grad_d,IF(Iterations[[#This Row],[Step]] &gt; current_step, "",Iterations[[#This Row],[Grad_d]]))</f>
        <v/>
      </c>
      <c r="R1479" s="2" t="str">
        <f>IF(Iterations[[#This Row],[Step]] =current_step, current_Grad_e,IF(Iterations[[#This Row],[Step]] &gt; current_step, "",Iterations[[#This Row],[Grad_e]]))</f>
        <v/>
      </c>
    </row>
    <row r="1480" spans="6:18" x14ac:dyDescent="0.3">
      <c r="F1480" s="2">
        <f>F1479+1</f>
        <v>1463</v>
      </c>
      <c r="G1480" s="2" t="str">
        <f>IF(Iterations[[#This Row],[Step]] =current_step, current_a,IF(Iterations[[#This Row],[Step]] &gt; current_step, "",Iterations[[#This Row],[a]]))</f>
        <v/>
      </c>
      <c r="H1480" s="2" t="str">
        <f>IF(Iterations[[#This Row],[Step]] =current_step, current_b,IF(Iterations[[#This Row],[Step]] &gt; current_step, "",Iterations[[#This Row],[b]]))</f>
        <v/>
      </c>
      <c r="I1480" s="2" t="str">
        <f>IF(Iterations[[#This Row],[Step]] =current_step, current_c,IF(Iterations[[#This Row],[Step]] &gt; current_step, "",Iterations[[#This Row],[c]]))</f>
        <v/>
      </c>
      <c r="J1480" s="2" t="str">
        <f>IF(Iterations[[#This Row],[Step]] =current_step, current_d,IF(Iterations[[#This Row],[Step]] &gt; current_step, "",Iterations[[#This Row],[d]]))</f>
        <v/>
      </c>
      <c r="K1480" s="2" t="str">
        <f>IF(Iterations[[#This Row],[Step]] =current_step, current_e,IF(Iterations[[#This Row],[Step]] &gt; current_step, "",Iterations[[#This Row],[e]]))</f>
        <v/>
      </c>
      <c r="L1480" s="2" t="str">
        <f>IF(Iterations[[#This Row],[Step]] =current_step, current_Total_Loss,IF(Iterations[[#This Row],[Step]] &gt; current_step, "",Iterations[[#This Row],[Total Loss]]))</f>
        <v/>
      </c>
      <c r="M1480" s="6" t="s">
        <v>27</v>
      </c>
      <c r="N1480" s="2" t="str">
        <f>IF(Iterations[[#This Row],[Step]] =current_step, current_Grad_a,IF(Iterations[[#This Row],[Step]] &gt; current_step, "",Iterations[[#This Row],[Grad_a]]))</f>
        <v/>
      </c>
      <c r="O1480" s="2" t="str">
        <f>IF(Iterations[[#This Row],[Step]] =current_step, current_Grad_b,IF(Iterations[[#This Row],[Step]] &gt; current_step, "",Iterations[[#This Row],[Grad_b]]))</f>
        <v/>
      </c>
      <c r="P1480" s="2" t="str">
        <f>IF(Iterations[[#This Row],[Step]] =current_step, current_Grad_c,IF(Iterations[[#This Row],[Step]] &gt; current_step, "",Iterations[[#This Row],[Grad_c]]))</f>
        <v/>
      </c>
      <c r="Q1480" s="2" t="str">
        <f>IF(Iterations[[#This Row],[Step]] =current_step, current_Grad_d,IF(Iterations[[#This Row],[Step]] &gt; current_step, "",Iterations[[#This Row],[Grad_d]]))</f>
        <v/>
      </c>
      <c r="R1480" s="2" t="str">
        <f>IF(Iterations[[#This Row],[Step]] =current_step, current_Grad_e,IF(Iterations[[#This Row],[Step]] &gt; current_step, "",Iterations[[#This Row],[Grad_e]]))</f>
        <v/>
      </c>
    </row>
    <row r="1481" spans="6:18" x14ac:dyDescent="0.3">
      <c r="F1481" s="2">
        <f t="shared" si="28"/>
        <v>1464</v>
      </c>
      <c r="G1481" s="2" t="str">
        <f>IF(Iterations[[#This Row],[Step]] =current_step, current_a,IF(Iterations[[#This Row],[Step]] &gt; current_step, "",Iterations[[#This Row],[a]]))</f>
        <v/>
      </c>
      <c r="H1481" s="2" t="str">
        <f>IF(Iterations[[#This Row],[Step]] =current_step, current_b,IF(Iterations[[#This Row],[Step]] &gt; current_step, "",Iterations[[#This Row],[b]]))</f>
        <v/>
      </c>
      <c r="I1481" s="2" t="str">
        <f>IF(Iterations[[#This Row],[Step]] =current_step, current_c,IF(Iterations[[#This Row],[Step]] &gt; current_step, "",Iterations[[#This Row],[c]]))</f>
        <v/>
      </c>
      <c r="J1481" s="2" t="str">
        <f>IF(Iterations[[#This Row],[Step]] =current_step, current_d,IF(Iterations[[#This Row],[Step]] &gt; current_step, "",Iterations[[#This Row],[d]]))</f>
        <v/>
      </c>
      <c r="K1481" s="2" t="str">
        <f>IF(Iterations[[#This Row],[Step]] =current_step, current_e,IF(Iterations[[#This Row],[Step]] &gt; current_step, "",Iterations[[#This Row],[e]]))</f>
        <v/>
      </c>
      <c r="L1481" s="2" t="str">
        <f>IF(Iterations[[#This Row],[Step]] =current_step, current_Total_Loss,IF(Iterations[[#This Row],[Step]] &gt; current_step, "",Iterations[[#This Row],[Total Loss]]))</f>
        <v/>
      </c>
      <c r="M1481" s="6" t="s">
        <v>27</v>
      </c>
      <c r="N1481" s="2" t="str">
        <f>IF(Iterations[[#This Row],[Step]] =current_step, current_Grad_a,IF(Iterations[[#This Row],[Step]] &gt; current_step, "",Iterations[[#This Row],[Grad_a]]))</f>
        <v/>
      </c>
      <c r="O1481" s="2" t="str">
        <f>IF(Iterations[[#This Row],[Step]] =current_step, current_Grad_b,IF(Iterations[[#This Row],[Step]] &gt; current_step, "",Iterations[[#This Row],[Grad_b]]))</f>
        <v/>
      </c>
      <c r="P1481" s="2" t="str">
        <f>IF(Iterations[[#This Row],[Step]] =current_step, current_Grad_c,IF(Iterations[[#This Row],[Step]] &gt; current_step, "",Iterations[[#This Row],[Grad_c]]))</f>
        <v/>
      </c>
      <c r="Q1481" s="2" t="str">
        <f>IF(Iterations[[#This Row],[Step]] =current_step, current_Grad_d,IF(Iterations[[#This Row],[Step]] &gt; current_step, "",Iterations[[#This Row],[Grad_d]]))</f>
        <v/>
      </c>
      <c r="R1481" s="2" t="str">
        <f>IF(Iterations[[#This Row],[Step]] =current_step, current_Grad_e,IF(Iterations[[#This Row],[Step]] &gt; current_step, "",Iterations[[#This Row],[Grad_e]]))</f>
        <v/>
      </c>
    </row>
    <row r="1482" spans="6:18" x14ac:dyDescent="0.3">
      <c r="F1482" s="2">
        <f t="shared" si="28"/>
        <v>1465</v>
      </c>
      <c r="G1482" s="2" t="str">
        <f>IF(Iterations[[#This Row],[Step]] =current_step, current_a,IF(Iterations[[#This Row],[Step]] &gt; current_step, "",Iterations[[#This Row],[a]]))</f>
        <v/>
      </c>
      <c r="H1482" s="2" t="str">
        <f>IF(Iterations[[#This Row],[Step]] =current_step, current_b,IF(Iterations[[#This Row],[Step]] &gt; current_step, "",Iterations[[#This Row],[b]]))</f>
        <v/>
      </c>
      <c r="I1482" s="2" t="str">
        <f>IF(Iterations[[#This Row],[Step]] =current_step, current_c,IF(Iterations[[#This Row],[Step]] &gt; current_step, "",Iterations[[#This Row],[c]]))</f>
        <v/>
      </c>
      <c r="J1482" s="2" t="str">
        <f>IF(Iterations[[#This Row],[Step]] =current_step, current_d,IF(Iterations[[#This Row],[Step]] &gt; current_step, "",Iterations[[#This Row],[d]]))</f>
        <v/>
      </c>
      <c r="K1482" s="2" t="str">
        <f>IF(Iterations[[#This Row],[Step]] =current_step, current_e,IF(Iterations[[#This Row],[Step]] &gt; current_step, "",Iterations[[#This Row],[e]]))</f>
        <v/>
      </c>
      <c r="L1482" s="2" t="str">
        <f>IF(Iterations[[#This Row],[Step]] =current_step, current_Total_Loss,IF(Iterations[[#This Row],[Step]] &gt; current_step, "",Iterations[[#This Row],[Total Loss]]))</f>
        <v/>
      </c>
      <c r="M1482" s="6" t="s">
        <v>27</v>
      </c>
      <c r="N1482" s="2" t="str">
        <f>IF(Iterations[[#This Row],[Step]] =current_step, current_Grad_a,IF(Iterations[[#This Row],[Step]] &gt; current_step, "",Iterations[[#This Row],[Grad_a]]))</f>
        <v/>
      </c>
      <c r="O1482" s="2" t="str">
        <f>IF(Iterations[[#This Row],[Step]] =current_step, current_Grad_b,IF(Iterations[[#This Row],[Step]] &gt; current_step, "",Iterations[[#This Row],[Grad_b]]))</f>
        <v/>
      </c>
      <c r="P1482" s="2" t="str">
        <f>IF(Iterations[[#This Row],[Step]] =current_step, current_Grad_c,IF(Iterations[[#This Row],[Step]] &gt; current_step, "",Iterations[[#This Row],[Grad_c]]))</f>
        <v/>
      </c>
      <c r="Q1482" s="2" t="str">
        <f>IF(Iterations[[#This Row],[Step]] =current_step, current_Grad_d,IF(Iterations[[#This Row],[Step]] &gt; current_step, "",Iterations[[#This Row],[Grad_d]]))</f>
        <v/>
      </c>
      <c r="R1482" s="2" t="str">
        <f>IF(Iterations[[#This Row],[Step]] =current_step, current_Grad_e,IF(Iterations[[#This Row],[Step]] &gt; current_step, "",Iterations[[#This Row],[Grad_e]]))</f>
        <v/>
      </c>
    </row>
    <row r="1483" spans="6:18" x14ac:dyDescent="0.3">
      <c r="F1483" s="2">
        <f t="shared" si="28"/>
        <v>1466</v>
      </c>
      <c r="G1483" s="2" t="str">
        <f>IF(Iterations[[#This Row],[Step]] =current_step, current_a,IF(Iterations[[#This Row],[Step]] &gt; current_step, "",Iterations[[#This Row],[a]]))</f>
        <v/>
      </c>
      <c r="H1483" s="2" t="str">
        <f>IF(Iterations[[#This Row],[Step]] =current_step, current_b,IF(Iterations[[#This Row],[Step]] &gt; current_step, "",Iterations[[#This Row],[b]]))</f>
        <v/>
      </c>
      <c r="I1483" s="2" t="str">
        <f>IF(Iterations[[#This Row],[Step]] =current_step, current_c,IF(Iterations[[#This Row],[Step]] &gt; current_step, "",Iterations[[#This Row],[c]]))</f>
        <v/>
      </c>
      <c r="J1483" s="2" t="str">
        <f>IF(Iterations[[#This Row],[Step]] =current_step, current_d,IF(Iterations[[#This Row],[Step]] &gt; current_step, "",Iterations[[#This Row],[d]]))</f>
        <v/>
      </c>
      <c r="K1483" s="2" t="str">
        <f>IF(Iterations[[#This Row],[Step]] =current_step, current_e,IF(Iterations[[#This Row],[Step]] &gt; current_step, "",Iterations[[#This Row],[e]]))</f>
        <v/>
      </c>
      <c r="L1483" s="2" t="str">
        <f>IF(Iterations[[#This Row],[Step]] =current_step, current_Total_Loss,IF(Iterations[[#This Row],[Step]] &gt; current_step, "",Iterations[[#This Row],[Total Loss]]))</f>
        <v/>
      </c>
      <c r="M1483" s="6" t="s">
        <v>27</v>
      </c>
      <c r="N1483" s="2" t="str">
        <f>IF(Iterations[[#This Row],[Step]] =current_step, current_Grad_a,IF(Iterations[[#This Row],[Step]] &gt; current_step, "",Iterations[[#This Row],[Grad_a]]))</f>
        <v/>
      </c>
      <c r="O1483" s="2" t="str">
        <f>IF(Iterations[[#This Row],[Step]] =current_step, current_Grad_b,IF(Iterations[[#This Row],[Step]] &gt; current_step, "",Iterations[[#This Row],[Grad_b]]))</f>
        <v/>
      </c>
      <c r="P1483" s="2" t="str">
        <f>IF(Iterations[[#This Row],[Step]] =current_step, current_Grad_c,IF(Iterations[[#This Row],[Step]] &gt; current_step, "",Iterations[[#This Row],[Grad_c]]))</f>
        <v/>
      </c>
      <c r="Q1483" s="2" t="str">
        <f>IF(Iterations[[#This Row],[Step]] =current_step, current_Grad_d,IF(Iterations[[#This Row],[Step]] &gt; current_step, "",Iterations[[#This Row],[Grad_d]]))</f>
        <v/>
      </c>
      <c r="R1483" s="2" t="str">
        <f>IF(Iterations[[#This Row],[Step]] =current_step, current_Grad_e,IF(Iterations[[#This Row],[Step]] &gt; current_step, "",Iterations[[#This Row],[Grad_e]]))</f>
        <v/>
      </c>
    </row>
    <row r="1484" spans="6:18" x14ac:dyDescent="0.3">
      <c r="F1484" s="2">
        <f t="shared" si="28"/>
        <v>1467</v>
      </c>
      <c r="G1484" s="2" t="str">
        <f>IF(Iterations[[#This Row],[Step]] =current_step, current_a,IF(Iterations[[#This Row],[Step]] &gt; current_step, "",Iterations[[#This Row],[a]]))</f>
        <v/>
      </c>
      <c r="H1484" s="2" t="str">
        <f>IF(Iterations[[#This Row],[Step]] =current_step, current_b,IF(Iterations[[#This Row],[Step]] &gt; current_step, "",Iterations[[#This Row],[b]]))</f>
        <v/>
      </c>
      <c r="I1484" s="2" t="str">
        <f>IF(Iterations[[#This Row],[Step]] =current_step, current_c,IF(Iterations[[#This Row],[Step]] &gt; current_step, "",Iterations[[#This Row],[c]]))</f>
        <v/>
      </c>
      <c r="J1484" s="2" t="str">
        <f>IF(Iterations[[#This Row],[Step]] =current_step, current_d,IF(Iterations[[#This Row],[Step]] &gt; current_step, "",Iterations[[#This Row],[d]]))</f>
        <v/>
      </c>
      <c r="K1484" s="2" t="str">
        <f>IF(Iterations[[#This Row],[Step]] =current_step, current_e,IF(Iterations[[#This Row],[Step]] &gt; current_step, "",Iterations[[#This Row],[e]]))</f>
        <v/>
      </c>
      <c r="L1484" s="2" t="str">
        <f>IF(Iterations[[#This Row],[Step]] =current_step, current_Total_Loss,IF(Iterations[[#This Row],[Step]] &gt; current_step, "",Iterations[[#This Row],[Total Loss]]))</f>
        <v/>
      </c>
      <c r="M1484" s="6" t="s">
        <v>27</v>
      </c>
      <c r="N1484" s="2" t="str">
        <f>IF(Iterations[[#This Row],[Step]] =current_step, current_Grad_a,IF(Iterations[[#This Row],[Step]] &gt; current_step, "",Iterations[[#This Row],[Grad_a]]))</f>
        <v/>
      </c>
      <c r="O1484" s="2" t="str">
        <f>IF(Iterations[[#This Row],[Step]] =current_step, current_Grad_b,IF(Iterations[[#This Row],[Step]] &gt; current_step, "",Iterations[[#This Row],[Grad_b]]))</f>
        <v/>
      </c>
      <c r="P1484" s="2" t="str">
        <f>IF(Iterations[[#This Row],[Step]] =current_step, current_Grad_c,IF(Iterations[[#This Row],[Step]] &gt; current_step, "",Iterations[[#This Row],[Grad_c]]))</f>
        <v/>
      </c>
      <c r="Q1484" s="2" t="str">
        <f>IF(Iterations[[#This Row],[Step]] =current_step, current_Grad_d,IF(Iterations[[#This Row],[Step]] &gt; current_step, "",Iterations[[#This Row],[Grad_d]]))</f>
        <v/>
      </c>
      <c r="R1484" s="2" t="str">
        <f>IF(Iterations[[#This Row],[Step]] =current_step, current_Grad_e,IF(Iterations[[#This Row],[Step]] &gt; current_step, "",Iterations[[#This Row],[Grad_e]]))</f>
        <v/>
      </c>
    </row>
    <row r="1485" spans="6:18" x14ac:dyDescent="0.3">
      <c r="F1485" s="2">
        <f t="shared" si="28"/>
        <v>1468</v>
      </c>
      <c r="G1485" s="2" t="str">
        <f>IF(Iterations[[#This Row],[Step]] =current_step, current_a,IF(Iterations[[#This Row],[Step]] &gt; current_step, "",Iterations[[#This Row],[a]]))</f>
        <v/>
      </c>
      <c r="H1485" s="2" t="str">
        <f>IF(Iterations[[#This Row],[Step]] =current_step, current_b,IF(Iterations[[#This Row],[Step]] &gt; current_step, "",Iterations[[#This Row],[b]]))</f>
        <v/>
      </c>
      <c r="I1485" s="2" t="str">
        <f>IF(Iterations[[#This Row],[Step]] =current_step, current_c,IF(Iterations[[#This Row],[Step]] &gt; current_step, "",Iterations[[#This Row],[c]]))</f>
        <v/>
      </c>
      <c r="J1485" s="2" t="str">
        <f>IF(Iterations[[#This Row],[Step]] =current_step, current_d,IF(Iterations[[#This Row],[Step]] &gt; current_step, "",Iterations[[#This Row],[d]]))</f>
        <v/>
      </c>
      <c r="K1485" s="2" t="str">
        <f>IF(Iterations[[#This Row],[Step]] =current_step, current_e,IF(Iterations[[#This Row],[Step]] &gt; current_step, "",Iterations[[#This Row],[e]]))</f>
        <v/>
      </c>
      <c r="L1485" s="2" t="str">
        <f>IF(Iterations[[#This Row],[Step]] =current_step, current_Total_Loss,IF(Iterations[[#This Row],[Step]] &gt; current_step, "",Iterations[[#This Row],[Total Loss]]))</f>
        <v/>
      </c>
      <c r="M1485" s="6" t="s">
        <v>27</v>
      </c>
      <c r="N1485" s="2" t="str">
        <f>IF(Iterations[[#This Row],[Step]] =current_step, current_Grad_a,IF(Iterations[[#This Row],[Step]] &gt; current_step, "",Iterations[[#This Row],[Grad_a]]))</f>
        <v/>
      </c>
      <c r="O1485" s="2" t="str">
        <f>IF(Iterations[[#This Row],[Step]] =current_step, current_Grad_b,IF(Iterations[[#This Row],[Step]] &gt; current_step, "",Iterations[[#This Row],[Grad_b]]))</f>
        <v/>
      </c>
      <c r="P1485" s="2" t="str">
        <f>IF(Iterations[[#This Row],[Step]] =current_step, current_Grad_c,IF(Iterations[[#This Row],[Step]] &gt; current_step, "",Iterations[[#This Row],[Grad_c]]))</f>
        <v/>
      </c>
      <c r="Q1485" s="2" t="str">
        <f>IF(Iterations[[#This Row],[Step]] =current_step, current_Grad_d,IF(Iterations[[#This Row],[Step]] &gt; current_step, "",Iterations[[#This Row],[Grad_d]]))</f>
        <v/>
      </c>
      <c r="R1485" s="2" t="str">
        <f>IF(Iterations[[#This Row],[Step]] =current_step, current_Grad_e,IF(Iterations[[#This Row],[Step]] &gt; current_step, "",Iterations[[#This Row],[Grad_e]]))</f>
        <v/>
      </c>
    </row>
    <row r="1486" spans="6:18" x14ac:dyDescent="0.3">
      <c r="F1486" s="2">
        <f t="shared" si="28"/>
        <v>1469</v>
      </c>
      <c r="G1486" s="2" t="str">
        <f>IF(Iterations[[#This Row],[Step]] =current_step, current_a,IF(Iterations[[#This Row],[Step]] &gt; current_step, "",Iterations[[#This Row],[a]]))</f>
        <v/>
      </c>
      <c r="H1486" s="2" t="str">
        <f>IF(Iterations[[#This Row],[Step]] =current_step, current_b,IF(Iterations[[#This Row],[Step]] &gt; current_step, "",Iterations[[#This Row],[b]]))</f>
        <v/>
      </c>
      <c r="I1486" s="2" t="str">
        <f>IF(Iterations[[#This Row],[Step]] =current_step, current_c,IF(Iterations[[#This Row],[Step]] &gt; current_step, "",Iterations[[#This Row],[c]]))</f>
        <v/>
      </c>
      <c r="J1486" s="2" t="str">
        <f>IF(Iterations[[#This Row],[Step]] =current_step, current_d,IF(Iterations[[#This Row],[Step]] &gt; current_step, "",Iterations[[#This Row],[d]]))</f>
        <v/>
      </c>
      <c r="K1486" s="2" t="str">
        <f>IF(Iterations[[#This Row],[Step]] =current_step, current_e,IF(Iterations[[#This Row],[Step]] &gt; current_step, "",Iterations[[#This Row],[e]]))</f>
        <v/>
      </c>
      <c r="L1486" s="2" t="str">
        <f>IF(Iterations[[#This Row],[Step]] =current_step, current_Total_Loss,IF(Iterations[[#This Row],[Step]] &gt; current_step, "",Iterations[[#This Row],[Total Loss]]))</f>
        <v/>
      </c>
      <c r="M1486" s="6" t="s">
        <v>27</v>
      </c>
      <c r="N1486" s="2" t="str">
        <f>IF(Iterations[[#This Row],[Step]] =current_step, current_Grad_a,IF(Iterations[[#This Row],[Step]] &gt; current_step, "",Iterations[[#This Row],[Grad_a]]))</f>
        <v/>
      </c>
      <c r="O1486" s="2" t="str">
        <f>IF(Iterations[[#This Row],[Step]] =current_step, current_Grad_b,IF(Iterations[[#This Row],[Step]] &gt; current_step, "",Iterations[[#This Row],[Grad_b]]))</f>
        <v/>
      </c>
      <c r="P1486" s="2" t="str">
        <f>IF(Iterations[[#This Row],[Step]] =current_step, current_Grad_c,IF(Iterations[[#This Row],[Step]] &gt; current_step, "",Iterations[[#This Row],[Grad_c]]))</f>
        <v/>
      </c>
      <c r="Q1486" s="2" t="str">
        <f>IF(Iterations[[#This Row],[Step]] =current_step, current_Grad_d,IF(Iterations[[#This Row],[Step]] &gt; current_step, "",Iterations[[#This Row],[Grad_d]]))</f>
        <v/>
      </c>
      <c r="R1486" s="2" t="str">
        <f>IF(Iterations[[#This Row],[Step]] =current_step, current_Grad_e,IF(Iterations[[#This Row],[Step]] &gt; current_step, "",Iterations[[#This Row],[Grad_e]]))</f>
        <v/>
      </c>
    </row>
    <row r="1487" spans="6:18" x14ac:dyDescent="0.3">
      <c r="F1487" s="2">
        <f t="shared" si="28"/>
        <v>1470</v>
      </c>
      <c r="G1487" s="2" t="str">
        <f>IF(Iterations[[#This Row],[Step]] =current_step, current_a,IF(Iterations[[#This Row],[Step]] &gt; current_step, "",Iterations[[#This Row],[a]]))</f>
        <v/>
      </c>
      <c r="H1487" s="2" t="str">
        <f>IF(Iterations[[#This Row],[Step]] =current_step, current_b,IF(Iterations[[#This Row],[Step]] &gt; current_step, "",Iterations[[#This Row],[b]]))</f>
        <v/>
      </c>
      <c r="I1487" s="2" t="str">
        <f>IF(Iterations[[#This Row],[Step]] =current_step, current_c,IF(Iterations[[#This Row],[Step]] &gt; current_step, "",Iterations[[#This Row],[c]]))</f>
        <v/>
      </c>
      <c r="J1487" s="2" t="str">
        <f>IF(Iterations[[#This Row],[Step]] =current_step, current_d,IF(Iterations[[#This Row],[Step]] &gt; current_step, "",Iterations[[#This Row],[d]]))</f>
        <v/>
      </c>
      <c r="K1487" s="2" t="str">
        <f>IF(Iterations[[#This Row],[Step]] =current_step, current_e,IF(Iterations[[#This Row],[Step]] &gt; current_step, "",Iterations[[#This Row],[e]]))</f>
        <v/>
      </c>
      <c r="L1487" s="2" t="str">
        <f>IF(Iterations[[#This Row],[Step]] =current_step, current_Total_Loss,IF(Iterations[[#This Row],[Step]] &gt; current_step, "",Iterations[[#This Row],[Total Loss]]))</f>
        <v/>
      </c>
      <c r="M1487" s="6" t="s">
        <v>27</v>
      </c>
      <c r="N1487" s="2" t="str">
        <f>IF(Iterations[[#This Row],[Step]] =current_step, current_Grad_a,IF(Iterations[[#This Row],[Step]] &gt; current_step, "",Iterations[[#This Row],[Grad_a]]))</f>
        <v/>
      </c>
      <c r="O1487" s="2" t="str">
        <f>IF(Iterations[[#This Row],[Step]] =current_step, current_Grad_b,IF(Iterations[[#This Row],[Step]] &gt; current_step, "",Iterations[[#This Row],[Grad_b]]))</f>
        <v/>
      </c>
      <c r="P1487" s="2" t="str">
        <f>IF(Iterations[[#This Row],[Step]] =current_step, current_Grad_c,IF(Iterations[[#This Row],[Step]] &gt; current_step, "",Iterations[[#This Row],[Grad_c]]))</f>
        <v/>
      </c>
      <c r="Q1487" s="2" t="str">
        <f>IF(Iterations[[#This Row],[Step]] =current_step, current_Grad_d,IF(Iterations[[#This Row],[Step]] &gt; current_step, "",Iterations[[#This Row],[Grad_d]]))</f>
        <v/>
      </c>
      <c r="R1487" s="2" t="str">
        <f>IF(Iterations[[#This Row],[Step]] =current_step, current_Grad_e,IF(Iterations[[#This Row],[Step]] &gt; current_step, "",Iterations[[#This Row],[Grad_e]]))</f>
        <v/>
      </c>
    </row>
    <row r="1488" spans="6:18" x14ac:dyDescent="0.3">
      <c r="F1488" s="2">
        <f t="shared" si="28"/>
        <v>1471</v>
      </c>
      <c r="G1488" s="2" t="str">
        <f>IF(Iterations[[#This Row],[Step]] =current_step, current_a,IF(Iterations[[#This Row],[Step]] &gt; current_step, "",Iterations[[#This Row],[a]]))</f>
        <v/>
      </c>
      <c r="H1488" s="2" t="str">
        <f>IF(Iterations[[#This Row],[Step]] =current_step, current_b,IF(Iterations[[#This Row],[Step]] &gt; current_step, "",Iterations[[#This Row],[b]]))</f>
        <v/>
      </c>
      <c r="I1488" s="2" t="str">
        <f>IF(Iterations[[#This Row],[Step]] =current_step, current_c,IF(Iterations[[#This Row],[Step]] &gt; current_step, "",Iterations[[#This Row],[c]]))</f>
        <v/>
      </c>
      <c r="J1488" s="2" t="str">
        <f>IF(Iterations[[#This Row],[Step]] =current_step, current_d,IF(Iterations[[#This Row],[Step]] &gt; current_step, "",Iterations[[#This Row],[d]]))</f>
        <v/>
      </c>
      <c r="K1488" s="2" t="str">
        <f>IF(Iterations[[#This Row],[Step]] =current_step, current_e,IF(Iterations[[#This Row],[Step]] &gt; current_step, "",Iterations[[#This Row],[e]]))</f>
        <v/>
      </c>
      <c r="L1488" s="2" t="str">
        <f>IF(Iterations[[#This Row],[Step]] =current_step, current_Total_Loss,IF(Iterations[[#This Row],[Step]] &gt; current_step, "",Iterations[[#This Row],[Total Loss]]))</f>
        <v/>
      </c>
      <c r="M1488" s="6" t="s">
        <v>27</v>
      </c>
      <c r="N1488" s="2" t="str">
        <f>IF(Iterations[[#This Row],[Step]] =current_step, current_Grad_a,IF(Iterations[[#This Row],[Step]] &gt; current_step, "",Iterations[[#This Row],[Grad_a]]))</f>
        <v/>
      </c>
      <c r="O1488" s="2" t="str">
        <f>IF(Iterations[[#This Row],[Step]] =current_step, current_Grad_b,IF(Iterations[[#This Row],[Step]] &gt; current_step, "",Iterations[[#This Row],[Grad_b]]))</f>
        <v/>
      </c>
      <c r="P1488" s="2" t="str">
        <f>IF(Iterations[[#This Row],[Step]] =current_step, current_Grad_c,IF(Iterations[[#This Row],[Step]] &gt; current_step, "",Iterations[[#This Row],[Grad_c]]))</f>
        <v/>
      </c>
      <c r="Q1488" s="2" t="str">
        <f>IF(Iterations[[#This Row],[Step]] =current_step, current_Grad_d,IF(Iterations[[#This Row],[Step]] &gt; current_step, "",Iterations[[#This Row],[Grad_d]]))</f>
        <v/>
      </c>
      <c r="R1488" s="2" t="str">
        <f>IF(Iterations[[#This Row],[Step]] =current_step, current_Grad_e,IF(Iterations[[#This Row],[Step]] &gt; current_step, "",Iterations[[#This Row],[Grad_e]]))</f>
        <v/>
      </c>
    </row>
    <row r="1489" spans="6:18" x14ac:dyDescent="0.3">
      <c r="F1489" s="2">
        <f t="shared" si="28"/>
        <v>1472</v>
      </c>
      <c r="G1489" s="2" t="str">
        <f>IF(Iterations[[#This Row],[Step]] =current_step, current_a,IF(Iterations[[#This Row],[Step]] &gt; current_step, "",Iterations[[#This Row],[a]]))</f>
        <v/>
      </c>
      <c r="H1489" s="2" t="str">
        <f>IF(Iterations[[#This Row],[Step]] =current_step, current_b,IF(Iterations[[#This Row],[Step]] &gt; current_step, "",Iterations[[#This Row],[b]]))</f>
        <v/>
      </c>
      <c r="I1489" s="2" t="str">
        <f>IF(Iterations[[#This Row],[Step]] =current_step, current_c,IF(Iterations[[#This Row],[Step]] &gt; current_step, "",Iterations[[#This Row],[c]]))</f>
        <v/>
      </c>
      <c r="J1489" s="2" t="str">
        <f>IF(Iterations[[#This Row],[Step]] =current_step, current_d,IF(Iterations[[#This Row],[Step]] &gt; current_step, "",Iterations[[#This Row],[d]]))</f>
        <v/>
      </c>
      <c r="K1489" s="2" t="str">
        <f>IF(Iterations[[#This Row],[Step]] =current_step, current_e,IF(Iterations[[#This Row],[Step]] &gt; current_step, "",Iterations[[#This Row],[e]]))</f>
        <v/>
      </c>
      <c r="L1489" s="2" t="str">
        <f>IF(Iterations[[#This Row],[Step]] =current_step, current_Total_Loss,IF(Iterations[[#This Row],[Step]] &gt; current_step, "",Iterations[[#This Row],[Total Loss]]))</f>
        <v/>
      </c>
      <c r="M1489" s="6" t="s">
        <v>27</v>
      </c>
      <c r="N1489" s="2" t="str">
        <f>IF(Iterations[[#This Row],[Step]] =current_step, current_Grad_a,IF(Iterations[[#This Row],[Step]] &gt; current_step, "",Iterations[[#This Row],[Grad_a]]))</f>
        <v/>
      </c>
      <c r="O1489" s="2" t="str">
        <f>IF(Iterations[[#This Row],[Step]] =current_step, current_Grad_b,IF(Iterations[[#This Row],[Step]] &gt; current_step, "",Iterations[[#This Row],[Grad_b]]))</f>
        <v/>
      </c>
      <c r="P1489" s="2" t="str">
        <f>IF(Iterations[[#This Row],[Step]] =current_step, current_Grad_c,IF(Iterations[[#This Row],[Step]] &gt; current_step, "",Iterations[[#This Row],[Grad_c]]))</f>
        <v/>
      </c>
      <c r="Q1489" s="2" t="str">
        <f>IF(Iterations[[#This Row],[Step]] =current_step, current_Grad_d,IF(Iterations[[#This Row],[Step]] &gt; current_step, "",Iterations[[#This Row],[Grad_d]]))</f>
        <v/>
      </c>
      <c r="R1489" s="2" t="str">
        <f>IF(Iterations[[#This Row],[Step]] =current_step, current_Grad_e,IF(Iterations[[#This Row],[Step]] &gt; current_step, "",Iterations[[#This Row],[Grad_e]]))</f>
        <v/>
      </c>
    </row>
    <row r="1490" spans="6:18" x14ac:dyDescent="0.3">
      <c r="F1490" s="2">
        <f t="shared" si="28"/>
        <v>1473</v>
      </c>
      <c r="G1490" s="2" t="str">
        <f>IF(Iterations[[#This Row],[Step]] =current_step, current_a,IF(Iterations[[#This Row],[Step]] &gt; current_step, "",Iterations[[#This Row],[a]]))</f>
        <v/>
      </c>
      <c r="H1490" s="2" t="str">
        <f>IF(Iterations[[#This Row],[Step]] =current_step, current_b,IF(Iterations[[#This Row],[Step]] &gt; current_step, "",Iterations[[#This Row],[b]]))</f>
        <v/>
      </c>
      <c r="I1490" s="2" t="str">
        <f>IF(Iterations[[#This Row],[Step]] =current_step, current_c,IF(Iterations[[#This Row],[Step]] &gt; current_step, "",Iterations[[#This Row],[c]]))</f>
        <v/>
      </c>
      <c r="J1490" s="2" t="str">
        <f>IF(Iterations[[#This Row],[Step]] =current_step, current_d,IF(Iterations[[#This Row],[Step]] &gt; current_step, "",Iterations[[#This Row],[d]]))</f>
        <v/>
      </c>
      <c r="K1490" s="2" t="str">
        <f>IF(Iterations[[#This Row],[Step]] =current_step, current_e,IF(Iterations[[#This Row],[Step]] &gt; current_step, "",Iterations[[#This Row],[e]]))</f>
        <v/>
      </c>
      <c r="L1490" s="2" t="str">
        <f>IF(Iterations[[#This Row],[Step]] =current_step, current_Total_Loss,IF(Iterations[[#This Row],[Step]] &gt; current_step, "",Iterations[[#This Row],[Total Loss]]))</f>
        <v/>
      </c>
      <c r="M1490" s="6" t="s">
        <v>27</v>
      </c>
      <c r="N1490" s="2" t="str">
        <f>IF(Iterations[[#This Row],[Step]] =current_step, current_Grad_a,IF(Iterations[[#This Row],[Step]] &gt; current_step, "",Iterations[[#This Row],[Grad_a]]))</f>
        <v/>
      </c>
      <c r="O1490" s="2" t="str">
        <f>IF(Iterations[[#This Row],[Step]] =current_step, current_Grad_b,IF(Iterations[[#This Row],[Step]] &gt; current_step, "",Iterations[[#This Row],[Grad_b]]))</f>
        <v/>
      </c>
      <c r="P1490" s="2" t="str">
        <f>IF(Iterations[[#This Row],[Step]] =current_step, current_Grad_c,IF(Iterations[[#This Row],[Step]] &gt; current_step, "",Iterations[[#This Row],[Grad_c]]))</f>
        <v/>
      </c>
      <c r="Q1490" s="2" t="str">
        <f>IF(Iterations[[#This Row],[Step]] =current_step, current_Grad_d,IF(Iterations[[#This Row],[Step]] &gt; current_step, "",Iterations[[#This Row],[Grad_d]]))</f>
        <v/>
      </c>
      <c r="R1490" s="2" t="str">
        <f>IF(Iterations[[#This Row],[Step]] =current_step, current_Grad_e,IF(Iterations[[#This Row],[Step]] &gt; current_step, "",Iterations[[#This Row],[Grad_e]]))</f>
        <v/>
      </c>
    </row>
    <row r="1491" spans="6:18" x14ac:dyDescent="0.3">
      <c r="F1491" s="2">
        <f t="shared" si="28"/>
        <v>1474</v>
      </c>
      <c r="G1491" s="2" t="str">
        <f>IF(Iterations[[#This Row],[Step]] =current_step, current_a,IF(Iterations[[#This Row],[Step]] &gt; current_step, "",Iterations[[#This Row],[a]]))</f>
        <v/>
      </c>
      <c r="H1491" s="2" t="str">
        <f>IF(Iterations[[#This Row],[Step]] =current_step, current_b,IF(Iterations[[#This Row],[Step]] &gt; current_step, "",Iterations[[#This Row],[b]]))</f>
        <v/>
      </c>
      <c r="I1491" s="2" t="str">
        <f>IF(Iterations[[#This Row],[Step]] =current_step, current_c,IF(Iterations[[#This Row],[Step]] &gt; current_step, "",Iterations[[#This Row],[c]]))</f>
        <v/>
      </c>
      <c r="J1491" s="2" t="str">
        <f>IF(Iterations[[#This Row],[Step]] =current_step, current_d,IF(Iterations[[#This Row],[Step]] &gt; current_step, "",Iterations[[#This Row],[d]]))</f>
        <v/>
      </c>
      <c r="K1491" s="2" t="str">
        <f>IF(Iterations[[#This Row],[Step]] =current_step, current_e,IF(Iterations[[#This Row],[Step]] &gt; current_step, "",Iterations[[#This Row],[e]]))</f>
        <v/>
      </c>
      <c r="L1491" s="2" t="str">
        <f>IF(Iterations[[#This Row],[Step]] =current_step, current_Total_Loss,IF(Iterations[[#This Row],[Step]] &gt; current_step, "",Iterations[[#This Row],[Total Loss]]))</f>
        <v/>
      </c>
      <c r="M1491" s="6" t="s">
        <v>27</v>
      </c>
      <c r="N1491" s="2" t="str">
        <f>IF(Iterations[[#This Row],[Step]] =current_step, current_Grad_a,IF(Iterations[[#This Row],[Step]] &gt; current_step, "",Iterations[[#This Row],[Grad_a]]))</f>
        <v/>
      </c>
      <c r="O1491" s="2" t="str">
        <f>IF(Iterations[[#This Row],[Step]] =current_step, current_Grad_b,IF(Iterations[[#This Row],[Step]] &gt; current_step, "",Iterations[[#This Row],[Grad_b]]))</f>
        <v/>
      </c>
      <c r="P1491" s="2" t="str">
        <f>IF(Iterations[[#This Row],[Step]] =current_step, current_Grad_c,IF(Iterations[[#This Row],[Step]] &gt; current_step, "",Iterations[[#This Row],[Grad_c]]))</f>
        <v/>
      </c>
      <c r="Q1491" s="2" t="str">
        <f>IF(Iterations[[#This Row],[Step]] =current_step, current_Grad_d,IF(Iterations[[#This Row],[Step]] &gt; current_step, "",Iterations[[#This Row],[Grad_d]]))</f>
        <v/>
      </c>
      <c r="R1491" s="2" t="str">
        <f>IF(Iterations[[#This Row],[Step]] =current_step, current_Grad_e,IF(Iterations[[#This Row],[Step]] &gt; current_step, "",Iterations[[#This Row],[Grad_e]]))</f>
        <v/>
      </c>
    </row>
    <row r="1492" spans="6:18" x14ac:dyDescent="0.3">
      <c r="F1492" s="2">
        <f t="shared" si="28"/>
        <v>1475</v>
      </c>
      <c r="G1492" s="2" t="str">
        <f>IF(Iterations[[#This Row],[Step]] =current_step, current_a,IF(Iterations[[#This Row],[Step]] &gt; current_step, "",Iterations[[#This Row],[a]]))</f>
        <v/>
      </c>
      <c r="H1492" s="2" t="str">
        <f>IF(Iterations[[#This Row],[Step]] =current_step, current_b,IF(Iterations[[#This Row],[Step]] &gt; current_step, "",Iterations[[#This Row],[b]]))</f>
        <v/>
      </c>
      <c r="I1492" s="2" t="str">
        <f>IF(Iterations[[#This Row],[Step]] =current_step, current_c,IF(Iterations[[#This Row],[Step]] &gt; current_step, "",Iterations[[#This Row],[c]]))</f>
        <v/>
      </c>
      <c r="J1492" s="2" t="str">
        <f>IF(Iterations[[#This Row],[Step]] =current_step, current_d,IF(Iterations[[#This Row],[Step]] &gt; current_step, "",Iterations[[#This Row],[d]]))</f>
        <v/>
      </c>
      <c r="K1492" s="2" t="str">
        <f>IF(Iterations[[#This Row],[Step]] =current_step, current_e,IF(Iterations[[#This Row],[Step]] &gt; current_step, "",Iterations[[#This Row],[e]]))</f>
        <v/>
      </c>
      <c r="L1492" s="2" t="str">
        <f>IF(Iterations[[#This Row],[Step]] =current_step, current_Total_Loss,IF(Iterations[[#This Row],[Step]] &gt; current_step, "",Iterations[[#This Row],[Total Loss]]))</f>
        <v/>
      </c>
      <c r="M1492" s="6" t="s">
        <v>27</v>
      </c>
      <c r="N1492" s="2" t="str">
        <f>IF(Iterations[[#This Row],[Step]] =current_step, current_Grad_a,IF(Iterations[[#This Row],[Step]] &gt; current_step, "",Iterations[[#This Row],[Grad_a]]))</f>
        <v/>
      </c>
      <c r="O1492" s="2" t="str">
        <f>IF(Iterations[[#This Row],[Step]] =current_step, current_Grad_b,IF(Iterations[[#This Row],[Step]] &gt; current_step, "",Iterations[[#This Row],[Grad_b]]))</f>
        <v/>
      </c>
      <c r="P1492" s="2" t="str">
        <f>IF(Iterations[[#This Row],[Step]] =current_step, current_Grad_c,IF(Iterations[[#This Row],[Step]] &gt; current_step, "",Iterations[[#This Row],[Grad_c]]))</f>
        <v/>
      </c>
      <c r="Q1492" s="2" t="str">
        <f>IF(Iterations[[#This Row],[Step]] =current_step, current_Grad_d,IF(Iterations[[#This Row],[Step]] &gt; current_step, "",Iterations[[#This Row],[Grad_d]]))</f>
        <v/>
      </c>
      <c r="R1492" s="2" t="str">
        <f>IF(Iterations[[#This Row],[Step]] =current_step, current_Grad_e,IF(Iterations[[#This Row],[Step]] &gt; current_step, "",Iterations[[#This Row],[Grad_e]]))</f>
        <v/>
      </c>
    </row>
    <row r="1493" spans="6:18" x14ac:dyDescent="0.3">
      <c r="F1493" s="2">
        <f t="shared" si="28"/>
        <v>1476</v>
      </c>
      <c r="G1493" s="2" t="str">
        <f>IF(Iterations[[#This Row],[Step]] =current_step, current_a,IF(Iterations[[#This Row],[Step]] &gt; current_step, "",Iterations[[#This Row],[a]]))</f>
        <v/>
      </c>
      <c r="H1493" s="2" t="str">
        <f>IF(Iterations[[#This Row],[Step]] =current_step, current_b,IF(Iterations[[#This Row],[Step]] &gt; current_step, "",Iterations[[#This Row],[b]]))</f>
        <v/>
      </c>
      <c r="I1493" s="2" t="str">
        <f>IF(Iterations[[#This Row],[Step]] =current_step, current_c,IF(Iterations[[#This Row],[Step]] &gt; current_step, "",Iterations[[#This Row],[c]]))</f>
        <v/>
      </c>
      <c r="J1493" s="2" t="str">
        <f>IF(Iterations[[#This Row],[Step]] =current_step, current_d,IF(Iterations[[#This Row],[Step]] &gt; current_step, "",Iterations[[#This Row],[d]]))</f>
        <v/>
      </c>
      <c r="K1493" s="2" t="str">
        <f>IF(Iterations[[#This Row],[Step]] =current_step, current_e,IF(Iterations[[#This Row],[Step]] &gt; current_step, "",Iterations[[#This Row],[e]]))</f>
        <v/>
      </c>
      <c r="L1493" s="2" t="str">
        <f>IF(Iterations[[#This Row],[Step]] =current_step, current_Total_Loss,IF(Iterations[[#This Row],[Step]] &gt; current_step, "",Iterations[[#This Row],[Total Loss]]))</f>
        <v/>
      </c>
      <c r="M1493" s="6" t="s">
        <v>27</v>
      </c>
      <c r="N1493" s="2" t="str">
        <f>IF(Iterations[[#This Row],[Step]] =current_step, current_Grad_a,IF(Iterations[[#This Row],[Step]] &gt; current_step, "",Iterations[[#This Row],[Grad_a]]))</f>
        <v/>
      </c>
      <c r="O1493" s="2" t="str">
        <f>IF(Iterations[[#This Row],[Step]] =current_step, current_Grad_b,IF(Iterations[[#This Row],[Step]] &gt; current_step, "",Iterations[[#This Row],[Grad_b]]))</f>
        <v/>
      </c>
      <c r="P1493" s="2" t="str">
        <f>IF(Iterations[[#This Row],[Step]] =current_step, current_Grad_c,IF(Iterations[[#This Row],[Step]] &gt; current_step, "",Iterations[[#This Row],[Grad_c]]))</f>
        <v/>
      </c>
      <c r="Q1493" s="2" t="str">
        <f>IF(Iterations[[#This Row],[Step]] =current_step, current_Grad_d,IF(Iterations[[#This Row],[Step]] &gt; current_step, "",Iterations[[#This Row],[Grad_d]]))</f>
        <v/>
      </c>
      <c r="R1493" s="2" t="str">
        <f>IF(Iterations[[#This Row],[Step]] =current_step, current_Grad_e,IF(Iterations[[#This Row],[Step]] &gt; current_step, "",Iterations[[#This Row],[Grad_e]]))</f>
        <v/>
      </c>
    </row>
    <row r="1494" spans="6:18" x14ac:dyDescent="0.3">
      <c r="F1494" s="2">
        <f t="shared" si="28"/>
        <v>1477</v>
      </c>
      <c r="G1494" s="2" t="str">
        <f>IF(Iterations[[#This Row],[Step]] =current_step, current_a,IF(Iterations[[#This Row],[Step]] &gt; current_step, "",Iterations[[#This Row],[a]]))</f>
        <v/>
      </c>
      <c r="H1494" s="2" t="str">
        <f>IF(Iterations[[#This Row],[Step]] =current_step, current_b,IF(Iterations[[#This Row],[Step]] &gt; current_step, "",Iterations[[#This Row],[b]]))</f>
        <v/>
      </c>
      <c r="I1494" s="2" t="str">
        <f>IF(Iterations[[#This Row],[Step]] =current_step, current_c,IF(Iterations[[#This Row],[Step]] &gt; current_step, "",Iterations[[#This Row],[c]]))</f>
        <v/>
      </c>
      <c r="J1494" s="2" t="str">
        <f>IF(Iterations[[#This Row],[Step]] =current_step, current_d,IF(Iterations[[#This Row],[Step]] &gt; current_step, "",Iterations[[#This Row],[d]]))</f>
        <v/>
      </c>
      <c r="K1494" s="2" t="str">
        <f>IF(Iterations[[#This Row],[Step]] =current_step, current_e,IF(Iterations[[#This Row],[Step]] &gt; current_step, "",Iterations[[#This Row],[e]]))</f>
        <v/>
      </c>
      <c r="L1494" s="2" t="str">
        <f>IF(Iterations[[#This Row],[Step]] =current_step, current_Total_Loss,IF(Iterations[[#This Row],[Step]] &gt; current_step, "",Iterations[[#This Row],[Total Loss]]))</f>
        <v/>
      </c>
      <c r="M1494" s="6" t="s">
        <v>27</v>
      </c>
      <c r="N1494" s="2" t="str">
        <f>IF(Iterations[[#This Row],[Step]] =current_step, current_Grad_a,IF(Iterations[[#This Row],[Step]] &gt; current_step, "",Iterations[[#This Row],[Grad_a]]))</f>
        <v/>
      </c>
      <c r="O1494" s="2" t="str">
        <f>IF(Iterations[[#This Row],[Step]] =current_step, current_Grad_b,IF(Iterations[[#This Row],[Step]] &gt; current_step, "",Iterations[[#This Row],[Grad_b]]))</f>
        <v/>
      </c>
      <c r="P1494" s="2" t="str">
        <f>IF(Iterations[[#This Row],[Step]] =current_step, current_Grad_c,IF(Iterations[[#This Row],[Step]] &gt; current_step, "",Iterations[[#This Row],[Grad_c]]))</f>
        <v/>
      </c>
      <c r="Q1494" s="2" t="str">
        <f>IF(Iterations[[#This Row],[Step]] =current_step, current_Grad_d,IF(Iterations[[#This Row],[Step]] &gt; current_step, "",Iterations[[#This Row],[Grad_d]]))</f>
        <v/>
      </c>
      <c r="R1494" s="2" t="str">
        <f>IF(Iterations[[#This Row],[Step]] =current_step, current_Grad_e,IF(Iterations[[#This Row],[Step]] &gt; current_step, "",Iterations[[#This Row],[Grad_e]]))</f>
        <v/>
      </c>
    </row>
    <row r="1495" spans="6:18" x14ac:dyDescent="0.3">
      <c r="F1495" s="2">
        <f t="shared" si="28"/>
        <v>1478</v>
      </c>
      <c r="G1495" s="2" t="str">
        <f>IF(Iterations[[#This Row],[Step]] =current_step, current_a,IF(Iterations[[#This Row],[Step]] &gt; current_step, "",Iterations[[#This Row],[a]]))</f>
        <v/>
      </c>
      <c r="H1495" s="2" t="str">
        <f>IF(Iterations[[#This Row],[Step]] =current_step, current_b,IF(Iterations[[#This Row],[Step]] &gt; current_step, "",Iterations[[#This Row],[b]]))</f>
        <v/>
      </c>
      <c r="I1495" s="2" t="str">
        <f>IF(Iterations[[#This Row],[Step]] =current_step, current_c,IF(Iterations[[#This Row],[Step]] &gt; current_step, "",Iterations[[#This Row],[c]]))</f>
        <v/>
      </c>
      <c r="J1495" s="2" t="str">
        <f>IF(Iterations[[#This Row],[Step]] =current_step, current_d,IF(Iterations[[#This Row],[Step]] &gt; current_step, "",Iterations[[#This Row],[d]]))</f>
        <v/>
      </c>
      <c r="K1495" s="2" t="str">
        <f>IF(Iterations[[#This Row],[Step]] =current_step, current_e,IF(Iterations[[#This Row],[Step]] &gt; current_step, "",Iterations[[#This Row],[e]]))</f>
        <v/>
      </c>
      <c r="L1495" s="2" t="str">
        <f>IF(Iterations[[#This Row],[Step]] =current_step, current_Total_Loss,IF(Iterations[[#This Row],[Step]] &gt; current_step, "",Iterations[[#This Row],[Total Loss]]))</f>
        <v/>
      </c>
      <c r="M1495" s="6" t="s">
        <v>27</v>
      </c>
      <c r="N1495" s="2" t="str">
        <f>IF(Iterations[[#This Row],[Step]] =current_step, current_Grad_a,IF(Iterations[[#This Row],[Step]] &gt; current_step, "",Iterations[[#This Row],[Grad_a]]))</f>
        <v/>
      </c>
      <c r="O1495" s="2" t="str">
        <f>IF(Iterations[[#This Row],[Step]] =current_step, current_Grad_b,IF(Iterations[[#This Row],[Step]] &gt; current_step, "",Iterations[[#This Row],[Grad_b]]))</f>
        <v/>
      </c>
      <c r="P1495" s="2" t="str">
        <f>IF(Iterations[[#This Row],[Step]] =current_step, current_Grad_c,IF(Iterations[[#This Row],[Step]] &gt; current_step, "",Iterations[[#This Row],[Grad_c]]))</f>
        <v/>
      </c>
      <c r="Q1495" s="2" t="str">
        <f>IF(Iterations[[#This Row],[Step]] =current_step, current_Grad_d,IF(Iterations[[#This Row],[Step]] &gt; current_step, "",Iterations[[#This Row],[Grad_d]]))</f>
        <v/>
      </c>
      <c r="R1495" s="2" t="str">
        <f>IF(Iterations[[#This Row],[Step]] =current_step, current_Grad_e,IF(Iterations[[#This Row],[Step]] &gt; current_step, "",Iterations[[#This Row],[Grad_e]]))</f>
        <v/>
      </c>
    </row>
    <row r="1496" spans="6:18" x14ac:dyDescent="0.3">
      <c r="F1496" s="2">
        <f t="shared" si="28"/>
        <v>1479</v>
      </c>
      <c r="G1496" s="2" t="str">
        <f>IF(Iterations[[#This Row],[Step]] =current_step, current_a,IF(Iterations[[#This Row],[Step]] &gt; current_step, "",Iterations[[#This Row],[a]]))</f>
        <v/>
      </c>
      <c r="H1496" s="2" t="str">
        <f>IF(Iterations[[#This Row],[Step]] =current_step, current_b,IF(Iterations[[#This Row],[Step]] &gt; current_step, "",Iterations[[#This Row],[b]]))</f>
        <v/>
      </c>
      <c r="I1496" s="2" t="str">
        <f>IF(Iterations[[#This Row],[Step]] =current_step, current_c,IF(Iterations[[#This Row],[Step]] &gt; current_step, "",Iterations[[#This Row],[c]]))</f>
        <v/>
      </c>
      <c r="J1496" s="2" t="str">
        <f>IF(Iterations[[#This Row],[Step]] =current_step, current_d,IF(Iterations[[#This Row],[Step]] &gt; current_step, "",Iterations[[#This Row],[d]]))</f>
        <v/>
      </c>
      <c r="K1496" s="2" t="str">
        <f>IF(Iterations[[#This Row],[Step]] =current_step, current_e,IF(Iterations[[#This Row],[Step]] &gt; current_step, "",Iterations[[#This Row],[e]]))</f>
        <v/>
      </c>
      <c r="L1496" s="2" t="str">
        <f>IF(Iterations[[#This Row],[Step]] =current_step, current_Total_Loss,IF(Iterations[[#This Row],[Step]] &gt; current_step, "",Iterations[[#This Row],[Total Loss]]))</f>
        <v/>
      </c>
      <c r="M1496" s="6" t="s">
        <v>27</v>
      </c>
      <c r="N1496" s="2" t="str">
        <f>IF(Iterations[[#This Row],[Step]] =current_step, current_Grad_a,IF(Iterations[[#This Row],[Step]] &gt; current_step, "",Iterations[[#This Row],[Grad_a]]))</f>
        <v/>
      </c>
      <c r="O1496" s="2" t="str">
        <f>IF(Iterations[[#This Row],[Step]] =current_step, current_Grad_b,IF(Iterations[[#This Row],[Step]] &gt; current_step, "",Iterations[[#This Row],[Grad_b]]))</f>
        <v/>
      </c>
      <c r="P1496" s="2" t="str">
        <f>IF(Iterations[[#This Row],[Step]] =current_step, current_Grad_c,IF(Iterations[[#This Row],[Step]] &gt; current_step, "",Iterations[[#This Row],[Grad_c]]))</f>
        <v/>
      </c>
      <c r="Q1496" s="2" t="str">
        <f>IF(Iterations[[#This Row],[Step]] =current_step, current_Grad_d,IF(Iterations[[#This Row],[Step]] &gt; current_step, "",Iterations[[#This Row],[Grad_d]]))</f>
        <v/>
      </c>
      <c r="R1496" s="2" t="str">
        <f>IF(Iterations[[#This Row],[Step]] =current_step, current_Grad_e,IF(Iterations[[#This Row],[Step]] &gt; current_step, "",Iterations[[#This Row],[Grad_e]]))</f>
        <v/>
      </c>
    </row>
    <row r="1497" spans="6:18" x14ac:dyDescent="0.3">
      <c r="F1497" s="2">
        <f t="shared" si="28"/>
        <v>1480</v>
      </c>
      <c r="G1497" s="2" t="str">
        <f>IF(Iterations[[#This Row],[Step]] =current_step, current_a,IF(Iterations[[#This Row],[Step]] &gt; current_step, "",Iterations[[#This Row],[a]]))</f>
        <v/>
      </c>
      <c r="H1497" s="2" t="str">
        <f>IF(Iterations[[#This Row],[Step]] =current_step, current_b,IF(Iterations[[#This Row],[Step]] &gt; current_step, "",Iterations[[#This Row],[b]]))</f>
        <v/>
      </c>
      <c r="I1497" s="2" t="str">
        <f>IF(Iterations[[#This Row],[Step]] =current_step, current_c,IF(Iterations[[#This Row],[Step]] &gt; current_step, "",Iterations[[#This Row],[c]]))</f>
        <v/>
      </c>
      <c r="J1497" s="2" t="str">
        <f>IF(Iterations[[#This Row],[Step]] =current_step, current_d,IF(Iterations[[#This Row],[Step]] &gt; current_step, "",Iterations[[#This Row],[d]]))</f>
        <v/>
      </c>
      <c r="K1497" s="2" t="str">
        <f>IF(Iterations[[#This Row],[Step]] =current_step, current_e,IF(Iterations[[#This Row],[Step]] &gt; current_step, "",Iterations[[#This Row],[e]]))</f>
        <v/>
      </c>
      <c r="L1497" s="2" t="str">
        <f>IF(Iterations[[#This Row],[Step]] =current_step, current_Total_Loss,IF(Iterations[[#This Row],[Step]] &gt; current_step, "",Iterations[[#This Row],[Total Loss]]))</f>
        <v/>
      </c>
      <c r="M1497" s="6" t="s">
        <v>27</v>
      </c>
      <c r="N1497" s="2" t="str">
        <f>IF(Iterations[[#This Row],[Step]] =current_step, current_Grad_a,IF(Iterations[[#This Row],[Step]] &gt; current_step, "",Iterations[[#This Row],[Grad_a]]))</f>
        <v/>
      </c>
      <c r="O1497" s="2" t="str">
        <f>IF(Iterations[[#This Row],[Step]] =current_step, current_Grad_b,IF(Iterations[[#This Row],[Step]] &gt; current_step, "",Iterations[[#This Row],[Grad_b]]))</f>
        <v/>
      </c>
      <c r="P1497" s="2" t="str">
        <f>IF(Iterations[[#This Row],[Step]] =current_step, current_Grad_c,IF(Iterations[[#This Row],[Step]] &gt; current_step, "",Iterations[[#This Row],[Grad_c]]))</f>
        <v/>
      </c>
      <c r="Q1497" s="2" t="str">
        <f>IF(Iterations[[#This Row],[Step]] =current_step, current_Grad_d,IF(Iterations[[#This Row],[Step]] &gt; current_step, "",Iterations[[#This Row],[Grad_d]]))</f>
        <v/>
      </c>
      <c r="R1497" s="2" t="str">
        <f>IF(Iterations[[#This Row],[Step]] =current_step, current_Grad_e,IF(Iterations[[#This Row],[Step]] &gt; current_step, "",Iterations[[#This Row],[Grad_e]]))</f>
        <v/>
      </c>
    </row>
    <row r="1498" spans="6:18" x14ac:dyDescent="0.3">
      <c r="F1498" s="2">
        <f t="shared" si="28"/>
        <v>1481</v>
      </c>
      <c r="G1498" s="2" t="str">
        <f>IF(Iterations[[#This Row],[Step]] =current_step, current_a,IF(Iterations[[#This Row],[Step]] &gt; current_step, "",Iterations[[#This Row],[a]]))</f>
        <v/>
      </c>
      <c r="H1498" s="2" t="str">
        <f>IF(Iterations[[#This Row],[Step]] =current_step, current_b,IF(Iterations[[#This Row],[Step]] &gt; current_step, "",Iterations[[#This Row],[b]]))</f>
        <v/>
      </c>
      <c r="I1498" s="2" t="str">
        <f>IF(Iterations[[#This Row],[Step]] =current_step, current_c,IF(Iterations[[#This Row],[Step]] &gt; current_step, "",Iterations[[#This Row],[c]]))</f>
        <v/>
      </c>
      <c r="J1498" s="2" t="str">
        <f>IF(Iterations[[#This Row],[Step]] =current_step, current_d,IF(Iterations[[#This Row],[Step]] &gt; current_step, "",Iterations[[#This Row],[d]]))</f>
        <v/>
      </c>
      <c r="K1498" s="2" t="str">
        <f>IF(Iterations[[#This Row],[Step]] =current_step, current_e,IF(Iterations[[#This Row],[Step]] &gt; current_step, "",Iterations[[#This Row],[e]]))</f>
        <v/>
      </c>
      <c r="L1498" s="2" t="str">
        <f>IF(Iterations[[#This Row],[Step]] =current_step, current_Total_Loss,IF(Iterations[[#This Row],[Step]] &gt; current_step, "",Iterations[[#This Row],[Total Loss]]))</f>
        <v/>
      </c>
      <c r="M1498" s="6" t="s">
        <v>27</v>
      </c>
      <c r="N1498" s="2" t="str">
        <f>IF(Iterations[[#This Row],[Step]] =current_step, current_Grad_a,IF(Iterations[[#This Row],[Step]] &gt; current_step, "",Iterations[[#This Row],[Grad_a]]))</f>
        <v/>
      </c>
      <c r="O1498" s="2" t="str">
        <f>IF(Iterations[[#This Row],[Step]] =current_step, current_Grad_b,IF(Iterations[[#This Row],[Step]] &gt; current_step, "",Iterations[[#This Row],[Grad_b]]))</f>
        <v/>
      </c>
      <c r="P1498" s="2" t="str">
        <f>IF(Iterations[[#This Row],[Step]] =current_step, current_Grad_c,IF(Iterations[[#This Row],[Step]] &gt; current_step, "",Iterations[[#This Row],[Grad_c]]))</f>
        <v/>
      </c>
      <c r="Q1498" s="2" t="str">
        <f>IF(Iterations[[#This Row],[Step]] =current_step, current_Grad_d,IF(Iterations[[#This Row],[Step]] &gt; current_step, "",Iterations[[#This Row],[Grad_d]]))</f>
        <v/>
      </c>
      <c r="R1498" s="2" t="str">
        <f>IF(Iterations[[#This Row],[Step]] =current_step, current_Grad_e,IF(Iterations[[#This Row],[Step]] &gt; current_step, "",Iterations[[#This Row],[Grad_e]]))</f>
        <v/>
      </c>
    </row>
    <row r="1499" spans="6:18" x14ac:dyDescent="0.3">
      <c r="F1499" s="2">
        <f t="shared" si="28"/>
        <v>1482</v>
      </c>
      <c r="G1499" s="2" t="str">
        <f>IF(Iterations[[#This Row],[Step]] =current_step, current_a,IF(Iterations[[#This Row],[Step]] &gt; current_step, "",Iterations[[#This Row],[a]]))</f>
        <v/>
      </c>
      <c r="H1499" s="2" t="str">
        <f>IF(Iterations[[#This Row],[Step]] =current_step, current_b,IF(Iterations[[#This Row],[Step]] &gt; current_step, "",Iterations[[#This Row],[b]]))</f>
        <v/>
      </c>
      <c r="I1499" s="2" t="str">
        <f>IF(Iterations[[#This Row],[Step]] =current_step, current_c,IF(Iterations[[#This Row],[Step]] &gt; current_step, "",Iterations[[#This Row],[c]]))</f>
        <v/>
      </c>
      <c r="J1499" s="2" t="str">
        <f>IF(Iterations[[#This Row],[Step]] =current_step, current_d,IF(Iterations[[#This Row],[Step]] &gt; current_step, "",Iterations[[#This Row],[d]]))</f>
        <v/>
      </c>
      <c r="K1499" s="2" t="str">
        <f>IF(Iterations[[#This Row],[Step]] =current_step, current_e,IF(Iterations[[#This Row],[Step]] &gt; current_step, "",Iterations[[#This Row],[e]]))</f>
        <v/>
      </c>
      <c r="L1499" s="2" t="str">
        <f>IF(Iterations[[#This Row],[Step]] =current_step, current_Total_Loss,IF(Iterations[[#This Row],[Step]] &gt; current_step, "",Iterations[[#This Row],[Total Loss]]))</f>
        <v/>
      </c>
      <c r="M1499" s="6" t="s">
        <v>27</v>
      </c>
      <c r="N1499" s="2" t="str">
        <f>IF(Iterations[[#This Row],[Step]] =current_step, current_Grad_a,IF(Iterations[[#This Row],[Step]] &gt; current_step, "",Iterations[[#This Row],[Grad_a]]))</f>
        <v/>
      </c>
      <c r="O1499" s="2" t="str">
        <f>IF(Iterations[[#This Row],[Step]] =current_step, current_Grad_b,IF(Iterations[[#This Row],[Step]] &gt; current_step, "",Iterations[[#This Row],[Grad_b]]))</f>
        <v/>
      </c>
      <c r="P1499" s="2" t="str">
        <f>IF(Iterations[[#This Row],[Step]] =current_step, current_Grad_c,IF(Iterations[[#This Row],[Step]] &gt; current_step, "",Iterations[[#This Row],[Grad_c]]))</f>
        <v/>
      </c>
      <c r="Q1499" s="2" t="str">
        <f>IF(Iterations[[#This Row],[Step]] =current_step, current_Grad_d,IF(Iterations[[#This Row],[Step]] &gt; current_step, "",Iterations[[#This Row],[Grad_d]]))</f>
        <v/>
      </c>
      <c r="R1499" s="2" t="str">
        <f>IF(Iterations[[#This Row],[Step]] =current_step, current_Grad_e,IF(Iterations[[#This Row],[Step]] &gt; current_step, "",Iterations[[#This Row],[Grad_e]]))</f>
        <v/>
      </c>
    </row>
    <row r="1500" spans="6:18" x14ac:dyDescent="0.3">
      <c r="F1500" s="2">
        <f t="shared" si="28"/>
        <v>1483</v>
      </c>
      <c r="G1500" s="2" t="str">
        <f>IF(Iterations[[#This Row],[Step]] =current_step, current_a,IF(Iterations[[#This Row],[Step]] &gt; current_step, "",Iterations[[#This Row],[a]]))</f>
        <v/>
      </c>
      <c r="H1500" s="2" t="str">
        <f>IF(Iterations[[#This Row],[Step]] =current_step, current_b,IF(Iterations[[#This Row],[Step]] &gt; current_step, "",Iterations[[#This Row],[b]]))</f>
        <v/>
      </c>
      <c r="I1500" s="2" t="str">
        <f>IF(Iterations[[#This Row],[Step]] =current_step, current_c,IF(Iterations[[#This Row],[Step]] &gt; current_step, "",Iterations[[#This Row],[c]]))</f>
        <v/>
      </c>
      <c r="J1500" s="2" t="str">
        <f>IF(Iterations[[#This Row],[Step]] =current_step, current_d,IF(Iterations[[#This Row],[Step]] &gt; current_step, "",Iterations[[#This Row],[d]]))</f>
        <v/>
      </c>
      <c r="K1500" s="2" t="str">
        <f>IF(Iterations[[#This Row],[Step]] =current_step, current_e,IF(Iterations[[#This Row],[Step]] &gt; current_step, "",Iterations[[#This Row],[e]]))</f>
        <v/>
      </c>
      <c r="L1500" s="2" t="str">
        <f>IF(Iterations[[#This Row],[Step]] =current_step, current_Total_Loss,IF(Iterations[[#This Row],[Step]] &gt; current_step, "",Iterations[[#This Row],[Total Loss]]))</f>
        <v/>
      </c>
      <c r="M1500" s="6" t="s">
        <v>27</v>
      </c>
      <c r="N1500" s="2" t="str">
        <f>IF(Iterations[[#This Row],[Step]] =current_step, current_Grad_a,IF(Iterations[[#This Row],[Step]] &gt; current_step, "",Iterations[[#This Row],[Grad_a]]))</f>
        <v/>
      </c>
      <c r="O1500" s="2" t="str">
        <f>IF(Iterations[[#This Row],[Step]] =current_step, current_Grad_b,IF(Iterations[[#This Row],[Step]] &gt; current_step, "",Iterations[[#This Row],[Grad_b]]))</f>
        <v/>
      </c>
      <c r="P1500" s="2" t="str">
        <f>IF(Iterations[[#This Row],[Step]] =current_step, current_Grad_c,IF(Iterations[[#This Row],[Step]] &gt; current_step, "",Iterations[[#This Row],[Grad_c]]))</f>
        <v/>
      </c>
      <c r="Q1500" s="2" t="str">
        <f>IF(Iterations[[#This Row],[Step]] =current_step, current_Grad_d,IF(Iterations[[#This Row],[Step]] &gt; current_step, "",Iterations[[#This Row],[Grad_d]]))</f>
        <v/>
      </c>
      <c r="R1500" s="2" t="str">
        <f>IF(Iterations[[#This Row],[Step]] =current_step, current_Grad_e,IF(Iterations[[#This Row],[Step]] &gt; current_step, "",Iterations[[#This Row],[Grad_e]]))</f>
        <v/>
      </c>
    </row>
    <row r="1501" spans="6:18" x14ac:dyDescent="0.3">
      <c r="F1501" s="2">
        <f t="shared" si="28"/>
        <v>1484</v>
      </c>
      <c r="G1501" s="2" t="str">
        <f>IF(Iterations[[#This Row],[Step]] =current_step, current_a,IF(Iterations[[#This Row],[Step]] &gt; current_step, "",Iterations[[#This Row],[a]]))</f>
        <v/>
      </c>
      <c r="H1501" s="2" t="str">
        <f>IF(Iterations[[#This Row],[Step]] =current_step, current_b,IF(Iterations[[#This Row],[Step]] &gt; current_step, "",Iterations[[#This Row],[b]]))</f>
        <v/>
      </c>
      <c r="I1501" s="2" t="str">
        <f>IF(Iterations[[#This Row],[Step]] =current_step, current_c,IF(Iterations[[#This Row],[Step]] &gt; current_step, "",Iterations[[#This Row],[c]]))</f>
        <v/>
      </c>
      <c r="J1501" s="2" t="str">
        <f>IF(Iterations[[#This Row],[Step]] =current_step, current_d,IF(Iterations[[#This Row],[Step]] &gt; current_step, "",Iterations[[#This Row],[d]]))</f>
        <v/>
      </c>
      <c r="K1501" s="2" t="str">
        <f>IF(Iterations[[#This Row],[Step]] =current_step, current_e,IF(Iterations[[#This Row],[Step]] &gt; current_step, "",Iterations[[#This Row],[e]]))</f>
        <v/>
      </c>
      <c r="L1501" s="2" t="str">
        <f>IF(Iterations[[#This Row],[Step]] =current_step, current_Total_Loss,IF(Iterations[[#This Row],[Step]] &gt; current_step, "",Iterations[[#This Row],[Total Loss]]))</f>
        <v/>
      </c>
      <c r="M1501" s="6" t="s">
        <v>27</v>
      </c>
      <c r="N1501" s="2" t="str">
        <f>IF(Iterations[[#This Row],[Step]] =current_step, current_Grad_a,IF(Iterations[[#This Row],[Step]] &gt; current_step, "",Iterations[[#This Row],[Grad_a]]))</f>
        <v/>
      </c>
      <c r="O1501" s="2" t="str">
        <f>IF(Iterations[[#This Row],[Step]] =current_step, current_Grad_b,IF(Iterations[[#This Row],[Step]] &gt; current_step, "",Iterations[[#This Row],[Grad_b]]))</f>
        <v/>
      </c>
      <c r="P1501" s="2" t="str">
        <f>IF(Iterations[[#This Row],[Step]] =current_step, current_Grad_c,IF(Iterations[[#This Row],[Step]] &gt; current_step, "",Iterations[[#This Row],[Grad_c]]))</f>
        <v/>
      </c>
      <c r="Q1501" s="2" t="str">
        <f>IF(Iterations[[#This Row],[Step]] =current_step, current_Grad_d,IF(Iterations[[#This Row],[Step]] &gt; current_step, "",Iterations[[#This Row],[Grad_d]]))</f>
        <v/>
      </c>
      <c r="R1501" s="2" t="str">
        <f>IF(Iterations[[#This Row],[Step]] =current_step, current_Grad_e,IF(Iterations[[#This Row],[Step]] &gt; current_step, "",Iterations[[#This Row],[Grad_e]]))</f>
        <v/>
      </c>
    </row>
    <row r="1502" spans="6:18" x14ac:dyDescent="0.3">
      <c r="F1502" s="2">
        <f t="shared" si="28"/>
        <v>1485</v>
      </c>
      <c r="G1502" s="2" t="str">
        <f>IF(Iterations[[#This Row],[Step]] =current_step, current_a,IF(Iterations[[#This Row],[Step]] &gt; current_step, "",Iterations[[#This Row],[a]]))</f>
        <v/>
      </c>
      <c r="H1502" s="2" t="str">
        <f>IF(Iterations[[#This Row],[Step]] =current_step, current_b,IF(Iterations[[#This Row],[Step]] &gt; current_step, "",Iterations[[#This Row],[b]]))</f>
        <v/>
      </c>
      <c r="I1502" s="2" t="str">
        <f>IF(Iterations[[#This Row],[Step]] =current_step, current_c,IF(Iterations[[#This Row],[Step]] &gt; current_step, "",Iterations[[#This Row],[c]]))</f>
        <v/>
      </c>
      <c r="J1502" s="2" t="str">
        <f>IF(Iterations[[#This Row],[Step]] =current_step, current_d,IF(Iterations[[#This Row],[Step]] &gt; current_step, "",Iterations[[#This Row],[d]]))</f>
        <v/>
      </c>
      <c r="K1502" s="2" t="str">
        <f>IF(Iterations[[#This Row],[Step]] =current_step, current_e,IF(Iterations[[#This Row],[Step]] &gt; current_step, "",Iterations[[#This Row],[e]]))</f>
        <v/>
      </c>
      <c r="L1502" s="2" t="str">
        <f>IF(Iterations[[#This Row],[Step]] =current_step, current_Total_Loss,IF(Iterations[[#This Row],[Step]] &gt; current_step, "",Iterations[[#This Row],[Total Loss]]))</f>
        <v/>
      </c>
      <c r="M1502" s="6" t="s">
        <v>27</v>
      </c>
      <c r="N1502" s="2" t="str">
        <f>IF(Iterations[[#This Row],[Step]] =current_step, current_Grad_a,IF(Iterations[[#This Row],[Step]] &gt; current_step, "",Iterations[[#This Row],[Grad_a]]))</f>
        <v/>
      </c>
      <c r="O1502" s="2" t="str">
        <f>IF(Iterations[[#This Row],[Step]] =current_step, current_Grad_b,IF(Iterations[[#This Row],[Step]] &gt; current_step, "",Iterations[[#This Row],[Grad_b]]))</f>
        <v/>
      </c>
      <c r="P1502" s="2" t="str">
        <f>IF(Iterations[[#This Row],[Step]] =current_step, current_Grad_c,IF(Iterations[[#This Row],[Step]] &gt; current_step, "",Iterations[[#This Row],[Grad_c]]))</f>
        <v/>
      </c>
      <c r="Q1502" s="2" t="str">
        <f>IF(Iterations[[#This Row],[Step]] =current_step, current_Grad_d,IF(Iterations[[#This Row],[Step]] &gt; current_step, "",Iterations[[#This Row],[Grad_d]]))</f>
        <v/>
      </c>
      <c r="R1502" s="2" t="str">
        <f>IF(Iterations[[#This Row],[Step]] =current_step, current_Grad_e,IF(Iterations[[#This Row],[Step]] &gt; current_step, "",Iterations[[#This Row],[Grad_e]]))</f>
        <v/>
      </c>
    </row>
    <row r="1503" spans="6:18" x14ac:dyDescent="0.3">
      <c r="F1503" s="2">
        <f t="shared" si="28"/>
        <v>1486</v>
      </c>
      <c r="G1503" s="2" t="str">
        <f>IF(Iterations[[#This Row],[Step]] =current_step, current_a,IF(Iterations[[#This Row],[Step]] &gt; current_step, "",Iterations[[#This Row],[a]]))</f>
        <v/>
      </c>
      <c r="H1503" s="2" t="str">
        <f>IF(Iterations[[#This Row],[Step]] =current_step, current_b,IF(Iterations[[#This Row],[Step]] &gt; current_step, "",Iterations[[#This Row],[b]]))</f>
        <v/>
      </c>
      <c r="I1503" s="2" t="str">
        <f>IF(Iterations[[#This Row],[Step]] =current_step, current_c,IF(Iterations[[#This Row],[Step]] &gt; current_step, "",Iterations[[#This Row],[c]]))</f>
        <v/>
      </c>
      <c r="J1503" s="2" t="str">
        <f>IF(Iterations[[#This Row],[Step]] =current_step, current_d,IF(Iterations[[#This Row],[Step]] &gt; current_step, "",Iterations[[#This Row],[d]]))</f>
        <v/>
      </c>
      <c r="K1503" s="2" t="str">
        <f>IF(Iterations[[#This Row],[Step]] =current_step, current_e,IF(Iterations[[#This Row],[Step]] &gt; current_step, "",Iterations[[#This Row],[e]]))</f>
        <v/>
      </c>
      <c r="L1503" s="2" t="str">
        <f>IF(Iterations[[#This Row],[Step]] =current_step, current_Total_Loss,IF(Iterations[[#This Row],[Step]] &gt; current_step, "",Iterations[[#This Row],[Total Loss]]))</f>
        <v/>
      </c>
      <c r="M1503" s="6" t="s">
        <v>27</v>
      </c>
      <c r="N1503" s="2" t="str">
        <f>IF(Iterations[[#This Row],[Step]] =current_step, current_Grad_a,IF(Iterations[[#This Row],[Step]] &gt; current_step, "",Iterations[[#This Row],[Grad_a]]))</f>
        <v/>
      </c>
      <c r="O1503" s="2" t="str">
        <f>IF(Iterations[[#This Row],[Step]] =current_step, current_Grad_b,IF(Iterations[[#This Row],[Step]] &gt; current_step, "",Iterations[[#This Row],[Grad_b]]))</f>
        <v/>
      </c>
      <c r="P1503" s="2" t="str">
        <f>IF(Iterations[[#This Row],[Step]] =current_step, current_Grad_c,IF(Iterations[[#This Row],[Step]] &gt; current_step, "",Iterations[[#This Row],[Grad_c]]))</f>
        <v/>
      </c>
      <c r="Q1503" s="2" t="str">
        <f>IF(Iterations[[#This Row],[Step]] =current_step, current_Grad_d,IF(Iterations[[#This Row],[Step]] &gt; current_step, "",Iterations[[#This Row],[Grad_d]]))</f>
        <v/>
      </c>
      <c r="R1503" s="2" t="str">
        <f>IF(Iterations[[#This Row],[Step]] =current_step, current_Grad_e,IF(Iterations[[#This Row],[Step]] &gt; current_step, "",Iterations[[#This Row],[Grad_e]]))</f>
        <v/>
      </c>
    </row>
    <row r="1504" spans="6:18" x14ac:dyDescent="0.3">
      <c r="F1504" s="2">
        <f t="shared" si="28"/>
        <v>1487</v>
      </c>
      <c r="G1504" s="2" t="str">
        <f>IF(Iterations[[#This Row],[Step]] =current_step, current_a,IF(Iterations[[#This Row],[Step]] &gt; current_step, "",Iterations[[#This Row],[a]]))</f>
        <v/>
      </c>
      <c r="H1504" s="2" t="str">
        <f>IF(Iterations[[#This Row],[Step]] =current_step, current_b,IF(Iterations[[#This Row],[Step]] &gt; current_step, "",Iterations[[#This Row],[b]]))</f>
        <v/>
      </c>
      <c r="I1504" s="2" t="str">
        <f>IF(Iterations[[#This Row],[Step]] =current_step, current_c,IF(Iterations[[#This Row],[Step]] &gt; current_step, "",Iterations[[#This Row],[c]]))</f>
        <v/>
      </c>
      <c r="J1504" s="2" t="str">
        <f>IF(Iterations[[#This Row],[Step]] =current_step, current_d,IF(Iterations[[#This Row],[Step]] &gt; current_step, "",Iterations[[#This Row],[d]]))</f>
        <v/>
      </c>
      <c r="K1504" s="2" t="str">
        <f>IF(Iterations[[#This Row],[Step]] =current_step, current_e,IF(Iterations[[#This Row],[Step]] &gt; current_step, "",Iterations[[#This Row],[e]]))</f>
        <v/>
      </c>
      <c r="L1504" s="2" t="str">
        <f>IF(Iterations[[#This Row],[Step]] =current_step, current_Total_Loss,IF(Iterations[[#This Row],[Step]] &gt; current_step, "",Iterations[[#This Row],[Total Loss]]))</f>
        <v/>
      </c>
      <c r="M1504" s="6" t="s">
        <v>27</v>
      </c>
      <c r="N1504" s="2" t="str">
        <f>IF(Iterations[[#This Row],[Step]] =current_step, current_Grad_a,IF(Iterations[[#This Row],[Step]] &gt; current_step, "",Iterations[[#This Row],[Grad_a]]))</f>
        <v/>
      </c>
      <c r="O1504" s="2" t="str">
        <f>IF(Iterations[[#This Row],[Step]] =current_step, current_Grad_b,IF(Iterations[[#This Row],[Step]] &gt; current_step, "",Iterations[[#This Row],[Grad_b]]))</f>
        <v/>
      </c>
      <c r="P1504" s="2" t="str">
        <f>IF(Iterations[[#This Row],[Step]] =current_step, current_Grad_c,IF(Iterations[[#This Row],[Step]] &gt; current_step, "",Iterations[[#This Row],[Grad_c]]))</f>
        <v/>
      </c>
      <c r="Q1504" s="2" t="str">
        <f>IF(Iterations[[#This Row],[Step]] =current_step, current_Grad_d,IF(Iterations[[#This Row],[Step]] &gt; current_step, "",Iterations[[#This Row],[Grad_d]]))</f>
        <v/>
      </c>
      <c r="R1504" s="2" t="str">
        <f>IF(Iterations[[#This Row],[Step]] =current_step, current_Grad_e,IF(Iterations[[#This Row],[Step]] &gt; current_step, "",Iterations[[#This Row],[Grad_e]]))</f>
        <v/>
      </c>
    </row>
    <row r="1505" spans="6:18" x14ac:dyDescent="0.3">
      <c r="F1505" s="2">
        <f t="shared" si="28"/>
        <v>1488</v>
      </c>
      <c r="G1505" s="2" t="str">
        <f>IF(Iterations[[#This Row],[Step]] =current_step, current_a,IF(Iterations[[#This Row],[Step]] &gt; current_step, "",Iterations[[#This Row],[a]]))</f>
        <v/>
      </c>
      <c r="H1505" s="2" t="str">
        <f>IF(Iterations[[#This Row],[Step]] =current_step, current_b,IF(Iterations[[#This Row],[Step]] &gt; current_step, "",Iterations[[#This Row],[b]]))</f>
        <v/>
      </c>
      <c r="I1505" s="2" t="str">
        <f>IF(Iterations[[#This Row],[Step]] =current_step, current_c,IF(Iterations[[#This Row],[Step]] &gt; current_step, "",Iterations[[#This Row],[c]]))</f>
        <v/>
      </c>
      <c r="J1505" s="2" t="str">
        <f>IF(Iterations[[#This Row],[Step]] =current_step, current_d,IF(Iterations[[#This Row],[Step]] &gt; current_step, "",Iterations[[#This Row],[d]]))</f>
        <v/>
      </c>
      <c r="K1505" s="2" t="str">
        <f>IF(Iterations[[#This Row],[Step]] =current_step, current_e,IF(Iterations[[#This Row],[Step]] &gt; current_step, "",Iterations[[#This Row],[e]]))</f>
        <v/>
      </c>
      <c r="L1505" s="2" t="str">
        <f>IF(Iterations[[#This Row],[Step]] =current_step, current_Total_Loss,IF(Iterations[[#This Row],[Step]] &gt; current_step, "",Iterations[[#This Row],[Total Loss]]))</f>
        <v/>
      </c>
      <c r="M1505" s="6" t="s">
        <v>27</v>
      </c>
      <c r="N1505" s="2" t="str">
        <f>IF(Iterations[[#This Row],[Step]] =current_step, current_Grad_a,IF(Iterations[[#This Row],[Step]] &gt; current_step, "",Iterations[[#This Row],[Grad_a]]))</f>
        <v/>
      </c>
      <c r="O1505" s="2" t="str">
        <f>IF(Iterations[[#This Row],[Step]] =current_step, current_Grad_b,IF(Iterations[[#This Row],[Step]] &gt; current_step, "",Iterations[[#This Row],[Grad_b]]))</f>
        <v/>
      </c>
      <c r="P1505" s="2" t="str">
        <f>IF(Iterations[[#This Row],[Step]] =current_step, current_Grad_c,IF(Iterations[[#This Row],[Step]] &gt; current_step, "",Iterations[[#This Row],[Grad_c]]))</f>
        <v/>
      </c>
      <c r="Q1505" s="2" t="str">
        <f>IF(Iterations[[#This Row],[Step]] =current_step, current_Grad_d,IF(Iterations[[#This Row],[Step]] &gt; current_step, "",Iterations[[#This Row],[Grad_d]]))</f>
        <v/>
      </c>
      <c r="R1505" s="2" t="str">
        <f>IF(Iterations[[#This Row],[Step]] =current_step, current_Grad_e,IF(Iterations[[#This Row],[Step]] &gt; current_step, "",Iterations[[#This Row],[Grad_e]]))</f>
        <v/>
      </c>
    </row>
    <row r="1506" spans="6:18" x14ac:dyDescent="0.3">
      <c r="F1506" s="2">
        <f t="shared" si="28"/>
        <v>1489</v>
      </c>
      <c r="G1506" s="2" t="str">
        <f>IF(Iterations[[#This Row],[Step]] =current_step, current_a,IF(Iterations[[#This Row],[Step]] &gt; current_step, "",Iterations[[#This Row],[a]]))</f>
        <v/>
      </c>
      <c r="H1506" s="2" t="str">
        <f>IF(Iterations[[#This Row],[Step]] =current_step, current_b,IF(Iterations[[#This Row],[Step]] &gt; current_step, "",Iterations[[#This Row],[b]]))</f>
        <v/>
      </c>
      <c r="I1506" s="2" t="str">
        <f>IF(Iterations[[#This Row],[Step]] =current_step, current_c,IF(Iterations[[#This Row],[Step]] &gt; current_step, "",Iterations[[#This Row],[c]]))</f>
        <v/>
      </c>
      <c r="J1506" s="2" t="str">
        <f>IF(Iterations[[#This Row],[Step]] =current_step, current_d,IF(Iterations[[#This Row],[Step]] &gt; current_step, "",Iterations[[#This Row],[d]]))</f>
        <v/>
      </c>
      <c r="K1506" s="2" t="str">
        <f>IF(Iterations[[#This Row],[Step]] =current_step, current_e,IF(Iterations[[#This Row],[Step]] &gt; current_step, "",Iterations[[#This Row],[e]]))</f>
        <v/>
      </c>
      <c r="L1506" s="2" t="str">
        <f>IF(Iterations[[#This Row],[Step]] =current_step, current_Total_Loss,IF(Iterations[[#This Row],[Step]] &gt; current_step, "",Iterations[[#This Row],[Total Loss]]))</f>
        <v/>
      </c>
      <c r="M1506" s="6" t="s">
        <v>27</v>
      </c>
      <c r="N1506" s="2" t="str">
        <f>IF(Iterations[[#This Row],[Step]] =current_step, current_Grad_a,IF(Iterations[[#This Row],[Step]] &gt; current_step, "",Iterations[[#This Row],[Grad_a]]))</f>
        <v/>
      </c>
      <c r="O1506" s="2" t="str">
        <f>IF(Iterations[[#This Row],[Step]] =current_step, current_Grad_b,IF(Iterations[[#This Row],[Step]] &gt; current_step, "",Iterations[[#This Row],[Grad_b]]))</f>
        <v/>
      </c>
      <c r="P1506" s="2" t="str">
        <f>IF(Iterations[[#This Row],[Step]] =current_step, current_Grad_c,IF(Iterations[[#This Row],[Step]] &gt; current_step, "",Iterations[[#This Row],[Grad_c]]))</f>
        <v/>
      </c>
      <c r="Q1506" s="2" t="str">
        <f>IF(Iterations[[#This Row],[Step]] =current_step, current_Grad_d,IF(Iterations[[#This Row],[Step]] &gt; current_step, "",Iterations[[#This Row],[Grad_d]]))</f>
        <v/>
      </c>
      <c r="R1506" s="2" t="str">
        <f>IF(Iterations[[#This Row],[Step]] =current_step, current_Grad_e,IF(Iterations[[#This Row],[Step]] &gt; current_step, "",Iterations[[#This Row],[Grad_e]]))</f>
        <v/>
      </c>
    </row>
    <row r="1507" spans="6:18" x14ac:dyDescent="0.3">
      <c r="F1507" s="2">
        <f t="shared" si="28"/>
        <v>1490</v>
      </c>
      <c r="G1507" s="2" t="str">
        <f>IF(Iterations[[#This Row],[Step]] =current_step, current_a,IF(Iterations[[#This Row],[Step]] &gt; current_step, "",Iterations[[#This Row],[a]]))</f>
        <v/>
      </c>
      <c r="H1507" s="2" t="str">
        <f>IF(Iterations[[#This Row],[Step]] =current_step, current_b,IF(Iterations[[#This Row],[Step]] &gt; current_step, "",Iterations[[#This Row],[b]]))</f>
        <v/>
      </c>
      <c r="I1507" s="2" t="str">
        <f>IF(Iterations[[#This Row],[Step]] =current_step, current_c,IF(Iterations[[#This Row],[Step]] &gt; current_step, "",Iterations[[#This Row],[c]]))</f>
        <v/>
      </c>
      <c r="J1507" s="2" t="str">
        <f>IF(Iterations[[#This Row],[Step]] =current_step, current_d,IF(Iterations[[#This Row],[Step]] &gt; current_step, "",Iterations[[#This Row],[d]]))</f>
        <v/>
      </c>
      <c r="K1507" s="2" t="str">
        <f>IF(Iterations[[#This Row],[Step]] =current_step, current_e,IF(Iterations[[#This Row],[Step]] &gt; current_step, "",Iterations[[#This Row],[e]]))</f>
        <v/>
      </c>
      <c r="L1507" s="2" t="str">
        <f>IF(Iterations[[#This Row],[Step]] =current_step, current_Total_Loss,IF(Iterations[[#This Row],[Step]] &gt; current_step, "",Iterations[[#This Row],[Total Loss]]))</f>
        <v/>
      </c>
      <c r="M1507" s="6" t="s">
        <v>27</v>
      </c>
      <c r="N1507" s="2" t="str">
        <f>IF(Iterations[[#This Row],[Step]] =current_step, current_Grad_a,IF(Iterations[[#This Row],[Step]] &gt; current_step, "",Iterations[[#This Row],[Grad_a]]))</f>
        <v/>
      </c>
      <c r="O1507" s="2" t="str">
        <f>IF(Iterations[[#This Row],[Step]] =current_step, current_Grad_b,IF(Iterations[[#This Row],[Step]] &gt; current_step, "",Iterations[[#This Row],[Grad_b]]))</f>
        <v/>
      </c>
      <c r="P1507" s="2" t="str">
        <f>IF(Iterations[[#This Row],[Step]] =current_step, current_Grad_c,IF(Iterations[[#This Row],[Step]] &gt; current_step, "",Iterations[[#This Row],[Grad_c]]))</f>
        <v/>
      </c>
      <c r="Q1507" s="2" t="str">
        <f>IF(Iterations[[#This Row],[Step]] =current_step, current_Grad_d,IF(Iterations[[#This Row],[Step]] &gt; current_step, "",Iterations[[#This Row],[Grad_d]]))</f>
        <v/>
      </c>
      <c r="R1507" s="2" t="str">
        <f>IF(Iterations[[#This Row],[Step]] =current_step, current_Grad_e,IF(Iterations[[#This Row],[Step]] &gt; current_step, "",Iterations[[#This Row],[Grad_e]]))</f>
        <v/>
      </c>
    </row>
    <row r="1508" spans="6:18" x14ac:dyDescent="0.3">
      <c r="F1508" s="2">
        <f t="shared" si="28"/>
        <v>1491</v>
      </c>
      <c r="G1508" s="2" t="str">
        <f>IF(Iterations[[#This Row],[Step]] =current_step, current_a,IF(Iterations[[#This Row],[Step]] &gt; current_step, "",Iterations[[#This Row],[a]]))</f>
        <v/>
      </c>
      <c r="H1508" s="2" t="str">
        <f>IF(Iterations[[#This Row],[Step]] =current_step, current_b,IF(Iterations[[#This Row],[Step]] &gt; current_step, "",Iterations[[#This Row],[b]]))</f>
        <v/>
      </c>
      <c r="I1508" s="2" t="str">
        <f>IF(Iterations[[#This Row],[Step]] =current_step, current_c,IF(Iterations[[#This Row],[Step]] &gt; current_step, "",Iterations[[#This Row],[c]]))</f>
        <v/>
      </c>
      <c r="J1508" s="2" t="str">
        <f>IF(Iterations[[#This Row],[Step]] =current_step, current_d,IF(Iterations[[#This Row],[Step]] &gt; current_step, "",Iterations[[#This Row],[d]]))</f>
        <v/>
      </c>
      <c r="K1508" s="2" t="str">
        <f>IF(Iterations[[#This Row],[Step]] =current_step, current_e,IF(Iterations[[#This Row],[Step]] &gt; current_step, "",Iterations[[#This Row],[e]]))</f>
        <v/>
      </c>
      <c r="L1508" s="2" t="str">
        <f>IF(Iterations[[#This Row],[Step]] =current_step, current_Total_Loss,IF(Iterations[[#This Row],[Step]] &gt; current_step, "",Iterations[[#This Row],[Total Loss]]))</f>
        <v/>
      </c>
      <c r="M1508" s="6" t="s">
        <v>27</v>
      </c>
      <c r="N1508" s="2" t="str">
        <f>IF(Iterations[[#This Row],[Step]] =current_step, current_Grad_a,IF(Iterations[[#This Row],[Step]] &gt; current_step, "",Iterations[[#This Row],[Grad_a]]))</f>
        <v/>
      </c>
      <c r="O1508" s="2" t="str">
        <f>IF(Iterations[[#This Row],[Step]] =current_step, current_Grad_b,IF(Iterations[[#This Row],[Step]] &gt; current_step, "",Iterations[[#This Row],[Grad_b]]))</f>
        <v/>
      </c>
      <c r="P1508" s="2" t="str">
        <f>IF(Iterations[[#This Row],[Step]] =current_step, current_Grad_c,IF(Iterations[[#This Row],[Step]] &gt; current_step, "",Iterations[[#This Row],[Grad_c]]))</f>
        <v/>
      </c>
      <c r="Q1508" s="2" t="str">
        <f>IF(Iterations[[#This Row],[Step]] =current_step, current_Grad_d,IF(Iterations[[#This Row],[Step]] &gt; current_step, "",Iterations[[#This Row],[Grad_d]]))</f>
        <v/>
      </c>
      <c r="R1508" s="2" t="str">
        <f>IF(Iterations[[#This Row],[Step]] =current_step, current_Grad_e,IF(Iterations[[#This Row],[Step]] &gt; current_step, "",Iterations[[#This Row],[Grad_e]]))</f>
        <v/>
      </c>
    </row>
    <row r="1509" spans="6:18" x14ac:dyDescent="0.3">
      <c r="F1509" s="2">
        <f t="shared" si="28"/>
        <v>1492</v>
      </c>
      <c r="G1509" s="2" t="str">
        <f>IF(Iterations[[#This Row],[Step]] =current_step, current_a,IF(Iterations[[#This Row],[Step]] &gt; current_step, "",Iterations[[#This Row],[a]]))</f>
        <v/>
      </c>
      <c r="H1509" s="2" t="str">
        <f>IF(Iterations[[#This Row],[Step]] =current_step, current_b,IF(Iterations[[#This Row],[Step]] &gt; current_step, "",Iterations[[#This Row],[b]]))</f>
        <v/>
      </c>
      <c r="I1509" s="2" t="str">
        <f>IF(Iterations[[#This Row],[Step]] =current_step, current_c,IF(Iterations[[#This Row],[Step]] &gt; current_step, "",Iterations[[#This Row],[c]]))</f>
        <v/>
      </c>
      <c r="J1509" s="2" t="str">
        <f>IF(Iterations[[#This Row],[Step]] =current_step, current_d,IF(Iterations[[#This Row],[Step]] &gt; current_step, "",Iterations[[#This Row],[d]]))</f>
        <v/>
      </c>
      <c r="K1509" s="2" t="str">
        <f>IF(Iterations[[#This Row],[Step]] =current_step, current_e,IF(Iterations[[#This Row],[Step]] &gt; current_step, "",Iterations[[#This Row],[e]]))</f>
        <v/>
      </c>
      <c r="L1509" s="2" t="str">
        <f>IF(Iterations[[#This Row],[Step]] =current_step, current_Total_Loss,IF(Iterations[[#This Row],[Step]] &gt; current_step, "",Iterations[[#This Row],[Total Loss]]))</f>
        <v/>
      </c>
      <c r="M1509" s="6" t="s">
        <v>27</v>
      </c>
      <c r="N1509" s="2" t="str">
        <f>IF(Iterations[[#This Row],[Step]] =current_step, current_Grad_a,IF(Iterations[[#This Row],[Step]] &gt; current_step, "",Iterations[[#This Row],[Grad_a]]))</f>
        <v/>
      </c>
      <c r="O1509" s="2" t="str">
        <f>IF(Iterations[[#This Row],[Step]] =current_step, current_Grad_b,IF(Iterations[[#This Row],[Step]] &gt; current_step, "",Iterations[[#This Row],[Grad_b]]))</f>
        <v/>
      </c>
      <c r="P1509" s="2" t="str">
        <f>IF(Iterations[[#This Row],[Step]] =current_step, current_Grad_c,IF(Iterations[[#This Row],[Step]] &gt; current_step, "",Iterations[[#This Row],[Grad_c]]))</f>
        <v/>
      </c>
      <c r="Q1509" s="2" t="str">
        <f>IF(Iterations[[#This Row],[Step]] =current_step, current_Grad_d,IF(Iterations[[#This Row],[Step]] &gt; current_step, "",Iterations[[#This Row],[Grad_d]]))</f>
        <v/>
      </c>
      <c r="R1509" s="2" t="str">
        <f>IF(Iterations[[#This Row],[Step]] =current_step, current_Grad_e,IF(Iterations[[#This Row],[Step]] &gt; current_step, "",Iterations[[#This Row],[Grad_e]]))</f>
        <v/>
      </c>
    </row>
    <row r="1510" spans="6:18" x14ac:dyDescent="0.3">
      <c r="F1510" s="2">
        <f t="shared" si="28"/>
        <v>1493</v>
      </c>
      <c r="G1510" s="2" t="str">
        <f>IF(Iterations[[#This Row],[Step]] =current_step, current_a,IF(Iterations[[#This Row],[Step]] &gt; current_step, "",Iterations[[#This Row],[a]]))</f>
        <v/>
      </c>
      <c r="H1510" s="2" t="str">
        <f>IF(Iterations[[#This Row],[Step]] =current_step, current_b,IF(Iterations[[#This Row],[Step]] &gt; current_step, "",Iterations[[#This Row],[b]]))</f>
        <v/>
      </c>
      <c r="I1510" s="2" t="str">
        <f>IF(Iterations[[#This Row],[Step]] =current_step, current_c,IF(Iterations[[#This Row],[Step]] &gt; current_step, "",Iterations[[#This Row],[c]]))</f>
        <v/>
      </c>
      <c r="J1510" s="2" t="str">
        <f>IF(Iterations[[#This Row],[Step]] =current_step, current_d,IF(Iterations[[#This Row],[Step]] &gt; current_step, "",Iterations[[#This Row],[d]]))</f>
        <v/>
      </c>
      <c r="K1510" s="2" t="str">
        <f>IF(Iterations[[#This Row],[Step]] =current_step, current_e,IF(Iterations[[#This Row],[Step]] &gt; current_step, "",Iterations[[#This Row],[e]]))</f>
        <v/>
      </c>
      <c r="L1510" s="2" t="str">
        <f>IF(Iterations[[#This Row],[Step]] =current_step, current_Total_Loss,IF(Iterations[[#This Row],[Step]] &gt; current_step, "",Iterations[[#This Row],[Total Loss]]))</f>
        <v/>
      </c>
      <c r="M1510" s="6" t="s">
        <v>27</v>
      </c>
      <c r="N1510" s="2" t="str">
        <f>IF(Iterations[[#This Row],[Step]] =current_step, current_Grad_a,IF(Iterations[[#This Row],[Step]] &gt; current_step, "",Iterations[[#This Row],[Grad_a]]))</f>
        <v/>
      </c>
      <c r="O1510" s="2" t="str">
        <f>IF(Iterations[[#This Row],[Step]] =current_step, current_Grad_b,IF(Iterations[[#This Row],[Step]] &gt; current_step, "",Iterations[[#This Row],[Grad_b]]))</f>
        <v/>
      </c>
      <c r="P1510" s="2" t="str">
        <f>IF(Iterations[[#This Row],[Step]] =current_step, current_Grad_c,IF(Iterations[[#This Row],[Step]] &gt; current_step, "",Iterations[[#This Row],[Grad_c]]))</f>
        <v/>
      </c>
      <c r="Q1510" s="2" t="str">
        <f>IF(Iterations[[#This Row],[Step]] =current_step, current_Grad_d,IF(Iterations[[#This Row],[Step]] &gt; current_step, "",Iterations[[#This Row],[Grad_d]]))</f>
        <v/>
      </c>
      <c r="R1510" s="2" t="str">
        <f>IF(Iterations[[#This Row],[Step]] =current_step, current_Grad_e,IF(Iterations[[#This Row],[Step]] &gt; current_step, "",Iterations[[#This Row],[Grad_e]]))</f>
        <v/>
      </c>
    </row>
    <row r="1511" spans="6:18" x14ac:dyDescent="0.3">
      <c r="F1511" s="2">
        <f t="shared" si="28"/>
        <v>1494</v>
      </c>
      <c r="G1511" s="2" t="str">
        <f>IF(Iterations[[#This Row],[Step]] =current_step, current_a,IF(Iterations[[#This Row],[Step]] &gt; current_step, "",Iterations[[#This Row],[a]]))</f>
        <v/>
      </c>
      <c r="H1511" s="2" t="str">
        <f>IF(Iterations[[#This Row],[Step]] =current_step, current_b,IF(Iterations[[#This Row],[Step]] &gt; current_step, "",Iterations[[#This Row],[b]]))</f>
        <v/>
      </c>
      <c r="I1511" s="2" t="str">
        <f>IF(Iterations[[#This Row],[Step]] =current_step, current_c,IF(Iterations[[#This Row],[Step]] &gt; current_step, "",Iterations[[#This Row],[c]]))</f>
        <v/>
      </c>
      <c r="J1511" s="2" t="str">
        <f>IF(Iterations[[#This Row],[Step]] =current_step, current_d,IF(Iterations[[#This Row],[Step]] &gt; current_step, "",Iterations[[#This Row],[d]]))</f>
        <v/>
      </c>
      <c r="K1511" s="2" t="str">
        <f>IF(Iterations[[#This Row],[Step]] =current_step, current_e,IF(Iterations[[#This Row],[Step]] &gt; current_step, "",Iterations[[#This Row],[e]]))</f>
        <v/>
      </c>
      <c r="L1511" s="2" t="str">
        <f>IF(Iterations[[#This Row],[Step]] =current_step, current_Total_Loss,IF(Iterations[[#This Row],[Step]] &gt; current_step, "",Iterations[[#This Row],[Total Loss]]))</f>
        <v/>
      </c>
      <c r="M1511" s="6" t="s">
        <v>27</v>
      </c>
      <c r="N1511" s="2" t="str">
        <f>IF(Iterations[[#This Row],[Step]] =current_step, current_Grad_a,IF(Iterations[[#This Row],[Step]] &gt; current_step, "",Iterations[[#This Row],[Grad_a]]))</f>
        <v/>
      </c>
      <c r="O1511" s="2" t="str">
        <f>IF(Iterations[[#This Row],[Step]] =current_step, current_Grad_b,IF(Iterations[[#This Row],[Step]] &gt; current_step, "",Iterations[[#This Row],[Grad_b]]))</f>
        <v/>
      </c>
      <c r="P1511" s="2" t="str">
        <f>IF(Iterations[[#This Row],[Step]] =current_step, current_Grad_c,IF(Iterations[[#This Row],[Step]] &gt; current_step, "",Iterations[[#This Row],[Grad_c]]))</f>
        <v/>
      </c>
      <c r="Q1511" s="2" t="str">
        <f>IF(Iterations[[#This Row],[Step]] =current_step, current_Grad_d,IF(Iterations[[#This Row],[Step]] &gt; current_step, "",Iterations[[#This Row],[Grad_d]]))</f>
        <v/>
      </c>
      <c r="R1511" s="2" t="str">
        <f>IF(Iterations[[#This Row],[Step]] =current_step, current_Grad_e,IF(Iterations[[#This Row],[Step]] &gt; current_step, "",Iterations[[#This Row],[Grad_e]]))</f>
        <v/>
      </c>
    </row>
    <row r="1512" spans="6:18" x14ac:dyDescent="0.3">
      <c r="F1512" s="2">
        <f t="shared" si="28"/>
        <v>1495</v>
      </c>
      <c r="G1512" s="2" t="str">
        <f>IF(Iterations[[#This Row],[Step]] =current_step, current_a,IF(Iterations[[#This Row],[Step]] &gt; current_step, "",Iterations[[#This Row],[a]]))</f>
        <v/>
      </c>
      <c r="H1512" s="2" t="str">
        <f>IF(Iterations[[#This Row],[Step]] =current_step, current_b,IF(Iterations[[#This Row],[Step]] &gt; current_step, "",Iterations[[#This Row],[b]]))</f>
        <v/>
      </c>
      <c r="I1512" s="2" t="str">
        <f>IF(Iterations[[#This Row],[Step]] =current_step, current_c,IF(Iterations[[#This Row],[Step]] &gt; current_step, "",Iterations[[#This Row],[c]]))</f>
        <v/>
      </c>
      <c r="J1512" s="2" t="str">
        <f>IF(Iterations[[#This Row],[Step]] =current_step, current_d,IF(Iterations[[#This Row],[Step]] &gt; current_step, "",Iterations[[#This Row],[d]]))</f>
        <v/>
      </c>
      <c r="K1512" s="2" t="str">
        <f>IF(Iterations[[#This Row],[Step]] =current_step, current_e,IF(Iterations[[#This Row],[Step]] &gt; current_step, "",Iterations[[#This Row],[e]]))</f>
        <v/>
      </c>
      <c r="L1512" s="2" t="str">
        <f>IF(Iterations[[#This Row],[Step]] =current_step, current_Total_Loss,IF(Iterations[[#This Row],[Step]] &gt; current_step, "",Iterations[[#This Row],[Total Loss]]))</f>
        <v/>
      </c>
      <c r="M1512" s="6" t="s">
        <v>27</v>
      </c>
      <c r="N1512" s="2" t="str">
        <f>IF(Iterations[[#This Row],[Step]] =current_step, current_Grad_a,IF(Iterations[[#This Row],[Step]] &gt; current_step, "",Iterations[[#This Row],[Grad_a]]))</f>
        <v/>
      </c>
      <c r="O1512" s="2" t="str">
        <f>IF(Iterations[[#This Row],[Step]] =current_step, current_Grad_b,IF(Iterations[[#This Row],[Step]] &gt; current_step, "",Iterations[[#This Row],[Grad_b]]))</f>
        <v/>
      </c>
      <c r="P1512" s="2" t="str">
        <f>IF(Iterations[[#This Row],[Step]] =current_step, current_Grad_c,IF(Iterations[[#This Row],[Step]] &gt; current_step, "",Iterations[[#This Row],[Grad_c]]))</f>
        <v/>
      </c>
      <c r="Q1512" s="2" t="str">
        <f>IF(Iterations[[#This Row],[Step]] =current_step, current_Grad_d,IF(Iterations[[#This Row],[Step]] &gt; current_step, "",Iterations[[#This Row],[Grad_d]]))</f>
        <v/>
      </c>
      <c r="R1512" s="2" t="str">
        <f>IF(Iterations[[#This Row],[Step]] =current_step, current_Grad_e,IF(Iterations[[#This Row],[Step]] &gt; current_step, "",Iterations[[#This Row],[Grad_e]]))</f>
        <v/>
      </c>
    </row>
    <row r="1513" spans="6:18" x14ac:dyDescent="0.3">
      <c r="F1513" s="2">
        <f t="shared" si="28"/>
        <v>1496</v>
      </c>
      <c r="G1513" s="2" t="str">
        <f>IF(Iterations[[#This Row],[Step]] =current_step, current_a,IF(Iterations[[#This Row],[Step]] &gt; current_step, "",Iterations[[#This Row],[a]]))</f>
        <v/>
      </c>
      <c r="H1513" s="2" t="str">
        <f>IF(Iterations[[#This Row],[Step]] =current_step, current_b,IF(Iterations[[#This Row],[Step]] &gt; current_step, "",Iterations[[#This Row],[b]]))</f>
        <v/>
      </c>
      <c r="I1513" s="2" t="str">
        <f>IF(Iterations[[#This Row],[Step]] =current_step, current_c,IF(Iterations[[#This Row],[Step]] &gt; current_step, "",Iterations[[#This Row],[c]]))</f>
        <v/>
      </c>
      <c r="J1513" s="2" t="str">
        <f>IF(Iterations[[#This Row],[Step]] =current_step, current_d,IF(Iterations[[#This Row],[Step]] &gt; current_step, "",Iterations[[#This Row],[d]]))</f>
        <v/>
      </c>
      <c r="K1513" s="2" t="str">
        <f>IF(Iterations[[#This Row],[Step]] =current_step, current_e,IF(Iterations[[#This Row],[Step]] &gt; current_step, "",Iterations[[#This Row],[e]]))</f>
        <v/>
      </c>
      <c r="L1513" s="2" t="str">
        <f>IF(Iterations[[#This Row],[Step]] =current_step, current_Total_Loss,IF(Iterations[[#This Row],[Step]] &gt; current_step, "",Iterations[[#This Row],[Total Loss]]))</f>
        <v/>
      </c>
      <c r="M1513" s="6" t="s">
        <v>27</v>
      </c>
      <c r="N1513" s="2" t="str">
        <f>IF(Iterations[[#This Row],[Step]] =current_step, current_Grad_a,IF(Iterations[[#This Row],[Step]] &gt; current_step, "",Iterations[[#This Row],[Grad_a]]))</f>
        <v/>
      </c>
      <c r="O1513" s="2" t="str">
        <f>IF(Iterations[[#This Row],[Step]] =current_step, current_Grad_b,IF(Iterations[[#This Row],[Step]] &gt; current_step, "",Iterations[[#This Row],[Grad_b]]))</f>
        <v/>
      </c>
      <c r="P1513" s="2" t="str">
        <f>IF(Iterations[[#This Row],[Step]] =current_step, current_Grad_c,IF(Iterations[[#This Row],[Step]] &gt; current_step, "",Iterations[[#This Row],[Grad_c]]))</f>
        <v/>
      </c>
      <c r="Q1513" s="2" t="str">
        <f>IF(Iterations[[#This Row],[Step]] =current_step, current_Grad_d,IF(Iterations[[#This Row],[Step]] &gt; current_step, "",Iterations[[#This Row],[Grad_d]]))</f>
        <v/>
      </c>
      <c r="R1513" s="2" t="str">
        <f>IF(Iterations[[#This Row],[Step]] =current_step, current_Grad_e,IF(Iterations[[#This Row],[Step]] &gt; current_step, "",Iterations[[#This Row],[Grad_e]]))</f>
        <v/>
      </c>
    </row>
    <row r="1514" spans="6:18" x14ac:dyDescent="0.3">
      <c r="F1514" s="2">
        <f t="shared" si="28"/>
        <v>1497</v>
      </c>
      <c r="G1514" s="2" t="str">
        <f>IF(Iterations[[#This Row],[Step]] =current_step, current_a,IF(Iterations[[#This Row],[Step]] &gt; current_step, "",Iterations[[#This Row],[a]]))</f>
        <v/>
      </c>
      <c r="H1514" s="2" t="str">
        <f>IF(Iterations[[#This Row],[Step]] =current_step, current_b,IF(Iterations[[#This Row],[Step]] &gt; current_step, "",Iterations[[#This Row],[b]]))</f>
        <v/>
      </c>
      <c r="I1514" s="2" t="str">
        <f>IF(Iterations[[#This Row],[Step]] =current_step, current_c,IF(Iterations[[#This Row],[Step]] &gt; current_step, "",Iterations[[#This Row],[c]]))</f>
        <v/>
      </c>
      <c r="J1514" s="2" t="str">
        <f>IF(Iterations[[#This Row],[Step]] =current_step, current_d,IF(Iterations[[#This Row],[Step]] &gt; current_step, "",Iterations[[#This Row],[d]]))</f>
        <v/>
      </c>
      <c r="K1514" s="2" t="str">
        <f>IF(Iterations[[#This Row],[Step]] =current_step, current_e,IF(Iterations[[#This Row],[Step]] &gt; current_step, "",Iterations[[#This Row],[e]]))</f>
        <v/>
      </c>
      <c r="L1514" s="2" t="str">
        <f>IF(Iterations[[#This Row],[Step]] =current_step, current_Total_Loss,IF(Iterations[[#This Row],[Step]] &gt; current_step, "",Iterations[[#This Row],[Total Loss]]))</f>
        <v/>
      </c>
      <c r="M1514" s="6" t="s">
        <v>27</v>
      </c>
      <c r="N1514" s="2" t="str">
        <f>IF(Iterations[[#This Row],[Step]] =current_step, current_Grad_a,IF(Iterations[[#This Row],[Step]] &gt; current_step, "",Iterations[[#This Row],[Grad_a]]))</f>
        <v/>
      </c>
      <c r="O1514" s="2" t="str">
        <f>IF(Iterations[[#This Row],[Step]] =current_step, current_Grad_b,IF(Iterations[[#This Row],[Step]] &gt; current_step, "",Iterations[[#This Row],[Grad_b]]))</f>
        <v/>
      </c>
      <c r="P1514" s="2" t="str">
        <f>IF(Iterations[[#This Row],[Step]] =current_step, current_Grad_c,IF(Iterations[[#This Row],[Step]] &gt; current_step, "",Iterations[[#This Row],[Grad_c]]))</f>
        <v/>
      </c>
      <c r="Q1514" s="2" t="str">
        <f>IF(Iterations[[#This Row],[Step]] =current_step, current_Grad_d,IF(Iterations[[#This Row],[Step]] &gt; current_step, "",Iterations[[#This Row],[Grad_d]]))</f>
        <v/>
      </c>
      <c r="R1514" s="2" t="str">
        <f>IF(Iterations[[#This Row],[Step]] =current_step, current_Grad_e,IF(Iterations[[#This Row],[Step]] &gt; current_step, "",Iterations[[#This Row],[Grad_e]]))</f>
        <v/>
      </c>
    </row>
    <row r="1515" spans="6:18" x14ac:dyDescent="0.3">
      <c r="F1515" s="2">
        <f t="shared" si="28"/>
        <v>1498</v>
      </c>
      <c r="G1515" s="2" t="str">
        <f>IF(Iterations[[#This Row],[Step]] =current_step, current_a,IF(Iterations[[#This Row],[Step]] &gt; current_step, "",Iterations[[#This Row],[a]]))</f>
        <v/>
      </c>
      <c r="H1515" s="2" t="str">
        <f>IF(Iterations[[#This Row],[Step]] =current_step, current_b,IF(Iterations[[#This Row],[Step]] &gt; current_step, "",Iterations[[#This Row],[b]]))</f>
        <v/>
      </c>
      <c r="I1515" s="2" t="str">
        <f>IF(Iterations[[#This Row],[Step]] =current_step, current_c,IF(Iterations[[#This Row],[Step]] &gt; current_step, "",Iterations[[#This Row],[c]]))</f>
        <v/>
      </c>
      <c r="J1515" s="2" t="str">
        <f>IF(Iterations[[#This Row],[Step]] =current_step, current_d,IF(Iterations[[#This Row],[Step]] &gt; current_step, "",Iterations[[#This Row],[d]]))</f>
        <v/>
      </c>
      <c r="K1515" s="2" t="str">
        <f>IF(Iterations[[#This Row],[Step]] =current_step, current_e,IF(Iterations[[#This Row],[Step]] &gt; current_step, "",Iterations[[#This Row],[e]]))</f>
        <v/>
      </c>
      <c r="L1515" s="2" t="str">
        <f>IF(Iterations[[#This Row],[Step]] =current_step, current_Total_Loss,IF(Iterations[[#This Row],[Step]] &gt; current_step, "",Iterations[[#This Row],[Total Loss]]))</f>
        <v/>
      </c>
      <c r="M1515" s="6" t="s">
        <v>27</v>
      </c>
      <c r="N1515" s="2" t="str">
        <f>IF(Iterations[[#This Row],[Step]] =current_step, current_Grad_a,IF(Iterations[[#This Row],[Step]] &gt; current_step, "",Iterations[[#This Row],[Grad_a]]))</f>
        <v/>
      </c>
      <c r="O1515" s="2" t="str">
        <f>IF(Iterations[[#This Row],[Step]] =current_step, current_Grad_b,IF(Iterations[[#This Row],[Step]] &gt; current_step, "",Iterations[[#This Row],[Grad_b]]))</f>
        <v/>
      </c>
      <c r="P1515" s="2" t="str">
        <f>IF(Iterations[[#This Row],[Step]] =current_step, current_Grad_c,IF(Iterations[[#This Row],[Step]] &gt; current_step, "",Iterations[[#This Row],[Grad_c]]))</f>
        <v/>
      </c>
      <c r="Q1515" s="2" t="str">
        <f>IF(Iterations[[#This Row],[Step]] =current_step, current_Grad_d,IF(Iterations[[#This Row],[Step]] &gt; current_step, "",Iterations[[#This Row],[Grad_d]]))</f>
        <v/>
      </c>
      <c r="R1515" s="2" t="str">
        <f>IF(Iterations[[#This Row],[Step]] =current_step, current_Grad_e,IF(Iterations[[#This Row],[Step]] &gt; current_step, "",Iterations[[#This Row],[Grad_e]]))</f>
        <v/>
      </c>
    </row>
    <row r="1516" spans="6:18" x14ac:dyDescent="0.3">
      <c r="F1516" s="2">
        <f t="shared" si="28"/>
        <v>1499</v>
      </c>
      <c r="G1516" s="2" t="str">
        <f>IF(Iterations[[#This Row],[Step]] =current_step, current_a,IF(Iterations[[#This Row],[Step]] &gt; current_step, "",Iterations[[#This Row],[a]]))</f>
        <v/>
      </c>
      <c r="H1516" s="2" t="str">
        <f>IF(Iterations[[#This Row],[Step]] =current_step, current_b,IF(Iterations[[#This Row],[Step]] &gt; current_step, "",Iterations[[#This Row],[b]]))</f>
        <v/>
      </c>
      <c r="I1516" s="2" t="str">
        <f>IF(Iterations[[#This Row],[Step]] =current_step, current_c,IF(Iterations[[#This Row],[Step]] &gt; current_step, "",Iterations[[#This Row],[c]]))</f>
        <v/>
      </c>
      <c r="J1516" s="2" t="str">
        <f>IF(Iterations[[#This Row],[Step]] =current_step, current_d,IF(Iterations[[#This Row],[Step]] &gt; current_step, "",Iterations[[#This Row],[d]]))</f>
        <v/>
      </c>
      <c r="K1516" s="2" t="str">
        <f>IF(Iterations[[#This Row],[Step]] =current_step, current_e,IF(Iterations[[#This Row],[Step]] &gt; current_step, "",Iterations[[#This Row],[e]]))</f>
        <v/>
      </c>
      <c r="L1516" s="2" t="str">
        <f>IF(Iterations[[#This Row],[Step]] =current_step, current_Total_Loss,IF(Iterations[[#This Row],[Step]] &gt; current_step, "",Iterations[[#This Row],[Total Loss]]))</f>
        <v/>
      </c>
      <c r="M1516" s="6" t="s">
        <v>27</v>
      </c>
      <c r="N1516" s="2" t="str">
        <f>IF(Iterations[[#This Row],[Step]] =current_step, current_Grad_a,IF(Iterations[[#This Row],[Step]] &gt; current_step, "",Iterations[[#This Row],[Grad_a]]))</f>
        <v/>
      </c>
      <c r="O1516" s="2" t="str">
        <f>IF(Iterations[[#This Row],[Step]] =current_step, current_Grad_b,IF(Iterations[[#This Row],[Step]] &gt; current_step, "",Iterations[[#This Row],[Grad_b]]))</f>
        <v/>
      </c>
      <c r="P1516" s="2" t="str">
        <f>IF(Iterations[[#This Row],[Step]] =current_step, current_Grad_c,IF(Iterations[[#This Row],[Step]] &gt; current_step, "",Iterations[[#This Row],[Grad_c]]))</f>
        <v/>
      </c>
      <c r="Q1516" s="2" t="str">
        <f>IF(Iterations[[#This Row],[Step]] =current_step, current_Grad_d,IF(Iterations[[#This Row],[Step]] &gt; current_step, "",Iterations[[#This Row],[Grad_d]]))</f>
        <v/>
      </c>
      <c r="R1516" s="2" t="str">
        <f>IF(Iterations[[#This Row],[Step]] =current_step, current_Grad_e,IF(Iterations[[#This Row],[Step]] &gt; current_step, "",Iterations[[#This Row],[Grad_e]]))</f>
        <v/>
      </c>
    </row>
    <row r="1517" spans="6:18" x14ac:dyDescent="0.3">
      <c r="F1517" s="2">
        <f t="shared" si="28"/>
        <v>1500</v>
      </c>
      <c r="G1517" s="2" t="str">
        <f>IF(Iterations[[#This Row],[Step]] =current_step, current_a,IF(Iterations[[#This Row],[Step]] &gt; current_step, "",Iterations[[#This Row],[a]]))</f>
        <v/>
      </c>
      <c r="H1517" s="2" t="str">
        <f>IF(Iterations[[#This Row],[Step]] =current_step, current_b,IF(Iterations[[#This Row],[Step]] &gt; current_step, "",Iterations[[#This Row],[b]]))</f>
        <v/>
      </c>
      <c r="I1517" s="2" t="str">
        <f>IF(Iterations[[#This Row],[Step]] =current_step, current_c,IF(Iterations[[#This Row],[Step]] &gt; current_step, "",Iterations[[#This Row],[c]]))</f>
        <v/>
      </c>
      <c r="J1517" s="2" t="str">
        <f>IF(Iterations[[#This Row],[Step]] =current_step, current_d,IF(Iterations[[#This Row],[Step]] &gt; current_step, "",Iterations[[#This Row],[d]]))</f>
        <v/>
      </c>
      <c r="K1517" s="2" t="str">
        <f>IF(Iterations[[#This Row],[Step]] =current_step, current_e,IF(Iterations[[#This Row],[Step]] &gt; current_step, "",Iterations[[#This Row],[e]]))</f>
        <v/>
      </c>
      <c r="L1517" s="2" t="str">
        <f>IF(Iterations[[#This Row],[Step]] =current_step, current_Total_Loss,IF(Iterations[[#This Row],[Step]] &gt; current_step, "",Iterations[[#This Row],[Total Loss]]))</f>
        <v/>
      </c>
      <c r="M1517" s="6" t="s">
        <v>27</v>
      </c>
      <c r="N1517" s="2" t="str">
        <f>IF(Iterations[[#This Row],[Step]] =current_step, current_Grad_a,IF(Iterations[[#This Row],[Step]] &gt; current_step, "",Iterations[[#This Row],[Grad_a]]))</f>
        <v/>
      </c>
      <c r="O1517" s="2" t="str">
        <f>IF(Iterations[[#This Row],[Step]] =current_step, current_Grad_b,IF(Iterations[[#This Row],[Step]] &gt; current_step, "",Iterations[[#This Row],[Grad_b]]))</f>
        <v/>
      </c>
      <c r="P1517" s="2" t="str">
        <f>IF(Iterations[[#This Row],[Step]] =current_step, current_Grad_c,IF(Iterations[[#This Row],[Step]] &gt; current_step, "",Iterations[[#This Row],[Grad_c]]))</f>
        <v/>
      </c>
      <c r="Q1517" s="2" t="str">
        <f>IF(Iterations[[#This Row],[Step]] =current_step, current_Grad_d,IF(Iterations[[#This Row],[Step]] &gt; current_step, "",Iterations[[#This Row],[Grad_d]]))</f>
        <v/>
      </c>
      <c r="R1517" s="2" t="str">
        <f>IF(Iterations[[#This Row],[Step]] =current_step, current_Grad_e,IF(Iterations[[#This Row],[Step]] &gt; current_step, "",Iterations[[#This Row],[Grad_e]]))</f>
        <v/>
      </c>
    </row>
    <row r="1518" spans="6:18" x14ac:dyDescent="0.3">
      <c r="F1518" s="2">
        <f t="shared" si="28"/>
        <v>1501</v>
      </c>
      <c r="G1518" s="2" t="str">
        <f>IF(Iterations[[#This Row],[Step]] =current_step, current_a,IF(Iterations[[#This Row],[Step]] &gt; current_step, "",Iterations[[#This Row],[a]]))</f>
        <v/>
      </c>
      <c r="H1518" s="2" t="str">
        <f>IF(Iterations[[#This Row],[Step]] =current_step, current_b,IF(Iterations[[#This Row],[Step]] &gt; current_step, "",Iterations[[#This Row],[b]]))</f>
        <v/>
      </c>
      <c r="I1518" s="2" t="str">
        <f>IF(Iterations[[#This Row],[Step]] =current_step, current_c,IF(Iterations[[#This Row],[Step]] &gt; current_step, "",Iterations[[#This Row],[c]]))</f>
        <v/>
      </c>
      <c r="J1518" s="2" t="str">
        <f>IF(Iterations[[#This Row],[Step]] =current_step, current_d,IF(Iterations[[#This Row],[Step]] &gt; current_step, "",Iterations[[#This Row],[d]]))</f>
        <v/>
      </c>
      <c r="K1518" s="2" t="str">
        <f>IF(Iterations[[#This Row],[Step]] =current_step, current_e,IF(Iterations[[#This Row],[Step]] &gt; current_step, "",Iterations[[#This Row],[e]]))</f>
        <v/>
      </c>
      <c r="L1518" s="2" t="str">
        <f>IF(Iterations[[#This Row],[Step]] =current_step, current_Total_Loss,IF(Iterations[[#This Row],[Step]] &gt; current_step, "",Iterations[[#This Row],[Total Loss]]))</f>
        <v/>
      </c>
      <c r="M1518" s="6" t="s">
        <v>27</v>
      </c>
      <c r="N1518" s="2" t="str">
        <f>IF(Iterations[[#This Row],[Step]] =current_step, current_Grad_a,IF(Iterations[[#This Row],[Step]] &gt; current_step, "",Iterations[[#This Row],[Grad_a]]))</f>
        <v/>
      </c>
      <c r="O1518" s="2" t="str">
        <f>IF(Iterations[[#This Row],[Step]] =current_step, current_Grad_b,IF(Iterations[[#This Row],[Step]] &gt; current_step, "",Iterations[[#This Row],[Grad_b]]))</f>
        <v/>
      </c>
      <c r="P1518" s="2" t="str">
        <f>IF(Iterations[[#This Row],[Step]] =current_step, current_Grad_c,IF(Iterations[[#This Row],[Step]] &gt; current_step, "",Iterations[[#This Row],[Grad_c]]))</f>
        <v/>
      </c>
      <c r="Q1518" s="2" t="str">
        <f>IF(Iterations[[#This Row],[Step]] =current_step, current_Grad_d,IF(Iterations[[#This Row],[Step]] &gt; current_step, "",Iterations[[#This Row],[Grad_d]]))</f>
        <v/>
      </c>
      <c r="R1518" s="2" t="str">
        <f>IF(Iterations[[#This Row],[Step]] =current_step, current_Grad_e,IF(Iterations[[#This Row],[Step]] &gt; current_step, "",Iterations[[#This Row],[Grad_e]]))</f>
        <v/>
      </c>
    </row>
    <row r="1519" spans="6:18" x14ac:dyDescent="0.3">
      <c r="F1519" s="2">
        <f t="shared" si="28"/>
        <v>1502</v>
      </c>
      <c r="G1519" s="2" t="str">
        <f>IF(Iterations[[#This Row],[Step]] =current_step, current_a,IF(Iterations[[#This Row],[Step]] &gt; current_step, "",Iterations[[#This Row],[a]]))</f>
        <v/>
      </c>
      <c r="H1519" s="2" t="str">
        <f>IF(Iterations[[#This Row],[Step]] =current_step, current_b,IF(Iterations[[#This Row],[Step]] &gt; current_step, "",Iterations[[#This Row],[b]]))</f>
        <v/>
      </c>
      <c r="I1519" s="2" t="str">
        <f>IF(Iterations[[#This Row],[Step]] =current_step, current_c,IF(Iterations[[#This Row],[Step]] &gt; current_step, "",Iterations[[#This Row],[c]]))</f>
        <v/>
      </c>
      <c r="J1519" s="2" t="str">
        <f>IF(Iterations[[#This Row],[Step]] =current_step, current_d,IF(Iterations[[#This Row],[Step]] &gt; current_step, "",Iterations[[#This Row],[d]]))</f>
        <v/>
      </c>
      <c r="K1519" s="2" t="str">
        <f>IF(Iterations[[#This Row],[Step]] =current_step, current_e,IF(Iterations[[#This Row],[Step]] &gt; current_step, "",Iterations[[#This Row],[e]]))</f>
        <v/>
      </c>
      <c r="L1519" s="2" t="str">
        <f>IF(Iterations[[#This Row],[Step]] =current_step, current_Total_Loss,IF(Iterations[[#This Row],[Step]] &gt; current_step, "",Iterations[[#This Row],[Total Loss]]))</f>
        <v/>
      </c>
      <c r="M1519" s="6" t="s">
        <v>27</v>
      </c>
      <c r="N1519" s="2" t="str">
        <f>IF(Iterations[[#This Row],[Step]] =current_step, current_Grad_a,IF(Iterations[[#This Row],[Step]] &gt; current_step, "",Iterations[[#This Row],[Grad_a]]))</f>
        <v/>
      </c>
      <c r="O1519" s="2" t="str">
        <f>IF(Iterations[[#This Row],[Step]] =current_step, current_Grad_b,IF(Iterations[[#This Row],[Step]] &gt; current_step, "",Iterations[[#This Row],[Grad_b]]))</f>
        <v/>
      </c>
      <c r="P1519" s="2" t="str">
        <f>IF(Iterations[[#This Row],[Step]] =current_step, current_Grad_c,IF(Iterations[[#This Row],[Step]] &gt; current_step, "",Iterations[[#This Row],[Grad_c]]))</f>
        <v/>
      </c>
      <c r="Q1519" s="2" t="str">
        <f>IF(Iterations[[#This Row],[Step]] =current_step, current_Grad_d,IF(Iterations[[#This Row],[Step]] &gt; current_step, "",Iterations[[#This Row],[Grad_d]]))</f>
        <v/>
      </c>
      <c r="R1519" s="2" t="str">
        <f>IF(Iterations[[#This Row],[Step]] =current_step, current_Grad_e,IF(Iterations[[#This Row],[Step]] &gt; current_step, "",Iterations[[#This Row],[Grad_e]]))</f>
        <v/>
      </c>
    </row>
    <row r="1520" spans="6:18" x14ac:dyDescent="0.3">
      <c r="F1520" s="2">
        <f t="shared" si="28"/>
        <v>1503</v>
      </c>
      <c r="G1520" s="2" t="str">
        <f>IF(Iterations[[#This Row],[Step]] =current_step, current_a,IF(Iterations[[#This Row],[Step]] &gt; current_step, "",Iterations[[#This Row],[a]]))</f>
        <v/>
      </c>
      <c r="H1520" s="2" t="str">
        <f>IF(Iterations[[#This Row],[Step]] =current_step, current_b,IF(Iterations[[#This Row],[Step]] &gt; current_step, "",Iterations[[#This Row],[b]]))</f>
        <v/>
      </c>
      <c r="I1520" s="2" t="str">
        <f>IF(Iterations[[#This Row],[Step]] =current_step, current_c,IF(Iterations[[#This Row],[Step]] &gt; current_step, "",Iterations[[#This Row],[c]]))</f>
        <v/>
      </c>
      <c r="J1520" s="2" t="str">
        <f>IF(Iterations[[#This Row],[Step]] =current_step, current_d,IF(Iterations[[#This Row],[Step]] &gt; current_step, "",Iterations[[#This Row],[d]]))</f>
        <v/>
      </c>
      <c r="K1520" s="2" t="str">
        <f>IF(Iterations[[#This Row],[Step]] =current_step, current_e,IF(Iterations[[#This Row],[Step]] &gt; current_step, "",Iterations[[#This Row],[e]]))</f>
        <v/>
      </c>
      <c r="L1520" s="2" t="str">
        <f>IF(Iterations[[#This Row],[Step]] =current_step, current_Total_Loss,IF(Iterations[[#This Row],[Step]] &gt; current_step, "",Iterations[[#This Row],[Total Loss]]))</f>
        <v/>
      </c>
      <c r="M1520" s="6" t="s">
        <v>27</v>
      </c>
      <c r="N1520" s="2" t="str">
        <f>IF(Iterations[[#This Row],[Step]] =current_step, current_Grad_a,IF(Iterations[[#This Row],[Step]] &gt; current_step, "",Iterations[[#This Row],[Grad_a]]))</f>
        <v/>
      </c>
      <c r="O1520" s="2" t="str">
        <f>IF(Iterations[[#This Row],[Step]] =current_step, current_Grad_b,IF(Iterations[[#This Row],[Step]] &gt; current_step, "",Iterations[[#This Row],[Grad_b]]))</f>
        <v/>
      </c>
      <c r="P1520" s="2" t="str">
        <f>IF(Iterations[[#This Row],[Step]] =current_step, current_Grad_c,IF(Iterations[[#This Row],[Step]] &gt; current_step, "",Iterations[[#This Row],[Grad_c]]))</f>
        <v/>
      </c>
      <c r="Q1520" s="2" t="str">
        <f>IF(Iterations[[#This Row],[Step]] =current_step, current_Grad_d,IF(Iterations[[#This Row],[Step]] &gt; current_step, "",Iterations[[#This Row],[Grad_d]]))</f>
        <v/>
      </c>
      <c r="R1520" s="2" t="str">
        <f>IF(Iterations[[#This Row],[Step]] =current_step, current_Grad_e,IF(Iterations[[#This Row],[Step]] &gt; current_step, "",Iterations[[#This Row],[Grad_e]]))</f>
        <v/>
      </c>
    </row>
    <row r="1521" spans="6:18" x14ac:dyDescent="0.3">
      <c r="F1521" s="2">
        <f t="shared" si="28"/>
        <v>1504</v>
      </c>
      <c r="G1521" s="2" t="str">
        <f>IF(Iterations[[#This Row],[Step]] =current_step, current_a,IF(Iterations[[#This Row],[Step]] &gt; current_step, "",Iterations[[#This Row],[a]]))</f>
        <v/>
      </c>
      <c r="H1521" s="2" t="str">
        <f>IF(Iterations[[#This Row],[Step]] =current_step, current_b,IF(Iterations[[#This Row],[Step]] &gt; current_step, "",Iterations[[#This Row],[b]]))</f>
        <v/>
      </c>
      <c r="I1521" s="2" t="str">
        <f>IF(Iterations[[#This Row],[Step]] =current_step, current_c,IF(Iterations[[#This Row],[Step]] &gt; current_step, "",Iterations[[#This Row],[c]]))</f>
        <v/>
      </c>
      <c r="J1521" s="2" t="str">
        <f>IF(Iterations[[#This Row],[Step]] =current_step, current_d,IF(Iterations[[#This Row],[Step]] &gt; current_step, "",Iterations[[#This Row],[d]]))</f>
        <v/>
      </c>
      <c r="K1521" s="2" t="str">
        <f>IF(Iterations[[#This Row],[Step]] =current_step, current_e,IF(Iterations[[#This Row],[Step]] &gt; current_step, "",Iterations[[#This Row],[e]]))</f>
        <v/>
      </c>
      <c r="L1521" s="2" t="str">
        <f>IF(Iterations[[#This Row],[Step]] =current_step, current_Total_Loss,IF(Iterations[[#This Row],[Step]] &gt; current_step, "",Iterations[[#This Row],[Total Loss]]))</f>
        <v/>
      </c>
      <c r="M1521" s="6" t="s">
        <v>27</v>
      </c>
      <c r="N1521" s="2" t="str">
        <f>IF(Iterations[[#This Row],[Step]] =current_step, current_Grad_a,IF(Iterations[[#This Row],[Step]] &gt; current_step, "",Iterations[[#This Row],[Grad_a]]))</f>
        <v/>
      </c>
      <c r="O1521" s="2" t="str">
        <f>IF(Iterations[[#This Row],[Step]] =current_step, current_Grad_b,IF(Iterations[[#This Row],[Step]] &gt; current_step, "",Iterations[[#This Row],[Grad_b]]))</f>
        <v/>
      </c>
      <c r="P1521" s="2" t="str">
        <f>IF(Iterations[[#This Row],[Step]] =current_step, current_Grad_c,IF(Iterations[[#This Row],[Step]] &gt; current_step, "",Iterations[[#This Row],[Grad_c]]))</f>
        <v/>
      </c>
      <c r="Q1521" s="2" t="str">
        <f>IF(Iterations[[#This Row],[Step]] =current_step, current_Grad_d,IF(Iterations[[#This Row],[Step]] &gt; current_step, "",Iterations[[#This Row],[Grad_d]]))</f>
        <v/>
      </c>
      <c r="R1521" s="2" t="str">
        <f>IF(Iterations[[#This Row],[Step]] =current_step, current_Grad_e,IF(Iterations[[#This Row],[Step]] &gt; current_step, "",Iterations[[#This Row],[Grad_e]]))</f>
        <v/>
      </c>
    </row>
    <row r="1522" spans="6:18" x14ac:dyDescent="0.3">
      <c r="F1522" s="2">
        <f t="shared" si="28"/>
        <v>1505</v>
      </c>
      <c r="G1522" s="2" t="str">
        <f>IF(Iterations[[#This Row],[Step]] =current_step, current_a,IF(Iterations[[#This Row],[Step]] &gt; current_step, "",Iterations[[#This Row],[a]]))</f>
        <v/>
      </c>
      <c r="H1522" s="2" t="str">
        <f>IF(Iterations[[#This Row],[Step]] =current_step, current_b,IF(Iterations[[#This Row],[Step]] &gt; current_step, "",Iterations[[#This Row],[b]]))</f>
        <v/>
      </c>
      <c r="I1522" s="2" t="str">
        <f>IF(Iterations[[#This Row],[Step]] =current_step, current_c,IF(Iterations[[#This Row],[Step]] &gt; current_step, "",Iterations[[#This Row],[c]]))</f>
        <v/>
      </c>
      <c r="J1522" s="2" t="str">
        <f>IF(Iterations[[#This Row],[Step]] =current_step, current_d,IF(Iterations[[#This Row],[Step]] &gt; current_step, "",Iterations[[#This Row],[d]]))</f>
        <v/>
      </c>
      <c r="K1522" s="2" t="str">
        <f>IF(Iterations[[#This Row],[Step]] =current_step, current_e,IF(Iterations[[#This Row],[Step]] &gt; current_step, "",Iterations[[#This Row],[e]]))</f>
        <v/>
      </c>
      <c r="L1522" s="2" t="str">
        <f>IF(Iterations[[#This Row],[Step]] =current_step, current_Total_Loss,IF(Iterations[[#This Row],[Step]] &gt; current_step, "",Iterations[[#This Row],[Total Loss]]))</f>
        <v/>
      </c>
      <c r="M1522" s="6" t="s">
        <v>27</v>
      </c>
      <c r="N1522" s="2" t="str">
        <f>IF(Iterations[[#This Row],[Step]] =current_step, current_Grad_a,IF(Iterations[[#This Row],[Step]] &gt; current_step, "",Iterations[[#This Row],[Grad_a]]))</f>
        <v/>
      </c>
      <c r="O1522" s="2" t="str">
        <f>IF(Iterations[[#This Row],[Step]] =current_step, current_Grad_b,IF(Iterations[[#This Row],[Step]] &gt; current_step, "",Iterations[[#This Row],[Grad_b]]))</f>
        <v/>
      </c>
      <c r="P1522" s="2" t="str">
        <f>IF(Iterations[[#This Row],[Step]] =current_step, current_Grad_c,IF(Iterations[[#This Row],[Step]] &gt; current_step, "",Iterations[[#This Row],[Grad_c]]))</f>
        <v/>
      </c>
      <c r="Q1522" s="2" t="str">
        <f>IF(Iterations[[#This Row],[Step]] =current_step, current_Grad_d,IF(Iterations[[#This Row],[Step]] &gt; current_step, "",Iterations[[#This Row],[Grad_d]]))</f>
        <v/>
      </c>
      <c r="R1522" s="2" t="str">
        <f>IF(Iterations[[#This Row],[Step]] =current_step, current_Grad_e,IF(Iterations[[#This Row],[Step]] &gt; current_step, "",Iterations[[#This Row],[Grad_e]]))</f>
        <v/>
      </c>
    </row>
    <row r="1523" spans="6:18" x14ac:dyDescent="0.3">
      <c r="F1523" s="2">
        <f t="shared" si="28"/>
        <v>1506</v>
      </c>
      <c r="G1523" s="2" t="str">
        <f>IF(Iterations[[#This Row],[Step]] =current_step, current_a,IF(Iterations[[#This Row],[Step]] &gt; current_step, "",Iterations[[#This Row],[a]]))</f>
        <v/>
      </c>
      <c r="H1523" s="2" t="str">
        <f>IF(Iterations[[#This Row],[Step]] =current_step, current_b,IF(Iterations[[#This Row],[Step]] &gt; current_step, "",Iterations[[#This Row],[b]]))</f>
        <v/>
      </c>
      <c r="I1523" s="2" t="str">
        <f>IF(Iterations[[#This Row],[Step]] =current_step, current_c,IF(Iterations[[#This Row],[Step]] &gt; current_step, "",Iterations[[#This Row],[c]]))</f>
        <v/>
      </c>
      <c r="J1523" s="2" t="str">
        <f>IF(Iterations[[#This Row],[Step]] =current_step, current_d,IF(Iterations[[#This Row],[Step]] &gt; current_step, "",Iterations[[#This Row],[d]]))</f>
        <v/>
      </c>
      <c r="K1523" s="2" t="str">
        <f>IF(Iterations[[#This Row],[Step]] =current_step, current_e,IF(Iterations[[#This Row],[Step]] &gt; current_step, "",Iterations[[#This Row],[e]]))</f>
        <v/>
      </c>
      <c r="L1523" s="2" t="str">
        <f>IF(Iterations[[#This Row],[Step]] =current_step, current_Total_Loss,IF(Iterations[[#This Row],[Step]] &gt; current_step, "",Iterations[[#This Row],[Total Loss]]))</f>
        <v/>
      </c>
      <c r="M1523" s="6" t="s">
        <v>27</v>
      </c>
      <c r="N1523" s="2" t="str">
        <f>IF(Iterations[[#This Row],[Step]] =current_step, current_Grad_a,IF(Iterations[[#This Row],[Step]] &gt; current_step, "",Iterations[[#This Row],[Grad_a]]))</f>
        <v/>
      </c>
      <c r="O1523" s="2" t="str">
        <f>IF(Iterations[[#This Row],[Step]] =current_step, current_Grad_b,IF(Iterations[[#This Row],[Step]] &gt; current_step, "",Iterations[[#This Row],[Grad_b]]))</f>
        <v/>
      </c>
      <c r="P1523" s="2" t="str">
        <f>IF(Iterations[[#This Row],[Step]] =current_step, current_Grad_c,IF(Iterations[[#This Row],[Step]] &gt; current_step, "",Iterations[[#This Row],[Grad_c]]))</f>
        <v/>
      </c>
      <c r="Q1523" s="2" t="str">
        <f>IF(Iterations[[#This Row],[Step]] =current_step, current_Grad_d,IF(Iterations[[#This Row],[Step]] &gt; current_step, "",Iterations[[#This Row],[Grad_d]]))</f>
        <v/>
      </c>
      <c r="R1523" s="2" t="str">
        <f>IF(Iterations[[#This Row],[Step]] =current_step, current_Grad_e,IF(Iterations[[#This Row],[Step]] &gt; current_step, "",Iterations[[#This Row],[Grad_e]]))</f>
        <v/>
      </c>
    </row>
    <row r="1524" spans="6:18" x14ac:dyDescent="0.3">
      <c r="F1524" s="2">
        <f t="shared" si="28"/>
        <v>1507</v>
      </c>
      <c r="G1524" s="2" t="str">
        <f>IF(Iterations[[#This Row],[Step]] =current_step, current_a,IF(Iterations[[#This Row],[Step]] &gt; current_step, "",Iterations[[#This Row],[a]]))</f>
        <v/>
      </c>
      <c r="H1524" s="2" t="str">
        <f>IF(Iterations[[#This Row],[Step]] =current_step, current_b,IF(Iterations[[#This Row],[Step]] &gt; current_step, "",Iterations[[#This Row],[b]]))</f>
        <v/>
      </c>
      <c r="I1524" s="2" t="str">
        <f>IF(Iterations[[#This Row],[Step]] =current_step, current_c,IF(Iterations[[#This Row],[Step]] &gt; current_step, "",Iterations[[#This Row],[c]]))</f>
        <v/>
      </c>
      <c r="J1524" s="2" t="str">
        <f>IF(Iterations[[#This Row],[Step]] =current_step, current_d,IF(Iterations[[#This Row],[Step]] &gt; current_step, "",Iterations[[#This Row],[d]]))</f>
        <v/>
      </c>
      <c r="K1524" s="2" t="str">
        <f>IF(Iterations[[#This Row],[Step]] =current_step, current_e,IF(Iterations[[#This Row],[Step]] &gt; current_step, "",Iterations[[#This Row],[e]]))</f>
        <v/>
      </c>
      <c r="L1524" s="2" t="str">
        <f>IF(Iterations[[#This Row],[Step]] =current_step, current_Total_Loss,IF(Iterations[[#This Row],[Step]] &gt; current_step, "",Iterations[[#This Row],[Total Loss]]))</f>
        <v/>
      </c>
      <c r="M1524" s="6" t="s">
        <v>27</v>
      </c>
      <c r="N1524" s="2" t="str">
        <f>IF(Iterations[[#This Row],[Step]] =current_step, current_Grad_a,IF(Iterations[[#This Row],[Step]] &gt; current_step, "",Iterations[[#This Row],[Grad_a]]))</f>
        <v/>
      </c>
      <c r="O1524" s="2" t="str">
        <f>IF(Iterations[[#This Row],[Step]] =current_step, current_Grad_b,IF(Iterations[[#This Row],[Step]] &gt; current_step, "",Iterations[[#This Row],[Grad_b]]))</f>
        <v/>
      </c>
      <c r="P1524" s="2" t="str">
        <f>IF(Iterations[[#This Row],[Step]] =current_step, current_Grad_c,IF(Iterations[[#This Row],[Step]] &gt; current_step, "",Iterations[[#This Row],[Grad_c]]))</f>
        <v/>
      </c>
      <c r="Q1524" s="2" t="str">
        <f>IF(Iterations[[#This Row],[Step]] =current_step, current_Grad_d,IF(Iterations[[#This Row],[Step]] &gt; current_step, "",Iterations[[#This Row],[Grad_d]]))</f>
        <v/>
      </c>
      <c r="R1524" s="2" t="str">
        <f>IF(Iterations[[#This Row],[Step]] =current_step, current_Grad_e,IF(Iterations[[#This Row],[Step]] &gt; current_step, "",Iterations[[#This Row],[Grad_e]]))</f>
        <v/>
      </c>
    </row>
    <row r="1525" spans="6:18" x14ac:dyDescent="0.3">
      <c r="F1525" s="2">
        <f t="shared" si="28"/>
        <v>1508</v>
      </c>
      <c r="G1525" s="2" t="str">
        <f>IF(Iterations[[#This Row],[Step]] =current_step, current_a,IF(Iterations[[#This Row],[Step]] &gt; current_step, "",Iterations[[#This Row],[a]]))</f>
        <v/>
      </c>
      <c r="H1525" s="2" t="str">
        <f>IF(Iterations[[#This Row],[Step]] =current_step, current_b,IF(Iterations[[#This Row],[Step]] &gt; current_step, "",Iterations[[#This Row],[b]]))</f>
        <v/>
      </c>
      <c r="I1525" s="2" t="str">
        <f>IF(Iterations[[#This Row],[Step]] =current_step, current_c,IF(Iterations[[#This Row],[Step]] &gt; current_step, "",Iterations[[#This Row],[c]]))</f>
        <v/>
      </c>
      <c r="J1525" s="2" t="str">
        <f>IF(Iterations[[#This Row],[Step]] =current_step, current_d,IF(Iterations[[#This Row],[Step]] &gt; current_step, "",Iterations[[#This Row],[d]]))</f>
        <v/>
      </c>
      <c r="K1525" s="2" t="str">
        <f>IF(Iterations[[#This Row],[Step]] =current_step, current_e,IF(Iterations[[#This Row],[Step]] &gt; current_step, "",Iterations[[#This Row],[e]]))</f>
        <v/>
      </c>
      <c r="L1525" s="2" t="str">
        <f>IF(Iterations[[#This Row],[Step]] =current_step, current_Total_Loss,IF(Iterations[[#This Row],[Step]] &gt; current_step, "",Iterations[[#This Row],[Total Loss]]))</f>
        <v/>
      </c>
      <c r="M1525" s="6" t="s">
        <v>27</v>
      </c>
      <c r="N1525" s="2" t="str">
        <f>IF(Iterations[[#This Row],[Step]] =current_step, current_Grad_a,IF(Iterations[[#This Row],[Step]] &gt; current_step, "",Iterations[[#This Row],[Grad_a]]))</f>
        <v/>
      </c>
      <c r="O1525" s="2" t="str">
        <f>IF(Iterations[[#This Row],[Step]] =current_step, current_Grad_b,IF(Iterations[[#This Row],[Step]] &gt; current_step, "",Iterations[[#This Row],[Grad_b]]))</f>
        <v/>
      </c>
      <c r="P1525" s="2" t="str">
        <f>IF(Iterations[[#This Row],[Step]] =current_step, current_Grad_c,IF(Iterations[[#This Row],[Step]] &gt; current_step, "",Iterations[[#This Row],[Grad_c]]))</f>
        <v/>
      </c>
      <c r="Q1525" s="2" t="str">
        <f>IF(Iterations[[#This Row],[Step]] =current_step, current_Grad_d,IF(Iterations[[#This Row],[Step]] &gt; current_step, "",Iterations[[#This Row],[Grad_d]]))</f>
        <v/>
      </c>
      <c r="R1525" s="2" t="str">
        <f>IF(Iterations[[#This Row],[Step]] =current_step, current_Grad_e,IF(Iterations[[#This Row],[Step]] &gt; current_step, "",Iterations[[#This Row],[Grad_e]]))</f>
        <v/>
      </c>
    </row>
    <row r="1526" spans="6:18" x14ac:dyDescent="0.3">
      <c r="F1526" s="2">
        <f t="shared" si="28"/>
        <v>1509</v>
      </c>
      <c r="G1526" s="2" t="str">
        <f>IF(Iterations[[#This Row],[Step]] =current_step, current_a,IF(Iterations[[#This Row],[Step]] &gt; current_step, "",Iterations[[#This Row],[a]]))</f>
        <v/>
      </c>
      <c r="H1526" s="2" t="str">
        <f>IF(Iterations[[#This Row],[Step]] =current_step, current_b,IF(Iterations[[#This Row],[Step]] &gt; current_step, "",Iterations[[#This Row],[b]]))</f>
        <v/>
      </c>
      <c r="I1526" s="2" t="str">
        <f>IF(Iterations[[#This Row],[Step]] =current_step, current_c,IF(Iterations[[#This Row],[Step]] &gt; current_step, "",Iterations[[#This Row],[c]]))</f>
        <v/>
      </c>
      <c r="J1526" s="2" t="str">
        <f>IF(Iterations[[#This Row],[Step]] =current_step, current_d,IF(Iterations[[#This Row],[Step]] &gt; current_step, "",Iterations[[#This Row],[d]]))</f>
        <v/>
      </c>
      <c r="K1526" s="2" t="str">
        <f>IF(Iterations[[#This Row],[Step]] =current_step, current_e,IF(Iterations[[#This Row],[Step]] &gt; current_step, "",Iterations[[#This Row],[e]]))</f>
        <v/>
      </c>
      <c r="L1526" s="2" t="str">
        <f>IF(Iterations[[#This Row],[Step]] =current_step, current_Total_Loss,IF(Iterations[[#This Row],[Step]] &gt; current_step, "",Iterations[[#This Row],[Total Loss]]))</f>
        <v/>
      </c>
      <c r="M1526" s="6" t="s">
        <v>27</v>
      </c>
      <c r="N1526" s="2" t="str">
        <f>IF(Iterations[[#This Row],[Step]] =current_step, current_Grad_a,IF(Iterations[[#This Row],[Step]] &gt; current_step, "",Iterations[[#This Row],[Grad_a]]))</f>
        <v/>
      </c>
      <c r="O1526" s="2" t="str">
        <f>IF(Iterations[[#This Row],[Step]] =current_step, current_Grad_b,IF(Iterations[[#This Row],[Step]] &gt; current_step, "",Iterations[[#This Row],[Grad_b]]))</f>
        <v/>
      </c>
      <c r="P1526" s="2" t="str">
        <f>IF(Iterations[[#This Row],[Step]] =current_step, current_Grad_c,IF(Iterations[[#This Row],[Step]] &gt; current_step, "",Iterations[[#This Row],[Grad_c]]))</f>
        <v/>
      </c>
      <c r="Q1526" s="2" t="str">
        <f>IF(Iterations[[#This Row],[Step]] =current_step, current_Grad_d,IF(Iterations[[#This Row],[Step]] &gt; current_step, "",Iterations[[#This Row],[Grad_d]]))</f>
        <v/>
      </c>
      <c r="R1526" s="2" t="str">
        <f>IF(Iterations[[#This Row],[Step]] =current_step, current_Grad_e,IF(Iterations[[#This Row],[Step]] &gt; current_step, "",Iterations[[#This Row],[Grad_e]]))</f>
        <v/>
      </c>
    </row>
    <row r="1527" spans="6:18" x14ac:dyDescent="0.3">
      <c r="F1527" s="2">
        <f t="shared" si="28"/>
        <v>1510</v>
      </c>
      <c r="G1527" s="2" t="str">
        <f>IF(Iterations[[#This Row],[Step]] =current_step, current_a,IF(Iterations[[#This Row],[Step]] &gt; current_step, "",Iterations[[#This Row],[a]]))</f>
        <v/>
      </c>
      <c r="H1527" s="2" t="str">
        <f>IF(Iterations[[#This Row],[Step]] =current_step, current_b,IF(Iterations[[#This Row],[Step]] &gt; current_step, "",Iterations[[#This Row],[b]]))</f>
        <v/>
      </c>
      <c r="I1527" s="2" t="str">
        <f>IF(Iterations[[#This Row],[Step]] =current_step, current_c,IF(Iterations[[#This Row],[Step]] &gt; current_step, "",Iterations[[#This Row],[c]]))</f>
        <v/>
      </c>
      <c r="J1527" s="2" t="str">
        <f>IF(Iterations[[#This Row],[Step]] =current_step, current_d,IF(Iterations[[#This Row],[Step]] &gt; current_step, "",Iterations[[#This Row],[d]]))</f>
        <v/>
      </c>
      <c r="K1527" s="2" t="str">
        <f>IF(Iterations[[#This Row],[Step]] =current_step, current_e,IF(Iterations[[#This Row],[Step]] &gt; current_step, "",Iterations[[#This Row],[e]]))</f>
        <v/>
      </c>
      <c r="L1527" s="2" t="str">
        <f>IF(Iterations[[#This Row],[Step]] =current_step, current_Total_Loss,IF(Iterations[[#This Row],[Step]] &gt; current_step, "",Iterations[[#This Row],[Total Loss]]))</f>
        <v/>
      </c>
      <c r="M1527" s="6" t="s">
        <v>27</v>
      </c>
      <c r="N1527" s="2" t="str">
        <f>IF(Iterations[[#This Row],[Step]] =current_step, current_Grad_a,IF(Iterations[[#This Row],[Step]] &gt; current_step, "",Iterations[[#This Row],[Grad_a]]))</f>
        <v/>
      </c>
      <c r="O1527" s="2" t="str">
        <f>IF(Iterations[[#This Row],[Step]] =current_step, current_Grad_b,IF(Iterations[[#This Row],[Step]] &gt; current_step, "",Iterations[[#This Row],[Grad_b]]))</f>
        <v/>
      </c>
      <c r="P1527" s="2" t="str">
        <f>IF(Iterations[[#This Row],[Step]] =current_step, current_Grad_c,IF(Iterations[[#This Row],[Step]] &gt; current_step, "",Iterations[[#This Row],[Grad_c]]))</f>
        <v/>
      </c>
      <c r="Q1527" s="2" t="str">
        <f>IF(Iterations[[#This Row],[Step]] =current_step, current_Grad_d,IF(Iterations[[#This Row],[Step]] &gt; current_step, "",Iterations[[#This Row],[Grad_d]]))</f>
        <v/>
      </c>
      <c r="R1527" s="2" t="str">
        <f>IF(Iterations[[#This Row],[Step]] =current_step, current_Grad_e,IF(Iterations[[#This Row],[Step]] &gt; current_step, "",Iterations[[#This Row],[Grad_e]]))</f>
        <v/>
      </c>
    </row>
    <row r="1528" spans="6:18" x14ac:dyDescent="0.3">
      <c r="F1528" s="2">
        <f t="shared" ref="F1528:F1571" si="29">F1527+1</f>
        <v>1511</v>
      </c>
      <c r="G1528" s="2" t="str">
        <f>IF(Iterations[[#This Row],[Step]] =current_step, current_a,IF(Iterations[[#This Row],[Step]] &gt; current_step, "",Iterations[[#This Row],[a]]))</f>
        <v/>
      </c>
      <c r="H1528" s="2" t="str">
        <f>IF(Iterations[[#This Row],[Step]] =current_step, current_b,IF(Iterations[[#This Row],[Step]] &gt; current_step, "",Iterations[[#This Row],[b]]))</f>
        <v/>
      </c>
      <c r="I1528" s="2" t="str">
        <f>IF(Iterations[[#This Row],[Step]] =current_step, current_c,IF(Iterations[[#This Row],[Step]] &gt; current_step, "",Iterations[[#This Row],[c]]))</f>
        <v/>
      </c>
      <c r="J1528" s="2" t="str">
        <f>IF(Iterations[[#This Row],[Step]] =current_step, current_d,IF(Iterations[[#This Row],[Step]] &gt; current_step, "",Iterations[[#This Row],[d]]))</f>
        <v/>
      </c>
      <c r="K1528" s="2" t="str">
        <f>IF(Iterations[[#This Row],[Step]] =current_step, current_e,IF(Iterations[[#This Row],[Step]] &gt; current_step, "",Iterations[[#This Row],[e]]))</f>
        <v/>
      </c>
      <c r="L1528" s="2" t="str">
        <f>IF(Iterations[[#This Row],[Step]] =current_step, current_Total_Loss,IF(Iterations[[#This Row],[Step]] &gt; current_step, "",Iterations[[#This Row],[Total Loss]]))</f>
        <v/>
      </c>
      <c r="M1528" s="6" t="s">
        <v>27</v>
      </c>
      <c r="N1528" s="2" t="str">
        <f>IF(Iterations[[#This Row],[Step]] =current_step, current_Grad_a,IF(Iterations[[#This Row],[Step]] &gt; current_step, "",Iterations[[#This Row],[Grad_a]]))</f>
        <v/>
      </c>
      <c r="O1528" s="2" t="str">
        <f>IF(Iterations[[#This Row],[Step]] =current_step, current_Grad_b,IF(Iterations[[#This Row],[Step]] &gt; current_step, "",Iterations[[#This Row],[Grad_b]]))</f>
        <v/>
      </c>
      <c r="P1528" s="2" t="str">
        <f>IF(Iterations[[#This Row],[Step]] =current_step, current_Grad_c,IF(Iterations[[#This Row],[Step]] &gt; current_step, "",Iterations[[#This Row],[Grad_c]]))</f>
        <v/>
      </c>
      <c r="Q1528" s="2" t="str">
        <f>IF(Iterations[[#This Row],[Step]] =current_step, current_Grad_d,IF(Iterations[[#This Row],[Step]] &gt; current_step, "",Iterations[[#This Row],[Grad_d]]))</f>
        <v/>
      </c>
      <c r="R1528" s="2" t="str">
        <f>IF(Iterations[[#This Row],[Step]] =current_step, current_Grad_e,IF(Iterations[[#This Row],[Step]] &gt; current_step, "",Iterations[[#This Row],[Grad_e]]))</f>
        <v/>
      </c>
    </row>
    <row r="1529" spans="6:18" x14ac:dyDescent="0.3">
      <c r="F1529" s="2">
        <f t="shared" si="29"/>
        <v>1512</v>
      </c>
      <c r="G1529" s="2" t="str">
        <f>IF(Iterations[[#This Row],[Step]] =current_step, current_a,IF(Iterations[[#This Row],[Step]] &gt; current_step, "",Iterations[[#This Row],[a]]))</f>
        <v/>
      </c>
      <c r="H1529" s="2" t="str">
        <f>IF(Iterations[[#This Row],[Step]] =current_step, current_b,IF(Iterations[[#This Row],[Step]] &gt; current_step, "",Iterations[[#This Row],[b]]))</f>
        <v/>
      </c>
      <c r="I1529" s="2" t="str">
        <f>IF(Iterations[[#This Row],[Step]] =current_step, current_c,IF(Iterations[[#This Row],[Step]] &gt; current_step, "",Iterations[[#This Row],[c]]))</f>
        <v/>
      </c>
      <c r="J1529" s="2" t="str">
        <f>IF(Iterations[[#This Row],[Step]] =current_step, current_d,IF(Iterations[[#This Row],[Step]] &gt; current_step, "",Iterations[[#This Row],[d]]))</f>
        <v/>
      </c>
      <c r="K1529" s="2" t="str">
        <f>IF(Iterations[[#This Row],[Step]] =current_step, current_e,IF(Iterations[[#This Row],[Step]] &gt; current_step, "",Iterations[[#This Row],[e]]))</f>
        <v/>
      </c>
      <c r="L1529" s="2" t="str">
        <f>IF(Iterations[[#This Row],[Step]] =current_step, current_Total_Loss,IF(Iterations[[#This Row],[Step]] &gt; current_step, "",Iterations[[#This Row],[Total Loss]]))</f>
        <v/>
      </c>
      <c r="M1529" s="6" t="s">
        <v>27</v>
      </c>
      <c r="N1529" s="2" t="str">
        <f>IF(Iterations[[#This Row],[Step]] =current_step, current_Grad_a,IF(Iterations[[#This Row],[Step]] &gt; current_step, "",Iterations[[#This Row],[Grad_a]]))</f>
        <v/>
      </c>
      <c r="O1529" s="2" t="str">
        <f>IF(Iterations[[#This Row],[Step]] =current_step, current_Grad_b,IF(Iterations[[#This Row],[Step]] &gt; current_step, "",Iterations[[#This Row],[Grad_b]]))</f>
        <v/>
      </c>
      <c r="P1529" s="2" t="str">
        <f>IF(Iterations[[#This Row],[Step]] =current_step, current_Grad_c,IF(Iterations[[#This Row],[Step]] &gt; current_step, "",Iterations[[#This Row],[Grad_c]]))</f>
        <v/>
      </c>
      <c r="Q1529" s="2" t="str">
        <f>IF(Iterations[[#This Row],[Step]] =current_step, current_Grad_d,IF(Iterations[[#This Row],[Step]] &gt; current_step, "",Iterations[[#This Row],[Grad_d]]))</f>
        <v/>
      </c>
      <c r="R1529" s="2" t="str">
        <f>IF(Iterations[[#This Row],[Step]] =current_step, current_Grad_e,IF(Iterations[[#This Row],[Step]] &gt; current_step, "",Iterations[[#This Row],[Grad_e]]))</f>
        <v/>
      </c>
    </row>
    <row r="1530" spans="6:18" x14ac:dyDescent="0.3">
      <c r="F1530" s="2">
        <f t="shared" si="29"/>
        <v>1513</v>
      </c>
      <c r="G1530" s="2" t="str">
        <f>IF(Iterations[[#This Row],[Step]] =current_step, current_a,IF(Iterations[[#This Row],[Step]] &gt; current_step, "",Iterations[[#This Row],[a]]))</f>
        <v/>
      </c>
      <c r="H1530" s="2" t="str">
        <f>IF(Iterations[[#This Row],[Step]] =current_step, current_b,IF(Iterations[[#This Row],[Step]] &gt; current_step, "",Iterations[[#This Row],[b]]))</f>
        <v/>
      </c>
      <c r="I1530" s="2" t="str">
        <f>IF(Iterations[[#This Row],[Step]] =current_step, current_c,IF(Iterations[[#This Row],[Step]] &gt; current_step, "",Iterations[[#This Row],[c]]))</f>
        <v/>
      </c>
      <c r="J1530" s="2" t="str">
        <f>IF(Iterations[[#This Row],[Step]] =current_step, current_d,IF(Iterations[[#This Row],[Step]] &gt; current_step, "",Iterations[[#This Row],[d]]))</f>
        <v/>
      </c>
      <c r="K1530" s="2" t="str">
        <f>IF(Iterations[[#This Row],[Step]] =current_step, current_e,IF(Iterations[[#This Row],[Step]] &gt; current_step, "",Iterations[[#This Row],[e]]))</f>
        <v/>
      </c>
      <c r="L1530" s="2" t="str">
        <f>IF(Iterations[[#This Row],[Step]] =current_step, current_Total_Loss,IF(Iterations[[#This Row],[Step]] &gt; current_step, "",Iterations[[#This Row],[Total Loss]]))</f>
        <v/>
      </c>
      <c r="M1530" s="6" t="s">
        <v>27</v>
      </c>
      <c r="N1530" s="2" t="str">
        <f>IF(Iterations[[#This Row],[Step]] =current_step, current_Grad_a,IF(Iterations[[#This Row],[Step]] &gt; current_step, "",Iterations[[#This Row],[Grad_a]]))</f>
        <v/>
      </c>
      <c r="O1530" s="2" t="str">
        <f>IF(Iterations[[#This Row],[Step]] =current_step, current_Grad_b,IF(Iterations[[#This Row],[Step]] &gt; current_step, "",Iterations[[#This Row],[Grad_b]]))</f>
        <v/>
      </c>
      <c r="P1530" s="2" t="str">
        <f>IF(Iterations[[#This Row],[Step]] =current_step, current_Grad_c,IF(Iterations[[#This Row],[Step]] &gt; current_step, "",Iterations[[#This Row],[Grad_c]]))</f>
        <v/>
      </c>
      <c r="Q1530" s="2" t="str">
        <f>IF(Iterations[[#This Row],[Step]] =current_step, current_Grad_d,IF(Iterations[[#This Row],[Step]] &gt; current_step, "",Iterations[[#This Row],[Grad_d]]))</f>
        <v/>
      </c>
      <c r="R1530" s="2" t="str">
        <f>IF(Iterations[[#This Row],[Step]] =current_step, current_Grad_e,IF(Iterations[[#This Row],[Step]] &gt; current_step, "",Iterations[[#This Row],[Grad_e]]))</f>
        <v/>
      </c>
    </row>
    <row r="1531" spans="6:18" x14ac:dyDescent="0.3">
      <c r="F1531" s="2">
        <f t="shared" si="29"/>
        <v>1514</v>
      </c>
      <c r="G1531" s="2" t="str">
        <f>IF(Iterations[[#This Row],[Step]] =current_step, current_a,IF(Iterations[[#This Row],[Step]] &gt; current_step, "",Iterations[[#This Row],[a]]))</f>
        <v/>
      </c>
      <c r="H1531" s="2" t="str">
        <f>IF(Iterations[[#This Row],[Step]] =current_step, current_b,IF(Iterations[[#This Row],[Step]] &gt; current_step, "",Iterations[[#This Row],[b]]))</f>
        <v/>
      </c>
      <c r="I1531" s="2" t="str">
        <f>IF(Iterations[[#This Row],[Step]] =current_step, current_c,IF(Iterations[[#This Row],[Step]] &gt; current_step, "",Iterations[[#This Row],[c]]))</f>
        <v/>
      </c>
      <c r="J1531" s="2" t="str">
        <f>IF(Iterations[[#This Row],[Step]] =current_step, current_d,IF(Iterations[[#This Row],[Step]] &gt; current_step, "",Iterations[[#This Row],[d]]))</f>
        <v/>
      </c>
      <c r="K1531" s="2" t="str">
        <f>IF(Iterations[[#This Row],[Step]] =current_step, current_e,IF(Iterations[[#This Row],[Step]] &gt; current_step, "",Iterations[[#This Row],[e]]))</f>
        <v/>
      </c>
      <c r="L1531" s="2" t="str">
        <f>IF(Iterations[[#This Row],[Step]] =current_step, current_Total_Loss,IF(Iterations[[#This Row],[Step]] &gt; current_step, "",Iterations[[#This Row],[Total Loss]]))</f>
        <v/>
      </c>
      <c r="M1531" s="6" t="s">
        <v>27</v>
      </c>
      <c r="N1531" s="2" t="str">
        <f>IF(Iterations[[#This Row],[Step]] =current_step, current_Grad_a,IF(Iterations[[#This Row],[Step]] &gt; current_step, "",Iterations[[#This Row],[Grad_a]]))</f>
        <v/>
      </c>
      <c r="O1531" s="2" t="str">
        <f>IF(Iterations[[#This Row],[Step]] =current_step, current_Grad_b,IF(Iterations[[#This Row],[Step]] &gt; current_step, "",Iterations[[#This Row],[Grad_b]]))</f>
        <v/>
      </c>
      <c r="P1531" s="2" t="str">
        <f>IF(Iterations[[#This Row],[Step]] =current_step, current_Grad_c,IF(Iterations[[#This Row],[Step]] &gt; current_step, "",Iterations[[#This Row],[Grad_c]]))</f>
        <v/>
      </c>
      <c r="Q1531" s="2" t="str">
        <f>IF(Iterations[[#This Row],[Step]] =current_step, current_Grad_d,IF(Iterations[[#This Row],[Step]] &gt; current_step, "",Iterations[[#This Row],[Grad_d]]))</f>
        <v/>
      </c>
      <c r="R1531" s="2" t="str">
        <f>IF(Iterations[[#This Row],[Step]] =current_step, current_Grad_e,IF(Iterations[[#This Row],[Step]] &gt; current_step, "",Iterations[[#This Row],[Grad_e]]))</f>
        <v/>
      </c>
    </row>
    <row r="1532" spans="6:18" x14ac:dyDescent="0.3">
      <c r="F1532" s="2">
        <f t="shared" si="29"/>
        <v>1515</v>
      </c>
      <c r="G1532" s="2" t="str">
        <f>IF(Iterations[[#This Row],[Step]] =current_step, current_a,IF(Iterations[[#This Row],[Step]] &gt; current_step, "",Iterations[[#This Row],[a]]))</f>
        <v/>
      </c>
      <c r="H1532" s="2" t="str">
        <f>IF(Iterations[[#This Row],[Step]] =current_step, current_b,IF(Iterations[[#This Row],[Step]] &gt; current_step, "",Iterations[[#This Row],[b]]))</f>
        <v/>
      </c>
      <c r="I1532" s="2" t="str">
        <f>IF(Iterations[[#This Row],[Step]] =current_step, current_c,IF(Iterations[[#This Row],[Step]] &gt; current_step, "",Iterations[[#This Row],[c]]))</f>
        <v/>
      </c>
      <c r="J1532" s="2" t="str">
        <f>IF(Iterations[[#This Row],[Step]] =current_step, current_d,IF(Iterations[[#This Row],[Step]] &gt; current_step, "",Iterations[[#This Row],[d]]))</f>
        <v/>
      </c>
      <c r="K1532" s="2" t="str">
        <f>IF(Iterations[[#This Row],[Step]] =current_step, current_e,IF(Iterations[[#This Row],[Step]] &gt; current_step, "",Iterations[[#This Row],[e]]))</f>
        <v/>
      </c>
      <c r="L1532" s="2" t="str">
        <f>IF(Iterations[[#This Row],[Step]] =current_step, current_Total_Loss,IF(Iterations[[#This Row],[Step]] &gt; current_step, "",Iterations[[#This Row],[Total Loss]]))</f>
        <v/>
      </c>
      <c r="M1532" s="6" t="s">
        <v>27</v>
      </c>
      <c r="N1532" s="2" t="str">
        <f>IF(Iterations[[#This Row],[Step]] =current_step, current_Grad_a,IF(Iterations[[#This Row],[Step]] &gt; current_step, "",Iterations[[#This Row],[Grad_a]]))</f>
        <v/>
      </c>
      <c r="O1532" s="2" t="str">
        <f>IF(Iterations[[#This Row],[Step]] =current_step, current_Grad_b,IF(Iterations[[#This Row],[Step]] &gt; current_step, "",Iterations[[#This Row],[Grad_b]]))</f>
        <v/>
      </c>
      <c r="P1532" s="2" t="str">
        <f>IF(Iterations[[#This Row],[Step]] =current_step, current_Grad_c,IF(Iterations[[#This Row],[Step]] &gt; current_step, "",Iterations[[#This Row],[Grad_c]]))</f>
        <v/>
      </c>
      <c r="Q1532" s="2" t="str">
        <f>IF(Iterations[[#This Row],[Step]] =current_step, current_Grad_d,IF(Iterations[[#This Row],[Step]] &gt; current_step, "",Iterations[[#This Row],[Grad_d]]))</f>
        <v/>
      </c>
      <c r="R1532" s="2" t="str">
        <f>IF(Iterations[[#This Row],[Step]] =current_step, current_Grad_e,IF(Iterations[[#This Row],[Step]] &gt; current_step, "",Iterations[[#This Row],[Grad_e]]))</f>
        <v/>
      </c>
    </row>
    <row r="1533" spans="6:18" x14ac:dyDescent="0.3">
      <c r="F1533" s="2">
        <f t="shared" si="29"/>
        <v>1516</v>
      </c>
      <c r="G1533" s="2" t="str">
        <f>IF(Iterations[[#This Row],[Step]] =current_step, current_a,IF(Iterations[[#This Row],[Step]] &gt; current_step, "",Iterations[[#This Row],[a]]))</f>
        <v/>
      </c>
      <c r="H1533" s="2" t="str">
        <f>IF(Iterations[[#This Row],[Step]] =current_step, current_b,IF(Iterations[[#This Row],[Step]] &gt; current_step, "",Iterations[[#This Row],[b]]))</f>
        <v/>
      </c>
      <c r="I1533" s="2" t="str">
        <f>IF(Iterations[[#This Row],[Step]] =current_step, current_c,IF(Iterations[[#This Row],[Step]] &gt; current_step, "",Iterations[[#This Row],[c]]))</f>
        <v/>
      </c>
      <c r="J1533" s="2" t="str">
        <f>IF(Iterations[[#This Row],[Step]] =current_step, current_d,IF(Iterations[[#This Row],[Step]] &gt; current_step, "",Iterations[[#This Row],[d]]))</f>
        <v/>
      </c>
      <c r="K1533" s="2" t="str">
        <f>IF(Iterations[[#This Row],[Step]] =current_step, current_e,IF(Iterations[[#This Row],[Step]] &gt; current_step, "",Iterations[[#This Row],[e]]))</f>
        <v/>
      </c>
      <c r="L1533" s="2" t="str">
        <f>IF(Iterations[[#This Row],[Step]] =current_step, current_Total_Loss,IF(Iterations[[#This Row],[Step]] &gt; current_step, "",Iterations[[#This Row],[Total Loss]]))</f>
        <v/>
      </c>
      <c r="M1533" s="6" t="s">
        <v>27</v>
      </c>
      <c r="N1533" s="2" t="str">
        <f>IF(Iterations[[#This Row],[Step]] =current_step, current_Grad_a,IF(Iterations[[#This Row],[Step]] &gt; current_step, "",Iterations[[#This Row],[Grad_a]]))</f>
        <v/>
      </c>
      <c r="O1533" s="2" t="str">
        <f>IF(Iterations[[#This Row],[Step]] =current_step, current_Grad_b,IF(Iterations[[#This Row],[Step]] &gt; current_step, "",Iterations[[#This Row],[Grad_b]]))</f>
        <v/>
      </c>
      <c r="P1533" s="2" t="str">
        <f>IF(Iterations[[#This Row],[Step]] =current_step, current_Grad_c,IF(Iterations[[#This Row],[Step]] &gt; current_step, "",Iterations[[#This Row],[Grad_c]]))</f>
        <v/>
      </c>
      <c r="Q1533" s="2" t="str">
        <f>IF(Iterations[[#This Row],[Step]] =current_step, current_Grad_d,IF(Iterations[[#This Row],[Step]] &gt; current_step, "",Iterations[[#This Row],[Grad_d]]))</f>
        <v/>
      </c>
      <c r="R1533" s="2" t="str">
        <f>IF(Iterations[[#This Row],[Step]] =current_step, current_Grad_e,IF(Iterations[[#This Row],[Step]] &gt; current_step, "",Iterations[[#This Row],[Grad_e]]))</f>
        <v/>
      </c>
    </row>
    <row r="1534" spans="6:18" x14ac:dyDescent="0.3">
      <c r="F1534" s="2">
        <f t="shared" si="29"/>
        <v>1517</v>
      </c>
      <c r="G1534" s="2" t="str">
        <f>IF(Iterations[[#This Row],[Step]] =current_step, current_a,IF(Iterations[[#This Row],[Step]] &gt; current_step, "",Iterations[[#This Row],[a]]))</f>
        <v/>
      </c>
      <c r="H1534" s="2" t="str">
        <f>IF(Iterations[[#This Row],[Step]] =current_step, current_b,IF(Iterations[[#This Row],[Step]] &gt; current_step, "",Iterations[[#This Row],[b]]))</f>
        <v/>
      </c>
      <c r="I1534" s="2" t="str">
        <f>IF(Iterations[[#This Row],[Step]] =current_step, current_c,IF(Iterations[[#This Row],[Step]] &gt; current_step, "",Iterations[[#This Row],[c]]))</f>
        <v/>
      </c>
      <c r="J1534" s="2" t="str">
        <f>IF(Iterations[[#This Row],[Step]] =current_step, current_d,IF(Iterations[[#This Row],[Step]] &gt; current_step, "",Iterations[[#This Row],[d]]))</f>
        <v/>
      </c>
      <c r="K1534" s="2" t="str">
        <f>IF(Iterations[[#This Row],[Step]] =current_step, current_e,IF(Iterations[[#This Row],[Step]] &gt; current_step, "",Iterations[[#This Row],[e]]))</f>
        <v/>
      </c>
      <c r="L1534" s="2" t="str">
        <f>IF(Iterations[[#This Row],[Step]] =current_step, current_Total_Loss,IF(Iterations[[#This Row],[Step]] &gt; current_step, "",Iterations[[#This Row],[Total Loss]]))</f>
        <v/>
      </c>
      <c r="M1534" s="6" t="s">
        <v>27</v>
      </c>
      <c r="N1534" s="2" t="str">
        <f>IF(Iterations[[#This Row],[Step]] =current_step, current_Grad_a,IF(Iterations[[#This Row],[Step]] &gt; current_step, "",Iterations[[#This Row],[Grad_a]]))</f>
        <v/>
      </c>
      <c r="O1534" s="2" t="str">
        <f>IF(Iterations[[#This Row],[Step]] =current_step, current_Grad_b,IF(Iterations[[#This Row],[Step]] &gt; current_step, "",Iterations[[#This Row],[Grad_b]]))</f>
        <v/>
      </c>
      <c r="P1534" s="2" t="str">
        <f>IF(Iterations[[#This Row],[Step]] =current_step, current_Grad_c,IF(Iterations[[#This Row],[Step]] &gt; current_step, "",Iterations[[#This Row],[Grad_c]]))</f>
        <v/>
      </c>
      <c r="Q1534" s="2" t="str">
        <f>IF(Iterations[[#This Row],[Step]] =current_step, current_Grad_d,IF(Iterations[[#This Row],[Step]] &gt; current_step, "",Iterations[[#This Row],[Grad_d]]))</f>
        <v/>
      </c>
      <c r="R1534" s="2" t="str">
        <f>IF(Iterations[[#This Row],[Step]] =current_step, current_Grad_e,IF(Iterations[[#This Row],[Step]] &gt; current_step, "",Iterations[[#This Row],[Grad_e]]))</f>
        <v/>
      </c>
    </row>
    <row r="1535" spans="6:18" x14ac:dyDescent="0.3">
      <c r="F1535" s="2">
        <f t="shared" si="29"/>
        <v>1518</v>
      </c>
      <c r="G1535" s="2" t="str">
        <f>IF(Iterations[[#This Row],[Step]] =current_step, current_a,IF(Iterations[[#This Row],[Step]] &gt; current_step, "",Iterations[[#This Row],[a]]))</f>
        <v/>
      </c>
      <c r="H1535" s="2" t="str">
        <f>IF(Iterations[[#This Row],[Step]] =current_step, current_b,IF(Iterations[[#This Row],[Step]] &gt; current_step, "",Iterations[[#This Row],[b]]))</f>
        <v/>
      </c>
      <c r="I1535" s="2" t="str">
        <f>IF(Iterations[[#This Row],[Step]] =current_step, current_c,IF(Iterations[[#This Row],[Step]] &gt; current_step, "",Iterations[[#This Row],[c]]))</f>
        <v/>
      </c>
      <c r="J1535" s="2" t="str">
        <f>IF(Iterations[[#This Row],[Step]] =current_step, current_d,IF(Iterations[[#This Row],[Step]] &gt; current_step, "",Iterations[[#This Row],[d]]))</f>
        <v/>
      </c>
      <c r="K1535" s="2" t="str">
        <f>IF(Iterations[[#This Row],[Step]] =current_step, current_e,IF(Iterations[[#This Row],[Step]] &gt; current_step, "",Iterations[[#This Row],[e]]))</f>
        <v/>
      </c>
      <c r="L1535" s="2" t="str">
        <f>IF(Iterations[[#This Row],[Step]] =current_step, current_Total_Loss,IF(Iterations[[#This Row],[Step]] &gt; current_step, "",Iterations[[#This Row],[Total Loss]]))</f>
        <v/>
      </c>
      <c r="M1535" s="6" t="s">
        <v>27</v>
      </c>
      <c r="N1535" s="2" t="str">
        <f>IF(Iterations[[#This Row],[Step]] =current_step, current_Grad_a,IF(Iterations[[#This Row],[Step]] &gt; current_step, "",Iterations[[#This Row],[Grad_a]]))</f>
        <v/>
      </c>
      <c r="O1535" s="2" t="str">
        <f>IF(Iterations[[#This Row],[Step]] =current_step, current_Grad_b,IF(Iterations[[#This Row],[Step]] &gt; current_step, "",Iterations[[#This Row],[Grad_b]]))</f>
        <v/>
      </c>
      <c r="P1535" s="2" t="str">
        <f>IF(Iterations[[#This Row],[Step]] =current_step, current_Grad_c,IF(Iterations[[#This Row],[Step]] &gt; current_step, "",Iterations[[#This Row],[Grad_c]]))</f>
        <v/>
      </c>
      <c r="Q1535" s="2" t="str">
        <f>IF(Iterations[[#This Row],[Step]] =current_step, current_Grad_d,IF(Iterations[[#This Row],[Step]] &gt; current_step, "",Iterations[[#This Row],[Grad_d]]))</f>
        <v/>
      </c>
      <c r="R1535" s="2" t="str">
        <f>IF(Iterations[[#This Row],[Step]] =current_step, current_Grad_e,IF(Iterations[[#This Row],[Step]] &gt; current_step, "",Iterations[[#This Row],[Grad_e]]))</f>
        <v/>
      </c>
    </row>
    <row r="1536" spans="6:18" x14ac:dyDescent="0.3">
      <c r="F1536" s="2">
        <f t="shared" si="29"/>
        <v>1519</v>
      </c>
      <c r="G1536" s="2" t="str">
        <f>IF(Iterations[[#This Row],[Step]] =current_step, current_a,IF(Iterations[[#This Row],[Step]] &gt; current_step, "",Iterations[[#This Row],[a]]))</f>
        <v/>
      </c>
      <c r="H1536" s="2" t="str">
        <f>IF(Iterations[[#This Row],[Step]] =current_step, current_b,IF(Iterations[[#This Row],[Step]] &gt; current_step, "",Iterations[[#This Row],[b]]))</f>
        <v/>
      </c>
      <c r="I1536" s="2" t="str">
        <f>IF(Iterations[[#This Row],[Step]] =current_step, current_c,IF(Iterations[[#This Row],[Step]] &gt; current_step, "",Iterations[[#This Row],[c]]))</f>
        <v/>
      </c>
      <c r="J1536" s="2" t="str">
        <f>IF(Iterations[[#This Row],[Step]] =current_step, current_d,IF(Iterations[[#This Row],[Step]] &gt; current_step, "",Iterations[[#This Row],[d]]))</f>
        <v/>
      </c>
      <c r="K1536" s="2" t="str">
        <f>IF(Iterations[[#This Row],[Step]] =current_step, current_e,IF(Iterations[[#This Row],[Step]] &gt; current_step, "",Iterations[[#This Row],[e]]))</f>
        <v/>
      </c>
      <c r="L1536" s="2" t="str">
        <f>IF(Iterations[[#This Row],[Step]] =current_step, current_Total_Loss,IF(Iterations[[#This Row],[Step]] &gt; current_step, "",Iterations[[#This Row],[Total Loss]]))</f>
        <v/>
      </c>
      <c r="M1536" s="6" t="s">
        <v>27</v>
      </c>
      <c r="N1536" s="2" t="str">
        <f>IF(Iterations[[#This Row],[Step]] =current_step, current_Grad_a,IF(Iterations[[#This Row],[Step]] &gt; current_step, "",Iterations[[#This Row],[Grad_a]]))</f>
        <v/>
      </c>
      <c r="O1536" s="2" t="str">
        <f>IF(Iterations[[#This Row],[Step]] =current_step, current_Grad_b,IF(Iterations[[#This Row],[Step]] &gt; current_step, "",Iterations[[#This Row],[Grad_b]]))</f>
        <v/>
      </c>
      <c r="P1536" s="2" t="str">
        <f>IF(Iterations[[#This Row],[Step]] =current_step, current_Grad_c,IF(Iterations[[#This Row],[Step]] &gt; current_step, "",Iterations[[#This Row],[Grad_c]]))</f>
        <v/>
      </c>
      <c r="Q1536" s="2" t="str">
        <f>IF(Iterations[[#This Row],[Step]] =current_step, current_Grad_d,IF(Iterations[[#This Row],[Step]] &gt; current_step, "",Iterations[[#This Row],[Grad_d]]))</f>
        <v/>
      </c>
      <c r="R1536" s="2" t="str">
        <f>IF(Iterations[[#This Row],[Step]] =current_step, current_Grad_e,IF(Iterations[[#This Row],[Step]] &gt; current_step, "",Iterations[[#This Row],[Grad_e]]))</f>
        <v/>
      </c>
    </row>
    <row r="1537" spans="6:18" x14ac:dyDescent="0.3">
      <c r="F1537" s="2">
        <f t="shared" si="29"/>
        <v>1520</v>
      </c>
      <c r="G1537" s="2" t="str">
        <f>IF(Iterations[[#This Row],[Step]] =current_step, current_a,IF(Iterations[[#This Row],[Step]] &gt; current_step, "",Iterations[[#This Row],[a]]))</f>
        <v/>
      </c>
      <c r="H1537" s="2" t="str">
        <f>IF(Iterations[[#This Row],[Step]] =current_step, current_b,IF(Iterations[[#This Row],[Step]] &gt; current_step, "",Iterations[[#This Row],[b]]))</f>
        <v/>
      </c>
      <c r="I1537" s="2" t="str">
        <f>IF(Iterations[[#This Row],[Step]] =current_step, current_c,IF(Iterations[[#This Row],[Step]] &gt; current_step, "",Iterations[[#This Row],[c]]))</f>
        <v/>
      </c>
      <c r="J1537" s="2" t="str">
        <f>IF(Iterations[[#This Row],[Step]] =current_step, current_d,IF(Iterations[[#This Row],[Step]] &gt; current_step, "",Iterations[[#This Row],[d]]))</f>
        <v/>
      </c>
      <c r="K1537" s="2" t="str">
        <f>IF(Iterations[[#This Row],[Step]] =current_step, current_e,IF(Iterations[[#This Row],[Step]] &gt; current_step, "",Iterations[[#This Row],[e]]))</f>
        <v/>
      </c>
      <c r="L1537" s="2" t="str">
        <f>IF(Iterations[[#This Row],[Step]] =current_step, current_Total_Loss,IF(Iterations[[#This Row],[Step]] &gt; current_step, "",Iterations[[#This Row],[Total Loss]]))</f>
        <v/>
      </c>
      <c r="M1537" s="6" t="s">
        <v>27</v>
      </c>
      <c r="N1537" s="2" t="str">
        <f>IF(Iterations[[#This Row],[Step]] =current_step, current_Grad_a,IF(Iterations[[#This Row],[Step]] &gt; current_step, "",Iterations[[#This Row],[Grad_a]]))</f>
        <v/>
      </c>
      <c r="O1537" s="2" t="str">
        <f>IF(Iterations[[#This Row],[Step]] =current_step, current_Grad_b,IF(Iterations[[#This Row],[Step]] &gt; current_step, "",Iterations[[#This Row],[Grad_b]]))</f>
        <v/>
      </c>
      <c r="P1537" s="2" t="str">
        <f>IF(Iterations[[#This Row],[Step]] =current_step, current_Grad_c,IF(Iterations[[#This Row],[Step]] &gt; current_step, "",Iterations[[#This Row],[Grad_c]]))</f>
        <v/>
      </c>
      <c r="Q1537" s="2" t="str">
        <f>IF(Iterations[[#This Row],[Step]] =current_step, current_Grad_d,IF(Iterations[[#This Row],[Step]] &gt; current_step, "",Iterations[[#This Row],[Grad_d]]))</f>
        <v/>
      </c>
      <c r="R1537" s="2" t="str">
        <f>IF(Iterations[[#This Row],[Step]] =current_step, current_Grad_e,IF(Iterations[[#This Row],[Step]] &gt; current_step, "",Iterations[[#This Row],[Grad_e]]))</f>
        <v/>
      </c>
    </row>
    <row r="1538" spans="6:18" x14ac:dyDescent="0.3">
      <c r="F1538" s="2">
        <f t="shared" si="29"/>
        <v>1521</v>
      </c>
      <c r="G1538" s="2" t="str">
        <f>IF(Iterations[[#This Row],[Step]] =current_step, current_a,IF(Iterations[[#This Row],[Step]] &gt; current_step, "",Iterations[[#This Row],[a]]))</f>
        <v/>
      </c>
      <c r="H1538" s="2" t="str">
        <f>IF(Iterations[[#This Row],[Step]] =current_step, current_b,IF(Iterations[[#This Row],[Step]] &gt; current_step, "",Iterations[[#This Row],[b]]))</f>
        <v/>
      </c>
      <c r="I1538" s="2" t="str">
        <f>IF(Iterations[[#This Row],[Step]] =current_step, current_c,IF(Iterations[[#This Row],[Step]] &gt; current_step, "",Iterations[[#This Row],[c]]))</f>
        <v/>
      </c>
      <c r="J1538" s="2" t="str">
        <f>IF(Iterations[[#This Row],[Step]] =current_step, current_d,IF(Iterations[[#This Row],[Step]] &gt; current_step, "",Iterations[[#This Row],[d]]))</f>
        <v/>
      </c>
      <c r="K1538" s="2" t="str">
        <f>IF(Iterations[[#This Row],[Step]] =current_step, current_e,IF(Iterations[[#This Row],[Step]] &gt; current_step, "",Iterations[[#This Row],[e]]))</f>
        <v/>
      </c>
      <c r="L1538" s="2" t="str">
        <f>IF(Iterations[[#This Row],[Step]] =current_step, current_Total_Loss,IF(Iterations[[#This Row],[Step]] &gt; current_step, "",Iterations[[#This Row],[Total Loss]]))</f>
        <v/>
      </c>
      <c r="M1538" s="6" t="s">
        <v>27</v>
      </c>
      <c r="N1538" s="2" t="str">
        <f>IF(Iterations[[#This Row],[Step]] =current_step, current_Grad_a,IF(Iterations[[#This Row],[Step]] &gt; current_step, "",Iterations[[#This Row],[Grad_a]]))</f>
        <v/>
      </c>
      <c r="O1538" s="2" t="str">
        <f>IF(Iterations[[#This Row],[Step]] =current_step, current_Grad_b,IF(Iterations[[#This Row],[Step]] &gt; current_step, "",Iterations[[#This Row],[Grad_b]]))</f>
        <v/>
      </c>
      <c r="P1538" s="2" t="str">
        <f>IF(Iterations[[#This Row],[Step]] =current_step, current_Grad_c,IF(Iterations[[#This Row],[Step]] &gt; current_step, "",Iterations[[#This Row],[Grad_c]]))</f>
        <v/>
      </c>
      <c r="Q1538" s="2" t="str">
        <f>IF(Iterations[[#This Row],[Step]] =current_step, current_Grad_d,IF(Iterations[[#This Row],[Step]] &gt; current_step, "",Iterations[[#This Row],[Grad_d]]))</f>
        <v/>
      </c>
      <c r="R1538" s="2" t="str">
        <f>IF(Iterations[[#This Row],[Step]] =current_step, current_Grad_e,IF(Iterations[[#This Row],[Step]] &gt; current_step, "",Iterations[[#This Row],[Grad_e]]))</f>
        <v/>
      </c>
    </row>
    <row r="1539" spans="6:18" x14ac:dyDescent="0.3">
      <c r="F1539" s="2">
        <f t="shared" si="29"/>
        <v>1522</v>
      </c>
      <c r="G1539" s="2" t="str">
        <f>IF(Iterations[[#This Row],[Step]] =current_step, current_a,IF(Iterations[[#This Row],[Step]] &gt; current_step, "",Iterations[[#This Row],[a]]))</f>
        <v/>
      </c>
      <c r="H1539" s="2" t="str">
        <f>IF(Iterations[[#This Row],[Step]] =current_step, current_b,IF(Iterations[[#This Row],[Step]] &gt; current_step, "",Iterations[[#This Row],[b]]))</f>
        <v/>
      </c>
      <c r="I1539" s="2" t="str">
        <f>IF(Iterations[[#This Row],[Step]] =current_step, current_c,IF(Iterations[[#This Row],[Step]] &gt; current_step, "",Iterations[[#This Row],[c]]))</f>
        <v/>
      </c>
      <c r="J1539" s="2" t="str">
        <f>IF(Iterations[[#This Row],[Step]] =current_step, current_d,IF(Iterations[[#This Row],[Step]] &gt; current_step, "",Iterations[[#This Row],[d]]))</f>
        <v/>
      </c>
      <c r="K1539" s="2" t="str">
        <f>IF(Iterations[[#This Row],[Step]] =current_step, current_e,IF(Iterations[[#This Row],[Step]] &gt; current_step, "",Iterations[[#This Row],[e]]))</f>
        <v/>
      </c>
      <c r="L1539" s="2" t="str">
        <f>IF(Iterations[[#This Row],[Step]] =current_step, current_Total_Loss,IF(Iterations[[#This Row],[Step]] &gt; current_step, "",Iterations[[#This Row],[Total Loss]]))</f>
        <v/>
      </c>
      <c r="M1539" s="6" t="s">
        <v>27</v>
      </c>
      <c r="N1539" s="2" t="str">
        <f>IF(Iterations[[#This Row],[Step]] =current_step, current_Grad_a,IF(Iterations[[#This Row],[Step]] &gt; current_step, "",Iterations[[#This Row],[Grad_a]]))</f>
        <v/>
      </c>
      <c r="O1539" s="2" t="str">
        <f>IF(Iterations[[#This Row],[Step]] =current_step, current_Grad_b,IF(Iterations[[#This Row],[Step]] &gt; current_step, "",Iterations[[#This Row],[Grad_b]]))</f>
        <v/>
      </c>
      <c r="P1539" s="2" t="str">
        <f>IF(Iterations[[#This Row],[Step]] =current_step, current_Grad_c,IF(Iterations[[#This Row],[Step]] &gt; current_step, "",Iterations[[#This Row],[Grad_c]]))</f>
        <v/>
      </c>
      <c r="Q1539" s="2" t="str">
        <f>IF(Iterations[[#This Row],[Step]] =current_step, current_Grad_d,IF(Iterations[[#This Row],[Step]] &gt; current_step, "",Iterations[[#This Row],[Grad_d]]))</f>
        <v/>
      </c>
      <c r="R1539" s="2" t="str">
        <f>IF(Iterations[[#This Row],[Step]] =current_step, current_Grad_e,IF(Iterations[[#This Row],[Step]] &gt; current_step, "",Iterations[[#This Row],[Grad_e]]))</f>
        <v/>
      </c>
    </row>
    <row r="1540" spans="6:18" x14ac:dyDescent="0.3">
      <c r="F1540" s="2">
        <f t="shared" si="29"/>
        <v>1523</v>
      </c>
      <c r="G1540" s="2" t="str">
        <f>IF(Iterations[[#This Row],[Step]] =current_step, current_a,IF(Iterations[[#This Row],[Step]] &gt; current_step, "",Iterations[[#This Row],[a]]))</f>
        <v/>
      </c>
      <c r="H1540" s="2" t="str">
        <f>IF(Iterations[[#This Row],[Step]] =current_step, current_b,IF(Iterations[[#This Row],[Step]] &gt; current_step, "",Iterations[[#This Row],[b]]))</f>
        <v/>
      </c>
      <c r="I1540" s="2" t="str">
        <f>IF(Iterations[[#This Row],[Step]] =current_step, current_c,IF(Iterations[[#This Row],[Step]] &gt; current_step, "",Iterations[[#This Row],[c]]))</f>
        <v/>
      </c>
      <c r="J1540" s="2" t="str">
        <f>IF(Iterations[[#This Row],[Step]] =current_step, current_d,IF(Iterations[[#This Row],[Step]] &gt; current_step, "",Iterations[[#This Row],[d]]))</f>
        <v/>
      </c>
      <c r="K1540" s="2" t="str">
        <f>IF(Iterations[[#This Row],[Step]] =current_step, current_e,IF(Iterations[[#This Row],[Step]] &gt; current_step, "",Iterations[[#This Row],[e]]))</f>
        <v/>
      </c>
      <c r="L1540" s="2" t="str">
        <f>IF(Iterations[[#This Row],[Step]] =current_step, current_Total_Loss,IF(Iterations[[#This Row],[Step]] &gt; current_step, "",Iterations[[#This Row],[Total Loss]]))</f>
        <v/>
      </c>
      <c r="M1540" s="6" t="s">
        <v>27</v>
      </c>
      <c r="N1540" s="2" t="str">
        <f>IF(Iterations[[#This Row],[Step]] =current_step, current_Grad_a,IF(Iterations[[#This Row],[Step]] &gt; current_step, "",Iterations[[#This Row],[Grad_a]]))</f>
        <v/>
      </c>
      <c r="O1540" s="2" t="str">
        <f>IF(Iterations[[#This Row],[Step]] =current_step, current_Grad_b,IF(Iterations[[#This Row],[Step]] &gt; current_step, "",Iterations[[#This Row],[Grad_b]]))</f>
        <v/>
      </c>
      <c r="P1540" s="2" t="str">
        <f>IF(Iterations[[#This Row],[Step]] =current_step, current_Grad_c,IF(Iterations[[#This Row],[Step]] &gt; current_step, "",Iterations[[#This Row],[Grad_c]]))</f>
        <v/>
      </c>
      <c r="Q1540" s="2" t="str">
        <f>IF(Iterations[[#This Row],[Step]] =current_step, current_Grad_d,IF(Iterations[[#This Row],[Step]] &gt; current_step, "",Iterations[[#This Row],[Grad_d]]))</f>
        <v/>
      </c>
      <c r="R1540" s="2" t="str">
        <f>IF(Iterations[[#This Row],[Step]] =current_step, current_Grad_e,IF(Iterations[[#This Row],[Step]] &gt; current_step, "",Iterations[[#This Row],[Grad_e]]))</f>
        <v/>
      </c>
    </row>
    <row r="1541" spans="6:18" x14ac:dyDescent="0.3">
      <c r="F1541" s="2">
        <f t="shared" si="29"/>
        <v>1524</v>
      </c>
      <c r="G1541" s="2" t="str">
        <f>IF(Iterations[[#This Row],[Step]] =current_step, current_a,IF(Iterations[[#This Row],[Step]] &gt; current_step, "",Iterations[[#This Row],[a]]))</f>
        <v/>
      </c>
      <c r="H1541" s="2" t="str">
        <f>IF(Iterations[[#This Row],[Step]] =current_step, current_b,IF(Iterations[[#This Row],[Step]] &gt; current_step, "",Iterations[[#This Row],[b]]))</f>
        <v/>
      </c>
      <c r="I1541" s="2" t="str">
        <f>IF(Iterations[[#This Row],[Step]] =current_step, current_c,IF(Iterations[[#This Row],[Step]] &gt; current_step, "",Iterations[[#This Row],[c]]))</f>
        <v/>
      </c>
      <c r="J1541" s="2" t="str">
        <f>IF(Iterations[[#This Row],[Step]] =current_step, current_d,IF(Iterations[[#This Row],[Step]] &gt; current_step, "",Iterations[[#This Row],[d]]))</f>
        <v/>
      </c>
      <c r="K1541" s="2" t="str">
        <f>IF(Iterations[[#This Row],[Step]] =current_step, current_e,IF(Iterations[[#This Row],[Step]] &gt; current_step, "",Iterations[[#This Row],[e]]))</f>
        <v/>
      </c>
      <c r="L1541" s="2" t="str">
        <f>IF(Iterations[[#This Row],[Step]] =current_step, current_Total_Loss,IF(Iterations[[#This Row],[Step]] &gt; current_step, "",Iterations[[#This Row],[Total Loss]]))</f>
        <v/>
      </c>
      <c r="M1541" s="6" t="s">
        <v>27</v>
      </c>
      <c r="N1541" s="2" t="str">
        <f>IF(Iterations[[#This Row],[Step]] =current_step, current_Grad_a,IF(Iterations[[#This Row],[Step]] &gt; current_step, "",Iterations[[#This Row],[Grad_a]]))</f>
        <v/>
      </c>
      <c r="O1541" s="2" t="str">
        <f>IF(Iterations[[#This Row],[Step]] =current_step, current_Grad_b,IF(Iterations[[#This Row],[Step]] &gt; current_step, "",Iterations[[#This Row],[Grad_b]]))</f>
        <v/>
      </c>
      <c r="P1541" s="2" t="str">
        <f>IF(Iterations[[#This Row],[Step]] =current_step, current_Grad_c,IF(Iterations[[#This Row],[Step]] &gt; current_step, "",Iterations[[#This Row],[Grad_c]]))</f>
        <v/>
      </c>
      <c r="Q1541" s="2" t="str">
        <f>IF(Iterations[[#This Row],[Step]] =current_step, current_Grad_d,IF(Iterations[[#This Row],[Step]] &gt; current_step, "",Iterations[[#This Row],[Grad_d]]))</f>
        <v/>
      </c>
      <c r="R1541" s="2" t="str">
        <f>IF(Iterations[[#This Row],[Step]] =current_step, current_Grad_e,IF(Iterations[[#This Row],[Step]] &gt; current_step, "",Iterations[[#This Row],[Grad_e]]))</f>
        <v/>
      </c>
    </row>
    <row r="1542" spans="6:18" x14ac:dyDescent="0.3">
      <c r="F1542" s="2">
        <f t="shared" si="29"/>
        <v>1525</v>
      </c>
      <c r="G1542" s="2" t="str">
        <f>IF(Iterations[[#This Row],[Step]] =current_step, current_a,IF(Iterations[[#This Row],[Step]] &gt; current_step, "",Iterations[[#This Row],[a]]))</f>
        <v/>
      </c>
      <c r="H1542" s="2" t="str">
        <f>IF(Iterations[[#This Row],[Step]] =current_step, current_b,IF(Iterations[[#This Row],[Step]] &gt; current_step, "",Iterations[[#This Row],[b]]))</f>
        <v/>
      </c>
      <c r="I1542" s="2" t="str">
        <f>IF(Iterations[[#This Row],[Step]] =current_step, current_c,IF(Iterations[[#This Row],[Step]] &gt; current_step, "",Iterations[[#This Row],[c]]))</f>
        <v/>
      </c>
      <c r="J1542" s="2" t="str">
        <f>IF(Iterations[[#This Row],[Step]] =current_step, current_d,IF(Iterations[[#This Row],[Step]] &gt; current_step, "",Iterations[[#This Row],[d]]))</f>
        <v/>
      </c>
      <c r="K1542" s="2" t="str">
        <f>IF(Iterations[[#This Row],[Step]] =current_step, current_e,IF(Iterations[[#This Row],[Step]] &gt; current_step, "",Iterations[[#This Row],[e]]))</f>
        <v/>
      </c>
      <c r="L1542" s="2" t="str">
        <f>IF(Iterations[[#This Row],[Step]] =current_step, current_Total_Loss,IF(Iterations[[#This Row],[Step]] &gt; current_step, "",Iterations[[#This Row],[Total Loss]]))</f>
        <v/>
      </c>
      <c r="M1542" s="6" t="s">
        <v>27</v>
      </c>
      <c r="N1542" s="2" t="str">
        <f>IF(Iterations[[#This Row],[Step]] =current_step, current_Grad_a,IF(Iterations[[#This Row],[Step]] &gt; current_step, "",Iterations[[#This Row],[Grad_a]]))</f>
        <v/>
      </c>
      <c r="O1542" s="2" t="str">
        <f>IF(Iterations[[#This Row],[Step]] =current_step, current_Grad_b,IF(Iterations[[#This Row],[Step]] &gt; current_step, "",Iterations[[#This Row],[Grad_b]]))</f>
        <v/>
      </c>
      <c r="P1542" s="2" t="str">
        <f>IF(Iterations[[#This Row],[Step]] =current_step, current_Grad_c,IF(Iterations[[#This Row],[Step]] &gt; current_step, "",Iterations[[#This Row],[Grad_c]]))</f>
        <v/>
      </c>
      <c r="Q1542" s="2" t="str">
        <f>IF(Iterations[[#This Row],[Step]] =current_step, current_Grad_d,IF(Iterations[[#This Row],[Step]] &gt; current_step, "",Iterations[[#This Row],[Grad_d]]))</f>
        <v/>
      </c>
      <c r="R1542" s="2" t="str">
        <f>IF(Iterations[[#This Row],[Step]] =current_step, current_Grad_e,IF(Iterations[[#This Row],[Step]] &gt; current_step, "",Iterations[[#This Row],[Grad_e]]))</f>
        <v/>
      </c>
    </row>
    <row r="1543" spans="6:18" x14ac:dyDescent="0.3">
      <c r="F1543" s="2">
        <f t="shared" si="29"/>
        <v>1526</v>
      </c>
      <c r="G1543" s="2" t="str">
        <f>IF(Iterations[[#This Row],[Step]] =current_step, current_a,IF(Iterations[[#This Row],[Step]] &gt; current_step, "",Iterations[[#This Row],[a]]))</f>
        <v/>
      </c>
      <c r="H1543" s="2" t="str">
        <f>IF(Iterations[[#This Row],[Step]] =current_step, current_b,IF(Iterations[[#This Row],[Step]] &gt; current_step, "",Iterations[[#This Row],[b]]))</f>
        <v/>
      </c>
      <c r="I1543" s="2" t="str">
        <f>IF(Iterations[[#This Row],[Step]] =current_step, current_c,IF(Iterations[[#This Row],[Step]] &gt; current_step, "",Iterations[[#This Row],[c]]))</f>
        <v/>
      </c>
      <c r="J1543" s="2" t="str">
        <f>IF(Iterations[[#This Row],[Step]] =current_step, current_d,IF(Iterations[[#This Row],[Step]] &gt; current_step, "",Iterations[[#This Row],[d]]))</f>
        <v/>
      </c>
      <c r="K1543" s="2" t="str">
        <f>IF(Iterations[[#This Row],[Step]] =current_step, current_e,IF(Iterations[[#This Row],[Step]] &gt; current_step, "",Iterations[[#This Row],[e]]))</f>
        <v/>
      </c>
      <c r="L1543" s="2" t="str">
        <f>IF(Iterations[[#This Row],[Step]] =current_step, current_Total_Loss,IF(Iterations[[#This Row],[Step]] &gt; current_step, "",Iterations[[#This Row],[Total Loss]]))</f>
        <v/>
      </c>
      <c r="M1543" s="6" t="s">
        <v>27</v>
      </c>
      <c r="N1543" s="2" t="str">
        <f>IF(Iterations[[#This Row],[Step]] =current_step, current_Grad_a,IF(Iterations[[#This Row],[Step]] &gt; current_step, "",Iterations[[#This Row],[Grad_a]]))</f>
        <v/>
      </c>
      <c r="O1543" s="2" t="str">
        <f>IF(Iterations[[#This Row],[Step]] =current_step, current_Grad_b,IF(Iterations[[#This Row],[Step]] &gt; current_step, "",Iterations[[#This Row],[Grad_b]]))</f>
        <v/>
      </c>
      <c r="P1543" s="2" t="str">
        <f>IF(Iterations[[#This Row],[Step]] =current_step, current_Grad_c,IF(Iterations[[#This Row],[Step]] &gt; current_step, "",Iterations[[#This Row],[Grad_c]]))</f>
        <v/>
      </c>
      <c r="Q1543" s="2" t="str">
        <f>IF(Iterations[[#This Row],[Step]] =current_step, current_Grad_d,IF(Iterations[[#This Row],[Step]] &gt; current_step, "",Iterations[[#This Row],[Grad_d]]))</f>
        <v/>
      </c>
      <c r="R1543" s="2" t="str">
        <f>IF(Iterations[[#This Row],[Step]] =current_step, current_Grad_e,IF(Iterations[[#This Row],[Step]] &gt; current_step, "",Iterations[[#This Row],[Grad_e]]))</f>
        <v/>
      </c>
    </row>
    <row r="1544" spans="6:18" x14ac:dyDescent="0.3">
      <c r="F1544" s="2">
        <f t="shared" si="29"/>
        <v>1527</v>
      </c>
      <c r="G1544" s="2" t="str">
        <f>IF(Iterations[[#This Row],[Step]] =current_step, current_a,IF(Iterations[[#This Row],[Step]] &gt; current_step, "",Iterations[[#This Row],[a]]))</f>
        <v/>
      </c>
      <c r="H1544" s="2" t="str">
        <f>IF(Iterations[[#This Row],[Step]] =current_step, current_b,IF(Iterations[[#This Row],[Step]] &gt; current_step, "",Iterations[[#This Row],[b]]))</f>
        <v/>
      </c>
      <c r="I1544" s="2" t="str">
        <f>IF(Iterations[[#This Row],[Step]] =current_step, current_c,IF(Iterations[[#This Row],[Step]] &gt; current_step, "",Iterations[[#This Row],[c]]))</f>
        <v/>
      </c>
      <c r="J1544" s="2" t="str">
        <f>IF(Iterations[[#This Row],[Step]] =current_step, current_d,IF(Iterations[[#This Row],[Step]] &gt; current_step, "",Iterations[[#This Row],[d]]))</f>
        <v/>
      </c>
      <c r="K1544" s="2" t="str">
        <f>IF(Iterations[[#This Row],[Step]] =current_step, current_e,IF(Iterations[[#This Row],[Step]] &gt; current_step, "",Iterations[[#This Row],[e]]))</f>
        <v/>
      </c>
      <c r="L1544" s="2" t="str">
        <f>IF(Iterations[[#This Row],[Step]] =current_step, current_Total_Loss,IF(Iterations[[#This Row],[Step]] &gt; current_step, "",Iterations[[#This Row],[Total Loss]]))</f>
        <v/>
      </c>
      <c r="M1544" s="6" t="s">
        <v>27</v>
      </c>
      <c r="N1544" s="2" t="str">
        <f>IF(Iterations[[#This Row],[Step]] =current_step, current_Grad_a,IF(Iterations[[#This Row],[Step]] &gt; current_step, "",Iterations[[#This Row],[Grad_a]]))</f>
        <v/>
      </c>
      <c r="O1544" s="2" t="str">
        <f>IF(Iterations[[#This Row],[Step]] =current_step, current_Grad_b,IF(Iterations[[#This Row],[Step]] &gt; current_step, "",Iterations[[#This Row],[Grad_b]]))</f>
        <v/>
      </c>
      <c r="P1544" s="2" t="str">
        <f>IF(Iterations[[#This Row],[Step]] =current_step, current_Grad_c,IF(Iterations[[#This Row],[Step]] &gt; current_step, "",Iterations[[#This Row],[Grad_c]]))</f>
        <v/>
      </c>
      <c r="Q1544" s="2" t="str">
        <f>IF(Iterations[[#This Row],[Step]] =current_step, current_Grad_d,IF(Iterations[[#This Row],[Step]] &gt; current_step, "",Iterations[[#This Row],[Grad_d]]))</f>
        <v/>
      </c>
      <c r="R1544" s="2" t="str">
        <f>IF(Iterations[[#This Row],[Step]] =current_step, current_Grad_e,IF(Iterations[[#This Row],[Step]] &gt; current_step, "",Iterations[[#This Row],[Grad_e]]))</f>
        <v/>
      </c>
    </row>
    <row r="1545" spans="6:18" x14ac:dyDescent="0.3">
      <c r="F1545" s="2">
        <f t="shared" si="29"/>
        <v>1528</v>
      </c>
      <c r="G1545" s="2" t="str">
        <f>IF(Iterations[[#This Row],[Step]] =current_step, current_a,IF(Iterations[[#This Row],[Step]] &gt; current_step, "",Iterations[[#This Row],[a]]))</f>
        <v/>
      </c>
      <c r="H1545" s="2" t="str">
        <f>IF(Iterations[[#This Row],[Step]] =current_step, current_b,IF(Iterations[[#This Row],[Step]] &gt; current_step, "",Iterations[[#This Row],[b]]))</f>
        <v/>
      </c>
      <c r="I1545" s="2" t="str">
        <f>IF(Iterations[[#This Row],[Step]] =current_step, current_c,IF(Iterations[[#This Row],[Step]] &gt; current_step, "",Iterations[[#This Row],[c]]))</f>
        <v/>
      </c>
      <c r="J1545" s="2" t="str">
        <f>IF(Iterations[[#This Row],[Step]] =current_step, current_d,IF(Iterations[[#This Row],[Step]] &gt; current_step, "",Iterations[[#This Row],[d]]))</f>
        <v/>
      </c>
      <c r="K1545" s="2" t="str">
        <f>IF(Iterations[[#This Row],[Step]] =current_step, current_e,IF(Iterations[[#This Row],[Step]] &gt; current_step, "",Iterations[[#This Row],[e]]))</f>
        <v/>
      </c>
      <c r="L1545" s="2" t="str">
        <f>IF(Iterations[[#This Row],[Step]] =current_step, current_Total_Loss,IF(Iterations[[#This Row],[Step]] &gt; current_step, "",Iterations[[#This Row],[Total Loss]]))</f>
        <v/>
      </c>
      <c r="M1545" s="6" t="s">
        <v>27</v>
      </c>
      <c r="N1545" s="2" t="str">
        <f>IF(Iterations[[#This Row],[Step]] =current_step, current_Grad_a,IF(Iterations[[#This Row],[Step]] &gt; current_step, "",Iterations[[#This Row],[Grad_a]]))</f>
        <v/>
      </c>
      <c r="O1545" s="2" t="str">
        <f>IF(Iterations[[#This Row],[Step]] =current_step, current_Grad_b,IF(Iterations[[#This Row],[Step]] &gt; current_step, "",Iterations[[#This Row],[Grad_b]]))</f>
        <v/>
      </c>
      <c r="P1545" s="2" t="str">
        <f>IF(Iterations[[#This Row],[Step]] =current_step, current_Grad_c,IF(Iterations[[#This Row],[Step]] &gt; current_step, "",Iterations[[#This Row],[Grad_c]]))</f>
        <v/>
      </c>
      <c r="Q1545" s="2" t="str">
        <f>IF(Iterations[[#This Row],[Step]] =current_step, current_Grad_d,IF(Iterations[[#This Row],[Step]] &gt; current_step, "",Iterations[[#This Row],[Grad_d]]))</f>
        <v/>
      </c>
      <c r="R1545" s="2" t="str">
        <f>IF(Iterations[[#This Row],[Step]] =current_step, current_Grad_e,IF(Iterations[[#This Row],[Step]] &gt; current_step, "",Iterations[[#This Row],[Grad_e]]))</f>
        <v/>
      </c>
    </row>
    <row r="1546" spans="6:18" x14ac:dyDescent="0.3">
      <c r="F1546" s="2">
        <f t="shared" si="29"/>
        <v>1529</v>
      </c>
      <c r="G1546" s="2" t="str">
        <f>IF(Iterations[[#This Row],[Step]] =current_step, current_a,IF(Iterations[[#This Row],[Step]] &gt; current_step, "",Iterations[[#This Row],[a]]))</f>
        <v/>
      </c>
      <c r="H1546" s="2" t="str">
        <f>IF(Iterations[[#This Row],[Step]] =current_step, current_b,IF(Iterations[[#This Row],[Step]] &gt; current_step, "",Iterations[[#This Row],[b]]))</f>
        <v/>
      </c>
      <c r="I1546" s="2" t="str">
        <f>IF(Iterations[[#This Row],[Step]] =current_step, current_c,IF(Iterations[[#This Row],[Step]] &gt; current_step, "",Iterations[[#This Row],[c]]))</f>
        <v/>
      </c>
      <c r="J1546" s="2" t="str">
        <f>IF(Iterations[[#This Row],[Step]] =current_step, current_d,IF(Iterations[[#This Row],[Step]] &gt; current_step, "",Iterations[[#This Row],[d]]))</f>
        <v/>
      </c>
      <c r="K1546" s="2" t="str">
        <f>IF(Iterations[[#This Row],[Step]] =current_step, current_e,IF(Iterations[[#This Row],[Step]] &gt; current_step, "",Iterations[[#This Row],[e]]))</f>
        <v/>
      </c>
      <c r="L1546" s="2" t="str">
        <f>IF(Iterations[[#This Row],[Step]] =current_step, current_Total_Loss,IF(Iterations[[#This Row],[Step]] &gt; current_step, "",Iterations[[#This Row],[Total Loss]]))</f>
        <v/>
      </c>
      <c r="M1546" s="6" t="s">
        <v>27</v>
      </c>
      <c r="N1546" s="2" t="str">
        <f>IF(Iterations[[#This Row],[Step]] =current_step, current_Grad_a,IF(Iterations[[#This Row],[Step]] &gt; current_step, "",Iterations[[#This Row],[Grad_a]]))</f>
        <v/>
      </c>
      <c r="O1546" s="2" t="str">
        <f>IF(Iterations[[#This Row],[Step]] =current_step, current_Grad_b,IF(Iterations[[#This Row],[Step]] &gt; current_step, "",Iterations[[#This Row],[Grad_b]]))</f>
        <v/>
      </c>
      <c r="P1546" s="2" t="str">
        <f>IF(Iterations[[#This Row],[Step]] =current_step, current_Grad_c,IF(Iterations[[#This Row],[Step]] &gt; current_step, "",Iterations[[#This Row],[Grad_c]]))</f>
        <v/>
      </c>
      <c r="Q1546" s="2" t="str">
        <f>IF(Iterations[[#This Row],[Step]] =current_step, current_Grad_d,IF(Iterations[[#This Row],[Step]] &gt; current_step, "",Iterations[[#This Row],[Grad_d]]))</f>
        <v/>
      </c>
      <c r="R1546" s="2" t="str">
        <f>IF(Iterations[[#This Row],[Step]] =current_step, current_Grad_e,IF(Iterations[[#This Row],[Step]] &gt; current_step, "",Iterations[[#This Row],[Grad_e]]))</f>
        <v/>
      </c>
    </row>
    <row r="1547" spans="6:18" x14ac:dyDescent="0.3">
      <c r="F1547" s="2">
        <f t="shared" si="29"/>
        <v>1530</v>
      </c>
      <c r="G1547" s="2" t="str">
        <f>IF(Iterations[[#This Row],[Step]] =current_step, current_a,IF(Iterations[[#This Row],[Step]] &gt; current_step, "",Iterations[[#This Row],[a]]))</f>
        <v/>
      </c>
      <c r="H1547" s="2" t="str">
        <f>IF(Iterations[[#This Row],[Step]] =current_step, current_b,IF(Iterations[[#This Row],[Step]] &gt; current_step, "",Iterations[[#This Row],[b]]))</f>
        <v/>
      </c>
      <c r="I1547" s="2" t="str">
        <f>IF(Iterations[[#This Row],[Step]] =current_step, current_c,IF(Iterations[[#This Row],[Step]] &gt; current_step, "",Iterations[[#This Row],[c]]))</f>
        <v/>
      </c>
      <c r="J1547" s="2" t="str">
        <f>IF(Iterations[[#This Row],[Step]] =current_step, current_d,IF(Iterations[[#This Row],[Step]] &gt; current_step, "",Iterations[[#This Row],[d]]))</f>
        <v/>
      </c>
      <c r="K1547" s="2" t="str">
        <f>IF(Iterations[[#This Row],[Step]] =current_step, current_e,IF(Iterations[[#This Row],[Step]] &gt; current_step, "",Iterations[[#This Row],[e]]))</f>
        <v/>
      </c>
      <c r="L1547" s="2" t="str">
        <f>IF(Iterations[[#This Row],[Step]] =current_step, current_Total_Loss,IF(Iterations[[#This Row],[Step]] &gt; current_step, "",Iterations[[#This Row],[Total Loss]]))</f>
        <v/>
      </c>
      <c r="M1547" s="6" t="s">
        <v>27</v>
      </c>
      <c r="N1547" s="2" t="str">
        <f>IF(Iterations[[#This Row],[Step]] =current_step, current_Grad_a,IF(Iterations[[#This Row],[Step]] &gt; current_step, "",Iterations[[#This Row],[Grad_a]]))</f>
        <v/>
      </c>
      <c r="O1547" s="2" t="str">
        <f>IF(Iterations[[#This Row],[Step]] =current_step, current_Grad_b,IF(Iterations[[#This Row],[Step]] &gt; current_step, "",Iterations[[#This Row],[Grad_b]]))</f>
        <v/>
      </c>
      <c r="P1547" s="2" t="str">
        <f>IF(Iterations[[#This Row],[Step]] =current_step, current_Grad_c,IF(Iterations[[#This Row],[Step]] &gt; current_step, "",Iterations[[#This Row],[Grad_c]]))</f>
        <v/>
      </c>
      <c r="Q1547" s="2" t="str">
        <f>IF(Iterations[[#This Row],[Step]] =current_step, current_Grad_d,IF(Iterations[[#This Row],[Step]] &gt; current_step, "",Iterations[[#This Row],[Grad_d]]))</f>
        <v/>
      </c>
      <c r="R1547" s="2" t="str">
        <f>IF(Iterations[[#This Row],[Step]] =current_step, current_Grad_e,IF(Iterations[[#This Row],[Step]] &gt; current_step, "",Iterations[[#This Row],[Grad_e]]))</f>
        <v/>
      </c>
    </row>
    <row r="1548" spans="6:18" x14ac:dyDescent="0.3">
      <c r="F1548" s="2">
        <f t="shared" si="29"/>
        <v>1531</v>
      </c>
      <c r="G1548" s="2" t="str">
        <f>IF(Iterations[[#This Row],[Step]] =current_step, current_a,IF(Iterations[[#This Row],[Step]] &gt; current_step, "",Iterations[[#This Row],[a]]))</f>
        <v/>
      </c>
      <c r="H1548" s="2" t="str">
        <f>IF(Iterations[[#This Row],[Step]] =current_step, current_b,IF(Iterations[[#This Row],[Step]] &gt; current_step, "",Iterations[[#This Row],[b]]))</f>
        <v/>
      </c>
      <c r="I1548" s="2" t="str">
        <f>IF(Iterations[[#This Row],[Step]] =current_step, current_c,IF(Iterations[[#This Row],[Step]] &gt; current_step, "",Iterations[[#This Row],[c]]))</f>
        <v/>
      </c>
      <c r="J1548" s="2" t="str">
        <f>IF(Iterations[[#This Row],[Step]] =current_step, current_d,IF(Iterations[[#This Row],[Step]] &gt; current_step, "",Iterations[[#This Row],[d]]))</f>
        <v/>
      </c>
      <c r="K1548" s="2" t="str">
        <f>IF(Iterations[[#This Row],[Step]] =current_step, current_e,IF(Iterations[[#This Row],[Step]] &gt; current_step, "",Iterations[[#This Row],[e]]))</f>
        <v/>
      </c>
      <c r="L1548" s="2" t="str">
        <f>IF(Iterations[[#This Row],[Step]] =current_step, current_Total_Loss,IF(Iterations[[#This Row],[Step]] &gt; current_step, "",Iterations[[#This Row],[Total Loss]]))</f>
        <v/>
      </c>
      <c r="M1548" s="6" t="s">
        <v>27</v>
      </c>
      <c r="N1548" s="2" t="str">
        <f>IF(Iterations[[#This Row],[Step]] =current_step, current_Grad_a,IF(Iterations[[#This Row],[Step]] &gt; current_step, "",Iterations[[#This Row],[Grad_a]]))</f>
        <v/>
      </c>
      <c r="O1548" s="2" t="str">
        <f>IF(Iterations[[#This Row],[Step]] =current_step, current_Grad_b,IF(Iterations[[#This Row],[Step]] &gt; current_step, "",Iterations[[#This Row],[Grad_b]]))</f>
        <v/>
      </c>
      <c r="P1548" s="2" t="str">
        <f>IF(Iterations[[#This Row],[Step]] =current_step, current_Grad_c,IF(Iterations[[#This Row],[Step]] &gt; current_step, "",Iterations[[#This Row],[Grad_c]]))</f>
        <v/>
      </c>
      <c r="Q1548" s="2" t="str">
        <f>IF(Iterations[[#This Row],[Step]] =current_step, current_Grad_d,IF(Iterations[[#This Row],[Step]] &gt; current_step, "",Iterations[[#This Row],[Grad_d]]))</f>
        <v/>
      </c>
      <c r="R1548" s="2" t="str">
        <f>IF(Iterations[[#This Row],[Step]] =current_step, current_Grad_e,IF(Iterations[[#This Row],[Step]] &gt; current_step, "",Iterations[[#This Row],[Grad_e]]))</f>
        <v/>
      </c>
    </row>
    <row r="1549" spans="6:18" x14ac:dyDescent="0.3">
      <c r="F1549" s="2">
        <f t="shared" si="29"/>
        <v>1532</v>
      </c>
      <c r="G1549" s="2" t="str">
        <f>IF(Iterations[[#This Row],[Step]] =current_step, current_a,IF(Iterations[[#This Row],[Step]] &gt; current_step, "",Iterations[[#This Row],[a]]))</f>
        <v/>
      </c>
      <c r="H1549" s="2" t="str">
        <f>IF(Iterations[[#This Row],[Step]] =current_step, current_b,IF(Iterations[[#This Row],[Step]] &gt; current_step, "",Iterations[[#This Row],[b]]))</f>
        <v/>
      </c>
      <c r="I1549" s="2" t="str">
        <f>IF(Iterations[[#This Row],[Step]] =current_step, current_c,IF(Iterations[[#This Row],[Step]] &gt; current_step, "",Iterations[[#This Row],[c]]))</f>
        <v/>
      </c>
      <c r="J1549" s="2" t="str">
        <f>IF(Iterations[[#This Row],[Step]] =current_step, current_d,IF(Iterations[[#This Row],[Step]] &gt; current_step, "",Iterations[[#This Row],[d]]))</f>
        <v/>
      </c>
      <c r="K1549" s="2" t="str">
        <f>IF(Iterations[[#This Row],[Step]] =current_step, current_e,IF(Iterations[[#This Row],[Step]] &gt; current_step, "",Iterations[[#This Row],[e]]))</f>
        <v/>
      </c>
      <c r="L1549" s="2" t="str">
        <f>IF(Iterations[[#This Row],[Step]] =current_step, current_Total_Loss,IF(Iterations[[#This Row],[Step]] &gt; current_step, "",Iterations[[#This Row],[Total Loss]]))</f>
        <v/>
      </c>
      <c r="M1549" s="6" t="s">
        <v>27</v>
      </c>
      <c r="N1549" s="2" t="str">
        <f>IF(Iterations[[#This Row],[Step]] =current_step, current_Grad_a,IF(Iterations[[#This Row],[Step]] &gt; current_step, "",Iterations[[#This Row],[Grad_a]]))</f>
        <v/>
      </c>
      <c r="O1549" s="2" t="str">
        <f>IF(Iterations[[#This Row],[Step]] =current_step, current_Grad_b,IF(Iterations[[#This Row],[Step]] &gt; current_step, "",Iterations[[#This Row],[Grad_b]]))</f>
        <v/>
      </c>
      <c r="P1549" s="2" t="str">
        <f>IF(Iterations[[#This Row],[Step]] =current_step, current_Grad_c,IF(Iterations[[#This Row],[Step]] &gt; current_step, "",Iterations[[#This Row],[Grad_c]]))</f>
        <v/>
      </c>
      <c r="Q1549" s="2" t="str">
        <f>IF(Iterations[[#This Row],[Step]] =current_step, current_Grad_d,IF(Iterations[[#This Row],[Step]] &gt; current_step, "",Iterations[[#This Row],[Grad_d]]))</f>
        <v/>
      </c>
      <c r="R1549" s="2" t="str">
        <f>IF(Iterations[[#This Row],[Step]] =current_step, current_Grad_e,IF(Iterations[[#This Row],[Step]] &gt; current_step, "",Iterations[[#This Row],[Grad_e]]))</f>
        <v/>
      </c>
    </row>
    <row r="1550" spans="6:18" x14ac:dyDescent="0.3">
      <c r="F1550" s="2">
        <f t="shared" si="29"/>
        <v>1533</v>
      </c>
      <c r="G1550" s="2" t="str">
        <f>IF(Iterations[[#This Row],[Step]] =current_step, current_a,IF(Iterations[[#This Row],[Step]] &gt; current_step, "",Iterations[[#This Row],[a]]))</f>
        <v/>
      </c>
      <c r="H1550" s="2" t="str">
        <f>IF(Iterations[[#This Row],[Step]] =current_step, current_b,IF(Iterations[[#This Row],[Step]] &gt; current_step, "",Iterations[[#This Row],[b]]))</f>
        <v/>
      </c>
      <c r="I1550" s="2" t="str">
        <f>IF(Iterations[[#This Row],[Step]] =current_step, current_c,IF(Iterations[[#This Row],[Step]] &gt; current_step, "",Iterations[[#This Row],[c]]))</f>
        <v/>
      </c>
      <c r="J1550" s="2" t="str">
        <f>IF(Iterations[[#This Row],[Step]] =current_step, current_d,IF(Iterations[[#This Row],[Step]] &gt; current_step, "",Iterations[[#This Row],[d]]))</f>
        <v/>
      </c>
      <c r="K1550" s="2" t="str">
        <f>IF(Iterations[[#This Row],[Step]] =current_step, current_e,IF(Iterations[[#This Row],[Step]] &gt; current_step, "",Iterations[[#This Row],[e]]))</f>
        <v/>
      </c>
      <c r="L1550" s="2" t="str">
        <f>IF(Iterations[[#This Row],[Step]] =current_step, current_Total_Loss,IF(Iterations[[#This Row],[Step]] &gt; current_step, "",Iterations[[#This Row],[Total Loss]]))</f>
        <v/>
      </c>
      <c r="M1550" s="6" t="s">
        <v>27</v>
      </c>
      <c r="N1550" s="2" t="str">
        <f>IF(Iterations[[#This Row],[Step]] =current_step, current_Grad_a,IF(Iterations[[#This Row],[Step]] &gt; current_step, "",Iterations[[#This Row],[Grad_a]]))</f>
        <v/>
      </c>
      <c r="O1550" s="2" t="str">
        <f>IF(Iterations[[#This Row],[Step]] =current_step, current_Grad_b,IF(Iterations[[#This Row],[Step]] &gt; current_step, "",Iterations[[#This Row],[Grad_b]]))</f>
        <v/>
      </c>
      <c r="P1550" s="2" t="str">
        <f>IF(Iterations[[#This Row],[Step]] =current_step, current_Grad_c,IF(Iterations[[#This Row],[Step]] &gt; current_step, "",Iterations[[#This Row],[Grad_c]]))</f>
        <v/>
      </c>
      <c r="Q1550" s="2" t="str">
        <f>IF(Iterations[[#This Row],[Step]] =current_step, current_Grad_d,IF(Iterations[[#This Row],[Step]] &gt; current_step, "",Iterations[[#This Row],[Grad_d]]))</f>
        <v/>
      </c>
      <c r="R1550" s="2" t="str">
        <f>IF(Iterations[[#This Row],[Step]] =current_step, current_Grad_e,IF(Iterations[[#This Row],[Step]] &gt; current_step, "",Iterations[[#This Row],[Grad_e]]))</f>
        <v/>
      </c>
    </row>
    <row r="1551" spans="6:18" x14ac:dyDescent="0.3">
      <c r="F1551" s="2">
        <f t="shared" si="29"/>
        <v>1534</v>
      </c>
      <c r="G1551" s="2" t="str">
        <f>IF(Iterations[[#This Row],[Step]] =current_step, current_a,IF(Iterations[[#This Row],[Step]] &gt; current_step, "",Iterations[[#This Row],[a]]))</f>
        <v/>
      </c>
      <c r="H1551" s="2" t="str">
        <f>IF(Iterations[[#This Row],[Step]] =current_step, current_b,IF(Iterations[[#This Row],[Step]] &gt; current_step, "",Iterations[[#This Row],[b]]))</f>
        <v/>
      </c>
      <c r="I1551" s="2" t="str">
        <f>IF(Iterations[[#This Row],[Step]] =current_step, current_c,IF(Iterations[[#This Row],[Step]] &gt; current_step, "",Iterations[[#This Row],[c]]))</f>
        <v/>
      </c>
      <c r="J1551" s="2" t="str">
        <f>IF(Iterations[[#This Row],[Step]] =current_step, current_d,IF(Iterations[[#This Row],[Step]] &gt; current_step, "",Iterations[[#This Row],[d]]))</f>
        <v/>
      </c>
      <c r="K1551" s="2" t="str">
        <f>IF(Iterations[[#This Row],[Step]] =current_step, current_e,IF(Iterations[[#This Row],[Step]] &gt; current_step, "",Iterations[[#This Row],[e]]))</f>
        <v/>
      </c>
      <c r="L1551" s="2" t="str">
        <f>IF(Iterations[[#This Row],[Step]] =current_step, current_Total_Loss,IF(Iterations[[#This Row],[Step]] &gt; current_step, "",Iterations[[#This Row],[Total Loss]]))</f>
        <v/>
      </c>
      <c r="M1551" s="6" t="s">
        <v>27</v>
      </c>
      <c r="N1551" s="2" t="str">
        <f>IF(Iterations[[#This Row],[Step]] =current_step, current_Grad_a,IF(Iterations[[#This Row],[Step]] &gt; current_step, "",Iterations[[#This Row],[Grad_a]]))</f>
        <v/>
      </c>
      <c r="O1551" s="2" t="str">
        <f>IF(Iterations[[#This Row],[Step]] =current_step, current_Grad_b,IF(Iterations[[#This Row],[Step]] &gt; current_step, "",Iterations[[#This Row],[Grad_b]]))</f>
        <v/>
      </c>
      <c r="P1551" s="2" t="str">
        <f>IF(Iterations[[#This Row],[Step]] =current_step, current_Grad_c,IF(Iterations[[#This Row],[Step]] &gt; current_step, "",Iterations[[#This Row],[Grad_c]]))</f>
        <v/>
      </c>
      <c r="Q1551" s="2" t="str">
        <f>IF(Iterations[[#This Row],[Step]] =current_step, current_Grad_d,IF(Iterations[[#This Row],[Step]] &gt; current_step, "",Iterations[[#This Row],[Grad_d]]))</f>
        <v/>
      </c>
      <c r="R1551" s="2" t="str">
        <f>IF(Iterations[[#This Row],[Step]] =current_step, current_Grad_e,IF(Iterations[[#This Row],[Step]] &gt; current_step, "",Iterations[[#This Row],[Grad_e]]))</f>
        <v/>
      </c>
    </row>
    <row r="1552" spans="6:18" x14ac:dyDescent="0.3">
      <c r="F1552" s="2">
        <f t="shared" si="29"/>
        <v>1535</v>
      </c>
      <c r="G1552" s="2" t="str">
        <f>IF(Iterations[[#This Row],[Step]] =current_step, current_a,IF(Iterations[[#This Row],[Step]] &gt; current_step, "",Iterations[[#This Row],[a]]))</f>
        <v/>
      </c>
      <c r="H1552" s="2" t="str">
        <f>IF(Iterations[[#This Row],[Step]] =current_step, current_b,IF(Iterations[[#This Row],[Step]] &gt; current_step, "",Iterations[[#This Row],[b]]))</f>
        <v/>
      </c>
      <c r="I1552" s="2" t="str">
        <f>IF(Iterations[[#This Row],[Step]] =current_step, current_c,IF(Iterations[[#This Row],[Step]] &gt; current_step, "",Iterations[[#This Row],[c]]))</f>
        <v/>
      </c>
      <c r="J1552" s="2" t="str">
        <f>IF(Iterations[[#This Row],[Step]] =current_step, current_d,IF(Iterations[[#This Row],[Step]] &gt; current_step, "",Iterations[[#This Row],[d]]))</f>
        <v/>
      </c>
      <c r="K1552" s="2" t="str">
        <f>IF(Iterations[[#This Row],[Step]] =current_step, current_e,IF(Iterations[[#This Row],[Step]] &gt; current_step, "",Iterations[[#This Row],[e]]))</f>
        <v/>
      </c>
      <c r="L1552" s="2" t="str">
        <f>IF(Iterations[[#This Row],[Step]] =current_step, current_Total_Loss,IF(Iterations[[#This Row],[Step]] &gt; current_step, "",Iterations[[#This Row],[Total Loss]]))</f>
        <v/>
      </c>
      <c r="M1552" s="6" t="s">
        <v>27</v>
      </c>
      <c r="N1552" s="2" t="str">
        <f>IF(Iterations[[#This Row],[Step]] =current_step, current_Grad_a,IF(Iterations[[#This Row],[Step]] &gt; current_step, "",Iterations[[#This Row],[Grad_a]]))</f>
        <v/>
      </c>
      <c r="O1552" s="2" t="str">
        <f>IF(Iterations[[#This Row],[Step]] =current_step, current_Grad_b,IF(Iterations[[#This Row],[Step]] &gt; current_step, "",Iterations[[#This Row],[Grad_b]]))</f>
        <v/>
      </c>
      <c r="P1552" s="2" t="str">
        <f>IF(Iterations[[#This Row],[Step]] =current_step, current_Grad_c,IF(Iterations[[#This Row],[Step]] &gt; current_step, "",Iterations[[#This Row],[Grad_c]]))</f>
        <v/>
      </c>
      <c r="Q1552" s="2" t="str">
        <f>IF(Iterations[[#This Row],[Step]] =current_step, current_Grad_d,IF(Iterations[[#This Row],[Step]] &gt; current_step, "",Iterations[[#This Row],[Grad_d]]))</f>
        <v/>
      </c>
      <c r="R1552" s="2" t="str">
        <f>IF(Iterations[[#This Row],[Step]] =current_step, current_Grad_e,IF(Iterations[[#This Row],[Step]] &gt; current_step, "",Iterations[[#This Row],[Grad_e]]))</f>
        <v/>
      </c>
    </row>
    <row r="1553" spans="6:18" x14ac:dyDescent="0.3">
      <c r="F1553" s="2">
        <f t="shared" si="29"/>
        <v>1536</v>
      </c>
      <c r="G1553" s="2" t="str">
        <f>IF(Iterations[[#This Row],[Step]] =current_step, current_a,IF(Iterations[[#This Row],[Step]] &gt; current_step, "",Iterations[[#This Row],[a]]))</f>
        <v/>
      </c>
      <c r="H1553" s="2" t="str">
        <f>IF(Iterations[[#This Row],[Step]] =current_step, current_b,IF(Iterations[[#This Row],[Step]] &gt; current_step, "",Iterations[[#This Row],[b]]))</f>
        <v/>
      </c>
      <c r="I1553" s="2" t="str">
        <f>IF(Iterations[[#This Row],[Step]] =current_step, current_c,IF(Iterations[[#This Row],[Step]] &gt; current_step, "",Iterations[[#This Row],[c]]))</f>
        <v/>
      </c>
      <c r="J1553" s="2" t="str">
        <f>IF(Iterations[[#This Row],[Step]] =current_step, current_d,IF(Iterations[[#This Row],[Step]] &gt; current_step, "",Iterations[[#This Row],[d]]))</f>
        <v/>
      </c>
      <c r="K1553" s="2" t="str">
        <f>IF(Iterations[[#This Row],[Step]] =current_step, current_e,IF(Iterations[[#This Row],[Step]] &gt; current_step, "",Iterations[[#This Row],[e]]))</f>
        <v/>
      </c>
      <c r="L1553" s="2" t="str">
        <f>IF(Iterations[[#This Row],[Step]] =current_step, current_Total_Loss,IF(Iterations[[#This Row],[Step]] &gt; current_step, "",Iterations[[#This Row],[Total Loss]]))</f>
        <v/>
      </c>
      <c r="M1553" s="6" t="s">
        <v>27</v>
      </c>
      <c r="N1553" s="2" t="str">
        <f>IF(Iterations[[#This Row],[Step]] =current_step, current_Grad_a,IF(Iterations[[#This Row],[Step]] &gt; current_step, "",Iterations[[#This Row],[Grad_a]]))</f>
        <v/>
      </c>
      <c r="O1553" s="2" t="str">
        <f>IF(Iterations[[#This Row],[Step]] =current_step, current_Grad_b,IF(Iterations[[#This Row],[Step]] &gt; current_step, "",Iterations[[#This Row],[Grad_b]]))</f>
        <v/>
      </c>
      <c r="P1553" s="2" t="str">
        <f>IF(Iterations[[#This Row],[Step]] =current_step, current_Grad_c,IF(Iterations[[#This Row],[Step]] &gt; current_step, "",Iterations[[#This Row],[Grad_c]]))</f>
        <v/>
      </c>
      <c r="Q1553" s="2" t="str">
        <f>IF(Iterations[[#This Row],[Step]] =current_step, current_Grad_d,IF(Iterations[[#This Row],[Step]] &gt; current_step, "",Iterations[[#This Row],[Grad_d]]))</f>
        <v/>
      </c>
      <c r="R1553" s="2" t="str">
        <f>IF(Iterations[[#This Row],[Step]] =current_step, current_Grad_e,IF(Iterations[[#This Row],[Step]] &gt; current_step, "",Iterations[[#This Row],[Grad_e]]))</f>
        <v/>
      </c>
    </row>
    <row r="1554" spans="6:18" x14ac:dyDescent="0.3">
      <c r="F1554" s="2">
        <f t="shared" si="29"/>
        <v>1537</v>
      </c>
      <c r="G1554" s="2" t="str">
        <f>IF(Iterations[[#This Row],[Step]] =current_step, current_a,IF(Iterations[[#This Row],[Step]] &gt; current_step, "",Iterations[[#This Row],[a]]))</f>
        <v/>
      </c>
      <c r="H1554" s="2" t="str">
        <f>IF(Iterations[[#This Row],[Step]] =current_step, current_b,IF(Iterations[[#This Row],[Step]] &gt; current_step, "",Iterations[[#This Row],[b]]))</f>
        <v/>
      </c>
      <c r="I1554" s="2" t="str">
        <f>IF(Iterations[[#This Row],[Step]] =current_step, current_c,IF(Iterations[[#This Row],[Step]] &gt; current_step, "",Iterations[[#This Row],[c]]))</f>
        <v/>
      </c>
      <c r="J1554" s="2" t="str">
        <f>IF(Iterations[[#This Row],[Step]] =current_step, current_d,IF(Iterations[[#This Row],[Step]] &gt; current_step, "",Iterations[[#This Row],[d]]))</f>
        <v/>
      </c>
      <c r="K1554" s="2" t="str">
        <f>IF(Iterations[[#This Row],[Step]] =current_step, current_e,IF(Iterations[[#This Row],[Step]] &gt; current_step, "",Iterations[[#This Row],[e]]))</f>
        <v/>
      </c>
      <c r="L1554" s="2" t="str">
        <f>IF(Iterations[[#This Row],[Step]] =current_step, current_Total_Loss,IF(Iterations[[#This Row],[Step]] &gt; current_step, "",Iterations[[#This Row],[Total Loss]]))</f>
        <v/>
      </c>
      <c r="M1554" s="6" t="s">
        <v>27</v>
      </c>
      <c r="N1554" s="2" t="str">
        <f>IF(Iterations[[#This Row],[Step]] =current_step, current_Grad_a,IF(Iterations[[#This Row],[Step]] &gt; current_step, "",Iterations[[#This Row],[Grad_a]]))</f>
        <v/>
      </c>
      <c r="O1554" s="2" t="str">
        <f>IF(Iterations[[#This Row],[Step]] =current_step, current_Grad_b,IF(Iterations[[#This Row],[Step]] &gt; current_step, "",Iterations[[#This Row],[Grad_b]]))</f>
        <v/>
      </c>
      <c r="P1554" s="2" t="str">
        <f>IF(Iterations[[#This Row],[Step]] =current_step, current_Grad_c,IF(Iterations[[#This Row],[Step]] &gt; current_step, "",Iterations[[#This Row],[Grad_c]]))</f>
        <v/>
      </c>
      <c r="Q1554" s="2" t="str">
        <f>IF(Iterations[[#This Row],[Step]] =current_step, current_Grad_d,IF(Iterations[[#This Row],[Step]] &gt; current_step, "",Iterations[[#This Row],[Grad_d]]))</f>
        <v/>
      </c>
      <c r="R1554" s="2" t="str">
        <f>IF(Iterations[[#This Row],[Step]] =current_step, current_Grad_e,IF(Iterations[[#This Row],[Step]] &gt; current_step, "",Iterations[[#This Row],[Grad_e]]))</f>
        <v/>
      </c>
    </row>
    <row r="1555" spans="6:18" x14ac:dyDescent="0.3">
      <c r="F1555" s="2">
        <f t="shared" si="29"/>
        <v>1538</v>
      </c>
      <c r="G1555" s="2" t="str">
        <f>IF(Iterations[[#This Row],[Step]] =current_step, current_a,IF(Iterations[[#This Row],[Step]] &gt; current_step, "",Iterations[[#This Row],[a]]))</f>
        <v/>
      </c>
      <c r="H1555" s="2" t="str">
        <f>IF(Iterations[[#This Row],[Step]] =current_step, current_b,IF(Iterations[[#This Row],[Step]] &gt; current_step, "",Iterations[[#This Row],[b]]))</f>
        <v/>
      </c>
      <c r="I1555" s="2" t="str">
        <f>IF(Iterations[[#This Row],[Step]] =current_step, current_c,IF(Iterations[[#This Row],[Step]] &gt; current_step, "",Iterations[[#This Row],[c]]))</f>
        <v/>
      </c>
      <c r="J1555" s="2" t="str">
        <f>IF(Iterations[[#This Row],[Step]] =current_step, current_d,IF(Iterations[[#This Row],[Step]] &gt; current_step, "",Iterations[[#This Row],[d]]))</f>
        <v/>
      </c>
      <c r="K1555" s="2" t="str">
        <f>IF(Iterations[[#This Row],[Step]] =current_step, current_e,IF(Iterations[[#This Row],[Step]] &gt; current_step, "",Iterations[[#This Row],[e]]))</f>
        <v/>
      </c>
      <c r="L1555" s="2" t="str">
        <f>IF(Iterations[[#This Row],[Step]] =current_step, current_Total_Loss,IF(Iterations[[#This Row],[Step]] &gt; current_step, "",Iterations[[#This Row],[Total Loss]]))</f>
        <v/>
      </c>
      <c r="M1555" s="6" t="s">
        <v>27</v>
      </c>
      <c r="N1555" s="2" t="str">
        <f>IF(Iterations[[#This Row],[Step]] =current_step, current_Grad_a,IF(Iterations[[#This Row],[Step]] &gt; current_step, "",Iterations[[#This Row],[Grad_a]]))</f>
        <v/>
      </c>
      <c r="O1555" s="2" t="str">
        <f>IF(Iterations[[#This Row],[Step]] =current_step, current_Grad_b,IF(Iterations[[#This Row],[Step]] &gt; current_step, "",Iterations[[#This Row],[Grad_b]]))</f>
        <v/>
      </c>
      <c r="P1555" s="2" t="str">
        <f>IF(Iterations[[#This Row],[Step]] =current_step, current_Grad_c,IF(Iterations[[#This Row],[Step]] &gt; current_step, "",Iterations[[#This Row],[Grad_c]]))</f>
        <v/>
      </c>
      <c r="Q1555" s="2" t="str">
        <f>IF(Iterations[[#This Row],[Step]] =current_step, current_Grad_d,IF(Iterations[[#This Row],[Step]] &gt; current_step, "",Iterations[[#This Row],[Grad_d]]))</f>
        <v/>
      </c>
      <c r="R1555" s="2" t="str">
        <f>IF(Iterations[[#This Row],[Step]] =current_step, current_Grad_e,IF(Iterations[[#This Row],[Step]] &gt; current_step, "",Iterations[[#This Row],[Grad_e]]))</f>
        <v/>
      </c>
    </row>
    <row r="1556" spans="6:18" x14ac:dyDescent="0.3">
      <c r="F1556" s="2">
        <f t="shared" si="29"/>
        <v>1539</v>
      </c>
      <c r="G1556" s="2" t="str">
        <f>IF(Iterations[[#This Row],[Step]] =current_step, current_a,IF(Iterations[[#This Row],[Step]] &gt; current_step, "",Iterations[[#This Row],[a]]))</f>
        <v/>
      </c>
      <c r="H1556" s="2" t="str">
        <f>IF(Iterations[[#This Row],[Step]] =current_step, current_b,IF(Iterations[[#This Row],[Step]] &gt; current_step, "",Iterations[[#This Row],[b]]))</f>
        <v/>
      </c>
      <c r="I1556" s="2" t="str">
        <f>IF(Iterations[[#This Row],[Step]] =current_step, current_c,IF(Iterations[[#This Row],[Step]] &gt; current_step, "",Iterations[[#This Row],[c]]))</f>
        <v/>
      </c>
      <c r="J1556" s="2" t="str">
        <f>IF(Iterations[[#This Row],[Step]] =current_step, current_d,IF(Iterations[[#This Row],[Step]] &gt; current_step, "",Iterations[[#This Row],[d]]))</f>
        <v/>
      </c>
      <c r="K1556" s="2" t="str">
        <f>IF(Iterations[[#This Row],[Step]] =current_step, current_e,IF(Iterations[[#This Row],[Step]] &gt; current_step, "",Iterations[[#This Row],[e]]))</f>
        <v/>
      </c>
      <c r="L1556" s="2" t="str">
        <f>IF(Iterations[[#This Row],[Step]] =current_step, current_Total_Loss,IF(Iterations[[#This Row],[Step]] &gt; current_step, "",Iterations[[#This Row],[Total Loss]]))</f>
        <v/>
      </c>
      <c r="M1556" s="6" t="s">
        <v>27</v>
      </c>
      <c r="N1556" s="2" t="str">
        <f>IF(Iterations[[#This Row],[Step]] =current_step, current_Grad_a,IF(Iterations[[#This Row],[Step]] &gt; current_step, "",Iterations[[#This Row],[Grad_a]]))</f>
        <v/>
      </c>
      <c r="O1556" s="2" t="str">
        <f>IF(Iterations[[#This Row],[Step]] =current_step, current_Grad_b,IF(Iterations[[#This Row],[Step]] &gt; current_step, "",Iterations[[#This Row],[Grad_b]]))</f>
        <v/>
      </c>
      <c r="P1556" s="2" t="str">
        <f>IF(Iterations[[#This Row],[Step]] =current_step, current_Grad_c,IF(Iterations[[#This Row],[Step]] &gt; current_step, "",Iterations[[#This Row],[Grad_c]]))</f>
        <v/>
      </c>
      <c r="Q1556" s="2" t="str">
        <f>IF(Iterations[[#This Row],[Step]] =current_step, current_Grad_d,IF(Iterations[[#This Row],[Step]] &gt; current_step, "",Iterations[[#This Row],[Grad_d]]))</f>
        <v/>
      </c>
      <c r="R1556" s="2" t="str">
        <f>IF(Iterations[[#This Row],[Step]] =current_step, current_Grad_e,IF(Iterations[[#This Row],[Step]] &gt; current_step, "",Iterations[[#This Row],[Grad_e]]))</f>
        <v/>
      </c>
    </row>
    <row r="1557" spans="6:18" x14ac:dyDescent="0.3">
      <c r="F1557" s="2">
        <f t="shared" si="29"/>
        <v>1540</v>
      </c>
      <c r="G1557" s="2" t="str">
        <f>IF(Iterations[[#This Row],[Step]] =current_step, current_a,IF(Iterations[[#This Row],[Step]] &gt; current_step, "",Iterations[[#This Row],[a]]))</f>
        <v/>
      </c>
      <c r="H1557" s="2" t="str">
        <f>IF(Iterations[[#This Row],[Step]] =current_step, current_b,IF(Iterations[[#This Row],[Step]] &gt; current_step, "",Iterations[[#This Row],[b]]))</f>
        <v/>
      </c>
      <c r="I1557" s="2" t="str">
        <f>IF(Iterations[[#This Row],[Step]] =current_step, current_c,IF(Iterations[[#This Row],[Step]] &gt; current_step, "",Iterations[[#This Row],[c]]))</f>
        <v/>
      </c>
      <c r="J1557" s="2" t="str">
        <f>IF(Iterations[[#This Row],[Step]] =current_step, current_d,IF(Iterations[[#This Row],[Step]] &gt; current_step, "",Iterations[[#This Row],[d]]))</f>
        <v/>
      </c>
      <c r="K1557" s="2" t="str">
        <f>IF(Iterations[[#This Row],[Step]] =current_step, current_e,IF(Iterations[[#This Row],[Step]] &gt; current_step, "",Iterations[[#This Row],[e]]))</f>
        <v/>
      </c>
      <c r="L1557" s="2" t="str">
        <f>IF(Iterations[[#This Row],[Step]] =current_step, current_Total_Loss,IF(Iterations[[#This Row],[Step]] &gt; current_step, "",Iterations[[#This Row],[Total Loss]]))</f>
        <v/>
      </c>
      <c r="M1557" s="6" t="s">
        <v>27</v>
      </c>
      <c r="N1557" s="2" t="str">
        <f>IF(Iterations[[#This Row],[Step]] =current_step, current_Grad_a,IF(Iterations[[#This Row],[Step]] &gt; current_step, "",Iterations[[#This Row],[Grad_a]]))</f>
        <v/>
      </c>
      <c r="O1557" s="2" t="str">
        <f>IF(Iterations[[#This Row],[Step]] =current_step, current_Grad_b,IF(Iterations[[#This Row],[Step]] &gt; current_step, "",Iterations[[#This Row],[Grad_b]]))</f>
        <v/>
      </c>
      <c r="P1557" s="2" t="str">
        <f>IF(Iterations[[#This Row],[Step]] =current_step, current_Grad_c,IF(Iterations[[#This Row],[Step]] &gt; current_step, "",Iterations[[#This Row],[Grad_c]]))</f>
        <v/>
      </c>
      <c r="Q1557" s="2" t="str">
        <f>IF(Iterations[[#This Row],[Step]] =current_step, current_Grad_d,IF(Iterations[[#This Row],[Step]] &gt; current_step, "",Iterations[[#This Row],[Grad_d]]))</f>
        <v/>
      </c>
      <c r="R1557" s="2" t="str">
        <f>IF(Iterations[[#This Row],[Step]] =current_step, current_Grad_e,IF(Iterations[[#This Row],[Step]] &gt; current_step, "",Iterations[[#This Row],[Grad_e]]))</f>
        <v/>
      </c>
    </row>
    <row r="1558" spans="6:18" x14ac:dyDescent="0.3">
      <c r="F1558" s="2">
        <f t="shared" si="29"/>
        <v>1541</v>
      </c>
      <c r="G1558" s="2" t="str">
        <f>IF(Iterations[[#This Row],[Step]] =current_step, current_a,IF(Iterations[[#This Row],[Step]] &gt; current_step, "",Iterations[[#This Row],[a]]))</f>
        <v/>
      </c>
      <c r="H1558" s="2" t="str">
        <f>IF(Iterations[[#This Row],[Step]] =current_step, current_b,IF(Iterations[[#This Row],[Step]] &gt; current_step, "",Iterations[[#This Row],[b]]))</f>
        <v/>
      </c>
      <c r="I1558" s="2" t="str">
        <f>IF(Iterations[[#This Row],[Step]] =current_step, current_c,IF(Iterations[[#This Row],[Step]] &gt; current_step, "",Iterations[[#This Row],[c]]))</f>
        <v/>
      </c>
      <c r="J1558" s="2" t="str">
        <f>IF(Iterations[[#This Row],[Step]] =current_step, current_d,IF(Iterations[[#This Row],[Step]] &gt; current_step, "",Iterations[[#This Row],[d]]))</f>
        <v/>
      </c>
      <c r="K1558" s="2" t="str">
        <f>IF(Iterations[[#This Row],[Step]] =current_step, current_e,IF(Iterations[[#This Row],[Step]] &gt; current_step, "",Iterations[[#This Row],[e]]))</f>
        <v/>
      </c>
      <c r="L1558" s="2" t="str">
        <f>IF(Iterations[[#This Row],[Step]] =current_step, current_Total_Loss,IF(Iterations[[#This Row],[Step]] &gt; current_step, "",Iterations[[#This Row],[Total Loss]]))</f>
        <v/>
      </c>
      <c r="M1558" s="6" t="s">
        <v>27</v>
      </c>
      <c r="N1558" s="2" t="str">
        <f>IF(Iterations[[#This Row],[Step]] =current_step, current_Grad_a,IF(Iterations[[#This Row],[Step]] &gt; current_step, "",Iterations[[#This Row],[Grad_a]]))</f>
        <v/>
      </c>
      <c r="O1558" s="2" t="str">
        <f>IF(Iterations[[#This Row],[Step]] =current_step, current_Grad_b,IF(Iterations[[#This Row],[Step]] &gt; current_step, "",Iterations[[#This Row],[Grad_b]]))</f>
        <v/>
      </c>
      <c r="P1558" s="2" t="str">
        <f>IF(Iterations[[#This Row],[Step]] =current_step, current_Grad_c,IF(Iterations[[#This Row],[Step]] &gt; current_step, "",Iterations[[#This Row],[Grad_c]]))</f>
        <v/>
      </c>
      <c r="Q1558" s="2" t="str">
        <f>IF(Iterations[[#This Row],[Step]] =current_step, current_Grad_d,IF(Iterations[[#This Row],[Step]] &gt; current_step, "",Iterations[[#This Row],[Grad_d]]))</f>
        <v/>
      </c>
      <c r="R1558" s="2" t="str">
        <f>IF(Iterations[[#This Row],[Step]] =current_step, current_Grad_e,IF(Iterations[[#This Row],[Step]] &gt; current_step, "",Iterations[[#This Row],[Grad_e]]))</f>
        <v/>
      </c>
    </row>
    <row r="1559" spans="6:18" x14ac:dyDescent="0.3">
      <c r="F1559" s="2">
        <f t="shared" si="29"/>
        <v>1542</v>
      </c>
      <c r="G1559" s="2" t="str">
        <f>IF(Iterations[[#This Row],[Step]] =current_step, current_a,IF(Iterations[[#This Row],[Step]] &gt; current_step, "",Iterations[[#This Row],[a]]))</f>
        <v/>
      </c>
      <c r="H1559" s="2" t="str">
        <f>IF(Iterations[[#This Row],[Step]] =current_step, current_b,IF(Iterations[[#This Row],[Step]] &gt; current_step, "",Iterations[[#This Row],[b]]))</f>
        <v/>
      </c>
      <c r="I1559" s="2" t="str">
        <f>IF(Iterations[[#This Row],[Step]] =current_step, current_c,IF(Iterations[[#This Row],[Step]] &gt; current_step, "",Iterations[[#This Row],[c]]))</f>
        <v/>
      </c>
      <c r="J1559" s="2" t="str">
        <f>IF(Iterations[[#This Row],[Step]] =current_step, current_d,IF(Iterations[[#This Row],[Step]] &gt; current_step, "",Iterations[[#This Row],[d]]))</f>
        <v/>
      </c>
      <c r="K1559" s="2" t="str">
        <f>IF(Iterations[[#This Row],[Step]] =current_step, current_e,IF(Iterations[[#This Row],[Step]] &gt; current_step, "",Iterations[[#This Row],[e]]))</f>
        <v/>
      </c>
      <c r="L1559" s="2" t="str">
        <f>IF(Iterations[[#This Row],[Step]] =current_step, current_Total_Loss,IF(Iterations[[#This Row],[Step]] &gt; current_step, "",Iterations[[#This Row],[Total Loss]]))</f>
        <v/>
      </c>
      <c r="M1559" s="6" t="s">
        <v>27</v>
      </c>
      <c r="N1559" s="2" t="str">
        <f>IF(Iterations[[#This Row],[Step]] =current_step, current_Grad_a,IF(Iterations[[#This Row],[Step]] &gt; current_step, "",Iterations[[#This Row],[Grad_a]]))</f>
        <v/>
      </c>
      <c r="O1559" s="2" t="str">
        <f>IF(Iterations[[#This Row],[Step]] =current_step, current_Grad_b,IF(Iterations[[#This Row],[Step]] &gt; current_step, "",Iterations[[#This Row],[Grad_b]]))</f>
        <v/>
      </c>
      <c r="P1559" s="2" t="str">
        <f>IF(Iterations[[#This Row],[Step]] =current_step, current_Grad_c,IF(Iterations[[#This Row],[Step]] &gt; current_step, "",Iterations[[#This Row],[Grad_c]]))</f>
        <v/>
      </c>
      <c r="Q1559" s="2" t="str">
        <f>IF(Iterations[[#This Row],[Step]] =current_step, current_Grad_d,IF(Iterations[[#This Row],[Step]] &gt; current_step, "",Iterations[[#This Row],[Grad_d]]))</f>
        <v/>
      </c>
      <c r="R1559" s="2" t="str">
        <f>IF(Iterations[[#This Row],[Step]] =current_step, current_Grad_e,IF(Iterations[[#This Row],[Step]] &gt; current_step, "",Iterations[[#This Row],[Grad_e]]))</f>
        <v/>
      </c>
    </row>
    <row r="1560" spans="6:18" x14ac:dyDescent="0.3">
      <c r="F1560" s="2">
        <f t="shared" si="29"/>
        <v>1543</v>
      </c>
      <c r="G1560" s="2" t="str">
        <f>IF(Iterations[[#This Row],[Step]] =current_step, current_a,IF(Iterations[[#This Row],[Step]] &gt; current_step, "",Iterations[[#This Row],[a]]))</f>
        <v/>
      </c>
      <c r="H1560" s="2" t="str">
        <f>IF(Iterations[[#This Row],[Step]] =current_step, current_b,IF(Iterations[[#This Row],[Step]] &gt; current_step, "",Iterations[[#This Row],[b]]))</f>
        <v/>
      </c>
      <c r="I1560" s="2" t="str">
        <f>IF(Iterations[[#This Row],[Step]] =current_step, current_c,IF(Iterations[[#This Row],[Step]] &gt; current_step, "",Iterations[[#This Row],[c]]))</f>
        <v/>
      </c>
      <c r="J1560" s="2" t="str">
        <f>IF(Iterations[[#This Row],[Step]] =current_step, current_d,IF(Iterations[[#This Row],[Step]] &gt; current_step, "",Iterations[[#This Row],[d]]))</f>
        <v/>
      </c>
      <c r="K1560" s="2" t="str">
        <f>IF(Iterations[[#This Row],[Step]] =current_step, current_e,IF(Iterations[[#This Row],[Step]] &gt; current_step, "",Iterations[[#This Row],[e]]))</f>
        <v/>
      </c>
      <c r="L1560" s="2" t="str">
        <f>IF(Iterations[[#This Row],[Step]] =current_step, current_Total_Loss,IF(Iterations[[#This Row],[Step]] &gt; current_step, "",Iterations[[#This Row],[Total Loss]]))</f>
        <v/>
      </c>
      <c r="M1560" s="6" t="s">
        <v>27</v>
      </c>
      <c r="N1560" s="2" t="str">
        <f>IF(Iterations[[#This Row],[Step]] =current_step, current_Grad_a,IF(Iterations[[#This Row],[Step]] &gt; current_step, "",Iterations[[#This Row],[Grad_a]]))</f>
        <v/>
      </c>
      <c r="O1560" s="2" t="str">
        <f>IF(Iterations[[#This Row],[Step]] =current_step, current_Grad_b,IF(Iterations[[#This Row],[Step]] &gt; current_step, "",Iterations[[#This Row],[Grad_b]]))</f>
        <v/>
      </c>
      <c r="P1560" s="2" t="str">
        <f>IF(Iterations[[#This Row],[Step]] =current_step, current_Grad_c,IF(Iterations[[#This Row],[Step]] &gt; current_step, "",Iterations[[#This Row],[Grad_c]]))</f>
        <v/>
      </c>
      <c r="Q1560" s="2" t="str">
        <f>IF(Iterations[[#This Row],[Step]] =current_step, current_Grad_d,IF(Iterations[[#This Row],[Step]] &gt; current_step, "",Iterations[[#This Row],[Grad_d]]))</f>
        <v/>
      </c>
      <c r="R1560" s="2" t="str">
        <f>IF(Iterations[[#This Row],[Step]] =current_step, current_Grad_e,IF(Iterations[[#This Row],[Step]] &gt; current_step, "",Iterations[[#This Row],[Grad_e]]))</f>
        <v/>
      </c>
    </row>
    <row r="1561" spans="6:18" x14ac:dyDescent="0.3">
      <c r="F1561" s="2">
        <f t="shared" si="29"/>
        <v>1544</v>
      </c>
      <c r="G1561" s="2" t="str">
        <f>IF(Iterations[[#This Row],[Step]] =current_step, current_a,IF(Iterations[[#This Row],[Step]] &gt; current_step, "",Iterations[[#This Row],[a]]))</f>
        <v/>
      </c>
      <c r="H1561" s="2" t="str">
        <f>IF(Iterations[[#This Row],[Step]] =current_step, current_b,IF(Iterations[[#This Row],[Step]] &gt; current_step, "",Iterations[[#This Row],[b]]))</f>
        <v/>
      </c>
      <c r="I1561" s="2" t="str">
        <f>IF(Iterations[[#This Row],[Step]] =current_step, current_c,IF(Iterations[[#This Row],[Step]] &gt; current_step, "",Iterations[[#This Row],[c]]))</f>
        <v/>
      </c>
      <c r="J1561" s="2" t="str">
        <f>IF(Iterations[[#This Row],[Step]] =current_step, current_d,IF(Iterations[[#This Row],[Step]] &gt; current_step, "",Iterations[[#This Row],[d]]))</f>
        <v/>
      </c>
      <c r="K1561" s="2" t="str">
        <f>IF(Iterations[[#This Row],[Step]] =current_step, current_e,IF(Iterations[[#This Row],[Step]] &gt; current_step, "",Iterations[[#This Row],[e]]))</f>
        <v/>
      </c>
      <c r="L1561" s="2" t="str">
        <f>IF(Iterations[[#This Row],[Step]] =current_step, current_Total_Loss,IF(Iterations[[#This Row],[Step]] &gt; current_step, "",Iterations[[#This Row],[Total Loss]]))</f>
        <v/>
      </c>
      <c r="M1561" s="6" t="s">
        <v>27</v>
      </c>
      <c r="N1561" s="2" t="str">
        <f>IF(Iterations[[#This Row],[Step]] =current_step, current_Grad_a,IF(Iterations[[#This Row],[Step]] &gt; current_step, "",Iterations[[#This Row],[Grad_a]]))</f>
        <v/>
      </c>
      <c r="O1561" s="2" t="str">
        <f>IF(Iterations[[#This Row],[Step]] =current_step, current_Grad_b,IF(Iterations[[#This Row],[Step]] &gt; current_step, "",Iterations[[#This Row],[Grad_b]]))</f>
        <v/>
      </c>
      <c r="P1561" s="2" t="str">
        <f>IF(Iterations[[#This Row],[Step]] =current_step, current_Grad_c,IF(Iterations[[#This Row],[Step]] &gt; current_step, "",Iterations[[#This Row],[Grad_c]]))</f>
        <v/>
      </c>
      <c r="Q1561" s="2" t="str">
        <f>IF(Iterations[[#This Row],[Step]] =current_step, current_Grad_d,IF(Iterations[[#This Row],[Step]] &gt; current_step, "",Iterations[[#This Row],[Grad_d]]))</f>
        <v/>
      </c>
      <c r="R1561" s="2" t="str">
        <f>IF(Iterations[[#This Row],[Step]] =current_step, current_Grad_e,IF(Iterations[[#This Row],[Step]] &gt; current_step, "",Iterations[[#This Row],[Grad_e]]))</f>
        <v/>
      </c>
    </row>
    <row r="1562" spans="6:18" x14ac:dyDescent="0.3">
      <c r="F1562" s="2">
        <f t="shared" si="29"/>
        <v>1545</v>
      </c>
      <c r="G1562" s="2" t="str">
        <f>IF(Iterations[[#This Row],[Step]] =current_step, current_a,IF(Iterations[[#This Row],[Step]] &gt; current_step, "",Iterations[[#This Row],[a]]))</f>
        <v/>
      </c>
      <c r="H1562" s="2" t="str">
        <f>IF(Iterations[[#This Row],[Step]] =current_step, current_b,IF(Iterations[[#This Row],[Step]] &gt; current_step, "",Iterations[[#This Row],[b]]))</f>
        <v/>
      </c>
      <c r="I1562" s="2" t="str">
        <f>IF(Iterations[[#This Row],[Step]] =current_step, current_c,IF(Iterations[[#This Row],[Step]] &gt; current_step, "",Iterations[[#This Row],[c]]))</f>
        <v/>
      </c>
      <c r="J1562" s="2" t="str">
        <f>IF(Iterations[[#This Row],[Step]] =current_step, current_d,IF(Iterations[[#This Row],[Step]] &gt; current_step, "",Iterations[[#This Row],[d]]))</f>
        <v/>
      </c>
      <c r="K1562" s="2" t="str">
        <f>IF(Iterations[[#This Row],[Step]] =current_step, current_e,IF(Iterations[[#This Row],[Step]] &gt; current_step, "",Iterations[[#This Row],[e]]))</f>
        <v/>
      </c>
      <c r="L1562" s="2" t="str">
        <f>IF(Iterations[[#This Row],[Step]] =current_step, current_Total_Loss,IF(Iterations[[#This Row],[Step]] &gt; current_step, "",Iterations[[#This Row],[Total Loss]]))</f>
        <v/>
      </c>
      <c r="M1562" s="6" t="s">
        <v>27</v>
      </c>
      <c r="N1562" s="2" t="str">
        <f>IF(Iterations[[#This Row],[Step]] =current_step, current_Grad_a,IF(Iterations[[#This Row],[Step]] &gt; current_step, "",Iterations[[#This Row],[Grad_a]]))</f>
        <v/>
      </c>
      <c r="O1562" s="2" t="str">
        <f>IF(Iterations[[#This Row],[Step]] =current_step, current_Grad_b,IF(Iterations[[#This Row],[Step]] &gt; current_step, "",Iterations[[#This Row],[Grad_b]]))</f>
        <v/>
      </c>
      <c r="P1562" s="2" t="str">
        <f>IF(Iterations[[#This Row],[Step]] =current_step, current_Grad_c,IF(Iterations[[#This Row],[Step]] &gt; current_step, "",Iterations[[#This Row],[Grad_c]]))</f>
        <v/>
      </c>
      <c r="Q1562" s="2" t="str">
        <f>IF(Iterations[[#This Row],[Step]] =current_step, current_Grad_d,IF(Iterations[[#This Row],[Step]] &gt; current_step, "",Iterations[[#This Row],[Grad_d]]))</f>
        <v/>
      </c>
      <c r="R1562" s="2" t="str">
        <f>IF(Iterations[[#This Row],[Step]] =current_step, current_Grad_e,IF(Iterations[[#This Row],[Step]] &gt; current_step, "",Iterations[[#This Row],[Grad_e]]))</f>
        <v/>
      </c>
    </row>
    <row r="1563" spans="6:18" x14ac:dyDescent="0.3">
      <c r="F1563" s="2">
        <f t="shared" si="29"/>
        <v>1546</v>
      </c>
      <c r="G1563" s="2" t="str">
        <f>IF(Iterations[[#This Row],[Step]] =current_step, current_a,IF(Iterations[[#This Row],[Step]] &gt; current_step, "",Iterations[[#This Row],[a]]))</f>
        <v/>
      </c>
      <c r="H1563" s="2" t="str">
        <f>IF(Iterations[[#This Row],[Step]] =current_step, current_b,IF(Iterations[[#This Row],[Step]] &gt; current_step, "",Iterations[[#This Row],[b]]))</f>
        <v/>
      </c>
      <c r="I1563" s="2" t="str">
        <f>IF(Iterations[[#This Row],[Step]] =current_step, current_c,IF(Iterations[[#This Row],[Step]] &gt; current_step, "",Iterations[[#This Row],[c]]))</f>
        <v/>
      </c>
      <c r="J1563" s="2" t="str">
        <f>IF(Iterations[[#This Row],[Step]] =current_step, current_d,IF(Iterations[[#This Row],[Step]] &gt; current_step, "",Iterations[[#This Row],[d]]))</f>
        <v/>
      </c>
      <c r="K1563" s="2" t="str">
        <f>IF(Iterations[[#This Row],[Step]] =current_step, current_e,IF(Iterations[[#This Row],[Step]] &gt; current_step, "",Iterations[[#This Row],[e]]))</f>
        <v/>
      </c>
      <c r="L1563" s="2" t="str">
        <f>IF(Iterations[[#This Row],[Step]] =current_step, current_Total_Loss,IF(Iterations[[#This Row],[Step]] &gt; current_step, "",Iterations[[#This Row],[Total Loss]]))</f>
        <v/>
      </c>
      <c r="M1563" s="6" t="s">
        <v>27</v>
      </c>
      <c r="N1563" s="2" t="str">
        <f>IF(Iterations[[#This Row],[Step]] =current_step, current_Grad_a,IF(Iterations[[#This Row],[Step]] &gt; current_step, "",Iterations[[#This Row],[Grad_a]]))</f>
        <v/>
      </c>
      <c r="O1563" s="2" t="str">
        <f>IF(Iterations[[#This Row],[Step]] =current_step, current_Grad_b,IF(Iterations[[#This Row],[Step]] &gt; current_step, "",Iterations[[#This Row],[Grad_b]]))</f>
        <v/>
      </c>
      <c r="P1563" s="2" t="str">
        <f>IF(Iterations[[#This Row],[Step]] =current_step, current_Grad_c,IF(Iterations[[#This Row],[Step]] &gt; current_step, "",Iterations[[#This Row],[Grad_c]]))</f>
        <v/>
      </c>
      <c r="Q1563" s="2" t="str">
        <f>IF(Iterations[[#This Row],[Step]] =current_step, current_Grad_d,IF(Iterations[[#This Row],[Step]] &gt; current_step, "",Iterations[[#This Row],[Grad_d]]))</f>
        <v/>
      </c>
      <c r="R1563" s="2" t="str">
        <f>IF(Iterations[[#This Row],[Step]] =current_step, current_Grad_e,IF(Iterations[[#This Row],[Step]] &gt; current_step, "",Iterations[[#This Row],[Grad_e]]))</f>
        <v/>
      </c>
    </row>
    <row r="1564" spans="6:18" x14ac:dyDescent="0.3">
      <c r="F1564" s="2">
        <f t="shared" si="29"/>
        <v>1547</v>
      </c>
      <c r="G1564" s="2" t="str">
        <f>IF(Iterations[[#This Row],[Step]] =current_step, current_a,IF(Iterations[[#This Row],[Step]] &gt; current_step, "",Iterations[[#This Row],[a]]))</f>
        <v/>
      </c>
      <c r="H1564" s="2" t="str">
        <f>IF(Iterations[[#This Row],[Step]] =current_step, current_b,IF(Iterations[[#This Row],[Step]] &gt; current_step, "",Iterations[[#This Row],[b]]))</f>
        <v/>
      </c>
      <c r="I1564" s="2" t="str">
        <f>IF(Iterations[[#This Row],[Step]] =current_step, current_c,IF(Iterations[[#This Row],[Step]] &gt; current_step, "",Iterations[[#This Row],[c]]))</f>
        <v/>
      </c>
      <c r="J1564" s="2" t="str">
        <f>IF(Iterations[[#This Row],[Step]] =current_step, current_d,IF(Iterations[[#This Row],[Step]] &gt; current_step, "",Iterations[[#This Row],[d]]))</f>
        <v/>
      </c>
      <c r="K1564" s="2" t="str">
        <f>IF(Iterations[[#This Row],[Step]] =current_step, current_e,IF(Iterations[[#This Row],[Step]] &gt; current_step, "",Iterations[[#This Row],[e]]))</f>
        <v/>
      </c>
      <c r="L1564" s="2" t="str">
        <f>IF(Iterations[[#This Row],[Step]] =current_step, current_Total_Loss,IF(Iterations[[#This Row],[Step]] &gt; current_step, "",Iterations[[#This Row],[Total Loss]]))</f>
        <v/>
      </c>
      <c r="M1564" s="6" t="s">
        <v>27</v>
      </c>
      <c r="N1564" s="2" t="str">
        <f>IF(Iterations[[#This Row],[Step]] =current_step, current_Grad_a,IF(Iterations[[#This Row],[Step]] &gt; current_step, "",Iterations[[#This Row],[Grad_a]]))</f>
        <v/>
      </c>
      <c r="O1564" s="2" t="str">
        <f>IF(Iterations[[#This Row],[Step]] =current_step, current_Grad_b,IF(Iterations[[#This Row],[Step]] &gt; current_step, "",Iterations[[#This Row],[Grad_b]]))</f>
        <v/>
      </c>
      <c r="P1564" s="2" t="str">
        <f>IF(Iterations[[#This Row],[Step]] =current_step, current_Grad_c,IF(Iterations[[#This Row],[Step]] &gt; current_step, "",Iterations[[#This Row],[Grad_c]]))</f>
        <v/>
      </c>
      <c r="Q1564" s="2" t="str">
        <f>IF(Iterations[[#This Row],[Step]] =current_step, current_Grad_d,IF(Iterations[[#This Row],[Step]] &gt; current_step, "",Iterations[[#This Row],[Grad_d]]))</f>
        <v/>
      </c>
      <c r="R1564" s="2" t="str">
        <f>IF(Iterations[[#This Row],[Step]] =current_step, current_Grad_e,IF(Iterations[[#This Row],[Step]] &gt; current_step, "",Iterations[[#This Row],[Grad_e]]))</f>
        <v/>
      </c>
    </row>
    <row r="1565" spans="6:18" x14ac:dyDescent="0.3">
      <c r="F1565" s="2">
        <f t="shared" si="29"/>
        <v>1548</v>
      </c>
      <c r="G1565" s="2" t="str">
        <f>IF(Iterations[[#This Row],[Step]] =current_step, current_a,IF(Iterations[[#This Row],[Step]] &gt; current_step, "",Iterations[[#This Row],[a]]))</f>
        <v/>
      </c>
      <c r="H1565" s="2" t="str">
        <f>IF(Iterations[[#This Row],[Step]] =current_step, current_b,IF(Iterations[[#This Row],[Step]] &gt; current_step, "",Iterations[[#This Row],[b]]))</f>
        <v/>
      </c>
      <c r="I1565" s="2" t="str">
        <f>IF(Iterations[[#This Row],[Step]] =current_step, current_c,IF(Iterations[[#This Row],[Step]] &gt; current_step, "",Iterations[[#This Row],[c]]))</f>
        <v/>
      </c>
      <c r="J1565" s="2" t="str">
        <f>IF(Iterations[[#This Row],[Step]] =current_step, current_d,IF(Iterations[[#This Row],[Step]] &gt; current_step, "",Iterations[[#This Row],[d]]))</f>
        <v/>
      </c>
      <c r="K1565" s="2" t="str">
        <f>IF(Iterations[[#This Row],[Step]] =current_step, current_e,IF(Iterations[[#This Row],[Step]] &gt; current_step, "",Iterations[[#This Row],[e]]))</f>
        <v/>
      </c>
      <c r="L1565" s="2" t="str">
        <f>IF(Iterations[[#This Row],[Step]] =current_step, current_Total_Loss,IF(Iterations[[#This Row],[Step]] &gt; current_step, "",Iterations[[#This Row],[Total Loss]]))</f>
        <v/>
      </c>
      <c r="M1565" s="6" t="s">
        <v>27</v>
      </c>
      <c r="N1565" s="2" t="str">
        <f>IF(Iterations[[#This Row],[Step]] =current_step, current_Grad_a,IF(Iterations[[#This Row],[Step]] &gt; current_step, "",Iterations[[#This Row],[Grad_a]]))</f>
        <v/>
      </c>
      <c r="O1565" s="2" t="str">
        <f>IF(Iterations[[#This Row],[Step]] =current_step, current_Grad_b,IF(Iterations[[#This Row],[Step]] &gt; current_step, "",Iterations[[#This Row],[Grad_b]]))</f>
        <v/>
      </c>
      <c r="P1565" s="2" t="str">
        <f>IF(Iterations[[#This Row],[Step]] =current_step, current_Grad_c,IF(Iterations[[#This Row],[Step]] &gt; current_step, "",Iterations[[#This Row],[Grad_c]]))</f>
        <v/>
      </c>
      <c r="Q1565" s="2" t="str">
        <f>IF(Iterations[[#This Row],[Step]] =current_step, current_Grad_d,IF(Iterations[[#This Row],[Step]] &gt; current_step, "",Iterations[[#This Row],[Grad_d]]))</f>
        <v/>
      </c>
      <c r="R1565" s="2" t="str">
        <f>IF(Iterations[[#This Row],[Step]] =current_step, current_Grad_e,IF(Iterations[[#This Row],[Step]] &gt; current_step, "",Iterations[[#This Row],[Grad_e]]))</f>
        <v/>
      </c>
    </row>
    <row r="1566" spans="6:18" x14ac:dyDescent="0.3">
      <c r="F1566" s="2">
        <f t="shared" si="29"/>
        <v>1549</v>
      </c>
      <c r="G1566" s="2" t="str">
        <f>IF(Iterations[[#This Row],[Step]] =current_step, current_a,IF(Iterations[[#This Row],[Step]] &gt; current_step, "",Iterations[[#This Row],[a]]))</f>
        <v/>
      </c>
      <c r="H1566" s="2" t="str">
        <f>IF(Iterations[[#This Row],[Step]] =current_step, current_b,IF(Iterations[[#This Row],[Step]] &gt; current_step, "",Iterations[[#This Row],[b]]))</f>
        <v/>
      </c>
      <c r="I1566" s="2" t="str">
        <f>IF(Iterations[[#This Row],[Step]] =current_step, current_c,IF(Iterations[[#This Row],[Step]] &gt; current_step, "",Iterations[[#This Row],[c]]))</f>
        <v/>
      </c>
      <c r="J1566" s="2" t="str">
        <f>IF(Iterations[[#This Row],[Step]] =current_step, current_d,IF(Iterations[[#This Row],[Step]] &gt; current_step, "",Iterations[[#This Row],[d]]))</f>
        <v/>
      </c>
      <c r="K1566" s="2" t="str">
        <f>IF(Iterations[[#This Row],[Step]] =current_step, current_e,IF(Iterations[[#This Row],[Step]] &gt; current_step, "",Iterations[[#This Row],[e]]))</f>
        <v/>
      </c>
      <c r="L1566" s="2" t="str">
        <f>IF(Iterations[[#This Row],[Step]] =current_step, current_Total_Loss,IF(Iterations[[#This Row],[Step]] &gt; current_step, "",Iterations[[#This Row],[Total Loss]]))</f>
        <v/>
      </c>
      <c r="M1566" s="6" t="s">
        <v>27</v>
      </c>
      <c r="N1566" s="2" t="str">
        <f>IF(Iterations[[#This Row],[Step]] =current_step, current_Grad_a,IF(Iterations[[#This Row],[Step]] &gt; current_step, "",Iterations[[#This Row],[Grad_a]]))</f>
        <v/>
      </c>
      <c r="O1566" s="2" t="str">
        <f>IF(Iterations[[#This Row],[Step]] =current_step, current_Grad_b,IF(Iterations[[#This Row],[Step]] &gt; current_step, "",Iterations[[#This Row],[Grad_b]]))</f>
        <v/>
      </c>
      <c r="P1566" s="2" t="str">
        <f>IF(Iterations[[#This Row],[Step]] =current_step, current_Grad_c,IF(Iterations[[#This Row],[Step]] &gt; current_step, "",Iterations[[#This Row],[Grad_c]]))</f>
        <v/>
      </c>
      <c r="Q1566" s="2" t="str">
        <f>IF(Iterations[[#This Row],[Step]] =current_step, current_Grad_d,IF(Iterations[[#This Row],[Step]] &gt; current_step, "",Iterations[[#This Row],[Grad_d]]))</f>
        <v/>
      </c>
      <c r="R1566" s="2" t="str">
        <f>IF(Iterations[[#This Row],[Step]] =current_step, current_Grad_e,IF(Iterations[[#This Row],[Step]] &gt; current_step, "",Iterations[[#This Row],[Grad_e]]))</f>
        <v/>
      </c>
    </row>
    <row r="1567" spans="6:18" x14ac:dyDescent="0.3">
      <c r="F1567" s="2">
        <f t="shared" si="29"/>
        <v>1550</v>
      </c>
      <c r="G1567" s="2" t="str">
        <f>IF(Iterations[[#This Row],[Step]] =current_step, current_a,IF(Iterations[[#This Row],[Step]] &gt; current_step, "",Iterations[[#This Row],[a]]))</f>
        <v/>
      </c>
      <c r="H1567" s="2" t="str">
        <f>IF(Iterations[[#This Row],[Step]] =current_step, current_b,IF(Iterations[[#This Row],[Step]] &gt; current_step, "",Iterations[[#This Row],[b]]))</f>
        <v/>
      </c>
      <c r="I1567" s="2" t="str">
        <f>IF(Iterations[[#This Row],[Step]] =current_step, current_c,IF(Iterations[[#This Row],[Step]] &gt; current_step, "",Iterations[[#This Row],[c]]))</f>
        <v/>
      </c>
      <c r="J1567" s="2" t="str">
        <f>IF(Iterations[[#This Row],[Step]] =current_step, current_d,IF(Iterations[[#This Row],[Step]] &gt; current_step, "",Iterations[[#This Row],[d]]))</f>
        <v/>
      </c>
      <c r="K1567" s="2" t="str">
        <f>IF(Iterations[[#This Row],[Step]] =current_step, current_e,IF(Iterations[[#This Row],[Step]] &gt; current_step, "",Iterations[[#This Row],[e]]))</f>
        <v/>
      </c>
      <c r="L1567" s="2" t="str">
        <f>IF(Iterations[[#This Row],[Step]] =current_step, current_Total_Loss,IF(Iterations[[#This Row],[Step]] &gt; current_step, "",Iterations[[#This Row],[Total Loss]]))</f>
        <v/>
      </c>
      <c r="M1567" s="6" t="s">
        <v>27</v>
      </c>
      <c r="N1567" s="2" t="str">
        <f>IF(Iterations[[#This Row],[Step]] =current_step, current_Grad_a,IF(Iterations[[#This Row],[Step]] &gt; current_step, "",Iterations[[#This Row],[Grad_a]]))</f>
        <v/>
      </c>
      <c r="O1567" s="2" t="str">
        <f>IF(Iterations[[#This Row],[Step]] =current_step, current_Grad_b,IF(Iterations[[#This Row],[Step]] &gt; current_step, "",Iterations[[#This Row],[Grad_b]]))</f>
        <v/>
      </c>
      <c r="P1567" s="2" t="str">
        <f>IF(Iterations[[#This Row],[Step]] =current_step, current_Grad_c,IF(Iterations[[#This Row],[Step]] &gt; current_step, "",Iterations[[#This Row],[Grad_c]]))</f>
        <v/>
      </c>
      <c r="Q1567" s="2" t="str">
        <f>IF(Iterations[[#This Row],[Step]] =current_step, current_Grad_d,IF(Iterations[[#This Row],[Step]] &gt; current_step, "",Iterations[[#This Row],[Grad_d]]))</f>
        <v/>
      </c>
      <c r="R1567" s="2" t="str">
        <f>IF(Iterations[[#This Row],[Step]] =current_step, current_Grad_e,IF(Iterations[[#This Row],[Step]] &gt; current_step, "",Iterations[[#This Row],[Grad_e]]))</f>
        <v/>
      </c>
    </row>
    <row r="1568" spans="6:18" x14ac:dyDescent="0.3">
      <c r="F1568" s="2">
        <f t="shared" si="29"/>
        <v>1551</v>
      </c>
      <c r="G1568" s="2" t="str">
        <f>IF(Iterations[[#This Row],[Step]] =current_step, current_a,IF(Iterations[[#This Row],[Step]] &gt; current_step, "",Iterations[[#This Row],[a]]))</f>
        <v/>
      </c>
      <c r="H1568" s="2" t="str">
        <f>IF(Iterations[[#This Row],[Step]] =current_step, current_b,IF(Iterations[[#This Row],[Step]] &gt; current_step, "",Iterations[[#This Row],[b]]))</f>
        <v/>
      </c>
      <c r="I1568" s="2" t="str">
        <f>IF(Iterations[[#This Row],[Step]] =current_step, current_c,IF(Iterations[[#This Row],[Step]] &gt; current_step, "",Iterations[[#This Row],[c]]))</f>
        <v/>
      </c>
      <c r="J1568" s="2" t="str">
        <f>IF(Iterations[[#This Row],[Step]] =current_step, current_d,IF(Iterations[[#This Row],[Step]] &gt; current_step, "",Iterations[[#This Row],[d]]))</f>
        <v/>
      </c>
      <c r="K1568" s="2" t="str">
        <f>IF(Iterations[[#This Row],[Step]] =current_step, current_e,IF(Iterations[[#This Row],[Step]] &gt; current_step, "",Iterations[[#This Row],[e]]))</f>
        <v/>
      </c>
      <c r="L1568" s="2" t="str">
        <f>IF(Iterations[[#This Row],[Step]] =current_step, current_Total_Loss,IF(Iterations[[#This Row],[Step]] &gt; current_step, "",Iterations[[#This Row],[Total Loss]]))</f>
        <v/>
      </c>
      <c r="M1568" s="6" t="s">
        <v>27</v>
      </c>
      <c r="N1568" s="2" t="str">
        <f>IF(Iterations[[#This Row],[Step]] =current_step, current_Grad_a,IF(Iterations[[#This Row],[Step]] &gt; current_step, "",Iterations[[#This Row],[Grad_a]]))</f>
        <v/>
      </c>
      <c r="O1568" s="2" t="str">
        <f>IF(Iterations[[#This Row],[Step]] =current_step, current_Grad_b,IF(Iterations[[#This Row],[Step]] &gt; current_step, "",Iterations[[#This Row],[Grad_b]]))</f>
        <v/>
      </c>
      <c r="P1568" s="2" t="str">
        <f>IF(Iterations[[#This Row],[Step]] =current_step, current_Grad_c,IF(Iterations[[#This Row],[Step]] &gt; current_step, "",Iterations[[#This Row],[Grad_c]]))</f>
        <v/>
      </c>
      <c r="Q1568" s="2" t="str">
        <f>IF(Iterations[[#This Row],[Step]] =current_step, current_Grad_d,IF(Iterations[[#This Row],[Step]] &gt; current_step, "",Iterations[[#This Row],[Grad_d]]))</f>
        <v/>
      </c>
      <c r="R1568" s="2" t="str">
        <f>IF(Iterations[[#This Row],[Step]] =current_step, current_Grad_e,IF(Iterations[[#This Row],[Step]] &gt; current_step, "",Iterations[[#This Row],[Grad_e]]))</f>
        <v/>
      </c>
    </row>
    <row r="1569" spans="6:18" x14ac:dyDescent="0.3">
      <c r="F1569" s="2">
        <f t="shared" si="29"/>
        <v>1552</v>
      </c>
      <c r="G1569" s="2" t="str">
        <f>IF(Iterations[[#This Row],[Step]] =current_step, current_a,IF(Iterations[[#This Row],[Step]] &gt; current_step, "",Iterations[[#This Row],[a]]))</f>
        <v/>
      </c>
      <c r="H1569" s="2" t="str">
        <f>IF(Iterations[[#This Row],[Step]] =current_step, current_b,IF(Iterations[[#This Row],[Step]] &gt; current_step, "",Iterations[[#This Row],[b]]))</f>
        <v/>
      </c>
      <c r="I1569" s="2" t="str">
        <f>IF(Iterations[[#This Row],[Step]] =current_step, current_c,IF(Iterations[[#This Row],[Step]] &gt; current_step, "",Iterations[[#This Row],[c]]))</f>
        <v/>
      </c>
      <c r="J1569" s="2" t="str">
        <f>IF(Iterations[[#This Row],[Step]] =current_step, current_d,IF(Iterations[[#This Row],[Step]] &gt; current_step, "",Iterations[[#This Row],[d]]))</f>
        <v/>
      </c>
      <c r="K1569" s="2" t="str">
        <f>IF(Iterations[[#This Row],[Step]] =current_step, current_e,IF(Iterations[[#This Row],[Step]] &gt; current_step, "",Iterations[[#This Row],[e]]))</f>
        <v/>
      </c>
      <c r="L1569" s="2" t="str">
        <f>IF(Iterations[[#This Row],[Step]] =current_step, current_Total_Loss,IF(Iterations[[#This Row],[Step]] &gt; current_step, "",Iterations[[#This Row],[Total Loss]]))</f>
        <v/>
      </c>
      <c r="M1569" s="6" t="s">
        <v>27</v>
      </c>
      <c r="N1569" s="2" t="str">
        <f>IF(Iterations[[#This Row],[Step]] =current_step, current_Grad_a,IF(Iterations[[#This Row],[Step]] &gt; current_step, "",Iterations[[#This Row],[Grad_a]]))</f>
        <v/>
      </c>
      <c r="O1569" s="2" t="str">
        <f>IF(Iterations[[#This Row],[Step]] =current_step, current_Grad_b,IF(Iterations[[#This Row],[Step]] &gt; current_step, "",Iterations[[#This Row],[Grad_b]]))</f>
        <v/>
      </c>
      <c r="P1569" s="2" t="str">
        <f>IF(Iterations[[#This Row],[Step]] =current_step, current_Grad_c,IF(Iterations[[#This Row],[Step]] &gt; current_step, "",Iterations[[#This Row],[Grad_c]]))</f>
        <v/>
      </c>
      <c r="Q1569" s="2" t="str">
        <f>IF(Iterations[[#This Row],[Step]] =current_step, current_Grad_d,IF(Iterations[[#This Row],[Step]] &gt; current_step, "",Iterations[[#This Row],[Grad_d]]))</f>
        <v/>
      </c>
      <c r="R1569" s="2" t="str">
        <f>IF(Iterations[[#This Row],[Step]] =current_step, current_Grad_e,IF(Iterations[[#This Row],[Step]] &gt; current_step, "",Iterations[[#This Row],[Grad_e]]))</f>
        <v/>
      </c>
    </row>
    <row r="1570" spans="6:18" x14ac:dyDescent="0.3">
      <c r="F1570" s="2">
        <f t="shared" si="29"/>
        <v>1553</v>
      </c>
      <c r="G1570" s="2" t="str">
        <f>IF(Iterations[[#This Row],[Step]] =current_step, current_a,IF(Iterations[[#This Row],[Step]] &gt; current_step, "",Iterations[[#This Row],[a]]))</f>
        <v/>
      </c>
      <c r="H1570" s="2" t="str">
        <f>IF(Iterations[[#This Row],[Step]] =current_step, current_b,IF(Iterations[[#This Row],[Step]] &gt; current_step, "",Iterations[[#This Row],[b]]))</f>
        <v/>
      </c>
      <c r="I1570" s="2" t="str">
        <f>IF(Iterations[[#This Row],[Step]] =current_step, current_c,IF(Iterations[[#This Row],[Step]] &gt; current_step, "",Iterations[[#This Row],[c]]))</f>
        <v/>
      </c>
      <c r="J1570" s="2" t="str">
        <f>IF(Iterations[[#This Row],[Step]] =current_step, current_d,IF(Iterations[[#This Row],[Step]] &gt; current_step, "",Iterations[[#This Row],[d]]))</f>
        <v/>
      </c>
      <c r="K1570" s="2" t="str">
        <f>IF(Iterations[[#This Row],[Step]] =current_step, current_e,IF(Iterations[[#This Row],[Step]] &gt; current_step, "",Iterations[[#This Row],[e]]))</f>
        <v/>
      </c>
      <c r="L1570" s="2" t="str">
        <f>IF(Iterations[[#This Row],[Step]] =current_step, current_Total_Loss,IF(Iterations[[#This Row],[Step]] &gt; current_step, "",Iterations[[#This Row],[Total Loss]]))</f>
        <v/>
      </c>
      <c r="M1570" s="6" t="s">
        <v>27</v>
      </c>
      <c r="N1570" s="2" t="str">
        <f>IF(Iterations[[#This Row],[Step]] =current_step, current_Grad_a,IF(Iterations[[#This Row],[Step]] &gt; current_step, "",Iterations[[#This Row],[Grad_a]]))</f>
        <v/>
      </c>
      <c r="O1570" s="2" t="str">
        <f>IF(Iterations[[#This Row],[Step]] =current_step, current_Grad_b,IF(Iterations[[#This Row],[Step]] &gt; current_step, "",Iterations[[#This Row],[Grad_b]]))</f>
        <v/>
      </c>
      <c r="P1570" s="2" t="str">
        <f>IF(Iterations[[#This Row],[Step]] =current_step, current_Grad_c,IF(Iterations[[#This Row],[Step]] &gt; current_step, "",Iterations[[#This Row],[Grad_c]]))</f>
        <v/>
      </c>
      <c r="Q1570" s="2" t="str">
        <f>IF(Iterations[[#This Row],[Step]] =current_step, current_Grad_d,IF(Iterations[[#This Row],[Step]] &gt; current_step, "",Iterations[[#This Row],[Grad_d]]))</f>
        <v/>
      </c>
      <c r="R1570" s="2" t="str">
        <f>IF(Iterations[[#This Row],[Step]] =current_step, current_Grad_e,IF(Iterations[[#This Row],[Step]] &gt; current_step, "",Iterations[[#This Row],[Grad_e]]))</f>
        <v/>
      </c>
    </row>
    <row r="1571" spans="6:18" x14ac:dyDescent="0.3">
      <c r="F1571" s="2">
        <f t="shared" si="29"/>
        <v>1554</v>
      </c>
      <c r="G1571" s="2" t="str">
        <f>IF(Iterations[[#This Row],[Step]] =current_step, current_a,IF(Iterations[[#This Row],[Step]] &gt; current_step, "",Iterations[[#This Row],[a]]))</f>
        <v/>
      </c>
      <c r="H1571" s="2" t="str">
        <f>IF(Iterations[[#This Row],[Step]] =current_step, current_b,IF(Iterations[[#This Row],[Step]] &gt; current_step, "",Iterations[[#This Row],[b]]))</f>
        <v/>
      </c>
      <c r="I1571" s="2" t="str">
        <f>IF(Iterations[[#This Row],[Step]] =current_step, current_c,IF(Iterations[[#This Row],[Step]] &gt; current_step, "",Iterations[[#This Row],[c]]))</f>
        <v/>
      </c>
      <c r="J1571" s="2" t="str">
        <f>IF(Iterations[[#This Row],[Step]] =current_step, current_d,IF(Iterations[[#This Row],[Step]] &gt; current_step, "",Iterations[[#This Row],[d]]))</f>
        <v/>
      </c>
      <c r="K1571" s="2" t="str">
        <f>IF(Iterations[[#This Row],[Step]] =current_step, current_e,IF(Iterations[[#This Row],[Step]] &gt; current_step, "",Iterations[[#This Row],[e]]))</f>
        <v/>
      </c>
      <c r="L1571" s="2" t="str">
        <f>IF(Iterations[[#This Row],[Step]] =current_step, current_Total_Loss,IF(Iterations[[#This Row],[Step]] &gt; current_step, "",Iterations[[#This Row],[Total Loss]]))</f>
        <v/>
      </c>
      <c r="M1571" s="6" t="s">
        <v>27</v>
      </c>
      <c r="N1571" s="2" t="str">
        <f>IF(Iterations[[#This Row],[Step]] =current_step, current_Grad_a,IF(Iterations[[#This Row],[Step]] &gt; current_step, "",Iterations[[#This Row],[Grad_a]]))</f>
        <v/>
      </c>
      <c r="O1571" s="2" t="str">
        <f>IF(Iterations[[#This Row],[Step]] =current_step, current_Grad_b,IF(Iterations[[#This Row],[Step]] &gt; current_step, "",Iterations[[#This Row],[Grad_b]]))</f>
        <v/>
      </c>
      <c r="P1571" s="2" t="str">
        <f>IF(Iterations[[#This Row],[Step]] =current_step, current_Grad_c,IF(Iterations[[#This Row],[Step]] &gt; current_step, "",Iterations[[#This Row],[Grad_c]]))</f>
        <v/>
      </c>
      <c r="Q1571" s="2" t="str">
        <f>IF(Iterations[[#This Row],[Step]] =current_step, current_Grad_d,IF(Iterations[[#This Row],[Step]] &gt; current_step, "",Iterations[[#This Row],[Grad_d]]))</f>
        <v/>
      </c>
      <c r="R1571" s="2" t="str">
        <f>IF(Iterations[[#This Row],[Step]] =current_step, current_Grad_e,IF(Iterations[[#This Row],[Step]] &gt; current_step, "",Iterations[[#This Row],[Grad_e]]))</f>
        <v/>
      </c>
    </row>
  </sheetData>
  <phoneticPr fontId="5" type="noConversion"/>
  <pageMargins left="0.7" right="0.7" top="0.75" bottom="0.75" header="0.3" footer="0.3"/>
  <pageSetup orientation="portrait" horizontalDpi="300" verticalDpi="300" r:id="rId1"/>
  <ignoredErrors>
    <ignoredError sqref="M17:M18" calculatedColumn="1"/>
  </ignoredErrors>
  <drawing r:id="rId2"/>
  <legacyDrawing r:id="rId3"/>
  <tableParts count="4">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B87B2E-D475-485F-9194-3B12009D0D02}">
  <sheetPr codeName="Sheet1"/>
  <dimension ref="A1:O112"/>
  <sheetViews>
    <sheetView topLeftCell="B6" zoomScale="115" zoomScaleNormal="115" workbookViewId="0">
      <selection activeCell="C12" sqref="C12"/>
    </sheetView>
  </sheetViews>
  <sheetFormatPr defaultRowHeight="14.4" x14ac:dyDescent="0.3"/>
  <cols>
    <col min="1" max="1" width="12.6640625" bestFit="1" customWidth="1"/>
    <col min="2" max="2" width="16.88671875" customWidth="1"/>
    <col min="3" max="3" width="24.33203125" bestFit="1" customWidth="1"/>
    <col min="4" max="4" width="21.109375" customWidth="1"/>
    <col min="5" max="5" width="12.5546875" bestFit="1" customWidth="1"/>
    <col min="7" max="7" width="12.77734375" customWidth="1"/>
    <col min="9" max="9" width="10" customWidth="1"/>
    <col min="10" max="10" width="11.6640625" customWidth="1"/>
    <col min="11" max="11" width="10.88671875" customWidth="1"/>
    <col min="13" max="13" width="11.21875" customWidth="1"/>
  </cols>
  <sheetData>
    <row r="1" spans="1:15" x14ac:dyDescent="0.3">
      <c r="A1" t="s">
        <v>17</v>
      </c>
      <c r="B1" t="s">
        <v>22</v>
      </c>
      <c r="C1" t="s">
        <v>23</v>
      </c>
      <c r="D1" t="s">
        <v>24</v>
      </c>
      <c r="E1" t="s">
        <v>44</v>
      </c>
      <c r="I1" t="s">
        <v>17</v>
      </c>
      <c r="J1" t="s">
        <v>22</v>
      </c>
      <c r="K1" t="s">
        <v>23</v>
      </c>
      <c r="L1" t="s">
        <v>24</v>
      </c>
      <c r="M1" t="s">
        <v>44</v>
      </c>
      <c r="N1" t="s">
        <v>71</v>
      </c>
    </row>
    <row r="2" spans="1:15" x14ac:dyDescent="0.3">
      <c r="A2">
        <v>-7.2394953598678917</v>
      </c>
      <c r="B2">
        <v>0.35433728224724093</v>
      </c>
      <c r="C2">
        <v>21.144197140162227</v>
      </c>
      <c r="D2">
        <v>1.1992886896662236</v>
      </c>
      <c r="E2">
        <v>11.340565545580883</v>
      </c>
      <c r="I2">
        <v>-1.34079464236155</v>
      </c>
      <c r="J2">
        <v>-7.4911806673926797</v>
      </c>
      <c r="K2">
        <v>4.6385312257614597</v>
      </c>
      <c r="L2">
        <v>21.492851898826899</v>
      </c>
      <c r="M2">
        <v>-1.27617791605717</v>
      </c>
      <c r="N2">
        <v>11.291038386253801</v>
      </c>
    </row>
    <row r="4" spans="1:15" x14ac:dyDescent="0.3">
      <c r="A4" t="s">
        <v>69</v>
      </c>
      <c r="B4">
        <v>90.47</v>
      </c>
      <c r="I4" t="s">
        <v>69</v>
      </c>
      <c r="J4" s="35">
        <v>72.367413241069301</v>
      </c>
      <c r="L4" t="s">
        <v>34</v>
      </c>
      <c r="M4">
        <v>0</v>
      </c>
      <c r="N4">
        <v>2000</v>
      </c>
      <c r="O4">
        <v>1E-3</v>
      </c>
    </row>
    <row r="5" spans="1:15" x14ac:dyDescent="0.3">
      <c r="A5" t="s">
        <v>72</v>
      </c>
      <c r="B5">
        <v>1000</v>
      </c>
      <c r="I5" t="s">
        <v>72</v>
      </c>
      <c r="J5">
        <v>10000</v>
      </c>
      <c r="M5">
        <v>2001</v>
      </c>
      <c r="N5">
        <v>10000</v>
      </c>
      <c r="O5">
        <v>5.0000000000000001E-3</v>
      </c>
    </row>
    <row r="21" spans="1:4" x14ac:dyDescent="0.3">
      <c r="A21" s="4" t="s">
        <v>2</v>
      </c>
      <c r="B21" s="4" t="s">
        <v>68</v>
      </c>
      <c r="C21" s="4" t="s">
        <v>70</v>
      </c>
      <c r="D21" s="4" t="s">
        <v>73</v>
      </c>
    </row>
    <row r="22" spans="1:4" x14ac:dyDescent="0.3">
      <c r="A22">
        <v>-3</v>
      </c>
      <c r="B22">
        <f>(Table1[[#This Row],[X]]-AVG_X) / STD_X</f>
        <v>-1.716790150557904</v>
      </c>
      <c r="C22">
        <f>$A$2 * Table1[[#This Row],[X_NORM]]^4 + $B$2 * Table1[[#This Row],[X_NORM]]^3 + $C$2 * Table1[[#This Row],[X_NORM]]^2 + $D$2 * Table1[[#This Row],[X_NORM]] + $E$2</f>
        <v>6.9190703805185274</v>
      </c>
      <c r="D22">
        <f>$I$2 * Table1[[#This Row],[X_NORM]]^5 + $J$2 * Table1[[#This Row],[X_NORM]]^4 + $K$2 * Table1[[#This Row],[X_NORM]]^3 + $L$2 * Table1[[#This Row],[X_NORM]]^2 + $M$2 *Table1[[#This Row],[X_NORM]] + $N$2</f>
        <v>8.278790734537214</v>
      </c>
    </row>
    <row r="23" spans="1:4" x14ac:dyDescent="0.3">
      <c r="A23">
        <f t="shared" ref="A23:A77" si="0">A22+0.2</f>
        <v>-2.8</v>
      </c>
      <c r="B23">
        <f>(Table1[[#This Row],[X]]-AVG_X) / STD_X</f>
        <v>-1.680001790188806</v>
      </c>
      <c r="C23">
        <f>$A$2 * Table1[[#This Row],[X_NORM]]^4 + $B$2 * Table1[[#This Row],[X_NORM]]^3 + $C$2 * Table1[[#This Row],[X_NORM]]^2 + $D$2 * Table1[[#This Row],[X_NORM]] + $E$2</f>
        <v>9.6534810079172964</v>
      </c>
      <c r="D23">
        <f>$I$2 * Table1[[#This Row],[X_NORM]]^5 + $J$2 * Table1[[#This Row],[X_NORM]]^4 + $K$2 * Table1[[#This Row],[X_NORM]]^3 + $L$2 * Table1[[#This Row],[X_NORM]]^2 + $M$2 *Table1[[#This Row],[X_NORM]] + $N$2</f>
        <v>10.371390600582957</v>
      </c>
    </row>
    <row r="24" spans="1:4" x14ac:dyDescent="0.3">
      <c r="A24">
        <f t="shared" si="0"/>
        <v>-2.5999999999999996</v>
      </c>
      <c r="B24">
        <f>(Table1[[#This Row],[X]]-AVG_X) / STD_X</f>
        <v>-1.6432134298197083</v>
      </c>
      <c r="C24">
        <f>$A$2 * Table1[[#This Row],[X_NORM]]^4 + $B$2 * Table1[[#This Row],[X_NORM]]^3 + $C$2 * Table1[[#This Row],[X_NORM]]^2 + $D$2 * Table1[[#This Row],[X_NORM]] + $E$2</f>
        <v>12.108422731321445</v>
      </c>
      <c r="D24">
        <f>$I$2 * Table1[[#This Row],[X_NORM]]^5 + $J$2 * Table1[[#This Row],[X_NORM]]^4 + $K$2 * Table1[[#This Row],[X_NORM]]^3 + $L$2 * Table1[[#This Row],[X_NORM]]^2 + $M$2 *Table1[[#This Row],[X_NORM]] + $N$2</f>
        <v>12.287608235753074</v>
      </c>
    </row>
    <row r="25" spans="1:4" x14ac:dyDescent="0.3">
      <c r="A25">
        <f t="shared" si="0"/>
        <v>-2.3999999999999995</v>
      </c>
      <c r="B25">
        <f>(Table1[[#This Row],[X]]-AVG_X) / STD_X</f>
        <v>-1.6064250694506101</v>
      </c>
      <c r="C25">
        <f>$A$2 * Table1[[#This Row],[X_NORM]]^4 + $B$2 * Table1[[#This Row],[X_NORM]]^3 + $C$2 * Table1[[#This Row],[X_NORM]]^2 + $D$2 * Table1[[#This Row],[X_NORM]] + $E$2</f>
        <v>14.298375457886529</v>
      </c>
      <c r="D25">
        <f>$I$2 * Table1[[#This Row],[X_NORM]]^5 + $J$2 * Table1[[#This Row],[X_NORM]]^4 + $K$2 * Table1[[#This Row],[X_NORM]]^3 + $L$2 * Table1[[#This Row],[X_NORM]]^2 + $M$2 *Table1[[#This Row],[X_NORM]] + $N$2</f>
        <v>14.032643101696836</v>
      </c>
    </row>
    <row r="26" spans="1:4" x14ac:dyDescent="0.3">
      <c r="A26">
        <f t="shared" si="0"/>
        <v>-2.1999999999999993</v>
      </c>
      <c r="B26">
        <f>(Table1[[#This Row],[X]]-AVG_X) / STD_X</f>
        <v>-1.569636709081512</v>
      </c>
      <c r="C26">
        <f>$A$2 * Table1[[#This Row],[X_NORM]]^4 + $B$2 * Table1[[#This Row],[X_NORM]]^3 + $C$2 * Table1[[#This Row],[X_NORM]]^2 + $D$2 * Table1[[#This Row],[X_NORM]] + $E$2</f>
        <v>16.237500850006278</v>
      </c>
      <c r="D26">
        <f>$I$2 * Table1[[#This Row],[X_NORM]]^5 + $J$2 * Table1[[#This Row],[X_NORM]]^4 + $K$2 * Table1[[#This Row],[X_NORM]]^3 + $L$2 * Table1[[#This Row],[X_NORM]]^2 + $M$2 *Table1[[#This Row],[X_NORM]] + $N$2</f>
        <v>15.611849612024974</v>
      </c>
    </row>
    <row r="27" spans="1:4" x14ac:dyDescent="0.3">
      <c r="A27">
        <f t="shared" si="0"/>
        <v>-1.9999999999999993</v>
      </c>
      <c r="B27">
        <f>(Table1[[#This Row],[X]]-AVG_X) / STD_X</f>
        <v>-1.5328483487124143</v>
      </c>
      <c r="C27">
        <f>$A$2 * Table1[[#This Row],[X_NORM]]^4 + $B$2 * Table1[[#This Row],[X_NORM]]^3 + $C$2 * Table1[[#This Row],[X_NORM]]^2 + $D$2 * Table1[[#This Row],[X_NORM]] + $E$2</f>
        <v>17.939642325312565</v>
      </c>
      <c r="D27">
        <f>$I$2 * Table1[[#This Row],[X_NORM]]^5 + $J$2 * Table1[[#This Row],[X_NORM]]^4 + $K$2 * Table1[[#This Row],[X_NORM]]^3 + $L$2 * Table1[[#This Row],[X_NORM]]^2 + $M$2 *Table1[[#This Row],[X_NORM]] + $N$2</f>
        <v>17.030726290652542</v>
      </c>
    </row>
    <row r="28" spans="1:4" x14ac:dyDescent="0.3">
      <c r="A28">
        <f t="shared" si="0"/>
        <v>-1.7999999999999994</v>
      </c>
      <c r="B28">
        <f>(Table1[[#This Row],[X]]-AVG_X) / STD_X</f>
        <v>-1.4960599883433163</v>
      </c>
      <c r="C28">
        <f>$A$2 * Table1[[#This Row],[X_NORM]]^4 + $B$2 * Table1[[#This Row],[X_NORM]]^3 + $C$2 * Table1[[#This Row],[X_NORM]]^2 + $D$2 * Table1[[#This Row],[X_NORM]] + $E$2</f>
        <v>19.418325056675521</v>
      </c>
      <c r="D28">
        <f>$I$2 * Table1[[#This Row],[X_NORM]]^5 + $J$2 * Table1[[#This Row],[X_NORM]]^4 + $K$2 * Table1[[#This Row],[X_NORM]]^3 + $L$2 * Table1[[#This Row],[X_NORM]]^2 + $M$2 *Table1[[#This Row],[X_NORM]] + $N$2</f>
        <v>18.294904930141726</v>
      </c>
    </row>
    <row r="29" spans="1:4" x14ac:dyDescent="0.3">
      <c r="A29">
        <f t="shared" si="0"/>
        <v>-1.5999999999999994</v>
      </c>
      <c r="B29">
        <f>(Table1[[#This Row],[X]]-AVG_X) / STD_X</f>
        <v>-1.4592716279742184</v>
      </c>
      <c r="C29">
        <f>$A$2 * Table1[[#This Row],[X_NORM]]^4 + $B$2 * Table1[[#This Row],[X_NORM]]^3 + $C$2 * Table1[[#This Row],[X_NORM]]^2 + $D$2 * Table1[[#This Row],[X_NORM]] + $E$2</f>
        <v>20.686755972203407</v>
      </c>
      <c r="D29">
        <f>$I$2 * Table1[[#This Row],[X_NORM]]^5 + $J$2 * Table1[[#This Row],[X_NORM]]^4 + $K$2 * Table1[[#This Row],[X_NORM]]^3 + $L$2 * Table1[[#This Row],[X_NORM]]^2 + $M$2 *Table1[[#This Row],[X_NORM]] + $N$2</f>
        <v>19.410139750044475</v>
      </c>
    </row>
    <row r="30" spans="1:4" x14ac:dyDescent="0.3">
      <c r="A30">
        <f t="shared" si="0"/>
        <v>-1.3999999999999995</v>
      </c>
      <c r="B30">
        <f>(Table1[[#This Row],[X]]-AVG_X) / STD_X</f>
        <v>-1.4224832676051204</v>
      </c>
      <c r="C30">
        <f>$A$2 * Table1[[#This Row],[X_NORM]]^4 + $B$2 * Table1[[#This Row],[X_NORM]]^3 + $C$2 * Table1[[#This Row],[X_NORM]]^2 + $D$2 * Table1[[#This Row],[X_NORM]] + $E$2</f>
        <v>21.757823755242665</v>
      </c>
      <c r="D30">
        <f>$I$2 * Table1[[#This Row],[X_NORM]]^5 + $J$2 * Table1[[#This Row],[X_NORM]]^4 + $K$2 * Table1[[#This Row],[X_NORM]]^3 + $L$2 * Table1[[#This Row],[X_NORM]]^2 + $M$2 *Table1[[#This Row],[X_NORM]] + $N$2</f>
        <v>20.382296555245432</v>
      </c>
    </row>
    <row r="31" spans="1:4" x14ac:dyDescent="0.3">
      <c r="A31">
        <f t="shared" si="0"/>
        <v>-1.1999999999999995</v>
      </c>
      <c r="B31">
        <f>(Table1[[#This Row],[X]]-AVG_X) / STD_X</f>
        <v>-1.3856949072360225</v>
      </c>
      <c r="C31">
        <f>$A$2 * Table1[[#This Row],[X_NORM]]^4 + $B$2 * Table1[[#This Row],[X_NORM]]^3 + $C$2 * Table1[[#This Row],[X_NORM]]^2 + $D$2 * Table1[[#This Row],[X_NORM]] + $E$2</f>
        <v>22.644098844377929</v>
      </c>
      <c r="D31">
        <f>$I$2 * Table1[[#This Row],[X_NORM]]^5 + $J$2 * Table1[[#This Row],[X_NORM]]^4 + $K$2 * Table1[[#This Row],[X_NORM]]^3 + $L$2 * Table1[[#This Row],[X_NORM]]^2 + $M$2 *Table1[[#This Row],[X_NORM]] + $N$2</f>
        <v>21.217341894304617</v>
      </c>
    </row>
    <row r="32" spans="1:4" x14ac:dyDescent="0.3">
      <c r="A32">
        <f t="shared" si="0"/>
        <v>-0.99999999999999956</v>
      </c>
      <c r="B32">
        <f>(Table1[[#This Row],[X]]-AVG_X) / STD_X</f>
        <v>-1.3489065468669246</v>
      </c>
      <c r="C32">
        <f>$A$2 * Table1[[#This Row],[X_NORM]]^4 + $B$2 * Table1[[#This Row],[X_NORM]]^3 + $C$2 * Table1[[#This Row],[X_NORM]]^2 + $D$2 * Table1[[#This Row],[X_NORM]] + $E$2</f>
        <v>23.35783343343201</v>
      </c>
      <c r="D32">
        <f>$I$2 * Table1[[#This Row],[X_NORM]]^5 + $J$2 * Table1[[#This Row],[X_NORM]]^4 + $K$2 * Table1[[#This Row],[X_NORM]]^3 + $L$2 * Table1[[#This Row],[X_NORM]]^2 + $M$2 *Table1[[#This Row],[X_NORM]] + $N$2</f>
        <v>21.921332217800206</v>
      </c>
    </row>
    <row r="33" spans="1:4" x14ac:dyDescent="0.3">
      <c r="A33">
        <f t="shared" si="0"/>
        <v>-0.7999999999999996</v>
      </c>
      <c r="B33">
        <f>(Table1[[#This Row],[X]]-AVG_X) / STD_X</f>
        <v>-1.3121181864978266</v>
      </c>
      <c r="C33">
        <f>$A$2 * Table1[[#This Row],[X_NORM]]^4 + $B$2 * Table1[[#This Row],[X_NORM]]^3 + $C$2 * Table1[[#This Row],[X_NORM]]^2 + $D$2 * Table1[[#This Row],[X_NORM]] + $E$2</f>
        <v>23.910961471465903</v>
      </c>
      <c r="D33">
        <f>$I$2 * Table1[[#This Row],[X_NORM]]^5 + $J$2 * Table1[[#This Row],[X_NORM]]^4 + $K$2 * Table1[[#This Row],[X_NORM]]^3 + $L$2 * Table1[[#This Row],[X_NORM]]^2 + $M$2 *Table1[[#This Row],[X_NORM]] + $N$2</f>
        <v>22.500403036671358</v>
      </c>
    </row>
    <row r="34" spans="1:4" x14ac:dyDescent="0.3">
      <c r="A34">
        <f t="shared" si="0"/>
        <v>-0.59999999999999964</v>
      </c>
      <c r="B34">
        <f>(Table1[[#This Row],[X]]-AVG_X) / STD_X</f>
        <v>-1.2753298261287287</v>
      </c>
      <c r="C34">
        <f>$A$2 * Table1[[#This Row],[X_NORM]]^4 + $B$2 * Table1[[#This Row],[X_NORM]]^3 + $C$2 * Table1[[#This Row],[X_NORM]]^2 + $D$2 * Table1[[#This Row],[X_NORM]] + $E$2</f>
        <v>24.315098662778777</v>
      </c>
      <c r="D34">
        <f>$I$2 * Table1[[#This Row],[X_NORM]]^5 + $J$2 * Table1[[#This Row],[X_NORM]]^4 + $K$2 * Table1[[#This Row],[X_NORM]]^3 + $L$2 * Table1[[#This Row],[X_NORM]]^2 + $M$2 *Table1[[#This Row],[X_NORM]] + $N$2</f>
        <v>22.960758080560943</v>
      </c>
    </row>
    <row r="35" spans="1:4" x14ac:dyDescent="0.3">
      <c r="A35">
        <f t="shared" si="0"/>
        <v>-0.39999999999999963</v>
      </c>
      <c r="B35">
        <f>(Table1[[#This Row],[X]]-AVG_X) / STD_X</f>
        <v>-1.2385414657596308</v>
      </c>
      <c r="C35">
        <f>$A$2 * Table1[[#This Row],[X_NORM]]^4 + $B$2 * Table1[[#This Row],[X_NORM]]^3 + $C$2 * Table1[[#This Row],[X_NORM]]^2 + $D$2 * Table1[[#This Row],[X_NORM]] + $E$2</f>
        <v>24.581542466907973</v>
      </c>
      <c r="D35">
        <f>$I$2 * Table1[[#This Row],[X_NORM]]^5 + $J$2 * Table1[[#This Row],[X_NORM]]^4 + $K$2 * Table1[[#This Row],[X_NORM]]^3 + $L$2 * Table1[[#This Row],[X_NORM]]^2 + $M$2 *Table1[[#This Row],[X_NORM]] + $N$2</f>
        <v>23.308658456158334</v>
      </c>
    </row>
    <row r="36" spans="1:4" x14ac:dyDescent="0.3">
      <c r="A36">
        <f t="shared" si="0"/>
        <v>-0.19999999999999962</v>
      </c>
      <c r="B36">
        <f>(Table1[[#This Row],[X]]-AVG_X) / STD_X</f>
        <v>-1.2017531053905328</v>
      </c>
      <c r="C36">
        <f>$A$2 * Table1[[#This Row],[X_NORM]]^4 + $B$2 * Table1[[#This Row],[X_NORM]]^3 + $C$2 * Table1[[#This Row],[X_NORM]]^2 + $D$2 * Table1[[#This Row],[X_NORM]] + $E$2</f>
        <v>24.721272098629033</v>
      </c>
      <c r="D36">
        <f>$I$2 * Table1[[#This Row],[X_NORM]]^5 + $J$2 * Table1[[#This Row],[X_NORM]]^4 + $K$2 * Table1[[#This Row],[X_NORM]]^3 + $L$2 * Table1[[#This Row],[X_NORM]]^2 + $M$2 *Table1[[#This Row],[X_NORM]] + $N$2</f>
        <v>23.550411805542179</v>
      </c>
    </row>
    <row r="37" spans="1:4" x14ac:dyDescent="0.3">
      <c r="A37">
        <v>0</v>
      </c>
      <c r="B37">
        <f>(Table1[[#This Row],[X]]-AVG_X) / STD_X</f>
        <v>-1.1649647450214349</v>
      </c>
      <c r="C37">
        <f>$A$2 * Table1[[#This Row],[X_NORM]]^4 + $B$2 * Table1[[#This Row],[X_NORM]]^3 + $C$2 * Table1[[#This Row],[X_NORM]]^2 + $D$2 * Table1[[#This Row],[X_NORM]] + $E$2</f>
        <v>24.744948527955664</v>
      </c>
      <c r="D37">
        <f>$I$2 * Table1[[#This Row],[X_NORM]]^5 + $J$2 * Table1[[#This Row],[X_NORM]]^4 + $K$2 * Table1[[#This Row],[X_NORM]]^3 + $L$2 * Table1[[#This Row],[X_NORM]]^2 + $M$2 *Table1[[#This Row],[X_NORM]] + $N$2</f>
        <v>23.692361464523184</v>
      </c>
    </row>
    <row r="38" spans="1:4" x14ac:dyDescent="0.3">
      <c r="A38">
        <f t="shared" si="0"/>
        <v>0.2</v>
      </c>
      <c r="B38">
        <f>(Table1[[#This Row],[X]]-AVG_X) / STD_X</f>
        <v>-1.1281763846523369</v>
      </c>
      <c r="C38">
        <f>$A$2 * Table1[[#This Row],[X_NORM]]^4 + $B$2 * Table1[[#This Row],[X_NORM]]^3 + $C$2 * Table1[[#This Row],[X_NORM]]^2 + $D$2 * Table1[[#This Row],[X_NORM]] + $E$2</f>
        <v>24.662914480139754</v>
      </c>
      <c r="D38">
        <f>$I$2 * Table1[[#This Row],[X_NORM]]^5 + $J$2 * Table1[[#This Row],[X_NORM]]^4 + $K$2 * Table1[[#This Row],[X_NORM]]^3 + $L$2 * Table1[[#This Row],[X_NORM]]^2 + $M$2 *Table1[[#This Row],[X_NORM]] + $N$2</f>
        <v>23.740875620986873</v>
      </c>
    </row>
    <row r="39" spans="1:4" x14ac:dyDescent="0.3">
      <c r="A39">
        <f t="shared" si="0"/>
        <v>0.4</v>
      </c>
      <c r="B39">
        <f>(Table1[[#This Row],[X]]-AVG_X) / STD_X</f>
        <v>-1.091388024283239</v>
      </c>
      <c r="C39">
        <f>$A$2 * Table1[[#This Row],[X_NORM]]^4 + $B$2 * Table1[[#This Row],[X_NORM]]^3 + $C$2 * Table1[[#This Row],[X_NORM]]^2 + $D$2 * Table1[[#This Row],[X_NORM]] + $E$2</f>
        <v>24.485194435671378</v>
      </c>
      <c r="D39">
        <f>$I$2 * Table1[[#This Row],[X_NORM]]^5 + $J$2 * Table1[[#This Row],[X_NORM]]^4 + $K$2 * Table1[[#This Row],[X_NORM]]^3 + $L$2 * Table1[[#This Row],[X_NORM]]^2 + $M$2 *Table1[[#This Row],[X_NORM]] + $N$2</f>
        <v>23.702336473236386</v>
      </c>
    </row>
    <row r="40" spans="1:4" x14ac:dyDescent="0.3">
      <c r="A40">
        <f t="shared" si="0"/>
        <v>0.60000000000000009</v>
      </c>
      <c r="B40">
        <f>(Table1[[#This Row],[X]]-AVG_X) / STD_X</f>
        <v>-1.0545996639141411</v>
      </c>
      <c r="C40">
        <f>$A$2 * Table1[[#This Row],[X_NORM]]^4 + $B$2 * Table1[[#This Row],[X_NORM]]^3 + $C$2 * Table1[[#This Row],[X_NORM]]^2 + $D$2 * Table1[[#This Row],[X_NORM]] + $E$2</f>
        <v>24.221494630278787</v>
      </c>
      <c r="D40">
        <f>$I$2 * Table1[[#This Row],[X_NORM]]^5 + $J$2 * Table1[[#This Row],[X_NORM]]^4 + $K$2 * Table1[[#This Row],[X_NORM]]^3 + $L$2 * Table1[[#This Row],[X_NORM]]^2 + $M$2 *Table1[[#This Row],[X_NORM]] + $N$2</f>
        <v>23.583129388335223</v>
      </c>
    </row>
    <row r="41" spans="1:4" x14ac:dyDescent="0.3">
      <c r="A41">
        <f t="shared" si="0"/>
        <v>0.8</v>
      </c>
      <c r="B41">
        <f>(Table1[[#This Row],[X]]-AVG_X) / STD_X</f>
        <v>-1.0178113035450431</v>
      </c>
      <c r="C41">
        <f>$A$2 * Table1[[#This Row],[X_NORM]]^4 + $B$2 * Table1[[#This Row],[X_NORM]]^3 + $C$2 * Table1[[#This Row],[X_NORM]]^2 + $D$2 * Table1[[#This Row],[X_NORM]] + $E$2</f>
        <v>23.881203054928406</v>
      </c>
      <c r="D41">
        <f>$I$2 * Table1[[#This Row],[X_NORM]]^5 + $J$2 * Table1[[#This Row],[X_NORM]]^4 + $K$2 * Table1[[#This Row],[X_NORM]]^3 + $L$2 * Table1[[#This Row],[X_NORM]]^2 + $M$2 *Table1[[#This Row],[X_NORM]] + $N$2</f>
        <v>23.389632060450051</v>
      </c>
    </row>
    <row r="42" spans="1:4" x14ac:dyDescent="0.3">
      <c r="A42">
        <f t="shared" si="0"/>
        <v>1</v>
      </c>
      <c r="B42">
        <f>(Table1[[#This Row],[X]]-AVG_X) / STD_X</f>
        <v>-0.98102294317594518</v>
      </c>
      <c r="C42">
        <f>$A$2 * Table1[[#This Row],[X_NORM]]^4 + $B$2 * Table1[[#This Row],[X_NORM]]^3 + $C$2 * Table1[[#This Row],[X_NORM]]^2 + $D$2 * Table1[[#This Row],[X_NORM]] + $E$2</f>
        <v>23.473389455824851</v>
      </c>
      <c r="D42">
        <f>$I$2 * Table1[[#This Row],[X_NORM]]^5 + $J$2 * Table1[[#This Row],[X_NORM]]^4 + $K$2 * Table1[[#This Row],[X_NORM]]^3 + $L$2 * Table1[[#This Row],[X_NORM]]^2 + $M$2 *Table1[[#This Row],[X_NORM]] + $N$2</f>
        <v>23.128203669193454</v>
      </c>
    </row>
    <row r="43" spans="1:4" x14ac:dyDescent="0.3">
      <c r="A43">
        <f t="shared" si="0"/>
        <v>1.2</v>
      </c>
      <c r="B43">
        <f>(Table1[[#This Row],[X]]-AVG_X) / STD_X</f>
        <v>-0.94423458280684724</v>
      </c>
      <c r="C43">
        <f>$A$2 * Table1[[#This Row],[X_NORM]]^4 + $B$2 * Table1[[#This Row],[X_NORM]]^3 + $C$2 * Table1[[#This Row],[X_NORM]]^2 + $D$2 * Table1[[#This Row],[X_NORM]] + $E$2</f>
        <v>23.006805334410913</v>
      </c>
      <c r="D43">
        <f>$I$2 * Table1[[#This Row],[X_NORM]]^5 + $J$2 * Table1[[#This Row],[X_NORM]]^4 + $K$2 * Table1[[#This Row],[X_NORM]]^3 + $L$2 * Table1[[#This Row],[X_NORM]]^2 + $M$2 *Table1[[#This Row],[X_NORM]] + $N$2</f>
        <v>22.805174037966722</v>
      </c>
    </row>
    <row r="44" spans="1:4" x14ac:dyDescent="0.3">
      <c r="A44">
        <f t="shared" si="0"/>
        <v>1.4</v>
      </c>
      <c r="B44">
        <f>(Table1[[#This Row],[X]]-AVG_X) / STD_X</f>
        <v>-0.90744622243774942</v>
      </c>
      <c r="C44">
        <f>$A$2 * Table1[[#This Row],[X_NORM]]^4 + $B$2 * Table1[[#This Row],[X_NORM]]^3 + $C$2 * Table1[[#This Row],[X_NORM]]^2 + $D$2 * Table1[[#This Row],[X_NORM]] + $E$2</f>
        <v>22.489883947367556</v>
      </c>
      <c r="D44">
        <f>$I$2 * Table1[[#This Row],[X_NORM]]^5 + $J$2 * Table1[[#This Row],[X_NORM]]^4 + $K$2 * Table1[[#This Row],[X_NORM]]^3 + $L$2 * Table1[[#This Row],[X_NORM]]^2 + $M$2 *Table1[[#This Row],[X_NORM]] + $N$2</f>
        <v>22.426832792302633</v>
      </c>
    </row>
    <row r="45" spans="1:4" x14ac:dyDescent="0.3">
      <c r="A45">
        <f t="shared" si="0"/>
        <v>1.5999999999999999</v>
      </c>
      <c r="B45">
        <f>(Table1[[#This Row],[X]]-AVG_X) / STD_X</f>
        <v>-0.87065786206865137</v>
      </c>
      <c r="C45">
        <f>$A$2 * Table1[[#This Row],[X_NORM]]^4 + $B$2 * Table1[[#This Row],[X_NORM]]^3 + $C$2 * Table1[[#This Row],[X_NORM]]^2 + $D$2 * Table1[[#This Row],[X_NORM]] + $E$2</f>
        <v>21.930740306613941</v>
      </c>
      <c r="D45">
        <f>$I$2 * Table1[[#This Row],[X_NORM]]^5 + $J$2 * Table1[[#This Row],[X_NORM]]^4 + $K$2 * Table1[[#This Row],[X_NORM]]^3 + $L$2 * Table1[[#This Row],[X_NORM]]^2 + $M$2 *Table1[[#This Row],[X_NORM]] + $N$2</f>
        <v>21.999418518208198</v>
      </c>
    </row>
    <row r="46" spans="1:4" x14ac:dyDescent="0.3">
      <c r="A46">
        <f t="shared" si="0"/>
        <v>1.7999999999999998</v>
      </c>
      <c r="B46">
        <f>(Table1[[#This Row],[X]]-AVG_X) / STD_X</f>
        <v>-0.83386950169955343</v>
      </c>
      <c r="C46">
        <f>$A$2 * Table1[[#This Row],[X_NORM]]^4 + $B$2 * Table1[[#This Row],[X_NORM]]^3 + $C$2 * Table1[[#This Row],[X_NORM]]^2 + $D$2 * Table1[[#This Row],[X_NORM]] + $E$2</f>
        <v>21.337171179307393</v>
      </c>
      <c r="D46">
        <f>$I$2 * Table1[[#This Row],[X_NORM]]^5 + $J$2 * Table1[[#This Row],[X_NORM]]^4 + $K$2 * Table1[[#This Row],[X_NORM]]^3 + $L$2 * Table1[[#This Row],[X_NORM]]^2 + $M$2 *Table1[[#This Row],[X_NORM]] + $N$2</f>
        <v>21.529107920507478</v>
      </c>
    </row>
    <row r="47" spans="1:4" x14ac:dyDescent="0.3">
      <c r="A47">
        <f t="shared" si="0"/>
        <v>1.9999999999999998</v>
      </c>
      <c r="B47">
        <f>(Table1[[#This Row],[X]]-AVG_X) / STD_X</f>
        <v>-0.79708114133045549</v>
      </c>
      <c r="C47">
        <f>$A$2 * Table1[[#This Row],[X_NORM]]^4 + $B$2 * Table1[[#This Row],[X_NORM]]^3 + $C$2 * Table1[[#This Row],[X_NORM]]^2 + $D$2 * Table1[[#This Row],[X_NORM]] + $E$2</f>
        <v>20.716655087843421</v>
      </c>
      <c r="D47">
        <f>$I$2 * Table1[[#This Row],[X_NORM]]^5 + $J$2 * Table1[[#This Row],[X_NORM]]^4 + $K$2 * Table1[[#This Row],[X_NORM]]^3 + $L$2 * Table1[[#This Row],[X_NORM]]^2 + $M$2 *Table1[[#This Row],[X_NORM]] + $N$2</f>
        <v>21.022004981184324</v>
      </c>
    </row>
    <row r="48" spans="1:4" x14ac:dyDescent="0.3">
      <c r="A48">
        <f t="shared" si="0"/>
        <v>2.1999999999999997</v>
      </c>
      <c r="B48">
        <f>(Table1[[#This Row],[X]]-AVG_X) / STD_X</f>
        <v>-0.76029278096135744</v>
      </c>
      <c r="C48">
        <f>$A$2 * Table1[[#This Row],[X_NORM]]^4 + $B$2 * Table1[[#This Row],[X_NORM]]^3 + $C$2 * Table1[[#This Row],[X_NORM]]^2 + $D$2 * Table1[[#This Row],[X_NORM]] + $E$2</f>
        <v>20.076352309855722</v>
      </c>
      <c r="D48">
        <f>$I$2 * Table1[[#This Row],[X_NORM]]^5 + $J$2 * Table1[[#This Row],[X_NORM]]^4 + $K$2 * Table1[[#This Row],[X_NORM]]^3 + $L$2 * Table1[[#This Row],[X_NORM]]^2 + $M$2 *Table1[[#This Row],[X_NORM]] + $N$2</f>
        <v>20.484130117725162</v>
      </c>
    </row>
    <row r="49" spans="1:4" x14ac:dyDescent="0.3">
      <c r="A49">
        <f t="shared" si="0"/>
        <v>2.4</v>
      </c>
      <c r="B49">
        <f>(Table1[[#This Row],[X]]-AVG_X) / STD_X</f>
        <v>-0.72350442059225961</v>
      </c>
      <c r="C49">
        <f>$A$2 * Table1[[#This Row],[X_NORM]]^4 + $B$2 * Table1[[#This Row],[X_NORM]]^3 + $C$2 * Table1[[#This Row],[X_NORM]]^2 + $D$2 * Table1[[#This Row],[X_NORM]] + $E$2</f>
        <v>19.423104878216169</v>
      </c>
      <c r="D49">
        <f>$I$2 * Table1[[#This Row],[X_NORM]]^5 + $J$2 * Table1[[#This Row],[X_NORM]]^4 + $K$2 * Table1[[#This Row],[X_NORM]]^3 + $L$2 * Table1[[#This Row],[X_NORM]]^2 + $M$2 *Table1[[#This Row],[X_NORM]] + $N$2</f>
        <v>19.921409341461786</v>
      </c>
    </row>
    <row r="50" spans="1:4" x14ac:dyDescent="0.3">
      <c r="A50">
        <f t="shared" si="0"/>
        <v>2.6</v>
      </c>
      <c r="B50">
        <f>(Table1[[#This Row],[X]]-AVG_X) / STD_X</f>
        <v>-0.68671606022316156</v>
      </c>
      <c r="C50">
        <f>$A$2 * Table1[[#This Row],[X_NORM]]^4 + $B$2 * Table1[[#This Row],[X_NORM]]^3 + $C$2 * Table1[[#This Row],[X_NORM]]^2 + $D$2 * Table1[[#This Row],[X_NORM]] + $E$2</f>
        <v>18.763436581034803</v>
      </c>
      <c r="D50">
        <f>$I$2 * Table1[[#This Row],[X_NORM]]^5 + $J$2 * Table1[[#This Row],[X_NORM]]^4 + $K$2 * Table1[[#This Row],[X_NORM]]^3 + $L$2 * Table1[[#This Row],[X_NORM]]^2 + $M$2 *Table1[[#This Row],[X_NORM]] + $N$2</f>
        <v>19.339663415914103</v>
      </c>
    </row>
    <row r="51" spans="1:4" x14ac:dyDescent="0.3">
      <c r="A51">
        <f t="shared" si="0"/>
        <v>2.8000000000000003</v>
      </c>
      <c r="B51">
        <f>(Table1[[#This Row],[X]]-AVG_X) / STD_X</f>
        <v>-0.64992769985406362</v>
      </c>
      <c r="C51">
        <f>$A$2 * Table1[[#This Row],[X_NORM]]^4 + $B$2 * Table1[[#This Row],[X_NORM]]^3 + $C$2 * Table1[[#This Row],[X_NORM]]^2 + $D$2 * Table1[[#This Row],[X_NORM]] + $E$2</f>
        <v>18.103552961659862</v>
      </c>
      <c r="D51">
        <f>$I$2 * Table1[[#This Row],[X_NORM]]^5 + $J$2 * Table1[[#This Row],[X_NORM]]^4 + $K$2 * Table1[[#This Row],[X_NORM]]^3 + $L$2 * Table1[[#This Row],[X_NORM]]^2 + $M$2 *Table1[[#This Row],[X_NORM]] + $N$2</f>
        <v>18.744597015132939</v>
      </c>
    </row>
    <row r="52" spans="1:4" x14ac:dyDescent="0.3">
      <c r="A52">
        <f t="shared" si="0"/>
        <v>3.0000000000000004</v>
      </c>
      <c r="B52">
        <f>(Table1[[#This Row],[X]]-AVG_X) / STD_X</f>
        <v>-0.61313933948496568</v>
      </c>
      <c r="C52">
        <f>$A$2 * Table1[[#This Row],[X_NORM]]^4 + $B$2 * Table1[[#This Row],[X_NORM]]^3 + $C$2 * Table1[[#This Row],[X_NORM]]^2 + $D$2 * Table1[[#This Row],[X_NORM]] + $E$2</f>
        <v>17.44934131867776</v>
      </c>
      <c r="D52">
        <f>$I$2 * Table1[[#This Row],[X_NORM]]^5 + $J$2 * Table1[[#This Row],[X_NORM]]^4 + $K$2 * Table1[[#This Row],[X_NORM]]^3 + $L$2 * Table1[[#This Row],[X_NORM]]^2 + $M$2 *Table1[[#This Row],[X_NORM]] + $N$2</f>
        <v>18.141787882042792</v>
      </c>
    </row>
    <row r="53" spans="1:4" x14ac:dyDescent="0.3">
      <c r="A53">
        <f t="shared" si="0"/>
        <v>3.2000000000000006</v>
      </c>
      <c r="B53">
        <f>(Table1[[#This Row],[X]]-AVG_X) / STD_X</f>
        <v>-0.57635097911586763</v>
      </c>
      <c r="C53">
        <f>$A$2 * Table1[[#This Row],[X_NORM]]^4 + $B$2 * Table1[[#This Row],[X_NORM]]^3 + $C$2 * Table1[[#This Row],[X_NORM]]^2 + $D$2 * Table1[[#This Row],[X_NORM]] + $E$2</f>
        <v>16.806370705913082</v>
      </c>
      <c r="D53">
        <f>$I$2 * Table1[[#This Row],[X_NORM]]^5 + $J$2 * Table1[[#This Row],[X_NORM]]^4 + $K$2 * Table1[[#This Row],[X_NORM]]^3 + $L$2 * Table1[[#This Row],[X_NORM]]^2 + $M$2 *Table1[[#This Row],[X_NORM]] + $N$2</f>
        <v>17.536675986784605</v>
      </c>
    </row>
    <row r="54" spans="1:4" x14ac:dyDescent="0.3">
      <c r="A54">
        <f t="shared" si="0"/>
        <v>3.4000000000000008</v>
      </c>
      <c r="B54">
        <f>(Table1[[#This Row],[X]]-AVG_X) / STD_X</f>
        <v>-0.5395626187467697</v>
      </c>
      <c r="C54">
        <f>$A$2 * Table1[[#This Row],[X_NORM]]^4 + $B$2 * Table1[[#This Row],[X_NORM]]^3 + $C$2 * Table1[[#This Row],[X_NORM]]^2 + $D$2 * Table1[[#This Row],[X_NORM]] + $E$2</f>
        <v>16.1798919324286</v>
      </c>
      <c r="D54">
        <f>$I$2 * Table1[[#This Row],[X_NORM]]^5 + $J$2 * Table1[[#This Row],[X_NORM]]^4 + $K$2 * Table1[[#This Row],[X_NORM]]^3 + $L$2 * Table1[[#This Row],[X_NORM]]^2 + $M$2 *Table1[[#This Row],[X_NORM]] + $N$2</f>
        <v>16.93455268505857</v>
      </c>
    </row>
    <row r="55" spans="1:4" x14ac:dyDescent="0.3">
      <c r="A55">
        <f t="shared" si="0"/>
        <v>3.600000000000001</v>
      </c>
      <c r="B55">
        <f>(Table1[[#This Row],[X]]-AVG_X) / STD_X</f>
        <v>-0.50277425837767165</v>
      </c>
      <c r="C55">
        <f>$A$2 * Table1[[#This Row],[X_NORM]]^4 + $B$2 * Table1[[#This Row],[X_NORM]]^3 + $C$2 * Table1[[#This Row],[X_NORM]]^2 + $D$2 * Table1[[#This Row],[X_NORM]] + $E$2</f>
        <v>15.57483756252527</v>
      </c>
      <c r="D55">
        <f>$I$2 * Table1[[#This Row],[X_NORM]]^5 + $J$2 * Table1[[#This Row],[X_NORM]]^4 + $K$2 * Table1[[#This Row],[X_NORM]]^3 + $L$2 * Table1[[#This Row],[X_NORM]]^2 + $M$2 *Table1[[#This Row],[X_NORM]] + $N$2</f>
        <v>16.340549876466863</v>
      </c>
    </row>
    <row r="56" spans="1:4" x14ac:dyDescent="0.3">
      <c r="A56">
        <f t="shared" si="0"/>
        <v>3.8000000000000012</v>
      </c>
      <c r="B56">
        <f>(Table1[[#This Row],[X]]-AVG_X) / STD_X</f>
        <v>-0.46598589800857371</v>
      </c>
      <c r="C56">
        <f>$A$2 * Table1[[#This Row],[X_NORM]]^4 + $B$2 * Table1[[#This Row],[X_NORM]]^3 + $C$2 * Table1[[#This Row],[X_NORM]]^2 + $D$2 * Table1[[#This Row],[X_NORM]] + $E$2</f>
        <v>14.995821915742219</v>
      </c>
      <c r="D56">
        <f>$I$2 * Table1[[#This Row],[X_NORM]]^5 + $J$2 * Table1[[#This Row],[X_NORM]]^4 + $K$2 * Table1[[#This Row],[X_NORM]]^3 + $L$2 * Table1[[#This Row],[X_NORM]]^2 + $M$2 *Table1[[#This Row],[X_NORM]] + $N$2</f>
        <v>15.759629162856459</v>
      </c>
    </row>
    <row r="57" spans="1:4" x14ac:dyDescent="0.3">
      <c r="A57">
        <f t="shared" si="0"/>
        <v>4.0000000000000009</v>
      </c>
      <c r="B57">
        <f>(Table1[[#This Row],[X]]-AVG_X) / STD_X</f>
        <v>-0.42919753763947582</v>
      </c>
      <c r="C57">
        <f>$A$2 * Table1[[#This Row],[X_NORM]]^4 + $B$2 * Table1[[#This Row],[X_NORM]]^3 + $C$2 * Table1[[#This Row],[X_NORM]]^2 + $D$2 * Table1[[#This Row],[X_NORM]] + $E$2</f>
        <v>14.447141066856766</v>
      </c>
      <c r="D57">
        <f>$I$2 * Table1[[#This Row],[X_NORM]]^5 + $J$2 * Table1[[#This Row],[X_NORM]]^4 + $K$2 * Table1[[#This Row],[X_NORM]]^3 + $L$2 * Table1[[#This Row],[X_NORM]]^2 + $M$2 *Table1[[#This Row],[X_NORM]] + $N$2</f>
        <v>15.196571006661875</v>
      </c>
    </row>
    <row r="58" spans="1:4" x14ac:dyDescent="0.3">
      <c r="A58">
        <f t="shared" si="0"/>
        <v>4.2000000000000011</v>
      </c>
      <c r="B58">
        <f>(Table1[[#This Row],[X]]-AVG_X) / STD_X</f>
        <v>-0.39240917727037783</v>
      </c>
      <c r="C58">
        <f>$A$2 * Table1[[#This Row],[X_NORM]]^4 + $B$2 * Table1[[#This Row],[X_NORM]]^3 + $C$2 * Table1[[#This Row],[X_NORM]]^2 + $D$2 * Table1[[#This Row],[X_NORM]] + $E$2</f>
        <v>13.932772845884392</v>
      </c>
      <c r="D58">
        <f>$I$2 * Table1[[#This Row],[X_NORM]]^5 + $J$2 * Table1[[#This Row],[X_NORM]]^4 + $K$2 * Table1[[#This Row],[X_NORM]]^3 + $L$2 * Table1[[#This Row],[X_NORM]]^2 + $M$2 *Table1[[#This Row],[X_NORM]] + $N$2</f>
        <v>14.655963889247959</v>
      </c>
    </row>
    <row r="59" spans="1:4" x14ac:dyDescent="0.3">
      <c r="A59">
        <f t="shared" si="0"/>
        <v>4.4000000000000012</v>
      </c>
      <c r="B59">
        <f>(Table1[[#This Row],[X]]-AVG_X) / STD_X</f>
        <v>-0.35562081690127989</v>
      </c>
      <c r="C59">
        <f>$A$2 * Table1[[#This Row],[X_NORM]]^4 + $B$2 * Table1[[#This Row],[X_NORM]]^3 + $C$2 * Table1[[#This Row],[X_NORM]]^2 + $D$2 * Table1[[#This Row],[X_NORM]] + $E$2</f>
        <v>13.456376838078775</v>
      </c>
      <c r="D59">
        <f>$I$2 * Table1[[#This Row],[X_NORM]]^5 + $J$2 * Table1[[#This Row],[X_NORM]]^4 + $K$2 * Table1[[#This Row],[X_NORM]]^3 + $L$2 * Table1[[#This Row],[X_NORM]]^2 + $M$2 *Table1[[#This Row],[X_NORM]] + $N$2</f>
        <v>14.142193469252668</v>
      </c>
    </row>
    <row r="60" spans="1:4" x14ac:dyDescent="0.3">
      <c r="A60">
        <f t="shared" si="0"/>
        <v>4.6000000000000014</v>
      </c>
      <c r="B60">
        <f>(Table1[[#This Row],[X]]-AVG_X) / STD_X</f>
        <v>-0.3188324565321819</v>
      </c>
      <c r="C60">
        <f>$A$2 * Table1[[#This Row],[X_NORM]]^4 + $B$2 * Table1[[#This Row],[X_NORM]]^3 + $C$2 * Table1[[#This Row],[X_NORM]]^2 + $D$2 * Table1[[#This Row],[X_NORM]] + $E$2</f>
        <v>13.021294383931764</v>
      </c>
      <c r="D60">
        <f>$I$2 * Table1[[#This Row],[X_NORM]]^5 + $J$2 * Table1[[#This Row],[X_NORM]]^4 + $K$2 * Table1[[#This Row],[X_NORM]]^3 + $L$2 * Table1[[#This Row],[X_NORM]]^2 + $M$2 *Table1[[#This Row],[X_NORM]] + $N$2</f>
        <v>13.659431740929836</v>
      </c>
    </row>
    <row r="61" spans="1:4" x14ac:dyDescent="0.3">
      <c r="A61">
        <f t="shared" si="0"/>
        <v>4.8000000000000016</v>
      </c>
      <c r="B61">
        <f>(Table1[[#This Row],[X]]-AVG_X) / STD_X</f>
        <v>-0.2820440961630839</v>
      </c>
      <c r="C61">
        <f>$A$2 * Table1[[#This Row],[X_NORM]]^4 + $B$2 * Table1[[#This Row],[X_NORM]]^3 + $C$2 * Table1[[#This Row],[X_NORM]]^2 + $D$2 * Table1[[#This Row],[X_NORM]] + $E$2</f>
        <v>12.630548579173393</v>
      </c>
      <c r="D61">
        <f>$I$2 * Table1[[#This Row],[X_NORM]]^5 + $J$2 * Table1[[#This Row],[X_NORM]]^4 + $K$2 * Table1[[#This Row],[X_NORM]]^3 + $L$2 * Table1[[#This Row],[X_NORM]]^2 + $M$2 *Table1[[#This Row],[X_NORM]] + $N$2</f>
        <v>13.211626192491959</v>
      </c>
    </row>
    <row r="62" spans="1:4" x14ac:dyDescent="0.3">
      <c r="A62">
        <f t="shared" si="0"/>
        <v>5.0000000000000018</v>
      </c>
      <c r="B62">
        <f>(Table1[[#This Row],[X]]-AVG_X) / STD_X</f>
        <v>-0.24525573579398594</v>
      </c>
      <c r="C62">
        <f>$A$2 * Table1[[#This Row],[X_NORM]]^4 + $B$2 * Table1[[#This Row],[X_NORM]]^3 + $C$2 * Table1[[#This Row],[X_NORM]]^2 + $D$2 * Table1[[#This Row],[X_NORM]] + $E$2</f>
        <v>12.286844274771871</v>
      </c>
      <c r="D62">
        <f>$I$2 * Table1[[#This Row],[X_NORM]]^5 + $J$2 * Table1[[#This Row],[X_NORM]]^4 + $K$2 * Table1[[#This Row],[X_NORM]]^3 + $L$2 * Table1[[#This Row],[X_NORM]]^2 + $M$2 *Table1[[#This Row],[X_NORM]] + $N$2</f>
        <v>12.802488964452955</v>
      </c>
    </row>
    <row r="63" spans="1:4" x14ac:dyDescent="0.3">
      <c r="A63">
        <f t="shared" si="0"/>
        <v>5.200000000000002</v>
      </c>
      <c r="B63">
        <f>(Table1[[#This Row],[X]]-AVG_X) / STD_X</f>
        <v>-0.20846737542488794</v>
      </c>
      <c r="C63">
        <f>$A$2 * Table1[[#This Row],[X_NORM]]^4 + $B$2 * Table1[[#This Row],[X_NORM]]^3 + $C$2 * Table1[[#This Row],[X_NORM]]^2 + $D$2 * Table1[[#This Row],[X_NORM]] + $E$2</f>
        <v>11.992568076933592</v>
      </c>
      <c r="D63">
        <f>$I$2 * Table1[[#This Row],[X_NORM]]^5 + $J$2 * Table1[[#This Row],[X_NORM]]^4 + $K$2 * Table1[[#This Row],[X_NORM]]^3 + $L$2 * Table1[[#This Row],[X_NORM]]^2 + $M$2 *Table1[[#This Row],[X_NORM]] + $N$2</f>
        <v>12.435486007970955</v>
      </c>
    </row>
    <row r="64" spans="1:4" x14ac:dyDescent="0.3">
      <c r="A64">
        <f t="shared" si="0"/>
        <v>5.4000000000000021</v>
      </c>
      <c r="B64">
        <f>(Table1[[#This Row],[X]]-AVG_X) / STD_X</f>
        <v>-0.17167901505578997</v>
      </c>
      <c r="C64">
        <f>$A$2 * Table1[[#This Row],[X_NORM]]^4 + $B$2 * Table1[[#This Row],[X_NORM]]^3 + $C$2 * Table1[[#This Row],[X_NORM]]^2 + $D$2 * Table1[[#This Row],[X_NORM]] + $E$2</f>
        <v>11.749788347103127</v>
      </c>
      <c r="D64">
        <f>$I$2 * Table1[[#This Row],[X_NORM]]^5 + $J$2 * Table1[[#This Row],[X_NORM]]^4 + $K$2 * Table1[[#This Row],[X_NORM]]^3 + $L$2 * Table1[[#This Row],[X_NORM]]^2 + $M$2 *Table1[[#This Row],[X_NORM]] + $N$2</f>
        <v>12.113826243191063</v>
      </c>
    </row>
    <row r="65" spans="1:4" x14ac:dyDescent="0.3">
      <c r="A65">
        <f t="shared" si="0"/>
        <v>5.6000000000000023</v>
      </c>
      <c r="B65">
        <f>(Table1[[#This Row],[X]]-AVG_X) / STD_X</f>
        <v>-0.13489065468669198</v>
      </c>
      <c r="C65">
        <f>$A$2 * Table1[[#This Row],[X_NORM]]^4 + $B$2 * Table1[[#This Row],[X_NORM]]^3 + $C$2 * Table1[[#This Row],[X_NORM]]^2 + $D$2 * Table1[[#This Row],[X_NORM]] + $E$2</f>
        <v>11.560255201963228</v>
      </c>
      <c r="D65">
        <f>$I$2 * Table1[[#This Row],[X_NORM]]^5 + $J$2 * Table1[[#This Row],[X_NORM]]^4 + $K$2 * Table1[[#This Row],[X_NORM]]^3 + $L$2 * Table1[[#This Row],[X_NORM]]^2 + $M$2 *Table1[[#This Row],[X_NORM]] + $N$2</f>
        <v>11.840450717588146</v>
      </c>
    </row>
    <row r="66" spans="1:4" x14ac:dyDescent="0.3">
      <c r="A66">
        <f t="shared" si="0"/>
        <v>5.8000000000000025</v>
      </c>
      <c r="B66">
        <f>(Table1[[#This Row],[X]]-AVG_X) / STD_X</f>
        <v>-9.8102294317594013E-2</v>
      </c>
      <c r="C66">
        <f>$A$2 * Table1[[#This Row],[X_NORM]]^4 + $B$2 * Table1[[#This Row],[X_NORM]]^3 + $C$2 * Table1[[#This Row],[X_NORM]]^2 + $D$2 * Table1[[#This Row],[X_NORM]] + $E$2</f>
        <v>11.425400513434825</v>
      </c>
      <c r="D66">
        <f>$I$2 * Table1[[#This Row],[X_NORM]]^5 + $J$2 * Table1[[#This Row],[X_NORM]]^4 + $K$2 * Table1[[#This Row],[X_NORM]]^3 + $L$2 * Table1[[#This Row],[X_NORM]]^2 + $M$2 *Table1[[#This Row],[X_NORM]] + $N$2</f>
        <v>11.618021764309599</v>
      </c>
    </row>
    <row r="67" spans="1:4" x14ac:dyDescent="0.3">
      <c r="A67">
        <f t="shared" si="0"/>
        <v>6.0000000000000027</v>
      </c>
      <c r="B67">
        <f>(Table1[[#This Row],[X]]-AVG_X) / STD_X</f>
        <v>-6.1313933948496033E-2</v>
      </c>
      <c r="C67">
        <f>$A$2 * Table1[[#This Row],[X_NORM]]^4 + $B$2 * Table1[[#This Row],[X_NORM]]^3 + $C$2 * Table1[[#This Row],[X_NORM]]^2 + $D$2 * Table1[[#This Row],[X_NORM]] + $E$2</f>
        <v>11.346337908677034</v>
      </c>
      <c r="D67">
        <f>$I$2 * Table1[[#This Row],[X_NORM]]^5 + $J$2 * Table1[[#This Row],[X_NORM]]^4 + $K$2 * Table1[[#This Row],[X_NORM]]^3 + $L$2 * Table1[[#This Row],[X_NORM]]^2 + $M$2 *Table1[[#This Row],[X_NORM]] + $N$2</f>
        <v>11.448912160518123</v>
      </c>
    </row>
    <row r="68" spans="1:4" x14ac:dyDescent="0.3">
      <c r="A68">
        <f t="shared" si="0"/>
        <v>6.2000000000000028</v>
      </c>
      <c r="B68">
        <f>(Table1[[#This Row],[X]]-AVG_X) / STD_X</f>
        <v>-2.4525573579398052E-2</v>
      </c>
      <c r="C68">
        <f>$A$2 * Table1[[#This Row],[X_NORM]]^4 + $B$2 * Table1[[#This Row],[X_NORM]]^3 + $C$2 * Table1[[#This Row],[X_NORM]]^2 + $D$2 * Table1[[#This Row],[X_NORM]] + $E$2</f>
        <v>11.323862770087143</v>
      </c>
      <c r="D68">
        <f>$I$2 * Table1[[#This Row],[X_NORM]]^5 + $J$2 * Table1[[#This Row],[X_NORM]]^4 + $K$2 * Table1[[#This Row],[X_NORM]]^3 + $L$2 * Table1[[#This Row],[X_NORM]]^2 + $M$2 *Table1[[#This Row],[X_NORM]] + $N$2</f>
        <v>11.335194285734504</v>
      </c>
    </row>
    <row r="69" spans="1:4" x14ac:dyDescent="0.3">
      <c r="A69">
        <f t="shared" si="0"/>
        <v>6.400000000000003</v>
      </c>
      <c r="B69">
        <f>(Table1[[#This Row],[X]]-AVG_X) / STD_X</f>
        <v>1.2262786789699925E-2</v>
      </c>
      <c r="C69">
        <f>$A$2 * Table1[[#This Row],[X_NORM]]^4 + $B$2 * Table1[[#This Row],[X_NORM]]^3 + $C$2 * Table1[[#This Row],[X_NORM]]^2 + $D$2 * Table1[[#This Row],[X_NORM]] + $E$2</f>
        <v>11.358452235300625</v>
      </c>
      <c r="D69">
        <f>$I$2 * Table1[[#This Row],[X_NORM]]^5 + $J$2 * Table1[[#This Row],[X_NORM]]^4 + $K$2 * Table1[[#This Row],[X_NORM]]^3 + $L$2 * Table1[[#This Row],[X_NORM]]^2 + $M$2 *Table1[[#This Row],[X_NORM]] + $N$2</f>
        <v>11.278629280180381</v>
      </c>
    </row>
    <row r="70" spans="1:4" x14ac:dyDescent="0.3">
      <c r="A70">
        <f t="shared" si="0"/>
        <v>6.6000000000000032</v>
      </c>
      <c r="B70">
        <f>(Table1[[#This Row],[X]]-AVG_X) / STD_X</f>
        <v>4.9051147158797902E-2</v>
      </c>
      <c r="C70">
        <f>$A$2 * Table1[[#This Row],[X_NORM]]^4 + $B$2 * Table1[[#This Row],[X_NORM]]^3 + $C$2 * Table1[[#This Row],[X_NORM]]^2 + $D$2 * Table1[[#This Row],[X_NORM]] + $E$2</f>
        <v>11.450265197191133</v>
      </c>
      <c r="D70">
        <f>$I$2 * Table1[[#This Row],[X_NORM]]^5 + $J$2 * Table1[[#This Row],[X_NORM]]^4 + $K$2 * Table1[[#This Row],[X_NORM]]^3 + $L$2 * Table1[[#This Row],[X_NORM]]^2 + $M$2 *Table1[[#This Row],[X_NORM]] + $N$2</f>
        <v>11.280656203121024</v>
      </c>
    </row>
    <row r="71" spans="1:4" x14ac:dyDescent="0.3">
      <c r="A71">
        <f t="shared" si="0"/>
        <v>6.8000000000000034</v>
      </c>
      <c r="B71">
        <f>(Table1[[#This Row],[X]]-AVG_X) / STD_X</f>
        <v>8.5839507527895889E-2</v>
      </c>
      <c r="C71">
        <f>$A$2 * Table1[[#This Row],[X_NORM]]^4 + $B$2 * Table1[[#This Row],[X_NORM]]^3 + $C$2 * Table1[[#This Row],[X_NORM]]^2 + $D$2 * Table1[[#This Row],[X_NORM]] + $E$2</f>
        <v>11.599142303870497</v>
      </c>
      <c r="D71">
        <f>$I$2 * Table1[[#This Row],[X_NORM]]^5 + $J$2 * Table1[[#This Row],[X_NORM]]^4 + $K$2 * Table1[[#This Row],[X_NORM]]^3 + $L$2 * Table1[[#This Row],[X_NORM]]^2 + $M$2 *Table1[[#This Row],[X_NORM]] + $N$2</f>
        <v>11.342381191208114</v>
      </c>
    </row>
    <row r="72" spans="1:4" x14ac:dyDescent="0.3">
      <c r="A72">
        <f t="shared" si="0"/>
        <v>7.0000000000000036</v>
      </c>
      <c r="B72">
        <f>(Table1[[#This Row],[X]]-AVG_X) / STD_X</f>
        <v>0.12262786789699386</v>
      </c>
      <c r="C72">
        <f>$A$2 * Table1[[#This Row],[X_NORM]]^4 + $B$2 * Table1[[#This Row],[X_NORM]]^3 + $C$2 * Table1[[#This Row],[X_NORM]]^2 + $D$2 * Table1[[#This Row],[X_NORM]] + $E$2</f>
        <v>11.804605958688732</v>
      </c>
      <c r="D72">
        <f>$I$2 * Table1[[#This Row],[X_NORM]]^5 + $J$2 * Table1[[#This Row],[X_NORM]]^4 + $K$2 * Table1[[#This Row],[X_NORM]]^3 + $L$2 * Table1[[#This Row],[X_NORM]]^2 + $M$2 *Table1[[#This Row],[X_NORM]] + $N$2</f>
        <v>11.464566616822511</v>
      </c>
    </row>
    <row r="73" spans="1:4" x14ac:dyDescent="0.3">
      <c r="A73">
        <f t="shared" si="0"/>
        <v>7.2000000000000037</v>
      </c>
      <c r="B73">
        <f>(Table1[[#This Row],[X]]-AVG_X) / STD_X</f>
        <v>0.15941622826609184</v>
      </c>
      <c r="C73">
        <f>$A$2 * Table1[[#This Row],[X_NORM]]^4 + $B$2 * Table1[[#This Row],[X_NORM]]^3 + $C$2 * Table1[[#This Row],[X_NORM]]^2 + $D$2 * Table1[[#This Row],[X_NORM]] + $E$2</f>
        <v>12.065860320234028</v>
      </c>
      <c r="D73">
        <f>$I$2 * Table1[[#This Row],[X_NORM]]^5 + $J$2 * Table1[[#This Row],[X_NORM]]^4 + $K$2 * Table1[[#This Row],[X_NORM]]^3 + $L$2 * Table1[[#This Row],[X_NORM]]^2 + $M$2 *Table1[[#This Row],[X_NORM]] + $N$2</f>
        <v>11.647620246417032</v>
      </c>
    </row>
    <row r="74" spans="1:4" x14ac:dyDescent="0.3">
      <c r="A74">
        <f t="shared" si="0"/>
        <v>7.4000000000000039</v>
      </c>
      <c r="B74">
        <f>(Table1[[#This Row],[X]]-AVG_X) / STD_X</f>
        <v>0.19620458863518983</v>
      </c>
      <c r="C74">
        <f>$A$2 * Table1[[#This Row],[X_NORM]]^4 + $B$2 * Table1[[#This Row],[X_NORM]]^3 + $C$2 * Table1[[#This Row],[X_NORM]]^2 + $D$2 * Table1[[#This Row],[X_NORM]] + $E$2</f>
        <v>12.381791302332758</v>
      </c>
      <c r="D74">
        <f>$I$2 * Table1[[#This Row],[X_NORM]]^5 + $J$2 * Table1[[#This Row],[X_NORM]]^4 + $K$2 * Table1[[#This Row],[X_NORM]]^3 + $L$2 * Table1[[#This Row],[X_NORM]]^2 + $M$2 *Table1[[#This Row],[X_NORM]] + $N$2</f>
        <v>11.89158439885923</v>
      </c>
    </row>
    <row r="75" spans="1:4" x14ac:dyDescent="0.3">
      <c r="A75">
        <f t="shared" si="0"/>
        <v>7.6000000000000041</v>
      </c>
      <c r="B75">
        <f>(Table1[[#This Row],[X]]-AVG_X) / STD_X</f>
        <v>0.2329929490042878</v>
      </c>
      <c r="C75">
        <f>$A$2 * Table1[[#This Row],[X_NORM]]^4 + $B$2 * Table1[[#This Row],[X_NORM]]^3 + $C$2 * Table1[[#This Row],[X_NORM]]^2 + $D$2 * Table1[[#This Row],[X_NORM]] + $E$2</f>
        <v>12.750966574049473</v>
      </c>
      <c r="D75">
        <f>$I$2 * Table1[[#This Row],[X_NORM]]^5 + $J$2 * Table1[[#This Row],[X_NORM]]^4 + $K$2 * Table1[[#This Row],[X_NORM]]^3 + $L$2 * Table1[[#This Row],[X_NORM]]^2 + $M$2 *Table1[[#This Row],[X_NORM]] + $N$2</f>
        <v>12.196125103774159</v>
      </c>
    </row>
    <row r="76" spans="1:4" x14ac:dyDescent="0.3">
      <c r="A76">
        <f t="shared" si="0"/>
        <v>7.8000000000000043</v>
      </c>
      <c r="B76">
        <f>(Table1[[#This Row],[X]]-AVG_X) / STD_X</f>
        <v>0.26978130937338579</v>
      </c>
      <c r="C76">
        <f>$A$2 * Table1[[#This Row],[X_NORM]]^4 + $B$2 * Table1[[#This Row],[X_NORM]]^3 + $C$2 * Table1[[#This Row],[X_NORM]]^2 + $D$2 * Table1[[#This Row],[X_NORM]] + $E$2</f>
        <v>13.171635559686907</v>
      </c>
      <c r="D76">
        <f>$I$2 * Table1[[#This Row],[X_NORM]]^5 + $J$2 * Table1[[#This Row],[X_NORM]]^4 + $K$2 * Table1[[#This Row],[X_NORM]]^3 + $L$2 * Table1[[#This Row],[X_NORM]]^2 + $M$2 *Table1[[#This Row],[X_NORM]] + $N$2</f>
        <v>12.560521259887164</v>
      </c>
    </row>
    <row r="77" spans="1:4" x14ac:dyDescent="0.3">
      <c r="A77">
        <f t="shared" si="0"/>
        <v>8.0000000000000036</v>
      </c>
      <c r="B77">
        <f>(Table1[[#This Row],[X]]-AVG_X) / STD_X</f>
        <v>0.30656966974248362</v>
      </c>
      <c r="C77">
        <f>$A$2 * Table1[[#This Row],[X_NORM]]^4 + $B$2 * Table1[[#This Row],[X_NORM]]^3 + $C$2 * Table1[[#This Row],[X_NORM]]^2 + $D$2 * Table1[[#This Row],[X_NORM]] + $E$2</f>
        <v>13.641729438785967</v>
      </c>
      <c r="D77">
        <f>$I$2 * Table1[[#This Row],[X_NORM]]^5 + $J$2 * Table1[[#This Row],[X_NORM]]^4 + $K$2 * Table1[[#This Row],[X_NORM]]^3 + $L$2 * Table1[[#This Row],[X_NORM]]^2 + $M$2 *Table1[[#This Row],[X_NORM]] + $N$2</f>
        <v>12.983653793366637</v>
      </c>
    </row>
    <row r="78" spans="1:4" x14ac:dyDescent="0.3">
      <c r="A78">
        <f t="shared" ref="A78:A112" si="1">A77+0.2</f>
        <v>8.2000000000000028</v>
      </c>
      <c r="B78">
        <f>(Table1[[#This Row],[X]]-AVG_X) / STD_X</f>
        <v>0.34335803011158139</v>
      </c>
      <c r="C78">
        <f>$A$2 * Table1[[#This Row],[X_NORM]]^4 + $B$2 * Table1[[#This Row],[X_NORM]]^3 + $C$2 * Table1[[#This Row],[X_NORM]]^2 + $D$2 * Table1[[#This Row],[X_NORM]] + $E$2</f>
        <v>14.158861146125751</v>
      </c>
      <c r="D78">
        <f>$I$2 * Table1[[#This Row],[X_NORM]]^5 + $J$2 * Table1[[#This Row],[X_NORM]]^4 + $K$2 * Table1[[#This Row],[X_NORM]]^3 + $L$2 * Table1[[#This Row],[X_NORM]]^2 + $M$2 *Table1[[#This Row],[X_NORM]] + $N$2</f>
        <v>13.463994816166812</v>
      </c>
    </row>
    <row r="79" spans="1:4" x14ac:dyDescent="0.3">
      <c r="A79">
        <f t="shared" si="1"/>
        <v>8.4000000000000021</v>
      </c>
      <c r="B79">
        <f>(Table1[[#This Row],[X]]-AVG_X) / STD_X</f>
        <v>0.38014639048067922</v>
      </c>
      <c r="C79">
        <f>$A$2 * Table1[[#This Row],[X_NORM]]^4 + $B$2 * Table1[[#This Row],[X_NORM]]^3 + $C$2 * Table1[[#This Row],[X_NORM]]^2 + $D$2 * Table1[[#This Row],[X_NORM]] + $E$2</f>
        <v>14.720325371723529</v>
      </c>
      <c r="D79">
        <f>$I$2 * Table1[[#This Row],[X_NORM]]^5 + $J$2 * Table1[[#This Row],[X_NORM]]^4 + $K$2 * Table1[[#This Row],[X_NORM]]^3 + $L$2 * Table1[[#This Row],[X_NORM]]^2 + $M$2 *Table1[[#This Row],[X_NORM]] + $N$2</f>
        <v>13.99959678437053</v>
      </c>
    </row>
    <row r="80" spans="1:4" x14ac:dyDescent="0.3">
      <c r="A80">
        <f t="shared" si="1"/>
        <v>8.6000000000000014</v>
      </c>
      <c r="B80">
        <f>(Table1[[#This Row],[X]]-AVG_X) / STD_X</f>
        <v>0.41693475084977705</v>
      </c>
      <c r="C80">
        <f>$A$2 * Table1[[#This Row],[X_NORM]]^4 + $B$2 * Table1[[#This Row],[X_NORM]]^3 + $C$2 * Table1[[#This Row],[X_NORM]]^2 + $D$2 * Table1[[#This Row],[X_NORM]] + $E$2</f>
        <v>15.323098560834755</v>
      </c>
      <c r="D80">
        <f>$I$2 * Table1[[#This Row],[X_NORM]]^5 + $J$2 * Table1[[#This Row],[X_NORM]]^4 + $K$2 * Table1[[#This Row],[X_NORM]]^3 + $L$2 * Table1[[#This Row],[X_NORM]]^2 + $M$2 *Table1[[#This Row],[X_NORM]] + $N$2</f>
        <v>14.588081656532015</v>
      </c>
    </row>
    <row r="81" spans="1:4" x14ac:dyDescent="0.3">
      <c r="A81">
        <f t="shared" si="1"/>
        <v>8.8000000000000007</v>
      </c>
      <c r="B81">
        <f>(Table1[[#This Row],[X]]-AVG_X) / STD_X</f>
        <v>0.45372311121887487</v>
      </c>
      <c r="C81">
        <f>$A$2 * Table1[[#This Row],[X_NORM]]^4 + $B$2 * Table1[[#This Row],[X_NORM]]^3 + $C$2 * Table1[[#This Row],[X_NORM]]^2 + $D$2 * Table1[[#This Row],[X_NORM]] + $E$2</f>
        <v>15.963838913953062</v>
      </c>
      <c r="D81">
        <f>$I$2 * Table1[[#This Row],[X_NORM]]^5 + $J$2 * Table1[[#This Row],[X_NORM]]^4 + $K$2 * Table1[[#This Row],[X_NORM]]^3 + $L$2 * Table1[[#This Row],[X_NORM]]^2 + $M$2 *Table1[[#This Row],[X_NORM]] + $N$2</f>
        <v>15.226630052019644</v>
      </c>
    </row>
    <row r="82" spans="1:4" x14ac:dyDescent="0.3">
      <c r="A82">
        <f t="shared" si="1"/>
        <v>9</v>
      </c>
      <c r="B82">
        <f>(Table1[[#This Row],[X]]-AVG_X) / STD_X</f>
        <v>0.49051147158797265</v>
      </c>
      <c r="C82">
        <f>$A$2 * Table1[[#This Row],[X_NORM]]^4 + $B$2 * Table1[[#This Row],[X_NORM]]^3 + $C$2 * Table1[[#This Row],[X_NORM]]^2 + $D$2 * Table1[[#This Row],[X_NORM]] + $E$2</f>
        <v>16.638886386810256</v>
      </c>
      <c r="D82">
        <f>$I$2 * Table1[[#This Row],[X_NORM]]^5 + $J$2 * Table1[[#This Row],[X_NORM]]^4 + $K$2 * Table1[[#This Row],[X_NORM]]^3 + $L$2 * Table1[[#This Row],[X_NORM]]^2 + $M$2 *Table1[[#This Row],[X_NORM]] + $N$2</f>
        <v>15.911970409358734</v>
      </c>
    </row>
    <row r="83" spans="1:4" x14ac:dyDescent="0.3">
      <c r="A83">
        <f t="shared" si="1"/>
        <v>9.1999999999999993</v>
      </c>
      <c r="B83">
        <f>(Table1[[#This Row],[X]]-AVG_X) / STD_X</f>
        <v>0.52729983195707053</v>
      </c>
      <c r="C83">
        <f>$A$2 * Table1[[#This Row],[X_NORM]]^4 + $B$2 * Table1[[#This Row],[X_NORM]]^3 + $C$2 * Table1[[#This Row],[X_NORM]]^2 + $D$2 * Table1[[#This Row],[X_NORM]] + $E$2</f>
        <v>17.34426269037634</v>
      </c>
      <c r="D83">
        <f>$I$2 * Table1[[#This Row],[X_NORM]]^5 + $J$2 * Table1[[#This Row],[X_NORM]]^4 + $K$2 * Table1[[#This Row],[X_NORM]]^3 + $L$2 * Table1[[#This Row],[X_NORM]]^2 + $M$2 *Table1[[#This Row],[X_NORM]] + $N$2</f>
        <v>16.64036814457431</v>
      </c>
    </row>
    <row r="84" spans="1:4" x14ac:dyDescent="0.3">
      <c r="A84">
        <f t="shared" si="1"/>
        <v>9.3999999999999986</v>
      </c>
      <c r="B84">
        <f>(Table1[[#This Row],[X]]-AVG_X) / STD_X</f>
        <v>0.56408819232616836</v>
      </c>
      <c r="C84">
        <f>$A$2 * Table1[[#This Row],[X_NORM]]^4 + $B$2 * Table1[[#This Row],[X_NORM]]^3 + $C$2 * Table1[[#This Row],[X_NORM]]^2 + $D$2 * Table1[[#This Row],[X_NORM]] + $E$2</f>
        <v>18.075671290859479</v>
      </c>
      <c r="D84">
        <f>$I$2 * Table1[[#This Row],[X_NORM]]^5 + $J$2 * Table1[[#This Row],[X_NORM]]^4 + $K$2 * Table1[[#This Row],[X_NORM]]^3 + $L$2 * Table1[[#This Row],[X_NORM]]^2 + $M$2 *Table1[[#This Row],[X_NORM]] + $N$2</f>
        <v>17.407614809533875</v>
      </c>
    </row>
    <row r="85" spans="1:4" x14ac:dyDescent="0.3">
      <c r="A85">
        <f t="shared" si="1"/>
        <v>9.5999999999999979</v>
      </c>
      <c r="B85">
        <f>(Table1[[#This Row],[X]]-AVG_X) / STD_X</f>
        <v>0.60087655269526608</v>
      </c>
      <c r="C85">
        <f>$A$2 * Table1[[#This Row],[X_NORM]]^4 + $B$2 * Table1[[#This Row],[X_NORM]]^3 + $C$2 * Table1[[#This Row],[X_NORM]]^2 + $D$2 * Table1[[#This Row],[X_NORM]] + $E$2</f>
        <v>18.828497409706024</v>
      </c>
      <c r="D85">
        <f>$I$2 * Table1[[#This Row],[X_NORM]]^5 + $J$2 * Table1[[#This Row],[X_NORM]]^4 + $K$2 * Table1[[#This Row],[X_NORM]]^3 + $L$2 * Table1[[#This Row],[X_NORM]]^2 + $M$2 *Table1[[#This Row],[X_NORM]] + $N$2</f>
        <v>18.209017250290195</v>
      </c>
    </row>
    <row r="86" spans="1:4" x14ac:dyDescent="0.3">
      <c r="A86">
        <f t="shared" si="1"/>
        <v>9.7999999999999972</v>
      </c>
      <c r="B86">
        <f>(Table1[[#This Row],[X]]-AVG_X) / STD_X</f>
        <v>0.6376649130643639</v>
      </c>
      <c r="C86">
        <f>$A$2 * Table1[[#This Row],[X_NORM]]^4 + $B$2 * Table1[[#This Row],[X_NORM]]^3 + $C$2 * Table1[[#This Row],[X_NORM]]^2 + $D$2 * Table1[[#This Row],[X_NORM]] + $E$2</f>
        <v>19.597808023600514</v>
      </c>
      <c r="D86">
        <f>$I$2 * Table1[[#This Row],[X_NORM]]^5 + $J$2 * Table1[[#This Row],[X_NORM]]^4 + $K$2 * Table1[[#This Row],[X_NORM]]^3 + $L$2 * Table1[[#This Row],[X_NORM]]^2 + $M$2 *Table1[[#This Row],[X_NORM]] + $N$2</f>
        <v>19.039386765424076</v>
      </c>
    </row>
    <row r="87" spans="1:4" x14ac:dyDescent="0.3">
      <c r="A87">
        <f t="shared" si="1"/>
        <v>9.9999999999999964</v>
      </c>
      <c r="B87">
        <f>(Table1[[#This Row],[X]]-AVG_X) / STD_X</f>
        <v>0.67445327343346173</v>
      </c>
      <c r="C87">
        <f>$A$2 * Table1[[#This Row],[X_NORM]]^4 + $B$2 * Table1[[#This Row],[X_NORM]]^3 + $C$2 * Table1[[#This Row],[X_NORM]]^2 + $D$2 * Table1[[#This Row],[X_NORM]] + $E$2</f>
        <v>20.378351864465664</v>
      </c>
      <c r="D87">
        <f>$I$2 * Table1[[#This Row],[X_NORM]]^5 + $J$2 * Table1[[#This Row],[X_NORM]]^4 + $K$2 * Table1[[#This Row],[X_NORM]]^3 + $L$2 * Table1[[#This Row],[X_NORM]]^2 + $M$2 *Table1[[#This Row],[X_NORM]] + $N$2</f>
        <v>19.893028264387134</v>
      </c>
    </row>
    <row r="88" spans="1:4" x14ac:dyDescent="0.3">
      <c r="A88">
        <f t="shared" si="1"/>
        <v>10.199999999999996</v>
      </c>
      <c r="B88">
        <f>(Table1[[#This Row],[X]]-AVG_X) / STD_X</f>
        <v>0.71124163380255956</v>
      </c>
      <c r="C88">
        <f>$A$2 * Table1[[#This Row],[X_NORM]]^4 + $B$2 * Table1[[#This Row],[X_NORM]]^3 + $C$2 * Table1[[#This Row],[X_NORM]]^2 + $D$2 * Table1[[#This Row],[X_NORM]] + $E$2</f>
        <v>21.164559419462357</v>
      </c>
      <c r="D88">
        <f>$I$2 * Table1[[#This Row],[X_NORM]]^5 + $J$2 * Table1[[#This Row],[X_NORM]]^4 + $K$2 * Table1[[#This Row],[X_NORM]]^3 + $L$2 * Table1[[#This Row],[X_NORM]]^2 + $M$2 *Table1[[#This Row],[X_NORM]] + $N$2</f>
        <v>20.763729425844545</v>
      </c>
    </row>
    <row r="89" spans="1:4" x14ac:dyDescent="0.3">
      <c r="A89">
        <f t="shared" si="1"/>
        <v>10.399999999999995</v>
      </c>
      <c r="B89">
        <f>(Table1[[#This Row],[X]]-AVG_X) / STD_X</f>
        <v>0.74802999417165739</v>
      </c>
      <c r="C89">
        <f>$A$2 * Table1[[#This Row],[X_NORM]]^4 + $B$2 * Table1[[#This Row],[X_NORM]]^3 + $C$2 * Table1[[#This Row],[X_NORM]]^2 + $D$2 * Table1[[#This Row],[X_NORM]] + $E$2</f>
        <v>21.950542930989673</v>
      </c>
      <c r="D89">
        <f>$I$2 * Table1[[#This Row],[X_NORM]]^5 + $J$2 * Table1[[#This Row],[X_NORM]]^4 + $K$2 * Table1[[#This Row],[X_NORM]]^3 + $L$2 * Table1[[#This Row],[X_NORM]]^2 + $M$2 *Table1[[#This Row],[X_NORM]] + $N$2</f>
        <v>21.644749856017874</v>
      </c>
    </row>
    <row r="90" spans="1:4" x14ac:dyDescent="0.3">
      <c r="A90">
        <f t="shared" si="1"/>
        <v>10.599999999999994</v>
      </c>
      <c r="B90">
        <f>(Table1[[#This Row],[X]]-AVG_X) / STD_X</f>
        <v>0.78481835454075521</v>
      </c>
      <c r="C90">
        <f>$A$2 * Table1[[#This Row],[X_NORM]]^4 + $B$2 * Table1[[#This Row],[X_NORM]]^3 + $C$2 * Table1[[#This Row],[X_NORM]]^2 + $D$2 * Table1[[#This Row],[X_NORM]] + $E$2</f>
        <v>22.730096396684861</v>
      </c>
      <c r="D90">
        <f>$I$2 * Table1[[#This Row],[X_NORM]]^5 + $J$2 * Table1[[#This Row],[X_NORM]]^4 + $K$2 * Table1[[#This Row],[X_NORM]]^3 + $L$2 * Table1[[#This Row],[X_NORM]]^2 + $M$2 *Table1[[#This Row],[X_NORM]] + $N$2</f>
        <v>22.528810247027806</v>
      </c>
    </row>
    <row r="91" spans="1:4" x14ac:dyDescent="0.3">
      <c r="A91">
        <f t="shared" si="1"/>
        <v>10.799999999999994</v>
      </c>
      <c r="B91">
        <f>(Table1[[#This Row],[X]]-AVG_X) / STD_X</f>
        <v>0.82160671490985304</v>
      </c>
      <c r="C91">
        <f>$A$2 * Table1[[#This Row],[X_NORM]]^4 + $B$2 * Table1[[#This Row],[X_NORM]]^3 + $C$2 * Table1[[#This Row],[X_NORM]]^2 + $D$2 * Table1[[#This Row],[X_NORM]] + $E$2</f>
        <v>23.496695569423359</v>
      </c>
      <c r="D91">
        <f>$I$2 * Table1[[#This Row],[X_NORM]]^5 + $J$2 * Table1[[#This Row],[X_NORM]]^4 + $K$2 * Table1[[#This Row],[X_NORM]]^3 + $L$2 * Table1[[#This Row],[X_NORM]]^2 + $M$2 *Table1[[#This Row],[X_NORM]] + $N$2</f>
        <v>23.408081535236946</v>
      </c>
    </row>
    <row r="92" spans="1:4" x14ac:dyDescent="0.3">
      <c r="A92">
        <f t="shared" si="1"/>
        <v>10.999999999999993</v>
      </c>
      <c r="B92">
        <f>(Table1[[#This Row],[X]]-AVG_X) / STD_X</f>
        <v>0.85839507527895087</v>
      </c>
      <c r="C92">
        <f>$A$2 * Table1[[#This Row],[X_NORM]]^4 + $B$2 * Table1[[#This Row],[X_NORM]]^3 + $C$2 * Table1[[#This Row],[X_NORM]]^2 + $D$2 * Table1[[#This Row],[X_NORM]] + $E$2</f>
        <v>24.243497957318773</v>
      </c>
      <c r="D92">
        <f>$I$2 * Table1[[#This Row],[X_NORM]]^5 + $J$2 * Table1[[#This Row],[X_NORM]]^4 + $K$2 * Table1[[#This Row],[X_NORM]]^3 + $L$2 * Table1[[#This Row],[X_NORM]]^2 + $M$2 *Table1[[#This Row],[X_NORM]] + $N$2</f>
        <v>24.274174059592568</v>
      </c>
    </row>
    <row r="93" spans="1:4" x14ac:dyDescent="0.3">
      <c r="A93">
        <f t="shared" si="1"/>
        <v>11.199999999999992</v>
      </c>
      <c r="B93">
        <f>(Table1[[#This Row],[X]]-AVG_X) / STD_X</f>
        <v>0.8951834356480487</v>
      </c>
      <c r="C93">
        <f>$A$2 * Table1[[#This Row],[X_NORM]]^4 + $B$2 * Table1[[#This Row],[X_NORM]]^3 + $C$2 * Table1[[#This Row],[X_NORM]]^2 + $D$2 * Table1[[#This Row],[X_NORM]] + $E$2</f>
        <v>24.963342823722897</v>
      </c>
      <c r="D93">
        <f>$I$2 * Table1[[#This Row],[X_NORM]]^5 + $J$2 * Table1[[#This Row],[X_NORM]]^4 + $K$2 * Table1[[#This Row],[X_NORM]]^3 + $L$2 * Table1[[#This Row],[X_NORM]]^2 + $M$2 *Table1[[#This Row],[X_NORM]] + $N$2</f>
        <v>25.118126719969425</v>
      </c>
    </row>
    <row r="94" spans="1:4" x14ac:dyDescent="0.3">
      <c r="A94">
        <f t="shared" si="1"/>
        <v>11.399999999999991</v>
      </c>
      <c r="B94">
        <f>(Table1[[#This Row],[X]]-AVG_X) / STD_X</f>
        <v>0.93197179601714641</v>
      </c>
      <c r="C94">
        <f>$A$2 * Table1[[#This Row],[X_NORM]]^4 + $B$2 * Table1[[#This Row],[X_NORM]]^3 + $C$2 * Table1[[#This Row],[X_NORM]]^2 + $D$2 * Table1[[#This Row],[X_NORM]] + $E$2</f>
        <v>25.648751187225709</v>
      </c>
      <c r="D94">
        <f>$I$2 * Table1[[#This Row],[X_NORM]]^5 + $J$2 * Table1[[#This Row],[X_NORM]]^4 + $K$2 * Table1[[#This Row],[X_NORM]]^3 + $L$2 * Table1[[#This Row],[X_NORM]]^2 + $M$2 *Table1[[#This Row],[X_NORM]] + $N$2</f>
        <v>25.930396135512488</v>
      </c>
    </row>
    <row r="95" spans="1:4" x14ac:dyDescent="0.3">
      <c r="A95">
        <f t="shared" si="1"/>
        <v>11.599999999999991</v>
      </c>
      <c r="B95">
        <f>(Table1[[#This Row],[X]]-AVG_X) / STD_X</f>
        <v>0.96876015638624424</v>
      </c>
      <c r="C95">
        <f>$A$2 * Table1[[#This Row],[X_NORM]]^4 + $B$2 * Table1[[#This Row],[X_NORM]]^3 + $C$2 * Table1[[#This Row],[X_NORM]]^2 + $D$2 * Table1[[#This Row],[X_NORM]] + $E$2</f>
        <v>26.291925821655362</v>
      </c>
      <c r="D95">
        <f>$I$2 * Table1[[#This Row],[X_NORM]]^5 + $J$2 * Table1[[#This Row],[X_NORM]]^4 + $K$2 * Table1[[#This Row],[X_NORM]]^3 + $L$2 * Table1[[#This Row],[X_NORM]]^2 + $M$2 *Table1[[#This Row],[X_NORM]] + $N$2</f>
        <v>26.700845802979757</v>
      </c>
    </row>
    <row r="96" spans="1:4" x14ac:dyDescent="0.3">
      <c r="A96">
        <f t="shared" si="1"/>
        <v>11.79999999999999</v>
      </c>
      <c r="B96">
        <f>(Table1[[#This Row],[X]]-AVG_X) / STD_X</f>
        <v>1.0055485167553422</v>
      </c>
      <c r="C96">
        <f>$A$2 * Table1[[#This Row],[X_NORM]]^4 + $B$2 * Table1[[#This Row],[X_NORM]]^3 + $C$2 * Table1[[#This Row],[X_NORM]]^2 + $D$2 * Table1[[#This Row],[X_NORM]] + $E$2</f>
        <v>26.884751256078189</v>
      </c>
      <c r="D96">
        <f>$I$2 * Table1[[#This Row],[X_NORM]]^5 + $J$2 * Table1[[#This Row],[X_NORM]]^4 + $K$2 * Table1[[#This Row],[X_NORM]]^3 + $L$2 * Table1[[#This Row],[X_NORM]]^2 + $M$2 *Table1[[#This Row],[X_NORM]] + $N$2</f>
        <v>27.418735255084989</v>
      </c>
    </row>
    <row r="97" spans="1:4" x14ac:dyDescent="0.3">
      <c r="A97">
        <f t="shared" si="1"/>
        <v>11.999999999999989</v>
      </c>
      <c r="B97">
        <f>(Table1[[#This Row],[X]]-AVG_X) / STD_X</f>
        <v>1.0423368771244399</v>
      </c>
      <c r="C97">
        <f>$A$2 * Table1[[#This Row],[X_NORM]]^4 + $B$2 * Table1[[#This Row],[X_NORM]]^3 + $C$2 * Table1[[#This Row],[X_NORM]]^2 + $D$2 * Table1[[#This Row],[X_NORM]] + $E$2</f>
        <v>27.418793774798697</v>
      </c>
      <c r="D97">
        <f>$I$2 * Table1[[#This Row],[X_NORM]]^5 + $J$2 * Table1[[#This Row],[X_NORM]]^4 + $K$2 * Table1[[#This Row],[X_NORM]]^3 + $L$2 * Table1[[#This Row],[X_NORM]]^2 + $M$2 *Table1[[#This Row],[X_NORM]] + $N$2</f>
        <v>28.072709218840544</v>
      </c>
    </row>
    <row r="98" spans="1:4" x14ac:dyDescent="0.3">
      <c r="A98">
        <f t="shared" si="1"/>
        <v>12.199999999999989</v>
      </c>
      <c r="B98">
        <f>(Table1[[#This Row],[X]]-AVG_X) / STD_X</f>
        <v>1.0791252374935376</v>
      </c>
      <c r="C98">
        <f>$A$2 * Table1[[#This Row],[X_NORM]]^4 + $B$2 * Table1[[#This Row],[X_NORM]]^3 + $C$2 * Table1[[#This Row],[X_NORM]]^2 + $D$2 * Table1[[#This Row],[X_NORM]] + $E$2</f>
        <v>27.885301417359585</v>
      </c>
      <c r="D98">
        <f>$I$2 * Table1[[#This Row],[X_NORM]]^5 + $J$2 * Table1[[#This Row],[X_NORM]]^4 + $K$2 * Table1[[#This Row],[X_NORM]]^3 + $L$2 * Table1[[#This Row],[X_NORM]]^2 + $M$2 *Table1[[#This Row],[X_NORM]] + $N$2</f>
        <v>28.65078677390008</v>
      </c>
    </row>
    <row r="99" spans="1:4" x14ac:dyDescent="0.3">
      <c r="A99">
        <f t="shared" si="1"/>
        <v>12.399999999999988</v>
      </c>
      <c r="B99">
        <f>(Table1[[#This Row],[X]]-AVG_X) / STD_X</f>
        <v>1.1159135978626356</v>
      </c>
      <c r="C99">
        <f>$A$2 * Table1[[#This Row],[X_NORM]]^4 + $B$2 * Table1[[#This Row],[X_NORM]]^3 + $C$2 * Table1[[#This Row],[X_NORM]]^2 + $D$2 * Table1[[#This Row],[X_NORM]] + $E$2</f>
        <v>28.275203978541725</v>
      </c>
      <c r="D99">
        <f>$I$2 * Table1[[#This Row],[X_NORM]]^5 + $J$2 * Table1[[#This Row],[X_NORM]]^4 + $K$2 * Table1[[#This Row],[X_NORM]]^3 + $L$2 * Table1[[#This Row],[X_NORM]]^2 + $M$2 *Table1[[#This Row],[X_NORM]] + $N$2</f>
        <v>29.140350510901385</v>
      </c>
    </row>
    <row r="100" spans="1:4" x14ac:dyDescent="0.3">
      <c r="A100">
        <f t="shared" si="1"/>
        <v>12.599999999999987</v>
      </c>
      <c r="B100">
        <f>(Table1[[#This Row],[X]]-AVG_X) / STD_X</f>
        <v>1.1527019582317333</v>
      </c>
      <c r="C100">
        <f>$A$2 * Table1[[#This Row],[X_NORM]]^4 + $B$2 * Table1[[#This Row],[X_NORM]]^3 + $C$2 * Table1[[#This Row],[X_NORM]]^2 + $D$2 * Table1[[#This Row],[X_NORM]] + $E$2</f>
        <v>28.579113008364168</v>
      </c>
      <c r="D100">
        <f>$I$2 * Table1[[#This Row],[X_NORM]]^5 + $J$2 * Table1[[#This Row],[X_NORM]]^4 + $K$2 * Table1[[#This Row],[X_NORM]]^3 + $L$2 * Table1[[#This Row],[X_NORM]]^2 + $M$2 *Table1[[#This Row],[X_NORM]] + $N$2</f>
        <v>29.528135689809119</v>
      </c>
    </row>
    <row r="101" spans="1:4" x14ac:dyDescent="0.3">
      <c r="A101">
        <f t="shared" si="1"/>
        <v>12.799999999999986</v>
      </c>
      <c r="B101">
        <f>(Table1[[#This Row],[X]]-AVG_X) / STD_X</f>
        <v>1.1894903186008312</v>
      </c>
      <c r="C101">
        <f>$A$2 * Table1[[#This Row],[X_NORM]]^4 + $B$2 * Table1[[#This Row],[X_NORM]]^3 + $C$2 * Table1[[#This Row],[X_NORM]]^2 + $D$2 * Table1[[#This Row],[X_NORM]] + $E$2</f>
        <v>28.787321812084151</v>
      </c>
      <c r="D101">
        <f>$I$2 * Table1[[#This Row],[X_NORM]]^5 + $J$2 * Table1[[#This Row],[X_NORM]]^4 + $K$2 * Table1[[#This Row],[X_NORM]]^3 + $L$2 * Table1[[#This Row],[X_NORM]]^2 + $M$2 *Table1[[#This Row],[X_NORM]] + $N$2</f>
        <v>29.800219398257617</v>
      </c>
    </row>
    <row r="102" spans="1:4" x14ac:dyDescent="0.3">
      <c r="A102">
        <f t="shared" si="1"/>
        <v>12.999999999999986</v>
      </c>
      <c r="B102">
        <f>(Table1[[#This Row],[X]]-AVG_X) / STD_X</f>
        <v>1.2262786789699289</v>
      </c>
      <c r="C102">
        <f>$A$2 * Table1[[#This Row],[X_NORM]]^4 + $B$2 * Table1[[#This Row],[X_NORM]]^3 + $C$2 * Table1[[#This Row],[X_NORM]]^2 + $D$2 * Table1[[#This Row],[X_NORM]] + $E$2</f>
        <v>28.88980545019708</v>
      </c>
      <c r="D102">
        <f>$I$2 * Table1[[#This Row],[X_NORM]]^5 + $J$2 * Table1[[#This Row],[X_NORM]]^4 + $K$2 * Table1[[#This Row],[X_NORM]]^3 + $L$2 * Table1[[#This Row],[X_NORM]]^2 + $M$2 *Table1[[#This Row],[X_NORM]] + $N$2</f>
        <v>29.942009709893661</v>
      </c>
    </row>
    <row r="103" spans="1:4" x14ac:dyDescent="0.3">
      <c r="A103">
        <f t="shared" si="1"/>
        <v>13.199999999999985</v>
      </c>
      <c r="B103">
        <f>(Table1[[#This Row],[X]]-AVG_X) / STD_X</f>
        <v>1.2630670393390269</v>
      </c>
      <c r="C103">
        <f>$A$2 * Table1[[#This Row],[X_NORM]]^4 + $B$2 * Table1[[#This Row],[X_NORM]]^3 + $C$2 * Table1[[#This Row],[X_NORM]]^2 + $D$2 * Table1[[#This Row],[X_NORM]] + $E$2</f>
        <v>28.876220738436562</v>
      </c>
      <c r="D103">
        <f>$I$2 * Table1[[#This Row],[X_NORM]]^5 + $J$2 * Table1[[#This Row],[X_NORM]]^4 + $K$2 * Table1[[#This Row],[X_NORM]]^3 + $L$2 * Table1[[#This Row],[X_NORM]]^2 + $M$2 *Table1[[#This Row],[X_NORM]] + $N$2</f>
        <v>29.938234842719204</v>
      </c>
    </row>
    <row r="104" spans="1:4" x14ac:dyDescent="0.3">
      <c r="A104">
        <f t="shared" si="1"/>
        <v>13.399999999999984</v>
      </c>
      <c r="B104">
        <f>(Table1[[#This Row],[X]]-AVG_X) / STD_X</f>
        <v>1.2998553997081246</v>
      </c>
      <c r="C104">
        <f>$A$2 * Table1[[#This Row],[X_NORM]]^4 + $B$2 * Table1[[#This Row],[X_NORM]]^3 + $C$2 * Table1[[#This Row],[X_NORM]]^2 + $D$2 * Table1[[#This Row],[X_NORM]] + $E$2</f>
        <v>28.735906247774363</v>
      </c>
      <c r="D104">
        <f>$I$2 * Table1[[#This Row],[X_NORM]]^5 + $J$2 * Table1[[#This Row],[X_NORM]]^4 + $K$2 * Table1[[#This Row],[X_NORM]]^3 + $L$2 * Table1[[#This Row],[X_NORM]]^2 + $M$2 *Table1[[#This Row],[X_NORM]] + $N$2</f>
        <v>29.77293231743424</v>
      </c>
    </row>
    <row r="105" spans="1:4" x14ac:dyDescent="0.3">
      <c r="A105">
        <f t="shared" si="1"/>
        <v>13.599999999999984</v>
      </c>
      <c r="B105">
        <f>(Table1[[#This Row],[X]]-AVG_X) / STD_X</f>
        <v>1.3366437600772225</v>
      </c>
      <c r="C105">
        <f>$A$2 * Table1[[#This Row],[X_NORM]]^4 + $B$2 * Table1[[#This Row],[X_NORM]]^3 + $C$2 * Table1[[#This Row],[X_NORM]]^2 + $D$2 * Table1[[#This Row],[X_NORM]] + $E$2</f>
        <v>28.45788230442043</v>
      </c>
      <c r="D105">
        <f>$I$2 * Table1[[#This Row],[X_NORM]]^5 + $J$2 * Table1[[#This Row],[X_NORM]]^4 + $K$2 * Table1[[#This Row],[X_NORM]]^3 + $L$2 * Table1[[#This Row],[X_NORM]]^2 + $M$2 *Table1[[#This Row],[X_NORM]] + $N$2</f>
        <v>29.429438115779483</v>
      </c>
    </row>
    <row r="106" spans="1:4" x14ac:dyDescent="0.3">
      <c r="A106">
        <f t="shared" si="1"/>
        <v>13.799999999999983</v>
      </c>
      <c r="B106">
        <f>(Table1[[#This Row],[X]]-AVG_X) / STD_X</f>
        <v>1.3734321204463202</v>
      </c>
      <c r="C106">
        <f>$A$2 * Table1[[#This Row],[X_NORM]]^4 + $B$2 * Table1[[#This Row],[X_NORM]]^3 + $C$2 * Table1[[#This Row],[X_NORM]]^2 + $D$2 * Table1[[#This Row],[X_NORM]] + $E$2</f>
        <v>28.030850989822902</v>
      </c>
      <c r="D106">
        <f>$I$2 * Table1[[#This Row],[X_NORM]]^5 + $J$2 * Table1[[#This Row],[X_NORM]]^4 + $K$2 * Table1[[#This Row],[X_NORM]]^3 + $L$2 * Table1[[#This Row],[X_NORM]]^2 + $M$2 *Table1[[#This Row],[X_NORM]] + $N$2</f>
        <v>28.890375838879187</v>
      </c>
    </row>
    <row r="107" spans="1:4" x14ac:dyDescent="0.3">
      <c r="A107">
        <f t="shared" si="1"/>
        <v>13.999999999999982</v>
      </c>
      <c r="B107">
        <f>(Table1[[#This Row],[X]]-AVG_X) / STD_X</f>
        <v>1.410220480815418</v>
      </c>
      <c r="C107">
        <f>$A$2 * Table1[[#This Row],[X_NORM]]^4 + $B$2 * Table1[[#This Row],[X_NORM]]^3 + $C$2 * Table1[[#This Row],[X_NORM]]^2 + $D$2 * Table1[[#This Row],[X_NORM]] + $E$2</f>
        <v>27.443196140668103</v>
      </c>
      <c r="D107">
        <f>$I$2 * Table1[[#This Row],[X_NORM]]^5 + $J$2 * Table1[[#This Row],[X_NORM]]^4 + $K$2 * Table1[[#This Row],[X_NORM]]^3 + $L$2 * Table1[[#This Row],[X_NORM]]^2 + $M$2 *Table1[[#This Row],[X_NORM]] + $N$2</f>
        <v>28.137645865583949</v>
      </c>
    </row>
    <row r="108" spans="1:4" x14ac:dyDescent="0.3">
      <c r="A108">
        <f t="shared" si="1"/>
        <v>14.199999999999982</v>
      </c>
      <c r="B108">
        <f>(Table1[[#This Row],[X]]-AVG_X) / STD_X</f>
        <v>1.4470088411845159</v>
      </c>
      <c r="C108">
        <f>$A$2 * Table1[[#This Row],[X_NORM]]^4 + $B$2 * Table1[[#This Row],[X_NORM]]^3 + $C$2 * Table1[[#This Row],[X_NORM]]^2 + $D$2 * Table1[[#This Row],[X_NORM]] + $E$2</f>
        <v>26.682983348880509</v>
      </c>
      <c r="D108">
        <f>$I$2 * Table1[[#This Row],[X_NORM]]^5 + $J$2 * Table1[[#This Row],[X_NORM]]^4 + $K$2 * Table1[[#This Row],[X_NORM]]^3 + $L$2 * Table1[[#This Row],[X_NORM]]^2 + $M$2 *Table1[[#This Row],[X_NORM]] + $N$2</f>
        <v>27.152414510813422</v>
      </c>
    </row>
    <row r="109" spans="1:4" x14ac:dyDescent="0.3">
      <c r="A109">
        <f t="shared" si="1"/>
        <v>14.399999999999981</v>
      </c>
      <c r="B109">
        <f>(Table1[[#This Row],[X]]-AVG_X) / STD_X</f>
        <v>1.4837972015536138</v>
      </c>
      <c r="C109">
        <f>$A$2 * Table1[[#This Row],[X_NORM]]^4 + $B$2 * Table1[[#This Row],[X_NORM]]^3 + $C$2 * Table1[[#This Row],[X_NORM]]^2 + $D$2 * Table1[[#This Row],[X_NORM]] + $E$2</f>
        <v>25.737959961622792</v>
      </c>
      <c r="D109">
        <f>$I$2 * Table1[[#This Row],[X_NORM]]^5 + $J$2 * Table1[[#This Row],[X_NORM]]^4 + $K$2 * Table1[[#This Row],[X_NORM]]^3 + $L$2 * Table1[[#This Row],[X_NORM]]^2 + $M$2 *Table1[[#This Row],[X_NORM]] + $N$2</f>
        <v>25.915103183899131</v>
      </c>
    </row>
    <row r="110" spans="1:4" x14ac:dyDescent="0.3">
      <c r="A110">
        <f t="shared" si="1"/>
        <v>14.59999999999998</v>
      </c>
      <c r="B110">
        <f>(Table1[[#This Row],[X]]-AVG_X) / STD_X</f>
        <v>1.5205855619227118</v>
      </c>
      <c r="C110">
        <f>$A$2 * Table1[[#This Row],[X_NORM]]^4 + $B$2 * Table1[[#This Row],[X_NORM]]^3 + $C$2 * Table1[[#This Row],[X_NORM]]^2 + $D$2 * Table1[[#This Row],[X_NORM]] + $E$2</f>
        <v>24.595555081295831</v>
      </c>
      <c r="D110">
        <f>$I$2 * Table1[[#This Row],[X_NORM]]^5 + $J$2 * Table1[[#This Row],[X_NORM]]^4 + $K$2 * Table1[[#This Row],[X_NORM]]^3 + $L$2 * Table1[[#This Row],[X_NORM]]^2 + $M$2 *Table1[[#This Row],[X_NORM]] + $N$2</f>
        <v>24.405377546927266</v>
      </c>
    </row>
    <row r="111" spans="1:4" x14ac:dyDescent="0.3">
      <c r="A111">
        <f t="shared" si="1"/>
        <v>14.799999999999979</v>
      </c>
      <c r="B111">
        <f>(Table1[[#This Row],[X]]-AVG_X) / STD_X</f>
        <v>1.5573739222918095</v>
      </c>
      <c r="C111">
        <f>$A$2 * Table1[[#This Row],[X_NORM]]^4 + $B$2 * Table1[[#This Row],[X_NORM]]^3 + $C$2 * Table1[[#This Row],[X_NORM]]^2 + $D$2 * Table1[[#This Row],[X_NORM]] + $E$2</f>
        <v>23.242879565538644</v>
      </c>
      <c r="D111">
        <f>$I$2 * Table1[[#This Row],[X_NORM]]^5 + $J$2 * Table1[[#This Row],[X_NORM]]^4 + $K$2 * Table1[[#This Row],[X_NORM]]^3 + $L$2 * Table1[[#This Row],[X_NORM]]^2 + $M$2 *Table1[[#This Row],[X_NORM]] + $N$2</f>
        <v>22.602136673081375</v>
      </c>
    </row>
    <row r="112" spans="1:4" x14ac:dyDescent="0.3">
      <c r="A112">
        <f t="shared" si="1"/>
        <v>14.999999999999979</v>
      </c>
      <c r="B112">
        <f>(Table1[[#This Row],[X]]-AVG_X) / STD_X</f>
        <v>1.5941622826609072</v>
      </c>
      <c r="C112">
        <f>$A$2 * Table1[[#This Row],[X_NORM]]^4 + $B$2 * Table1[[#This Row],[X_NORM]]^3 + $C$2 * Table1[[#This Row],[X_NORM]]^2 + $D$2 * Table1[[#This Row],[X_NORM]] + $E$2</f>
        <v>21.666726027228449</v>
      </c>
      <c r="D112">
        <f>$I$2 * Table1[[#This Row],[X_NORM]]^5 + $J$2 * Table1[[#This Row],[X_NORM]]^4 + $K$2 * Table1[[#This Row],[X_NORM]]^3 + $L$2 * Table1[[#This Row],[X_NORM]]^2 + $M$2 *Table1[[#This Row],[X_NORM]] + $N$2</f>
        <v>20.48350220498525</v>
      </c>
    </row>
  </sheetData>
  <phoneticPr fontId="5" type="noConversion"/>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23</vt:i4>
      </vt:variant>
    </vt:vector>
  </HeadingPairs>
  <TitlesOfParts>
    <vt:vector size="25" baseType="lpstr">
      <vt:lpstr>Model Training</vt:lpstr>
      <vt:lpstr>Sheet1</vt:lpstr>
      <vt:lpstr>AVG_X</vt:lpstr>
      <vt:lpstr>current_a</vt:lpstr>
      <vt:lpstr>current_b</vt:lpstr>
      <vt:lpstr>current_c</vt:lpstr>
      <vt:lpstr>current_d</vt:lpstr>
      <vt:lpstr>current_e</vt:lpstr>
      <vt:lpstr>current_Grad_a</vt:lpstr>
      <vt:lpstr>current_Grad_b</vt:lpstr>
      <vt:lpstr>current_Grad_c</vt:lpstr>
      <vt:lpstr>current_Grad_d</vt:lpstr>
      <vt:lpstr>current_Grad_e</vt:lpstr>
      <vt:lpstr>current_step</vt:lpstr>
      <vt:lpstr>current_Total_Loss</vt:lpstr>
      <vt:lpstr>initial_a</vt:lpstr>
      <vt:lpstr>initial_b</vt:lpstr>
      <vt:lpstr>initial_c</vt:lpstr>
      <vt:lpstr>initial_d</vt:lpstr>
      <vt:lpstr>initial_e</vt:lpstr>
      <vt:lpstr>MAE</vt:lpstr>
      <vt:lpstr>MAPE</vt:lpstr>
      <vt:lpstr>MAX_iterations</vt:lpstr>
      <vt:lpstr>R_Squared</vt:lpstr>
      <vt:lpstr>STD_X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Marco Lasala</cp:lastModifiedBy>
  <dcterms:created xsi:type="dcterms:W3CDTF">2015-06-05T18:17:20Z</dcterms:created>
  <dcterms:modified xsi:type="dcterms:W3CDTF">2026-02-11T15:22:37Z</dcterms:modified>
</cp:coreProperties>
</file>